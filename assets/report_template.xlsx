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URL Details" sheetId="2" r:id="rId6"/>
    <sheet state="visible" name="All URLs" sheetId="3" r:id="rId7"/>
    <sheet state="visible" name="Final Report" sheetId="4" r:id="rId8"/>
    <sheet state="visible" name="Conformance Score" sheetId="5" r:id="rId9"/>
    <sheet state="visible" name="Production" sheetId="6" r:id="rId10"/>
    <sheet state="visible" name="Repository" sheetId="7" r:id="rId11"/>
    <sheet state="visible" name="Severy-Priority Information" sheetId="8" r:id="rId12"/>
    <sheet state="visible" name="Variables" sheetId="9" r:id="rId13"/>
  </sheets>
  <definedNames>
    <definedName name="allQAs">Variables!$C$2:$C$131</definedName>
    <definedName name="qaStatus">Variables!$G$2:$G$1048576</definedName>
    <definedName name="process">Variables!$M$2:$M$1048576</definedName>
    <definedName name="env">Variables!$I$2:$I$1048576</definedName>
    <definedName name="atTesters">Variables!$E$2:$E$1048576</definedName>
    <definedName name="allTesters">Variables!$A$2:$A$134</definedName>
    <definedName name="pageStatus">Variables!$K$2:$K$1048576</definedName>
    <definedName name="envStatus">Variables!$Y$2:$Y$13</definedName>
    <definedName name="projectStatus">Variables!$O$2:$O$1048576</definedName>
    <definedName name="userImpact">Variables!$U$2:$U$1048576</definedName>
    <definedName name="devStatus">Variables!$S$2:$S$1048576</definedName>
    <definedName name="testerStatus">Variables!$Q$2:$Q$1048576</definedName>
  </definedNames>
  <calcPr/>
</workbook>
</file>

<file path=xl/sharedStrings.xml><?xml version="1.0" encoding="utf-8"?>
<sst xmlns="http://schemas.openxmlformats.org/spreadsheetml/2006/main" count="2224" uniqueCount="1098">
  <si>
    <t>Audit Performed For</t>
  </si>
  <si>
    <t>Example name</t>
  </si>
  <si>
    <t>Operating system</t>
  </si>
  <si>
    <t>Browser</t>
  </si>
  <si>
    <t>Assistive technologies</t>
  </si>
  <si>
    <t>Automated tools</t>
  </si>
  <si>
    <t>*Important note</t>
  </si>
  <si>
    <t>Audit Type</t>
  </si>
  <si>
    <t>Website/Mobile App</t>
  </si>
  <si>
    <t>Windows 11</t>
  </si>
  <si>
    <t>Chrome</t>
  </si>
  <si>
    <t>JAWS 2024</t>
  </si>
  <si>
    <t>Wave, ARC toolkit, CCA</t>
  </si>
  <si>
    <t>Audit Performed By</t>
  </si>
  <si>
    <t>Sakshi Infotech Solutions LLP</t>
  </si>
  <si>
    <t>Firefox</t>
  </si>
  <si>
    <t xml:space="preserve">NVDA </t>
  </si>
  <si>
    <t>IAAP-Certified Auditor</t>
  </si>
  <si>
    <t>Sangam Nishad</t>
  </si>
  <si>
    <t>ZoomText and Dragon NaturalSpeaking</t>
  </si>
  <si>
    <t>N/A</t>
  </si>
  <si>
    <t>Audit Date</t>
  </si>
  <si>
    <t>MacOS</t>
  </si>
  <si>
    <t>Safari</t>
  </si>
  <si>
    <t>VoiceOver</t>
  </si>
  <si>
    <t>2. Till such time that the VPAT (Voluntary Product Accessibility Template) of this asset is not released, there should be no changes made to the asset in the form of enhancements and modifications to its underlying codebase, system configuration, infrastructure, accessibility settings, or any associated documentation. Changes if any carried out within this asset will tantamount to re-scope and re-work on the asset. Changes to the web asset will effect the Accessibility Conformance Report (ACR) are without risk and responsibility of the IAAP audit report.</t>
  </si>
  <si>
    <t>Android OS</t>
  </si>
  <si>
    <t>TalkBack</t>
  </si>
  <si>
    <t>Accessbility Scanner</t>
  </si>
  <si>
    <t>Iphone OS</t>
  </si>
  <si>
    <t>Accessbility Checker</t>
  </si>
  <si>
    <t>WCAG 2.2 Conformance</t>
  </si>
  <si>
    <t>Level A</t>
  </si>
  <si>
    <t>Level AA</t>
  </si>
  <si>
    <t>Total</t>
  </si>
  <si>
    <t xml:space="preserve">Top 5 Issues </t>
  </si>
  <si>
    <t>Passed/NA</t>
  </si>
  <si>
    <t>Sr. no.</t>
  </si>
  <si>
    <t>Issues Name</t>
  </si>
  <si>
    <t>Success Criteria</t>
  </si>
  <si>
    <t>Failed</t>
  </si>
  <si>
    <t>3. Incase there is a requirement to make modifications to asset being tested, separate request needs to addressed via email. After scoping and agreement in pricing, the additional pages will be tested and included in the overall VPAT report.</t>
  </si>
  <si>
    <t>4. For the purpose of remediation, the Implementation Officer/Engineer/Developer is required to adhere to all recommendations provided by our certified experts to ensure compliance.</t>
  </si>
  <si>
    <t>Resource Name</t>
  </si>
  <si>
    <t>Resource Type</t>
  </si>
  <si>
    <t>Roshani Rathod</t>
  </si>
  <si>
    <t>Standard Tester</t>
  </si>
  <si>
    <t>Harshada Yadav</t>
  </si>
  <si>
    <t>Aditya Mankar</t>
  </si>
  <si>
    <t>Assistive Technology Tester</t>
  </si>
  <si>
    <t>Aarti Thombare</t>
  </si>
  <si>
    <t>Quality Assurance (QA)</t>
  </si>
  <si>
    <t>Page No.</t>
  </si>
  <si>
    <t>Page Name</t>
  </si>
  <si>
    <t>Unique URLs</t>
  </si>
  <si>
    <t>Grouped URLs</t>
  </si>
  <si>
    <t>Rows</t>
  </si>
  <si>
    <t>AT Testers</t>
  </si>
  <si>
    <t>Tester names</t>
  </si>
  <si>
    <t>QA name</t>
  </si>
  <si>
    <t>Notes</t>
  </si>
  <si>
    <t>Status</t>
  </si>
  <si>
    <t>Environment</t>
  </si>
  <si>
    <t>G1</t>
  </si>
  <si>
    <t>Global</t>
  </si>
  <si>
    <t>On All pages</t>
  </si>
  <si>
    <t>On All Pages</t>
  </si>
  <si>
    <t>2-30</t>
  </si>
  <si>
    <t>P01</t>
  </si>
  <si>
    <t>31-60</t>
  </si>
  <si>
    <t>P02</t>
  </si>
  <si>
    <t/>
  </si>
  <si>
    <t>61-90</t>
  </si>
  <si>
    <t>P03</t>
  </si>
  <si>
    <t>91-120</t>
  </si>
  <si>
    <t>P04</t>
  </si>
  <si>
    <t>121-150</t>
  </si>
  <si>
    <t>P05</t>
  </si>
  <si>
    <t>151-180</t>
  </si>
  <si>
    <t>P06</t>
  </si>
  <si>
    <t>181-210</t>
  </si>
  <si>
    <t>P07</t>
  </si>
  <si>
    <t>211-240</t>
  </si>
  <si>
    <t>P08</t>
  </si>
  <si>
    <t>241-270</t>
  </si>
  <si>
    <t>P09</t>
  </si>
  <si>
    <t>271-300</t>
  </si>
  <si>
    <t>P10</t>
  </si>
  <si>
    <t>301-330</t>
  </si>
  <si>
    <t>P11</t>
  </si>
  <si>
    <t>331-360</t>
  </si>
  <si>
    <t>P12</t>
  </si>
  <si>
    <t>361-390</t>
  </si>
  <si>
    <t>P13</t>
  </si>
  <si>
    <t>391-420</t>
  </si>
  <si>
    <t>P14</t>
  </si>
  <si>
    <t>421-450</t>
  </si>
  <si>
    <t>P15</t>
  </si>
  <si>
    <t>451-480</t>
  </si>
  <si>
    <t>P16</t>
  </si>
  <si>
    <t>481-510</t>
  </si>
  <si>
    <t>P17</t>
  </si>
  <si>
    <t>511-540</t>
  </si>
  <si>
    <t>P18</t>
  </si>
  <si>
    <t>541-570</t>
  </si>
  <si>
    <t>P19</t>
  </si>
  <si>
    <t>571-600</t>
  </si>
  <si>
    <t>P20</t>
  </si>
  <si>
    <t>601-630</t>
  </si>
  <si>
    <t>P21</t>
  </si>
  <si>
    <t>631-660</t>
  </si>
  <si>
    <t>P22</t>
  </si>
  <si>
    <t>661-690</t>
  </si>
  <si>
    <t>P23</t>
  </si>
  <si>
    <t>691-720</t>
  </si>
  <si>
    <t>P24</t>
  </si>
  <si>
    <t>721-750</t>
  </si>
  <si>
    <t>P25</t>
  </si>
  <si>
    <t>751-780</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</si>
  <si>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</si>
  <si>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</si>
  <si>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</si>
  <si>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</si>
  <si>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</si>
  <si>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</si>
  <si>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</si>
  <si>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</si>
  <si>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</si>
  <si>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</si>
  <si>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</si>
  <si>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</si>
  <si>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</si>
  <si>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</si>
  <si>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</si>
  <si>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</si>
  <si>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</si>
  <si>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</si>
  <si>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</si>
  <si>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</si>
  <si>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</si>
  <si>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</si>
  <si>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</si>
  <si>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</si>
  <si>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</si>
  <si>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URL</t>
  </si>
  <si>
    <t>Unique page No.</t>
  </si>
  <si>
    <t>Page No</t>
  </si>
  <si>
    <t>Page URL</t>
  </si>
  <si>
    <t>Issue Title</t>
  </si>
  <si>
    <t>Test Findings</t>
  </si>
  <si>
    <t>Move to Report</t>
  </si>
  <si>
    <t>Actual Result</t>
  </si>
  <si>
    <t>Incorrect Code</t>
  </si>
  <si>
    <t>Screenshots</t>
  </si>
  <si>
    <t>Recommendation</t>
  </si>
  <si>
    <t>Correct Code</t>
  </si>
  <si>
    <t>Severity</t>
  </si>
  <si>
    <t>User Affected</t>
  </si>
  <si>
    <t>WCAG Success Criteria Number</t>
  </si>
  <si>
    <t>WCAG Success Criteria Name</t>
  </si>
  <si>
    <t>WCAG Conformance Level</t>
  </si>
  <si>
    <t>GIGW 3.0</t>
  </si>
  <si>
    <t>IS 17802</t>
  </si>
  <si>
    <t>Chrome/JAWS</t>
  </si>
  <si>
    <t>Firefox/NVDA</t>
  </si>
  <si>
    <t>Edge/JAWS</t>
  </si>
  <si>
    <t>MAC - Safari/VoiceOver</t>
  </si>
  <si>
    <t>Android- Chrome/TalkBack</t>
  </si>
  <si>
    <t>iOS - Safari/VoiceOver</t>
  </si>
  <si>
    <t>ZoomText</t>
  </si>
  <si>
    <t>Dragon Natural Speaking</t>
  </si>
  <si>
    <t>Developer's Status</t>
  </si>
  <si>
    <t>Developer's Comment</t>
  </si>
  <si>
    <t>Issue Reported by</t>
  </si>
  <si>
    <t>Tester's Comment</t>
  </si>
  <si>
    <t>Tester Status</t>
  </si>
  <si>
    <t>QA Name</t>
  </si>
  <si>
    <t>QA Coment</t>
  </si>
  <si>
    <t>QA Status</t>
  </si>
  <si>
    <t>Severity Rank</t>
  </si>
  <si>
    <t>Level Rank</t>
  </si>
  <si>
    <t>WCAG 2.2 Success Criteria</t>
  </si>
  <si>
    <t>WCAG 2.2 Success Criteria Name</t>
  </si>
  <si>
    <t>WCAG 2.2 Conformance Level</t>
  </si>
  <si>
    <t>Count</t>
  </si>
  <si>
    <t>Blocker</t>
  </si>
  <si>
    <t>Critical</t>
  </si>
  <si>
    <t>Major</t>
  </si>
  <si>
    <t>Minor</t>
  </si>
  <si>
    <t>Pass/Fail</t>
  </si>
  <si>
    <t>Points</t>
  </si>
  <si>
    <t>Conformance Score</t>
  </si>
  <si>
    <t>Defect Score</t>
  </si>
  <si>
    <t>1.1.1</t>
  </si>
  <si>
    <t>Non-Text Content</t>
  </si>
  <si>
    <t>A</t>
  </si>
  <si>
    <t>1.2.1</t>
  </si>
  <si>
    <t>Audio-only and Video-only (Prerecorded)</t>
  </si>
  <si>
    <t>1.2.2</t>
  </si>
  <si>
    <t>Captions (Prerecorded)</t>
  </si>
  <si>
    <t>1.2.3</t>
  </si>
  <si>
    <t>Audio Description or Media Alternative (Prerecorded)</t>
  </si>
  <si>
    <t>1.2.4</t>
  </si>
  <si>
    <t>Captions (Live)</t>
  </si>
  <si>
    <t>AA</t>
  </si>
  <si>
    <t>1.2.5</t>
  </si>
  <si>
    <t>Audio Description (Prerecorded)</t>
  </si>
  <si>
    <t>1.3.1</t>
  </si>
  <si>
    <t>Info and Relationships</t>
  </si>
  <si>
    <t>1.3.2</t>
  </si>
  <si>
    <t>Meaningful Sequence</t>
  </si>
  <si>
    <t>1.3.3</t>
  </si>
  <si>
    <t>Sensory Characteristics</t>
  </si>
  <si>
    <t>1.3.4</t>
  </si>
  <si>
    <t>Orientation</t>
  </si>
  <si>
    <t>1.3.5</t>
  </si>
  <si>
    <t>Identify Input Purpose</t>
  </si>
  <si>
    <t>1.4.1</t>
  </si>
  <si>
    <t>Use of Color</t>
  </si>
  <si>
    <t>1.4.2</t>
  </si>
  <si>
    <t>Audio Control</t>
  </si>
  <si>
    <t>1.4.3</t>
  </si>
  <si>
    <t>Contrast (Minimum)</t>
  </si>
  <si>
    <t>1.4.4</t>
  </si>
  <si>
    <t>Resize Text</t>
  </si>
  <si>
    <t>1.4.5</t>
  </si>
  <si>
    <t>Images of Text</t>
  </si>
  <si>
    <t>1.4.10</t>
  </si>
  <si>
    <t>Reflow</t>
  </si>
  <si>
    <t>1.4.11</t>
  </si>
  <si>
    <t>Non-text Contrast</t>
  </si>
  <si>
    <t>1.4.12</t>
  </si>
  <si>
    <t>Text Spacing</t>
  </si>
  <si>
    <t>1.4.13</t>
  </si>
  <si>
    <t>Content on Hover or Focus</t>
  </si>
  <si>
    <t>2.1.1</t>
  </si>
  <si>
    <t>Keyboard</t>
  </si>
  <si>
    <t>2.1.2</t>
  </si>
  <si>
    <t>Keyboard Trap</t>
  </si>
  <si>
    <t>2.1.4</t>
  </si>
  <si>
    <t>Character Key Shortcuts</t>
  </si>
  <si>
    <t>2.2.1</t>
  </si>
  <si>
    <t>Timing Adjustable</t>
  </si>
  <si>
    <t>2.2.2</t>
  </si>
  <si>
    <t>Pause, Stop, Hide</t>
  </si>
  <si>
    <t>2.3.1</t>
  </si>
  <si>
    <t>Three Flashes or Below Threshold</t>
  </si>
  <si>
    <t>2.4.1</t>
  </si>
  <si>
    <t>Bypass Blocks</t>
  </si>
  <si>
    <t>2.4.2</t>
  </si>
  <si>
    <t>Page Titled</t>
  </si>
  <si>
    <t>2.4.3</t>
  </si>
  <si>
    <t>Focus Order</t>
  </si>
  <si>
    <t>2.4.4</t>
  </si>
  <si>
    <t>Link Purpose (In Context)</t>
  </si>
  <si>
    <t>2.4.5</t>
  </si>
  <si>
    <t>Multiple Ways</t>
  </si>
  <si>
    <t>2.4.6</t>
  </si>
  <si>
    <t>Headings and Labels</t>
  </si>
  <si>
    <t>2.4.7</t>
  </si>
  <si>
    <t>Focus Visible</t>
  </si>
  <si>
    <t>2.4.11</t>
  </si>
  <si>
    <t>Focus Not Obscured (Minimum)</t>
  </si>
  <si>
    <t>2.5.1</t>
  </si>
  <si>
    <t>Pointer Gestures</t>
  </si>
  <si>
    <t>2.5.2</t>
  </si>
  <si>
    <t>Pointer Cancellation</t>
  </si>
  <si>
    <t>2.5.3</t>
  </si>
  <si>
    <t>Label in Name</t>
  </si>
  <si>
    <t>2.5.4</t>
  </si>
  <si>
    <t>Motion Actuation</t>
  </si>
  <si>
    <t>2.5.7</t>
  </si>
  <si>
    <t>Dragging Movements</t>
  </si>
  <si>
    <t>2.5.8</t>
  </si>
  <si>
    <t>Target Size (Minimum)</t>
  </si>
  <si>
    <t>3.1.1</t>
  </si>
  <si>
    <t>Language of Page</t>
  </si>
  <si>
    <t>3.1.2</t>
  </si>
  <si>
    <t>Language of Parts</t>
  </si>
  <si>
    <t>3.2.1</t>
  </si>
  <si>
    <t>On Focus</t>
  </si>
  <si>
    <t>3.2.2</t>
  </si>
  <si>
    <t>On Input</t>
  </si>
  <si>
    <t>3.2.3</t>
  </si>
  <si>
    <t>Consistent Navigation</t>
  </si>
  <si>
    <t>3.2.4</t>
  </si>
  <si>
    <t>Consistent Identification</t>
  </si>
  <si>
    <t>3.2.6</t>
  </si>
  <si>
    <t>Consistent Help</t>
  </si>
  <si>
    <t>3.3.1</t>
  </si>
  <si>
    <t>Error Identification</t>
  </si>
  <si>
    <t>3.3.2</t>
  </si>
  <si>
    <t>Labels or Instructions</t>
  </si>
  <si>
    <t>3.3.3</t>
  </si>
  <si>
    <t>Error Suggestion</t>
  </si>
  <si>
    <t>3.3.4</t>
  </si>
  <si>
    <t>Error Prevention (Legal, Financial, Data)</t>
  </si>
  <si>
    <t>3.3.7</t>
  </si>
  <si>
    <t>Redundant Entry</t>
  </si>
  <si>
    <t>3.3.8</t>
  </si>
  <si>
    <t>Accessible Authentication (Minimum)</t>
  </si>
  <si>
    <t>4.1.1</t>
  </si>
  <si>
    <t>Parsing</t>
  </si>
  <si>
    <t>4.1.2</t>
  </si>
  <si>
    <t>Name, Role, Value</t>
  </si>
  <si>
    <t>4.1.3</t>
  </si>
  <si>
    <t>Status Messages</t>
  </si>
  <si>
    <t>Total Count</t>
  </si>
  <si>
    <t xml:space="preserve">Points: </t>
  </si>
  <si>
    <t>Date</t>
  </si>
  <si>
    <t>Production Hours</t>
  </si>
  <si>
    <t>Process</t>
  </si>
  <si>
    <t>Units</t>
  </si>
  <si>
    <t>Labels</t>
  </si>
  <si>
    <t>Details</t>
  </si>
  <si>
    <t>Project Name</t>
  </si>
  <si>
    <t>Dummy project</t>
  </si>
  <si>
    <t>Month</t>
  </si>
  <si>
    <t>September</t>
  </si>
  <si>
    <t>Project Est Hours</t>
  </si>
  <si>
    <t>Actual Production Hours</t>
  </si>
  <si>
    <t>Start Date</t>
  </si>
  <si>
    <t>Delivery Date</t>
  </si>
  <si>
    <t>Project Status</t>
  </si>
  <si>
    <t>Not Started</t>
  </si>
  <si>
    <t>Issue title</t>
  </si>
  <si>
    <t>Suggestion</t>
  </si>
  <si>
    <t>Users Affected</t>
  </si>
  <si>
    <t>WCAG Success Criteria</t>
  </si>
  <si>
    <t>Missing accessible name for image links</t>
  </si>
  <si>
    <t>There are image links that do not have an accessible name. Examples include:
- The "SSSSS" image links under "SSSSS" section.
- The "SSSSS" image links under "SSSSS" section.
- The "SSSSS" image links under "SSSSS" section.
As a result, screen reader users will not be able to understand the purpose or destination of these image links, making navigation and interaction difficult.</t>
  </si>
  <si>
    <t>Provide a complete and descriptive textual description that clearly describes the purpose of these image links. Ensure that the textual description of image links with different functionality is unique. Add descriptive label for the image links using the aria-label attribute.</t>
  </si>
  <si>
    <t>Visual Impairment</t>
  </si>
  <si>
    <t>5.2.1</t>
  </si>
  <si>
    <t>9.1.1.1</t>
  </si>
  <si>
    <t>Inappropriate accessible name for image links</t>
  </si>
  <si>
    <t>There are image links with inappropriate accessible names. Examples include:
- The "SSSSS" image links under "SSSSS" section.
- The "SSSSS" image links under "SSSSS" section.
- The "SSSSS" image links under "SSSSS" section. 
As a result, users of assistive technologies may receive unclear or misleading information about the link's function or destination, leading to confusion or misnavigation.</t>
  </si>
  <si>
    <t>Missing accessible name for image buttons</t>
  </si>
  <si>
    <t>There are image buttons that do not have an accessible name. Examples include:
- The "SSSSS" image buttons under "SSSSS" section.
- The "SSSSS" image buttons under "SSSSS" section.
- The "SSSSS" image buttons under "SSSSS" section.
As a result, screen reader users will be unable to identify the purpose of these buttons.</t>
  </si>
  <si>
    <t>Ensure that appropriate textual description for the image buttons is provided and it completely describes the purpose of these buttons.
The textual description can be provided by adding a visually hidden text using CSS within the button element.
Alternatively, use the "aria-label" attribute on the button element to provide a textual description.</t>
  </si>
  <si>
    <t>Inappropriate accessible name for image buttons</t>
  </si>
  <si>
    <t>There are image buttons with inappropriate accessible names. Examples include:
- The "SSSSS" image buttons under "SSSSS" section.
- The "SSSSS" image buttons under "SSSSS" section.
- The "SSSSS" image buttons under "SSSSS" section.
As a result, incorrect or unclear labels can mislead users of assistive technologies, possibly causing them to activate unintended functions.</t>
  </si>
  <si>
    <t>Missing alternative text for informative image</t>
  </si>
  <si>
    <t>There are informative images that do not have an alternative text. Examples include:
- The "SSSSS" images under "SSSSS" section.
- The "SSSSS" images under "SSSSS" section.
- The "SSSSS" images under "SSSSS" section.
As a result, screen reader users will miss out on important visual content conveyed by these images, affecting their understanding of the page.</t>
  </si>
  <si>
    <t>Provide appropriate and complete alternative text for the informative image. Ensure that the alternative is completely describing the purpose of the image.
For &lt;img&gt; elements, add "alt" attribute with the short description of the image.
For SVG images, apply the following changes:
• Add a short description of the image by using the &lt;title&gt; element.
• Define the &lt;title&gt; within the &lt;svg&gt; tag as the first child element.
• Specify “aria-labelledby” and role="img" attributes on the &lt;svg&gt; element and reference it via the “id” attribute of the &lt;title&gt; elements respectively.
• Alternatively, "aria-label" attribute can be used instead of "ara-labelledby" attribute.
For font icons (&lt;i&gt; or &lt;span&gt;):
• provide role="img" and description of the image by using "aria-label" attribute.</t>
  </si>
  <si>
    <t>Missing textual description for complex images</t>
  </si>
  <si>
    <t>There are complex images that do not have a sufficiently descriptive textual description. Examples include:
- The "SSSSS" images under "SSSSS" section.
- The "SSSSS" images under "SSSSS" section.
- The "SSSSS" images under "SSSSS" section.
As a result, users relying on assistive technologies will not receive enough information to interpret charts, graphs, or diagrams, impacting comprehension and decision-making.</t>
  </si>
  <si>
    <t>Ensure that complex images have both, a short description which gives a title to the image, as well as a long description which explains in detail all the essential information conveyed by the image. The long description can contain headings, paragraphs, and tables as per requirement.
For example,
In case of complex image defined using &lt;img&gt; tag, use a suitable method from the following:
1. Using text link for long description.
• Provide a short description for the image using the “alt” attribute.
• Provide a text link adjacent to the image that contains a complete and detailed text description of the image. The text link can refer to a separate web page or a section of the same web page.
• In addition to this, the image can be associated with the link by defining the image and link within a &lt;figure&gt; element with role="group". Define the the link text within the &lt;figcaption&gt; element.
2. Using "aria-describedby" association for long description
• Provide a short description for the image using the “alt” attribute.
• Use the "aria-describedby" attribute on the &lt;img&gt; element. Associate the existing description about the complex image present on the page by passing its "id" value in in the "aria-describedby" attribute.
In case of complex image defined using &lt;svg&gt;, apply the following changes:
• Provide a short description of the image by using the &lt;title&gt; element. 
• Provide a detailed description of the image by using the &lt;desc&gt; element.
• Define the &lt;title&gt; and &lt;desc&gt; within the &lt;svg&gt; tag as the first child elements.
• Specify “aria-labelledby” and “aria-describedby” attributes on the &lt;svg&gt; element and reference it via the “id” attributes of the &lt;title&gt; and &lt;desc&gt; elements respectively.
Note: Association using "aria-describedby" does not communicate the structural information to assistive technologies. The information is presented as a single string.</t>
  </si>
  <si>
    <t>Inappropriate alternative text for informative images</t>
  </si>
  <si>
    <t>There are informative images with an inappropriate alternative text. Examples include:
- The "SSSSS" images under "SSSSS" section.
- The "SSSSS" images under "SSSSS" section.
- The "SSSSS" images under "SSSSS" section.
As a result, misleading or vague alternative text can confuse users relying on screen readers, leading to misunderstandings about the image’s meaning.</t>
  </si>
  <si>
    <t>Provide appropriate and complete alternative text for the informative image. Ensure that the alternative is completely describing the purpose of the image.</t>
  </si>
  <si>
    <t>Unnecessary alternative text for decorative images</t>
  </si>
  <si>
    <t>There are decorative images that do not have an 'alt' attribute or have an unnecessary alternative text. Examples include:
- The "SSSSS" decorative images under "SSSSS" section.
- The "SSSSS" decorative images under "SSSSS" section.
- The "SSSSS" decorative images under "SSSSS" section.
As a result, these images may be read aloud by screen readers unnecessarily, adding noise and distraction, which hampers efficient navigation.</t>
  </si>
  <si>
    <t>Ensure that decorative images are hidden from screen readers. Apply the following changes:
• If image is coded with &lt;img&gt; element, make sure that the alt attribute is empty. For e.g., alt=""
• If images are coded with &lt;i&gt;, &lt;span&gt;, or &lt;svg&gt; elements, then aria-hidden="true" should be added to the source of these elements.</t>
  </si>
  <si>
    <t>Redundant image and textual link with redundant alt text</t>
  </si>
  <si>
    <t>There are image and text links with similar or inappropriate accessible names that point to the same destination and are coded with separate &lt;a&gt; elements. Examples include:
- The "SSSSS" links under "SSSSS" section.
- The "SSSSS" links under "SSSSS" section.
- The "SSSSS" links under "SSSSS" section.
As a result, redundant or inconsistent accessible names may confuse screen reader users or cause them to think the links serve different purposes, increasing cognitive load.</t>
  </si>
  <si>
    <t>Ensure that the image and text link that point to the same destination are combined into a single link as a link block.
Apply the following changes:
• Define the image and the link text within a single &lt;a&gt; element instead of separate &lt;a&gt; elements.
• Ideally alternate text must be provided to all image links using the "alt" attribute. In this instance, since the image and the textual link point to an identical destination page, use an empty ‘alt’ attribute. 
• Use CSS if necessary to maintain the presentation of the content.</t>
  </si>
  <si>
    <t>Missing alternatives for CAPTCHAs</t>
  </si>
  <si>
    <t>There are CAPTCHAs that do not have any alternative verification methods. Examples include:
- The "SSSSS" CAPTCHA under "SSSSS" section.
- The "SSSSS" CAPTCHA under "SSSSS" section.
- The "SSSSS" CAPTCHA under "SSSSS" section.
As a result, users with visual, cognitive, or motor disabilities may be unable to complete CAPTCHA challenges, preventing them from accessing content or submitting forms.</t>
  </si>
  <si>
    <t>Ensure that CAPTCHA implementations are accessible by providing alternative verification methods for users who may have difficulty with visual challenges. Consider offering audio CAPTCHAs or simpler question-based alternatives to accommodate diverse needs. Additionally, clearly label the CAPTCHA field and provide instructions to help users understand the verification process.</t>
  </si>
  <si>
    <t>Missing alternative for video-only content</t>
  </si>
  <si>
    <t>There are video-only or audio-only content that do not have a text transcript. Examples include:
- The "SSSSS" media under "SSSSS" section.
- The "SSSSS" media under "SSSSS" section.
- The "SSSSS" media under "SSSSS" section.
As a result, users who are deaf, hard of hearing, or blind will not have access to the media content.</t>
  </si>
  <si>
    <t>Provide information using one of the alternative methods given below:
1. Provide a text transcript for the video and ensure that the description is accurate. The text transcript can be displayed on a separate page and a link/button can be provided beside the video to help users access the transcript. This will ensure that the video content is accessible for visual impairment users and deaf-blind users. 
2. Include the information in the form of an audio track that can be added to the video. This will ensure that the video content is accessible to visual impairment users.
Note: We would recommend providing a text transcript for the video for the benefit of deaf-blind users.</t>
  </si>
  <si>
    <t>Visual Impairment, Hearing Impairment</t>
  </si>
  <si>
    <t>5.2.2</t>
  </si>
  <si>
    <t>9.1.2.1</t>
  </si>
  <si>
    <t>Missing captions for the video</t>
  </si>
  <si>
    <t>There are videos (which include audio) that do not have synchronized captions. Examples include:
- The "SSSSS" videos under "SSSSS" section.
- The "SSSSS" videos under "SSSSS" section.
- The "SSSSS" videos under "SSSSS" section.
As a result, deaf and hard-of-hearing users will miss important spoken information.</t>
  </si>
  <si>
    <t>Add synchronized captions for all videos whose audio content communicates information not included in the visual component.</t>
  </si>
  <si>
    <t>Hearing Impairment</t>
  </si>
  <si>
    <t>5.2.3</t>
  </si>
  <si>
    <t>9.1.2.2</t>
  </si>
  <si>
    <t>Missing text transcript for the video</t>
  </si>
  <si>
    <t>There are videos (which include audio) that do not have a text transcript. Examples include:
- The "SSSSS" videos under "SSSSS" section.
- The "SSSSS" videos under "SSSSS" section.
- The "SSSSS" videos under "SSSSS" section.
As a result, users who cannot access audio due to hearing disability or technical limitations may miss critical content.</t>
  </si>
  <si>
    <t>Provide text transcripts for the video and ensure that the description is accurate. The text transcript can be displayed on a separate page and a link/button can be provided beside the video to help users access the transcript.</t>
  </si>
  <si>
    <t>5.2.4</t>
  </si>
  <si>
    <t>9.1.2.3</t>
  </si>
  <si>
    <t>Missing captions for the live video</t>
  </si>
  <si>
    <t>There are live videos that do not have captions. Examples include:
- The "SSSSS" live streams under "SSSSS" section.
- The "SSSSS" live streams under "SSSSS" section.
- The "SSSSS" live streams under "SSSSS" section.
As a result, users who are deaf or hard of hearing are excluded from the live information being presented.</t>
  </si>
  <si>
    <t>Ensure captions are provided for all prerecorded audio content in synchronized media, except when the media is a media alternative for text and is clearly labeled as such.</t>
  </si>
  <si>
    <t>5.2.5</t>
  </si>
  <si>
    <t>9.1.2.4</t>
  </si>
  <si>
    <t>Missing audio description for the video</t>
  </si>
  <si>
    <t>There are videos that do not have an audio description. Examples include:
- The "SSSSS" videos under "SSSSS" section.
- The "SSSSS" videos under "SSSSS" section.
- The "SSSSS" videos under "SSSSS" section.
As a result, blind or visually impaired users will miss critical visual information that is not conveyed through the audio.</t>
  </si>
  <si>
    <t>Add audio descriptions in the videos wherever the visual content is conveyed to ensure that visual impairment and learning impairment users can listen to the audio description and understand the content.</t>
  </si>
  <si>
    <t>5.2.6</t>
  </si>
  <si>
    <t>9.1.2.5</t>
  </si>
  <si>
    <t>Heading mark-up used unnecessarily</t>
  </si>
  <si>
    <t>There is text that does not describe any contents below it that is marked up with a heading unnecessarily. Examples include:
- The "SSSSS" text headings under "SSSSS" section.
- The "SSSSS" text headings under "SSSSS" section.
- The "SSSSS" text headings under "SSSSS" section.
As a result, screen reader users may get confused or frustrated by the inappropriate use of headings.</t>
  </si>
  <si>
    <t>Remove the heading mark-up from the mentioned content and code it using the &lt;p&gt; element. If required, use CSS to maintain the presentation of the page.</t>
  </si>
  <si>
    <t>5.2.7</t>
  </si>
  <si>
    <t>9.1.3.1</t>
  </si>
  <si>
    <t>Inappropriate heading structure</t>
  </si>
  <si>
    <t>There are headings that cause inappropriate heading structure. Examples include:
- The "SSSSS" headings under "SSSSS" section.
- The "SSSSS" headings under "SSSSS" section.
- The "SSSSS" headings under "SSSSS" section.
As a result, users navigating via headings may experience a disjointed or confusing content hierarchy.</t>
  </si>
  <si>
    <t>Use heading levels as per specification such as &lt;h1&gt; should be followed by &lt;h2&gt;, &lt;h3&gt; and so on. It is recommended that the discussed issue be addressed as screen reader users rely on headings heavily to understand the page structure.</t>
  </si>
  <si>
    <t>Missing heading mark-up</t>
  </si>
  <si>
    <t>There are text contents that are missing heading markup. Examples include:
- The "SSSSS" text under "SSSSS" section.
- The "SSSSS" text under "SSSSS" section.
- The "SSSSS" text under "SSSSS" section.
As a result, screen reader users may not be able to efficiently navigate or understand the content structure.</t>
  </si>
  <si>
    <t>Mark-up the mentioned text using appropriate HTML headings. In addition, use heading levels as per specification such as &lt;h1&gt; should be followed by &lt;h2&gt;, &lt;h3&gt; and so on.</t>
  </si>
  <si>
    <t>Missing h1 heading mark-up</t>
  </si>
  <si>
    <t>The page lacks heading level 1 markup that describes the page.
As a result, users may not immediately understand the main purpose or topic of the page when using assistive technologies.</t>
  </si>
  <si>
    <t>Provide descriptive text using &lt;h1&gt; tag. Place this text off-screen using CSS such that it will hide the text visually but available for screen reader users.</t>
  </si>
  <si>
    <t>Multiple H1 headings defined</t>
  </si>
  <si>
    <t>There are multiple &lt;h1&gt; used on the page. Examples include:
- The "SSSSS" heading
- The "SSSSS" heading
- The "SSSSS" heading
As a result, this creates confusion for screen reader users who rely on heading structure to understand the organization of the content.</t>
  </si>
  <si>
    <t>It is recommended to use only one heading with level 1 on a page.
Apply the following changes:
• Keep the &lt;h1&gt; heading for only the heading that described the purpose of the page.
• Mark up the other headings using &lt;h2&gt;, &lt;h3&gt;, and so on elements.
• Use CSS to maintain the presentation of the page.</t>
  </si>
  <si>
    <t>Empty heading found in page source code</t>
  </si>
  <si>
    <t>There are empty headings present in the source code of the page. Examples include:
- An empty &lt;h2&gt; tag above the "SSSSS" sections.
- An empty &lt;h3&gt; tag above the "SSSSS" sections.
As a result, keyboard and screen reader users may be confused navigating via heading shortcuts, as these empty headings provide no meaningful information.</t>
  </si>
  <si>
    <t>Remove the empty heading elements from the source code of the page.</t>
  </si>
  <si>
    <t>Missing list mark-up</t>
  </si>
  <si>
    <t>There are contents that display related information that do not use appropriate list markup. Examples include:
- The text such as "SSSSSS", "SSSSSS", "SSSSSS" and so on under the "SSSSS" section.
- The text such as "SSSSSS", "SSSSSS", "SSSSSS" and so on under the "SSSSS" section.
- The text such as "SSSSSS", "SSSSSS", "SSSSSS" and so on under the "SSSSS" section.
As a result, screen reader users may not perceive related items as a group, reducing comprehension and making content harder to follow.</t>
  </si>
  <si>
    <t xml:space="preserve">Use appropriate list mark-up, such as &lt;ul&gt; and &lt;li&gt; or &lt;ol&gt; and &lt;li&gt; to identify related information. In addition, consider applying styles to maintain the visual presentation of a web page.
</t>
  </si>
  <si>
    <t>List mark-up used unnecessarily</t>
  </si>
  <si>
    <t>There are contents that do not display any related information but use list markup. Examples include:
- The "SSSSSS" text under the "SSSSS" section wrapped in a &lt;ul&gt; element.
- The "SSSSSS" text under the "SSSSS" section wrapped in a &lt;ul&gt; element.
- The "SSSSSS" text under the "SSSSS" section wrapped in a &lt;ul&gt; element.
As a result, screen reader users may be misled into expecting multiple list items, causing confusion about the content structure.</t>
  </si>
  <si>
    <t>Remove the list mark-up from the mentioned content and code it using &lt;p&gt; element. CSS can be used to maintain the presentation of the page if required.</t>
  </si>
  <si>
    <t>List mark-up used incorrectly</t>
  </si>
  <si>
    <t>There are &lt;li&gt; elements without a &lt;ul&gt; parent element. Examples include:
- &lt;li&gt; tags used in the "SSSSS" section without any enclosing list container.
As a result, assistive technology may produce confusing announcements due to broken semantic structure.</t>
  </si>
  <si>
    <t xml:space="preserve">Use appropriate list mark-up, such as &lt;ul&gt; and &lt;li&gt; to identify related information. In addition, if required apply styles to maintain the visual presentation of the web page. 
</t>
  </si>
  <si>
    <t xml:space="preserve">Quote not marked-up as a blockquote </t>
  </si>
  <si>
    <t>There are quotations that are not marked up programmatically using &lt;blockquote&gt; tag. Examples include:
- A "SSSSS" text in the "SSSSS" section
- A "SSSSS" text in the "SSSSS" section
- A "SSSSS" text in the "SSSSS" section.
As a result, screen reader users cannot recognize the text as a quotation, losing contextual understanding.</t>
  </si>
  <si>
    <t xml:space="preserve">All quotations must be marked up using the &lt;blockquote&gt; and &lt;cite&gt; element. </t>
  </si>
  <si>
    <t>Use of multiple &lt;header&gt; landmark tags</t>
  </si>
  <si>
    <t>There are multiple &lt;header&gt; landmarks used on the page.
As a result, screen reader users may be confused by duplicate landmark regions, reducing navigation efficiency.</t>
  </si>
  <si>
    <t>Remove the &lt;header&gt; element provided in the main content area.</t>
  </si>
  <si>
    <t>Decorative separator announced by screen reader</t>
  </si>
  <si>
    <t>There are separators used for decorative purposes but announced by screen readers. Examples include:
- The &lt;hr&gt; tag above the "SSSSS" heading
- The &lt;hr&gt; tag above the "SSSSS" heading
- The &lt;hr&gt; tag above the "SSSSS" heading
As a result, screen reader users may receive unnecessary announcements that disrupt the user experience.</t>
  </si>
  <si>
    <t>The horizontal bar should be defined using CSS instead of &lt;hr&gt; tag to ensure that it is not identified by a screen reader. Define a border via CSS class to include a horizontal line separator. 
Alternatively, if &lt;hr&gt; tag is used, specify role="presentation" to &lt;hr&gt; tag.</t>
  </si>
  <si>
    <t>Content defined outside landmark region</t>
  </si>
  <si>
    <t>There is content placed outside appropriate landmark regions. Examples include:
- The "SSSSS" content placed out side the &lt;main&gt; landmark
- The "SSSSS" content placed out side the &lt;header&gt; landmark
- The "SSSSS" content placed out side the &lt;footer&gt; landmark
As a result, screen reader users may miss critical content that is not within navigable landmarks.</t>
  </si>
  <si>
    <t>Ensure that all the contents are coded within the appropriate landmark. For example, header contents should be coded within &lt;header&gt;, main content should be coded within the &lt;main&gt; element and so on.</t>
  </si>
  <si>
    <t>Data table not programmatically defined</t>
  </si>
  <si>
    <t>There are tables that are not programmatically defined. Examples include:
- The table under the "SSSSS" section
- The table under the "SSSSS" section
- The table under the "SSSSS" section
As a result, screen reader users cannot understand or navigate the tabular relationship of content.</t>
  </si>
  <si>
    <t>Utilized table mark-up, such as &lt;table&gt;, &lt;tr&gt;, &lt;th&gt;, &lt;td&gt;,  and so on to present the content as a data table.</t>
  </si>
  <si>
    <t>Table headers not programmatically defined</t>
  </si>
  <si>
    <t>There are table headers that are not properly defined with the &lt;th&gt; element. Examples include:
- The "SSSSSS" table header
- The "SSSSSS" table header
- The "SSSSSS" table header
As a result, screen reader users have difficulty associating data cells with their headers, impacting comprehension.</t>
  </si>
  <si>
    <t>Use &lt;th&gt; tags to identify headers. Additionally, use scope="col" and scope="row" to defined the coloum and row headers respectively.</t>
  </si>
  <si>
    <t>Layout table announced for screen reader users</t>
  </si>
  <si>
    <t>There are layout tables that are unnecessarily announced to screen reader users. Examples include:
- The table under the "SSSSS" section
- The table under the "SSSSS" section
- The table under the "SSSSS" section
- The table under the "SSSSS" section
As a result, screen reader users experience extra noise, reducing clarity when navigating the page.</t>
  </si>
  <si>
    <t>Provide role="presentation" to the &lt;table&gt; tag of the layout table.</t>
  </si>
  <si>
    <t>Missing explicit association of form fields</t>
  </si>
  <si>
    <t>There are form fields that are missing explicit label associations. Examples include:
- The "SSSSS" label is not associated with its input field
- The "SSSSS" label is not associated with its input field
- The "SSSSS" label is not associated with its input field
As a result, screen reader users may not understand the purpose of the field, making form completion difficult or impossible.</t>
  </si>
  <si>
    <t>Use ‘for’ and ‘id’ attributes to associate labels with their respective form fields. Ensure that the value of ‘for’ attribute of the label exactly matches the value of ‘id’ attribute of the form field.</t>
  </si>
  <si>
    <t>Missing grouping of form controls</t>
  </si>
  <si>
    <t>There are form controls that are not properly grouped. Examples include:
- The "SSSSS" group under the "SSSSS" section is not marked up using &lt;fieldset&gt; and &lt;legend&gt;
- The "SSSSS" group under the "SSSSS" section is wrapped within &lt;fieldset&gt; element but lacks the &lt;legend&gt; element
As a result, screen reader users may not understand the relationship between grouped options, leading to incorrect selections.</t>
  </si>
  <si>
    <t>Include the group name within &lt;legend&gt; element. Use &lt;fieldset&gt;and &lt;legend&gt; elements to group the instruction and radio buttons. Make sure that &lt;legend&gt; element is the first child element of the &lt;fieldset&gt; element.</t>
  </si>
  <si>
    <t>Additional information not associated</t>
  </si>
  <si>
    <t>There are additional information that are not associated with the respective elements. Examples include:
- Instructional text for the "SSSSS" input field under the "SSSSS" section is not associated with the "SSSSS" input field.
- Additional information such as "SSSSS", "SSSSS", and so on are no associated with the "SSSSS" link
- Additional information such as "SSSSS", "SSSSS", and so on are no associated with the "SSSSS" button
As a result, users relying on assistive technologies may miss key instructions, leading to errors while completing the form.</t>
  </si>
  <si>
    <t>Apply the following changes:
• Add "aria-describedby" attribute to the form field.
• Reference the "id" value of the element used to display the instruction text in the "aria-describedby" attribute.</t>
  </si>
  <si>
    <t>5.3.7</t>
  </si>
  <si>
    <t>Inaccurate reading order</t>
  </si>
  <si>
    <t>There is page content that does not follow a logical reading order. The following is the incorrect reading order:
1. The "SSSSS" text under the "SSSSS" heading
2. The "SSSSS" text under the "SSSSS" heading
3. The "SSSSS" text under the "SSSSS" heading
4. The "SSSSS" text under the "SSSSS" heading
As a result, screen reader users may experience disorientation or misinterpret the page structure.</t>
  </si>
  <si>
    <t>Place the content of webpages in correct meaningful sequence in the source code. Move the content in the page source in the below mentioned order. CSS can be used to maintain the presentation of the page.
Expected reading order:
1. The "SSSSS" text under the "SSSSS" heading
2. The "SSSSS" text under the "SSSSS" heading
3. The "SSSSS" text under the "SSSSS" heading
4. The "SSSSS" text under the "SSSSS" heading</t>
  </si>
  <si>
    <t>5.2.8</t>
  </si>
  <si>
    <t>9.1.3.2</t>
  </si>
  <si>
    <t>Unnecessary use of sensory characteristics</t>
  </si>
  <si>
    <t>There is content that relies solely on sensory characteristics to convey meaning. Examples include:
- The instruction "Click the red SSSSS" present in the SSSSS section relies only on color to convey meaning.
As a result, blind or colorblind users may not perceive the intended instruction, causing functional barriers.</t>
  </si>
  <si>
    <t>Ensure instructions provided for understanding and operating content do not rely solely on sensory characteristics of components such as shape, color, size, visual location, orientation, or sound.</t>
  </si>
  <si>
    <t>Color Blindness, Visual Impairment,
Hearing Impariment</t>
  </si>
  <si>
    <t>5.2.9</t>
  </si>
  <si>
    <t>9.1.3.3</t>
  </si>
  <si>
    <t>Content not available in portrait mode</t>
  </si>
  <si>
    <t>There is content that is not available or displayed correctly in portrait and/or landscape mode. Examples include:
- The "SSSSS" component present in the SSSSS section gets cut off or misaligned when switching to landscape view.
As a result, users with mobility or visual needs who depend on specific orientations may lose access to key content.</t>
  </si>
  <si>
    <t>Use CSS media queries to ensure that all the page content is available in both landscape and portrait orientation. Use media query "@media screen and (orientation: portrait)" to define how the mentioned table will be displayed in both the orientations.</t>
  </si>
  <si>
    <t>Motor Impairment</t>
  </si>
  <si>
    <t>5.2.10</t>
  </si>
  <si>
    <t>9.1.3.4</t>
  </si>
  <si>
    <t>Purpose of input field not identified programmatically</t>
  </si>
  <si>
    <t>There are common input fields with inappropriate autocomplete values or missing autocomplete attributes. Examples include:
- The "SSSSS" input field present in the SSSSS section lacks appropriate autocomplete value such as autocomplete="email".
As a result, users with motor impairments or cognitive limitations may face difficulties filling out forms efficiently.</t>
  </si>
  <si>
    <t xml:space="preserve">Use HTML 5.2 autocomplete attribute to add token values for common input fields. This will improve the browser's auto fill feature as well as can be used by plug-ins to fill in the details for users with mobility and cognitive impairments. 
For more information on how to implement this, refer:
https://www.w3.org/WAI/WCAG21/Techniques/html/H98
</t>
  </si>
  <si>
    <t>Motor Impairment,
Cognitive Impariment</t>
  </si>
  <si>
    <t>5.2.11</t>
  </si>
  <si>
    <t>9.1.3.5</t>
  </si>
  <si>
    <t>Color alone used to convey selected state</t>
  </si>
  <si>
    <t>There are instances where only color is used to indicate the selected state. Examples include:
- The "SSSSS" tab in the SSSSS section uses blue color to indicate the selected state while others are gray, without additional cues.
As a result, users with color blindness or low vision may not be able to identify the selected option.</t>
  </si>
  <si>
    <t xml:space="preserve">In the mentioned example along with color, use additional visual cues such as underline, bold, patterns, and so on to convey the selected state information. </t>
  </si>
  <si>
    <t>Color Blindness</t>
  </si>
  <si>
    <t xml:space="preserve">A </t>
  </si>
  <si>
    <t>5.2.12</t>
  </si>
  <si>
    <t>9.1.4.1</t>
  </si>
  <si>
    <t>Color alone used to distinguish links</t>
  </si>
  <si>
    <t>There are links that rely solely on color for differentiation. Examples include:
- The "SSSSS" link present in the SSSSS section is only differentiated by color and lacks underline or font weight styling.
As a result, users with color vision deficiencies or screen readers may not recognize the presence of links.</t>
  </si>
  <si>
    <t>To make it easy for all users to recognize links the best practice is to persistently underline them or provide any other visual cue such as formatting the text as bold or italic. If the above solution is not feasible, change the color of links so that they have a contrast ratio of at least 3:1 with the surrounding text. Moreover, it is best practice to ensure that the underline appears not only when the mouse is hovered over the links but also when the links receive the keyboard focus.</t>
  </si>
  <si>
    <t>Color alone used to distinguish links when contrast requirement is met and no visual cue on hover</t>
  </si>
  <si>
    <t>There are links that do not have any visual cue on hover state and use color alone to distinguish them from the surrounding text. Examples include:
- The "SSSSS" link present in the SSSSS section only changes color on hover without any underline or bold style.
As a result,  users with color vision deficiencies may miss clickable elements and navigation paths.</t>
  </si>
  <si>
    <t>To make it easy for all users to recognize links the best practice is to persistently underline them. If the above solution is not feasible, ensure that the underline appears when the mouse hovers over the links and when the links receive the keyboard focus.</t>
  </si>
  <si>
    <t>No mechanism to control the auto playing audio/video</t>
  </si>
  <si>
    <t>There is audio/video content that plays automatically for more than 3 seconds and does not have any mechanism to pause, stop, or hide it. Examples include:
- The "SSSSS" video present in the SSSSS section plays automatically and lacks controls to stop or pause it.
As a result, screen reader users and people with cognitive disabilities may experience distraction and difficulty focusing.</t>
  </si>
  <si>
    <t>If any audio on a Web page plays automatically for more than 3 seconds, either a mechanism is available to pause or stop the audio, or a mechanism is available to control audio volume independently from the overall system volume level.</t>
  </si>
  <si>
    <t>Cognitive Disability, Visual Impairment</t>
  </si>
  <si>
    <t>5.2.13</t>
  </si>
  <si>
    <t>9.1.4.2</t>
  </si>
  <si>
    <t>Insufficient color contrast for text</t>
  </si>
  <si>
    <t>There is text with insufficient color contrast. Examples include:
- "SSSSS" present in the SSSSS section has #SSSSSS as foreground and #SSSSSS as background with a contrast ratio of 3.5:1.
As a result, users with low vision may find the text hard to read or completely illegible.</t>
  </si>
  <si>
    <t>On all pages, ensure that each foreground/background color combination presents a contrast ratio of at least 4.5:1 for standard text.</t>
  </si>
  <si>
    <t>Low Vision</t>
  </si>
  <si>
    <t>5.2.14</t>
  </si>
  <si>
    <t>9.1.4.3</t>
  </si>
  <si>
    <t>Content not available, overlaps, or cut off on 200% zoom</t>
  </si>
  <si>
    <t>There is content that is cut off, overlaps, or not available at 1280x1024 with 200% browser zoom. Examples include:
- The "SSSSS" component in the SSSSS section overlaps with other content or disappears at 200% zoom.
As a result, low-vision users who zoom in may miss out on critical content or functionality.</t>
  </si>
  <si>
    <t>Ensure that the page content is displayed using relative units for text and container so that users can access the page with zoom settings turned on. At the minimum, the page layouts should support up to 200% zoom.</t>
  </si>
  <si>
    <t>5.2.15</t>
  </si>
  <si>
    <t>9.1.4.4</t>
  </si>
  <si>
    <t>Image of text used</t>
  </si>
  <si>
    <t>There are instances where images of text are used instead of actual text. Examples include:
- The "SSSSS" heading present in the SSSSS section is displayed as an image rather than actual text.
As a result, screen reader users cannot access the information and low-vision users cannot resize or adjust the text properly.</t>
  </si>
  <si>
    <t>Avoid using images of text (except for logo types, maps, diagrams etc.). This ensures that the text is not pixilated when zoomed in. 
Thus, it is recommended to specify textual information as plain text and CSS styling can be used for formatting effects wherever needed.
For more information, refer https://www.w3.org/WAI/tutorials/images/textual/</t>
  </si>
  <si>
    <t>Low Vision, Learning Disability</t>
  </si>
  <si>
    <t>5.2.16</t>
  </si>
  <si>
    <t>9.1.4.5</t>
  </si>
  <si>
    <t>Content fails to reflow</t>
  </si>
  <si>
    <t>There is content that is cut off, overlaps, or not available when page has viewport width of 320x256 CSS pixels. Examples include:
- The "SSSSS" content present in the SSSSS section becomes inaccessible or hidden in small screen resolution.
As a result, mobile users, especially those with vision impairments, may not be able to access essential content.</t>
  </si>
  <si>
    <t>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t>
  </si>
  <si>
    <t>5.2.17</t>
  </si>
  <si>
    <t>9.1.4.10</t>
  </si>
  <si>
    <t>Insufficient color contrast for informative image</t>
  </si>
  <si>
    <t>There are informative images with insufficient color contrast. Examples include:
- The "SSSSS" image present in the SSSSS section has #SSSSSS as foreground and #SSSSSS as background with contrast ratio of 2.5:1.
As a result, users with visual impairments may not be able to understand key image-based information.</t>
  </si>
  <si>
    <t>For the key parts of all the informative images, ensure that the contrast between foreground, background or adjacent colors is 3:1 to make the image's information accessible for low vision and color-blind users.</t>
  </si>
  <si>
    <t>5.2.18</t>
  </si>
  <si>
    <t>9.1.4.11</t>
  </si>
  <si>
    <t xml:space="preserve">Insufficient color contrast for the borders of form controls </t>
  </si>
  <si>
    <t>There are form controls with borders that lack sufficient contrast. Examples include:
- The border of "SSSSS" input field present in the SSSSS section has #SSSSSS as foreground and #SSSSSS as background with contrast ratio of 2.5:1.
As a result, low-vision users may struggle to locate the input field.</t>
  </si>
  <si>
    <t>Ensure that the color contrast for the foreground color of the borders of all form fields is 3:1 with the background color.</t>
  </si>
  <si>
    <t>Insufficient color contrast for focus indicators</t>
  </si>
  <si>
    <t>There are focus indicators that do not meet the required contrast ratio. Examples include:
- The focus indicator of "SSSSS" input field present in the SSSSS section has #SSSSSS as foreground and #SSSSSS as background with contrast ratio of 2.5:1.
As a result, keyboard-only users may not be able to identify where their focus is on the page.</t>
  </si>
  <si>
    <t>Ensure that the color contrast of focus indicator for all user interface controls is 3:1 with the foreground and background color.</t>
  </si>
  <si>
    <t>Insufficient color contrast of user interface controls</t>
  </si>
  <si>
    <t>There are user interface controls that do not meet the required contrast ratio. Examples include:
- "SSSSS" control present in the SSSSS section has #SSSSSS as foreground and #SSSSSS as background with a contrast ratio of 2.5:1.
As a result, users with low vision may not perceive the control clearly, making it hard to interact with.</t>
  </si>
  <si>
    <t>Ensure that the color contrast for the foreground border color of user interface controls is 3:1 with the background color.</t>
  </si>
  <si>
    <t>Text gets cut off, disappears, or overlaps when text spacing styles are applied</t>
  </si>
  <si>
    <t>There is text that gets cut off, disappears, or overlaps when text spacing styles are applied. Examples include:
- The "SSSSS" paragraph in the SSSSS section overlaps with adjacent content when line height or letter spacing is increased.
As a result, users who adjust text spacing for better readability may face difficulty reading the content.</t>
  </si>
  <si>
    <t>Define the text and container sizes using percent (%), em and rem units. In addition, use relative units for defining CSS line-height, letter-spacing and so on properties and ensure that user's text spacing styles are not overridden.</t>
  </si>
  <si>
    <t>Learning Disability</t>
  </si>
  <si>
    <t>5.2.19</t>
  </si>
  <si>
    <t>9.1.4.12</t>
  </si>
  <si>
    <t>Text spacing styles cannot be applied</t>
  </si>
  <si>
    <t>There are instances where text spacing styles cannot be applied. Examples include:
- The "SSSSS" text present in the SSSSS section is in a fixed container that does not adapt to modified line or word spacing.
As a result, users with dyslexia or low vision may struggle to read such content due to lack of adaptability.</t>
  </si>
  <si>
    <t>Additional content available on hover or focus not hoverable</t>
  </si>
  <si>
    <t>There is additional content available on hover or focus that is not hoverable. Examples include:
- The "SSSSS" tooltip in the SSSSS section disappears when trying to move the mouse towards it.
As a result, users may not be able to access the full content if it vanishes during interaction.</t>
  </si>
  <si>
    <t>Modify the scripts associated with the additional content to ensure that it remains visible when the mouse pointer is hovered over the content.</t>
  </si>
  <si>
    <t>Motor Impairment, Low Vision</t>
  </si>
  <si>
    <t>5.2.20</t>
  </si>
  <si>
    <t>9.1.4.13</t>
  </si>
  <si>
    <t>Additional content available on hover or focus not persistent</t>
  </si>
  <si>
    <t>There is additional content available on hover or focus that is not persistent. Examples include:
- The "SSSSS" helper text in the SSSSS section only appears momentarily and does not remain visible during focus or hover.
As a result, users may miss important guidance or information that disappears too quickly.</t>
  </si>
  <si>
    <t>Modify the scripts associated with the additional content to ensure that it remains persistently visible until user decides to dismiss the additional content.</t>
  </si>
  <si>
    <t>Low vision, Motor Impairment</t>
  </si>
  <si>
    <t>Additional content available on hover or focus not dismissible</t>
  </si>
  <si>
    <t>There is additional content available on hover or focus that is not dismissible. Examples include:
- The "SSSSS" dialog in the SSSSS section appears on focus but cannot be closed using Escape or other methods.
As a result, users who rely on screen magnifiers or keyboard navigation may find it difficult to access other parts of the page if the hover content obscures surrounding elements and cannot be dismissed without a mouse.</t>
  </si>
  <si>
    <t>Provide a mechanism to dismiss the additional content on pressing an Esc key.</t>
  </si>
  <si>
    <t>Menu not operable with a keyboard</t>
  </si>
  <si>
    <t>There are menus that are not focusable or operable with a keyboard. Examples include:
- The "SSSSS" navigation menu in the SSSSS section
- The "SSSSS" navigation menu in the SSSSS section
- The "SSSSS" navigation menu in the SSSSS section
As a result, keyboard-only users cannot navigate through the menu items, affecting usability.</t>
  </si>
  <si>
    <t>Apply the following changes:
• Modify the scripts associated with menu button to ensure that the sub-menu links are expanded/collapsed below when user activates menu button using Enter or Space key and the sub-menu links are reachable for keyboard-only and screen reader users.
• Ensure that 'aria-expanded' attribute is set to 'true' in the source code of the menu button when user activates the button via scripting. The value of 'aria-expanded' attribute must be updated as per user interaction to 'false' in collapsed state and 'true' in expanded state.
Alternatively, implement the menu functionality by using appropriate ARIA roles, states and properties. Working examples and information on implementing accessible ARIA menus can be found at https://www.w3.org/WAI/ARIA/apg/example-index/menubar/menubar-navigation.html</t>
  </si>
  <si>
    <t>Motor Impairment, Visual Impairment</t>
  </si>
  <si>
    <t>5.2.21</t>
  </si>
  <si>
    <t>9.2.1.1</t>
  </si>
  <si>
    <t>Custom checkboxes not operable with a keyboard</t>
  </si>
  <si>
    <t>There are custom checkboxes that are not focusable or operable with a keyboard. Examples include:
- The "SSSSS" checkbox in the SSSSS section
- The "SSSSS" checkbox in the SSSSS section
- The "SSSSS" checkbox in the SSSSS section
As a result, keyboard users cannot select or deselect options, preventing interaction.</t>
  </si>
  <si>
    <t>Replace the custom checkbox with the standard checkbox by using the &lt;input type="checkbox"&gt; element.
Alternatively, use appropriate ARIA roles and attributes to code the custom checkbox. Additionally, modify the scripts to ensure it's operable with the keyboard.
A working example of custom checkbox can be found at:
https://www.w3.org/WAI/ARIA/apg/example-index/checkbox/checkbox.html</t>
  </si>
  <si>
    <t>Custom drop-down not operable with a keyboard</t>
  </si>
  <si>
    <t>There are custom drop-downs that are not focusable or operable with a keyboard. Examples include:
- The "SSSSS" drop-down present in the SSSSS section
- The "SSSSS" drop-down present in the SSSSS section
- The "SSSSS" drop-down present in the SSSSS section
As a result, users relying on keyboards are unable to select options from the drop-down.</t>
  </si>
  <si>
    <t>Replace the custom dropdown with the standard dropdown using &lt;select&gt; and &lt;option&gt; elements.</t>
  </si>
  <si>
    <t>Custom radio buttons not operable with a keyboard</t>
  </si>
  <si>
    <t>There are custom radio buttons that are not focusable or operable with a keyboard. Examples include:
- The "SSSSS" radio button group in the SSSSS section
- The "SSSSS" radio button group in the SSSSS section
- The "SSSSS" radio button group in the SSSSS section
As a result, keyboard users cannot make selections, blocking form submission.</t>
  </si>
  <si>
    <t>Replace the custom radio button with the standard radio button by using the &lt;input type="radio"&gt; element.
Alternatively, use appropriate ARIA roles and attributes to code the custom radio buttons. Additionally, modify the scripts to ensure it's operable with the keyboard.
A working example of custom radio button can be found at:
https://www.w3.org/WAI/ARIA/apg/example-index/radio/radio.html</t>
  </si>
  <si>
    <t>Tabs not operable with a keyboard</t>
  </si>
  <si>
    <t>There are tabs that are not operable with a keyboard. Examples include:
- The "SSSSS" tab interface in the SSSSS section does not allow switching between tabs using arrow keys.
As a result, keyboard-only users cannot access all tabbed content.</t>
  </si>
  <si>
    <t>Implement the tabs functionality by using appropriate WAI-ARIA roles, states and properties.
Modify the scripts of the tabs to ensure that the tabs are accessible for all users.
A working example of accessible tab functionality can be found at https://www.w3.org/WAI/ARIA/apg/example-index/tabs/tabs-manual.html</t>
  </si>
  <si>
    <t>Tooltip content not accessible with a keyboard</t>
  </si>
  <si>
    <t>There are tooltips that are not accessible with a keyboard. Examples include:
- The "SSSSS" tooltip in the SSSSS section only appears on mouse hover and is not available on keyboard focus.
As a result, users navigating via keyboard miss important contextual information.</t>
  </si>
  <si>
    <t>Apply the following changes:
• Modify scripts to make the tooltip information available on hover as well as on focus. In addition along with mouse specific event handlers, use keyboard specific event handlers, such as "onfocus", "onblur"and so on to make the functionality accessible for keyboard-only users.
• Specify the ARIA role "tooltip" for the information displayed on hover. Specify an unique "id" attribute for the tooltip and reference it via the "aria-describedby" attribute of the mentioned button.</t>
  </si>
  <si>
    <t>Date selector control not operable with a keyboard</t>
  </si>
  <si>
    <t>There are date selector controls that are not operable with a keyboard. Examples include:
- The "SSSSS" date picker in the SSSSS section does not allow navigation or selection using keyboard keys.
As a result, users may be unable to enter dates without using a mouse.</t>
  </si>
  <si>
    <t xml:space="preserve">Apply the following changes:
• Code the date selector control using &lt;button&gt; tag.
• Provide accessible names to the date selector control via inner text of the &lt;button&gt; tag.
• Ensure that the calendar for selecting the date is coded as dialog using appropriate ARIA roles, state and attributes.
Alternatively, Apply the following changes:
• Provide date input field to allow a user to enter a date manually using the keyboard along with the date selector widget.
• To help screen reader users submit the form successfully, include the instruction about date format within the &lt;label&gt; tag of the date input field. 
• If hidden instruction is provided, provide unique ID attribute for the instruction text and reference it to the 'aria-describedby' attribute provide to the &lt;input&gt; tag.
A working example of accessible date selector widget can be found at below links:
• https://www.w3.org/WAI/ARIA/apg/example-index/dialog-modal/datepicker-dialog
• https://www.w3.org/WAI/ARIA/apg/example-index/combobox/combobox-datepicker.html
</t>
  </si>
  <si>
    <t>Expand/collapse functionality not operable with a keyboard</t>
  </si>
  <si>
    <t>There are expandable elements that cannot be expanded or collapsed and/or are not focusable using the keyboard alone. Examples include:
- The "SSSSS" button in the SSSSS section
- The "SSSSS" button in the SSSSS section
- The "SSSSS" button in the SSSSS section
As a result, keyboard users are blocked from accessing or hiding content.</t>
  </si>
  <si>
    <t xml:space="preserve">Apply the following changes:
• Code the mentioned interactive elements using &lt;button&gt; tag. 
• Set the “aria-expanded” attribute to “false” for the button when the button is in the collapsed state.
• Ensure that the value of the “aria-expanded” attribute changes on user interaction via scripting.
</t>
  </si>
  <si>
    <t>Visual Impairment, Motor Impairment</t>
  </si>
  <si>
    <t>Buttons not operable with a keyboard</t>
  </si>
  <si>
    <t>There are elements that are not focusable or operable with the keyboard alone. Examples include:
- The "SSSSS" button in the SSSSS section
- The "SSSSS" button in the SSSSS section
- The "SSSSS" button in the SSSSS section
As a result, keyboard users are blocked from accessing the content.</t>
  </si>
  <si>
    <t>Ensure all interactive element elements are focusable and operable with the keyboard alone. To resolve this, use native &lt;button&gt; element, since it has the keyboard operability by default.</t>
  </si>
  <si>
    <t>Links not operable with a keyboard</t>
  </si>
  <si>
    <t>There are links that are not focusable or operable with a keyboard. Examples include:
- The "SSSSS" link in the SSSSS section
- The "SSSSS" link in the SSSSS section
- The "SSSSS" link in the SSSSS section
As a result, users who rely on keyboard navigation cannot access linked content.</t>
  </si>
  <si>
    <t>Code the mentioned link using &lt;a&gt; tag and include the href attribute.
A working example of accessible link can be found at
https://www.w3.org/WAI/ARIA/apg/patterns/link/</t>
  </si>
  <si>
    <t>Bookmark links do not work</t>
  </si>
  <si>
    <t>There are bookmark links that do not work. Examples include:
- The "SSSSS" in-page link in the SSSSS section does not navigate to the correct anchor.
As a result, screen reader and keyboard users may not be able to jump to important sections.</t>
  </si>
  <si>
    <t>Apply the following changes:
• Provide unique "id" aatribute to the target container.
• Ensure that the href attribute of &lt;a&gt; tag is properly referenced to target container.</t>
  </si>
  <si>
    <t>Drag and drop functionality is inaccessible for keyboard-only and screen reader users</t>
  </si>
  <si>
    <t>There is drag-and-drop functionality that is inaccessible for keyboard-only and screen reader users. Examples include:
- The "SSSSS" draggable item in the SSSSS section requires mouse-only interaction.
As a result, users who rely on keyboards or assistive technologies cannot perform drag-and-drop actions.</t>
  </si>
  <si>
    <t>Apply the following changes:
• Code the dragable elements (answers) using native HTML &lt;button&gt; element. Alternatively, specify role="button" for &lt;div&gt; element in which the answers are structured along with tabindex value of ‘0’ and required scripts for making it keyboard operable as well as mouse.
• Provide an off-screen text as "selected" as soon as any draggable element is selected to convey it's state. This should be handled via scripting when an element is selected or deselected.
To place the text off-screen:
.off-screen
{clip: rect(1px, 1px, 1px, 1px);
clip-path: inset(50%);
height: 1px;
width: 1px;
margin: -1px;
overflow: hidden;
padding: 0;
position: absolute;}
• As soon as any answer is selected, the focus should be shifted on the droppable area using JavaScript .focus(). For keyboard only users, the focus will be set to the first droppable area. The droppable &lt;div&gt; areas will also require tabindex=”0” value as soon as the draggable element is selected.
• Specify role="region" to container which consists of droppable area. Also, provide a visual text to identify the droppable block. For example, "Drop - Answer for Question 1 here".
• Provide keyboard mechanism as below for the functionality:
 o An Escape key mechanism for users to cancel the entire functionality.
 o An Enter key to drop an answer in the respective droppable area.
• Once, the draggable element is placed in the respective droppable areas, provide a visual feedback to the users. Make this alert available for the screen reader users by structuring the message within a &lt;div&gt; element and providing a role of alert to the div as soon as the message is displayed. Use ARIA live region properties to make the feedback available to screen reader users and set the politeness level to "assertive".
• When the action is completed or aborted, clean-up the interface by loading the default values and making the droppable area non-interactive. Also, move the focus to the first draggable element using javascript .focus() method, where the user can start again.
• Provide visual instructions on how to access the functionality.</t>
  </si>
  <si>
    <t>Slider not keyboard operable</t>
  </si>
  <si>
    <t>There are sliders that are not operable with a keyboard. Examples include:
- The "SSSSS" slider control in the SSSSS section does not respond to arrow keys or other keyboard input.
As a result, users are unable to change values using a keyboard.</t>
  </si>
  <si>
    <t>Apply the following changes:
• Implement the sliders using native HTML `&lt;input type="range"&gt;` element.
• Provide appropriate attributes such as min and max to define the minimum and maximum range of slider.
For more information visit https://developer.mozilla.org/en-US/docs/Web/HTML/Element/input/range
Alternatively, implement the sliders using appropriate ARIA roles, states and properties
• Provide tabindex=”0” to make it focusable for keyboard-only and screen reader users.
• Modify the scripts to make the slider keyboard operable.
For more information visit https://www.w3.org/WAI/ARIA/apg/patterns/slider/</t>
  </si>
  <si>
    <t>Keyboard focus traps</t>
  </si>
  <si>
    <t>There are keyboard focus traps that prevent users from navigating through the rest of the content. Examples include:
- After interacting with the "SSSSS" modal in the SSSSS section, the focus cannot be moved to elements outside the modal.
As a result, keyboard users may get stuck and cannot continue navigating the page.</t>
  </si>
  <si>
    <t>Ensure that the keyboard focus does not get trapped on any component and users can navigate the page content with ease in all the browsers. Modify the scripts associated with the dropdown list to ensure that keyboard trap can be avoided.</t>
  </si>
  <si>
    <t>5.2.22</t>
  </si>
  <si>
    <t>9.2.1.2</t>
  </si>
  <si>
    <t>Missing instruction for character key shortcuts</t>
  </si>
  <si>
    <t>There are missing instructions for character key shortcuts, impacting users who rely on screen readers or speech input devices. Examples include:
- The "SSSSS" shortcut functionality in the SSSSS section triggers actions without any documentation or tooltip.
As a result, users may activate shortcuts unknowingly or fail to discover them, affecting usability.</t>
  </si>
  <si>
    <t>Apply the following chnages:
• For the benefit of speech input users, it is recommended to provide an option to disable or remap the character key shortcuts at the beginning of the page. 
•  For the benefit of screen reader users, help section must be added that will include the details on how screen reader users can access the shortcuts.
For example, 
• NVDA users can press "NVDA Modifier Key + Space" to turn on Focus Mode. In Focus Mode, users can press the shortcuts and access the functionality. 
• JAWS users can press "JAWS Modifier Key + Z" to turn off Virtual PC cursor. Once the Virtual PC cursor is turned off then users can press the shortcuts to access the functionality.</t>
  </si>
  <si>
    <t>5.2.23</t>
  </si>
  <si>
    <t>9.2.1.4</t>
  </si>
  <si>
    <t>Character key shortcuts cannot be switched off or customized</t>
  </si>
  <si>
    <t>There are character key shortcuts that cannot be switched off or customized, leading to accidental activation. Examples include:
- The "SSSSS" shortcut in the SSSSS section triggers action without option to disable or remap.
As a result, users may experience unintended actions, leading to confusion or disruption.</t>
  </si>
  <si>
    <t>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include one or more non-printable keyboard keys (e.g., Ctrl, Alt);
Active only on focus:
The keyboard shortcut for a user interface component is only active when that component has focus.</t>
  </si>
  <si>
    <t>User’s session expires automatically</t>
  </si>
  <si>
    <t>User sessions expire automatically, which can disrupt the user experience, especially for users who need more time. Examples include:
- Session timeout on the "SSSSS" page in the SSSSS section after a fixed period with no extension option.
As a result, users with cognitive or physical disabilities may lose their progress or be forced to restart tasks.</t>
  </si>
  <si>
    <t xml:space="preserve">We recommend that one of the following techniques be adopted:
1. Turn off time limit – provide a mechanism, e.g. a button, to allow the user to turn off the time limit before encountering it (place the mechanism at the top of the page).
2. Adjust time limit – provide the ability to adjust the set time limit. Allow the user to set the time limit to at least ten times the length of the default setting. 
3. Extend time limit – allow the user to extend their session before the time expires. Warn the user before the time expires and allow the user to simply extend the time (for example, by activating a link or button). Allow the user to extend the time limit at least ten times.
</t>
  </si>
  <si>
    <t>Cognitive Disability, Motor Impairment</t>
  </si>
  <si>
    <t>5.2.24</t>
  </si>
  <si>
    <t>9.2.2.1</t>
  </si>
  <si>
    <t>No means to control slideshow content</t>
  </si>
  <si>
    <t>There is no means to control slideshow content, making it difficult for users who need to pause or stop it. Examples include:
- The slideshow in the SSSSS section auto-advances without pause, stop, or manual navigation controls.
As a result, users with cognitive or vestibular disorders may be distracted or disoriented.</t>
  </si>
  <si>
    <t>Provide users with an option to control the slideshow through start, stop and pause buttons or links. Also inform screen reader users in the form of instruction about the presence of slideshow in advance to help them access the web page with ease.</t>
  </si>
  <si>
    <t>5.2.25</t>
  </si>
  <si>
    <t>9.2.2.2</t>
  </si>
  <si>
    <t>No means to control moving, blinking, or scrolling content</t>
  </si>
  <si>
    <t>There is no means to control moving, blinking, or scrolling content, which can be distracting or disorienting for users. Examples include:
- The "SSSSS" marquee in the SSSSS section moves continuously without pause or stop controls.
As a result, users with attention or sensory processing issues may find this content difficult to use.</t>
  </si>
  <si>
    <t>Provide users with an option to control the moving content through stop/pause and play buttons. Alternatively, ensure the movement stops automatically after five seconds.</t>
  </si>
  <si>
    <t>Cognitive Disability</t>
  </si>
  <si>
    <t>Flickering content used</t>
  </si>
  <si>
    <t>There are images that are missing alternative text. Examples include:  
- The ""SSSSS"" image on the ""SSSSS"" page has no `alt` attribute or equivalent description.
As a result, screen reader users cannot understand the purpose or content of the image, making the page less accessible.</t>
  </si>
  <si>
    <t>Ensure web pages do not contain anything that flashes more than three times in any one second period, or the flash is below the general flash and red flash thresholds.</t>
  </si>
  <si>
    <t>Neurological Disability</t>
  </si>
  <si>
    <t>5.2.26</t>
  </si>
  <si>
    <t>9.2.3.1</t>
  </si>
  <si>
    <t>Missing Skip to content link</t>
  </si>
  <si>
    <t>There is a missing "Skip to main content" link, making it difficult for sighted keyboard-only users to navigate directly to the main content. Examples include:
- No skip link found on the "SSSSS" page in the SSSSS section.
As a result, keyboard users must tab through all navigation before reaching main content, slowing navigation.</t>
  </si>
  <si>
    <t>Even though headings are defined on the page and this is sufficient to meet this success criteria, however, in order to assist sighted keyboard-only users, it is recommended that a “Skip to main content” link be provided. This link can be always visible, or it can be positioned off-screen and be displayed when it receives keyboard focus.</t>
  </si>
  <si>
    <t>5.2.27</t>
  </si>
  <si>
    <t>9.2.4.1</t>
  </si>
  <si>
    <t>Landmarks not defined</t>
  </si>
  <si>
    <t>There are missing landmarks, making it difficult for screen reader users to navigate the page efficiently. Examples include:
- No landmark roles like &lt;main&gt; or &lt;navigation&gt; found on the "SSSSS" page in the SSSSS section.
As a result, screen reader users cannot quickly jump to relevant sections.</t>
  </si>
  <si>
    <t>Apply the following changes:
• Provide header, main and footer landmark regions for the respective sections of the page.
• Provide navigation landmark region with appropriate accessible label as well.</t>
  </si>
  <si>
    <t>Inaccurate page title</t>
  </si>
  <si>
    <t>There are inaccurate page titles, making it difficult for users to understand the page’s content from the title alone. Examples include:
- The page title "SSSSS" on the "SSSSS" page does not reflect the actual content.
As a result, users may become confused or misled about page purpose.</t>
  </si>
  <si>
    <t>Provide meaningful and unique title for the webpage within the &lt;title&gt; tag in the page source.</t>
  </si>
  <si>
    <t>5.2.28</t>
  </si>
  <si>
    <t>x</t>
  </si>
  <si>
    <t>Focus moves inappropriately</t>
  </si>
  <si>
    <t>There is inappropriate focus movement, which can confuse users and disrupt their navigation. Examples include:
- Focus jumps unexpectedly to "SSSSS" element on the "SSSSS" page after interaction.
As a result, this interrupts user workflow and can cause disorientation.</t>
  </si>
  <si>
    <t>Ensure focus does not move to randomly on the page. When a element is triggered focus should moved to the updated content instead moving to the top of the page.</t>
  </si>
  <si>
    <t>5.2.29</t>
  </si>
  <si>
    <t>9.2.4.3</t>
  </si>
  <si>
    <t>Non-interactive elements receive keyboard focus</t>
  </si>
  <si>
    <t>There are non-interactive elements receiving keyboard focus, making navigation more difficult for keyboard-only users. Examples include:
- The inactive "SSSSS" element on the "SSSSS" page receives keyboard focus.
As a result, users waste time tabbing through non-functional items.</t>
  </si>
  <si>
    <t>Remove the 'tabindex' attribute from the non-interactive elements in the page source.</t>
  </si>
  <si>
    <t>Illogical tab order</t>
  </si>
  <si>
    <t>There are issues with the tab order, which is not following a logical sequence. Examples include:
1. The "SSSS" element 
2. The "SSSS" element
3. The "SSSS" element
As a result, keyboard users face confusion and inefficiency navigating the page.</t>
  </si>
  <si>
    <t>Place the content of the webpage in a correct sequence in the source code as it appears visually. Move the content in the page source in the mentioned order to ensure that the content is available in correct order. CSS can be used to maintain the presentation of the page.</t>
  </si>
  <si>
    <t>Hidden content receives keyboard focus</t>
  </si>
  <si>
    <t>There are hidden interactive elements receiving keyboard focus. Examples include:
- The hidden "SSSSS" button on the "SSSSS" page can be focused but not seen.
As a result, this causes confusion for users relying on keyboard navigation.</t>
  </si>
  <si>
    <t>Provide tabindex="-1" to the mentioned hidden interactive element to ensure that element does not recive keyboard focus.</t>
  </si>
  <si>
    <t>Keyboard focus not restricted in modal dialog</t>
  </si>
  <si>
    <t>There are issues with keyboard focus not being restricted inside modal dialogs. Examples include:
- Focus moves outside the "SSSSS" modal dialog on the "SSSSS" page.
As a result, keyboard-only and screen reader users can get lost or interact with background content unexpectedly.</t>
  </si>
  <si>
    <t>Apply the following changes:
• Use aria-modal="true', aria-hidden=”true” and tabindex="-1" to hide the background content from screen readers and keyboard-only users. Ensure that "aria-hidden" and tabindex="-1" attributes are removed from the page source when user closes the modal dialog.
• Modify the scripts to ensure that the Tab and Shift + Tab keystrokes wrap the keyboard focus inside the modal dialog in all browsers.
For information on creating accessible modal dialog refer https://www.w3.org/WAI/ARIA/apg/example-index/dialog-modal/dialog.html</t>
  </si>
  <si>
    <t>Keyboard focus not set onto modal dialog</t>
  </si>
  <si>
    <t>There are issues with keyboard focus not being set to the first logical element of the modal dialog. Examples include:
- Focus on the "SSSSS" modal on the "SSSSS" page lands on a close button instead of the main dialog content.
As a result, keyboard-only and screen reader users may miss critical information upon dialog opening.</t>
  </si>
  <si>
    <t>Set the keyboard focus to the first logical element of the modal dialog in this case using the javascript .focus().
For information on creating accessible modal dialog refer https://www.w3.org/WAI/ARIA/apg/example-index/dialog-modal/dialog.html</t>
  </si>
  <si>
    <t>Keyboard focus not set onto non-modal dialog</t>
  </si>
  <si>
    <t>There are issues with keyboard focus not being set to the first logical element of non-modal dialogs. Examples include:
- Focus on the "SSSSS" non-modal dialog on the "SSSSS" page defaults incorrectly to the body element.
As a result, keyboard-only and screen reader users can get lost or interact with non-modal dialog unexpectedly.</t>
  </si>
  <si>
    <t>Set the keyboard focus to the first logical element of the non-modal dialog in this case using the javascript .focus().</t>
  </si>
  <si>
    <t>Keyboard focus does not return to the triggering element of non-modal dialog</t>
  </si>
  <si>
    <t>There are issues with keyboard focus not returning to the triggering element of non-modal dialogs. Examples include:
- After closing the "SSSSS" dialog on the "SSSSS" page, focus does not return to the button that opened it.
As a result, keyboard-only and screen reader users lose context and must find their place manually.</t>
  </si>
  <si>
    <t>Set the keyboard focus to the triggering element of the dialog using the JavaScript .focus().
For information on creating accessible modal dialog refer https://www.w3.org/WAI/ARIA/apg/example-index/dialog-modal/dialog.html</t>
  </si>
  <si>
    <t>Keyboard focus does not return to the triggering element of modal dialog</t>
  </si>
  <si>
    <t>There are issues with the keyboard focus not returning to the triggering element of modal dialogs. Examples include:
- After closing the "SSSSS" modal on the "SSSSS" page, focus is lost or moved elsewhere unexpectedly.
As a result, this breaks the flow for keyboard-only and screen reader users.</t>
  </si>
  <si>
    <t xml:space="preserve">Ensure that the keyboard focus moves the triggering element when the modal dialog is closed which can be achieved via JavaScript focus() method.
</t>
  </si>
  <si>
    <t>Non-descriptive link text</t>
  </si>
  <si>
    <t>There are link texts that are identical or non-descriptive. Examples include:
- Multiple links labeled "Click here" on the "SSSSS" page in the SSSSS section.
As a result, screen reader users cannot determine link purpose or destination easily.</t>
  </si>
  <si>
    <t>Apply the following changes:
• Specify the "id" attribute with a unique value to the heading element of the corresponding link.
• Specify "aria-labelledby" attribute to the mentioned &lt;a&gt; element containing text.
• Reference both the "id" attribute values (of &lt;a&gt; and heading elements) via "aria-labelledby" attribute.</t>
  </si>
  <si>
    <t>5.2.30</t>
  </si>
  <si>
    <t>9.2.4.4</t>
  </si>
  <si>
    <t>Lengthy link text</t>
  </si>
  <si>
    <t>There are lengthy link texts that can overwhelm users or cause confusion. Examples include:
- The link text "SSSSS" in the SSSSS section exceeds recommended length, making it difficult to scan.
As a result, this negatively impacts usability and cognitive load on screen reader users.</t>
  </si>
  <si>
    <t>Apply the following changes:
• Remove the &lt;a&gt; element from the entire section.
• Mark-up the text that looks like heading using heading mark-up.
• Code only those text as a links which look like a link.</t>
  </si>
  <si>
    <t>Missing link text</t>
  </si>
  <si>
    <t>There are links that do not have any link text. Examples include:
- The link with no visible or aria-label text on the "SSSSS" page.
As a result, screen reader users cannot identify the link’s purpose.</t>
  </si>
  <si>
    <t>Specify unique and descriptive text for each link on the page. If there is no functionality associated with the link, specify tabindex=“-1” and “display:none” CSS property to ensure that the link is not available for keyboard-only and screen reader users.</t>
  </si>
  <si>
    <t>Multiple ways not defined</t>
  </si>
  <si>
    <t>There are issues with multiple ways not being defined to locate a webpage. Examples include:
- The "SSSSS" page lacks unique URLs, titles, or landmarks for navigation.
As a result, this reduces findability and accessibility.</t>
  </si>
  <si>
    <t>Ensure more than one way is available to locate a Web page within a set of Web pages except where the Web Page is the result of, or a step in, a process.</t>
  </si>
  <si>
    <t xml:space="preserve">Cognitive Disability, Visual Impairment, </t>
  </si>
  <si>
    <t>A A</t>
  </si>
  <si>
    <t>5.2.31</t>
  </si>
  <si>
    <t>9.2.4.5</t>
  </si>
  <si>
    <t>Non-descriptive labels for buttons</t>
  </si>
  <si>
    <t>There are button labels that are identical or non-descriptive. Examples include:
- Multiple buttons labeled "Submit" on the "SSSSS" page with no additional context.
As a result, screen reader users cannot distinguish between buttons’ purposes.</t>
  </si>
  <si>
    <t>Specify appropriate label for the button using hidden text or "aria-label" attribute.</t>
  </si>
  <si>
    <t xml:space="preserve">2.4.6 </t>
  </si>
  <si>
    <t>5.2.32</t>
  </si>
  <si>
    <t>9.2.4.6</t>
  </si>
  <si>
    <t>Inappropriate label for button</t>
  </si>
  <si>
    <t>There are buttons that have inappropriate labels. Examples include:
- The button labeled "Cancel" that actually submits data on the "SSSSS" page.
As a result, this misleads screen reader users and may cause confustion understanding the purpose of the buttons.</t>
  </si>
  <si>
    <t>Focus not visible</t>
  </si>
  <si>
    <t>There are interactive elements where the focus is not visible. Examples include:
- The "SSSSS" input field on the "SSSSS" page does not show a focus ring or highlight.
As a result, keyboard users cannot track their location.</t>
  </si>
  <si>
    <t>Set the CSS outline property for the mentioned button to ensure that clear focus indication is available for users.</t>
  </si>
  <si>
    <t>5.2.33</t>
  </si>
  <si>
    <t>9.2.4.7</t>
  </si>
  <si>
    <t>Use of pointer gestures without alternative way</t>
  </si>
  <si>
    <t>There are functionalities that require multipoint or path-based gestures without an alternative. Examples include:
- The "SSSSS" zoom feature on the "SSSSS" page requires pinch-to-zoom on touch devices only.
As a result, mobility impaired users unable to perform these gestures are excluded.</t>
  </si>
  <si>
    <t>Ensure all functionality that uses multipoint or path-based gestures for operation can be operated with a single pointer without a path-based gesture, unless a multipoint or path-based gesture is essential.</t>
  </si>
  <si>
    <t>5.2.34</t>
  </si>
  <si>
    <t>9.2.5.1</t>
  </si>
  <si>
    <t>Functionality gets activated on down event</t>
  </si>
  <si>
    <t>There are functions that get activated on the down event. Examples include:
- The "SSSSS" button on the "SSSSS" page triggers action on mousedown instead of click.
As a result, this can cause accidental activations or inconsistent behavior for mobility impaired users.</t>
  </si>
  <si>
    <t>Ensure that for functions operable with a single pointer, at least one of the following conditions is met: the down-event does not trigger any part of the function; the function completes on the up-event, with a mechanism available to abort it before completion or to undo it afterward; the up-event reverses the effects of the preceding down-event; or completing the function on the down-event is essential.</t>
  </si>
  <si>
    <t>Visual Impairment, Motor Impairment, Cognitive Disability</t>
  </si>
  <si>
    <t>5.2.35</t>
  </si>
  <si>
    <t>9.2.5.2</t>
  </si>
  <si>
    <t>Accessible name does not match with visual label</t>
  </si>
  <si>
    <t>There are elements where the accessible name does not match the visual label. Examples include:
- The "SSSSS" form input label says "Email" visually but has accessible name "Phone Number."
As a result, this confuses assistive technology users.</t>
  </si>
  <si>
    <t>Ensure that the visible text of the element is included within its accessible name.</t>
  </si>
  <si>
    <t>Speech-input Users</t>
  </si>
  <si>
    <t>5.2.36</t>
  </si>
  <si>
    <t>9.2.5.3</t>
  </si>
  <si>
    <t>No alternatives for motion activation</t>
  </si>
  <si>
    <t>There are functionalities that rely on motion activation without alternatives. Examples include:
- The "SSSSS" feature on the "SSSSS" page activates when device motion is detected.
As a result, users without motion-enabled devices or who cannot perform motion are excluded.</t>
  </si>
  <si>
    <t>Developers should ensure that functionality operable by device or user motion can also be managed through user interface components, allowing for the disabling of motion responses to prevent accidental activation. However, this should not apply in cases where the motion is used to operate functionality via an accessibility-supported interface, or when the motion is essential for the function, as disabling it would compromise the activity.</t>
  </si>
  <si>
    <t>5.2.37</t>
  </si>
  <si>
    <t>9.2.5.4</t>
  </si>
  <si>
    <t>Language not defined</t>
  </si>
  <si>
    <t>The page does not have the 'lang' attribute on the &lt;html&gt; element with proper value.
As a result, this makes it difficult for screen readers to select correct language and pronunciation.</t>
  </si>
  <si>
    <t>Specify an appropriate 'lang' attribute in the &lt;html&gt; element as per the primary language of the page.</t>
  </si>
  <si>
    <t xml:space="preserve">3.1.1 </t>
  </si>
  <si>
    <t>5.2.38</t>
  </si>
  <si>
    <t>9.3.1.1</t>
  </si>
  <si>
    <t>Language defined incorrectly</t>
  </si>
  <si>
    <t>The 'lang' attribute on the &lt;html&gt; element is defined with an inappropriate value of "SSSSSS".
As a result, users relying on screen readers may hear incorrect or no language indication, causing confusion.</t>
  </si>
  <si>
    <t>Change of language not identified for text</t>
  </si>
  <si>
    <t>There are changes in language that are not identified for text. Examples include:
- Sections of text on the "SSSSS" page lack language change markup.
As a result, screen reader users may receive incorrect pronunciation, affecting comprehension.</t>
  </si>
  <si>
    <t>Specify an appropriate 'lang' attribute for the respective &lt;span&gt; tag of mentioned text that is in a different language to the rest of the page.</t>
  </si>
  <si>
    <t xml:space="preserve">3.1.2 </t>
  </si>
  <si>
    <t>5.2.39</t>
  </si>
  <si>
    <t>9.3.1.2</t>
  </si>
  <si>
    <t>Change of language identified incorrectly for the text</t>
  </si>
  <si>
    <t>There are instances where the language change is identified incorrectly for the text. Examples include:
- The language of a paragraph on the "SSSSS" page is marked as English when it is in Spanish.
As a result, screen reader users may be confused by incorrect pronunciation or intonation.</t>
  </si>
  <si>
    <t>Unexpected change of context on focus</t>
  </si>
  <si>
    <t>There are elements where focus causes an unexpected change of context. Examples include:
- Focusing on the "SSSSS" button on the "SSSSS" page unexpectedly shifts content without warning.
As a result, keyboard and screen reader users may become disoriented or lose track of where they are.</t>
  </si>
  <si>
    <t>Ensure when any component receives focus, it does not initiate a change of context.</t>
  </si>
  <si>
    <t xml:space="preserve">3.2.1 </t>
  </si>
  <si>
    <t>5.2.40</t>
  </si>
  <si>
    <t>9.3.2.1</t>
  </si>
  <si>
    <t>Form controls update content on input</t>
  </si>
  <si>
    <t>There are form controls that update content on input without prior warning. Examples include:
- Entering text in the "SSSSS" field on the "SSSSS" page dynamically updates other content without alert.
As a result, screen reader users may miss important changes, causing confusion or errors during form completion.</t>
  </si>
  <si>
    <t>Ensure changing the setting of any user form control not automatically cause a change of context unless the user has been advised of the behavior before using the component.</t>
  </si>
  <si>
    <t xml:space="preserve">3.2.2 </t>
  </si>
  <si>
    <t>5.2.41</t>
  </si>
  <si>
    <t>9.3.2.2</t>
  </si>
  <si>
    <t>Navigation is not consistent</t>
  </si>
  <si>
    <t>There are navigation mechanisms that are not consistent. Examples include:
- Navigation menus on the "SSSSS" page behave differently across sections.
As a result, screen reader and cognitive impaired users may find it difficult to predict navigation behavior, causing frustration.</t>
  </si>
  <si>
    <t>Ensure navigational mechanisms that are repeated on multiple Web pages within a set of Web pages occur in the same relative order each time they are repeated, unless a change is initiated by the user.</t>
  </si>
  <si>
    <t xml:space="preserve">3.2.3 </t>
  </si>
  <si>
    <t>5.2.42</t>
  </si>
  <si>
    <t>9.3.2.3</t>
  </si>
  <si>
    <t>Elements naming not consistent</t>
  </si>
  <si>
    <t>There are elements whose naming is not consistent. Examples include:
- The "SSSSS" button is labeled differently in various parts of the "SSSSS" page.
As a result, users relying on assistive technology may be confused by inconsistent labels.</t>
  </si>
  <si>
    <t>Ensure components that have the same functionality within a set of Web pages are identified consistently.</t>
  </si>
  <si>
    <t>Coginitve Disability, Visual Impairment</t>
  </si>
  <si>
    <t>5.2.43</t>
  </si>
  <si>
    <t>9.3.2.4</t>
  </si>
  <si>
    <t>Error messages difficult to locate</t>
  </si>
  <si>
    <t>There are error messages that are difficult to locate. Examples include:
- Error message on the "SSSSS" form appears far from the relevant field.
As a result, screen reader users may not find or associate the error message with the input needing correction.</t>
  </si>
  <si>
    <t>Apply the following changes:
• Add 'aria-describedby' attribute to the form field.
• Reference 'id' attribute value of the containner used to display the error message to 'aria-describedby' attribute. 
• Set focus on the first field with error using the JavaScript .focus() method as soon as the form is submitted.</t>
  </si>
  <si>
    <t>5.2.44</t>
  </si>
  <si>
    <t>9.3.3.1</t>
  </si>
  <si>
    <t>Generic error message</t>
  </si>
  <si>
    <t>There are generic error messages. Examples include:
- The "SSSSS" form shows "Invalid input" without details.
As a result, cognitive impaired users may be unsure how to correct the issue, delaying task completion.</t>
  </si>
  <si>
    <t>Ensure that descriptive and specific error messages are provided for fields with error, for e.g. “First name field is required".</t>
  </si>
  <si>
    <t>5.2.46</t>
  </si>
  <si>
    <t>9.3.3.3</t>
  </si>
  <si>
    <t>Missing Error messages</t>
  </si>
  <si>
    <t>There are missing error messages when a form is submitted with errors. Examples include:
- No error is shown when submitting the "SSSSS" form with invalid data.
As a result, users may think the form was submitted successfully and become confused.</t>
  </si>
  <si>
    <t>When the form is submitted with errors along with color, display a list of error messages at the beginning of the form. Error messages must clearly describe the problem that has occurred and include suggestions (wherever possible) on how to rectify it.</t>
  </si>
  <si>
    <t>Mandatory fields not identified</t>
  </si>
  <si>
    <t>There are mandatory fields that are not identified. Examples include:
- Required fields on the "SSSSS" form lack visual or programmatic indication.
As a result, users, especially those relying on screen readers, may miss required inputs, leading to form submission errors.</t>
  </si>
  <si>
    <t>Provide the asterisk (*) within the label mark-up of the mandatory form fields.
Additionally, provide an instruction "* denotes mandatory fields" at the beginning of the form to ensure all users can access the instruction.</t>
  </si>
  <si>
    <t xml:space="preserve">3.3.2 </t>
  </si>
  <si>
    <t>5.2.45</t>
  </si>
  <si>
    <t>9.3.3.2</t>
  </si>
  <si>
    <t>Missing visual instruction for mandatory fields</t>
  </si>
  <si>
    <t>There are missing visual instructions for mandatory fields. Examples include:
- The "SSSSS" field on the "SSSSS" page lacks instruction that it is required.
As a result, sighted users and users with cognitive disabilities may not realize the need to fill these fields.</t>
  </si>
  <si>
    <t>Ensure  to provide an instruction "* denotes mandatory fields" at the beginning of the form to ensure all users can access the instruction.</t>
  </si>
  <si>
    <t>Missing visual label for form fields</t>
  </si>
  <si>
    <t>There are missing visual labels for form fields. Examples include:
- The "SSSSS" input on the "SSSSS" page lacks a visible label.
As a result, users, including those with cognitive impairments or low vision, may have difficulty understanding the purpose of the field.</t>
  </si>
  <si>
    <t>Apply the following changes:
• Provide unique and descriptive label for mentioned form fields using &lt;label&gt; element.
• Associate the label explicitly with the form field by providing identical value which is unique from other IDs to "for" and "id" attributes of the label and form field respectively.
Alternatively, use either hidden labels or "title" or "aria-label" attribute to convey the purpose of the form fields to screen reader users as well as maintain the presentation.</t>
  </si>
  <si>
    <t>Incorrect placement of instruction</t>
  </si>
  <si>
    <t>There is incorrect placement of instruction. Examples include:
- Instructions for the "SSSSS" field appear far from the input on the "SSSSS" page.
As a result, users with cognitive disabilities or low vision may miss the instructions and make errors.</t>
  </si>
  <si>
    <t>Place the instruction at the beginning of the form to ensure all users can access it.</t>
  </si>
  <si>
    <t>Missing suggestions to resolve errors</t>
  </si>
  <si>
    <t>There are missing suggestions to resolve errors. Examples include:
- The error message on the "SSSSS" form does not suggest how to fix the input.
As a result, users with cognitive disabilities may struggle to correct their input.</t>
  </si>
  <si>
    <t>Ensure if an input error is automatically detected and suggestions for correction are known, then the suggestions are provided to the user, unless it would jeopardize the security or purpose of the content.</t>
  </si>
  <si>
    <t xml:space="preserve">3.3.3 </t>
  </si>
  <si>
    <t>Form submitted with errors</t>
  </si>
  <si>
    <t>There are forms that can be submitted with errors. Examples include:
- The "SSSSS" form submits despite invalid or incomplete fields.
As a result, all users, including those with cognitive disabilities, may submit faulty data, causing downstream issues.</t>
  </si>
  <si>
    <t>Ensure that web pages involving legal commitments, financial transactions, modification or deletion of user-controlled data, or submission of user test responses meet at least one of the following criteria to prevent errors: submissions should be reversible; data entered by the user must be checked for input errors, allowing for corrections; or there should be a mechanism for reviewing, confirming, and correcting information before finalizing the submission.</t>
  </si>
  <si>
    <t>5.2.47</t>
  </si>
  <si>
    <t>9.3.34</t>
  </si>
  <si>
    <t>Multiple parsing errors</t>
  </si>
  <si>
    <t>There are multiple parsing errors. Examples include:
- The "SSSSS" page HTML contains unclosed tags causing screen reader issues.
As a result, screen reader users may experience skipped or misread content.</t>
  </si>
  <si>
    <t>To meet accessibility conformance, it is necessary that the following requirements are met:
• All elements are nested properly according to their HTML specifications.
• All elements have complete start `&lt;&gt;` and end `&lt;/&gt;` tags.
• Within each page, the elements use unique `id` attribute values.
• Elements do not have duplicate attributes.</t>
  </si>
  <si>
    <t xml:space="preserve">4.1.1 </t>
  </si>
  <si>
    <t>5.2.48</t>
  </si>
  <si>
    <t>9.4.1.1</t>
  </si>
  <si>
    <t>Missing role for custom controls</t>
  </si>
  <si>
    <t>There are custom controls that do not have appropriate role information. Examples include:
- The "SSSSS" custom slider on the "SSSSS" page lacks role='slider'.
As a result, assistive technology users, including screen reader users, cannot identify control types, leading to confusion.</t>
  </si>
  <si>
    <t xml:space="preserve">Ensure that your web application implements proper roles for interactive elements. Consider the following roles and their corresponding HTML elements:
• Button: Use the &lt;button&gt; element or set role="button" on non-button elements.
• Link: Utilize the &lt;a href="#"&gt; tag for navigational links.
Text Input: Use &lt;input type="text"&gt; for text fields.
• Checkbox: Use &lt;input type="checkbox"&gt; for checkbox controls.
• Radio Button: Use &lt;input type="radio"&gt; for radio button options.
• Dropdown Menu: Use the &lt;select&gt; element for dropdowns.
• Menu: Set role="menu" for the container and role="menuitem" for individual items.
• Dialog Box: Use role="dialog" to indicate interactive content.
• Alert: Use role="alert" for important notifications that require user attention.
• Progress Indicator: Use role="progressbar" for indicating progress in tasks.
• Slider: Use role="slider" for interactive sliders.
• Tab List: Use role="tablist" for grouping tabs, and role="tab" for individual tabs.
</t>
  </si>
  <si>
    <t xml:space="preserve">4.1.2 </t>
  </si>
  <si>
    <t>5.2.49</t>
  </si>
  <si>
    <t>9.4.1.2</t>
  </si>
  <si>
    <t>Missing state for custom controls</t>
  </si>
  <si>
    <t>There are custom controls that do not have appropriate state information. Examples include:
- The "SSSSS" toggle button does not reflect its checked state.
As a result, users of assistive technologies may not determine control status.</t>
  </si>
  <si>
    <t>Ensure that your web application appropriately conveys states for interactive elements. Consider the following roles and their corresponding HTML attributes:
• Button State: Use aria-pressed="true" or aria-pressed="false" for toggle buttons to indicate their pressed state.
• Checkbox State: Use aria-checked="true" or aria-checked="false" to convey whether a checkbox is checked or unchecked.
• Radio Button State: Use aria-checked="true" or aria-checked="false" to indicate the selection state of radio buttons.
• Expanded/Collapsed State: Use aria-expanded="true" or aria-expanded="false" to indicate whether an expandable element is open or closed.
• Disabled State: Use aria-disabled="true" to indicate that an element is not interactive.
• Current Step in a Wizard: Use aria-current="step" on the current step element to clearly indicate which step the user is on.
• Step Indicators: For a list of steps, use aria-selected="true" for the current step and aria-selected="false" for all other steps.
• Current page: Use aria-current="page" on the current page link (&lt;a&gt; element) to clearly indicate which page is currently opened.</t>
  </si>
  <si>
    <t>Missing name for custom controls</t>
  </si>
  <si>
    <t>There are custom controls that do not have appropriate name information. Examples include:
- The "SSSSS" dropdown has no accessible name.
As a result, screen reader users may not understand the control purpose.</t>
  </si>
  <si>
    <t>Ensure that your web application appropriately conveys name for interactive elements. This can be done by using aria-label or aria-labelledby attribute.</t>
  </si>
  <si>
    <t>Custom checkboxes not programmatically determined</t>
  </si>
  <si>
    <t>There are custom checkboxes that do not have appropriate role, name, and/or state information. Examples include:
- The custom checkbox on the "SSSSS" form lacks role and state info.
As a result, screen reader users cannot operate or understand the checkbox.</t>
  </si>
  <si>
    <t>Custom radio buttons not programmatically determined</t>
  </si>
  <si>
    <t>There are custom radio buttons that do not have appropriate role, name, and/or state information. Examples include:
- The radio button group on the "SSSSS" page lacks ARIA roles.
As a result, users of assistive technologies may be unable to select or identify options.</t>
  </si>
  <si>
    <t>Inappropriate use of ARIA attributes</t>
  </si>
  <si>
    <t>There are elements that make use of ARIA attributes inappropriately. Examples include:
- The "SSSSS" button has conflicting ARIA roles on the "SSSSS" page.
As a result, screen reader users may receive incorrect or confusing information.</t>
  </si>
  <si>
    <t>Ensure that ARIA attributes are used appropriately by relying on native HTML elements whenever possible, avoiding redundant roles on semantic elements. To resolve this, remove unnecessary ARIA attributes used on the mentioned elements.</t>
  </si>
  <si>
    <t>Tab not programmatically determined</t>
  </si>
  <si>
    <t>There are tabs that do not have appropriate role, name, and/or state information. Examples include:
- The tab list on the "SSSSS" page lacks proper ARIA markup.
As a result, screen reader users cannot navigate tabs correctly.</t>
  </si>
  <si>
    <t>Carousel not programmatically determined</t>
  </si>
  <si>
    <t>On activating the carousel controls under the "SSSSSS" section, the content of the respective slide gets dynamically updated. Although the dynamic change in the content is easier to understand for sighted users, it is not intuitive for screen reader users. Moreover, the region consisting of carousel is not programmatically determined. 
As a result, screen reader users cannot interact with the carousel content effectively.</t>
  </si>
  <si>
    <t>Apply the following changes:
• Add role "region" and aria-label="Carousel" attribute to the &lt;div&gt; element containing the carousel content.
• Add role="status"to the  &lt;div&gt; tag containing the carousel content to ensure that the screen reader announces the updated content.
For more information on carousel, visit https://www.w3.org/WAI/ARIA/apg/example-index/carousel/carousel-1-prev-next</t>
  </si>
  <si>
    <t>Missing iframe title</t>
  </si>
  <si>
    <t>There are &lt;iframe&gt; elements that do not have an appropriate accessible name. Examples include:
- The "SSSSS" iframe on the "SSSSS" page has no accessible title.
As a result, screen reader users cannot understand the iframe content.</t>
  </si>
  <si>
    <t xml:space="preserve">Add appropriate 'title' for all the frames and iframes used on the page.
</t>
  </si>
  <si>
    <t>Inappropriate iframe title</t>
  </si>
  <si>
    <t>There are &lt;iframe&gt; elements with inappropriate accessible names. Examples include:
- The "SSSSS" iframe is titled misleadingly on the "SSSSS" page.
As a result, screen reader users receive confusing or incorrect information.</t>
  </si>
  <si>
    <t>Add appropriate 'title' for all the frames and iframes used on the page.</t>
  </si>
  <si>
    <t>Menu not programmatically determined</t>
  </si>
  <si>
    <t>There are menus that do not have appropriate role, name, and/or state information. Examples include:
- The dropdown menu on the "SSSSS" page lacks ARIA roles.
As a result, screen reader and keyboard-only users cannot navigate or understand menu options.</t>
  </si>
  <si>
    <t>Implement the menu functionality by using appropriate ARIA roles, states and properties. Working examples and information on implementing accessible ARIA menus can be found at https://www.w3.org/WAI/ARIA/apg/example-index/menubar/menubar-navigation.html</t>
  </si>
  <si>
    <t>Modal dialog is not programmatically identified</t>
  </si>
  <si>
    <t>There are modal dialogs that do not have appropriate role and/or name information. Examples include:
- The "SSSSS" modal lacks role='dialog' and accessible name.
As a result, screen reader users cannot identify the dialog properly.</t>
  </si>
  <si>
    <t>Apply the following changes:
• Add role="dialog", aria-modal="true" and 'aria-labelledby' attribute to the &lt;div&gt; tag containing the modal dialog content.
• Specify 'id' attribute with unique value to the &lt;div&gt; tag containing the heading and reference it via 'aria-labelledby' attribute.
For information on creating accessible modal dialog refer https://www.w3.org/WAI/ARIA/apg/example-index/dialog-modal/dialog.html</t>
  </si>
  <si>
    <t>Accordion not programmatically determined</t>
  </si>
  <si>
    <t>There are accordions that do not have appropriate role, name, and/or state information. Examples include:
- The FAQ accordion on the "SSSSS" page lacks ARIA markup.
As a result, screen reader users and keyboard-only users may not be able to expand or collapse content.</t>
  </si>
  <si>
    <t>Apply the following changes:
• Code the mentioned elements with native HTML &lt;button&gt; tag.
• Initially set the 'aria-expanded' attribute to 'false' for the button. Ensure that the value of the 'aria-expanded' attribute changes on user interaction via scripting to 'false' in collapsed state and 'true' in expanded state.</t>
  </si>
  <si>
    <t>Slider not programmatically determined</t>
  </si>
  <si>
    <t>The "SSSSS" slider is not programmatically idenfied by screen reader users.
This made it difficult for keyboard and screen reader users to access the functionality associated with it.</t>
  </si>
  <si>
    <t>Apply the following changes:
• Implement the sliders using native HTML &lt;input type="range"&gt; element.
• Provide appropriate attributes such as min and max to define the minimum and maximum range of slider.
For more information visit https://developer.mozilla.org/en-US/docs/Web/HTML/Element/input/range
Alternatively, implement the sliders using appropriate ARIA roles, states and properties
• Provide tabindex=”0” to make it focusable for keyboard-only and screen reader users.
• Modify the scripts to make the slider keyboard operable.
For more information visit https://www.w3.org/WAI/ARIA/apg/patterns/slider/</t>
  </si>
  <si>
    <t>Role link not defined</t>
  </si>
  <si>
    <t>There are links that do not have appropriate role information. Examples include:
- The SSSSS link on the SSSSS page lacks role=link.
As a result, screen reader users may not recognize the element as a link.</t>
  </si>
  <si>
    <t>Ensure that the interactive navigation elements are programmatically identified as links.
Apply the following changes:
Native implementation:
• Code the mentioned interactive elements using the native &lt;a href="..."&gt; element. Ensure that "href" attribute is used with an appropriate value.
ARIA Implementation:
• Provide role="link" for the &lt;div&gt; element of the mentioned navigation elements.
• Modify the scripts to ensure the mentioned interactive elements are keyboard operable.</t>
  </si>
  <si>
    <t>Non-modal dialog is not programmatically identified</t>
  </si>
  <si>
    <t>There are non-modal dialogs that do not have an appropriate role and/or name information. Examples include:
- The tooltip on the SSSSS page lacks role and name.
As a result, keyboard-only and screen reader users cannot access the tooltip content.</t>
  </si>
  <si>
    <t>Apply the following changes:
• Add role="dialog", aria-modal="false" and "aria-labelledby" attribute to the &lt;div&gt; tag containing the dialog content.
• Specify 'id' attribute with unique value to the &lt;div&gt; tag containing the heading and reference it via 'aria-labelledby' attribute.
For information on creating accessible modal dialog refer https://www.w3.org/WAI/ARIA/apg/example-index/dialog-modal/dialog.html</t>
  </si>
  <si>
    <t>Expand/collapse state of the button not defined</t>
  </si>
  <si>
    <t>There are expandable buttons that do not have appropriate state information. Examples include:
- The expand/collapse button on the SSSSS page does not update aria-expanded.
As a result, screen reader users cannot know whether content is expanded.</t>
  </si>
  <si>
    <t>Set 'aria-expanded' attribute to 'false' for the button by default as the button is in the collapsed state. Ensure that the value of 'aria-expanded' attribute changes to 'true' in expanded state on user interaction via scripting.</t>
  </si>
  <si>
    <t>Disabled state of the button not defined</t>
  </si>
  <si>
    <t>There are disabled controls that do not have the disabled state determined programmatically. Examples include:
- The SSSSS button is visually disabled but accessible.
As a result, keyboard-only and assistive technology users may try to interact with controls that are not usable.</t>
  </si>
  <si>
    <t>Add aria-disabled="true" attribute when the link is in the disabled state. Ensure that the value of "aria-disabled" attribute is updated to "false" when the link is in the enabled state on user interaction via scripting.</t>
  </si>
  <si>
    <t>Role button not defined</t>
  </si>
  <si>
    <t>There are buttons that do not have appropriate role information. Examples include:
- The SSSSS clickable element lacks role=button.
As a result, screen reader users and keyboard-only users may not recognize the element as a button.</t>
  </si>
  <si>
    <t>Ensure that the interactive elements are programmatically identified as buttons.
Apply the following changes:
Native implementation:
• Code the mentioned interactive elements using the native &lt;button&gt; element.
ARIA Implementation:
• Provide role="button" for the &lt;div&gt; element of the mentioned interactive elements.
• Modify the scripts to ensure the mentioned interactive elements are keyboard operable.</t>
  </si>
  <si>
    <t>Missing accessible name for slider control</t>
  </si>
  <si>
    <t>There are slider controls that do not have appropriate role information. Examples include:
- The brightness slider on the SSSSS page lacks ARIA roles.
As a result, assistive technology users, including screen reader users, cannot interact properly.</t>
  </si>
  <si>
    <t xml:space="preserve">Use hidden label or "aria-label" attribute to convey the purpose of the slider control.
</t>
  </si>
  <si>
    <t>Unclear expand/collapse functionality of link</t>
  </si>
  <si>
    <t>There are expandable links that do not have expand/collapse state information. Examples include:
- The expandable section link on the SSSSS page lacks aria-expanded.
As a result, screen reader users cannot know the expanded/collapsed state.</t>
  </si>
  <si>
    <t>Set 'aria-expanded' attribute to 'false' for the link when the link is in the collapsed state. Ensure that the value of 'aria-expanded' attribute changes to 'true' in expanded state on user interaction via scripting.</t>
  </si>
  <si>
    <t>Expand/collapse state defined incorrectly</t>
  </si>
  <si>
    <t>There are controls that are defined with incorrect expand/collapse state information. Examples include:
- The toggle button on the SSSSS page shows incorrect aria-expanded value.
As a result, screen reader users get incorrect feedback about content state.</t>
  </si>
  <si>
    <t>Set the "aria-expanded" attribute to "false" when the buttons are collapsed. Ensure that the value of the "aria-expanded" attribute changes to "true" when buttons expand on user interaction via scripting.</t>
  </si>
  <si>
    <t>Content not available for screen reader users</t>
  </si>
  <si>
    <t>There are contents that are not available for screen readers. Examples include:
- Important text on the SSSSS page is hidden from assistive technologies.
As a result, screen reader users miss vital information.</t>
  </si>
  <si>
    <t xml:space="preserve">It is recommended to specify the information as plain text and use styles for formatting effects.
</t>
  </si>
  <si>
    <t>Current state is not defined</t>
  </si>
  <si>
    <t>There are links that do not have the current page state information. Examples include:
- The navigation link for the current page on the SSSSS page lacks aria-current.
As a result, screen reader users cannot determine which page is active.</t>
  </si>
  <si>
    <t>Ensure that the current state of the active link is defined using the "aria-current" attribute with an appropriate token value.
Apply the following changes:
• Add the aria-current="page" attribute to &lt;a&gt; element of the link.
• Ensure that the "aria-current" attribute is updated as per user interaction using scripting.</t>
  </si>
  <si>
    <t>Sort state not conveyed to screen reader users</t>
  </si>
  <si>
    <t>There are sortable table headers that do not have state information. Examples include:
- The SSSSS column header lacks aria-sort on the SSSSS page.
As a result, screen reader users cannot determine sort order.</t>
  </si>
  <si>
    <t>Add aria-sort="ascending" attribute for &lt;th&gt; element for current table header for which user is perfroming sorting. Ensure that the value of aria-sort changes as per user intearction.
A working example of Sortable tables can be found at
https://www.w3.org/WAI/ARIA/apg/example-index/table/sortable-table</t>
  </si>
  <si>
    <t>Dynamically updating content not announced for screen reader users</t>
  </si>
  <si>
    <t>There are dynamically changing contents that are not announced to screen readers. Examples include:
- Live update sections on the SSSSS page do not notify screen readers.
As a result, screen reader users miss important real-time changes.</t>
  </si>
  <si>
    <t>Use appropriate ARIA live region attribute or role to achieve this. Specify aria-live="polite" or role=“status” to the container consisting remaining characters.</t>
  </si>
  <si>
    <t xml:space="preserve">4.1.3 </t>
  </si>
  <si>
    <t>5.2.50</t>
  </si>
  <si>
    <t>9.4.1.3</t>
  </si>
  <si>
    <t>Search results not programmatically identified</t>
  </si>
  <si>
    <t>There are search results that are not announced to screen readers. Examples include:
- Search results on the SSSSS page appear without announcement.
As a result, screen reader users may think no results are present.</t>
  </si>
  <si>
    <t>Apply the following changes:
• Inform the user through hidden text in the label that entering text into the form field will trigger a list of options.
• Provide the number of suggestions found information through hidden text in the &lt;span&gt; tag after the input field when user enters text in the input field.
o Specify role="status" on the &lt;span&gt; tag.</t>
  </si>
  <si>
    <t>Loading message not announced for screen reader users</t>
  </si>
  <si>
    <t>There are loading messages that are not announced to screen readers. Examples include:
- Loading spinner on the SSSSS page is not announced.
As a result, screen reader users may think the page is unresponsive.</t>
  </si>
  <si>
    <t>Specify ARIA role "status" for the container in which the loading message is present.</t>
  </si>
  <si>
    <t>Status message not defined programmetically</t>
  </si>
  <si>
    <t>There are status messages that are not programmatically determined. Examples include:
- Success messages on the SSSSS page lack ARIA live regions.
As a result, screen reader users may miss confirmation or alert messages.</t>
  </si>
  <si>
    <t>Use ARIA live region to make sure that the dynamic update is announced for screen reader users. This can be achieved by either adding a live region role="status" or  aria-live="polite" and aria-atomic="true" attributes to the container used to display the message. Make sure the live region is present in the page source by default.
For more information on implementing the live regions, visit https://developer.mozilla.org/en-US/docs/Web/Accessibility/ARIA/ARIA_Live_Regions</t>
  </si>
  <si>
    <t>Invisible content read by screen reader</t>
  </si>
  <si>
    <t>There are invisible content that are read by screen readers unnecessarily. Examples include:
- Hidden text on the SSSSS page is still announced.
As a result, screen reader users get confused by irrelevant content.</t>
  </si>
  <si>
    <t>Use aria-hidden="true" to hide the background content from the screen reader. Ensure that "aria-hidden" attribute is removed from the page source when user closes the modal dialog.</t>
  </si>
  <si>
    <t>Dragging movement without a single pointer mode of operation</t>
  </si>
  <si>
    <t>There are dragging functionalities that do not have a single pointer alternative. Examples include:
- Drag and drop on the SSSSS page only works with mouse.
As a result, keyboard-only and touch users cannot perform drag actions.</t>
  </si>
  <si>
    <t xml:space="preserve">Ensure that the dragging functionality has a single pointer alternative. 
A simple option would be to add buttons to provide a single pointer alternative. Instead of using the dragging movement, users can use the native &lt;button&gt; elements to perform the same functionality.
Make sure that the single pointer alternative can be accessed by those using assistive technologies. For example, make sure the button receives focus and can be activated using a keyboard alone. </t>
  </si>
  <si>
    <t xml:space="preserve">2.5.7 </t>
  </si>
  <si>
    <t>NA</t>
  </si>
  <si>
    <t>Input target lacks sufficient adjacent spacing</t>
  </si>
  <si>
    <t>There are elements that have target size less than 24x24 pixels in size. Examples include:
- Small clickable icons on the SSSSS page are below recommended size.
As a result, users with motor impairments may find them difficult to activate.</t>
  </si>
  <si>
    <t>Ensure that all targets are a minimum of 24 by 24 pixels in size. For best practice, where possible, ensure all targets are a minimum of 44 x 44 pixels in size.
All pointer input targets must have an area of at least 24 by 24 CSS pixels unless:
* Targets that are under 24 by 24 CSS pixels are positioned so that a 24 CSS pixel diameter circle centred on each target would not intersect with another target or another circle.
* The function can be achieved through a different control on the same page which meets this requirement.
* The target is in a block of text or similarly constrained by the line-height of non-target text.
* The size of the target is not modified by the author and is determined by the user agent.
* A particular presentation of the target is essential or is legally required for the information being conveyed.</t>
  </si>
  <si>
    <t xml:space="preserve">2.5.8 </t>
  </si>
  <si>
    <t>Placement of help mechanism  not consistent</t>
  </si>
  <si>
    <t>There are help mechanisms that are repeated within the set of pages are not in the same relative order programmatically across the pages. Examples include:
- Help links appear in different orders on the SSSSS pages.
As a result, users relying on assistive technologies may experience disorientation.</t>
  </si>
  <si>
    <t>Ensure that the help mechanism repeated within a set of pages is in the same relative order programmatically across the pages.
Assistive technologies navigate content using the order in which elements appear in the DOM. Make sure that the content is in the same relative order programmatically, and is ordered in such a way that it provides an appropriate reading order.</t>
  </si>
  <si>
    <t xml:space="preserve">3.2.6 </t>
  </si>
  <si>
    <t>Focused interactive element completely hidden by user opened panels</t>
  </si>
  <si>
    <t>There are focused interactive elements that are completely hidden by the opened panels. Examples include:
- The Submit button on the Order page is hidden behind the sidebar panel when it opens.
As a result, keyboard-only users cannot see or access the button, blocking form submission.</t>
  </si>
  <si>
    <t>Ensure that the focused interactive element is at least partially visible in the user's viewport. As a best practice, ensure that such elements are completely visible when focused.
Any of the following techniques can be used:
• Provide a mechanism to bring the focused element into view without moving the keyboard focus. 
o A common method is to dismiss the opened panel by Escape key.
o Using keyboard keys to to scroll the content in viewport and bring the focused element into view.
• Alternatively, allow the opened panel to be dismissed when foused away from it.
• Another alternative would be to adjust the design of the opened panel
o Reflow the existing content when such panels are opened
o Ensure that the panels open in an empty space on the page and does not overlaps on any focusable element.</t>
  </si>
  <si>
    <t xml:space="preserve">2.4.11 </t>
  </si>
  <si>
    <t>Focused interactive element completely hidden behind sticky content</t>
  </si>
  <si>
    <t>There are focused interactive elements that are completely hidden behind the sticky content. Examples include:
- The Next link on the Checkout page is obscured by the sticky header.
As a result, keyboard and screen reader users cannot access this link.</t>
  </si>
  <si>
    <t>Ensure that the focused interactive element is at least partially visible in the user's viewport. As a best practice, ensure that such elements are completely visible when focused.
Apply the following changes:
• To achieve the visibility of focused elements make sure that the focused content in the viewport scrolls up by using scroll padding. For more information, refer https://www.w3.org/TR/css-scroll-snap/#propdef-scroll-padding
Alternatively, restructure the sticky sections as accessible modal dialogs that needs to be dismissed by the user before accessing the background content. For more information, refer https://www.w3.org/WAI/ARIA/apg/patterns/dialog-modal/</t>
  </si>
  <si>
    <t>Focused interactive element completely hidden behind sticky landmark regions</t>
  </si>
  <si>
    <t>There are focused interactive elements that are completely hidden behind the sticky landmark regions. Examples include:
- The Search input on the Home page is hidden behind a sticky navigation landmark.
As a result, keyboard and screen reader users cannot interact with this input, preventing search functionality.</t>
  </si>
  <si>
    <t>Ensure that the focused interactive element is at least partially visible in the user's viewport. As a best practice, ensure that such elements are completely visible when focused.
Apply the following changes:
• To achieve the visibility of focused elements make sure that the focused content in the viewport scrolls up by using scroll padding. For more information, refer https://www.w3.org/TR/css-scroll-snap/#propdef-scroll-padding</t>
  </si>
  <si>
    <t>Information previously entered in the same process not auto-populated or available to select</t>
  </si>
  <si>
    <t>There is information that was entered previously in the same process that is not auto-populated or available to select. Examples include:
- User address entered in step 1 of the Registration process is not auto-filled in step 3.
As a result, all users must re-enter data, increasing effort and risk of errors.</t>
  </si>
  <si>
    <t>Ensure that the previously requested information is either auto-populated or is available for the user to select.
For this success criterion, using the `autocomplete` attribute alone is not sufficient. While this is required for certain fields under 1.3.5: Identify Input Purpose, using it does not automatically pass this criterion as it relies on the information being stored on the user's device.
Pre-populate the form fields with the previously supplied information. This could be achieved with JavaScript. Allow the user to edit these fields. For example: 
&lt;input type="text" value="Pre-populated with information previously provided" ...&gt;
Alternatively, provide the user with a way to select the information, using a component such as a dropdown. Where possible, use a native `&lt;select&gt;`. Make sure that the information available to select is on the same page and is straightforward for the user to locate.</t>
  </si>
  <si>
    <t>Cognitive function test required as step in authentication process</t>
  </si>
  <si>
    <t>There are authentication processes that require cognitive function tests to complete them. Examples include:
- CAPTCHA on the Login page requires complex puzzles.
As a result, users with cognitive disabilities may be unable to complete authentication.</t>
  </si>
  <si>
    <t>If a cognitive function test is required, ensure that there is either a mechanism to help users complete it or an alternative authentication method. If this is not possible, ensure that the test is to recognise objects or non-text content provided by the user. 
Use native `&lt;input&gt;` elements that support entry using password managers, to reduce the need to memorise passwords. Allow users to copy and paste passwords into the `&lt;input&gt;`. On mobile devices, support the use of biometrics.
Alternatively, provide an alternative method for the user to complete the test. For example, provide a QR code, or verify a login through an email link.</t>
  </si>
  <si>
    <t xml:space="preserve">3.3.8 </t>
  </si>
  <si>
    <t>Breadcrumb is programmatically not defined</t>
  </si>
  <si>
    <t>There is breadcrumb that is not programmatically determined. Examples include:
- The breadcrumb trail on the Product page is visually shown but lacks ARIA markup.
As a result, screen reader users cannot navigate or understand the breadcrumb structure.</t>
  </si>
  <si>
    <t>Apply the following changes:
• Wrap the breadcrumb links within the &lt;nav&gt; element.
• Provide a label by using aria-label="Breadcrumb" that describes the type of navigation provided in the nav element.
• Markup the set of links using an ordered list, i.e. &lt;ol&gt; and &lt;li&gt;.
• Add aria-current="page" to the last link in the set to indicate that it represents the current page.</t>
  </si>
  <si>
    <t xml:space="preserve">1.3.1 </t>
  </si>
  <si>
    <t>Dual functionality for links not operable with keyboard</t>
  </si>
  <si>
    <t>"There are controls in header section that provide dual functions, such as opening a new page and displaying additional menu content, but they rely on mouse hover to reveal extra options and are not operable using the keyboard. Examples include:
- The "SSSSS" link
- The "SSSSS" link
- The "SSSSS" link
As a result, users who rely on keyboard navigation or screen readers may be unable to access the additional menu options, leading to confusion, navigation errors, or missed content."</t>
  </si>
  <si>
    <t>Avoid adding dual functionality to a single element. If dual functionality is necessary the following changes should be applied:
- Add an image button using &lt;button&gt; element next to each links serving dual functionality.
- Specify the name for the &lt;button&gt; element using 'aria-label' or 'aria-labelledby' attribute.
- Set 'aria-expanded' attribute to 'false' for the button by default as the button is in the collapsed state.
- Update the value of 'aria-expanded' attribute to 'true' in expanded state on user interaction via scripting.
- Within the &lt;a&gt; element, add visually hidden text such as "(has more options on next element)" to inform screen reader users that more options are available for the link.</t>
  </si>
  <si>
    <t>Accordions not operable with a keyboard</t>
  </si>
  <si>
    <t>Apply the following changes:
- Code each accordion header using a &lt;button&gt; element for proper keyboard support and accessibility.
- Wrap the button in a heading element that maintains the page’s structure. Prefer using native HTML heading tags like &lt;h3&gt;, &lt;h4&gt;, etc. If not feasible, use a container with role="heading" and assign a meaningful aria-level.
- The heading container must include only the button. Keep icons or any other persistent elements outside this container.
- Set aria-expanded on the button to reflect whether the associated panel is visible (true) or hidden (false).
- Add aria-controls to the button to reference the ID of the corresponding panel content.
- If the panel is visible and cannot be collapsed, set aria-disabled="true" on the button.
- Optionally, apply role="region" to the panel container and link it to the header button using aria-labelledby for better screen reader navigation. Avoid role="region" if too many panels are open at once, to prevent landmark overload.</t>
  </si>
  <si>
    <t>Missing caption for table</t>
  </si>
  <si>
    <t>There are tables on the page that do not include a descriptive caption. Without a caption, users—particularly screen reader users—cannot easily understand the purpose or context of the table before navigating its content. This makes it difficult to interpret the data and understand how the table relates to the surrounding information.
As a result, users relying on assistive technologies may experience confusion and reduced comprehension when interacting with the table.</t>
  </si>
  <si>
    <t>Apply the following changes:
- Add a descriptive &lt;caption&gt; to each data table to clearly convey its purpose.
- Place the caption as the first child of the &lt;table&gt; so screen readers can announce it correctly.</t>
  </si>
  <si>
    <t>Error message displayed on blur is not announced to screen reader users</t>
  </si>
  <si>
    <t>When the user tabs out of the "SSSSSS" input field without entering the required information, a visual error message is displayed. However, the error message is not announced by screen readers, and the field is not programmatically identified as invalid. As a result, users relying on assistive technologies such as JAWS or NVDA are not informed that an error has occurred.</t>
  </si>
  <si>
    <t>Ensure that dynamically displayed error messages are programmatically conveyed to assistive technologies. This can be achieved by:
Using role="alert" or aria-live="assertive" on the error message container.
Associating the error message with the respective input field using aria-describedby.</t>
  </si>
  <si>
    <t>High</t>
  </si>
  <si>
    <t>Page lang attribute is incorrect</t>
  </si>
  <si>
    <t>When the language of the page is set to Hindi, the value of the lang attribute does not update to the corresponding language and remains in English (en).</t>
  </si>
  <si>
    <t>Make sure that the `lang` attribute in the opening `&lt;html&gt;` tag uses the appropriate value. For example: ``` &lt;!-- English --&gt; &lt;html lang="en"&gt; &lt;!-- French --&gt; &lt;html lang="fr"&gt; &lt;!-- Spanish --&gt; &lt;html lang="es"&gt; ``` When the text uses a specific dialect, use the correct `lang` subtype. For example, `lang="zh-hant"` for Traditional Chinese, `lang="zh-hans"` for Simplified Chinese, and `lang="zh-tw"` for Taiwanese. This is particularly important when the dialects are not mutually intelligible. For a list of 2-letter language codes, see [Wikipedia - List of ISO 639-codes](https://en.wikipedia.org/wiki/List_of_ISO_639-1_codes). As well, you can use [GitHub - BCP47 language subtag lookup](https://r12a.github.io/app-subtags/) to search through the various language codes. For more general information, see [W3 - Language declarations](http://www.w3.org/TR/i18n-html-tech-lang/#overall) and [W3 - Choosing a Language Tag](http://www.w3.org/International/questions/qa-choosing-language-tags).</t>
  </si>
  <si>
    <t>Page titles not translated</t>
  </si>
  <si>
    <t>When the language of the page is set to Hindi, the page title does not translate to the corresponding language and remains in English.</t>
  </si>
  <si>
    <t>Make sure that webpages have accurate and describe page titles. It is not required that every page title be unique or exhaustively descriptive. However, the page titles must accurately describe the topic or purpose of the page. As well, the text alternatives need to match the language of the page. For example: ``` &lt;head&gt;   &lt;title&gt;Page title in appropriate language&lt;/title&gt; &lt;/head&gt; ``` Where possible, use a consistent format, such as page name, page category, site name. Whatever format you use, use it consistently throughout. With single page applications, if you meaningfully change the topic and purpose of the page, the page title needs to be dynamically updated, as well. This can be done with JavaScript using the `document.title` property. For more information, see [Indiana University - Page Titles](https://accessibility.iu.edu/creating-content/web-content/titles.html), [Washington University - Informative Page Title](https://www.washington.edu/accessibility/page-or-document-titles/), and [MDN - Document Title element](https://developer.mozilla.org/en-US/docs/Web/HTML/Element/title).</t>
  </si>
  <si>
    <t>9.2.4.2</t>
  </si>
  <si>
    <t>Informative image text alternative not translated</t>
  </si>
  <si>
    <t>When the language of the page is set to Hindi, the informative image text alternative does not translate to the corresponding language and remains in English.</t>
  </si>
  <si>
    <r>
      <t>Images marked up with an `&lt;img&gt;` tag must have an alt attribute. Use the attribute to provide an appropriate text alternative. Informative images that convey meaningful or unique information need a descriptive alt attribute. As well, the text alternatives need to match the language of the page. For example: ``` &lt;img src="..." alt="Short text alternative in appropriate language"&gt; ``` Inline SVG images can use `&lt;title&gt;`, `&lt;desc&gt;`, and `aria-labelledby` for the same purpose. For example: ``` &lt;svg aria-labelledby="uniqueTitleID uniqueDescID"&gt; &lt;title id="uniqueTitleID"&gt;The title of the SVG&lt;/title&gt; &lt;desc id="uniqueDescID"&gt;A longer, more complete description for complex graphics.&lt;/desc&gt; ... &lt;/svg&gt; ``` For more information, see [Web Accessibility Tutorials - Informative Images](</t>
    </r>
    <r>
      <rPr>
        <rFont val="-apple-system, BlinkMacSystemFont, &quot;Segoe UI&quot;, system-ui, &quot;Apple Color Emoji&quot;, &quot;Segoe UI Emoji&quot;, &quot;Segoe UI Web&quot;, sans-serif"/>
        <color rgb="FF1155CC"/>
        <sz val="11.0"/>
        <u/>
      </rPr>
      <t>https://www.w3.org/WAI/tutorials/images/informative/)</t>
    </r>
    <r>
      <rPr>
        <rFont val="-apple-system"/>
        <sz val="11.0"/>
      </rPr>
      <t>, [Alt Attribute Decision Tree](</t>
    </r>
    <r>
      <rPr>
        <rFont val="-apple-system, BlinkMacSystemFont, &quot;Segoe UI&quot;, system-ui, &quot;Apple Color Emoji&quot;, &quot;Segoe UI Emoji&quot;, &quot;Segoe UI Web&quot;, sans-serif"/>
        <color rgb="FF1155CC"/>
        <sz val="11.0"/>
        <u/>
      </rPr>
      <t>https://www.w3.org/WAI/tutorials/images/decision-tree/)</t>
    </r>
    <r>
      <rPr>
        <rFont val="-apple-system"/>
        <sz val="11.0"/>
      </rPr>
      <t>, and [CSS Tricks - Accessible SVGs](</t>
    </r>
    <r>
      <rPr>
        <rFont val="-apple-system, BlinkMacSystemFont, &quot;Segoe UI&quot;, system-ui, &quot;Apple Color Emoji&quot;, &quot;Segoe UI Emoji&quot;, &quot;Segoe UI Web&quot;, sans-serif"/>
        <color rgb="FF1155CC"/>
        <sz val="11.0"/>
        <u/>
      </rPr>
      <t>https://css-tricks.com/accessible-svgs/).</t>
    </r>
  </si>
  <si>
    <t>SEVERITY</t>
  </si>
  <si>
    <t>PRIORITY</t>
  </si>
  <si>
    <t>Accessibility Risk Level</t>
  </si>
  <si>
    <t>POTENTIAL IMPACT TO INDIVIDUAL WITH DISABILITY</t>
  </si>
  <si>
    <t>Resolve Immediately</t>
  </si>
  <si>
    <t>A consumer/colleague with a disability is blocked from completing their objective in this experience.</t>
  </si>
  <si>
    <t>High Attention</t>
  </si>
  <si>
    <t>Medium</t>
  </si>
  <si>
    <t>A consumer/colleague with a disability is limited to an alternative path, alternative access tools, and/or must investigate a work-around.</t>
  </si>
  <si>
    <t>Normal</t>
  </si>
  <si>
    <t>A consumer/colleague with a disability may be negatively impacted when completing an objective, but they are not blocked and are not required to utilize an alternative path, alternative access tools, and/or investigate a work-around.</t>
  </si>
  <si>
    <t>Low</t>
  </si>
  <si>
    <t>All testers</t>
  </si>
  <si>
    <t>All QAs</t>
  </si>
  <si>
    <t>AT testers</t>
  </si>
  <si>
    <t>Environments</t>
  </si>
  <si>
    <t>Developer Status</t>
  </si>
  <si>
    <t>Scripts</t>
  </si>
  <si>
    <t>Enviornment status</t>
  </si>
  <si>
    <t>Sonal</t>
  </si>
  <si>
    <t>Aarti</t>
  </si>
  <si>
    <t>Change in Severity</t>
  </si>
  <si>
    <t>Completed</t>
  </si>
  <si>
    <t>Testing</t>
  </si>
  <si>
    <t>In-progress</t>
  </si>
  <si>
    <t>Needs review</t>
  </si>
  <si>
    <t>Fixed</t>
  </si>
  <si>
    <t xml:space="preserve">Sub FitImagesWithAspectRatio() 
Dim ws As Worksheet 
Dim Pic As Shape 
Dim Cell As Range 
Dim CellWidth As Double 
Dim CellHeight As Double 
Dim Margin As Double 
Dim ScaleFactor As Double 
Dim NewWidth As Double 
Dim NewHeight As Double 
' Set the active sheet 
Set ws = ActiveSheet 
' Loop through all shapes on the active sheet 
For Each Pic In ws.Shapes 
' Check if the shape is a picture 
If Pic.Type = msoPicture Then 
' Get the top-left cell of the image 
Set Cell = Pic.TopLeftCell 
' Calculate cell dimensions and margins 
CellWidth = Cell.Width 
CellHeight = Cell.Height 
Margin = CellWidth * 0.01 ' 5% margin 
' Calculate available space within margins 
Dim AvailableWidth As Double, AvailableHeight As Double 
AvailableWidth = (CellWidth * 0.9) - (2 * Margin) ' 80% of cell width minus margins 
AvailableHeight = (CellHeight * 0.9) - (2 * Margin) ' 80% of cell height minus margins 
' Determine scaling factor based on aspect ratio 
If Pic.Width / Pic.Height &gt; AvailableWidth / AvailableHeight Then 
' Scale by width 
ScaleFactor = AvailableWidth / Pic.Width 
Else 
' Scale by height 
ScaleFactor = AvailableHeight / Pic.Height 
End If 
' Calculate new dimensions 
NewWidth = Pic.Width * ScaleFactor 
NewHeight = Pic.Height * ScaleFactor 
' Resize and position the image 
With Pic 
.LockAspectRatio = msoTrue ' Maintain aspect ratio 
.Width = NewWidth 
.Height = NewHeight 
.Top = Cell.Top + (CellHeight - NewHeight) / 2 ' Center vertically 
.Left = Cell.Left + (CellWidth - NewWidth) / 2 ' Center horizontally 
.Placement = xlMoveAndSize ' Move and size with the cell 
End With 
End If 
Next Pic 
End Sub 
</t>
  </si>
  <si>
    <t>Aditya</t>
  </si>
  <si>
    <t>Tejal</t>
  </si>
  <si>
    <t>Duplicate</t>
  </si>
  <si>
    <t>Report writing</t>
  </si>
  <si>
    <t>On-hold</t>
  </si>
  <si>
    <t>Fixes done</t>
  </si>
  <si>
    <t>Not Fixed</t>
  </si>
  <si>
    <t>// ==UserScript==
// @name Remove AccessiBe Completely
// @namespace http://tampermonkey.net/
// @version 1.2
// @description Removes ALL AccessiBe elements and restores keyboard navigation
// @match *://*/*
// @grant none
// ==/UserScript==
(function() {
'use strict';
// Remove the main widget
const widget = document.querySelector('access-widget-ui');
if (widget) widget.remove();
// Remove any leftover "skip to content" links
const skipLinks = document.querySelectorAll('[data-acsb="skipLinks"], .acsb-skip-link');
skipLinks.forEach(link =&gt; link.remove());
// Remove all AccessiBe-related attributes
document.body.removeAttribute('data-acsb-hidden');
document.body.removeAttribute('data-acsb');
// Stop AccessiBe's keyboard event listeners
document.addEventListener('keydown', function(e) {
if (e.key === 'Tab' || e.keyCode === 9) {
e.stopImmediatePropagation();
}
}, true);
// Force cleanup in case AccessiBe re-injects elements
setInterval(() =&gt; {
const acsbElements = document.querySelectorAll('[data-acsb], access-widget-ui');
acsbElements.forEach(el =&gt; el.remove());
}, 1000);
})();</t>
  </si>
  <si>
    <t>Yes</t>
  </si>
  <si>
    <t>Abhishek</t>
  </si>
  <si>
    <t>Sangam</t>
  </si>
  <si>
    <t>Missed instance</t>
  </si>
  <si>
    <t>AT support</t>
  </si>
  <si>
    <t>Need support</t>
  </si>
  <si>
    <t>Partially Fixed</t>
  </si>
  <si>
    <t>// to convert table in ranges
Sub ConvertAllTablesToRanges()
Dim ws As Worksheet
Dim tbl As ListObject
Dim i As Long
For Each ws In ThisWorkbook.Worksheets
' Loop backwards because removing tables affects the count
For i = ws.ListObjects.Count To 1 Step -1
Set tbl = ws.ListObjects(i)
tbl.Unlist
Next i
Next ws
MsgBox "All tables have been converted to ranges.", vbInformation
End Sub</t>
  </si>
  <si>
    <t>No</t>
  </si>
  <si>
    <t>Sharanya</t>
  </si>
  <si>
    <t>Shraddha</t>
  </si>
  <si>
    <t>Missed issue</t>
  </si>
  <si>
    <t>Mac Safari/VoiceOver</t>
  </si>
  <si>
    <t>Need AT support</t>
  </si>
  <si>
    <t>File finalization</t>
  </si>
  <si>
    <t>Delivered</t>
  </si>
  <si>
    <t>Support done</t>
  </si>
  <si>
    <t>Third-Party</t>
  </si>
  <si>
    <t>Not Evaluated</t>
  </si>
  <si>
    <t>Dixita</t>
  </si>
  <si>
    <t>Ashish</t>
  </si>
  <si>
    <t>Change in instances</t>
  </si>
  <si>
    <t>iOS Safari/VoiceOver</t>
  </si>
  <si>
    <t>In-QA</t>
  </si>
  <si>
    <t>Fixing</t>
  </si>
  <si>
    <t>In-discussion</t>
  </si>
  <si>
    <t>Component Removed</t>
  </si>
  <si>
    <t>Rupali</t>
  </si>
  <si>
    <t>Delete issue</t>
  </si>
  <si>
    <t>iPAD Safari/VoiceOver</t>
  </si>
  <si>
    <t>Meeting</t>
  </si>
  <si>
    <t>WIP</t>
  </si>
  <si>
    <t>In-Discussion</t>
  </si>
  <si>
    <t>Milind</t>
  </si>
  <si>
    <t>Arati Vannewar</t>
  </si>
  <si>
    <t>Issue misalignment</t>
  </si>
  <si>
    <t>Android phone Chrome/TalkBack</t>
  </si>
  <si>
    <t>QA</t>
  </si>
  <si>
    <t>Query to QA</t>
  </si>
  <si>
    <t>Manasi Mhatre</t>
  </si>
  <si>
    <t>Akshata Patil</t>
  </si>
  <si>
    <t>Change in issue description</t>
  </si>
  <si>
    <t>Android tab Chrome/TalkBack</t>
  </si>
  <si>
    <t>FTQA</t>
  </si>
  <si>
    <t>Rejected</t>
  </si>
  <si>
    <t>Speech Disability</t>
  </si>
  <si>
    <t>Rajesh</t>
  </si>
  <si>
    <t>Manasi Choulwar</t>
  </si>
  <si>
    <t>Unclear recommendation</t>
  </si>
  <si>
    <t>ATQA</t>
  </si>
  <si>
    <t>Approved</t>
  </si>
  <si>
    <t>Harshada</t>
  </si>
  <si>
    <t>Karl</t>
  </si>
  <si>
    <t>Typo or grammar issue</t>
  </si>
  <si>
    <t>Access check</t>
  </si>
  <si>
    <t>In-Fixing</t>
  </si>
  <si>
    <t>Snehal Patil</t>
  </si>
  <si>
    <t>Unclear screenshot</t>
  </si>
  <si>
    <t>Doubt solving (only for QA)</t>
  </si>
  <si>
    <t>Vikash</t>
  </si>
  <si>
    <t>Code is too long</t>
  </si>
  <si>
    <t>Project management</t>
  </si>
  <si>
    <t>Unclear suggested code</t>
  </si>
  <si>
    <t>Amends</t>
  </si>
  <si>
    <t>Arafat</t>
  </si>
  <si>
    <t>Change in STR</t>
  </si>
  <si>
    <t>Scoping</t>
  </si>
  <si>
    <t>Nikhil Gaikwad</t>
  </si>
  <si>
    <t>Approved after fixing</t>
  </si>
  <si>
    <t>PDF remediation</t>
  </si>
  <si>
    <t>Change in approach</t>
  </si>
  <si>
    <t>URL Grouping</t>
  </si>
  <si>
    <t>Vaishnavi Pardhi</t>
  </si>
  <si>
    <t>Perfect issue</t>
  </si>
  <si>
    <t>Omkar Mali</t>
  </si>
  <si>
    <t>WCAG misalignment</t>
  </si>
  <si>
    <t>Divya Pawar</t>
  </si>
  <si>
    <t>Required column not filled</t>
  </si>
  <si>
    <t>Amisha Sayyad</t>
  </si>
  <si>
    <t>Change in expected results</t>
  </si>
  <si>
    <t>Change in user impact</t>
  </si>
  <si>
    <t>Nikhil Shirsath</t>
  </si>
  <si>
    <t>Prasad Kalse</t>
  </si>
  <si>
    <t>Vaishnavi Jodtale</t>
  </si>
  <si>
    <t>Srushti Mogaveera</t>
  </si>
  <si>
    <t>Jayshri Sapkale</t>
  </si>
  <si>
    <t>Shrishti Singh</t>
  </si>
  <si>
    <t>Swapnil Varavadekar</t>
  </si>
  <si>
    <t>Sakshi Sanjay Gawade</t>
  </si>
  <si>
    <t>Aishwarya Gawli</t>
  </si>
  <si>
    <t>Shubham Kumbhar</t>
  </si>
  <si>
    <t>Sakshi Bansod</t>
  </si>
  <si>
    <t>Sarthak Patil</t>
  </si>
  <si>
    <t>Sapana Dhanraj</t>
  </si>
  <si>
    <t>Rushikesh Kulkarni</t>
  </si>
  <si>
    <t>Keshav Dhamecha</t>
  </si>
  <si>
    <t>Rujal Rahangdale</t>
  </si>
  <si>
    <t>Priyanka Rana</t>
  </si>
  <si>
    <t>Radhika Mehare</t>
  </si>
  <si>
    <t>Anamika Rajurkar</t>
  </si>
  <si>
    <t>Pratiksha Wagh</t>
  </si>
  <si>
    <t>Samiksha Angaitkar</t>
  </si>
  <si>
    <t>Prerana Pagare</t>
  </si>
  <si>
    <t>Neha Naik</t>
  </si>
  <si>
    <t>Ankit Upadhyay</t>
  </si>
  <si>
    <t>Samrudhi Motling</t>
  </si>
  <si>
    <t>Rahul Yenakphale</t>
  </si>
  <si>
    <t>Chaitrali</t>
  </si>
  <si>
    <t>Preeti</t>
  </si>
  <si>
    <t>Pooja</t>
  </si>
  <si>
    <t>Ritesh Patil</t>
  </si>
  <si>
    <t>Surekha</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</si>
</sst>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b/>
      <sz val="11.0"/>
      <color theme="1"/>
      <name val="Aptos Narrow"/>
    </font>
    <font>
      <sz val="11.0"/>
      <color rgb="FFFF0000"/>
      <name val="Aptos Narrow"/>
    </font>
    <font/>
    <font>
      <b/>
      <sz val="11.0"/>
      <color theme="1"/>
      <name val="Arial"/>
    </font>
    <font>
      <sz val="11.0"/>
      <color theme="1"/>
      <name val="Aptos Narrow"/>
    </font>
    <font>
      <sz val="11.0"/>
      <color rgb="FFFF0000"/>
      <name val="Arial"/>
    </font>
    <font>
      <b/>
      <sz val="11.0"/>
      <color rgb="FF000000"/>
      <name val="Aptos Narrow"/>
    </font>
    <font>
      <b/>
      <sz val="12.0"/>
      <color rgb="FFFFFFFF"/>
      <name val="Arial"/>
    </font>
    <font>
      <sz val="11.0"/>
      <color theme="1"/>
      <name val="Arial"/>
    </font>
    <font>
      <color theme="1"/>
      <name val="Arial"/>
    </font>
    <font>
      <color rgb="FFFFFFFF"/>
      <name val="Aptos Narrow"/>
      <scheme val="minor"/>
    </font>
    <font>
      <color theme="1"/>
      <name val="Aptos Narrow"/>
      <scheme val="minor"/>
    </font>
    <font>
      <sz val="11.0"/>
      <color rgb="FFFFFFFF"/>
      <name val="Arial"/>
    </font>
    <font>
      <sz val="11.0"/>
      <color rgb="FFFFFFFF"/>
      <name val="Aptos Narrow"/>
    </font>
    <font>
      <sz val="11.0"/>
      <color rgb="FF000000"/>
      <name val="Arial"/>
    </font>
    <font>
      <sz val="11.0"/>
      <color theme="1"/>
      <name val="Calibri"/>
    </font>
    <font>
      <sz val="11.0"/>
      <color rgb="FF000000"/>
      <name val="Quattrocento Sans"/>
    </font>
    <font>
      <u/>
      <sz val="11.0"/>
      <color rgb="FF0000FF"/>
      <name val="-apple-system"/>
    </font>
  </fonts>
  <fills count="5">
    <fill>
      <patternFill patternType="none"/>
    </fill>
    <fill>
      <patternFill patternType="lightGray"/>
    </fill>
    <fill>
      <patternFill patternType="solid">
        <fgColor rgb="FF3252AD"/>
        <bgColor rgb="FF3252AD"/>
      </patternFill>
    </fill>
    <fill>
      <patternFill patternType="solid">
        <fgColor rgb="FFFFFF00"/>
        <bgColor rgb="FFFFFF00"/>
      </patternFill>
    </fill>
    <fill>
      <patternFill patternType="solid">
        <fgColor rgb="FFC0E4F5"/>
        <bgColor rgb="FFC0E4F5"/>
      </patternFill>
    </fill>
  </fills>
  <borders count="57">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rder>
    <border>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rder>
    <border>
      <left style="thin">
        <color rgb="FF000000"/>
      </left>
      <top style="thin">
        <color rgb="FF000000"/>
      </top>
    </border>
    <border>
      <left/>
      <right/>
      <top/>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5" fillId="0" fontId="1" numFmtId="0" xfId="0" applyBorder="1" applyFont="1"/>
    <xf borderId="6" fillId="0" fontId="1" numFmtId="0" xfId="0" applyBorder="1" applyFont="1"/>
    <xf borderId="7" fillId="0" fontId="1" numFmtId="0" xfId="0" applyBorder="1" applyFont="1"/>
    <xf borderId="8" fillId="0" fontId="1" numFmtId="0" xfId="0" applyAlignment="1" applyBorder="1" applyFont="1">
      <alignment horizontal="left" vertical="top"/>
    </xf>
    <xf borderId="9" fillId="0" fontId="3" numFmtId="0" xfId="0" applyBorder="1" applyFont="1"/>
    <xf borderId="10" fillId="0" fontId="3" numFmtId="0" xfId="0" applyBorder="1" applyFont="1"/>
    <xf borderId="11" fillId="0" fontId="4" numFmtId="0" xfId="0" applyAlignment="1" applyBorder="1" applyFont="1">
      <alignment readingOrder="0"/>
    </xf>
    <xf borderId="12" fillId="0" fontId="2" numFmtId="0" xfId="0" applyAlignment="1" applyBorder="1" applyFont="1">
      <alignment horizontal="left" shrinkToFit="0" vertical="top" wrapText="1"/>
    </xf>
    <xf borderId="13" fillId="0" fontId="3" numFmtId="0" xfId="0" applyBorder="1" applyFont="1"/>
    <xf borderId="14" fillId="0" fontId="3" numFmtId="0" xfId="0" applyBorder="1" applyFont="1"/>
    <xf borderId="15" fillId="0" fontId="2" numFmtId="0" xfId="0" applyBorder="1" applyFont="1"/>
    <xf borderId="16" fillId="0" fontId="2" numFmtId="0" xfId="0" applyBorder="1" applyFont="1"/>
    <xf borderId="17" fillId="0" fontId="2" numFmtId="0" xfId="0" applyBorder="1" applyFont="1"/>
    <xf borderId="18" fillId="0" fontId="5" numFmtId="0" xfId="0" applyAlignment="1" applyBorder="1" applyFont="1">
      <alignment horizontal="left" shrinkToFit="0" vertical="top" wrapText="1"/>
    </xf>
    <xf borderId="19" fillId="0" fontId="3" numFmtId="0" xfId="0" applyBorder="1" applyFont="1"/>
    <xf borderId="20" fillId="0" fontId="3" numFmtId="0" xfId="0" applyBorder="1" applyFont="1"/>
    <xf borderId="11" fillId="0" fontId="1" numFmtId="0" xfId="0" applyBorder="1" applyFont="1"/>
    <xf borderId="12" fillId="0" fontId="5" numFmtId="0" xfId="0" applyAlignment="1" applyBorder="1" applyFont="1">
      <alignment horizontal="left" shrinkToFit="0" vertical="top" wrapText="1"/>
    </xf>
    <xf borderId="21" fillId="0" fontId="2" numFmtId="0" xfId="0" applyBorder="1" applyFont="1"/>
    <xf borderId="22" fillId="0" fontId="2" numFmtId="0" xfId="0" applyBorder="1" applyFont="1"/>
    <xf borderId="23" fillId="0" fontId="3" numFmtId="0" xfId="0" applyBorder="1" applyFont="1"/>
    <xf borderId="24" fillId="0" fontId="3" numFmtId="0" xfId="0" applyBorder="1" applyFont="1"/>
    <xf borderId="21" fillId="0" fontId="6" numFmtId="0" xfId="0" applyAlignment="1" applyBorder="1" applyFont="1">
      <alignment readingOrder="0"/>
    </xf>
    <xf borderId="25" fillId="0" fontId="3" numFmtId="0" xfId="0" applyBorder="1" applyFont="1"/>
    <xf borderId="26" fillId="0" fontId="3" numFmtId="0" xfId="0" applyBorder="1" applyFont="1"/>
    <xf borderId="27" fillId="0" fontId="3" numFmtId="0" xfId="0" applyBorder="1" applyFont="1"/>
    <xf borderId="12" fillId="0" fontId="2" numFmtId="16" xfId="0" applyAlignment="1" applyBorder="1" applyFont="1" applyNumberFormat="1">
      <alignment horizontal="left" shrinkToFit="0" vertical="top" wrapText="1"/>
    </xf>
    <xf borderId="28" fillId="0" fontId="2" numFmtId="0" xfId="0" applyBorder="1" applyFont="1"/>
    <xf borderId="29" fillId="0" fontId="5" numFmtId="0" xfId="0" applyAlignment="1" applyBorder="1" applyFont="1">
      <alignment horizontal="left" shrinkToFit="0" vertical="top" wrapText="1"/>
    </xf>
    <xf borderId="30" fillId="0" fontId="3" numFmtId="0" xfId="0" applyBorder="1" applyFont="1"/>
    <xf borderId="31" fillId="0" fontId="3" numFmtId="0" xfId="0" applyBorder="1" applyFont="1"/>
    <xf borderId="0" fillId="0" fontId="1" numFmtId="0" xfId="0" applyFont="1"/>
    <xf borderId="0" fillId="0" fontId="5" numFmtId="9" xfId="0" applyAlignment="1" applyFont="1" applyNumberFormat="1">
      <alignment horizontal="left" vertical="top"/>
    </xf>
    <xf borderId="32" fillId="0" fontId="2" numFmtId="0" xfId="0" applyBorder="1" applyFont="1"/>
    <xf borderId="33" fillId="0" fontId="2" numFmtId="0" xfId="0" applyBorder="1" applyFont="1"/>
    <xf borderId="34" fillId="0" fontId="2" numFmtId="0" xfId="0" applyBorder="1" applyFont="1"/>
    <xf borderId="18" fillId="0" fontId="1" numFmtId="0" xfId="0" applyAlignment="1" applyBorder="1" applyFont="1">
      <alignment horizontal="center"/>
    </xf>
    <xf borderId="15" fillId="0" fontId="5" numFmtId="0" xfId="0" applyBorder="1" applyFont="1"/>
    <xf borderId="16" fillId="0" fontId="5" numFmtId="0" xfId="0" applyBorder="1" applyFont="1"/>
    <xf borderId="17" fillId="0" fontId="5" numFmtId="0" xfId="0" applyBorder="1" applyFont="1"/>
    <xf borderId="5" fillId="0" fontId="1" numFmtId="0" xfId="0" applyAlignment="1" applyBorder="1" applyFont="1">
      <alignment horizontal="left" vertical="top"/>
    </xf>
    <xf borderId="35" fillId="0" fontId="1" numFmtId="0" xfId="0" applyAlignment="1" applyBorder="1" applyFont="1">
      <alignment horizontal="left" vertical="top"/>
    </xf>
    <xf borderId="36" fillId="0" fontId="3" numFmtId="0" xfId="0" applyBorder="1" applyFont="1"/>
    <xf borderId="7" fillId="0" fontId="1" numFmtId="0" xfId="0" applyAlignment="1" applyBorder="1" applyFont="1">
      <alignment horizontal="left" vertical="top"/>
    </xf>
    <xf borderId="37" fillId="0" fontId="5" numFmtId="0" xfId="0" applyBorder="1" applyFont="1"/>
    <xf borderId="38" fillId="0" fontId="5" numFmtId="0" xfId="0" applyBorder="1" applyFont="1"/>
    <xf borderId="39" fillId="0" fontId="5" numFmtId="0" xfId="0" applyBorder="1" applyFont="1"/>
    <xf borderId="15" fillId="0" fontId="5" numFmtId="0" xfId="0" applyAlignment="1" applyBorder="1" applyFont="1">
      <alignment horizontal="center" vertical="center"/>
    </xf>
    <xf borderId="40" fillId="0" fontId="5" numFmtId="0" xfId="0" applyAlignment="1" applyBorder="1" applyFont="1">
      <alignment horizontal="left" vertical="top"/>
    </xf>
    <xf borderId="41" fillId="0" fontId="3" numFmtId="0" xfId="0" applyBorder="1" applyFont="1"/>
    <xf borderId="17" fillId="0" fontId="5" numFmtId="0" xfId="0" applyAlignment="1" applyBorder="1" applyFont="1">
      <alignment horizontal="left" vertical="top"/>
    </xf>
    <xf borderId="28" fillId="0" fontId="5" numFmtId="0" xfId="0" applyAlignment="1" applyBorder="1" applyFont="1">
      <alignment horizontal="center" vertical="center"/>
    </xf>
    <xf borderId="42" fillId="0" fontId="5" numFmtId="0" xfId="0" applyAlignment="1" applyBorder="1" applyFont="1">
      <alignment horizontal="left" vertical="top"/>
    </xf>
    <xf borderId="43" fillId="0" fontId="3" numFmtId="0" xfId="0" applyBorder="1" applyFont="1"/>
    <xf borderId="22" fillId="0" fontId="5" numFmtId="0" xfId="0" applyAlignment="1" applyBorder="1" applyFont="1">
      <alignment horizontal="left" vertical="top"/>
    </xf>
    <xf borderId="5" fillId="0" fontId="1" numFmtId="0" xfId="0" applyAlignment="1" applyBorder="1" applyFont="1">
      <alignment vertical="top"/>
    </xf>
    <xf borderId="0" fillId="0" fontId="5" numFmtId="0" xfId="0" applyAlignment="1" applyFont="1">
      <alignment shrinkToFit="0" vertical="top" wrapText="1"/>
    </xf>
    <xf borderId="0" fillId="0" fontId="5" numFmtId="1" xfId="0" applyFont="1" applyNumberFormat="1"/>
    <xf borderId="32" fillId="0" fontId="5" numFmtId="0" xfId="0" applyAlignment="1" applyBorder="1" applyFont="1">
      <alignment horizontal="center" vertical="center"/>
    </xf>
    <xf borderId="44" fillId="0" fontId="5" numFmtId="0" xfId="0" applyAlignment="1" applyBorder="1" applyFont="1">
      <alignment horizontal="left" vertical="top"/>
    </xf>
    <xf borderId="45" fillId="0" fontId="3" numFmtId="0" xfId="0" applyBorder="1" applyFont="1"/>
    <xf borderId="34" fillId="0" fontId="5" numFmtId="0" xfId="0" applyAlignment="1" applyBorder="1" applyFont="1">
      <alignment horizontal="left" vertical="top"/>
    </xf>
    <xf borderId="46" fillId="0" fontId="3" numFmtId="0" xfId="0" applyBorder="1" applyFont="1"/>
    <xf borderId="47" fillId="0" fontId="3" numFmtId="0" xfId="0" applyBorder="1" applyFont="1"/>
    <xf borderId="48" fillId="0" fontId="3" numFmtId="0" xfId="0" applyBorder="1" applyFont="1"/>
    <xf borderId="0" fillId="0" fontId="5" numFmtId="0" xfId="0" applyAlignment="1" applyFont="1">
      <alignment vertical="top"/>
    </xf>
    <xf borderId="0" fillId="0" fontId="5" numFmtId="0" xfId="0" applyAlignment="1" applyFont="1">
      <alignment vertical="center"/>
    </xf>
    <xf borderId="4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5" fillId="0" fontId="7" numFmtId="0" xfId="0" applyAlignment="1" applyBorder="1" applyFont="1">
      <alignment vertical="top"/>
    </xf>
    <xf borderId="10" fillId="0" fontId="7" numFmtId="0" xfId="0" applyAlignment="1" applyBorder="1" applyFont="1">
      <alignment vertical="top"/>
    </xf>
    <xf borderId="15" fillId="0" fontId="2" numFmtId="0" xfId="0" applyAlignment="1" applyBorder="1" applyFont="1">
      <alignment vertical="top"/>
    </xf>
    <xf borderId="27" fillId="0" fontId="2" numFmtId="0" xfId="0" applyAlignment="1" applyBorder="1" applyFont="1">
      <alignment vertical="top"/>
    </xf>
    <xf borderId="27" fillId="0" fontId="2" numFmtId="0" xfId="0" applyAlignment="1" applyBorder="1" applyFont="1">
      <alignment shrinkToFit="0" vertical="top" wrapText="1"/>
    </xf>
    <xf borderId="50" fillId="0" fontId="2" numFmtId="0" xfId="0" applyAlignment="1" applyBorder="1" applyFont="1">
      <alignment vertical="top"/>
    </xf>
    <xf borderId="48" fillId="0" fontId="2" numFmtId="0" xfId="0" applyAlignment="1" applyBorder="1" applyFont="1">
      <alignment vertical="top"/>
    </xf>
    <xf borderId="51" fillId="2" fontId="8" numFmtId="0" xfId="0" applyAlignment="1" applyBorder="1" applyFill="1" applyFont="1">
      <alignment horizontal="center" vertical="top"/>
    </xf>
    <xf borderId="52" fillId="2" fontId="8" numFmtId="0" xfId="0" applyAlignment="1" applyBorder="1" applyFont="1">
      <alignment horizontal="center" vertical="top"/>
    </xf>
    <xf borderId="52" fillId="2" fontId="8" numFmtId="0" xfId="0" applyAlignment="1" applyBorder="1" applyFont="1">
      <alignment horizontal="left" shrinkToFit="0" vertical="top" wrapText="1"/>
    </xf>
    <xf borderId="53" fillId="2" fontId="8" numFmtId="0" xfId="0" applyAlignment="1" applyBorder="1" applyFont="1">
      <alignment horizontal="center" vertical="top"/>
    </xf>
    <xf borderId="43" fillId="0" fontId="9" numFmtId="0" xfId="0" applyAlignment="1" applyBorder="1" applyFont="1">
      <alignment shrinkToFit="0" vertical="top" wrapText="1"/>
    </xf>
    <xf borderId="21" fillId="0" fontId="9" numFmtId="0" xfId="0" applyAlignment="1" applyBorder="1" applyFont="1">
      <alignment vertical="top"/>
    </xf>
    <xf borderId="21" fillId="0" fontId="9" numFmtId="0" xfId="0" applyAlignment="1" applyBorder="1" applyFont="1">
      <alignment horizontal="left" readingOrder="0" shrinkToFit="0" vertical="top" wrapText="1"/>
    </xf>
    <xf borderId="21" fillId="0" fontId="9" numFmtId="0" xfId="0" applyAlignment="1" applyBorder="1" applyFont="1">
      <alignment shrinkToFit="0" wrapText="1"/>
    </xf>
    <xf borderId="42" fillId="0" fontId="9" numFmtId="0" xfId="0" applyAlignment="1" applyBorder="1" applyFont="1">
      <alignment readingOrder="0" vertical="top"/>
    </xf>
    <xf borderId="21" fillId="0" fontId="9" numFmtId="0" xfId="0" applyAlignment="1" applyBorder="1" applyFont="1">
      <alignment readingOrder="0" vertical="top"/>
    </xf>
    <xf borderId="21" fillId="0" fontId="9" numFmtId="0" xfId="0" applyAlignment="1" applyBorder="1" applyFont="1">
      <alignment horizontal="left" shrinkToFit="0" vertical="top" wrapText="1"/>
    </xf>
    <xf borderId="42" fillId="0" fontId="9" numFmtId="0" xfId="0" applyAlignment="1" applyBorder="1" applyFont="1">
      <alignment vertical="top"/>
    </xf>
    <xf borderId="43" fillId="0" fontId="9" numFmtId="0" xfId="0" applyAlignment="1" applyBorder="1" applyFont="1">
      <alignment vertical="top"/>
    </xf>
    <xf borderId="21" fillId="0" fontId="9" numFmtId="0" xfId="0" applyBorder="1" applyFont="1"/>
    <xf borderId="43" fillId="0" fontId="9" numFmtId="0" xfId="0" applyBorder="1" applyFont="1"/>
    <xf borderId="54" fillId="0" fontId="9" numFmtId="0" xfId="0" applyBorder="1" applyFont="1"/>
    <xf borderId="38" fillId="0" fontId="9" numFmtId="0" xfId="0" applyBorder="1" applyFont="1"/>
    <xf borderId="38" fillId="0" fontId="9" numFmtId="0" xfId="0" applyAlignment="1" applyBorder="1" applyFont="1">
      <alignment vertical="top"/>
    </xf>
    <xf borderId="55" fillId="0" fontId="9" numFmtId="0" xfId="0" applyAlignment="1" applyBorder="1" applyFont="1">
      <alignment vertical="top"/>
    </xf>
    <xf borderId="0" fillId="0" fontId="5" numFmtId="0" xfId="0" applyAlignment="1" applyFont="1">
      <alignment horizontal="left" shrinkToFit="0" wrapText="1"/>
    </xf>
    <xf borderId="0" fillId="0" fontId="10" numFmtId="0" xfId="0" applyAlignment="1" applyFont="1">
      <alignment readingOrder="0"/>
    </xf>
    <xf borderId="16" fillId="0" fontId="1" numFmtId="0" xfId="0" applyAlignment="1" applyBorder="1" applyFont="1">
      <alignment horizontal="left" shrinkToFit="0" vertical="top" wrapText="1"/>
    </xf>
    <xf borderId="40" fillId="0" fontId="1" numFmtId="0" xfId="0" applyAlignment="1" applyBorder="1" applyFont="1">
      <alignment horizontal="left" shrinkToFit="0" vertical="top" wrapText="1"/>
    </xf>
    <xf borderId="43" fillId="0" fontId="9" numFmtId="0" xfId="0" applyAlignment="1" applyBorder="1" applyFont="1">
      <alignment horizontal="left" readingOrder="0" shrinkToFit="0" vertical="top" wrapText="1"/>
    </xf>
    <xf borderId="21" fillId="0" fontId="5" numFmtId="0" xfId="0" applyAlignment="1" applyBorder="1" applyFont="1">
      <alignment horizontal="left" shrinkToFit="0" vertical="top" wrapText="1"/>
    </xf>
    <xf borderId="21" fillId="0" fontId="9" numFmtId="0" xfId="0" applyAlignment="1" applyBorder="1" applyFont="1">
      <alignment horizontal="left" readingOrder="0" shrinkToFit="0" vertical="top" wrapText="1"/>
    </xf>
    <xf borderId="21" fillId="0" fontId="5" numFmtId="0" xfId="0" applyAlignment="1" applyBorder="1" applyFont="1">
      <alignment horizontal="center" readingOrder="0" shrinkToFit="0" vertical="top" wrapText="1"/>
    </xf>
    <xf borderId="42" fillId="0" fontId="5" numFmtId="0" xfId="0" applyAlignment="1" applyBorder="1" applyFont="1">
      <alignment horizontal="left" shrinkToFit="0" vertical="top" wrapText="1"/>
    </xf>
    <xf borderId="21" fillId="0" fontId="5" numFmtId="0" xfId="0" applyAlignment="1" applyBorder="1" applyFont="1">
      <alignment horizontal="center" readingOrder="0" shrinkToFit="0" vertical="bottom" wrapText="1"/>
    </xf>
    <xf borderId="21" fillId="0" fontId="5" numFmtId="0" xfId="0" applyAlignment="1" applyBorder="1" applyFont="1">
      <alignment horizontal="center" shrinkToFit="0" vertical="bottom" wrapText="1"/>
    </xf>
    <xf borderId="38" fillId="0" fontId="5" numFmtId="0" xfId="0" applyAlignment="1" applyBorder="1" applyFont="1">
      <alignment horizontal="left" shrinkToFit="0" vertical="top" wrapText="1"/>
    </xf>
    <xf borderId="38" fillId="0" fontId="9" numFmtId="0" xfId="0" applyAlignment="1" applyBorder="1" applyFont="1">
      <alignment horizontal="left" shrinkToFit="0" vertical="top" wrapText="1"/>
    </xf>
    <xf borderId="55" fillId="0" fontId="5" numFmtId="0" xfId="0" applyAlignment="1" applyBorder="1" applyFont="1">
      <alignment horizontal="left" shrinkToFit="0" vertical="top" wrapText="1"/>
    </xf>
    <xf borderId="5" fillId="0" fontId="5" numFmtId="0" xfId="0" applyBorder="1" applyFont="1"/>
    <xf borderId="36" fillId="0" fontId="5" numFmtId="0" xfId="0" applyBorder="1" applyFont="1"/>
    <xf borderId="6" fillId="0" fontId="5" numFmtId="0" xfId="0" applyBorder="1" applyFont="1"/>
    <xf borderId="7" fillId="0" fontId="5" numFmtId="0" xfId="0" applyBorder="1" applyFont="1"/>
    <xf borderId="41" fillId="0" fontId="5" numFmtId="0" xfId="0" applyBorder="1" applyFont="1"/>
    <xf borderId="28" fillId="0" fontId="5" numFmtId="0" xfId="0" applyBorder="1" applyFont="1"/>
    <xf borderId="43" fillId="0" fontId="5" numFmtId="0" xfId="0" applyBorder="1" applyFont="1"/>
    <xf borderId="21" fillId="0" fontId="5" numFmtId="0" xfId="0" applyBorder="1" applyFont="1"/>
    <xf borderId="54" fillId="0" fontId="5" numFmtId="0" xfId="0" applyBorder="1" applyFont="1"/>
    <xf borderId="6" fillId="0" fontId="5" numFmtId="10" xfId="0" applyBorder="1" applyFont="1" applyNumberFormat="1"/>
    <xf borderId="0" fillId="0" fontId="11" numFmtId="0" xfId="0" applyFont="1"/>
    <xf borderId="0" fillId="0" fontId="5" numFmtId="16" xfId="0" applyFont="1" applyNumberFormat="1"/>
    <xf borderId="0" fillId="0" fontId="12" numFmtId="0" xfId="0" applyFont="1"/>
    <xf borderId="22" fillId="0" fontId="5" numFmtId="0" xfId="0" applyBorder="1" applyFont="1"/>
    <xf borderId="22" fillId="0" fontId="5" numFmtId="16" xfId="0" applyBorder="1" applyFont="1" applyNumberFormat="1"/>
    <xf borderId="32" fillId="0" fontId="5" numFmtId="0" xfId="0" applyBorder="1" applyFont="1"/>
    <xf borderId="34" fillId="0" fontId="9" numFmtId="0" xfId="0" applyAlignment="1" applyBorder="1" applyFont="1">
      <alignment readingOrder="0"/>
    </xf>
    <xf borderId="0" fillId="0" fontId="12" numFmtId="0" xfId="0" applyFont="1"/>
    <xf borderId="0" fillId="0" fontId="13" numFmtId="0" xfId="0" applyAlignment="1" applyFont="1">
      <alignment horizontal="left" readingOrder="0" shrinkToFit="0" vertical="top" wrapText="1"/>
    </xf>
    <xf borderId="0" fillId="0" fontId="14" numFmtId="0" xfId="0" applyAlignment="1" applyFont="1">
      <alignment horizontal="left" shrinkToFit="0" vertical="top" wrapText="1"/>
    </xf>
    <xf borderId="0" fillId="0" fontId="5" numFmtId="0" xfId="0" applyAlignment="1" applyFont="1">
      <alignment shrinkToFit="0" wrapText="1"/>
    </xf>
    <xf borderId="21" fillId="0" fontId="5" numFmtId="0" xfId="0" applyAlignment="1" applyBorder="1" applyFont="1">
      <alignment horizontal="left" shrinkToFit="0" vertical="top" wrapText="1"/>
    </xf>
    <xf borderId="21" fillId="0" fontId="9" numFmtId="0" xfId="0" applyAlignment="1" applyBorder="1" applyFont="1">
      <alignment horizontal="left" readingOrder="0" shrinkToFit="0" vertical="top" wrapText="1"/>
    </xf>
    <xf borderId="21" fillId="0" fontId="5" numFmtId="0" xfId="0" applyAlignment="1" applyBorder="1" applyFont="1">
      <alignment shrinkToFit="0" vertical="top" wrapText="1"/>
    </xf>
    <xf borderId="21" fillId="0" fontId="15" numFmtId="0" xfId="0" applyAlignment="1" applyBorder="1" applyFont="1">
      <alignment shrinkToFit="0" vertical="top" wrapText="1"/>
    </xf>
    <xf borderId="21" fillId="0" fontId="16" numFmtId="0" xfId="0" applyAlignment="1" applyBorder="1" applyFont="1">
      <alignment shrinkToFit="0" vertical="top" wrapText="1"/>
    </xf>
    <xf borderId="21" fillId="0" fontId="17" numFmtId="0" xfId="0" applyAlignment="1" applyBorder="1" applyFont="1">
      <alignment shrinkToFit="0" vertical="top" wrapText="1"/>
    </xf>
    <xf borderId="21" fillId="0" fontId="17" numFmtId="0" xfId="0" applyAlignment="1" applyBorder="1" applyFont="1">
      <alignment readingOrder="0" shrinkToFit="0" vertical="top" wrapText="1"/>
    </xf>
    <xf borderId="21" fillId="0" fontId="5" numFmtId="0" xfId="0" applyAlignment="1" applyBorder="1" applyFont="1">
      <alignment vertical="top"/>
    </xf>
    <xf borderId="21" fillId="3" fontId="5" numFmtId="0" xfId="0" applyAlignment="1" applyBorder="1" applyFill="1" applyFont="1">
      <alignment horizontal="left" shrinkToFit="0" vertical="top" wrapText="1"/>
    </xf>
    <xf borderId="56" fillId="3" fontId="5" numFmtId="0" xfId="0" applyAlignment="1" applyBorder="1" applyFont="1">
      <alignment shrinkToFit="0" wrapText="1"/>
    </xf>
    <xf borderId="21" fillId="3" fontId="9" numFmtId="0" xfId="0" applyAlignment="1" applyBorder="1" applyFont="1">
      <alignment horizontal="left" readingOrder="0" shrinkToFit="0" vertical="top" wrapText="1"/>
    </xf>
    <xf borderId="0" fillId="0" fontId="9" numFmtId="0" xfId="0" applyAlignment="1" applyFont="1">
      <alignment horizontal="left" readingOrder="0" shrinkToFit="0" vertical="top" wrapText="1"/>
    </xf>
    <xf borderId="0" fillId="4" fontId="9" numFmtId="0" xfId="0" applyAlignment="1" applyFill="1" applyFont="1">
      <alignment shrinkToFit="0" vertical="top" wrapText="1"/>
    </xf>
    <xf borderId="0" fillId="4" fontId="18" numFmtId="0" xfId="0" applyAlignment="1" applyFont="1">
      <alignment shrinkToFit="0" vertical="top" wrapText="1"/>
    </xf>
    <xf borderId="0" fillId="0" fontId="5" numFmtId="0" xfId="0" applyAlignment="1" applyFont="1">
      <alignment horizontal="left" shrinkToFit="0" vertical="top" wrapText="1"/>
    </xf>
    <xf borderId="0" fillId="0" fontId="17" numFmtId="0" xfId="0" applyAlignment="1" applyFont="1">
      <alignment shrinkToFit="0" vertical="top" wrapText="1"/>
    </xf>
    <xf borderId="15" fillId="0" fontId="5" numFmtId="0" xfId="0" applyAlignment="1" applyBorder="1" applyFont="1">
      <alignment shrinkToFit="0" vertical="top" wrapText="1"/>
    </xf>
    <xf borderId="28" fillId="0" fontId="5" numFmtId="0" xfId="0" applyAlignment="1" applyBorder="1" applyFont="1">
      <alignment shrinkToFit="0" vertical="top" wrapText="1"/>
    </xf>
    <xf borderId="28" fillId="0" fontId="5" numFmtId="0" xfId="0" applyAlignment="1" applyBorder="1" applyFont="1">
      <alignment vertical="top"/>
    </xf>
    <xf borderId="32" fillId="0" fontId="5" numFmtId="0" xfId="0" applyAlignment="1" applyBorder="1" applyFont="1">
      <alignment vertical="top"/>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0E4F5"/>
          <bgColor rgb="FFC0E4F5"/>
        </patternFill>
      </fill>
      <border/>
    </dxf>
    <dxf>
      <font/>
      <fill>
        <patternFill patternType="solid">
          <fgColor theme="0"/>
          <bgColor theme="0"/>
        </patternFill>
      </fill>
      <border/>
    </dxf>
  </dxfs>
  <tableStyles count="3">
    <tableStyle count="3" pivot="0" name="Production-style">
      <tableStyleElement dxfId="1" type="headerRow"/>
      <tableStyleElement dxfId="2" type="firstRowStripe"/>
      <tableStyleElement dxfId="3" type="secondRowStripe"/>
    </tableStyle>
    <tableStyle count="3" pivot="0" name="Repository-style">
      <tableStyleElement dxfId="1" type="headerRow"/>
      <tableStyleElement dxfId="2" type="firstRowStripe"/>
      <tableStyleElement dxfId="3" type="secondRowStripe"/>
    </tableStyle>
    <tableStyle count="3" pivot="0" name="Severy-Priority Inform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400">
                <a:solidFill>
                  <a:srgbClr val="757575"/>
                </a:solidFill>
                <a:latin typeface="Arial"/>
              </a:defRPr>
            </a:pPr>
            <a:r>
              <a:rPr b="0" i="0" sz="2400">
                <a:solidFill>
                  <a:srgbClr val="757575"/>
                </a:solidFill>
                <a:latin typeface="Arial"/>
              </a:rPr>
              <a:t>WCAG 2.2 Conformance</a:t>
            </a:r>
          </a:p>
        </c:rich>
      </c:tx>
      <c:overlay val="0"/>
    </c:title>
    <c:plotArea>
      <c:layout/>
      <c:barChart>
        <c:barDir val="col"/>
        <c:ser>
          <c:idx val="0"/>
          <c:order val="0"/>
          <c:tx>
            <c:v>Level AA</c:v>
          </c:tx>
          <c:spPr>
            <a:solidFill>
              <a:schemeClr val="accent2"/>
            </a:solidFill>
            <a:ln cmpd="sng">
              <a:solidFill>
                <a:srgbClr val="000000"/>
              </a:solidFill>
            </a:ln>
          </c:spPr>
          <c:dLbls>
            <c:numFmt formatCode="General" sourceLinked="1"/>
            <c:txPr>
              <a:bodyPr/>
              <a:lstStyle/>
              <a:p>
                <a:pPr lvl="0">
                  <a:defRPr b="0" i="0" sz="900">
                    <a:latin typeface="Arial"/>
                  </a:defRPr>
                </a:pPr>
              </a:p>
            </c:txPr>
            <c:showLegendKey val="0"/>
            <c:showVal val="1"/>
            <c:showCatName val="0"/>
            <c:showSerName val="0"/>
            <c:showPercent val="0"/>
            <c:showBubbleSize val="0"/>
          </c:dLbls>
          <c:cat>
            <c:strRef>
              <c:f>Overview!$E$11:$E$12</c:f>
            </c:strRef>
          </c:cat>
          <c:val>
            <c:numRef>
              <c:f>Overview!$G$11:$G$12</c:f>
              <c:numCache/>
            </c:numRef>
          </c:val>
        </c:ser>
        <c:ser>
          <c:idx val="1"/>
          <c:order val="1"/>
          <c:tx>
            <c:v>Level A</c:v>
          </c:tx>
          <c:spPr>
            <a:solidFill>
              <a:schemeClr val="accent4"/>
            </a:solidFill>
            <a:ln cmpd="sng">
              <a:solidFill>
                <a:srgbClr val="000000"/>
              </a:solidFill>
            </a:ln>
          </c:spPr>
          <c:dLbls>
            <c:numFmt formatCode="General" sourceLinked="1"/>
            <c:txPr>
              <a:bodyPr/>
              <a:lstStyle/>
              <a:p>
                <a:pPr lvl="0">
                  <a:defRPr b="0" i="0" sz="900">
                    <a:latin typeface="Arial"/>
                  </a:defRPr>
                </a:pPr>
              </a:p>
            </c:txPr>
            <c:showLegendKey val="0"/>
            <c:showVal val="1"/>
            <c:showCatName val="0"/>
            <c:showSerName val="0"/>
            <c:showPercent val="0"/>
            <c:showBubbleSize val="0"/>
          </c:dLbls>
          <c:cat>
            <c:strRef>
              <c:f>Overview!$E$11:$E$12</c:f>
            </c:strRef>
          </c:cat>
          <c:val>
            <c:numRef>
              <c:f>Overview!$F$11:$F$12</c:f>
              <c:numCache/>
            </c:numRef>
          </c:val>
        </c:ser>
        <c:axId val="864928133"/>
        <c:axId val="1994645520"/>
      </c:barChart>
      <c:catAx>
        <c:axId val="864928133"/>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out"/>
        <c:minorTickMark val="none"/>
        <c:spPr/>
        <c:txPr>
          <a:bodyPr/>
          <a:lstStyle/>
          <a:p>
            <a:pPr lvl="0">
              <a:defRPr b="0" i="0" sz="900">
                <a:solidFill>
                  <a:srgbClr val="000000"/>
                </a:solidFill>
                <a:latin typeface="Arial"/>
              </a:defRPr>
            </a:pPr>
          </a:p>
        </c:txPr>
        <c:crossAx val="1994645520"/>
      </c:catAx>
      <c:valAx>
        <c:axId val="1994645520"/>
        <c:scaling>
          <c:orientation val="minMax"/>
        </c:scaling>
        <c:delete val="0"/>
        <c:axPos val="l"/>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out"/>
        <c:minorTickMark val="none"/>
        <c:tickLblPos val="nextTo"/>
        <c:spPr>
          <a:ln/>
        </c:spPr>
        <c:txPr>
          <a:bodyPr/>
          <a:lstStyle/>
          <a:p>
            <a:pPr lvl="0">
              <a:defRPr b="0" i="0" sz="900">
                <a:solidFill>
                  <a:srgbClr val="000000"/>
                </a:solidFill>
                <a:latin typeface="Arial"/>
              </a:defRPr>
            </a:pPr>
          </a:p>
        </c:txPr>
        <c:crossAx val="864928133"/>
      </c:valAx>
    </c:plotArea>
    <c:legend>
      <c:legendPos val="b"/>
      <c:overlay val="0"/>
      <c:txPr>
        <a:bodyPr/>
        <a:lstStyle/>
        <a:p>
          <a:pPr lvl="0">
            <a:defRPr b="0" i="0" sz="90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Users Impacted</a:t>
            </a:r>
          </a:p>
        </c:rich>
      </c:tx>
      <c:overlay val="0"/>
    </c:title>
    <c:view3D>
      <c:rotX val="50"/>
      <c:perspective val="0"/>
    </c:view3D>
    <c:plotArea>
      <c:layout/>
      <c:pie3DChart>
        <c:varyColors val="1"/>
        <c:ser>
          <c:idx val="0"/>
          <c:order val="0"/>
          <c:tx>
            <c:strRef>
              <c:f>Overview!$C$15</c:f>
            </c:strRef>
          </c:tx>
          <c:dPt>
            <c:idx val="0"/>
            <c:spPr>
              <a:solidFill>
                <a:srgbClr val="002060"/>
              </a:solidFill>
            </c:spPr>
          </c:dPt>
          <c:dPt>
            <c:idx val="1"/>
          </c:dPt>
          <c:dPt>
            <c:idx val="2"/>
          </c:dPt>
          <c:dPt>
            <c:idx val="3"/>
          </c:dPt>
          <c:dPt>
            <c:idx val="4"/>
          </c:dPt>
          <c:dPt>
            <c:idx val="5"/>
          </c:dPt>
          <c:dPt>
            <c:idx val="6"/>
          </c:dPt>
          <c:dPt>
            <c:idx val="7"/>
          </c:dPt>
          <c:dPt>
            <c:idx val="8"/>
          </c:dPt>
          <c:dPt>
            <c:idx val="9"/>
          </c:dPt>
          <c:dLbls>
            <c:showLegendKey val="0"/>
            <c:showVal val="0"/>
            <c:showCatName val="0"/>
            <c:showSerName val="0"/>
            <c:showPercent val="1"/>
            <c:showBubbleSize val="0"/>
            <c:showLeaderLines val="1"/>
          </c:dLbls>
          <c:cat>
            <c:strRef>
              <c:f>Overview!$B$16:$B$25</c:f>
            </c:strRef>
          </c:cat>
          <c:val>
            <c:numRef>
              <c:f>Overview!$C$16:$C$25</c:f>
              <c:numCache/>
            </c:numRef>
          </c:val>
        </c:ser>
        <c:dLbls>
          <c:showLegendKey val="0"/>
          <c:showVal val="0"/>
          <c:showCatName val="0"/>
          <c:showSerName val="0"/>
          <c:showPercent val="0"/>
          <c:showBubbleSize val="0"/>
        </c:dLbls>
      </c:pie3DChart>
    </c:plotArea>
    <c:legend>
      <c:legendPos val="l"/>
      <c:layout>
        <c:manualLayout>
          <c:xMode val="edge"/>
          <c:yMode val="edge"/>
          <c:x val="0.02714779853951562"/>
          <c:y val="0.10060999905132341"/>
        </c:manualLayout>
      </c:layou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16</xdr:row>
      <xdr:rowOff>85725</xdr:rowOff>
    </xdr:from>
    <xdr:ext cx="5981700" cy="2800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409575</xdr:colOff>
      <xdr:row>14</xdr:row>
      <xdr:rowOff>57150</xdr:rowOff>
    </xdr:from>
    <xdr:ext cx="3657600" cy="31908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66675</xdr:colOff>
      <xdr:row>7</xdr:row>
      <xdr:rowOff>85725</xdr:rowOff>
    </xdr:from>
    <xdr:ext cx="2286000" cy="9144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0</xdr:row>
      <xdr:rowOff>171450</xdr:rowOff>
    </xdr:from>
    <xdr:ext cx="2409825" cy="10382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0" displayName="Table_1" name="Table_1" id="1">
  <tableColumns count="6">
    <tableColumn name="Date" id="1"/>
    <tableColumn name="Production Hours" id="2"/>
    <tableColumn name="Process" id="3"/>
    <tableColumn name="Resource Name" id="4"/>
    <tableColumn name="Units" id="5"/>
    <tableColumn name="Notes" id="6"/>
  </tableColumns>
  <tableStyleInfo name="Production-style" showColumnStripes="0" showFirstColumn="1" showLastColumn="1" showRowStripes="1"/>
</table>
</file>

<file path=xl/tables/table2.xml><?xml version="1.0" encoding="utf-8"?>
<table xmlns="http://schemas.openxmlformats.org/spreadsheetml/2006/main" ref="A1:J1000" displayName="Table_2" name="Table_2" id="2">
  <tableColumns count="10">
    <tableColumn name="Issue title" id="1"/>
    <tableColumn name="Actual Result" id="2"/>
    <tableColumn name="Suggestion" id="3"/>
    <tableColumn name="Users Affected" id="4"/>
    <tableColumn name="Severity" id="5"/>
    <tableColumn name="WCAG Conformance Level" id="6"/>
    <tableColumn name="WCAG Success Criteria" id="7"/>
    <tableColumn name="WCAG Success Criteria Name" id="8"/>
    <tableColumn name="GIGW 3.0" id="9"/>
    <tableColumn name="IS 17802" id="10"/>
  </tableColumns>
  <tableStyleInfo name="Repository-style" showColumnStripes="0" showFirstColumn="1" showLastColumn="1" showRowStripes="1"/>
</table>
</file>

<file path=xl/tables/table3.xml><?xml version="1.0" encoding="utf-8"?>
<table xmlns="http://schemas.openxmlformats.org/spreadsheetml/2006/main" ref="A1:D5" displayName="Table_3" name="Table_3" id="3">
  <tableColumns count="4">
    <tableColumn name="SEVERITY" id="1"/>
    <tableColumn name="PRIORITY" id="2"/>
    <tableColumn name="Accessibility Risk Level" id="3"/>
    <tableColumn name="POTENTIAL IMPACT TO INDIVIDUAL WITH DISABILITY" id="4"/>
  </tableColumns>
  <tableStyleInfo name="Severy-Priority Inform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w3.org/WAI/tutorials/images/informative/)" TargetMode="External"/><Relationship Id="rId2" Type="http://schemas.openxmlformats.org/officeDocument/2006/relationships/drawing" Target="../drawings/drawing7.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22.0"/>
    <col customWidth="1" min="3" max="3" width="21.13"/>
    <col customWidth="1" min="4" max="4" width="8.63"/>
    <col customWidth="1" min="5" max="5" width="22.88"/>
    <col customWidth="1" min="6" max="6" width="9.88"/>
    <col customWidth="1" min="7" max="7" width="8.88"/>
    <col customWidth="1" min="8" max="8" width="7.75"/>
    <col customWidth="1" min="9" max="9" width="4.63"/>
    <col customWidth="1" min="10" max="10" width="15.63"/>
    <col customWidth="1" min="11" max="11" width="7.63"/>
    <col customWidth="1" min="12" max="12" width="33.63"/>
    <col customWidth="1" min="13" max="13" width="21.63"/>
    <col customWidth="1" min="14" max="14" width="6.38"/>
    <col customWidth="1" min="15" max="15" width="16.0"/>
    <col customWidth="1" min="16" max="16" width="14.63"/>
    <col customWidth="1" min="17" max="17" width="8.63"/>
    <col customWidth="1" min="18" max="18" width="44.38"/>
    <col customWidth="1" min="19" max="26" width="8.63"/>
  </cols>
  <sheetData>
    <row r="1" ht="14.25" customHeight="1"/>
    <row r="2" ht="14.25" customHeight="1">
      <c r="E2" s="1" t="s">
        <v>0</v>
      </c>
      <c r="F2" s="2" t="s">
        <v>1</v>
      </c>
      <c r="G2" s="3"/>
      <c r="H2" s="4"/>
      <c r="J2" s="5" t="s">
        <v>2</v>
      </c>
      <c r="K2" s="6" t="s">
        <v>3</v>
      </c>
      <c r="L2" s="6" t="s">
        <v>4</v>
      </c>
      <c r="M2" s="7" t="s">
        <v>5</v>
      </c>
      <c r="O2" s="8" t="s">
        <v>6</v>
      </c>
      <c r="P2" s="9"/>
      <c r="Q2" s="9"/>
      <c r="R2" s="10"/>
    </row>
    <row r="3" ht="14.25" customHeight="1">
      <c r="E3" s="11" t="s">
        <v>7</v>
      </c>
      <c r="F3" s="12" t="s">
        <v>8</v>
      </c>
      <c r="G3" s="13"/>
      <c r="H3" s="14"/>
      <c r="J3" s="15" t="s">
        <v>9</v>
      </c>
      <c r="K3" s="16" t="s">
        <v>10</v>
      </c>
      <c r="L3" s="16" t="s">
        <v>11</v>
      </c>
      <c r="M3" s="17" t="s">
        <v>12</v>
      </c>
      <c r="O3" s="18" t="str">
        <f>"1. The web asset has been audited in its present condition and Quality Assured by IAAP certified auditor. As per our offer and initial scope, the comprehensive report covers issues / bugs that have been found during the audit as on " &amp; TEXT(TODAY(),"mmmm d, yyyy") &amp; "."
</f>
        <v>1. The web asset has been audited in its present condition and Quality Assured by IAAP certified auditor. As per our offer and initial scope, the comprehensive report covers issues / bugs that have been found during the audit as on March 18, 2026.</v>
      </c>
      <c r="P3" s="19"/>
      <c r="Q3" s="19"/>
      <c r="R3" s="20"/>
    </row>
    <row r="4" ht="14.25" customHeight="1">
      <c r="E4" s="21" t="s">
        <v>13</v>
      </c>
      <c r="F4" s="22" t="s">
        <v>14</v>
      </c>
      <c r="G4" s="13"/>
      <c r="H4" s="14"/>
      <c r="J4" s="15" t="s">
        <v>9</v>
      </c>
      <c r="K4" s="23" t="s">
        <v>15</v>
      </c>
      <c r="L4" s="23" t="s">
        <v>16</v>
      </c>
      <c r="M4" s="24" t="s">
        <v>12</v>
      </c>
      <c r="O4" s="25"/>
      <c r="R4" s="26"/>
    </row>
    <row r="5" ht="14.25" customHeight="1">
      <c r="E5" s="21" t="s">
        <v>17</v>
      </c>
      <c r="F5" s="22" t="s">
        <v>18</v>
      </c>
      <c r="G5" s="13"/>
      <c r="H5" s="14"/>
      <c r="J5" s="15" t="s">
        <v>9</v>
      </c>
      <c r="K5" s="23" t="s">
        <v>10</v>
      </c>
      <c r="L5" s="27" t="s">
        <v>19</v>
      </c>
      <c r="M5" s="24" t="s">
        <v>20</v>
      </c>
      <c r="O5" s="28"/>
      <c r="P5" s="29"/>
      <c r="Q5" s="29"/>
      <c r="R5" s="30"/>
    </row>
    <row r="6" ht="14.25" customHeight="1">
      <c r="E6" s="21" t="s">
        <v>21</v>
      </c>
      <c r="F6" s="31">
        <f>TODAY()</f>
        <v>46099</v>
      </c>
      <c r="G6" s="13"/>
      <c r="H6" s="14"/>
      <c r="J6" s="32" t="s">
        <v>22</v>
      </c>
      <c r="K6" s="23" t="s">
        <v>23</v>
      </c>
      <c r="L6" s="23" t="s">
        <v>24</v>
      </c>
      <c r="M6" s="24" t="s">
        <v>12</v>
      </c>
      <c r="O6" s="33" t="s">
        <v>25</v>
      </c>
      <c r="P6" s="34"/>
      <c r="Q6" s="34"/>
      <c r="R6" s="35"/>
    </row>
    <row r="7" ht="14.25" customHeight="1">
      <c r="E7" s="36"/>
      <c r="F7" s="37"/>
      <c r="J7" s="32" t="s">
        <v>26</v>
      </c>
      <c r="K7" s="23" t="s">
        <v>10</v>
      </c>
      <c r="L7" s="23" t="s">
        <v>27</v>
      </c>
      <c r="M7" s="24" t="s">
        <v>28</v>
      </c>
      <c r="O7" s="25"/>
      <c r="R7" s="26"/>
    </row>
    <row r="8" ht="15.0" customHeight="1">
      <c r="J8" s="38" t="s">
        <v>29</v>
      </c>
      <c r="K8" s="39" t="s">
        <v>23</v>
      </c>
      <c r="L8" s="39" t="s">
        <v>24</v>
      </c>
      <c r="M8" s="40" t="s">
        <v>30</v>
      </c>
      <c r="O8" s="25"/>
      <c r="R8" s="26"/>
    </row>
    <row r="9" ht="14.25" customHeight="1">
      <c r="O9" s="25"/>
      <c r="R9" s="26"/>
    </row>
    <row r="10" ht="15.0" customHeight="1">
      <c r="E10" s="5" t="s">
        <v>31</v>
      </c>
      <c r="F10" s="6" t="s">
        <v>32</v>
      </c>
      <c r="G10" s="6" t="s">
        <v>33</v>
      </c>
      <c r="H10" s="7" t="s">
        <v>34</v>
      </c>
      <c r="J10" s="41" t="s">
        <v>35</v>
      </c>
      <c r="K10" s="19"/>
      <c r="L10" s="19"/>
      <c r="M10" s="20"/>
      <c r="O10" s="25"/>
      <c r="R10" s="26"/>
    </row>
    <row r="11" ht="14.25" customHeight="1">
      <c r="E11" s="42" t="s">
        <v>36</v>
      </c>
      <c r="F11" s="43">
        <f t="shared" ref="F11:G11" si="1">F13-F12</f>
        <v>32</v>
      </c>
      <c r="G11" s="43">
        <f t="shared" si="1"/>
        <v>24</v>
      </c>
      <c r="H11" s="44">
        <f t="shared" ref="H11:H12" si="2">SUM(F11:G11)</f>
        <v>56</v>
      </c>
      <c r="J11" s="45" t="s">
        <v>37</v>
      </c>
      <c r="K11" s="46" t="s">
        <v>38</v>
      </c>
      <c r="L11" s="47"/>
      <c r="M11" s="48" t="s">
        <v>39</v>
      </c>
      <c r="O11" s="25"/>
      <c r="R11" s="26"/>
    </row>
    <row r="12" ht="14.25" customHeight="1">
      <c r="E12" s="49" t="s">
        <v>40</v>
      </c>
      <c r="F12" s="50">
        <f>COUNTIFS('Conformance Score'!C:C, "A", 'Conformance Score'!E:E, "&gt;0")</f>
        <v>0</v>
      </c>
      <c r="G12" s="50">
        <f>COUNTIFS('Conformance Score'!C:C, "AA", 'Conformance Score'!E:E, "&gt;0")</f>
        <v>0</v>
      </c>
      <c r="H12" s="51">
        <f t="shared" si="2"/>
        <v>0</v>
      </c>
      <c r="J12" s="52">
        <v>1.0</v>
      </c>
      <c r="K12" s="53" t="str">
        <f>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IFERROR(I"&amp;"NDEX(uniqueSC,1),""""),
      pos,
        IF(thisSC="""","""", MATCH(thisSC, INDEX(sorted,,2), 0)),
      IF(
        thisSC="""",
        """",
        INDEX(sorted, pos, 1)
      )
    )
  ),
  1,
  1
)
"),"")</f>
        <v/>
      </c>
      <c r="L12" s="54"/>
      <c r="M12" s="55" t="str">
        <f>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1), "&amp;""""")
    )
  ),
  1,
  1
)
"),"")</f>
        <v/>
      </c>
      <c r="O12" s="28"/>
      <c r="P12" s="29"/>
      <c r="Q12" s="29"/>
      <c r="R12" s="30"/>
    </row>
    <row r="13" ht="14.25" customHeight="1">
      <c r="E13" s="5" t="s">
        <v>34</v>
      </c>
      <c r="F13" s="6">
        <v>32.0</v>
      </c>
      <c r="G13" s="6">
        <v>24.0</v>
      </c>
      <c r="H13" s="7">
        <f>SUM(H11:H12)</f>
        <v>56</v>
      </c>
      <c r="J13" s="56">
        <v>2.0</v>
      </c>
      <c r="K13" s="57" t="str">
        <f>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 2), """"),
      pos,
        IF(thisSC="""", """", MATCH(thisSC, INDEX(sorted,,2), 0)),
      IF(
        thisSC="""",
        """",
        INDEX(sorted, pos, 1)
      )
    )
  ),
  1,
  1
)
"),"")</f>
        <v/>
      </c>
      <c r="L13" s="58"/>
      <c r="M13" s="59" t="str">
        <f>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2), "&amp;""""")
    )
  ),
  1,
  1
)
"),"")</f>
        <v/>
      </c>
      <c r="O13" s="33" t="s">
        <v>41</v>
      </c>
      <c r="P13" s="34"/>
      <c r="Q13" s="34"/>
      <c r="R13" s="35"/>
    </row>
    <row r="14" ht="14.25" customHeight="1">
      <c r="J14" s="56">
        <v>3.0</v>
      </c>
      <c r="K14" s="57" t="str">
        <f>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3), """"),
      pos,
        IF(thisSC="""", """", MATCH(thisSC, INDEX(sorted,,2), 0)),
      IF(
        thisSC="""",
        """",
        INDEX(sorted, pos, 1)
      )
    )
  ),
  1,
  1
)
"),"")</f>
        <v/>
      </c>
      <c r="L14" s="58"/>
      <c r="M14" s="59" t="str">
        <f>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3), "&amp;""""")
    )
  ),
  1,
  1
)
"),"")</f>
        <v/>
      </c>
      <c r="O14" s="25"/>
      <c r="R14" s="26"/>
    </row>
    <row r="15" ht="14.25" customHeight="1">
      <c r="B15" s="60" t="str">
        <f>IFERROR(__xludf.DUMMYFUNCTION("{
  ""Users Affected"",""Issue counts"";
  IFERROR(
    QUERY(
      FILTER(
        TRIM(FLATTEN(SPLIT(
          TEXTJOIN(""|"", TRUE, 
            ARRAYFORMULA(
              IF('Final Report'!M2:M1000&lt;&gt;"""", 
                REGEXREPLACE('Final Report"&amp;"'!M2:M1000, "",\s*"", ""|""), 
                """"
              )
            )
          ),
          ""|""
        ))),
        TRIM(FLATTEN(SPLIT(
          TEXTJOIN(""|"", TRUE, 
            ARRAYFORMULA(
              IF('Final Report'!M2:M1000&lt;&gt;"""&amp;""", 
                REGEXREPLACE('Final Report'!M2:M1000, "",\s*"", ""|""), 
                """"
              )
            )
          ),
          ""|""
        ))) &lt;&gt; """"
      ),
      ""select Col1, count(Col1)
       group by Col1
       order b"&amp;"y count(Col1) desc
       label Col1 '', count(Col1) ''"",
      0
    ),
    {""No disabilities affected"",0}
  )
}"),"Users Affected")</f>
        <v>Users Affected</v>
      </c>
      <c r="C15" s="7" t="str">
        <f>IFERROR(__xludf.DUMMYFUNCTION("""COMPUTED_VALUE"""),"Issue counts")</f>
        <v>Issue counts</v>
      </c>
      <c r="J15" s="56">
        <v>4.0</v>
      </c>
      <c r="K15" s="57" t="str">
        <f>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4), """"),
      pos,
        IF(thisSC="""", """", MATCH(thisSC, INDEX(sorted,,2), 0)),
      IF(
        thisSC="""",
        """",
        INDEX(sorted, pos, 1)
      )
    )
  ),
  1,
  1
)
"),"")</f>
        <v/>
      </c>
      <c r="L15" s="58"/>
      <c r="M15" s="59" t="str">
        <f>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4), "&amp;""""")
    )
  ),
  1,
  1
)
"),"")</f>
        <v/>
      </c>
      <c r="O15" s="28"/>
      <c r="P15" s="29"/>
      <c r="Q15" s="29"/>
      <c r="R15" s="30"/>
    </row>
    <row r="16" ht="14.25" customHeight="1">
      <c r="B16" s="61" t="str">
        <f>IFERROR(__xludf.DUMMYFUNCTION("""COMPUTED_VALUE"""),"No disabilities affected")</f>
        <v>No disabilities affected</v>
      </c>
      <c r="C16" s="62">
        <f>IFERROR(__xludf.DUMMYFUNCTION("""COMPUTED_VALUE"""),0.0)</f>
        <v>0</v>
      </c>
      <c r="J16" s="63">
        <v>5.0</v>
      </c>
      <c r="K16" s="64" t="str">
        <f>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5), """"),
      pos,
        IF(thisSC="""", """", MATCH(thisSC, INDEX(sorted,,2), 0)),
      IF(
        thisSC="""",
        """",
        INDEX(sorted, pos, 1)
      )
    )
  ),
  1,
  1
)
"),"")</f>
        <v/>
      </c>
      <c r="L16" s="65"/>
      <c r="M16" s="66" t="str">
        <f>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5), "&amp;""""")
    )
  ),
  1,
  1
)
"),"")</f>
        <v/>
      </c>
      <c r="O16" s="33" t="s">
        <v>42</v>
      </c>
      <c r="P16" s="34"/>
      <c r="Q16" s="34"/>
      <c r="R16" s="35"/>
    </row>
    <row r="17" ht="14.25" customHeight="1">
      <c r="B17" s="61"/>
      <c r="C17" s="62"/>
      <c r="O17" s="25"/>
      <c r="R17" s="26"/>
    </row>
    <row r="18" ht="14.25" customHeight="1">
      <c r="B18" s="61"/>
      <c r="C18" s="62"/>
      <c r="O18" s="28"/>
      <c r="P18" s="29"/>
      <c r="Q18" s="29"/>
      <c r="R18" s="30"/>
    </row>
    <row r="19" ht="14.25" customHeight="1">
      <c r="B19" s="61"/>
      <c r="C19" s="62"/>
      <c r="O19" s="33" t="str">
        <f>"5. The VPAT/ACR report will be issued based on the remediation of the initial assessment report dated " &amp; TEXT(TODAY(),"mmmm d, yyyy") &amp; "."
</f>
        <v>5. The VPAT/ACR report will be issued based on the remediation of the initial assessment report dated March 18, 2026.</v>
      </c>
      <c r="P19" s="34"/>
      <c r="Q19" s="34"/>
      <c r="R19" s="35"/>
    </row>
    <row r="20" ht="14.25" customHeight="1">
      <c r="B20" s="61"/>
      <c r="C20" s="62"/>
      <c r="O20" s="67"/>
      <c r="P20" s="68"/>
      <c r="Q20" s="68"/>
      <c r="R20" s="69"/>
    </row>
    <row r="21" ht="14.25" customHeight="1">
      <c r="B21" s="61"/>
      <c r="C21" s="62"/>
      <c r="O21" s="61"/>
      <c r="P21" s="61"/>
      <c r="Q21" s="61"/>
      <c r="R21" s="61"/>
    </row>
    <row r="22" ht="14.25" customHeight="1">
      <c r="B22" s="61"/>
      <c r="C22" s="62"/>
      <c r="D22" s="36"/>
      <c r="E22" s="36"/>
      <c r="O22" s="61"/>
      <c r="P22" s="61"/>
      <c r="Q22" s="61"/>
      <c r="R22" s="61"/>
    </row>
    <row r="23" ht="14.25" customHeight="1">
      <c r="B23" s="70"/>
      <c r="C23" s="62"/>
      <c r="D23" s="71"/>
      <c r="E23" s="71"/>
      <c r="O23" s="72" t="str">
        <f>IFERROR(__xludf.DUMMYFUNCTION("QUERY('Final Report'!L2:L1000,
""select L, count(L)
 where L is not null
 group by L
 label L 'Severity', count(L) 'Issue Count'"",
0)
"),"Severity")</f>
        <v>Severity</v>
      </c>
      <c r="P23" s="73" t="str">
        <f>IFERROR(__xludf.DUMMYFUNCTION("""COMPUTED_VALUE"""),"Issue Count")</f>
        <v>Issue Count</v>
      </c>
      <c r="Q23" s="61"/>
      <c r="R23" s="61"/>
    </row>
    <row r="24" ht="14.25" customHeight="1">
      <c r="B24" s="70"/>
      <c r="C24" s="62"/>
      <c r="D24" s="71"/>
      <c r="E24" s="71"/>
      <c r="O24" s="61"/>
      <c r="P24" s="61"/>
      <c r="Q24" s="61"/>
      <c r="R24" s="61"/>
    </row>
    <row r="25" ht="14.25" customHeight="1">
      <c r="B25" s="70"/>
      <c r="C25" s="62"/>
      <c r="D25" s="71"/>
      <c r="E25" s="71"/>
      <c r="O25" s="61"/>
      <c r="P25" s="61"/>
      <c r="Q25" s="61"/>
      <c r="R25" s="61"/>
    </row>
    <row r="26" ht="14.25" customHeight="1">
      <c r="D26" s="71"/>
      <c r="E26" s="71"/>
      <c r="O26" s="61"/>
      <c r="P26" s="61"/>
      <c r="Q26" s="61"/>
      <c r="R26" s="61"/>
    </row>
    <row r="27" ht="14.25" customHeight="1">
      <c r="O27" s="61"/>
      <c r="P27" s="61"/>
      <c r="Q27" s="61"/>
      <c r="R27" s="61"/>
    </row>
    <row r="28" ht="14.25" customHeight="1">
      <c r="B28" s="74" t="s">
        <v>43</v>
      </c>
      <c r="C28" s="75" t="s">
        <v>44</v>
      </c>
      <c r="O28" s="61"/>
      <c r="P28" s="61"/>
      <c r="Q28" s="61"/>
      <c r="R28" s="61"/>
    </row>
    <row r="29" ht="14.25" customHeight="1">
      <c r="B29" s="76" t="s">
        <v>45</v>
      </c>
      <c r="C29" s="77" t="s">
        <v>46</v>
      </c>
      <c r="O29" s="61"/>
      <c r="P29" s="61"/>
      <c r="Q29" s="61"/>
      <c r="R29" s="61"/>
    </row>
    <row r="30" ht="14.25" customHeight="1">
      <c r="B30" s="76" t="s">
        <v>47</v>
      </c>
      <c r="C30" s="77" t="s">
        <v>46</v>
      </c>
      <c r="O30" s="61"/>
      <c r="P30" s="61"/>
      <c r="Q30" s="61"/>
      <c r="R30" s="61"/>
    </row>
    <row r="31" ht="14.25" customHeight="1">
      <c r="B31" s="76" t="s">
        <v>48</v>
      </c>
      <c r="C31" s="78" t="s">
        <v>49</v>
      </c>
      <c r="O31" s="61"/>
      <c r="P31" s="61"/>
      <c r="Q31" s="61"/>
      <c r="R31" s="61"/>
    </row>
    <row r="32" ht="14.25" customHeight="1">
      <c r="B32" s="79" t="s">
        <v>50</v>
      </c>
      <c r="C32" s="80" t="s">
        <v>51</v>
      </c>
      <c r="O32" s="61"/>
      <c r="P32" s="61"/>
      <c r="Q32" s="61"/>
      <c r="R32" s="61"/>
    </row>
    <row r="33" ht="14.25" customHeight="1">
      <c r="O33" s="61"/>
      <c r="P33" s="61"/>
      <c r="Q33" s="61"/>
      <c r="R33" s="61"/>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F6:H6"/>
    <mergeCell ref="F7:H7"/>
    <mergeCell ref="F2:H2"/>
    <mergeCell ref="O2:R2"/>
    <mergeCell ref="F3:H3"/>
    <mergeCell ref="O3:R5"/>
    <mergeCell ref="F4:H4"/>
    <mergeCell ref="F5:H5"/>
    <mergeCell ref="O6:R12"/>
    <mergeCell ref="K12:L12"/>
    <mergeCell ref="O16:R18"/>
    <mergeCell ref="O19:R20"/>
    <mergeCell ref="J10:M10"/>
    <mergeCell ref="K11:L11"/>
    <mergeCell ref="K13:L13"/>
    <mergeCell ref="O13:R15"/>
    <mergeCell ref="K14:L14"/>
    <mergeCell ref="K15:L15"/>
    <mergeCell ref="K16:L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16.0"/>
    <col customWidth="1" min="3" max="3" width="18.0"/>
    <col customWidth="1" min="4" max="4" width="20.0"/>
    <col customWidth="1" min="5" max="5" width="9.88"/>
    <col customWidth="1" min="6" max="6" width="15.63"/>
    <col customWidth="1" min="7" max="7" width="18.38"/>
    <col customWidth="1" min="8" max="8" width="13.75"/>
    <col customWidth="1" min="9" max="9" width="11.0"/>
    <col customWidth="1" min="10" max="10" width="10.75"/>
    <col customWidth="1" min="11" max="11" width="19.25"/>
    <col customWidth="1" min="12" max="26" width="8.63"/>
  </cols>
  <sheetData>
    <row r="1" ht="14.25" customHeight="1">
      <c r="A1" s="81" t="s">
        <v>52</v>
      </c>
      <c r="B1" s="82" t="s">
        <v>53</v>
      </c>
      <c r="C1" s="82" t="s">
        <v>54</v>
      </c>
      <c r="D1" s="83" t="s">
        <v>55</v>
      </c>
      <c r="E1" s="82" t="s">
        <v>56</v>
      </c>
      <c r="F1" s="82" t="s">
        <v>57</v>
      </c>
      <c r="G1" s="82" t="s">
        <v>58</v>
      </c>
      <c r="H1" s="82" t="s">
        <v>59</v>
      </c>
      <c r="I1" s="82" t="s">
        <v>60</v>
      </c>
      <c r="J1" s="82" t="s">
        <v>61</v>
      </c>
      <c r="K1" s="84" t="s">
        <v>62</v>
      </c>
    </row>
    <row r="2" ht="14.25" customHeight="1">
      <c r="A2" s="85" t="s">
        <v>63</v>
      </c>
      <c r="B2" s="86" t="s">
        <v>64</v>
      </c>
      <c r="C2" s="86" t="s">
        <v>65</v>
      </c>
      <c r="D2" s="87" t="s">
        <v>66</v>
      </c>
      <c r="E2" s="88" t="s">
        <v>67</v>
      </c>
      <c r="F2" s="86"/>
      <c r="G2" s="86"/>
      <c r="H2" s="86"/>
      <c r="I2" s="86"/>
      <c r="J2" s="86"/>
      <c r="K2" s="89"/>
    </row>
    <row r="3" ht="14.25" customHeight="1">
      <c r="A3" s="85" t="s">
        <v>68</v>
      </c>
      <c r="B3" s="86"/>
      <c r="C3" s="90"/>
      <c r="D3" s="91" t="str">
        <f>IFERROR(__xludf.DUMMYFUNCTION("IF(A3="""","""",
 IFERROR(TEXTJOIN("", ""&amp;CHAR(10), TRUE,
   FILTER('All URLs'!A2:A500, 'All URLs'!B2:B500=A3, 'All URLs'!A2:A500&lt;&gt;"""")
 ),"""")
)
"),"")</f>
        <v/>
      </c>
      <c r="E3" s="88" t="s">
        <v>69</v>
      </c>
      <c r="F3" s="86"/>
      <c r="G3" s="86"/>
      <c r="H3" s="86"/>
      <c r="I3" s="86"/>
      <c r="J3" s="86"/>
      <c r="K3" s="92"/>
    </row>
    <row r="4" ht="14.25" customHeight="1">
      <c r="A4" s="85" t="s">
        <v>70</v>
      </c>
      <c r="B4" s="86"/>
      <c r="C4" s="86" t="s">
        <v>71</v>
      </c>
      <c r="D4" s="91" t="str">
        <f>IFERROR(__xludf.DUMMYFUNCTION("IF(A4="""","""",
 IFERROR(TEXTJOIN("", ""&amp;CHAR(10), TRUE,
   FILTER('All URLs'!A3:A501, 'All URLs'!B3:B501=A4, 'All URLs'!A3:A501&lt;&gt;"""")
 ),"""")
)
"),"")</f>
        <v/>
      </c>
      <c r="E4" s="88" t="s">
        <v>72</v>
      </c>
      <c r="F4" s="86"/>
      <c r="G4" s="86"/>
      <c r="H4" s="86"/>
      <c r="I4" s="86"/>
      <c r="J4" s="86"/>
      <c r="K4" s="92"/>
    </row>
    <row r="5" ht="14.25" customHeight="1">
      <c r="A5" s="85" t="s">
        <v>73</v>
      </c>
      <c r="B5" s="86"/>
      <c r="C5" s="86" t="s">
        <v>71</v>
      </c>
      <c r="D5" s="91" t="str">
        <f>IFERROR(__xludf.DUMMYFUNCTION("IF(A5="""","""",
 IFERROR(TEXTJOIN("", ""&amp;CHAR(10), TRUE,
   FILTER('All URLs'!A4:A502, 'All URLs'!B4:B502=A5, 'All URLs'!A4:A502&lt;&gt;"""")
 ),"""")
)
"),"")</f>
        <v/>
      </c>
      <c r="E5" s="88" t="s">
        <v>74</v>
      </c>
      <c r="F5" s="86"/>
      <c r="G5" s="86"/>
      <c r="H5" s="86"/>
      <c r="I5" s="86"/>
      <c r="J5" s="86"/>
      <c r="K5" s="92"/>
    </row>
    <row r="6" ht="14.25" customHeight="1">
      <c r="A6" s="85" t="s">
        <v>75</v>
      </c>
      <c r="B6" s="86"/>
      <c r="C6" s="86" t="s">
        <v>71</v>
      </c>
      <c r="D6" s="91" t="str">
        <f>IFERROR(__xludf.DUMMYFUNCTION("IF(A6="""","""",
 IFERROR(TEXTJOIN("", ""&amp;CHAR(10), TRUE,
   FILTER('All URLs'!A5:A503, 'All URLs'!B5:B503=A6, 'All URLs'!A5:A503&lt;&gt;"""")
 ),"""")
)
"),"")</f>
        <v/>
      </c>
      <c r="E6" s="88" t="s">
        <v>76</v>
      </c>
      <c r="F6" s="86"/>
      <c r="G6" s="86"/>
      <c r="H6" s="86"/>
      <c r="I6" s="86"/>
      <c r="J6" s="86"/>
      <c r="K6" s="92"/>
    </row>
    <row r="7" ht="14.25" customHeight="1">
      <c r="A7" s="85" t="s">
        <v>77</v>
      </c>
      <c r="B7" s="86"/>
      <c r="C7" s="86" t="s">
        <v>71</v>
      </c>
      <c r="D7" s="91" t="str">
        <f>IFERROR(__xludf.DUMMYFUNCTION("IF(A7="""","""",
 IFERROR(TEXTJOIN("", ""&amp;CHAR(10), TRUE,
   FILTER('All URLs'!A6:A504, 'All URLs'!B6:B504=A7, 'All URLs'!A6:A504&lt;&gt;"""")
 ),"""")
)
"),"")</f>
        <v/>
      </c>
      <c r="E7" s="88" t="s">
        <v>78</v>
      </c>
      <c r="F7" s="86"/>
      <c r="G7" s="86"/>
      <c r="H7" s="86"/>
      <c r="I7" s="86"/>
      <c r="J7" s="86"/>
      <c r="K7" s="92"/>
    </row>
    <row r="8" ht="14.25" customHeight="1">
      <c r="A8" s="85" t="s">
        <v>79</v>
      </c>
      <c r="B8" s="86"/>
      <c r="C8" s="86" t="s">
        <v>71</v>
      </c>
      <c r="D8" s="91" t="str">
        <f>IFERROR(__xludf.DUMMYFUNCTION("IF(A8="""","""",
 IFERROR(TEXTJOIN("", ""&amp;CHAR(10), TRUE,
   FILTER('All URLs'!A7:A505, 'All URLs'!B7:B505=A8, 'All URLs'!A7:A505&lt;&gt;"""")
 ),"""")
)
"),"")</f>
        <v/>
      </c>
      <c r="E8" s="88" t="s">
        <v>80</v>
      </c>
      <c r="F8" s="86"/>
      <c r="G8" s="86"/>
      <c r="H8" s="86"/>
      <c r="I8" s="86"/>
      <c r="J8" s="86"/>
      <c r="K8" s="92"/>
    </row>
    <row r="9" ht="14.25" customHeight="1">
      <c r="A9" s="85" t="s">
        <v>81</v>
      </c>
      <c r="B9" s="86"/>
      <c r="C9" s="86" t="s">
        <v>71</v>
      </c>
      <c r="D9" s="91" t="str">
        <f>IFERROR(__xludf.DUMMYFUNCTION("IF(A9="""","""",
 IFERROR(TEXTJOIN("", ""&amp;CHAR(10), TRUE,
   FILTER('All URLs'!A8:A506, 'All URLs'!B8:B506=A9, 'All URLs'!A8:A506&lt;&gt;"""")
 ),"""")
)
"),"")</f>
        <v/>
      </c>
      <c r="E9" s="88" t="s">
        <v>82</v>
      </c>
      <c r="F9" s="86"/>
      <c r="G9" s="86"/>
      <c r="H9" s="86"/>
      <c r="I9" s="86"/>
      <c r="J9" s="86"/>
      <c r="K9" s="92"/>
    </row>
    <row r="10" ht="14.25" customHeight="1">
      <c r="A10" s="85" t="s">
        <v>83</v>
      </c>
      <c r="B10" s="86"/>
      <c r="C10" s="86" t="s">
        <v>71</v>
      </c>
      <c r="D10" s="91" t="str">
        <f>IFERROR(__xludf.DUMMYFUNCTION("IF(A10="""","""",
 IFERROR(TEXTJOIN("", ""&amp;CHAR(10), TRUE,
   FILTER('All URLs'!A9:A507, 'All URLs'!B9:B507=A10, 'All URLs'!A9:A507&lt;&gt;"""")
 ),"""")
)
"),"")</f>
        <v/>
      </c>
      <c r="E10" s="88" t="s">
        <v>84</v>
      </c>
      <c r="F10" s="86"/>
      <c r="G10" s="86"/>
      <c r="H10" s="86"/>
      <c r="I10" s="86"/>
      <c r="J10" s="86"/>
      <c r="K10" s="92"/>
    </row>
    <row r="11" ht="14.25" customHeight="1">
      <c r="A11" s="85" t="s">
        <v>85</v>
      </c>
      <c r="B11" s="86"/>
      <c r="C11" s="86" t="s">
        <v>71</v>
      </c>
      <c r="D11" s="91" t="str">
        <f>IFERROR(__xludf.DUMMYFUNCTION("IF(A11="""","""",
 IFERROR(TEXTJOIN("", ""&amp;CHAR(10), TRUE,
   FILTER('All URLs'!A10:A508, 'All URLs'!B10:B508=A11, 'All URLs'!A10:A508&lt;&gt;"""")
 ),"""")
)
"),"")</f>
        <v/>
      </c>
      <c r="E11" s="88" t="s">
        <v>86</v>
      </c>
      <c r="F11" s="86"/>
      <c r="G11" s="86"/>
      <c r="H11" s="86"/>
      <c r="I11" s="86"/>
      <c r="J11" s="86"/>
      <c r="K11" s="92"/>
    </row>
    <row r="12" ht="14.25" customHeight="1">
      <c r="A12" s="85" t="s">
        <v>87</v>
      </c>
      <c r="B12" s="86"/>
      <c r="C12" s="86" t="s">
        <v>71</v>
      </c>
      <c r="D12" s="91" t="str">
        <f>IFERROR(__xludf.DUMMYFUNCTION("IF(A12="""","""",
 IFERROR(TEXTJOIN("", ""&amp;CHAR(10), TRUE,
   FILTER('All URLs'!A11:A509, 'All URLs'!B11:B509=A12, 'All URLs'!A11:A509&lt;&gt;"""")
 ),"""")
)
"),"")</f>
        <v/>
      </c>
      <c r="E12" s="88" t="s">
        <v>88</v>
      </c>
      <c r="F12" s="86"/>
      <c r="G12" s="86"/>
      <c r="H12" s="86"/>
      <c r="I12" s="86"/>
      <c r="J12" s="86"/>
      <c r="K12" s="92"/>
    </row>
    <row r="13" ht="14.25" customHeight="1">
      <c r="A13" s="85" t="s">
        <v>89</v>
      </c>
      <c r="B13" s="86"/>
      <c r="C13" s="86" t="s">
        <v>71</v>
      </c>
      <c r="D13" s="91" t="str">
        <f>IFERROR(__xludf.DUMMYFUNCTION("IF(A13="""","""",
 IFERROR(TEXTJOIN("", ""&amp;CHAR(10), TRUE,
   FILTER('All URLs'!A12:A510, 'All URLs'!B12:B510=A13, 'All URLs'!A12:A510&lt;&gt;"""")
 ),"""")
)
"),"")</f>
        <v/>
      </c>
      <c r="E13" s="88" t="s">
        <v>90</v>
      </c>
      <c r="F13" s="86"/>
      <c r="G13" s="86"/>
      <c r="H13" s="86"/>
      <c r="I13" s="86"/>
      <c r="J13" s="86"/>
      <c r="K13" s="92"/>
    </row>
    <row r="14" ht="14.25" customHeight="1">
      <c r="A14" s="85" t="s">
        <v>91</v>
      </c>
      <c r="B14" s="86"/>
      <c r="C14" s="86" t="s">
        <v>71</v>
      </c>
      <c r="D14" s="91" t="str">
        <f>IFERROR(__xludf.DUMMYFUNCTION("IF(A14="""","""",
 IFERROR(TEXTJOIN("", ""&amp;CHAR(10), TRUE,
   FILTER('All URLs'!A13:A511, 'All URLs'!B13:B511=A14, 'All URLs'!A13:A511&lt;&gt;"""")
 ),"""")
)
"),"")</f>
        <v/>
      </c>
      <c r="E14" s="88" t="s">
        <v>92</v>
      </c>
      <c r="F14" s="86"/>
      <c r="G14" s="86"/>
      <c r="H14" s="86"/>
      <c r="I14" s="86"/>
      <c r="J14" s="86"/>
      <c r="K14" s="92"/>
    </row>
    <row r="15" ht="14.25" customHeight="1">
      <c r="A15" s="85" t="s">
        <v>93</v>
      </c>
      <c r="B15" s="86"/>
      <c r="C15" s="86" t="s">
        <v>71</v>
      </c>
      <c r="D15" s="91" t="str">
        <f>IFERROR(__xludf.DUMMYFUNCTION("IF(A15="""","""",
 IFERROR(TEXTJOIN("", ""&amp;CHAR(10), TRUE,
   FILTER('All URLs'!A14:A512, 'All URLs'!B14:B512=A15, 'All URLs'!A14:A512&lt;&gt;"""")
 ),"""")
)
"),"")</f>
        <v/>
      </c>
      <c r="E15" s="88" t="s">
        <v>94</v>
      </c>
      <c r="F15" s="86"/>
      <c r="G15" s="86"/>
      <c r="H15" s="86"/>
      <c r="I15" s="86"/>
      <c r="J15" s="86"/>
      <c r="K15" s="92"/>
    </row>
    <row r="16" ht="14.25" customHeight="1">
      <c r="A16" s="93" t="s">
        <v>95</v>
      </c>
      <c r="B16" s="86"/>
      <c r="C16" s="86" t="s">
        <v>71</v>
      </c>
      <c r="D16" s="91" t="str">
        <f>IFERROR(__xludf.DUMMYFUNCTION("IF(A16="""","""",
 IFERROR(TEXTJOIN("", ""&amp;CHAR(10), TRUE,
   FILTER('All URLs'!A15:A513, 'All URLs'!B15:B513=A16, 'All URLs'!A15:A513&lt;&gt;"""")
 ),"""")
)
"),"")</f>
        <v/>
      </c>
      <c r="E16" s="88" t="s">
        <v>96</v>
      </c>
      <c r="F16" s="86"/>
      <c r="G16" s="86"/>
      <c r="H16" s="86"/>
      <c r="I16" s="86"/>
      <c r="J16" s="86"/>
      <c r="K16" s="92"/>
    </row>
    <row r="17" ht="14.25" customHeight="1">
      <c r="A17" s="93" t="s">
        <v>97</v>
      </c>
      <c r="B17" s="86"/>
      <c r="C17" s="86" t="s">
        <v>71</v>
      </c>
      <c r="D17" s="91" t="str">
        <f>IFERROR(__xludf.DUMMYFUNCTION("IF(A17="""","""",
 IFERROR(TEXTJOIN("", ""&amp;CHAR(10), TRUE,
   FILTER('All URLs'!A16:A514, 'All URLs'!B16:B514=A17, 'All URLs'!A16:A514&lt;&gt;"""")
 ),"""")
)
"),"")</f>
        <v/>
      </c>
      <c r="E17" s="88" t="s">
        <v>98</v>
      </c>
      <c r="F17" s="86"/>
      <c r="G17" s="86"/>
      <c r="H17" s="86"/>
      <c r="I17" s="86"/>
      <c r="J17" s="86"/>
      <c r="K17" s="92"/>
    </row>
    <row r="18" ht="14.25" customHeight="1">
      <c r="A18" s="93" t="s">
        <v>99</v>
      </c>
      <c r="B18" s="86"/>
      <c r="C18" s="86" t="s">
        <v>71</v>
      </c>
      <c r="D18" s="91" t="str">
        <f>IFERROR(__xludf.DUMMYFUNCTION("IF(A18="""","""",
 IFERROR(TEXTJOIN("", ""&amp;CHAR(10), TRUE,
   FILTER('All URLs'!A17:A515, 'All URLs'!B17:B515=A18, 'All URLs'!A17:A515&lt;&gt;"""")
 ),"""")
)
"),"")</f>
        <v/>
      </c>
      <c r="E18" s="88" t="s">
        <v>100</v>
      </c>
      <c r="F18" s="86"/>
      <c r="G18" s="86"/>
      <c r="H18" s="86"/>
      <c r="I18" s="86"/>
      <c r="J18" s="86"/>
      <c r="K18" s="92"/>
    </row>
    <row r="19" ht="14.25" customHeight="1">
      <c r="A19" s="93" t="s">
        <v>101</v>
      </c>
      <c r="B19" s="86"/>
      <c r="C19" s="86" t="s">
        <v>71</v>
      </c>
      <c r="D19" s="91" t="str">
        <f>IFERROR(__xludf.DUMMYFUNCTION("IF(A19="""","""",
 IFERROR(TEXTJOIN("", ""&amp;CHAR(10), TRUE,
   FILTER('All URLs'!A18:A516, 'All URLs'!B18:B516=A19, 'All URLs'!A18:A516&lt;&gt;"""")
 ),"""")
)
"),"")</f>
        <v/>
      </c>
      <c r="E19" s="88" t="s">
        <v>102</v>
      </c>
      <c r="F19" s="86"/>
      <c r="G19" s="86"/>
      <c r="H19" s="86"/>
      <c r="I19" s="86"/>
      <c r="J19" s="86"/>
      <c r="K19" s="92"/>
    </row>
    <row r="20" ht="14.25" customHeight="1">
      <c r="A20" s="93" t="s">
        <v>103</v>
      </c>
      <c r="B20" s="86"/>
      <c r="C20" s="86" t="s">
        <v>71</v>
      </c>
      <c r="D20" s="91" t="str">
        <f>IFERROR(__xludf.DUMMYFUNCTION("IF(A20="""","""",
 IFERROR(TEXTJOIN("", ""&amp;CHAR(10), TRUE,
   FILTER('All URLs'!A19:A517, 'All URLs'!B19:B517=A20, 'All URLs'!A19:A517&lt;&gt;"""")
 ),"""")
)
"),"")</f>
        <v/>
      </c>
      <c r="E20" s="88" t="s">
        <v>104</v>
      </c>
      <c r="F20" s="86"/>
      <c r="G20" s="86"/>
      <c r="H20" s="86"/>
      <c r="I20" s="86"/>
      <c r="J20" s="86"/>
      <c r="K20" s="92"/>
    </row>
    <row r="21" ht="14.25" customHeight="1">
      <c r="A21" s="93" t="s">
        <v>105</v>
      </c>
      <c r="B21" s="86"/>
      <c r="C21" s="86" t="s">
        <v>71</v>
      </c>
      <c r="D21" s="91" t="str">
        <f>IFERROR(__xludf.DUMMYFUNCTION("IF(A21="""","""",
 IFERROR(TEXTJOIN("", ""&amp;CHAR(10), TRUE,
   FILTER('All URLs'!A20:A518, 'All URLs'!B20:B518=A21, 'All URLs'!A20:A518&lt;&gt;"""")
 ),"""")
)
"),"")</f>
        <v/>
      </c>
      <c r="E21" s="88" t="s">
        <v>106</v>
      </c>
      <c r="F21" s="86"/>
      <c r="G21" s="86"/>
      <c r="H21" s="86"/>
      <c r="I21" s="86"/>
      <c r="J21" s="86"/>
      <c r="K21" s="92"/>
    </row>
    <row r="22" ht="14.25" customHeight="1">
      <c r="A22" s="93" t="s">
        <v>107</v>
      </c>
      <c r="B22" s="86"/>
      <c r="C22" s="86" t="s">
        <v>71</v>
      </c>
      <c r="D22" s="91" t="str">
        <f>IFERROR(__xludf.DUMMYFUNCTION("IF(A22="""","""",
 IFERROR(TEXTJOIN("", ""&amp;CHAR(10), TRUE,
   FILTER('All URLs'!A21:A519, 'All URLs'!B21:B519=A22, 'All URLs'!A21:A519&lt;&gt;"""")
 ),"""")
)
"),"")</f>
        <v/>
      </c>
      <c r="E22" s="88" t="s">
        <v>108</v>
      </c>
      <c r="F22" s="86"/>
      <c r="G22" s="86"/>
      <c r="H22" s="86"/>
      <c r="I22" s="86"/>
      <c r="J22" s="86"/>
      <c r="K22" s="92"/>
    </row>
    <row r="23" ht="14.25" customHeight="1">
      <c r="A23" s="93" t="s">
        <v>109</v>
      </c>
      <c r="B23" s="86"/>
      <c r="C23" s="86" t="s">
        <v>71</v>
      </c>
      <c r="D23" s="91" t="str">
        <f>IFERROR(__xludf.DUMMYFUNCTION("IF(A23="""","""",
 IFERROR(TEXTJOIN("", ""&amp;CHAR(10), TRUE,
   FILTER('All URLs'!A22:A520, 'All URLs'!B22:B520=A23, 'All URLs'!A22:A520&lt;&gt;"""")
 ),"""")
)
"),"")</f>
        <v/>
      </c>
      <c r="E23" s="88" t="s">
        <v>110</v>
      </c>
      <c r="F23" s="86"/>
      <c r="G23" s="86"/>
      <c r="H23" s="86"/>
      <c r="I23" s="86"/>
      <c r="J23" s="86"/>
      <c r="K23" s="92"/>
    </row>
    <row r="24" ht="14.25" customHeight="1">
      <c r="A24" s="93" t="s">
        <v>111</v>
      </c>
      <c r="B24" s="94"/>
      <c r="C24" s="94" t="s">
        <v>71</v>
      </c>
      <c r="D24" s="91" t="str">
        <f>IFERROR(__xludf.DUMMYFUNCTION("IF(A24="""","""",
 IFERROR(TEXTJOIN("", ""&amp;CHAR(10), TRUE,
   FILTER('All URLs'!A23:A521, 'All URLs'!B23:B521=A24, 'All URLs'!A23:A521&lt;&gt;"""")
 ),"""")
)
"),"")</f>
        <v/>
      </c>
      <c r="E24" s="88" t="s">
        <v>112</v>
      </c>
      <c r="F24" s="86"/>
      <c r="G24" s="86"/>
      <c r="H24" s="86"/>
      <c r="I24" s="94"/>
      <c r="J24" s="86"/>
      <c r="K24" s="92"/>
    </row>
    <row r="25" ht="14.25" customHeight="1">
      <c r="A25" s="95" t="s">
        <v>113</v>
      </c>
      <c r="B25" s="94"/>
      <c r="C25" s="94" t="s">
        <v>71</v>
      </c>
      <c r="D25" s="91" t="str">
        <f>IFERROR(__xludf.DUMMYFUNCTION("IF(A25="""","""",
 IFERROR(TEXTJOIN("", ""&amp;CHAR(10), TRUE,
   FILTER('All URLs'!A24:A522, 'All URLs'!B24:B522=A25, 'All URLs'!A24:A522&lt;&gt;"""")
 ),"""")
)
"),"")</f>
        <v/>
      </c>
      <c r="E25" s="88" t="s">
        <v>114</v>
      </c>
      <c r="F25" s="86"/>
      <c r="G25" s="86"/>
      <c r="H25" s="86"/>
      <c r="I25" s="94"/>
      <c r="J25" s="86"/>
      <c r="K25" s="92"/>
    </row>
    <row r="26" ht="14.25" customHeight="1">
      <c r="A26" s="95" t="s">
        <v>115</v>
      </c>
      <c r="B26" s="94"/>
      <c r="C26" s="94" t="s">
        <v>71</v>
      </c>
      <c r="D26" s="91" t="str">
        <f>IFERROR(__xludf.DUMMYFUNCTION("IF(A26="""","""",
 IFERROR(TEXTJOIN("", ""&amp;CHAR(10), TRUE,
   FILTER('All URLs'!A25:A523, 'All URLs'!B25:B523=A26, 'All URLs'!A25:A523&lt;&gt;"""")
 ),"""")
)
"),"")</f>
        <v/>
      </c>
      <c r="E26" s="88" t="s">
        <v>116</v>
      </c>
      <c r="F26" s="86"/>
      <c r="G26" s="86"/>
      <c r="H26" s="86"/>
      <c r="I26" s="94"/>
      <c r="J26" s="86"/>
      <c r="K26" s="92"/>
    </row>
    <row r="27" ht="14.25" customHeight="1">
      <c r="A27" s="95" t="s">
        <v>117</v>
      </c>
      <c r="B27" s="94"/>
      <c r="C27" s="94" t="s">
        <v>71</v>
      </c>
      <c r="D27" s="91" t="str">
        <f>IFERROR(__xludf.DUMMYFUNCTION("IF(A27="""","""",
 IFERROR(TEXTJOIN("", ""&amp;CHAR(10), TRUE,
   FILTER('All URLs'!A26:A524, 'All URLs'!B26:B524=A27, 'All URLs'!A26:A524&lt;&gt;"""")
 ),"""")
)
"),"")</f>
        <v/>
      </c>
      <c r="E27" s="88" t="s">
        <v>118</v>
      </c>
      <c r="F27" s="86"/>
      <c r="G27" s="86"/>
      <c r="H27" s="86"/>
      <c r="I27" s="94"/>
      <c r="J27" s="86"/>
      <c r="K27" s="92"/>
    </row>
    <row r="28" ht="14.25" customHeight="1">
      <c r="A28" s="95" t="s">
        <v>119</v>
      </c>
      <c r="B28" s="94"/>
      <c r="C28" s="94" t="s">
        <v>71</v>
      </c>
      <c r="D28" s="91" t="str">
        <f>IFERROR(__xludf.DUMMYFUNCTION("IF(A28="""","""",
 IFERROR(TEXTJOIN("", ""&amp;CHAR(10), TRUE,
   FILTER('All URLs'!A27:A525, 'All URLs'!B27:B525=A28, 'All URLs'!A27:A525&lt;&gt;"""")
 ),"""")
)
"),"")</f>
        <v/>
      </c>
      <c r="E28" s="86"/>
      <c r="F28" s="86"/>
      <c r="G28" s="86"/>
      <c r="H28" s="86"/>
      <c r="I28" s="94"/>
      <c r="J28" s="86"/>
      <c r="K28" s="92"/>
    </row>
    <row r="29" ht="14.25" customHeight="1">
      <c r="A29" s="95" t="s">
        <v>120</v>
      </c>
      <c r="B29" s="94"/>
      <c r="C29" s="94" t="s">
        <v>71</v>
      </c>
      <c r="D29" s="91" t="str">
        <f>IFERROR(__xludf.DUMMYFUNCTION("IF(A29="""","""",
 IFERROR(TEXTJOIN("", ""&amp;CHAR(10), TRUE,
   FILTER('All URLs'!A28:A526, 'All URLs'!B28:B526=A29, 'All URLs'!A28:A526&lt;&gt;"""")
 ),"""")
)
"),"")</f>
        <v/>
      </c>
      <c r="E29" s="86"/>
      <c r="F29" s="86"/>
      <c r="G29" s="86"/>
      <c r="H29" s="86"/>
      <c r="I29" s="94"/>
      <c r="J29" s="86"/>
      <c r="K29" s="92"/>
    </row>
    <row r="30" ht="14.25" customHeight="1">
      <c r="A30" s="95" t="s">
        <v>121</v>
      </c>
      <c r="B30" s="94"/>
      <c r="C30" s="94" t="s">
        <v>71</v>
      </c>
      <c r="D30" s="91" t="str">
        <f>IFERROR(__xludf.DUMMYFUNCTION("IF(A30="""","""",
 IFERROR(TEXTJOIN("", ""&amp;CHAR(10), TRUE,
   FILTER('All URLs'!A29:A527, 'All URLs'!B29:B527=A30, 'All URLs'!A29:A527&lt;&gt;"""")
 ),"""")
)
"),"")</f>
        <v/>
      </c>
      <c r="E30" s="86"/>
      <c r="F30" s="86"/>
      <c r="G30" s="86"/>
      <c r="H30" s="86"/>
      <c r="I30" s="94"/>
      <c r="J30" s="86"/>
      <c r="K30" s="92"/>
    </row>
    <row r="31" ht="14.25" customHeight="1">
      <c r="A31" s="95" t="s">
        <v>122</v>
      </c>
      <c r="B31" s="94"/>
      <c r="C31" s="94" t="s">
        <v>71</v>
      </c>
      <c r="D31" s="91" t="str">
        <f>IFERROR(__xludf.DUMMYFUNCTION("IF(A31="""","""",
 IFERROR(TEXTJOIN("", ""&amp;CHAR(10), TRUE,
   FILTER('All URLs'!A30:A528, 'All URLs'!B30:B528=A31, 'All URLs'!A30:A528&lt;&gt;"""")
 ),"""")
)
"),"")</f>
        <v/>
      </c>
      <c r="E31" s="86"/>
      <c r="F31" s="86"/>
      <c r="G31" s="86"/>
      <c r="H31" s="86"/>
      <c r="I31" s="94"/>
      <c r="J31" s="86"/>
      <c r="K31" s="92"/>
    </row>
    <row r="32" ht="14.25" customHeight="1">
      <c r="A32" s="95" t="s">
        <v>123</v>
      </c>
      <c r="B32" s="94"/>
      <c r="C32" s="94" t="s">
        <v>71</v>
      </c>
      <c r="D32" s="91" t="str">
        <f>IFERROR(__xludf.DUMMYFUNCTION("IF(A32="""","""",
 IFERROR(TEXTJOIN("", ""&amp;CHAR(10), TRUE,
   FILTER('All URLs'!A31:A529, 'All URLs'!B31:B529=A32, 'All URLs'!A31:A529&lt;&gt;"""")
 ),"""")
)
"),"")</f>
        <v/>
      </c>
      <c r="E32" s="86"/>
      <c r="F32" s="86"/>
      <c r="G32" s="86"/>
      <c r="H32" s="86"/>
      <c r="I32" s="94"/>
      <c r="J32" s="86"/>
      <c r="K32" s="92"/>
    </row>
    <row r="33" ht="14.25" customHeight="1">
      <c r="A33" s="95" t="s">
        <v>124</v>
      </c>
      <c r="B33" s="94"/>
      <c r="C33" s="94" t="s">
        <v>71</v>
      </c>
      <c r="D33" s="91" t="str">
        <f>IFERROR(__xludf.DUMMYFUNCTION("IF(A33="""","""",
 IFERROR(TEXTJOIN("", ""&amp;CHAR(10), TRUE,
   FILTER('All URLs'!A32:A530, 'All URLs'!B32:B530=A33, 'All URLs'!A32:A530&lt;&gt;"""")
 ),"""")
)
"),"")</f>
        <v/>
      </c>
      <c r="E33" s="86"/>
      <c r="F33" s="86"/>
      <c r="G33" s="86"/>
      <c r="H33" s="86"/>
      <c r="I33" s="94"/>
      <c r="J33" s="86"/>
      <c r="K33" s="92"/>
    </row>
    <row r="34" ht="14.25" customHeight="1">
      <c r="A34" s="95" t="s">
        <v>125</v>
      </c>
      <c r="B34" s="94"/>
      <c r="C34" s="94" t="s">
        <v>71</v>
      </c>
      <c r="D34" s="91" t="str">
        <f>IFERROR(__xludf.DUMMYFUNCTION("IF(A34="""","""",
 IFERROR(TEXTJOIN("", ""&amp;CHAR(10), TRUE,
   FILTER('All URLs'!A33:A531, 'All URLs'!B33:B531=A34, 'All URLs'!A33:A531&lt;&gt;"""")
 ),"""")
)
"),"")</f>
        <v/>
      </c>
      <c r="E34" s="86"/>
      <c r="F34" s="86"/>
      <c r="G34" s="86"/>
      <c r="H34" s="86"/>
      <c r="I34" s="94"/>
      <c r="J34" s="86"/>
      <c r="K34" s="92"/>
    </row>
    <row r="35" ht="14.25" customHeight="1">
      <c r="A35" s="95" t="s">
        <v>126</v>
      </c>
      <c r="B35" s="94"/>
      <c r="C35" s="94" t="s">
        <v>71</v>
      </c>
      <c r="D35" s="91" t="str">
        <f>IFERROR(__xludf.DUMMYFUNCTION("IF(A35="""","""",
 IFERROR(TEXTJOIN("", ""&amp;CHAR(10), TRUE,
   FILTER('All URLs'!A34:A532, 'All URLs'!B34:B532=A35, 'All URLs'!A34:A532&lt;&gt;"""")
 ),"""")
)
"),"")</f>
        <v/>
      </c>
      <c r="E35" s="86"/>
      <c r="F35" s="86"/>
      <c r="G35" s="86"/>
      <c r="H35" s="86"/>
      <c r="I35" s="94"/>
      <c r="J35" s="86"/>
      <c r="K35" s="92"/>
    </row>
    <row r="36" ht="14.25" customHeight="1">
      <c r="A36" s="95" t="s">
        <v>127</v>
      </c>
      <c r="B36" s="94"/>
      <c r="C36" s="94" t="s">
        <v>71</v>
      </c>
      <c r="D36" s="91" t="str">
        <f>IFERROR(__xludf.DUMMYFUNCTION("IF(A36="""","""",
 IFERROR(TEXTJOIN("", ""&amp;CHAR(10), TRUE,
   FILTER('All URLs'!A35:A533, 'All URLs'!B35:B533=A36, 'All URLs'!A35:A533&lt;&gt;"""")
 ),"""")
)
"),"")</f>
        <v/>
      </c>
      <c r="E36" s="86"/>
      <c r="F36" s="86"/>
      <c r="G36" s="86"/>
      <c r="H36" s="86"/>
      <c r="I36" s="94"/>
      <c r="J36" s="86"/>
      <c r="K36" s="92"/>
    </row>
    <row r="37" ht="14.25" customHeight="1">
      <c r="A37" s="95" t="s">
        <v>128</v>
      </c>
      <c r="B37" s="94"/>
      <c r="C37" s="94" t="s">
        <v>71</v>
      </c>
      <c r="D37" s="91" t="str">
        <f>IFERROR(__xludf.DUMMYFUNCTION("IF(A37="""","""",
 IFERROR(TEXTJOIN("", ""&amp;CHAR(10), TRUE,
   FILTER('All URLs'!A36:A534, 'All URLs'!B36:B534=A37, 'All URLs'!A36:A534&lt;&gt;"""")
 ),"""")
)
"),"")</f>
        <v/>
      </c>
      <c r="E37" s="86"/>
      <c r="F37" s="86"/>
      <c r="G37" s="86"/>
      <c r="H37" s="86"/>
      <c r="I37" s="94"/>
      <c r="J37" s="86"/>
      <c r="K37" s="92"/>
    </row>
    <row r="38" ht="14.25" customHeight="1">
      <c r="A38" s="95" t="s">
        <v>129</v>
      </c>
      <c r="B38" s="94"/>
      <c r="C38" s="94" t="s">
        <v>71</v>
      </c>
      <c r="D38" s="91" t="str">
        <f>IFERROR(__xludf.DUMMYFUNCTION("IF(A38="""","""",
 IFERROR(TEXTJOIN("", ""&amp;CHAR(10), TRUE,
   FILTER('All URLs'!A37:A535, 'All URLs'!B37:B535=A38, 'All URLs'!A37:A535&lt;&gt;"""")
 ),"""")
)
"),"")</f>
        <v/>
      </c>
      <c r="E38" s="86"/>
      <c r="F38" s="86"/>
      <c r="G38" s="86"/>
      <c r="H38" s="86"/>
      <c r="I38" s="94"/>
      <c r="J38" s="86"/>
      <c r="K38" s="92"/>
    </row>
    <row r="39" ht="14.25" customHeight="1">
      <c r="A39" s="95" t="s">
        <v>130</v>
      </c>
      <c r="B39" s="94"/>
      <c r="C39" s="94" t="s">
        <v>71</v>
      </c>
      <c r="D39" s="91" t="str">
        <f>IFERROR(__xludf.DUMMYFUNCTION("IF(A39="""","""",
 IFERROR(TEXTJOIN("", ""&amp;CHAR(10), TRUE,
   FILTER('All URLs'!A38:A536, 'All URLs'!B38:B536=A39, 'All URLs'!A38:A536&lt;&gt;"""")
 ),"""")
)
"),"")</f>
        <v/>
      </c>
      <c r="E39" s="86"/>
      <c r="F39" s="86"/>
      <c r="G39" s="86"/>
      <c r="H39" s="86"/>
      <c r="I39" s="94"/>
      <c r="J39" s="86"/>
      <c r="K39" s="92"/>
    </row>
    <row r="40" ht="14.25" customHeight="1">
      <c r="A40" s="95" t="s">
        <v>131</v>
      </c>
      <c r="B40" s="94"/>
      <c r="C40" s="94" t="s">
        <v>71</v>
      </c>
      <c r="D40" s="91" t="str">
        <f>IFERROR(__xludf.DUMMYFUNCTION("IF(A40="""","""",
 IFERROR(TEXTJOIN("", ""&amp;CHAR(10), TRUE,
   FILTER('All URLs'!A39:A537, 'All URLs'!B39:B537=A40, 'All URLs'!A39:A537&lt;&gt;"""")
 ),"""")
)
"),"")</f>
        <v/>
      </c>
      <c r="E40" s="86"/>
      <c r="F40" s="86"/>
      <c r="G40" s="86"/>
      <c r="H40" s="86"/>
      <c r="I40" s="94"/>
      <c r="J40" s="86"/>
      <c r="K40" s="92"/>
    </row>
    <row r="41" ht="14.25" customHeight="1">
      <c r="A41" s="95" t="s">
        <v>132</v>
      </c>
      <c r="B41" s="94"/>
      <c r="C41" s="94" t="s">
        <v>71</v>
      </c>
      <c r="D41" s="91" t="str">
        <f>IFERROR(__xludf.DUMMYFUNCTION("IF(A41="""","""",
 IFERROR(TEXTJOIN("", ""&amp;CHAR(10), TRUE,
   FILTER('All URLs'!A40:A538, 'All URLs'!B40:B538=A41, 'All URLs'!A40:A538&lt;&gt;"""")
 ),"""")
)
"),"")</f>
        <v/>
      </c>
      <c r="E41" s="86"/>
      <c r="F41" s="86"/>
      <c r="G41" s="86"/>
      <c r="H41" s="86"/>
      <c r="I41" s="94"/>
      <c r="J41" s="86"/>
      <c r="K41" s="92"/>
    </row>
    <row r="42" ht="14.25" customHeight="1">
      <c r="A42" s="95" t="s">
        <v>133</v>
      </c>
      <c r="B42" s="94"/>
      <c r="C42" s="94" t="s">
        <v>71</v>
      </c>
      <c r="D42" s="91" t="str">
        <f>IFERROR(__xludf.DUMMYFUNCTION("IF(A42="""","""",
 IFERROR(TEXTJOIN("", ""&amp;CHAR(10), TRUE,
   FILTER('All URLs'!A41:A539, 'All URLs'!B41:B539=A42, 'All URLs'!A41:A539&lt;&gt;"""")
 ),"""")
)
"),"")</f>
        <v/>
      </c>
      <c r="E42" s="86"/>
      <c r="F42" s="86"/>
      <c r="G42" s="86"/>
      <c r="H42" s="86"/>
      <c r="I42" s="94"/>
      <c r="J42" s="86"/>
      <c r="K42" s="92"/>
    </row>
    <row r="43" ht="14.25" customHeight="1">
      <c r="A43" s="95" t="s">
        <v>134</v>
      </c>
      <c r="B43" s="94"/>
      <c r="C43" s="94" t="s">
        <v>71</v>
      </c>
      <c r="D43" s="91" t="str">
        <f>IFERROR(__xludf.DUMMYFUNCTION("IF(A43="""","""",
 IFERROR(TEXTJOIN("", ""&amp;CHAR(10), TRUE,
   FILTER('All URLs'!A42:A540, 'All URLs'!B42:B540=A43, 'All URLs'!A42:A540&lt;&gt;"""")
 ),"""")
)
"),"")</f>
        <v/>
      </c>
      <c r="E43" s="86"/>
      <c r="F43" s="86"/>
      <c r="G43" s="86"/>
      <c r="H43" s="86"/>
      <c r="I43" s="94"/>
      <c r="J43" s="86"/>
      <c r="K43" s="92"/>
    </row>
    <row r="44" ht="14.25" customHeight="1">
      <c r="A44" s="95" t="s">
        <v>135</v>
      </c>
      <c r="B44" s="94"/>
      <c r="C44" s="94" t="s">
        <v>71</v>
      </c>
      <c r="D44" s="91" t="str">
        <f>IFERROR(__xludf.DUMMYFUNCTION("IF(A44="""","""",
 IFERROR(TEXTJOIN("", ""&amp;CHAR(10), TRUE,
   FILTER('All URLs'!A43:A541, 'All URLs'!B43:B541=A44, 'All URLs'!A43:A541&lt;&gt;"""")
 ),"""")
)
"),"")</f>
        <v/>
      </c>
      <c r="E44" s="86"/>
      <c r="F44" s="86"/>
      <c r="G44" s="86"/>
      <c r="H44" s="86"/>
      <c r="I44" s="94"/>
      <c r="J44" s="86"/>
      <c r="K44" s="92"/>
    </row>
    <row r="45" ht="14.25" customHeight="1">
      <c r="A45" s="95" t="s">
        <v>136</v>
      </c>
      <c r="B45" s="94"/>
      <c r="C45" s="94" t="s">
        <v>71</v>
      </c>
      <c r="D45" s="91" t="str">
        <f>IFERROR(__xludf.DUMMYFUNCTION("IF(A45="""","""",
 IFERROR(TEXTJOIN("", ""&amp;CHAR(10), TRUE,
   FILTER('All URLs'!A44:A542, 'All URLs'!B44:B542=A45, 'All URLs'!A44:A542&lt;&gt;"""")
 ),"""")
)
"),"")</f>
        <v/>
      </c>
      <c r="E45" s="86"/>
      <c r="F45" s="86"/>
      <c r="G45" s="86"/>
      <c r="H45" s="86"/>
      <c r="I45" s="94"/>
      <c r="J45" s="86"/>
      <c r="K45" s="92"/>
    </row>
    <row r="46" ht="14.25" customHeight="1">
      <c r="A46" s="95" t="s">
        <v>137</v>
      </c>
      <c r="B46" s="94"/>
      <c r="C46" s="94" t="s">
        <v>71</v>
      </c>
      <c r="D46" s="91" t="str">
        <f>IFERROR(__xludf.DUMMYFUNCTION("IF(A46="""","""",
 IFERROR(TEXTJOIN("", ""&amp;CHAR(10), TRUE,
   FILTER('All URLs'!A45:A543, 'All URLs'!B45:B543=A46, 'All URLs'!A45:A543&lt;&gt;"""")
 ),"""")
)
"),"")</f>
        <v/>
      </c>
      <c r="E46" s="86"/>
      <c r="F46" s="86"/>
      <c r="G46" s="86"/>
      <c r="H46" s="86"/>
      <c r="I46" s="94"/>
      <c r="J46" s="86"/>
      <c r="K46" s="92"/>
    </row>
    <row r="47" ht="14.25" customHeight="1">
      <c r="A47" s="95" t="s">
        <v>138</v>
      </c>
      <c r="B47" s="94"/>
      <c r="C47" s="94" t="s">
        <v>71</v>
      </c>
      <c r="D47" s="91" t="str">
        <f>IFERROR(__xludf.DUMMYFUNCTION("IF(A47="""","""",
 IFERROR(TEXTJOIN("", ""&amp;CHAR(10), TRUE,
   FILTER('All URLs'!A46:A544, 'All URLs'!B46:B544=A47, 'All URLs'!A46:A544&lt;&gt;"""")
 ),"""")
)
"),"")</f>
        <v/>
      </c>
      <c r="E47" s="86"/>
      <c r="F47" s="86"/>
      <c r="G47" s="86"/>
      <c r="H47" s="86"/>
      <c r="I47" s="94"/>
      <c r="J47" s="86"/>
      <c r="K47" s="92"/>
    </row>
    <row r="48" ht="14.25" customHeight="1">
      <c r="A48" s="95" t="s">
        <v>139</v>
      </c>
      <c r="B48" s="94"/>
      <c r="C48" s="94" t="s">
        <v>71</v>
      </c>
      <c r="D48" s="91" t="str">
        <f>IFERROR(__xludf.DUMMYFUNCTION("IF(A48="""","""",
 IFERROR(TEXTJOIN("", ""&amp;CHAR(10), TRUE,
   FILTER('All URLs'!A47:A545, 'All URLs'!B47:B545=A48, 'All URLs'!A47:A545&lt;&gt;"""")
 ),"""")
)
"),"")</f>
        <v/>
      </c>
      <c r="E48" s="86"/>
      <c r="F48" s="86"/>
      <c r="G48" s="86"/>
      <c r="H48" s="86"/>
      <c r="I48" s="94"/>
      <c r="J48" s="86"/>
      <c r="K48" s="92"/>
    </row>
    <row r="49" ht="14.25" customHeight="1">
      <c r="A49" s="95" t="s">
        <v>140</v>
      </c>
      <c r="B49" s="94"/>
      <c r="C49" s="94" t="s">
        <v>71</v>
      </c>
      <c r="D49" s="91" t="str">
        <f>IFERROR(__xludf.DUMMYFUNCTION("IF(A49="""","""",
 IFERROR(TEXTJOIN("", ""&amp;CHAR(10), TRUE,
   FILTER('All URLs'!A48:A546, 'All URLs'!B48:B546=A49, 'All URLs'!A48:A546&lt;&gt;"""")
 ),"""")
)
"),"")</f>
        <v/>
      </c>
      <c r="E49" s="86"/>
      <c r="F49" s="86"/>
      <c r="G49" s="86"/>
      <c r="H49" s="86"/>
      <c r="I49" s="94"/>
      <c r="J49" s="86"/>
      <c r="K49" s="92"/>
    </row>
    <row r="50" ht="14.25" customHeight="1">
      <c r="A50" s="95" t="s">
        <v>141</v>
      </c>
      <c r="B50" s="94"/>
      <c r="C50" s="94" t="s">
        <v>71</v>
      </c>
      <c r="D50" s="91" t="str">
        <f>IFERROR(__xludf.DUMMYFUNCTION("IF(A50="""","""",
 IFERROR(TEXTJOIN("", ""&amp;CHAR(10), TRUE,
   FILTER('All URLs'!A49:A547, 'All URLs'!B49:B547=A50, 'All URLs'!A49:A547&lt;&gt;"""")
 ),"""")
)
"),"")</f>
        <v/>
      </c>
      <c r="E50" s="86"/>
      <c r="F50" s="86"/>
      <c r="G50" s="86"/>
      <c r="H50" s="86"/>
      <c r="I50" s="94"/>
      <c r="J50" s="86"/>
      <c r="K50" s="92"/>
    </row>
    <row r="51" ht="14.25" customHeight="1">
      <c r="A51" s="95" t="s">
        <v>142</v>
      </c>
      <c r="B51" s="94"/>
      <c r="C51" s="94" t="s">
        <v>71</v>
      </c>
      <c r="D51" s="91" t="str">
        <f>IFERROR(__xludf.DUMMYFUNCTION("IF(A51="""","""",
 IFERROR(TEXTJOIN("", ""&amp;CHAR(10), TRUE,
   FILTER('All URLs'!A50:A548, 'All URLs'!B50:B548=A51, 'All URLs'!A50:A548&lt;&gt;"""")
 ),"""")
)
"),"")</f>
        <v/>
      </c>
      <c r="E51" s="86"/>
      <c r="F51" s="86"/>
      <c r="G51" s="86"/>
      <c r="H51" s="86"/>
      <c r="I51" s="94"/>
      <c r="J51" s="86"/>
      <c r="K51" s="92"/>
    </row>
    <row r="52" ht="14.25" customHeight="1">
      <c r="A52" s="95" t="s">
        <v>143</v>
      </c>
      <c r="B52" s="94"/>
      <c r="C52" s="94" t="s">
        <v>71</v>
      </c>
      <c r="D52" s="91" t="str">
        <f>IFERROR(__xludf.DUMMYFUNCTION("IF(A52="""","""",
 IFERROR(TEXTJOIN("", ""&amp;CHAR(10), TRUE,
   FILTER('All URLs'!A51:A549, 'All URLs'!B51:B549=A52, 'All URLs'!A51:A549&lt;&gt;"""")
 ),"""")
)
"),"")</f>
        <v/>
      </c>
      <c r="E52" s="86"/>
      <c r="F52" s="86"/>
      <c r="G52" s="86"/>
      <c r="H52" s="86"/>
      <c r="I52" s="94"/>
      <c r="J52" s="86"/>
      <c r="K52" s="92"/>
    </row>
    <row r="53" ht="14.25" customHeight="1">
      <c r="A53" s="95"/>
      <c r="B53" s="94"/>
      <c r="C53" s="94" t="s">
        <v>71</v>
      </c>
      <c r="D53" s="91" t="str">
        <f>IFERROR(__xludf.DUMMYFUNCTION("IF(A53="""","""",
 IFERROR(TEXTJOIN("", ""&amp;CHAR(10), TRUE,
   FILTER('All URLs'!A52:A550, 'All URLs'!B52:B550=A53, 'All URLs'!A52:A550&lt;&gt;"""")
 ),"""")
)
"),"")</f>
        <v/>
      </c>
      <c r="E53" s="86"/>
      <c r="F53" s="86"/>
      <c r="G53" s="86"/>
      <c r="H53" s="86"/>
      <c r="I53" s="94"/>
      <c r="J53" s="86"/>
      <c r="K53" s="92"/>
    </row>
    <row r="54" ht="14.25" customHeight="1">
      <c r="A54" s="95"/>
      <c r="B54" s="94"/>
      <c r="C54" s="94" t="s">
        <v>71</v>
      </c>
      <c r="D54" s="91" t="str">
        <f>IFERROR(__xludf.DUMMYFUNCTION("IF(A54="""","""",
 IFERROR(TEXTJOIN("", ""&amp;CHAR(10), TRUE,
   FILTER('All URLs'!A53:A551, 'All URLs'!B53:B551=A54, 'All URLs'!A53:A551&lt;&gt;"""")
 ),"""")
)
"),"")</f>
        <v/>
      </c>
      <c r="E54" s="86"/>
      <c r="F54" s="86"/>
      <c r="G54" s="86"/>
      <c r="H54" s="86"/>
      <c r="I54" s="94"/>
      <c r="J54" s="86"/>
      <c r="K54" s="92"/>
    </row>
    <row r="55" ht="14.25" customHeight="1">
      <c r="A55" s="95"/>
      <c r="B55" s="94"/>
      <c r="C55" s="94" t="s">
        <v>71</v>
      </c>
      <c r="D55" s="91" t="str">
        <f>IFERROR(__xludf.DUMMYFUNCTION("IF(A55="""","""",
 IFERROR(TEXTJOIN("", ""&amp;CHAR(10), TRUE,
   FILTER('All URLs'!A54:A552, 'All URLs'!B54:B552=A55, 'All URLs'!A54:A552&lt;&gt;"""")
 ),"""")
)
"),"")</f>
        <v/>
      </c>
      <c r="E55" s="86"/>
      <c r="F55" s="86"/>
      <c r="G55" s="86"/>
      <c r="H55" s="86"/>
      <c r="I55" s="94"/>
      <c r="J55" s="86"/>
      <c r="K55" s="92"/>
    </row>
    <row r="56" ht="14.25" customHeight="1">
      <c r="A56" s="95"/>
      <c r="B56" s="94"/>
      <c r="C56" s="94" t="s">
        <v>71</v>
      </c>
      <c r="D56" s="91" t="str">
        <f>IFERROR(__xludf.DUMMYFUNCTION("IF(A56="""","""",
 IFERROR(TEXTJOIN("", ""&amp;CHAR(10), TRUE,
   FILTER('All URLs'!A55:A553, 'All URLs'!B55:B553=A56, 'All URLs'!A55:A553&lt;&gt;"""")
 ),"""")
)
"),"")</f>
        <v/>
      </c>
      <c r="E56" s="86"/>
      <c r="F56" s="86"/>
      <c r="G56" s="86"/>
      <c r="H56" s="86"/>
      <c r="I56" s="94"/>
      <c r="J56" s="86"/>
      <c r="K56" s="92"/>
    </row>
    <row r="57" ht="14.25" customHeight="1">
      <c r="A57" s="95"/>
      <c r="B57" s="94"/>
      <c r="C57" s="94" t="s">
        <v>71</v>
      </c>
      <c r="D57" s="91" t="str">
        <f>IFERROR(__xludf.DUMMYFUNCTION("IF(A57="""","""",
 IFERROR(TEXTJOIN("", ""&amp;CHAR(10), TRUE,
   FILTER('All URLs'!A56:A554, 'All URLs'!B56:B554=A57, 'All URLs'!A56:A554&lt;&gt;"""")
 ),"""")
)
"),"")</f>
        <v/>
      </c>
      <c r="E57" s="86"/>
      <c r="F57" s="86"/>
      <c r="G57" s="86"/>
      <c r="H57" s="86"/>
      <c r="I57" s="94"/>
      <c r="J57" s="86"/>
      <c r="K57" s="92"/>
    </row>
    <row r="58" ht="14.25" customHeight="1">
      <c r="A58" s="95"/>
      <c r="B58" s="94"/>
      <c r="C58" s="94" t="s">
        <v>71</v>
      </c>
      <c r="D58" s="91" t="str">
        <f>IFERROR(__xludf.DUMMYFUNCTION("IF(A58="""","""",
 IFERROR(TEXTJOIN("", ""&amp;CHAR(10), TRUE,
   FILTER('All URLs'!A57:A555, 'All URLs'!B57:B555=A58, 'All URLs'!A57:A555&lt;&gt;"""")
 ),"""")
)
"),"")</f>
        <v/>
      </c>
      <c r="E58" s="86"/>
      <c r="F58" s="86"/>
      <c r="G58" s="86"/>
      <c r="H58" s="86"/>
      <c r="I58" s="94"/>
      <c r="J58" s="86"/>
      <c r="K58" s="92"/>
    </row>
    <row r="59" ht="14.25" customHeight="1">
      <c r="A59" s="95"/>
      <c r="B59" s="94"/>
      <c r="C59" s="94" t="s">
        <v>71</v>
      </c>
      <c r="D59" s="91" t="str">
        <f>IFERROR(__xludf.DUMMYFUNCTION("IF(A59="""","""",
 IFERROR(TEXTJOIN("", ""&amp;CHAR(10), TRUE,
   FILTER('All URLs'!A58:A556, 'All URLs'!B58:B556=A59, 'All URLs'!A58:A556&lt;&gt;"""")
 ),"""")
)
"),"")</f>
        <v/>
      </c>
      <c r="E59" s="86"/>
      <c r="F59" s="86"/>
      <c r="G59" s="86"/>
      <c r="H59" s="86"/>
      <c r="I59" s="94"/>
      <c r="J59" s="86"/>
      <c r="K59" s="92"/>
    </row>
    <row r="60" ht="14.25" customHeight="1">
      <c r="A60" s="95"/>
      <c r="B60" s="94"/>
      <c r="C60" s="94" t="s">
        <v>71</v>
      </c>
      <c r="D60" s="91" t="str">
        <f>IFERROR(__xludf.DUMMYFUNCTION("IF(A60="""","""",
 IFERROR(TEXTJOIN("", ""&amp;CHAR(10), TRUE,
   FILTER('All URLs'!A59:A557, 'All URLs'!B59:B557=A60, 'All URLs'!A59:A557&lt;&gt;"""")
 ),"""")
)
"),"")</f>
        <v/>
      </c>
      <c r="E60" s="86"/>
      <c r="F60" s="86"/>
      <c r="G60" s="86"/>
      <c r="H60" s="86"/>
      <c r="I60" s="94"/>
      <c r="J60" s="86"/>
      <c r="K60" s="92"/>
    </row>
    <row r="61" ht="14.25" customHeight="1">
      <c r="A61" s="95"/>
      <c r="B61" s="94"/>
      <c r="C61" s="94" t="s">
        <v>71</v>
      </c>
      <c r="D61" s="91" t="str">
        <f>IFERROR(__xludf.DUMMYFUNCTION("IF(A61="""","""",
 IFERROR(TEXTJOIN("", ""&amp;CHAR(10), TRUE,
   FILTER('All URLs'!A60:A558, 'All URLs'!B60:B558=A61, 'All URLs'!A60:A558&lt;&gt;"""")
 ),"""")
)
"),"")</f>
        <v/>
      </c>
      <c r="E61" s="86"/>
      <c r="F61" s="86"/>
      <c r="G61" s="86"/>
      <c r="H61" s="86"/>
      <c r="I61" s="94"/>
      <c r="J61" s="86"/>
      <c r="K61" s="92"/>
    </row>
    <row r="62" ht="14.25" customHeight="1">
      <c r="A62" s="95"/>
      <c r="B62" s="94"/>
      <c r="C62" s="94" t="s">
        <v>71</v>
      </c>
      <c r="D62" s="91" t="str">
        <f>IFERROR(__xludf.DUMMYFUNCTION("IF(A62="""","""",
 IFERROR(TEXTJOIN("", ""&amp;CHAR(10), TRUE,
   FILTER('All URLs'!A61:A559, 'All URLs'!B61:B559=A62, 'All URLs'!A61:A559&lt;&gt;"""")
 ),"""")
)
"),"")</f>
        <v/>
      </c>
      <c r="E62" s="86"/>
      <c r="F62" s="86"/>
      <c r="G62" s="86"/>
      <c r="H62" s="86"/>
      <c r="I62" s="94"/>
      <c r="J62" s="86"/>
      <c r="K62" s="92"/>
    </row>
    <row r="63" ht="14.25" customHeight="1">
      <c r="A63" s="95"/>
      <c r="B63" s="94"/>
      <c r="C63" s="94" t="s">
        <v>71</v>
      </c>
      <c r="D63" s="91" t="str">
        <f>IFERROR(__xludf.DUMMYFUNCTION("IF(A63="""","""",
 IFERROR(TEXTJOIN("", ""&amp;CHAR(10), TRUE,
   FILTER('All URLs'!A62:A560, 'All URLs'!B62:B560=A63, 'All URLs'!A62:A560&lt;&gt;"""")
 ),"""")
)
"),"")</f>
        <v/>
      </c>
      <c r="E63" s="86"/>
      <c r="F63" s="86"/>
      <c r="G63" s="86"/>
      <c r="H63" s="86"/>
      <c r="I63" s="94"/>
      <c r="J63" s="86"/>
      <c r="K63" s="92"/>
    </row>
    <row r="64" ht="14.25" customHeight="1">
      <c r="A64" s="95"/>
      <c r="B64" s="94"/>
      <c r="C64" s="94" t="s">
        <v>71</v>
      </c>
      <c r="D64" s="91" t="str">
        <f>IFERROR(__xludf.DUMMYFUNCTION("IF(A64="""","""",
 IFERROR(TEXTJOIN("", ""&amp;CHAR(10), TRUE,
   FILTER('All URLs'!A63:A561, 'All URLs'!B63:B561=A64, 'All URLs'!A63:A561&lt;&gt;"""")
 ),"""")
)
"),"")</f>
        <v/>
      </c>
      <c r="E64" s="86"/>
      <c r="F64" s="86"/>
      <c r="G64" s="86"/>
      <c r="H64" s="86"/>
      <c r="I64" s="94"/>
      <c r="J64" s="86"/>
      <c r="K64" s="92"/>
    </row>
    <row r="65" ht="14.25" customHeight="1">
      <c r="A65" s="95"/>
      <c r="B65" s="94"/>
      <c r="C65" s="94" t="s">
        <v>71</v>
      </c>
      <c r="D65" s="91" t="str">
        <f>IFERROR(__xludf.DUMMYFUNCTION("IF(A65="""","""",
 IFERROR(TEXTJOIN("", ""&amp;CHAR(10), TRUE,
   FILTER('All URLs'!A64:A562, 'All URLs'!B64:B562=A65, 'All URLs'!A64:A562&lt;&gt;"""")
 ),"""")
)
"),"")</f>
        <v/>
      </c>
      <c r="E65" s="86"/>
      <c r="F65" s="86"/>
      <c r="G65" s="86"/>
      <c r="H65" s="86"/>
      <c r="I65" s="94"/>
      <c r="J65" s="86"/>
      <c r="K65" s="92"/>
    </row>
    <row r="66" ht="14.25" customHeight="1">
      <c r="A66" s="95"/>
      <c r="B66" s="94"/>
      <c r="C66" s="94" t="s">
        <v>71</v>
      </c>
      <c r="D66" s="91" t="str">
        <f>IFERROR(__xludf.DUMMYFUNCTION("IF(A66="""","""",
 IFERROR(TEXTJOIN("", ""&amp;CHAR(10), TRUE,
   FILTER('All URLs'!A65:A563, 'All URLs'!B65:B563=A66, 'All URLs'!A65:A563&lt;&gt;"""")
 ),"""")
)
"),"")</f>
        <v/>
      </c>
      <c r="E66" s="86"/>
      <c r="F66" s="86"/>
      <c r="G66" s="86"/>
      <c r="H66" s="86"/>
      <c r="I66" s="94"/>
      <c r="J66" s="86"/>
      <c r="K66" s="92"/>
    </row>
    <row r="67" ht="14.25" customHeight="1">
      <c r="A67" s="95"/>
      <c r="B67" s="94"/>
      <c r="C67" s="94" t="s">
        <v>71</v>
      </c>
      <c r="D67" s="91" t="str">
        <f>IFERROR(__xludf.DUMMYFUNCTION("IF(A67="""","""",
 IFERROR(TEXTJOIN("", ""&amp;CHAR(10), TRUE,
   FILTER('All URLs'!A66:A564, 'All URLs'!B66:B564=A67, 'All URLs'!A66:A564&lt;&gt;"""")
 ),"""")
)
"),"")</f>
        <v/>
      </c>
      <c r="E67" s="86"/>
      <c r="F67" s="86"/>
      <c r="G67" s="86"/>
      <c r="H67" s="86"/>
      <c r="I67" s="94"/>
      <c r="J67" s="86"/>
      <c r="K67" s="92"/>
    </row>
    <row r="68" ht="14.25" customHeight="1">
      <c r="A68" s="95"/>
      <c r="B68" s="94"/>
      <c r="C68" s="94" t="s">
        <v>71</v>
      </c>
      <c r="D68" s="91" t="str">
        <f>IFERROR(__xludf.DUMMYFUNCTION("IF(A68="""","""",
 IFERROR(TEXTJOIN("", ""&amp;CHAR(10), TRUE,
   FILTER('All URLs'!A67:A565, 'All URLs'!B67:B565=A68, 'All URLs'!A67:A565&lt;&gt;"""")
 ),"""")
)
"),"")</f>
        <v/>
      </c>
      <c r="E68" s="86"/>
      <c r="F68" s="86"/>
      <c r="G68" s="86"/>
      <c r="H68" s="86"/>
      <c r="I68" s="94"/>
      <c r="J68" s="86"/>
      <c r="K68" s="92"/>
    </row>
    <row r="69" ht="14.25" customHeight="1">
      <c r="A69" s="95"/>
      <c r="B69" s="94"/>
      <c r="C69" s="94" t="s">
        <v>71</v>
      </c>
      <c r="D69" s="91" t="str">
        <f>IFERROR(__xludf.DUMMYFUNCTION("IF(A69="""","""",
 IFERROR(TEXTJOIN("", ""&amp;CHAR(10), TRUE,
   FILTER('All URLs'!A68:A566, 'All URLs'!B68:B566=A69, 'All URLs'!A68:A566&lt;&gt;"""")
 ),"""")
)
"),"")</f>
        <v/>
      </c>
      <c r="E69" s="86"/>
      <c r="F69" s="86"/>
      <c r="G69" s="86"/>
      <c r="H69" s="86"/>
      <c r="I69" s="94"/>
      <c r="J69" s="86"/>
      <c r="K69" s="92"/>
    </row>
    <row r="70" ht="14.25" customHeight="1">
      <c r="A70" s="95"/>
      <c r="B70" s="94"/>
      <c r="C70" s="94" t="s">
        <v>71</v>
      </c>
      <c r="D70" s="91" t="str">
        <f>IFERROR(__xludf.DUMMYFUNCTION("IF(A70="""","""",
 IFERROR(TEXTJOIN("", ""&amp;CHAR(10), TRUE,
   FILTER('All URLs'!A69:A567, 'All URLs'!B69:B567=A70, 'All URLs'!A69:A567&lt;&gt;"""")
 ),"""")
)
"),"")</f>
        <v/>
      </c>
      <c r="E70" s="86"/>
      <c r="F70" s="86"/>
      <c r="G70" s="86"/>
      <c r="H70" s="86"/>
      <c r="I70" s="94"/>
      <c r="J70" s="86"/>
      <c r="K70" s="92"/>
    </row>
    <row r="71" ht="14.25" customHeight="1">
      <c r="A71" s="95"/>
      <c r="B71" s="94"/>
      <c r="C71" s="94" t="s">
        <v>71</v>
      </c>
      <c r="D71" s="91" t="str">
        <f>IFERROR(__xludf.DUMMYFUNCTION("IF(A71="""","""",
 IFERROR(TEXTJOIN("", ""&amp;CHAR(10), TRUE,
   FILTER('All URLs'!A70:A568, 'All URLs'!B70:B568=A71, 'All URLs'!A70:A568&lt;&gt;"""")
 ),"""")
)
"),"")</f>
        <v/>
      </c>
      <c r="E71" s="86"/>
      <c r="F71" s="86"/>
      <c r="G71" s="86"/>
      <c r="H71" s="86"/>
      <c r="I71" s="94"/>
      <c r="J71" s="86"/>
      <c r="K71" s="92"/>
    </row>
    <row r="72" ht="14.25" customHeight="1">
      <c r="A72" s="95"/>
      <c r="B72" s="94"/>
      <c r="C72" s="94" t="s">
        <v>71</v>
      </c>
      <c r="D72" s="91" t="str">
        <f>IFERROR(__xludf.DUMMYFUNCTION("IF(A72="""","""",
 IFERROR(TEXTJOIN("", ""&amp;CHAR(10), TRUE,
   FILTER('All URLs'!A71:A569, 'All URLs'!B71:B569=A72, 'All URLs'!A71:A569&lt;&gt;"""")
 ),"""")
)
"),"")</f>
        <v/>
      </c>
      <c r="E72" s="86"/>
      <c r="F72" s="86"/>
      <c r="G72" s="86"/>
      <c r="H72" s="86"/>
      <c r="I72" s="94"/>
      <c r="J72" s="86"/>
      <c r="K72" s="92"/>
    </row>
    <row r="73" ht="14.25" customHeight="1">
      <c r="A73" s="95"/>
      <c r="B73" s="94"/>
      <c r="C73" s="94" t="s">
        <v>71</v>
      </c>
      <c r="D73" s="91" t="str">
        <f>IFERROR(__xludf.DUMMYFUNCTION("IF(A73="""","""",
 IFERROR(TEXTJOIN("", ""&amp;CHAR(10), TRUE,
   FILTER('All URLs'!A72:A570, 'All URLs'!B72:B570=A73, 'All URLs'!A72:A570&lt;&gt;"""")
 ),"""")
)
"),"")</f>
        <v/>
      </c>
      <c r="E73" s="86"/>
      <c r="F73" s="86"/>
      <c r="G73" s="86"/>
      <c r="H73" s="86"/>
      <c r="I73" s="94"/>
      <c r="J73" s="86"/>
      <c r="K73" s="92"/>
    </row>
    <row r="74" ht="14.25" customHeight="1">
      <c r="A74" s="95"/>
      <c r="B74" s="94"/>
      <c r="C74" s="94" t="s">
        <v>71</v>
      </c>
      <c r="D74" s="91" t="str">
        <f>IFERROR(__xludf.DUMMYFUNCTION("IF(A74="""","""",
 IFERROR(TEXTJOIN("", ""&amp;CHAR(10), TRUE,
   FILTER('All URLs'!A73:A571, 'All URLs'!B73:B571=A74, 'All URLs'!A73:A571&lt;&gt;"""")
 ),"""")
)
"),"")</f>
        <v/>
      </c>
      <c r="E74" s="86"/>
      <c r="F74" s="86"/>
      <c r="G74" s="86"/>
      <c r="H74" s="86"/>
      <c r="I74" s="94"/>
      <c r="J74" s="86"/>
      <c r="K74" s="92"/>
    </row>
    <row r="75" ht="14.25" customHeight="1">
      <c r="A75" s="95"/>
      <c r="B75" s="94"/>
      <c r="C75" s="94" t="s">
        <v>71</v>
      </c>
      <c r="D75" s="91" t="str">
        <f>IFERROR(__xludf.DUMMYFUNCTION("IF(A75="""","""",
 IFERROR(TEXTJOIN("", ""&amp;CHAR(10), TRUE,
   FILTER('All URLs'!A74:A572, 'All URLs'!B74:B572=A75, 'All URLs'!A74:A572&lt;&gt;"""")
 ),"""")
)
"),"")</f>
        <v/>
      </c>
      <c r="E75" s="86"/>
      <c r="F75" s="86"/>
      <c r="G75" s="86"/>
      <c r="H75" s="86"/>
      <c r="I75" s="94"/>
      <c r="J75" s="86"/>
      <c r="K75" s="92"/>
    </row>
    <row r="76" ht="14.25" customHeight="1">
      <c r="A76" s="95"/>
      <c r="B76" s="94"/>
      <c r="C76" s="94" t="s">
        <v>71</v>
      </c>
      <c r="D76" s="91" t="str">
        <f>IFERROR(__xludf.DUMMYFUNCTION("IF(A76="""","""",
 IFERROR(TEXTJOIN("", ""&amp;CHAR(10), TRUE,
   FILTER('All URLs'!A75:A573, 'All URLs'!B75:B573=A76, 'All URLs'!A75:A573&lt;&gt;"""")
 ),"""")
)
"),"")</f>
        <v/>
      </c>
      <c r="E76" s="86"/>
      <c r="F76" s="86"/>
      <c r="G76" s="86"/>
      <c r="H76" s="86"/>
      <c r="I76" s="94"/>
      <c r="J76" s="86"/>
      <c r="K76" s="92"/>
    </row>
    <row r="77" ht="14.25" customHeight="1">
      <c r="A77" s="95"/>
      <c r="B77" s="94"/>
      <c r="C77" s="94" t="s">
        <v>71</v>
      </c>
      <c r="D77" s="91" t="str">
        <f>IFERROR(__xludf.DUMMYFUNCTION("IF(A77="""","""",
 IFERROR(TEXTJOIN("", ""&amp;CHAR(10), TRUE,
   FILTER('All URLs'!A76:A574, 'All URLs'!B76:B574=A77, 'All URLs'!A76:A574&lt;&gt;"""")
 ),"""")
)
"),"")</f>
        <v/>
      </c>
      <c r="E77" s="86"/>
      <c r="F77" s="86"/>
      <c r="G77" s="86"/>
      <c r="H77" s="86"/>
      <c r="I77" s="94"/>
      <c r="J77" s="86"/>
      <c r="K77" s="92"/>
    </row>
    <row r="78" ht="14.25" customHeight="1">
      <c r="A78" s="95"/>
      <c r="B78" s="94"/>
      <c r="C78" s="94" t="s">
        <v>71</v>
      </c>
      <c r="D78" s="91" t="str">
        <f>IFERROR(__xludf.DUMMYFUNCTION("IF(A78="""","""",
 IFERROR(TEXTJOIN("", ""&amp;CHAR(10), TRUE,
   FILTER('All URLs'!A77:A575, 'All URLs'!B77:B575=A78, 'All URLs'!A77:A575&lt;&gt;"""")
 ),"""")
)
"),"")</f>
        <v/>
      </c>
      <c r="E78" s="86"/>
      <c r="F78" s="86"/>
      <c r="G78" s="86"/>
      <c r="H78" s="86"/>
      <c r="I78" s="94"/>
      <c r="J78" s="86"/>
      <c r="K78" s="92"/>
    </row>
    <row r="79" ht="14.25" customHeight="1">
      <c r="A79" s="95"/>
      <c r="B79" s="94"/>
      <c r="C79" s="94" t="s">
        <v>71</v>
      </c>
      <c r="D79" s="91" t="str">
        <f>IFERROR(__xludf.DUMMYFUNCTION("IF(A79="""","""",
 IFERROR(TEXTJOIN("", ""&amp;CHAR(10), TRUE,
   FILTER('All URLs'!A78:A576, 'All URLs'!B78:B576=A79, 'All URLs'!A78:A576&lt;&gt;"""")
 ),"""")
)
"),"")</f>
        <v/>
      </c>
      <c r="E79" s="86"/>
      <c r="F79" s="86"/>
      <c r="G79" s="86"/>
      <c r="H79" s="86"/>
      <c r="I79" s="94"/>
      <c r="J79" s="86"/>
      <c r="K79" s="92"/>
    </row>
    <row r="80" ht="14.25" customHeight="1">
      <c r="A80" s="95"/>
      <c r="B80" s="94"/>
      <c r="C80" s="94" t="s">
        <v>71</v>
      </c>
      <c r="D80" s="91" t="str">
        <f>IFERROR(__xludf.DUMMYFUNCTION("IF(A80="""","""",
 IFERROR(TEXTJOIN("", ""&amp;CHAR(10), TRUE,
   FILTER('All URLs'!A79:A577, 'All URLs'!B79:B577=A80, 'All URLs'!A79:A577&lt;&gt;"""")
 ),"""")
)
"),"")</f>
        <v/>
      </c>
      <c r="E80" s="86"/>
      <c r="F80" s="86"/>
      <c r="G80" s="86"/>
      <c r="H80" s="86"/>
      <c r="I80" s="94"/>
      <c r="J80" s="86"/>
      <c r="K80" s="92"/>
    </row>
    <row r="81" ht="14.25" customHeight="1">
      <c r="A81" s="95"/>
      <c r="B81" s="94"/>
      <c r="C81" s="94" t="s">
        <v>71</v>
      </c>
      <c r="D81" s="91" t="str">
        <f>IFERROR(__xludf.DUMMYFUNCTION("IF(A81="""","""",
 IFERROR(TEXTJOIN("", ""&amp;CHAR(10), TRUE,
   FILTER('All URLs'!A80:A578, 'All URLs'!B80:B578=A81, 'All URLs'!A80:A578&lt;&gt;"""")
 ),"""")
)
"),"")</f>
        <v/>
      </c>
      <c r="E81" s="86"/>
      <c r="F81" s="86"/>
      <c r="G81" s="86"/>
      <c r="H81" s="86"/>
      <c r="I81" s="94"/>
      <c r="J81" s="86"/>
      <c r="K81" s="92"/>
    </row>
    <row r="82" ht="14.25" customHeight="1">
      <c r="A82" s="95"/>
      <c r="B82" s="94"/>
      <c r="C82" s="94" t="s">
        <v>71</v>
      </c>
      <c r="D82" s="91" t="str">
        <f>IFERROR(__xludf.DUMMYFUNCTION("IF(A82="""","""",
 IFERROR(TEXTJOIN("", ""&amp;CHAR(10), TRUE,
   FILTER('All URLs'!A81:A579, 'All URLs'!B81:B579=A82, 'All URLs'!A81:A579&lt;&gt;"""")
 ),"""")
)
"),"")</f>
        <v/>
      </c>
      <c r="E82" s="86"/>
      <c r="F82" s="86"/>
      <c r="G82" s="86"/>
      <c r="H82" s="86"/>
      <c r="I82" s="94"/>
      <c r="J82" s="86"/>
      <c r="K82" s="92"/>
    </row>
    <row r="83" ht="14.25" customHeight="1">
      <c r="A83" s="95"/>
      <c r="B83" s="94"/>
      <c r="C83" s="94" t="s">
        <v>71</v>
      </c>
      <c r="D83" s="91" t="str">
        <f>IFERROR(__xludf.DUMMYFUNCTION("IF(A83="""","""",
 IFERROR(TEXTJOIN("", ""&amp;CHAR(10), TRUE,
   FILTER('All URLs'!A82:A580, 'All URLs'!B82:B580=A83, 'All URLs'!A82:A580&lt;&gt;"""")
 ),"""")
)
"),"")</f>
        <v/>
      </c>
      <c r="E83" s="86"/>
      <c r="F83" s="86"/>
      <c r="G83" s="86"/>
      <c r="H83" s="86"/>
      <c r="I83" s="94"/>
      <c r="J83" s="86"/>
      <c r="K83" s="92"/>
    </row>
    <row r="84" ht="14.25" customHeight="1">
      <c r="A84" s="95"/>
      <c r="B84" s="94"/>
      <c r="C84" s="94" t="s">
        <v>71</v>
      </c>
      <c r="D84" s="91" t="str">
        <f>IFERROR(__xludf.DUMMYFUNCTION("IF(A84="""","""",
 IFERROR(TEXTJOIN("", ""&amp;CHAR(10), TRUE,
   FILTER('All URLs'!A83:A581, 'All URLs'!B83:B581=A84, 'All URLs'!A83:A581&lt;&gt;"""")
 ),"""")
)
"),"")</f>
        <v/>
      </c>
      <c r="E84" s="86"/>
      <c r="F84" s="86"/>
      <c r="G84" s="86"/>
      <c r="H84" s="86"/>
      <c r="I84" s="94"/>
      <c r="J84" s="86"/>
      <c r="K84" s="92"/>
    </row>
    <row r="85" ht="14.25" customHeight="1">
      <c r="A85" s="95"/>
      <c r="B85" s="94"/>
      <c r="C85" s="94" t="s">
        <v>71</v>
      </c>
      <c r="D85" s="91" t="str">
        <f>IFERROR(__xludf.DUMMYFUNCTION("IF(A85="""","""",
 IFERROR(TEXTJOIN("", ""&amp;CHAR(10), TRUE,
   FILTER('All URLs'!A84:A582, 'All URLs'!B84:B582=A85, 'All URLs'!A84:A582&lt;&gt;"""")
 ),"""")
)
"),"")</f>
        <v/>
      </c>
      <c r="E85" s="86"/>
      <c r="F85" s="86"/>
      <c r="G85" s="86"/>
      <c r="H85" s="86"/>
      <c r="I85" s="94"/>
      <c r="J85" s="86"/>
      <c r="K85" s="92"/>
    </row>
    <row r="86" ht="14.25" customHeight="1">
      <c r="A86" s="95"/>
      <c r="B86" s="94"/>
      <c r="C86" s="94" t="s">
        <v>71</v>
      </c>
      <c r="D86" s="91" t="str">
        <f>IFERROR(__xludf.DUMMYFUNCTION("IF(A86="""","""",
 IFERROR(TEXTJOIN("", ""&amp;CHAR(10), TRUE,
   FILTER('All URLs'!A85:A583, 'All URLs'!B85:B583=A86, 'All URLs'!A85:A583&lt;&gt;"""")
 ),"""")
)
"),"")</f>
        <v/>
      </c>
      <c r="E86" s="86"/>
      <c r="F86" s="86"/>
      <c r="G86" s="86"/>
      <c r="H86" s="86"/>
      <c r="I86" s="94"/>
      <c r="J86" s="86"/>
      <c r="K86" s="92"/>
    </row>
    <row r="87" ht="14.25" customHeight="1">
      <c r="A87" s="95"/>
      <c r="B87" s="94"/>
      <c r="C87" s="94" t="s">
        <v>71</v>
      </c>
      <c r="D87" s="91" t="str">
        <f>IFERROR(__xludf.DUMMYFUNCTION("IF(A87="""","""",
 IFERROR(TEXTJOIN("", ""&amp;CHAR(10), TRUE,
   FILTER('All URLs'!A86:A584, 'All URLs'!B86:B584=A87, 'All URLs'!A86:A584&lt;&gt;"""")
 ),"""")
)
"),"")</f>
        <v/>
      </c>
      <c r="E87" s="86"/>
      <c r="F87" s="86"/>
      <c r="G87" s="86"/>
      <c r="H87" s="86"/>
      <c r="I87" s="94"/>
      <c r="J87" s="86"/>
      <c r="K87" s="92"/>
    </row>
    <row r="88" ht="14.25" customHeight="1">
      <c r="A88" s="95"/>
      <c r="B88" s="94"/>
      <c r="C88" s="94" t="s">
        <v>71</v>
      </c>
      <c r="D88" s="91" t="str">
        <f>IFERROR(__xludf.DUMMYFUNCTION("IF(A88="""","""",
 IFERROR(TEXTJOIN("", ""&amp;CHAR(10), TRUE,
   FILTER('All URLs'!A87:A585, 'All URLs'!B87:B585=A88, 'All URLs'!A87:A585&lt;&gt;"""")
 ),"""")
)
"),"")</f>
        <v/>
      </c>
      <c r="E88" s="86"/>
      <c r="F88" s="86"/>
      <c r="G88" s="86"/>
      <c r="H88" s="86"/>
      <c r="I88" s="94"/>
      <c r="J88" s="86"/>
      <c r="K88" s="92"/>
    </row>
    <row r="89" ht="14.25" customHeight="1">
      <c r="A89" s="95"/>
      <c r="B89" s="94"/>
      <c r="C89" s="94" t="s">
        <v>71</v>
      </c>
      <c r="D89" s="91" t="str">
        <f>IFERROR(__xludf.DUMMYFUNCTION("IF(A89="""","""",
 IFERROR(TEXTJOIN("", ""&amp;CHAR(10), TRUE,
   FILTER('All URLs'!A88:A586, 'All URLs'!B88:B586=A89, 'All URLs'!A88:A586&lt;&gt;"""")
 ),"""")
)
"),"")</f>
        <v/>
      </c>
      <c r="E89" s="86"/>
      <c r="F89" s="86"/>
      <c r="G89" s="86"/>
      <c r="H89" s="86"/>
      <c r="I89" s="94"/>
      <c r="J89" s="86"/>
      <c r="K89" s="92"/>
    </row>
    <row r="90" ht="14.25" customHeight="1">
      <c r="A90" s="95"/>
      <c r="B90" s="94"/>
      <c r="C90" s="94" t="s">
        <v>71</v>
      </c>
      <c r="D90" s="91" t="str">
        <f>IFERROR(__xludf.DUMMYFUNCTION("IF(A90="""","""",
 IFERROR(TEXTJOIN("", ""&amp;CHAR(10), TRUE,
   FILTER('All URLs'!A89:A587, 'All URLs'!B89:B587=A90, 'All URLs'!A89:A587&lt;&gt;"""")
 ),"""")
)
"),"")</f>
        <v/>
      </c>
      <c r="E90" s="86"/>
      <c r="F90" s="86"/>
      <c r="G90" s="86"/>
      <c r="H90" s="86"/>
      <c r="I90" s="94"/>
      <c r="J90" s="86"/>
      <c r="K90" s="92"/>
    </row>
    <row r="91" ht="14.25" customHeight="1">
      <c r="A91" s="95"/>
      <c r="B91" s="94"/>
      <c r="C91" s="94" t="s">
        <v>71</v>
      </c>
      <c r="D91" s="91" t="str">
        <f>IFERROR(__xludf.DUMMYFUNCTION("IF(A91="""","""",
 IFERROR(TEXTJOIN("", ""&amp;CHAR(10), TRUE,
   FILTER('All URLs'!A90:A588, 'All URLs'!B90:B588=A91, 'All URLs'!A90:A588&lt;&gt;"""")
 ),"""")
)
"),"")</f>
        <v/>
      </c>
      <c r="E91" s="86"/>
      <c r="F91" s="86"/>
      <c r="G91" s="86"/>
      <c r="H91" s="86"/>
      <c r="I91" s="94"/>
      <c r="J91" s="86"/>
      <c r="K91" s="92"/>
    </row>
    <row r="92" ht="14.25" customHeight="1">
      <c r="A92" s="95"/>
      <c r="B92" s="94"/>
      <c r="C92" s="94" t="s">
        <v>71</v>
      </c>
      <c r="D92" s="91" t="str">
        <f>IFERROR(__xludf.DUMMYFUNCTION("IF(A92="""","""",
 IFERROR(TEXTJOIN("", ""&amp;CHAR(10), TRUE,
   FILTER('All URLs'!A91:A589, 'All URLs'!B91:B589=A92, 'All URLs'!A91:A589&lt;&gt;"""")
 ),"""")
)
"),"")</f>
        <v/>
      </c>
      <c r="E92" s="86"/>
      <c r="F92" s="86"/>
      <c r="G92" s="86"/>
      <c r="H92" s="86"/>
      <c r="I92" s="94"/>
      <c r="J92" s="86"/>
      <c r="K92" s="92"/>
    </row>
    <row r="93" ht="14.25" customHeight="1">
      <c r="A93" s="95"/>
      <c r="B93" s="94"/>
      <c r="C93" s="94" t="s">
        <v>71</v>
      </c>
      <c r="D93" s="91" t="str">
        <f>IFERROR(__xludf.DUMMYFUNCTION("IF(A93="""","""",
 IFERROR(TEXTJOIN("", ""&amp;CHAR(10), TRUE,
   FILTER('All URLs'!A92:A590, 'All URLs'!B92:B590=A93, 'All URLs'!A92:A590&lt;&gt;"""")
 ),"""")
)
"),"")</f>
        <v/>
      </c>
      <c r="E93" s="86"/>
      <c r="F93" s="86"/>
      <c r="G93" s="86"/>
      <c r="H93" s="86"/>
      <c r="I93" s="94"/>
      <c r="J93" s="86"/>
      <c r="K93" s="92"/>
    </row>
    <row r="94" ht="14.25" customHeight="1">
      <c r="A94" s="95"/>
      <c r="B94" s="94"/>
      <c r="C94" s="94" t="s">
        <v>71</v>
      </c>
      <c r="D94" s="91" t="str">
        <f>IFERROR(__xludf.DUMMYFUNCTION("IF(A94="""","""",
 IFERROR(TEXTJOIN("", ""&amp;CHAR(10), TRUE,
   FILTER('All URLs'!A93:A591, 'All URLs'!B93:B591=A94, 'All URLs'!A93:A591&lt;&gt;"""")
 ),"""")
)
"),"")</f>
        <v/>
      </c>
      <c r="E94" s="86"/>
      <c r="F94" s="86"/>
      <c r="G94" s="86"/>
      <c r="H94" s="86"/>
      <c r="I94" s="94"/>
      <c r="J94" s="86"/>
      <c r="K94" s="92"/>
    </row>
    <row r="95" ht="14.25" customHeight="1">
      <c r="A95" s="95"/>
      <c r="B95" s="94"/>
      <c r="C95" s="94" t="s">
        <v>71</v>
      </c>
      <c r="D95" s="91" t="str">
        <f>IFERROR(__xludf.DUMMYFUNCTION("IF(A95="""","""",
 IFERROR(TEXTJOIN("", ""&amp;CHAR(10), TRUE,
   FILTER('All URLs'!A94:A592, 'All URLs'!B94:B592=A95, 'All URLs'!A94:A592&lt;&gt;"""")
 ),"""")
)
"),"")</f>
        <v/>
      </c>
      <c r="E95" s="86"/>
      <c r="F95" s="86"/>
      <c r="G95" s="86"/>
      <c r="H95" s="86"/>
      <c r="I95" s="94"/>
      <c r="J95" s="86"/>
      <c r="K95" s="92"/>
    </row>
    <row r="96" ht="14.25" customHeight="1">
      <c r="A96" s="95"/>
      <c r="B96" s="94"/>
      <c r="C96" s="94" t="s">
        <v>71</v>
      </c>
      <c r="D96" s="91" t="str">
        <f>IFERROR(__xludf.DUMMYFUNCTION("IF(A96="""","""",
 IFERROR(TEXTJOIN("", ""&amp;CHAR(10), TRUE,
   FILTER('All URLs'!A95:A593, 'All URLs'!B95:B593=A96, 'All URLs'!A95:A593&lt;&gt;"""")
 ),"""")
)
"),"")</f>
        <v/>
      </c>
      <c r="E96" s="86"/>
      <c r="F96" s="86"/>
      <c r="G96" s="86"/>
      <c r="H96" s="86"/>
      <c r="I96" s="94"/>
      <c r="J96" s="86"/>
      <c r="K96" s="92"/>
    </row>
    <row r="97" ht="14.25" customHeight="1">
      <c r="A97" s="95"/>
      <c r="B97" s="94"/>
      <c r="C97" s="94" t="s">
        <v>71</v>
      </c>
      <c r="D97" s="91" t="str">
        <f>IFERROR(__xludf.DUMMYFUNCTION("IF(A97="""","""",
 IFERROR(TEXTJOIN("", ""&amp;CHAR(10), TRUE,
   FILTER('All URLs'!A96:A594, 'All URLs'!B96:B594=A97, 'All URLs'!A96:A594&lt;&gt;"""")
 ),"""")
)
"),"")</f>
        <v/>
      </c>
      <c r="E97" s="86"/>
      <c r="F97" s="86"/>
      <c r="G97" s="86"/>
      <c r="H97" s="86"/>
      <c r="I97" s="94"/>
      <c r="J97" s="86"/>
      <c r="K97" s="92"/>
    </row>
    <row r="98" ht="14.25" customHeight="1">
      <c r="A98" s="95"/>
      <c r="B98" s="94"/>
      <c r="C98" s="94" t="s">
        <v>71</v>
      </c>
      <c r="D98" s="91" t="str">
        <f>IFERROR(__xludf.DUMMYFUNCTION("IF(A98="""","""",
 IFERROR(TEXTJOIN("", ""&amp;CHAR(10), TRUE,
   FILTER('All URLs'!A97:A595, 'All URLs'!B97:B595=A98, 'All URLs'!A97:A595&lt;&gt;"""")
 ),"""")
)
"),"")</f>
        <v/>
      </c>
      <c r="E98" s="86"/>
      <c r="F98" s="86"/>
      <c r="G98" s="86"/>
      <c r="H98" s="86"/>
      <c r="I98" s="94"/>
      <c r="J98" s="86"/>
      <c r="K98" s="92"/>
    </row>
    <row r="99" ht="14.25" customHeight="1">
      <c r="A99" s="95"/>
      <c r="B99" s="94"/>
      <c r="C99" s="94" t="s">
        <v>71</v>
      </c>
      <c r="D99" s="91" t="str">
        <f>IFERROR(__xludf.DUMMYFUNCTION("IF(A99="""","""",
 IFERROR(TEXTJOIN("", ""&amp;CHAR(10), TRUE,
   FILTER('All URLs'!A98:A596, 'All URLs'!B98:B596=A99, 'All URLs'!A98:A596&lt;&gt;"""")
 ),"""")
)
"),"")</f>
        <v/>
      </c>
      <c r="E99" s="86"/>
      <c r="F99" s="86"/>
      <c r="G99" s="86"/>
      <c r="H99" s="86"/>
      <c r="I99" s="94"/>
      <c r="J99" s="86"/>
      <c r="K99" s="92"/>
    </row>
    <row r="100" ht="14.25" customHeight="1">
      <c r="A100" s="96"/>
      <c r="B100" s="97"/>
      <c r="C100" s="97" t="s">
        <v>71</v>
      </c>
      <c r="D100" s="91" t="str">
        <f>IFERROR(__xludf.DUMMYFUNCTION("IF(A100="""","""",
 IFERROR(TEXTJOIN("", ""&amp;CHAR(10), TRUE,
   FILTER('All URLs'!A99:A597, 'All URLs'!B99:B597=A100, 'All URLs'!A99:A597&lt;&gt;"""")
 ),"""")
)
"),"")</f>
        <v/>
      </c>
      <c r="E100" s="98"/>
      <c r="F100" s="86"/>
      <c r="G100" s="98"/>
      <c r="H100" s="98"/>
      <c r="I100" s="97"/>
      <c r="J100" s="98"/>
      <c r="K100" s="99"/>
    </row>
    <row r="101" ht="14.25" customHeight="1">
      <c r="D101" s="100"/>
    </row>
    <row r="102" ht="14.25" customHeight="1">
      <c r="D102" s="100"/>
    </row>
    <row r="103" ht="14.25" customHeight="1">
      <c r="D103" s="100"/>
    </row>
    <row r="104" ht="14.25" customHeight="1">
      <c r="D104" s="100"/>
    </row>
    <row r="105" ht="14.25" customHeight="1">
      <c r="D105" s="100"/>
    </row>
    <row r="106" ht="14.25" customHeight="1">
      <c r="D106" s="100"/>
    </row>
    <row r="107" ht="14.25" customHeight="1">
      <c r="D107" s="100"/>
    </row>
    <row r="108" ht="14.25" customHeight="1">
      <c r="D108" s="100"/>
    </row>
    <row r="109" ht="14.25" customHeight="1">
      <c r="D109" s="100"/>
    </row>
    <row r="110" ht="14.25" customHeight="1">
      <c r="D110" s="100"/>
    </row>
    <row r="111" ht="14.25" customHeight="1">
      <c r="D111" s="100"/>
    </row>
    <row r="112" ht="14.25" customHeight="1">
      <c r="D112" s="100"/>
    </row>
    <row r="113" ht="14.25" customHeight="1">
      <c r="D113" s="100"/>
    </row>
    <row r="114" ht="14.25" customHeight="1">
      <c r="D114" s="100"/>
    </row>
    <row r="115" ht="14.25" customHeight="1">
      <c r="D115" s="100"/>
    </row>
    <row r="116" ht="14.25" customHeight="1">
      <c r="D116" s="100"/>
    </row>
    <row r="117" ht="14.25" customHeight="1">
      <c r="D117" s="100"/>
    </row>
    <row r="118" ht="14.25" customHeight="1">
      <c r="D118" s="100"/>
    </row>
    <row r="119" ht="14.25" customHeight="1">
      <c r="D119" s="100"/>
    </row>
    <row r="120" ht="14.25" customHeight="1">
      <c r="D120" s="100"/>
    </row>
    <row r="121" ht="14.25" customHeight="1">
      <c r="D121" s="100"/>
    </row>
    <row r="122" ht="14.25" customHeight="1">
      <c r="D122" s="100"/>
    </row>
    <row r="123" ht="14.25" customHeight="1">
      <c r="D123" s="100"/>
    </row>
    <row r="124" ht="14.25" customHeight="1">
      <c r="D124" s="100"/>
    </row>
    <row r="125" ht="14.25" customHeight="1">
      <c r="D125" s="100"/>
    </row>
    <row r="126" ht="14.25" customHeight="1">
      <c r="D126" s="100"/>
    </row>
    <row r="127" ht="14.25" customHeight="1">
      <c r="D127" s="100"/>
    </row>
    <row r="128" ht="14.25" customHeight="1">
      <c r="D128" s="100"/>
    </row>
    <row r="129" ht="14.25" customHeight="1">
      <c r="D129" s="100"/>
    </row>
    <row r="130" ht="14.25" customHeight="1">
      <c r="D130" s="100"/>
    </row>
    <row r="131" ht="14.25" customHeight="1">
      <c r="D131" s="100"/>
    </row>
    <row r="132" ht="14.25" customHeight="1">
      <c r="D132" s="100"/>
    </row>
    <row r="133" ht="14.25" customHeight="1">
      <c r="D133" s="100"/>
    </row>
    <row r="134" ht="14.25" customHeight="1">
      <c r="D134" s="100"/>
    </row>
    <row r="135" ht="14.25" customHeight="1">
      <c r="D135" s="100"/>
    </row>
    <row r="136" ht="14.25" customHeight="1">
      <c r="D136" s="100"/>
    </row>
    <row r="137" ht="14.25" customHeight="1">
      <c r="D137" s="100"/>
    </row>
    <row r="138" ht="14.25" customHeight="1">
      <c r="D138" s="100"/>
    </row>
    <row r="139" ht="14.25" customHeight="1">
      <c r="D139" s="100"/>
    </row>
    <row r="140" ht="14.25" customHeight="1">
      <c r="D140" s="100"/>
    </row>
    <row r="141" ht="14.25" customHeight="1">
      <c r="D141" s="100"/>
    </row>
    <row r="142" ht="14.25" customHeight="1">
      <c r="D142" s="100"/>
    </row>
    <row r="143" ht="14.25" customHeight="1">
      <c r="D143" s="100"/>
    </row>
    <row r="144" ht="14.25" customHeight="1">
      <c r="D144" s="100"/>
    </row>
    <row r="145" ht="14.25" customHeight="1">
      <c r="D145" s="100"/>
    </row>
    <row r="146" ht="14.25" customHeight="1">
      <c r="D146" s="100"/>
    </row>
    <row r="147" ht="14.25" customHeight="1">
      <c r="D147" s="100"/>
    </row>
    <row r="148" ht="14.25" customHeight="1">
      <c r="D148" s="100"/>
    </row>
    <row r="149" ht="14.25" customHeight="1">
      <c r="D149" s="100"/>
    </row>
    <row r="150" ht="14.25" customHeight="1">
      <c r="D150" s="100"/>
    </row>
    <row r="151" ht="14.25" customHeight="1">
      <c r="D151" s="100"/>
    </row>
    <row r="152" ht="14.25" customHeight="1">
      <c r="D152" s="100"/>
    </row>
    <row r="153" ht="14.25" customHeight="1">
      <c r="D153" s="100"/>
    </row>
    <row r="154" ht="14.25" customHeight="1">
      <c r="D154" s="100"/>
    </row>
    <row r="155" ht="14.25" customHeight="1">
      <c r="D155" s="100"/>
    </row>
    <row r="156" ht="14.25" customHeight="1">
      <c r="D156" s="100"/>
    </row>
    <row r="157" ht="14.25" customHeight="1">
      <c r="D157" s="100"/>
    </row>
    <row r="158" ht="14.25" customHeight="1">
      <c r="D158" s="100"/>
    </row>
    <row r="159" ht="14.25" customHeight="1">
      <c r="D159" s="100"/>
    </row>
    <row r="160" ht="14.25" customHeight="1">
      <c r="D160" s="100"/>
    </row>
    <row r="161" ht="14.25" customHeight="1">
      <c r="D161" s="100"/>
    </row>
    <row r="162" ht="14.25" customHeight="1">
      <c r="D162" s="100"/>
    </row>
    <row r="163" ht="14.25" customHeight="1">
      <c r="D163" s="100"/>
    </row>
    <row r="164" ht="14.25" customHeight="1">
      <c r="D164" s="100"/>
    </row>
    <row r="165" ht="14.25" customHeight="1">
      <c r="D165" s="100"/>
    </row>
    <row r="166" ht="14.25" customHeight="1">
      <c r="D166" s="100"/>
    </row>
    <row r="167" ht="14.25" customHeight="1">
      <c r="D167" s="100"/>
    </row>
    <row r="168" ht="14.25" customHeight="1">
      <c r="D168" s="100"/>
    </row>
    <row r="169" ht="14.25" customHeight="1">
      <c r="D169" s="100"/>
    </row>
    <row r="170" ht="14.25" customHeight="1">
      <c r="D170" s="100"/>
    </row>
    <row r="171" ht="14.25" customHeight="1">
      <c r="D171" s="100"/>
    </row>
    <row r="172" ht="14.25" customHeight="1">
      <c r="D172" s="100"/>
    </row>
    <row r="173" ht="14.25" customHeight="1">
      <c r="D173" s="100"/>
    </row>
    <row r="174" ht="14.25" customHeight="1">
      <c r="D174" s="100"/>
    </row>
    <row r="175" ht="14.25" customHeight="1">
      <c r="D175" s="100"/>
    </row>
    <row r="176" ht="14.25" customHeight="1">
      <c r="D176" s="100"/>
    </row>
    <row r="177" ht="14.25" customHeight="1">
      <c r="D177" s="100"/>
    </row>
    <row r="178" ht="14.25" customHeight="1">
      <c r="D178" s="100"/>
    </row>
    <row r="179" ht="14.25" customHeight="1">
      <c r="D179" s="100"/>
    </row>
    <row r="180" ht="14.25" customHeight="1">
      <c r="D180" s="100"/>
    </row>
    <row r="181" ht="14.25" customHeight="1">
      <c r="D181" s="100"/>
    </row>
    <row r="182" ht="14.25" customHeight="1">
      <c r="D182" s="100"/>
    </row>
    <row r="183" ht="14.25" customHeight="1">
      <c r="D183" s="100"/>
    </row>
    <row r="184" ht="14.25" customHeight="1">
      <c r="D184" s="100"/>
    </row>
    <row r="185" ht="14.25" customHeight="1">
      <c r="D185" s="100"/>
    </row>
    <row r="186" ht="14.25" customHeight="1">
      <c r="D186" s="100"/>
    </row>
    <row r="187" ht="14.25" customHeight="1">
      <c r="D187" s="100"/>
    </row>
    <row r="188" ht="14.25" customHeight="1">
      <c r="D188" s="100"/>
    </row>
    <row r="189" ht="14.25" customHeight="1">
      <c r="D189" s="100"/>
    </row>
    <row r="190" ht="14.25" customHeight="1">
      <c r="D190" s="100"/>
    </row>
    <row r="191" ht="14.25" customHeight="1">
      <c r="D191" s="100"/>
    </row>
    <row r="192" ht="14.25" customHeight="1">
      <c r="D192" s="100"/>
    </row>
    <row r="193" ht="14.25" customHeight="1">
      <c r="D193" s="100"/>
    </row>
    <row r="194" ht="14.25" customHeight="1">
      <c r="D194" s="100"/>
    </row>
    <row r="195" ht="14.25" customHeight="1">
      <c r="D195" s="100"/>
    </row>
    <row r="196" ht="14.25" customHeight="1">
      <c r="D196" s="100"/>
    </row>
    <row r="197" ht="14.25" customHeight="1">
      <c r="D197" s="100"/>
    </row>
    <row r="198" ht="14.25" customHeight="1">
      <c r="D198" s="100"/>
    </row>
    <row r="199" ht="14.25" customHeight="1">
      <c r="D199" s="100"/>
    </row>
    <row r="200" ht="14.25" customHeight="1">
      <c r="D200" s="100"/>
    </row>
    <row r="201" ht="14.25" customHeight="1">
      <c r="D201" s="100"/>
    </row>
    <row r="202" ht="14.25" customHeight="1">
      <c r="D202" s="100"/>
    </row>
    <row r="203" ht="14.25" customHeight="1">
      <c r="D203" s="100"/>
    </row>
    <row r="204" ht="14.25" customHeight="1">
      <c r="D204" s="100"/>
    </row>
    <row r="205" ht="14.25" customHeight="1">
      <c r="D205" s="100"/>
    </row>
    <row r="206" ht="14.25" customHeight="1">
      <c r="D206" s="100"/>
    </row>
    <row r="207" ht="14.25" customHeight="1">
      <c r="D207" s="100"/>
    </row>
    <row r="208" ht="14.25" customHeight="1">
      <c r="D208" s="100"/>
    </row>
    <row r="209" ht="14.25" customHeight="1">
      <c r="D209" s="100"/>
    </row>
    <row r="210" ht="14.25" customHeight="1">
      <c r="D210" s="100"/>
    </row>
    <row r="211" ht="14.25" customHeight="1">
      <c r="D211" s="100"/>
    </row>
    <row r="212" ht="14.25" customHeight="1">
      <c r="D212" s="100"/>
    </row>
    <row r="213" ht="14.25" customHeight="1">
      <c r="D213" s="100"/>
    </row>
    <row r="214" ht="14.25" customHeight="1">
      <c r="D214" s="100"/>
    </row>
    <row r="215" ht="14.25" customHeight="1">
      <c r="D215" s="100"/>
    </row>
    <row r="216" ht="14.25" customHeight="1">
      <c r="D216" s="100"/>
    </row>
    <row r="217" ht="14.25" customHeight="1">
      <c r="D217" s="100"/>
    </row>
    <row r="218" ht="14.25" customHeight="1">
      <c r="D218" s="100"/>
    </row>
    <row r="219" ht="14.25" customHeight="1">
      <c r="D219" s="100"/>
    </row>
    <row r="220" ht="14.25" customHeight="1">
      <c r="D220" s="100"/>
    </row>
    <row r="221" ht="14.25" customHeight="1">
      <c r="D221" s="100"/>
    </row>
    <row r="222" ht="14.25" customHeight="1">
      <c r="D222" s="100"/>
    </row>
    <row r="223" ht="14.25" customHeight="1">
      <c r="D223" s="100"/>
    </row>
    <row r="224" ht="14.25" customHeight="1">
      <c r="D224" s="100"/>
    </row>
    <row r="225" ht="14.25" customHeight="1">
      <c r="D225" s="100"/>
    </row>
    <row r="226" ht="14.25" customHeight="1">
      <c r="D226" s="100"/>
    </row>
    <row r="227" ht="14.25" customHeight="1">
      <c r="D227" s="100"/>
    </row>
    <row r="228" ht="14.25" customHeight="1">
      <c r="D228" s="100"/>
    </row>
    <row r="229" ht="14.25" customHeight="1">
      <c r="D229" s="100"/>
    </row>
    <row r="230" ht="14.25" customHeight="1">
      <c r="D230" s="100"/>
    </row>
    <row r="231" ht="14.25" customHeight="1">
      <c r="D231" s="100"/>
    </row>
    <row r="232" ht="14.25" customHeight="1">
      <c r="D232" s="100"/>
    </row>
    <row r="233" ht="14.25" customHeight="1">
      <c r="D233" s="100"/>
    </row>
    <row r="234" ht="14.25" customHeight="1">
      <c r="D234" s="100"/>
    </row>
    <row r="235" ht="14.25" customHeight="1">
      <c r="D235" s="100"/>
    </row>
    <row r="236" ht="14.25" customHeight="1">
      <c r="D236" s="100"/>
    </row>
    <row r="237" ht="14.25" customHeight="1">
      <c r="D237" s="100"/>
    </row>
    <row r="238" ht="14.25" customHeight="1">
      <c r="D238" s="100"/>
    </row>
    <row r="239" ht="14.25" customHeight="1">
      <c r="D239" s="100"/>
    </row>
    <row r="240" ht="14.25" customHeight="1">
      <c r="D240" s="100"/>
    </row>
    <row r="241" ht="14.25" customHeight="1">
      <c r="D241" s="100"/>
    </row>
    <row r="242" ht="14.25" customHeight="1">
      <c r="D242" s="100"/>
    </row>
    <row r="243" ht="14.25" customHeight="1">
      <c r="D243" s="100"/>
    </row>
    <row r="244" ht="14.25" customHeight="1">
      <c r="D244" s="100"/>
    </row>
    <row r="245" ht="14.25" customHeight="1">
      <c r="D245" s="100"/>
    </row>
    <row r="246" ht="14.25" customHeight="1">
      <c r="D246" s="100"/>
    </row>
    <row r="247" ht="14.25" customHeight="1">
      <c r="D247" s="100"/>
    </row>
    <row r="248" ht="14.25" customHeight="1">
      <c r="D248" s="100"/>
    </row>
    <row r="249" ht="14.25" customHeight="1">
      <c r="D249" s="100"/>
    </row>
    <row r="250" ht="14.25" customHeight="1">
      <c r="D250" s="100"/>
    </row>
    <row r="251" ht="14.25" customHeight="1">
      <c r="D251" s="100"/>
    </row>
    <row r="252" ht="14.25" customHeight="1">
      <c r="D252" s="100"/>
    </row>
    <row r="253" ht="14.25" customHeight="1">
      <c r="D253" s="100"/>
    </row>
    <row r="254" ht="14.25" customHeight="1">
      <c r="D254" s="100"/>
    </row>
    <row r="255" ht="14.25" customHeight="1">
      <c r="D255" s="100"/>
    </row>
    <row r="256" ht="14.25" customHeight="1">
      <c r="D256" s="100"/>
    </row>
    <row r="257" ht="14.25" customHeight="1">
      <c r="D257" s="100"/>
    </row>
    <row r="258" ht="14.25" customHeight="1">
      <c r="D258" s="100"/>
    </row>
    <row r="259" ht="14.25" customHeight="1">
      <c r="D259" s="100"/>
    </row>
    <row r="260" ht="14.25" customHeight="1">
      <c r="D260" s="100"/>
    </row>
    <row r="261" ht="14.25" customHeight="1">
      <c r="D261" s="100"/>
    </row>
    <row r="262" ht="14.25" customHeight="1">
      <c r="D262" s="100"/>
    </row>
    <row r="263" ht="14.25" customHeight="1">
      <c r="D263" s="100"/>
    </row>
    <row r="264" ht="14.25" customHeight="1">
      <c r="D264" s="100"/>
    </row>
    <row r="265" ht="14.25" customHeight="1">
      <c r="D265" s="100"/>
    </row>
    <row r="266" ht="14.25" customHeight="1">
      <c r="D266" s="100"/>
    </row>
    <row r="267" ht="14.25" customHeight="1">
      <c r="D267" s="100"/>
    </row>
    <row r="268" ht="14.25" customHeight="1">
      <c r="D268" s="100"/>
    </row>
    <row r="269" ht="14.25" customHeight="1">
      <c r="D269" s="100"/>
    </row>
    <row r="270" ht="14.25" customHeight="1">
      <c r="D270" s="100"/>
    </row>
    <row r="271" ht="14.25" customHeight="1">
      <c r="D271" s="100"/>
    </row>
    <row r="272" ht="14.25" customHeight="1">
      <c r="D272" s="100"/>
    </row>
    <row r="273" ht="14.25" customHeight="1">
      <c r="D273" s="100"/>
    </row>
    <row r="274" ht="14.25" customHeight="1">
      <c r="D274" s="100"/>
    </row>
    <row r="275" ht="14.25" customHeight="1">
      <c r="D275" s="100"/>
    </row>
    <row r="276" ht="14.25" customHeight="1">
      <c r="D276" s="100"/>
    </row>
    <row r="277" ht="14.25" customHeight="1">
      <c r="D277" s="100"/>
    </row>
    <row r="278" ht="14.25" customHeight="1">
      <c r="D278" s="100"/>
    </row>
    <row r="279" ht="14.25" customHeight="1">
      <c r="D279" s="100"/>
    </row>
    <row r="280" ht="14.25" customHeight="1">
      <c r="D280" s="100"/>
    </row>
    <row r="281" ht="14.25" customHeight="1">
      <c r="D281" s="100"/>
    </row>
    <row r="282" ht="14.25" customHeight="1">
      <c r="D282" s="100"/>
    </row>
    <row r="283" ht="14.25" customHeight="1">
      <c r="D283" s="100"/>
    </row>
    <row r="284" ht="14.25" customHeight="1">
      <c r="D284" s="100"/>
    </row>
    <row r="285" ht="14.25" customHeight="1">
      <c r="D285" s="100"/>
    </row>
    <row r="286" ht="14.25" customHeight="1">
      <c r="D286" s="100"/>
    </row>
    <row r="287" ht="14.25" customHeight="1">
      <c r="D287" s="100"/>
    </row>
    <row r="288" ht="14.25" customHeight="1">
      <c r="D288" s="100"/>
    </row>
    <row r="289" ht="14.25" customHeight="1">
      <c r="D289" s="100"/>
    </row>
    <row r="290" ht="14.25" customHeight="1">
      <c r="D290" s="100"/>
    </row>
    <row r="291" ht="14.25" customHeight="1">
      <c r="D291" s="100"/>
    </row>
    <row r="292" ht="14.25" customHeight="1">
      <c r="D292" s="100"/>
    </row>
    <row r="293" ht="14.25" customHeight="1">
      <c r="D293" s="100"/>
    </row>
    <row r="294" ht="14.25" customHeight="1">
      <c r="D294" s="100"/>
    </row>
    <row r="295" ht="14.25" customHeight="1">
      <c r="D295" s="100"/>
    </row>
    <row r="296" ht="14.25" customHeight="1">
      <c r="D296" s="100"/>
    </row>
    <row r="297" ht="14.25" customHeight="1">
      <c r="D297" s="100"/>
    </row>
    <row r="298" ht="14.25" customHeight="1">
      <c r="D298" s="100"/>
    </row>
    <row r="299" ht="14.25" customHeight="1">
      <c r="D299" s="100"/>
    </row>
    <row r="300" ht="14.25" customHeight="1">
      <c r="D300" s="100"/>
    </row>
    <row r="301" ht="14.25" customHeight="1">
      <c r="D301" s="100"/>
    </row>
    <row r="302" ht="14.25" customHeight="1">
      <c r="D302" s="100"/>
    </row>
    <row r="303" ht="14.25" customHeight="1">
      <c r="D303" s="100"/>
    </row>
    <row r="304" ht="14.25" customHeight="1">
      <c r="D304" s="100"/>
    </row>
    <row r="305" ht="14.25" customHeight="1">
      <c r="D305" s="100"/>
    </row>
    <row r="306" ht="14.25" customHeight="1">
      <c r="D306" s="100"/>
    </row>
    <row r="307" ht="14.25" customHeight="1">
      <c r="D307" s="100"/>
    </row>
    <row r="308" ht="14.25" customHeight="1">
      <c r="D308" s="100"/>
    </row>
    <row r="309" ht="14.25" customHeight="1">
      <c r="D309" s="100"/>
    </row>
    <row r="310" ht="14.25" customHeight="1">
      <c r="D310" s="100"/>
    </row>
    <row r="311" ht="14.25" customHeight="1">
      <c r="D311" s="100"/>
    </row>
    <row r="312" ht="14.25" customHeight="1">
      <c r="D312" s="100"/>
    </row>
    <row r="313" ht="14.25" customHeight="1">
      <c r="D313" s="100"/>
    </row>
    <row r="314" ht="14.25" customHeight="1">
      <c r="D314" s="100"/>
    </row>
    <row r="315" ht="14.25" customHeight="1">
      <c r="D315" s="100"/>
    </row>
    <row r="316" ht="14.25" customHeight="1">
      <c r="D316" s="100"/>
    </row>
    <row r="317" ht="14.25" customHeight="1">
      <c r="D317" s="100"/>
    </row>
    <row r="318" ht="14.25" customHeight="1">
      <c r="D318" s="100"/>
    </row>
    <row r="319" ht="14.25" customHeight="1">
      <c r="D319" s="100"/>
    </row>
    <row r="320" ht="14.25" customHeight="1">
      <c r="D320" s="100"/>
    </row>
    <row r="321" ht="14.25" customHeight="1">
      <c r="D321" s="100"/>
    </row>
    <row r="322" ht="14.25" customHeight="1">
      <c r="D322" s="100"/>
    </row>
    <row r="323" ht="14.25" customHeight="1">
      <c r="D323" s="100"/>
    </row>
    <row r="324" ht="14.25" customHeight="1">
      <c r="D324" s="100"/>
    </row>
    <row r="325" ht="14.25" customHeight="1">
      <c r="D325" s="100"/>
    </row>
    <row r="326" ht="14.25" customHeight="1">
      <c r="D326" s="100"/>
    </row>
    <row r="327" ht="14.25" customHeight="1">
      <c r="D327" s="100"/>
    </row>
    <row r="328" ht="14.25" customHeight="1">
      <c r="D328" s="100"/>
    </row>
    <row r="329" ht="14.25" customHeight="1">
      <c r="D329" s="100"/>
    </row>
    <row r="330" ht="14.25" customHeight="1">
      <c r="D330" s="100"/>
    </row>
    <row r="331" ht="14.25" customHeight="1">
      <c r="D331" s="100"/>
    </row>
    <row r="332" ht="14.25" customHeight="1">
      <c r="D332" s="100"/>
    </row>
    <row r="333" ht="14.25" customHeight="1">
      <c r="D333" s="100"/>
    </row>
    <row r="334" ht="14.25" customHeight="1">
      <c r="D334" s="100"/>
    </row>
    <row r="335" ht="14.25" customHeight="1">
      <c r="D335" s="100"/>
    </row>
    <row r="336" ht="14.25" customHeight="1">
      <c r="D336" s="100"/>
    </row>
    <row r="337" ht="14.25" customHeight="1">
      <c r="D337" s="100"/>
    </row>
    <row r="338" ht="14.25" customHeight="1">
      <c r="D338" s="100"/>
    </row>
    <row r="339" ht="14.25" customHeight="1">
      <c r="D339" s="100"/>
    </row>
    <row r="340" ht="14.25" customHeight="1">
      <c r="D340" s="100"/>
    </row>
    <row r="341" ht="14.25" customHeight="1">
      <c r="D341" s="100"/>
    </row>
    <row r="342" ht="14.25" customHeight="1">
      <c r="D342" s="100"/>
    </row>
    <row r="343" ht="14.25" customHeight="1">
      <c r="D343" s="100"/>
    </row>
    <row r="344" ht="14.25" customHeight="1">
      <c r="D344" s="100"/>
    </row>
    <row r="345" ht="14.25" customHeight="1">
      <c r="D345" s="100"/>
    </row>
    <row r="346" ht="14.25" customHeight="1">
      <c r="D346" s="100"/>
    </row>
    <row r="347" ht="14.25" customHeight="1">
      <c r="D347" s="100"/>
    </row>
    <row r="348" ht="14.25" customHeight="1">
      <c r="D348" s="100"/>
    </row>
    <row r="349" ht="14.25" customHeight="1">
      <c r="D349" s="100"/>
    </row>
    <row r="350" ht="14.25" customHeight="1">
      <c r="D350" s="100"/>
    </row>
    <row r="351" ht="14.25" customHeight="1">
      <c r="D351" s="100"/>
    </row>
    <row r="352" ht="14.25" customHeight="1">
      <c r="D352" s="100"/>
    </row>
    <row r="353" ht="14.25" customHeight="1">
      <c r="D353" s="100"/>
    </row>
    <row r="354" ht="14.25" customHeight="1">
      <c r="D354" s="100"/>
    </row>
    <row r="355" ht="14.25" customHeight="1">
      <c r="D355" s="100"/>
    </row>
    <row r="356" ht="14.25" customHeight="1">
      <c r="D356" s="100"/>
    </row>
    <row r="357" ht="14.25" customHeight="1">
      <c r="D357" s="100"/>
    </row>
    <row r="358" ht="14.25" customHeight="1">
      <c r="D358" s="100"/>
    </row>
    <row r="359" ht="14.25" customHeight="1">
      <c r="D359" s="100"/>
    </row>
    <row r="360" ht="14.25" customHeight="1">
      <c r="D360" s="100"/>
    </row>
    <row r="361" ht="14.25" customHeight="1">
      <c r="D361" s="100"/>
    </row>
    <row r="362" ht="14.25" customHeight="1">
      <c r="D362" s="100"/>
    </row>
    <row r="363" ht="14.25" customHeight="1">
      <c r="D363" s="100"/>
    </row>
    <row r="364" ht="14.25" customHeight="1">
      <c r="D364" s="100"/>
    </row>
    <row r="365" ht="14.25" customHeight="1">
      <c r="D365" s="100"/>
    </row>
    <row r="366" ht="14.25" customHeight="1">
      <c r="D366" s="100"/>
    </row>
    <row r="367" ht="14.25" customHeight="1">
      <c r="D367" s="100"/>
    </row>
    <row r="368" ht="14.25" customHeight="1">
      <c r="D368" s="100"/>
    </row>
    <row r="369" ht="14.25" customHeight="1">
      <c r="D369" s="100"/>
    </row>
    <row r="370" ht="14.25" customHeight="1">
      <c r="D370" s="100"/>
    </row>
    <row r="371" ht="14.25" customHeight="1">
      <c r="D371" s="100"/>
    </row>
    <row r="372" ht="14.25" customHeight="1">
      <c r="D372" s="100"/>
    </row>
    <row r="373" ht="14.25" customHeight="1">
      <c r="D373" s="100"/>
    </row>
    <row r="374" ht="14.25" customHeight="1">
      <c r="D374" s="100"/>
    </row>
    <row r="375" ht="14.25" customHeight="1">
      <c r="D375" s="100"/>
    </row>
    <row r="376" ht="14.25" customHeight="1">
      <c r="D376" s="100"/>
    </row>
    <row r="377" ht="14.25" customHeight="1">
      <c r="D377" s="100"/>
    </row>
    <row r="378" ht="14.25" customHeight="1">
      <c r="D378" s="100"/>
    </row>
    <row r="379" ht="14.25" customHeight="1">
      <c r="D379" s="100"/>
    </row>
    <row r="380" ht="14.25" customHeight="1">
      <c r="D380" s="100"/>
    </row>
    <row r="381" ht="14.25" customHeight="1">
      <c r="D381" s="100"/>
    </row>
    <row r="382" ht="14.25" customHeight="1">
      <c r="D382" s="100"/>
    </row>
    <row r="383" ht="14.25" customHeight="1">
      <c r="D383" s="100"/>
    </row>
    <row r="384" ht="14.25" customHeight="1">
      <c r="D384" s="100"/>
    </row>
    <row r="385" ht="14.25" customHeight="1">
      <c r="D385" s="100"/>
    </row>
    <row r="386" ht="14.25" customHeight="1">
      <c r="D386" s="100"/>
    </row>
    <row r="387" ht="14.25" customHeight="1">
      <c r="D387" s="100"/>
    </row>
    <row r="388" ht="14.25" customHeight="1">
      <c r="D388" s="100"/>
    </row>
    <row r="389" ht="14.25" customHeight="1">
      <c r="D389" s="100"/>
    </row>
    <row r="390" ht="14.25" customHeight="1">
      <c r="D390" s="100"/>
    </row>
    <row r="391" ht="14.25" customHeight="1">
      <c r="D391" s="100"/>
    </row>
    <row r="392" ht="14.25" customHeight="1">
      <c r="D392" s="100"/>
    </row>
    <row r="393" ht="14.25" customHeight="1">
      <c r="D393" s="100"/>
    </row>
    <row r="394" ht="14.25" customHeight="1">
      <c r="D394" s="100"/>
    </row>
    <row r="395" ht="14.25" customHeight="1">
      <c r="D395" s="100"/>
    </row>
    <row r="396" ht="14.25" customHeight="1">
      <c r="D396" s="100"/>
    </row>
    <row r="397" ht="14.25" customHeight="1">
      <c r="D397" s="100"/>
    </row>
    <row r="398" ht="14.25" customHeight="1">
      <c r="D398" s="100"/>
    </row>
    <row r="399" ht="14.25" customHeight="1">
      <c r="D399" s="100"/>
    </row>
    <row r="400" ht="14.25" customHeight="1">
      <c r="D400" s="100"/>
    </row>
    <row r="401" ht="14.25" customHeight="1">
      <c r="D401" s="100"/>
    </row>
    <row r="402" ht="14.25" customHeight="1">
      <c r="D402" s="100"/>
    </row>
    <row r="403" ht="14.25" customHeight="1">
      <c r="D403" s="100"/>
    </row>
    <row r="404" ht="14.25" customHeight="1">
      <c r="D404" s="100"/>
    </row>
    <row r="405" ht="14.25" customHeight="1">
      <c r="D405" s="100"/>
    </row>
    <row r="406" ht="14.25" customHeight="1">
      <c r="D406" s="100"/>
    </row>
    <row r="407" ht="14.25" customHeight="1">
      <c r="D407" s="100"/>
    </row>
    <row r="408" ht="14.25" customHeight="1">
      <c r="D408" s="100"/>
    </row>
    <row r="409" ht="14.25" customHeight="1">
      <c r="D409" s="100"/>
    </row>
    <row r="410" ht="14.25" customHeight="1">
      <c r="D410" s="100"/>
    </row>
    <row r="411" ht="14.25" customHeight="1">
      <c r="D411" s="100"/>
    </row>
    <row r="412" ht="14.25" customHeight="1">
      <c r="D412" s="100"/>
    </row>
    <row r="413" ht="14.25" customHeight="1">
      <c r="D413" s="100"/>
    </row>
    <row r="414" ht="14.25" customHeight="1">
      <c r="D414" s="100"/>
    </row>
    <row r="415" ht="14.25" customHeight="1">
      <c r="D415" s="100"/>
    </row>
    <row r="416" ht="14.25" customHeight="1">
      <c r="D416" s="100"/>
    </row>
    <row r="417" ht="14.25" customHeight="1">
      <c r="D417" s="100"/>
    </row>
    <row r="418" ht="14.25" customHeight="1">
      <c r="D418" s="100"/>
    </row>
    <row r="419" ht="14.25" customHeight="1">
      <c r="D419" s="100"/>
    </row>
    <row r="420" ht="14.25" customHeight="1">
      <c r="D420" s="100"/>
    </row>
    <row r="421" ht="14.25" customHeight="1">
      <c r="D421" s="100"/>
    </row>
    <row r="422" ht="14.25" customHeight="1">
      <c r="D422" s="100"/>
    </row>
    <row r="423" ht="14.25" customHeight="1">
      <c r="D423" s="100"/>
    </row>
    <row r="424" ht="14.25" customHeight="1">
      <c r="D424" s="100"/>
    </row>
    <row r="425" ht="14.25" customHeight="1">
      <c r="D425" s="100"/>
    </row>
    <row r="426" ht="14.25" customHeight="1">
      <c r="D426" s="100"/>
    </row>
    <row r="427" ht="14.25" customHeight="1">
      <c r="D427" s="100"/>
    </row>
    <row r="428" ht="14.25" customHeight="1">
      <c r="D428" s="100"/>
    </row>
    <row r="429" ht="14.25" customHeight="1">
      <c r="D429" s="100"/>
    </row>
    <row r="430" ht="14.25" customHeight="1">
      <c r="D430" s="100"/>
    </row>
    <row r="431" ht="14.25" customHeight="1">
      <c r="D431" s="100"/>
    </row>
    <row r="432" ht="14.25" customHeight="1">
      <c r="D432" s="100"/>
    </row>
    <row r="433" ht="14.25" customHeight="1">
      <c r="D433" s="100"/>
    </row>
    <row r="434" ht="14.25" customHeight="1">
      <c r="D434" s="100"/>
    </row>
    <row r="435" ht="14.25" customHeight="1">
      <c r="D435" s="100"/>
    </row>
    <row r="436" ht="14.25" customHeight="1">
      <c r="D436" s="100"/>
    </row>
    <row r="437" ht="14.25" customHeight="1">
      <c r="D437" s="100"/>
    </row>
    <row r="438" ht="14.25" customHeight="1">
      <c r="D438" s="100"/>
    </row>
    <row r="439" ht="14.25" customHeight="1">
      <c r="D439" s="100"/>
    </row>
    <row r="440" ht="14.25" customHeight="1">
      <c r="D440" s="100"/>
    </row>
    <row r="441" ht="14.25" customHeight="1">
      <c r="D441" s="100"/>
    </row>
    <row r="442" ht="14.25" customHeight="1">
      <c r="D442" s="100"/>
    </row>
    <row r="443" ht="14.25" customHeight="1">
      <c r="D443" s="100"/>
    </row>
    <row r="444" ht="14.25" customHeight="1">
      <c r="D444" s="100"/>
    </row>
    <row r="445" ht="14.25" customHeight="1">
      <c r="D445" s="100"/>
    </row>
    <row r="446" ht="14.25" customHeight="1">
      <c r="D446" s="100"/>
    </row>
    <row r="447" ht="14.25" customHeight="1">
      <c r="D447" s="100"/>
    </row>
    <row r="448" ht="14.25" customHeight="1">
      <c r="D448" s="100"/>
    </row>
    <row r="449" ht="14.25" customHeight="1">
      <c r="D449" s="100"/>
    </row>
    <row r="450" ht="14.25" customHeight="1">
      <c r="D450" s="100"/>
    </row>
    <row r="451" ht="14.25" customHeight="1">
      <c r="D451" s="100"/>
    </row>
    <row r="452" ht="14.25" customHeight="1">
      <c r="D452" s="100"/>
    </row>
    <row r="453" ht="14.25" customHeight="1">
      <c r="D453" s="100"/>
    </row>
    <row r="454" ht="14.25" customHeight="1">
      <c r="D454" s="100"/>
    </row>
    <row r="455" ht="14.25" customHeight="1">
      <c r="D455" s="100"/>
    </row>
    <row r="456" ht="14.25" customHeight="1">
      <c r="D456" s="100"/>
    </row>
    <row r="457" ht="14.25" customHeight="1">
      <c r="D457" s="100"/>
    </row>
    <row r="458" ht="14.25" customHeight="1">
      <c r="D458" s="100"/>
    </row>
    <row r="459" ht="14.25" customHeight="1">
      <c r="D459" s="100"/>
    </row>
    <row r="460" ht="14.25" customHeight="1">
      <c r="D460" s="100"/>
    </row>
    <row r="461" ht="14.25" customHeight="1">
      <c r="D461" s="100"/>
    </row>
    <row r="462" ht="14.25" customHeight="1">
      <c r="D462" s="100"/>
    </row>
    <row r="463" ht="14.25" customHeight="1">
      <c r="D463" s="100"/>
    </row>
    <row r="464" ht="14.25" customHeight="1">
      <c r="D464" s="100"/>
    </row>
    <row r="465" ht="14.25" customHeight="1">
      <c r="D465" s="100"/>
    </row>
    <row r="466" ht="14.25" customHeight="1">
      <c r="D466" s="100"/>
    </row>
    <row r="467" ht="14.25" customHeight="1">
      <c r="D467" s="100"/>
    </row>
    <row r="468" ht="14.25" customHeight="1">
      <c r="D468" s="100"/>
    </row>
    <row r="469" ht="14.25" customHeight="1">
      <c r="D469" s="100"/>
    </row>
    <row r="470" ht="14.25" customHeight="1">
      <c r="D470" s="100"/>
    </row>
    <row r="471" ht="14.25" customHeight="1">
      <c r="D471" s="100"/>
    </row>
    <row r="472" ht="14.25" customHeight="1">
      <c r="D472" s="100"/>
    </row>
    <row r="473" ht="14.25" customHeight="1">
      <c r="D473" s="100"/>
    </row>
    <row r="474" ht="14.25" customHeight="1">
      <c r="D474" s="100"/>
    </row>
    <row r="475" ht="14.25" customHeight="1">
      <c r="D475" s="100"/>
    </row>
    <row r="476" ht="14.25" customHeight="1">
      <c r="D476" s="100"/>
    </row>
    <row r="477" ht="14.25" customHeight="1">
      <c r="D477" s="100"/>
    </row>
    <row r="478" ht="14.25" customHeight="1">
      <c r="D478" s="100"/>
    </row>
    <row r="479" ht="14.25" customHeight="1">
      <c r="D479" s="100"/>
    </row>
    <row r="480" ht="14.25" customHeight="1">
      <c r="D480" s="100"/>
    </row>
    <row r="481" ht="14.25" customHeight="1">
      <c r="D481" s="100"/>
    </row>
    <row r="482" ht="14.25" customHeight="1">
      <c r="D482" s="100"/>
    </row>
    <row r="483" ht="14.25" customHeight="1">
      <c r="D483" s="100"/>
    </row>
    <row r="484" ht="14.25" customHeight="1">
      <c r="D484" s="100"/>
    </row>
    <row r="485" ht="14.25" customHeight="1">
      <c r="D485" s="100"/>
    </row>
    <row r="486" ht="14.25" customHeight="1">
      <c r="D486" s="100"/>
    </row>
    <row r="487" ht="14.25" customHeight="1">
      <c r="D487" s="100"/>
    </row>
    <row r="488" ht="14.25" customHeight="1">
      <c r="D488" s="100"/>
    </row>
    <row r="489" ht="14.25" customHeight="1">
      <c r="D489" s="100"/>
    </row>
    <row r="490" ht="14.25" customHeight="1">
      <c r="D490" s="100"/>
    </row>
    <row r="491" ht="14.25" customHeight="1">
      <c r="D491" s="100"/>
    </row>
    <row r="492" ht="14.25" customHeight="1">
      <c r="D492" s="100"/>
    </row>
    <row r="493" ht="14.25" customHeight="1">
      <c r="D493" s="100"/>
    </row>
    <row r="494" ht="14.25" customHeight="1">
      <c r="D494" s="100"/>
    </row>
    <row r="495" ht="14.25" customHeight="1">
      <c r="D495" s="100"/>
    </row>
    <row r="496" ht="14.25" customHeight="1">
      <c r="D496" s="100"/>
    </row>
    <row r="497" ht="14.25" customHeight="1">
      <c r="D497" s="100"/>
    </row>
    <row r="498" ht="14.25" customHeight="1">
      <c r="D498" s="100"/>
    </row>
    <row r="499" ht="14.25" customHeight="1">
      <c r="D499" s="100"/>
    </row>
    <row r="500" ht="14.25" customHeight="1">
      <c r="D500" s="100"/>
    </row>
    <row r="501" ht="14.25" customHeight="1">
      <c r="D501" s="100"/>
    </row>
    <row r="502" ht="14.25" customHeight="1">
      <c r="D502" s="100"/>
    </row>
    <row r="503" ht="14.25" customHeight="1">
      <c r="D503" s="100"/>
    </row>
    <row r="504" ht="14.25" customHeight="1">
      <c r="D504" s="100"/>
    </row>
    <row r="505" ht="14.25" customHeight="1">
      <c r="D505" s="100"/>
    </row>
    <row r="506" ht="14.25" customHeight="1">
      <c r="D506" s="100"/>
    </row>
    <row r="507" ht="14.25" customHeight="1">
      <c r="D507" s="100"/>
    </row>
    <row r="508" ht="14.25" customHeight="1">
      <c r="D508" s="100"/>
    </row>
    <row r="509" ht="14.25" customHeight="1">
      <c r="D509" s="100"/>
    </row>
    <row r="510" ht="14.25" customHeight="1">
      <c r="D510" s="100"/>
    </row>
    <row r="511" ht="14.25" customHeight="1">
      <c r="D511" s="100"/>
    </row>
    <row r="512" ht="14.25" customHeight="1">
      <c r="D512" s="100"/>
    </row>
    <row r="513" ht="14.25" customHeight="1">
      <c r="D513" s="100"/>
    </row>
    <row r="514" ht="14.25" customHeight="1">
      <c r="D514" s="100"/>
    </row>
    <row r="515" ht="14.25" customHeight="1">
      <c r="D515" s="100"/>
    </row>
    <row r="516" ht="14.25" customHeight="1">
      <c r="D516" s="100"/>
    </row>
    <row r="517" ht="14.25" customHeight="1">
      <c r="D517" s="100"/>
    </row>
    <row r="518" ht="14.25" customHeight="1">
      <c r="D518" s="100"/>
    </row>
    <row r="519" ht="14.25" customHeight="1">
      <c r="D519" s="100"/>
    </row>
    <row r="520" ht="14.25" customHeight="1">
      <c r="D520" s="100"/>
    </row>
    <row r="521" ht="14.25" customHeight="1">
      <c r="D521" s="100"/>
    </row>
    <row r="522" ht="14.25" customHeight="1">
      <c r="D522" s="100"/>
    </row>
    <row r="523" ht="14.25" customHeight="1">
      <c r="D523" s="100"/>
    </row>
    <row r="524" ht="14.25" customHeight="1">
      <c r="D524" s="100"/>
    </row>
    <row r="525" ht="14.25" customHeight="1">
      <c r="D525" s="100"/>
    </row>
    <row r="526" ht="14.25" customHeight="1">
      <c r="D526" s="100"/>
    </row>
    <row r="527" ht="14.25" customHeight="1">
      <c r="D527" s="100"/>
    </row>
    <row r="528" ht="14.25" customHeight="1">
      <c r="D528" s="100"/>
    </row>
    <row r="529" ht="14.25" customHeight="1">
      <c r="D529" s="100"/>
    </row>
    <row r="530" ht="14.25" customHeight="1">
      <c r="D530" s="100"/>
    </row>
    <row r="531" ht="14.25" customHeight="1">
      <c r="D531" s="100"/>
    </row>
    <row r="532" ht="14.25" customHeight="1">
      <c r="D532" s="100"/>
    </row>
    <row r="533" ht="14.25" customHeight="1">
      <c r="D533" s="100"/>
    </row>
    <row r="534" ht="14.25" customHeight="1">
      <c r="D534" s="100"/>
    </row>
    <row r="535" ht="14.25" customHeight="1">
      <c r="D535" s="100"/>
    </row>
    <row r="536" ht="14.25" customHeight="1">
      <c r="D536" s="100"/>
    </row>
    <row r="537" ht="14.25" customHeight="1">
      <c r="D537" s="100"/>
    </row>
    <row r="538" ht="14.25" customHeight="1">
      <c r="D538" s="100"/>
    </row>
    <row r="539" ht="14.25" customHeight="1">
      <c r="D539" s="100"/>
    </row>
    <row r="540" ht="14.25" customHeight="1">
      <c r="D540" s="100"/>
    </row>
    <row r="541" ht="14.25" customHeight="1">
      <c r="D541" s="100"/>
    </row>
    <row r="542" ht="14.25" customHeight="1">
      <c r="D542" s="100"/>
    </row>
    <row r="543" ht="14.25" customHeight="1">
      <c r="D543" s="100"/>
    </row>
    <row r="544" ht="14.25" customHeight="1">
      <c r="D544" s="100"/>
    </row>
    <row r="545" ht="14.25" customHeight="1">
      <c r="D545" s="100"/>
    </row>
    <row r="546" ht="14.25" customHeight="1">
      <c r="D546" s="100"/>
    </row>
    <row r="547" ht="14.25" customHeight="1">
      <c r="D547" s="100"/>
    </row>
    <row r="548" ht="14.25" customHeight="1">
      <c r="D548" s="100"/>
    </row>
    <row r="549" ht="14.25" customHeight="1">
      <c r="D549" s="100"/>
    </row>
    <row r="550" ht="14.25" customHeight="1">
      <c r="D550" s="100"/>
    </row>
    <row r="551" ht="14.25" customHeight="1">
      <c r="D551" s="100"/>
    </row>
    <row r="552" ht="14.25" customHeight="1">
      <c r="D552" s="100"/>
    </row>
    <row r="553" ht="14.25" customHeight="1">
      <c r="D553" s="100"/>
    </row>
    <row r="554" ht="14.25" customHeight="1">
      <c r="D554" s="100"/>
    </row>
    <row r="555" ht="14.25" customHeight="1">
      <c r="D555" s="100"/>
    </row>
    <row r="556" ht="14.25" customHeight="1">
      <c r="D556" s="100"/>
    </row>
    <row r="557" ht="14.25" customHeight="1">
      <c r="D557" s="100"/>
    </row>
    <row r="558" ht="14.25" customHeight="1">
      <c r="D558" s="100"/>
    </row>
    <row r="559" ht="14.25" customHeight="1">
      <c r="D559" s="100"/>
    </row>
    <row r="560" ht="14.25" customHeight="1">
      <c r="D560" s="100"/>
    </row>
    <row r="561" ht="14.25" customHeight="1">
      <c r="D561" s="100"/>
    </row>
    <row r="562" ht="14.25" customHeight="1">
      <c r="D562" s="100"/>
    </row>
    <row r="563" ht="14.25" customHeight="1">
      <c r="D563" s="100"/>
    </row>
    <row r="564" ht="14.25" customHeight="1">
      <c r="D564" s="100"/>
    </row>
    <row r="565" ht="14.25" customHeight="1">
      <c r="D565" s="100"/>
    </row>
    <row r="566" ht="14.25" customHeight="1">
      <c r="D566" s="100"/>
    </row>
    <row r="567" ht="14.25" customHeight="1">
      <c r="D567" s="100"/>
    </row>
    <row r="568" ht="14.25" customHeight="1">
      <c r="D568" s="100"/>
    </row>
    <row r="569" ht="14.25" customHeight="1">
      <c r="D569" s="100"/>
    </row>
    <row r="570" ht="14.25" customHeight="1">
      <c r="D570" s="100"/>
    </row>
    <row r="571" ht="14.25" customHeight="1">
      <c r="D571" s="100"/>
    </row>
    <row r="572" ht="14.25" customHeight="1">
      <c r="D572" s="100"/>
    </row>
    <row r="573" ht="14.25" customHeight="1">
      <c r="D573" s="100"/>
    </row>
    <row r="574" ht="14.25" customHeight="1">
      <c r="D574" s="100"/>
    </row>
    <row r="575" ht="14.25" customHeight="1">
      <c r="D575" s="100"/>
    </row>
    <row r="576" ht="14.25" customHeight="1">
      <c r="D576" s="100"/>
    </row>
    <row r="577" ht="14.25" customHeight="1">
      <c r="D577" s="100"/>
    </row>
    <row r="578" ht="14.25" customHeight="1">
      <c r="D578" s="100"/>
    </row>
    <row r="579" ht="14.25" customHeight="1">
      <c r="D579" s="100"/>
    </row>
    <row r="580" ht="14.25" customHeight="1">
      <c r="D580" s="100"/>
    </row>
    <row r="581" ht="14.25" customHeight="1">
      <c r="D581" s="100"/>
    </row>
    <row r="582" ht="14.25" customHeight="1">
      <c r="D582" s="100"/>
    </row>
    <row r="583" ht="14.25" customHeight="1">
      <c r="D583" s="100"/>
    </row>
    <row r="584" ht="14.25" customHeight="1">
      <c r="D584" s="100"/>
    </row>
    <row r="585" ht="14.25" customHeight="1">
      <c r="D585" s="100"/>
    </row>
    <row r="586" ht="14.25" customHeight="1">
      <c r="D586" s="100"/>
    </row>
    <row r="587" ht="14.25" customHeight="1">
      <c r="D587" s="100"/>
    </row>
    <row r="588" ht="14.25" customHeight="1">
      <c r="D588" s="100"/>
    </row>
    <row r="589" ht="14.25" customHeight="1">
      <c r="D589" s="100"/>
    </row>
    <row r="590" ht="14.25" customHeight="1">
      <c r="D590" s="100"/>
    </row>
    <row r="591" ht="14.25" customHeight="1">
      <c r="D591" s="100"/>
    </row>
    <row r="592" ht="14.25" customHeight="1">
      <c r="D592" s="100"/>
    </row>
    <row r="593" ht="14.25" customHeight="1">
      <c r="D593" s="100"/>
    </row>
    <row r="594" ht="14.25" customHeight="1">
      <c r="D594" s="100"/>
    </row>
    <row r="595" ht="14.25" customHeight="1">
      <c r="D595" s="100"/>
    </row>
    <row r="596" ht="14.25" customHeight="1">
      <c r="D596" s="100"/>
    </row>
    <row r="597" ht="14.25" customHeight="1">
      <c r="D597" s="100"/>
    </row>
    <row r="598" ht="14.25" customHeight="1">
      <c r="D598" s="100"/>
    </row>
    <row r="599" ht="14.25" customHeight="1">
      <c r="D599" s="100"/>
    </row>
    <row r="600" ht="14.25" customHeight="1">
      <c r="D600" s="100"/>
    </row>
    <row r="601" ht="14.25" customHeight="1">
      <c r="D601" s="100"/>
    </row>
    <row r="602" ht="14.25" customHeight="1">
      <c r="D602" s="100"/>
    </row>
    <row r="603" ht="14.25" customHeight="1">
      <c r="D603" s="100"/>
    </row>
    <row r="604" ht="14.25" customHeight="1">
      <c r="D604" s="100"/>
    </row>
    <row r="605" ht="14.25" customHeight="1">
      <c r="D605" s="100"/>
    </row>
    <row r="606" ht="14.25" customHeight="1">
      <c r="D606" s="100"/>
    </row>
    <row r="607" ht="14.25" customHeight="1">
      <c r="D607" s="100"/>
    </row>
    <row r="608" ht="14.25" customHeight="1">
      <c r="D608" s="100"/>
    </row>
    <row r="609" ht="14.25" customHeight="1">
      <c r="D609" s="100"/>
    </row>
    <row r="610" ht="14.25" customHeight="1">
      <c r="D610" s="100"/>
    </row>
    <row r="611" ht="14.25" customHeight="1">
      <c r="D611" s="100"/>
    </row>
    <row r="612" ht="14.25" customHeight="1">
      <c r="D612" s="100"/>
    </row>
    <row r="613" ht="14.25" customHeight="1">
      <c r="D613" s="100"/>
    </row>
    <row r="614" ht="14.25" customHeight="1">
      <c r="D614" s="100"/>
    </row>
    <row r="615" ht="14.25" customHeight="1">
      <c r="D615" s="100"/>
    </row>
    <row r="616" ht="14.25" customHeight="1">
      <c r="D616" s="100"/>
    </row>
    <row r="617" ht="14.25" customHeight="1">
      <c r="D617" s="100"/>
    </row>
    <row r="618" ht="14.25" customHeight="1">
      <c r="D618" s="100"/>
    </row>
    <row r="619" ht="14.25" customHeight="1">
      <c r="D619" s="100"/>
    </row>
    <row r="620" ht="14.25" customHeight="1">
      <c r="D620" s="100"/>
    </row>
    <row r="621" ht="14.25" customHeight="1">
      <c r="D621" s="100"/>
    </row>
    <row r="622" ht="14.25" customHeight="1">
      <c r="D622" s="100"/>
    </row>
    <row r="623" ht="14.25" customHeight="1">
      <c r="D623" s="100"/>
    </row>
    <row r="624" ht="14.25" customHeight="1">
      <c r="D624" s="100"/>
    </row>
    <row r="625" ht="14.25" customHeight="1">
      <c r="D625" s="100"/>
    </row>
    <row r="626" ht="14.25" customHeight="1">
      <c r="D626" s="100"/>
    </row>
    <row r="627" ht="14.25" customHeight="1">
      <c r="D627" s="100"/>
    </row>
    <row r="628" ht="14.25" customHeight="1">
      <c r="D628" s="100"/>
    </row>
    <row r="629" ht="14.25" customHeight="1">
      <c r="D629" s="100"/>
    </row>
    <row r="630" ht="14.25" customHeight="1">
      <c r="D630" s="100"/>
    </row>
    <row r="631" ht="14.25" customHeight="1">
      <c r="D631" s="100"/>
    </row>
    <row r="632" ht="14.25" customHeight="1">
      <c r="D632" s="100"/>
    </row>
    <row r="633" ht="14.25" customHeight="1">
      <c r="D633" s="100"/>
    </row>
    <row r="634" ht="14.25" customHeight="1">
      <c r="D634" s="100"/>
    </row>
    <row r="635" ht="14.25" customHeight="1">
      <c r="D635" s="100"/>
    </row>
    <row r="636" ht="14.25" customHeight="1">
      <c r="D636" s="100"/>
    </row>
    <row r="637" ht="14.25" customHeight="1">
      <c r="D637" s="100"/>
    </row>
    <row r="638" ht="14.25" customHeight="1">
      <c r="D638" s="100"/>
    </row>
    <row r="639" ht="14.25" customHeight="1">
      <c r="D639" s="100"/>
    </row>
    <row r="640" ht="14.25" customHeight="1">
      <c r="D640" s="100"/>
    </row>
    <row r="641" ht="14.25" customHeight="1">
      <c r="D641" s="100"/>
    </row>
    <row r="642" ht="14.25" customHeight="1">
      <c r="D642" s="100"/>
    </row>
    <row r="643" ht="14.25" customHeight="1">
      <c r="D643" s="100"/>
    </row>
    <row r="644" ht="14.25" customHeight="1">
      <c r="D644" s="100"/>
    </row>
    <row r="645" ht="14.25" customHeight="1">
      <c r="D645" s="100"/>
    </row>
    <row r="646" ht="14.25" customHeight="1">
      <c r="D646" s="100"/>
    </row>
    <row r="647" ht="14.25" customHeight="1">
      <c r="D647" s="100"/>
    </row>
    <row r="648" ht="14.25" customHeight="1">
      <c r="D648" s="100"/>
    </row>
    <row r="649" ht="14.25" customHeight="1">
      <c r="D649" s="100"/>
    </row>
    <row r="650" ht="14.25" customHeight="1">
      <c r="D650" s="100"/>
    </row>
    <row r="651" ht="14.25" customHeight="1">
      <c r="D651" s="100"/>
    </row>
    <row r="652" ht="14.25" customHeight="1">
      <c r="D652" s="100"/>
    </row>
    <row r="653" ht="14.25" customHeight="1">
      <c r="D653" s="100"/>
    </row>
    <row r="654" ht="14.25" customHeight="1">
      <c r="D654" s="100"/>
    </row>
    <row r="655" ht="14.25" customHeight="1">
      <c r="D655" s="100"/>
    </row>
    <row r="656" ht="14.25" customHeight="1">
      <c r="D656" s="100"/>
    </row>
    <row r="657" ht="14.25" customHeight="1">
      <c r="D657" s="100"/>
    </row>
    <row r="658" ht="14.25" customHeight="1">
      <c r="D658" s="100"/>
    </row>
    <row r="659" ht="14.25" customHeight="1">
      <c r="D659" s="100"/>
    </row>
    <row r="660" ht="14.25" customHeight="1">
      <c r="D660" s="100"/>
    </row>
    <row r="661" ht="14.25" customHeight="1">
      <c r="D661" s="100"/>
    </row>
    <row r="662" ht="14.25" customHeight="1">
      <c r="D662" s="100"/>
    </row>
    <row r="663" ht="14.25" customHeight="1">
      <c r="D663" s="100"/>
    </row>
    <row r="664" ht="14.25" customHeight="1">
      <c r="D664" s="100"/>
    </row>
    <row r="665" ht="14.25" customHeight="1">
      <c r="D665" s="100"/>
    </row>
    <row r="666" ht="14.25" customHeight="1">
      <c r="D666" s="100"/>
    </row>
    <row r="667" ht="14.25" customHeight="1">
      <c r="D667" s="100"/>
    </row>
    <row r="668" ht="14.25" customHeight="1">
      <c r="D668" s="100"/>
    </row>
    <row r="669" ht="14.25" customHeight="1">
      <c r="D669" s="100"/>
    </row>
    <row r="670" ht="14.25" customHeight="1">
      <c r="D670" s="100"/>
    </row>
    <row r="671" ht="14.25" customHeight="1">
      <c r="D671" s="100"/>
    </row>
    <row r="672" ht="14.25" customHeight="1">
      <c r="D672" s="100"/>
    </row>
    <row r="673" ht="14.25" customHeight="1">
      <c r="D673" s="100"/>
    </row>
    <row r="674" ht="14.25" customHeight="1">
      <c r="D674" s="100"/>
    </row>
    <row r="675" ht="14.25" customHeight="1">
      <c r="D675" s="100"/>
    </row>
    <row r="676" ht="14.25" customHeight="1">
      <c r="D676" s="100"/>
    </row>
    <row r="677" ht="14.25" customHeight="1">
      <c r="D677" s="100"/>
    </row>
    <row r="678" ht="14.25" customHeight="1">
      <c r="D678" s="100"/>
    </row>
    <row r="679" ht="14.25" customHeight="1">
      <c r="D679" s="100"/>
    </row>
    <row r="680" ht="14.25" customHeight="1">
      <c r="D680" s="100"/>
    </row>
    <row r="681" ht="14.25" customHeight="1">
      <c r="D681" s="100"/>
    </row>
    <row r="682" ht="14.25" customHeight="1">
      <c r="D682" s="100"/>
    </row>
    <row r="683" ht="14.25" customHeight="1">
      <c r="D683" s="100"/>
    </row>
    <row r="684" ht="14.25" customHeight="1">
      <c r="D684" s="100"/>
    </row>
    <row r="685" ht="14.25" customHeight="1">
      <c r="D685" s="100"/>
    </row>
    <row r="686" ht="14.25" customHeight="1">
      <c r="D686" s="100"/>
    </row>
    <row r="687" ht="14.25" customHeight="1">
      <c r="D687" s="100"/>
    </row>
    <row r="688" ht="14.25" customHeight="1">
      <c r="D688" s="100"/>
    </row>
    <row r="689" ht="14.25" customHeight="1">
      <c r="D689" s="100"/>
    </row>
    <row r="690" ht="14.25" customHeight="1">
      <c r="D690" s="100"/>
    </row>
    <row r="691" ht="14.25" customHeight="1">
      <c r="D691" s="100"/>
    </row>
    <row r="692" ht="14.25" customHeight="1">
      <c r="D692" s="100"/>
    </row>
    <row r="693" ht="14.25" customHeight="1">
      <c r="D693" s="100"/>
    </row>
    <row r="694" ht="14.25" customHeight="1">
      <c r="D694" s="100"/>
    </row>
    <row r="695" ht="14.25" customHeight="1">
      <c r="D695" s="100"/>
    </row>
    <row r="696" ht="14.25" customHeight="1">
      <c r="D696" s="100"/>
    </row>
    <row r="697" ht="14.25" customHeight="1">
      <c r="D697" s="100"/>
    </row>
    <row r="698" ht="14.25" customHeight="1">
      <c r="D698" s="100"/>
    </row>
    <row r="699" ht="14.25" customHeight="1">
      <c r="D699" s="100"/>
    </row>
    <row r="700" ht="14.25" customHeight="1">
      <c r="D700" s="100"/>
    </row>
    <row r="701" ht="14.25" customHeight="1">
      <c r="D701" s="100"/>
    </row>
    <row r="702" ht="14.25" customHeight="1">
      <c r="D702" s="100"/>
    </row>
    <row r="703" ht="14.25" customHeight="1">
      <c r="D703" s="100"/>
    </row>
    <row r="704" ht="14.25" customHeight="1">
      <c r="D704" s="100"/>
    </row>
    <row r="705" ht="14.25" customHeight="1">
      <c r="D705" s="100"/>
    </row>
    <row r="706" ht="14.25" customHeight="1">
      <c r="D706" s="100"/>
    </row>
    <row r="707" ht="14.25" customHeight="1">
      <c r="D707" s="100"/>
    </row>
    <row r="708" ht="14.25" customHeight="1">
      <c r="D708" s="100"/>
    </row>
    <row r="709" ht="14.25" customHeight="1">
      <c r="D709" s="100"/>
    </row>
    <row r="710" ht="14.25" customHeight="1">
      <c r="D710" s="100"/>
    </row>
    <row r="711" ht="14.25" customHeight="1">
      <c r="D711" s="100"/>
    </row>
    <row r="712" ht="14.25" customHeight="1">
      <c r="D712" s="100"/>
    </row>
    <row r="713" ht="14.25" customHeight="1">
      <c r="D713" s="100"/>
    </row>
    <row r="714" ht="14.25" customHeight="1">
      <c r="D714" s="100"/>
    </row>
    <row r="715" ht="14.25" customHeight="1">
      <c r="D715" s="100"/>
    </row>
    <row r="716" ht="14.25" customHeight="1">
      <c r="D716" s="100"/>
    </row>
    <row r="717" ht="14.25" customHeight="1">
      <c r="D717" s="100"/>
    </row>
    <row r="718" ht="14.25" customHeight="1">
      <c r="D718" s="100"/>
    </row>
    <row r="719" ht="14.25" customHeight="1">
      <c r="D719" s="100"/>
    </row>
    <row r="720" ht="14.25" customHeight="1">
      <c r="D720" s="100"/>
    </row>
    <row r="721" ht="14.25" customHeight="1">
      <c r="D721" s="100"/>
    </row>
    <row r="722" ht="14.25" customHeight="1">
      <c r="D722" s="100"/>
    </row>
    <row r="723" ht="14.25" customHeight="1">
      <c r="D723" s="100"/>
    </row>
    <row r="724" ht="14.25" customHeight="1">
      <c r="D724" s="100"/>
    </row>
    <row r="725" ht="14.25" customHeight="1">
      <c r="D725" s="100"/>
    </row>
    <row r="726" ht="14.25" customHeight="1">
      <c r="D726" s="100"/>
    </row>
    <row r="727" ht="14.25" customHeight="1">
      <c r="D727" s="100"/>
    </row>
    <row r="728" ht="14.25" customHeight="1">
      <c r="D728" s="100"/>
    </row>
    <row r="729" ht="14.25" customHeight="1">
      <c r="D729" s="100"/>
    </row>
    <row r="730" ht="14.25" customHeight="1">
      <c r="D730" s="100"/>
    </row>
    <row r="731" ht="14.25" customHeight="1">
      <c r="D731" s="100"/>
    </row>
    <row r="732" ht="14.25" customHeight="1">
      <c r="D732" s="100"/>
    </row>
    <row r="733" ht="14.25" customHeight="1">
      <c r="D733" s="100"/>
    </row>
    <row r="734" ht="14.25" customHeight="1">
      <c r="D734" s="100"/>
    </row>
    <row r="735" ht="14.25" customHeight="1">
      <c r="D735" s="100"/>
    </row>
    <row r="736" ht="14.25" customHeight="1">
      <c r="D736" s="100"/>
    </row>
    <row r="737" ht="14.25" customHeight="1">
      <c r="D737" s="100"/>
    </row>
    <row r="738" ht="14.25" customHeight="1">
      <c r="D738" s="100"/>
    </row>
    <row r="739" ht="14.25" customHeight="1">
      <c r="D739" s="100"/>
    </row>
    <row r="740" ht="14.25" customHeight="1">
      <c r="D740" s="100"/>
    </row>
    <row r="741" ht="14.25" customHeight="1">
      <c r="D741" s="100"/>
    </row>
    <row r="742" ht="14.25" customHeight="1">
      <c r="D742" s="100"/>
    </row>
    <row r="743" ht="14.25" customHeight="1">
      <c r="D743" s="100"/>
    </row>
    <row r="744" ht="14.25" customHeight="1">
      <c r="D744" s="100"/>
    </row>
    <row r="745" ht="14.25" customHeight="1">
      <c r="D745" s="100"/>
    </row>
    <row r="746" ht="14.25" customHeight="1">
      <c r="D746" s="100"/>
    </row>
    <row r="747" ht="14.25" customHeight="1">
      <c r="D747" s="100"/>
    </row>
    <row r="748" ht="14.25" customHeight="1">
      <c r="D748" s="100"/>
    </row>
    <row r="749" ht="14.25" customHeight="1">
      <c r="D749" s="100"/>
    </row>
    <row r="750" ht="14.25" customHeight="1">
      <c r="D750" s="100"/>
    </row>
    <row r="751" ht="14.25" customHeight="1">
      <c r="D751" s="100"/>
    </row>
    <row r="752" ht="14.25" customHeight="1">
      <c r="D752" s="100"/>
    </row>
    <row r="753" ht="14.25" customHeight="1">
      <c r="D753" s="100"/>
    </row>
    <row r="754" ht="14.25" customHeight="1">
      <c r="D754" s="100"/>
    </row>
    <row r="755" ht="14.25" customHeight="1">
      <c r="D755" s="100"/>
    </row>
    <row r="756" ht="14.25" customHeight="1">
      <c r="D756" s="100"/>
    </row>
    <row r="757" ht="14.25" customHeight="1">
      <c r="D757" s="100"/>
    </row>
    <row r="758" ht="14.25" customHeight="1">
      <c r="D758" s="100"/>
    </row>
    <row r="759" ht="14.25" customHeight="1">
      <c r="D759" s="100"/>
    </row>
    <row r="760" ht="14.25" customHeight="1">
      <c r="D760" s="100"/>
    </row>
    <row r="761" ht="14.25" customHeight="1">
      <c r="D761" s="100"/>
    </row>
    <row r="762" ht="14.25" customHeight="1">
      <c r="D762" s="100"/>
    </row>
    <row r="763" ht="14.25" customHeight="1">
      <c r="D763" s="100"/>
    </row>
    <row r="764" ht="14.25" customHeight="1">
      <c r="D764" s="100"/>
    </row>
    <row r="765" ht="14.25" customHeight="1">
      <c r="D765" s="100"/>
    </row>
    <row r="766" ht="14.25" customHeight="1">
      <c r="D766" s="100"/>
    </row>
    <row r="767" ht="14.25" customHeight="1">
      <c r="D767" s="100"/>
    </row>
    <row r="768" ht="14.25" customHeight="1">
      <c r="D768" s="100"/>
    </row>
    <row r="769" ht="14.25" customHeight="1">
      <c r="D769" s="100"/>
    </row>
    <row r="770" ht="14.25" customHeight="1">
      <c r="D770" s="100"/>
    </row>
    <row r="771" ht="14.25" customHeight="1">
      <c r="D771" s="100"/>
    </row>
    <row r="772" ht="14.25" customHeight="1">
      <c r="D772" s="100"/>
    </row>
    <row r="773" ht="14.25" customHeight="1">
      <c r="D773" s="100"/>
    </row>
    <row r="774" ht="14.25" customHeight="1">
      <c r="D774" s="100"/>
    </row>
    <row r="775" ht="14.25" customHeight="1">
      <c r="D775" s="100"/>
    </row>
    <row r="776" ht="14.25" customHeight="1">
      <c r="D776" s="100"/>
    </row>
    <row r="777" ht="14.25" customHeight="1">
      <c r="D777" s="100"/>
    </row>
    <row r="778" ht="14.25" customHeight="1">
      <c r="D778" s="100"/>
    </row>
    <row r="779" ht="14.25" customHeight="1">
      <c r="D779" s="100"/>
    </row>
    <row r="780" ht="14.25" customHeight="1">
      <c r="D780" s="100"/>
    </row>
    <row r="781" ht="14.25" customHeight="1">
      <c r="D781" s="100"/>
    </row>
    <row r="782" ht="14.25" customHeight="1">
      <c r="D782" s="100"/>
    </row>
    <row r="783" ht="14.25" customHeight="1">
      <c r="D783" s="100"/>
    </row>
    <row r="784" ht="14.25" customHeight="1">
      <c r="D784" s="100"/>
    </row>
    <row r="785" ht="14.25" customHeight="1">
      <c r="D785" s="100"/>
    </row>
    <row r="786" ht="14.25" customHeight="1">
      <c r="D786" s="100"/>
    </row>
    <row r="787" ht="14.25" customHeight="1">
      <c r="D787" s="100"/>
    </row>
    <row r="788" ht="14.25" customHeight="1">
      <c r="D788" s="100"/>
    </row>
    <row r="789" ht="14.25" customHeight="1">
      <c r="D789" s="100"/>
    </row>
    <row r="790" ht="14.25" customHeight="1">
      <c r="D790" s="100"/>
    </row>
    <row r="791" ht="14.25" customHeight="1">
      <c r="D791" s="100"/>
    </row>
    <row r="792" ht="14.25" customHeight="1">
      <c r="D792" s="100"/>
    </row>
    <row r="793" ht="14.25" customHeight="1">
      <c r="D793" s="100"/>
    </row>
    <row r="794" ht="14.25" customHeight="1">
      <c r="D794" s="100"/>
    </row>
    <row r="795" ht="14.25" customHeight="1">
      <c r="D795" s="100"/>
    </row>
    <row r="796" ht="14.25" customHeight="1">
      <c r="D796" s="100"/>
    </row>
    <row r="797" ht="14.25" customHeight="1">
      <c r="D797" s="100"/>
    </row>
    <row r="798" ht="14.25" customHeight="1">
      <c r="D798" s="100"/>
    </row>
    <row r="799" ht="14.25" customHeight="1">
      <c r="D799" s="100"/>
    </row>
    <row r="800" ht="14.25" customHeight="1">
      <c r="D800" s="100"/>
    </row>
    <row r="801" ht="14.25" customHeight="1">
      <c r="D801" s="100"/>
    </row>
    <row r="802" ht="14.25" customHeight="1">
      <c r="D802" s="100"/>
    </row>
    <row r="803" ht="14.25" customHeight="1">
      <c r="D803" s="100"/>
    </row>
    <row r="804" ht="14.25" customHeight="1">
      <c r="D804" s="100"/>
    </row>
    <row r="805" ht="14.25" customHeight="1">
      <c r="D805" s="100"/>
    </row>
    <row r="806" ht="14.25" customHeight="1">
      <c r="D806" s="100"/>
    </row>
    <row r="807" ht="14.25" customHeight="1">
      <c r="D807" s="100"/>
    </row>
    <row r="808" ht="14.25" customHeight="1">
      <c r="D808" s="100"/>
    </row>
    <row r="809" ht="14.25" customHeight="1">
      <c r="D809" s="100"/>
    </row>
    <row r="810" ht="14.25" customHeight="1">
      <c r="D810" s="100"/>
    </row>
    <row r="811" ht="14.25" customHeight="1">
      <c r="D811" s="100"/>
    </row>
    <row r="812" ht="14.25" customHeight="1">
      <c r="D812" s="100"/>
    </row>
    <row r="813" ht="14.25" customHeight="1">
      <c r="D813" s="100"/>
    </row>
    <row r="814" ht="14.25" customHeight="1">
      <c r="D814" s="100"/>
    </row>
    <row r="815" ht="14.25" customHeight="1">
      <c r="D815" s="100"/>
    </row>
    <row r="816" ht="14.25" customHeight="1">
      <c r="D816" s="100"/>
    </row>
    <row r="817" ht="14.25" customHeight="1">
      <c r="D817" s="100"/>
    </row>
    <row r="818" ht="14.25" customHeight="1">
      <c r="D818" s="100"/>
    </row>
    <row r="819" ht="14.25" customHeight="1">
      <c r="D819" s="100"/>
    </row>
    <row r="820" ht="14.25" customHeight="1">
      <c r="D820" s="100"/>
    </row>
    <row r="821" ht="14.25" customHeight="1">
      <c r="D821" s="100"/>
    </row>
    <row r="822" ht="14.25" customHeight="1">
      <c r="D822" s="100"/>
    </row>
    <row r="823" ht="14.25" customHeight="1">
      <c r="D823" s="100"/>
    </row>
    <row r="824" ht="14.25" customHeight="1">
      <c r="D824" s="100"/>
    </row>
    <row r="825" ht="14.25" customHeight="1">
      <c r="D825" s="100"/>
    </row>
    <row r="826" ht="14.25" customHeight="1">
      <c r="D826" s="100"/>
    </row>
    <row r="827" ht="14.25" customHeight="1">
      <c r="D827" s="100"/>
    </row>
    <row r="828" ht="14.25" customHeight="1">
      <c r="D828" s="100"/>
    </row>
    <row r="829" ht="14.25" customHeight="1">
      <c r="D829" s="100"/>
    </row>
    <row r="830" ht="14.25" customHeight="1">
      <c r="D830" s="100"/>
    </row>
    <row r="831" ht="14.25" customHeight="1">
      <c r="D831" s="100"/>
    </row>
    <row r="832" ht="14.25" customHeight="1">
      <c r="D832" s="100"/>
    </row>
    <row r="833" ht="14.25" customHeight="1">
      <c r="D833" s="100"/>
    </row>
    <row r="834" ht="14.25" customHeight="1">
      <c r="D834" s="100"/>
    </row>
    <row r="835" ht="14.25" customHeight="1">
      <c r="D835" s="100"/>
    </row>
    <row r="836" ht="14.25" customHeight="1">
      <c r="D836" s="100"/>
    </row>
    <row r="837" ht="14.25" customHeight="1">
      <c r="D837" s="100"/>
    </row>
    <row r="838" ht="14.25" customHeight="1">
      <c r="D838" s="100"/>
    </row>
    <row r="839" ht="14.25" customHeight="1">
      <c r="D839" s="100"/>
    </row>
    <row r="840" ht="14.25" customHeight="1">
      <c r="D840" s="100"/>
    </row>
    <row r="841" ht="14.25" customHeight="1">
      <c r="D841" s="100"/>
    </row>
    <row r="842" ht="14.25" customHeight="1">
      <c r="D842" s="100"/>
    </row>
    <row r="843" ht="14.25" customHeight="1">
      <c r="D843" s="100"/>
    </row>
    <row r="844" ht="14.25" customHeight="1">
      <c r="D844" s="100"/>
    </row>
    <row r="845" ht="14.25" customHeight="1">
      <c r="D845" s="100"/>
    </row>
    <row r="846" ht="14.25" customHeight="1">
      <c r="D846" s="100"/>
    </row>
    <row r="847" ht="14.25" customHeight="1">
      <c r="D847" s="100"/>
    </row>
    <row r="848" ht="14.25" customHeight="1">
      <c r="D848" s="100"/>
    </row>
    <row r="849" ht="14.25" customHeight="1">
      <c r="D849" s="100"/>
    </row>
    <row r="850" ht="14.25" customHeight="1">
      <c r="D850" s="100"/>
    </row>
    <row r="851" ht="14.25" customHeight="1">
      <c r="D851" s="100"/>
    </row>
    <row r="852" ht="14.25" customHeight="1">
      <c r="D852" s="100"/>
    </row>
    <row r="853" ht="14.25" customHeight="1">
      <c r="D853" s="100"/>
    </row>
    <row r="854" ht="14.25" customHeight="1">
      <c r="D854" s="100"/>
    </row>
    <row r="855" ht="14.25" customHeight="1">
      <c r="D855" s="100"/>
    </row>
    <row r="856" ht="14.25" customHeight="1">
      <c r="D856" s="100"/>
    </row>
    <row r="857" ht="14.25" customHeight="1">
      <c r="D857" s="100"/>
    </row>
    <row r="858" ht="14.25" customHeight="1">
      <c r="D858" s="100"/>
    </row>
    <row r="859" ht="14.25" customHeight="1">
      <c r="D859" s="100"/>
    </row>
    <row r="860" ht="14.25" customHeight="1">
      <c r="D860" s="100"/>
    </row>
    <row r="861" ht="14.25" customHeight="1">
      <c r="D861" s="100"/>
    </row>
    <row r="862" ht="14.25" customHeight="1">
      <c r="D862" s="100"/>
    </row>
    <row r="863" ht="14.25" customHeight="1">
      <c r="D863" s="100"/>
    </row>
    <row r="864" ht="14.25" customHeight="1">
      <c r="D864" s="100"/>
    </row>
    <row r="865" ht="14.25" customHeight="1">
      <c r="D865" s="100"/>
    </row>
    <row r="866" ht="14.25" customHeight="1">
      <c r="D866" s="100"/>
    </row>
    <row r="867" ht="14.25" customHeight="1">
      <c r="D867" s="100"/>
    </row>
    <row r="868" ht="14.25" customHeight="1">
      <c r="D868" s="100"/>
    </row>
    <row r="869" ht="14.25" customHeight="1">
      <c r="D869" s="100"/>
    </row>
    <row r="870" ht="14.25" customHeight="1">
      <c r="D870" s="100"/>
    </row>
    <row r="871" ht="14.25" customHeight="1">
      <c r="D871" s="100"/>
    </row>
    <row r="872" ht="14.25" customHeight="1">
      <c r="D872" s="100"/>
    </row>
    <row r="873" ht="14.25" customHeight="1">
      <c r="D873" s="100"/>
    </row>
    <row r="874" ht="14.25" customHeight="1">
      <c r="D874" s="100"/>
    </row>
    <row r="875" ht="14.25" customHeight="1">
      <c r="D875" s="100"/>
    </row>
    <row r="876" ht="14.25" customHeight="1">
      <c r="D876" s="100"/>
    </row>
    <row r="877" ht="14.25" customHeight="1">
      <c r="D877" s="100"/>
    </row>
    <row r="878" ht="14.25" customHeight="1">
      <c r="D878" s="100"/>
    </row>
    <row r="879" ht="14.25" customHeight="1">
      <c r="D879" s="100"/>
    </row>
    <row r="880" ht="14.25" customHeight="1">
      <c r="D880" s="100"/>
    </row>
    <row r="881" ht="14.25" customHeight="1">
      <c r="D881" s="100"/>
    </row>
    <row r="882" ht="14.25" customHeight="1">
      <c r="D882" s="100"/>
    </row>
    <row r="883" ht="14.25" customHeight="1">
      <c r="D883" s="100"/>
    </row>
    <row r="884" ht="14.25" customHeight="1">
      <c r="D884" s="100"/>
    </row>
    <row r="885" ht="14.25" customHeight="1">
      <c r="D885" s="100"/>
    </row>
    <row r="886" ht="14.25" customHeight="1">
      <c r="D886" s="100"/>
    </row>
    <row r="887" ht="14.25" customHeight="1">
      <c r="D887" s="100"/>
    </row>
    <row r="888" ht="14.25" customHeight="1">
      <c r="D888" s="100"/>
    </row>
    <row r="889" ht="14.25" customHeight="1">
      <c r="D889" s="100"/>
    </row>
    <row r="890" ht="14.25" customHeight="1">
      <c r="D890" s="100"/>
    </row>
    <row r="891" ht="14.25" customHeight="1">
      <c r="D891" s="100"/>
    </row>
    <row r="892" ht="14.25" customHeight="1">
      <c r="D892" s="100"/>
    </row>
    <row r="893" ht="14.25" customHeight="1">
      <c r="D893" s="100"/>
    </row>
    <row r="894" ht="14.25" customHeight="1">
      <c r="D894" s="100"/>
    </row>
    <row r="895" ht="14.25" customHeight="1">
      <c r="D895" s="100"/>
    </row>
    <row r="896" ht="14.25" customHeight="1">
      <c r="D896" s="100"/>
    </row>
    <row r="897" ht="14.25" customHeight="1">
      <c r="D897" s="100"/>
    </row>
    <row r="898" ht="14.25" customHeight="1">
      <c r="D898" s="100"/>
    </row>
    <row r="899" ht="14.25" customHeight="1">
      <c r="D899" s="100"/>
    </row>
    <row r="900" ht="14.25" customHeight="1">
      <c r="D900" s="100"/>
    </row>
    <row r="901" ht="14.25" customHeight="1">
      <c r="D901" s="100"/>
    </row>
    <row r="902" ht="14.25" customHeight="1">
      <c r="D902" s="100"/>
    </row>
    <row r="903" ht="14.25" customHeight="1">
      <c r="D903" s="100"/>
    </row>
    <row r="904" ht="14.25" customHeight="1">
      <c r="D904" s="100"/>
    </row>
    <row r="905" ht="14.25" customHeight="1">
      <c r="D905" s="100"/>
    </row>
    <row r="906" ht="14.25" customHeight="1">
      <c r="D906" s="100"/>
    </row>
    <row r="907" ht="14.25" customHeight="1">
      <c r="D907" s="100"/>
    </row>
    <row r="908" ht="14.25" customHeight="1">
      <c r="D908" s="100"/>
    </row>
    <row r="909" ht="14.25" customHeight="1">
      <c r="D909" s="100"/>
    </row>
    <row r="910" ht="14.25" customHeight="1">
      <c r="D910" s="100"/>
    </row>
    <row r="911" ht="14.25" customHeight="1">
      <c r="D911" s="100"/>
    </row>
    <row r="912" ht="14.25" customHeight="1">
      <c r="D912" s="100"/>
    </row>
    <row r="913" ht="14.25" customHeight="1">
      <c r="D913" s="100"/>
    </row>
    <row r="914" ht="14.25" customHeight="1">
      <c r="D914" s="100"/>
    </row>
    <row r="915" ht="14.25" customHeight="1">
      <c r="D915" s="100"/>
    </row>
    <row r="916" ht="14.25" customHeight="1">
      <c r="D916" s="100"/>
    </row>
    <row r="917" ht="14.25" customHeight="1">
      <c r="D917" s="100"/>
    </row>
    <row r="918" ht="14.25" customHeight="1">
      <c r="D918" s="100"/>
    </row>
    <row r="919" ht="14.25" customHeight="1">
      <c r="D919" s="100"/>
    </row>
    <row r="920" ht="14.25" customHeight="1">
      <c r="D920" s="100"/>
    </row>
    <row r="921" ht="14.25" customHeight="1">
      <c r="D921" s="100"/>
    </row>
    <row r="922" ht="14.25" customHeight="1">
      <c r="D922" s="100"/>
    </row>
    <row r="923" ht="14.25" customHeight="1">
      <c r="D923" s="100"/>
    </row>
    <row r="924" ht="14.25" customHeight="1">
      <c r="D924" s="100"/>
    </row>
    <row r="925" ht="14.25" customHeight="1">
      <c r="D925" s="100"/>
    </row>
    <row r="926" ht="14.25" customHeight="1">
      <c r="D926" s="100"/>
    </row>
    <row r="927" ht="14.25" customHeight="1">
      <c r="D927" s="100"/>
    </row>
    <row r="928" ht="14.25" customHeight="1">
      <c r="D928" s="100"/>
    </row>
    <row r="929" ht="14.25" customHeight="1">
      <c r="D929" s="100"/>
    </row>
    <row r="930" ht="14.25" customHeight="1">
      <c r="D930" s="100"/>
    </row>
    <row r="931" ht="14.25" customHeight="1">
      <c r="D931" s="100"/>
    </row>
    <row r="932" ht="14.25" customHeight="1">
      <c r="D932" s="100"/>
    </row>
    <row r="933" ht="14.25" customHeight="1">
      <c r="D933" s="100"/>
    </row>
    <row r="934" ht="14.25" customHeight="1">
      <c r="D934" s="100"/>
    </row>
    <row r="935" ht="14.25" customHeight="1">
      <c r="D935" s="100"/>
    </row>
    <row r="936" ht="14.25" customHeight="1">
      <c r="D936" s="100"/>
    </row>
    <row r="937" ht="14.25" customHeight="1">
      <c r="D937" s="100"/>
    </row>
    <row r="938" ht="14.25" customHeight="1">
      <c r="D938" s="100"/>
    </row>
    <row r="939" ht="14.25" customHeight="1">
      <c r="D939" s="100"/>
    </row>
    <row r="940" ht="14.25" customHeight="1">
      <c r="D940" s="100"/>
    </row>
    <row r="941" ht="14.25" customHeight="1">
      <c r="D941" s="100"/>
    </row>
    <row r="942" ht="14.25" customHeight="1">
      <c r="D942" s="100"/>
    </row>
    <row r="943" ht="14.25" customHeight="1">
      <c r="D943" s="100"/>
    </row>
    <row r="944" ht="14.25" customHeight="1">
      <c r="D944" s="100"/>
    </row>
    <row r="945" ht="14.25" customHeight="1">
      <c r="D945" s="100"/>
    </row>
    <row r="946" ht="14.25" customHeight="1">
      <c r="D946" s="100"/>
    </row>
    <row r="947" ht="14.25" customHeight="1">
      <c r="D947" s="100"/>
    </row>
    <row r="948" ht="14.25" customHeight="1">
      <c r="D948" s="100"/>
    </row>
    <row r="949" ht="14.25" customHeight="1">
      <c r="D949" s="100"/>
    </row>
    <row r="950" ht="14.25" customHeight="1">
      <c r="D950" s="100"/>
    </row>
    <row r="951" ht="14.25" customHeight="1">
      <c r="D951" s="100"/>
    </row>
    <row r="952" ht="14.25" customHeight="1">
      <c r="D952" s="100"/>
    </row>
    <row r="953" ht="14.25" customHeight="1">
      <c r="D953" s="100"/>
    </row>
    <row r="954" ht="14.25" customHeight="1">
      <c r="D954" s="100"/>
    </row>
    <row r="955" ht="14.25" customHeight="1">
      <c r="D955" s="100"/>
    </row>
    <row r="956" ht="14.25" customHeight="1">
      <c r="D956" s="100"/>
    </row>
    <row r="957" ht="14.25" customHeight="1">
      <c r="D957" s="100"/>
    </row>
    <row r="958" ht="14.25" customHeight="1">
      <c r="D958" s="100"/>
    </row>
    <row r="959" ht="14.25" customHeight="1">
      <c r="D959" s="100"/>
    </row>
    <row r="960" ht="14.25" customHeight="1">
      <c r="D960" s="100"/>
    </row>
    <row r="961" ht="14.25" customHeight="1">
      <c r="D961" s="100"/>
    </row>
    <row r="962" ht="14.25" customHeight="1">
      <c r="D962" s="100"/>
    </row>
    <row r="963" ht="14.25" customHeight="1">
      <c r="D963" s="100"/>
    </row>
    <row r="964" ht="14.25" customHeight="1">
      <c r="D964" s="100"/>
    </row>
    <row r="965" ht="14.25" customHeight="1">
      <c r="D965" s="100"/>
    </row>
    <row r="966" ht="14.25" customHeight="1">
      <c r="D966" s="100"/>
    </row>
    <row r="967" ht="14.25" customHeight="1">
      <c r="D967" s="100"/>
    </row>
    <row r="968" ht="14.25" customHeight="1">
      <c r="D968" s="100"/>
    </row>
    <row r="969" ht="14.25" customHeight="1">
      <c r="D969" s="100"/>
    </row>
    <row r="970" ht="14.25" customHeight="1">
      <c r="D970" s="100"/>
    </row>
    <row r="971" ht="14.25" customHeight="1">
      <c r="D971" s="100"/>
    </row>
    <row r="972" ht="14.25" customHeight="1">
      <c r="D972" s="100"/>
    </row>
    <row r="973" ht="14.25" customHeight="1">
      <c r="D973" s="100"/>
    </row>
    <row r="974" ht="14.25" customHeight="1">
      <c r="D974" s="100"/>
    </row>
    <row r="975" ht="14.25" customHeight="1">
      <c r="D975" s="100"/>
    </row>
    <row r="976" ht="14.25" customHeight="1">
      <c r="D976" s="100"/>
    </row>
    <row r="977" ht="14.25" customHeight="1">
      <c r="D977" s="100"/>
    </row>
    <row r="978" ht="14.25" customHeight="1">
      <c r="D978" s="100"/>
    </row>
    <row r="979" ht="14.25" customHeight="1">
      <c r="D979" s="100"/>
    </row>
    <row r="980" ht="14.25" customHeight="1">
      <c r="D980" s="100"/>
    </row>
    <row r="981" ht="14.25" customHeight="1">
      <c r="D981" s="100"/>
    </row>
    <row r="982" ht="14.25" customHeight="1">
      <c r="D982" s="100"/>
    </row>
    <row r="983" ht="14.25" customHeight="1">
      <c r="D983" s="100"/>
    </row>
    <row r="984" ht="14.25" customHeight="1">
      <c r="D984" s="100"/>
    </row>
    <row r="985" ht="14.25" customHeight="1">
      <c r="D985" s="100"/>
    </row>
    <row r="986" ht="14.25" customHeight="1">
      <c r="D986" s="100"/>
    </row>
    <row r="987" ht="14.25" customHeight="1">
      <c r="D987" s="100"/>
    </row>
    <row r="988" ht="14.25" customHeight="1">
      <c r="D988" s="100"/>
    </row>
    <row r="989" ht="14.25" customHeight="1">
      <c r="D989" s="100"/>
    </row>
    <row r="990" ht="14.25" customHeight="1">
      <c r="D990" s="100"/>
    </row>
    <row r="991" ht="14.25" customHeight="1">
      <c r="D991" s="100"/>
    </row>
    <row r="992" ht="14.25" customHeight="1">
      <c r="D992" s="100"/>
    </row>
    <row r="993" ht="14.25" customHeight="1">
      <c r="D993" s="100"/>
    </row>
    <row r="994" ht="14.25" customHeight="1">
      <c r="D994" s="100"/>
    </row>
    <row r="995" ht="14.25" customHeight="1">
      <c r="D995" s="100"/>
    </row>
    <row r="996" ht="14.25" customHeight="1">
      <c r="D996" s="100"/>
    </row>
    <row r="997" ht="14.25" customHeight="1">
      <c r="D997" s="100"/>
    </row>
    <row r="998" ht="14.25" customHeight="1">
      <c r="D998" s="100"/>
    </row>
    <row r="999" ht="14.25" customHeight="1">
      <c r="D999" s="100"/>
    </row>
    <row r="1000" ht="14.25" customHeight="1">
      <c r="D1000" s="100"/>
    </row>
  </sheetData>
  <dataValidations>
    <dataValidation type="list" allowBlank="1" showErrorMessage="1" sqref="H2:H100">
      <formula1>allQAs</formula1>
    </dataValidation>
    <dataValidation type="list" allowBlank="1" showErrorMessage="1" sqref="F2:G100">
      <formula1>allTesters</formula1>
    </dataValidation>
    <dataValidation type="list" allowBlank="1" showErrorMessage="1" sqref="J2:J100">
      <formula1>pageStatus</formula1>
    </dataValidation>
    <dataValidation type="list" allowBlank="1" showErrorMessage="1" sqref="K2:K100">
      <formula1>env</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75"/>
    <col customWidth="1" min="2" max="2" width="23.13"/>
    <col customWidth="1" min="3" max="26" width="8.63"/>
  </cols>
  <sheetData>
    <row r="1" ht="14.25" customHeight="1">
      <c r="A1" s="82" t="s">
        <v>144</v>
      </c>
      <c r="B1" s="82" t="s">
        <v>145</v>
      </c>
    </row>
    <row r="2" ht="14.25" customHeight="1">
      <c r="A2" s="101"/>
      <c r="B2" s="101"/>
    </row>
    <row r="3" ht="14.25" customHeight="1">
      <c r="A3" s="101"/>
      <c r="B3" s="101"/>
    </row>
    <row r="4" ht="14.25" customHeight="1">
      <c r="B4" s="101"/>
    </row>
    <row r="5" ht="14.25" customHeight="1">
      <c r="B5" s="101"/>
    </row>
    <row r="6" ht="14.25" customHeight="1">
      <c r="B6" s="101"/>
    </row>
    <row r="7" ht="14.25" customHeight="1">
      <c r="B7" s="101"/>
    </row>
    <row r="8" ht="14.25" customHeight="1">
      <c r="B8" s="101"/>
    </row>
    <row r="9" ht="14.25" customHeight="1">
      <c r="B9" s="101"/>
    </row>
    <row r="10" ht="14.25" customHeight="1">
      <c r="B10" s="101"/>
    </row>
    <row r="11" ht="14.25" customHeight="1">
      <c r="B11" s="101"/>
    </row>
    <row r="12" ht="14.25" customHeight="1">
      <c r="B12" s="101"/>
    </row>
    <row r="13" ht="14.25" customHeight="1">
      <c r="B13" s="101"/>
    </row>
    <row r="14" ht="14.25" customHeight="1">
      <c r="B14" s="101"/>
    </row>
    <row r="15" ht="14.25" customHeight="1">
      <c r="B15" s="101"/>
    </row>
    <row r="16" ht="14.25" customHeight="1">
      <c r="B16" s="101"/>
    </row>
    <row r="17" ht="14.25" customHeight="1">
      <c r="B17" s="101"/>
    </row>
    <row r="18" ht="14.25" customHeight="1">
      <c r="B18" s="101"/>
    </row>
    <row r="19" ht="14.25" customHeight="1">
      <c r="B19" s="101"/>
    </row>
    <row r="20" ht="14.25" customHeight="1">
      <c r="B20" s="101"/>
    </row>
    <row r="21" ht="14.25" customHeight="1">
      <c r="B21" s="101"/>
    </row>
    <row r="22" ht="14.25" customHeight="1">
      <c r="B22" s="101"/>
    </row>
    <row r="23" ht="14.25" customHeight="1">
      <c r="B23" s="101"/>
    </row>
    <row r="24" ht="14.25" customHeight="1">
      <c r="B24" s="101"/>
    </row>
    <row r="25" ht="14.25" customHeight="1">
      <c r="B25" s="101"/>
    </row>
    <row r="26" ht="14.25" customHeight="1">
      <c r="B26" s="101"/>
    </row>
    <row r="27" ht="14.25" customHeight="1">
      <c r="B27" s="101"/>
    </row>
    <row r="28" ht="14.25" customHeight="1">
      <c r="B28" s="101"/>
    </row>
    <row r="29" ht="14.25" customHeight="1">
      <c r="B29" s="101"/>
    </row>
    <row r="30" ht="14.25" customHeight="1">
      <c r="B30" s="101"/>
    </row>
    <row r="31" ht="14.25" customHeight="1">
      <c r="B31" s="101"/>
    </row>
    <row r="32" ht="14.25" customHeight="1">
      <c r="B32" s="101"/>
    </row>
    <row r="33" ht="14.25" customHeight="1">
      <c r="B33" s="101"/>
    </row>
    <row r="34" ht="14.25" customHeight="1">
      <c r="B34" s="101"/>
    </row>
    <row r="35" ht="14.25" customHeight="1">
      <c r="B35" s="101"/>
    </row>
    <row r="36" ht="14.25" customHeight="1">
      <c r="B36" s="101"/>
    </row>
    <row r="37" ht="14.25" customHeight="1">
      <c r="B37" s="101"/>
    </row>
    <row r="38" ht="14.25" customHeight="1">
      <c r="B38" s="101"/>
    </row>
    <row r="39" ht="14.25" customHeight="1">
      <c r="B39" s="101"/>
    </row>
    <row r="40" ht="14.25" customHeight="1">
      <c r="B40" s="101"/>
    </row>
    <row r="41" ht="14.25" customHeight="1">
      <c r="B41" s="101"/>
    </row>
    <row r="42" ht="14.25" customHeight="1">
      <c r="B42" s="101"/>
    </row>
    <row r="43" ht="14.25" customHeight="1">
      <c r="B43" s="101"/>
    </row>
    <row r="44" ht="14.25" customHeight="1">
      <c r="B44" s="101"/>
    </row>
    <row r="45" ht="14.25" customHeight="1">
      <c r="B45" s="101"/>
    </row>
    <row r="46" ht="14.25" customHeight="1">
      <c r="B46" s="101"/>
    </row>
    <row r="47" ht="14.25" customHeight="1">
      <c r="B47" s="101"/>
    </row>
    <row r="48" ht="14.25" customHeight="1">
      <c r="B48" s="101"/>
    </row>
    <row r="49" ht="14.25" customHeight="1">
      <c r="B49" s="101"/>
    </row>
    <row r="50" ht="14.25" customHeight="1">
      <c r="B50" s="101"/>
    </row>
    <row r="51" ht="14.25" customHeight="1">
      <c r="B51" s="101"/>
    </row>
    <row r="52" ht="14.25" customHeight="1">
      <c r="B52" s="101"/>
    </row>
    <row r="53" ht="14.25" customHeight="1">
      <c r="B53" s="101"/>
    </row>
    <row r="54" ht="14.25" customHeight="1">
      <c r="B54" s="101"/>
    </row>
    <row r="55" ht="14.25" customHeight="1">
      <c r="B55" s="101"/>
    </row>
    <row r="56" ht="14.25" customHeight="1">
      <c r="B56" s="101"/>
    </row>
    <row r="57" ht="14.25" customHeight="1">
      <c r="B57" s="101"/>
    </row>
    <row r="58" ht="14.25" customHeight="1">
      <c r="B58" s="101"/>
    </row>
    <row r="59" ht="14.25" customHeight="1">
      <c r="B59" s="101"/>
    </row>
    <row r="60" ht="14.25" customHeight="1">
      <c r="B60" s="101"/>
    </row>
    <row r="61" ht="14.25" customHeight="1">
      <c r="B61" s="101"/>
    </row>
    <row r="62" ht="14.25" customHeight="1">
      <c r="B62" s="101"/>
    </row>
    <row r="63" ht="14.25" customHeight="1">
      <c r="B63" s="101"/>
    </row>
    <row r="64" ht="14.25" customHeight="1">
      <c r="B64" s="101"/>
    </row>
    <row r="65" ht="14.25" customHeight="1">
      <c r="B65" s="101"/>
    </row>
    <row r="66" ht="14.25" customHeight="1">
      <c r="B66" s="101"/>
    </row>
    <row r="67" ht="14.25" customHeight="1">
      <c r="B67" s="101"/>
    </row>
    <row r="68" ht="14.25" customHeight="1">
      <c r="B68" s="101"/>
    </row>
    <row r="69" ht="14.25" customHeight="1">
      <c r="B69" s="101"/>
    </row>
    <row r="70" ht="14.25" customHeight="1">
      <c r="B70" s="101"/>
    </row>
    <row r="71" ht="14.25" customHeight="1">
      <c r="B71" s="101"/>
    </row>
    <row r="72" ht="14.25" customHeight="1">
      <c r="B72" s="101"/>
    </row>
    <row r="73" ht="14.25" customHeight="1">
      <c r="B73" s="101"/>
    </row>
    <row r="74" ht="14.25" customHeight="1">
      <c r="B74" s="101"/>
    </row>
    <row r="75" ht="14.25" customHeight="1">
      <c r="B75" s="101"/>
    </row>
    <row r="76" ht="14.25" customHeight="1">
      <c r="B76" s="101"/>
    </row>
    <row r="77" ht="14.25" customHeight="1">
      <c r="B77" s="101"/>
    </row>
    <row r="78" ht="14.25" customHeight="1">
      <c r="B78" s="101"/>
    </row>
    <row r="79" ht="14.25" customHeight="1">
      <c r="B79" s="101"/>
    </row>
    <row r="80" ht="14.25" customHeight="1">
      <c r="B80" s="101"/>
    </row>
    <row r="81" ht="14.25" customHeight="1">
      <c r="B81" s="101"/>
    </row>
    <row r="82" ht="14.25" customHeight="1">
      <c r="B82" s="101"/>
    </row>
    <row r="83" ht="14.25" customHeight="1">
      <c r="B83" s="101"/>
    </row>
    <row r="84" ht="14.25" customHeight="1">
      <c r="B84" s="101"/>
    </row>
    <row r="85" ht="14.25" customHeight="1">
      <c r="B85" s="101"/>
    </row>
    <row r="86" ht="14.25" customHeight="1">
      <c r="B86" s="101"/>
    </row>
    <row r="87" ht="14.25" customHeight="1">
      <c r="B87" s="101"/>
    </row>
    <row r="88" ht="14.25" customHeight="1">
      <c r="B88" s="101"/>
    </row>
    <row r="89" ht="14.25" customHeight="1">
      <c r="B89" s="101"/>
    </row>
    <row r="90" ht="14.25" customHeight="1">
      <c r="B90" s="101"/>
    </row>
    <row r="91" ht="14.25" customHeight="1">
      <c r="B91" s="101"/>
    </row>
    <row r="92" ht="14.25" customHeight="1">
      <c r="B92" s="101"/>
    </row>
    <row r="93" ht="14.25" customHeight="1">
      <c r="B93" s="101"/>
    </row>
    <row r="94" ht="14.25" customHeight="1">
      <c r="B94" s="101"/>
    </row>
    <row r="95" ht="14.25" customHeight="1">
      <c r="B95" s="101"/>
    </row>
    <row r="96" ht="14.25" customHeight="1">
      <c r="B96" s="101"/>
    </row>
    <row r="97" ht="14.25" customHeight="1">
      <c r="B97" s="101"/>
    </row>
    <row r="98" ht="14.25" customHeight="1">
      <c r="B98" s="101"/>
    </row>
    <row r="99" ht="14.25" customHeight="1">
      <c r="B99" s="101"/>
    </row>
    <row r="100" ht="14.25" customHeight="1">
      <c r="B100" s="101"/>
    </row>
    <row r="101" ht="14.25" customHeight="1">
      <c r="B101" s="101"/>
    </row>
    <row r="102" ht="14.25" customHeight="1">
      <c r="B102" s="101"/>
    </row>
    <row r="103" ht="14.25" customHeight="1">
      <c r="B103" s="101"/>
    </row>
    <row r="104" ht="14.25" customHeight="1">
      <c r="B104" s="101"/>
    </row>
    <row r="105" ht="14.25" customHeight="1">
      <c r="B105" s="101"/>
    </row>
    <row r="106" ht="14.25" customHeight="1">
      <c r="B106" s="101"/>
    </row>
    <row r="107" ht="14.25" customHeight="1">
      <c r="B107" s="101"/>
    </row>
    <row r="108" ht="14.25" customHeight="1">
      <c r="B108" s="101"/>
    </row>
    <row r="109" ht="14.25" customHeight="1">
      <c r="B109" s="101"/>
    </row>
    <row r="110" ht="14.25" customHeight="1">
      <c r="B110" s="101"/>
    </row>
    <row r="111" ht="14.25" customHeight="1">
      <c r="B111" s="101"/>
    </row>
    <row r="112" ht="14.25" customHeight="1">
      <c r="B112" s="101"/>
    </row>
    <row r="113" ht="14.25" customHeight="1">
      <c r="B113" s="101"/>
    </row>
    <row r="114" ht="14.25" customHeight="1">
      <c r="B114" s="101"/>
    </row>
    <row r="115" ht="14.25" customHeight="1">
      <c r="B115" s="101"/>
    </row>
    <row r="116" ht="14.25" customHeight="1">
      <c r="B116" s="101"/>
    </row>
    <row r="117" ht="14.25" customHeight="1">
      <c r="B117" s="101"/>
    </row>
    <row r="118" ht="14.25" customHeight="1">
      <c r="B118" s="101"/>
    </row>
    <row r="119" ht="14.25" customHeight="1">
      <c r="B119" s="101"/>
    </row>
    <row r="120" ht="14.25" customHeight="1">
      <c r="B120" s="101"/>
    </row>
    <row r="121" ht="14.25" customHeight="1">
      <c r="B121" s="101"/>
    </row>
    <row r="122" ht="14.25" customHeight="1">
      <c r="B122" s="101"/>
    </row>
    <row r="123" ht="14.25" customHeight="1">
      <c r="B123" s="101"/>
    </row>
    <row r="124" ht="14.25" customHeight="1">
      <c r="B124" s="101"/>
    </row>
    <row r="125" ht="14.25" customHeight="1">
      <c r="B125" s="101"/>
    </row>
    <row r="126" ht="14.25" customHeight="1">
      <c r="B126" s="101"/>
    </row>
    <row r="127" ht="14.25" customHeight="1">
      <c r="B127" s="101"/>
    </row>
    <row r="128" ht="14.25" customHeight="1">
      <c r="B128" s="101"/>
    </row>
    <row r="129" ht="14.25" customHeight="1">
      <c r="B129" s="101"/>
    </row>
    <row r="130" ht="14.25" customHeight="1">
      <c r="B130" s="101"/>
    </row>
    <row r="131" ht="14.25" customHeight="1">
      <c r="B131" s="101"/>
    </row>
    <row r="132" ht="14.25" customHeight="1">
      <c r="B132" s="101"/>
    </row>
    <row r="133" ht="14.25" customHeight="1">
      <c r="B133" s="101"/>
    </row>
    <row r="134" ht="14.25" customHeight="1">
      <c r="B134" s="101"/>
    </row>
    <row r="135" ht="14.25" customHeight="1">
      <c r="B135" s="101"/>
    </row>
    <row r="136" ht="14.25" customHeight="1">
      <c r="B136" s="101"/>
    </row>
    <row r="137" ht="14.25" customHeight="1">
      <c r="B137" s="101"/>
    </row>
    <row r="138" ht="14.25" customHeight="1">
      <c r="B138" s="101"/>
    </row>
    <row r="139" ht="14.25" customHeight="1">
      <c r="B139" s="101"/>
    </row>
    <row r="140" ht="14.25" customHeight="1">
      <c r="B140" s="101"/>
    </row>
    <row r="141" ht="14.25" customHeight="1">
      <c r="B141" s="101"/>
    </row>
    <row r="142" ht="14.25" customHeight="1">
      <c r="B142" s="101"/>
    </row>
    <row r="143" ht="14.25" customHeight="1">
      <c r="B143" s="101"/>
    </row>
    <row r="144" ht="14.25" customHeight="1">
      <c r="B144" s="101"/>
    </row>
    <row r="145" ht="14.25" customHeight="1">
      <c r="B145" s="101"/>
    </row>
    <row r="146" ht="14.25" customHeight="1">
      <c r="B146" s="101"/>
    </row>
    <row r="147" ht="14.25" customHeight="1">
      <c r="B147" s="101"/>
    </row>
    <row r="148" ht="14.25" customHeight="1">
      <c r="B148" s="101"/>
    </row>
    <row r="149" ht="14.25" customHeight="1">
      <c r="B149" s="101"/>
    </row>
    <row r="150" ht="14.25" customHeight="1">
      <c r="B150" s="101"/>
    </row>
    <row r="151" ht="14.25" customHeight="1">
      <c r="B151" s="101"/>
    </row>
    <row r="152" ht="14.25" customHeight="1">
      <c r="B152" s="101"/>
    </row>
    <row r="153" ht="14.25" customHeight="1">
      <c r="B153" s="101"/>
    </row>
    <row r="154" ht="14.25" customHeight="1">
      <c r="B154" s="101"/>
    </row>
    <row r="155" ht="14.25" customHeight="1">
      <c r="B155" s="101"/>
    </row>
    <row r="156" ht="14.25" customHeight="1">
      <c r="B156" s="101"/>
    </row>
    <row r="157" ht="14.25" customHeight="1">
      <c r="B157" s="101"/>
    </row>
    <row r="158" ht="14.25" customHeight="1">
      <c r="B158" s="101"/>
    </row>
    <row r="159" ht="14.25" customHeight="1">
      <c r="B159" s="101"/>
    </row>
    <row r="160" ht="14.25" customHeight="1">
      <c r="B160" s="101"/>
    </row>
    <row r="161" ht="14.25" customHeight="1">
      <c r="B161" s="101"/>
    </row>
    <row r="162" ht="14.25" customHeight="1">
      <c r="B162" s="101"/>
    </row>
    <row r="163" ht="14.25" customHeight="1">
      <c r="B163" s="101"/>
    </row>
    <row r="164" ht="14.25" customHeight="1">
      <c r="B164" s="101"/>
    </row>
    <row r="165" ht="14.25" customHeight="1">
      <c r="B165" s="101"/>
    </row>
    <row r="166" ht="14.25" customHeight="1">
      <c r="B166" s="101"/>
    </row>
    <row r="167" ht="14.25" customHeight="1">
      <c r="B167" s="101"/>
    </row>
    <row r="168" ht="14.25" customHeight="1">
      <c r="B168" s="101"/>
    </row>
    <row r="169" ht="14.25" customHeight="1">
      <c r="B169" s="101"/>
    </row>
    <row r="170" ht="14.25" customHeight="1">
      <c r="B170" s="101"/>
    </row>
    <row r="171" ht="14.25" customHeight="1">
      <c r="B171" s="101"/>
    </row>
    <row r="172" ht="14.25" customHeight="1">
      <c r="B172" s="101"/>
    </row>
    <row r="173" ht="14.25" customHeight="1">
      <c r="B173" s="101"/>
    </row>
    <row r="174" ht="14.25" customHeight="1">
      <c r="B174" s="101"/>
    </row>
    <row r="175" ht="14.25" customHeight="1">
      <c r="B175" s="101"/>
    </row>
    <row r="176" ht="14.25" customHeight="1">
      <c r="B176" s="101"/>
    </row>
    <row r="177" ht="14.25" customHeight="1">
      <c r="B177" s="101"/>
    </row>
    <row r="178" ht="14.25" customHeight="1">
      <c r="B178" s="101"/>
    </row>
    <row r="179" ht="14.25" customHeight="1">
      <c r="B179" s="101"/>
    </row>
    <row r="180" ht="14.25" customHeight="1">
      <c r="B180" s="101"/>
    </row>
    <row r="181" ht="14.25" customHeight="1">
      <c r="B181" s="101"/>
    </row>
    <row r="182" ht="14.25" customHeight="1">
      <c r="B182" s="101"/>
    </row>
    <row r="183" ht="14.25" customHeight="1">
      <c r="B183" s="101"/>
    </row>
    <row r="184" ht="14.25" customHeight="1">
      <c r="B184" s="101"/>
    </row>
    <row r="185" ht="14.25" customHeight="1">
      <c r="B185" s="101"/>
    </row>
    <row r="186" ht="14.25" customHeight="1">
      <c r="B186" s="101"/>
    </row>
    <row r="187" ht="14.25" customHeight="1">
      <c r="B187" s="101"/>
    </row>
    <row r="188" ht="14.25" customHeight="1">
      <c r="B188" s="101"/>
    </row>
    <row r="189" ht="14.25" customHeight="1">
      <c r="B189" s="101"/>
    </row>
    <row r="190" ht="14.25" customHeight="1">
      <c r="B190" s="101"/>
    </row>
    <row r="191" ht="14.25" customHeight="1">
      <c r="B191" s="101"/>
    </row>
    <row r="192" ht="14.25" customHeight="1">
      <c r="B192" s="101"/>
    </row>
    <row r="193" ht="14.25" customHeight="1">
      <c r="B193" s="101"/>
    </row>
    <row r="194" ht="14.25" customHeight="1">
      <c r="B194" s="101"/>
    </row>
    <row r="195" ht="14.25" customHeight="1">
      <c r="B195" s="101"/>
    </row>
    <row r="196" ht="14.25" customHeight="1">
      <c r="B196" s="101"/>
    </row>
    <row r="197" ht="14.25" customHeight="1">
      <c r="B197" s="101"/>
    </row>
    <row r="198" ht="14.25" customHeight="1">
      <c r="B198" s="101"/>
    </row>
    <row r="199" ht="14.25" customHeight="1">
      <c r="B199" s="101"/>
    </row>
    <row r="200" ht="14.25" customHeight="1">
      <c r="B200" s="101"/>
    </row>
    <row r="201" ht="14.25" customHeight="1">
      <c r="B201" s="101"/>
    </row>
    <row r="202" ht="14.25" customHeight="1">
      <c r="B202" s="101"/>
    </row>
    <row r="203" ht="14.25" customHeight="1">
      <c r="B203" s="101"/>
    </row>
    <row r="204" ht="14.25" customHeight="1">
      <c r="B204" s="101"/>
    </row>
    <row r="205" ht="14.25" customHeight="1">
      <c r="B205" s="101"/>
    </row>
    <row r="206" ht="14.25" customHeight="1">
      <c r="B206" s="101"/>
    </row>
    <row r="207" ht="14.25" customHeight="1">
      <c r="B207" s="101"/>
    </row>
    <row r="208" ht="14.25" customHeight="1">
      <c r="B208" s="101"/>
    </row>
    <row r="209" ht="14.25" customHeight="1">
      <c r="B209" s="101"/>
    </row>
    <row r="210" ht="14.25" customHeight="1">
      <c r="B210" s="101"/>
    </row>
    <row r="211" ht="14.25" customHeight="1">
      <c r="B211" s="101"/>
    </row>
    <row r="212" ht="14.25" customHeight="1">
      <c r="B212" s="101"/>
    </row>
    <row r="213" ht="14.25" customHeight="1">
      <c r="B213" s="101"/>
    </row>
    <row r="214" ht="14.25" customHeight="1">
      <c r="B214" s="101"/>
    </row>
    <row r="215" ht="14.25" customHeight="1">
      <c r="B215" s="101"/>
    </row>
    <row r="216" ht="14.25" customHeight="1">
      <c r="B216" s="101"/>
    </row>
    <row r="217" ht="14.25" customHeight="1">
      <c r="B217" s="101"/>
    </row>
    <row r="218" ht="14.25" customHeight="1">
      <c r="B218" s="101"/>
    </row>
    <row r="219" ht="14.25" customHeight="1">
      <c r="B219" s="101"/>
    </row>
    <row r="220" ht="14.25" customHeight="1">
      <c r="B220" s="101"/>
    </row>
    <row r="221" ht="14.25" customHeight="1">
      <c r="B221" s="101"/>
    </row>
    <row r="222" ht="14.25" customHeight="1">
      <c r="B222" s="101"/>
    </row>
    <row r="223" ht="14.25" customHeight="1">
      <c r="B223" s="101"/>
    </row>
    <row r="224" ht="14.25" customHeight="1">
      <c r="B224" s="101"/>
    </row>
    <row r="225" ht="14.25" customHeight="1">
      <c r="B225" s="101"/>
    </row>
    <row r="226" ht="14.25" customHeight="1">
      <c r="B226" s="101"/>
    </row>
    <row r="227" ht="14.25" customHeight="1">
      <c r="B227" s="101"/>
    </row>
    <row r="228" ht="14.25" customHeight="1">
      <c r="B228" s="101"/>
    </row>
    <row r="229" ht="14.25" customHeight="1">
      <c r="B229" s="101"/>
    </row>
    <row r="230" ht="14.25" customHeight="1">
      <c r="B230" s="101"/>
    </row>
    <row r="231" ht="14.25" customHeight="1">
      <c r="B231" s="101"/>
    </row>
    <row r="232" ht="14.25" customHeight="1">
      <c r="B232" s="101"/>
    </row>
    <row r="233" ht="14.25" customHeight="1">
      <c r="B233" s="101"/>
    </row>
    <row r="234" ht="14.25" customHeight="1">
      <c r="B234" s="101"/>
    </row>
    <row r="235" ht="14.25" customHeight="1">
      <c r="B235" s="101"/>
    </row>
    <row r="236" ht="14.25" customHeight="1">
      <c r="B236" s="101"/>
    </row>
    <row r="237" ht="14.25" customHeight="1">
      <c r="B237" s="101"/>
    </row>
    <row r="238" ht="14.25" customHeight="1">
      <c r="B238" s="101"/>
    </row>
    <row r="239" ht="14.25" customHeight="1">
      <c r="B239" s="101"/>
    </row>
    <row r="240" ht="14.25" customHeight="1">
      <c r="B240" s="101"/>
    </row>
    <row r="241" ht="14.25" customHeight="1">
      <c r="B241" s="101"/>
    </row>
    <row r="242" ht="14.25" customHeight="1">
      <c r="B242" s="101"/>
    </row>
    <row r="243" ht="14.25" customHeight="1">
      <c r="B243" s="101"/>
    </row>
    <row r="244" ht="14.25" customHeight="1">
      <c r="B244" s="101"/>
    </row>
    <row r="245" ht="14.25" customHeight="1">
      <c r="B245" s="101"/>
    </row>
    <row r="246" ht="14.25" customHeight="1">
      <c r="B246" s="101"/>
    </row>
    <row r="247" ht="14.25" customHeight="1">
      <c r="B247" s="101"/>
    </row>
    <row r="248" ht="14.25" customHeight="1">
      <c r="B248" s="101"/>
    </row>
    <row r="249" ht="14.25" customHeight="1">
      <c r="B249" s="101"/>
    </row>
    <row r="250" ht="14.25" customHeight="1">
      <c r="B250" s="101"/>
    </row>
    <row r="251" ht="14.25" customHeight="1">
      <c r="B251" s="101"/>
    </row>
    <row r="252" ht="14.25" customHeight="1">
      <c r="B252" s="101"/>
    </row>
    <row r="253" ht="14.25" customHeight="1">
      <c r="B253" s="101"/>
    </row>
    <row r="254" ht="14.25" customHeight="1">
      <c r="B254" s="101"/>
    </row>
    <row r="255" ht="14.25" customHeight="1">
      <c r="B255" s="101"/>
    </row>
    <row r="256" ht="14.25" customHeight="1">
      <c r="B256" s="101"/>
    </row>
    <row r="257" ht="14.25" customHeight="1">
      <c r="B257" s="101"/>
    </row>
    <row r="258" ht="14.25" customHeight="1">
      <c r="B258" s="101"/>
    </row>
    <row r="259" ht="14.25" customHeight="1">
      <c r="B259" s="101"/>
    </row>
    <row r="260" ht="14.25" customHeight="1">
      <c r="B260" s="101"/>
    </row>
    <row r="261" ht="14.25" customHeight="1">
      <c r="B261" s="101"/>
    </row>
    <row r="262" ht="14.25" customHeight="1">
      <c r="B262" s="101"/>
    </row>
    <row r="263" ht="14.25" customHeight="1">
      <c r="B263" s="101"/>
    </row>
    <row r="264" ht="14.25" customHeight="1">
      <c r="B264" s="101"/>
    </row>
    <row r="265" ht="14.25" customHeight="1">
      <c r="B265" s="101"/>
    </row>
    <row r="266" ht="14.25" customHeight="1">
      <c r="B266" s="101"/>
    </row>
    <row r="267" ht="14.25" customHeight="1">
      <c r="B267" s="101"/>
    </row>
    <row r="268" ht="14.25" customHeight="1">
      <c r="B268" s="101"/>
    </row>
    <row r="269" ht="14.25" customHeight="1">
      <c r="B269" s="101"/>
    </row>
    <row r="270" ht="14.25" customHeight="1">
      <c r="B270" s="101"/>
    </row>
    <row r="271" ht="14.25" customHeight="1">
      <c r="B271" s="101"/>
    </row>
    <row r="272" ht="14.25" customHeight="1">
      <c r="B272" s="101"/>
    </row>
    <row r="273" ht="14.25" customHeight="1">
      <c r="B273" s="101"/>
    </row>
    <row r="274" ht="14.25" customHeight="1">
      <c r="B274" s="101"/>
    </row>
    <row r="275" ht="14.25" customHeight="1">
      <c r="B275" s="101"/>
    </row>
    <row r="276" ht="14.25" customHeight="1">
      <c r="B276" s="101"/>
    </row>
    <row r="277" ht="14.25" customHeight="1">
      <c r="B277" s="101"/>
    </row>
    <row r="278" ht="14.25" customHeight="1">
      <c r="B278" s="101"/>
    </row>
    <row r="279" ht="14.25" customHeight="1">
      <c r="B279" s="101"/>
    </row>
    <row r="280" ht="14.25" customHeight="1">
      <c r="B280" s="101"/>
    </row>
    <row r="281" ht="14.25" customHeight="1">
      <c r="B281" s="101"/>
    </row>
    <row r="282" ht="14.25" customHeight="1">
      <c r="B282" s="101"/>
    </row>
    <row r="283" ht="14.25" customHeight="1">
      <c r="B283" s="101"/>
    </row>
    <row r="284" ht="14.25" customHeight="1">
      <c r="B284" s="101"/>
    </row>
    <row r="285" ht="14.25" customHeight="1">
      <c r="B285" s="101"/>
    </row>
    <row r="286" ht="14.25" customHeight="1">
      <c r="B286" s="101"/>
    </row>
    <row r="287" ht="14.25" customHeight="1">
      <c r="B287" s="101"/>
    </row>
    <row r="288" ht="14.25" customHeight="1">
      <c r="B288" s="101"/>
    </row>
    <row r="289" ht="14.25" customHeight="1">
      <c r="B289" s="101"/>
    </row>
    <row r="290" ht="14.25" customHeight="1">
      <c r="B290" s="101"/>
    </row>
    <row r="291" ht="14.25" customHeight="1">
      <c r="B291" s="101"/>
    </row>
    <row r="292" ht="14.25" customHeight="1">
      <c r="B292" s="101"/>
    </row>
    <row r="293" ht="14.25" customHeight="1">
      <c r="B293" s="101"/>
    </row>
    <row r="294" ht="14.25" customHeight="1">
      <c r="B294" s="101"/>
    </row>
    <row r="295" ht="14.25" customHeight="1">
      <c r="B295" s="101"/>
    </row>
    <row r="296" ht="14.25" customHeight="1">
      <c r="B296" s="101"/>
    </row>
    <row r="297" ht="14.25" customHeight="1">
      <c r="B297" s="101"/>
    </row>
    <row r="298" ht="14.25" customHeight="1">
      <c r="B298" s="101"/>
    </row>
    <row r="299" ht="14.25" customHeight="1">
      <c r="B299" s="101"/>
    </row>
    <row r="300" ht="14.25" customHeight="1">
      <c r="B300" s="101"/>
    </row>
    <row r="301" ht="14.25" customHeight="1">
      <c r="B301" s="101"/>
    </row>
    <row r="302" ht="14.25" customHeight="1">
      <c r="B302" s="101"/>
    </row>
    <row r="303" ht="14.25" customHeight="1">
      <c r="B303" s="101"/>
    </row>
    <row r="304" ht="14.25" customHeight="1">
      <c r="B304" s="101"/>
    </row>
    <row r="305" ht="14.25" customHeight="1">
      <c r="B305" s="101"/>
    </row>
    <row r="306" ht="14.25" customHeight="1">
      <c r="B306" s="101"/>
    </row>
    <row r="307" ht="14.25" customHeight="1">
      <c r="B307" s="101"/>
    </row>
    <row r="308" ht="14.25" customHeight="1">
      <c r="B308" s="101"/>
    </row>
    <row r="309" ht="14.25" customHeight="1">
      <c r="B309" s="101"/>
    </row>
    <row r="310" ht="14.25" customHeight="1">
      <c r="B310" s="101"/>
    </row>
    <row r="311" ht="14.25" customHeight="1">
      <c r="B311" s="101"/>
    </row>
    <row r="312" ht="14.25" customHeight="1">
      <c r="B312" s="101"/>
    </row>
    <row r="313" ht="14.25" customHeight="1">
      <c r="B313" s="101"/>
    </row>
    <row r="314" ht="14.25" customHeight="1">
      <c r="B314" s="101"/>
    </row>
    <row r="315" ht="14.25" customHeight="1">
      <c r="B315" s="101"/>
    </row>
    <row r="316" ht="14.25" customHeight="1">
      <c r="B316" s="101"/>
    </row>
    <row r="317" ht="14.25" customHeight="1">
      <c r="B317" s="101"/>
    </row>
    <row r="318" ht="14.25" customHeight="1">
      <c r="B318" s="101"/>
    </row>
    <row r="319" ht="14.25" customHeight="1">
      <c r="B319" s="101"/>
    </row>
    <row r="320" ht="14.25" customHeight="1">
      <c r="B320" s="101"/>
    </row>
    <row r="321" ht="14.25" customHeight="1">
      <c r="B321" s="101"/>
    </row>
    <row r="322" ht="14.25" customHeight="1">
      <c r="B322" s="101"/>
    </row>
    <row r="323" ht="14.25" customHeight="1">
      <c r="B323" s="101"/>
    </row>
    <row r="324" ht="14.25" customHeight="1">
      <c r="B324" s="101"/>
    </row>
    <row r="325" ht="14.25" customHeight="1">
      <c r="B325" s="101"/>
    </row>
    <row r="326" ht="14.25" customHeight="1">
      <c r="B326" s="101"/>
    </row>
    <row r="327" ht="14.25" customHeight="1">
      <c r="B327" s="101"/>
    </row>
    <row r="328" ht="14.25" customHeight="1">
      <c r="B328" s="101"/>
    </row>
    <row r="329" ht="14.25" customHeight="1">
      <c r="B329" s="101"/>
    </row>
    <row r="330" ht="14.25" customHeight="1">
      <c r="B330" s="101"/>
    </row>
    <row r="331" ht="14.25" customHeight="1">
      <c r="B331" s="101"/>
    </row>
    <row r="332" ht="14.25" customHeight="1">
      <c r="B332" s="101"/>
    </row>
    <row r="333" ht="14.25" customHeight="1">
      <c r="B333" s="101"/>
    </row>
    <row r="334" ht="14.25" customHeight="1">
      <c r="B334" s="101"/>
    </row>
    <row r="335" ht="14.25" customHeight="1">
      <c r="B335" s="101"/>
    </row>
    <row r="336" ht="14.25" customHeight="1">
      <c r="B336" s="101"/>
    </row>
    <row r="337" ht="14.25" customHeight="1">
      <c r="B337" s="101"/>
    </row>
    <row r="338" ht="14.25" customHeight="1">
      <c r="B338" s="101"/>
    </row>
    <row r="339" ht="14.25" customHeight="1">
      <c r="B339" s="101"/>
    </row>
    <row r="340" ht="14.25" customHeight="1">
      <c r="B340" s="101"/>
    </row>
    <row r="341" ht="14.25" customHeight="1">
      <c r="B341" s="101"/>
    </row>
    <row r="342" ht="14.25" customHeight="1">
      <c r="B342" s="101"/>
    </row>
    <row r="343" ht="14.25" customHeight="1">
      <c r="B343" s="101"/>
    </row>
    <row r="344" ht="14.25" customHeight="1">
      <c r="B344" s="101"/>
    </row>
    <row r="345" ht="14.25" customHeight="1">
      <c r="B345" s="101"/>
    </row>
    <row r="346" ht="14.25" customHeight="1">
      <c r="B346" s="101"/>
    </row>
    <row r="347" ht="14.25" customHeight="1">
      <c r="B347" s="101"/>
    </row>
    <row r="348" ht="14.25" customHeight="1">
      <c r="B348" s="101"/>
    </row>
    <row r="349" ht="14.25" customHeight="1">
      <c r="B349" s="101"/>
    </row>
    <row r="350" ht="14.25" customHeight="1">
      <c r="B350" s="101"/>
    </row>
    <row r="351" ht="14.25" customHeight="1">
      <c r="B351" s="101"/>
    </row>
    <row r="352" ht="14.25" customHeight="1">
      <c r="B352" s="101"/>
    </row>
    <row r="353" ht="14.25" customHeight="1">
      <c r="B353" s="101"/>
    </row>
    <row r="354" ht="14.25" customHeight="1">
      <c r="B354" s="101"/>
    </row>
    <row r="355" ht="14.25" customHeight="1">
      <c r="B355" s="101"/>
    </row>
    <row r="356" ht="14.25" customHeight="1">
      <c r="B356" s="101"/>
    </row>
    <row r="357" ht="14.25" customHeight="1">
      <c r="B357" s="101"/>
    </row>
    <row r="358" ht="14.25" customHeight="1">
      <c r="B358" s="101"/>
    </row>
    <row r="359" ht="14.25" customHeight="1">
      <c r="B359" s="101"/>
    </row>
    <row r="360" ht="14.25" customHeight="1">
      <c r="B360" s="101"/>
    </row>
    <row r="361" ht="14.25" customHeight="1">
      <c r="B361" s="101"/>
    </row>
    <row r="362" ht="14.25" customHeight="1">
      <c r="B362" s="101"/>
    </row>
    <row r="363" ht="14.25" customHeight="1">
      <c r="B363" s="101"/>
    </row>
    <row r="364" ht="14.25" customHeight="1">
      <c r="B364" s="101"/>
    </row>
    <row r="365" ht="14.25" customHeight="1">
      <c r="B365" s="101"/>
    </row>
    <row r="366" ht="14.25" customHeight="1">
      <c r="B366" s="101"/>
    </row>
    <row r="367" ht="14.25" customHeight="1">
      <c r="B367" s="101"/>
    </row>
    <row r="368" ht="14.25" customHeight="1">
      <c r="B368" s="101"/>
    </row>
    <row r="369" ht="14.25" customHeight="1">
      <c r="B369" s="101"/>
    </row>
    <row r="370" ht="14.25" customHeight="1">
      <c r="B370" s="101"/>
    </row>
    <row r="371" ht="14.25" customHeight="1">
      <c r="B371" s="101"/>
    </row>
    <row r="372" ht="14.25" customHeight="1">
      <c r="B372" s="101"/>
    </row>
    <row r="373" ht="14.25" customHeight="1">
      <c r="B373" s="101"/>
    </row>
    <row r="374" ht="14.25" customHeight="1">
      <c r="B374" s="101"/>
    </row>
    <row r="375" ht="14.25" customHeight="1">
      <c r="B375" s="101"/>
    </row>
    <row r="376" ht="14.25" customHeight="1">
      <c r="B376" s="101"/>
    </row>
    <row r="377" ht="14.25" customHeight="1">
      <c r="B377" s="101"/>
    </row>
    <row r="378" ht="14.25" customHeight="1">
      <c r="B378" s="101"/>
    </row>
    <row r="379" ht="14.25" customHeight="1">
      <c r="B379" s="101"/>
    </row>
    <row r="380" ht="14.25" customHeight="1">
      <c r="B380" s="101"/>
    </row>
    <row r="381" ht="14.25" customHeight="1">
      <c r="B381" s="101"/>
    </row>
    <row r="382" ht="14.25" customHeight="1">
      <c r="B382" s="101"/>
    </row>
    <row r="383" ht="14.25" customHeight="1">
      <c r="B383" s="101"/>
    </row>
    <row r="384" ht="14.25" customHeight="1">
      <c r="B384" s="101"/>
    </row>
    <row r="385" ht="14.25" customHeight="1">
      <c r="B385" s="101"/>
    </row>
    <row r="386" ht="14.25" customHeight="1">
      <c r="B386" s="101"/>
    </row>
    <row r="387" ht="14.25" customHeight="1">
      <c r="B387" s="101"/>
    </row>
    <row r="388" ht="14.25" customHeight="1">
      <c r="B388" s="101"/>
    </row>
    <row r="389" ht="14.25" customHeight="1">
      <c r="B389" s="101"/>
    </row>
    <row r="390" ht="14.25" customHeight="1">
      <c r="B390" s="101"/>
    </row>
    <row r="391" ht="14.25" customHeight="1">
      <c r="B391" s="101"/>
    </row>
    <row r="392" ht="14.25" customHeight="1">
      <c r="B392" s="101"/>
    </row>
    <row r="393" ht="14.25" customHeight="1">
      <c r="B393" s="101"/>
    </row>
    <row r="394" ht="14.25" customHeight="1">
      <c r="B394" s="101"/>
    </row>
    <row r="395" ht="14.25" customHeight="1">
      <c r="B395" s="101"/>
    </row>
    <row r="396" ht="14.25" customHeight="1">
      <c r="B396" s="101"/>
    </row>
    <row r="397" ht="14.25" customHeight="1">
      <c r="B397" s="101"/>
    </row>
    <row r="398" ht="14.25" customHeight="1">
      <c r="B398" s="101"/>
    </row>
    <row r="399" ht="14.25" customHeight="1">
      <c r="B399" s="101"/>
    </row>
    <row r="400" ht="14.25" customHeight="1">
      <c r="B400" s="101"/>
    </row>
    <row r="401" ht="14.25" customHeight="1">
      <c r="B401" s="101"/>
    </row>
    <row r="402" ht="14.25" customHeight="1">
      <c r="B402" s="101"/>
    </row>
    <row r="403" ht="14.25" customHeight="1">
      <c r="B403" s="101"/>
    </row>
    <row r="404" ht="14.25" customHeight="1">
      <c r="B404" s="101"/>
    </row>
    <row r="405" ht="14.25" customHeight="1">
      <c r="B405" s="101"/>
    </row>
    <row r="406" ht="14.25" customHeight="1">
      <c r="B406" s="101"/>
    </row>
    <row r="407" ht="14.25" customHeight="1">
      <c r="B407" s="101"/>
    </row>
    <row r="408" ht="14.25" customHeight="1">
      <c r="B408" s="101"/>
    </row>
    <row r="409" ht="14.25" customHeight="1">
      <c r="B409" s="101"/>
    </row>
    <row r="410" ht="14.25" customHeight="1">
      <c r="B410" s="101"/>
    </row>
    <row r="411" ht="14.25" customHeight="1">
      <c r="B411" s="101"/>
    </row>
    <row r="412" ht="14.25" customHeight="1">
      <c r="B412" s="101"/>
    </row>
    <row r="413" ht="14.25" customHeight="1">
      <c r="B413" s="101"/>
    </row>
    <row r="414" ht="14.25" customHeight="1">
      <c r="B414" s="101"/>
    </row>
    <row r="415" ht="14.25" customHeight="1">
      <c r="B415" s="101"/>
    </row>
    <row r="416" ht="14.25" customHeight="1">
      <c r="B416" s="101"/>
    </row>
    <row r="417" ht="14.25" customHeight="1">
      <c r="B417" s="101"/>
    </row>
    <row r="418" ht="14.25" customHeight="1">
      <c r="B418" s="101"/>
    </row>
    <row r="419" ht="14.25" customHeight="1">
      <c r="B419" s="101"/>
    </row>
    <row r="420" ht="14.25" customHeight="1">
      <c r="B420" s="101"/>
    </row>
    <row r="421" ht="14.25" customHeight="1">
      <c r="B421" s="101"/>
    </row>
    <row r="422" ht="14.25" customHeight="1">
      <c r="B422" s="101"/>
    </row>
    <row r="423" ht="14.25" customHeight="1">
      <c r="B423" s="101"/>
    </row>
    <row r="424" ht="14.25" customHeight="1">
      <c r="B424" s="101"/>
    </row>
    <row r="425" ht="14.25" customHeight="1">
      <c r="B425" s="101"/>
    </row>
    <row r="426" ht="14.25" customHeight="1">
      <c r="B426" s="101"/>
    </row>
    <row r="427" ht="14.25" customHeight="1">
      <c r="B427" s="101"/>
    </row>
    <row r="428" ht="14.25" customHeight="1">
      <c r="B428" s="101"/>
    </row>
    <row r="429" ht="14.25" customHeight="1">
      <c r="B429" s="101"/>
    </row>
    <row r="430" ht="14.25" customHeight="1">
      <c r="B430" s="101"/>
    </row>
    <row r="431" ht="14.25" customHeight="1">
      <c r="B431" s="101"/>
    </row>
    <row r="432" ht="14.25" customHeight="1">
      <c r="B432" s="101"/>
    </row>
    <row r="433" ht="14.25" customHeight="1">
      <c r="B433" s="101"/>
    </row>
    <row r="434" ht="14.25" customHeight="1">
      <c r="B434" s="101"/>
    </row>
    <row r="435" ht="14.25" customHeight="1">
      <c r="B435" s="101"/>
    </row>
    <row r="436" ht="14.25" customHeight="1">
      <c r="B436" s="101"/>
    </row>
    <row r="437" ht="14.25" customHeight="1">
      <c r="B437" s="101"/>
    </row>
    <row r="438" ht="14.25" customHeight="1">
      <c r="B438" s="101"/>
    </row>
    <row r="439" ht="14.25" customHeight="1">
      <c r="B439" s="101"/>
    </row>
    <row r="440" ht="14.25" customHeight="1">
      <c r="B440" s="101"/>
    </row>
    <row r="441" ht="14.25" customHeight="1">
      <c r="B441" s="101"/>
    </row>
    <row r="442" ht="14.25" customHeight="1">
      <c r="B442" s="101"/>
    </row>
    <row r="443" ht="14.25" customHeight="1">
      <c r="B443" s="101"/>
    </row>
    <row r="444" ht="14.25" customHeight="1">
      <c r="B444" s="101"/>
    </row>
    <row r="445" ht="14.25" customHeight="1">
      <c r="B445" s="101"/>
    </row>
    <row r="446" ht="14.25" customHeight="1">
      <c r="B446" s="101"/>
    </row>
    <row r="447" ht="14.25" customHeight="1">
      <c r="B447" s="101"/>
    </row>
    <row r="448" ht="14.25" customHeight="1">
      <c r="B448" s="101"/>
    </row>
    <row r="449" ht="14.25" customHeight="1">
      <c r="B449" s="101"/>
    </row>
    <row r="450" ht="14.25" customHeight="1">
      <c r="B450" s="101"/>
    </row>
    <row r="451" ht="14.25" customHeight="1">
      <c r="B451" s="101"/>
    </row>
    <row r="452" ht="14.25" customHeight="1">
      <c r="B452" s="101"/>
    </row>
    <row r="453" ht="14.25" customHeight="1">
      <c r="B453" s="101"/>
    </row>
    <row r="454" ht="14.25" customHeight="1">
      <c r="B454" s="101"/>
    </row>
    <row r="455" ht="14.25" customHeight="1">
      <c r="B455" s="101"/>
    </row>
    <row r="456" ht="14.25" customHeight="1">
      <c r="B456" s="101"/>
    </row>
    <row r="457" ht="14.25" customHeight="1">
      <c r="B457" s="101"/>
    </row>
    <row r="458" ht="14.25" customHeight="1">
      <c r="B458" s="101"/>
    </row>
    <row r="459" ht="14.25" customHeight="1">
      <c r="B459" s="101"/>
    </row>
    <row r="460" ht="14.25" customHeight="1">
      <c r="B460" s="101"/>
    </row>
    <row r="461" ht="14.25" customHeight="1">
      <c r="B461" s="101"/>
    </row>
    <row r="462" ht="14.25" customHeight="1">
      <c r="B462" s="101"/>
    </row>
    <row r="463" ht="14.25" customHeight="1">
      <c r="B463" s="101"/>
    </row>
    <row r="464" ht="14.25" customHeight="1">
      <c r="B464" s="101"/>
    </row>
    <row r="465" ht="14.25" customHeight="1">
      <c r="B465" s="101"/>
    </row>
    <row r="466" ht="14.25" customHeight="1">
      <c r="B466" s="101"/>
    </row>
    <row r="467" ht="14.25" customHeight="1">
      <c r="B467" s="101"/>
    </row>
    <row r="468" ht="14.25" customHeight="1">
      <c r="B468" s="101"/>
    </row>
    <row r="469" ht="14.25" customHeight="1">
      <c r="B469" s="101"/>
    </row>
    <row r="470" ht="14.25" customHeight="1">
      <c r="B470" s="101"/>
    </row>
    <row r="471" ht="14.25" customHeight="1">
      <c r="B471" s="101"/>
    </row>
    <row r="472" ht="14.25" customHeight="1">
      <c r="B472" s="101"/>
    </row>
    <row r="473" ht="14.25" customHeight="1">
      <c r="B473" s="101"/>
    </row>
    <row r="474" ht="14.25" customHeight="1">
      <c r="B474" s="101"/>
    </row>
    <row r="475" ht="14.25" customHeight="1">
      <c r="B475" s="101"/>
    </row>
    <row r="476" ht="14.25" customHeight="1">
      <c r="B476" s="101"/>
    </row>
    <row r="477" ht="14.25" customHeight="1">
      <c r="B477" s="101"/>
    </row>
    <row r="478" ht="14.25" customHeight="1">
      <c r="B478" s="101"/>
    </row>
    <row r="479" ht="14.25" customHeight="1">
      <c r="B479" s="101"/>
    </row>
    <row r="480" ht="14.25" customHeight="1">
      <c r="B480" s="101"/>
    </row>
    <row r="481" ht="14.25" customHeight="1">
      <c r="B481" s="101"/>
    </row>
    <row r="482" ht="14.25" customHeight="1">
      <c r="B482" s="101"/>
    </row>
    <row r="483" ht="14.25" customHeight="1">
      <c r="B483" s="101"/>
    </row>
    <row r="484" ht="14.25" customHeight="1">
      <c r="B484" s="101"/>
    </row>
    <row r="485" ht="14.25" customHeight="1">
      <c r="B485" s="101"/>
    </row>
    <row r="486" ht="14.25" customHeight="1">
      <c r="B486" s="101"/>
    </row>
    <row r="487" ht="14.25" customHeight="1">
      <c r="B487" s="101"/>
    </row>
    <row r="488" ht="14.25" customHeight="1">
      <c r="B488" s="101"/>
    </row>
    <row r="489" ht="14.25" customHeight="1">
      <c r="B489" s="101"/>
    </row>
    <row r="490" ht="14.25" customHeight="1">
      <c r="B490" s="101"/>
    </row>
    <row r="491" ht="14.25" customHeight="1">
      <c r="B491" s="101"/>
    </row>
    <row r="492" ht="14.25" customHeight="1">
      <c r="B492" s="101"/>
    </row>
    <row r="493" ht="14.25" customHeight="1">
      <c r="B493" s="101"/>
    </row>
    <row r="494" ht="14.25" customHeight="1">
      <c r="B494" s="101"/>
    </row>
    <row r="495" ht="14.25" customHeight="1">
      <c r="B495" s="101"/>
    </row>
    <row r="496" ht="14.25" customHeight="1">
      <c r="B496" s="101"/>
    </row>
    <row r="497" ht="14.25" customHeight="1">
      <c r="B497" s="101"/>
    </row>
    <row r="498" ht="14.25" customHeight="1">
      <c r="B498" s="101"/>
    </row>
    <row r="499" ht="14.25" customHeight="1">
      <c r="B499" s="101"/>
    </row>
    <row r="500" ht="14.25" customHeight="1">
      <c r="B500" s="101"/>
    </row>
    <row r="501" ht="14.25" customHeight="1">
      <c r="B501" s="101"/>
    </row>
    <row r="502" ht="14.25" customHeight="1">
      <c r="B502" s="101"/>
    </row>
    <row r="503" ht="14.25" customHeight="1">
      <c r="B503" s="101"/>
    </row>
    <row r="504" ht="14.25" customHeight="1">
      <c r="B504" s="101"/>
    </row>
    <row r="505" ht="14.25" customHeight="1">
      <c r="B505" s="101"/>
    </row>
    <row r="506" ht="14.25" customHeight="1">
      <c r="B506" s="101"/>
    </row>
    <row r="507" ht="14.25" customHeight="1">
      <c r="B507" s="101"/>
    </row>
    <row r="508" ht="14.25" customHeight="1">
      <c r="B508" s="101"/>
    </row>
    <row r="509" ht="14.25" customHeight="1">
      <c r="B509" s="101"/>
    </row>
    <row r="510" ht="14.25" customHeight="1">
      <c r="B510" s="101"/>
    </row>
    <row r="511" ht="14.25" customHeight="1">
      <c r="B511" s="101"/>
    </row>
    <row r="512" ht="14.25" customHeight="1">
      <c r="B512" s="101"/>
    </row>
    <row r="513" ht="14.25" customHeight="1">
      <c r="B513" s="101"/>
    </row>
    <row r="514" ht="14.25" customHeight="1">
      <c r="B514" s="101"/>
    </row>
    <row r="515" ht="14.25" customHeight="1">
      <c r="B515" s="101"/>
    </row>
    <row r="516" ht="14.25" customHeight="1">
      <c r="B516" s="101"/>
    </row>
    <row r="517" ht="14.25" customHeight="1">
      <c r="B517" s="101"/>
    </row>
    <row r="518" ht="14.25" customHeight="1">
      <c r="B518" s="101"/>
    </row>
    <row r="519" ht="14.25" customHeight="1">
      <c r="B519" s="101"/>
    </row>
    <row r="520" ht="14.25" customHeight="1">
      <c r="B520" s="101"/>
    </row>
    <row r="521" ht="14.25" customHeight="1">
      <c r="B521" s="101"/>
    </row>
    <row r="522" ht="14.25" customHeight="1">
      <c r="B522" s="101"/>
    </row>
    <row r="523" ht="14.25" customHeight="1">
      <c r="B523" s="101"/>
    </row>
    <row r="524" ht="14.25" customHeight="1">
      <c r="B524" s="101"/>
    </row>
    <row r="525" ht="14.25" customHeight="1">
      <c r="B525" s="101"/>
    </row>
    <row r="526" ht="14.25" customHeight="1">
      <c r="B526" s="101"/>
    </row>
    <row r="527" ht="14.25" customHeight="1">
      <c r="B527" s="101"/>
    </row>
    <row r="528" ht="14.25" customHeight="1">
      <c r="B528" s="101"/>
    </row>
    <row r="529" ht="14.25" customHeight="1">
      <c r="B529" s="101"/>
    </row>
    <row r="530" ht="14.25" customHeight="1">
      <c r="B530" s="101"/>
    </row>
    <row r="531" ht="14.25" customHeight="1">
      <c r="B531" s="101"/>
    </row>
    <row r="532" ht="14.25" customHeight="1">
      <c r="B532" s="101"/>
    </row>
    <row r="533" ht="14.25" customHeight="1">
      <c r="B533" s="101"/>
    </row>
    <row r="534" ht="14.25" customHeight="1">
      <c r="B534" s="101"/>
    </row>
    <row r="535" ht="14.25" customHeight="1">
      <c r="B535" s="101"/>
    </row>
    <row r="536" ht="14.25" customHeight="1">
      <c r="B536" s="101"/>
    </row>
    <row r="537" ht="14.25" customHeight="1">
      <c r="B537" s="101"/>
    </row>
    <row r="538" ht="14.25" customHeight="1">
      <c r="B538" s="101"/>
    </row>
    <row r="539" ht="14.25" customHeight="1">
      <c r="B539" s="101"/>
    </row>
    <row r="540" ht="14.25" customHeight="1">
      <c r="B540" s="101"/>
    </row>
    <row r="541" ht="14.25" customHeight="1">
      <c r="B541" s="101"/>
    </row>
    <row r="542" ht="14.25" customHeight="1">
      <c r="B542" s="101"/>
    </row>
    <row r="543" ht="14.25" customHeight="1">
      <c r="B543" s="101"/>
    </row>
    <row r="544" ht="14.25" customHeight="1">
      <c r="B544" s="101"/>
    </row>
    <row r="545" ht="14.25" customHeight="1">
      <c r="B545" s="101"/>
    </row>
    <row r="546" ht="14.25" customHeight="1">
      <c r="B546" s="101"/>
    </row>
    <row r="547" ht="14.25" customHeight="1">
      <c r="B547" s="101"/>
    </row>
    <row r="548" ht="14.25" customHeight="1">
      <c r="B548" s="101"/>
    </row>
    <row r="549" ht="14.25" customHeight="1">
      <c r="B549" s="101"/>
    </row>
    <row r="550" ht="14.25" customHeight="1">
      <c r="B550" s="101"/>
    </row>
    <row r="551" ht="14.25" customHeight="1">
      <c r="B551" s="101"/>
    </row>
    <row r="552" ht="14.25" customHeight="1">
      <c r="B552" s="101"/>
    </row>
    <row r="553" ht="14.25" customHeight="1">
      <c r="B553" s="101"/>
    </row>
    <row r="554" ht="14.25" customHeight="1">
      <c r="B554" s="101"/>
    </row>
    <row r="555" ht="14.25" customHeight="1">
      <c r="B555" s="101"/>
    </row>
    <row r="556" ht="14.25" customHeight="1">
      <c r="B556" s="101"/>
    </row>
    <row r="557" ht="14.25" customHeight="1">
      <c r="B557" s="101"/>
    </row>
    <row r="558" ht="14.25" customHeight="1">
      <c r="B558" s="101"/>
    </row>
    <row r="559" ht="14.25" customHeight="1">
      <c r="B559" s="101"/>
    </row>
    <row r="560" ht="14.25" customHeight="1">
      <c r="B560" s="101"/>
    </row>
    <row r="561" ht="14.25" customHeight="1">
      <c r="B561" s="101"/>
    </row>
    <row r="562" ht="14.25" customHeight="1">
      <c r="B562" s="101"/>
    </row>
    <row r="563" ht="14.25" customHeight="1">
      <c r="B563" s="101"/>
    </row>
    <row r="564" ht="14.25" customHeight="1">
      <c r="B564" s="101"/>
    </row>
    <row r="565" ht="14.25" customHeight="1">
      <c r="B565" s="101"/>
    </row>
    <row r="566" ht="14.25" customHeight="1">
      <c r="B566" s="101"/>
    </row>
    <row r="567" ht="14.25" customHeight="1">
      <c r="B567" s="101"/>
    </row>
    <row r="568" ht="14.25" customHeight="1">
      <c r="B568" s="101"/>
    </row>
    <row r="569" ht="14.25" customHeight="1">
      <c r="B569" s="101"/>
    </row>
    <row r="570" ht="14.25" customHeight="1">
      <c r="B570" s="101"/>
    </row>
    <row r="571" ht="14.25" customHeight="1">
      <c r="B571" s="101"/>
    </row>
    <row r="572" ht="14.25" customHeight="1">
      <c r="B572" s="101"/>
    </row>
    <row r="573" ht="14.25" customHeight="1">
      <c r="B573" s="101"/>
    </row>
    <row r="574" ht="14.25" customHeight="1">
      <c r="B574" s="101"/>
    </row>
    <row r="575" ht="14.25" customHeight="1">
      <c r="B575" s="101"/>
    </row>
    <row r="576" ht="14.25" customHeight="1">
      <c r="B576" s="101"/>
    </row>
    <row r="577" ht="14.25" customHeight="1">
      <c r="B577" s="101"/>
    </row>
    <row r="578" ht="14.25" customHeight="1">
      <c r="B578" s="101"/>
    </row>
    <row r="579" ht="14.25" customHeight="1">
      <c r="B579" s="101"/>
    </row>
    <row r="580" ht="14.25" customHeight="1">
      <c r="B580" s="101"/>
    </row>
    <row r="581" ht="14.25" customHeight="1">
      <c r="B581" s="101"/>
    </row>
    <row r="582" ht="14.25" customHeight="1">
      <c r="B582" s="101"/>
    </row>
    <row r="583" ht="14.25" customHeight="1">
      <c r="B583" s="101"/>
    </row>
    <row r="584" ht="14.25" customHeight="1">
      <c r="B584" s="101"/>
    </row>
    <row r="585" ht="14.25" customHeight="1">
      <c r="B585" s="101"/>
    </row>
    <row r="586" ht="14.25" customHeight="1">
      <c r="B586" s="101"/>
    </row>
    <row r="587" ht="14.25" customHeight="1">
      <c r="B587" s="101"/>
    </row>
    <row r="588" ht="14.25" customHeight="1">
      <c r="B588" s="101"/>
    </row>
    <row r="589" ht="14.25" customHeight="1">
      <c r="B589" s="101"/>
    </row>
    <row r="590" ht="14.25" customHeight="1">
      <c r="B590" s="101"/>
    </row>
    <row r="591" ht="14.25" customHeight="1">
      <c r="B591" s="101"/>
    </row>
    <row r="592" ht="14.25" customHeight="1">
      <c r="B592" s="101"/>
    </row>
    <row r="593" ht="14.25" customHeight="1">
      <c r="B593" s="101"/>
    </row>
    <row r="594" ht="14.25" customHeight="1">
      <c r="B594" s="101"/>
    </row>
    <row r="595" ht="14.25" customHeight="1">
      <c r="B595" s="101"/>
    </row>
    <row r="596" ht="14.25" customHeight="1">
      <c r="B596" s="101"/>
    </row>
    <row r="597" ht="14.25" customHeight="1">
      <c r="B597" s="101"/>
    </row>
    <row r="598" ht="14.25" customHeight="1">
      <c r="B598" s="101"/>
    </row>
    <row r="599" ht="14.25" customHeight="1">
      <c r="B599" s="101"/>
    </row>
    <row r="600" ht="14.25" customHeight="1">
      <c r="B600" s="101"/>
    </row>
    <row r="601" ht="14.25" customHeight="1">
      <c r="B601" s="101"/>
    </row>
    <row r="602" ht="14.25" customHeight="1">
      <c r="B602" s="101"/>
    </row>
    <row r="603" ht="14.25" customHeight="1">
      <c r="B603" s="101"/>
    </row>
    <row r="604" ht="14.25" customHeight="1">
      <c r="B604" s="101"/>
    </row>
    <row r="605" ht="14.25" customHeight="1">
      <c r="B605" s="101"/>
    </row>
    <row r="606" ht="14.25" customHeight="1">
      <c r="B606" s="101"/>
    </row>
    <row r="607" ht="14.25" customHeight="1">
      <c r="B607" s="101"/>
    </row>
    <row r="608" ht="14.25" customHeight="1">
      <c r="B608" s="101"/>
    </row>
    <row r="609" ht="14.25" customHeight="1">
      <c r="B609" s="101"/>
    </row>
    <row r="610" ht="14.25" customHeight="1">
      <c r="B610" s="101"/>
    </row>
    <row r="611" ht="14.25" customHeight="1">
      <c r="B611" s="101"/>
    </row>
    <row r="612" ht="14.25" customHeight="1">
      <c r="B612" s="101"/>
    </row>
    <row r="613" ht="14.25" customHeight="1">
      <c r="B613" s="101"/>
    </row>
    <row r="614" ht="14.25" customHeight="1">
      <c r="B614" s="101"/>
    </row>
    <row r="615" ht="14.25" customHeight="1">
      <c r="B615" s="101"/>
    </row>
    <row r="616" ht="14.25" customHeight="1">
      <c r="B616" s="101"/>
    </row>
    <row r="617" ht="14.25" customHeight="1">
      <c r="B617" s="101"/>
    </row>
    <row r="618" ht="14.25" customHeight="1">
      <c r="B618" s="101"/>
    </row>
    <row r="619" ht="14.25" customHeight="1">
      <c r="B619" s="101"/>
    </row>
    <row r="620" ht="14.25" customHeight="1">
      <c r="B620" s="101"/>
    </row>
    <row r="621" ht="14.25" customHeight="1">
      <c r="B621" s="101"/>
    </row>
    <row r="622" ht="14.25" customHeight="1">
      <c r="B622" s="101"/>
    </row>
    <row r="623" ht="14.25" customHeight="1">
      <c r="B623" s="101"/>
    </row>
    <row r="624" ht="14.25" customHeight="1">
      <c r="B624" s="101"/>
    </row>
    <row r="625" ht="14.25" customHeight="1">
      <c r="B625" s="101"/>
    </row>
    <row r="626" ht="14.25" customHeight="1">
      <c r="B626" s="101"/>
    </row>
    <row r="627" ht="14.25" customHeight="1">
      <c r="B627" s="101"/>
    </row>
    <row r="628" ht="14.25" customHeight="1">
      <c r="B628" s="101"/>
    </row>
    <row r="629" ht="14.25" customHeight="1">
      <c r="B629" s="101"/>
    </row>
    <row r="630" ht="14.25" customHeight="1">
      <c r="B630" s="101"/>
    </row>
    <row r="631" ht="14.25" customHeight="1">
      <c r="B631" s="101"/>
    </row>
    <row r="632" ht="14.25" customHeight="1">
      <c r="B632" s="101"/>
    </row>
    <row r="633" ht="14.25" customHeight="1">
      <c r="B633" s="101"/>
    </row>
    <row r="634" ht="14.25" customHeight="1">
      <c r="B634" s="101"/>
    </row>
    <row r="635" ht="14.25" customHeight="1">
      <c r="B635" s="101"/>
    </row>
    <row r="636" ht="14.25" customHeight="1">
      <c r="B636" s="101"/>
    </row>
    <row r="637" ht="14.25" customHeight="1">
      <c r="B637" s="101"/>
    </row>
    <row r="638" ht="14.25" customHeight="1">
      <c r="B638" s="101"/>
    </row>
    <row r="639" ht="14.25" customHeight="1">
      <c r="B639" s="101"/>
    </row>
    <row r="640" ht="14.25" customHeight="1">
      <c r="B640" s="101"/>
    </row>
    <row r="641" ht="14.25" customHeight="1">
      <c r="B641" s="101"/>
    </row>
    <row r="642" ht="14.25" customHeight="1">
      <c r="B642" s="101"/>
    </row>
    <row r="643" ht="14.25" customHeight="1">
      <c r="B643" s="101"/>
    </row>
    <row r="644" ht="14.25" customHeight="1">
      <c r="B644" s="101"/>
    </row>
    <row r="645" ht="14.25" customHeight="1">
      <c r="B645" s="101"/>
    </row>
    <row r="646" ht="14.25" customHeight="1">
      <c r="B646" s="101"/>
    </row>
    <row r="647" ht="14.25" customHeight="1">
      <c r="B647" s="101"/>
    </row>
    <row r="648" ht="14.25" customHeight="1">
      <c r="B648" s="101"/>
    </row>
    <row r="649" ht="14.25" customHeight="1">
      <c r="B649" s="101"/>
    </row>
    <row r="650" ht="14.25" customHeight="1">
      <c r="B650" s="101"/>
    </row>
    <row r="651" ht="14.25" customHeight="1">
      <c r="B651" s="101"/>
    </row>
    <row r="652" ht="14.25" customHeight="1">
      <c r="B652" s="101"/>
    </row>
    <row r="653" ht="14.25" customHeight="1">
      <c r="B653" s="101"/>
    </row>
    <row r="654" ht="14.25" customHeight="1">
      <c r="B654" s="101"/>
    </row>
    <row r="655" ht="14.25" customHeight="1">
      <c r="B655" s="101"/>
    </row>
    <row r="656" ht="14.25" customHeight="1">
      <c r="B656" s="101"/>
    </row>
    <row r="657" ht="14.25" customHeight="1">
      <c r="B657" s="101"/>
    </row>
    <row r="658" ht="14.25" customHeight="1">
      <c r="B658" s="101"/>
    </row>
    <row r="659" ht="14.25" customHeight="1">
      <c r="B659" s="101"/>
    </row>
    <row r="660" ht="14.25" customHeight="1">
      <c r="B660" s="101"/>
    </row>
    <row r="661" ht="14.25" customHeight="1">
      <c r="B661" s="101"/>
    </row>
    <row r="662" ht="14.25" customHeight="1">
      <c r="B662" s="101"/>
    </row>
    <row r="663" ht="14.25" customHeight="1">
      <c r="B663" s="101"/>
    </row>
    <row r="664" ht="14.25" customHeight="1">
      <c r="B664" s="101"/>
    </row>
    <row r="665" ht="14.25" customHeight="1">
      <c r="B665" s="101"/>
    </row>
    <row r="666" ht="14.25" customHeight="1">
      <c r="B666" s="101"/>
    </row>
    <row r="667" ht="14.25" customHeight="1">
      <c r="B667" s="101"/>
    </row>
    <row r="668" ht="14.25" customHeight="1">
      <c r="B668" s="101"/>
    </row>
    <row r="669" ht="14.25" customHeight="1">
      <c r="B669" s="101"/>
    </row>
    <row r="670" ht="14.25" customHeight="1">
      <c r="B670" s="101"/>
    </row>
    <row r="671" ht="14.25" customHeight="1">
      <c r="B671" s="101"/>
    </row>
    <row r="672" ht="14.25" customHeight="1">
      <c r="B672" s="101"/>
    </row>
    <row r="673" ht="14.25" customHeight="1">
      <c r="B673" s="101"/>
    </row>
    <row r="674" ht="14.25" customHeight="1">
      <c r="B674" s="101"/>
    </row>
    <row r="675" ht="14.25" customHeight="1">
      <c r="B675" s="101"/>
    </row>
    <row r="676" ht="14.25" customHeight="1">
      <c r="B676" s="101"/>
    </row>
    <row r="677" ht="14.25" customHeight="1">
      <c r="B677" s="101"/>
    </row>
    <row r="678" ht="14.25" customHeight="1">
      <c r="B678" s="101"/>
    </row>
    <row r="679" ht="14.25" customHeight="1">
      <c r="B679" s="101"/>
    </row>
    <row r="680" ht="14.25" customHeight="1">
      <c r="B680" s="101"/>
    </row>
    <row r="681" ht="14.25" customHeight="1">
      <c r="B681" s="101"/>
    </row>
    <row r="682" ht="14.25" customHeight="1">
      <c r="B682" s="101"/>
    </row>
    <row r="683" ht="14.25" customHeight="1">
      <c r="B683" s="101"/>
    </row>
    <row r="684" ht="14.25" customHeight="1">
      <c r="B684" s="101"/>
    </row>
    <row r="685" ht="14.25" customHeight="1">
      <c r="B685" s="101"/>
    </row>
    <row r="686" ht="14.25" customHeight="1">
      <c r="B686" s="101"/>
    </row>
    <row r="687" ht="14.25" customHeight="1">
      <c r="B687" s="101"/>
    </row>
    <row r="688" ht="14.25" customHeight="1">
      <c r="B688" s="101"/>
    </row>
    <row r="689" ht="14.25" customHeight="1">
      <c r="B689" s="101"/>
    </row>
    <row r="690" ht="14.25" customHeight="1">
      <c r="B690" s="101"/>
    </row>
    <row r="691" ht="14.25" customHeight="1">
      <c r="B691" s="101"/>
    </row>
    <row r="692" ht="14.25" customHeight="1">
      <c r="B692" s="101"/>
    </row>
    <row r="693" ht="14.25" customHeight="1">
      <c r="B693" s="101"/>
    </row>
    <row r="694" ht="14.25" customHeight="1">
      <c r="B694" s="101"/>
    </row>
    <row r="695" ht="14.25" customHeight="1">
      <c r="B695" s="101"/>
    </row>
    <row r="696" ht="14.25" customHeight="1">
      <c r="B696" s="101"/>
    </row>
    <row r="697" ht="14.25" customHeight="1">
      <c r="B697" s="101"/>
    </row>
    <row r="698" ht="14.25" customHeight="1">
      <c r="B698" s="101"/>
    </row>
    <row r="699" ht="14.25" customHeight="1">
      <c r="B699" s="101"/>
    </row>
    <row r="700" ht="14.25" customHeight="1">
      <c r="B700" s="101"/>
    </row>
    <row r="701" ht="14.25" customHeight="1">
      <c r="B701" s="101"/>
    </row>
    <row r="702" ht="14.25" customHeight="1">
      <c r="B702" s="101"/>
    </row>
    <row r="703" ht="14.25" customHeight="1">
      <c r="B703" s="101"/>
    </row>
    <row r="704" ht="14.25" customHeight="1">
      <c r="B704" s="101"/>
    </row>
    <row r="705" ht="14.25" customHeight="1">
      <c r="B705" s="101"/>
    </row>
    <row r="706" ht="14.25" customHeight="1">
      <c r="B706" s="101"/>
    </row>
    <row r="707" ht="14.25" customHeight="1">
      <c r="B707" s="101"/>
    </row>
    <row r="708" ht="14.25" customHeight="1">
      <c r="B708" s="101"/>
    </row>
    <row r="709" ht="14.25" customHeight="1">
      <c r="B709" s="101"/>
    </row>
    <row r="710" ht="14.25" customHeight="1">
      <c r="B710" s="101"/>
    </row>
    <row r="711" ht="14.25" customHeight="1">
      <c r="B711" s="101"/>
    </row>
    <row r="712" ht="14.25" customHeight="1">
      <c r="B712" s="101"/>
    </row>
    <row r="713" ht="14.25" customHeight="1">
      <c r="B713" s="101"/>
    </row>
    <row r="714" ht="14.25" customHeight="1">
      <c r="B714" s="101"/>
    </row>
    <row r="715" ht="14.25" customHeight="1">
      <c r="B715" s="101"/>
    </row>
    <row r="716" ht="14.25" customHeight="1">
      <c r="B716" s="101"/>
    </row>
    <row r="717" ht="14.25" customHeight="1">
      <c r="B717" s="101"/>
    </row>
    <row r="718" ht="14.25" customHeight="1">
      <c r="B718" s="101"/>
    </row>
    <row r="719" ht="14.25" customHeight="1">
      <c r="B719" s="101"/>
    </row>
    <row r="720" ht="14.25" customHeight="1">
      <c r="B720" s="101"/>
    </row>
    <row r="721" ht="14.25" customHeight="1">
      <c r="B721" s="101"/>
    </row>
    <row r="722" ht="14.25" customHeight="1">
      <c r="B722" s="101"/>
    </row>
    <row r="723" ht="14.25" customHeight="1">
      <c r="B723" s="101"/>
    </row>
    <row r="724" ht="14.25" customHeight="1">
      <c r="B724" s="101"/>
    </row>
    <row r="725" ht="14.25" customHeight="1">
      <c r="B725" s="101"/>
    </row>
    <row r="726" ht="14.25" customHeight="1">
      <c r="B726" s="101"/>
    </row>
    <row r="727" ht="14.25" customHeight="1">
      <c r="B727" s="101"/>
    </row>
    <row r="728" ht="14.25" customHeight="1">
      <c r="B728" s="101"/>
    </row>
    <row r="729" ht="14.25" customHeight="1">
      <c r="B729" s="101"/>
    </row>
    <row r="730" ht="14.25" customHeight="1">
      <c r="B730" s="101"/>
    </row>
    <row r="731" ht="14.25" customHeight="1">
      <c r="B731" s="101"/>
    </row>
    <row r="732" ht="14.25" customHeight="1">
      <c r="B732" s="101"/>
    </row>
    <row r="733" ht="14.25" customHeight="1">
      <c r="B733" s="101"/>
    </row>
    <row r="734" ht="14.25" customHeight="1">
      <c r="B734" s="101"/>
    </row>
    <row r="735" ht="14.25" customHeight="1">
      <c r="B735" s="101"/>
    </row>
    <row r="736" ht="14.25" customHeight="1">
      <c r="B736" s="101"/>
    </row>
    <row r="737" ht="14.25" customHeight="1">
      <c r="B737" s="101"/>
    </row>
    <row r="738" ht="14.25" customHeight="1">
      <c r="B738" s="101"/>
    </row>
    <row r="739" ht="14.25" customHeight="1">
      <c r="B739" s="101"/>
    </row>
    <row r="740" ht="14.25" customHeight="1">
      <c r="B740" s="101"/>
    </row>
    <row r="741" ht="14.25" customHeight="1">
      <c r="B741" s="101"/>
    </row>
    <row r="742" ht="14.25" customHeight="1">
      <c r="B742" s="101"/>
    </row>
    <row r="743" ht="14.25" customHeight="1">
      <c r="B743" s="101"/>
    </row>
    <row r="744" ht="14.25" customHeight="1">
      <c r="B744" s="101"/>
    </row>
    <row r="745" ht="14.25" customHeight="1">
      <c r="B745" s="101"/>
    </row>
    <row r="746" ht="14.25" customHeight="1">
      <c r="B746" s="101"/>
    </row>
    <row r="747" ht="14.25" customHeight="1">
      <c r="B747" s="101"/>
    </row>
    <row r="748" ht="14.25" customHeight="1">
      <c r="B748" s="101"/>
    </row>
    <row r="749" ht="14.25" customHeight="1">
      <c r="B749" s="101"/>
    </row>
    <row r="750" ht="14.25" customHeight="1">
      <c r="B750" s="101"/>
    </row>
    <row r="751" ht="14.25" customHeight="1">
      <c r="B751" s="101"/>
    </row>
    <row r="752" ht="14.25" customHeight="1">
      <c r="B752" s="101"/>
    </row>
    <row r="753" ht="14.25" customHeight="1">
      <c r="B753" s="101"/>
    </row>
    <row r="754" ht="14.25" customHeight="1">
      <c r="B754" s="101"/>
    </row>
    <row r="755" ht="14.25" customHeight="1">
      <c r="B755" s="101"/>
    </row>
    <row r="756" ht="14.25" customHeight="1">
      <c r="B756" s="101"/>
    </row>
    <row r="757" ht="14.25" customHeight="1">
      <c r="B757" s="101"/>
    </row>
    <row r="758" ht="14.25" customHeight="1">
      <c r="B758" s="101"/>
    </row>
    <row r="759" ht="14.25" customHeight="1">
      <c r="B759" s="101"/>
    </row>
    <row r="760" ht="14.25" customHeight="1">
      <c r="B760" s="101"/>
    </row>
    <row r="761" ht="14.25" customHeight="1">
      <c r="B761" s="101"/>
    </row>
    <row r="762" ht="14.25" customHeight="1">
      <c r="B762" s="101"/>
    </row>
    <row r="763" ht="14.25" customHeight="1">
      <c r="B763" s="101"/>
    </row>
    <row r="764" ht="14.25" customHeight="1">
      <c r="B764" s="101"/>
    </row>
    <row r="765" ht="14.25" customHeight="1">
      <c r="B765" s="101"/>
    </row>
    <row r="766" ht="14.25" customHeight="1">
      <c r="B766" s="101"/>
    </row>
    <row r="767" ht="14.25" customHeight="1">
      <c r="B767" s="101"/>
    </row>
    <row r="768" ht="14.25" customHeight="1">
      <c r="B768" s="101"/>
    </row>
    <row r="769" ht="14.25" customHeight="1">
      <c r="B769" s="101"/>
    </row>
    <row r="770" ht="14.25" customHeight="1">
      <c r="B770" s="101"/>
    </row>
    <row r="771" ht="14.25" customHeight="1">
      <c r="B771" s="101"/>
    </row>
    <row r="772" ht="14.25" customHeight="1">
      <c r="B772" s="101"/>
    </row>
    <row r="773" ht="14.25" customHeight="1">
      <c r="B773" s="101"/>
    </row>
    <row r="774" ht="14.25" customHeight="1">
      <c r="B774" s="101"/>
    </row>
    <row r="775" ht="14.25" customHeight="1">
      <c r="B775" s="101"/>
    </row>
    <row r="776" ht="14.25" customHeight="1">
      <c r="B776" s="101"/>
    </row>
    <row r="777" ht="14.25" customHeight="1">
      <c r="B777" s="101"/>
    </row>
    <row r="778" ht="14.25" customHeight="1">
      <c r="B778" s="101"/>
    </row>
    <row r="779" ht="14.25" customHeight="1">
      <c r="B779" s="101"/>
    </row>
    <row r="780" ht="14.25" customHeight="1">
      <c r="B780" s="101"/>
    </row>
    <row r="781" ht="14.25" customHeight="1">
      <c r="B781" s="101"/>
    </row>
    <row r="782" ht="14.25" customHeight="1">
      <c r="B782" s="101"/>
    </row>
    <row r="783" ht="14.25" customHeight="1">
      <c r="B783" s="101"/>
    </row>
    <row r="784" ht="14.25" customHeight="1">
      <c r="B784" s="101"/>
    </row>
    <row r="785" ht="14.25" customHeight="1">
      <c r="B785" s="101"/>
    </row>
    <row r="786" ht="14.25" customHeight="1">
      <c r="B786" s="101"/>
    </row>
    <row r="787" ht="14.25" customHeight="1">
      <c r="B787" s="101"/>
    </row>
    <row r="788" ht="14.25" customHeight="1">
      <c r="B788" s="101"/>
    </row>
    <row r="789" ht="14.25" customHeight="1">
      <c r="B789" s="101"/>
    </row>
    <row r="790" ht="14.25" customHeight="1">
      <c r="B790" s="101"/>
    </row>
    <row r="791" ht="14.25" customHeight="1">
      <c r="B791" s="101"/>
    </row>
    <row r="792" ht="14.25" customHeight="1">
      <c r="B792" s="101"/>
    </row>
    <row r="793" ht="14.25" customHeight="1">
      <c r="B793" s="101"/>
    </row>
    <row r="794" ht="14.25" customHeight="1">
      <c r="B794" s="101"/>
    </row>
    <row r="795" ht="14.25" customHeight="1">
      <c r="B795" s="101"/>
    </row>
    <row r="796" ht="14.25" customHeight="1">
      <c r="B796" s="101"/>
    </row>
    <row r="797" ht="14.25" customHeight="1">
      <c r="B797" s="101"/>
    </row>
    <row r="798" ht="14.25" customHeight="1">
      <c r="B798" s="101"/>
    </row>
    <row r="799" ht="14.25" customHeight="1">
      <c r="B799" s="101"/>
    </row>
    <row r="800" ht="14.25" customHeight="1">
      <c r="B800" s="101"/>
    </row>
    <row r="801" ht="14.25" customHeight="1">
      <c r="B801" s="101"/>
    </row>
    <row r="802" ht="14.25" customHeight="1">
      <c r="B802" s="101"/>
    </row>
    <row r="803" ht="14.25" customHeight="1">
      <c r="B803" s="101"/>
    </row>
    <row r="804" ht="14.25" customHeight="1">
      <c r="B804" s="101"/>
    </row>
    <row r="805" ht="14.25" customHeight="1">
      <c r="B805" s="101"/>
    </row>
    <row r="806" ht="14.25" customHeight="1">
      <c r="B806" s="101"/>
    </row>
    <row r="807" ht="14.25" customHeight="1">
      <c r="B807" s="101"/>
    </row>
    <row r="808" ht="14.25" customHeight="1">
      <c r="B808" s="101"/>
    </row>
    <row r="809" ht="14.25" customHeight="1">
      <c r="B809" s="101"/>
    </row>
    <row r="810" ht="14.25" customHeight="1">
      <c r="B810" s="101"/>
    </row>
    <row r="811" ht="14.25" customHeight="1">
      <c r="B811" s="101"/>
    </row>
    <row r="812" ht="14.25" customHeight="1">
      <c r="B812" s="101"/>
    </row>
    <row r="813" ht="14.25" customHeight="1">
      <c r="B813" s="101"/>
    </row>
    <row r="814" ht="14.25" customHeight="1">
      <c r="B814" s="101"/>
    </row>
    <row r="815" ht="14.25" customHeight="1">
      <c r="B815" s="101"/>
    </row>
    <row r="816" ht="14.25" customHeight="1">
      <c r="B816" s="101"/>
    </row>
    <row r="817" ht="14.25" customHeight="1">
      <c r="B817" s="101"/>
    </row>
    <row r="818" ht="14.25" customHeight="1">
      <c r="B818" s="101"/>
    </row>
    <row r="819" ht="14.25" customHeight="1">
      <c r="B819" s="101"/>
    </row>
    <row r="820" ht="14.25" customHeight="1">
      <c r="B820" s="101"/>
    </row>
    <row r="821" ht="14.25" customHeight="1">
      <c r="B821" s="101"/>
    </row>
    <row r="822" ht="14.25" customHeight="1">
      <c r="B822" s="101"/>
    </row>
    <row r="823" ht="14.25" customHeight="1">
      <c r="B823" s="101"/>
    </row>
    <row r="824" ht="14.25" customHeight="1">
      <c r="B824" s="101"/>
    </row>
    <row r="825" ht="14.25" customHeight="1">
      <c r="B825" s="101"/>
    </row>
    <row r="826" ht="14.25" customHeight="1">
      <c r="B826" s="101"/>
    </row>
    <row r="827" ht="14.25" customHeight="1">
      <c r="B827" s="101"/>
    </row>
    <row r="828" ht="14.25" customHeight="1">
      <c r="B828" s="101"/>
    </row>
    <row r="829" ht="14.25" customHeight="1">
      <c r="B829" s="101"/>
    </row>
    <row r="830" ht="14.25" customHeight="1">
      <c r="B830" s="101"/>
    </row>
    <row r="831" ht="14.25" customHeight="1">
      <c r="B831" s="101"/>
    </row>
    <row r="832" ht="14.25" customHeight="1">
      <c r="B832" s="101"/>
    </row>
    <row r="833" ht="14.25" customHeight="1">
      <c r="B833" s="101"/>
    </row>
    <row r="834" ht="14.25" customHeight="1">
      <c r="B834" s="101"/>
    </row>
    <row r="835" ht="14.25" customHeight="1">
      <c r="B835" s="101"/>
    </row>
    <row r="836" ht="14.25" customHeight="1">
      <c r="B836" s="101"/>
    </row>
    <row r="837" ht="14.25" customHeight="1">
      <c r="B837" s="101"/>
    </row>
    <row r="838" ht="14.25" customHeight="1">
      <c r="B838" s="101"/>
    </row>
    <row r="839" ht="14.25" customHeight="1">
      <c r="B839" s="101"/>
    </row>
    <row r="840" ht="14.25" customHeight="1">
      <c r="B840" s="101"/>
    </row>
    <row r="841" ht="14.25" customHeight="1">
      <c r="B841" s="101"/>
    </row>
    <row r="842" ht="14.25" customHeight="1">
      <c r="B842" s="101"/>
    </row>
    <row r="843" ht="14.25" customHeight="1">
      <c r="B843" s="101"/>
    </row>
    <row r="844" ht="14.25" customHeight="1">
      <c r="B844" s="101"/>
    </row>
    <row r="845" ht="14.25" customHeight="1">
      <c r="B845" s="101"/>
    </row>
    <row r="846" ht="14.25" customHeight="1">
      <c r="B846" s="101"/>
    </row>
    <row r="847" ht="14.25" customHeight="1">
      <c r="B847" s="101"/>
    </row>
    <row r="848" ht="14.25" customHeight="1">
      <c r="B848" s="101"/>
    </row>
    <row r="849" ht="14.25" customHeight="1">
      <c r="B849" s="101"/>
    </row>
    <row r="850" ht="14.25" customHeight="1">
      <c r="B850" s="101"/>
    </row>
    <row r="851" ht="14.25" customHeight="1">
      <c r="B851" s="101"/>
    </row>
    <row r="852" ht="14.25" customHeight="1">
      <c r="B852" s="101"/>
    </row>
    <row r="853" ht="14.25" customHeight="1">
      <c r="B853" s="101"/>
    </row>
    <row r="854" ht="14.25" customHeight="1">
      <c r="B854" s="101"/>
    </row>
    <row r="855" ht="14.25" customHeight="1">
      <c r="B855" s="101"/>
    </row>
    <row r="856" ht="14.25" customHeight="1">
      <c r="B856" s="101"/>
    </row>
    <row r="857" ht="14.25" customHeight="1">
      <c r="B857" s="101"/>
    </row>
    <row r="858" ht="14.25" customHeight="1">
      <c r="B858" s="101"/>
    </row>
    <row r="859" ht="14.25" customHeight="1">
      <c r="B859" s="101"/>
    </row>
    <row r="860" ht="14.25" customHeight="1">
      <c r="B860" s="101"/>
    </row>
    <row r="861" ht="14.25" customHeight="1">
      <c r="B861" s="101"/>
    </row>
    <row r="862" ht="14.25" customHeight="1">
      <c r="B862" s="101"/>
    </row>
    <row r="863" ht="14.25" customHeight="1">
      <c r="B863" s="101"/>
    </row>
    <row r="864" ht="14.25" customHeight="1">
      <c r="B864" s="101"/>
    </row>
    <row r="865" ht="14.25" customHeight="1">
      <c r="B865" s="101"/>
    </row>
    <row r="866" ht="14.25" customHeight="1">
      <c r="B866" s="101"/>
    </row>
    <row r="867" ht="14.25" customHeight="1">
      <c r="B867" s="101"/>
    </row>
    <row r="868" ht="14.25" customHeight="1">
      <c r="B868" s="101"/>
    </row>
    <row r="869" ht="14.25" customHeight="1">
      <c r="B869" s="101"/>
    </row>
    <row r="870" ht="14.25" customHeight="1">
      <c r="B870" s="101"/>
    </row>
    <row r="871" ht="14.25" customHeight="1">
      <c r="B871" s="101"/>
    </row>
    <row r="872" ht="14.25" customHeight="1">
      <c r="B872" s="101"/>
    </row>
    <row r="873" ht="14.25" customHeight="1">
      <c r="B873" s="101"/>
    </row>
    <row r="874" ht="14.25" customHeight="1">
      <c r="B874" s="101"/>
    </row>
    <row r="875" ht="14.25" customHeight="1">
      <c r="B875" s="101"/>
    </row>
    <row r="876" ht="14.25" customHeight="1">
      <c r="B876" s="101"/>
    </row>
    <row r="877" ht="14.25" customHeight="1">
      <c r="B877" s="101"/>
    </row>
    <row r="878" ht="14.25" customHeight="1">
      <c r="B878" s="101"/>
    </row>
    <row r="879" ht="14.25" customHeight="1">
      <c r="B879" s="101"/>
    </row>
    <row r="880" ht="14.25" customHeight="1">
      <c r="B880" s="101"/>
    </row>
    <row r="881" ht="14.25" customHeight="1">
      <c r="B881" s="101"/>
    </row>
    <row r="882" ht="14.25" customHeight="1">
      <c r="B882" s="101"/>
    </row>
    <row r="883" ht="14.25" customHeight="1">
      <c r="B883" s="101"/>
    </row>
    <row r="884" ht="14.25" customHeight="1">
      <c r="B884" s="101"/>
    </row>
    <row r="885" ht="14.25" customHeight="1">
      <c r="B885" s="101"/>
    </row>
    <row r="886" ht="14.25" customHeight="1">
      <c r="B886" s="101"/>
    </row>
    <row r="887" ht="14.25" customHeight="1">
      <c r="B887" s="101"/>
    </row>
    <row r="888" ht="14.25" customHeight="1">
      <c r="B888" s="101"/>
    </row>
    <row r="889" ht="14.25" customHeight="1">
      <c r="B889" s="101"/>
    </row>
    <row r="890" ht="14.25" customHeight="1">
      <c r="B890" s="101"/>
    </row>
    <row r="891" ht="14.25" customHeight="1">
      <c r="B891" s="101"/>
    </row>
    <row r="892" ht="14.25" customHeight="1">
      <c r="B892" s="101"/>
    </row>
    <row r="893" ht="14.25" customHeight="1">
      <c r="B893" s="101"/>
    </row>
    <row r="894" ht="14.25" customHeight="1">
      <c r="B894" s="101"/>
    </row>
    <row r="895" ht="14.25" customHeight="1">
      <c r="B895" s="101"/>
    </row>
    <row r="896" ht="14.25" customHeight="1">
      <c r="B896" s="101"/>
    </row>
    <row r="897" ht="14.25" customHeight="1">
      <c r="B897" s="101"/>
    </row>
    <row r="898" ht="14.25" customHeight="1">
      <c r="B898" s="101"/>
    </row>
    <row r="899" ht="14.25" customHeight="1">
      <c r="B899" s="101"/>
    </row>
    <row r="900" ht="14.25" customHeight="1">
      <c r="B900" s="101"/>
    </row>
    <row r="901" ht="14.25" customHeight="1">
      <c r="B901" s="101"/>
    </row>
    <row r="902" ht="14.25" customHeight="1">
      <c r="B902" s="101"/>
    </row>
    <row r="903" ht="14.25" customHeight="1">
      <c r="B903" s="101"/>
    </row>
    <row r="904" ht="14.25" customHeight="1">
      <c r="B904" s="101"/>
    </row>
    <row r="905" ht="14.25" customHeight="1">
      <c r="B905" s="101"/>
    </row>
    <row r="906" ht="14.25" customHeight="1">
      <c r="B906" s="101"/>
    </row>
    <row r="907" ht="14.25" customHeight="1">
      <c r="B907" s="101"/>
    </row>
    <row r="908" ht="14.25" customHeight="1">
      <c r="B908" s="101"/>
    </row>
    <row r="909" ht="14.25" customHeight="1">
      <c r="B909" s="101"/>
    </row>
    <row r="910" ht="14.25" customHeight="1">
      <c r="B910" s="101"/>
    </row>
    <row r="911" ht="14.25" customHeight="1">
      <c r="B911" s="101"/>
    </row>
    <row r="912" ht="14.25" customHeight="1">
      <c r="B912" s="101"/>
    </row>
    <row r="913" ht="14.25" customHeight="1">
      <c r="B913" s="101"/>
    </row>
    <row r="914" ht="14.25" customHeight="1">
      <c r="B914" s="101"/>
    </row>
    <row r="915" ht="14.25" customHeight="1">
      <c r="B915" s="101"/>
    </row>
    <row r="916" ht="14.25" customHeight="1">
      <c r="B916" s="101"/>
    </row>
    <row r="917" ht="14.25" customHeight="1">
      <c r="B917" s="101"/>
    </row>
    <row r="918" ht="14.25" customHeight="1">
      <c r="B918" s="101"/>
    </row>
    <row r="919" ht="14.25" customHeight="1">
      <c r="B919" s="101"/>
    </row>
    <row r="920" ht="14.25" customHeight="1">
      <c r="B920" s="101"/>
    </row>
    <row r="921" ht="14.25" customHeight="1">
      <c r="B921" s="101"/>
    </row>
    <row r="922" ht="14.25" customHeight="1">
      <c r="B922" s="101"/>
    </row>
    <row r="923" ht="14.25" customHeight="1">
      <c r="B923" s="101"/>
    </row>
    <row r="924" ht="14.25" customHeight="1">
      <c r="B924" s="101"/>
    </row>
    <row r="925" ht="14.25" customHeight="1">
      <c r="B925" s="101"/>
    </row>
    <row r="926" ht="14.25" customHeight="1">
      <c r="B926" s="101"/>
    </row>
    <row r="927" ht="14.25" customHeight="1">
      <c r="B927" s="101"/>
    </row>
    <row r="928" ht="14.25" customHeight="1">
      <c r="B928" s="101"/>
    </row>
    <row r="929" ht="14.25" customHeight="1">
      <c r="B929" s="101"/>
    </row>
    <row r="930" ht="14.25" customHeight="1">
      <c r="B930" s="101"/>
    </row>
    <row r="931" ht="14.25" customHeight="1">
      <c r="B931" s="101"/>
    </row>
    <row r="932" ht="14.25" customHeight="1">
      <c r="B932" s="101"/>
    </row>
    <row r="933" ht="14.25" customHeight="1">
      <c r="B933" s="101"/>
    </row>
    <row r="934" ht="14.25" customHeight="1">
      <c r="B934" s="101"/>
    </row>
    <row r="935" ht="14.25" customHeight="1">
      <c r="B935" s="101"/>
    </row>
    <row r="936" ht="14.25" customHeight="1">
      <c r="B936" s="101"/>
    </row>
    <row r="937" ht="14.25" customHeight="1">
      <c r="B937" s="101"/>
    </row>
    <row r="938" ht="14.25" customHeight="1">
      <c r="B938" s="101"/>
    </row>
    <row r="939" ht="14.25" customHeight="1">
      <c r="B939" s="101"/>
    </row>
    <row r="940" ht="14.25" customHeight="1">
      <c r="B940" s="101"/>
    </row>
    <row r="941" ht="14.25" customHeight="1">
      <c r="B941" s="101"/>
    </row>
    <row r="942" ht="14.25" customHeight="1">
      <c r="B942" s="101"/>
    </row>
    <row r="943" ht="14.25" customHeight="1">
      <c r="B943" s="101"/>
    </row>
    <row r="944" ht="14.25" customHeight="1">
      <c r="B944" s="101"/>
    </row>
    <row r="945" ht="14.25" customHeight="1">
      <c r="B945" s="101"/>
    </row>
    <row r="946" ht="14.25" customHeight="1">
      <c r="B946" s="101"/>
    </row>
    <row r="947" ht="14.25" customHeight="1">
      <c r="B947" s="101"/>
    </row>
    <row r="948" ht="14.25" customHeight="1">
      <c r="B948" s="101"/>
    </row>
    <row r="949" ht="14.25" customHeight="1">
      <c r="B949" s="101"/>
    </row>
    <row r="950" ht="14.25" customHeight="1">
      <c r="B950" s="101"/>
    </row>
    <row r="951" ht="14.25" customHeight="1">
      <c r="B951" s="101"/>
    </row>
    <row r="952" ht="14.25" customHeight="1">
      <c r="B952" s="101"/>
    </row>
    <row r="953" ht="14.25" customHeight="1">
      <c r="B953" s="101"/>
    </row>
    <row r="954" ht="14.25" customHeight="1">
      <c r="B954" s="101"/>
    </row>
    <row r="955" ht="14.25" customHeight="1">
      <c r="B955" s="101"/>
    </row>
    <row r="956" ht="14.25" customHeight="1">
      <c r="B956" s="101"/>
    </row>
    <row r="957" ht="14.25" customHeight="1">
      <c r="B957" s="101"/>
    </row>
    <row r="958" ht="14.25" customHeight="1">
      <c r="B958" s="101"/>
    </row>
    <row r="959" ht="14.25" customHeight="1">
      <c r="B959" s="101"/>
    </row>
    <row r="960" ht="14.25" customHeight="1">
      <c r="B960" s="101"/>
    </row>
    <row r="961" ht="14.25" customHeight="1">
      <c r="B961" s="101"/>
    </row>
    <row r="962" ht="14.25" customHeight="1">
      <c r="B962" s="101"/>
    </row>
    <row r="963" ht="14.25" customHeight="1">
      <c r="B963" s="101"/>
    </row>
    <row r="964" ht="14.25" customHeight="1">
      <c r="B964" s="101"/>
    </row>
    <row r="965" ht="14.25" customHeight="1">
      <c r="B965" s="101"/>
    </row>
    <row r="966" ht="14.25" customHeight="1">
      <c r="B966" s="101"/>
    </row>
    <row r="967" ht="14.25" customHeight="1">
      <c r="B967" s="101"/>
    </row>
    <row r="968" ht="14.25" customHeight="1">
      <c r="B968" s="101"/>
    </row>
    <row r="969" ht="14.25" customHeight="1">
      <c r="B969" s="101"/>
    </row>
    <row r="970" ht="14.25" customHeight="1">
      <c r="B970" s="101"/>
    </row>
    <row r="971" ht="14.25" customHeight="1">
      <c r="B971" s="101"/>
    </row>
    <row r="972" ht="14.25" customHeight="1">
      <c r="B972" s="101"/>
    </row>
    <row r="973" ht="14.25" customHeight="1">
      <c r="B973" s="101"/>
    </row>
    <row r="974" ht="14.25" customHeight="1">
      <c r="B974" s="101"/>
    </row>
    <row r="975" ht="14.25" customHeight="1">
      <c r="B975" s="101"/>
    </row>
    <row r="976" ht="14.25" customHeight="1">
      <c r="B976" s="101"/>
    </row>
    <row r="977" ht="14.25" customHeight="1">
      <c r="B977" s="101"/>
    </row>
    <row r="978" ht="14.25" customHeight="1">
      <c r="B978" s="101"/>
    </row>
    <row r="979" ht="14.25" customHeight="1">
      <c r="B979" s="101"/>
    </row>
    <row r="980" ht="14.25" customHeight="1">
      <c r="B980" s="101"/>
    </row>
    <row r="981" ht="14.25" customHeight="1">
      <c r="B981" s="101"/>
    </row>
    <row r="982" ht="14.25" customHeight="1">
      <c r="B982" s="101"/>
    </row>
    <row r="983" ht="14.25" customHeight="1">
      <c r="B983" s="101"/>
    </row>
    <row r="984" ht="14.25" customHeight="1">
      <c r="B984" s="101"/>
    </row>
    <row r="985" ht="14.25" customHeight="1">
      <c r="B985" s="101"/>
    </row>
    <row r="986" ht="14.25" customHeight="1">
      <c r="B986" s="101"/>
    </row>
    <row r="987" ht="14.25" customHeight="1">
      <c r="B987" s="101"/>
    </row>
    <row r="988" ht="14.25" customHeight="1">
      <c r="B988" s="101"/>
    </row>
    <row r="989" ht="14.25" customHeight="1">
      <c r="B989" s="101"/>
    </row>
    <row r="990" ht="14.25" customHeight="1">
      <c r="B990" s="101"/>
    </row>
    <row r="991" ht="14.25" customHeight="1">
      <c r="B991" s="101"/>
    </row>
    <row r="992" ht="14.25" customHeight="1">
      <c r="B992" s="101"/>
    </row>
    <row r="993" ht="14.25" customHeight="1">
      <c r="B993" s="101"/>
    </row>
    <row r="994" ht="14.25" customHeight="1">
      <c r="B994" s="101"/>
    </row>
    <row r="995" ht="14.25" customHeight="1">
      <c r="B995" s="101"/>
    </row>
    <row r="996" ht="14.25" customHeight="1">
      <c r="B996" s="101"/>
    </row>
    <row r="997" ht="14.25" customHeight="1">
      <c r="B997" s="101"/>
    </row>
    <row r="998" ht="14.25" customHeight="1">
      <c r="B998" s="101"/>
    </row>
    <row r="999" ht="14.25" customHeight="1">
      <c r="B999" s="101"/>
    </row>
    <row r="1000" ht="14.25" customHeight="1">
      <c r="B1000" s="101"/>
    </row>
    <row r="1001" ht="14.25" customHeight="1">
      <c r="B1001" s="101"/>
    </row>
    <row r="1002" ht="14.25" customHeight="1">
      <c r="B1002" s="101"/>
    </row>
    <row r="1003" ht="14.25" customHeight="1">
      <c r="B1003" s="101"/>
    </row>
    <row r="1004" ht="14.25" customHeight="1">
      <c r="B1004" s="101"/>
    </row>
    <row r="1005" ht="14.25" customHeight="1">
      <c r="B1005" s="101"/>
    </row>
    <row r="1006" ht="14.25" customHeight="1">
      <c r="B1006" s="101"/>
    </row>
    <row r="1007" ht="14.25" customHeight="1">
      <c r="B1007" s="101"/>
    </row>
    <row r="1008" ht="14.25" customHeight="1">
      <c r="B1008" s="101"/>
    </row>
    <row r="1009" ht="14.25" customHeight="1">
      <c r="B1009" s="101"/>
    </row>
    <row r="1010" ht="14.25" customHeight="1">
      <c r="B1010" s="101"/>
    </row>
    <row r="1011" ht="14.25" customHeight="1">
      <c r="B1011" s="101"/>
    </row>
    <row r="1012" ht="14.25" customHeight="1">
      <c r="B1012" s="101"/>
    </row>
    <row r="1013" ht="14.25" customHeight="1">
      <c r="B1013" s="101"/>
    </row>
    <row r="1014" ht="14.25" customHeight="1">
      <c r="B1014" s="101"/>
    </row>
    <row r="1015" ht="14.25" customHeight="1">
      <c r="B1015" s="101"/>
    </row>
    <row r="1016" ht="14.25" customHeight="1">
      <c r="B1016" s="101"/>
    </row>
    <row r="1017" ht="14.25" customHeight="1">
      <c r="B1017" s="101"/>
    </row>
    <row r="1018" ht="14.25" customHeight="1">
      <c r="B1018" s="101"/>
    </row>
    <row r="1019" ht="14.25" customHeight="1">
      <c r="B1019" s="101"/>
    </row>
    <row r="1020" ht="14.25" customHeight="1">
      <c r="B1020" s="101"/>
    </row>
    <row r="1021" ht="14.25" customHeight="1">
      <c r="B1021" s="101"/>
    </row>
    <row r="1022" ht="14.25" customHeight="1">
      <c r="B1022" s="101"/>
    </row>
    <row r="1023" ht="14.25" customHeight="1">
      <c r="B1023" s="101"/>
    </row>
    <row r="1024" ht="14.25" customHeight="1">
      <c r="B1024" s="101"/>
    </row>
    <row r="1025" ht="14.25" customHeight="1">
      <c r="B1025" s="101"/>
    </row>
    <row r="1026" ht="14.25" customHeight="1">
      <c r="B1026" s="101"/>
    </row>
    <row r="1027" ht="14.25" customHeight="1">
      <c r="B1027" s="101"/>
    </row>
    <row r="1028" ht="14.25" customHeight="1">
      <c r="B1028" s="101"/>
    </row>
    <row r="1029" ht="14.25" customHeight="1">
      <c r="B1029" s="101"/>
    </row>
    <row r="1030" ht="14.25" customHeight="1">
      <c r="B1030" s="101"/>
    </row>
    <row r="1031" ht="14.25" customHeight="1">
      <c r="B1031" s="101"/>
    </row>
    <row r="1032" ht="14.25" customHeight="1">
      <c r="B1032" s="101"/>
    </row>
    <row r="1033" ht="14.25" customHeight="1">
      <c r="B1033" s="101"/>
    </row>
    <row r="1034" ht="14.25" customHeight="1">
      <c r="B1034" s="101"/>
    </row>
    <row r="1035" ht="14.25" customHeight="1">
      <c r="B1035" s="101"/>
    </row>
    <row r="1036" ht="14.25" customHeight="1">
      <c r="B1036" s="101"/>
    </row>
    <row r="1037" ht="14.25" customHeight="1">
      <c r="B1037" s="101"/>
    </row>
    <row r="1038" ht="14.25" customHeight="1">
      <c r="B1038" s="101"/>
    </row>
    <row r="1039" ht="14.25" customHeight="1">
      <c r="B1039" s="101"/>
    </row>
    <row r="1040" ht="14.25" customHeight="1">
      <c r="B1040" s="101"/>
    </row>
    <row r="1041" ht="14.25" customHeight="1">
      <c r="B1041" s="101"/>
    </row>
    <row r="1042" ht="14.25" customHeight="1">
      <c r="B1042" s="101"/>
    </row>
    <row r="1043" ht="14.25" customHeight="1">
      <c r="B1043" s="101"/>
    </row>
    <row r="1044" ht="14.25" customHeight="1">
      <c r="B1044" s="101"/>
    </row>
    <row r="1045" ht="14.25" customHeight="1">
      <c r="B1045" s="101"/>
    </row>
    <row r="1046" ht="14.25" customHeight="1">
      <c r="B1046" s="101"/>
    </row>
    <row r="1047" ht="14.25" customHeight="1">
      <c r="B1047" s="101"/>
    </row>
    <row r="1048" ht="14.25" customHeight="1">
      <c r="B1048" s="101"/>
    </row>
    <row r="1049" ht="14.25" customHeight="1">
      <c r="B1049" s="101"/>
    </row>
    <row r="1050" ht="14.25" customHeight="1">
      <c r="B1050" s="101"/>
    </row>
    <row r="1051" ht="14.25" customHeight="1">
      <c r="B1051" s="101"/>
    </row>
    <row r="1052" ht="14.25" customHeight="1">
      <c r="B1052" s="101"/>
    </row>
    <row r="1053" ht="14.25" customHeight="1">
      <c r="B1053" s="101"/>
    </row>
    <row r="1054" ht="14.25" customHeight="1">
      <c r="B1054" s="101"/>
    </row>
    <row r="1055" ht="14.25" customHeight="1">
      <c r="B1055" s="101"/>
    </row>
    <row r="1056" ht="14.25" customHeight="1">
      <c r="B1056" s="101"/>
    </row>
    <row r="1057" ht="14.25" customHeight="1">
      <c r="B1057" s="101"/>
    </row>
    <row r="1058" ht="14.25" customHeight="1">
      <c r="B1058" s="101"/>
    </row>
    <row r="1059" ht="14.25" customHeight="1">
      <c r="B1059" s="101"/>
    </row>
    <row r="1060" ht="14.25" customHeight="1">
      <c r="B1060" s="101"/>
    </row>
    <row r="1061" ht="14.25" customHeight="1">
      <c r="B1061" s="101"/>
    </row>
    <row r="1062" ht="14.25" customHeight="1">
      <c r="B1062" s="101"/>
    </row>
    <row r="1063" ht="14.25" customHeight="1">
      <c r="B1063" s="101"/>
    </row>
    <row r="1064" ht="14.25" customHeight="1">
      <c r="B1064" s="101"/>
    </row>
    <row r="1065" ht="14.25" customHeight="1">
      <c r="B1065" s="101"/>
    </row>
    <row r="1066" ht="14.25" customHeight="1">
      <c r="B1066" s="101"/>
    </row>
    <row r="1067" ht="14.25" customHeight="1">
      <c r="B1067" s="101"/>
    </row>
    <row r="1068" ht="14.25" customHeight="1">
      <c r="B1068" s="101"/>
    </row>
    <row r="1069" ht="14.25" customHeight="1">
      <c r="B1069" s="101"/>
    </row>
    <row r="1070" ht="14.25" customHeight="1">
      <c r="B1070" s="101"/>
    </row>
    <row r="1071" ht="14.25" customHeight="1">
      <c r="B1071" s="101"/>
    </row>
    <row r="1072" ht="14.25" customHeight="1">
      <c r="B1072" s="101"/>
    </row>
    <row r="1073" ht="14.25" customHeight="1">
      <c r="B1073" s="101"/>
    </row>
    <row r="1074" ht="14.25" customHeight="1">
      <c r="B1074" s="101"/>
    </row>
    <row r="1075" ht="14.25" customHeight="1">
      <c r="B1075" s="101"/>
    </row>
    <row r="1076" ht="14.25" customHeight="1">
      <c r="B1076" s="101"/>
    </row>
    <row r="1077" ht="14.25" customHeight="1">
      <c r="B1077" s="101"/>
    </row>
    <row r="1078" ht="14.25" customHeight="1">
      <c r="B1078" s="101"/>
    </row>
    <row r="1079" ht="14.25" customHeight="1">
      <c r="B1079" s="101"/>
    </row>
    <row r="1080" ht="14.25" customHeight="1">
      <c r="B1080" s="101"/>
    </row>
    <row r="1081" ht="14.25" customHeight="1">
      <c r="B1081" s="101"/>
    </row>
    <row r="1082" ht="14.25" customHeight="1">
      <c r="B1082" s="101"/>
    </row>
    <row r="1083" ht="14.25" customHeight="1">
      <c r="B1083" s="101"/>
    </row>
    <row r="1084" ht="14.25" customHeight="1">
      <c r="B1084" s="101"/>
    </row>
    <row r="1085" ht="14.25" customHeight="1">
      <c r="B1085" s="101"/>
    </row>
    <row r="1086" ht="14.25" customHeight="1">
      <c r="B1086" s="101"/>
    </row>
    <row r="1087" ht="14.25" customHeight="1">
      <c r="B1087" s="101"/>
    </row>
    <row r="1088" ht="14.25" customHeight="1">
      <c r="B1088" s="101"/>
    </row>
    <row r="1089" ht="14.25" customHeight="1">
      <c r="B1089" s="101"/>
    </row>
    <row r="1090" ht="14.25" customHeight="1">
      <c r="B1090" s="101"/>
    </row>
    <row r="1091" ht="14.25" customHeight="1">
      <c r="B1091" s="101"/>
    </row>
    <row r="1092" ht="14.25" customHeight="1">
      <c r="B1092" s="101"/>
    </row>
    <row r="1093" ht="14.25" customHeight="1">
      <c r="B1093" s="101"/>
    </row>
    <row r="1094" ht="14.25" customHeight="1">
      <c r="B1094" s="101"/>
    </row>
    <row r="1095" ht="14.25" customHeight="1">
      <c r="B1095" s="101"/>
    </row>
    <row r="1096" ht="14.25" customHeight="1">
      <c r="B1096" s="101"/>
    </row>
    <row r="1097" ht="14.25" customHeight="1">
      <c r="B1097" s="101"/>
    </row>
    <row r="1098" ht="14.25" customHeight="1">
      <c r="B1098" s="101"/>
    </row>
    <row r="1099" ht="14.25" customHeight="1">
      <c r="B1099" s="101"/>
    </row>
    <row r="1100" ht="14.25" customHeight="1">
      <c r="B1100" s="101"/>
    </row>
    <row r="1101" ht="14.25" customHeight="1">
      <c r="B1101" s="101"/>
    </row>
    <row r="1102" ht="14.25" customHeight="1">
      <c r="B1102" s="101"/>
    </row>
    <row r="1103" ht="14.25" customHeight="1">
      <c r="B1103" s="101"/>
    </row>
    <row r="1104" ht="14.25" customHeight="1">
      <c r="B1104" s="101"/>
    </row>
    <row r="1105" ht="14.25" customHeight="1">
      <c r="B1105" s="101"/>
    </row>
    <row r="1106" ht="14.25" customHeight="1">
      <c r="B1106" s="101"/>
    </row>
    <row r="1107" ht="14.25" customHeight="1">
      <c r="B1107" s="101"/>
    </row>
    <row r="1108" ht="14.25" customHeight="1">
      <c r="B1108" s="101"/>
    </row>
    <row r="1109" ht="14.25" customHeight="1">
      <c r="B1109" s="101"/>
    </row>
    <row r="1110" ht="14.25" customHeight="1">
      <c r="B1110" s="101"/>
    </row>
    <row r="1111" ht="14.25" customHeight="1">
      <c r="B1111" s="101"/>
    </row>
    <row r="1112" ht="14.25" customHeight="1">
      <c r="B1112" s="101"/>
    </row>
    <row r="1113" ht="14.25" customHeight="1">
      <c r="B1113" s="101"/>
    </row>
    <row r="1114" ht="14.25" customHeight="1">
      <c r="B1114" s="101"/>
    </row>
    <row r="1115" ht="14.25" customHeight="1">
      <c r="B1115" s="101"/>
    </row>
    <row r="1116" ht="14.25" customHeight="1">
      <c r="B1116" s="101"/>
    </row>
    <row r="1117" ht="14.25" customHeight="1">
      <c r="B1117" s="101"/>
    </row>
    <row r="1118" ht="14.25" customHeight="1">
      <c r="B1118" s="101"/>
    </row>
    <row r="1119" ht="14.25" customHeight="1">
      <c r="B1119" s="101"/>
    </row>
    <row r="1120" ht="14.25" customHeight="1">
      <c r="B1120" s="101"/>
    </row>
    <row r="1121" ht="14.25" customHeight="1">
      <c r="B1121" s="101"/>
    </row>
    <row r="1122" ht="14.25" customHeight="1">
      <c r="B1122" s="101"/>
    </row>
    <row r="1123" ht="14.25" customHeight="1">
      <c r="B1123" s="101"/>
    </row>
    <row r="1124" ht="14.25" customHeight="1">
      <c r="B1124" s="101"/>
    </row>
    <row r="1125" ht="14.25" customHeight="1">
      <c r="B1125" s="101"/>
    </row>
    <row r="1126" ht="14.25" customHeight="1">
      <c r="B1126" s="101"/>
    </row>
    <row r="1127" ht="14.25" customHeight="1">
      <c r="B1127" s="101"/>
    </row>
    <row r="1128" ht="14.25" customHeight="1">
      <c r="B1128" s="101"/>
    </row>
    <row r="1129" ht="14.25" customHeight="1">
      <c r="B1129" s="101"/>
    </row>
    <row r="1130" ht="14.25" customHeight="1">
      <c r="B1130" s="101"/>
    </row>
    <row r="1131" ht="14.25" customHeight="1">
      <c r="B1131" s="101"/>
    </row>
    <row r="1132" ht="14.25" customHeight="1">
      <c r="B1132" s="101"/>
    </row>
    <row r="1133" ht="14.25" customHeight="1">
      <c r="B1133" s="101"/>
    </row>
    <row r="1134" ht="14.25" customHeight="1">
      <c r="B1134" s="101"/>
    </row>
    <row r="1135" ht="14.25" customHeight="1">
      <c r="B1135" s="101"/>
    </row>
    <row r="1136" ht="14.25" customHeight="1">
      <c r="B1136" s="101"/>
    </row>
    <row r="1137" ht="14.25" customHeight="1">
      <c r="B1137" s="101"/>
    </row>
    <row r="1138" ht="14.25" customHeight="1">
      <c r="B1138" s="101"/>
    </row>
    <row r="1139" ht="14.25" customHeight="1">
      <c r="B1139" s="101"/>
    </row>
    <row r="1140" ht="14.25" customHeight="1">
      <c r="B1140" s="101"/>
    </row>
    <row r="1141" ht="14.25" customHeight="1">
      <c r="B1141" s="101"/>
    </row>
    <row r="1142" ht="14.25" customHeight="1">
      <c r="B1142" s="101"/>
    </row>
    <row r="1143" ht="14.25" customHeight="1">
      <c r="B1143" s="101"/>
    </row>
    <row r="1144" ht="14.25" customHeight="1">
      <c r="B1144" s="101"/>
    </row>
    <row r="1145" ht="14.25" customHeight="1">
      <c r="B1145" s="101"/>
    </row>
    <row r="1146" ht="14.25" customHeight="1">
      <c r="B1146" s="101"/>
    </row>
    <row r="1147" ht="14.25" customHeight="1">
      <c r="B1147" s="101"/>
    </row>
    <row r="1148" ht="14.25" customHeight="1">
      <c r="B1148" s="101"/>
    </row>
    <row r="1149" ht="14.25" customHeight="1">
      <c r="B1149" s="101"/>
    </row>
    <row r="1150" ht="14.25" customHeight="1">
      <c r="B1150" s="101"/>
    </row>
    <row r="1151" ht="14.25" customHeight="1">
      <c r="B1151" s="101"/>
    </row>
    <row r="1152" ht="14.25" customHeight="1">
      <c r="B1152" s="101"/>
    </row>
    <row r="1153" ht="14.25" customHeight="1">
      <c r="B1153" s="101"/>
    </row>
    <row r="1154" ht="14.25" customHeight="1">
      <c r="B1154" s="101"/>
    </row>
    <row r="1155" ht="14.25" customHeight="1">
      <c r="B1155" s="101"/>
    </row>
    <row r="1156" ht="14.25" customHeight="1">
      <c r="B1156" s="101"/>
    </row>
    <row r="1157" ht="14.25" customHeight="1">
      <c r="B1157" s="101"/>
    </row>
    <row r="1158" ht="14.25" customHeight="1">
      <c r="B1158" s="101"/>
    </row>
    <row r="1159" ht="14.25" customHeight="1">
      <c r="B1159" s="101"/>
    </row>
    <row r="1160" ht="14.25" customHeight="1">
      <c r="B1160" s="101"/>
    </row>
    <row r="1161" ht="14.25" customHeight="1">
      <c r="B1161" s="101"/>
    </row>
    <row r="1162" ht="14.25" customHeight="1">
      <c r="B1162" s="101"/>
    </row>
    <row r="1163" ht="14.25" customHeight="1">
      <c r="B1163" s="101"/>
    </row>
    <row r="1164" ht="14.25" customHeight="1">
      <c r="B1164" s="101"/>
    </row>
    <row r="1165" ht="14.25" customHeight="1">
      <c r="B1165" s="101"/>
    </row>
    <row r="1166" ht="14.25" customHeight="1">
      <c r="B1166" s="101"/>
    </row>
    <row r="1167" ht="14.25" customHeight="1">
      <c r="B1167" s="101"/>
    </row>
    <row r="1168" ht="14.25" customHeight="1">
      <c r="B1168" s="101"/>
    </row>
    <row r="1169" ht="14.25" customHeight="1">
      <c r="B1169" s="101"/>
    </row>
    <row r="1170" ht="14.25" customHeight="1">
      <c r="B1170" s="101"/>
    </row>
    <row r="1171" ht="14.25" customHeight="1">
      <c r="B1171" s="101"/>
    </row>
    <row r="1172" ht="14.25" customHeight="1">
      <c r="B1172" s="101"/>
    </row>
    <row r="1173" ht="14.25" customHeight="1">
      <c r="B1173" s="101"/>
    </row>
    <row r="1174" ht="14.25" customHeight="1">
      <c r="B1174" s="101"/>
    </row>
    <row r="1175" ht="14.25" customHeight="1">
      <c r="B1175" s="101"/>
    </row>
    <row r="1176" ht="14.25" customHeight="1">
      <c r="B1176" s="101"/>
    </row>
    <row r="1177" ht="14.25" customHeight="1">
      <c r="B1177" s="101"/>
    </row>
    <row r="1178" ht="14.25" customHeight="1">
      <c r="B1178" s="101"/>
    </row>
    <row r="1179" ht="14.25" customHeight="1">
      <c r="B1179" s="101"/>
    </row>
    <row r="1180" ht="14.25" customHeight="1">
      <c r="B1180" s="101"/>
    </row>
    <row r="1181" ht="14.25" customHeight="1">
      <c r="B1181" s="101"/>
    </row>
    <row r="1182" ht="14.25" customHeight="1">
      <c r="B1182" s="101"/>
    </row>
    <row r="1183" ht="14.25" customHeight="1">
      <c r="B1183" s="101"/>
    </row>
    <row r="1184" ht="14.25" customHeight="1">
      <c r="B1184" s="101"/>
    </row>
    <row r="1185" ht="14.25" customHeight="1">
      <c r="B1185" s="101"/>
    </row>
    <row r="1186" ht="14.25" customHeight="1">
      <c r="B1186" s="101"/>
    </row>
    <row r="1187" ht="14.25" customHeight="1">
      <c r="B1187" s="101"/>
    </row>
    <row r="1188" ht="14.25" customHeight="1">
      <c r="B1188" s="101"/>
    </row>
    <row r="1189" ht="14.25" customHeight="1">
      <c r="B1189" s="101"/>
    </row>
    <row r="1190" ht="14.25" customHeight="1">
      <c r="B1190" s="101"/>
    </row>
    <row r="1191" ht="14.25" customHeight="1">
      <c r="B1191" s="101"/>
    </row>
    <row r="1192" ht="14.25" customHeight="1">
      <c r="B1192" s="101"/>
    </row>
    <row r="1193" ht="14.25" customHeight="1">
      <c r="B1193" s="101"/>
    </row>
    <row r="1194" ht="14.25" customHeight="1">
      <c r="B1194" s="101"/>
    </row>
    <row r="1195" ht="14.25" customHeight="1">
      <c r="B1195" s="101"/>
    </row>
    <row r="1196" ht="14.25" customHeight="1">
      <c r="B1196" s="101"/>
    </row>
    <row r="1197" ht="14.25" customHeight="1">
      <c r="B1197" s="101"/>
    </row>
    <row r="1198" ht="14.25" customHeight="1">
      <c r="B1198" s="101"/>
    </row>
    <row r="1199" ht="14.25" customHeight="1">
      <c r="B1199" s="101"/>
    </row>
    <row r="1200" ht="14.25" customHeight="1">
      <c r="B1200" s="101"/>
    </row>
    <row r="1201" ht="14.25" customHeight="1">
      <c r="B1201" s="101"/>
    </row>
    <row r="1202" ht="14.25" customHeight="1">
      <c r="B1202" s="101"/>
    </row>
    <row r="1203" ht="14.25" customHeight="1">
      <c r="B1203" s="101"/>
    </row>
    <row r="1204" ht="14.25" customHeight="1">
      <c r="B1204" s="101"/>
    </row>
    <row r="1205" ht="14.25" customHeight="1">
      <c r="B1205" s="101"/>
    </row>
    <row r="1206" ht="14.25" customHeight="1">
      <c r="B1206" s="101"/>
    </row>
    <row r="1207" ht="14.25" customHeight="1">
      <c r="B1207" s="101"/>
    </row>
    <row r="1208" ht="14.25" customHeight="1">
      <c r="B1208" s="101"/>
    </row>
    <row r="1209" ht="14.25" customHeight="1">
      <c r="B1209" s="101"/>
    </row>
    <row r="1210" ht="14.25" customHeight="1">
      <c r="B1210" s="101"/>
    </row>
    <row r="1211" ht="14.25" customHeight="1">
      <c r="B1211" s="101"/>
    </row>
    <row r="1212" ht="14.25" customHeight="1">
      <c r="B1212" s="101"/>
    </row>
    <row r="1213" ht="14.25" customHeight="1">
      <c r="B1213" s="101"/>
    </row>
    <row r="1214" ht="14.25" customHeight="1">
      <c r="B1214" s="101"/>
    </row>
    <row r="1215" ht="14.25" customHeight="1">
      <c r="B1215" s="101"/>
    </row>
    <row r="1216" ht="14.25" customHeight="1">
      <c r="B1216" s="101"/>
    </row>
    <row r="1217" ht="14.25" customHeight="1">
      <c r="B1217" s="101"/>
    </row>
    <row r="1218" ht="14.25" customHeight="1">
      <c r="B1218" s="101"/>
    </row>
    <row r="1219" ht="14.25" customHeight="1">
      <c r="B1219" s="101"/>
    </row>
    <row r="1220" ht="14.25" customHeight="1">
      <c r="B1220" s="101"/>
    </row>
    <row r="1221" ht="14.25" customHeight="1">
      <c r="B1221" s="101"/>
    </row>
    <row r="1222" ht="14.25" customHeight="1">
      <c r="B1222" s="101"/>
    </row>
    <row r="1223" ht="14.25" customHeight="1">
      <c r="B1223" s="101"/>
    </row>
    <row r="1224" ht="14.25" customHeight="1">
      <c r="B1224" s="101"/>
    </row>
    <row r="1225" ht="14.25" customHeight="1">
      <c r="B1225" s="101"/>
    </row>
    <row r="1226" ht="14.25" customHeight="1">
      <c r="B1226" s="101"/>
    </row>
    <row r="1227" ht="14.25" customHeight="1">
      <c r="B1227" s="101"/>
    </row>
    <row r="1228" ht="14.25" customHeight="1">
      <c r="B1228" s="101"/>
    </row>
    <row r="1229" ht="14.25" customHeight="1">
      <c r="B1229" s="101"/>
    </row>
    <row r="1230" ht="14.25" customHeight="1">
      <c r="B1230" s="101"/>
    </row>
    <row r="1231" ht="14.25" customHeight="1">
      <c r="B1231" s="101"/>
    </row>
    <row r="1232" ht="14.25" customHeight="1">
      <c r="B1232" s="101"/>
    </row>
    <row r="1233" ht="14.25" customHeight="1">
      <c r="B1233" s="101"/>
    </row>
    <row r="1234" ht="14.25" customHeight="1">
      <c r="B1234" s="101"/>
    </row>
    <row r="1235" ht="14.25" customHeight="1">
      <c r="B1235" s="101"/>
    </row>
    <row r="1236" ht="14.25" customHeight="1">
      <c r="B1236" s="101"/>
    </row>
    <row r="1237" ht="14.25" customHeight="1">
      <c r="B1237" s="101"/>
    </row>
    <row r="1238" ht="14.25" customHeight="1">
      <c r="B1238" s="101"/>
    </row>
    <row r="1239" ht="14.25" customHeight="1">
      <c r="B1239" s="101"/>
    </row>
    <row r="1240" ht="14.25" customHeight="1">
      <c r="B1240" s="101"/>
    </row>
    <row r="1241" ht="14.25" customHeight="1">
      <c r="B1241" s="101"/>
    </row>
    <row r="1242" ht="14.25" customHeight="1">
      <c r="B1242" s="101"/>
    </row>
    <row r="1243" ht="14.25" customHeight="1">
      <c r="B1243" s="101"/>
    </row>
    <row r="1244" ht="14.25" customHeight="1">
      <c r="B1244" s="101"/>
    </row>
    <row r="1245" ht="14.25" customHeight="1">
      <c r="B1245" s="101"/>
    </row>
    <row r="1246" ht="14.25" customHeight="1">
      <c r="B1246" s="101"/>
    </row>
    <row r="1247" ht="14.25" customHeight="1">
      <c r="B1247" s="101"/>
    </row>
    <row r="1248" ht="14.25" customHeight="1">
      <c r="B1248" s="101"/>
    </row>
    <row r="1249" ht="14.25" customHeight="1">
      <c r="B1249" s="101"/>
    </row>
    <row r="1250" ht="14.25" customHeight="1">
      <c r="B1250" s="101"/>
    </row>
    <row r="1251" ht="14.25" customHeight="1">
      <c r="B1251" s="101"/>
    </row>
    <row r="1252" ht="14.25" customHeight="1">
      <c r="B1252" s="101"/>
    </row>
    <row r="1253" ht="14.25" customHeight="1">
      <c r="B1253" s="101"/>
    </row>
    <row r="1254" ht="14.25" customHeight="1">
      <c r="B1254" s="101"/>
    </row>
    <row r="1255" ht="14.25" customHeight="1">
      <c r="B1255" s="101"/>
    </row>
    <row r="1256" ht="14.25" customHeight="1">
      <c r="B1256" s="101"/>
    </row>
    <row r="1257" ht="14.25" customHeight="1">
      <c r="B1257" s="101"/>
    </row>
    <row r="1258" ht="14.25" customHeight="1">
      <c r="B1258" s="101"/>
    </row>
    <row r="1259" ht="14.25" customHeight="1">
      <c r="B1259" s="101"/>
    </row>
    <row r="1260" ht="14.25" customHeight="1">
      <c r="B1260" s="101"/>
    </row>
    <row r="1261" ht="14.25" customHeight="1">
      <c r="B1261" s="101"/>
    </row>
    <row r="1262" ht="14.25" customHeight="1">
      <c r="B1262" s="101"/>
    </row>
    <row r="1263" ht="14.25" customHeight="1">
      <c r="B1263" s="101"/>
    </row>
    <row r="1264" ht="14.25" customHeight="1">
      <c r="B1264" s="101"/>
    </row>
    <row r="1265" ht="14.25" customHeight="1">
      <c r="B1265" s="101"/>
    </row>
    <row r="1266" ht="14.25" customHeight="1">
      <c r="B1266" s="101"/>
    </row>
    <row r="1267" ht="14.25" customHeight="1">
      <c r="B1267" s="101"/>
    </row>
    <row r="1268" ht="14.25" customHeight="1">
      <c r="B1268" s="101"/>
    </row>
    <row r="1269" ht="14.25" customHeight="1">
      <c r="B1269" s="101"/>
    </row>
    <row r="1270" ht="14.25" customHeight="1">
      <c r="B1270" s="101"/>
    </row>
    <row r="1271" ht="14.25" customHeight="1">
      <c r="B1271" s="101"/>
    </row>
    <row r="1272" ht="14.25" customHeight="1">
      <c r="B1272" s="101"/>
    </row>
    <row r="1273" ht="14.25" customHeight="1">
      <c r="B1273" s="101"/>
    </row>
    <row r="1274" ht="14.25" customHeight="1">
      <c r="B1274" s="101"/>
    </row>
    <row r="1275" ht="14.25" customHeight="1">
      <c r="B1275" s="101"/>
    </row>
    <row r="1276" ht="14.25" customHeight="1">
      <c r="B1276" s="101"/>
    </row>
    <row r="1277" ht="14.25" customHeight="1">
      <c r="B1277" s="101"/>
    </row>
    <row r="1278" ht="14.25" customHeight="1">
      <c r="B1278" s="101"/>
    </row>
    <row r="1279" ht="14.25" customHeight="1">
      <c r="B1279" s="101"/>
    </row>
    <row r="1280" ht="14.25" customHeight="1">
      <c r="B1280" s="101"/>
    </row>
    <row r="1281" ht="14.25" customHeight="1">
      <c r="B1281" s="101"/>
    </row>
    <row r="1282" ht="14.25" customHeight="1">
      <c r="B1282" s="101"/>
    </row>
    <row r="1283" ht="14.25" customHeight="1">
      <c r="B1283" s="101"/>
    </row>
    <row r="1284" ht="14.25" customHeight="1">
      <c r="B1284" s="101"/>
    </row>
    <row r="1285" ht="14.25" customHeight="1">
      <c r="B1285" s="101"/>
    </row>
    <row r="1286" ht="14.25" customHeight="1">
      <c r="B1286" s="101"/>
    </row>
    <row r="1287" ht="14.25" customHeight="1">
      <c r="B1287" s="101"/>
    </row>
    <row r="1288" ht="14.25" customHeight="1">
      <c r="B1288" s="101"/>
    </row>
    <row r="1289" ht="14.25" customHeight="1">
      <c r="B1289" s="101"/>
    </row>
    <row r="1290" ht="14.25" customHeight="1">
      <c r="B1290" s="101"/>
    </row>
    <row r="1291" ht="14.25" customHeight="1">
      <c r="B1291" s="101"/>
    </row>
    <row r="1292" ht="14.25" customHeight="1">
      <c r="B1292" s="101"/>
    </row>
    <row r="1293" ht="14.25" customHeight="1">
      <c r="B1293" s="101"/>
    </row>
    <row r="1294" ht="14.25" customHeight="1">
      <c r="B1294" s="101"/>
    </row>
    <row r="1295" ht="14.25" customHeight="1">
      <c r="B1295" s="101"/>
    </row>
    <row r="1296" ht="14.25" customHeight="1">
      <c r="B1296" s="101"/>
    </row>
    <row r="1297" ht="14.25" customHeight="1">
      <c r="B1297" s="101"/>
    </row>
    <row r="1298" ht="14.25" customHeight="1">
      <c r="B1298" s="101"/>
    </row>
    <row r="1299" ht="14.25" customHeight="1">
      <c r="B1299" s="101"/>
    </row>
    <row r="1300" ht="14.25" customHeight="1">
      <c r="B1300" s="101"/>
    </row>
    <row r="1301" ht="14.25" customHeight="1">
      <c r="B1301" s="101"/>
    </row>
    <row r="1302" ht="14.25" customHeight="1">
      <c r="B1302" s="101"/>
    </row>
    <row r="1303" ht="14.25" customHeight="1">
      <c r="B1303" s="101"/>
    </row>
    <row r="1304" ht="14.25" customHeight="1">
      <c r="B1304" s="101"/>
    </row>
    <row r="1305" ht="14.25" customHeight="1">
      <c r="B1305" s="101"/>
    </row>
    <row r="1306" ht="14.25" customHeight="1">
      <c r="B1306" s="101"/>
    </row>
    <row r="1307" ht="14.25" customHeight="1">
      <c r="B1307" s="101"/>
    </row>
    <row r="1308" ht="14.25" customHeight="1">
      <c r="B1308" s="101"/>
    </row>
    <row r="1309" ht="14.25" customHeight="1">
      <c r="B1309" s="101"/>
    </row>
    <row r="1310" ht="14.25" customHeight="1">
      <c r="B1310" s="101"/>
    </row>
    <row r="1311" ht="14.25" customHeight="1">
      <c r="B1311" s="101"/>
    </row>
    <row r="1312" ht="14.25" customHeight="1">
      <c r="B1312" s="101"/>
    </row>
    <row r="1313" ht="14.25" customHeight="1">
      <c r="B1313" s="101"/>
    </row>
    <row r="1314" ht="14.25" customHeight="1">
      <c r="B1314" s="101"/>
    </row>
    <row r="1315" ht="14.25" customHeight="1">
      <c r="B1315" s="101"/>
    </row>
    <row r="1316" ht="14.25" customHeight="1">
      <c r="B1316" s="101"/>
    </row>
    <row r="1317" ht="14.25" customHeight="1">
      <c r="B1317" s="101"/>
    </row>
    <row r="1318" ht="14.25" customHeight="1">
      <c r="B1318" s="101"/>
    </row>
    <row r="1319" ht="14.25" customHeight="1">
      <c r="B1319" s="101"/>
    </row>
    <row r="1320" ht="14.25" customHeight="1">
      <c r="B1320" s="101"/>
    </row>
    <row r="1321" ht="14.25" customHeight="1">
      <c r="B1321" s="101"/>
    </row>
    <row r="1322" ht="14.25" customHeight="1">
      <c r="B1322" s="101"/>
    </row>
    <row r="1323" ht="14.25" customHeight="1">
      <c r="B1323" s="101"/>
    </row>
    <row r="1324" ht="14.25" customHeight="1">
      <c r="B1324" s="101"/>
    </row>
    <row r="1325" ht="14.25" customHeight="1">
      <c r="B1325" s="101"/>
    </row>
    <row r="1326" ht="14.25" customHeight="1">
      <c r="B1326" s="101"/>
    </row>
    <row r="1327" ht="14.25" customHeight="1">
      <c r="B1327" s="101"/>
    </row>
    <row r="1328" ht="14.25" customHeight="1">
      <c r="B1328" s="101"/>
    </row>
    <row r="1329" ht="14.25" customHeight="1">
      <c r="B1329" s="101"/>
    </row>
    <row r="1330" ht="14.25" customHeight="1">
      <c r="B1330" s="101"/>
    </row>
    <row r="1331" ht="14.25" customHeight="1">
      <c r="B1331" s="101"/>
    </row>
    <row r="1332" ht="14.25" customHeight="1">
      <c r="B1332" s="101"/>
    </row>
    <row r="1333" ht="14.25" customHeight="1">
      <c r="B1333" s="101"/>
    </row>
    <row r="1334" ht="14.25" customHeight="1">
      <c r="B1334" s="101"/>
    </row>
    <row r="1335" ht="14.25" customHeight="1">
      <c r="B1335" s="101"/>
    </row>
    <row r="1336" ht="14.25" customHeight="1">
      <c r="B1336" s="101"/>
    </row>
    <row r="1337" ht="14.25" customHeight="1">
      <c r="B1337" s="101"/>
    </row>
    <row r="1338" ht="14.25" customHeight="1">
      <c r="B1338" s="101"/>
    </row>
    <row r="1339" ht="14.25" customHeight="1">
      <c r="B1339" s="101"/>
    </row>
    <row r="1340" ht="14.25" customHeight="1">
      <c r="B1340" s="101"/>
    </row>
    <row r="1341" ht="14.25" customHeight="1">
      <c r="B1341" s="101"/>
    </row>
    <row r="1342" ht="14.25" customHeight="1">
      <c r="B1342" s="101"/>
    </row>
    <row r="1343" ht="14.25" customHeight="1">
      <c r="B1343" s="101"/>
    </row>
    <row r="1344" ht="14.25" customHeight="1">
      <c r="B1344" s="101"/>
    </row>
    <row r="1345" ht="14.25" customHeight="1">
      <c r="B1345" s="101"/>
    </row>
    <row r="1346" ht="14.25" customHeight="1">
      <c r="B1346" s="101"/>
    </row>
    <row r="1347" ht="14.25" customHeight="1">
      <c r="B1347" s="101"/>
    </row>
    <row r="1348" ht="14.25" customHeight="1">
      <c r="B1348" s="101"/>
    </row>
    <row r="1349" ht="14.25" customHeight="1">
      <c r="B1349" s="101"/>
    </row>
    <row r="1350" ht="14.25" customHeight="1">
      <c r="B1350" s="101"/>
    </row>
    <row r="1351" ht="14.25" customHeight="1">
      <c r="B1351" s="101"/>
    </row>
    <row r="1352" ht="14.25" customHeight="1">
      <c r="B1352" s="101"/>
    </row>
    <row r="1353" ht="14.25" customHeight="1">
      <c r="B1353" s="101"/>
    </row>
    <row r="1354" ht="14.25" customHeight="1">
      <c r="B1354" s="101"/>
    </row>
    <row r="1355" ht="14.25" customHeight="1">
      <c r="B1355" s="101"/>
    </row>
    <row r="1356" ht="14.25" customHeight="1">
      <c r="B1356" s="101"/>
    </row>
    <row r="1357" ht="14.25" customHeight="1">
      <c r="B1357" s="101"/>
    </row>
    <row r="1358" ht="14.25" customHeight="1">
      <c r="B1358" s="101"/>
    </row>
    <row r="1359" ht="14.25" customHeight="1">
      <c r="B1359" s="101"/>
    </row>
    <row r="1360" ht="14.25" customHeight="1">
      <c r="B1360" s="101"/>
    </row>
    <row r="1361" ht="14.25" customHeight="1">
      <c r="B1361" s="101"/>
    </row>
    <row r="1362" ht="14.25" customHeight="1">
      <c r="B1362" s="101"/>
    </row>
    <row r="1363" ht="14.25" customHeight="1">
      <c r="B1363" s="101"/>
    </row>
    <row r="1364" ht="14.25" customHeight="1">
      <c r="B1364" s="101"/>
    </row>
    <row r="1365" ht="14.25" customHeight="1">
      <c r="B1365" s="101"/>
    </row>
    <row r="1366" ht="14.25" customHeight="1">
      <c r="B1366" s="101"/>
    </row>
    <row r="1367" ht="14.25" customHeight="1">
      <c r="B1367" s="101"/>
    </row>
    <row r="1368" ht="14.25" customHeight="1">
      <c r="B1368" s="101"/>
    </row>
    <row r="1369" ht="14.25" customHeight="1">
      <c r="B1369" s="101"/>
    </row>
    <row r="1370" ht="14.25" customHeight="1">
      <c r="B1370" s="101"/>
    </row>
    <row r="1371" ht="14.25" customHeight="1">
      <c r="B1371" s="101"/>
    </row>
    <row r="1372" ht="14.25" customHeight="1">
      <c r="B1372" s="101"/>
    </row>
    <row r="1373" ht="14.25" customHeight="1">
      <c r="B1373" s="101"/>
    </row>
    <row r="1374" ht="14.25" customHeight="1">
      <c r="B1374" s="101"/>
    </row>
    <row r="1375" ht="14.25" customHeight="1">
      <c r="B1375" s="101"/>
    </row>
    <row r="1376" ht="14.25" customHeight="1">
      <c r="B1376" s="101"/>
    </row>
    <row r="1377" ht="14.25" customHeight="1">
      <c r="B1377" s="101"/>
    </row>
    <row r="1378" ht="14.25" customHeight="1">
      <c r="B1378" s="101"/>
    </row>
    <row r="1379" ht="14.25" customHeight="1">
      <c r="B1379" s="101"/>
    </row>
    <row r="1380" ht="14.25" customHeight="1">
      <c r="B1380" s="101"/>
    </row>
    <row r="1381" ht="14.25" customHeight="1">
      <c r="B1381" s="101"/>
    </row>
    <row r="1382" ht="14.25" customHeight="1">
      <c r="B1382" s="101"/>
    </row>
    <row r="1383" ht="14.25" customHeight="1">
      <c r="B1383" s="101"/>
    </row>
    <row r="1384" ht="14.25" customHeight="1">
      <c r="B1384" s="101"/>
    </row>
    <row r="1385" ht="14.25" customHeight="1">
      <c r="B1385" s="101"/>
    </row>
    <row r="1386" ht="14.25" customHeight="1">
      <c r="B1386" s="101"/>
    </row>
    <row r="1387" ht="14.25" customHeight="1">
      <c r="B1387" s="101"/>
    </row>
    <row r="1388" ht="14.25" customHeight="1">
      <c r="B1388" s="101"/>
    </row>
    <row r="1389" ht="14.25" customHeight="1">
      <c r="B1389" s="101"/>
    </row>
    <row r="1390" ht="14.25" customHeight="1">
      <c r="B1390" s="101"/>
    </row>
    <row r="1391" ht="14.25" customHeight="1">
      <c r="B1391" s="101"/>
    </row>
    <row r="1392" ht="14.25" customHeight="1">
      <c r="B1392" s="101"/>
    </row>
    <row r="1393" ht="14.25" customHeight="1">
      <c r="B1393" s="101"/>
    </row>
    <row r="1394" ht="14.25" customHeight="1">
      <c r="B1394" s="101"/>
    </row>
    <row r="1395" ht="14.25" customHeight="1">
      <c r="B1395" s="101"/>
    </row>
    <row r="1396" ht="14.25" customHeight="1">
      <c r="B1396" s="101"/>
    </row>
    <row r="1397" ht="14.25" customHeight="1">
      <c r="B1397" s="101"/>
    </row>
    <row r="1398" ht="14.25" customHeight="1">
      <c r="B1398" s="101"/>
    </row>
    <row r="1399" ht="14.25" customHeight="1">
      <c r="B1399" s="101"/>
    </row>
    <row r="1400" ht="14.25" customHeight="1">
      <c r="B1400" s="101"/>
    </row>
    <row r="1401" ht="14.25" customHeight="1">
      <c r="B1401" s="101"/>
    </row>
    <row r="1402" ht="14.25" customHeight="1">
      <c r="B1402" s="101"/>
    </row>
    <row r="1403" ht="14.25" customHeight="1">
      <c r="B1403" s="101"/>
    </row>
    <row r="1404" ht="14.25" customHeight="1">
      <c r="B1404" s="101"/>
    </row>
    <row r="1405" ht="14.25" customHeight="1">
      <c r="B1405" s="101"/>
    </row>
    <row r="1406" ht="14.25" customHeight="1">
      <c r="B1406" s="101"/>
    </row>
    <row r="1407" ht="14.25" customHeight="1">
      <c r="B1407" s="101"/>
    </row>
    <row r="1408" ht="14.25" customHeight="1">
      <c r="B1408" s="101"/>
    </row>
    <row r="1409" ht="14.25" customHeight="1">
      <c r="B1409" s="101"/>
    </row>
    <row r="1410" ht="14.25" customHeight="1">
      <c r="B1410" s="101"/>
    </row>
    <row r="1411" ht="14.25" customHeight="1">
      <c r="B1411" s="101"/>
    </row>
    <row r="1412" ht="14.25" customHeight="1">
      <c r="B1412" s="101"/>
    </row>
    <row r="1413" ht="14.25" customHeight="1">
      <c r="B1413" s="101"/>
    </row>
    <row r="1414" ht="14.25" customHeight="1">
      <c r="B1414" s="101"/>
    </row>
    <row r="1415" ht="14.25" customHeight="1">
      <c r="B1415" s="101"/>
    </row>
    <row r="1416" ht="14.25" customHeight="1">
      <c r="B1416" s="101"/>
    </row>
    <row r="1417" ht="14.25" customHeight="1">
      <c r="B1417" s="101"/>
    </row>
    <row r="1418" ht="14.25" customHeight="1">
      <c r="B1418" s="101"/>
    </row>
    <row r="1419" ht="14.25" customHeight="1">
      <c r="B1419" s="101"/>
    </row>
    <row r="1420" ht="14.25" customHeight="1">
      <c r="B1420" s="101"/>
    </row>
    <row r="1421" ht="14.25" customHeight="1">
      <c r="B1421" s="101"/>
    </row>
    <row r="1422" ht="14.25" customHeight="1">
      <c r="B1422" s="101"/>
    </row>
    <row r="1423" ht="14.25" customHeight="1">
      <c r="B1423" s="101"/>
    </row>
    <row r="1424" ht="14.25" customHeight="1">
      <c r="B1424" s="101"/>
    </row>
    <row r="1425" ht="14.25" customHeight="1">
      <c r="B1425" s="101"/>
    </row>
    <row r="1426" ht="14.25" customHeight="1">
      <c r="B1426" s="101"/>
    </row>
    <row r="1427" ht="14.25" customHeight="1">
      <c r="B1427" s="101"/>
    </row>
    <row r="1428" ht="14.25" customHeight="1">
      <c r="B1428" s="101"/>
    </row>
    <row r="1429" ht="14.25" customHeight="1">
      <c r="B1429" s="101"/>
    </row>
    <row r="1430" ht="14.25" customHeight="1">
      <c r="B1430" s="101"/>
    </row>
    <row r="1431" ht="14.25" customHeight="1">
      <c r="B1431" s="101"/>
    </row>
    <row r="1432" ht="14.25" customHeight="1">
      <c r="B1432" s="101"/>
    </row>
    <row r="1433" ht="14.25" customHeight="1">
      <c r="B1433" s="101"/>
    </row>
    <row r="1434" ht="14.25" customHeight="1">
      <c r="B1434" s="101"/>
    </row>
    <row r="1435" ht="14.25" customHeight="1">
      <c r="B1435" s="101"/>
    </row>
    <row r="1436" ht="14.25" customHeight="1">
      <c r="B1436" s="101"/>
    </row>
    <row r="1437" ht="14.25" customHeight="1">
      <c r="B1437" s="101"/>
    </row>
    <row r="1438" ht="14.25" customHeight="1">
      <c r="B1438" s="101"/>
    </row>
    <row r="1439" ht="14.25" customHeight="1">
      <c r="B1439" s="101"/>
    </row>
    <row r="1440" ht="14.25" customHeight="1">
      <c r="B1440" s="101"/>
    </row>
    <row r="1441" ht="14.25" customHeight="1">
      <c r="B1441" s="101"/>
    </row>
    <row r="1442" ht="14.25" customHeight="1">
      <c r="B1442" s="101"/>
    </row>
    <row r="1443" ht="14.25" customHeight="1">
      <c r="B1443" s="101"/>
    </row>
    <row r="1444" ht="14.25" customHeight="1">
      <c r="B1444" s="101"/>
    </row>
    <row r="1445" ht="14.25" customHeight="1">
      <c r="B1445" s="101"/>
    </row>
    <row r="1446" ht="14.25" customHeight="1">
      <c r="B1446" s="101"/>
    </row>
    <row r="1447" ht="14.25" customHeight="1">
      <c r="B1447" s="101"/>
    </row>
    <row r="1448" ht="14.25" customHeight="1">
      <c r="B1448" s="101"/>
    </row>
    <row r="1449" ht="14.25" customHeight="1">
      <c r="B1449" s="101"/>
    </row>
    <row r="1450" ht="14.25" customHeight="1">
      <c r="B1450" s="101"/>
    </row>
    <row r="1451" ht="14.25" customHeight="1">
      <c r="B1451" s="101"/>
    </row>
    <row r="1452" ht="14.25" customHeight="1">
      <c r="B1452" s="101"/>
    </row>
    <row r="1453" ht="14.25" customHeight="1">
      <c r="B1453" s="101"/>
    </row>
    <row r="1454" ht="14.25" customHeight="1">
      <c r="B1454" s="101"/>
    </row>
    <row r="1455" ht="14.25" customHeight="1">
      <c r="B1455" s="101"/>
    </row>
    <row r="1456" ht="14.25" customHeight="1">
      <c r="B1456" s="101"/>
    </row>
    <row r="1457" ht="14.25" customHeight="1">
      <c r="B1457" s="101"/>
    </row>
    <row r="1458" ht="14.25" customHeight="1">
      <c r="B1458" s="101"/>
    </row>
    <row r="1459" ht="14.25" customHeight="1">
      <c r="B1459" s="101"/>
    </row>
    <row r="1460" ht="14.25" customHeight="1">
      <c r="B1460" s="101"/>
    </row>
    <row r="1461" ht="14.25" customHeight="1">
      <c r="B1461" s="101"/>
    </row>
    <row r="1462" ht="14.25" customHeight="1">
      <c r="B1462" s="101"/>
    </row>
    <row r="1463" ht="14.25" customHeight="1">
      <c r="B1463" s="101"/>
    </row>
    <row r="1464" ht="14.25" customHeight="1">
      <c r="B1464" s="101"/>
    </row>
    <row r="1465" ht="14.25" customHeight="1">
      <c r="B1465" s="101"/>
    </row>
    <row r="1466" ht="14.25" customHeight="1">
      <c r="B1466" s="101"/>
    </row>
    <row r="1467" ht="14.25" customHeight="1">
      <c r="B1467" s="101"/>
    </row>
    <row r="1468" ht="14.25" customHeight="1">
      <c r="B1468" s="101"/>
    </row>
    <row r="1469" ht="14.25" customHeight="1">
      <c r="B1469" s="101"/>
    </row>
    <row r="1470" ht="14.25" customHeight="1">
      <c r="B1470" s="101"/>
    </row>
    <row r="1471" ht="14.25" customHeight="1">
      <c r="B1471" s="101"/>
    </row>
    <row r="1472" ht="14.25" customHeight="1">
      <c r="B1472" s="101"/>
    </row>
    <row r="1473" ht="14.25" customHeight="1">
      <c r="B1473" s="101"/>
    </row>
    <row r="1474" ht="14.25" customHeight="1">
      <c r="B1474" s="101"/>
    </row>
    <row r="1475" ht="14.25" customHeight="1">
      <c r="B1475" s="101"/>
    </row>
    <row r="1476" ht="14.25" customHeight="1">
      <c r="B1476" s="101"/>
    </row>
    <row r="1477" ht="14.25" customHeight="1">
      <c r="B1477" s="101"/>
    </row>
    <row r="1478" ht="14.25" customHeight="1">
      <c r="B1478" s="101"/>
    </row>
    <row r="1479" ht="14.25" customHeight="1">
      <c r="B1479" s="101"/>
    </row>
    <row r="1480" ht="14.25" customHeight="1">
      <c r="B1480" s="101"/>
    </row>
    <row r="1481" ht="14.25" customHeight="1">
      <c r="B1481" s="101"/>
    </row>
    <row r="1482" ht="14.25" customHeight="1">
      <c r="B1482" s="101"/>
    </row>
    <row r="1483" ht="14.25" customHeight="1">
      <c r="B1483" s="101"/>
    </row>
    <row r="1484" ht="14.25" customHeight="1">
      <c r="B1484" s="101"/>
    </row>
    <row r="1485" ht="14.25" customHeight="1">
      <c r="B1485" s="101"/>
    </row>
    <row r="1486" ht="14.25" customHeight="1">
      <c r="B1486" s="101"/>
    </row>
    <row r="1487" ht="14.25" customHeight="1">
      <c r="B1487" s="101"/>
    </row>
    <row r="1488" ht="14.25" customHeight="1">
      <c r="B1488" s="101"/>
    </row>
    <row r="1489" ht="14.25" customHeight="1">
      <c r="B1489" s="101"/>
    </row>
    <row r="1490" ht="14.25" customHeight="1">
      <c r="B1490" s="101"/>
    </row>
    <row r="1491" ht="14.25" customHeight="1">
      <c r="B1491" s="101"/>
    </row>
    <row r="1492" ht="14.25" customHeight="1">
      <c r="B1492" s="101"/>
    </row>
    <row r="1493" ht="14.25" customHeight="1">
      <c r="B1493" s="101"/>
    </row>
    <row r="1494" ht="14.25" customHeight="1">
      <c r="B1494" s="101"/>
    </row>
    <row r="1495" ht="14.25" customHeight="1">
      <c r="B1495" s="101"/>
    </row>
    <row r="1496" ht="14.25" customHeight="1">
      <c r="B1496" s="101"/>
    </row>
    <row r="1497" ht="14.25" customHeight="1">
      <c r="B1497" s="101"/>
    </row>
    <row r="1498" ht="14.25" customHeight="1">
      <c r="B1498" s="101"/>
    </row>
    <row r="1499" ht="14.25" customHeight="1">
      <c r="B1499" s="101"/>
    </row>
    <row r="1500" ht="14.25" customHeight="1">
      <c r="B1500" s="101"/>
    </row>
    <row r="1501" ht="14.25" customHeight="1">
      <c r="B1501" s="101"/>
    </row>
    <row r="1502" ht="14.25" customHeight="1">
      <c r="B1502" s="101"/>
    </row>
    <row r="1503" ht="14.25" customHeight="1">
      <c r="B1503" s="101"/>
    </row>
    <row r="1504" ht="14.25" customHeight="1">
      <c r="B1504" s="101"/>
    </row>
    <row r="1505" ht="14.25" customHeight="1">
      <c r="B1505" s="101"/>
    </row>
    <row r="1506" ht="14.25" customHeight="1">
      <c r="B1506" s="101"/>
    </row>
    <row r="1507" ht="14.25" customHeight="1">
      <c r="B1507" s="101"/>
    </row>
    <row r="1508" ht="14.25" customHeight="1">
      <c r="B1508" s="101"/>
    </row>
    <row r="1509" ht="14.25" customHeight="1">
      <c r="B1509" s="101"/>
    </row>
    <row r="1510" ht="14.25" customHeight="1">
      <c r="B1510" s="101"/>
    </row>
    <row r="1511" ht="14.25" customHeight="1">
      <c r="B1511" s="101"/>
    </row>
    <row r="1512" ht="14.25" customHeight="1">
      <c r="B1512" s="101"/>
    </row>
    <row r="1513" ht="14.25" customHeight="1">
      <c r="B1513" s="101"/>
    </row>
    <row r="1514" ht="14.25" customHeight="1">
      <c r="B1514" s="101"/>
    </row>
    <row r="1515" ht="14.25" customHeight="1">
      <c r="B1515" s="101"/>
    </row>
    <row r="1516" ht="14.25" customHeight="1">
      <c r="B1516" s="101"/>
    </row>
    <row r="1517" ht="14.25" customHeight="1">
      <c r="B1517" s="101"/>
    </row>
    <row r="1518" ht="14.25" customHeight="1">
      <c r="B1518" s="101"/>
    </row>
    <row r="1519" ht="14.25" customHeight="1">
      <c r="B1519" s="101"/>
    </row>
    <row r="1520" ht="14.25" customHeight="1">
      <c r="B1520" s="101"/>
    </row>
    <row r="1521" ht="14.25" customHeight="1">
      <c r="B1521" s="101"/>
    </row>
    <row r="1522" ht="14.25" customHeight="1">
      <c r="B1522" s="101"/>
    </row>
    <row r="1523" ht="14.25" customHeight="1">
      <c r="B1523" s="101"/>
    </row>
    <row r="1524" ht="14.25" customHeight="1">
      <c r="B1524" s="101"/>
    </row>
    <row r="1525" ht="14.25" customHeight="1">
      <c r="B1525" s="101"/>
    </row>
    <row r="1526" ht="14.25" customHeight="1">
      <c r="B1526" s="101"/>
    </row>
    <row r="1527" ht="14.25" customHeight="1">
      <c r="B1527" s="101"/>
    </row>
    <row r="1528" ht="14.25" customHeight="1">
      <c r="B1528" s="101"/>
    </row>
    <row r="1529" ht="14.25" customHeight="1">
      <c r="B1529" s="101"/>
    </row>
    <row r="1530" ht="14.25" customHeight="1">
      <c r="B1530" s="101"/>
    </row>
    <row r="1531" ht="14.25" customHeight="1">
      <c r="B1531" s="101"/>
    </row>
    <row r="1532" ht="14.25" customHeight="1">
      <c r="B1532" s="101"/>
    </row>
    <row r="1533" ht="14.25" customHeight="1">
      <c r="B1533" s="101"/>
    </row>
    <row r="1534" ht="14.25" customHeight="1">
      <c r="B1534" s="101"/>
    </row>
    <row r="1535" ht="14.25" customHeight="1">
      <c r="B1535" s="101"/>
    </row>
    <row r="1536" ht="14.25" customHeight="1">
      <c r="B1536" s="101"/>
    </row>
    <row r="1537" ht="14.25" customHeight="1">
      <c r="B1537" s="101"/>
    </row>
    <row r="1538" ht="14.25" customHeight="1">
      <c r="B1538" s="101"/>
    </row>
    <row r="1539" ht="14.25" customHeight="1">
      <c r="B1539" s="101"/>
    </row>
    <row r="1540" ht="14.25" customHeight="1">
      <c r="B1540" s="101"/>
    </row>
    <row r="1541" ht="14.25" customHeight="1">
      <c r="B1541" s="101"/>
    </row>
    <row r="1542" ht="14.25" customHeight="1">
      <c r="B1542" s="101"/>
    </row>
    <row r="1543" ht="14.25" customHeight="1">
      <c r="B1543" s="101"/>
    </row>
    <row r="1544" ht="14.25" customHeight="1">
      <c r="B1544" s="101"/>
    </row>
    <row r="1545" ht="14.25" customHeight="1">
      <c r="B1545" s="101"/>
    </row>
    <row r="1546" ht="14.25" customHeight="1">
      <c r="B1546" s="101"/>
    </row>
    <row r="1547" ht="14.25" customHeight="1">
      <c r="B1547" s="101"/>
    </row>
    <row r="1548" ht="14.25" customHeight="1">
      <c r="B1548" s="101"/>
    </row>
    <row r="1549" ht="14.25" customHeight="1">
      <c r="B1549" s="101"/>
    </row>
    <row r="1550" ht="14.25" customHeight="1">
      <c r="B1550" s="101"/>
    </row>
    <row r="1551" ht="14.25" customHeight="1">
      <c r="B1551" s="101"/>
    </row>
    <row r="1552" ht="14.25" customHeight="1">
      <c r="B1552" s="101"/>
    </row>
    <row r="1553" ht="14.25" customHeight="1">
      <c r="B1553" s="101"/>
    </row>
    <row r="1554" ht="14.25" customHeight="1">
      <c r="B1554" s="101"/>
    </row>
    <row r="1555" ht="14.25" customHeight="1">
      <c r="B1555" s="101"/>
    </row>
    <row r="1556" ht="14.25" customHeight="1">
      <c r="B1556" s="101"/>
    </row>
    <row r="1557" ht="14.25" customHeight="1">
      <c r="B1557" s="101"/>
    </row>
    <row r="1558" ht="14.25" customHeight="1">
      <c r="B1558" s="101"/>
    </row>
    <row r="1559" ht="14.25" customHeight="1">
      <c r="B1559" s="101"/>
    </row>
    <row r="1560" ht="14.25" customHeight="1">
      <c r="B1560" s="101"/>
    </row>
    <row r="1561" ht="14.25" customHeight="1">
      <c r="B1561" s="101"/>
    </row>
    <row r="1562" ht="14.25" customHeight="1">
      <c r="B1562" s="101"/>
    </row>
    <row r="1563" ht="14.25" customHeight="1">
      <c r="B1563" s="101"/>
    </row>
    <row r="1564" ht="14.25" customHeight="1">
      <c r="B1564" s="101"/>
    </row>
    <row r="1565" ht="14.25" customHeight="1">
      <c r="B1565" s="101"/>
    </row>
    <row r="1566" ht="14.25" customHeight="1">
      <c r="B1566" s="101"/>
    </row>
    <row r="1567" ht="14.25" customHeight="1">
      <c r="B1567" s="101"/>
    </row>
    <row r="1568" ht="14.25" customHeight="1">
      <c r="B1568" s="101"/>
    </row>
    <row r="1569" ht="14.25" customHeight="1">
      <c r="B1569" s="101"/>
    </row>
    <row r="1570" ht="14.25" customHeight="1">
      <c r="B1570" s="101"/>
    </row>
    <row r="1571" ht="14.25" customHeight="1">
      <c r="B1571" s="101"/>
    </row>
    <row r="1572" ht="14.25" customHeight="1">
      <c r="B1572" s="101"/>
    </row>
    <row r="1573" ht="14.25" customHeight="1">
      <c r="B1573" s="101"/>
    </row>
    <row r="1574" ht="14.25" customHeight="1">
      <c r="B1574" s="101"/>
    </row>
    <row r="1575" ht="14.25" customHeight="1">
      <c r="B1575" s="101"/>
    </row>
    <row r="1576" ht="14.25" customHeight="1">
      <c r="B1576" s="101"/>
    </row>
    <row r="1577" ht="14.25" customHeight="1">
      <c r="B1577" s="101"/>
    </row>
    <row r="1578" ht="14.25" customHeight="1">
      <c r="B1578" s="101"/>
    </row>
    <row r="1579" ht="14.25" customHeight="1">
      <c r="B1579" s="101"/>
    </row>
    <row r="1580" ht="14.25" customHeight="1">
      <c r="B1580" s="101"/>
    </row>
    <row r="1581" ht="14.25" customHeight="1">
      <c r="B1581" s="101"/>
    </row>
    <row r="1582" ht="14.25" customHeight="1">
      <c r="B1582" s="101"/>
    </row>
    <row r="1583" ht="14.25" customHeight="1">
      <c r="B1583" s="101"/>
    </row>
    <row r="1584" ht="14.25" customHeight="1">
      <c r="B1584" s="101"/>
    </row>
    <row r="1585" ht="14.25" customHeight="1">
      <c r="B1585" s="101"/>
    </row>
    <row r="1586" ht="14.25" customHeight="1">
      <c r="B1586" s="101"/>
    </row>
    <row r="1587" ht="14.25" customHeight="1">
      <c r="B1587" s="101"/>
    </row>
    <row r="1588" ht="14.25" customHeight="1">
      <c r="B1588" s="101"/>
    </row>
    <row r="1589" ht="14.25" customHeight="1">
      <c r="B1589" s="101"/>
    </row>
    <row r="1590" ht="14.25" customHeight="1">
      <c r="B1590" s="101"/>
    </row>
    <row r="1591" ht="14.25" customHeight="1">
      <c r="B1591" s="101"/>
    </row>
    <row r="1592" ht="14.25" customHeight="1">
      <c r="B1592" s="101"/>
    </row>
    <row r="1593" ht="14.25" customHeight="1">
      <c r="B1593" s="101"/>
    </row>
    <row r="1594" ht="14.25" customHeight="1">
      <c r="B1594" s="101"/>
    </row>
    <row r="1595" ht="14.25" customHeight="1">
      <c r="B1595" s="101"/>
    </row>
    <row r="1596" ht="14.25" customHeight="1">
      <c r="B1596" s="101"/>
    </row>
    <row r="1597" ht="14.25" customHeight="1">
      <c r="B1597" s="101"/>
    </row>
    <row r="1598" ht="14.25" customHeight="1">
      <c r="B1598" s="101"/>
    </row>
    <row r="1599" ht="14.25" customHeight="1">
      <c r="B1599" s="101"/>
    </row>
    <row r="1600" ht="14.25" customHeight="1">
      <c r="B1600" s="101"/>
    </row>
    <row r="1601" ht="14.25" customHeight="1">
      <c r="B1601" s="101"/>
    </row>
    <row r="1602" ht="14.25" customHeight="1">
      <c r="B1602" s="101"/>
    </row>
    <row r="1603" ht="14.25" customHeight="1">
      <c r="B1603" s="101"/>
    </row>
    <row r="1604" ht="14.25" customHeight="1">
      <c r="B1604" s="101"/>
    </row>
    <row r="1605" ht="14.25" customHeight="1">
      <c r="B1605" s="101"/>
    </row>
    <row r="1606" ht="14.25" customHeight="1">
      <c r="B1606" s="101"/>
    </row>
    <row r="1607" ht="14.25" customHeight="1">
      <c r="B1607" s="101"/>
    </row>
    <row r="1608" ht="14.25" customHeight="1">
      <c r="B1608" s="101"/>
    </row>
    <row r="1609" ht="14.25" customHeight="1">
      <c r="B1609" s="101"/>
    </row>
    <row r="1610" ht="14.25" customHeight="1">
      <c r="B1610" s="101"/>
    </row>
    <row r="1611" ht="14.25" customHeight="1">
      <c r="B1611" s="101"/>
    </row>
    <row r="1612" ht="14.25" customHeight="1">
      <c r="B1612" s="101"/>
    </row>
    <row r="1613" ht="14.25" customHeight="1">
      <c r="B1613" s="101"/>
    </row>
    <row r="1614" ht="14.25" customHeight="1">
      <c r="B1614" s="101"/>
    </row>
    <row r="1615" ht="14.25" customHeight="1">
      <c r="B1615" s="101"/>
    </row>
    <row r="1616" ht="14.25" customHeight="1">
      <c r="B1616" s="101"/>
    </row>
    <row r="1617" ht="14.25" customHeight="1">
      <c r="B1617" s="101"/>
    </row>
    <row r="1618" ht="14.25" customHeight="1">
      <c r="B1618" s="101"/>
    </row>
    <row r="1619" ht="14.25" customHeight="1">
      <c r="B1619" s="101"/>
    </row>
    <row r="1620" ht="14.25" customHeight="1">
      <c r="B1620" s="101"/>
    </row>
    <row r="1621" ht="14.25" customHeight="1">
      <c r="B1621" s="101"/>
    </row>
    <row r="1622" ht="14.25" customHeight="1">
      <c r="B1622" s="101"/>
    </row>
    <row r="1623" ht="14.25" customHeight="1">
      <c r="B1623" s="101"/>
    </row>
    <row r="1624" ht="14.25" customHeight="1">
      <c r="B1624" s="101"/>
    </row>
    <row r="1625" ht="14.25" customHeight="1">
      <c r="B1625" s="101"/>
    </row>
    <row r="1626" ht="14.25" customHeight="1">
      <c r="B1626" s="101"/>
    </row>
    <row r="1627" ht="14.25" customHeight="1">
      <c r="B1627" s="101"/>
    </row>
    <row r="1628" ht="14.25" customHeight="1">
      <c r="B1628" s="101"/>
    </row>
    <row r="1629" ht="14.25" customHeight="1">
      <c r="B1629" s="101"/>
    </row>
    <row r="1630" ht="14.25" customHeight="1">
      <c r="B1630" s="101"/>
    </row>
    <row r="1631" ht="14.25" customHeight="1">
      <c r="B1631" s="101"/>
    </row>
    <row r="1632" ht="14.25" customHeight="1">
      <c r="B1632" s="101"/>
    </row>
    <row r="1633" ht="14.25" customHeight="1">
      <c r="B1633" s="101"/>
    </row>
    <row r="1634" ht="14.25" customHeight="1">
      <c r="B1634" s="101"/>
    </row>
    <row r="1635" ht="14.25" customHeight="1">
      <c r="B1635" s="101"/>
    </row>
    <row r="1636" ht="14.25" customHeight="1">
      <c r="B1636" s="101"/>
    </row>
    <row r="1637" ht="14.25" customHeight="1">
      <c r="B1637" s="101"/>
    </row>
    <row r="1638" ht="14.25" customHeight="1">
      <c r="B1638" s="101"/>
    </row>
    <row r="1639" ht="14.25" customHeight="1">
      <c r="B1639" s="101"/>
    </row>
    <row r="1640" ht="14.25" customHeight="1">
      <c r="B1640" s="101"/>
    </row>
    <row r="1641" ht="14.25" customHeight="1">
      <c r="B1641" s="101"/>
    </row>
    <row r="1642" ht="14.25" customHeight="1">
      <c r="B1642" s="101"/>
    </row>
    <row r="1643" ht="14.25" customHeight="1">
      <c r="B1643" s="101"/>
    </row>
    <row r="1644" ht="14.25" customHeight="1">
      <c r="B1644" s="101"/>
    </row>
    <row r="1645" ht="14.25" customHeight="1">
      <c r="B1645" s="101"/>
    </row>
    <row r="1646" ht="14.25" customHeight="1">
      <c r="B1646" s="101"/>
    </row>
    <row r="1647" ht="14.25" customHeight="1">
      <c r="B1647" s="101"/>
    </row>
    <row r="1648" ht="14.25" customHeight="1">
      <c r="B1648" s="101"/>
    </row>
    <row r="1649" ht="14.25" customHeight="1">
      <c r="B1649" s="101"/>
    </row>
    <row r="1650" ht="14.25" customHeight="1">
      <c r="B1650" s="101"/>
    </row>
    <row r="1651" ht="14.25" customHeight="1">
      <c r="B1651" s="101"/>
    </row>
    <row r="1652" ht="14.25" customHeight="1">
      <c r="B1652" s="101"/>
    </row>
    <row r="1653" ht="14.25" customHeight="1">
      <c r="B1653" s="101"/>
    </row>
    <row r="1654" ht="14.25" customHeight="1">
      <c r="B1654" s="101"/>
    </row>
    <row r="1655" ht="14.25" customHeight="1">
      <c r="B1655" s="101"/>
    </row>
    <row r="1656" ht="14.25" customHeight="1">
      <c r="B1656" s="101"/>
    </row>
    <row r="1657" ht="14.25" customHeight="1">
      <c r="B1657" s="101"/>
    </row>
    <row r="1658" ht="14.25" customHeight="1">
      <c r="B1658" s="101"/>
    </row>
    <row r="1659" ht="14.25" customHeight="1">
      <c r="B1659" s="101"/>
    </row>
    <row r="1660" ht="14.25" customHeight="1">
      <c r="B1660" s="101"/>
    </row>
    <row r="1661" ht="14.25" customHeight="1">
      <c r="B1661" s="101"/>
    </row>
    <row r="1662" ht="14.25" customHeight="1">
      <c r="B1662" s="101"/>
    </row>
    <row r="1663" ht="14.25" customHeight="1">
      <c r="B1663" s="101"/>
    </row>
    <row r="1664" ht="14.25" customHeight="1">
      <c r="B1664" s="101"/>
    </row>
    <row r="1665" ht="14.25" customHeight="1">
      <c r="B1665" s="101"/>
    </row>
    <row r="1666" ht="14.25" customHeight="1">
      <c r="B1666" s="101"/>
    </row>
    <row r="1667" ht="14.25" customHeight="1">
      <c r="B1667" s="101"/>
    </row>
    <row r="1668" ht="14.25" customHeight="1">
      <c r="B1668" s="101"/>
    </row>
    <row r="1669" ht="14.25" customHeight="1">
      <c r="B1669" s="101"/>
    </row>
    <row r="1670" ht="14.25" customHeight="1">
      <c r="B1670" s="101"/>
    </row>
    <row r="1671" ht="14.25" customHeight="1">
      <c r="B1671" s="101"/>
    </row>
    <row r="1672" ht="14.25" customHeight="1">
      <c r="B1672" s="101"/>
    </row>
    <row r="1673" ht="14.25" customHeight="1">
      <c r="B1673" s="101"/>
    </row>
    <row r="1674" ht="14.25" customHeight="1">
      <c r="B1674" s="101"/>
    </row>
    <row r="1675" ht="14.25" customHeight="1">
      <c r="B1675" s="101"/>
    </row>
    <row r="1676" ht="14.25" customHeight="1">
      <c r="B1676" s="101"/>
    </row>
    <row r="1677" ht="14.25" customHeight="1">
      <c r="B1677" s="101"/>
    </row>
    <row r="1678" ht="14.25" customHeight="1">
      <c r="B1678" s="101"/>
    </row>
    <row r="1679" ht="14.25" customHeight="1">
      <c r="B1679" s="101"/>
    </row>
    <row r="1680" ht="14.25" customHeight="1">
      <c r="B1680" s="101"/>
    </row>
    <row r="1681" ht="14.25" customHeight="1">
      <c r="B1681" s="101"/>
    </row>
    <row r="1682" ht="14.25" customHeight="1">
      <c r="B1682" s="101"/>
    </row>
    <row r="1683" ht="14.25" customHeight="1">
      <c r="B1683" s="101"/>
    </row>
    <row r="1684" ht="14.25" customHeight="1">
      <c r="B1684" s="101"/>
    </row>
    <row r="1685" ht="14.25" customHeight="1">
      <c r="B1685" s="101"/>
    </row>
    <row r="1686" ht="14.25" customHeight="1">
      <c r="B1686" s="101"/>
    </row>
    <row r="1687" ht="14.25" customHeight="1">
      <c r="B1687" s="101"/>
    </row>
    <row r="1688" ht="14.25" customHeight="1">
      <c r="B1688" s="101"/>
    </row>
    <row r="1689" ht="14.25" customHeight="1">
      <c r="B1689" s="101"/>
    </row>
    <row r="1690" ht="14.25" customHeight="1">
      <c r="B1690" s="101"/>
    </row>
    <row r="1691" ht="14.25" customHeight="1">
      <c r="B1691" s="101"/>
    </row>
    <row r="1692" ht="14.25" customHeight="1">
      <c r="B1692" s="101"/>
    </row>
    <row r="1693" ht="14.25" customHeight="1">
      <c r="B1693" s="101"/>
    </row>
    <row r="1694" ht="14.25" customHeight="1">
      <c r="B1694" s="101"/>
    </row>
    <row r="1695" ht="14.25" customHeight="1">
      <c r="B1695" s="101"/>
    </row>
    <row r="1696" ht="14.25" customHeight="1">
      <c r="B1696" s="101"/>
    </row>
    <row r="1697" ht="14.25" customHeight="1">
      <c r="B1697" s="101"/>
    </row>
    <row r="1698" ht="14.25" customHeight="1">
      <c r="B1698" s="101"/>
    </row>
    <row r="1699" ht="14.25" customHeight="1">
      <c r="B1699" s="101"/>
    </row>
    <row r="1700" ht="14.25" customHeight="1">
      <c r="B1700" s="101"/>
    </row>
    <row r="1701" ht="14.25" customHeight="1">
      <c r="B1701" s="101"/>
    </row>
    <row r="1702" ht="14.25" customHeight="1">
      <c r="B1702" s="101"/>
    </row>
    <row r="1703" ht="14.25" customHeight="1">
      <c r="B1703" s="101"/>
    </row>
    <row r="1704" ht="14.25" customHeight="1">
      <c r="B1704" s="101"/>
    </row>
    <row r="1705" ht="14.25" customHeight="1">
      <c r="B1705" s="101"/>
    </row>
    <row r="1706" ht="14.25" customHeight="1">
      <c r="B1706" s="101"/>
    </row>
    <row r="1707" ht="14.25" customHeight="1">
      <c r="B1707" s="101"/>
    </row>
    <row r="1708" ht="14.25" customHeight="1">
      <c r="B1708" s="101"/>
    </row>
    <row r="1709" ht="14.25" customHeight="1">
      <c r="B1709" s="101"/>
    </row>
    <row r="1710" ht="14.25" customHeight="1">
      <c r="B1710" s="101"/>
    </row>
    <row r="1711" ht="14.25" customHeight="1">
      <c r="B1711" s="101"/>
    </row>
    <row r="1712" ht="14.25" customHeight="1">
      <c r="B1712" s="101"/>
    </row>
    <row r="1713" ht="14.25" customHeight="1">
      <c r="B1713" s="101"/>
    </row>
    <row r="1714" ht="14.25" customHeight="1">
      <c r="B1714" s="101"/>
    </row>
    <row r="1715" ht="14.25" customHeight="1">
      <c r="B1715" s="101"/>
    </row>
    <row r="1716" ht="14.25" customHeight="1">
      <c r="B1716" s="101"/>
    </row>
    <row r="1717" ht="14.25" customHeight="1">
      <c r="B1717" s="101"/>
    </row>
    <row r="1718" ht="14.25" customHeight="1">
      <c r="B1718" s="101"/>
    </row>
    <row r="1719" ht="14.25" customHeight="1">
      <c r="B1719" s="101"/>
    </row>
    <row r="1720" ht="14.25" customHeight="1">
      <c r="B1720" s="101"/>
    </row>
    <row r="1721" ht="14.25" customHeight="1">
      <c r="B1721" s="101"/>
    </row>
    <row r="1722" ht="14.25" customHeight="1">
      <c r="B1722" s="101"/>
    </row>
    <row r="1723" ht="14.25" customHeight="1">
      <c r="B1723" s="101"/>
    </row>
    <row r="1724" ht="14.25" customHeight="1">
      <c r="B1724" s="101"/>
    </row>
    <row r="1725" ht="14.25" customHeight="1">
      <c r="B1725" s="101"/>
    </row>
    <row r="1726" ht="14.25" customHeight="1">
      <c r="B1726" s="101"/>
    </row>
    <row r="1727" ht="14.25" customHeight="1">
      <c r="B1727" s="101"/>
    </row>
    <row r="1728" ht="14.25" customHeight="1">
      <c r="B1728" s="101"/>
    </row>
    <row r="1729" ht="14.25" customHeight="1">
      <c r="B1729" s="101"/>
    </row>
    <row r="1730" ht="14.25" customHeight="1">
      <c r="B1730" s="101"/>
    </row>
    <row r="1731" ht="14.25" customHeight="1">
      <c r="B1731" s="101"/>
    </row>
    <row r="1732" ht="14.25" customHeight="1">
      <c r="B1732" s="101"/>
    </row>
    <row r="1733" ht="14.25" customHeight="1">
      <c r="B1733" s="101"/>
    </row>
    <row r="1734" ht="14.25" customHeight="1">
      <c r="B1734" s="101"/>
    </row>
    <row r="1735" ht="14.25" customHeight="1">
      <c r="B1735" s="101"/>
    </row>
    <row r="1736" ht="14.25" customHeight="1">
      <c r="B1736" s="101"/>
    </row>
    <row r="1737" ht="14.25" customHeight="1">
      <c r="B1737" s="101"/>
    </row>
    <row r="1738" ht="14.25" customHeight="1">
      <c r="B1738" s="101"/>
    </row>
    <row r="1739" ht="14.25" customHeight="1">
      <c r="B1739" s="101"/>
    </row>
    <row r="1740" ht="14.25" customHeight="1">
      <c r="B1740" s="101"/>
    </row>
    <row r="1741" ht="14.25" customHeight="1">
      <c r="B1741" s="101"/>
    </row>
    <row r="1742" ht="14.25" customHeight="1">
      <c r="B1742" s="101"/>
    </row>
    <row r="1743" ht="14.25" customHeight="1">
      <c r="B1743" s="101"/>
    </row>
    <row r="1744" ht="14.25" customHeight="1">
      <c r="B1744" s="101"/>
    </row>
    <row r="1745" ht="14.25" customHeight="1">
      <c r="B1745" s="101"/>
    </row>
    <row r="1746" ht="14.25" customHeight="1">
      <c r="B1746" s="101"/>
    </row>
    <row r="1747" ht="14.25" customHeight="1">
      <c r="B1747" s="101"/>
    </row>
    <row r="1748" ht="14.25" customHeight="1">
      <c r="B1748" s="101"/>
    </row>
    <row r="1749" ht="14.25" customHeight="1">
      <c r="B1749" s="101"/>
    </row>
    <row r="1750" ht="14.25" customHeight="1">
      <c r="B1750" s="101"/>
    </row>
    <row r="1751" ht="14.25" customHeight="1">
      <c r="B1751" s="101"/>
    </row>
    <row r="1752" ht="14.25" customHeight="1">
      <c r="B1752" s="101"/>
    </row>
    <row r="1753" ht="14.25" customHeight="1">
      <c r="B1753" s="101"/>
    </row>
    <row r="1754" ht="14.25" customHeight="1">
      <c r="B1754" s="101"/>
    </row>
    <row r="1755" ht="14.25" customHeight="1">
      <c r="B1755" s="101"/>
    </row>
    <row r="1756" ht="14.25" customHeight="1">
      <c r="B1756" s="101"/>
    </row>
    <row r="1757" ht="14.25" customHeight="1">
      <c r="B1757" s="101"/>
    </row>
    <row r="1758" ht="14.25" customHeight="1">
      <c r="B1758" s="101"/>
    </row>
    <row r="1759" ht="14.25" customHeight="1">
      <c r="B1759" s="101"/>
    </row>
    <row r="1760" ht="14.25" customHeight="1">
      <c r="B1760" s="101"/>
    </row>
    <row r="1761" ht="14.25" customHeight="1">
      <c r="B1761" s="101"/>
    </row>
    <row r="1762" ht="14.25" customHeight="1">
      <c r="B1762" s="101"/>
    </row>
    <row r="1763" ht="14.25" customHeight="1">
      <c r="B1763" s="101"/>
    </row>
    <row r="1764" ht="14.25" customHeight="1">
      <c r="B1764" s="101"/>
    </row>
    <row r="1765" ht="14.25" customHeight="1">
      <c r="B1765" s="101"/>
    </row>
    <row r="1766" ht="14.25" customHeight="1">
      <c r="B1766" s="101"/>
    </row>
    <row r="1767" ht="14.25" customHeight="1">
      <c r="B1767" s="101"/>
    </row>
    <row r="1768" ht="14.25" customHeight="1">
      <c r="B1768" s="101"/>
    </row>
    <row r="1769" ht="14.25" customHeight="1">
      <c r="B1769" s="101"/>
    </row>
    <row r="1770" ht="14.25" customHeight="1">
      <c r="B1770" s="101"/>
    </row>
    <row r="1771" ht="14.25" customHeight="1">
      <c r="B1771" s="101"/>
    </row>
    <row r="1772" ht="14.25" customHeight="1">
      <c r="B1772" s="101"/>
    </row>
    <row r="1773" ht="14.25" customHeight="1">
      <c r="B1773" s="101"/>
    </row>
    <row r="1774" ht="14.25" customHeight="1">
      <c r="B1774" s="101"/>
    </row>
    <row r="1775" ht="14.25" customHeight="1">
      <c r="B1775" s="101"/>
    </row>
    <row r="1776" ht="14.25" customHeight="1">
      <c r="B1776" s="101"/>
    </row>
    <row r="1777" ht="14.25" customHeight="1">
      <c r="B1777" s="101"/>
    </row>
    <row r="1778" ht="14.25" customHeight="1">
      <c r="B1778" s="101"/>
    </row>
    <row r="1779" ht="14.25" customHeight="1">
      <c r="B1779" s="101"/>
    </row>
    <row r="1780" ht="14.25" customHeight="1">
      <c r="B1780" s="101"/>
    </row>
    <row r="1781" ht="14.25" customHeight="1">
      <c r="B1781" s="101"/>
    </row>
    <row r="1782" ht="14.25" customHeight="1">
      <c r="B1782" s="101"/>
    </row>
    <row r="1783" ht="14.25" customHeight="1">
      <c r="B1783" s="101"/>
    </row>
    <row r="1784" ht="14.25" customHeight="1">
      <c r="B1784" s="101"/>
    </row>
    <row r="1785" ht="14.25" customHeight="1">
      <c r="B1785" s="101"/>
    </row>
    <row r="1786" ht="14.25" customHeight="1">
      <c r="B1786" s="101"/>
    </row>
    <row r="1787" ht="14.25" customHeight="1">
      <c r="B1787" s="101"/>
    </row>
    <row r="1788" ht="14.25" customHeight="1">
      <c r="B1788" s="101"/>
    </row>
    <row r="1789" ht="14.25" customHeight="1">
      <c r="B1789" s="101"/>
    </row>
    <row r="1790" ht="14.25" customHeight="1">
      <c r="B1790" s="101"/>
    </row>
    <row r="1791" ht="14.25" customHeight="1">
      <c r="B1791" s="101"/>
    </row>
    <row r="1792" ht="14.25" customHeight="1">
      <c r="B1792" s="101"/>
    </row>
    <row r="1793" ht="14.25" customHeight="1">
      <c r="B1793" s="101"/>
    </row>
    <row r="1794" ht="14.25" customHeight="1">
      <c r="B1794" s="101"/>
    </row>
    <row r="1795" ht="14.25" customHeight="1">
      <c r="B1795" s="101"/>
    </row>
    <row r="1796" ht="14.25" customHeight="1">
      <c r="B1796" s="101"/>
    </row>
    <row r="1797" ht="14.25" customHeight="1">
      <c r="B1797" s="101"/>
    </row>
    <row r="1798" ht="14.25" customHeight="1">
      <c r="B1798" s="101"/>
    </row>
    <row r="1799" ht="14.25" customHeight="1">
      <c r="B1799" s="101"/>
    </row>
    <row r="1800" ht="14.25" customHeight="1">
      <c r="B1800" s="101"/>
    </row>
    <row r="1801" ht="14.25" customHeight="1">
      <c r="B1801" s="101"/>
    </row>
    <row r="1802" ht="14.25" customHeight="1">
      <c r="B1802" s="101"/>
    </row>
    <row r="1803" ht="14.25" customHeight="1">
      <c r="B1803" s="101"/>
    </row>
    <row r="1804" ht="14.25" customHeight="1">
      <c r="B1804" s="101"/>
    </row>
    <row r="1805" ht="14.25" customHeight="1">
      <c r="B1805" s="101"/>
    </row>
    <row r="1806" ht="14.25" customHeight="1">
      <c r="B1806" s="101"/>
    </row>
    <row r="1807" ht="14.25" customHeight="1">
      <c r="B1807" s="101"/>
    </row>
    <row r="1808" ht="14.25" customHeight="1">
      <c r="B1808" s="101"/>
    </row>
    <row r="1809" ht="14.25" customHeight="1">
      <c r="B1809" s="101"/>
    </row>
    <row r="1810" ht="14.25" customHeight="1">
      <c r="B1810" s="101"/>
    </row>
    <row r="1811" ht="14.25" customHeight="1">
      <c r="B1811" s="101"/>
    </row>
    <row r="1812" ht="14.25" customHeight="1">
      <c r="B1812" s="101"/>
    </row>
    <row r="1813" ht="14.25" customHeight="1">
      <c r="B1813" s="101"/>
    </row>
    <row r="1814" ht="14.25" customHeight="1">
      <c r="B1814" s="101"/>
    </row>
    <row r="1815" ht="14.25" customHeight="1">
      <c r="B1815" s="101"/>
    </row>
    <row r="1816" ht="14.25" customHeight="1">
      <c r="B1816" s="101"/>
    </row>
    <row r="1817" ht="14.25" customHeight="1">
      <c r="B1817" s="101"/>
    </row>
    <row r="1818" ht="14.25" customHeight="1">
      <c r="B1818" s="101"/>
    </row>
    <row r="1819" ht="14.25" customHeight="1">
      <c r="B1819" s="101"/>
    </row>
    <row r="1820" ht="14.25" customHeight="1">
      <c r="B1820" s="101"/>
    </row>
    <row r="1821" ht="14.25" customHeight="1">
      <c r="B1821" s="101"/>
    </row>
    <row r="1822" ht="14.25" customHeight="1">
      <c r="B1822" s="101"/>
    </row>
    <row r="1823" ht="14.25" customHeight="1">
      <c r="B1823" s="101"/>
    </row>
    <row r="1824" ht="14.25" customHeight="1">
      <c r="B1824" s="101"/>
    </row>
    <row r="1825" ht="14.25" customHeight="1">
      <c r="B1825" s="101"/>
    </row>
    <row r="1826" ht="14.25" customHeight="1">
      <c r="B1826" s="101"/>
    </row>
    <row r="1827" ht="14.25" customHeight="1">
      <c r="B1827" s="101"/>
    </row>
    <row r="1828" ht="14.25" customHeight="1">
      <c r="B1828" s="101"/>
    </row>
    <row r="1829" ht="14.25" customHeight="1">
      <c r="B1829" s="101"/>
    </row>
    <row r="1830" ht="14.25" customHeight="1">
      <c r="B1830" s="101"/>
    </row>
    <row r="1831" ht="14.25" customHeight="1">
      <c r="B1831" s="101"/>
    </row>
    <row r="1832" ht="14.25" customHeight="1">
      <c r="B1832" s="101"/>
    </row>
    <row r="1833" ht="14.25" customHeight="1">
      <c r="B1833" s="101"/>
    </row>
    <row r="1834" ht="14.25" customHeight="1">
      <c r="B1834" s="101"/>
    </row>
    <row r="1835" ht="14.25" customHeight="1">
      <c r="B1835" s="101"/>
    </row>
    <row r="1836" ht="14.25" customHeight="1">
      <c r="B1836" s="101"/>
    </row>
    <row r="1837" ht="14.25" customHeight="1">
      <c r="B1837" s="101"/>
    </row>
    <row r="1838" ht="14.25" customHeight="1">
      <c r="B1838" s="101"/>
    </row>
    <row r="1839" ht="14.25" customHeight="1">
      <c r="B1839" s="101"/>
    </row>
    <row r="1840" ht="14.25" customHeight="1">
      <c r="B1840" s="101"/>
    </row>
    <row r="1841" ht="14.25" customHeight="1">
      <c r="B1841" s="101"/>
    </row>
    <row r="1842" ht="14.25" customHeight="1">
      <c r="B1842" s="101"/>
    </row>
    <row r="1843" ht="14.25" customHeight="1">
      <c r="B1843" s="101"/>
    </row>
    <row r="1844" ht="14.25" customHeight="1">
      <c r="B1844" s="101"/>
    </row>
    <row r="1845" ht="14.25" customHeight="1">
      <c r="B1845" s="101"/>
    </row>
    <row r="1846" ht="14.25" customHeight="1">
      <c r="B1846" s="101"/>
    </row>
    <row r="1847" ht="14.25" customHeight="1">
      <c r="B1847" s="101"/>
    </row>
    <row r="1848" ht="14.25" customHeight="1">
      <c r="B1848" s="101"/>
    </row>
    <row r="1849" ht="14.25" customHeight="1">
      <c r="B1849" s="101"/>
    </row>
    <row r="1850" ht="14.25" customHeight="1">
      <c r="B1850" s="101"/>
    </row>
    <row r="1851" ht="14.25" customHeight="1">
      <c r="B1851" s="101"/>
    </row>
    <row r="1852" ht="14.25" customHeight="1">
      <c r="B1852" s="101"/>
    </row>
    <row r="1853" ht="14.25" customHeight="1">
      <c r="B1853" s="101"/>
    </row>
    <row r="1854" ht="14.25" customHeight="1">
      <c r="B1854" s="101"/>
    </row>
    <row r="1855" ht="14.25" customHeight="1">
      <c r="B1855" s="101"/>
    </row>
    <row r="1856" ht="14.25" customHeight="1">
      <c r="B1856" s="101"/>
    </row>
    <row r="1857" ht="14.25" customHeight="1">
      <c r="B1857" s="101"/>
    </row>
    <row r="1858" ht="14.25" customHeight="1">
      <c r="B1858" s="101"/>
    </row>
    <row r="1859" ht="14.25" customHeight="1">
      <c r="B1859" s="101"/>
    </row>
    <row r="1860" ht="14.25" customHeight="1">
      <c r="B1860" s="101"/>
    </row>
    <row r="1861" ht="14.25" customHeight="1">
      <c r="B1861" s="101"/>
    </row>
    <row r="1862" ht="14.25" customHeight="1">
      <c r="B1862" s="101"/>
    </row>
    <row r="1863" ht="14.25" customHeight="1">
      <c r="B1863" s="101"/>
    </row>
    <row r="1864" ht="14.25" customHeight="1">
      <c r="B1864" s="101"/>
    </row>
    <row r="1865" ht="14.25" customHeight="1">
      <c r="B1865" s="101"/>
    </row>
    <row r="1866" ht="14.25" customHeight="1">
      <c r="B1866" s="101"/>
    </row>
    <row r="1867" ht="14.25" customHeight="1">
      <c r="B1867" s="101"/>
    </row>
    <row r="1868" ht="14.25" customHeight="1">
      <c r="B1868" s="101"/>
    </row>
    <row r="1869" ht="14.25" customHeight="1">
      <c r="B1869" s="101"/>
    </row>
    <row r="1870" ht="14.25" customHeight="1">
      <c r="B1870" s="101"/>
    </row>
    <row r="1871" ht="14.25" customHeight="1">
      <c r="B1871" s="101"/>
    </row>
    <row r="1872" ht="14.25" customHeight="1">
      <c r="B1872" s="101"/>
    </row>
    <row r="1873" ht="14.25" customHeight="1">
      <c r="B1873" s="101"/>
    </row>
    <row r="1874" ht="14.25" customHeight="1">
      <c r="B1874" s="101"/>
    </row>
    <row r="1875" ht="14.25" customHeight="1">
      <c r="B1875" s="101"/>
    </row>
    <row r="1876" ht="14.25" customHeight="1">
      <c r="B1876" s="101"/>
    </row>
    <row r="1877" ht="14.25" customHeight="1">
      <c r="B1877" s="101"/>
    </row>
    <row r="1878" ht="14.25" customHeight="1">
      <c r="B1878" s="101"/>
    </row>
    <row r="1879" ht="14.25" customHeight="1">
      <c r="B1879" s="101"/>
    </row>
    <row r="1880" ht="14.25" customHeight="1">
      <c r="B1880" s="101"/>
    </row>
    <row r="1881" ht="14.25" customHeight="1">
      <c r="B1881" s="101"/>
    </row>
    <row r="1882" ht="14.25" customHeight="1">
      <c r="B1882" s="101"/>
    </row>
    <row r="1883" ht="14.25" customHeight="1">
      <c r="B1883" s="101"/>
    </row>
    <row r="1884" ht="14.25" customHeight="1">
      <c r="B1884" s="101"/>
    </row>
    <row r="1885" ht="14.25" customHeight="1">
      <c r="B1885" s="101"/>
    </row>
    <row r="1886" ht="14.25" customHeight="1">
      <c r="B1886" s="101"/>
    </row>
    <row r="1887" ht="14.25" customHeight="1">
      <c r="B1887" s="101"/>
    </row>
    <row r="1888" ht="14.25" customHeight="1">
      <c r="B1888" s="101"/>
    </row>
    <row r="1889" ht="14.25" customHeight="1">
      <c r="B1889" s="101"/>
    </row>
    <row r="1890" ht="14.25" customHeight="1">
      <c r="B1890" s="101"/>
    </row>
    <row r="1891" ht="14.25" customHeight="1">
      <c r="B1891" s="101"/>
    </row>
    <row r="1892" ht="14.25" customHeight="1">
      <c r="B1892" s="101"/>
    </row>
    <row r="1893" ht="14.25" customHeight="1">
      <c r="B1893" s="101"/>
    </row>
    <row r="1894" ht="14.25" customHeight="1">
      <c r="B1894" s="101"/>
    </row>
    <row r="1895" ht="14.25" customHeight="1">
      <c r="B1895" s="101"/>
    </row>
    <row r="1896" ht="14.25" customHeight="1">
      <c r="B1896" s="101"/>
    </row>
    <row r="1897" ht="14.25" customHeight="1">
      <c r="B1897" s="101"/>
    </row>
    <row r="1898" ht="14.25" customHeight="1">
      <c r="B1898" s="101"/>
    </row>
    <row r="1899" ht="14.25" customHeight="1">
      <c r="B1899" s="101"/>
    </row>
    <row r="1900" ht="14.25" customHeight="1">
      <c r="B1900" s="101"/>
    </row>
    <row r="1901" ht="14.25" customHeight="1">
      <c r="B1901" s="101"/>
    </row>
    <row r="1902" ht="14.25" customHeight="1">
      <c r="B1902" s="101"/>
    </row>
    <row r="1903" ht="14.25" customHeight="1">
      <c r="B1903" s="101"/>
    </row>
    <row r="1904" ht="14.25" customHeight="1">
      <c r="B1904" s="101"/>
    </row>
    <row r="1905" ht="14.25" customHeight="1">
      <c r="B1905" s="101"/>
    </row>
    <row r="1906" ht="14.25" customHeight="1">
      <c r="B1906" s="101"/>
    </row>
    <row r="1907" ht="14.25" customHeight="1">
      <c r="B1907" s="101"/>
    </row>
    <row r="1908" ht="14.25" customHeight="1">
      <c r="B1908" s="101"/>
    </row>
    <row r="1909" ht="14.25" customHeight="1">
      <c r="B1909" s="101"/>
    </row>
    <row r="1910" ht="14.25" customHeight="1">
      <c r="B1910" s="101"/>
    </row>
    <row r="1911" ht="14.25" customHeight="1">
      <c r="B1911" s="101"/>
    </row>
    <row r="1912" ht="14.25" customHeight="1">
      <c r="B1912" s="101"/>
    </row>
    <row r="1913" ht="14.25" customHeight="1">
      <c r="B1913" s="101"/>
    </row>
    <row r="1914" ht="14.25" customHeight="1">
      <c r="B1914" s="101"/>
    </row>
    <row r="1915" ht="14.25" customHeight="1">
      <c r="B1915" s="101"/>
    </row>
    <row r="1916" ht="14.25" customHeight="1">
      <c r="B1916" s="101"/>
    </row>
    <row r="1917" ht="14.25" customHeight="1">
      <c r="B1917" s="101"/>
    </row>
    <row r="1918" ht="14.25" customHeight="1">
      <c r="B1918" s="101"/>
    </row>
    <row r="1919" ht="14.25" customHeight="1">
      <c r="B1919" s="101"/>
    </row>
    <row r="1920" ht="14.25" customHeight="1">
      <c r="B1920" s="101"/>
    </row>
    <row r="1921" ht="14.25" customHeight="1">
      <c r="B1921" s="101"/>
    </row>
    <row r="1922" ht="14.25" customHeight="1">
      <c r="B1922" s="101"/>
    </row>
    <row r="1923" ht="14.25" customHeight="1">
      <c r="B1923" s="101"/>
    </row>
    <row r="1924" ht="14.25" customHeight="1">
      <c r="B1924" s="101"/>
    </row>
    <row r="1925" ht="14.25" customHeight="1">
      <c r="B1925" s="101"/>
    </row>
    <row r="1926" ht="14.25" customHeight="1">
      <c r="B1926" s="101"/>
    </row>
    <row r="1927" ht="14.25" customHeight="1">
      <c r="B1927" s="101"/>
    </row>
    <row r="1928" ht="14.25" customHeight="1">
      <c r="B1928" s="101"/>
    </row>
    <row r="1929" ht="14.25" customHeight="1">
      <c r="B1929" s="101"/>
    </row>
    <row r="1930" ht="14.25" customHeight="1">
      <c r="B1930" s="101"/>
    </row>
    <row r="1931" ht="14.25" customHeight="1">
      <c r="B1931" s="101"/>
    </row>
    <row r="1932" ht="14.25" customHeight="1">
      <c r="B1932" s="101"/>
    </row>
    <row r="1933" ht="14.25" customHeight="1">
      <c r="B1933" s="101"/>
    </row>
    <row r="1934" ht="14.25" customHeight="1">
      <c r="B1934" s="101"/>
    </row>
    <row r="1935" ht="14.25" customHeight="1">
      <c r="B1935" s="101"/>
    </row>
    <row r="1936" ht="14.25" customHeight="1">
      <c r="B1936" s="101"/>
    </row>
    <row r="1937" ht="14.25" customHeight="1">
      <c r="B1937" s="101"/>
    </row>
    <row r="1938" ht="14.25" customHeight="1">
      <c r="B1938" s="101"/>
    </row>
    <row r="1939" ht="14.25" customHeight="1">
      <c r="B1939" s="101"/>
    </row>
    <row r="1940" ht="14.25" customHeight="1">
      <c r="B1940" s="101"/>
    </row>
    <row r="1941" ht="14.25" customHeight="1">
      <c r="B1941" s="101"/>
    </row>
    <row r="1942" ht="14.25" customHeight="1">
      <c r="B1942" s="101"/>
    </row>
    <row r="1943" ht="14.25" customHeight="1">
      <c r="B1943" s="101"/>
    </row>
    <row r="1944" ht="14.25" customHeight="1">
      <c r="B1944" s="101"/>
    </row>
    <row r="1945" ht="14.25" customHeight="1">
      <c r="B1945" s="101"/>
    </row>
    <row r="1946" ht="14.25" customHeight="1">
      <c r="B1946" s="101"/>
    </row>
    <row r="1947" ht="14.25" customHeight="1">
      <c r="B1947" s="101"/>
    </row>
    <row r="1948" ht="14.25" customHeight="1">
      <c r="B1948" s="101"/>
    </row>
    <row r="1949" ht="14.25" customHeight="1">
      <c r="B1949" s="101"/>
    </row>
    <row r="1950" ht="14.25" customHeight="1">
      <c r="B1950" s="101"/>
    </row>
    <row r="1951" ht="14.25" customHeight="1">
      <c r="B1951" s="101"/>
    </row>
    <row r="1952" ht="14.25" customHeight="1">
      <c r="B1952" s="101"/>
    </row>
    <row r="1953" ht="14.25" customHeight="1">
      <c r="B1953" s="101"/>
    </row>
    <row r="1954" ht="14.25" customHeight="1">
      <c r="B1954" s="101"/>
    </row>
    <row r="1955" ht="14.25" customHeight="1">
      <c r="B1955" s="101"/>
    </row>
    <row r="1956" ht="14.25" customHeight="1">
      <c r="B1956" s="101"/>
    </row>
    <row r="1957" ht="14.25" customHeight="1">
      <c r="B1957" s="101"/>
    </row>
    <row r="1958" ht="14.25" customHeight="1">
      <c r="B1958" s="101"/>
    </row>
    <row r="1959" ht="14.25" customHeight="1">
      <c r="B1959" s="101"/>
    </row>
    <row r="1960" ht="14.25" customHeight="1">
      <c r="B1960" s="101"/>
    </row>
    <row r="1961" ht="14.25" customHeight="1">
      <c r="B1961" s="101"/>
    </row>
    <row r="1962" ht="14.25" customHeight="1">
      <c r="B1962" s="101"/>
    </row>
    <row r="1963" ht="14.25" customHeight="1">
      <c r="B1963" s="101"/>
    </row>
    <row r="1964" ht="14.25" customHeight="1">
      <c r="B1964" s="101"/>
    </row>
    <row r="1965" ht="14.25" customHeight="1">
      <c r="B1965" s="101"/>
    </row>
    <row r="1966" ht="14.25" customHeight="1">
      <c r="B1966" s="101"/>
    </row>
    <row r="1967" ht="14.25" customHeight="1">
      <c r="B1967" s="101"/>
    </row>
    <row r="1968" ht="14.25" customHeight="1">
      <c r="B1968" s="101"/>
    </row>
    <row r="1969" ht="14.25" customHeight="1">
      <c r="B1969" s="101"/>
    </row>
    <row r="1970" ht="14.25" customHeight="1">
      <c r="B1970" s="101"/>
    </row>
    <row r="1971" ht="14.25" customHeight="1">
      <c r="B1971" s="101"/>
    </row>
    <row r="1972" ht="14.25" customHeight="1">
      <c r="B1972" s="101"/>
    </row>
    <row r="1973" ht="14.25" customHeight="1">
      <c r="B1973" s="101"/>
    </row>
    <row r="1974" ht="14.25" customHeight="1">
      <c r="B1974" s="101"/>
    </row>
    <row r="1975" ht="14.25" customHeight="1">
      <c r="B1975" s="101"/>
    </row>
    <row r="1976" ht="14.25" customHeight="1">
      <c r="B1976" s="101"/>
    </row>
    <row r="1977" ht="14.25" customHeight="1">
      <c r="B1977" s="101"/>
    </row>
    <row r="1978" ht="14.25" customHeight="1">
      <c r="B1978" s="101"/>
    </row>
    <row r="1979" ht="14.25" customHeight="1">
      <c r="B1979" s="101"/>
    </row>
    <row r="1980" ht="14.25" customHeight="1">
      <c r="B1980" s="101"/>
    </row>
    <row r="1981" ht="14.25" customHeight="1">
      <c r="B1981" s="101"/>
    </row>
    <row r="1982" ht="14.25" customHeight="1">
      <c r="B1982" s="101"/>
    </row>
    <row r="1983" ht="14.25" customHeight="1">
      <c r="B1983" s="101"/>
    </row>
    <row r="1984" ht="14.25" customHeight="1">
      <c r="B1984" s="101"/>
    </row>
    <row r="1985" ht="14.25" customHeight="1">
      <c r="B1985" s="101"/>
    </row>
    <row r="1986" ht="14.25" customHeight="1">
      <c r="B1986" s="101"/>
    </row>
    <row r="1987" ht="14.25" customHeight="1">
      <c r="B1987" s="101"/>
    </row>
    <row r="1988" ht="14.25" customHeight="1">
      <c r="B1988" s="101"/>
    </row>
    <row r="1989" ht="14.25" customHeight="1">
      <c r="B1989" s="101"/>
    </row>
    <row r="1990" ht="14.25" customHeight="1">
      <c r="B1990" s="101"/>
    </row>
    <row r="1991" ht="14.25" customHeight="1">
      <c r="B1991" s="101"/>
    </row>
    <row r="1992" ht="14.25" customHeight="1">
      <c r="B1992" s="101"/>
    </row>
    <row r="1993" ht="14.25" customHeight="1">
      <c r="B1993" s="101"/>
    </row>
    <row r="1994" ht="14.25" customHeight="1">
      <c r="B1994" s="101"/>
    </row>
    <row r="1995" ht="14.25" customHeight="1">
      <c r="B1995" s="101"/>
    </row>
    <row r="1996" ht="14.25" customHeight="1">
      <c r="B1996" s="101"/>
    </row>
    <row r="1997" ht="14.25" customHeight="1">
      <c r="B1997" s="101"/>
    </row>
    <row r="1998" ht="14.25" customHeight="1">
      <c r="B1998" s="101"/>
    </row>
    <row r="1999" ht="14.25" customHeight="1">
      <c r="B1999" s="101"/>
    </row>
    <row r="2000" ht="14.25" customHeight="1">
      <c r="B2000" s="101"/>
    </row>
    <row r="2001" ht="14.25" customHeight="1">
      <c r="B2001" s="101"/>
    </row>
    <row r="2002" ht="14.25" customHeight="1">
      <c r="B2002" s="101"/>
    </row>
    <row r="2003" ht="14.25" customHeight="1">
      <c r="B2003" s="101"/>
    </row>
    <row r="2004" ht="14.25" customHeight="1">
      <c r="B2004" s="101"/>
    </row>
    <row r="2005" ht="14.25" customHeight="1">
      <c r="B2005" s="101"/>
    </row>
    <row r="2006" ht="14.25" customHeight="1">
      <c r="B2006" s="101"/>
    </row>
    <row r="2007" ht="14.25" customHeight="1">
      <c r="B2007" s="101"/>
    </row>
    <row r="2008" ht="14.25" customHeight="1">
      <c r="B2008" s="101"/>
    </row>
    <row r="2009" ht="14.25" customHeight="1">
      <c r="B2009" s="101"/>
    </row>
    <row r="2010" ht="14.25" customHeight="1">
      <c r="B2010" s="101"/>
    </row>
    <row r="2011" ht="14.25" customHeight="1">
      <c r="B2011" s="101"/>
    </row>
    <row r="2012" ht="14.25" customHeight="1">
      <c r="B2012" s="101"/>
    </row>
    <row r="2013" ht="14.25" customHeight="1">
      <c r="B2013" s="101"/>
    </row>
    <row r="2014" ht="14.25" customHeight="1">
      <c r="B2014" s="101"/>
    </row>
    <row r="2015" ht="14.25" customHeight="1">
      <c r="B2015" s="101"/>
    </row>
    <row r="2016" ht="14.25" customHeight="1">
      <c r="B2016" s="101"/>
    </row>
    <row r="2017" ht="14.25" customHeight="1">
      <c r="B2017" s="101"/>
    </row>
    <row r="2018" ht="14.25" customHeight="1">
      <c r="B2018" s="101"/>
    </row>
    <row r="2019" ht="14.25" customHeight="1">
      <c r="B2019" s="101"/>
    </row>
    <row r="2020" ht="14.25" customHeight="1">
      <c r="B2020" s="101"/>
    </row>
    <row r="2021" ht="14.25" customHeight="1">
      <c r="B2021" s="101"/>
    </row>
    <row r="2022" ht="14.25" customHeight="1">
      <c r="B2022" s="101"/>
    </row>
    <row r="2023" ht="14.25" customHeight="1">
      <c r="B2023" s="101"/>
    </row>
    <row r="2024" ht="14.25" customHeight="1">
      <c r="B2024" s="101"/>
    </row>
    <row r="2025" ht="14.25" customHeight="1">
      <c r="B2025" s="101"/>
    </row>
    <row r="2026" ht="14.25" customHeight="1">
      <c r="B2026" s="101"/>
    </row>
    <row r="2027" ht="14.25" customHeight="1">
      <c r="B2027" s="101"/>
    </row>
    <row r="2028" ht="14.25" customHeight="1">
      <c r="B2028" s="101"/>
    </row>
    <row r="2029" ht="14.25" customHeight="1">
      <c r="B2029" s="101"/>
    </row>
    <row r="2030" ht="14.25" customHeight="1">
      <c r="B2030" s="101"/>
    </row>
    <row r="2031" ht="14.25" customHeight="1">
      <c r="B2031" s="101"/>
    </row>
    <row r="2032" ht="14.25" customHeight="1">
      <c r="B2032" s="101"/>
    </row>
    <row r="2033" ht="14.25" customHeight="1">
      <c r="B2033" s="101"/>
    </row>
    <row r="2034" ht="14.25" customHeight="1">
      <c r="B2034" s="101"/>
    </row>
    <row r="2035" ht="14.25" customHeight="1">
      <c r="B2035" s="101"/>
    </row>
    <row r="2036" ht="14.25" customHeight="1">
      <c r="B2036" s="101"/>
    </row>
    <row r="2037" ht="14.25" customHeight="1">
      <c r="B2037" s="101"/>
    </row>
    <row r="2038" ht="14.25" customHeight="1">
      <c r="B2038" s="101"/>
    </row>
    <row r="2039" ht="14.25" customHeight="1">
      <c r="B2039" s="101"/>
    </row>
    <row r="2040" ht="14.25" customHeight="1">
      <c r="B2040" s="101"/>
    </row>
    <row r="2041" ht="14.25" customHeight="1">
      <c r="B2041" s="101"/>
    </row>
    <row r="2042" ht="14.25" customHeight="1">
      <c r="B2042" s="101"/>
    </row>
    <row r="2043" ht="14.25" customHeight="1">
      <c r="B2043" s="101"/>
    </row>
    <row r="2044" ht="14.25" customHeight="1">
      <c r="B2044" s="101"/>
    </row>
    <row r="2045" ht="14.25" customHeight="1">
      <c r="B2045" s="101"/>
    </row>
    <row r="2046" ht="14.25" customHeight="1">
      <c r="B2046" s="101"/>
    </row>
    <row r="2047" ht="14.25" customHeight="1">
      <c r="B2047" s="101"/>
    </row>
    <row r="2048" ht="14.25" customHeight="1">
      <c r="B2048" s="101"/>
    </row>
    <row r="2049" ht="14.25" customHeight="1">
      <c r="B2049" s="101"/>
    </row>
    <row r="2050" ht="14.25" customHeight="1">
      <c r="B2050" s="101"/>
    </row>
    <row r="2051" ht="14.25" customHeight="1">
      <c r="B2051" s="101"/>
    </row>
    <row r="2052" ht="14.25" customHeight="1">
      <c r="B2052" s="101"/>
    </row>
    <row r="2053" ht="14.25" customHeight="1">
      <c r="B2053" s="101"/>
    </row>
    <row r="2054" ht="14.25" customHeight="1">
      <c r="B2054" s="101"/>
    </row>
    <row r="2055" ht="14.25" customHeight="1">
      <c r="B2055" s="101"/>
    </row>
    <row r="2056" ht="14.25" customHeight="1">
      <c r="B2056" s="101"/>
    </row>
    <row r="2057" ht="14.25" customHeight="1">
      <c r="B2057" s="101"/>
    </row>
    <row r="2058" ht="14.25" customHeight="1">
      <c r="B2058" s="101"/>
    </row>
    <row r="2059" ht="14.25" customHeight="1">
      <c r="B2059" s="101"/>
    </row>
    <row r="2060" ht="14.25" customHeight="1">
      <c r="B2060" s="101"/>
    </row>
    <row r="2061" ht="14.25" customHeight="1">
      <c r="B2061" s="101"/>
    </row>
    <row r="2062" ht="14.25" customHeight="1">
      <c r="B2062" s="101"/>
    </row>
    <row r="2063" ht="14.25" customHeight="1">
      <c r="B2063" s="101"/>
    </row>
    <row r="2064" ht="14.25" customHeight="1">
      <c r="B2064" s="101"/>
    </row>
    <row r="2065" ht="14.25" customHeight="1">
      <c r="B2065" s="101"/>
    </row>
    <row r="2066" ht="14.25" customHeight="1">
      <c r="B2066" s="101"/>
    </row>
    <row r="2067" ht="14.25" customHeight="1">
      <c r="B2067" s="101"/>
    </row>
    <row r="2068" ht="14.25" customHeight="1">
      <c r="B2068" s="101"/>
    </row>
    <row r="2069" ht="14.25" customHeight="1">
      <c r="B2069" s="101"/>
    </row>
    <row r="2070" ht="14.25" customHeight="1">
      <c r="B2070" s="101"/>
    </row>
    <row r="2071" ht="14.25" customHeight="1">
      <c r="B2071" s="101"/>
    </row>
    <row r="2072" ht="14.25" customHeight="1">
      <c r="B2072" s="101"/>
    </row>
    <row r="2073" ht="14.25" customHeight="1">
      <c r="B2073" s="101"/>
    </row>
    <row r="2074" ht="14.25" customHeight="1">
      <c r="B2074" s="101"/>
    </row>
    <row r="2075" ht="14.25" customHeight="1">
      <c r="B2075" s="101"/>
    </row>
    <row r="2076" ht="14.25" customHeight="1">
      <c r="B2076" s="101"/>
    </row>
    <row r="2077" ht="14.25" customHeight="1">
      <c r="B2077" s="101"/>
    </row>
    <row r="2078" ht="14.25" customHeight="1">
      <c r="B2078" s="101"/>
    </row>
    <row r="2079" ht="14.25" customHeight="1">
      <c r="B2079" s="101"/>
    </row>
    <row r="2080" ht="14.25" customHeight="1">
      <c r="B2080" s="101"/>
    </row>
    <row r="2081" ht="14.25" customHeight="1">
      <c r="B2081" s="101"/>
    </row>
    <row r="2082" ht="14.25" customHeight="1">
      <c r="B2082" s="101"/>
    </row>
    <row r="2083" ht="14.25" customHeight="1">
      <c r="B2083" s="101"/>
    </row>
    <row r="2084" ht="14.25" customHeight="1">
      <c r="B2084" s="101"/>
    </row>
    <row r="2085" ht="14.25" customHeight="1">
      <c r="B2085" s="101"/>
    </row>
    <row r="2086" ht="14.25" customHeight="1">
      <c r="B2086" s="101"/>
    </row>
    <row r="2087" ht="14.25" customHeight="1">
      <c r="B2087" s="101"/>
    </row>
    <row r="2088" ht="14.25" customHeight="1">
      <c r="B2088" s="101"/>
    </row>
    <row r="2089" ht="14.25" customHeight="1">
      <c r="B2089" s="101"/>
    </row>
    <row r="2090" ht="14.25" customHeight="1">
      <c r="B2090" s="101"/>
    </row>
    <row r="2091" ht="14.25" customHeight="1">
      <c r="B2091" s="101"/>
    </row>
    <row r="2092" ht="14.25" customHeight="1">
      <c r="B2092" s="101"/>
    </row>
    <row r="2093" ht="14.25" customHeight="1">
      <c r="B2093" s="101"/>
    </row>
    <row r="2094" ht="14.25" customHeight="1">
      <c r="B2094" s="101"/>
    </row>
    <row r="2095" ht="14.25" customHeight="1">
      <c r="B2095" s="101"/>
    </row>
    <row r="2096" ht="14.25" customHeight="1">
      <c r="B2096" s="101"/>
    </row>
    <row r="2097" ht="14.25" customHeight="1">
      <c r="B2097" s="101"/>
    </row>
    <row r="2098" ht="14.25" customHeight="1">
      <c r="B2098" s="101"/>
    </row>
    <row r="2099" ht="14.25" customHeight="1">
      <c r="B2099" s="101"/>
    </row>
    <row r="2100" ht="14.25" customHeight="1">
      <c r="B2100" s="101"/>
    </row>
    <row r="2101" ht="14.25" customHeight="1">
      <c r="B2101" s="101"/>
    </row>
    <row r="2102" ht="14.25" customHeight="1">
      <c r="B2102" s="101"/>
    </row>
    <row r="2103" ht="14.25" customHeight="1">
      <c r="B2103" s="101"/>
    </row>
    <row r="2104" ht="14.25" customHeight="1">
      <c r="B2104" s="101"/>
    </row>
    <row r="2105" ht="14.25" customHeight="1">
      <c r="B2105" s="101"/>
    </row>
    <row r="2106" ht="14.25" customHeight="1">
      <c r="B2106" s="101"/>
    </row>
    <row r="2107" ht="14.25" customHeight="1">
      <c r="B2107" s="101"/>
    </row>
    <row r="2108" ht="14.25" customHeight="1">
      <c r="B2108" s="101"/>
    </row>
    <row r="2109" ht="14.25" customHeight="1">
      <c r="B2109" s="101"/>
    </row>
    <row r="2110" ht="14.25" customHeight="1">
      <c r="B2110" s="101"/>
    </row>
    <row r="2111" ht="14.25" customHeight="1">
      <c r="B2111" s="101"/>
    </row>
    <row r="2112" ht="14.25" customHeight="1">
      <c r="B2112" s="101"/>
    </row>
    <row r="2113" ht="14.25" customHeight="1">
      <c r="B2113" s="101"/>
    </row>
    <row r="2114" ht="14.25" customHeight="1">
      <c r="B2114" s="101"/>
    </row>
    <row r="2115" ht="14.25" customHeight="1">
      <c r="B2115" s="101"/>
    </row>
    <row r="2116" ht="14.25" customHeight="1">
      <c r="B2116" s="101"/>
    </row>
    <row r="2117" ht="14.25" customHeight="1">
      <c r="B2117" s="101"/>
    </row>
    <row r="2118" ht="14.25" customHeight="1">
      <c r="B2118" s="101"/>
    </row>
    <row r="2119" ht="14.25" customHeight="1">
      <c r="B2119" s="101"/>
    </row>
    <row r="2120" ht="14.25" customHeight="1">
      <c r="B2120" s="101"/>
    </row>
    <row r="2121" ht="14.25" customHeight="1">
      <c r="B2121" s="101"/>
    </row>
    <row r="2122" ht="14.25" customHeight="1">
      <c r="B2122" s="101"/>
    </row>
    <row r="2123" ht="14.25" customHeight="1">
      <c r="B2123" s="101"/>
    </row>
    <row r="2124" ht="14.25" customHeight="1">
      <c r="B2124" s="101"/>
    </row>
    <row r="2125" ht="14.25" customHeight="1">
      <c r="B2125" s="101"/>
    </row>
    <row r="2126" ht="14.25" customHeight="1">
      <c r="B2126" s="101"/>
    </row>
    <row r="2127" ht="14.25" customHeight="1">
      <c r="B2127" s="101"/>
    </row>
    <row r="2128" ht="14.25" customHeight="1">
      <c r="B2128" s="101"/>
    </row>
    <row r="2129" ht="14.25" customHeight="1">
      <c r="B2129" s="101"/>
    </row>
    <row r="2130" ht="14.25" customHeight="1">
      <c r="B2130" s="101"/>
    </row>
    <row r="2131" ht="14.25" customHeight="1">
      <c r="B2131" s="101"/>
    </row>
    <row r="2132" ht="14.25" customHeight="1">
      <c r="B2132" s="101"/>
    </row>
    <row r="2133" ht="14.25" customHeight="1">
      <c r="B2133" s="101"/>
    </row>
    <row r="2134" ht="14.25" customHeight="1">
      <c r="B2134" s="101"/>
    </row>
    <row r="2135" ht="14.25" customHeight="1">
      <c r="B2135" s="101"/>
    </row>
    <row r="2136" ht="14.25" customHeight="1">
      <c r="B2136" s="101"/>
    </row>
    <row r="2137" ht="14.25" customHeight="1">
      <c r="B2137" s="101"/>
    </row>
    <row r="2138" ht="14.25" customHeight="1">
      <c r="B2138" s="101"/>
    </row>
    <row r="2139" ht="14.25" customHeight="1">
      <c r="B2139" s="101"/>
    </row>
    <row r="2140" ht="14.25" customHeight="1">
      <c r="B2140" s="101"/>
    </row>
    <row r="2141" ht="14.25" customHeight="1">
      <c r="B2141" s="101"/>
    </row>
    <row r="2142" ht="14.25" customHeight="1">
      <c r="B2142" s="101"/>
    </row>
    <row r="2143" ht="14.25" customHeight="1">
      <c r="B2143" s="101"/>
    </row>
    <row r="2144" ht="14.25" customHeight="1">
      <c r="B2144" s="101"/>
    </row>
    <row r="2145" ht="14.25" customHeight="1">
      <c r="B2145" s="101"/>
    </row>
    <row r="2146" ht="14.25" customHeight="1">
      <c r="B2146" s="101"/>
    </row>
    <row r="2147" ht="14.25" customHeight="1">
      <c r="B2147" s="101"/>
    </row>
    <row r="2148" ht="14.25" customHeight="1">
      <c r="B2148" s="101"/>
    </row>
    <row r="2149" ht="14.25" customHeight="1">
      <c r="B2149" s="101"/>
    </row>
    <row r="2150" ht="14.25" customHeight="1">
      <c r="B2150" s="101"/>
    </row>
    <row r="2151" ht="14.25" customHeight="1">
      <c r="B2151" s="101"/>
    </row>
    <row r="2152" ht="14.25" customHeight="1">
      <c r="B2152" s="101"/>
    </row>
    <row r="2153" ht="14.25" customHeight="1">
      <c r="B2153" s="101"/>
    </row>
    <row r="2154" ht="14.25" customHeight="1">
      <c r="B2154" s="101"/>
    </row>
    <row r="2155" ht="14.25" customHeight="1">
      <c r="B2155" s="101"/>
    </row>
    <row r="2156" ht="14.25" customHeight="1">
      <c r="B2156" s="101"/>
    </row>
    <row r="2157" ht="14.25" customHeight="1">
      <c r="B2157" s="101"/>
    </row>
    <row r="2158" ht="14.25" customHeight="1">
      <c r="B2158" s="101"/>
    </row>
    <row r="2159" ht="14.25" customHeight="1">
      <c r="B2159" s="101"/>
    </row>
    <row r="2160" ht="14.25" customHeight="1">
      <c r="B2160" s="101"/>
    </row>
    <row r="2161" ht="14.25" customHeight="1">
      <c r="B2161" s="101"/>
    </row>
    <row r="2162" ht="14.25" customHeight="1">
      <c r="B2162" s="101"/>
    </row>
    <row r="2163" ht="14.25" customHeight="1">
      <c r="B2163" s="101"/>
    </row>
    <row r="2164" ht="14.25" customHeight="1">
      <c r="B2164" s="101"/>
    </row>
    <row r="2165" ht="14.25" customHeight="1">
      <c r="B2165" s="101"/>
    </row>
    <row r="2166" ht="14.25" customHeight="1">
      <c r="B2166" s="101"/>
    </row>
    <row r="2167" ht="14.25" customHeight="1">
      <c r="B2167" s="101"/>
    </row>
    <row r="2168" ht="14.25" customHeight="1">
      <c r="B2168" s="101"/>
    </row>
    <row r="2169" ht="14.25" customHeight="1">
      <c r="B2169" s="101"/>
    </row>
    <row r="2170" ht="14.25" customHeight="1">
      <c r="B2170" s="101"/>
    </row>
    <row r="2171" ht="14.25" customHeight="1">
      <c r="B2171" s="101"/>
    </row>
    <row r="2172" ht="14.25" customHeight="1">
      <c r="B2172" s="101"/>
    </row>
    <row r="2173" ht="14.25" customHeight="1">
      <c r="B2173" s="101"/>
    </row>
    <row r="2174" ht="14.25" customHeight="1">
      <c r="B2174" s="101"/>
    </row>
    <row r="2175" ht="14.25" customHeight="1">
      <c r="B2175" s="101"/>
    </row>
    <row r="2176" ht="14.25" customHeight="1">
      <c r="B2176" s="101"/>
    </row>
    <row r="2177" ht="14.25" customHeight="1">
      <c r="B2177" s="101"/>
    </row>
    <row r="2178" ht="14.25" customHeight="1">
      <c r="B2178" s="101"/>
    </row>
    <row r="2179" ht="14.25" customHeight="1">
      <c r="B2179" s="101"/>
    </row>
    <row r="2180" ht="14.25" customHeight="1">
      <c r="B2180" s="101"/>
    </row>
    <row r="2181" ht="14.25" customHeight="1">
      <c r="B2181" s="101"/>
    </row>
    <row r="2182" ht="14.25" customHeight="1">
      <c r="B2182" s="101"/>
    </row>
    <row r="2183" ht="14.25" customHeight="1">
      <c r="B2183" s="101"/>
    </row>
    <row r="2184" ht="14.25" customHeight="1">
      <c r="B2184" s="101"/>
    </row>
    <row r="2185" ht="14.25" customHeight="1">
      <c r="B2185" s="101"/>
    </row>
    <row r="2186" ht="14.25" customHeight="1">
      <c r="B2186" s="101"/>
    </row>
    <row r="2187" ht="14.25" customHeight="1">
      <c r="B2187" s="101"/>
    </row>
    <row r="2188" ht="14.25" customHeight="1">
      <c r="B2188" s="101"/>
    </row>
    <row r="2189" ht="14.25" customHeight="1">
      <c r="B2189" s="101"/>
    </row>
    <row r="2190" ht="14.25" customHeight="1">
      <c r="B2190" s="101"/>
    </row>
    <row r="2191" ht="14.25" customHeight="1">
      <c r="B2191" s="101"/>
    </row>
    <row r="2192" ht="14.25" customHeight="1">
      <c r="B2192" s="101"/>
    </row>
    <row r="2193" ht="14.25" customHeight="1">
      <c r="B2193" s="101"/>
    </row>
    <row r="2194" ht="14.25" customHeight="1">
      <c r="B2194" s="101"/>
    </row>
    <row r="2195" ht="14.25" customHeight="1">
      <c r="B2195" s="101"/>
    </row>
    <row r="2196" ht="14.25" customHeight="1">
      <c r="B2196" s="101"/>
    </row>
    <row r="2197" ht="14.25" customHeight="1">
      <c r="B2197" s="101"/>
    </row>
    <row r="2198" ht="14.25" customHeight="1">
      <c r="B2198" s="101"/>
    </row>
    <row r="2199" ht="14.25" customHeight="1">
      <c r="B2199" s="101"/>
    </row>
    <row r="2200" ht="14.25" customHeight="1">
      <c r="B2200" s="101"/>
    </row>
    <row r="2201" ht="14.25" customHeight="1">
      <c r="B2201" s="101"/>
    </row>
    <row r="2202" ht="14.25" customHeight="1">
      <c r="B2202" s="101"/>
    </row>
    <row r="2203" ht="14.25" customHeight="1">
      <c r="B2203" s="101"/>
    </row>
    <row r="2204" ht="14.25" customHeight="1">
      <c r="B2204" s="101"/>
    </row>
    <row r="2205" ht="14.25" customHeight="1">
      <c r="B2205" s="101"/>
    </row>
    <row r="2206" ht="14.25" customHeight="1">
      <c r="B2206" s="101"/>
    </row>
    <row r="2207" ht="14.25" customHeight="1">
      <c r="B2207" s="101"/>
    </row>
    <row r="2208" ht="14.25" customHeight="1">
      <c r="B2208" s="101"/>
    </row>
    <row r="2209" ht="14.25" customHeight="1">
      <c r="B2209" s="101"/>
    </row>
    <row r="2210" ht="14.25" customHeight="1">
      <c r="B2210" s="101"/>
    </row>
    <row r="2211" ht="14.25" customHeight="1">
      <c r="B2211" s="101"/>
    </row>
    <row r="2212" ht="14.25" customHeight="1">
      <c r="B2212" s="101"/>
    </row>
    <row r="2213" ht="14.25" customHeight="1">
      <c r="B2213" s="101"/>
    </row>
    <row r="2214" ht="14.25" customHeight="1">
      <c r="B2214" s="101"/>
    </row>
    <row r="2215" ht="14.25" customHeight="1">
      <c r="B2215" s="101"/>
    </row>
    <row r="2216" ht="14.25" customHeight="1">
      <c r="B2216" s="101"/>
    </row>
    <row r="2217" ht="14.25" customHeight="1">
      <c r="B2217" s="101"/>
    </row>
    <row r="2218" ht="14.25" customHeight="1">
      <c r="B2218" s="101"/>
    </row>
    <row r="2219" ht="14.25" customHeight="1">
      <c r="B2219" s="101"/>
    </row>
    <row r="2220" ht="14.25" customHeight="1">
      <c r="B2220" s="101"/>
    </row>
    <row r="2221" ht="14.25" customHeight="1">
      <c r="B2221" s="101"/>
    </row>
    <row r="2222" ht="14.25" customHeight="1">
      <c r="B2222" s="101"/>
    </row>
    <row r="2223" ht="14.25" customHeight="1">
      <c r="B2223" s="101"/>
    </row>
    <row r="2224" ht="14.25" customHeight="1">
      <c r="B2224" s="101"/>
    </row>
    <row r="2225" ht="14.25" customHeight="1">
      <c r="B2225" s="101"/>
    </row>
    <row r="2226" ht="14.25" customHeight="1">
      <c r="B2226" s="101"/>
    </row>
    <row r="2227" ht="14.25" customHeight="1">
      <c r="B2227" s="101"/>
    </row>
    <row r="2228" ht="14.25" customHeight="1">
      <c r="B2228" s="101"/>
    </row>
    <row r="2229" ht="14.25" customHeight="1">
      <c r="B2229" s="101"/>
    </row>
    <row r="2230" ht="14.25" customHeight="1">
      <c r="B2230" s="101"/>
    </row>
    <row r="2231" ht="14.25" customHeight="1">
      <c r="B2231" s="101"/>
    </row>
    <row r="2232" ht="14.25" customHeight="1">
      <c r="B2232" s="101"/>
    </row>
    <row r="2233" ht="14.25" customHeight="1">
      <c r="B2233" s="101"/>
    </row>
    <row r="2234" ht="14.25" customHeight="1">
      <c r="B2234" s="101"/>
    </row>
    <row r="2235" ht="14.25" customHeight="1">
      <c r="B2235" s="101"/>
    </row>
    <row r="2236" ht="14.25" customHeight="1">
      <c r="B2236" s="101"/>
    </row>
    <row r="2237" ht="14.25" customHeight="1">
      <c r="B2237" s="101"/>
    </row>
    <row r="2238" ht="14.25" customHeight="1">
      <c r="B2238" s="101"/>
    </row>
    <row r="2239" ht="14.25" customHeight="1">
      <c r="B2239" s="101"/>
    </row>
    <row r="2240" ht="14.25" customHeight="1">
      <c r="B2240" s="101"/>
    </row>
    <row r="2241" ht="14.25" customHeight="1">
      <c r="B2241" s="101"/>
    </row>
    <row r="2242" ht="14.25" customHeight="1">
      <c r="B2242" s="101"/>
    </row>
    <row r="2243" ht="14.25" customHeight="1">
      <c r="B2243" s="101"/>
    </row>
    <row r="2244" ht="14.25" customHeight="1">
      <c r="B2244" s="101"/>
    </row>
    <row r="2245" ht="14.25" customHeight="1">
      <c r="B2245" s="101"/>
    </row>
    <row r="2246" ht="14.25" customHeight="1">
      <c r="B2246" s="101"/>
    </row>
    <row r="2247" ht="14.25" customHeight="1">
      <c r="B2247" s="101"/>
    </row>
    <row r="2248" ht="14.25" customHeight="1">
      <c r="B2248" s="101"/>
    </row>
    <row r="2249" ht="14.25" customHeight="1">
      <c r="B2249" s="101"/>
    </row>
    <row r="2250" ht="14.25" customHeight="1">
      <c r="B2250" s="101"/>
    </row>
    <row r="2251" ht="14.25" customHeight="1">
      <c r="B2251" s="101"/>
    </row>
    <row r="2252" ht="14.25" customHeight="1">
      <c r="B2252" s="101"/>
    </row>
    <row r="2253" ht="14.25" customHeight="1">
      <c r="B2253" s="101"/>
    </row>
    <row r="2254" ht="14.25" customHeight="1">
      <c r="B2254" s="101"/>
    </row>
    <row r="2255" ht="14.25" customHeight="1">
      <c r="B2255" s="101"/>
    </row>
    <row r="2256" ht="14.25" customHeight="1">
      <c r="B2256" s="101"/>
    </row>
    <row r="2257" ht="14.25" customHeight="1">
      <c r="B2257" s="101"/>
    </row>
    <row r="2258" ht="14.25" customHeight="1">
      <c r="B2258" s="101"/>
    </row>
    <row r="2259" ht="14.25" customHeight="1">
      <c r="B2259" s="101"/>
    </row>
    <row r="2260" ht="14.25" customHeight="1">
      <c r="B2260" s="101"/>
    </row>
    <row r="2261" ht="14.25" customHeight="1">
      <c r="B2261" s="101"/>
    </row>
    <row r="2262" ht="14.25" customHeight="1">
      <c r="B2262" s="101"/>
    </row>
    <row r="2263" ht="14.25" customHeight="1">
      <c r="B2263" s="101"/>
    </row>
    <row r="2264" ht="14.25" customHeight="1">
      <c r="B2264" s="101"/>
    </row>
    <row r="2265" ht="14.25" customHeight="1">
      <c r="B2265" s="101"/>
    </row>
    <row r="2266" ht="14.25" customHeight="1">
      <c r="B2266" s="101"/>
    </row>
    <row r="2267" ht="14.25" customHeight="1">
      <c r="B2267" s="101"/>
    </row>
    <row r="2268" ht="14.25" customHeight="1">
      <c r="B2268" s="101"/>
    </row>
    <row r="2269" ht="14.25" customHeight="1">
      <c r="B2269" s="101"/>
    </row>
    <row r="2270" ht="14.25" customHeight="1">
      <c r="B2270" s="101"/>
    </row>
    <row r="2271" ht="14.25" customHeight="1">
      <c r="B2271" s="101"/>
    </row>
    <row r="2272" ht="14.25" customHeight="1">
      <c r="B2272" s="101"/>
    </row>
    <row r="2273" ht="14.25" customHeight="1">
      <c r="B2273" s="101"/>
    </row>
    <row r="2274" ht="14.25" customHeight="1">
      <c r="B2274" s="101"/>
    </row>
    <row r="2275" ht="14.25" customHeight="1">
      <c r="B2275" s="101"/>
    </row>
    <row r="2276" ht="14.25" customHeight="1">
      <c r="B2276" s="101"/>
    </row>
    <row r="2277" ht="14.25" customHeight="1">
      <c r="B2277" s="101"/>
    </row>
    <row r="2278" ht="14.25" customHeight="1">
      <c r="B2278" s="101"/>
    </row>
    <row r="2279" ht="14.25" customHeight="1">
      <c r="B2279" s="101"/>
    </row>
    <row r="2280" ht="14.25" customHeight="1">
      <c r="B2280" s="101"/>
    </row>
    <row r="2281" ht="14.25" customHeight="1">
      <c r="B2281" s="101"/>
    </row>
    <row r="2282" ht="14.25" customHeight="1">
      <c r="B2282" s="101"/>
    </row>
    <row r="2283" ht="14.25" customHeight="1">
      <c r="B2283" s="101"/>
    </row>
    <row r="2284" ht="14.25" customHeight="1">
      <c r="B2284" s="101"/>
    </row>
    <row r="2285" ht="14.25" customHeight="1">
      <c r="B2285" s="101"/>
    </row>
    <row r="2286" ht="14.25" customHeight="1">
      <c r="B2286" s="101"/>
    </row>
    <row r="2287" ht="14.25" customHeight="1">
      <c r="B2287" s="101"/>
    </row>
    <row r="2288" ht="14.25" customHeight="1">
      <c r="B2288" s="101"/>
    </row>
    <row r="2289" ht="14.25" customHeight="1">
      <c r="B2289" s="101"/>
    </row>
    <row r="2290" ht="14.25" customHeight="1">
      <c r="B2290" s="101"/>
    </row>
    <row r="2291" ht="14.25" customHeight="1">
      <c r="B2291" s="101"/>
    </row>
    <row r="2292" ht="14.25" customHeight="1">
      <c r="B2292" s="101"/>
    </row>
    <row r="2293" ht="14.25" customHeight="1">
      <c r="B2293" s="101"/>
    </row>
    <row r="2294" ht="14.25" customHeight="1">
      <c r="B2294" s="101"/>
    </row>
    <row r="2295" ht="14.25" customHeight="1">
      <c r="B2295" s="101"/>
    </row>
    <row r="2296" ht="14.25" customHeight="1">
      <c r="B2296" s="101"/>
    </row>
    <row r="2297" ht="14.25" customHeight="1">
      <c r="B2297" s="101"/>
    </row>
    <row r="2298" ht="14.25" customHeight="1">
      <c r="B2298" s="101"/>
    </row>
    <row r="2299" ht="14.25" customHeight="1">
      <c r="B2299" s="101"/>
    </row>
    <row r="2300" ht="14.25" customHeight="1">
      <c r="B2300" s="101"/>
    </row>
    <row r="2301" ht="14.25" customHeight="1">
      <c r="B2301" s="101"/>
    </row>
    <row r="2302" ht="14.25" customHeight="1">
      <c r="B2302" s="101"/>
    </row>
    <row r="2303" ht="14.25" customHeight="1">
      <c r="B2303" s="101"/>
    </row>
    <row r="2304" ht="14.25" customHeight="1">
      <c r="B2304" s="101"/>
    </row>
    <row r="2305" ht="14.25" customHeight="1">
      <c r="B2305" s="101"/>
    </row>
    <row r="2306" ht="14.25" customHeight="1">
      <c r="B2306" s="101"/>
    </row>
    <row r="2307" ht="14.25" customHeight="1">
      <c r="B2307" s="101"/>
    </row>
    <row r="2308" ht="14.25" customHeight="1">
      <c r="B2308" s="101"/>
    </row>
    <row r="2309" ht="14.25" customHeight="1">
      <c r="B2309" s="101"/>
    </row>
    <row r="2310" ht="14.25" customHeight="1">
      <c r="B2310" s="101"/>
    </row>
    <row r="2311" ht="14.25" customHeight="1">
      <c r="B2311" s="101"/>
    </row>
    <row r="2312" ht="14.25" customHeight="1">
      <c r="B2312" s="101"/>
    </row>
    <row r="2313" ht="14.25" customHeight="1">
      <c r="B2313" s="101"/>
    </row>
    <row r="2314" ht="14.25" customHeight="1">
      <c r="B2314" s="101"/>
    </row>
    <row r="2315" ht="14.25" customHeight="1">
      <c r="B2315" s="101"/>
    </row>
    <row r="2316" ht="14.25" customHeight="1">
      <c r="B2316" s="101"/>
    </row>
    <row r="2317" ht="14.25" customHeight="1">
      <c r="B2317" s="101"/>
    </row>
    <row r="2318" ht="14.25" customHeight="1">
      <c r="B2318" s="101"/>
    </row>
    <row r="2319" ht="14.25" customHeight="1">
      <c r="B2319" s="101"/>
    </row>
    <row r="2320" ht="14.25" customHeight="1">
      <c r="B2320" s="101"/>
    </row>
    <row r="2321" ht="14.25" customHeight="1">
      <c r="B2321" s="101"/>
    </row>
    <row r="2322" ht="14.25" customHeight="1">
      <c r="B2322" s="101"/>
    </row>
    <row r="2323" ht="14.25" customHeight="1">
      <c r="B2323" s="101"/>
    </row>
    <row r="2324" ht="14.25" customHeight="1">
      <c r="B2324" s="101"/>
    </row>
    <row r="2325" ht="14.25" customHeight="1">
      <c r="B2325" s="101"/>
    </row>
    <row r="2326" ht="14.25" customHeight="1">
      <c r="B2326" s="101"/>
    </row>
    <row r="2327" ht="14.25" customHeight="1">
      <c r="B2327" s="101"/>
    </row>
    <row r="2328" ht="14.25" customHeight="1">
      <c r="B2328" s="101"/>
    </row>
    <row r="2329" ht="14.25" customHeight="1">
      <c r="B2329" s="101"/>
    </row>
    <row r="2330" ht="14.25" customHeight="1">
      <c r="B2330" s="101"/>
    </row>
    <row r="2331" ht="14.25" customHeight="1">
      <c r="B2331" s="101"/>
    </row>
    <row r="2332" ht="14.25" customHeight="1">
      <c r="B2332" s="101"/>
    </row>
    <row r="2333" ht="14.25" customHeight="1">
      <c r="B2333" s="101"/>
    </row>
    <row r="2334" ht="14.25" customHeight="1">
      <c r="B2334" s="101"/>
    </row>
    <row r="2335" ht="14.25" customHeight="1">
      <c r="B2335" s="101"/>
    </row>
    <row r="2336" ht="14.25" customHeight="1">
      <c r="B2336" s="101"/>
    </row>
    <row r="2337" ht="14.25" customHeight="1">
      <c r="B2337" s="101"/>
    </row>
    <row r="2338" ht="14.25" customHeight="1">
      <c r="B2338" s="101"/>
    </row>
    <row r="2339" ht="14.25" customHeight="1">
      <c r="B2339" s="101"/>
    </row>
    <row r="2340" ht="14.25" customHeight="1">
      <c r="B2340" s="101"/>
    </row>
    <row r="2341" ht="14.25" customHeight="1">
      <c r="B2341" s="101"/>
    </row>
    <row r="2342" ht="14.25" customHeight="1">
      <c r="B2342" s="101"/>
    </row>
    <row r="2343" ht="14.25" customHeight="1">
      <c r="B2343" s="101"/>
    </row>
    <row r="2344" ht="14.25" customHeight="1">
      <c r="B2344" s="101"/>
    </row>
    <row r="2345" ht="14.25" customHeight="1">
      <c r="B2345" s="101"/>
    </row>
    <row r="2346" ht="14.25" customHeight="1">
      <c r="B2346" s="101"/>
    </row>
    <row r="2347" ht="14.25" customHeight="1">
      <c r="B2347" s="101"/>
    </row>
    <row r="2348" ht="14.25" customHeight="1">
      <c r="B2348" s="101"/>
    </row>
    <row r="2349" ht="14.25" customHeight="1">
      <c r="B2349" s="101"/>
    </row>
    <row r="2350" ht="14.25" customHeight="1">
      <c r="B2350" s="101"/>
    </row>
    <row r="2351" ht="14.25" customHeight="1">
      <c r="B2351" s="101"/>
    </row>
    <row r="2352" ht="14.25" customHeight="1">
      <c r="B2352" s="101"/>
    </row>
    <row r="2353" ht="14.25" customHeight="1">
      <c r="B2353" s="101"/>
    </row>
    <row r="2354" ht="14.25" customHeight="1">
      <c r="B2354" s="101"/>
    </row>
    <row r="2355" ht="14.25" customHeight="1">
      <c r="B2355" s="101"/>
    </row>
    <row r="2356" ht="14.25" customHeight="1">
      <c r="B2356" s="101"/>
    </row>
    <row r="2357" ht="14.25" customHeight="1">
      <c r="B2357" s="101"/>
    </row>
    <row r="2358" ht="14.25" customHeight="1">
      <c r="B2358" s="101"/>
    </row>
    <row r="2359" ht="14.25" customHeight="1">
      <c r="B2359" s="101"/>
    </row>
    <row r="2360" ht="14.25" customHeight="1">
      <c r="B2360" s="101"/>
    </row>
    <row r="2361" ht="14.25" customHeight="1">
      <c r="B2361" s="101"/>
    </row>
    <row r="2362" ht="14.25" customHeight="1">
      <c r="B2362" s="101"/>
    </row>
    <row r="2363" ht="14.25" customHeight="1">
      <c r="B2363" s="101"/>
    </row>
    <row r="2364" ht="14.25" customHeight="1">
      <c r="B2364" s="101"/>
    </row>
    <row r="2365" ht="14.25" customHeight="1">
      <c r="B2365" s="101"/>
    </row>
    <row r="2366" ht="14.25" customHeight="1">
      <c r="B2366" s="101"/>
    </row>
    <row r="2367" ht="14.25" customHeight="1">
      <c r="B2367" s="101"/>
    </row>
    <row r="2368" ht="14.25" customHeight="1">
      <c r="B2368" s="101"/>
    </row>
    <row r="2369" ht="14.25" customHeight="1">
      <c r="B2369" s="101"/>
    </row>
    <row r="2370" ht="14.25" customHeight="1">
      <c r="B2370" s="101"/>
    </row>
    <row r="2371" ht="14.25" customHeight="1">
      <c r="B2371" s="101"/>
    </row>
    <row r="2372" ht="14.25" customHeight="1">
      <c r="B2372" s="101"/>
    </row>
    <row r="2373" ht="14.25" customHeight="1">
      <c r="B2373" s="101"/>
    </row>
    <row r="2374" ht="14.25" customHeight="1">
      <c r="B2374" s="101"/>
    </row>
    <row r="2375" ht="14.25" customHeight="1">
      <c r="B2375" s="101"/>
    </row>
    <row r="2376" ht="14.25" customHeight="1">
      <c r="B2376" s="101"/>
    </row>
    <row r="2377" ht="14.25" customHeight="1">
      <c r="B2377" s="101"/>
    </row>
    <row r="2378" ht="14.25" customHeight="1">
      <c r="B2378" s="101"/>
    </row>
    <row r="2379" ht="14.25" customHeight="1">
      <c r="B2379" s="101"/>
    </row>
    <row r="2380" ht="14.25" customHeight="1">
      <c r="B2380" s="101"/>
    </row>
    <row r="2381" ht="14.25" customHeight="1">
      <c r="B2381" s="101"/>
    </row>
    <row r="2382" ht="14.25" customHeight="1">
      <c r="B2382" s="101"/>
    </row>
    <row r="2383" ht="14.25" customHeight="1">
      <c r="B2383" s="101"/>
    </row>
    <row r="2384" ht="14.25" customHeight="1">
      <c r="B2384" s="101"/>
    </row>
    <row r="2385" ht="14.25" customHeight="1">
      <c r="B2385" s="101"/>
    </row>
    <row r="2386" ht="14.25" customHeight="1">
      <c r="B2386" s="101"/>
    </row>
    <row r="2387" ht="14.25" customHeight="1">
      <c r="B2387" s="101"/>
    </row>
    <row r="2388" ht="14.25" customHeight="1">
      <c r="B2388" s="101"/>
    </row>
    <row r="2389" ht="14.25" customHeight="1">
      <c r="B2389" s="101"/>
    </row>
    <row r="2390" ht="14.25" customHeight="1">
      <c r="B2390" s="101"/>
    </row>
    <row r="2391" ht="14.25" customHeight="1">
      <c r="B2391" s="101"/>
    </row>
    <row r="2392" ht="14.25" customHeight="1">
      <c r="B2392" s="101"/>
    </row>
    <row r="2393" ht="14.25" customHeight="1">
      <c r="B2393" s="101"/>
    </row>
    <row r="2394" ht="14.25" customHeight="1">
      <c r="B2394" s="101"/>
    </row>
    <row r="2395" ht="14.25" customHeight="1">
      <c r="B2395" s="101"/>
    </row>
    <row r="2396" ht="14.25" customHeight="1">
      <c r="B2396" s="101"/>
    </row>
    <row r="2397" ht="14.25" customHeight="1">
      <c r="B2397" s="101"/>
    </row>
    <row r="2398" ht="14.25" customHeight="1">
      <c r="B2398" s="101"/>
    </row>
    <row r="2399" ht="14.25" customHeight="1">
      <c r="B2399" s="101"/>
    </row>
    <row r="2400" ht="14.25" customHeight="1">
      <c r="B2400" s="101"/>
    </row>
    <row r="2401" ht="14.25" customHeight="1">
      <c r="B2401" s="101"/>
    </row>
    <row r="2402" ht="14.25" customHeight="1">
      <c r="B2402" s="101"/>
    </row>
    <row r="2403" ht="14.25" customHeight="1">
      <c r="B2403" s="101"/>
    </row>
    <row r="2404" ht="14.25" customHeight="1">
      <c r="B2404" s="101"/>
    </row>
    <row r="2405" ht="14.25" customHeight="1">
      <c r="B2405" s="101"/>
    </row>
    <row r="2406" ht="14.25" customHeight="1">
      <c r="B2406" s="101"/>
    </row>
    <row r="2407" ht="14.25" customHeight="1">
      <c r="B2407" s="101"/>
    </row>
    <row r="2408" ht="14.25" customHeight="1">
      <c r="B2408" s="101"/>
    </row>
    <row r="2409" ht="14.25" customHeight="1">
      <c r="B2409" s="101"/>
    </row>
    <row r="2410" ht="14.25" customHeight="1">
      <c r="B2410" s="101"/>
    </row>
    <row r="2411" ht="14.25" customHeight="1">
      <c r="B2411" s="101"/>
    </row>
    <row r="2412" ht="14.25" customHeight="1">
      <c r="B2412" s="101"/>
    </row>
    <row r="2413" ht="14.25" customHeight="1">
      <c r="B2413" s="101"/>
    </row>
    <row r="2414" ht="14.25" customHeight="1">
      <c r="B2414" s="101"/>
    </row>
    <row r="2415" ht="14.25" customHeight="1">
      <c r="B2415" s="101"/>
    </row>
    <row r="2416" ht="14.25" customHeight="1">
      <c r="B2416" s="101"/>
    </row>
    <row r="2417" ht="14.25" customHeight="1">
      <c r="B2417" s="101"/>
    </row>
    <row r="2418" ht="14.25" customHeight="1">
      <c r="B2418" s="101"/>
    </row>
    <row r="2419" ht="14.25" customHeight="1">
      <c r="B2419" s="101"/>
    </row>
    <row r="2420" ht="14.25" customHeight="1">
      <c r="B2420" s="101"/>
    </row>
    <row r="2421" ht="14.25" customHeight="1">
      <c r="B2421" s="101"/>
    </row>
    <row r="2422" ht="14.25" customHeight="1">
      <c r="B2422" s="101"/>
    </row>
    <row r="2423" ht="14.25" customHeight="1">
      <c r="B2423" s="101"/>
    </row>
    <row r="2424" ht="14.25" customHeight="1">
      <c r="B2424" s="101"/>
    </row>
    <row r="2425" ht="14.25" customHeight="1">
      <c r="B2425" s="101"/>
    </row>
    <row r="2426" ht="14.25" customHeight="1">
      <c r="B2426" s="101"/>
    </row>
    <row r="2427" ht="14.25" customHeight="1">
      <c r="B2427" s="101"/>
    </row>
    <row r="2428" ht="14.25" customHeight="1">
      <c r="B2428" s="101"/>
    </row>
    <row r="2429" ht="14.25" customHeight="1">
      <c r="B2429" s="101"/>
    </row>
    <row r="2430" ht="14.25" customHeight="1">
      <c r="B2430" s="101"/>
    </row>
    <row r="2431" ht="14.25" customHeight="1">
      <c r="B2431" s="101"/>
    </row>
    <row r="2432" ht="14.25" customHeight="1">
      <c r="B2432" s="101"/>
    </row>
    <row r="2433" ht="14.25" customHeight="1">
      <c r="B2433" s="101"/>
    </row>
    <row r="2434" ht="14.25" customHeight="1">
      <c r="B2434" s="101"/>
    </row>
    <row r="2435" ht="14.25" customHeight="1">
      <c r="B2435" s="101"/>
    </row>
    <row r="2436" ht="14.25" customHeight="1">
      <c r="B2436" s="101"/>
    </row>
    <row r="2437" ht="14.25" customHeight="1">
      <c r="B2437" s="101"/>
    </row>
    <row r="2438" ht="14.25" customHeight="1">
      <c r="B2438" s="101"/>
    </row>
    <row r="2439" ht="14.25" customHeight="1">
      <c r="B2439" s="101"/>
    </row>
    <row r="2440" ht="14.25" customHeight="1">
      <c r="B2440" s="101"/>
    </row>
    <row r="2441" ht="14.25" customHeight="1">
      <c r="B2441" s="101"/>
    </row>
    <row r="2442" ht="14.25" customHeight="1">
      <c r="B2442" s="101"/>
    </row>
    <row r="2443" ht="14.25" customHeight="1">
      <c r="B2443" s="101"/>
    </row>
    <row r="2444" ht="14.25" customHeight="1">
      <c r="B2444" s="101"/>
    </row>
    <row r="2445" ht="14.25" customHeight="1">
      <c r="B2445" s="101"/>
    </row>
    <row r="2446" ht="14.25" customHeight="1">
      <c r="B2446" s="101"/>
    </row>
    <row r="2447" ht="14.25" customHeight="1">
      <c r="B2447" s="101"/>
    </row>
    <row r="2448" ht="14.25" customHeight="1">
      <c r="B2448" s="101"/>
    </row>
    <row r="2449" ht="14.25" customHeight="1">
      <c r="B2449" s="101"/>
    </row>
    <row r="2450" ht="14.25" customHeight="1">
      <c r="B2450" s="101"/>
    </row>
    <row r="2451" ht="14.25" customHeight="1">
      <c r="B2451" s="101"/>
    </row>
    <row r="2452" ht="14.25" customHeight="1">
      <c r="B2452" s="101"/>
    </row>
    <row r="2453" ht="14.25" customHeight="1">
      <c r="B2453" s="101"/>
    </row>
    <row r="2454" ht="14.25" customHeight="1">
      <c r="B2454" s="101"/>
    </row>
    <row r="2455" ht="14.25" customHeight="1">
      <c r="B2455" s="101"/>
    </row>
    <row r="2456" ht="14.25" customHeight="1">
      <c r="B2456" s="101"/>
    </row>
    <row r="2457" ht="14.25" customHeight="1">
      <c r="B2457" s="101"/>
    </row>
    <row r="2458" ht="14.25" customHeight="1">
      <c r="B2458" s="101"/>
    </row>
    <row r="2459" ht="14.25" customHeight="1">
      <c r="B2459" s="101"/>
    </row>
    <row r="2460" ht="14.25" customHeight="1">
      <c r="B2460" s="101"/>
    </row>
    <row r="2461" ht="14.25" customHeight="1">
      <c r="B2461" s="101"/>
    </row>
    <row r="2462" ht="14.25" customHeight="1">
      <c r="B2462" s="101"/>
    </row>
    <row r="2463" ht="14.25" customHeight="1">
      <c r="B2463" s="101"/>
    </row>
    <row r="2464" ht="14.25" customHeight="1">
      <c r="B2464" s="101"/>
    </row>
    <row r="2465" ht="14.25" customHeight="1">
      <c r="B2465" s="101"/>
    </row>
    <row r="2466" ht="14.25" customHeight="1">
      <c r="B2466" s="101"/>
    </row>
    <row r="2467" ht="14.25" customHeight="1">
      <c r="B2467" s="101"/>
    </row>
    <row r="2468" ht="14.25" customHeight="1">
      <c r="B2468" s="101"/>
    </row>
    <row r="2469" ht="14.25" customHeight="1">
      <c r="B2469" s="101"/>
    </row>
    <row r="2470" ht="14.25" customHeight="1">
      <c r="B2470" s="101"/>
    </row>
    <row r="2471" ht="14.25" customHeight="1">
      <c r="B2471" s="101"/>
    </row>
    <row r="2472" ht="14.25" customHeight="1">
      <c r="B2472" s="101"/>
    </row>
    <row r="2473" ht="14.25" customHeight="1">
      <c r="B2473" s="101"/>
    </row>
    <row r="2474" ht="14.25" customHeight="1">
      <c r="B2474" s="101"/>
    </row>
    <row r="2475" ht="14.25" customHeight="1">
      <c r="B2475" s="101"/>
    </row>
    <row r="2476" ht="14.25" customHeight="1">
      <c r="B2476" s="101"/>
    </row>
    <row r="2477" ht="14.25" customHeight="1">
      <c r="B2477" s="101"/>
    </row>
    <row r="2478" ht="14.25" customHeight="1">
      <c r="B2478" s="101"/>
    </row>
    <row r="2479" ht="14.25" customHeight="1">
      <c r="B2479" s="101"/>
    </row>
    <row r="2480" ht="14.25" customHeight="1">
      <c r="B2480" s="101"/>
    </row>
    <row r="2481" ht="14.25" customHeight="1">
      <c r="B2481" s="101"/>
    </row>
    <row r="2482" ht="14.25" customHeight="1">
      <c r="B2482" s="101"/>
    </row>
    <row r="2483" ht="14.25" customHeight="1">
      <c r="B2483" s="101"/>
    </row>
    <row r="2484" ht="14.25" customHeight="1">
      <c r="B2484" s="101"/>
    </row>
    <row r="2485" ht="14.25" customHeight="1">
      <c r="B2485" s="101"/>
    </row>
    <row r="2486" ht="14.25" customHeight="1">
      <c r="B2486" s="101"/>
    </row>
    <row r="2487" ht="14.25" customHeight="1">
      <c r="B2487" s="101"/>
    </row>
    <row r="2488" ht="14.25" customHeight="1">
      <c r="B2488" s="101"/>
    </row>
    <row r="2489" ht="14.25" customHeight="1">
      <c r="B2489" s="101"/>
    </row>
    <row r="2490" ht="14.25" customHeight="1">
      <c r="B2490" s="101"/>
    </row>
    <row r="2491" ht="14.25" customHeight="1">
      <c r="B2491" s="101"/>
    </row>
    <row r="2492" ht="14.25" customHeight="1">
      <c r="B2492" s="101"/>
    </row>
    <row r="2493" ht="14.25" customHeight="1">
      <c r="B2493" s="101"/>
    </row>
    <row r="2494" ht="14.25" customHeight="1">
      <c r="B2494" s="101"/>
    </row>
    <row r="2495" ht="14.25" customHeight="1">
      <c r="B2495" s="101"/>
    </row>
    <row r="2496" ht="14.25" customHeight="1">
      <c r="B2496" s="101"/>
    </row>
    <row r="2497" ht="14.25" customHeight="1">
      <c r="B2497" s="101"/>
    </row>
    <row r="2498" ht="14.25" customHeight="1">
      <c r="B2498" s="101"/>
    </row>
    <row r="2499" ht="14.25" customHeight="1">
      <c r="B2499" s="101"/>
    </row>
    <row r="2500" ht="14.25" customHeight="1">
      <c r="B2500" s="101"/>
    </row>
    <row r="2501" ht="14.25" customHeight="1">
      <c r="B2501" s="101"/>
    </row>
    <row r="2502" ht="14.25" customHeight="1">
      <c r="B2502" s="101"/>
    </row>
    <row r="2503" ht="14.25" customHeight="1">
      <c r="B2503" s="101"/>
    </row>
    <row r="2504" ht="14.25" customHeight="1">
      <c r="B2504" s="101"/>
    </row>
    <row r="2505" ht="14.25" customHeight="1">
      <c r="B2505" s="101"/>
    </row>
    <row r="2506" ht="14.25" customHeight="1">
      <c r="B2506" s="101"/>
    </row>
    <row r="2507" ht="14.25" customHeight="1">
      <c r="B2507" s="101"/>
    </row>
    <row r="2508" ht="14.25" customHeight="1">
      <c r="B2508" s="101"/>
    </row>
    <row r="2509" ht="14.25" customHeight="1">
      <c r="B2509" s="101"/>
    </row>
    <row r="2510" ht="14.25" customHeight="1">
      <c r="B2510" s="101"/>
    </row>
    <row r="2511" ht="14.25" customHeight="1">
      <c r="B2511" s="101"/>
    </row>
    <row r="2512" ht="14.25" customHeight="1">
      <c r="B2512" s="101"/>
    </row>
    <row r="2513" ht="14.25" customHeight="1">
      <c r="B2513" s="101"/>
    </row>
    <row r="2514" ht="14.25" customHeight="1">
      <c r="B2514" s="101"/>
    </row>
    <row r="2515" ht="14.25" customHeight="1">
      <c r="B2515" s="101"/>
    </row>
    <row r="2516" ht="14.25" customHeight="1">
      <c r="B2516" s="101"/>
    </row>
    <row r="2517" ht="14.25" customHeight="1">
      <c r="B2517" s="101"/>
    </row>
    <row r="2518" ht="14.25" customHeight="1">
      <c r="B2518" s="101"/>
    </row>
    <row r="2519" ht="14.25" customHeight="1">
      <c r="B2519" s="101"/>
    </row>
    <row r="2520" ht="14.25" customHeight="1">
      <c r="B2520" s="101"/>
    </row>
    <row r="2521" ht="14.25" customHeight="1">
      <c r="B2521" s="101"/>
    </row>
    <row r="2522" ht="14.25" customHeight="1">
      <c r="B2522" s="101"/>
    </row>
    <row r="2523" ht="14.25" customHeight="1">
      <c r="B2523" s="101"/>
    </row>
    <row r="2524" ht="14.25" customHeight="1">
      <c r="B2524" s="101"/>
    </row>
    <row r="2525" ht="14.25" customHeight="1">
      <c r="B2525" s="101"/>
    </row>
    <row r="2526" ht="14.25" customHeight="1">
      <c r="B2526" s="101"/>
    </row>
    <row r="2527" ht="14.25" customHeight="1">
      <c r="B2527" s="101"/>
    </row>
    <row r="2528" ht="14.25" customHeight="1">
      <c r="B2528" s="101"/>
    </row>
    <row r="2529" ht="14.25" customHeight="1">
      <c r="B2529" s="101"/>
    </row>
    <row r="2530" ht="14.25" customHeight="1">
      <c r="B2530" s="101"/>
    </row>
    <row r="2531" ht="14.25" customHeight="1">
      <c r="B2531" s="101"/>
    </row>
    <row r="2532" ht="14.25" customHeight="1">
      <c r="B2532" s="101"/>
    </row>
    <row r="2533" ht="14.25" customHeight="1">
      <c r="B2533" s="101"/>
    </row>
    <row r="2534" ht="14.25" customHeight="1">
      <c r="B2534" s="101"/>
    </row>
    <row r="2535" ht="14.25" customHeight="1">
      <c r="B2535" s="101"/>
    </row>
    <row r="2536" ht="14.25" customHeight="1">
      <c r="B2536" s="101"/>
    </row>
    <row r="2537" ht="14.25" customHeight="1">
      <c r="B2537" s="101"/>
    </row>
    <row r="2538" ht="14.25" customHeight="1">
      <c r="B2538" s="101"/>
    </row>
    <row r="2539" ht="14.25" customHeight="1">
      <c r="B2539" s="101"/>
    </row>
    <row r="2540" ht="14.25" customHeight="1">
      <c r="B2540" s="101"/>
    </row>
    <row r="2541" ht="14.25" customHeight="1">
      <c r="B2541" s="101"/>
    </row>
    <row r="2542" ht="14.25" customHeight="1">
      <c r="B2542" s="101"/>
    </row>
    <row r="2543" ht="14.25" customHeight="1">
      <c r="B2543" s="101"/>
    </row>
    <row r="2544" ht="14.25" customHeight="1">
      <c r="B2544" s="101"/>
    </row>
    <row r="2545" ht="14.25" customHeight="1">
      <c r="B2545" s="101"/>
    </row>
    <row r="2546" ht="14.25" customHeight="1">
      <c r="B2546" s="101"/>
    </row>
    <row r="2547" ht="14.25" customHeight="1">
      <c r="B2547" s="101"/>
    </row>
    <row r="2548" ht="14.25" customHeight="1">
      <c r="B2548" s="101"/>
    </row>
    <row r="2549" ht="14.25" customHeight="1">
      <c r="B2549" s="101"/>
    </row>
    <row r="2550" ht="14.25" customHeight="1">
      <c r="B2550" s="101"/>
    </row>
    <row r="2551" ht="14.25" customHeight="1">
      <c r="B2551" s="101"/>
    </row>
    <row r="2552" ht="14.25" customHeight="1">
      <c r="B2552" s="101"/>
    </row>
    <row r="2553" ht="14.25" customHeight="1">
      <c r="B2553" s="101"/>
    </row>
    <row r="2554" ht="14.25" customHeight="1">
      <c r="B2554" s="101"/>
    </row>
    <row r="2555" ht="14.25" customHeight="1">
      <c r="B2555" s="101"/>
    </row>
    <row r="2556" ht="14.25" customHeight="1">
      <c r="B2556" s="101"/>
    </row>
    <row r="2557" ht="14.25" customHeight="1">
      <c r="B2557" s="101"/>
    </row>
    <row r="2558" ht="14.25" customHeight="1">
      <c r="B2558" s="101"/>
    </row>
    <row r="2559" ht="14.25" customHeight="1">
      <c r="B2559" s="101"/>
    </row>
    <row r="2560" ht="14.25" customHeight="1">
      <c r="B2560" s="101"/>
    </row>
    <row r="2561" ht="14.25" customHeight="1">
      <c r="B2561" s="101"/>
    </row>
    <row r="2562" ht="14.25" customHeight="1">
      <c r="B2562" s="101"/>
    </row>
    <row r="2563" ht="14.25" customHeight="1">
      <c r="B2563" s="101"/>
    </row>
    <row r="2564" ht="14.25" customHeight="1">
      <c r="B2564" s="101"/>
    </row>
    <row r="2565" ht="14.25" customHeight="1">
      <c r="B2565" s="101"/>
    </row>
    <row r="2566" ht="14.25" customHeight="1">
      <c r="B2566" s="101"/>
    </row>
    <row r="2567" ht="14.25" customHeight="1">
      <c r="B2567" s="101"/>
    </row>
    <row r="2568" ht="14.25" customHeight="1">
      <c r="B2568" s="101"/>
    </row>
    <row r="2569" ht="14.25" customHeight="1">
      <c r="B2569" s="101"/>
    </row>
    <row r="2570" ht="14.25" customHeight="1">
      <c r="B2570" s="101"/>
    </row>
    <row r="2571" ht="14.25" customHeight="1">
      <c r="B2571" s="101"/>
    </row>
    <row r="2572" ht="14.25" customHeight="1">
      <c r="B2572" s="101"/>
    </row>
    <row r="2573" ht="14.25" customHeight="1">
      <c r="B2573" s="101"/>
    </row>
    <row r="2574" ht="14.25" customHeight="1">
      <c r="B2574" s="101"/>
    </row>
    <row r="2575" ht="14.25" customHeight="1">
      <c r="B2575" s="101"/>
    </row>
    <row r="2576" ht="14.25" customHeight="1">
      <c r="B2576" s="101"/>
    </row>
    <row r="2577" ht="14.25" customHeight="1">
      <c r="B2577" s="101"/>
    </row>
    <row r="2578" ht="14.25" customHeight="1">
      <c r="B2578" s="101"/>
    </row>
    <row r="2579" ht="14.25" customHeight="1">
      <c r="B2579" s="101"/>
    </row>
    <row r="2580" ht="14.25" customHeight="1">
      <c r="B2580" s="101"/>
    </row>
    <row r="2581" ht="14.25" customHeight="1">
      <c r="B2581" s="101"/>
    </row>
    <row r="2582" ht="14.25" customHeight="1">
      <c r="B2582" s="101"/>
    </row>
    <row r="2583" ht="14.25" customHeight="1">
      <c r="B2583" s="101"/>
    </row>
    <row r="2584" ht="14.25" customHeight="1">
      <c r="B2584" s="101"/>
    </row>
    <row r="2585" ht="14.25" customHeight="1">
      <c r="B2585" s="101"/>
    </row>
    <row r="2586" ht="14.25" customHeight="1">
      <c r="B2586" s="101"/>
    </row>
    <row r="2587" ht="14.25" customHeight="1">
      <c r="B2587" s="101"/>
    </row>
    <row r="2588" ht="14.25" customHeight="1">
      <c r="B2588" s="101"/>
    </row>
    <row r="2589" ht="14.25" customHeight="1">
      <c r="B2589" s="101"/>
    </row>
    <row r="2590" ht="14.25" customHeight="1">
      <c r="B2590" s="101"/>
    </row>
    <row r="2591" ht="14.25" customHeight="1">
      <c r="B2591" s="101"/>
    </row>
    <row r="2592" ht="14.25" customHeight="1">
      <c r="B2592" s="101"/>
    </row>
    <row r="2593" ht="14.25" customHeight="1">
      <c r="B2593" s="101"/>
    </row>
    <row r="2594" ht="14.25" customHeight="1">
      <c r="B2594" s="101"/>
    </row>
    <row r="2595" ht="14.25" customHeight="1">
      <c r="B2595" s="101"/>
    </row>
    <row r="2596" ht="14.25" customHeight="1">
      <c r="B2596" s="101"/>
    </row>
    <row r="2597" ht="14.25" customHeight="1">
      <c r="B2597" s="101"/>
    </row>
    <row r="2598" ht="14.25" customHeight="1">
      <c r="B2598" s="101"/>
    </row>
    <row r="2599" ht="14.25" customHeight="1">
      <c r="B2599" s="101"/>
    </row>
    <row r="2600" ht="14.25" customHeight="1">
      <c r="B2600" s="101"/>
    </row>
    <row r="2601" ht="14.25" customHeight="1">
      <c r="B2601" s="101"/>
    </row>
    <row r="2602" ht="14.25" customHeight="1">
      <c r="B2602" s="101"/>
    </row>
    <row r="2603" ht="14.25" customHeight="1">
      <c r="B2603" s="101"/>
    </row>
    <row r="2604" ht="14.25" customHeight="1">
      <c r="B2604" s="101"/>
    </row>
    <row r="2605" ht="14.25" customHeight="1">
      <c r="B2605" s="101"/>
    </row>
    <row r="2606" ht="14.25" customHeight="1">
      <c r="B2606" s="101"/>
    </row>
    <row r="2607" ht="14.25" customHeight="1">
      <c r="B2607" s="101"/>
    </row>
    <row r="2608" ht="14.25" customHeight="1">
      <c r="B2608" s="101"/>
    </row>
    <row r="2609" ht="14.25" customHeight="1">
      <c r="B2609" s="101"/>
    </row>
    <row r="2610" ht="14.25" customHeight="1">
      <c r="B2610" s="101"/>
    </row>
    <row r="2611" ht="14.25" customHeight="1">
      <c r="B2611" s="101"/>
    </row>
    <row r="2612" ht="14.25" customHeight="1">
      <c r="B2612" s="101"/>
    </row>
    <row r="2613" ht="14.25" customHeight="1">
      <c r="B2613" s="101"/>
    </row>
    <row r="2614" ht="14.25" customHeight="1">
      <c r="B2614" s="101"/>
    </row>
    <row r="2615" ht="14.25" customHeight="1">
      <c r="B2615" s="101"/>
    </row>
    <row r="2616" ht="14.25" customHeight="1">
      <c r="B2616" s="101"/>
    </row>
    <row r="2617" ht="14.25" customHeight="1">
      <c r="B2617" s="101"/>
    </row>
    <row r="2618" ht="14.25" customHeight="1">
      <c r="B2618" s="101"/>
    </row>
    <row r="2619" ht="14.25" customHeight="1">
      <c r="B2619" s="101"/>
    </row>
    <row r="2620" ht="14.25" customHeight="1">
      <c r="B2620" s="101"/>
    </row>
    <row r="2621" ht="14.25" customHeight="1">
      <c r="B2621" s="101"/>
    </row>
    <row r="2622" ht="14.25" customHeight="1">
      <c r="B2622" s="101"/>
    </row>
    <row r="2623" ht="14.25" customHeight="1">
      <c r="B2623" s="101"/>
    </row>
    <row r="2624" ht="14.25" customHeight="1">
      <c r="B2624" s="101"/>
    </row>
    <row r="2625" ht="14.25" customHeight="1">
      <c r="B2625" s="101"/>
    </row>
    <row r="2626" ht="14.25" customHeight="1">
      <c r="B2626" s="101"/>
    </row>
    <row r="2627" ht="14.25" customHeight="1">
      <c r="B2627" s="101"/>
    </row>
    <row r="2628" ht="14.25" customHeight="1">
      <c r="B2628" s="101"/>
    </row>
    <row r="2629" ht="14.25" customHeight="1">
      <c r="B2629" s="101"/>
    </row>
    <row r="2630" ht="14.25" customHeight="1">
      <c r="B2630" s="101"/>
    </row>
    <row r="2631" ht="14.25" customHeight="1">
      <c r="B2631" s="101"/>
    </row>
    <row r="2632" ht="14.25" customHeight="1">
      <c r="B2632" s="101"/>
    </row>
    <row r="2633" ht="14.25" customHeight="1">
      <c r="B2633" s="101"/>
    </row>
    <row r="2634" ht="14.25" customHeight="1">
      <c r="B2634" s="101"/>
    </row>
    <row r="2635" ht="14.25" customHeight="1">
      <c r="B2635" s="101"/>
    </row>
    <row r="2636" ht="14.25" customHeight="1">
      <c r="B2636" s="101"/>
    </row>
    <row r="2637" ht="14.25" customHeight="1">
      <c r="B2637" s="101"/>
    </row>
    <row r="2638" ht="14.25" customHeight="1">
      <c r="B2638" s="101"/>
    </row>
    <row r="2639" ht="14.25" customHeight="1">
      <c r="B2639" s="101"/>
    </row>
    <row r="2640" ht="14.25" customHeight="1">
      <c r="B2640" s="101"/>
    </row>
    <row r="2641" ht="14.25" customHeight="1">
      <c r="B2641" s="101"/>
    </row>
    <row r="2642" ht="14.25" customHeight="1">
      <c r="B2642" s="101"/>
    </row>
    <row r="2643" ht="14.25" customHeight="1">
      <c r="B2643" s="101"/>
    </row>
    <row r="2644" ht="14.25" customHeight="1">
      <c r="B2644" s="101"/>
    </row>
    <row r="2645" ht="14.25" customHeight="1">
      <c r="B2645" s="101"/>
    </row>
    <row r="2646" ht="14.25" customHeight="1">
      <c r="B2646" s="101"/>
    </row>
    <row r="2647" ht="14.25" customHeight="1">
      <c r="B2647" s="101"/>
    </row>
    <row r="2648" ht="14.25" customHeight="1">
      <c r="B2648" s="101"/>
    </row>
    <row r="2649" ht="14.25" customHeight="1">
      <c r="B2649" s="101"/>
    </row>
    <row r="2650" ht="14.25" customHeight="1">
      <c r="B2650" s="101"/>
    </row>
    <row r="2651" ht="14.25" customHeight="1">
      <c r="B2651" s="101"/>
    </row>
    <row r="2652" ht="14.25" customHeight="1">
      <c r="B2652" s="101"/>
    </row>
    <row r="2653" ht="14.25" customHeight="1">
      <c r="B2653" s="101"/>
    </row>
    <row r="2654" ht="14.25" customHeight="1">
      <c r="B2654" s="101"/>
    </row>
    <row r="2655" ht="14.25" customHeight="1">
      <c r="B2655" s="101"/>
    </row>
    <row r="2656" ht="14.25" customHeight="1">
      <c r="B2656" s="101"/>
    </row>
    <row r="2657" ht="14.25" customHeight="1">
      <c r="B2657" s="101"/>
    </row>
    <row r="2658" ht="14.25" customHeight="1">
      <c r="B2658" s="101"/>
    </row>
    <row r="2659" ht="14.25" customHeight="1">
      <c r="B2659" s="101"/>
    </row>
    <row r="2660" ht="14.25" customHeight="1">
      <c r="B2660" s="101"/>
    </row>
    <row r="2661" ht="14.25" customHeight="1">
      <c r="B2661" s="101"/>
    </row>
    <row r="2662" ht="14.25" customHeight="1">
      <c r="B2662" s="101"/>
    </row>
    <row r="2663" ht="14.25" customHeight="1">
      <c r="B2663" s="101"/>
    </row>
    <row r="2664" ht="14.25" customHeight="1">
      <c r="B2664" s="101"/>
    </row>
    <row r="2665" ht="14.25" customHeight="1">
      <c r="B2665" s="101"/>
    </row>
    <row r="2666" ht="14.25" customHeight="1">
      <c r="B2666" s="101"/>
    </row>
    <row r="2667" ht="14.25" customHeight="1">
      <c r="B2667" s="101"/>
    </row>
    <row r="2668" ht="14.25" customHeight="1">
      <c r="B2668" s="101"/>
    </row>
    <row r="2669" ht="14.25" customHeight="1">
      <c r="B2669" s="101"/>
    </row>
    <row r="2670" ht="14.25" customHeight="1">
      <c r="B2670" s="101"/>
    </row>
    <row r="2671" ht="14.25" customHeight="1">
      <c r="B2671" s="101"/>
    </row>
    <row r="2672" ht="14.25" customHeight="1">
      <c r="B2672" s="101"/>
    </row>
    <row r="2673" ht="14.25" customHeight="1">
      <c r="B2673" s="101"/>
    </row>
    <row r="2674" ht="14.25" customHeight="1">
      <c r="B2674" s="101"/>
    </row>
    <row r="2675" ht="14.25" customHeight="1">
      <c r="B2675" s="101"/>
    </row>
    <row r="2676" ht="14.25" customHeight="1">
      <c r="B2676" s="101"/>
    </row>
    <row r="2677" ht="14.25" customHeight="1">
      <c r="B2677" s="101"/>
    </row>
    <row r="2678" ht="14.25" customHeight="1">
      <c r="B2678" s="101"/>
    </row>
    <row r="2679" ht="14.25" customHeight="1">
      <c r="B2679" s="101"/>
    </row>
    <row r="2680" ht="14.25" customHeight="1">
      <c r="B2680" s="101"/>
    </row>
    <row r="2681" ht="14.25" customHeight="1">
      <c r="B2681" s="101"/>
    </row>
    <row r="2682" ht="14.25" customHeight="1">
      <c r="B2682" s="101"/>
    </row>
    <row r="2683" ht="14.25" customHeight="1">
      <c r="B2683" s="101"/>
    </row>
    <row r="2684" ht="14.25" customHeight="1">
      <c r="B2684" s="101"/>
    </row>
    <row r="2685" ht="14.25" customHeight="1">
      <c r="B2685" s="101"/>
    </row>
    <row r="2686" ht="14.25" customHeight="1">
      <c r="B2686" s="101"/>
    </row>
    <row r="2687" ht="14.25" customHeight="1">
      <c r="B2687" s="101"/>
    </row>
    <row r="2688" ht="14.25" customHeight="1">
      <c r="B2688" s="101"/>
    </row>
    <row r="2689" ht="14.25" customHeight="1">
      <c r="B2689" s="101"/>
    </row>
    <row r="2690" ht="14.25" customHeight="1">
      <c r="B2690" s="101"/>
    </row>
    <row r="2691" ht="14.25" customHeight="1">
      <c r="B2691" s="101"/>
    </row>
    <row r="2692" ht="14.25" customHeight="1">
      <c r="B2692" s="101"/>
    </row>
    <row r="2693" ht="14.25" customHeight="1">
      <c r="B2693" s="101"/>
    </row>
    <row r="2694" ht="14.25" customHeight="1">
      <c r="B2694" s="101"/>
    </row>
    <row r="2695" ht="14.25" customHeight="1">
      <c r="B2695" s="101"/>
    </row>
    <row r="2696" ht="14.25" customHeight="1">
      <c r="B2696" s="101"/>
    </row>
    <row r="2697" ht="14.25" customHeight="1">
      <c r="B2697" s="101"/>
    </row>
    <row r="2698" ht="14.25" customHeight="1">
      <c r="B2698" s="101"/>
    </row>
    <row r="2699" ht="14.25" customHeight="1">
      <c r="B2699" s="101"/>
    </row>
    <row r="2700" ht="14.25" customHeight="1">
      <c r="B2700" s="101"/>
    </row>
    <row r="2701" ht="14.25" customHeight="1">
      <c r="B2701" s="101"/>
    </row>
    <row r="2702" ht="14.25" customHeight="1">
      <c r="B2702" s="101"/>
    </row>
    <row r="2703" ht="14.25" customHeight="1">
      <c r="B2703" s="101"/>
    </row>
    <row r="2704" ht="14.25" customHeight="1">
      <c r="B2704" s="101"/>
    </row>
    <row r="2705" ht="14.25" customHeight="1">
      <c r="B2705" s="101"/>
    </row>
    <row r="2706" ht="14.25" customHeight="1">
      <c r="B2706" s="101"/>
    </row>
    <row r="2707" ht="14.25" customHeight="1">
      <c r="B2707" s="101"/>
    </row>
    <row r="2708" ht="14.25" customHeight="1">
      <c r="B2708" s="101"/>
    </row>
    <row r="2709" ht="14.25" customHeight="1">
      <c r="B2709" s="101"/>
    </row>
    <row r="2710" ht="14.25" customHeight="1">
      <c r="B2710" s="101"/>
    </row>
    <row r="2711" ht="14.25" customHeight="1">
      <c r="B2711" s="101"/>
    </row>
    <row r="2712" ht="14.25" customHeight="1">
      <c r="B2712" s="101"/>
    </row>
    <row r="2713" ht="14.25" customHeight="1">
      <c r="B2713" s="101"/>
    </row>
    <row r="2714" ht="14.25" customHeight="1">
      <c r="B2714" s="101"/>
    </row>
    <row r="2715" ht="14.25" customHeight="1">
      <c r="B2715" s="101"/>
    </row>
    <row r="2716" ht="14.25" customHeight="1">
      <c r="B2716" s="101"/>
    </row>
    <row r="2717" ht="14.25" customHeight="1">
      <c r="B2717" s="101"/>
    </row>
    <row r="2718" ht="14.25" customHeight="1">
      <c r="B2718" s="101"/>
    </row>
    <row r="2719" ht="14.25" customHeight="1">
      <c r="B2719" s="101"/>
    </row>
    <row r="2720" ht="14.25" customHeight="1">
      <c r="B2720" s="101"/>
    </row>
    <row r="2721" ht="14.25" customHeight="1">
      <c r="B2721" s="101"/>
    </row>
    <row r="2722" ht="14.25" customHeight="1">
      <c r="B2722" s="101"/>
    </row>
    <row r="2723" ht="14.25" customHeight="1">
      <c r="B2723" s="101"/>
    </row>
    <row r="2724" ht="14.25" customHeight="1">
      <c r="B2724" s="101"/>
    </row>
    <row r="2725" ht="14.25" customHeight="1">
      <c r="B2725" s="101"/>
    </row>
    <row r="2726" ht="14.25" customHeight="1">
      <c r="B2726" s="101"/>
    </row>
    <row r="2727" ht="14.25" customHeight="1">
      <c r="B2727" s="101"/>
    </row>
    <row r="2728" ht="14.25" customHeight="1">
      <c r="B2728" s="101"/>
    </row>
    <row r="2729" ht="14.25" customHeight="1">
      <c r="B2729" s="101"/>
    </row>
    <row r="2730" ht="14.25" customHeight="1">
      <c r="B2730" s="101"/>
    </row>
    <row r="2731" ht="14.25" customHeight="1">
      <c r="B2731" s="101"/>
    </row>
    <row r="2732" ht="14.25" customHeight="1">
      <c r="B2732" s="101"/>
    </row>
    <row r="2733" ht="14.25" customHeight="1">
      <c r="B2733" s="101"/>
    </row>
    <row r="2734" ht="14.25" customHeight="1">
      <c r="B2734" s="101"/>
    </row>
    <row r="2735" ht="14.25" customHeight="1">
      <c r="B2735" s="101"/>
    </row>
    <row r="2736" ht="14.25" customHeight="1">
      <c r="B2736" s="101"/>
    </row>
    <row r="2737" ht="14.25" customHeight="1">
      <c r="B2737" s="101"/>
    </row>
    <row r="2738" ht="14.25" customHeight="1">
      <c r="B2738" s="101"/>
    </row>
    <row r="2739" ht="14.25" customHeight="1">
      <c r="B2739" s="101"/>
    </row>
    <row r="2740" ht="14.25" customHeight="1">
      <c r="B2740" s="101"/>
    </row>
    <row r="2741" ht="14.25" customHeight="1">
      <c r="B2741" s="101"/>
    </row>
    <row r="2742" ht="14.25" customHeight="1">
      <c r="B2742" s="101"/>
    </row>
    <row r="2743" ht="14.25" customHeight="1">
      <c r="B2743" s="101"/>
    </row>
    <row r="2744" ht="14.25" customHeight="1">
      <c r="B2744" s="101"/>
    </row>
    <row r="2745" ht="14.25" customHeight="1">
      <c r="B2745" s="101"/>
    </row>
    <row r="2746" ht="14.25" customHeight="1">
      <c r="B2746" s="101"/>
    </row>
    <row r="2747" ht="14.25" customHeight="1">
      <c r="B2747" s="101"/>
    </row>
    <row r="2748" ht="14.25" customHeight="1">
      <c r="B2748" s="101"/>
    </row>
    <row r="2749" ht="14.25" customHeight="1">
      <c r="B2749" s="101"/>
    </row>
    <row r="2750" ht="14.25" customHeight="1">
      <c r="B2750" s="101"/>
    </row>
    <row r="2751" ht="14.25" customHeight="1">
      <c r="B2751" s="101"/>
    </row>
    <row r="2752" ht="14.25" customHeight="1">
      <c r="B2752" s="101"/>
    </row>
    <row r="2753" ht="14.25" customHeight="1">
      <c r="B2753" s="101"/>
    </row>
    <row r="2754" ht="14.25" customHeight="1">
      <c r="B2754" s="101"/>
    </row>
    <row r="2755" ht="14.25" customHeight="1">
      <c r="B2755" s="101"/>
    </row>
    <row r="2756" ht="14.25" customHeight="1">
      <c r="B2756" s="101"/>
    </row>
    <row r="2757" ht="14.25" customHeight="1">
      <c r="B2757" s="101"/>
    </row>
    <row r="2758" ht="14.25" customHeight="1">
      <c r="B2758" s="101"/>
    </row>
    <row r="2759" ht="14.25" customHeight="1">
      <c r="B2759" s="101"/>
    </row>
    <row r="2760" ht="14.25" customHeight="1">
      <c r="B2760" s="101"/>
    </row>
    <row r="2761" ht="14.25" customHeight="1">
      <c r="B2761" s="101"/>
    </row>
    <row r="2762" ht="14.25" customHeight="1">
      <c r="B2762" s="101"/>
    </row>
    <row r="2763" ht="14.25" customHeight="1">
      <c r="B2763" s="101"/>
    </row>
    <row r="2764" ht="14.25" customHeight="1">
      <c r="B2764" s="101"/>
    </row>
    <row r="2765" ht="14.25" customHeight="1">
      <c r="B2765" s="101"/>
    </row>
    <row r="2766" ht="14.25" customHeight="1">
      <c r="B2766" s="101"/>
    </row>
    <row r="2767" ht="14.25" customHeight="1">
      <c r="B2767" s="101"/>
    </row>
    <row r="2768" ht="14.25" customHeight="1">
      <c r="B2768" s="101"/>
    </row>
    <row r="2769" ht="14.25" customHeight="1">
      <c r="B2769" s="101"/>
    </row>
    <row r="2770" ht="14.25" customHeight="1">
      <c r="B2770" s="101"/>
    </row>
    <row r="2771" ht="14.25" customHeight="1">
      <c r="B2771" s="101"/>
    </row>
    <row r="2772" ht="14.25" customHeight="1">
      <c r="B2772" s="101"/>
    </row>
    <row r="2773" ht="14.25" customHeight="1">
      <c r="B2773" s="101"/>
    </row>
    <row r="2774" ht="14.25" customHeight="1">
      <c r="B2774" s="101"/>
    </row>
    <row r="2775" ht="14.25" customHeight="1">
      <c r="B2775" s="101"/>
    </row>
    <row r="2776" ht="14.25" customHeight="1">
      <c r="B2776" s="101"/>
    </row>
    <row r="2777" ht="14.25" customHeight="1">
      <c r="B2777" s="101"/>
    </row>
    <row r="2778" ht="14.25" customHeight="1">
      <c r="B2778" s="101"/>
    </row>
    <row r="2779" ht="14.25" customHeight="1">
      <c r="B2779" s="101"/>
    </row>
    <row r="2780" ht="14.25" customHeight="1">
      <c r="B2780" s="101"/>
    </row>
    <row r="2781" ht="14.25" customHeight="1">
      <c r="B2781" s="101"/>
    </row>
    <row r="2782" ht="14.25" customHeight="1">
      <c r="B2782" s="101"/>
    </row>
    <row r="2783" ht="14.25" customHeight="1">
      <c r="B2783" s="101"/>
    </row>
    <row r="2784" ht="14.25" customHeight="1">
      <c r="B2784" s="101"/>
    </row>
    <row r="2785" ht="14.25" customHeight="1">
      <c r="B2785" s="101"/>
    </row>
    <row r="2786" ht="14.25" customHeight="1">
      <c r="B2786" s="101"/>
    </row>
    <row r="2787" ht="14.25" customHeight="1">
      <c r="B2787" s="101"/>
    </row>
    <row r="2788" ht="14.25" customHeight="1">
      <c r="B2788" s="101"/>
    </row>
    <row r="2789" ht="14.25" customHeight="1">
      <c r="B2789" s="101"/>
    </row>
    <row r="2790" ht="14.25" customHeight="1">
      <c r="B2790" s="101"/>
    </row>
    <row r="2791" ht="14.25" customHeight="1">
      <c r="B2791" s="101"/>
    </row>
    <row r="2792" ht="14.25" customHeight="1">
      <c r="B2792" s="101"/>
    </row>
    <row r="2793" ht="14.25" customHeight="1">
      <c r="B2793" s="101"/>
    </row>
    <row r="2794" ht="14.25" customHeight="1">
      <c r="B2794" s="101"/>
    </row>
    <row r="2795" ht="14.25" customHeight="1">
      <c r="B2795" s="101"/>
    </row>
    <row r="2796" ht="14.25" customHeight="1">
      <c r="B2796" s="101"/>
    </row>
    <row r="2797" ht="14.25" customHeight="1">
      <c r="B2797" s="101"/>
    </row>
    <row r="2798" ht="14.25" customHeight="1">
      <c r="B2798" s="101"/>
    </row>
    <row r="2799" ht="14.25" customHeight="1">
      <c r="B2799" s="101"/>
    </row>
    <row r="2800" ht="14.25" customHeight="1">
      <c r="B2800" s="101"/>
    </row>
    <row r="2801" ht="14.25" customHeight="1">
      <c r="B2801" s="101"/>
    </row>
    <row r="2802" ht="14.25" customHeight="1">
      <c r="B2802" s="101"/>
    </row>
    <row r="2803" ht="14.25" customHeight="1">
      <c r="B2803" s="101"/>
    </row>
    <row r="2804" ht="14.25" customHeight="1">
      <c r="B2804" s="101"/>
    </row>
    <row r="2805" ht="14.25" customHeight="1">
      <c r="B2805" s="101"/>
    </row>
    <row r="2806" ht="14.25" customHeight="1">
      <c r="B2806" s="101"/>
    </row>
    <row r="2807" ht="14.25" customHeight="1">
      <c r="B2807" s="101"/>
    </row>
    <row r="2808" ht="14.25" customHeight="1">
      <c r="B2808" s="101"/>
    </row>
    <row r="2809" ht="14.25" customHeight="1">
      <c r="B2809" s="101"/>
    </row>
    <row r="2810" ht="14.25" customHeight="1">
      <c r="B2810" s="101"/>
    </row>
    <row r="2811" ht="14.25" customHeight="1">
      <c r="B2811" s="101"/>
    </row>
    <row r="2812" ht="14.25" customHeight="1">
      <c r="B2812" s="101"/>
    </row>
    <row r="2813" ht="14.25" customHeight="1">
      <c r="B2813" s="101"/>
    </row>
    <row r="2814" ht="14.25" customHeight="1">
      <c r="B2814" s="101"/>
    </row>
    <row r="2815" ht="14.25" customHeight="1">
      <c r="B2815" s="101"/>
    </row>
    <row r="2816" ht="14.25" customHeight="1">
      <c r="B2816" s="101"/>
    </row>
    <row r="2817" ht="14.25" customHeight="1">
      <c r="B2817" s="101"/>
    </row>
    <row r="2818" ht="14.25" customHeight="1">
      <c r="B2818" s="101"/>
    </row>
    <row r="2819" ht="14.25" customHeight="1">
      <c r="B2819" s="101"/>
    </row>
    <row r="2820" ht="14.25" customHeight="1">
      <c r="B2820" s="101"/>
    </row>
    <row r="2821" ht="14.25" customHeight="1">
      <c r="B2821" s="101"/>
    </row>
    <row r="2822" ht="14.25" customHeight="1">
      <c r="B2822" s="101"/>
    </row>
    <row r="2823" ht="14.25" customHeight="1">
      <c r="B2823" s="101"/>
    </row>
    <row r="2824" ht="14.25" customHeight="1">
      <c r="B2824" s="101"/>
    </row>
    <row r="2825" ht="14.25" customHeight="1">
      <c r="B2825" s="101"/>
    </row>
    <row r="2826" ht="14.25" customHeight="1">
      <c r="B2826" s="101"/>
    </row>
    <row r="2827" ht="14.25" customHeight="1">
      <c r="B2827" s="101"/>
    </row>
    <row r="2828" ht="14.25" customHeight="1">
      <c r="B2828" s="101"/>
    </row>
    <row r="2829" ht="14.25" customHeight="1">
      <c r="B2829" s="101"/>
    </row>
    <row r="2830" ht="14.25" customHeight="1">
      <c r="B2830" s="101"/>
    </row>
    <row r="2831" ht="14.25" customHeight="1">
      <c r="B2831" s="101"/>
    </row>
    <row r="2832" ht="14.25" customHeight="1">
      <c r="B2832" s="101"/>
    </row>
    <row r="2833" ht="14.25" customHeight="1">
      <c r="B2833" s="101"/>
    </row>
    <row r="2834" ht="14.25" customHeight="1">
      <c r="B2834" s="101"/>
    </row>
    <row r="2835" ht="14.25" customHeight="1">
      <c r="B2835" s="101"/>
    </row>
    <row r="2836" ht="14.25" customHeight="1">
      <c r="B2836" s="101"/>
    </row>
    <row r="2837" ht="14.25" customHeight="1">
      <c r="B2837" s="101"/>
    </row>
    <row r="2838" ht="14.25" customHeight="1">
      <c r="B2838" s="101"/>
    </row>
    <row r="2839" ht="14.25" customHeight="1">
      <c r="B2839" s="101"/>
    </row>
    <row r="2840" ht="14.25" customHeight="1">
      <c r="B2840" s="101"/>
    </row>
    <row r="2841" ht="14.25" customHeight="1">
      <c r="B2841" s="101"/>
    </row>
    <row r="2842" ht="14.25" customHeight="1">
      <c r="B2842" s="101"/>
    </row>
    <row r="2843" ht="14.25" customHeight="1">
      <c r="B2843" s="101"/>
    </row>
    <row r="2844" ht="14.25" customHeight="1">
      <c r="B2844" s="101"/>
    </row>
    <row r="2845" ht="14.25" customHeight="1">
      <c r="B2845" s="101"/>
    </row>
    <row r="2846" ht="14.25" customHeight="1">
      <c r="B2846" s="101"/>
    </row>
    <row r="2847" ht="14.25" customHeight="1">
      <c r="B2847" s="101"/>
    </row>
    <row r="2848" ht="14.25" customHeight="1">
      <c r="B2848" s="101"/>
    </row>
    <row r="2849" ht="14.25" customHeight="1">
      <c r="B2849" s="101"/>
    </row>
    <row r="2850" ht="14.25" customHeight="1">
      <c r="B2850" s="101"/>
    </row>
    <row r="2851" ht="14.25" customHeight="1">
      <c r="B2851" s="101"/>
    </row>
    <row r="2852" ht="14.25" customHeight="1">
      <c r="B2852" s="101"/>
    </row>
    <row r="2853" ht="14.25" customHeight="1">
      <c r="B2853" s="101"/>
    </row>
    <row r="2854" ht="14.25" customHeight="1">
      <c r="B2854" s="101"/>
    </row>
    <row r="2855" ht="14.25" customHeight="1">
      <c r="B2855" s="101"/>
    </row>
    <row r="2856" ht="14.25" customHeight="1">
      <c r="B2856" s="101"/>
    </row>
    <row r="2857" ht="14.25" customHeight="1">
      <c r="B2857" s="101"/>
    </row>
    <row r="2858" ht="14.25" customHeight="1">
      <c r="B2858" s="101"/>
    </row>
    <row r="2859" ht="14.25" customHeight="1">
      <c r="B2859" s="101"/>
    </row>
    <row r="2860" ht="14.25" customHeight="1">
      <c r="B2860" s="101"/>
    </row>
    <row r="2861" ht="14.25" customHeight="1">
      <c r="B2861" s="101"/>
    </row>
    <row r="2862" ht="14.25" customHeight="1">
      <c r="B2862" s="101"/>
    </row>
    <row r="2863" ht="14.25" customHeight="1">
      <c r="B2863" s="101"/>
    </row>
    <row r="2864" ht="14.25" customHeight="1">
      <c r="B2864" s="101"/>
    </row>
    <row r="2865" ht="14.25" customHeight="1">
      <c r="B2865" s="101"/>
    </row>
    <row r="2866" ht="14.25" customHeight="1">
      <c r="B2866" s="101"/>
    </row>
    <row r="2867" ht="14.25" customHeight="1">
      <c r="B2867" s="101"/>
    </row>
    <row r="2868" ht="14.25" customHeight="1">
      <c r="B2868" s="101"/>
    </row>
    <row r="2869" ht="14.25" customHeight="1">
      <c r="B2869" s="101"/>
    </row>
    <row r="2870" ht="14.25" customHeight="1">
      <c r="B2870" s="101"/>
    </row>
    <row r="2871" ht="14.25" customHeight="1">
      <c r="B2871" s="101"/>
    </row>
    <row r="2872" ht="14.25" customHeight="1">
      <c r="B2872" s="101"/>
    </row>
    <row r="2873" ht="14.25" customHeight="1">
      <c r="B2873" s="101"/>
    </row>
    <row r="2874" ht="14.25" customHeight="1">
      <c r="B2874" s="101"/>
    </row>
    <row r="2875" ht="14.25" customHeight="1">
      <c r="B2875" s="101"/>
    </row>
    <row r="2876" ht="14.25" customHeight="1">
      <c r="B2876" s="101"/>
    </row>
    <row r="2877" ht="14.25" customHeight="1">
      <c r="B2877" s="101"/>
    </row>
    <row r="2878" ht="14.25" customHeight="1">
      <c r="B2878" s="101"/>
    </row>
    <row r="2879" ht="14.25" customHeight="1">
      <c r="B2879" s="101"/>
    </row>
    <row r="2880" ht="14.25" customHeight="1">
      <c r="B2880" s="101"/>
    </row>
    <row r="2881" ht="14.25" customHeight="1">
      <c r="B2881" s="101"/>
    </row>
    <row r="2882" ht="14.25" customHeight="1">
      <c r="B2882" s="101"/>
    </row>
    <row r="2883" ht="14.25" customHeight="1">
      <c r="B2883" s="101"/>
    </row>
    <row r="2884" ht="14.25" customHeight="1">
      <c r="B2884" s="101"/>
    </row>
    <row r="2885" ht="14.25" customHeight="1">
      <c r="B2885" s="101"/>
    </row>
    <row r="2886" ht="14.25" customHeight="1">
      <c r="B2886" s="101"/>
    </row>
    <row r="2887" ht="14.25" customHeight="1">
      <c r="B2887" s="101"/>
    </row>
    <row r="2888" ht="14.25" customHeight="1">
      <c r="B2888" s="101"/>
    </row>
    <row r="2889" ht="14.25" customHeight="1">
      <c r="B2889" s="101"/>
    </row>
    <row r="2890" ht="14.25" customHeight="1">
      <c r="B2890" s="101"/>
    </row>
    <row r="2891" ht="14.25" customHeight="1">
      <c r="B2891" s="101"/>
    </row>
    <row r="2892" ht="14.25" customHeight="1">
      <c r="B2892" s="101"/>
    </row>
    <row r="2893" ht="14.25" customHeight="1">
      <c r="B2893" s="101"/>
    </row>
    <row r="2894" ht="14.25" customHeight="1">
      <c r="B2894" s="101"/>
    </row>
    <row r="2895" ht="14.25" customHeight="1">
      <c r="B2895" s="101"/>
    </row>
    <row r="2896" ht="14.25" customHeight="1">
      <c r="B2896" s="101"/>
    </row>
    <row r="2897" ht="14.25" customHeight="1">
      <c r="B2897" s="101"/>
    </row>
    <row r="2898" ht="14.25" customHeight="1">
      <c r="B2898" s="101"/>
    </row>
    <row r="2899" ht="14.25" customHeight="1">
      <c r="B2899" s="101"/>
    </row>
    <row r="2900" ht="14.25" customHeight="1">
      <c r="B2900" s="101"/>
    </row>
    <row r="2901" ht="14.25" customHeight="1">
      <c r="B2901" s="101"/>
    </row>
    <row r="2902" ht="14.25" customHeight="1">
      <c r="B2902" s="101"/>
    </row>
    <row r="2903" ht="14.25" customHeight="1">
      <c r="B2903" s="101"/>
    </row>
    <row r="2904" ht="14.25" customHeight="1">
      <c r="B2904" s="101"/>
    </row>
    <row r="2905" ht="14.25" customHeight="1">
      <c r="B2905" s="101"/>
    </row>
    <row r="2906" ht="14.25" customHeight="1">
      <c r="B2906" s="101"/>
    </row>
    <row r="2907" ht="14.25" customHeight="1">
      <c r="B2907" s="101"/>
    </row>
    <row r="2908" ht="14.25" customHeight="1">
      <c r="B2908" s="101"/>
    </row>
    <row r="2909" ht="14.25" customHeight="1">
      <c r="B2909" s="101"/>
    </row>
    <row r="2910" ht="14.25" customHeight="1">
      <c r="B2910" s="101"/>
    </row>
    <row r="2911" ht="14.25" customHeight="1">
      <c r="B2911" s="101"/>
    </row>
    <row r="2912" ht="14.25" customHeight="1">
      <c r="B2912" s="101"/>
    </row>
    <row r="2913" ht="14.25" customHeight="1">
      <c r="B2913" s="101"/>
    </row>
    <row r="2914" ht="14.25" customHeight="1">
      <c r="B2914" s="101"/>
    </row>
    <row r="2915" ht="14.25" customHeight="1">
      <c r="B2915" s="101"/>
    </row>
    <row r="2916" ht="14.25" customHeight="1">
      <c r="B2916" s="101"/>
    </row>
    <row r="2917" ht="14.25" customHeight="1">
      <c r="B2917" s="101"/>
    </row>
    <row r="2918" ht="14.25" customHeight="1">
      <c r="B2918" s="101"/>
    </row>
    <row r="2919" ht="14.25" customHeight="1">
      <c r="B2919" s="101"/>
    </row>
    <row r="2920" ht="14.25" customHeight="1">
      <c r="B2920" s="101"/>
    </row>
    <row r="2921" ht="14.25" customHeight="1">
      <c r="B2921" s="101"/>
    </row>
    <row r="2922" ht="14.25" customHeight="1">
      <c r="B2922" s="101"/>
    </row>
    <row r="2923" ht="14.25" customHeight="1">
      <c r="B2923" s="101"/>
    </row>
    <row r="2924" ht="14.25" customHeight="1">
      <c r="B2924" s="101"/>
    </row>
    <row r="2925" ht="14.25" customHeight="1">
      <c r="B2925" s="101"/>
    </row>
    <row r="2926" ht="14.25" customHeight="1">
      <c r="B2926" s="101"/>
    </row>
    <row r="2927" ht="14.25" customHeight="1">
      <c r="B2927" s="101"/>
    </row>
    <row r="2928" ht="14.25" customHeight="1">
      <c r="B2928" s="101"/>
    </row>
    <row r="2929" ht="14.25" customHeight="1">
      <c r="B2929" s="101"/>
    </row>
    <row r="2930" ht="14.25" customHeight="1">
      <c r="B2930" s="101"/>
    </row>
    <row r="2931" ht="14.25" customHeight="1">
      <c r="B2931" s="101"/>
    </row>
    <row r="2932" ht="14.25" customHeight="1">
      <c r="B2932" s="101"/>
    </row>
    <row r="2933" ht="14.25" customHeight="1">
      <c r="B2933" s="101"/>
    </row>
    <row r="2934" ht="14.25" customHeight="1">
      <c r="B2934" s="101"/>
    </row>
    <row r="2935" ht="14.25" customHeight="1">
      <c r="B2935" s="101"/>
    </row>
    <row r="2936" ht="14.25" customHeight="1">
      <c r="B2936" s="101"/>
    </row>
    <row r="2937" ht="14.25" customHeight="1">
      <c r="B2937" s="101"/>
    </row>
    <row r="2938" ht="14.25" customHeight="1">
      <c r="B2938" s="101"/>
    </row>
    <row r="2939" ht="14.25" customHeight="1">
      <c r="B2939" s="101"/>
    </row>
    <row r="2940" ht="14.25" customHeight="1">
      <c r="B2940" s="101"/>
    </row>
    <row r="2941" ht="14.25" customHeight="1">
      <c r="B2941" s="101"/>
    </row>
    <row r="2942" ht="14.25" customHeight="1">
      <c r="B2942" s="101"/>
    </row>
    <row r="2943" ht="14.25" customHeight="1">
      <c r="B2943" s="101"/>
    </row>
    <row r="2944" ht="14.25" customHeight="1">
      <c r="B2944" s="101"/>
    </row>
    <row r="2945" ht="14.25" customHeight="1">
      <c r="B2945" s="101"/>
    </row>
    <row r="2946" ht="14.25" customHeight="1">
      <c r="B2946" s="101"/>
    </row>
    <row r="2947" ht="14.25" customHeight="1">
      <c r="B2947" s="101"/>
    </row>
    <row r="2948" ht="14.25" customHeight="1">
      <c r="B2948" s="101"/>
    </row>
    <row r="2949" ht="14.25" customHeight="1">
      <c r="B2949" s="101"/>
    </row>
    <row r="2950" ht="14.25" customHeight="1">
      <c r="B2950" s="101"/>
    </row>
    <row r="2951" ht="14.25" customHeight="1">
      <c r="B2951" s="101"/>
    </row>
    <row r="2952" ht="14.25" customHeight="1">
      <c r="B2952" s="101"/>
    </row>
    <row r="2953" ht="14.25" customHeight="1">
      <c r="B2953" s="101"/>
    </row>
    <row r="2954" ht="14.25" customHeight="1">
      <c r="B2954" s="101"/>
    </row>
    <row r="2955" ht="14.25" customHeight="1">
      <c r="B2955" s="101"/>
    </row>
    <row r="2956" ht="14.25" customHeight="1">
      <c r="B2956" s="101"/>
    </row>
    <row r="2957" ht="14.25" customHeight="1">
      <c r="B2957" s="101"/>
    </row>
    <row r="2958" ht="14.25" customHeight="1">
      <c r="B2958" s="101"/>
    </row>
    <row r="2959" ht="14.25" customHeight="1">
      <c r="B2959" s="101"/>
    </row>
    <row r="2960" ht="14.25" customHeight="1">
      <c r="B2960" s="101"/>
    </row>
    <row r="2961" ht="14.25" customHeight="1">
      <c r="B2961" s="101"/>
    </row>
    <row r="2962" ht="14.25" customHeight="1">
      <c r="B2962" s="101"/>
    </row>
    <row r="2963" ht="14.25" customHeight="1">
      <c r="B2963" s="101"/>
    </row>
    <row r="2964" ht="14.25" customHeight="1">
      <c r="B2964" s="101"/>
    </row>
    <row r="2965" ht="14.25" customHeight="1">
      <c r="B2965" s="101"/>
    </row>
    <row r="2966" ht="14.25" customHeight="1">
      <c r="B2966" s="101"/>
    </row>
    <row r="2967" ht="14.25" customHeight="1">
      <c r="B2967" s="101"/>
    </row>
    <row r="2968" ht="14.25" customHeight="1">
      <c r="B2968" s="101"/>
    </row>
    <row r="2969" ht="14.25" customHeight="1">
      <c r="B2969" s="101"/>
    </row>
    <row r="2970" ht="14.25" customHeight="1">
      <c r="B2970" s="101"/>
    </row>
    <row r="2971" ht="14.25" customHeight="1">
      <c r="B2971" s="101"/>
    </row>
    <row r="2972" ht="14.25" customHeight="1">
      <c r="B2972" s="101"/>
    </row>
    <row r="2973" ht="14.25" customHeight="1">
      <c r="B2973" s="101"/>
    </row>
    <row r="2974" ht="14.25" customHeight="1">
      <c r="B2974" s="101"/>
    </row>
    <row r="2975" ht="14.25" customHeight="1">
      <c r="B2975" s="101"/>
    </row>
    <row r="2976" ht="14.25" customHeight="1">
      <c r="B2976" s="101"/>
    </row>
    <row r="2977" ht="14.25" customHeight="1">
      <c r="B2977" s="101"/>
    </row>
    <row r="2978" ht="14.25" customHeight="1">
      <c r="B2978" s="101"/>
    </row>
    <row r="2979" ht="14.25" customHeight="1">
      <c r="B2979" s="101"/>
    </row>
    <row r="2980" ht="14.25" customHeight="1">
      <c r="B2980" s="101"/>
    </row>
    <row r="2981" ht="14.25" customHeight="1">
      <c r="B2981" s="101"/>
    </row>
    <row r="2982" ht="14.25" customHeight="1">
      <c r="B2982" s="101"/>
    </row>
    <row r="2983" ht="14.25" customHeight="1">
      <c r="B2983" s="101"/>
    </row>
    <row r="2984" ht="14.25" customHeight="1">
      <c r="B2984" s="101"/>
    </row>
    <row r="2985" ht="14.25" customHeight="1">
      <c r="B2985" s="101"/>
    </row>
    <row r="2986" ht="14.25" customHeight="1">
      <c r="B2986" s="101"/>
    </row>
    <row r="2987" ht="14.25" customHeight="1">
      <c r="B2987" s="101"/>
    </row>
    <row r="2988" ht="14.25" customHeight="1">
      <c r="B2988" s="101"/>
    </row>
    <row r="2989" ht="14.25" customHeight="1">
      <c r="B2989" s="101"/>
    </row>
    <row r="2990" ht="14.25" customHeight="1">
      <c r="B2990" s="101"/>
    </row>
    <row r="2991" ht="14.25" customHeight="1">
      <c r="B2991" s="101"/>
    </row>
    <row r="2992" ht="14.25" customHeight="1">
      <c r="B2992" s="101"/>
    </row>
    <row r="2993" ht="14.25" customHeight="1">
      <c r="B2993" s="101"/>
    </row>
    <row r="2994" ht="14.25" customHeight="1">
      <c r="B2994" s="101"/>
    </row>
    <row r="2995" ht="14.25" customHeight="1">
      <c r="B2995" s="101"/>
    </row>
    <row r="2996" ht="14.25" customHeight="1">
      <c r="B2996" s="101"/>
    </row>
    <row r="2997" ht="14.25" customHeight="1">
      <c r="B2997" s="101"/>
    </row>
    <row r="2998" ht="14.25" customHeight="1">
      <c r="B2998" s="101"/>
    </row>
    <row r="2999" ht="14.25" customHeight="1">
      <c r="B2999" s="101"/>
    </row>
    <row r="3000" ht="14.25" customHeight="1">
      <c r="B3000" s="101"/>
    </row>
    <row r="3001" ht="14.25" customHeight="1">
      <c r="B3001" s="101"/>
    </row>
    <row r="3002" ht="14.25" customHeight="1">
      <c r="B3002" s="101"/>
    </row>
    <row r="3003" ht="14.25" customHeight="1">
      <c r="B3003" s="101"/>
    </row>
    <row r="3004" ht="14.25" customHeight="1">
      <c r="B3004" s="101"/>
    </row>
    <row r="3005" ht="14.25" customHeight="1">
      <c r="B3005" s="101"/>
    </row>
    <row r="3006" ht="14.25" customHeight="1">
      <c r="B3006" s="101"/>
    </row>
    <row r="3007" ht="14.25" customHeight="1">
      <c r="B3007" s="101"/>
    </row>
    <row r="3008" ht="14.25" customHeight="1">
      <c r="B3008" s="101"/>
    </row>
    <row r="3009" ht="14.25" customHeight="1">
      <c r="B3009" s="101"/>
    </row>
    <row r="3010" ht="14.25" customHeight="1">
      <c r="B3010" s="101"/>
    </row>
    <row r="3011" ht="14.25" customHeight="1">
      <c r="B3011" s="101"/>
    </row>
    <row r="3012" ht="14.25" customHeight="1">
      <c r="B3012" s="101"/>
    </row>
    <row r="3013" ht="14.25" customHeight="1">
      <c r="B3013" s="101"/>
    </row>
    <row r="3014" ht="14.25" customHeight="1">
      <c r="B3014" s="101"/>
    </row>
    <row r="3015" ht="14.25" customHeight="1">
      <c r="B3015" s="101"/>
    </row>
    <row r="3016" ht="14.25" customHeight="1">
      <c r="B3016" s="101"/>
    </row>
    <row r="3017" ht="14.25" customHeight="1">
      <c r="B3017" s="101"/>
    </row>
    <row r="3018" ht="14.25" customHeight="1">
      <c r="B3018" s="101"/>
    </row>
    <row r="3019" ht="14.25" customHeight="1">
      <c r="B3019" s="101"/>
    </row>
    <row r="3020" ht="14.25" customHeight="1">
      <c r="B3020" s="101"/>
    </row>
    <row r="3021" ht="14.25" customHeight="1">
      <c r="B3021" s="101"/>
    </row>
    <row r="3022" ht="14.25" customHeight="1">
      <c r="B3022" s="101"/>
    </row>
    <row r="3023" ht="14.25" customHeight="1">
      <c r="B3023" s="101"/>
    </row>
    <row r="3024" ht="14.25" customHeight="1">
      <c r="B3024" s="101"/>
    </row>
    <row r="3025" ht="14.25" customHeight="1">
      <c r="B3025" s="101"/>
    </row>
    <row r="3026" ht="14.25" customHeight="1">
      <c r="B3026" s="101"/>
    </row>
    <row r="3027" ht="14.25" customHeight="1">
      <c r="B3027" s="101"/>
    </row>
    <row r="3028" ht="14.25" customHeight="1">
      <c r="B3028" s="101"/>
    </row>
    <row r="3029" ht="14.25" customHeight="1">
      <c r="B3029" s="101"/>
    </row>
    <row r="3030" ht="14.25" customHeight="1">
      <c r="B3030" s="101"/>
    </row>
    <row r="3031" ht="14.25" customHeight="1">
      <c r="B3031" s="101"/>
    </row>
    <row r="3032" ht="14.25" customHeight="1">
      <c r="B3032" s="101"/>
    </row>
    <row r="3033" ht="14.25" customHeight="1">
      <c r="B3033" s="101"/>
    </row>
    <row r="3034" ht="14.25" customHeight="1">
      <c r="B3034" s="101"/>
    </row>
    <row r="3035" ht="14.25" customHeight="1">
      <c r="B3035" s="101"/>
    </row>
    <row r="3036" ht="14.25" customHeight="1">
      <c r="B3036" s="101"/>
    </row>
    <row r="3037" ht="14.25" customHeight="1">
      <c r="B3037" s="101"/>
    </row>
    <row r="3038" ht="14.25" customHeight="1">
      <c r="B3038" s="101"/>
    </row>
    <row r="3039" ht="14.25" customHeight="1">
      <c r="B3039" s="101"/>
    </row>
    <row r="3040" ht="14.25" customHeight="1">
      <c r="B3040" s="101"/>
    </row>
    <row r="3041" ht="14.25" customHeight="1">
      <c r="B3041" s="101"/>
    </row>
    <row r="3042" ht="14.25" customHeight="1">
      <c r="B3042" s="101"/>
    </row>
    <row r="3043" ht="14.25" customHeight="1">
      <c r="B3043" s="101"/>
    </row>
    <row r="3044" ht="14.25" customHeight="1">
      <c r="B3044" s="101"/>
    </row>
    <row r="3045" ht="14.25" customHeight="1">
      <c r="B3045" s="101"/>
    </row>
    <row r="3046" ht="14.25" customHeight="1">
      <c r="B3046" s="101"/>
    </row>
    <row r="3047" ht="14.25" customHeight="1">
      <c r="B3047" s="101"/>
    </row>
    <row r="3048" ht="14.25" customHeight="1">
      <c r="B3048" s="101"/>
    </row>
    <row r="3049" ht="14.25" customHeight="1">
      <c r="B3049" s="101"/>
    </row>
    <row r="3050" ht="14.25" customHeight="1">
      <c r="B3050" s="101"/>
    </row>
    <row r="3051" ht="14.25" customHeight="1">
      <c r="B3051" s="101"/>
    </row>
    <row r="3052" ht="14.25" customHeight="1">
      <c r="B3052" s="101"/>
    </row>
    <row r="3053" ht="14.25" customHeight="1">
      <c r="B3053" s="101"/>
    </row>
    <row r="3054" ht="14.25" customHeight="1">
      <c r="B3054" s="101"/>
    </row>
    <row r="3055" ht="14.25" customHeight="1">
      <c r="B3055" s="101"/>
    </row>
    <row r="3056" ht="14.25" customHeight="1">
      <c r="B3056" s="101"/>
    </row>
    <row r="3057" ht="14.25" customHeight="1">
      <c r="B3057" s="101"/>
    </row>
    <row r="3058" ht="14.25" customHeight="1">
      <c r="B3058" s="101"/>
    </row>
    <row r="3059" ht="14.25" customHeight="1">
      <c r="B3059" s="101"/>
    </row>
    <row r="3060" ht="14.25" customHeight="1">
      <c r="B3060" s="101"/>
    </row>
    <row r="3061" ht="14.25" customHeight="1">
      <c r="B3061" s="101"/>
    </row>
    <row r="3062" ht="14.25" customHeight="1">
      <c r="B3062" s="101"/>
    </row>
    <row r="3063" ht="14.25" customHeight="1">
      <c r="B3063" s="101"/>
    </row>
    <row r="3064" ht="14.25" customHeight="1">
      <c r="B3064" s="101"/>
    </row>
    <row r="3065" ht="14.25" customHeight="1">
      <c r="B3065" s="101"/>
    </row>
    <row r="3066" ht="14.25" customHeight="1">
      <c r="B3066" s="101"/>
    </row>
    <row r="3067" ht="14.25" customHeight="1">
      <c r="B3067" s="101"/>
    </row>
    <row r="3068" ht="14.25" customHeight="1">
      <c r="B3068" s="101"/>
    </row>
    <row r="3069" ht="14.25" customHeight="1">
      <c r="B3069" s="101"/>
    </row>
    <row r="3070" ht="14.25" customHeight="1">
      <c r="B3070" s="101"/>
    </row>
    <row r="3071" ht="14.25" customHeight="1">
      <c r="B3071" s="101"/>
    </row>
    <row r="3072" ht="14.25" customHeight="1">
      <c r="B3072" s="101"/>
    </row>
    <row r="3073" ht="14.25" customHeight="1">
      <c r="B3073" s="101"/>
    </row>
    <row r="3074" ht="14.25" customHeight="1">
      <c r="B3074" s="101"/>
    </row>
    <row r="3075" ht="14.25" customHeight="1">
      <c r="B3075" s="101"/>
    </row>
    <row r="3076" ht="14.25" customHeight="1">
      <c r="B3076" s="101"/>
    </row>
    <row r="3077" ht="14.25" customHeight="1">
      <c r="B3077" s="101"/>
    </row>
    <row r="3078" ht="14.25" customHeight="1">
      <c r="B3078" s="101"/>
    </row>
    <row r="3079" ht="14.25" customHeight="1">
      <c r="B3079" s="101"/>
    </row>
    <row r="3080" ht="14.25" customHeight="1">
      <c r="B3080" s="101"/>
    </row>
    <row r="3081" ht="14.25" customHeight="1">
      <c r="B3081" s="101"/>
    </row>
    <row r="3082" ht="14.25" customHeight="1">
      <c r="B3082" s="101"/>
    </row>
    <row r="3083" ht="14.25" customHeight="1">
      <c r="B3083" s="101"/>
    </row>
    <row r="3084" ht="14.25" customHeight="1">
      <c r="B3084" s="101"/>
    </row>
    <row r="3085" ht="14.25" customHeight="1">
      <c r="B3085" s="101"/>
    </row>
    <row r="3086" ht="14.25" customHeight="1">
      <c r="B3086" s="101"/>
    </row>
    <row r="3087" ht="14.25" customHeight="1">
      <c r="B3087" s="101"/>
    </row>
    <row r="3088" ht="14.25" customHeight="1">
      <c r="B3088" s="101"/>
    </row>
    <row r="3089" ht="14.25" customHeight="1">
      <c r="B3089" s="101"/>
    </row>
    <row r="3090" ht="14.25" customHeight="1">
      <c r="B3090" s="101"/>
    </row>
    <row r="3091" ht="14.25" customHeight="1">
      <c r="B3091" s="101"/>
    </row>
    <row r="3092" ht="14.25" customHeight="1">
      <c r="B3092" s="101"/>
    </row>
    <row r="3093" ht="14.25" customHeight="1">
      <c r="B3093" s="101"/>
    </row>
    <row r="3094" ht="14.25" customHeight="1">
      <c r="B3094" s="101"/>
    </row>
    <row r="3095" ht="14.25" customHeight="1">
      <c r="B3095" s="101"/>
    </row>
    <row r="3096" ht="14.25" customHeight="1">
      <c r="B3096" s="101"/>
    </row>
    <row r="3097" ht="14.25" customHeight="1">
      <c r="B3097" s="101"/>
    </row>
    <row r="3098" ht="14.25" customHeight="1">
      <c r="B3098" s="101"/>
    </row>
    <row r="3099" ht="14.25" customHeight="1">
      <c r="B3099" s="101"/>
    </row>
    <row r="3100" ht="14.25" customHeight="1">
      <c r="B3100" s="101"/>
    </row>
    <row r="3101" ht="14.25" customHeight="1">
      <c r="B3101" s="101"/>
    </row>
    <row r="3102" ht="14.25" customHeight="1">
      <c r="B3102" s="101"/>
    </row>
    <row r="3103" ht="14.25" customHeight="1">
      <c r="B3103" s="101"/>
    </row>
    <row r="3104" ht="14.25" customHeight="1">
      <c r="B3104" s="101"/>
    </row>
    <row r="3105" ht="14.25" customHeight="1">
      <c r="B3105" s="101"/>
    </row>
    <row r="3106" ht="14.25" customHeight="1">
      <c r="B3106" s="101"/>
    </row>
    <row r="3107" ht="14.25" customHeight="1">
      <c r="B3107" s="101"/>
    </row>
    <row r="3108" ht="14.25" customHeight="1">
      <c r="B3108" s="101"/>
    </row>
    <row r="3109" ht="14.25" customHeight="1">
      <c r="B3109" s="101"/>
    </row>
    <row r="3110" ht="14.25" customHeight="1">
      <c r="B3110" s="101"/>
    </row>
    <row r="3111" ht="14.25" customHeight="1">
      <c r="B3111" s="101"/>
    </row>
    <row r="3112" ht="14.25" customHeight="1">
      <c r="B3112" s="101"/>
    </row>
    <row r="3113" ht="14.25" customHeight="1">
      <c r="B3113" s="101"/>
    </row>
    <row r="3114" ht="14.25" customHeight="1">
      <c r="B3114" s="101"/>
    </row>
    <row r="3115" ht="14.25" customHeight="1">
      <c r="B3115" s="101"/>
    </row>
    <row r="3116" ht="14.25" customHeight="1">
      <c r="B3116" s="101"/>
    </row>
    <row r="3117" ht="14.25" customHeight="1">
      <c r="B3117" s="101"/>
    </row>
    <row r="3118" ht="14.25" customHeight="1">
      <c r="B3118" s="101"/>
    </row>
    <row r="3119" ht="14.25" customHeight="1">
      <c r="B3119" s="101"/>
    </row>
    <row r="3120" ht="14.25" customHeight="1">
      <c r="B3120" s="101"/>
    </row>
    <row r="3121" ht="14.25" customHeight="1">
      <c r="B3121" s="101"/>
    </row>
    <row r="3122" ht="14.25" customHeight="1">
      <c r="B3122" s="101"/>
    </row>
    <row r="3123" ht="14.25" customHeight="1">
      <c r="B3123" s="101"/>
    </row>
    <row r="3124" ht="14.25" customHeight="1">
      <c r="B3124" s="101"/>
    </row>
    <row r="3125" ht="14.25" customHeight="1">
      <c r="B3125" s="101"/>
    </row>
    <row r="3126" ht="14.25" customHeight="1">
      <c r="B3126" s="101"/>
    </row>
    <row r="3127" ht="14.25" customHeight="1">
      <c r="B3127" s="101"/>
    </row>
    <row r="3128" ht="14.25" customHeight="1">
      <c r="B3128" s="101"/>
    </row>
    <row r="3129" ht="14.25" customHeight="1">
      <c r="B3129" s="101"/>
    </row>
    <row r="3130" ht="14.25" customHeight="1">
      <c r="B3130" s="101"/>
    </row>
    <row r="3131" ht="14.25" customHeight="1">
      <c r="B3131" s="101"/>
    </row>
    <row r="3132" ht="14.25" customHeight="1">
      <c r="B3132" s="101"/>
    </row>
    <row r="3133" ht="14.25" customHeight="1">
      <c r="B3133" s="101"/>
    </row>
    <row r="3134" ht="14.25" customHeight="1">
      <c r="B3134" s="101"/>
    </row>
    <row r="3135" ht="14.25" customHeight="1">
      <c r="B3135" s="101"/>
    </row>
    <row r="3136" ht="14.25" customHeight="1">
      <c r="B3136" s="101"/>
    </row>
    <row r="3137" ht="14.25" customHeight="1">
      <c r="B3137" s="101"/>
    </row>
    <row r="3138" ht="14.25" customHeight="1">
      <c r="B3138" s="101"/>
    </row>
    <row r="3139" ht="14.25" customHeight="1">
      <c r="B3139" s="101"/>
    </row>
    <row r="3140" ht="14.25" customHeight="1">
      <c r="B3140" s="101"/>
    </row>
    <row r="3141" ht="14.25" customHeight="1">
      <c r="B3141" s="101"/>
    </row>
    <row r="3142" ht="14.25" customHeight="1">
      <c r="B3142" s="101"/>
    </row>
    <row r="3143" ht="14.25" customHeight="1">
      <c r="B3143" s="101"/>
    </row>
    <row r="3144" ht="14.25" customHeight="1">
      <c r="B3144" s="101"/>
    </row>
    <row r="3145" ht="14.25" customHeight="1">
      <c r="B3145" s="101"/>
    </row>
    <row r="3146" ht="14.25" customHeight="1">
      <c r="B3146" s="101"/>
    </row>
    <row r="3147" ht="14.25" customHeight="1">
      <c r="B3147" s="101"/>
    </row>
    <row r="3148" ht="14.25" customHeight="1">
      <c r="B3148" s="101"/>
    </row>
    <row r="3149" ht="14.25" customHeight="1">
      <c r="B3149" s="101"/>
    </row>
    <row r="3150" ht="14.25" customHeight="1">
      <c r="B3150" s="101"/>
    </row>
    <row r="3151" ht="14.25" customHeight="1">
      <c r="B3151" s="101"/>
    </row>
    <row r="3152" ht="14.25" customHeight="1">
      <c r="B3152" s="101"/>
    </row>
    <row r="3153" ht="14.25" customHeight="1">
      <c r="B3153" s="101"/>
    </row>
    <row r="3154" ht="14.25" customHeight="1">
      <c r="B3154" s="101"/>
    </row>
    <row r="3155" ht="14.25" customHeight="1">
      <c r="B3155" s="101"/>
    </row>
    <row r="3156" ht="14.25" customHeight="1">
      <c r="B3156" s="101"/>
    </row>
    <row r="3157" ht="14.25" customHeight="1">
      <c r="B3157" s="101"/>
    </row>
    <row r="3158" ht="14.25" customHeight="1">
      <c r="B3158" s="101"/>
    </row>
    <row r="3159" ht="14.25" customHeight="1">
      <c r="B3159" s="101"/>
    </row>
    <row r="3160" ht="14.25" customHeight="1">
      <c r="B3160" s="101"/>
    </row>
    <row r="3161" ht="14.25" customHeight="1">
      <c r="B3161" s="101"/>
    </row>
    <row r="3162" ht="14.25" customHeight="1">
      <c r="B3162" s="101"/>
    </row>
    <row r="3163" ht="14.25" customHeight="1">
      <c r="B3163" s="101"/>
    </row>
    <row r="3164" ht="14.25" customHeight="1">
      <c r="B3164" s="101"/>
    </row>
    <row r="3165" ht="14.25" customHeight="1">
      <c r="B3165" s="101"/>
    </row>
    <row r="3166" ht="14.25" customHeight="1">
      <c r="B3166" s="101"/>
    </row>
    <row r="3167" ht="14.25" customHeight="1">
      <c r="B3167" s="101"/>
    </row>
    <row r="3168" ht="14.25" customHeight="1">
      <c r="B3168" s="101"/>
    </row>
    <row r="3169" ht="14.25" customHeight="1">
      <c r="B3169" s="101"/>
    </row>
    <row r="3170" ht="14.25" customHeight="1">
      <c r="B3170" s="101"/>
    </row>
    <row r="3171" ht="14.25" customHeight="1">
      <c r="B3171" s="101"/>
    </row>
    <row r="3172" ht="14.25" customHeight="1">
      <c r="B3172" s="101"/>
    </row>
    <row r="3173" ht="14.25" customHeight="1">
      <c r="B3173" s="101"/>
    </row>
    <row r="3174" ht="14.25" customHeight="1">
      <c r="B3174" s="101"/>
    </row>
    <row r="3175" ht="14.25" customHeight="1">
      <c r="B3175" s="101"/>
    </row>
    <row r="3176" ht="14.25" customHeight="1">
      <c r="B3176" s="101"/>
    </row>
    <row r="3177" ht="14.25" customHeight="1">
      <c r="B3177" s="101"/>
    </row>
    <row r="3178" ht="14.25" customHeight="1">
      <c r="B3178" s="101"/>
    </row>
    <row r="3179" ht="14.25" customHeight="1">
      <c r="B3179" s="101"/>
    </row>
    <row r="3180" ht="14.25" customHeight="1">
      <c r="B3180" s="101"/>
    </row>
    <row r="3181" ht="14.25" customHeight="1">
      <c r="B3181" s="101"/>
    </row>
    <row r="3182" ht="14.25" customHeight="1">
      <c r="B3182" s="101"/>
    </row>
    <row r="3183" ht="14.25" customHeight="1">
      <c r="B3183" s="101"/>
    </row>
    <row r="3184" ht="14.25" customHeight="1">
      <c r="B3184" s="101"/>
    </row>
    <row r="3185" ht="14.25" customHeight="1">
      <c r="B3185" s="101"/>
    </row>
    <row r="3186" ht="14.25" customHeight="1">
      <c r="B3186" s="101"/>
    </row>
    <row r="3187" ht="14.25" customHeight="1">
      <c r="B3187" s="101"/>
    </row>
    <row r="3188" ht="14.25" customHeight="1">
      <c r="B3188" s="101"/>
    </row>
    <row r="3189" ht="14.25" customHeight="1">
      <c r="B3189" s="101"/>
    </row>
    <row r="3190" ht="14.25" customHeight="1">
      <c r="B3190" s="101"/>
    </row>
    <row r="3191" ht="14.25" customHeight="1">
      <c r="B3191" s="101"/>
    </row>
    <row r="3192" ht="14.25" customHeight="1">
      <c r="B3192" s="101"/>
    </row>
    <row r="3193" ht="14.25" customHeight="1">
      <c r="B3193" s="101"/>
    </row>
    <row r="3194" ht="14.25" customHeight="1">
      <c r="B3194" s="101"/>
    </row>
    <row r="3195" ht="14.25" customHeight="1">
      <c r="B3195" s="101"/>
    </row>
    <row r="3196" ht="14.25" customHeight="1">
      <c r="B3196" s="101"/>
    </row>
    <row r="3197" ht="14.25" customHeight="1">
      <c r="B3197" s="101"/>
    </row>
    <row r="3198" ht="14.25" customHeight="1">
      <c r="B3198" s="101"/>
    </row>
    <row r="3199" ht="14.25" customHeight="1">
      <c r="B3199" s="101"/>
    </row>
    <row r="3200" ht="14.25" customHeight="1">
      <c r="B3200" s="101"/>
    </row>
    <row r="3201" ht="14.25" customHeight="1">
      <c r="B3201" s="101"/>
    </row>
    <row r="3202" ht="14.25" customHeight="1">
      <c r="B3202" s="101"/>
    </row>
    <row r="3203" ht="14.25" customHeight="1">
      <c r="B3203" s="101"/>
    </row>
    <row r="3204" ht="14.25" customHeight="1">
      <c r="B3204" s="101"/>
    </row>
    <row r="3205" ht="14.25" customHeight="1">
      <c r="B3205" s="101"/>
    </row>
    <row r="3206" ht="14.25" customHeight="1">
      <c r="B3206" s="101"/>
    </row>
    <row r="3207" ht="14.25" customHeight="1">
      <c r="B3207" s="101"/>
    </row>
    <row r="3208" ht="14.25" customHeight="1">
      <c r="B3208" s="101"/>
    </row>
    <row r="3209" ht="14.25" customHeight="1">
      <c r="B3209" s="101"/>
    </row>
    <row r="3210" ht="14.25" customHeight="1">
      <c r="B3210" s="101"/>
    </row>
    <row r="3211" ht="14.25" customHeight="1">
      <c r="B3211" s="101"/>
    </row>
    <row r="3212" ht="14.25" customHeight="1">
      <c r="B3212" s="101"/>
    </row>
    <row r="3213" ht="14.25" customHeight="1">
      <c r="B3213" s="101"/>
    </row>
    <row r="3214" ht="14.25" customHeight="1">
      <c r="B3214" s="101"/>
    </row>
    <row r="3215" ht="14.25" customHeight="1">
      <c r="B3215" s="101"/>
    </row>
    <row r="3216" ht="14.25" customHeight="1">
      <c r="B3216" s="101"/>
    </row>
    <row r="3217" ht="14.25" customHeight="1">
      <c r="B3217" s="101"/>
    </row>
    <row r="3218" ht="14.25" customHeight="1">
      <c r="B3218" s="101"/>
    </row>
    <row r="3219" ht="14.25" customHeight="1">
      <c r="B3219" s="101"/>
    </row>
    <row r="3220" ht="14.25" customHeight="1">
      <c r="B3220" s="101"/>
    </row>
    <row r="3221" ht="14.25" customHeight="1">
      <c r="B3221" s="101"/>
    </row>
    <row r="3222" ht="14.25" customHeight="1">
      <c r="B3222" s="101"/>
    </row>
    <row r="3223" ht="14.25" customHeight="1">
      <c r="B3223" s="101"/>
    </row>
    <row r="3224" ht="14.25" customHeight="1">
      <c r="B3224" s="101"/>
    </row>
    <row r="3225" ht="14.25" customHeight="1">
      <c r="B3225" s="101"/>
    </row>
    <row r="3226" ht="14.25" customHeight="1">
      <c r="B3226" s="101"/>
    </row>
    <row r="3227" ht="14.25" customHeight="1">
      <c r="B3227" s="101"/>
    </row>
    <row r="3228" ht="14.25" customHeight="1">
      <c r="B3228" s="101"/>
    </row>
    <row r="3229" ht="14.25" customHeight="1">
      <c r="B3229" s="101"/>
    </row>
    <row r="3230" ht="14.25" customHeight="1">
      <c r="B3230" s="101"/>
    </row>
    <row r="3231" ht="14.25" customHeight="1">
      <c r="B3231" s="101"/>
    </row>
    <row r="3232" ht="14.25" customHeight="1">
      <c r="B3232" s="101"/>
    </row>
    <row r="3233" ht="14.25" customHeight="1">
      <c r="B3233" s="101"/>
    </row>
    <row r="3234" ht="14.25" customHeight="1">
      <c r="B3234" s="101"/>
    </row>
    <row r="3235" ht="14.25" customHeight="1">
      <c r="B3235" s="101"/>
    </row>
    <row r="3236" ht="14.25" customHeight="1">
      <c r="B3236" s="101"/>
    </row>
    <row r="3237" ht="14.25" customHeight="1">
      <c r="B3237" s="101"/>
    </row>
    <row r="3238" ht="14.25" customHeight="1">
      <c r="B3238" s="101"/>
    </row>
    <row r="3239" ht="14.25" customHeight="1">
      <c r="B3239" s="101"/>
    </row>
    <row r="3240" ht="14.25" customHeight="1">
      <c r="B3240" s="101"/>
    </row>
    <row r="3241" ht="14.25" customHeight="1">
      <c r="B3241" s="101"/>
    </row>
    <row r="3242" ht="14.25" customHeight="1">
      <c r="B3242" s="101"/>
    </row>
    <row r="3243" ht="14.25" customHeight="1">
      <c r="B3243" s="101"/>
    </row>
    <row r="3244" ht="14.25" customHeight="1">
      <c r="B3244" s="101"/>
    </row>
    <row r="3245" ht="14.25" customHeight="1">
      <c r="B3245" s="101"/>
    </row>
    <row r="3246" ht="14.25" customHeight="1">
      <c r="B3246" s="101"/>
    </row>
    <row r="3247" ht="14.25" customHeight="1">
      <c r="B3247" s="101"/>
    </row>
    <row r="3248" ht="14.25" customHeight="1">
      <c r="B3248" s="101"/>
    </row>
    <row r="3249" ht="14.25" customHeight="1">
      <c r="B3249" s="101"/>
    </row>
    <row r="3250" ht="14.25" customHeight="1">
      <c r="B3250" s="101"/>
    </row>
    <row r="3251" ht="14.25" customHeight="1">
      <c r="B3251" s="101"/>
    </row>
    <row r="3252" ht="14.25" customHeight="1">
      <c r="B3252" s="101"/>
    </row>
    <row r="3253" ht="14.25" customHeight="1">
      <c r="B3253" s="101"/>
    </row>
    <row r="3254" ht="14.25" customHeight="1">
      <c r="B3254" s="101"/>
    </row>
    <row r="3255" ht="14.25" customHeight="1">
      <c r="B3255" s="101"/>
    </row>
    <row r="3256" ht="14.25" customHeight="1">
      <c r="B3256" s="101"/>
    </row>
    <row r="3257" ht="14.25" customHeight="1">
      <c r="B3257" s="101"/>
    </row>
    <row r="3258" ht="14.25" customHeight="1">
      <c r="B3258" s="101"/>
    </row>
    <row r="3259" ht="14.25" customHeight="1">
      <c r="B3259" s="101"/>
    </row>
    <row r="3260" ht="14.25" customHeight="1">
      <c r="B3260" s="101"/>
    </row>
    <row r="3261" ht="14.25" customHeight="1">
      <c r="B3261" s="101"/>
    </row>
    <row r="3262" ht="14.25" customHeight="1">
      <c r="B3262" s="101"/>
    </row>
    <row r="3263" ht="14.25" customHeight="1">
      <c r="B3263" s="101"/>
    </row>
    <row r="3264" ht="14.25" customHeight="1">
      <c r="B3264" s="101"/>
    </row>
    <row r="3265" ht="14.25" customHeight="1">
      <c r="B3265" s="101"/>
    </row>
    <row r="3266" ht="14.25" customHeight="1">
      <c r="B3266" s="101"/>
    </row>
    <row r="3267" ht="14.25" customHeight="1">
      <c r="B3267" s="101"/>
    </row>
    <row r="3268" ht="14.25" customHeight="1">
      <c r="B3268" s="101"/>
    </row>
    <row r="3269" ht="14.25" customHeight="1">
      <c r="B3269" s="101"/>
    </row>
    <row r="3270" ht="14.25" customHeight="1">
      <c r="B3270" s="101"/>
    </row>
    <row r="3271" ht="14.25" customHeight="1">
      <c r="B3271" s="101"/>
    </row>
    <row r="3272" ht="14.25" customHeight="1">
      <c r="B3272" s="101"/>
    </row>
    <row r="3273" ht="14.25" customHeight="1">
      <c r="B3273" s="101"/>
    </row>
    <row r="3274" ht="14.25" customHeight="1">
      <c r="B3274" s="101"/>
    </row>
    <row r="3275" ht="14.25" customHeight="1">
      <c r="B3275" s="101"/>
    </row>
    <row r="3276" ht="14.25" customHeight="1">
      <c r="B3276" s="101"/>
    </row>
    <row r="3277" ht="14.25" customHeight="1">
      <c r="B3277" s="101"/>
    </row>
    <row r="3278" ht="14.25" customHeight="1">
      <c r="B3278" s="101"/>
    </row>
    <row r="3279" ht="14.25" customHeight="1">
      <c r="B3279" s="101"/>
    </row>
    <row r="3280" ht="14.25" customHeight="1">
      <c r="B3280" s="101"/>
    </row>
    <row r="3281" ht="14.25" customHeight="1">
      <c r="B3281" s="101"/>
    </row>
    <row r="3282" ht="14.25" customHeight="1">
      <c r="B3282" s="101"/>
    </row>
    <row r="3283" ht="14.25" customHeight="1">
      <c r="B3283" s="101"/>
    </row>
    <row r="3284" ht="14.25" customHeight="1">
      <c r="B3284" s="101"/>
    </row>
    <row r="3285" ht="14.25" customHeight="1">
      <c r="B3285" s="101"/>
    </row>
    <row r="3286" ht="14.25" customHeight="1">
      <c r="B3286" s="101"/>
    </row>
    <row r="3287" ht="14.25" customHeight="1">
      <c r="B3287" s="101"/>
    </row>
    <row r="3288" ht="14.25" customHeight="1">
      <c r="B3288" s="101"/>
    </row>
    <row r="3289" ht="14.25" customHeight="1">
      <c r="B3289" s="101"/>
    </row>
    <row r="3290" ht="14.25" customHeight="1">
      <c r="B3290" s="101"/>
    </row>
    <row r="3291" ht="14.25" customHeight="1">
      <c r="B3291" s="101"/>
    </row>
    <row r="3292" ht="14.25" customHeight="1">
      <c r="B3292" s="101"/>
    </row>
    <row r="3293" ht="14.25" customHeight="1">
      <c r="B3293" s="101"/>
    </row>
    <row r="3294" ht="14.25" customHeight="1">
      <c r="B3294" s="101"/>
    </row>
    <row r="3295" ht="14.25" customHeight="1">
      <c r="B3295" s="101"/>
    </row>
    <row r="3296" ht="14.25" customHeight="1">
      <c r="B3296" s="101"/>
    </row>
    <row r="3297" ht="14.25" customHeight="1">
      <c r="B3297" s="101"/>
    </row>
    <row r="3298" ht="14.25" customHeight="1">
      <c r="B3298" s="101"/>
    </row>
    <row r="3299" ht="14.25" customHeight="1">
      <c r="B3299" s="101"/>
    </row>
    <row r="3300" ht="14.25" customHeight="1">
      <c r="B3300" s="101"/>
    </row>
    <row r="3301" ht="14.25" customHeight="1">
      <c r="B3301" s="101"/>
    </row>
    <row r="3302" ht="14.25" customHeight="1">
      <c r="B3302" s="101"/>
    </row>
    <row r="3303" ht="14.25" customHeight="1">
      <c r="B3303" s="101"/>
    </row>
    <row r="3304" ht="14.25" customHeight="1">
      <c r="B3304" s="101"/>
    </row>
    <row r="3305" ht="14.25" customHeight="1">
      <c r="B3305" s="101"/>
    </row>
    <row r="3306" ht="14.25" customHeight="1">
      <c r="B3306" s="101"/>
    </row>
    <row r="3307" ht="14.25" customHeight="1">
      <c r="B3307" s="101"/>
    </row>
    <row r="3308" ht="14.25" customHeight="1">
      <c r="B3308" s="101"/>
    </row>
    <row r="3309" ht="14.25" customHeight="1">
      <c r="B3309" s="101"/>
    </row>
    <row r="3310" ht="14.25" customHeight="1">
      <c r="B3310" s="101"/>
    </row>
    <row r="3311" ht="14.25" customHeight="1">
      <c r="B3311" s="101"/>
    </row>
    <row r="3312" ht="14.25" customHeight="1">
      <c r="B3312" s="101"/>
    </row>
    <row r="3313" ht="14.25" customHeight="1">
      <c r="B3313" s="101"/>
    </row>
    <row r="3314" ht="14.25" customHeight="1">
      <c r="B3314" s="101"/>
    </row>
    <row r="3315" ht="14.25" customHeight="1">
      <c r="B3315" s="101"/>
    </row>
    <row r="3316" ht="14.25" customHeight="1">
      <c r="B3316" s="101"/>
    </row>
    <row r="3317" ht="14.25" customHeight="1">
      <c r="B3317" s="101"/>
    </row>
    <row r="3318" ht="14.25" customHeight="1">
      <c r="B3318" s="101"/>
    </row>
    <row r="3319" ht="14.25" customHeight="1">
      <c r="B3319" s="101"/>
    </row>
    <row r="3320" ht="14.25" customHeight="1">
      <c r="B3320" s="101"/>
    </row>
    <row r="3321" ht="14.25" customHeight="1">
      <c r="B3321" s="101"/>
    </row>
    <row r="3322" ht="14.25" customHeight="1">
      <c r="B3322" s="101"/>
    </row>
    <row r="3323" ht="14.25" customHeight="1">
      <c r="B3323" s="101"/>
    </row>
    <row r="3324" ht="14.25" customHeight="1">
      <c r="B3324" s="101"/>
    </row>
    <row r="3325" ht="14.25" customHeight="1">
      <c r="B3325" s="101"/>
    </row>
    <row r="3326" ht="14.25" customHeight="1">
      <c r="B3326" s="101"/>
    </row>
    <row r="3327" ht="14.25" customHeight="1">
      <c r="B3327" s="101"/>
    </row>
    <row r="3328" ht="14.25" customHeight="1">
      <c r="B3328" s="101"/>
    </row>
    <row r="3329" ht="14.25" customHeight="1">
      <c r="B3329" s="101"/>
    </row>
    <row r="3330" ht="14.25" customHeight="1">
      <c r="B3330" s="101"/>
    </row>
    <row r="3331" ht="14.25" customHeight="1">
      <c r="B3331" s="101"/>
    </row>
    <row r="3332" ht="14.25" customHeight="1">
      <c r="B3332" s="101"/>
    </row>
    <row r="3333" ht="14.25" customHeight="1">
      <c r="B3333" s="101"/>
    </row>
    <row r="3334" ht="14.25" customHeight="1">
      <c r="B3334" s="101"/>
    </row>
    <row r="3335" ht="14.25" customHeight="1">
      <c r="B3335" s="101"/>
    </row>
    <row r="3336" ht="14.25" customHeight="1">
      <c r="B3336" s="101"/>
    </row>
    <row r="3337" ht="14.25" customHeight="1">
      <c r="B3337" s="101"/>
    </row>
    <row r="3338" ht="14.25" customHeight="1">
      <c r="B3338" s="101"/>
    </row>
    <row r="3339" ht="14.25" customHeight="1">
      <c r="B3339" s="101"/>
    </row>
    <row r="3340" ht="14.25" customHeight="1">
      <c r="B3340" s="101"/>
    </row>
    <row r="3341" ht="14.25" customHeight="1">
      <c r="B3341" s="101"/>
    </row>
    <row r="3342" ht="14.25" customHeight="1">
      <c r="B3342" s="101"/>
    </row>
    <row r="3343" ht="14.25" customHeight="1">
      <c r="B3343" s="101"/>
    </row>
    <row r="3344" ht="14.25" customHeight="1">
      <c r="B3344" s="101"/>
    </row>
    <row r="3345" ht="14.25" customHeight="1">
      <c r="B3345" s="101"/>
    </row>
    <row r="3346" ht="14.25" customHeight="1">
      <c r="B3346" s="101"/>
    </row>
    <row r="3347" ht="14.25" customHeight="1">
      <c r="B3347" s="101"/>
    </row>
    <row r="3348" ht="14.25" customHeight="1">
      <c r="B3348" s="101"/>
    </row>
    <row r="3349" ht="14.25" customHeight="1">
      <c r="B3349" s="101"/>
    </row>
    <row r="3350" ht="14.25" customHeight="1">
      <c r="B3350" s="101"/>
    </row>
    <row r="3351" ht="14.25" customHeight="1">
      <c r="B3351" s="101"/>
    </row>
    <row r="3352" ht="14.25" customHeight="1">
      <c r="B3352" s="101"/>
    </row>
    <row r="3353" ht="14.25" customHeight="1">
      <c r="B3353" s="101"/>
    </row>
    <row r="3354" ht="14.25" customHeight="1">
      <c r="B3354" s="101"/>
    </row>
    <row r="3355" ht="14.25" customHeight="1">
      <c r="B3355" s="101"/>
    </row>
    <row r="3356" ht="14.25" customHeight="1">
      <c r="B3356" s="101"/>
    </row>
    <row r="3357" ht="14.25" customHeight="1">
      <c r="B3357" s="101"/>
    </row>
    <row r="3358" ht="14.25" customHeight="1">
      <c r="B3358" s="101"/>
    </row>
    <row r="3359" ht="14.25" customHeight="1">
      <c r="B3359" s="101"/>
    </row>
    <row r="3360" ht="14.25" customHeight="1">
      <c r="B3360" s="101"/>
    </row>
    <row r="3361" ht="14.25" customHeight="1">
      <c r="B3361" s="101"/>
    </row>
    <row r="3362" ht="14.25" customHeight="1">
      <c r="B3362" s="101"/>
    </row>
    <row r="3363" ht="14.25" customHeight="1">
      <c r="B3363" s="101"/>
    </row>
    <row r="3364" ht="14.25" customHeight="1">
      <c r="B3364" s="101"/>
    </row>
    <row r="3365" ht="14.25" customHeight="1">
      <c r="B3365" s="101"/>
    </row>
    <row r="3366" ht="14.25" customHeight="1">
      <c r="B3366" s="101"/>
    </row>
    <row r="3367" ht="14.25" customHeight="1">
      <c r="B3367" s="101"/>
    </row>
    <row r="3368" ht="14.25" customHeight="1">
      <c r="B3368" s="101"/>
    </row>
    <row r="3369" ht="14.25" customHeight="1">
      <c r="B3369" s="101"/>
    </row>
    <row r="3370" ht="14.25" customHeight="1">
      <c r="B3370" s="101"/>
    </row>
    <row r="3371" ht="14.25" customHeight="1">
      <c r="B3371" s="101"/>
    </row>
    <row r="3372" ht="14.25" customHeight="1">
      <c r="B3372" s="101"/>
    </row>
    <row r="3373" ht="14.25" customHeight="1">
      <c r="B3373" s="101"/>
    </row>
    <row r="3374" ht="14.25" customHeight="1">
      <c r="B3374" s="101"/>
    </row>
    <row r="3375" ht="14.25" customHeight="1">
      <c r="B3375" s="101"/>
    </row>
    <row r="3376" ht="14.25" customHeight="1">
      <c r="B3376" s="101"/>
    </row>
    <row r="3377" ht="14.25" customHeight="1">
      <c r="B3377" s="101"/>
    </row>
    <row r="3378" ht="14.25" customHeight="1">
      <c r="B3378" s="101"/>
    </row>
    <row r="3379" ht="14.25" customHeight="1">
      <c r="B3379" s="101"/>
    </row>
    <row r="3380" ht="14.25" customHeight="1">
      <c r="B3380" s="101"/>
    </row>
    <row r="3381" ht="14.25" customHeight="1">
      <c r="B3381" s="101"/>
    </row>
    <row r="3382" ht="14.25" customHeight="1">
      <c r="B3382" s="101"/>
    </row>
    <row r="3383" ht="14.25" customHeight="1">
      <c r="B3383" s="101"/>
    </row>
    <row r="3384" ht="14.25" customHeight="1">
      <c r="B3384" s="101"/>
    </row>
    <row r="3385" ht="14.25" customHeight="1">
      <c r="B3385" s="101"/>
    </row>
    <row r="3386" ht="14.25" customHeight="1">
      <c r="B3386" s="101"/>
    </row>
    <row r="3387" ht="14.25" customHeight="1">
      <c r="B3387" s="101"/>
    </row>
    <row r="3388" ht="14.25" customHeight="1">
      <c r="B3388" s="101"/>
    </row>
    <row r="3389" ht="14.25" customHeight="1">
      <c r="B3389" s="101"/>
    </row>
    <row r="3390" ht="14.25" customHeight="1">
      <c r="B3390" s="101"/>
    </row>
    <row r="3391" ht="14.25" customHeight="1">
      <c r="B3391" s="101"/>
    </row>
    <row r="3392" ht="14.25" customHeight="1">
      <c r="B3392" s="101"/>
    </row>
    <row r="3393" ht="14.25" customHeight="1">
      <c r="B3393" s="101"/>
    </row>
    <row r="3394" ht="14.25" customHeight="1">
      <c r="B3394" s="101"/>
    </row>
    <row r="3395" ht="14.25" customHeight="1">
      <c r="B3395" s="101"/>
    </row>
    <row r="3396" ht="14.25" customHeight="1">
      <c r="B3396" s="101"/>
    </row>
    <row r="3397" ht="14.25" customHeight="1">
      <c r="B3397" s="101"/>
    </row>
    <row r="3398" ht="14.25" customHeight="1">
      <c r="B3398" s="101"/>
    </row>
    <row r="3399" ht="14.25" customHeight="1">
      <c r="B3399" s="101"/>
    </row>
    <row r="3400" ht="14.25" customHeight="1">
      <c r="B3400" s="101"/>
    </row>
    <row r="3401" ht="14.25" customHeight="1">
      <c r="B3401" s="101"/>
    </row>
    <row r="3402" ht="14.25" customHeight="1">
      <c r="B3402" s="101"/>
    </row>
    <row r="3403" ht="14.25" customHeight="1">
      <c r="B3403" s="101"/>
    </row>
    <row r="3404" ht="14.25" customHeight="1">
      <c r="B3404" s="101"/>
    </row>
    <row r="3405" ht="14.25" customHeight="1">
      <c r="B3405" s="101"/>
    </row>
    <row r="3406" ht="14.25" customHeight="1">
      <c r="B3406" s="101"/>
    </row>
    <row r="3407" ht="14.25" customHeight="1">
      <c r="B3407" s="101"/>
    </row>
    <row r="3408" ht="14.25" customHeight="1">
      <c r="B3408" s="101"/>
    </row>
    <row r="3409" ht="14.25" customHeight="1">
      <c r="B3409" s="101"/>
    </row>
    <row r="3410" ht="14.25" customHeight="1">
      <c r="B3410" s="101"/>
    </row>
    <row r="3411" ht="14.25" customHeight="1">
      <c r="B3411" s="101"/>
    </row>
    <row r="3412" ht="14.25" customHeight="1">
      <c r="B3412" s="101"/>
    </row>
    <row r="3413" ht="14.25" customHeight="1">
      <c r="B3413" s="101"/>
    </row>
    <row r="3414" ht="14.25" customHeight="1">
      <c r="B3414" s="101"/>
    </row>
    <row r="3415" ht="14.25" customHeight="1">
      <c r="B3415" s="101"/>
    </row>
    <row r="3416" ht="14.25" customHeight="1">
      <c r="B3416" s="101"/>
    </row>
    <row r="3417" ht="14.25" customHeight="1">
      <c r="B3417" s="101"/>
    </row>
    <row r="3418" ht="14.25" customHeight="1">
      <c r="B3418" s="101"/>
    </row>
    <row r="3419" ht="14.25" customHeight="1">
      <c r="B3419" s="101"/>
    </row>
    <row r="3420" ht="14.25" customHeight="1">
      <c r="B3420" s="101"/>
    </row>
    <row r="3421" ht="14.25" customHeight="1">
      <c r="B3421" s="101"/>
    </row>
    <row r="3422" ht="14.25" customHeight="1">
      <c r="B3422" s="101"/>
    </row>
    <row r="3423" ht="14.25" customHeight="1">
      <c r="B3423" s="101"/>
    </row>
    <row r="3424" ht="14.25" customHeight="1">
      <c r="B3424" s="101"/>
    </row>
    <row r="3425" ht="14.25" customHeight="1">
      <c r="B3425" s="101"/>
    </row>
    <row r="3426" ht="14.25" customHeight="1">
      <c r="B3426" s="101"/>
    </row>
    <row r="3427" ht="14.25" customHeight="1">
      <c r="B3427" s="101"/>
    </row>
    <row r="3428" ht="14.25" customHeight="1">
      <c r="B3428" s="101"/>
    </row>
    <row r="3429" ht="14.25" customHeight="1">
      <c r="B3429" s="101"/>
    </row>
    <row r="3430" ht="14.25" customHeight="1">
      <c r="B3430" s="101"/>
    </row>
    <row r="3431" ht="14.25" customHeight="1">
      <c r="B3431" s="101"/>
    </row>
    <row r="3432" ht="14.25" customHeight="1">
      <c r="B3432" s="101"/>
    </row>
    <row r="3433" ht="14.25" customHeight="1">
      <c r="B3433" s="101"/>
    </row>
    <row r="3434" ht="14.25" customHeight="1">
      <c r="B3434" s="101"/>
    </row>
    <row r="3435" ht="14.25" customHeight="1">
      <c r="B3435" s="101"/>
    </row>
    <row r="3436" ht="14.25" customHeight="1">
      <c r="B3436" s="101"/>
    </row>
    <row r="3437" ht="14.25" customHeight="1">
      <c r="B3437" s="101"/>
    </row>
    <row r="3438" ht="14.25" customHeight="1">
      <c r="B3438" s="101"/>
    </row>
    <row r="3439" ht="14.25" customHeight="1">
      <c r="B3439" s="101"/>
    </row>
    <row r="3440" ht="14.25" customHeight="1">
      <c r="B3440" s="101"/>
    </row>
    <row r="3441" ht="14.25" customHeight="1">
      <c r="B3441" s="101"/>
    </row>
    <row r="3442" ht="14.25" customHeight="1">
      <c r="B3442" s="101"/>
    </row>
    <row r="3443" ht="14.25" customHeight="1">
      <c r="B3443" s="101"/>
    </row>
    <row r="3444" ht="14.25" customHeight="1">
      <c r="B3444" s="101"/>
    </row>
    <row r="3445" ht="14.25" customHeight="1">
      <c r="B3445" s="101"/>
    </row>
    <row r="3446" ht="14.25" customHeight="1">
      <c r="B3446" s="101"/>
    </row>
    <row r="3447" ht="14.25" customHeight="1">
      <c r="B3447" s="101"/>
    </row>
    <row r="3448" ht="14.25" customHeight="1">
      <c r="B3448" s="101"/>
    </row>
    <row r="3449" ht="14.25" customHeight="1">
      <c r="B3449" s="101"/>
    </row>
    <row r="3450" ht="14.25" customHeight="1">
      <c r="B3450" s="101"/>
    </row>
    <row r="3451" ht="14.25" customHeight="1">
      <c r="B3451" s="101"/>
    </row>
    <row r="3452" ht="14.25" customHeight="1">
      <c r="B3452" s="101"/>
    </row>
    <row r="3453" ht="14.25" customHeight="1">
      <c r="B3453" s="101"/>
    </row>
    <row r="3454" ht="14.25" customHeight="1">
      <c r="B3454" s="101"/>
    </row>
    <row r="3455" ht="14.25" customHeight="1">
      <c r="B3455" s="101"/>
    </row>
    <row r="3456" ht="14.25" customHeight="1">
      <c r="B3456" s="101"/>
    </row>
    <row r="3457" ht="14.25" customHeight="1">
      <c r="B3457" s="101"/>
    </row>
    <row r="3458" ht="14.25" customHeight="1">
      <c r="B3458" s="101"/>
    </row>
    <row r="3459" ht="14.25" customHeight="1">
      <c r="B3459" s="101"/>
    </row>
    <row r="3460" ht="14.25" customHeight="1">
      <c r="B3460" s="101"/>
    </row>
    <row r="3461" ht="14.25" customHeight="1">
      <c r="B3461" s="101"/>
    </row>
    <row r="3462" ht="14.25" customHeight="1">
      <c r="B3462" s="101"/>
    </row>
    <row r="3463" ht="14.25" customHeight="1">
      <c r="B3463" s="101"/>
    </row>
    <row r="3464" ht="14.25" customHeight="1">
      <c r="B3464" s="101"/>
    </row>
    <row r="3465" ht="14.25" customHeight="1">
      <c r="B3465" s="101"/>
    </row>
    <row r="3466" ht="14.25" customHeight="1">
      <c r="B3466" s="101"/>
    </row>
    <row r="3467" ht="14.25" customHeight="1">
      <c r="B3467" s="101"/>
    </row>
    <row r="3468" ht="14.25" customHeight="1">
      <c r="B3468" s="101"/>
    </row>
    <row r="3469" ht="14.25" customHeight="1">
      <c r="B3469" s="101"/>
    </row>
    <row r="3470" ht="14.25" customHeight="1">
      <c r="B3470" s="101"/>
    </row>
    <row r="3471" ht="14.25" customHeight="1">
      <c r="B3471" s="101"/>
    </row>
    <row r="3472" ht="14.25" customHeight="1">
      <c r="B3472" s="101"/>
    </row>
    <row r="3473" ht="14.25" customHeight="1">
      <c r="B3473" s="101"/>
    </row>
    <row r="3474" ht="14.25" customHeight="1">
      <c r="B3474" s="101"/>
    </row>
    <row r="3475" ht="14.25" customHeight="1">
      <c r="B3475" s="101"/>
    </row>
    <row r="3476" ht="14.25" customHeight="1">
      <c r="B3476" s="101"/>
    </row>
    <row r="3477" ht="14.25" customHeight="1">
      <c r="B3477" s="101"/>
    </row>
    <row r="3478" ht="14.25" customHeight="1">
      <c r="B3478" s="101"/>
    </row>
    <row r="3479" ht="14.25" customHeight="1">
      <c r="B3479" s="101"/>
    </row>
    <row r="3480" ht="14.25" customHeight="1">
      <c r="B3480" s="101"/>
    </row>
    <row r="3481" ht="14.25" customHeight="1">
      <c r="B3481" s="101"/>
    </row>
    <row r="3482" ht="14.25" customHeight="1">
      <c r="B3482" s="101"/>
    </row>
    <row r="3483" ht="14.25" customHeight="1">
      <c r="B3483" s="101"/>
    </row>
    <row r="3484" ht="14.25" customHeight="1">
      <c r="B3484" s="101"/>
    </row>
    <row r="3485" ht="14.25" customHeight="1">
      <c r="B3485" s="101"/>
    </row>
    <row r="3486" ht="14.25" customHeight="1">
      <c r="B3486" s="101"/>
    </row>
    <row r="3487" ht="14.25" customHeight="1">
      <c r="B3487" s="101"/>
    </row>
    <row r="3488" ht="14.25" customHeight="1">
      <c r="B3488" s="101"/>
    </row>
    <row r="3489" ht="14.25" customHeight="1">
      <c r="B3489" s="101"/>
    </row>
    <row r="3490" ht="14.25" customHeight="1">
      <c r="B3490" s="101"/>
    </row>
    <row r="3491" ht="14.25" customHeight="1">
      <c r="B3491" s="101"/>
    </row>
    <row r="3492" ht="14.25" customHeight="1">
      <c r="B3492" s="101"/>
    </row>
    <row r="3493" ht="14.25" customHeight="1">
      <c r="B3493" s="101"/>
    </row>
    <row r="3494" ht="14.25" customHeight="1">
      <c r="B3494" s="101"/>
    </row>
    <row r="3495" ht="14.25" customHeight="1">
      <c r="B3495" s="101"/>
    </row>
    <row r="3496" ht="14.25" customHeight="1">
      <c r="B3496" s="101"/>
    </row>
    <row r="3497" ht="14.25" customHeight="1">
      <c r="B3497" s="101"/>
    </row>
    <row r="3498" ht="14.25" customHeight="1">
      <c r="B3498" s="101"/>
    </row>
    <row r="3499" ht="14.25" customHeight="1">
      <c r="B3499" s="101"/>
    </row>
    <row r="3500" ht="14.25" customHeight="1">
      <c r="B3500" s="101"/>
    </row>
    <row r="3501" ht="14.25" customHeight="1">
      <c r="B3501" s="101"/>
    </row>
    <row r="3502" ht="14.25" customHeight="1">
      <c r="B3502" s="101"/>
    </row>
    <row r="3503" ht="14.25" customHeight="1">
      <c r="B3503" s="101"/>
    </row>
    <row r="3504" ht="14.25" customHeight="1">
      <c r="B3504" s="101"/>
    </row>
    <row r="3505" ht="14.25" customHeight="1">
      <c r="B3505" s="101"/>
    </row>
    <row r="3506" ht="14.25" customHeight="1">
      <c r="B3506" s="101"/>
    </row>
    <row r="3507" ht="14.25" customHeight="1">
      <c r="B3507" s="101"/>
    </row>
    <row r="3508" ht="14.25" customHeight="1">
      <c r="B3508" s="101"/>
    </row>
    <row r="3509" ht="14.25" customHeight="1">
      <c r="B3509" s="101"/>
    </row>
    <row r="3510" ht="14.25" customHeight="1">
      <c r="B3510" s="101"/>
    </row>
    <row r="3511" ht="14.25" customHeight="1">
      <c r="B3511" s="101"/>
    </row>
    <row r="3512" ht="14.25" customHeight="1">
      <c r="B3512" s="101"/>
    </row>
    <row r="3513" ht="14.25" customHeight="1">
      <c r="B3513" s="101"/>
    </row>
    <row r="3514" ht="14.25" customHeight="1">
      <c r="B3514" s="101"/>
    </row>
    <row r="3515" ht="14.25" customHeight="1">
      <c r="B3515" s="101"/>
    </row>
    <row r="3516" ht="14.25" customHeight="1">
      <c r="B3516" s="101"/>
    </row>
    <row r="3517" ht="14.25" customHeight="1">
      <c r="B3517" s="101"/>
    </row>
    <row r="3518" ht="14.25" customHeight="1">
      <c r="B3518" s="101"/>
    </row>
    <row r="3519" ht="14.25" customHeight="1">
      <c r="B3519" s="101"/>
    </row>
    <row r="3520" ht="14.25" customHeight="1">
      <c r="B3520" s="101"/>
    </row>
    <row r="3521" ht="14.25" customHeight="1">
      <c r="B3521" s="101"/>
    </row>
    <row r="3522" ht="14.25" customHeight="1">
      <c r="B3522" s="101"/>
    </row>
    <row r="3523" ht="14.25" customHeight="1">
      <c r="B3523" s="101"/>
    </row>
    <row r="3524" ht="14.25" customHeight="1">
      <c r="B3524" s="101"/>
    </row>
    <row r="3525" ht="14.25" customHeight="1">
      <c r="B3525" s="101"/>
    </row>
    <row r="3526" ht="14.25" customHeight="1">
      <c r="B3526" s="101"/>
    </row>
    <row r="3527" ht="14.25" customHeight="1">
      <c r="B3527" s="101"/>
    </row>
    <row r="3528" ht="14.25" customHeight="1">
      <c r="B3528" s="101"/>
    </row>
    <row r="3529" ht="14.25" customHeight="1">
      <c r="B3529" s="101"/>
    </row>
    <row r="3530" ht="14.25" customHeight="1">
      <c r="B3530" s="101"/>
    </row>
    <row r="3531" ht="14.25" customHeight="1">
      <c r="B3531" s="101"/>
    </row>
    <row r="3532" ht="14.25" customHeight="1">
      <c r="B3532" s="101"/>
    </row>
    <row r="3533" ht="14.25" customHeight="1">
      <c r="B3533" s="101"/>
    </row>
    <row r="3534" ht="14.25" customHeight="1">
      <c r="B3534" s="101"/>
    </row>
    <row r="3535" ht="14.25" customHeight="1">
      <c r="B3535" s="101"/>
    </row>
    <row r="3536" ht="14.25" customHeight="1">
      <c r="B3536" s="101"/>
    </row>
    <row r="3537" ht="14.25" customHeight="1">
      <c r="B3537" s="101"/>
    </row>
    <row r="3538" ht="14.25" customHeight="1">
      <c r="B3538" s="101"/>
    </row>
    <row r="3539" ht="14.25" customHeight="1">
      <c r="B3539" s="101"/>
    </row>
    <row r="3540" ht="14.25" customHeight="1">
      <c r="B3540" s="101"/>
    </row>
    <row r="3541" ht="14.25" customHeight="1">
      <c r="B3541" s="101"/>
    </row>
    <row r="3542" ht="14.25" customHeight="1">
      <c r="B3542" s="101"/>
    </row>
    <row r="3543" ht="14.25" customHeight="1">
      <c r="B3543" s="101"/>
    </row>
    <row r="3544" ht="14.25" customHeight="1">
      <c r="B3544" s="101"/>
    </row>
    <row r="3545" ht="14.25" customHeight="1">
      <c r="B3545" s="101"/>
    </row>
    <row r="3546" ht="14.25" customHeight="1">
      <c r="B3546" s="101"/>
    </row>
    <row r="3547" ht="14.25" customHeight="1">
      <c r="B3547" s="101"/>
    </row>
    <row r="3548" ht="14.25" customHeight="1">
      <c r="B3548" s="101"/>
    </row>
    <row r="3549" ht="14.25" customHeight="1">
      <c r="B3549" s="101"/>
    </row>
    <row r="3550" ht="14.25" customHeight="1">
      <c r="B3550" s="101"/>
    </row>
    <row r="3551" ht="14.25" customHeight="1">
      <c r="B3551" s="101"/>
    </row>
    <row r="3552" ht="14.25" customHeight="1">
      <c r="B3552" s="101"/>
    </row>
    <row r="3553" ht="14.25" customHeight="1">
      <c r="B3553" s="101"/>
    </row>
    <row r="3554" ht="14.25" customHeight="1">
      <c r="B3554" s="101"/>
    </row>
    <row r="3555" ht="14.25" customHeight="1">
      <c r="B3555" s="101"/>
    </row>
    <row r="3556" ht="14.25" customHeight="1">
      <c r="B3556" s="101"/>
    </row>
    <row r="3557" ht="14.25" customHeight="1">
      <c r="B3557" s="101"/>
    </row>
    <row r="3558" ht="14.25" customHeight="1">
      <c r="B3558" s="101"/>
    </row>
    <row r="3559" ht="14.25" customHeight="1">
      <c r="B3559" s="101"/>
    </row>
    <row r="3560" ht="14.25" customHeight="1">
      <c r="B3560" s="101"/>
    </row>
    <row r="3561" ht="14.25" customHeight="1">
      <c r="B3561" s="101"/>
    </row>
    <row r="3562" ht="14.25" customHeight="1">
      <c r="B3562" s="101"/>
    </row>
    <row r="3563" ht="14.25" customHeight="1">
      <c r="B3563" s="101"/>
    </row>
    <row r="3564" ht="14.25" customHeight="1">
      <c r="B3564" s="101"/>
    </row>
    <row r="3565" ht="14.25" customHeight="1">
      <c r="B3565" s="101"/>
    </row>
    <row r="3566" ht="14.25" customHeight="1">
      <c r="B3566" s="101"/>
    </row>
    <row r="3567" ht="14.25" customHeight="1">
      <c r="B3567" s="101"/>
    </row>
    <row r="3568" ht="14.25" customHeight="1">
      <c r="B3568" s="101"/>
    </row>
    <row r="3569" ht="14.25" customHeight="1">
      <c r="B3569" s="101"/>
    </row>
    <row r="3570" ht="14.25" customHeight="1">
      <c r="B3570" s="101"/>
    </row>
    <row r="3571" ht="14.25" customHeight="1">
      <c r="B3571" s="101"/>
    </row>
    <row r="3572" ht="14.25" customHeight="1">
      <c r="B3572" s="101"/>
    </row>
    <row r="3573" ht="14.25" customHeight="1">
      <c r="B3573" s="101"/>
    </row>
    <row r="3574" ht="14.25" customHeight="1">
      <c r="B3574" s="101"/>
    </row>
    <row r="3575" ht="14.25" customHeight="1">
      <c r="B3575" s="101"/>
    </row>
    <row r="3576" ht="14.25" customHeight="1">
      <c r="B3576" s="101"/>
    </row>
    <row r="3577" ht="14.25" customHeight="1">
      <c r="B3577" s="101"/>
    </row>
    <row r="3578" ht="14.25" customHeight="1">
      <c r="B3578" s="101"/>
    </row>
    <row r="3579" ht="14.25" customHeight="1">
      <c r="B3579" s="101"/>
    </row>
    <row r="3580" ht="14.25" customHeight="1">
      <c r="B3580" s="101"/>
    </row>
    <row r="3581" ht="14.25" customHeight="1">
      <c r="B3581" s="101"/>
    </row>
    <row r="3582" ht="14.25" customHeight="1">
      <c r="B3582" s="101"/>
    </row>
    <row r="3583" ht="14.25" customHeight="1">
      <c r="B3583" s="101"/>
    </row>
    <row r="3584" ht="14.25" customHeight="1">
      <c r="B3584" s="101"/>
    </row>
    <row r="3585" ht="14.25" customHeight="1">
      <c r="B3585" s="101"/>
    </row>
    <row r="3586" ht="14.25" customHeight="1">
      <c r="B3586" s="101"/>
    </row>
    <row r="3587" ht="14.25" customHeight="1">
      <c r="B3587" s="101"/>
    </row>
    <row r="3588" ht="14.25" customHeight="1">
      <c r="B3588" s="101"/>
    </row>
    <row r="3589" ht="14.25" customHeight="1">
      <c r="B3589" s="101"/>
    </row>
    <row r="3590" ht="14.25" customHeight="1">
      <c r="B3590" s="101"/>
    </row>
    <row r="3591" ht="14.25" customHeight="1">
      <c r="B3591" s="101"/>
    </row>
    <row r="3592" ht="14.25" customHeight="1">
      <c r="B3592" s="101"/>
    </row>
    <row r="3593" ht="14.25" customHeight="1">
      <c r="B3593" s="101"/>
    </row>
    <row r="3594" ht="14.25" customHeight="1">
      <c r="B3594" s="101"/>
    </row>
    <row r="3595" ht="14.25" customHeight="1">
      <c r="B3595" s="101"/>
    </row>
    <row r="3596" ht="14.25" customHeight="1">
      <c r="B3596" s="101"/>
    </row>
    <row r="3597" ht="14.25" customHeight="1">
      <c r="B3597" s="101"/>
    </row>
    <row r="3598" ht="14.25" customHeight="1">
      <c r="B3598" s="101"/>
    </row>
    <row r="3599" ht="14.25" customHeight="1">
      <c r="B3599" s="101"/>
    </row>
    <row r="3600" ht="14.25" customHeight="1">
      <c r="B3600" s="101"/>
    </row>
    <row r="3601" ht="14.25" customHeight="1">
      <c r="B3601" s="101"/>
    </row>
    <row r="3602" ht="14.25" customHeight="1">
      <c r="B3602" s="101"/>
    </row>
    <row r="3603" ht="14.25" customHeight="1">
      <c r="B3603" s="101"/>
    </row>
    <row r="3604" ht="14.25" customHeight="1">
      <c r="B3604" s="101"/>
    </row>
    <row r="3605" ht="14.25" customHeight="1">
      <c r="B3605" s="101"/>
    </row>
    <row r="3606" ht="14.25" customHeight="1">
      <c r="B3606" s="101"/>
    </row>
    <row r="3607" ht="14.25" customHeight="1">
      <c r="B3607" s="101"/>
    </row>
    <row r="3608" ht="14.25" customHeight="1">
      <c r="B3608" s="101"/>
    </row>
    <row r="3609" ht="14.25" customHeight="1">
      <c r="B3609" s="101"/>
    </row>
    <row r="3610" ht="14.25" customHeight="1">
      <c r="B3610" s="101"/>
    </row>
    <row r="3611" ht="14.25" customHeight="1">
      <c r="B3611" s="101"/>
    </row>
    <row r="3612" ht="14.25" customHeight="1">
      <c r="B3612" s="101"/>
    </row>
    <row r="3613" ht="14.25" customHeight="1">
      <c r="B3613" s="101"/>
    </row>
    <row r="3614" ht="14.25" customHeight="1">
      <c r="B3614" s="101"/>
    </row>
    <row r="3615" ht="14.25" customHeight="1">
      <c r="B3615" s="101"/>
    </row>
    <row r="3616" ht="14.25" customHeight="1">
      <c r="B3616" s="101"/>
    </row>
    <row r="3617" ht="14.25" customHeight="1">
      <c r="B3617" s="101"/>
    </row>
    <row r="3618" ht="14.25" customHeight="1">
      <c r="B3618" s="101"/>
    </row>
    <row r="3619" ht="14.25" customHeight="1">
      <c r="B3619" s="101"/>
    </row>
    <row r="3620" ht="14.25" customHeight="1">
      <c r="B3620" s="101"/>
    </row>
    <row r="3621" ht="14.25" customHeight="1">
      <c r="B3621" s="101"/>
    </row>
    <row r="3622" ht="14.25" customHeight="1">
      <c r="B3622" s="101"/>
    </row>
    <row r="3623" ht="14.25" customHeight="1">
      <c r="B3623" s="101"/>
    </row>
    <row r="3624" ht="14.25" customHeight="1">
      <c r="B3624" s="101"/>
    </row>
    <row r="3625" ht="14.25" customHeight="1">
      <c r="B3625" s="101"/>
    </row>
    <row r="3626" ht="14.25" customHeight="1">
      <c r="B3626" s="101"/>
    </row>
    <row r="3627" ht="14.25" customHeight="1">
      <c r="B3627" s="101"/>
    </row>
    <row r="3628" ht="14.25" customHeight="1">
      <c r="B3628" s="101"/>
    </row>
    <row r="3629" ht="14.25" customHeight="1">
      <c r="B3629" s="101"/>
    </row>
    <row r="3630" ht="14.25" customHeight="1">
      <c r="B3630" s="101"/>
    </row>
    <row r="3631" ht="14.25" customHeight="1">
      <c r="B3631" s="101"/>
    </row>
    <row r="3632" ht="14.25" customHeight="1">
      <c r="B3632" s="101"/>
    </row>
    <row r="3633" ht="14.25" customHeight="1">
      <c r="B3633" s="101"/>
    </row>
    <row r="3634" ht="14.25" customHeight="1">
      <c r="B3634" s="101"/>
    </row>
    <row r="3635" ht="14.25" customHeight="1">
      <c r="B3635" s="101"/>
    </row>
    <row r="3636" ht="14.25" customHeight="1">
      <c r="B3636" s="101"/>
    </row>
    <row r="3637" ht="14.25" customHeight="1">
      <c r="B3637" s="101"/>
    </row>
    <row r="3638" ht="14.25" customHeight="1">
      <c r="B3638" s="101"/>
    </row>
    <row r="3639" ht="14.25" customHeight="1">
      <c r="B3639" s="101"/>
    </row>
    <row r="3640" ht="14.25" customHeight="1">
      <c r="B3640" s="101"/>
    </row>
    <row r="3641" ht="14.25" customHeight="1">
      <c r="B3641" s="101"/>
    </row>
    <row r="3642" ht="14.25" customHeight="1">
      <c r="B3642" s="101"/>
    </row>
    <row r="3643" ht="14.25" customHeight="1">
      <c r="B3643" s="101"/>
    </row>
    <row r="3644" ht="14.25" customHeight="1">
      <c r="B3644" s="101"/>
    </row>
    <row r="3645" ht="14.25" customHeight="1">
      <c r="B3645" s="101"/>
    </row>
    <row r="3646" ht="14.25" customHeight="1">
      <c r="B3646" s="101"/>
    </row>
    <row r="3647" ht="14.25" customHeight="1">
      <c r="B3647" s="101"/>
    </row>
    <row r="3648" ht="14.25" customHeight="1">
      <c r="B3648" s="101"/>
    </row>
    <row r="3649" ht="14.25" customHeight="1">
      <c r="B3649" s="101"/>
    </row>
    <row r="3650" ht="14.25" customHeight="1">
      <c r="B3650" s="101"/>
    </row>
    <row r="3651" ht="14.25" customHeight="1">
      <c r="B3651" s="101"/>
    </row>
    <row r="3652" ht="14.25" customHeight="1">
      <c r="B3652" s="101"/>
    </row>
    <row r="3653" ht="14.25" customHeight="1">
      <c r="B3653" s="101"/>
    </row>
    <row r="3654" ht="14.25" customHeight="1">
      <c r="B3654" s="101"/>
    </row>
    <row r="3655" ht="14.25" customHeight="1">
      <c r="B3655" s="101"/>
    </row>
    <row r="3656" ht="14.25" customHeight="1">
      <c r="B3656" s="101"/>
    </row>
    <row r="3657" ht="14.25" customHeight="1">
      <c r="B3657" s="101"/>
    </row>
    <row r="3658" ht="14.25" customHeight="1">
      <c r="B3658" s="101"/>
    </row>
    <row r="3659" ht="14.25" customHeight="1">
      <c r="B3659" s="101"/>
    </row>
    <row r="3660" ht="14.25" customHeight="1">
      <c r="B3660" s="101"/>
    </row>
    <row r="3661" ht="14.25" customHeight="1">
      <c r="B3661" s="101"/>
    </row>
    <row r="3662" ht="14.25" customHeight="1">
      <c r="B3662" s="101"/>
    </row>
    <row r="3663" ht="14.25" customHeight="1">
      <c r="B3663" s="101"/>
    </row>
    <row r="3664" ht="14.25" customHeight="1">
      <c r="B3664" s="101"/>
    </row>
    <row r="3665" ht="14.25" customHeight="1">
      <c r="B3665" s="101"/>
    </row>
    <row r="3666" ht="14.25" customHeight="1">
      <c r="B3666" s="101"/>
    </row>
    <row r="3667" ht="14.25" customHeight="1">
      <c r="B3667" s="101"/>
    </row>
    <row r="3668" ht="14.25" customHeight="1">
      <c r="B3668" s="101"/>
    </row>
    <row r="3669" ht="14.25" customHeight="1">
      <c r="B3669" s="101"/>
    </row>
    <row r="3670" ht="14.25" customHeight="1">
      <c r="B3670" s="101"/>
    </row>
    <row r="3671" ht="14.25" customHeight="1">
      <c r="B3671" s="101"/>
    </row>
    <row r="3672" ht="14.25" customHeight="1">
      <c r="B3672" s="101"/>
    </row>
    <row r="3673" ht="14.25" customHeight="1">
      <c r="B3673" s="101"/>
    </row>
    <row r="3674" ht="14.25" customHeight="1">
      <c r="B3674" s="101"/>
    </row>
    <row r="3675" ht="14.25" customHeight="1">
      <c r="B3675" s="101"/>
    </row>
    <row r="3676" ht="14.25" customHeight="1">
      <c r="B3676" s="101"/>
    </row>
    <row r="3677" ht="14.25" customHeight="1">
      <c r="B3677" s="101"/>
    </row>
    <row r="3678" ht="14.25" customHeight="1">
      <c r="B3678" s="101"/>
    </row>
    <row r="3679" ht="14.25" customHeight="1">
      <c r="B3679" s="101"/>
    </row>
    <row r="3680" ht="14.25" customHeight="1">
      <c r="B3680" s="101"/>
    </row>
    <row r="3681" ht="14.25" customHeight="1">
      <c r="B3681" s="101"/>
    </row>
    <row r="3682" ht="14.25" customHeight="1">
      <c r="B3682" s="101"/>
    </row>
    <row r="3683" ht="14.25" customHeight="1">
      <c r="B3683" s="101"/>
    </row>
    <row r="3684" ht="14.25" customHeight="1">
      <c r="B3684" s="101"/>
    </row>
    <row r="3685" ht="14.25" customHeight="1">
      <c r="B3685" s="101"/>
    </row>
    <row r="3686" ht="14.25" customHeight="1">
      <c r="B3686" s="101"/>
    </row>
    <row r="3687" ht="14.25" customHeight="1">
      <c r="B3687" s="101"/>
    </row>
    <row r="3688" ht="14.25" customHeight="1">
      <c r="B3688" s="101"/>
    </row>
    <row r="3689" ht="14.25" customHeight="1">
      <c r="B3689" s="101"/>
    </row>
    <row r="3690" ht="14.25" customHeight="1">
      <c r="B3690" s="101"/>
    </row>
    <row r="3691" ht="14.25" customHeight="1">
      <c r="B3691" s="101"/>
    </row>
    <row r="3692" ht="14.25" customHeight="1">
      <c r="B3692" s="101"/>
    </row>
    <row r="3693" ht="14.25" customHeight="1">
      <c r="B3693" s="101"/>
    </row>
    <row r="3694" ht="14.25" customHeight="1">
      <c r="B3694" s="101"/>
    </row>
    <row r="3695" ht="14.25" customHeight="1">
      <c r="B3695" s="101"/>
    </row>
    <row r="3696" ht="14.25" customHeight="1">
      <c r="B3696" s="101"/>
    </row>
    <row r="3697" ht="14.25" customHeight="1">
      <c r="B3697" s="101"/>
    </row>
    <row r="3698" ht="14.25" customHeight="1">
      <c r="B3698" s="101"/>
    </row>
    <row r="3699" ht="14.25" customHeight="1">
      <c r="B3699" s="101"/>
    </row>
    <row r="3700" ht="14.25" customHeight="1">
      <c r="B3700" s="101"/>
    </row>
    <row r="3701" ht="14.25" customHeight="1">
      <c r="B3701" s="101"/>
    </row>
    <row r="3702" ht="14.25" customHeight="1">
      <c r="B3702" s="101"/>
    </row>
    <row r="3703" ht="14.25" customHeight="1">
      <c r="B3703" s="101"/>
    </row>
    <row r="3704" ht="14.25" customHeight="1">
      <c r="B3704" s="101"/>
    </row>
    <row r="3705" ht="14.25" customHeight="1">
      <c r="B3705" s="101"/>
    </row>
    <row r="3706" ht="14.25" customHeight="1">
      <c r="B3706" s="101"/>
    </row>
    <row r="3707" ht="14.25" customHeight="1">
      <c r="B3707" s="101"/>
    </row>
    <row r="3708" ht="14.25" customHeight="1">
      <c r="B3708" s="101"/>
    </row>
    <row r="3709" ht="14.25" customHeight="1">
      <c r="B3709" s="101"/>
    </row>
    <row r="3710" ht="14.25" customHeight="1">
      <c r="B3710" s="101"/>
    </row>
    <row r="3711" ht="14.25" customHeight="1">
      <c r="B3711" s="101"/>
    </row>
    <row r="3712" ht="14.25" customHeight="1">
      <c r="B3712" s="101"/>
    </row>
    <row r="3713" ht="14.25" customHeight="1">
      <c r="B3713" s="101"/>
    </row>
    <row r="3714" ht="14.25" customHeight="1">
      <c r="B3714" s="101"/>
    </row>
    <row r="3715" ht="14.25" customHeight="1">
      <c r="B3715" s="101"/>
    </row>
    <row r="3716" ht="14.25" customHeight="1">
      <c r="B3716" s="101"/>
    </row>
    <row r="3717" ht="14.25" customHeight="1">
      <c r="B3717" s="101"/>
    </row>
    <row r="3718" ht="14.25" customHeight="1">
      <c r="B3718" s="101"/>
    </row>
    <row r="3719" ht="14.25" customHeight="1">
      <c r="B3719" s="101"/>
    </row>
    <row r="3720" ht="14.25" customHeight="1">
      <c r="B3720" s="101"/>
    </row>
    <row r="3721" ht="14.25" customHeight="1">
      <c r="B3721" s="101"/>
    </row>
    <row r="3722" ht="14.25" customHeight="1">
      <c r="B3722" s="101"/>
    </row>
    <row r="3723" ht="14.25" customHeight="1">
      <c r="B3723" s="101"/>
    </row>
    <row r="3724" ht="14.25" customHeight="1">
      <c r="B3724" s="101"/>
    </row>
    <row r="3725" ht="14.25" customHeight="1">
      <c r="B3725" s="101"/>
    </row>
    <row r="3726" ht="14.25" customHeight="1">
      <c r="B3726" s="101"/>
    </row>
    <row r="3727" ht="14.25" customHeight="1">
      <c r="B3727" s="101"/>
    </row>
    <row r="3728" ht="14.25" customHeight="1">
      <c r="B3728" s="101"/>
    </row>
    <row r="3729" ht="14.25" customHeight="1">
      <c r="B3729" s="101"/>
    </row>
    <row r="3730" ht="14.25" customHeight="1">
      <c r="B3730" s="101"/>
    </row>
    <row r="3731" ht="14.25" customHeight="1">
      <c r="B3731" s="101"/>
    </row>
    <row r="3732" ht="14.25" customHeight="1">
      <c r="B3732" s="101"/>
    </row>
    <row r="3733" ht="14.25" customHeight="1">
      <c r="B3733" s="101"/>
    </row>
    <row r="3734" ht="14.25" customHeight="1">
      <c r="B3734" s="101"/>
    </row>
    <row r="3735" ht="14.25" customHeight="1">
      <c r="B3735" s="101"/>
    </row>
    <row r="3736" ht="14.25" customHeight="1">
      <c r="B3736" s="101"/>
    </row>
    <row r="3737" ht="14.25" customHeight="1">
      <c r="B3737" s="101"/>
    </row>
    <row r="3738" ht="14.25" customHeight="1">
      <c r="B3738" s="101"/>
    </row>
    <row r="3739" ht="14.25" customHeight="1">
      <c r="B3739" s="101"/>
    </row>
    <row r="3740" ht="14.25" customHeight="1">
      <c r="B3740" s="101"/>
    </row>
    <row r="3741" ht="14.25" customHeight="1">
      <c r="B3741" s="101"/>
    </row>
    <row r="3742" ht="14.25" customHeight="1">
      <c r="B3742" s="101"/>
    </row>
    <row r="3743" ht="14.25" customHeight="1">
      <c r="B3743" s="101"/>
    </row>
    <row r="3744" ht="14.25" customHeight="1">
      <c r="B3744" s="101"/>
    </row>
    <row r="3745" ht="14.25" customHeight="1">
      <c r="B3745" s="101"/>
    </row>
    <row r="3746" ht="14.25" customHeight="1">
      <c r="B3746" s="101"/>
    </row>
    <row r="3747" ht="14.25" customHeight="1">
      <c r="B3747" s="101"/>
    </row>
    <row r="3748" ht="14.25" customHeight="1">
      <c r="B3748" s="101"/>
    </row>
    <row r="3749" ht="14.25" customHeight="1">
      <c r="B3749" s="101"/>
    </row>
    <row r="3750" ht="14.25" customHeight="1">
      <c r="B3750" s="101"/>
    </row>
    <row r="3751" ht="14.25" customHeight="1">
      <c r="B3751" s="101"/>
    </row>
    <row r="3752" ht="14.25" customHeight="1">
      <c r="B3752" s="101"/>
    </row>
    <row r="3753" ht="14.25" customHeight="1">
      <c r="B3753" s="101"/>
    </row>
    <row r="3754" ht="14.25" customHeight="1">
      <c r="B3754" s="101"/>
    </row>
    <row r="3755" ht="14.25" customHeight="1">
      <c r="B3755" s="101"/>
    </row>
    <row r="3756" ht="14.25" customHeight="1">
      <c r="B3756" s="101"/>
    </row>
    <row r="3757" ht="14.25" customHeight="1">
      <c r="B3757" s="101"/>
    </row>
    <row r="3758" ht="14.25" customHeight="1">
      <c r="B3758" s="101"/>
    </row>
    <row r="3759" ht="14.25" customHeight="1">
      <c r="B3759" s="101"/>
    </row>
    <row r="3760" ht="14.25" customHeight="1">
      <c r="B3760" s="101"/>
    </row>
    <row r="3761" ht="14.25" customHeight="1">
      <c r="B3761" s="101"/>
    </row>
    <row r="3762" ht="14.25" customHeight="1">
      <c r="B3762" s="101"/>
    </row>
    <row r="3763" ht="14.25" customHeight="1">
      <c r="B3763" s="101"/>
    </row>
    <row r="3764" ht="14.25" customHeight="1">
      <c r="B3764" s="101"/>
    </row>
    <row r="3765" ht="14.25" customHeight="1">
      <c r="B3765" s="101"/>
    </row>
    <row r="3766" ht="14.25" customHeight="1">
      <c r="B3766" s="101"/>
    </row>
    <row r="3767" ht="14.25" customHeight="1">
      <c r="B3767" s="101"/>
    </row>
    <row r="3768" ht="14.25" customHeight="1">
      <c r="B3768" s="101"/>
    </row>
    <row r="3769" ht="14.25" customHeight="1">
      <c r="B3769" s="101"/>
    </row>
    <row r="3770" ht="14.25" customHeight="1">
      <c r="B3770" s="101"/>
    </row>
    <row r="3771" ht="14.25" customHeight="1">
      <c r="B3771" s="101"/>
    </row>
    <row r="3772" ht="14.25" customHeight="1">
      <c r="B3772" s="101"/>
    </row>
    <row r="3773" ht="14.25" customHeight="1">
      <c r="B3773" s="101"/>
    </row>
    <row r="3774" ht="14.25" customHeight="1">
      <c r="B3774" s="101"/>
    </row>
    <row r="3775" ht="14.25" customHeight="1">
      <c r="B3775" s="101"/>
    </row>
    <row r="3776" ht="14.25" customHeight="1">
      <c r="B3776" s="101"/>
    </row>
    <row r="3777" ht="14.25" customHeight="1">
      <c r="B3777" s="101"/>
    </row>
    <row r="3778" ht="14.25" customHeight="1">
      <c r="B3778" s="101"/>
    </row>
    <row r="3779" ht="14.25" customHeight="1">
      <c r="B3779" s="101"/>
    </row>
    <row r="3780" ht="14.25" customHeight="1">
      <c r="B3780" s="101"/>
    </row>
    <row r="3781" ht="14.25" customHeight="1">
      <c r="B3781" s="101"/>
    </row>
    <row r="3782" ht="14.25" customHeight="1">
      <c r="B3782" s="101"/>
    </row>
    <row r="3783" ht="14.25" customHeight="1">
      <c r="B3783" s="101"/>
    </row>
    <row r="3784" ht="14.25" customHeight="1">
      <c r="B3784" s="101"/>
    </row>
    <row r="3785" ht="14.25" customHeight="1">
      <c r="B3785" s="101"/>
    </row>
    <row r="3786" ht="14.25" customHeight="1">
      <c r="B3786" s="101"/>
    </row>
    <row r="3787" ht="14.25" customHeight="1">
      <c r="B3787" s="101"/>
    </row>
    <row r="3788" ht="14.25" customHeight="1">
      <c r="B3788" s="101"/>
    </row>
    <row r="3789" ht="14.25" customHeight="1">
      <c r="B3789" s="101"/>
    </row>
    <row r="3790" ht="14.25" customHeight="1">
      <c r="B3790" s="101"/>
    </row>
    <row r="3791" ht="14.25" customHeight="1">
      <c r="B3791" s="101"/>
    </row>
    <row r="3792" ht="14.25" customHeight="1">
      <c r="B3792" s="101"/>
    </row>
    <row r="3793" ht="14.25" customHeight="1">
      <c r="B3793" s="101"/>
    </row>
    <row r="3794" ht="14.25" customHeight="1">
      <c r="B3794" s="101"/>
    </row>
    <row r="3795" ht="14.25" customHeight="1">
      <c r="B3795" s="101"/>
    </row>
    <row r="3796" ht="14.25" customHeight="1">
      <c r="B3796" s="101"/>
    </row>
    <row r="3797" ht="14.25" customHeight="1">
      <c r="B3797" s="101"/>
    </row>
    <row r="3798" ht="14.25" customHeight="1">
      <c r="B3798" s="101"/>
    </row>
    <row r="3799" ht="14.25" customHeight="1">
      <c r="B3799" s="101"/>
    </row>
    <row r="3800" ht="14.25" customHeight="1">
      <c r="B3800" s="101"/>
    </row>
    <row r="3801" ht="14.25" customHeight="1">
      <c r="B3801" s="101"/>
    </row>
    <row r="3802" ht="14.25" customHeight="1">
      <c r="B3802" s="101"/>
    </row>
    <row r="3803" ht="14.25" customHeight="1">
      <c r="B3803" s="101"/>
    </row>
    <row r="3804" ht="14.25" customHeight="1">
      <c r="B3804" s="101"/>
    </row>
    <row r="3805" ht="14.25" customHeight="1">
      <c r="B3805" s="101"/>
    </row>
    <row r="3806" ht="14.25" customHeight="1">
      <c r="B3806" s="101"/>
    </row>
    <row r="3807" ht="14.25" customHeight="1">
      <c r="B3807" s="101"/>
    </row>
    <row r="3808" ht="14.25" customHeight="1">
      <c r="B3808" s="101"/>
    </row>
    <row r="3809" ht="14.25" customHeight="1">
      <c r="B3809" s="101"/>
    </row>
    <row r="3810" ht="14.25" customHeight="1">
      <c r="B3810" s="101"/>
    </row>
    <row r="3811" ht="14.25" customHeight="1">
      <c r="B3811" s="101"/>
    </row>
    <row r="3812" ht="14.25" customHeight="1">
      <c r="B3812" s="101"/>
    </row>
    <row r="3813" ht="14.25" customHeight="1">
      <c r="B3813" s="101"/>
    </row>
    <row r="3814" ht="14.25" customHeight="1">
      <c r="B3814" s="101"/>
    </row>
    <row r="3815" ht="14.25" customHeight="1">
      <c r="B3815" s="101"/>
    </row>
    <row r="3816" ht="14.25" customHeight="1">
      <c r="B3816" s="101"/>
    </row>
    <row r="3817" ht="14.25" customHeight="1">
      <c r="B3817" s="101"/>
    </row>
    <row r="3818" ht="14.25" customHeight="1">
      <c r="B3818" s="101"/>
    </row>
    <row r="3819" ht="14.25" customHeight="1">
      <c r="B3819" s="101"/>
    </row>
    <row r="3820" ht="14.25" customHeight="1">
      <c r="B3820" s="101"/>
    </row>
    <row r="3821" ht="14.25" customHeight="1">
      <c r="B3821" s="101"/>
    </row>
    <row r="3822" ht="14.25" customHeight="1">
      <c r="B3822" s="101"/>
    </row>
    <row r="3823" ht="14.25" customHeight="1">
      <c r="B3823" s="101"/>
    </row>
    <row r="3824" ht="14.25" customHeight="1">
      <c r="B3824" s="101"/>
    </row>
    <row r="3825" ht="14.25" customHeight="1">
      <c r="B3825" s="101"/>
    </row>
    <row r="3826" ht="14.25" customHeight="1">
      <c r="B3826" s="101"/>
    </row>
    <row r="3827" ht="14.25" customHeight="1">
      <c r="B3827" s="101"/>
    </row>
    <row r="3828" ht="14.25" customHeight="1">
      <c r="B3828" s="101"/>
    </row>
    <row r="3829" ht="14.25" customHeight="1">
      <c r="B3829" s="101"/>
    </row>
    <row r="3830" ht="14.25" customHeight="1">
      <c r="B3830" s="101"/>
    </row>
    <row r="3831" ht="14.25" customHeight="1">
      <c r="B3831" s="101"/>
    </row>
    <row r="3832" ht="14.25" customHeight="1">
      <c r="B3832" s="101"/>
    </row>
    <row r="3833" ht="14.25" customHeight="1">
      <c r="B3833" s="101"/>
    </row>
    <row r="3834" ht="14.25" customHeight="1">
      <c r="B3834" s="101"/>
    </row>
    <row r="3835" ht="14.25" customHeight="1">
      <c r="B3835" s="101"/>
    </row>
    <row r="3836" ht="14.25" customHeight="1">
      <c r="B3836" s="101"/>
    </row>
    <row r="3837" ht="14.25" customHeight="1">
      <c r="B3837" s="101"/>
    </row>
    <row r="3838" ht="14.25" customHeight="1">
      <c r="B3838" s="101"/>
    </row>
    <row r="3839" ht="14.25" customHeight="1">
      <c r="B3839" s="101"/>
    </row>
    <row r="3840" ht="14.25" customHeight="1">
      <c r="B3840" s="101"/>
    </row>
    <row r="3841" ht="14.25" customHeight="1">
      <c r="B3841" s="101"/>
    </row>
    <row r="3842" ht="14.25" customHeight="1">
      <c r="B3842" s="101"/>
    </row>
    <row r="3843" ht="14.25" customHeight="1">
      <c r="B3843" s="101"/>
    </row>
    <row r="3844" ht="14.25" customHeight="1">
      <c r="B3844" s="101"/>
    </row>
    <row r="3845" ht="14.25" customHeight="1">
      <c r="B3845" s="101"/>
    </row>
    <row r="3846" ht="14.25" customHeight="1">
      <c r="B3846" s="101"/>
    </row>
    <row r="3847" ht="14.25" customHeight="1">
      <c r="B3847" s="101"/>
    </row>
    <row r="3848" ht="14.25" customHeight="1">
      <c r="B3848" s="101"/>
    </row>
    <row r="3849" ht="14.25" customHeight="1">
      <c r="B3849" s="101"/>
    </row>
    <row r="3850" ht="14.25" customHeight="1">
      <c r="B3850" s="101"/>
    </row>
    <row r="3851" ht="14.25" customHeight="1">
      <c r="B3851" s="101"/>
    </row>
    <row r="3852" ht="14.25" customHeight="1">
      <c r="B3852" s="101"/>
    </row>
    <row r="3853" ht="14.25" customHeight="1">
      <c r="B3853" s="101"/>
    </row>
    <row r="3854" ht="14.25" customHeight="1">
      <c r="B3854" s="101"/>
    </row>
    <row r="3855" ht="14.25" customHeight="1">
      <c r="B3855" s="101"/>
    </row>
    <row r="3856" ht="14.25" customHeight="1">
      <c r="B3856" s="101"/>
    </row>
    <row r="3857" ht="14.25" customHeight="1">
      <c r="B3857" s="101"/>
    </row>
    <row r="3858" ht="14.25" customHeight="1">
      <c r="B3858" s="101"/>
    </row>
    <row r="3859" ht="14.25" customHeight="1">
      <c r="B3859" s="101"/>
    </row>
    <row r="3860" ht="14.25" customHeight="1">
      <c r="B3860" s="101"/>
    </row>
    <row r="3861" ht="14.25" customHeight="1">
      <c r="B3861" s="101"/>
    </row>
    <row r="3862" ht="14.25" customHeight="1">
      <c r="B3862" s="101"/>
    </row>
    <row r="3863" ht="14.25" customHeight="1">
      <c r="B3863" s="101"/>
    </row>
    <row r="3864" ht="14.25" customHeight="1">
      <c r="B3864" s="101"/>
    </row>
    <row r="3865" ht="14.25" customHeight="1">
      <c r="B3865" s="101"/>
    </row>
    <row r="3866" ht="14.25" customHeight="1">
      <c r="B3866" s="101"/>
    </row>
    <row r="3867" ht="14.25" customHeight="1">
      <c r="B3867" s="101"/>
    </row>
    <row r="3868" ht="14.25" customHeight="1">
      <c r="B3868" s="101"/>
    </row>
    <row r="3869" ht="14.25" customHeight="1">
      <c r="B3869" s="101"/>
    </row>
    <row r="3870" ht="14.25" customHeight="1">
      <c r="B3870" s="101"/>
    </row>
    <row r="3871" ht="14.25" customHeight="1">
      <c r="B3871" s="101"/>
    </row>
    <row r="3872" ht="14.25" customHeight="1">
      <c r="B3872" s="101"/>
    </row>
    <row r="3873" ht="14.25" customHeight="1">
      <c r="B3873" s="101"/>
    </row>
    <row r="3874" ht="14.25" customHeight="1">
      <c r="B3874" s="101"/>
    </row>
    <row r="3875" ht="14.25" customHeight="1">
      <c r="B3875" s="101"/>
    </row>
    <row r="3876" ht="14.25" customHeight="1">
      <c r="B3876" s="101"/>
    </row>
    <row r="3877" ht="14.25" customHeight="1">
      <c r="B3877" s="101"/>
    </row>
    <row r="3878" ht="14.25" customHeight="1">
      <c r="B3878" s="101"/>
    </row>
    <row r="3879" ht="14.25" customHeight="1">
      <c r="B3879" s="101"/>
    </row>
    <row r="3880" ht="14.25" customHeight="1">
      <c r="B3880" s="101"/>
    </row>
    <row r="3881" ht="14.25" customHeight="1">
      <c r="B3881" s="101"/>
    </row>
    <row r="3882" ht="14.25" customHeight="1">
      <c r="B3882" s="101"/>
    </row>
    <row r="3883" ht="14.25" customHeight="1">
      <c r="B3883" s="101"/>
    </row>
    <row r="3884" ht="14.25" customHeight="1">
      <c r="B3884" s="101"/>
    </row>
    <row r="3885" ht="14.25" customHeight="1">
      <c r="B3885" s="101"/>
    </row>
    <row r="3886" ht="14.25" customHeight="1">
      <c r="B3886" s="101"/>
    </row>
    <row r="3887" ht="14.25" customHeight="1">
      <c r="B3887" s="101"/>
    </row>
    <row r="3888" ht="14.25" customHeight="1">
      <c r="B3888" s="101"/>
    </row>
    <row r="3889" ht="14.25" customHeight="1">
      <c r="B3889" s="101"/>
    </row>
    <row r="3890" ht="14.25" customHeight="1">
      <c r="B3890" s="101"/>
    </row>
    <row r="3891" ht="14.25" customHeight="1">
      <c r="B3891" s="101"/>
    </row>
    <row r="3892" ht="14.25" customHeight="1">
      <c r="B3892" s="101"/>
    </row>
    <row r="3893" ht="14.25" customHeight="1">
      <c r="B3893" s="101"/>
    </row>
    <row r="3894" ht="14.25" customHeight="1">
      <c r="B3894" s="101"/>
    </row>
    <row r="3895" ht="14.25" customHeight="1">
      <c r="B3895" s="101"/>
    </row>
    <row r="3896" ht="14.25" customHeight="1">
      <c r="B3896" s="101"/>
    </row>
    <row r="3897" ht="14.25" customHeight="1">
      <c r="B3897" s="101"/>
    </row>
    <row r="3898" ht="14.25" customHeight="1">
      <c r="B3898" s="101"/>
    </row>
    <row r="3899" ht="14.25" customHeight="1">
      <c r="B3899" s="101"/>
    </row>
    <row r="3900" ht="14.25" customHeight="1">
      <c r="B3900" s="101"/>
    </row>
    <row r="3901" ht="14.25" customHeight="1">
      <c r="B3901" s="101"/>
    </row>
    <row r="3902" ht="14.25" customHeight="1">
      <c r="B3902" s="101"/>
    </row>
    <row r="3903" ht="14.25" customHeight="1">
      <c r="B3903" s="101"/>
    </row>
    <row r="3904" ht="14.25" customHeight="1">
      <c r="B3904" s="101"/>
    </row>
    <row r="3905" ht="14.25" customHeight="1">
      <c r="B3905" s="101"/>
    </row>
    <row r="3906" ht="14.25" customHeight="1">
      <c r="B3906" s="101"/>
    </row>
    <row r="3907" ht="14.25" customHeight="1">
      <c r="B3907" s="101"/>
    </row>
    <row r="3908" ht="14.25" customHeight="1">
      <c r="B3908" s="101"/>
    </row>
    <row r="3909" ht="14.25" customHeight="1">
      <c r="B3909" s="101"/>
    </row>
    <row r="3910" ht="14.25" customHeight="1">
      <c r="B3910" s="101"/>
    </row>
    <row r="3911" ht="14.25" customHeight="1">
      <c r="B3911" s="101"/>
    </row>
    <row r="3912" ht="14.25" customHeight="1">
      <c r="B3912" s="101"/>
    </row>
    <row r="3913" ht="14.25" customHeight="1">
      <c r="B3913" s="101"/>
    </row>
    <row r="3914" ht="14.25" customHeight="1">
      <c r="B3914" s="101"/>
    </row>
    <row r="3915" ht="14.25" customHeight="1">
      <c r="B3915" s="101"/>
    </row>
    <row r="3916" ht="14.25" customHeight="1">
      <c r="B3916" s="101"/>
    </row>
    <row r="3917" ht="14.25" customHeight="1">
      <c r="B3917" s="101"/>
    </row>
    <row r="3918" ht="14.25" customHeight="1">
      <c r="B3918" s="101"/>
    </row>
    <row r="3919" ht="14.25" customHeight="1">
      <c r="B3919" s="101"/>
    </row>
    <row r="3920" ht="14.25" customHeight="1">
      <c r="B3920" s="101"/>
    </row>
    <row r="3921" ht="14.25" customHeight="1">
      <c r="B3921" s="101"/>
    </row>
    <row r="3922" ht="14.25" customHeight="1">
      <c r="B3922" s="101"/>
    </row>
    <row r="3923" ht="14.25" customHeight="1">
      <c r="B3923" s="101"/>
    </row>
    <row r="3924" ht="14.25" customHeight="1">
      <c r="B3924" s="101"/>
    </row>
    <row r="3925" ht="14.25" customHeight="1">
      <c r="B3925" s="101"/>
    </row>
    <row r="3926" ht="14.25" customHeight="1">
      <c r="B3926" s="101"/>
    </row>
    <row r="3927" ht="14.25" customHeight="1">
      <c r="B3927" s="101"/>
    </row>
    <row r="3928" ht="14.25" customHeight="1">
      <c r="B3928" s="101"/>
    </row>
    <row r="3929" ht="14.25" customHeight="1">
      <c r="B3929" s="101"/>
    </row>
    <row r="3930" ht="14.25" customHeight="1">
      <c r="B3930" s="101"/>
    </row>
    <row r="3931" ht="14.25" customHeight="1">
      <c r="B3931" s="101"/>
    </row>
    <row r="3932" ht="14.25" customHeight="1">
      <c r="B3932" s="101"/>
    </row>
    <row r="3933" ht="14.25" customHeight="1">
      <c r="B3933" s="101"/>
    </row>
    <row r="3934" ht="14.25" customHeight="1">
      <c r="B3934" s="101"/>
    </row>
    <row r="3935" ht="14.25" customHeight="1">
      <c r="B3935" s="101"/>
    </row>
    <row r="3936" ht="14.25" customHeight="1">
      <c r="B3936" s="101"/>
    </row>
    <row r="3937" ht="14.25" customHeight="1">
      <c r="B3937" s="101"/>
    </row>
    <row r="3938" ht="14.25" customHeight="1">
      <c r="B3938" s="101"/>
    </row>
    <row r="3939" ht="14.25" customHeight="1">
      <c r="B3939" s="101"/>
    </row>
    <row r="3940" ht="14.25" customHeight="1">
      <c r="B3940" s="101"/>
    </row>
    <row r="3941" ht="14.25" customHeight="1">
      <c r="B3941" s="101"/>
    </row>
    <row r="3942" ht="14.25" customHeight="1">
      <c r="B3942" s="101"/>
    </row>
    <row r="3943" ht="14.25" customHeight="1">
      <c r="B3943" s="101"/>
    </row>
    <row r="3944" ht="14.25" customHeight="1">
      <c r="B3944" s="101"/>
    </row>
    <row r="3945" ht="14.25" customHeight="1">
      <c r="B3945" s="101"/>
    </row>
    <row r="3946" ht="14.25" customHeight="1">
      <c r="B3946" s="101"/>
    </row>
    <row r="3947" ht="14.25" customHeight="1">
      <c r="B3947" s="101"/>
    </row>
    <row r="3948" ht="14.25" customHeight="1">
      <c r="B3948" s="101"/>
    </row>
    <row r="3949" ht="14.25" customHeight="1">
      <c r="B3949" s="101"/>
    </row>
    <row r="3950" ht="14.25" customHeight="1">
      <c r="B3950" s="101"/>
    </row>
    <row r="3951" ht="14.25" customHeight="1">
      <c r="B3951" s="101"/>
    </row>
    <row r="3952" ht="14.25" customHeight="1">
      <c r="B3952" s="101"/>
    </row>
    <row r="3953" ht="14.25" customHeight="1">
      <c r="B3953" s="101"/>
    </row>
    <row r="3954" ht="14.25" customHeight="1">
      <c r="B3954" s="101"/>
    </row>
    <row r="3955" ht="14.25" customHeight="1">
      <c r="B3955" s="101"/>
    </row>
    <row r="3956" ht="14.25" customHeight="1">
      <c r="B3956" s="101"/>
    </row>
    <row r="3957" ht="14.25" customHeight="1">
      <c r="B3957" s="101"/>
    </row>
    <row r="3958" ht="14.25" customHeight="1">
      <c r="B3958" s="101"/>
    </row>
    <row r="3959" ht="14.25" customHeight="1">
      <c r="B3959" s="101"/>
    </row>
    <row r="3960" ht="14.25" customHeight="1">
      <c r="B3960" s="101"/>
    </row>
    <row r="3961" ht="14.25" customHeight="1">
      <c r="B3961" s="101"/>
    </row>
    <row r="3962" ht="14.25" customHeight="1">
      <c r="B3962" s="101"/>
    </row>
    <row r="3963" ht="14.25" customHeight="1">
      <c r="B3963" s="101"/>
    </row>
    <row r="3964" ht="14.25" customHeight="1">
      <c r="B3964" s="101"/>
    </row>
    <row r="3965" ht="14.25" customHeight="1">
      <c r="B3965" s="101"/>
    </row>
    <row r="3966" ht="14.25" customHeight="1">
      <c r="B3966" s="101"/>
    </row>
    <row r="3967" ht="14.25" customHeight="1">
      <c r="B3967" s="101"/>
    </row>
    <row r="3968" ht="14.25" customHeight="1">
      <c r="B3968" s="101"/>
    </row>
    <row r="3969" ht="14.25" customHeight="1">
      <c r="B3969" s="101"/>
    </row>
    <row r="3970" ht="14.25" customHeight="1">
      <c r="B3970" s="101"/>
    </row>
    <row r="3971" ht="14.25" customHeight="1">
      <c r="B3971" s="101"/>
    </row>
    <row r="3972" ht="14.25" customHeight="1">
      <c r="B3972" s="101"/>
    </row>
    <row r="3973" ht="14.25" customHeight="1">
      <c r="B3973" s="101"/>
    </row>
    <row r="3974" ht="14.25" customHeight="1">
      <c r="B3974" s="101"/>
    </row>
    <row r="3975" ht="14.25" customHeight="1">
      <c r="B3975" s="101"/>
    </row>
    <row r="3976" ht="14.25" customHeight="1">
      <c r="B3976" s="101"/>
    </row>
    <row r="3977" ht="14.25" customHeight="1">
      <c r="B3977" s="101"/>
    </row>
    <row r="3978" ht="14.25" customHeight="1">
      <c r="B3978" s="101"/>
    </row>
    <row r="3979" ht="14.25" customHeight="1">
      <c r="B3979" s="101"/>
    </row>
    <row r="3980" ht="14.25" customHeight="1">
      <c r="B3980" s="101"/>
    </row>
    <row r="3981" ht="14.25" customHeight="1">
      <c r="B3981" s="101"/>
    </row>
    <row r="3982" ht="14.25" customHeight="1">
      <c r="B3982" s="101"/>
    </row>
    <row r="3983" ht="14.25" customHeight="1">
      <c r="B3983" s="101"/>
    </row>
    <row r="3984" ht="14.25" customHeight="1">
      <c r="B3984" s="101"/>
    </row>
    <row r="3985" ht="14.25" customHeight="1">
      <c r="B3985" s="101"/>
    </row>
    <row r="3986" ht="14.25" customHeight="1">
      <c r="B3986" s="101"/>
    </row>
    <row r="3987" ht="14.25" customHeight="1">
      <c r="B3987" s="101"/>
    </row>
    <row r="3988" ht="14.25" customHeight="1">
      <c r="B3988" s="101"/>
    </row>
    <row r="3989" ht="14.25" customHeight="1">
      <c r="B3989" s="101"/>
    </row>
    <row r="3990" ht="14.25" customHeight="1">
      <c r="B3990" s="101"/>
    </row>
    <row r="3991" ht="14.25" customHeight="1">
      <c r="B3991" s="101"/>
    </row>
    <row r="3992" ht="14.25" customHeight="1">
      <c r="B3992" s="101"/>
    </row>
    <row r="3993" ht="14.25" customHeight="1">
      <c r="B3993" s="101"/>
    </row>
    <row r="3994" ht="14.25" customHeight="1">
      <c r="B3994" s="101"/>
    </row>
    <row r="3995" ht="14.25" customHeight="1">
      <c r="B3995" s="101"/>
    </row>
    <row r="3996" ht="14.25" customHeight="1">
      <c r="B3996" s="101"/>
    </row>
    <row r="3997" ht="14.25" customHeight="1">
      <c r="B3997" s="101"/>
    </row>
    <row r="3998" ht="14.25" customHeight="1">
      <c r="B3998" s="101"/>
    </row>
    <row r="3999" ht="14.25" customHeight="1">
      <c r="B3999" s="101"/>
    </row>
    <row r="4000" ht="14.25" customHeight="1">
      <c r="B4000" s="101"/>
    </row>
    <row r="4001" ht="14.25" customHeight="1">
      <c r="B4001" s="101"/>
    </row>
    <row r="4002" ht="14.25" customHeight="1">
      <c r="B4002" s="101"/>
    </row>
    <row r="4003" ht="14.25" customHeight="1">
      <c r="B4003" s="101"/>
    </row>
    <row r="4004" ht="14.25" customHeight="1">
      <c r="B4004" s="101"/>
    </row>
    <row r="4005" ht="14.25" customHeight="1">
      <c r="B4005" s="101"/>
    </row>
    <row r="4006" ht="14.25" customHeight="1">
      <c r="B4006" s="101"/>
    </row>
    <row r="4007" ht="14.25" customHeight="1">
      <c r="B4007" s="101"/>
    </row>
    <row r="4008" ht="14.25" customHeight="1">
      <c r="B4008" s="101"/>
    </row>
    <row r="4009" ht="14.25" customHeight="1">
      <c r="B4009" s="101"/>
    </row>
    <row r="4010" ht="14.25" customHeight="1">
      <c r="B4010" s="101"/>
    </row>
    <row r="4011" ht="14.25" customHeight="1">
      <c r="B4011" s="101"/>
    </row>
    <row r="4012" ht="14.25" customHeight="1">
      <c r="B4012" s="101"/>
    </row>
    <row r="4013" ht="14.25" customHeight="1">
      <c r="B4013" s="101"/>
    </row>
    <row r="4014" ht="14.25" customHeight="1">
      <c r="B4014" s="101"/>
    </row>
    <row r="4015" ht="14.25" customHeight="1">
      <c r="B4015" s="101"/>
    </row>
    <row r="4016" ht="14.25" customHeight="1">
      <c r="B4016" s="101"/>
    </row>
    <row r="4017" ht="14.25" customHeight="1">
      <c r="B4017" s="101"/>
    </row>
    <row r="4018" ht="14.25" customHeight="1">
      <c r="B4018" s="101"/>
    </row>
    <row r="4019" ht="14.25" customHeight="1">
      <c r="B4019" s="101"/>
    </row>
    <row r="4020" ht="14.25" customHeight="1">
      <c r="B4020" s="101"/>
    </row>
    <row r="4021" ht="14.25" customHeight="1">
      <c r="B4021" s="101"/>
    </row>
    <row r="4022" ht="14.25" customHeight="1">
      <c r="B4022" s="101"/>
    </row>
    <row r="4023" ht="14.25" customHeight="1">
      <c r="B4023" s="101"/>
    </row>
    <row r="4024" ht="14.25" customHeight="1">
      <c r="B4024" s="101"/>
    </row>
    <row r="4025" ht="14.25" customHeight="1">
      <c r="B4025" s="101"/>
    </row>
    <row r="4026" ht="14.25" customHeight="1">
      <c r="B4026" s="101"/>
    </row>
    <row r="4027" ht="14.25" customHeight="1">
      <c r="B4027" s="101"/>
    </row>
    <row r="4028" ht="14.25" customHeight="1">
      <c r="B4028" s="101"/>
    </row>
    <row r="4029" ht="14.25" customHeight="1">
      <c r="B4029" s="101"/>
    </row>
    <row r="4030" ht="14.25" customHeight="1">
      <c r="B4030" s="101"/>
    </row>
    <row r="4031" ht="14.25" customHeight="1">
      <c r="B4031" s="101"/>
    </row>
    <row r="4032" ht="14.25" customHeight="1">
      <c r="B4032" s="101"/>
    </row>
    <row r="4033" ht="14.25" customHeight="1">
      <c r="B4033" s="101"/>
    </row>
    <row r="4034" ht="14.25" customHeight="1">
      <c r="B4034" s="101"/>
    </row>
    <row r="4035" ht="14.25" customHeight="1">
      <c r="B4035" s="101"/>
    </row>
    <row r="4036" ht="14.25" customHeight="1">
      <c r="B4036" s="101"/>
    </row>
    <row r="4037" ht="14.25" customHeight="1">
      <c r="B4037" s="101"/>
    </row>
    <row r="4038" ht="14.25" customHeight="1">
      <c r="B4038" s="101"/>
    </row>
    <row r="4039" ht="14.25" customHeight="1">
      <c r="B4039" s="101"/>
    </row>
    <row r="4040" ht="14.25" customHeight="1">
      <c r="B4040" s="101"/>
    </row>
    <row r="4041" ht="14.25" customHeight="1">
      <c r="B4041" s="101"/>
    </row>
    <row r="4042" ht="14.25" customHeight="1">
      <c r="B4042" s="101"/>
    </row>
    <row r="4043" ht="14.25" customHeight="1">
      <c r="B4043" s="101"/>
    </row>
    <row r="4044" ht="14.25" customHeight="1">
      <c r="B4044" s="101"/>
    </row>
    <row r="4045" ht="14.25" customHeight="1">
      <c r="B4045" s="101"/>
    </row>
    <row r="4046" ht="14.25" customHeight="1">
      <c r="B4046" s="101"/>
    </row>
    <row r="4047" ht="14.25" customHeight="1">
      <c r="B4047" s="101"/>
    </row>
    <row r="4048" ht="14.25" customHeight="1">
      <c r="B4048" s="101"/>
    </row>
    <row r="4049" ht="14.25" customHeight="1">
      <c r="B4049" s="101"/>
    </row>
    <row r="4050" ht="14.25" customHeight="1">
      <c r="B4050" s="101"/>
    </row>
    <row r="4051" ht="14.25" customHeight="1">
      <c r="B4051" s="101"/>
    </row>
    <row r="4052" ht="14.25" customHeight="1">
      <c r="B4052" s="101"/>
    </row>
    <row r="4053" ht="14.25" customHeight="1">
      <c r="B4053" s="101"/>
    </row>
    <row r="4054" ht="14.25" customHeight="1">
      <c r="B4054" s="101"/>
    </row>
    <row r="4055" ht="14.25" customHeight="1">
      <c r="B4055" s="101"/>
    </row>
    <row r="4056" ht="14.25" customHeight="1">
      <c r="B4056" s="101"/>
    </row>
    <row r="4057" ht="14.25" customHeight="1">
      <c r="B4057" s="101"/>
    </row>
    <row r="4058" ht="14.25" customHeight="1">
      <c r="B4058" s="101"/>
    </row>
    <row r="4059" ht="14.25" customHeight="1">
      <c r="B4059" s="101"/>
    </row>
    <row r="4060" ht="14.25" customHeight="1">
      <c r="B4060" s="101"/>
    </row>
    <row r="4061" ht="14.25" customHeight="1">
      <c r="B4061" s="101"/>
    </row>
    <row r="4062" ht="14.25" customHeight="1">
      <c r="B4062" s="101"/>
    </row>
    <row r="4063" ht="14.25" customHeight="1">
      <c r="B4063" s="101"/>
    </row>
    <row r="4064" ht="14.25" customHeight="1">
      <c r="B4064" s="101"/>
    </row>
    <row r="4065" ht="14.25" customHeight="1">
      <c r="B4065" s="101"/>
    </row>
    <row r="4066" ht="14.25" customHeight="1">
      <c r="B4066" s="101"/>
    </row>
    <row r="4067" ht="14.25" customHeight="1">
      <c r="B4067" s="101"/>
    </row>
    <row r="4068" ht="14.25" customHeight="1">
      <c r="B4068" s="101"/>
    </row>
    <row r="4069" ht="14.25" customHeight="1">
      <c r="B4069" s="101"/>
    </row>
    <row r="4070" ht="14.25" customHeight="1">
      <c r="B4070" s="101"/>
    </row>
    <row r="4071" ht="14.25" customHeight="1">
      <c r="B4071" s="101"/>
    </row>
    <row r="4072" ht="14.25" customHeight="1">
      <c r="B4072" s="101"/>
    </row>
    <row r="4073" ht="14.25" customHeight="1">
      <c r="B4073" s="101"/>
    </row>
    <row r="4074" ht="14.25" customHeight="1">
      <c r="B4074" s="101"/>
    </row>
    <row r="4075" ht="14.25" customHeight="1">
      <c r="B4075" s="101"/>
    </row>
    <row r="4076" ht="14.25" customHeight="1">
      <c r="B4076" s="101"/>
    </row>
    <row r="4077" ht="14.25" customHeight="1">
      <c r="B4077" s="101"/>
    </row>
    <row r="4078" ht="14.25" customHeight="1">
      <c r="B4078" s="101"/>
    </row>
    <row r="4079" ht="14.25" customHeight="1">
      <c r="B4079" s="101"/>
    </row>
    <row r="4080" ht="14.25" customHeight="1">
      <c r="B4080" s="101"/>
    </row>
    <row r="4081" ht="14.25" customHeight="1">
      <c r="B4081" s="101"/>
    </row>
    <row r="4082" ht="14.25" customHeight="1">
      <c r="B4082" s="101"/>
    </row>
    <row r="4083" ht="14.25" customHeight="1">
      <c r="B4083" s="101"/>
    </row>
    <row r="4084" ht="14.25" customHeight="1">
      <c r="B4084" s="101"/>
    </row>
    <row r="4085" ht="14.25" customHeight="1">
      <c r="B4085" s="101"/>
    </row>
    <row r="4086" ht="14.25" customHeight="1">
      <c r="B4086" s="101"/>
    </row>
    <row r="4087" ht="14.25" customHeight="1">
      <c r="B4087" s="101"/>
    </row>
    <row r="4088" ht="14.25" customHeight="1">
      <c r="B4088" s="101"/>
    </row>
    <row r="4089" ht="14.25" customHeight="1">
      <c r="B4089" s="101"/>
    </row>
    <row r="4090" ht="14.25" customHeight="1">
      <c r="B4090" s="101"/>
    </row>
    <row r="4091" ht="14.25" customHeight="1">
      <c r="B4091" s="101"/>
    </row>
    <row r="4092" ht="14.25" customHeight="1">
      <c r="B4092" s="101"/>
    </row>
    <row r="4093" ht="14.25" customHeight="1">
      <c r="B4093" s="101"/>
    </row>
    <row r="4094" ht="14.25" customHeight="1">
      <c r="B4094" s="101"/>
    </row>
    <row r="4095" ht="14.25" customHeight="1">
      <c r="B4095" s="101"/>
    </row>
    <row r="4096" ht="14.25" customHeight="1">
      <c r="B4096" s="101"/>
    </row>
    <row r="4097" ht="14.25" customHeight="1">
      <c r="B4097" s="101"/>
    </row>
    <row r="4098" ht="14.25" customHeight="1">
      <c r="B4098" s="101"/>
    </row>
    <row r="4099" ht="14.25" customHeight="1">
      <c r="B4099" s="101"/>
    </row>
    <row r="4100" ht="14.25" customHeight="1">
      <c r="B4100" s="101"/>
    </row>
    <row r="4101" ht="14.25" customHeight="1">
      <c r="B4101" s="101"/>
    </row>
    <row r="4102" ht="14.25" customHeight="1">
      <c r="B4102" s="101"/>
    </row>
    <row r="4103" ht="14.25" customHeight="1">
      <c r="B4103" s="101"/>
    </row>
    <row r="4104" ht="14.25" customHeight="1">
      <c r="B4104" s="101"/>
    </row>
    <row r="4105" ht="14.25" customHeight="1">
      <c r="B4105" s="101"/>
    </row>
    <row r="4106" ht="14.25" customHeight="1">
      <c r="B4106" s="101"/>
    </row>
    <row r="4107" ht="14.25" customHeight="1">
      <c r="B4107" s="101"/>
    </row>
    <row r="4108" ht="14.25" customHeight="1">
      <c r="B4108" s="101"/>
    </row>
    <row r="4109" ht="14.25" customHeight="1">
      <c r="B4109" s="101"/>
    </row>
    <row r="4110" ht="14.25" customHeight="1">
      <c r="B4110" s="101"/>
    </row>
    <row r="4111" ht="14.25" customHeight="1">
      <c r="B4111" s="101"/>
    </row>
    <row r="4112" ht="14.25" customHeight="1">
      <c r="B4112" s="101"/>
    </row>
    <row r="4113" ht="14.25" customHeight="1">
      <c r="B4113" s="101"/>
    </row>
    <row r="4114" ht="14.25" customHeight="1">
      <c r="B4114" s="101"/>
    </row>
    <row r="4115" ht="14.25" customHeight="1">
      <c r="B4115" s="101"/>
    </row>
    <row r="4116" ht="14.25" customHeight="1">
      <c r="B4116" s="101"/>
    </row>
    <row r="4117" ht="14.25" customHeight="1">
      <c r="B4117" s="101"/>
    </row>
    <row r="4118" ht="14.25" customHeight="1">
      <c r="B4118" s="101"/>
    </row>
    <row r="4119" ht="14.25" customHeight="1">
      <c r="B4119" s="101"/>
    </row>
    <row r="4120" ht="14.25" customHeight="1">
      <c r="B4120" s="101"/>
    </row>
    <row r="4121" ht="14.25" customHeight="1">
      <c r="B4121" s="101"/>
    </row>
    <row r="4122" ht="14.25" customHeight="1">
      <c r="B4122" s="101"/>
    </row>
    <row r="4123" ht="14.25" customHeight="1">
      <c r="B4123" s="101"/>
    </row>
    <row r="4124" ht="14.25" customHeight="1">
      <c r="B4124" s="101"/>
    </row>
    <row r="4125" ht="14.25" customHeight="1">
      <c r="B4125" s="101"/>
    </row>
    <row r="4126" ht="14.25" customHeight="1">
      <c r="B4126" s="101"/>
    </row>
    <row r="4127" ht="14.25" customHeight="1">
      <c r="B4127" s="101"/>
    </row>
    <row r="4128" ht="14.25" customHeight="1">
      <c r="B4128" s="101"/>
    </row>
    <row r="4129" ht="14.25" customHeight="1">
      <c r="B4129" s="101"/>
    </row>
    <row r="4130" ht="14.25" customHeight="1">
      <c r="B4130" s="101"/>
    </row>
    <row r="4131" ht="14.25" customHeight="1">
      <c r="B4131" s="101"/>
    </row>
    <row r="4132" ht="14.25" customHeight="1">
      <c r="B4132" s="101"/>
    </row>
    <row r="4133" ht="14.25" customHeight="1">
      <c r="B4133" s="101"/>
    </row>
    <row r="4134" ht="14.25" customHeight="1">
      <c r="B4134" s="101"/>
    </row>
    <row r="4135" ht="14.25" customHeight="1">
      <c r="B4135" s="101"/>
    </row>
    <row r="4136" ht="14.25" customHeight="1">
      <c r="B4136" s="101"/>
    </row>
    <row r="4137" ht="14.25" customHeight="1">
      <c r="B4137" s="101"/>
    </row>
    <row r="4138" ht="14.25" customHeight="1">
      <c r="B4138" s="101"/>
    </row>
    <row r="4139" ht="14.25" customHeight="1">
      <c r="B4139" s="101"/>
    </row>
    <row r="4140" ht="14.25" customHeight="1">
      <c r="B4140" s="101"/>
    </row>
    <row r="4141" ht="14.25" customHeight="1">
      <c r="B4141" s="101"/>
    </row>
    <row r="4142" ht="14.25" customHeight="1">
      <c r="B4142" s="101"/>
    </row>
    <row r="4143" ht="14.25" customHeight="1">
      <c r="B4143" s="101"/>
    </row>
    <row r="4144" ht="14.25" customHeight="1">
      <c r="B4144" s="101"/>
    </row>
    <row r="4145" ht="14.25" customHeight="1">
      <c r="B4145" s="101"/>
    </row>
    <row r="4146" ht="14.25" customHeight="1">
      <c r="B4146" s="101"/>
    </row>
    <row r="4147" ht="14.25" customHeight="1">
      <c r="B4147" s="101"/>
    </row>
    <row r="4148" ht="14.25" customHeight="1">
      <c r="B4148" s="101"/>
    </row>
    <row r="4149" ht="14.25" customHeight="1">
      <c r="B4149" s="101"/>
    </row>
    <row r="4150" ht="14.25" customHeight="1">
      <c r="B4150" s="101"/>
    </row>
    <row r="4151" ht="14.25" customHeight="1">
      <c r="B4151" s="101"/>
    </row>
    <row r="4152" ht="14.25" customHeight="1">
      <c r="B4152" s="101"/>
    </row>
    <row r="4153" ht="14.25" customHeight="1">
      <c r="B4153" s="101"/>
    </row>
    <row r="4154" ht="14.25" customHeight="1">
      <c r="B4154" s="101"/>
    </row>
    <row r="4155" ht="14.25" customHeight="1">
      <c r="B4155" s="101"/>
    </row>
    <row r="4156" ht="14.25" customHeight="1">
      <c r="B4156" s="101"/>
    </row>
    <row r="4157" ht="14.25" customHeight="1">
      <c r="B4157" s="101"/>
    </row>
    <row r="4158" ht="14.25" customHeight="1">
      <c r="B4158" s="101"/>
    </row>
    <row r="4159" ht="14.25" customHeight="1">
      <c r="B4159" s="101"/>
    </row>
    <row r="4160" ht="14.25" customHeight="1">
      <c r="B4160" s="101"/>
    </row>
    <row r="4161" ht="14.25" customHeight="1">
      <c r="B4161" s="101"/>
    </row>
    <row r="4162" ht="14.25" customHeight="1">
      <c r="B4162" s="101"/>
    </row>
    <row r="4163" ht="14.25" customHeight="1">
      <c r="B4163" s="101"/>
    </row>
    <row r="4164" ht="14.25" customHeight="1">
      <c r="B4164" s="101"/>
    </row>
    <row r="4165" ht="14.25" customHeight="1">
      <c r="B4165" s="101"/>
    </row>
    <row r="4166" ht="14.25" customHeight="1">
      <c r="B4166" s="101"/>
    </row>
    <row r="4167" ht="14.25" customHeight="1">
      <c r="B4167" s="101"/>
    </row>
    <row r="4168" ht="14.25" customHeight="1">
      <c r="B4168" s="101"/>
    </row>
    <row r="4169" ht="14.25" customHeight="1">
      <c r="B4169" s="101"/>
    </row>
    <row r="4170" ht="14.25" customHeight="1">
      <c r="B4170" s="101"/>
    </row>
    <row r="4171" ht="14.25" customHeight="1">
      <c r="B4171" s="101"/>
    </row>
    <row r="4172" ht="14.25" customHeight="1">
      <c r="B4172" s="101"/>
    </row>
    <row r="4173" ht="14.25" customHeight="1">
      <c r="B4173" s="101"/>
    </row>
    <row r="4174" ht="14.25" customHeight="1">
      <c r="B4174" s="101"/>
    </row>
    <row r="4175" ht="14.25" customHeight="1">
      <c r="B4175" s="101"/>
    </row>
    <row r="4176" ht="14.25" customHeight="1">
      <c r="B4176" s="101"/>
    </row>
    <row r="4177" ht="14.25" customHeight="1">
      <c r="B4177" s="101"/>
    </row>
    <row r="4178" ht="14.25" customHeight="1">
      <c r="B4178" s="101"/>
    </row>
    <row r="4179" ht="14.25" customHeight="1">
      <c r="B4179" s="101"/>
    </row>
    <row r="4180" ht="14.25" customHeight="1">
      <c r="B4180" s="101"/>
    </row>
    <row r="4181" ht="14.25" customHeight="1">
      <c r="B4181" s="101"/>
    </row>
    <row r="4182" ht="14.25" customHeight="1">
      <c r="B4182" s="101"/>
    </row>
    <row r="4183" ht="14.25" customHeight="1">
      <c r="B4183" s="101"/>
    </row>
    <row r="4184" ht="14.25" customHeight="1">
      <c r="B4184" s="101"/>
    </row>
    <row r="4185" ht="14.25" customHeight="1">
      <c r="B4185" s="101"/>
    </row>
    <row r="4186" ht="14.25" customHeight="1">
      <c r="B4186" s="101"/>
    </row>
    <row r="4187" ht="14.25" customHeight="1">
      <c r="B4187" s="101"/>
    </row>
    <row r="4188" ht="14.25" customHeight="1">
      <c r="B4188" s="101"/>
    </row>
    <row r="4189" ht="14.25" customHeight="1">
      <c r="B4189" s="101"/>
    </row>
    <row r="4190" ht="14.25" customHeight="1">
      <c r="B4190" s="101"/>
    </row>
    <row r="4191" ht="14.25" customHeight="1">
      <c r="B4191" s="101"/>
    </row>
    <row r="4192" ht="14.25" customHeight="1">
      <c r="B4192" s="101"/>
    </row>
    <row r="4193" ht="14.25" customHeight="1">
      <c r="B4193" s="101"/>
    </row>
    <row r="4194" ht="14.25" customHeight="1">
      <c r="B4194" s="101"/>
    </row>
    <row r="4195" ht="14.25" customHeight="1">
      <c r="B4195" s="101"/>
    </row>
    <row r="4196" ht="14.25" customHeight="1">
      <c r="B4196" s="101"/>
    </row>
    <row r="4197" ht="14.25" customHeight="1">
      <c r="B4197" s="101"/>
    </row>
    <row r="4198" ht="14.25" customHeight="1">
      <c r="B4198" s="101"/>
    </row>
    <row r="4199" ht="14.25" customHeight="1">
      <c r="B4199" s="101"/>
    </row>
    <row r="4200" ht="14.25" customHeight="1">
      <c r="B4200" s="101"/>
    </row>
    <row r="4201" ht="14.25" customHeight="1">
      <c r="B4201" s="101"/>
    </row>
    <row r="4202" ht="14.25" customHeight="1">
      <c r="B4202" s="101"/>
    </row>
    <row r="4203" ht="14.25" customHeight="1">
      <c r="B4203" s="101"/>
    </row>
    <row r="4204" ht="14.25" customHeight="1">
      <c r="B4204" s="101"/>
    </row>
    <row r="4205" ht="14.25" customHeight="1">
      <c r="B4205" s="101"/>
    </row>
    <row r="4206" ht="14.25" customHeight="1">
      <c r="B4206" s="101"/>
    </row>
    <row r="4207" ht="14.25" customHeight="1">
      <c r="B4207" s="101"/>
    </row>
    <row r="4208" ht="14.25" customHeight="1">
      <c r="B4208" s="101"/>
    </row>
    <row r="4209" ht="14.25" customHeight="1">
      <c r="B4209" s="101"/>
    </row>
    <row r="4210" ht="14.25" customHeight="1">
      <c r="B4210" s="101"/>
    </row>
    <row r="4211" ht="14.25" customHeight="1">
      <c r="B4211" s="101"/>
    </row>
    <row r="4212" ht="14.25" customHeight="1">
      <c r="B4212" s="101"/>
    </row>
    <row r="4213" ht="14.25" customHeight="1">
      <c r="B4213" s="101"/>
    </row>
    <row r="4214" ht="14.25" customHeight="1">
      <c r="B4214" s="101"/>
    </row>
    <row r="4215" ht="14.25" customHeight="1">
      <c r="B4215" s="101"/>
    </row>
    <row r="4216" ht="14.25" customHeight="1">
      <c r="B4216" s="101"/>
    </row>
    <row r="4217" ht="14.25" customHeight="1">
      <c r="B4217" s="101"/>
    </row>
    <row r="4218" ht="14.25" customHeight="1">
      <c r="B4218" s="101"/>
    </row>
    <row r="4219" ht="14.25" customHeight="1">
      <c r="B4219" s="101"/>
    </row>
    <row r="4220" ht="14.25" customHeight="1">
      <c r="B4220" s="101"/>
    </row>
    <row r="4221" ht="14.25" customHeight="1">
      <c r="B4221" s="101"/>
    </row>
    <row r="4222" ht="14.25" customHeight="1">
      <c r="B4222" s="101"/>
    </row>
    <row r="4223" ht="14.25" customHeight="1">
      <c r="B4223" s="101"/>
    </row>
    <row r="4224" ht="14.25" customHeight="1">
      <c r="B4224" s="101"/>
    </row>
    <row r="4225" ht="14.25" customHeight="1">
      <c r="B4225" s="101"/>
    </row>
    <row r="4226" ht="14.25" customHeight="1">
      <c r="B4226" s="101"/>
    </row>
    <row r="4227" ht="14.25" customHeight="1">
      <c r="B4227" s="101"/>
    </row>
    <row r="4228" ht="14.25" customHeight="1">
      <c r="B4228" s="101"/>
    </row>
    <row r="4229" ht="14.25" customHeight="1">
      <c r="B4229" s="101"/>
    </row>
    <row r="4230" ht="14.25" customHeight="1">
      <c r="B4230" s="101"/>
    </row>
    <row r="4231" ht="14.25" customHeight="1">
      <c r="B4231" s="101"/>
    </row>
    <row r="4232" ht="14.25" customHeight="1">
      <c r="B4232" s="101"/>
    </row>
    <row r="4233" ht="14.25" customHeight="1">
      <c r="B4233" s="101"/>
    </row>
    <row r="4234" ht="14.25" customHeight="1">
      <c r="B4234" s="101"/>
    </row>
    <row r="4235" ht="14.25" customHeight="1">
      <c r="B4235" s="101"/>
    </row>
    <row r="4236" ht="14.25" customHeight="1">
      <c r="B4236" s="101"/>
    </row>
    <row r="4237" ht="14.25" customHeight="1">
      <c r="B4237" s="101"/>
    </row>
    <row r="4238" ht="14.25" customHeight="1">
      <c r="B4238" s="101"/>
    </row>
    <row r="4239" ht="14.25" customHeight="1">
      <c r="B4239" s="101"/>
    </row>
    <row r="4240" ht="14.25" customHeight="1">
      <c r="B4240" s="101"/>
    </row>
    <row r="4241" ht="14.25" customHeight="1">
      <c r="B4241" s="101"/>
    </row>
    <row r="4242" ht="14.25" customHeight="1">
      <c r="B4242" s="101"/>
    </row>
    <row r="4243" ht="14.25" customHeight="1">
      <c r="B4243" s="101"/>
    </row>
    <row r="4244" ht="14.25" customHeight="1">
      <c r="B4244" s="101"/>
    </row>
    <row r="4245" ht="14.25" customHeight="1">
      <c r="B4245" s="101"/>
    </row>
    <row r="4246" ht="14.25" customHeight="1">
      <c r="B4246" s="101"/>
    </row>
    <row r="4247" ht="14.25" customHeight="1">
      <c r="B4247" s="101"/>
    </row>
    <row r="4248" ht="14.25" customHeight="1">
      <c r="B4248" s="101"/>
    </row>
    <row r="4249" ht="14.25" customHeight="1">
      <c r="B4249" s="101"/>
    </row>
    <row r="4250" ht="14.25" customHeight="1">
      <c r="B4250" s="101"/>
    </row>
    <row r="4251" ht="14.25" customHeight="1">
      <c r="B4251" s="101"/>
    </row>
    <row r="4252" ht="14.25" customHeight="1">
      <c r="B4252" s="101"/>
    </row>
    <row r="4253" ht="14.25" customHeight="1">
      <c r="B4253" s="101"/>
    </row>
    <row r="4254" ht="14.25" customHeight="1">
      <c r="B4254" s="101"/>
    </row>
    <row r="4255" ht="14.25" customHeight="1">
      <c r="B4255" s="101"/>
    </row>
    <row r="4256" ht="14.25" customHeight="1">
      <c r="B4256" s="101"/>
    </row>
    <row r="4257" ht="14.25" customHeight="1">
      <c r="B4257" s="101"/>
    </row>
    <row r="4258" ht="14.25" customHeight="1">
      <c r="B4258" s="101"/>
    </row>
    <row r="4259" ht="14.25" customHeight="1">
      <c r="B4259" s="101"/>
    </row>
    <row r="4260" ht="14.25" customHeight="1">
      <c r="B4260" s="101"/>
    </row>
    <row r="4261" ht="14.25" customHeight="1">
      <c r="B4261" s="101"/>
    </row>
    <row r="4262" ht="14.25" customHeight="1">
      <c r="B4262" s="101"/>
    </row>
    <row r="4263" ht="14.25" customHeight="1">
      <c r="B4263" s="101"/>
    </row>
    <row r="4264" ht="14.25" customHeight="1">
      <c r="B4264" s="101"/>
    </row>
    <row r="4265" ht="14.25" customHeight="1">
      <c r="B4265" s="101"/>
    </row>
    <row r="4266" ht="14.25" customHeight="1">
      <c r="B4266" s="101"/>
    </row>
    <row r="4267" ht="14.25" customHeight="1">
      <c r="B4267" s="101"/>
    </row>
    <row r="4268" ht="14.25" customHeight="1">
      <c r="B4268" s="101"/>
    </row>
    <row r="4269" ht="14.25" customHeight="1">
      <c r="B4269" s="101"/>
    </row>
    <row r="4270" ht="14.25" customHeight="1">
      <c r="B4270" s="101"/>
    </row>
    <row r="4271" ht="14.25" customHeight="1">
      <c r="B4271" s="101"/>
    </row>
    <row r="4272" ht="14.25" customHeight="1">
      <c r="B4272" s="101"/>
    </row>
    <row r="4273" ht="14.25" customHeight="1">
      <c r="B4273" s="101"/>
    </row>
    <row r="4274" ht="14.25" customHeight="1">
      <c r="B4274" s="101"/>
    </row>
    <row r="4275" ht="14.25" customHeight="1">
      <c r="B4275" s="101"/>
    </row>
    <row r="4276" ht="14.25" customHeight="1">
      <c r="B4276" s="101"/>
    </row>
    <row r="4277" ht="14.25" customHeight="1">
      <c r="B4277" s="101"/>
    </row>
    <row r="4278" ht="14.25" customHeight="1">
      <c r="B4278" s="101"/>
    </row>
    <row r="4279" ht="14.25" customHeight="1">
      <c r="B4279" s="101"/>
    </row>
    <row r="4280" ht="14.25" customHeight="1">
      <c r="B4280" s="101"/>
    </row>
    <row r="4281" ht="14.25" customHeight="1">
      <c r="B4281" s="101"/>
    </row>
    <row r="4282" ht="14.25" customHeight="1">
      <c r="B4282" s="101"/>
    </row>
    <row r="4283" ht="14.25" customHeight="1">
      <c r="B4283" s="101"/>
    </row>
    <row r="4284" ht="14.25" customHeight="1">
      <c r="B4284" s="101"/>
    </row>
    <row r="4285" ht="14.25" customHeight="1">
      <c r="B4285" s="101"/>
    </row>
    <row r="4286" ht="14.25" customHeight="1">
      <c r="B4286" s="101"/>
    </row>
    <row r="4287" ht="14.25" customHeight="1">
      <c r="B4287" s="101"/>
    </row>
    <row r="4288" ht="14.25" customHeight="1">
      <c r="B4288" s="101"/>
    </row>
    <row r="4289" ht="14.25" customHeight="1">
      <c r="B4289" s="101"/>
    </row>
    <row r="4290" ht="14.25" customHeight="1">
      <c r="B4290" s="101"/>
    </row>
    <row r="4291" ht="14.25" customHeight="1">
      <c r="B4291" s="101"/>
    </row>
    <row r="4292" ht="14.25" customHeight="1">
      <c r="B4292" s="101"/>
    </row>
    <row r="4293" ht="14.25" customHeight="1">
      <c r="B4293" s="101"/>
    </row>
    <row r="4294" ht="14.25" customHeight="1">
      <c r="B4294" s="101"/>
    </row>
    <row r="4295" ht="14.25" customHeight="1">
      <c r="B4295" s="101"/>
    </row>
    <row r="4296" ht="14.25" customHeight="1">
      <c r="B4296" s="101"/>
    </row>
    <row r="4297" ht="14.25" customHeight="1">
      <c r="B4297" s="101"/>
    </row>
    <row r="4298" ht="14.25" customHeight="1">
      <c r="B4298" s="101"/>
    </row>
    <row r="4299" ht="14.25" customHeight="1">
      <c r="B4299" s="101"/>
    </row>
    <row r="4300" ht="14.25" customHeight="1">
      <c r="B4300" s="101"/>
    </row>
    <row r="4301" ht="14.25" customHeight="1">
      <c r="B4301" s="101"/>
    </row>
    <row r="4302" ht="14.25" customHeight="1">
      <c r="B4302" s="101"/>
    </row>
    <row r="4303" ht="14.25" customHeight="1">
      <c r="B4303" s="101"/>
    </row>
    <row r="4304" ht="14.25" customHeight="1">
      <c r="B4304" s="101"/>
    </row>
    <row r="4305" ht="14.25" customHeight="1">
      <c r="B4305" s="101"/>
    </row>
    <row r="4306" ht="14.25" customHeight="1">
      <c r="B4306" s="101"/>
    </row>
    <row r="4307" ht="14.25" customHeight="1">
      <c r="B4307" s="101"/>
    </row>
    <row r="4308" ht="14.25" customHeight="1">
      <c r="B4308" s="101"/>
    </row>
    <row r="4309" ht="14.25" customHeight="1">
      <c r="B4309" s="101"/>
    </row>
    <row r="4310" ht="14.25" customHeight="1">
      <c r="B4310" s="101"/>
    </row>
    <row r="4311" ht="14.25" customHeight="1">
      <c r="B4311" s="101"/>
    </row>
    <row r="4312" ht="14.25" customHeight="1">
      <c r="B4312" s="101"/>
    </row>
    <row r="4313" ht="14.25" customHeight="1">
      <c r="B4313" s="101"/>
    </row>
    <row r="4314" ht="14.25" customHeight="1">
      <c r="B4314" s="101"/>
    </row>
    <row r="4315" ht="14.25" customHeight="1">
      <c r="B4315" s="101"/>
    </row>
    <row r="4316" ht="14.25" customHeight="1">
      <c r="B4316" s="101"/>
    </row>
    <row r="4317" ht="14.25" customHeight="1">
      <c r="B4317" s="101"/>
    </row>
    <row r="4318" ht="14.25" customHeight="1">
      <c r="B4318" s="101"/>
    </row>
    <row r="4319" ht="14.25" customHeight="1">
      <c r="B4319" s="101"/>
    </row>
    <row r="4320" ht="14.25" customHeight="1">
      <c r="B4320" s="101"/>
    </row>
    <row r="4321" ht="14.25" customHeight="1">
      <c r="B4321" s="101"/>
    </row>
    <row r="4322" ht="14.25" customHeight="1">
      <c r="B4322" s="101"/>
    </row>
    <row r="4323" ht="14.25" customHeight="1">
      <c r="B4323" s="101"/>
    </row>
    <row r="4324" ht="14.25" customHeight="1">
      <c r="B4324" s="101"/>
    </row>
    <row r="4325" ht="14.25" customHeight="1">
      <c r="B4325" s="101"/>
    </row>
    <row r="4326" ht="14.25" customHeight="1">
      <c r="B4326" s="101"/>
    </row>
    <row r="4327" ht="14.25" customHeight="1">
      <c r="B4327" s="101"/>
    </row>
    <row r="4328" ht="14.25" customHeight="1">
      <c r="B4328" s="101"/>
    </row>
    <row r="4329" ht="14.25" customHeight="1">
      <c r="B4329" s="101"/>
    </row>
    <row r="4330" ht="14.25" customHeight="1">
      <c r="B4330" s="101"/>
    </row>
    <row r="4331" ht="14.25" customHeight="1">
      <c r="B4331" s="101"/>
    </row>
    <row r="4332" ht="14.25" customHeight="1">
      <c r="B4332" s="101"/>
    </row>
    <row r="4333" ht="14.25" customHeight="1">
      <c r="B4333" s="101"/>
    </row>
    <row r="4334" ht="14.25" customHeight="1">
      <c r="B4334" s="101"/>
    </row>
    <row r="4335" ht="14.25" customHeight="1">
      <c r="B4335" s="101"/>
    </row>
    <row r="4336" ht="14.25" customHeight="1">
      <c r="B4336" s="101"/>
    </row>
    <row r="4337" ht="14.25" customHeight="1">
      <c r="B4337" s="101"/>
    </row>
    <row r="4338" ht="14.25" customHeight="1">
      <c r="B4338" s="101"/>
    </row>
    <row r="4339" ht="14.25" customHeight="1">
      <c r="B4339" s="101"/>
    </row>
    <row r="4340" ht="14.25" customHeight="1">
      <c r="B4340" s="101"/>
    </row>
    <row r="4341" ht="14.25" customHeight="1">
      <c r="B4341" s="101"/>
    </row>
    <row r="4342" ht="14.25" customHeight="1">
      <c r="B4342" s="101"/>
    </row>
    <row r="4343" ht="14.25" customHeight="1">
      <c r="B4343" s="101"/>
    </row>
    <row r="4344" ht="14.25" customHeight="1">
      <c r="B4344" s="101"/>
    </row>
    <row r="4345" ht="14.25" customHeight="1">
      <c r="B4345" s="101"/>
    </row>
    <row r="4346" ht="14.25" customHeight="1">
      <c r="B4346" s="101"/>
    </row>
    <row r="4347" ht="14.25" customHeight="1">
      <c r="B4347" s="101"/>
    </row>
    <row r="4348" ht="14.25" customHeight="1">
      <c r="B4348" s="101"/>
    </row>
    <row r="4349" ht="14.25" customHeight="1">
      <c r="B4349" s="101"/>
    </row>
    <row r="4350" ht="14.25" customHeight="1">
      <c r="B4350" s="101"/>
    </row>
    <row r="4351" ht="14.25" customHeight="1">
      <c r="B4351" s="101"/>
    </row>
    <row r="4352" ht="14.25" customHeight="1">
      <c r="B4352" s="101"/>
    </row>
    <row r="4353" ht="14.25" customHeight="1">
      <c r="B4353" s="101"/>
    </row>
    <row r="4354" ht="14.25" customHeight="1">
      <c r="B4354" s="101"/>
    </row>
    <row r="4355" ht="14.25" customHeight="1">
      <c r="B4355" s="101"/>
    </row>
    <row r="4356" ht="14.25" customHeight="1">
      <c r="B4356" s="101"/>
    </row>
    <row r="4357" ht="14.25" customHeight="1">
      <c r="B4357" s="101"/>
    </row>
    <row r="4358" ht="14.25" customHeight="1">
      <c r="B4358" s="101"/>
    </row>
    <row r="4359" ht="14.25" customHeight="1">
      <c r="B4359" s="101"/>
    </row>
    <row r="4360" ht="14.25" customHeight="1">
      <c r="B4360" s="101"/>
    </row>
    <row r="4361" ht="14.25" customHeight="1">
      <c r="B4361" s="101"/>
    </row>
    <row r="4362" ht="14.25" customHeight="1">
      <c r="B4362" s="101"/>
    </row>
    <row r="4363" ht="14.25" customHeight="1">
      <c r="B4363" s="101"/>
    </row>
    <row r="4364" ht="14.25" customHeight="1">
      <c r="B4364" s="101"/>
    </row>
    <row r="4365" ht="14.25" customHeight="1">
      <c r="B4365" s="101"/>
    </row>
    <row r="4366" ht="14.25" customHeight="1">
      <c r="B4366" s="101"/>
    </row>
    <row r="4367" ht="14.25" customHeight="1">
      <c r="B4367" s="101"/>
    </row>
    <row r="4368" ht="14.25" customHeight="1">
      <c r="B4368" s="101"/>
    </row>
    <row r="4369" ht="14.25" customHeight="1">
      <c r="B4369" s="101"/>
    </row>
    <row r="4370" ht="14.25" customHeight="1">
      <c r="B4370" s="101"/>
    </row>
    <row r="4371" ht="14.25" customHeight="1">
      <c r="B4371" s="101"/>
    </row>
    <row r="4372" ht="14.25" customHeight="1">
      <c r="B4372" s="101"/>
    </row>
    <row r="4373" ht="14.25" customHeight="1">
      <c r="B4373" s="101"/>
    </row>
    <row r="4374" ht="14.25" customHeight="1">
      <c r="B4374" s="101"/>
    </row>
    <row r="4375" ht="14.25" customHeight="1">
      <c r="B4375" s="101"/>
    </row>
    <row r="4376" ht="14.25" customHeight="1">
      <c r="B4376" s="101"/>
    </row>
    <row r="4377" ht="14.25" customHeight="1">
      <c r="B4377" s="101"/>
    </row>
    <row r="4378" ht="14.25" customHeight="1">
      <c r="B4378" s="101"/>
    </row>
    <row r="4379" ht="14.25" customHeight="1">
      <c r="B4379" s="101"/>
    </row>
    <row r="4380" ht="14.25" customHeight="1">
      <c r="B4380" s="101"/>
    </row>
    <row r="4381" ht="14.25" customHeight="1">
      <c r="B4381" s="101"/>
    </row>
    <row r="4382" ht="14.25" customHeight="1">
      <c r="B4382" s="101"/>
    </row>
    <row r="4383" ht="14.25" customHeight="1">
      <c r="B4383" s="101"/>
    </row>
    <row r="4384" ht="14.25" customHeight="1">
      <c r="B4384" s="101"/>
    </row>
    <row r="4385" ht="14.25" customHeight="1">
      <c r="B4385" s="101"/>
    </row>
    <row r="4386" ht="14.25" customHeight="1">
      <c r="B4386" s="101"/>
    </row>
    <row r="4387" ht="14.25" customHeight="1">
      <c r="B4387" s="101"/>
    </row>
    <row r="4388" ht="14.25" customHeight="1">
      <c r="B4388" s="101"/>
    </row>
    <row r="4389" ht="14.25" customHeight="1">
      <c r="B4389" s="101"/>
    </row>
    <row r="4390" ht="14.25" customHeight="1">
      <c r="B4390" s="101"/>
    </row>
    <row r="4391" ht="14.25" customHeight="1">
      <c r="B4391" s="101"/>
    </row>
    <row r="4392" ht="14.25" customHeight="1">
      <c r="B4392" s="101"/>
    </row>
    <row r="4393" ht="14.25" customHeight="1">
      <c r="B4393" s="101"/>
    </row>
    <row r="4394" ht="14.25" customHeight="1">
      <c r="B4394" s="101"/>
    </row>
    <row r="4395" ht="14.25" customHeight="1">
      <c r="B4395" s="101"/>
    </row>
    <row r="4396" ht="14.25" customHeight="1">
      <c r="B4396" s="101"/>
    </row>
    <row r="4397" ht="14.25" customHeight="1">
      <c r="B4397" s="101"/>
    </row>
    <row r="4398" ht="14.25" customHeight="1">
      <c r="B4398" s="101"/>
    </row>
    <row r="4399" ht="14.25" customHeight="1">
      <c r="B4399" s="101"/>
    </row>
    <row r="4400" ht="14.25" customHeight="1">
      <c r="B4400" s="101"/>
    </row>
    <row r="4401" ht="14.25" customHeight="1">
      <c r="B4401" s="101"/>
    </row>
    <row r="4402" ht="14.25" customHeight="1">
      <c r="B4402" s="101"/>
    </row>
    <row r="4403" ht="14.25" customHeight="1">
      <c r="B4403" s="101"/>
    </row>
    <row r="4404" ht="14.25" customHeight="1">
      <c r="B4404" s="101"/>
    </row>
    <row r="4405" ht="14.25" customHeight="1">
      <c r="B4405" s="101"/>
    </row>
    <row r="4406" ht="14.25" customHeight="1">
      <c r="B4406" s="101"/>
    </row>
    <row r="4407" ht="14.25" customHeight="1">
      <c r="B4407" s="101"/>
    </row>
    <row r="4408" ht="14.25" customHeight="1">
      <c r="B4408" s="101"/>
    </row>
    <row r="4409" ht="14.25" customHeight="1">
      <c r="B4409" s="101"/>
    </row>
    <row r="4410" ht="14.25" customHeight="1">
      <c r="B4410" s="101"/>
    </row>
    <row r="4411" ht="14.25" customHeight="1">
      <c r="B4411" s="101"/>
    </row>
    <row r="4412" ht="14.25" customHeight="1">
      <c r="B4412" s="101"/>
    </row>
    <row r="4413" ht="14.25" customHeight="1">
      <c r="B4413" s="101"/>
    </row>
    <row r="4414" ht="14.25" customHeight="1">
      <c r="B4414" s="101"/>
    </row>
    <row r="4415" ht="14.25" customHeight="1">
      <c r="B4415" s="101"/>
    </row>
    <row r="4416" ht="14.25" customHeight="1">
      <c r="B4416" s="101"/>
    </row>
    <row r="4417" ht="14.25" customHeight="1">
      <c r="B4417" s="101"/>
    </row>
    <row r="4418" ht="14.25" customHeight="1">
      <c r="B4418" s="101"/>
    </row>
    <row r="4419" ht="14.25" customHeight="1">
      <c r="B4419" s="101"/>
    </row>
    <row r="4420" ht="14.25" customHeight="1">
      <c r="B4420" s="101"/>
    </row>
    <row r="4421" ht="14.25" customHeight="1">
      <c r="B4421" s="101"/>
    </row>
    <row r="4422" ht="14.25" customHeight="1">
      <c r="B4422" s="101"/>
    </row>
    <row r="4423" ht="14.25" customHeight="1">
      <c r="B4423" s="101"/>
    </row>
    <row r="4424" ht="14.25" customHeight="1">
      <c r="B4424" s="101"/>
    </row>
    <row r="4425" ht="14.25" customHeight="1">
      <c r="B4425" s="101"/>
    </row>
    <row r="4426" ht="14.25" customHeight="1">
      <c r="B4426" s="101"/>
    </row>
    <row r="4427" ht="14.25" customHeight="1">
      <c r="B4427" s="101"/>
    </row>
    <row r="4428" ht="14.25" customHeight="1">
      <c r="B4428" s="101"/>
    </row>
    <row r="4429" ht="14.25" customHeight="1">
      <c r="B4429" s="101"/>
    </row>
    <row r="4430" ht="14.25" customHeight="1">
      <c r="B4430" s="101"/>
    </row>
    <row r="4431" ht="14.25" customHeight="1">
      <c r="B4431" s="101"/>
    </row>
    <row r="4432" ht="14.25" customHeight="1">
      <c r="B4432" s="101"/>
    </row>
    <row r="4433" ht="14.25" customHeight="1">
      <c r="B4433" s="101"/>
    </row>
    <row r="4434" ht="14.25" customHeight="1">
      <c r="B4434" s="101"/>
    </row>
    <row r="4435" ht="14.25" customHeight="1">
      <c r="B4435" s="101"/>
    </row>
    <row r="4436" ht="14.25" customHeight="1">
      <c r="B4436" s="101"/>
    </row>
    <row r="4437" ht="14.25" customHeight="1">
      <c r="B4437" s="101"/>
    </row>
    <row r="4438" ht="14.25" customHeight="1">
      <c r="B4438" s="101"/>
    </row>
    <row r="4439" ht="14.25" customHeight="1">
      <c r="B4439" s="101"/>
    </row>
    <row r="4440" ht="14.25" customHeight="1">
      <c r="B4440" s="101"/>
    </row>
    <row r="4441" ht="14.25" customHeight="1">
      <c r="B4441" s="101"/>
    </row>
    <row r="4442" ht="14.25" customHeight="1">
      <c r="B4442" s="101"/>
    </row>
    <row r="4443" ht="14.25" customHeight="1">
      <c r="B4443" s="101"/>
    </row>
    <row r="4444" ht="14.25" customHeight="1">
      <c r="B4444" s="101"/>
    </row>
    <row r="4445" ht="14.25" customHeight="1">
      <c r="B4445" s="101"/>
    </row>
    <row r="4446" ht="14.25" customHeight="1">
      <c r="B4446" s="101"/>
    </row>
    <row r="4447" ht="14.25" customHeight="1">
      <c r="B4447" s="101"/>
    </row>
    <row r="4448" ht="14.25" customHeight="1">
      <c r="B4448" s="101"/>
    </row>
    <row r="4449" ht="14.25" customHeight="1">
      <c r="B4449" s="101"/>
    </row>
    <row r="4450" ht="14.25" customHeight="1">
      <c r="B4450" s="101"/>
    </row>
    <row r="4451" ht="14.25" customHeight="1">
      <c r="B4451" s="101"/>
    </row>
    <row r="4452" ht="14.25" customHeight="1">
      <c r="B4452" s="101"/>
    </row>
    <row r="4453" ht="14.25" customHeight="1">
      <c r="B4453" s="101"/>
    </row>
    <row r="4454" ht="14.25" customHeight="1">
      <c r="B4454" s="101"/>
    </row>
    <row r="4455" ht="14.25" customHeight="1">
      <c r="B4455" s="101"/>
    </row>
    <row r="4456" ht="14.25" customHeight="1">
      <c r="B4456" s="101"/>
    </row>
    <row r="4457" ht="14.25" customHeight="1">
      <c r="B4457" s="101"/>
    </row>
    <row r="4458" ht="14.25" customHeight="1">
      <c r="B4458" s="101"/>
    </row>
    <row r="4459" ht="14.25" customHeight="1">
      <c r="B4459" s="101"/>
    </row>
    <row r="4460" ht="14.25" customHeight="1">
      <c r="B4460" s="101"/>
    </row>
    <row r="4461" ht="14.25" customHeight="1">
      <c r="B4461" s="101"/>
    </row>
    <row r="4462" ht="14.25" customHeight="1">
      <c r="B4462" s="101"/>
    </row>
    <row r="4463" ht="14.25" customHeight="1">
      <c r="B4463" s="101"/>
    </row>
    <row r="4464" ht="14.25" customHeight="1">
      <c r="B4464" s="101"/>
    </row>
    <row r="4465" ht="14.25" customHeight="1">
      <c r="B4465" s="101"/>
    </row>
    <row r="4466" ht="14.25" customHeight="1">
      <c r="B4466" s="101"/>
    </row>
    <row r="4467" ht="14.25" customHeight="1">
      <c r="B4467" s="101"/>
    </row>
    <row r="4468" ht="14.25" customHeight="1">
      <c r="B4468" s="101"/>
    </row>
    <row r="4469" ht="14.25" customHeight="1">
      <c r="B4469" s="101"/>
    </row>
    <row r="4470" ht="14.25" customHeight="1">
      <c r="B4470" s="101"/>
    </row>
    <row r="4471" ht="14.25" customHeight="1">
      <c r="B4471" s="101"/>
    </row>
    <row r="4472" ht="14.25" customHeight="1">
      <c r="B4472" s="101"/>
    </row>
    <row r="4473" ht="14.25" customHeight="1">
      <c r="B4473" s="101"/>
    </row>
    <row r="4474" ht="14.25" customHeight="1">
      <c r="B4474" s="101"/>
    </row>
    <row r="4475" ht="14.25" customHeight="1">
      <c r="B4475" s="101"/>
    </row>
    <row r="4476" ht="14.25" customHeight="1">
      <c r="B4476" s="101"/>
    </row>
    <row r="4477" ht="14.25" customHeight="1">
      <c r="B4477" s="101"/>
    </row>
    <row r="4478" ht="14.25" customHeight="1">
      <c r="B4478" s="101"/>
    </row>
    <row r="4479" ht="14.25" customHeight="1">
      <c r="B4479" s="101"/>
    </row>
    <row r="4480" ht="14.25" customHeight="1">
      <c r="B4480" s="101"/>
    </row>
    <row r="4481" ht="14.25" customHeight="1">
      <c r="B4481" s="101"/>
    </row>
    <row r="4482" ht="14.25" customHeight="1">
      <c r="B4482" s="101"/>
    </row>
    <row r="4483" ht="14.25" customHeight="1">
      <c r="B4483" s="101"/>
    </row>
    <row r="4484" ht="14.25" customHeight="1">
      <c r="B4484" s="101"/>
    </row>
    <row r="4485" ht="14.25" customHeight="1">
      <c r="B4485" s="101"/>
    </row>
    <row r="4486" ht="14.25" customHeight="1">
      <c r="B4486" s="101"/>
    </row>
    <row r="4487" ht="14.25" customHeight="1">
      <c r="B4487" s="101"/>
    </row>
    <row r="4488" ht="14.25" customHeight="1">
      <c r="B4488" s="101"/>
    </row>
    <row r="4489" ht="14.25" customHeight="1">
      <c r="B4489" s="101"/>
    </row>
    <row r="4490" ht="14.25" customHeight="1">
      <c r="B4490" s="101"/>
    </row>
    <row r="4491" ht="14.25" customHeight="1">
      <c r="B4491" s="101"/>
    </row>
    <row r="4492" ht="14.25" customHeight="1">
      <c r="B4492" s="101"/>
    </row>
    <row r="4493" ht="14.25" customHeight="1">
      <c r="B4493" s="101"/>
    </row>
    <row r="4494" ht="14.25" customHeight="1">
      <c r="B4494" s="101"/>
    </row>
    <row r="4495" ht="14.25" customHeight="1">
      <c r="B4495" s="101"/>
    </row>
    <row r="4496" ht="14.25" customHeight="1">
      <c r="B4496" s="101"/>
    </row>
    <row r="4497" ht="14.25" customHeight="1">
      <c r="B4497" s="101"/>
    </row>
    <row r="4498" ht="14.25" customHeight="1">
      <c r="B4498" s="101"/>
    </row>
    <row r="4499" ht="14.25" customHeight="1">
      <c r="B4499" s="101"/>
    </row>
    <row r="4500" ht="14.25" customHeight="1">
      <c r="B4500" s="101"/>
    </row>
    <row r="4501" ht="14.25" customHeight="1">
      <c r="B4501" s="101"/>
    </row>
    <row r="4502" ht="14.25" customHeight="1">
      <c r="B4502" s="101"/>
    </row>
    <row r="4503" ht="14.25" customHeight="1">
      <c r="B4503" s="101"/>
    </row>
    <row r="4504" ht="14.25" customHeight="1">
      <c r="B4504" s="101"/>
    </row>
    <row r="4505" ht="14.25" customHeight="1">
      <c r="B4505" s="101"/>
    </row>
    <row r="4506" ht="14.25" customHeight="1">
      <c r="B4506" s="101"/>
    </row>
    <row r="4507" ht="14.25" customHeight="1">
      <c r="B4507" s="101"/>
    </row>
    <row r="4508" ht="14.25" customHeight="1">
      <c r="B4508" s="101"/>
    </row>
    <row r="4509" ht="14.25" customHeight="1">
      <c r="B4509" s="101"/>
    </row>
    <row r="4510" ht="14.25" customHeight="1">
      <c r="B4510" s="101"/>
    </row>
    <row r="4511" ht="14.25" customHeight="1">
      <c r="B4511" s="101"/>
    </row>
    <row r="4512" ht="14.25" customHeight="1">
      <c r="B4512" s="101"/>
    </row>
    <row r="4513" ht="14.25" customHeight="1">
      <c r="B4513" s="101"/>
    </row>
    <row r="4514" ht="14.25" customHeight="1">
      <c r="B4514" s="101"/>
    </row>
    <row r="4515" ht="14.25" customHeight="1">
      <c r="B4515" s="101"/>
    </row>
    <row r="4516" ht="14.25" customHeight="1">
      <c r="B4516" s="101"/>
    </row>
    <row r="4517" ht="14.25" customHeight="1">
      <c r="B4517" s="101"/>
    </row>
    <row r="4518" ht="14.25" customHeight="1">
      <c r="B4518" s="101"/>
    </row>
    <row r="4519" ht="14.25" customHeight="1">
      <c r="B4519" s="101"/>
    </row>
    <row r="4520" ht="14.25" customHeight="1">
      <c r="B4520" s="101"/>
    </row>
    <row r="4521" ht="14.25" customHeight="1">
      <c r="B4521" s="101"/>
    </row>
    <row r="4522" ht="14.25" customHeight="1">
      <c r="B4522" s="101"/>
    </row>
    <row r="4523" ht="14.25" customHeight="1">
      <c r="B4523" s="101"/>
    </row>
    <row r="4524" ht="14.25" customHeight="1">
      <c r="B4524" s="101"/>
    </row>
    <row r="4525" ht="14.25" customHeight="1">
      <c r="B4525" s="101"/>
    </row>
    <row r="4526" ht="14.25" customHeight="1">
      <c r="B4526" s="101"/>
    </row>
    <row r="4527" ht="14.25" customHeight="1">
      <c r="B4527" s="101"/>
    </row>
    <row r="4528" ht="14.25" customHeight="1">
      <c r="B4528" s="101"/>
    </row>
    <row r="4529" ht="14.25" customHeight="1">
      <c r="B4529" s="101"/>
    </row>
    <row r="4530" ht="14.25" customHeight="1">
      <c r="B4530" s="101"/>
    </row>
    <row r="4531" ht="14.25" customHeight="1">
      <c r="B4531" s="101"/>
    </row>
    <row r="4532" ht="14.25" customHeight="1">
      <c r="B4532" s="101"/>
    </row>
    <row r="4533" ht="14.25" customHeight="1">
      <c r="B4533" s="101"/>
    </row>
    <row r="4534" ht="14.25" customHeight="1">
      <c r="B4534" s="101"/>
    </row>
    <row r="4535" ht="14.25" customHeight="1">
      <c r="B4535" s="101"/>
    </row>
    <row r="4536" ht="14.25" customHeight="1">
      <c r="B4536" s="101"/>
    </row>
    <row r="4537" ht="14.25" customHeight="1">
      <c r="B4537" s="101"/>
    </row>
    <row r="4538" ht="14.25" customHeight="1">
      <c r="B4538" s="101"/>
    </row>
    <row r="4539" ht="14.25" customHeight="1">
      <c r="B4539" s="101"/>
    </row>
    <row r="4540" ht="14.25" customHeight="1">
      <c r="B4540" s="101"/>
    </row>
    <row r="4541" ht="14.25" customHeight="1">
      <c r="B4541" s="101"/>
    </row>
    <row r="4542" ht="14.25" customHeight="1">
      <c r="B4542" s="101"/>
    </row>
    <row r="4543" ht="14.25" customHeight="1">
      <c r="B4543" s="101"/>
    </row>
    <row r="4544" ht="14.25" customHeight="1">
      <c r="B4544" s="101"/>
    </row>
    <row r="4545" ht="14.25" customHeight="1">
      <c r="B4545" s="101"/>
    </row>
    <row r="4546" ht="14.25" customHeight="1">
      <c r="B4546" s="101"/>
    </row>
    <row r="4547" ht="14.25" customHeight="1">
      <c r="B4547" s="101"/>
    </row>
    <row r="4548" ht="14.25" customHeight="1">
      <c r="B4548" s="101"/>
    </row>
    <row r="4549" ht="14.25" customHeight="1">
      <c r="B4549" s="101"/>
    </row>
    <row r="4550" ht="14.25" customHeight="1">
      <c r="B4550" s="101"/>
    </row>
    <row r="4551" ht="14.25" customHeight="1">
      <c r="B4551" s="101"/>
    </row>
    <row r="4552" ht="14.25" customHeight="1">
      <c r="B4552" s="101"/>
    </row>
    <row r="4553" ht="14.25" customHeight="1">
      <c r="B4553" s="101"/>
    </row>
    <row r="4554" ht="14.25" customHeight="1">
      <c r="B4554" s="101"/>
    </row>
    <row r="4555" ht="14.25" customHeight="1">
      <c r="B4555" s="101"/>
    </row>
    <row r="4556" ht="14.25" customHeight="1">
      <c r="B4556" s="101"/>
    </row>
    <row r="4557" ht="14.25" customHeight="1">
      <c r="B4557" s="101"/>
    </row>
    <row r="4558" ht="14.25" customHeight="1">
      <c r="B4558" s="101"/>
    </row>
    <row r="4559" ht="14.25" customHeight="1">
      <c r="B4559" s="101"/>
    </row>
    <row r="4560" ht="14.25" customHeight="1">
      <c r="B4560" s="101"/>
    </row>
    <row r="4561" ht="14.25" customHeight="1">
      <c r="B4561" s="101"/>
    </row>
    <row r="4562" ht="14.25" customHeight="1">
      <c r="B4562" s="101"/>
    </row>
    <row r="4563" ht="14.25" customHeight="1">
      <c r="B4563" s="101"/>
    </row>
    <row r="4564" ht="14.25" customHeight="1">
      <c r="B4564" s="101"/>
    </row>
    <row r="4565" ht="14.25" customHeight="1">
      <c r="B4565" s="101"/>
    </row>
    <row r="4566" ht="14.25" customHeight="1">
      <c r="B4566" s="101"/>
    </row>
    <row r="4567" ht="14.25" customHeight="1">
      <c r="B4567" s="101"/>
    </row>
    <row r="4568" ht="14.25" customHeight="1">
      <c r="B4568" s="101"/>
    </row>
    <row r="4569" ht="14.25" customHeight="1">
      <c r="B4569" s="101"/>
    </row>
    <row r="4570" ht="14.25" customHeight="1">
      <c r="B4570" s="101"/>
    </row>
    <row r="4571" ht="14.25" customHeight="1">
      <c r="B4571" s="101"/>
    </row>
    <row r="4572" ht="14.25" customHeight="1">
      <c r="B4572" s="101"/>
    </row>
    <row r="4573" ht="14.25" customHeight="1">
      <c r="B4573" s="101"/>
    </row>
    <row r="4574" ht="14.25" customHeight="1">
      <c r="B4574" s="101"/>
    </row>
    <row r="4575" ht="14.25" customHeight="1">
      <c r="B4575" s="101"/>
    </row>
    <row r="4576" ht="14.25" customHeight="1">
      <c r="B4576" s="101"/>
    </row>
    <row r="4577" ht="14.25" customHeight="1">
      <c r="B4577" s="101"/>
    </row>
    <row r="4578" ht="14.25" customHeight="1">
      <c r="B4578" s="101"/>
    </row>
    <row r="4579" ht="14.25" customHeight="1">
      <c r="B4579" s="101"/>
    </row>
    <row r="4580" ht="14.25" customHeight="1">
      <c r="B4580" s="101"/>
    </row>
    <row r="4581" ht="14.25" customHeight="1">
      <c r="B4581" s="101"/>
    </row>
    <row r="4582" ht="14.25" customHeight="1">
      <c r="B4582" s="101"/>
    </row>
    <row r="4583" ht="14.25" customHeight="1">
      <c r="B4583" s="101"/>
    </row>
    <row r="4584" ht="14.25" customHeight="1">
      <c r="B4584" s="101"/>
    </row>
    <row r="4585" ht="14.25" customHeight="1">
      <c r="B4585" s="101"/>
    </row>
    <row r="4586" ht="14.25" customHeight="1">
      <c r="B4586" s="101"/>
    </row>
    <row r="4587" ht="14.25" customHeight="1">
      <c r="B4587" s="101"/>
    </row>
    <row r="4588" ht="14.25" customHeight="1">
      <c r="B4588" s="101"/>
    </row>
    <row r="4589" ht="14.25" customHeight="1">
      <c r="B4589" s="101"/>
    </row>
    <row r="4590" ht="14.25" customHeight="1">
      <c r="B4590" s="101"/>
    </row>
    <row r="4591" ht="14.25" customHeight="1">
      <c r="B4591" s="101"/>
    </row>
    <row r="4592" ht="14.25" customHeight="1">
      <c r="B4592" s="101"/>
    </row>
    <row r="4593" ht="14.25" customHeight="1">
      <c r="B4593" s="101"/>
    </row>
    <row r="4594" ht="14.25" customHeight="1">
      <c r="B4594" s="101"/>
    </row>
    <row r="4595" ht="14.25" customHeight="1">
      <c r="B4595" s="101"/>
    </row>
    <row r="4596" ht="14.25" customHeight="1">
      <c r="B4596" s="101"/>
    </row>
    <row r="4597" ht="14.25" customHeight="1">
      <c r="B4597" s="101"/>
    </row>
    <row r="4598" ht="14.25" customHeight="1">
      <c r="B4598" s="101"/>
    </row>
    <row r="4599" ht="14.25" customHeight="1">
      <c r="B4599" s="101"/>
    </row>
    <row r="4600" ht="14.25" customHeight="1">
      <c r="B4600" s="101"/>
    </row>
    <row r="4601" ht="14.25" customHeight="1">
      <c r="B4601" s="101"/>
    </row>
    <row r="4602" ht="14.25" customHeight="1">
      <c r="B4602" s="101"/>
    </row>
    <row r="4603" ht="14.25" customHeight="1">
      <c r="B4603" s="101"/>
    </row>
    <row r="4604" ht="14.25" customHeight="1">
      <c r="B4604" s="101"/>
    </row>
    <row r="4605" ht="14.25" customHeight="1">
      <c r="B4605" s="101"/>
    </row>
    <row r="4606" ht="14.25" customHeight="1">
      <c r="B4606" s="101"/>
    </row>
    <row r="4607" ht="14.25" customHeight="1">
      <c r="B4607" s="101"/>
    </row>
    <row r="4608" ht="14.25" customHeight="1">
      <c r="B4608" s="101"/>
    </row>
    <row r="4609" ht="14.25" customHeight="1">
      <c r="B4609" s="101"/>
    </row>
    <row r="4610" ht="14.25" customHeight="1">
      <c r="B4610" s="101"/>
    </row>
    <row r="4611" ht="14.25" customHeight="1">
      <c r="B4611" s="101"/>
    </row>
    <row r="4612" ht="14.25" customHeight="1">
      <c r="B4612" s="101"/>
    </row>
    <row r="4613" ht="14.25" customHeight="1">
      <c r="B4613" s="101"/>
    </row>
    <row r="4614" ht="14.25" customHeight="1">
      <c r="B4614" s="101"/>
    </row>
    <row r="4615" ht="14.25" customHeight="1">
      <c r="B4615" s="101"/>
    </row>
    <row r="4616" ht="14.25" customHeight="1">
      <c r="B4616" s="101"/>
    </row>
    <row r="4617" ht="14.25" customHeight="1">
      <c r="B4617" s="101"/>
    </row>
    <row r="4618" ht="14.25" customHeight="1">
      <c r="B4618" s="101"/>
    </row>
    <row r="4619" ht="14.25" customHeight="1">
      <c r="B4619" s="101"/>
    </row>
    <row r="4620" ht="14.25" customHeight="1">
      <c r="B4620" s="101"/>
    </row>
    <row r="4621" ht="14.25" customHeight="1">
      <c r="B4621" s="101"/>
    </row>
    <row r="4622" ht="14.25" customHeight="1">
      <c r="B4622" s="101"/>
    </row>
    <row r="4623" ht="14.25" customHeight="1">
      <c r="B4623" s="101"/>
    </row>
    <row r="4624" ht="14.25" customHeight="1">
      <c r="B4624" s="101"/>
    </row>
    <row r="4625" ht="14.25" customHeight="1">
      <c r="B4625" s="101"/>
    </row>
    <row r="4626" ht="14.25" customHeight="1">
      <c r="B4626" s="101"/>
    </row>
    <row r="4627" ht="14.25" customHeight="1">
      <c r="B4627" s="101"/>
    </row>
    <row r="4628" ht="14.25" customHeight="1">
      <c r="B4628" s="101"/>
    </row>
    <row r="4629" ht="14.25" customHeight="1">
      <c r="B4629" s="101"/>
    </row>
    <row r="4630" ht="14.25" customHeight="1">
      <c r="B4630" s="101"/>
    </row>
    <row r="4631" ht="14.25" customHeight="1">
      <c r="B4631" s="101"/>
    </row>
    <row r="4632" ht="14.25" customHeight="1">
      <c r="B4632" s="101"/>
    </row>
    <row r="4633" ht="14.25" customHeight="1">
      <c r="B4633" s="101"/>
    </row>
    <row r="4634" ht="14.25" customHeight="1">
      <c r="B4634" s="101"/>
    </row>
    <row r="4635" ht="14.25" customHeight="1">
      <c r="B4635" s="101"/>
    </row>
    <row r="4636" ht="14.25" customHeight="1">
      <c r="B4636" s="101"/>
    </row>
    <row r="4637" ht="14.25" customHeight="1">
      <c r="B4637" s="101"/>
    </row>
    <row r="4638" ht="14.25" customHeight="1">
      <c r="B4638" s="101"/>
    </row>
    <row r="4639" ht="14.25" customHeight="1">
      <c r="B4639" s="101"/>
    </row>
    <row r="4640" ht="14.25" customHeight="1">
      <c r="B4640" s="101"/>
    </row>
    <row r="4641" ht="14.25" customHeight="1">
      <c r="B4641" s="101"/>
    </row>
    <row r="4642" ht="14.25" customHeight="1">
      <c r="B4642" s="101"/>
    </row>
    <row r="4643" ht="14.25" customHeight="1">
      <c r="B4643" s="101"/>
    </row>
    <row r="4644" ht="14.25" customHeight="1">
      <c r="B4644" s="101"/>
    </row>
    <row r="4645" ht="14.25" customHeight="1">
      <c r="B4645" s="101"/>
    </row>
    <row r="4646" ht="14.25" customHeight="1">
      <c r="B4646" s="101"/>
    </row>
    <row r="4647" ht="14.25" customHeight="1">
      <c r="B4647" s="101"/>
    </row>
    <row r="4648" ht="14.25" customHeight="1">
      <c r="B4648" s="101"/>
    </row>
    <row r="4649" ht="14.25" customHeight="1">
      <c r="B4649" s="101"/>
    </row>
    <row r="4650" ht="14.25" customHeight="1">
      <c r="B4650" s="101"/>
    </row>
    <row r="4651" ht="14.25" customHeight="1">
      <c r="B4651" s="101"/>
    </row>
    <row r="4652" ht="14.25" customHeight="1">
      <c r="B4652" s="101"/>
    </row>
    <row r="4653" ht="14.25" customHeight="1">
      <c r="B4653" s="101"/>
    </row>
    <row r="4654" ht="14.25" customHeight="1">
      <c r="B4654" s="101"/>
    </row>
    <row r="4655" ht="14.25" customHeight="1">
      <c r="B4655" s="101"/>
    </row>
    <row r="4656" ht="14.25" customHeight="1">
      <c r="B4656" s="101"/>
    </row>
    <row r="4657" ht="14.25" customHeight="1">
      <c r="B4657" s="101"/>
    </row>
    <row r="4658" ht="14.25" customHeight="1">
      <c r="B4658" s="101"/>
    </row>
    <row r="4659" ht="14.25" customHeight="1">
      <c r="B4659" s="101"/>
    </row>
    <row r="4660" ht="14.25" customHeight="1">
      <c r="B4660" s="101"/>
    </row>
    <row r="4661" ht="14.25" customHeight="1">
      <c r="B4661" s="101"/>
    </row>
    <row r="4662" ht="14.25" customHeight="1">
      <c r="B4662" s="101"/>
    </row>
    <row r="4663" ht="14.25" customHeight="1">
      <c r="B4663" s="101"/>
    </row>
    <row r="4664" ht="14.25" customHeight="1">
      <c r="B4664" s="101"/>
    </row>
    <row r="4665" ht="14.25" customHeight="1">
      <c r="B4665" s="101"/>
    </row>
    <row r="4666" ht="14.25" customHeight="1">
      <c r="B4666" s="101"/>
    </row>
    <row r="4667" ht="14.25" customHeight="1">
      <c r="B4667" s="101"/>
    </row>
    <row r="4668" ht="14.25" customHeight="1">
      <c r="B4668" s="101"/>
    </row>
    <row r="4669" ht="14.25" customHeight="1">
      <c r="B4669" s="101"/>
    </row>
    <row r="4670" ht="14.25" customHeight="1">
      <c r="B4670" s="101"/>
    </row>
    <row r="4671" ht="14.25" customHeight="1">
      <c r="B4671" s="101"/>
    </row>
    <row r="4672" ht="14.25" customHeight="1">
      <c r="B4672" s="101"/>
    </row>
    <row r="4673" ht="14.25" customHeight="1">
      <c r="B4673" s="101"/>
    </row>
    <row r="4674" ht="14.25" customHeight="1">
      <c r="B4674" s="101"/>
    </row>
    <row r="4675" ht="14.25" customHeight="1">
      <c r="B4675" s="101"/>
    </row>
    <row r="4676" ht="14.25" customHeight="1">
      <c r="B4676" s="101"/>
    </row>
    <row r="4677" ht="14.25" customHeight="1">
      <c r="B4677" s="101"/>
    </row>
    <row r="4678" ht="14.25" customHeight="1">
      <c r="B4678" s="101"/>
    </row>
    <row r="4679" ht="14.25" customHeight="1">
      <c r="B4679" s="101"/>
    </row>
    <row r="4680" ht="14.25" customHeight="1">
      <c r="B4680" s="101"/>
    </row>
    <row r="4681" ht="14.25" customHeight="1">
      <c r="B4681" s="101"/>
    </row>
    <row r="4682" ht="14.25" customHeight="1">
      <c r="B4682" s="101"/>
    </row>
    <row r="4683" ht="14.25" customHeight="1">
      <c r="B4683" s="101"/>
    </row>
    <row r="4684" ht="14.25" customHeight="1">
      <c r="B4684" s="101"/>
    </row>
    <row r="4685" ht="14.25" customHeight="1">
      <c r="B4685" s="101"/>
    </row>
    <row r="4686" ht="14.25" customHeight="1">
      <c r="B4686" s="101"/>
    </row>
    <row r="4687" ht="14.25" customHeight="1">
      <c r="B4687" s="101"/>
    </row>
    <row r="4688" ht="14.25" customHeight="1">
      <c r="B4688" s="101"/>
    </row>
    <row r="4689" ht="14.25" customHeight="1">
      <c r="B4689" s="101"/>
    </row>
    <row r="4690" ht="14.25" customHeight="1">
      <c r="B4690" s="101"/>
    </row>
    <row r="4691" ht="14.25" customHeight="1">
      <c r="B4691" s="101"/>
    </row>
    <row r="4692" ht="14.25" customHeight="1">
      <c r="B4692" s="101"/>
    </row>
    <row r="4693" ht="14.25" customHeight="1">
      <c r="B4693" s="101"/>
    </row>
    <row r="4694" ht="14.25" customHeight="1">
      <c r="B4694" s="101"/>
    </row>
    <row r="4695" ht="14.25" customHeight="1">
      <c r="B4695" s="101"/>
    </row>
    <row r="4696" ht="14.25" customHeight="1">
      <c r="B4696" s="101"/>
    </row>
    <row r="4697" ht="14.25" customHeight="1">
      <c r="B4697" s="101"/>
    </row>
    <row r="4698" ht="14.25" customHeight="1">
      <c r="B4698" s="101"/>
    </row>
    <row r="4699" ht="14.25" customHeight="1">
      <c r="B4699" s="101"/>
    </row>
    <row r="4700" ht="14.25" customHeight="1">
      <c r="B4700" s="101"/>
    </row>
    <row r="4701" ht="14.25" customHeight="1">
      <c r="B4701" s="101"/>
    </row>
    <row r="4702" ht="14.25" customHeight="1">
      <c r="B4702" s="101"/>
    </row>
    <row r="4703" ht="14.25" customHeight="1">
      <c r="B4703" s="101"/>
    </row>
    <row r="4704" ht="14.25" customHeight="1">
      <c r="B4704" s="101"/>
    </row>
    <row r="4705" ht="14.25" customHeight="1">
      <c r="B4705" s="101"/>
    </row>
    <row r="4706" ht="14.25" customHeight="1">
      <c r="B4706" s="101"/>
    </row>
    <row r="4707" ht="14.25" customHeight="1">
      <c r="B4707" s="101"/>
    </row>
    <row r="4708" ht="14.25" customHeight="1">
      <c r="B4708" s="101"/>
    </row>
    <row r="4709" ht="14.25" customHeight="1">
      <c r="B4709" s="101"/>
    </row>
    <row r="4710" ht="14.25" customHeight="1">
      <c r="B4710" s="101"/>
    </row>
    <row r="4711" ht="14.25" customHeight="1">
      <c r="B4711" s="101"/>
    </row>
    <row r="4712" ht="14.25" customHeight="1">
      <c r="B4712" s="101"/>
    </row>
    <row r="4713" ht="14.25" customHeight="1">
      <c r="B4713" s="101"/>
    </row>
    <row r="4714" ht="14.25" customHeight="1">
      <c r="B4714" s="101"/>
    </row>
    <row r="4715" ht="14.25" customHeight="1">
      <c r="B4715" s="101"/>
    </row>
    <row r="4716" ht="14.25" customHeight="1">
      <c r="B4716" s="101"/>
    </row>
    <row r="4717" ht="14.25" customHeight="1">
      <c r="B4717" s="101"/>
    </row>
    <row r="4718" ht="14.25" customHeight="1">
      <c r="B4718" s="101"/>
    </row>
    <row r="4719" ht="14.25" customHeight="1">
      <c r="B4719" s="101"/>
    </row>
    <row r="4720" ht="14.25" customHeight="1">
      <c r="B4720" s="101"/>
    </row>
    <row r="4721" ht="14.25" customHeight="1">
      <c r="B4721" s="101"/>
    </row>
    <row r="4722" ht="14.25" customHeight="1">
      <c r="B4722" s="101"/>
    </row>
    <row r="4723" ht="14.25" customHeight="1">
      <c r="B4723" s="101"/>
    </row>
    <row r="4724" ht="14.25" customHeight="1">
      <c r="B4724" s="101"/>
    </row>
    <row r="4725" ht="14.25" customHeight="1">
      <c r="B4725" s="101"/>
    </row>
    <row r="4726" ht="14.25" customHeight="1">
      <c r="B4726" s="101"/>
    </row>
    <row r="4727" ht="14.25" customHeight="1">
      <c r="B4727" s="101"/>
    </row>
    <row r="4728" ht="14.25" customHeight="1">
      <c r="B4728" s="101"/>
    </row>
    <row r="4729" ht="14.25" customHeight="1">
      <c r="B4729" s="101"/>
    </row>
    <row r="4730" ht="14.25" customHeight="1">
      <c r="B4730" s="101"/>
    </row>
    <row r="4731" ht="14.25" customHeight="1">
      <c r="B4731" s="101"/>
    </row>
    <row r="4732" ht="14.25" customHeight="1">
      <c r="B4732" s="101"/>
    </row>
    <row r="4733" ht="14.25" customHeight="1">
      <c r="B4733" s="101"/>
    </row>
    <row r="4734" ht="14.25" customHeight="1">
      <c r="B4734" s="101"/>
    </row>
    <row r="4735" ht="14.25" customHeight="1">
      <c r="B4735" s="101"/>
    </row>
    <row r="4736" ht="14.25" customHeight="1">
      <c r="B4736" s="101"/>
    </row>
    <row r="4737" ht="14.25" customHeight="1">
      <c r="B4737" s="101"/>
    </row>
    <row r="4738" ht="14.25" customHeight="1">
      <c r="B4738" s="101"/>
    </row>
    <row r="4739" ht="14.25" customHeight="1">
      <c r="B4739" s="101"/>
    </row>
    <row r="4740" ht="14.25" customHeight="1">
      <c r="B4740" s="101"/>
    </row>
    <row r="4741" ht="14.25" customHeight="1">
      <c r="B4741" s="101"/>
    </row>
    <row r="4742" ht="14.25" customHeight="1">
      <c r="B4742" s="101"/>
    </row>
    <row r="4743" ht="14.25" customHeight="1">
      <c r="B4743" s="101"/>
    </row>
    <row r="4744" ht="14.25" customHeight="1">
      <c r="B4744" s="101"/>
    </row>
    <row r="4745" ht="14.25" customHeight="1">
      <c r="B4745" s="101"/>
    </row>
    <row r="4746" ht="14.25" customHeight="1">
      <c r="B4746" s="101"/>
    </row>
    <row r="4747" ht="14.25" customHeight="1">
      <c r="B4747" s="101"/>
    </row>
    <row r="4748" ht="14.25" customHeight="1">
      <c r="B4748" s="101"/>
    </row>
    <row r="4749" ht="14.25" customHeight="1">
      <c r="B4749" s="101"/>
    </row>
    <row r="4750" ht="14.25" customHeight="1">
      <c r="B4750" s="101"/>
    </row>
    <row r="4751" ht="14.25" customHeight="1">
      <c r="B4751" s="101"/>
    </row>
    <row r="4752" ht="14.25" customHeight="1">
      <c r="B4752" s="101"/>
    </row>
    <row r="4753" ht="14.25" customHeight="1">
      <c r="B4753" s="101"/>
    </row>
    <row r="4754" ht="14.25" customHeight="1">
      <c r="B4754" s="101"/>
    </row>
    <row r="4755" ht="14.25" customHeight="1">
      <c r="B4755" s="101"/>
    </row>
    <row r="4756" ht="14.25" customHeight="1">
      <c r="B4756" s="101"/>
    </row>
    <row r="4757" ht="14.25" customHeight="1">
      <c r="B4757" s="101"/>
    </row>
    <row r="4758" ht="14.25" customHeight="1">
      <c r="B4758" s="101"/>
    </row>
    <row r="4759" ht="14.25" customHeight="1">
      <c r="B4759" s="101"/>
    </row>
    <row r="4760" ht="14.25" customHeight="1">
      <c r="B4760" s="101"/>
    </row>
    <row r="4761" ht="14.25" customHeight="1">
      <c r="B4761" s="101"/>
    </row>
    <row r="4762" ht="14.25" customHeight="1">
      <c r="B4762" s="101"/>
    </row>
    <row r="4763" ht="14.25" customHeight="1">
      <c r="B4763" s="101"/>
    </row>
    <row r="4764" ht="14.25" customHeight="1">
      <c r="B4764" s="101"/>
    </row>
    <row r="4765" ht="14.25" customHeight="1">
      <c r="B4765" s="101"/>
    </row>
    <row r="4766" ht="14.25" customHeight="1">
      <c r="B4766" s="101"/>
    </row>
    <row r="4767" ht="14.25" customHeight="1">
      <c r="B4767" s="101"/>
    </row>
    <row r="4768" ht="14.25" customHeight="1">
      <c r="B4768" s="101"/>
    </row>
    <row r="4769" ht="14.25" customHeight="1">
      <c r="B4769" s="101"/>
    </row>
    <row r="4770" ht="14.25" customHeight="1">
      <c r="B4770" s="101"/>
    </row>
    <row r="4771" ht="14.25" customHeight="1">
      <c r="B4771" s="101"/>
    </row>
    <row r="4772" ht="14.25" customHeight="1">
      <c r="B4772" s="101"/>
    </row>
    <row r="4773" ht="14.25" customHeight="1">
      <c r="B4773" s="101"/>
    </row>
    <row r="4774" ht="14.25" customHeight="1">
      <c r="B4774" s="101"/>
    </row>
    <row r="4775" ht="14.25" customHeight="1">
      <c r="B4775" s="101"/>
    </row>
    <row r="4776" ht="14.25" customHeight="1">
      <c r="B4776" s="101"/>
    </row>
    <row r="4777" ht="14.25" customHeight="1">
      <c r="B4777" s="101"/>
    </row>
    <row r="4778" ht="14.25" customHeight="1">
      <c r="B4778" s="101"/>
    </row>
    <row r="4779" ht="14.25" customHeight="1">
      <c r="B4779" s="101"/>
    </row>
    <row r="4780" ht="14.25" customHeight="1">
      <c r="B4780" s="101"/>
    </row>
    <row r="4781" ht="14.25" customHeight="1">
      <c r="B4781" s="101"/>
    </row>
    <row r="4782" ht="14.25" customHeight="1">
      <c r="B4782" s="101"/>
    </row>
    <row r="4783" ht="14.25" customHeight="1">
      <c r="B4783" s="101"/>
    </row>
    <row r="4784" ht="14.25" customHeight="1">
      <c r="B4784" s="101"/>
    </row>
    <row r="4785" ht="14.25" customHeight="1">
      <c r="B4785" s="101"/>
    </row>
    <row r="4786" ht="14.25" customHeight="1">
      <c r="B4786" s="101"/>
    </row>
    <row r="4787" ht="14.25" customHeight="1">
      <c r="B4787" s="101"/>
    </row>
    <row r="4788" ht="14.25" customHeight="1">
      <c r="B4788" s="101"/>
    </row>
    <row r="4789" ht="14.25" customHeight="1">
      <c r="B4789" s="101"/>
    </row>
    <row r="4790" ht="14.25" customHeight="1">
      <c r="B4790" s="101"/>
    </row>
    <row r="4791" ht="14.25" customHeight="1">
      <c r="B4791" s="101"/>
    </row>
    <row r="4792" ht="14.25" customHeight="1">
      <c r="B4792" s="101"/>
    </row>
    <row r="4793" ht="14.25" customHeight="1">
      <c r="B4793" s="101"/>
    </row>
    <row r="4794" ht="14.25" customHeight="1">
      <c r="B4794" s="101"/>
    </row>
    <row r="4795" ht="14.25" customHeight="1">
      <c r="B4795" s="101"/>
    </row>
    <row r="4796" ht="14.25" customHeight="1">
      <c r="B4796" s="101"/>
    </row>
    <row r="4797" ht="14.25" customHeight="1">
      <c r="B4797" s="101"/>
    </row>
    <row r="4798" ht="14.25" customHeight="1">
      <c r="B4798" s="101"/>
    </row>
    <row r="4799" ht="14.25" customHeight="1">
      <c r="B4799" s="101"/>
    </row>
    <row r="4800" ht="14.25" customHeight="1">
      <c r="B4800" s="101"/>
    </row>
    <row r="4801" ht="14.25" customHeight="1">
      <c r="B4801" s="101"/>
    </row>
    <row r="4802" ht="14.25" customHeight="1">
      <c r="B4802" s="101"/>
    </row>
    <row r="4803" ht="14.25" customHeight="1">
      <c r="B4803" s="101"/>
    </row>
    <row r="4804" ht="14.25" customHeight="1">
      <c r="B4804" s="101"/>
    </row>
    <row r="4805" ht="14.25" customHeight="1">
      <c r="B4805" s="101"/>
    </row>
    <row r="4806" ht="14.25" customHeight="1">
      <c r="B4806" s="101"/>
    </row>
    <row r="4807" ht="14.25" customHeight="1">
      <c r="B4807" s="101"/>
    </row>
    <row r="4808" ht="14.25" customHeight="1">
      <c r="B4808" s="101"/>
    </row>
    <row r="4809" ht="14.25" customHeight="1">
      <c r="B4809" s="101"/>
    </row>
    <row r="4810" ht="14.25" customHeight="1">
      <c r="B4810" s="101"/>
    </row>
    <row r="4811" ht="14.25" customHeight="1">
      <c r="B4811" s="101"/>
    </row>
    <row r="4812" ht="14.25" customHeight="1">
      <c r="B4812" s="101"/>
    </row>
    <row r="4813" ht="14.25" customHeight="1">
      <c r="B4813" s="101"/>
    </row>
    <row r="4814" ht="14.25" customHeight="1">
      <c r="B4814" s="101"/>
    </row>
    <row r="4815" ht="14.25" customHeight="1">
      <c r="B4815" s="101"/>
    </row>
    <row r="4816" ht="14.25" customHeight="1">
      <c r="B4816" s="101"/>
    </row>
    <row r="4817" ht="14.25" customHeight="1">
      <c r="B4817" s="101"/>
    </row>
    <row r="4818" ht="14.25" customHeight="1">
      <c r="B4818" s="101"/>
    </row>
    <row r="4819" ht="14.25" customHeight="1">
      <c r="B4819" s="101"/>
    </row>
    <row r="4820" ht="14.25" customHeight="1">
      <c r="B4820" s="101"/>
    </row>
    <row r="4821" ht="14.25" customHeight="1">
      <c r="B4821" s="101"/>
    </row>
    <row r="4822" ht="14.25" customHeight="1">
      <c r="B4822" s="101"/>
    </row>
    <row r="4823" ht="14.25" customHeight="1">
      <c r="B4823" s="101"/>
    </row>
    <row r="4824" ht="14.25" customHeight="1">
      <c r="B4824" s="101"/>
    </row>
    <row r="4825" ht="14.25" customHeight="1">
      <c r="B4825" s="101"/>
    </row>
    <row r="4826" ht="14.25" customHeight="1">
      <c r="B4826" s="101"/>
    </row>
    <row r="4827" ht="14.25" customHeight="1">
      <c r="B4827" s="101"/>
    </row>
    <row r="4828" ht="14.25" customHeight="1">
      <c r="B4828" s="101"/>
    </row>
    <row r="4829" ht="14.25" customHeight="1">
      <c r="B4829" s="101"/>
    </row>
    <row r="4830" ht="14.25" customHeight="1">
      <c r="B4830" s="101"/>
    </row>
    <row r="4831" ht="14.25" customHeight="1">
      <c r="B4831" s="101"/>
    </row>
    <row r="4832" ht="14.25" customHeight="1">
      <c r="B4832" s="101"/>
    </row>
    <row r="4833" ht="14.25" customHeight="1">
      <c r="B4833" s="101"/>
    </row>
    <row r="4834" ht="14.25" customHeight="1">
      <c r="B4834" s="101"/>
    </row>
    <row r="4835" ht="14.25" customHeight="1">
      <c r="B4835" s="101"/>
    </row>
    <row r="4836" ht="14.25" customHeight="1">
      <c r="B4836" s="101"/>
    </row>
    <row r="4837" ht="14.25" customHeight="1">
      <c r="B4837" s="101"/>
    </row>
    <row r="4838" ht="14.25" customHeight="1">
      <c r="B4838" s="101"/>
    </row>
    <row r="4839" ht="14.25" customHeight="1">
      <c r="B4839" s="101"/>
    </row>
    <row r="4840" ht="14.25" customHeight="1">
      <c r="B4840" s="101"/>
    </row>
    <row r="4841" ht="14.25" customHeight="1">
      <c r="B4841" s="101"/>
    </row>
    <row r="4842" ht="14.25" customHeight="1">
      <c r="B4842" s="101"/>
    </row>
    <row r="4843" ht="14.25" customHeight="1">
      <c r="B4843" s="101"/>
    </row>
    <row r="4844" ht="14.25" customHeight="1">
      <c r="B4844" s="101"/>
    </row>
    <row r="4845" ht="14.25" customHeight="1">
      <c r="B4845" s="101"/>
    </row>
    <row r="4846" ht="14.25" customHeight="1">
      <c r="B4846" s="101"/>
    </row>
    <row r="4847" ht="14.25" customHeight="1">
      <c r="B4847" s="101"/>
    </row>
    <row r="4848" ht="14.25" customHeight="1">
      <c r="B4848" s="101"/>
    </row>
    <row r="4849" ht="14.25" customHeight="1">
      <c r="B4849" s="101"/>
    </row>
    <row r="4850" ht="14.25" customHeight="1">
      <c r="B4850" s="101"/>
    </row>
    <row r="4851" ht="14.25" customHeight="1">
      <c r="B4851" s="101"/>
    </row>
    <row r="4852" ht="14.25" customHeight="1">
      <c r="B4852" s="101"/>
    </row>
    <row r="4853" ht="14.25" customHeight="1">
      <c r="B4853" s="101"/>
    </row>
    <row r="4854" ht="14.25" customHeight="1">
      <c r="B4854" s="101"/>
    </row>
    <row r="4855" ht="14.25" customHeight="1">
      <c r="B4855" s="101"/>
    </row>
    <row r="4856" ht="14.25" customHeight="1">
      <c r="B4856" s="101"/>
    </row>
    <row r="4857" ht="14.25" customHeight="1">
      <c r="B4857" s="101"/>
    </row>
    <row r="4858" ht="14.25" customHeight="1">
      <c r="B4858" s="101"/>
    </row>
    <row r="4859" ht="14.25" customHeight="1">
      <c r="B4859" s="101"/>
    </row>
    <row r="4860" ht="14.25" customHeight="1">
      <c r="B4860" s="101"/>
    </row>
    <row r="4861" ht="14.25" customHeight="1">
      <c r="B4861" s="101"/>
    </row>
    <row r="4862" ht="14.25" customHeight="1">
      <c r="B4862" s="101"/>
    </row>
    <row r="4863" ht="14.25" customHeight="1">
      <c r="B4863" s="101"/>
    </row>
    <row r="4864" ht="14.25" customHeight="1">
      <c r="B4864" s="101"/>
    </row>
    <row r="4865" ht="14.25" customHeight="1">
      <c r="B4865" s="101"/>
    </row>
    <row r="4866" ht="14.25" customHeight="1">
      <c r="B4866" s="101"/>
    </row>
    <row r="4867" ht="14.25" customHeight="1">
      <c r="B4867" s="101"/>
    </row>
    <row r="4868" ht="14.25" customHeight="1">
      <c r="B4868" s="101"/>
    </row>
    <row r="4869" ht="14.25" customHeight="1">
      <c r="B4869" s="101"/>
    </row>
    <row r="4870" ht="14.25" customHeight="1">
      <c r="B4870" s="101"/>
    </row>
    <row r="4871" ht="14.25" customHeight="1">
      <c r="B4871" s="101"/>
    </row>
    <row r="4872" ht="14.25" customHeight="1">
      <c r="B4872" s="101"/>
    </row>
    <row r="4873" ht="14.25" customHeight="1">
      <c r="B4873" s="101"/>
    </row>
    <row r="4874" ht="14.25" customHeight="1">
      <c r="B4874" s="101"/>
    </row>
    <row r="4875" ht="14.25" customHeight="1">
      <c r="B4875" s="101"/>
    </row>
    <row r="4876" ht="14.25" customHeight="1">
      <c r="B4876" s="101"/>
    </row>
    <row r="4877" ht="14.25" customHeight="1">
      <c r="B4877" s="101"/>
    </row>
    <row r="4878" ht="14.25" customHeight="1">
      <c r="B4878" s="101"/>
    </row>
    <row r="4879" ht="14.25" customHeight="1">
      <c r="B4879" s="101"/>
    </row>
    <row r="4880" ht="14.25" customHeight="1">
      <c r="B4880" s="101"/>
    </row>
    <row r="4881" ht="14.25" customHeight="1">
      <c r="B4881" s="101"/>
    </row>
    <row r="4882" ht="14.25" customHeight="1">
      <c r="B4882" s="101"/>
    </row>
    <row r="4883" ht="14.25" customHeight="1">
      <c r="B4883" s="101"/>
    </row>
    <row r="4884" ht="14.25" customHeight="1">
      <c r="B4884" s="101"/>
    </row>
    <row r="4885" ht="14.25" customHeight="1">
      <c r="B4885" s="101"/>
    </row>
    <row r="4886" ht="14.25" customHeight="1">
      <c r="B4886" s="101"/>
    </row>
    <row r="4887" ht="14.25" customHeight="1">
      <c r="B4887" s="101"/>
    </row>
    <row r="4888" ht="14.25" customHeight="1">
      <c r="B4888" s="101"/>
    </row>
    <row r="4889" ht="14.25" customHeight="1">
      <c r="B4889" s="101"/>
    </row>
    <row r="4890" ht="14.25" customHeight="1">
      <c r="B4890" s="101"/>
    </row>
    <row r="4891" ht="14.25" customHeight="1">
      <c r="B4891" s="101"/>
    </row>
    <row r="4892" ht="14.25" customHeight="1">
      <c r="B4892" s="101"/>
    </row>
    <row r="4893" ht="14.25" customHeight="1">
      <c r="B4893" s="101"/>
    </row>
    <row r="4894" ht="14.25" customHeight="1">
      <c r="B4894" s="101"/>
    </row>
    <row r="4895" ht="14.25" customHeight="1">
      <c r="B4895" s="101"/>
    </row>
    <row r="4896" ht="14.25" customHeight="1">
      <c r="B4896" s="101"/>
    </row>
    <row r="4897" ht="14.25" customHeight="1">
      <c r="B4897" s="101"/>
    </row>
    <row r="4898" ht="14.25" customHeight="1">
      <c r="B4898" s="101"/>
    </row>
    <row r="4899" ht="14.25" customHeight="1">
      <c r="B4899" s="101"/>
    </row>
    <row r="4900" ht="14.25" customHeight="1">
      <c r="B4900" s="101"/>
    </row>
    <row r="4901" ht="14.25" customHeight="1">
      <c r="B4901" s="101"/>
    </row>
    <row r="4902" ht="14.25" customHeight="1">
      <c r="B4902" s="101"/>
    </row>
    <row r="4903" ht="14.25" customHeight="1">
      <c r="B4903" s="101"/>
    </row>
    <row r="4904" ht="14.25" customHeight="1">
      <c r="B4904" s="101"/>
    </row>
    <row r="4905" ht="14.25" customHeight="1">
      <c r="B4905" s="101"/>
    </row>
    <row r="4906" ht="14.25" customHeight="1">
      <c r="B4906" s="101"/>
    </row>
    <row r="4907" ht="14.25" customHeight="1">
      <c r="B4907" s="101"/>
    </row>
    <row r="4908" ht="14.25" customHeight="1">
      <c r="B4908" s="101"/>
    </row>
    <row r="4909" ht="14.25" customHeight="1">
      <c r="B4909" s="101"/>
    </row>
    <row r="4910" ht="14.25" customHeight="1">
      <c r="B4910" s="101"/>
    </row>
    <row r="4911" ht="14.25" customHeight="1">
      <c r="B4911" s="101"/>
    </row>
    <row r="4912" ht="14.25" customHeight="1">
      <c r="B4912" s="101"/>
    </row>
    <row r="4913" ht="14.25" customHeight="1">
      <c r="B4913" s="101"/>
    </row>
    <row r="4914" ht="14.25" customHeight="1">
      <c r="B4914" s="101"/>
    </row>
    <row r="4915" ht="14.25" customHeight="1">
      <c r="B4915" s="101"/>
    </row>
    <row r="4916" ht="14.25" customHeight="1">
      <c r="B4916" s="101"/>
    </row>
    <row r="4917" ht="14.25" customHeight="1">
      <c r="B4917" s="101"/>
    </row>
    <row r="4918" ht="14.25" customHeight="1">
      <c r="B4918" s="101"/>
    </row>
    <row r="4919" ht="14.25" customHeight="1">
      <c r="B4919" s="101"/>
    </row>
    <row r="4920" ht="14.25" customHeight="1">
      <c r="B4920" s="101"/>
    </row>
    <row r="4921" ht="14.25" customHeight="1">
      <c r="B4921" s="101"/>
    </row>
    <row r="4922" ht="14.25" customHeight="1">
      <c r="B4922" s="101"/>
    </row>
    <row r="4923" ht="14.25" customHeight="1">
      <c r="B4923" s="101"/>
    </row>
    <row r="4924" ht="14.25" customHeight="1">
      <c r="B4924" s="101"/>
    </row>
    <row r="4925" ht="14.25" customHeight="1">
      <c r="B4925" s="101"/>
    </row>
    <row r="4926" ht="14.25" customHeight="1">
      <c r="B4926" s="101"/>
    </row>
    <row r="4927" ht="14.25" customHeight="1">
      <c r="B4927" s="101"/>
    </row>
    <row r="4928" ht="14.25" customHeight="1">
      <c r="B4928" s="101"/>
    </row>
    <row r="4929" ht="14.25" customHeight="1">
      <c r="B4929" s="101"/>
    </row>
    <row r="4930" ht="14.25" customHeight="1">
      <c r="B4930" s="101"/>
    </row>
    <row r="4931" ht="14.25" customHeight="1">
      <c r="B4931" s="101"/>
    </row>
    <row r="4932" ht="14.25" customHeight="1">
      <c r="B4932" s="101"/>
    </row>
    <row r="4933" ht="14.25" customHeight="1">
      <c r="B4933" s="101"/>
    </row>
    <row r="4934" ht="14.25" customHeight="1">
      <c r="B4934" s="101"/>
    </row>
    <row r="4935" ht="14.25" customHeight="1">
      <c r="B4935" s="101"/>
    </row>
    <row r="4936" ht="14.25" customHeight="1">
      <c r="B4936" s="101"/>
    </row>
    <row r="4937" ht="14.25" customHeight="1">
      <c r="B4937" s="101"/>
    </row>
    <row r="4938" ht="14.25" customHeight="1">
      <c r="B4938" s="101"/>
    </row>
    <row r="4939" ht="14.25" customHeight="1">
      <c r="B4939" s="101"/>
    </row>
    <row r="4940" ht="14.25" customHeight="1">
      <c r="B4940" s="101"/>
    </row>
    <row r="4941" ht="14.25" customHeight="1">
      <c r="B4941" s="101"/>
    </row>
    <row r="4942" ht="14.25" customHeight="1">
      <c r="B4942" s="101"/>
    </row>
    <row r="4943" ht="14.25" customHeight="1">
      <c r="B4943" s="101"/>
    </row>
    <row r="4944" ht="14.25" customHeight="1">
      <c r="B4944" s="101"/>
    </row>
    <row r="4945" ht="14.25" customHeight="1">
      <c r="B4945" s="101"/>
    </row>
    <row r="4946" ht="14.25" customHeight="1">
      <c r="B4946" s="101"/>
    </row>
    <row r="4947" ht="14.25" customHeight="1">
      <c r="B4947" s="101"/>
    </row>
    <row r="4948" ht="14.25" customHeight="1">
      <c r="B4948" s="101"/>
    </row>
    <row r="4949" ht="14.25" customHeight="1">
      <c r="B4949" s="101"/>
    </row>
    <row r="4950" ht="14.25" customHeight="1">
      <c r="B4950" s="101"/>
    </row>
    <row r="4951" ht="14.25" customHeight="1">
      <c r="B4951" s="101"/>
    </row>
    <row r="4952" ht="14.25" customHeight="1">
      <c r="B4952" s="101"/>
    </row>
    <row r="4953" ht="14.25" customHeight="1">
      <c r="B4953" s="101"/>
    </row>
    <row r="4954" ht="14.25" customHeight="1">
      <c r="B4954" s="101"/>
    </row>
    <row r="4955" ht="14.25" customHeight="1">
      <c r="B4955" s="101"/>
    </row>
    <row r="4956" ht="14.25" customHeight="1">
      <c r="B4956" s="101"/>
    </row>
    <row r="4957" ht="14.25" customHeight="1">
      <c r="B4957" s="101"/>
    </row>
    <row r="4958" ht="14.25" customHeight="1">
      <c r="B4958" s="101"/>
    </row>
    <row r="4959" ht="14.25" customHeight="1">
      <c r="B4959" s="101"/>
    </row>
    <row r="4960" ht="14.25" customHeight="1">
      <c r="B4960" s="101"/>
    </row>
    <row r="4961" ht="14.25" customHeight="1">
      <c r="B4961" s="101"/>
    </row>
    <row r="4962" ht="14.25" customHeight="1">
      <c r="B4962" s="101"/>
    </row>
    <row r="4963" ht="14.25" customHeight="1">
      <c r="B4963" s="101"/>
    </row>
    <row r="4964" ht="14.25" customHeight="1">
      <c r="B4964" s="101"/>
    </row>
    <row r="4965" ht="14.25" customHeight="1">
      <c r="B4965" s="101"/>
    </row>
    <row r="4966" ht="14.25" customHeight="1">
      <c r="B4966" s="101"/>
    </row>
    <row r="4967" ht="14.25" customHeight="1">
      <c r="B4967" s="101"/>
    </row>
    <row r="4968" ht="14.25" customHeight="1">
      <c r="B4968" s="101"/>
    </row>
    <row r="4969" ht="14.25" customHeight="1">
      <c r="B4969" s="101"/>
    </row>
    <row r="4970" ht="14.25" customHeight="1">
      <c r="B4970" s="101"/>
    </row>
    <row r="4971" ht="14.25" customHeight="1">
      <c r="B4971" s="101"/>
    </row>
    <row r="4972" ht="14.25" customHeight="1">
      <c r="B4972" s="101"/>
    </row>
    <row r="4973" ht="14.25" customHeight="1">
      <c r="B4973" s="101"/>
    </row>
    <row r="4974" ht="14.25" customHeight="1">
      <c r="B4974" s="101"/>
    </row>
    <row r="4975" ht="14.25" customHeight="1">
      <c r="B4975" s="101"/>
    </row>
    <row r="4976" ht="14.25" customHeight="1">
      <c r="B4976" s="101"/>
    </row>
    <row r="4977" ht="14.25" customHeight="1">
      <c r="B4977" s="101"/>
    </row>
    <row r="4978" ht="14.25" customHeight="1">
      <c r="B4978" s="101"/>
    </row>
    <row r="4979" ht="14.25" customHeight="1">
      <c r="B4979" s="101"/>
    </row>
    <row r="4980" ht="14.25" customHeight="1">
      <c r="B4980" s="101"/>
    </row>
    <row r="4981" ht="14.25" customHeight="1">
      <c r="B4981" s="101"/>
    </row>
    <row r="4982" ht="14.25" customHeight="1">
      <c r="B4982" s="101"/>
    </row>
    <row r="4983" ht="14.25" customHeight="1">
      <c r="B4983" s="101"/>
    </row>
    <row r="4984" ht="14.25" customHeight="1">
      <c r="B4984" s="101"/>
    </row>
    <row r="4985" ht="14.25" customHeight="1">
      <c r="B4985" s="101"/>
    </row>
    <row r="4986" ht="14.25" customHeight="1">
      <c r="B4986" s="101"/>
    </row>
    <row r="4987" ht="14.25" customHeight="1">
      <c r="B4987" s="101"/>
    </row>
    <row r="4988" ht="14.25" customHeight="1">
      <c r="B4988" s="101"/>
    </row>
    <row r="4989" ht="14.25" customHeight="1">
      <c r="B4989" s="101"/>
    </row>
    <row r="4990" ht="14.25" customHeight="1">
      <c r="B4990" s="101"/>
    </row>
    <row r="4991" ht="14.25" customHeight="1">
      <c r="B4991" s="101"/>
    </row>
    <row r="4992" ht="14.25" customHeight="1">
      <c r="B4992" s="101"/>
    </row>
    <row r="4993" ht="14.25" customHeight="1">
      <c r="B4993" s="101"/>
    </row>
    <row r="4994" ht="14.25" customHeight="1">
      <c r="B4994" s="101"/>
    </row>
    <row r="4995" ht="14.25" customHeight="1">
      <c r="B4995" s="101"/>
    </row>
    <row r="4996" ht="14.25" customHeight="1">
      <c r="B4996" s="101"/>
    </row>
    <row r="4997" ht="14.25" customHeight="1">
      <c r="B4997" s="101"/>
    </row>
    <row r="4998" ht="14.25" customHeight="1">
      <c r="B4998" s="101"/>
    </row>
    <row r="4999" ht="14.25" customHeight="1">
      <c r="B4999" s="101"/>
    </row>
    <row r="5000" ht="14.25" customHeight="1">
      <c r="B5000" s="101"/>
    </row>
  </sheetData>
  <dataValidations>
    <dataValidation type="list" allowBlank="1" showErrorMessage="1" sqref="B2:B5000">
      <formula1>'URL Details'!$A$2:$A$1000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AFE2"/>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13.13"/>
    <col customWidth="1" min="3" max="3" width="43.13"/>
    <col customWidth="1" min="4" max="4" width="38.25"/>
    <col customWidth="1" min="5" max="5" width="37.13"/>
    <col customWidth="1" min="6" max="6" width="15.38"/>
    <col customWidth="1" min="7" max="7" width="46.63"/>
    <col customWidth="1" min="8" max="8" width="30.13"/>
    <col customWidth="1" min="9" max="9" width="38.0"/>
    <col customWidth="1" min="10" max="10" width="41.13"/>
    <col customWidth="1" min="11" max="11" width="15.25"/>
    <col customWidth="1" min="12" max="12" width="11.75"/>
    <col customWidth="1" min="13" max="13" width="15.63"/>
    <col customWidth="1" min="14" max="14" width="30.75"/>
    <col customWidth="1" min="15" max="15" width="30.25"/>
    <col customWidth="1" min="16" max="16" width="27.13"/>
    <col customWidth="1" min="17" max="18" width="11.75"/>
    <col customWidth="1" min="19" max="19" width="19.25"/>
    <col customWidth="1" min="20" max="20" width="15.88"/>
    <col customWidth="1" min="21" max="21" width="11.25"/>
    <col customWidth="1" min="22" max="22" width="21.0"/>
    <col customWidth="1" min="23" max="23" width="24.25"/>
    <col customWidth="1" min="24" max="24" width="21.38"/>
    <col customWidth="1" min="25" max="25" width="11.25"/>
    <col customWidth="1" min="26" max="26" width="21.75"/>
    <col customWidth="1" min="27" max="27" width="20.25"/>
    <col customWidth="1" min="28" max="28" width="23.38"/>
    <col customWidth="1" min="29" max="29" width="19.38"/>
    <col customWidth="1" min="30" max="30" width="18.25"/>
    <col customWidth="1" min="31" max="31" width="15.0"/>
    <col customWidth="1" min="32" max="32" width="11.75"/>
    <col customWidth="1" min="33" max="33" width="13.38"/>
    <col customWidth="1" min="34" max="34" width="12.13"/>
    <col customWidth="1" hidden="1" min="35" max="36" width="8.75"/>
  </cols>
  <sheetData>
    <row r="1" ht="28.5" customHeight="1">
      <c r="A1" s="82" t="s">
        <v>146</v>
      </c>
      <c r="B1" s="82" t="s">
        <v>53</v>
      </c>
      <c r="C1" s="82" t="s">
        <v>147</v>
      </c>
      <c r="D1" s="82" t="s">
        <v>148</v>
      </c>
      <c r="E1" s="82" t="s">
        <v>149</v>
      </c>
      <c r="F1" s="82" t="s">
        <v>150</v>
      </c>
      <c r="G1" s="82" t="s">
        <v>151</v>
      </c>
      <c r="H1" s="82" t="s">
        <v>152</v>
      </c>
      <c r="I1" s="82" t="s">
        <v>153</v>
      </c>
      <c r="J1" s="82" t="s">
        <v>154</v>
      </c>
      <c r="K1" s="82" t="s">
        <v>155</v>
      </c>
      <c r="L1" s="82" t="s">
        <v>156</v>
      </c>
      <c r="M1" s="82" t="s">
        <v>157</v>
      </c>
      <c r="N1" s="82" t="s">
        <v>158</v>
      </c>
      <c r="O1" s="82" t="s">
        <v>159</v>
      </c>
      <c r="P1" s="82" t="s">
        <v>160</v>
      </c>
      <c r="Q1" s="82" t="s">
        <v>161</v>
      </c>
      <c r="R1" s="82" t="s">
        <v>162</v>
      </c>
      <c r="S1" s="82" t="s">
        <v>163</v>
      </c>
      <c r="T1" s="82" t="s">
        <v>164</v>
      </c>
      <c r="U1" s="82" t="s">
        <v>165</v>
      </c>
      <c r="V1" s="82" t="s">
        <v>166</v>
      </c>
      <c r="W1" s="82" t="s">
        <v>167</v>
      </c>
      <c r="X1" s="82" t="s">
        <v>168</v>
      </c>
      <c r="Y1" s="82" t="s">
        <v>169</v>
      </c>
      <c r="Z1" s="82" t="s">
        <v>170</v>
      </c>
      <c r="AA1" s="82" t="s">
        <v>171</v>
      </c>
      <c r="AB1" s="82" t="s">
        <v>172</v>
      </c>
      <c r="AC1" s="82" t="s">
        <v>173</v>
      </c>
      <c r="AD1" s="82" t="s">
        <v>174</v>
      </c>
      <c r="AE1" s="82" t="s">
        <v>175</v>
      </c>
      <c r="AF1" s="82" t="s">
        <v>176</v>
      </c>
      <c r="AG1" s="82" t="s">
        <v>177</v>
      </c>
      <c r="AH1" s="82" t="s">
        <v>178</v>
      </c>
      <c r="AI1" s="102" t="s">
        <v>179</v>
      </c>
      <c r="AJ1" s="103" t="s">
        <v>180</v>
      </c>
    </row>
    <row r="2">
      <c r="A2" s="104"/>
      <c r="B2" s="105" t="str">
        <f>IFERROR(__xludf.DUMMYFUNCTION("ARRAY_CONSTRAIN(
  ARRAYFORMULA(
    IF(
      'Final Report'!A2="""",
      """",
      TEXTJOIN(
        "", "" &amp; CHAR(10),
        TRUE,
        IFERROR(
          VLOOKUP(
            TRIM(
              SPLIT('Final Report'!A2, "","")
            ),
"&amp;"            'URL Details'!A:B,
            2,
            FALSE
          ),
          """"
        )
      )
    )
  ),
  1,
  1
)
"),"")</f>
        <v/>
      </c>
      <c r="C2" s="105" t="str">
        <f>IFERROR(__xludf.DUMMYFUNCTION("IFERROR(IF('Final Report'!A2="""","""", TEXTJOIN(CHAR(10), TRUE, ARRAYFORMULA( ""• ""&amp; FILTER( TRIM(FLATTEN(SPLIT( REGEXREPLACE( SUBSTITUTE(TEXTJOIN("","", TRUE, IFERROR(ARRAYFORMULA(VLOOKUP(TRIM(SPLIT('Final Report'!A2, "","")), 'URL Details'!A:D, 4, FAL"&amp;"SE)),"""") ), CHAR(10), "",""), ""\s*,\s*"", "",""), "",""))), TRIM(FLATTEN(SPLIT( REGEXREPLACE( SUBSTITUTE(TEXTJOIN("","", TRUE, IFERROR(ARRAYFORMULA(VLOOKUP(TRIM(SPLIT('Final Report'!A2, "","")), 'URL Details'!A:D, 4, FALSE)),"""") ), CHAR(10), "",""), "&amp;"""\s*,\s*"", "",""), "","")))&lt;&gt;"""" ) ) ) ),"""")
"),"")</f>
        <v/>
      </c>
      <c r="D2" s="106"/>
      <c r="E2" s="105"/>
      <c r="F2" s="107" t="b">
        <v>0</v>
      </c>
      <c r="G2" s="105" t="str">
        <f>IF(F2=True, IFERROR(VLOOKUP(D2, Repository!A:B, 2, 0), ""), "")</f>
        <v/>
      </c>
      <c r="H2" s="105"/>
      <c r="I2" s="105"/>
      <c r="J2" s="105" t="str">
        <f>IF(F2=True, IFERROR(VLOOKUP(D2, Repository!A:C, 3, 0), ""), "")</f>
        <v/>
      </c>
      <c r="K2" s="105"/>
      <c r="L2" s="105" t="str">
        <f>IF(F2=True, IFERROR(VLOOKUP(D2, Repository!A:E, 5, 0), ""), "")</f>
        <v/>
      </c>
      <c r="M2" s="106"/>
      <c r="N2" s="105" t="str">
        <f>IF(F2=True, IFERROR(VLOOKUP(D2, Repository!A:G, 7, 0), ""), "")</f>
        <v/>
      </c>
      <c r="O2" s="105" t="str">
        <f>IFERROR(__xludf.DUMMYFUNCTION("ARRAY_CONSTRAIN(
  ARRAYFORMULA(
    IFERROR(
      LET(
        list, N2,
        arr, TRIM(SPLIT(list, "","")),
        names, XLOOKUP(
          arr,
          'Conformance Score'!A:A,
          'Conformance Score'!B:B,
          ""Not found""
        "&amp;"),
        TEXTJOIN("", "", TRUE, names)
      ),
      """"
    )
  ),
  1,
  1
)
"),"")</f>
        <v/>
      </c>
      <c r="P2" s="105" t="str">
        <f>IF(F2=True, IFERROR(VLOOKUP(D2, Repository!A:F, 6, 0), ""), "")</f>
        <v/>
      </c>
      <c r="Q2" s="105" t="str">
        <f>IF(F2=True, IFERROR(VLOOKUP(D2, Repository!A:I, 8, 0), ""), "")</f>
        <v/>
      </c>
      <c r="R2" s="105" t="str">
        <f>IF(F2=True, IFERROR(VLOOKUP(D2, Repository!A:J, 9, 0), ""), "")</f>
        <v/>
      </c>
      <c r="S2" s="105"/>
      <c r="T2" s="105"/>
      <c r="U2" s="105"/>
      <c r="V2" s="105"/>
      <c r="W2" s="105"/>
      <c r="X2" s="105"/>
      <c r="Y2" s="105"/>
      <c r="Z2" s="105"/>
      <c r="AA2" s="105"/>
      <c r="AB2" s="105"/>
      <c r="AC2" s="91"/>
      <c r="AD2" s="105"/>
      <c r="AE2" s="105"/>
      <c r="AF2" s="91"/>
      <c r="AG2" s="105"/>
      <c r="AH2" s="105"/>
      <c r="AI2" s="105" t="str">
        <f t="shared" ref="AI2:AI2000" si="1">IF(L2="","",
IF(L2="Blocker",1,
IF(L2="Critical",2,
IF(L2="Major",3,
IF(L2="Minor",4,"")))))</f>
        <v/>
      </c>
      <c r="AJ2" s="108" t="str">
        <f t="shared" ref="AJ2:AJ2000" si="2">IF(P2="","",
IF(P2="A",1,
IF(P2="AA",2,
IF(P2="AAA",3,""))))</f>
        <v/>
      </c>
    </row>
    <row r="3">
      <c r="A3" s="104"/>
      <c r="B3" s="105" t="str">
        <f>IFERROR(__xludf.DUMMYFUNCTION("ARRAY_CONSTRAIN(
  ARRAYFORMULA(
    IF(
      'Final Report'!A3="""",
      """",
      TEXTJOIN(
        "", "" &amp; CHAR(10),
        TRUE,
        IFERROR(
          VLOOKUP(
            TRIM(
              SPLIT('Final Report'!A3, "","")
            ),
"&amp;"            'URL Details'!A:B,
            2,
            FALSE
          ),
          """"
        )
      )
    )
  ),
  1,
  1
)
"),"")</f>
        <v/>
      </c>
      <c r="C3" s="105" t="str">
        <f>IFERROR(__xludf.DUMMYFUNCTION("IFERROR(IF('Final Report'!A3="""","""", TEXTJOIN(CHAR(10), TRUE, ARRAYFORMULA( ""• ""&amp; FILTER( TRIM(FLATTEN(SPLIT( REGEXREPLACE( SUBSTITUTE(TEXTJOIN("","", TRUE, IFERROR(ARRAYFORMULA(VLOOKUP(TRIM(SPLIT('Final Report'!A3, "","")), 'URL Details'!A:D, 4, FAL"&amp;"SE)),"""") ), CHAR(10), "",""), ""\s*,\s*"", "",""), "",""))), TRIM(FLATTEN(SPLIT( REGEXREPLACE( SUBSTITUTE(TEXTJOIN("","", TRUE, IFERROR(ARRAYFORMULA(VLOOKUP(TRIM(SPLIT('Final Report'!A3, "","")), 'URL Details'!A:D, 4, FALSE)),"""") ), CHAR(10), "",""), "&amp;"""\s*,\s*"", "",""), "","")))&lt;&gt;"""" ) ) ) ),"""")
"),"")</f>
        <v/>
      </c>
      <c r="D3" s="106"/>
      <c r="E3" s="105"/>
      <c r="F3" s="109" t="b">
        <v>0</v>
      </c>
      <c r="G3" s="105" t="str">
        <f>IF(F3=True, IFERROR(VLOOKUP(D3, Repository!A:B, 2, 0), ""), "")</f>
        <v/>
      </c>
      <c r="H3" s="105"/>
      <c r="I3" s="105"/>
      <c r="J3" s="105" t="str">
        <f>IF(F3=True, IFERROR(VLOOKUP(D3, Repository!A:C, 3, 0), ""), "")</f>
        <v/>
      </c>
      <c r="K3" s="105"/>
      <c r="L3" s="105" t="str">
        <f>IF(F3=True, IFERROR(VLOOKUP(D3, Repository!A:E, 5, 0), ""), "")</f>
        <v/>
      </c>
      <c r="M3" s="106"/>
      <c r="N3" s="105" t="str">
        <f>IF(F3=True, IFERROR(VLOOKUP(D3, Repository!A:G, 7, 0), ""), "")</f>
        <v/>
      </c>
      <c r="O3" s="105" t="str">
        <f>IFERROR(__xludf.DUMMYFUNCTION("ARRAY_CONSTRAIN(
  ARRAYFORMULA(
    IFERROR(
      LET(
        list, N3,
        arr, TRIM(SPLIT(list, "","")),
        names, XLOOKUP(
          arr,
          'Conformance Score'!A:A,
          'Conformance Score'!B:B,
          ""Not found""
        "&amp;"),
        TEXTJOIN("", "", TRUE, names)
      ),
      """"
    )
  ),
  1,
  1
)
"),"")</f>
        <v/>
      </c>
      <c r="P3" s="105" t="str">
        <f>IF(F3="Yes", IFERROR(VLOOKUP(D3, Repository!A:F, 6, 0), ""), "")</f>
        <v/>
      </c>
      <c r="Q3" s="105" t="str">
        <f>IF(F3="Yes", IFERROR(VLOOKUP(D3, Repository!A:I, 8, 0), ""), "")</f>
        <v/>
      </c>
      <c r="R3" s="105" t="str">
        <f>IF(F3="Yes", IFERROR(VLOOKUP(D3, Repository!A:J, 9, 0), ""), "")</f>
        <v/>
      </c>
      <c r="S3" s="105"/>
      <c r="T3" s="105"/>
      <c r="U3" s="105"/>
      <c r="V3" s="105"/>
      <c r="W3" s="105"/>
      <c r="X3" s="105"/>
      <c r="Y3" s="105"/>
      <c r="Z3" s="105"/>
      <c r="AA3" s="105"/>
      <c r="AB3" s="105"/>
      <c r="AC3" s="91"/>
      <c r="AD3" s="105"/>
      <c r="AE3" s="105"/>
      <c r="AF3" s="91"/>
      <c r="AG3" s="105"/>
      <c r="AH3" s="105"/>
      <c r="AI3" s="105" t="str">
        <f t="shared" si="1"/>
        <v/>
      </c>
      <c r="AJ3" s="108" t="str">
        <f t="shared" si="2"/>
        <v/>
      </c>
    </row>
    <row r="4">
      <c r="A4" s="104"/>
      <c r="B4" s="105" t="str">
        <f>IFERROR(__xludf.DUMMYFUNCTION("ARRAY_CONSTRAIN(
  ARRAYFORMULA(
    IF(
      'Final Report'!A4="""",
      """",
      TEXTJOIN(
        "", "" &amp; CHAR(10),
        TRUE,
        IFERROR(
          VLOOKUP(
            TRIM(
              SPLIT('Final Report'!A4, "","")
            ),
"&amp;"            'URL Details'!A:B,
            2,
            FALSE
          ),
          """"
        )
      )
    )
  ),
  1,
  1
)
"),"")</f>
        <v/>
      </c>
      <c r="C4" s="105" t="str">
        <f>IFERROR(__xludf.DUMMYFUNCTION("IFERROR(IF('Final Report'!A4="""","""", TEXTJOIN(CHAR(10), TRUE, ARRAYFORMULA( ""• ""&amp; FILTER( TRIM(FLATTEN(SPLIT( REGEXREPLACE( SUBSTITUTE(TEXTJOIN("","", TRUE, IFERROR(ARRAYFORMULA(VLOOKUP(TRIM(SPLIT('Final Report'!A4, "","")), 'URL Details'!A:D, 4, FAL"&amp;"SE)),"""") ), CHAR(10), "",""), ""\s*,\s*"", "",""), "",""))), TRIM(FLATTEN(SPLIT( REGEXREPLACE( SUBSTITUTE(TEXTJOIN("","", TRUE, IFERROR(ARRAYFORMULA(VLOOKUP(TRIM(SPLIT('Final Report'!A4, "","")), 'URL Details'!A:D, 4, FALSE)),"""") ), CHAR(10), "",""), "&amp;"""\s*,\s*"", "",""), "","")))&lt;&gt;"""" ) ) ) ),"""")
"),"")</f>
        <v/>
      </c>
      <c r="D4" s="106"/>
      <c r="E4" s="105"/>
      <c r="F4" s="109" t="b">
        <v>0</v>
      </c>
      <c r="G4" s="105" t="str">
        <f>IF(F4=True, IFERROR(VLOOKUP(D4, Repository!A:B, 2, 0), ""), "")</f>
        <v/>
      </c>
      <c r="H4" s="105"/>
      <c r="I4" s="105"/>
      <c r="J4" s="105" t="str">
        <f>IF(F4=True, IFERROR(VLOOKUP(D4, Repository!A:C, 3, 0), ""), "")</f>
        <v/>
      </c>
      <c r="K4" s="105"/>
      <c r="L4" s="105" t="str">
        <f>IF(F4=True, IFERROR(VLOOKUP(D4, Repository!A:E, 5, 0), ""), "")</f>
        <v/>
      </c>
      <c r="M4" s="106"/>
      <c r="N4" s="105" t="str">
        <f>IF(F4=True, IFERROR(VLOOKUP(D4, Repository!A:G, 7, 0), ""), "")</f>
        <v/>
      </c>
      <c r="O4" s="105" t="str">
        <f>IFERROR(__xludf.DUMMYFUNCTION("ARRAY_CONSTRAIN(
  ARRAYFORMULA(
    IFERROR(
      LET(
        list, N4,
        arr, TRIM(SPLIT(list, "","")),
        names, XLOOKUP(
          arr,
          'Conformance Score'!A:A,
          'Conformance Score'!B:B,
          ""Not found""
        "&amp;"),
        TEXTJOIN("", "", TRUE, names)
      ),
      """"
    )
  ),
  1,
  1
)
"),"")</f>
        <v/>
      </c>
      <c r="P4" s="105" t="str">
        <f>IF(F4="Yes", IFERROR(VLOOKUP(D4, Repository!A:F, 6, 0), ""), "")</f>
        <v/>
      </c>
      <c r="Q4" s="105" t="str">
        <f>IF(F4="Yes", IFERROR(VLOOKUP(D4, Repository!A:I, 8, 0), ""), "")</f>
        <v/>
      </c>
      <c r="R4" s="105" t="str">
        <f>IF(F4="Yes", IFERROR(VLOOKUP(D4, Repository!A:J, 9, 0), ""), "")</f>
        <v/>
      </c>
      <c r="S4" s="105"/>
      <c r="T4" s="105"/>
      <c r="U4" s="105"/>
      <c r="V4" s="105"/>
      <c r="W4" s="105"/>
      <c r="X4" s="105"/>
      <c r="Y4" s="105"/>
      <c r="Z4" s="105"/>
      <c r="AA4" s="105"/>
      <c r="AB4" s="105"/>
      <c r="AC4" s="91"/>
      <c r="AD4" s="105"/>
      <c r="AE4" s="105"/>
      <c r="AF4" s="91"/>
      <c r="AG4" s="105"/>
      <c r="AH4" s="105"/>
      <c r="AI4" s="105" t="str">
        <f t="shared" si="1"/>
        <v/>
      </c>
      <c r="AJ4" s="108" t="str">
        <f t="shared" si="2"/>
        <v/>
      </c>
    </row>
    <row r="5">
      <c r="A5" s="104"/>
      <c r="B5" s="105" t="str">
        <f>IFERROR(__xludf.DUMMYFUNCTION("ARRAY_CONSTRAIN(
  ARRAYFORMULA(
    IF(
      'Final Report'!A5="""",
      """",
      TEXTJOIN(
        "", "" &amp; CHAR(10),
        TRUE,
        IFERROR(
          VLOOKUP(
            TRIM(
              SPLIT('Final Report'!A5, "","")
            ),
"&amp;"            'URL Details'!A:B,
            2,
            FALSE
          ),
          """"
        )
      )
    )
  ),
  1,
  1
)
"),"")</f>
        <v/>
      </c>
      <c r="C5" s="105" t="str">
        <f>IFERROR(__xludf.DUMMYFUNCTION("IFERROR(IF('Final Report'!A5="""","""", TEXTJOIN(CHAR(10), TRUE, ARRAYFORMULA( ""• ""&amp; FILTER( TRIM(FLATTEN(SPLIT( REGEXREPLACE( SUBSTITUTE(TEXTJOIN("","", TRUE, IFERROR(ARRAYFORMULA(VLOOKUP(TRIM(SPLIT('Final Report'!A5, "","")), 'URL Details'!A:D, 4, FAL"&amp;"SE)),"""") ), CHAR(10), "",""), ""\s*,\s*"", "",""), "",""))), TRIM(FLATTEN(SPLIT( REGEXREPLACE( SUBSTITUTE(TEXTJOIN("","", TRUE, IFERROR(ARRAYFORMULA(VLOOKUP(TRIM(SPLIT('Final Report'!A5, "","")), 'URL Details'!A:D, 4, FALSE)),"""") ), CHAR(10), "",""), "&amp;"""\s*,\s*"", "",""), "","")))&lt;&gt;"""" ) ) ) ),"""")
"),"")</f>
        <v/>
      </c>
      <c r="D5" s="105"/>
      <c r="E5" s="105"/>
      <c r="F5" s="110" t="b">
        <v>0</v>
      </c>
      <c r="G5" s="105" t="str">
        <f>IF(F5=True, IFERROR(VLOOKUP(D5, Repository!A:B, 2, 0), ""), "")</f>
        <v/>
      </c>
      <c r="H5" s="105"/>
      <c r="I5" s="105"/>
      <c r="J5" s="105" t="str">
        <f>IF(F5=True, IFERROR(VLOOKUP(D5, Repository!A:C, 3, 0), ""), "")</f>
        <v/>
      </c>
      <c r="K5" s="105"/>
      <c r="L5" s="105" t="str">
        <f>IF(F5=True, IFERROR(VLOOKUP(D5, Repository!A:E, 5, 0), ""), "")</f>
        <v/>
      </c>
      <c r="M5" s="105"/>
      <c r="N5" s="105" t="str">
        <f>IF(F5=True, IFERROR(VLOOKUP(D5, Repository!A:G, 7, 0), ""), "")</f>
        <v/>
      </c>
      <c r="O5" s="105" t="str">
        <f>IFERROR(__xludf.DUMMYFUNCTION("ARRAY_CONSTRAIN(
  ARRAYFORMULA(
    IFERROR(
      LET(
        list, N5,
        arr, TRIM(SPLIT(list, "","")),
        names, XLOOKUP(
          arr,
          'Conformance Score'!A:A,
          'Conformance Score'!B:B,
          ""Not found""
        "&amp;"),
        TEXTJOIN("", "", TRUE, names)
      ),
      """"
    )
  ),
  1,
  1
)
"),"")</f>
        <v/>
      </c>
      <c r="P5" s="105" t="str">
        <f>IF(F5="Yes", IFERROR(VLOOKUP(D5, Repository!A:F, 6, 0), ""), "")</f>
        <v/>
      </c>
      <c r="Q5" s="105" t="str">
        <f>IF(F5="Yes", IFERROR(VLOOKUP(D5, Repository!A:I, 8, 0), ""), "")</f>
        <v/>
      </c>
      <c r="R5" s="105" t="str">
        <f>IF(F5="Yes", IFERROR(VLOOKUP(D5, Repository!A:J, 9, 0), ""), "")</f>
        <v/>
      </c>
      <c r="S5" s="105"/>
      <c r="T5" s="105"/>
      <c r="U5" s="105"/>
      <c r="V5" s="105"/>
      <c r="W5" s="105"/>
      <c r="X5" s="105"/>
      <c r="Y5" s="105"/>
      <c r="Z5" s="105"/>
      <c r="AA5" s="105"/>
      <c r="AB5" s="105"/>
      <c r="AC5" s="91"/>
      <c r="AD5" s="105"/>
      <c r="AE5" s="105"/>
      <c r="AF5" s="91"/>
      <c r="AG5" s="105"/>
      <c r="AH5" s="105"/>
      <c r="AI5" s="105" t="str">
        <f t="shared" si="1"/>
        <v/>
      </c>
      <c r="AJ5" s="108" t="str">
        <f t="shared" si="2"/>
        <v/>
      </c>
    </row>
    <row r="6">
      <c r="A6" s="104"/>
      <c r="B6" s="105" t="str">
        <f>IFERROR(__xludf.DUMMYFUNCTION("ARRAY_CONSTRAIN(
  ARRAYFORMULA(
    IF(
      'Final Report'!A6="""",
      """",
      TEXTJOIN(
        "", "" &amp; CHAR(10),
        TRUE,
        IFERROR(
          VLOOKUP(
            TRIM(
              SPLIT('Final Report'!A6, "","")
            ),
"&amp;"            'URL Details'!A:B,
            2,
            FALSE
          ),
          """"
        )
      )
    )
  ),
  1,
  1
)
"),"")</f>
        <v/>
      </c>
      <c r="C6" s="105" t="str">
        <f>IFERROR(__xludf.DUMMYFUNCTION("IFERROR(IF('Final Report'!A6="""","""", TEXTJOIN(CHAR(10), TRUE, ARRAYFORMULA( ""• ""&amp; FILTER( TRIM(FLATTEN(SPLIT( REGEXREPLACE( SUBSTITUTE(TEXTJOIN("","", TRUE, IFERROR(ARRAYFORMULA(VLOOKUP(TRIM(SPLIT('Final Report'!A6, "","")), 'URL Details'!A:D, 4, FAL"&amp;"SE)),"""") ), CHAR(10), "",""), ""\s*,\s*"", "",""), "",""))), TRIM(FLATTEN(SPLIT( REGEXREPLACE( SUBSTITUTE(TEXTJOIN("","", TRUE, IFERROR(ARRAYFORMULA(VLOOKUP(TRIM(SPLIT('Final Report'!A6, "","")), 'URL Details'!A:D, 4, FALSE)),"""") ), CHAR(10), "",""), "&amp;"""\s*,\s*"", "",""), "","")))&lt;&gt;"""" ) ) ) ),"""")
"),"")</f>
        <v/>
      </c>
      <c r="D6" s="105"/>
      <c r="E6" s="105"/>
      <c r="F6" s="110" t="b">
        <v>0</v>
      </c>
      <c r="G6" s="105" t="str">
        <f>IF(F6=True, IFERROR(VLOOKUP(D6, Repository!A:B, 2, 0), ""), "")</f>
        <v/>
      </c>
      <c r="H6" s="105"/>
      <c r="I6" s="105"/>
      <c r="J6" s="105" t="str">
        <f>IF(F6=True, IFERROR(VLOOKUP(D6, Repository!A:C, 3, 0), ""), "")</f>
        <v/>
      </c>
      <c r="K6" s="105"/>
      <c r="L6" s="105" t="str">
        <f>IF(F6=True, IFERROR(VLOOKUP(D6, Repository!A:E, 5, 0), ""), "")</f>
        <v/>
      </c>
      <c r="M6" s="105"/>
      <c r="N6" s="105" t="str">
        <f>IF(F6=True, IFERROR(VLOOKUP(D6, Repository!A:G, 7, 0), ""), "")</f>
        <v/>
      </c>
      <c r="O6" s="105" t="str">
        <f>IFERROR(__xludf.DUMMYFUNCTION("ARRAY_CONSTRAIN(
  ARRAYFORMULA(
    IFERROR(
      LET(
        list, N6,
        arr, TRIM(SPLIT(list, "","")),
        names, XLOOKUP(
          arr,
          'Conformance Score'!A:A,
          'Conformance Score'!B:B,
          ""Not found""
        "&amp;"),
        TEXTJOIN("", "", TRUE, names)
      ),
      """"
    )
  ),
  1,
  1
)
"),"")</f>
        <v/>
      </c>
      <c r="P6" s="105" t="str">
        <f>IF(F6="Yes", IFERROR(VLOOKUP(D6, Repository!A:F, 6, 0), ""), "")</f>
        <v/>
      </c>
      <c r="Q6" s="105" t="str">
        <f>IF(F6="Yes", IFERROR(VLOOKUP(D6, Repository!A:I, 8, 0), ""), "")</f>
        <v/>
      </c>
      <c r="R6" s="105" t="str">
        <f>IF(F6="Yes", IFERROR(VLOOKUP(D6, Repository!A:J, 9, 0), ""), "")</f>
        <v/>
      </c>
      <c r="S6" s="105"/>
      <c r="T6" s="105"/>
      <c r="U6" s="105"/>
      <c r="V6" s="105"/>
      <c r="W6" s="105"/>
      <c r="X6" s="105"/>
      <c r="Y6" s="105"/>
      <c r="Z6" s="105"/>
      <c r="AA6" s="105"/>
      <c r="AB6" s="105"/>
      <c r="AC6" s="91"/>
      <c r="AD6" s="105"/>
      <c r="AE6" s="105"/>
      <c r="AF6" s="91"/>
      <c r="AG6" s="105"/>
      <c r="AH6" s="105"/>
      <c r="AI6" s="105" t="str">
        <f t="shared" si="1"/>
        <v/>
      </c>
      <c r="AJ6" s="108" t="str">
        <f t="shared" si="2"/>
        <v/>
      </c>
    </row>
    <row r="7">
      <c r="A7" s="104"/>
      <c r="B7" s="105" t="str">
        <f>IFERROR(__xludf.DUMMYFUNCTION("ARRAY_CONSTRAIN(
  ARRAYFORMULA(
    IF(
      'Final Report'!A7="""",
      """",
      TEXTJOIN(
        "", "" &amp; CHAR(10),
        TRUE,
        IFERROR(
          VLOOKUP(
            TRIM(
              SPLIT('Final Report'!A7, "","")
            ),
"&amp;"            'URL Details'!A:B,
            2,
            FALSE
          ),
          """"
        )
      )
    )
  ),
  1,
  1
)
"),"")</f>
        <v/>
      </c>
      <c r="C7" s="105" t="str">
        <f>IFERROR(__xludf.DUMMYFUNCTION("IFERROR(IF('Final Report'!A7="""","""", TEXTJOIN(CHAR(10), TRUE, ARRAYFORMULA( ""• ""&amp; FILTER( TRIM(FLATTEN(SPLIT( REGEXREPLACE( SUBSTITUTE(TEXTJOIN("","", TRUE, IFERROR(ARRAYFORMULA(VLOOKUP(TRIM(SPLIT('Final Report'!A7, "","")), 'URL Details'!A:D, 4, FAL"&amp;"SE)),"""") ), CHAR(10), "",""), ""\s*,\s*"", "",""), "",""))), TRIM(FLATTEN(SPLIT( REGEXREPLACE( SUBSTITUTE(TEXTJOIN("","", TRUE, IFERROR(ARRAYFORMULA(VLOOKUP(TRIM(SPLIT('Final Report'!A7, "","")), 'URL Details'!A:D, 4, FALSE)),"""") ), CHAR(10), "",""), "&amp;"""\s*,\s*"", "",""), "","")))&lt;&gt;"""" ) ) ) ),"""")
"),"")</f>
        <v/>
      </c>
      <c r="D7" s="105"/>
      <c r="E7" s="105"/>
      <c r="F7" s="110" t="b">
        <v>0</v>
      </c>
      <c r="G7" s="105" t="str">
        <f>IF(F7=True, IFERROR(VLOOKUP(D7, Repository!A:B, 2, 0), ""), "")</f>
        <v/>
      </c>
      <c r="H7" s="105"/>
      <c r="I7" s="105"/>
      <c r="J7" s="105" t="str">
        <f>IF(F7=True, IFERROR(VLOOKUP(D7, Repository!A:C, 3, 0), ""), "")</f>
        <v/>
      </c>
      <c r="K7" s="105"/>
      <c r="L7" s="105" t="str">
        <f>IF(F7=True, IFERROR(VLOOKUP(D7, Repository!A:E, 5, 0), ""), "")</f>
        <v/>
      </c>
      <c r="M7" s="105"/>
      <c r="N7" s="105" t="str">
        <f>IF(F7=True, IFERROR(VLOOKUP(D7, Repository!A:G, 7, 0), ""), "")</f>
        <v/>
      </c>
      <c r="O7" s="105" t="str">
        <f>IFERROR(__xludf.DUMMYFUNCTION("ARRAY_CONSTRAIN(
  ARRAYFORMULA(
    IFERROR(
      LET(
        list, N7,
        arr, TRIM(SPLIT(list, "","")),
        names, XLOOKUP(
          arr,
          'Conformance Score'!A:A,
          'Conformance Score'!B:B,
          ""Not found""
        "&amp;"),
        TEXTJOIN("", "", TRUE, names)
      ),
      """"
    )
  ),
  1,
  1
)
"),"")</f>
        <v/>
      </c>
      <c r="P7" s="105" t="str">
        <f>IF(F7="Yes", IFERROR(VLOOKUP(D7, Repository!A:F, 6, 0), ""), "")</f>
        <v/>
      </c>
      <c r="Q7" s="105" t="str">
        <f>IF(F7="Yes", IFERROR(VLOOKUP(D7, Repository!A:I, 8, 0), ""), "")</f>
        <v/>
      </c>
      <c r="R7" s="105" t="str">
        <f>IF(F7="Yes", IFERROR(VLOOKUP(D7, Repository!A:J, 9, 0), ""), "")</f>
        <v/>
      </c>
      <c r="S7" s="105"/>
      <c r="T7" s="105"/>
      <c r="U7" s="105"/>
      <c r="V7" s="105"/>
      <c r="W7" s="105"/>
      <c r="X7" s="105"/>
      <c r="Y7" s="105"/>
      <c r="Z7" s="105"/>
      <c r="AA7" s="105"/>
      <c r="AB7" s="105"/>
      <c r="AC7" s="91"/>
      <c r="AD7" s="105"/>
      <c r="AE7" s="105"/>
      <c r="AF7" s="91"/>
      <c r="AG7" s="105"/>
      <c r="AH7" s="105"/>
      <c r="AI7" s="105" t="str">
        <f t="shared" si="1"/>
        <v/>
      </c>
      <c r="AJ7" s="108" t="str">
        <f t="shared" si="2"/>
        <v/>
      </c>
    </row>
    <row r="8">
      <c r="A8" s="104"/>
      <c r="B8" s="105" t="str">
        <f>IFERROR(__xludf.DUMMYFUNCTION("ARRAY_CONSTRAIN(
  ARRAYFORMULA(
    IF(
      'Final Report'!A8="""",
      """",
      TEXTJOIN(
        "", "" &amp; CHAR(10),
        TRUE,
        IFERROR(
          VLOOKUP(
            TRIM(
              SPLIT('Final Report'!A8, "","")
            ),
"&amp;"            'URL Details'!A:B,
            2,
            FALSE
          ),
          """"
        )
      )
    )
  ),
  1,
  1
)
"),"")</f>
        <v/>
      </c>
      <c r="C8" s="105" t="str">
        <f>IFERROR(__xludf.DUMMYFUNCTION("IFERROR(IF('Final Report'!A8="""","""", TEXTJOIN(CHAR(10), TRUE, ARRAYFORMULA( ""• ""&amp; FILTER( TRIM(FLATTEN(SPLIT( REGEXREPLACE( SUBSTITUTE(TEXTJOIN("","", TRUE, IFERROR(ARRAYFORMULA(VLOOKUP(TRIM(SPLIT('Final Report'!A8, "","")), 'URL Details'!A:D, 4, FAL"&amp;"SE)),"""") ), CHAR(10), "",""), ""\s*,\s*"", "",""), "",""))), TRIM(FLATTEN(SPLIT( REGEXREPLACE( SUBSTITUTE(TEXTJOIN("","", TRUE, IFERROR(ARRAYFORMULA(VLOOKUP(TRIM(SPLIT('Final Report'!A8, "","")), 'URL Details'!A:D, 4, FALSE)),"""") ), CHAR(10), "",""), "&amp;"""\s*,\s*"", "",""), "","")))&lt;&gt;"""" ) ) ) ),"""")
"),"")</f>
        <v/>
      </c>
      <c r="D8" s="105"/>
      <c r="E8" s="105"/>
      <c r="F8" s="110" t="b">
        <v>0</v>
      </c>
      <c r="G8" s="105" t="str">
        <f>IF(F8=True, IFERROR(VLOOKUP(D8, Repository!A:B, 2, 0), ""), "")</f>
        <v/>
      </c>
      <c r="H8" s="105"/>
      <c r="I8" s="105"/>
      <c r="J8" s="105" t="str">
        <f>IF(F8=True, IFERROR(VLOOKUP(D8, Repository!A:C, 3, 0), ""), "")</f>
        <v/>
      </c>
      <c r="K8" s="105"/>
      <c r="L8" s="105" t="str">
        <f>IF(F8=True, IFERROR(VLOOKUP(D8, Repository!A:E, 5, 0), ""), "")</f>
        <v/>
      </c>
      <c r="M8" s="105"/>
      <c r="N8" s="105" t="str">
        <f>IF(F8=True, IFERROR(VLOOKUP(D8, Repository!A:G, 7, 0), ""), "")</f>
        <v/>
      </c>
      <c r="O8" s="105" t="str">
        <f>IFERROR(__xludf.DUMMYFUNCTION("ARRAY_CONSTRAIN(
  ARRAYFORMULA(
    IFERROR(
      LET(
        list, N8,
        arr, TRIM(SPLIT(list, "","")),
        names, XLOOKUP(
          arr,
          'Conformance Score'!A:A,
          'Conformance Score'!B:B,
          ""Not found""
        "&amp;"),
        TEXTJOIN("", "", TRUE, names)
      ),
      """"
    )
  ),
  1,
  1
)
"),"")</f>
        <v/>
      </c>
      <c r="P8" s="105" t="str">
        <f>IF(F8="Yes", IFERROR(VLOOKUP(D8, Repository!A:F, 6, 0), ""), "")</f>
        <v/>
      </c>
      <c r="Q8" s="105" t="str">
        <f>IF(F8="Yes", IFERROR(VLOOKUP(D8, Repository!A:I, 8, 0), ""), "")</f>
        <v/>
      </c>
      <c r="R8" s="105" t="str">
        <f>IF(F8="Yes", IFERROR(VLOOKUP(D8, Repository!A:J, 9, 0), ""), "")</f>
        <v/>
      </c>
      <c r="S8" s="105"/>
      <c r="T8" s="105"/>
      <c r="U8" s="105"/>
      <c r="V8" s="105"/>
      <c r="W8" s="105"/>
      <c r="X8" s="105"/>
      <c r="Y8" s="105"/>
      <c r="Z8" s="105"/>
      <c r="AA8" s="105"/>
      <c r="AB8" s="105"/>
      <c r="AC8" s="91"/>
      <c r="AD8" s="105"/>
      <c r="AE8" s="105"/>
      <c r="AF8" s="91"/>
      <c r="AG8" s="105"/>
      <c r="AH8" s="105"/>
      <c r="AI8" s="105" t="str">
        <f t="shared" si="1"/>
        <v/>
      </c>
      <c r="AJ8" s="108" t="str">
        <f t="shared" si="2"/>
        <v/>
      </c>
    </row>
    <row r="9">
      <c r="A9" s="104"/>
      <c r="B9" s="105" t="str">
        <f>IFERROR(__xludf.DUMMYFUNCTION("ARRAY_CONSTRAIN(
  ARRAYFORMULA(
    IF(
      'Final Report'!A9="""",
      """",
      TEXTJOIN(
        "", "" &amp; CHAR(10),
        TRUE,
        IFERROR(
          VLOOKUP(
            TRIM(
              SPLIT('Final Report'!A9, "","")
            ),
"&amp;"            'URL Details'!A:B,
            2,
            FALSE
          ),
          """"
        )
      )
    )
  ),
  1,
  1
)
"),"")</f>
        <v/>
      </c>
      <c r="C9" s="105" t="str">
        <f>IFERROR(__xludf.DUMMYFUNCTION("IFERROR(IF('Final Report'!A9="""","""", TEXTJOIN(CHAR(10), TRUE, ARRAYFORMULA( ""• ""&amp; FILTER( TRIM(FLATTEN(SPLIT( REGEXREPLACE( SUBSTITUTE(TEXTJOIN("","", TRUE, IFERROR(ARRAYFORMULA(VLOOKUP(TRIM(SPLIT('Final Report'!A9, "","")), 'URL Details'!A:D, 4, FAL"&amp;"SE)),"""") ), CHAR(10), "",""), ""\s*,\s*"", "",""), "",""))), TRIM(FLATTEN(SPLIT( REGEXREPLACE( SUBSTITUTE(TEXTJOIN("","", TRUE, IFERROR(ARRAYFORMULA(VLOOKUP(TRIM(SPLIT('Final Report'!A9, "","")), 'URL Details'!A:D, 4, FALSE)),"""") ), CHAR(10), "",""), "&amp;"""\s*,\s*"", "",""), "","")))&lt;&gt;"""" ) ) ) ),"""")
"),"")</f>
        <v/>
      </c>
      <c r="D9" s="105"/>
      <c r="E9" s="105"/>
      <c r="F9" s="110" t="b">
        <v>0</v>
      </c>
      <c r="G9" s="105" t="str">
        <f>IF(F9=True, IFERROR(VLOOKUP(D9, Repository!A:B, 2, 0), ""), "")</f>
        <v/>
      </c>
      <c r="H9" s="105"/>
      <c r="I9" s="105"/>
      <c r="J9" s="105" t="str">
        <f>IF(F9=True, IFERROR(VLOOKUP(D9, Repository!A:C, 3, 0), ""), "")</f>
        <v/>
      </c>
      <c r="K9" s="105"/>
      <c r="L9" s="105" t="str">
        <f>IF(F9=True, IFERROR(VLOOKUP(D9, Repository!A:E, 5, 0), ""), "")</f>
        <v/>
      </c>
      <c r="M9" s="105"/>
      <c r="N9" s="105" t="str">
        <f>IF(F9=True, IFERROR(VLOOKUP(D9, Repository!A:G, 7, 0), ""), "")</f>
        <v/>
      </c>
      <c r="O9" s="105" t="str">
        <f>IFERROR(__xludf.DUMMYFUNCTION("ARRAY_CONSTRAIN(
  ARRAYFORMULA(
    IFERROR(
      LET(
        list, N9,
        arr, TRIM(SPLIT(list, "","")),
        names, XLOOKUP(
          arr,
          'Conformance Score'!A:A,
          'Conformance Score'!B:B,
          ""Not found""
        "&amp;"),
        TEXTJOIN("", "", TRUE, names)
      ),
      """"
    )
  ),
  1,
  1
)
"),"")</f>
        <v/>
      </c>
      <c r="P9" s="105" t="str">
        <f>IF(F9="Yes", IFERROR(VLOOKUP(D9, Repository!A:F, 6, 0), ""), "")</f>
        <v/>
      </c>
      <c r="Q9" s="105" t="str">
        <f>IF(F9="Yes", IFERROR(VLOOKUP(D9, Repository!A:I, 8, 0), ""), "")</f>
        <v/>
      </c>
      <c r="R9" s="105" t="str">
        <f>IF(F9="Yes", IFERROR(VLOOKUP(D9, Repository!A:J, 9, 0), ""), "")</f>
        <v/>
      </c>
      <c r="S9" s="105"/>
      <c r="T9" s="105"/>
      <c r="U9" s="105"/>
      <c r="V9" s="105"/>
      <c r="W9" s="105"/>
      <c r="X9" s="105"/>
      <c r="Y9" s="105"/>
      <c r="Z9" s="105"/>
      <c r="AA9" s="105"/>
      <c r="AB9" s="105"/>
      <c r="AC9" s="91"/>
      <c r="AD9" s="105"/>
      <c r="AE9" s="105"/>
      <c r="AF9" s="91"/>
      <c r="AG9" s="105"/>
      <c r="AH9" s="105"/>
      <c r="AI9" s="105" t="str">
        <f t="shared" si="1"/>
        <v/>
      </c>
      <c r="AJ9" s="108" t="str">
        <f t="shared" si="2"/>
        <v/>
      </c>
    </row>
    <row r="10">
      <c r="A10" s="104"/>
      <c r="B10" s="105" t="str">
        <f>IFERROR(__xludf.DUMMYFUNCTION("ARRAY_CONSTRAIN(
  ARRAYFORMULA(
    IF(
      'Final Report'!A10="""",
      """",
      TEXTJOIN(
        "", "" &amp; CHAR(10),
        TRUE,
        IFERROR(
          VLOOKUP(
            TRIM(
              SPLIT('Final Report'!A10, "","")
            )"&amp;",
            'URL Details'!A:B,
            2,
            FALSE
          ),
          """"
        )
      )
    )
  ),
  1,
  1
)
"),"")</f>
        <v/>
      </c>
      <c r="C10" s="105" t="str">
        <f>IFERROR(__xludf.DUMMYFUNCTION("IFERROR(IF('Final Report'!A10="""","""", TEXTJOIN(CHAR(10), TRUE, ARRAYFORMULA( ""• ""&amp; FILTER( TRIM(FLATTEN(SPLIT( REGEXREPLACE( SUBSTITUTE(TEXTJOIN("","", TRUE, IFERROR(ARRAYFORMULA(VLOOKUP(TRIM(SPLIT('Final Report'!A10, "","")), 'URL Details'!A:D, 4, F"&amp;"ALSE)),"""") ), CHAR(10), "",""), ""\s*,\s*"", "",""), "",""))), TRIM(FLATTEN(SPLIT( REGEXREPLACE( SUBSTITUTE(TEXTJOIN("","", TRUE, IFERROR(ARRAYFORMULA(VLOOKUP(TRIM(SPLIT('Final Report'!A10, "","")), 'URL Details'!A:D, 4, FALSE)),"""") ), CHAR(10), "","""&amp;"), ""\s*,\s*"", "",""), "","")))&lt;&gt;"""" ) ) ) ),"""")
"),"")</f>
        <v/>
      </c>
      <c r="D10" s="105"/>
      <c r="E10" s="105"/>
      <c r="F10" s="110" t="b">
        <v>0</v>
      </c>
      <c r="G10" s="105" t="str">
        <f>IF(F10=True, IFERROR(VLOOKUP(D10, Repository!A:B, 2, 0), ""), "")</f>
        <v/>
      </c>
      <c r="H10" s="105"/>
      <c r="I10" s="105"/>
      <c r="J10" s="105" t="str">
        <f>IF(F10=True, IFERROR(VLOOKUP(D10, Repository!A:C, 3, 0), ""), "")</f>
        <v/>
      </c>
      <c r="K10" s="105"/>
      <c r="L10" s="105" t="str">
        <f>IF(F10=True, IFERROR(VLOOKUP(D10, Repository!A:E, 5, 0), ""), "")</f>
        <v/>
      </c>
      <c r="M10" s="105"/>
      <c r="N10" s="105" t="str">
        <f>IF(F10=True, IFERROR(VLOOKUP(D10, Repository!A:G, 7, 0), ""), "")</f>
        <v/>
      </c>
      <c r="O10" s="105" t="str">
        <f>IFERROR(__xludf.DUMMYFUNCTION("ARRAY_CONSTRAIN(
  ARRAYFORMULA(
    IFERROR(
      LET(
        list, N10,
        arr, TRIM(SPLIT(list, "","")),
        names, XLOOKUP(
          arr,
          'Conformance Score'!A:A,
          'Conformance Score'!B:B,
          ""Not found""
       "&amp;" ),
        TEXTJOIN("", "", TRUE, names)
      ),
      """"
    )
  ),
  1,
  1
)
"),"")</f>
        <v/>
      </c>
      <c r="P10" s="105" t="str">
        <f>IF(F10="Yes", IFERROR(VLOOKUP(D10, Repository!A:F, 6, 0), ""), "")</f>
        <v/>
      </c>
      <c r="Q10" s="105" t="str">
        <f>IF(F10="Yes", IFERROR(VLOOKUP(D10, Repository!A:I, 8, 0), ""), "")</f>
        <v/>
      </c>
      <c r="R10" s="105" t="str">
        <f>IF(F10="Yes", IFERROR(VLOOKUP(D10, Repository!A:J, 9, 0), ""), "")</f>
        <v/>
      </c>
      <c r="S10" s="105"/>
      <c r="T10" s="105"/>
      <c r="U10" s="105"/>
      <c r="V10" s="105"/>
      <c r="W10" s="105"/>
      <c r="X10" s="105"/>
      <c r="Y10" s="105"/>
      <c r="Z10" s="105"/>
      <c r="AA10" s="105"/>
      <c r="AB10" s="105"/>
      <c r="AC10" s="91"/>
      <c r="AD10" s="105"/>
      <c r="AE10" s="105"/>
      <c r="AF10" s="91"/>
      <c r="AG10" s="105"/>
      <c r="AH10" s="105"/>
      <c r="AI10" s="105" t="str">
        <f t="shared" si="1"/>
        <v/>
      </c>
      <c r="AJ10" s="108" t="str">
        <f t="shared" si="2"/>
        <v/>
      </c>
    </row>
    <row r="11">
      <c r="A11" s="104"/>
      <c r="B11" s="105" t="str">
        <f>IFERROR(__xludf.DUMMYFUNCTION("ARRAY_CONSTRAIN(
  ARRAYFORMULA(
    IF(
      'Final Report'!A11="""",
      """",
      TEXTJOIN(
        "", "" &amp; CHAR(10),
        TRUE,
        IFERROR(
          VLOOKUP(
            TRIM(
              SPLIT('Final Report'!A11, "","")
            )"&amp;",
            'URL Details'!A:B,
            2,
            FALSE
          ),
          """"
        )
      )
    )
  ),
  1,
  1
)
"),"")</f>
        <v/>
      </c>
      <c r="C11" s="105" t="str">
        <f>IFERROR(__xludf.DUMMYFUNCTION("IFERROR(IF('Final Report'!A11="""","""", TEXTJOIN(CHAR(10), TRUE, ARRAYFORMULA( ""• ""&amp; FILTER( TRIM(FLATTEN(SPLIT( REGEXREPLACE( SUBSTITUTE(TEXTJOIN("","", TRUE, IFERROR(ARRAYFORMULA(VLOOKUP(TRIM(SPLIT('Final Report'!A11, "","")), 'URL Details'!A:D, 4, F"&amp;"ALSE)),"""") ), CHAR(10), "",""), ""\s*,\s*"", "",""), "",""))), TRIM(FLATTEN(SPLIT( REGEXREPLACE( SUBSTITUTE(TEXTJOIN("","", TRUE, IFERROR(ARRAYFORMULA(VLOOKUP(TRIM(SPLIT('Final Report'!A11, "","")), 'URL Details'!A:D, 4, FALSE)),"""") ), CHAR(10), "","""&amp;"), ""\s*,\s*"", "",""), "","")))&lt;&gt;"""" ) ) ) ),"""")
"),"")</f>
        <v/>
      </c>
      <c r="D11" s="105"/>
      <c r="E11" s="105"/>
      <c r="F11" s="110" t="b">
        <v>0</v>
      </c>
      <c r="G11" s="105" t="str">
        <f>IF(F11=True, IFERROR(VLOOKUP(D11, Repository!A:B, 2, 0), ""), "")</f>
        <v/>
      </c>
      <c r="H11" s="105"/>
      <c r="I11" s="105"/>
      <c r="J11" s="105" t="str">
        <f>IF(F11=True, IFERROR(VLOOKUP(D11, Repository!A:C, 3, 0), ""), "")</f>
        <v/>
      </c>
      <c r="K11" s="105"/>
      <c r="L11" s="105" t="str">
        <f>IF(F11=True, IFERROR(VLOOKUP(D11, Repository!A:E, 5, 0), ""), "")</f>
        <v/>
      </c>
      <c r="M11" s="105"/>
      <c r="N11" s="105" t="str">
        <f>IF(F11=True, IFERROR(VLOOKUP(D11, Repository!A:G, 7, 0), ""), "")</f>
        <v/>
      </c>
      <c r="O11" s="105" t="str">
        <f>IFERROR(__xludf.DUMMYFUNCTION("ARRAY_CONSTRAIN(
  ARRAYFORMULA(
    IFERROR(
      LET(
        list, N11,
        arr, TRIM(SPLIT(list, "","")),
        names, XLOOKUP(
          arr,
          'Conformance Score'!A:A,
          'Conformance Score'!B:B,
          ""Not found""
       "&amp;" ),
        TEXTJOIN("", "", TRUE, names)
      ),
      """"
    )
  ),
  1,
  1
)
"),"")</f>
        <v/>
      </c>
      <c r="P11" s="105" t="str">
        <f>IF(F11="Yes", IFERROR(VLOOKUP(D11, Repository!A:F, 6, 0), ""), "")</f>
        <v/>
      </c>
      <c r="Q11" s="105" t="str">
        <f>IF(F11="Yes", IFERROR(VLOOKUP(D11, Repository!A:I, 8, 0), ""), "")</f>
        <v/>
      </c>
      <c r="R11" s="105" t="str">
        <f>IF(F11="Yes", IFERROR(VLOOKUP(D11, Repository!A:J, 9, 0), ""), "")</f>
        <v/>
      </c>
      <c r="S11" s="105"/>
      <c r="T11" s="105"/>
      <c r="U11" s="105"/>
      <c r="V11" s="105"/>
      <c r="W11" s="105"/>
      <c r="X11" s="105"/>
      <c r="Y11" s="105"/>
      <c r="Z11" s="105"/>
      <c r="AA11" s="105"/>
      <c r="AB11" s="105"/>
      <c r="AC11" s="91"/>
      <c r="AD11" s="105"/>
      <c r="AE11" s="105"/>
      <c r="AF11" s="91"/>
      <c r="AG11" s="105"/>
      <c r="AH11" s="105"/>
      <c r="AI11" s="105" t="str">
        <f t="shared" si="1"/>
        <v/>
      </c>
      <c r="AJ11" s="108" t="str">
        <f t="shared" si="2"/>
        <v/>
      </c>
    </row>
    <row r="12">
      <c r="A12" s="104"/>
      <c r="B12" s="105" t="str">
        <f>IFERROR(__xludf.DUMMYFUNCTION("ARRAY_CONSTRAIN(
  ARRAYFORMULA(
    IF(
      'Final Report'!A12="""",
      """",
      TEXTJOIN(
        "", "" &amp; CHAR(10),
        TRUE,
        IFERROR(
          VLOOKUP(
            TRIM(
              SPLIT('Final Report'!A12, "","")
            )"&amp;",
            'URL Details'!A:B,
            2,
            FALSE
          ),
          """"
        )
      )
    )
  ),
  1,
  1
)
"),"")</f>
        <v/>
      </c>
      <c r="C12" s="105" t="str">
        <f>IFERROR(__xludf.DUMMYFUNCTION("IFERROR(IF('Final Report'!A12="""","""", TEXTJOIN(CHAR(10), TRUE, ARRAYFORMULA( ""• ""&amp; FILTER( TRIM(FLATTEN(SPLIT( REGEXREPLACE( SUBSTITUTE(TEXTJOIN("","", TRUE, IFERROR(ARRAYFORMULA(VLOOKUP(TRIM(SPLIT('Final Report'!A12, "","")), 'URL Details'!A:D, 4, F"&amp;"ALSE)),"""") ), CHAR(10), "",""), ""\s*,\s*"", "",""), "",""))), TRIM(FLATTEN(SPLIT( REGEXREPLACE( SUBSTITUTE(TEXTJOIN("","", TRUE, IFERROR(ARRAYFORMULA(VLOOKUP(TRIM(SPLIT('Final Report'!A12, "","")), 'URL Details'!A:D, 4, FALSE)),"""") ), CHAR(10), "","""&amp;"), ""\s*,\s*"", "",""), "","")))&lt;&gt;"""" ) ) ) ),"""")
"),"")</f>
        <v/>
      </c>
      <c r="D12" s="105"/>
      <c r="E12" s="105"/>
      <c r="F12" s="110" t="b">
        <v>0</v>
      </c>
      <c r="G12" s="105" t="str">
        <f>IF(F12=True, IFERROR(VLOOKUP(D12, Repository!A:B, 2, 0), ""), "")</f>
        <v/>
      </c>
      <c r="H12" s="105"/>
      <c r="I12" s="105"/>
      <c r="J12" s="105" t="str">
        <f>IF(F12=True, IFERROR(VLOOKUP(D12, Repository!A:C, 3, 0), ""), "")</f>
        <v/>
      </c>
      <c r="K12" s="105"/>
      <c r="L12" s="105" t="str">
        <f>IF(F12=True, IFERROR(VLOOKUP(D12, Repository!A:E, 5, 0), ""), "")</f>
        <v/>
      </c>
      <c r="M12" s="105"/>
      <c r="N12" s="105" t="str">
        <f>IF(F12=True, IFERROR(VLOOKUP(D12, Repository!A:G, 7, 0), ""), "")</f>
        <v/>
      </c>
      <c r="O12" s="105" t="str">
        <f>IFERROR(__xludf.DUMMYFUNCTION("ARRAY_CONSTRAIN(
  ARRAYFORMULA(
    IFERROR(
      LET(
        list, N12,
        arr, TRIM(SPLIT(list, "","")),
        names, XLOOKUP(
          arr,
          'Conformance Score'!A:A,
          'Conformance Score'!B:B,
          ""Not found""
       "&amp;" ),
        TEXTJOIN("", "", TRUE, names)
      ),
      """"
    )
  ),
  1,
  1
)
"),"")</f>
        <v/>
      </c>
      <c r="P12" s="105" t="str">
        <f>IF(F12="Yes", IFERROR(VLOOKUP(D12, Repository!A:F, 6, 0), ""), "")</f>
        <v/>
      </c>
      <c r="Q12" s="105" t="str">
        <f>IF(F12="Yes", IFERROR(VLOOKUP(D12, Repository!A:I, 8, 0), ""), "")</f>
        <v/>
      </c>
      <c r="R12" s="105" t="str">
        <f>IF(F12="Yes", IFERROR(VLOOKUP(D12, Repository!A:J, 9, 0), ""), "")</f>
        <v/>
      </c>
      <c r="S12" s="105"/>
      <c r="T12" s="105"/>
      <c r="U12" s="105"/>
      <c r="V12" s="105"/>
      <c r="W12" s="105"/>
      <c r="X12" s="105"/>
      <c r="Y12" s="105"/>
      <c r="Z12" s="105"/>
      <c r="AA12" s="105"/>
      <c r="AB12" s="105"/>
      <c r="AC12" s="91"/>
      <c r="AD12" s="105"/>
      <c r="AE12" s="105"/>
      <c r="AF12" s="91"/>
      <c r="AG12" s="105"/>
      <c r="AH12" s="105"/>
      <c r="AI12" s="105" t="str">
        <f t="shared" si="1"/>
        <v/>
      </c>
      <c r="AJ12" s="108" t="str">
        <f t="shared" si="2"/>
        <v/>
      </c>
    </row>
    <row r="13">
      <c r="A13" s="104"/>
      <c r="B13" s="105" t="str">
        <f>IFERROR(__xludf.DUMMYFUNCTION("ARRAY_CONSTRAIN(
  ARRAYFORMULA(
    IF(
      'Final Report'!A13="""",
      """",
      TEXTJOIN(
        "", "" &amp; CHAR(10),
        TRUE,
        IFERROR(
          VLOOKUP(
            TRIM(
              SPLIT('Final Report'!A13, "","")
            )"&amp;",
            'URL Details'!A:B,
            2,
            FALSE
          ),
          """"
        )
      )
    )
  ),
  1,
  1
)
"),"")</f>
        <v/>
      </c>
      <c r="C13" s="105" t="str">
        <f>IFERROR(__xludf.DUMMYFUNCTION("IFERROR(IF('Final Report'!A13="""","""", TEXTJOIN(CHAR(10), TRUE, ARRAYFORMULA( ""• ""&amp; FILTER( TRIM(FLATTEN(SPLIT( REGEXREPLACE( SUBSTITUTE(TEXTJOIN("","", TRUE, IFERROR(ARRAYFORMULA(VLOOKUP(TRIM(SPLIT('Final Report'!A13, "","")), 'URL Details'!A:D, 4, F"&amp;"ALSE)),"""") ), CHAR(10), "",""), ""\s*,\s*"", "",""), "",""))), TRIM(FLATTEN(SPLIT( REGEXREPLACE( SUBSTITUTE(TEXTJOIN("","", TRUE, IFERROR(ARRAYFORMULA(VLOOKUP(TRIM(SPLIT('Final Report'!A13, "","")), 'URL Details'!A:D, 4, FALSE)),"""") ), CHAR(10), "","""&amp;"), ""\s*,\s*"", "",""), "","")))&lt;&gt;"""" ) ) ) ),"""")
"),"")</f>
        <v/>
      </c>
      <c r="D13" s="105"/>
      <c r="E13" s="105"/>
      <c r="F13" s="110" t="b">
        <v>0</v>
      </c>
      <c r="G13" s="105" t="str">
        <f>IF(F13=True, IFERROR(VLOOKUP(D13, Repository!A:B, 2, 0), ""), "")</f>
        <v/>
      </c>
      <c r="H13" s="105"/>
      <c r="I13" s="105"/>
      <c r="J13" s="105" t="str">
        <f>IF(F13=True, IFERROR(VLOOKUP(D13, Repository!A:C, 3, 0), ""), "")</f>
        <v/>
      </c>
      <c r="K13" s="105"/>
      <c r="L13" s="105" t="str">
        <f>IF(F13=True, IFERROR(VLOOKUP(D13, Repository!A:E, 5, 0), ""), "")</f>
        <v/>
      </c>
      <c r="M13" s="105"/>
      <c r="N13" s="105" t="str">
        <f>IF(F13=True, IFERROR(VLOOKUP(D13, Repository!A:G, 7, 0), ""), "")</f>
        <v/>
      </c>
      <c r="O13" s="105" t="str">
        <f>IFERROR(__xludf.DUMMYFUNCTION("ARRAY_CONSTRAIN(
  ARRAYFORMULA(
    IFERROR(
      LET(
        list, N13,
        arr, TRIM(SPLIT(list, "","")),
        names, XLOOKUP(
          arr,
          'Conformance Score'!A:A,
          'Conformance Score'!B:B,
          ""Not found""
       "&amp;" ),
        TEXTJOIN("", "", TRUE, names)
      ),
      """"
    )
  ),
  1,
  1
)
"),"")</f>
        <v/>
      </c>
      <c r="P13" s="105" t="str">
        <f>IF(F13="Yes", IFERROR(VLOOKUP(D13, Repository!A:F, 6, 0), ""), "")</f>
        <v/>
      </c>
      <c r="Q13" s="105" t="str">
        <f>IF(F13="Yes", IFERROR(VLOOKUP(D13, Repository!A:I, 8, 0), ""), "")</f>
        <v/>
      </c>
      <c r="R13" s="105" t="str">
        <f>IF(F13="Yes", IFERROR(VLOOKUP(D13, Repository!A:J, 9, 0), ""), "")</f>
        <v/>
      </c>
      <c r="S13" s="105"/>
      <c r="T13" s="105"/>
      <c r="U13" s="105"/>
      <c r="V13" s="105"/>
      <c r="W13" s="105"/>
      <c r="X13" s="105"/>
      <c r="Y13" s="105"/>
      <c r="Z13" s="105"/>
      <c r="AA13" s="105"/>
      <c r="AB13" s="105"/>
      <c r="AC13" s="91"/>
      <c r="AD13" s="105"/>
      <c r="AE13" s="105"/>
      <c r="AF13" s="91"/>
      <c r="AG13" s="105"/>
      <c r="AH13" s="105"/>
      <c r="AI13" s="105" t="str">
        <f t="shared" si="1"/>
        <v/>
      </c>
      <c r="AJ13" s="108" t="str">
        <f t="shared" si="2"/>
        <v/>
      </c>
    </row>
    <row r="14">
      <c r="A14" s="104"/>
      <c r="B14" s="105" t="str">
        <f>IFERROR(__xludf.DUMMYFUNCTION("ARRAY_CONSTRAIN(
  ARRAYFORMULA(
    IF(
      'Final Report'!A14="""",
      """",
      TEXTJOIN(
        "", "" &amp; CHAR(10),
        TRUE,
        IFERROR(
          VLOOKUP(
            TRIM(
              SPLIT('Final Report'!A14, "","")
            )"&amp;",
            'URL Details'!A:B,
            2,
            FALSE
          ),
          """"
        )
      )
    )
  ),
  1,
  1
)
"),"")</f>
        <v/>
      </c>
      <c r="C14" s="105" t="str">
        <f>IFERROR(__xludf.DUMMYFUNCTION("IFERROR(IF('Final Report'!A14="""","""", TEXTJOIN(CHAR(10), TRUE, ARRAYFORMULA( ""• ""&amp; FILTER( TRIM(FLATTEN(SPLIT( REGEXREPLACE( SUBSTITUTE(TEXTJOIN("","", TRUE, IFERROR(ARRAYFORMULA(VLOOKUP(TRIM(SPLIT('Final Report'!A14, "","")), 'URL Details'!A:D, 4, F"&amp;"ALSE)),"""") ), CHAR(10), "",""), ""\s*,\s*"", "",""), "",""))), TRIM(FLATTEN(SPLIT( REGEXREPLACE( SUBSTITUTE(TEXTJOIN("","", TRUE, IFERROR(ARRAYFORMULA(VLOOKUP(TRIM(SPLIT('Final Report'!A14, "","")), 'URL Details'!A:D, 4, FALSE)),"""") ), CHAR(10), "","""&amp;"), ""\s*,\s*"", "",""), "","")))&lt;&gt;"""" ) ) ) ),"""")
"),"")</f>
        <v/>
      </c>
      <c r="D14" s="105"/>
      <c r="E14" s="105"/>
      <c r="F14" s="110" t="b">
        <v>0</v>
      </c>
      <c r="G14" s="105" t="str">
        <f>IF(F14=True, IFERROR(VLOOKUP(D14, Repository!A:B, 2, 0), ""), "")</f>
        <v/>
      </c>
      <c r="H14" s="105"/>
      <c r="I14" s="105"/>
      <c r="J14" s="105" t="str">
        <f>IF(F14=True, IFERROR(VLOOKUP(D14, Repository!A:C, 3, 0), ""), "")</f>
        <v/>
      </c>
      <c r="K14" s="105"/>
      <c r="L14" s="105" t="str">
        <f>IF(F14=True, IFERROR(VLOOKUP(D14, Repository!A:E, 5, 0), ""), "")</f>
        <v/>
      </c>
      <c r="M14" s="105"/>
      <c r="N14" s="105" t="str">
        <f>IF(F14=True, IFERROR(VLOOKUP(D14, Repository!A:G, 7, 0), ""), "")</f>
        <v/>
      </c>
      <c r="O14" s="105" t="str">
        <f>IFERROR(__xludf.DUMMYFUNCTION("ARRAY_CONSTRAIN(
  ARRAYFORMULA(
    IFERROR(
      LET(
        list, N14,
        arr, TRIM(SPLIT(list, "","")),
        names, XLOOKUP(
          arr,
          'Conformance Score'!A:A,
          'Conformance Score'!B:B,
          ""Not found""
       "&amp;" ),
        TEXTJOIN("", "", TRUE, names)
      ),
      """"
    )
  ),
  1,
  1
)
"),"")</f>
        <v/>
      </c>
      <c r="P14" s="105" t="str">
        <f>IF(F14="Yes", IFERROR(VLOOKUP(D14, Repository!A:F, 6, 0), ""), "")</f>
        <v/>
      </c>
      <c r="Q14" s="105" t="str">
        <f>IF(F14="Yes", IFERROR(VLOOKUP(D14, Repository!A:I, 8, 0), ""), "")</f>
        <v/>
      </c>
      <c r="R14" s="105" t="str">
        <f>IF(F14="Yes", IFERROR(VLOOKUP(D14, Repository!A:J, 9, 0), ""), "")</f>
        <v/>
      </c>
      <c r="S14" s="105"/>
      <c r="T14" s="105"/>
      <c r="U14" s="105"/>
      <c r="V14" s="105"/>
      <c r="W14" s="105"/>
      <c r="X14" s="105"/>
      <c r="Y14" s="105"/>
      <c r="Z14" s="105"/>
      <c r="AA14" s="105"/>
      <c r="AB14" s="105"/>
      <c r="AC14" s="91"/>
      <c r="AD14" s="105"/>
      <c r="AE14" s="105"/>
      <c r="AF14" s="91"/>
      <c r="AG14" s="105"/>
      <c r="AH14" s="105"/>
      <c r="AI14" s="105" t="str">
        <f t="shared" si="1"/>
        <v/>
      </c>
      <c r="AJ14" s="108" t="str">
        <f t="shared" si="2"/>
        <v/>
      </c>
    </row>
    <row r="15">
      <c r="A15" s="104"/>
      <c r="B15" s="105" t="str">
        <f>IFERROR(__xludf.DUMMYFUNCTION("ARRAY_CONSTRAIN(
  ARRAYFORMULA(
    IF(
      'Final Report'!A15="""",
      """",
      TEXTJOIN(
        "", "" &amp; CHAR(10),
        TRUE,
        IFERROR(
          VLOOKUP(
            TRIM(
              SPLIT('Final Report'!A15, "","")
            )"&amp;",
            'URL Details'!A:B,
            2,
            FALSE
          ),
          """"
        )
      )
    )
  ),
  1,
  1
)
"),"")</f>
        <v/>
      </c>
      <c r="C15" s="105" t="str">
        <f>IFERROR(__xludf.DUMMYFUNCTION("IFERROR(IF('Final Report'!A15="""","""", TEXTJOIN(CHAR(10), TRUE, ARRAYFORMULA( ""• ""&amp; FILTER( TRIM(FLATTEN(SPLIT( REGEXREPLACE( SUBSTITUTE(TEXTJOIN("","", TRUE, IFERROR(ARRAYFORMULA(VLOOKUP(TRIM(SPLIT('Final Report'!A15, "","")), 'URL Details'!A:D, 4, F"&amp;"ALSE)),"""") ), CHAR(10), "",""), ""\s*,\s*"", "",""), "",""))), TRIM(FLATTEN(SPLIT( REGEXREPLACE( SUBSTITUTE(TEXTJOIN("","", TRUE, IFERROR(ARRAYFORMULA(VLOOKUP(TRIM(SPLIT('Final Report'!A15, "","")), 'URL Details'!A:D, 4, FALSE)),"""") ), CHAR(10), "","""&amp;"), ""\s*,\s*"", "",""), "","")))&lt;&gt;"""" ) ) ) ),"""")
"),"")</f>
        <v/>
      </c>
      <c r="D15" s="105"/>
      <c r="E15" s="105"/>
      <c r="F15" s="110" t="b">
        <v>0</v>
      </c>
      <c r="G15" s="105" t="str">
        <f>IF(F15=True, IFERROR(VLOOKUP(D15, Repository!A:B, 2, 0), ""), "")</f>
        <v/>
      </c>
      <c r="H15" s="105"/>
      <c r="I15" s="105"/>
      <c r="J15" s="105" t="str">
        <f>IF(F15=True, IFERROR(VLOOKUP(D15, Repository!A:C, 3, 0), ""), "")</f>
        <v/>
      </c>
      <c r="K15" s="105"/>
      <c r="L15" s="105" t="str">
        <f>IF(F15=True, IFERROR(VLOOKUP(D15, Repository!A:E, 5, 0), ""), "")</f>
        <v/>
      </c>
      <c r="M15" s="105"/>
      <c r="N15" s="105" t="str">
        <f>IF(F15=True, IFERROR(VLOOKUP(D15, Repository!A:G, 7, 0), ""), "")</f>
        <v/>
      </c>
      <c r="O15" s="105" t="str">
        <f>IFERROR(__xludf.DUMMYFUNCTION("ARRAY_CONSTRAIN(
  ARRAYFORMULA(
    IFERROR(
      LET(
        list, N15,
        arr, TRIM(SPLIT(list, "","")),
        names, XLOOKUP(
          arr,
          'Conformance Score'!A:A,
          'Conformance Score'!B:B,
          ""Not found""
       "&amp;" ),
        TEXTJOIN("", "", TRUE, names)
      ),
      """"
    )
  ),
  1,
  1
)
"),"")</f>
        <v/>
      </c>
      <c r="P15" s="105" t="str">
        <f>IF(F15="Yes", IFERROR(VLOOKUP(D15, Repository!A:F, 6, 0), ""), "")</f>
        <v/>
      </c>
      <c r="Q15" s="105" t="str">
        <f>IF(F15="Yes", IFERROR(VLOOKUP(D15, Repository!A:I, 8, 0), ""), "")</f>
        <v/>
      </c>
      <c r="R15" s="105" t="str">
        <f>IF(F15="Yes", IFERROR(VLOOKUP(D15, Repository!A:J, 9, 0), ""), "")</f>
        <v/>
      </c>
      <c r="S15" s="105"/>
      <c r="T15" s="105"/>
      <c r="U15" s="105"/>
      <c r="V15" s="105"/>
      <c r="W15" s="105"/>
      <c r="X15" s="105"/>
      <c r="Y15" s="105"/>
      <c r="Z15" s="105"/>
      <c r="AA15" s="105"/>
      <c r="AB15" s="105"/>
      <c r="AC15" s="91"/>
      <c r="AD15" s="105"/>
      <c r="AE15" s="105"/>
      <c r="AF15" s="91"/>
      <c r="AG15" s="105"/>
      <c r="AH15" s="105"/>
      <c r="AI15" s="105" t="str">
        <f t="shared" si="1"/>
        <v/>
      </c>
      <c r="AJ15" s="108" t="str">
        <f t="shared" si="2"/>
        <v/>
      </c>
    </row>
    <row r="16">
      <c r="A16" s="104"/>
      <c r="B16" s="105" t="str">
        <f>IFERROR(__xludf.DUMMYFUNCTION("ARRAY_CONSTRAIN(
  ARRAYFORMULA(
    IF(
      'Final Report'!A16="""",
      """",
      TEXTJOIN(
        "", "" &amp; CHAR(10),
        TRUE,
        IFERROR(
          VLOOKUP(
            TRIM(
              SPLIT('Final Report'!A16, "","")
            )"&amp;",
            'URL Details'!A:B,
            2,
            FALSE
          ),
          """"
        )
      )
    )
  ),
  1,
  1
)
"),"")</f>
        <v/>
      </c>
      <c r="C16" s="105" t="str">
        <f>IFERROR(__xludf.DUMMYFUNCTION("IFERROR(IF('Final Report'!A16="""","""", TEXTJOIN(CHAR(10), TRUE, ARRAYFORMULA( ""• ""&amp; FILTER( TRIM(FLATTEN(SPLIT( REGEXREPLACE( SUBSTITUTE(TEXTJOIN("","", TRUE, IFERROR(ARRAYFORMULA(VLOOKUP(TRIM(SPLIT('Final Report'!A16, "","")), 'URL Details'!A:D, 4, F"&amp;"ALSE)),"""") ), CHAR(10), "",""), ""\s*,\s*"", "",""), "",""))), TRIM(FLATTEN(SPLIT( REGEXREPLACE( SUBSTITUTE(TEXTJOIN("","", TRUE, IFERROR(ARRAYFORMULA(VLOOKUP(TRIM(SPLIT('Final Report'!A16, "","")), 'URL Details'!A:D, 4, FALSE)),"""") ), CHAR(10), "","""&amp;"), ""\s*,\s*"", "",""), "","")))&lt;&gt;"""" ) ) ) ),"""")
"),"")</f>
        <v/>
      </c>
      <c r="D16" s="105"/>
      <c r="E16" s="105"/>
      <c r="F16" s="110" t="b">
        <v>0</v>
      </c>
      <c r="G16" s="105" t="str">
        <f>IF(F16=True, IFERROR(VLOOKUP(D16, Repository!A:B, 2, 0), ""), "")</f>
        <v/>
      </c>
      <c r="H16" s="105"/>
      <c r="I16" s="105"/>
      <c r="J16" s="105" t="str">
        <f>IF(F16=True, IFERROR(VLOOKUP(D16, Repository!A:C, 3, 0), ""), "")</f>
        <v/>
      </c>
      <c r="K16" s="105"/>
      <c r="L16" s="105" t="str">
        <f>IF(F16=True, IFERROR(VLOOKUP(D16, Repository!A:E, 5, 0), ""), "")</f>
        <v/>
      </c>
      <c r="M16" s="105"/>
      <c r="N16" s="105" t="str">
        <f>IF(F16=True, IFERROR(VLOOKUP(D16, Repository!A:G, 7, 0), ""), "")</f>
        <v/>
      </c>
      <c r="O16" s="105" t="str">
        <f>IFERROR(__xludf.DUMMYFUNCTION("ARRAY_CONSTRAIN(
  ARRAYFORMULA(
    IFERROR(
      LET(
        list, N16,
        arr, TRIM(SPLIT(list, "","")),
        names, XLOOKUP(
          arr,
          'Conformance Score'!A:A,
          'Conformance Score'!B:B,
          ""Not found""
       "&amp;" ),
        TEXTJOIN("", "", TRUE, names)
      ),
      """"
    )
  ),
  1,
  1
)
"),"")</f>
        <v/>
      </c>
      <c r="P16" s="105" t="str">
        <f>IF(F16="Yes", IFERROR(VLOOKUP(D16, Repository!A:F, 6, 0), ""), "")</f>
        <v/>
      </c>
      <c r="Q16" s="105" t="str">
        <f>IF(F16="Yes", IFERROR(VLOOKUP(D16, Repository!A:I, 8, 0), ""), "")</f>
        <v/>
      </c>
      <c r="R16" s="105" t="str">
        <f>IF(F16="Yes", IFERROR(VLOOKUP(D16, Repository!A:J, 9, 0), ""), "")</f>
        <v/>
      </c>
      <c r="S16" s="105"/>
      <c r="T16" s="105"/>
      <c r="U16" s="105"/>
      <c r="V16" s="105"/>
      <c r="W16" s="105"/>
      <c r="X16" s="105"/>
      <c r="Y16" s="105"/>
      <c r="Z16" s="105"/>
      <c r="AA16" s="105"/>
      <c r="AB16" s="105"/>
      <c r="AC16" s="91"/>
      <c r="AD16" s="105"/>
      <c r="AE16" s="105"/>
      <c r="AF16" s="91"/>
      <c r="AG16" s="105"/>
      <c r="AH16" s="105"/>
      <c r="AI16" s="105" t="str">
        <f t="shared" si="1"/>
        <v/>
      </c>
      <c r="AJ16" s="108" t="str">
        <f t="shared" si="2"/>
        <v/>
      </c>
    </row>
    <row r="17">
      <c r="A17" s="104"/>
      <c r="B17" s="105" t="str">
        <f>IFERROR(__xludf.DUMMYFUNCTION("ARRAY_CONSTRAIN(
  ARRAYFORMULA(
    IF(
      'Final Report'!A17="""",
      """",
      TEXTJOIN(
        "", "" &amp; CHAR(10),
        TRUE,
        IFERROR(
          VLOOKUP(
            TRIM(
              SPLIT('Final Report'!A17, "","")
            )"&amp;",
            'URL Details'!A:B,
            2,
            FALSE
          ),
          """"
        )
      )
    )
  ),
  1,
  1
)
"),"")</f>
        <v/>
      </c>
      <c r="C17" s="105" t="str">
        <f>IFERROR(__xludf.DUMMYFUNCTION("IFERROR(IF('Final Report'!A17="""","""", TEXTJOIN(CHAR(10), TRUE, ARRAYFORMULA( ""• ""&amp; FILTER( TRIM(FLATTEN(SPLIT( REGEXREPLACE( SUBSTITUTE(TEXTJOIN("","", TRUE, IFERROR(ARRAYFORMULA(VLOOKUP(TRIM(SPLIT('Final Report'!A17, "","")), 'URL Details'!A:D, 4, F"&amp;"ALSE)),"""") ), CHAR(10), "",""), ""\s*,\s*"", "",""), "",""))), TRIM(FLATTEN(SPLIT( REGEXREPLACE( SUBSTITUTE(TEXTJOIN("","", TRUE, IFERROR(ARRAYFORMULA(VLOOKUP(TRIM(SPLIT('Final Report'!A17, "","")), 'URL Details'!A:D, 4, FALSE)),"""") ), CHAR(10), "","""&amp;"), ""\s*,\s*"", "",""), "","")))&lt;&gt;"""" ) ) ) ),"""")
"),"")</f>
        <v/>
      </c>
      <c r="D17" s="105"/>
      <c r="E17" s="105"/>
      <c r="F17" s="110" t="b">
        <v>0</v>
      </c>
      <c r="G17" s="105" t="str">
        <f>IF(F17=True, IFERROR(VLOOKUP(D17, Repository!A:B, 2, 0), ""), "")</f>
        <v/>
      </c>
      <c r="H17" s="105"/>
      <c r="I17" s="105"/>
      <c r="J17" s="105" t="str">
        <f>IF(F17=True, IFERROR(VLOOKUP(D17, Repository!A:C, 3, 0), ""), "")</f>
        <v/>
      </c>
      <c r="K17" s="105"/>
      <c r="L17" s="105" t="str">
        <f>IF(F17=True, IFERROR(VLOOKUP(D17, Repository!A:E, 5, 0), ""), "")</f>
        <v/>
      </c>
      <c r="M17" s="105"/>
      <c r="N17" s="105" t="str">
        <f>IF(F17=True, IFERROR(VLOOKUP(D17, Repository!A:G, 7, 0), ""), "")</f>
        <v/>
      </c>
      <c r="O17" s="105" t="str">
        <f>IFERROR(__xludf.DUMMYFUNCTION("ARRAY_CONSTRAIN(
  ARRAYFORMULA(
    IFERROR(
      LET(
        list, N17,
        arr, TRIM(SPLIT(list, "","")),
        names, XLOOKUP(
          arr,
          'Conformance Score'!A:A,
          'Conformance Score'!B:B,
          ""Not found""
       "&amp;" ),
        TEXTJOIN("", "", TRUE, names)
      ),
      """"
    )
  ),
  1,
  1
)
"),"")</f>
        <v/>
      </c>
      <c r="P17" s="105" t="str">
        <f>IF(F17="Yes", IFERROR(VLOOKUP(D17, Repository!A:F, 6, 0), ""), "")</f>
        <v/>
      </c>
      <c r="Q17" s="105" t="str">
        <f>IF(F17="Yes", IFERROR(VLOOKUP(D17, Repository!A:I, 8, 0), ""), "")</f>
        <v/>
      </c>
      <c r="R17" s="105" t="str">
        <f>IF(F17="Yes", IFERROR(VLOOKUP(D17, Repository!A:J, 9, 0), ""), "")</f>
        <v/>
      </c>
      <c r="S17" s="105"/>
      <c r="T17" s="105"/>
      <c r="U17" s="105"/>
      <c r="V17" s="105"/>
      <c r="W17" s="105"/>
      <c r="X17" s="105"/>
      <c r="Y17" s="105"/>
      <c r="Z17" s="105"/>
      <c r="AA17" s="105"/>
      <c r="AB17" s="105"/>
      <c r="AC17" s="91"/>
      <c r="AD17" s="105"/>
      <c r="AE17" s="105"/>
      <c r="AF17" s="91"/>
      <c r="AG17" s="105"/>
      <c r="AH17" s="105"/>
      <c r="AI17" s="105" t="str">
        <f t="shared" si="1"/>
        <v/>
      </c>
      <c r="AJ17" s="108" t="str">
        <f t="shared" si="2"/>
        <v/>
      </c>
    </row>
    <row r="18">
      <c r="A18" s="104"/>
      <c r="B18" s="105" t="str">
        <f>IFERROR(__xludf.DUMMYFUNCTION("ARRAY_CONSTRAIN(
  ARRAYFORMULA(
    IF(
      'Final Report'!A18="""",
      """",
      TEXTJOIN(
        "", "" &amp; CHAR(10),
        TRUE,
        IFERROR(
          VLOOKUP(
            TRIM(
              SPLIT('Final Report'!A18, "","")
            )"&amp;",
            'URL Details'!A:B,
            2,
            FALSE
          ),
          """"
        )
      )
    )
  ),
  1,
  1
)
"),"")</f>
        <v/>
      </c>
      <c r="C18" s="105" t="str">
        <f>IFERROR(__xludf.DUMMYFUNCTION("IFERROR(IF('Final Report'!A18="""","""", TEXTJOIN(CHAR(10), TRUE, ARRAYFORMULA( ""• ""&amp; FILTER( TRIM(FLATTEN(SPLIT( REGEXREPLACE( SUBSTITUTE(TEXTJOIN("","", TRUE, IFERROR(ARRAYFORMULA(VLOOKUP(TRIM(SPLIT('Final Report'!A18, "","")), 'URL Details'!A:D, 4, F"&amp;"ALSE)),"""") ), CHAR(10), "",""), ""\s*,\s*"", "",""), "",""))), TRIM(FLATTEN(SPLIT( REGEXREPLACE( SUBSTITUTE(TEXTJOIN("","", TRUE, IFERROR(ARRAYFORMULA(VLOOKUP(TRIM(SPLIT('Final Report'!A18, "","")), 'URL Details'!A:D, 4, FALSE)),"""") ), CHAR(10), "","""&amp;"), ""\s*,\s*"", "",""), "","")))&lt;&gt;"""" ) ) ) ),"""")
"),"")</f>
        <v/>
      </c>
      <c r="D18" s="105"/>
      <c r="E18" s="105"/>
      <c r="F18" s="110" t="b">
        <v>0</v>
      </c>
      <c r="G18" s="105" t="str">
        <f>IF(F18=True, IFERROR(VLOOKUP(D18, Repository!A:B, 2, 0), ""), "")</f>
        <v/>
      </c>
      <c r="H18" s="105"/>
      <c r="I18" s="105"/>
      <c r="J18" s="105" t="str">
        <f>IF(F18=True, IFERROR(VLOOKUP(D18, Repository!A:C, 3, 0), ""), "")</f>
        <v/>
      </c>
      <c r="K18" s="105"/>
      <c r="L18" s="105" t="str">
        <f>IF(F18=True, IFERROR(VLOOKUP(D18, Repository!A:E, 5, 0), ""), "")</f>
        <v/>
      </c>
      <c r="M18" s="105"/>
      <c r="N18" s="105" t="str">
        <f>IF(F18=True, IFERROR(VLOOKUP(D18, Repository!A:G, 7, 0), ""), "")</f>
        <v/>
      </c>
      <c r="O18" s="105" t="str">
        <f>IFERROR(__xludf.DUMMYFUNCTION("ARRAY_CONSTRAIN(
  ARRAYFORMULA(
    IFERROR(
      LET(
        list, N18,
        arr, TRIM(SPLIT(list, "","")),
        names, XLOOKUP(
          arr,
          'Conformance Score'!A:A,
          'Conformance Score'!B:B,
          ""Not found""
       "&amp;" ),
        TEXTJOIN("", "", TRUE, names)
      ),
      """"
    )
  ),
  1,
  1
)
"),"")</f>
        <v/>
      </c>
      <c r="P18" s="105" t="str">
        <f>IF(F18="Yes", IFERROR(VLOOKUP(D18, Repository!A:F, 6, 0), ""), "")</f>
        <v/>
      </c>
      <c r="Q18" s="105" t="str">
        <f>IF(F18="Yes", IFERROR(VLOOKUP(D18, Repository!A:I, 8, 0), ""), "")</f>
        <v/>
      </c>
      <c r="R18" s="105" t="str">
        <f>IF(F18="Yes", IFERROR(VLOOKUP(D18, Repository!A:J, 9, 0), ""), "")</f>
        <v/>
      </c>
      <c r="S18" s="105"/>
      <c r="T18" s="105"/>
      <c r="U18" s="105"/>
      <c r="V18" s="105"/>
      <c r="W18" s="105"/>
      <c r="X18" s="105"/>
      <c r="Y18" s="105"/>
      <c r="Z18" s="105"/>
      <c r="AA18" s="105"/>
      <c r="AB18" s="105"/>
      <c r="AC18" s="91"/>
      <c r="AD18" s="105"/>
      <c r="AE18" s="105"/>
      <c r="AF18" s="91"/>
      <c r="AG18" s="105"/>
      <c r="AH18" s="105"/>
      <c r="AI18" s="105" t="str">
        <f t="shared" si="1"/>
        <v/>
      </c>
      <c r="AJ18" s="108" t="str">
        <f t="shared" si="2"/>
        <v/>
      </c>
    </row>
    <row r="19">
      <c r="A19" s="104"/>
      <c r="B19" s="105" t="str">
        <f>IFERROR(__xludf.DUMMYFUNCTION("ARRAY_CONSTRAIN(
  ARRAYFORMULA(
    IF(
      'Final Report'!A19="""",
      """",
      TEXTJOIN(
        "", "" &amp; CHAR(10),
        TRUE,
        IFERROR(
          VLOOKUP(
            TRIM(
              SPLIT('Final Report'!A19, "","")
            )"&amp;",
            'URL Details'!A:B,
            2,
            FALSE
          ),
          """"
        )
      )
    )
  ),
  1,
  1
)
"),"")</f>
        <v/>
      </c>
      <c r="C19" s="105" t="str">
        <f>IFERROR(__xludf.DUMMYFUNCTION("IFERROR(IF('Final Report'!A19="""","""", TEXTJOIN(CHAR(10), TRUE, ARRAYFORMULA( ""• ""&amp; FILTER( TRIM(FLATTEN(SPLIT( REGEXREPLACE( SUBSTITUTE(TEXTJOIN("","", TRUE, IFERROR(ARRAYFORMULA(VLOOKUP(TRIM(SPLIT('Final Report'!A19, "","")), 'URL Details'!A:D, 4, F"&amp;"ALSE)),"""") ), CHAR(10), "",""), ""\s*,\s*"", "",""), "",""))), TRIM(FLATTEN(SPLIT( REGEXREPLACE( SUBSTITUTE(TEXTJOIN("","", TRUE, IFERROR(ARRAYFORMULA(VLOOKUP(TRIM(SPLIT('Final Report'!A19, "","")), 'URL Details'!A:D, 4, FALSE)),"""") ), CHAR(10), "","""&amp;"), ""\s*,\s*"", "",""), "","")))&lt;&gt;"""" ) ) ) ),"""")
"),"")</f>
        <v/>
      </c>
      <c r="D19" s="105"/>
      <c r="E19" s="105"/>
      <c r="F19" s="110" t="b">
        <v>0</v>
      </c>
      <c r="G19" s="105" t="str">
        <f>IF(F19=True, IFERROR(VLOOKUP(D19, Repository!A:B, 2, 0), ""), "")</f>
        <v/>
      </c>
      <c r="H19" s="105"/>
      <c r="I19" s="105"/>
      <c r="J19" s="105" t="str">
        <f>IF(F19=True, IFERROR(VLOOKUP(D19, Repository!A:C, 3, 0), ""), "")</f>
        <v/>
      </c>
      <c r="K19" s="105"/>
      <c r="L19" s="105" t="str">
        <f>IF(F19=True, IFERROR(VLOOKUP(D19, Repository!A:E, 5, 0), ""), "")</f>
        <v/>
      </c>
      <c r="M19" s="105"/>
      <c r="N19" s="105" t="str">
        <f>IF(F19=True, IFERROR(VLOOKUP(D19, Repository!A:G, 7, 0), ""), "")</f>
        <v/>
      </c>
      <c r="O19" s="105" t="str">
        <f>IFERROR(__xludf.DUMMYFUNCTION("ARRAY_CONSTRAIN(
  ARRAYFORMULA(
    IFERROR(
      LET(
        list, N19,
        arr, TRIM(SPLIT(list, "","")),
        names, XLOOKUP(
          arr,
          'Conformance Score'!A:A,
          'Conformance Score'!B:B,
          ""Not found""
       "&amp;" ),
        TEXTJOIN("", "", TRUE, names)
      ),
      """"
    )
  ),
  1,
  1
)
"),"")</f>
        <v/>
      </c>
      <c r="P19" s="105" t="str">
        <f>IF(F19="Yes", IFERROR(VLOOKUP(D19, Repository!A:F, 6, 0), ""), "")</f>
        <v/>
      </c>
      <c r="Q19" s="105" t="str">
        <f>IF(F19="Yes", IFERROR(VLOOKUP(D19, Repository!A:I, 8, 0), ""), "")</f>
        <v/>
      </c>
      <c r="R19" s="105" t="str">
        <f>IF(F19="Yes", IFERROR(VLOOKUP(D19, Repository!A:J, 9, 0), ""), "")</f>
        <v/>
      </c>
      <c r="S19" s="105"/>
      <c r="T19" s="105"/>
      <c r="U19" s="105"/>
      <c r="V19" s="105"/>
      <c r="W19" s="105"/>
      <c r="X19" s="105"/>
      <c r="Y19" s="105"/>
      <c r="Z19" s="105"/>
      <c r="AA19" s="105"/>
      <c r="AB19" s="105"/>
      <c r="AC19" s="91"/>
      <c r="AD19" s="105"/>
      <c r="AE19" s="105"/>
      <c r="AF19" s="91"/>
      <c r="AG19" s="105"/>
      <c r="AH19" s="105"/>
      <c r="AI19" s="105" t="str">
        <f t="shared" si="1"/>
        <v/>
      </c>
      <c r="AJ19" s="108" t="str">
        <f t="shared" si="2"/>
        <v/>
      </c>
    </row>
    <row r="20">
      <c r="A20" s="104"/>
      <c r="B20" s="105" t="str">
        <f>IFERROR(__xludf.DUMMYFUNCTION("ARRAY_CONSTRAIN(
  ARRAYFORMULA(
    IF(
      'Final Report'!A20="""",
      """",
      TEXTJOIN(
        "", "" &amp; CHAR(10),
        TRUE,
        IFERROR(
          VLOOKUP(
            TRIM(
              SPLIT('Final Report'!A20, "","")
            )"&amp;",
            'URL Details'!A:B,
            2,
            FALSE
          ),
          """"
        )
      )
    )
  ),
  1,
  1
)
"),"")</f>
        <v/>
      </c>
      <c r="C20" s="105" t="str">
        <f>IFERROR(__xludf.DUMMYFUNCTION("IFERROR(IF('Final Report'!A20="""","""", TEXTJOIN(CHAR(10), TRUE, ARRAYFORMULA( ""• ""&amp; FILTER( TRIM(FLATTEN(SPLIT( REGEXREPLACE( SUBSTITUTE(TEXTJOIN("","", TRUE, IFERROR(ARRAYFORMULA(VLOOKUP(TRIM(SPLIT('Final Report'!A20, "","")), 'URL Details'!A:D, 4, F"&amp;"ALSE)),"""") ), CHAR(10), "",""), ""\s*,\s*"", "",""), "",""))), TRIM(FLATTEN(SPLIT( REGEXREPLACE( SUBSTITUTE(TEXTJOIN("","", TRUE, IFERROR(ARRAYFORMULA(VLOOKUP(TRIM(SPLIT('Final Report'!A20, "","")), 'URL Details'!A:D, 4, FALSE)),"""") ), CHAR(10), "","""&amp;"), ""\s*,\s*"", "",""), "","")))&lt;&gt;"""" ) ) ) ),"""")
"),"")</f>
        <v/>
      </c>
      <c r="D20" s="105"/>
      <c r="E20" s="105"/>
      <c r="F20" s="110" t="b">
        <v>0</v>
      </c>
      <c r="G20" s="105" t="str">
        <f>IF(F20=True, IFERROR(VLOOKUP(D20, Repository!A:B, 2, 0), ""), "")</f>
        <v/>
      </c>
      <c r="H20" s="105"/>
      <c r="I20" s="105"/>
      <c r="J20" s="105" t="str">
        <f>IF(F20=True, IFERROR(VLOOKUP(D20, Repository!A:C, 3, 0), ""), "")</f>
        <v/>
      </c>
      <c r="K20" s="105"/>
      <c r="L20" s="105" t="str">
        <f>IF(F20=True, IFERROR(VLOOKUP(D20, Repository!A:E, 5, 0), ""), "")</f>
        <v/>
      </c>
      <c r="M20" s="105"/>
      <c r="N20" s="105" t="str">
        <f>IF(F20=True, IFERROR(VLOOKUP(D20, Repository!A:G, 7, 0), ""), "")</f>
        <v/>
      </c>
      <c r="O20" s="105" t="str">
        <f>IFERROR(__xludf.DUMMYFUNCTION("ARRAY_CONSTRAIN(
  ARRAYFORMULA(
    IFERROR(
      LET(
        list, N20,
        arr, TRIM(SPLIT(list, "","")),
        names, XLOOKUP(
          arr,
          'Conformance Score'!A:A,
          'Conformance Score'!B:B,
          ""Not found""
       "&amp;" ),
        TEXTJOIN("", "", TRUE, names)
      ),
      """"
    )
  ),
  1,
  1
)
"),"")</f>
        <v/>
      </c>
      <c r="P20" s="105" t="str">
        <f>IF(F20="Yes", IFERROR(VLOOKUP(D20, Repository!A:F, 6, 0), ""), "")</f>
        <v/>
      </c>
      <c r="Q20" s="105" t="str">
        <f>IF(F20="Yes", IFERROR(VLOOKUP(D20, Repository!A:I, 8, 0), ""), "")</f>
        <v/>
      </c>
      <c r="R20" s="105" t="str">
        <f>IF(F20="Yes", IFERROR(VLOOKUP(D20, Repository!A:J, 9, 0), ""), "")</f>
        <v/>
      </c>
      <c r="S20" s="105"/>
      <c r="T20" s="105"/>
      <c r="U20" s="105"/>
      <c r="V20" s="105"/>
      <c r="W20" s="105"/>
      <c r="X20" s="105"/>
      <c r="Y20" s="105"/>
      <c r="Z20" s="105"/>
      <c r="AA20" s="105"/>
      <c r="AB20" s="105"/>
      <c r="AC20" s="91"/>
      <c r="AD20" s="105"/>
      <c r="AE20" s="105"/>
      <c r="AF20" s="91"/>
      <c r="AG20" s="105"/>
      <c r="AH20" s="105"/>
      <c r="AI20" s="105" t="str">
        <f t="shared" si="1"/>
        <v/>
      </c>
      <c r="AJ20" s="108" t="str">
        <f t="shared" si="2"/>
        <v/>
      </c>
    </row>
    <row r="21" ht="15.75" customHeight="1">
      <c r="A21" s="104"/>
      <c r="B21" s="105" t="str">
        <f>IFERROR(__xludf.DUMMYFUNCTION("ARRAY_CONSTRAIN(
  ARRAYFORMULA(
    IF(
      'Final Report'!A21="""",
      """",
      TEXTJOIN(
        "", "" &amp; CHAR(10),
        TRUE,
        IFERROR(
          VLOOKUP(
            TRIM(
              SPLIT('Final Report'!A21, "","")
            )"&amp;",
            'URL Details'!A:B,
            2,
            FALSE
          ),
          """"
        )
      )
    )
  ),
  1,
  1
)
"),"")</f>
        <v/>
      </c>
      <c r="C21" s="105" t="str">
        <f>IFERROR(__xludf.DUMMYFUNCTION("IFERROR(IF('Final Report'!A21="""","""", TEXTJOIN(CHAR(10), TRUE, ARRAYFORMULA( ""• ""&amp; FILTER( TRIM(FLATTEN(SPLIT( REGEXREPLACE( SUBSTITUTE(TEXTJOIN("","", TRUE, IFERROR(ARRAYFORMULA(VLOOKUP(TRIM(SPLIT('Final Report'!A21, "","")), 'URL Details'!A:D, 4, F"&amp;"ALSE)),"""") ), CHAR(10), "",""), ""\s*,\s*"", "",""), "",""))), TRIM(FLATTEN(SPLIT( REGEXREPLACE( SUBSTITUTE(TEXTJOIN("","", TRUE, IFERROR(ARRAYFORMULA(VLOOKUP(TRIM(SPLIT('Final Report'!A21, "","")), 'URL Details'!A:D, 4, FALSE)),"""") ), CHAR(10), "","""&amp;"), ""\s*,\s*"", "",""), "","")))&lt;&gt;"""" ) ) ) ),"""")
"),"")</f>
        <v/>
      </c>
      <c r="D21" s="105"/>
      <c r="E21" s="105"/>
      <c r="F21" s="110" t="b">
        <v>0</v>
      </c>
      <c r="G21" s="105" t="str">
        <f>IF(F21=True, IFERROR(VLOOKUP(D21, Repository!A:B, 2, 0), ""), "")</f>
        <v/>
      </c>
      <c r="H21" s="105"/>
      <c r="I21" s="105"/>
      <c r="J21" s="105" t="str">
        <f>IF(F21=True, IFERROR(VLOOKUP(D21, Repository!A:C, 3, 0), ""), "")</f>
        <v/>
      </c>
      <c r="K21" s="105"/>
      <c r="L21" s="105" t="str">
        <f>IF(F21=True, IFERROR(VLOOKUP(D21, Repository!A:E, 5, 0), ""), "")</f>
        <v/>
      </c>
      <c r="M21" s="105"/>
      <c r="N21" s="105" t="str">
        <f>IF(F21=True, IFERROR(VLOOKUP(D21, Repository!A:G, 7, 0), ""), "")</f>
        <v/>
      </c>
      <c r="O21" s="105" t="str">
        <f>IFERROR(__xludf.DUMMYFUNCTION("ARRAY_CONSTRAIN(
  ARRAYFORMULA(
    IFERROR(
      LET(
        list, N21,
        arr, TRIM(SPLIT(list, "","")),
        names, XLOOKUP(
          arr,
          'Conformance Score'!A:A,
          'Conformance Score'!B:B,
          ""Not found""
       "&amp;" ),
        TEXTJOIN("", "", TRUE, names)
      ),
      """"
    )
  ),
  1,
  1
)
"),"")</f>
        <v/>
      </c>
      <c r="P21" s="105" t="str">
        <f>IF(F21="Yes", IFERROR(VLOOKUP(D21, Repository!A:F, 6, 0), ""), "")</f>
        <v/>
      </c>
      <c r="Q21" s="105" t="str">
        <f>IF(F21="Yes", IFERROR(VLOOKUP(D21, Repository!A:I, 8, 0), ""), "")</f>
        <v/>
      </c>
      <c r="R21" s="105" t="str">
        <f>IF(F21="Yes", IFERROR(VLOOKUP(D21, Repository!A:J, 9, 0), ""), "")</f>
        <v/>
      </c>
      <c r="S21" s="105"/>
      <c r="T21" s="105"/>
      <c r="U21" s="105"/>
      <c r="V21" s="105"/>
      <c r="W21" s="105"/>
      <c r="X21" s="105"/>
      <c r="Y21" s="105"/>
      <c r="Z21" s="105"/>
      <c r="AA21" s="105"/>
      <c r="AB21" s="105"/>
      <c r="AC21" s="91"/>
      <c r="AD21" s="105"/>
      <c r="AE21" s="105"/>
      <c r="AF21" s="91"/>
      <c r="AG21" s="105"/>
      <c r="AH21" s="105"/>
      <c r="AI21" s="105" t="str">
        <f t="shared" si="1"/>
        <v/>
      </c>
      <c r="AJ21" s="108" t="str">
        <f t="shared" si="2"/>
        <v/>
      </c>
    </row>
    <row r="22" ht="15.75" customHeight="1">
      <c r="A22" s="104"/>
      <c r="B22" s="105" t="str">
        <f>IFERROR(__xludf.DUMMYFUNCTION("ARRAY_CONSTRAIN(
  ARRAYFORMULA(
    IF(
      'Final Report'!A22="""",
      """",
      TEXTJOIN(
        "", "" &amp; CHAR(10),
        TRUE,
        IFERROR(
          VLOOKUP(
            TRIM(
              SPLIT('Final Report'!A22, "","")
            )"&amp;",
            'URL Details'!A:B,
            2,
            FALSE
          ),
          """"
        )
      )
    )
  ),
  1,
  1
)
"),"")</f>
        <v/>
      </c>
      <c r="C22" s="105" t="str">
        <f>IFERROR(__xludf.DUMMYFUNCTION("IFERROR(IF('Final Report'!A22="""","""", TEXTJOIN(CHAR(10), TRUE, ARRAYFORMULA( ""• ""&amp; FILTER( TRIM(FLATTEN(SPLIT( REGEXREPLACE( SUBSTITUTE(TEXTJOIN("","", TRUE, IFERROR(ARRAYFORMULA(VLOOKUP(TRIM(SPLIT('Final Report'!A22, "","")), 'URL Details'!A:D, 4, F"&amp;"ALSE)),"""") ), CHAR(10), "",""), ""\s*,\s*"", "",""), "",""))), TRIM(FLATTEN(SPLIT( REGEXREPLACE( SUBSTITUTE(TEXTJOIN("","", TRUE, IFERROR(ARRAYFORMULA(VLOOKUP(TRIM(SPLIT('Final Report'!A22, "","")), 'URL Details'!A:D, 4, FALSE)),"""") ), CHAR(10), "","""&amp;"), ""\s*,\s*"", "",""), "","")))&lt;&gt;"""" ) ) ) ),"""")
"),"")</f>
        <v/>
      </c>
      <c r="D22" s="105"/>
      <c r="E22" s="105"/>
      <c r="F22" s="110" t="b">
        <v>0</v>
      </c>
      <c r="G22" s="105" t="str">
        <f>IF(F22=True, IFERROR(VLOOKUP(D22, Repository!A:B, 2, 0), ""), "")</f>
        <v/>
      </c>
      <c r="H22" s="105"/>
      <c r="I22" s="105"/>
      <c r="J22" s="105" t="str">
        <f>IF(F22=True, IFERROR(VLOOKUP(D22, Repository!A:C, 3, 0), ""), "")</f>
        <v/>
      </c>
      <c r="K22" s="105"/>
      <c r="L22" s="105" t="str">
        <f>IF(F22=True, IFERROR(VLOOKUP(D22, Repository!A:E, 5, 0), ""), "")</f>
        <v/>
      </c>
      <c r="M22" s="105"/>
      <c r="N22" s="105" t="str">
        <f>IF(F22=True, IFERROR(VLOOKUP(D22, Repository!A:G, 7, 0), ""), "")</f>
        <v/>
      </c>
      <c r="O22" s="105" t="str">
        <f>IFERROR(__xludf.DUMMYFUNCTION("ARRAY_CONSTRAIN(
  ARRAYFORMULA(
    IFERROR(
      LET(
        list, N22,
        arr, TRIM(SPLIT(list, "","")),
        names, XLOOKUP(
          arr,
          'Conformance Score'!A:A,
          'Conformance Score'!B:B,
          ""Not found""
       "&amp;" ),
        TEXTJOIN("", "", TRUE, names)
      ),
      """"
    )
  ),
  1,
  1
)
"),"")</f>
        <v/>
      </c>
      <c r="P22" s="105" t="str">
        <f>IF(F22="Yes", IFERROR(VLOOKUP(D22, Repository!A:F, 6, 0), ""), "")</f>
        <v/>
      </c>
      <c r="Q22" s="105" t="str">
        <f>IF(F22="Yes", IFERROR(VLOOKUP(D22, Repository!A:I, 8, 0), ""), "")</f>
        <v/>
      </c>
      <c r="R22" s="105" t="str">
        <f>IF(F22="Yes", IFERROR(VLOOKUP(D22, Repository!A:J, 9, 0), ""), "")</f>
        <v/>
      </c>
      <c r="S22" s="105"/>
      <c r="T22" s="105"/>
      <c r="U22" s="105"/>
      <c r="V22" s="105"/>
      <c r="W22" s="105"/>
      <c r="X22" s="105"/>
      <c r="Y22" s="105"/>
      <c r="Z22" s="105"/>
      <c r="AA22" s="105"/>
      <c r="AB22" s="105"/>
      <c r="AC22" s="91"/>
      <c r="AD22" s="105"/>
      <c r="AE22" s="105"/>
      <c r="AF22" s="91"/>
      <c r="AG22" s="105"/>
      <c r="AH22" s="105"/>
      <c r="AI22" s="105" t="str">
        <f t="shared" si="1"/>
        <v/>
      </c>
      <c r="AJ22" s="108" t="str">
        <f t="shared" si="2"/>
        <v/>
      </c>
    </row>
    <row r="23" ht="15.75" customHeight="1">
      <c r="A23" s="104"/>
      <c r="B23" s="105" t="str">
        <f>IFERROR(__xludf.DUMMYFUNCTION("ARRAY_CONSTRAIN(
  ARRAYFORMULA(
    IF(
      'Final Report'!A23="""",
      """",
      TEXTJOIN(
        "", "" &amp; CHAR(10),
        TRUE,
        IFERROR(
          VLOOKUP(
            TRIM(
              SPLIT('Final Report'!A23, "","")
            )"&amp;",
            'URL Details'!A:B,
            2,
            FALSE
          ),
          """"
        )
      )
    )
  ),
  1,
  1
)
"),"")</f>
        <v/>
      </c>
      <c r="C23" s="105" t="str">
        <f>IFERROR(__xludf.DUMMYFUNCTION("IFERROR(IF('Final Report'!A23="""","""", TEXTJOIN(CHAR(10), TRUE, ARRAYFORMULA( ""• ""&amp; FILTER( TRIM(FLATTEN(SPLIT( REGEXREPLACE( SUBSTITUTE(TEXTJOIN("","", TRUE, IFERROR(ARRAYFORMULA(VLOOKUP(TRIM(SPLIT('Final Report'!A23, "","")), 'URL Details'!A:D, 4, F"&amp;"ALSE)),"""") ), CHAR(10), "",""), ""\s*,\s*"", "",""), "",""))), TRIM(FLATTEN(SPLIT( REGEXREPLACE( SUBSTITUTE(TEXTJOIN("","", TRUE, IFERROR(ARRAYFORMULA(VLOOKUP(TRIM(SPLIT('Final Report'!A23, "","")), 'URL Details'!A:D, 4, FALSE)),"""") ), CHAR(10), "","""&amp;"), ""\s*,\s*"", "",""), "","")))&lt;&gt;"""" ) ) ) ),"""")
"),"")</f>
        <v/>
      </c>
      <c r="D23" s="105"/>
      <c r="E23" s="105"/>
      <c r="F23" s="110" t="b">
        <v>0</v>
      </c>
      <c r="G23" s="105" t="str">
        <f>IF(F23=True, IFERROR(VLOOKUP(D23, Repository!A:B, 2, 0), ""), "")</f>
        <v/>
      </c>
      <c r="H23" s="105"/>
      <c r="I23" s="105"/>
      <c r="J23" s="105" t="str">
        <f>IF(F23=True, IFERROR(VLOOKUP(D23, Repository!A:C, 3, 0), ""), "")</f>
        <v/>
      </c>
      <c r="K23" s="105"/>
      <c r="L23" s="105" t="str">
        <f>IF(F23=True, IFERROR(VLOOKUP(D23, Repository!A:E, 5, 0), ""), "")</f>
        <v/>
      </c>
      <c r="M23" s="105"/>
      <c r="N23" s="105" t="str">
        <f>IF(F23=True, IFERROR(VLOOKUP(D23, Repository!A:G, 7, 0), ""), "")</f>
        <v/>
      </c>
      <c r="O23" s="105" t="str">
        <f>IFERROR(__xludf.DUMMYFUNCTION("ARRAY_CONSTRAIN(
  ARRAYFORMULA(
    IFERROR(
      LET(
        list, N23,
        arr, TRIM(SPLIT(list, "","")),
        names, XLOOKUP(
          arr,
          'Conformance Score'!A:A,
          'Conformance Score'!B:B,
          ""Not found""
       "&amp;" ),
        TEXTJOIN("", "", TRUE, names)
      ),
      """"
    )
  ),
  1,
  1
)
"),"")</f>
        <v/>
      </c>
      <c r="P23" s="105" t="str">
        <f>IF(F23="Yes", IFERROR(VLOOKUP(D23, Repository!A:F, 6, 0), ""), "")</f>
        <v/>
      </c>
      <c r="Q23" s="105" t="str">
        <f>IF(F23="Yes", IFERROR(VLOOKUP(D23, Repository!A:I, 8, 0), ""), "")</f>
        <v/>
      </c>
      <c r="R23" s="105" t="str">
        <f>IF(F23="Yes", IFERROR(VLOOKUP(D23, Repository!A:J, 9, 0), ""), "")</f>
        <v/>
      </c>
      <c r="S23" s="105"/>
      <c r="T23" s="105"/>
      <c r="U23" s="105"/>
      <c r="V23" s="105"/>
      <c r="W23" s="105"/>
      <c r="X23" s="105"/>
      <c r="Y23" s="105"/>
      <c r="Z23" s="105"/>
      <c r="AA23" s="105"/>
      <c r="AB23" s="105"/>
      <c r="AC23" s="91"/>
      <c r="AD23" s="105"/>
      <c r="AE23" s="105"/>
      <c r="AF23" s="91"/>
      <c r="AG23" s="105"/>
      <c r="AH23" s="105"/>
      <c r="AI23" s="105" t="str">
        <f t="shared" si="1"/>
        <v/>
      </c>
      <c r="AJ23" s="108" t="str">
        <f t="shared" si="2"/>
        <v/>
      </c>
    </row>
    <row r="24" ht="15.75" customHeight="1">
      <c r="A24" s="104"/>
      <c r="B24" s="105" t="str">
        <f>IFERROR(__xludf.DUMMYFUNCTION("ARRAY_CONSTRAIN(
  ARRAYFORMULA(
    IF(
      'Final Report'!A24="""",
      """",
      TEXTJOIN(
        "", "" &amp; CHAR(10),
        TRUE,
        IFERROR(
          VLOOKUP(
            TRIM(
              SPLIT('Final Report'!A24, "","")
            )"&amp;",
            'URL Details'!A:B,
            2,
            FALSE
          ),
          """"
        )
      )
    )
  ),
  1,
  1
)
"),"")</f>
        <v/>
      </c>
      <c r="C24" s="105" t="str">
        <f>IFERROR(__xludf.DUMMYFUNCTION("IFERROR(IF('Final Report'!A24="""","""", TEXTJOIN(CHAR(10), TRUE, ARRAYFORMULA( ""• ""&amp; FILTER( TRIM(FLATTEN(SPLIT( REGEXREPLACE( SUBSTITUTE(TEXTJOIN("","", TRUE, IFERROR(ARRAYFORMULA(VLOOKUP(TRIM(SPLIT('Final Report'!A24, "","")), 'URL Details'!A:D, 4, F"&amp;"ALSE)),"""") ), CHAR(10), "",""), ""\s*,\s*"", "",""), "",""))), TRIM(FLATTEN(SPLIT( REGEXREPLACE( SUBSTITUTE(TEXTJOIN("","", TRUE, IFERROR(ARRAYFORMULA(VLOOKUP(TRIM(SPLIT('Final Report'!A24, "","")), 'URL Details'!A:D, 4, FALSE)),"""") ), CHAR(10), "","""&amp;"), ""\s*,\s*"", "",""), "","")))&lt;&gt;"""" ) ) ) ),"""")
"),"")</f>
        <v/>
      </c>
      <c r="D24" s="105"/>
      <c r="E24" s="105"/>
      <c r="F24" s="110" t="b">
        <v>0</v>
      </c>
      <c r="G24" s="105" t="str">
        <f>IF(F24=True, IFERROR(VLOOKUP(D24, Repository!A:B, 2, 0), ""), "")</f>
        <v/>
      </c>
      <c r="H24" s="105"/>
      <c r="I24" s="105"/>
      <c r="J24" s="105" t="str">
        <f>IF(F24=True, IFERROR(VLOOKUP(D24, Repository!A:C, 3, 0), ""), "")</f>
        <v/>
      </c>
      <c r="K24" s="105"/>
      <c r="L24" s="105" t="str">
        <f>IF(F24=True, IFERROR(VLOOKUP(D24, Repository!A:E, 5, 0), ""), "")</f>
        <v/>
      </c>
      <c r="M24" s="105"/>
      <c r="N24" s="105" t="str">
        <f>IF(F24=True, IFERROR(VLOOKUP(D24, Repository!A:G, 7, 0), ""), "")</f>
        <v/>
      </c>
      <c r="O24" s="105" t="str">
        <f>IFERROR(__xludf.DUMMYFUNCTION("ARRAY_CONSTRAIN(
  ARRAYFORMULA(
    IFERROR(
      LET(
        list, N24,
        arr, TRIM(SPLIT(list, "","")),
        names, XLOOKUP(
          arr,
          'Conformance Score'!A:A,
          'Conformance Score'!B:B,
          ""Not found""
       "&amp;" ),
        TEXTJOIN("", "", TRUE, names)
      ),
      """"
    )
  ),
  1,
  1
)
"),"")</f>
        <v/>
      </c>
      <c r="P24" s="105" t="str">
        <f>IF(F24="Yes", IFERROR(VLOOKUP(D24, Repository!A:F, 6, 0), ""), "")</f>
        <v/>
      </c>
      <c r="Q24" s="105" t="str">
        <f>IF(F24="Yes", IFERROR(VLOOKUP(D24, Repository!A:I, 8, 0), ""), "")</f>
        <v/>
      </c>
      <c r="R24" s="105" t="str">
        <f>IF(F24="Yes", IFERROR(VLOOKUP(D24, Repository!A:J, 9, 0), ""), "")</f>
        <v/>
      </c>
      <c r="S24" s="105"/>
      <c r="T24" s="105"/>
      <c r="U24" s="105"/>
      <c r="V24" s="105"/>
      <c r="W24" s="105"/>
      <c r="X24" s="105"/>
      <c r="Y24" s="105"/>
      <c r="Z24" s="105"/>
      <c r="AA24" s="105"/>
      <c r="AB24" s="105"/>
      <c r="AC24" s="91"/>
      <c r="AD24" s="105"/>
      <c r="AE24" s="105"/>
      <c r="AF24" s="91"/>
      <c r="AG24" s="105"/>
      <c r="AH24" s="105"/>
      <c r="AI24" s="105" t="str">
        <f t="shared" si="1"/>
        <v/>
      </c>
      <c r="AJ24" s="108" t="str">
        <f t="shared" si="2"/>
        <v/>
      </c>
    </row>
    <row r="25" ht="15.75" customHeight="1">
      <c r="A25" s="104"/>
      <c r="B25" s="105" t="str">
        <f>IFERROR(__xludf.DUMMYFUNCTION("ARRAY_CONSTRAIN(
  ARRAYFORMULA(
    IF(
      'Final Report'!A25="""",
      """",
      TEXTJOIN(
        "", "" &amp; CHAR(10),
        TRUE,
        IFERROR(
          VLOOKUP(
            TRIM(
              SPLIT('Final Report'!A25, "","")
            )"&amp;",
            'URL Details'!A:B,
            2,
            FALSE
          ),
          """"
        )
      )
    )
  ),
  1,
  1
)
"),"")</f>
        <v/>
      </c>
      <c r="C25" s="105" t="str">
        <f>IFERROR(__xludf.DUMMYFUNCTION("IFERROR(IF('Final Report'!A25="""","""", TEXTJOIN(CHAR(10), TRUE, ARRAYFORMULA( ""• ""&amp; FILTER( TRIM(FLATTEN(SPLIT( REGEXREPLACE( SUBSTITUTE(TEXTJOIN("","", TRUE, IFERROR(ARRAYFORMULA(VLOOKUP(TRIM(SPLIT('Final Report'!A25, "","")), 'URL Details'!A:D, 4, F"&amp;"ALSE)),"""") ), CHAR(10), "",""), ""\s*,\s*"", "",""), "",""))), TRIM(FLATTEN(SPLIT( REGEXREPLACE( SUBSTITUTE(TEXTJOIN("","", TRUE, IFERROR(ARRAYFORMULA(VLOOKUP(TRIM(SPLIT('Final Report'!A25, "","")), 'URL Details'!A:D, 4, FALSE)),"""") ), CHAR(10), "","""&amp;"), ""\s*,\s*"", "",""), "","")))&lt;&gt;"""" ) ) ) ),"""")
"),"")</f>
        <v/>
      </c>
      <c r="D25" s="105"/>
      <c r="E25" s="105"/>
      <c r="F25" s="110" t="b">
        <v>0</v>
      </c>
      <c r="G25" s="105" t="str">
        <f>IF(F25=True, IFERROR(VLOOKUP(D25, Repository!A:B, 2, 0), ""), "")</f>
        <v/>
      </c>
      <c r="H25" s="105"/>
      <c r="I25" s="105"/>
      <c r="J25" s="105" t="str">
        <f>IF(F25=True, IFERROR(VLOOKUP(D25, Repository!A:C, 3, 0), ""), "")</f>
        <v/>
      </c>
      <c r="K25" s="105"/>
      <c r="L25" s="105" t="str">
        <f>IF(F25=True, IFERROR(VLOOKUP(D25, Repository!A:E, 5, 0), ""), "")</f>
        <v/>
      </c>
      <c r="M25" s="105"/>
      <c r="N25" s="105" t="str">
        <f>IF(F25=True, IFERROR(VLOOKUP(D25, Repository!A:G, 7, 0), ""), "")</f>
        <v/>
      </c>
      <c r="O25" s="105" t="str">
        <f>IFERROR(__xludf.DUMMYFUNCTION("ARRAY_CONSTRAIN(
  ARRAYFORMULA(
    IFERROR(
      LET(
        list, N25,
        arr, TRIM(SPLIT(list, "","")),
        names, XLOOKUP(
          arr,
          'Conformance Score'!A:A,
          'Conformance Score'!B:B,
          ""Not found""
       "&amp;" ),
        TEXTJOIN("", "", TRUE, names)
      ),
      """"
    )
  ),
  1,
  1
)
"),"")</f>
        <v/>
      </c>
      <c r="P25" s="105" t="str">
        <f>IF(F25="Yes", IFERROR(VLOOKUP(D25, Repository!A:F, 6, 0), ""), "")</f>
        <v/>
      </c>
      <c r="Q25" s="105" t="str">
        <f>IF(F25="Yes", IFERROR(VLOOKUP(D25, Repository!A:I, 8, 0), ""), "")</f>
        <v/>
      </c>
      <c r="R25" s="105" t="str">
        <f>IF(F25="Yes", IFERROR(VLOOKUP(D25, Repository!A:J, 9, 0), ""), "")</f>
        <v/>
      </c>
      <c r="S25" s="105"/>
      <c r="T25" s="105"/>
      <c r="U25" s="105"/>
      <c r="V25" s="105"/>
      <c r="W25" s="105"/>
      <c r="X25" s="105"/>
      <c r="Y25" s="105"/>
      <c r="Z25" s="105"/>
      <c r="AA25" s="105"/>
      <c r="AB25" s="105"/>
      <c r="AC25" s="91"/>
      <c r="AD25" s="105"/>
      <c r="AE25" s="105"/>
      <c r="AF25" s="91"/>
      <c r="AG25" s="105"/>
      <c r="AH25" s="105"/>
      <c r="AI25" s="105" t="str">
        <f t="shared" si="1"/>
        <v/>
      </c>
      <c r="AJ25" s="108" t="str">
        <f t="shared" si="2"/>
        <v/>
      </c>
    </row>
    <row r="26" ht="15.75" customHeight="1">
      <c r="A26" s="104"/>
      <c r="B26" s="105" t="str">
        <f>IFERROR(__xludf.DUMMYFUNCTION("ARRAY_CONSTRAIN(
  ARRAYFORMULA(
    IF(
      'Final Report'!A26="""",
      """",
      TEXTJOIN(
        "", "" &amp; CHAR(10),
        TRUE,
        IFERROR(
          VLOOKUP(
            TRIM(
              SPLIT('Final Report'!A26, "","")
            )"&amp;",
            'URL Details'!A:B,
            2,
            FALSE
          ),
          """"
        )
      )
    )
  ),
  1,
  1
)
"),"")</f>
        <v/>
      </c>
      <c r="C26" s="105" t="str">
        <f>IFERROR(__xludf.DUMMYFUNCTION("IFERROR(IF('Final Report'!A26="""","""", TEXTJOIN(CHAR(10), TRUE, ARRAYFORMULA( ""• ""&amp; FILTER( TRIM(FLATTEN(SPLIT( REGEXREPLACE( SUBSTITUTE(TEXTJOIN("","", TRUE, IFERROR(ARRAYFORMULA(VLOOKUP(TRIM(SPLIT('Final Report'!A26, "","")), 'URL Details'!A:D, 4, F"&amp;"ALSE)),"""") ), CHAR(10), "",""), ""\s*,\s*"", "",""), "",""))), TRIM(FLATTEN(SPLIT( REGEXREPLACE( SUBSTITUTE(TEXTJOIN("","", TRUE, IFERROR(ARRAYFORMULA(VLOOKUP(TRIM(SPLIT('Final Report'!A26, "","")), 'URL Details'!A:D, 4, FALSE)),"""") ), CHAR(10), "","""&amp;"), ""\s*,\s*"", "",""), "","")))&lt;&gt;"""" ) ) ) ),"""")
"),"")</f>
        <v/>
      </c>
      <c r="D26" s="105"/>
      <c r="E26" s="105"/>
      <c r="F26" s="110" t="b">
        <v>0</v>
      </c>
      <c r="G26" s="105" t="str">
        <f>IF(F26=True, IFERROR(VLOOKUP(D26, Repository!A:B, 2, 0), ""), "")</f>
        <v/>
      </c>
      <c r="H26" s="105"/>
      <c r="I26" s="105"/>
      <c r="J26" s="105" t="str">
        <f>IF(F26=True, IFERROR(VLOOKUP(D26, Repository!A:C, 3, 0), ""), "")</f>
        <v/>
      </c>
      <c r="K26" s="105"/>
      <c r="L26" s="105" t="str">
        <f>IF(F26=True, IFERROR(VLOOKUP(D26, Repository!A:E, 5, 0), ""), "")</f>
        <v/>
      </c>
      <c r="M26" s="105"/>
      <c r="N26" s="105" t="str">
        <f>IF(F26=True, IFERROR(VLOOKUP(D26, Repository!A:G, 7, 0), ""), "")</f>
        <v/>
      </c>
      <c r="O26" s="105" t="str">
        <f>IFERROR(__xludf.DUMMYFUNCTION("ARRAY_CONSTRAIN(
  ARRAYFORMULA(
    IFERROR(
      LET(
        list, N26,
        arr, TRIM(SPLIT(list, "","")),
        names, XLOOKUP(
          arr,
          'Conformance Score'!A:A,
          'Conformance Score'!B:B,
          ""Not found""
       "&amp;" ),
        TEXTJOIN("", "", TRUE, names)
      ),
      """"
    )
  ),
  1,
  1
)
"),"")</f>
        <v/>
      </c>
      <c r="P26" s="105" t="str">
        <f>IF(F26="Yes", IFERROR(VLOOKUP(D26, Repository!A:F, 6, 0), ""), "")</f>
        <v/>
      </c>
      <c r="Q26" s="105" t="str">
        <f>IF(F26="Yes", IFERROR(VLOOKUP(D26, Repository!A:I, 8, 0), ""), "")</f>
        <v/>
      </c>
      <c r="R26" s="105" t="str">
        <f>IF(F26="Yes", IFERROR(VLOOKUP(D26, Repository!A:J, 9, 0), ""), "")</f>
        <v/>
      </c>
      <c r="S26" s="105"/>
      <c r="T26" s="105"/>
      <c r="U26" s="105"/>
      <c r="V26" s="105"/>
      <c r="W26" s="105"/>
      <c r="X26" s="105"/>
      <c r="Y26" s="105"/>
      <c r="Z26" s="105"/>
      <c r="AA26" s="105"/>
      <c r="AB26" s="105"/>
      <c r="AC26" s="91"/>
      <c r="AD26" s="105"/>
      <c r="AE26" s="105"/>
      <c r="AF26" s="91"/>
      <c r="AG26" s="105"/>
      <c r="AH26" s="105"/>
      <c r="AI26" s="105" t="str">
        <f t="shared" si="1"/>
        <v/>
      </c>
      <c r="AJ26" s="108" t="str">
        <f t="shared" si="2"/>
        <v/>
      </c>
    </row>
    <row r="27" ht="15.75" customHeight="1">
      <c r="A27" s="104"/>
      <c r="B27" s="105" t="str">
        <f>IFERROR(__xludf.DUMMYFUNCTION("ARRAY_CONSTRAIN(
  ARRAYFORMULA(
    IF(
      'Final Report'!A27="""",
      """",
      TEXTJOIN(
        "", "" &amp; CHAR(10),
        TRUE,
        IFERROR(
          VLOOKUP(
            TRIM(
              SPLIT('Final Report'!A27, "","")
            )"&amp;",
            'URL Details'!A:B,
            2,
            FALSE
          ),
          """"
        )
      )
    )
  ),
  1,
  1
)
"),"")</f>
        <v/>
      </c>
      <c r="C27" s="105" t="str">
        <f>IFERROR(__xludf.DUMMYFUNCTION("IFERROR(IF('Final Report'!A27="""","""", TEXTJOIN(CHAR(10), TRUE, ARRAYFORMULA( ""• ""&amp; FILTER( TRIM(FLATTEN(SPLIT( REGEXREPLACE( SUBSTITUTE(TEXTJOIN("","", TRUE, IFERROR(ARRAYFORMULA(VLOOKUP(TRIM(SPLIT('Final Report'!A27, "","")), 'URL Details'!A:D, 4, F"&amp;"ALSE)),"""") ), CHAR(10), "",""), ""\s*,\s*"", "",""), "",""))), TRIM(FLATTEN(SPLIT( REGEXREPLACE( SUBSTITUTE(TEXTJOIN("","", TRUE, IFERROR(ARRAYFORMULA(VLOOKUP(TRIM(SPLIT('Final Report'!A27, "","")), 'URL Details'!A:D, 4, FALSE)),"""") ), CHAR(10), "","""&amp;"), ""\s*,\s*"", "",""), "","")))&lt;&gt;"""" ) ) ) ),"""")
"),"")</f>
        <v/>
      </c>
      <c r="D27" s="105"/>
      <c r="E27" s="105"/>
      <c r="F27" s="110" t="b">
        <v>0</v>
      </c>
      <c r="G27" s="105" t="str">
        <f>IF(F27=True, IFERROR(VLOOKUP(D27, Repository!A:B, 2, 0), ""), "")</f>
        <v/>
      </c>
      <c r="H27" s="105"/>
      <c r="I27" s="105"/>
      <c r="J27" s="105" t="str">
        <f>IF(F27=True, IFERROR(VLOOKUP(D27, Repository!A:C, 3, 0), ""), "")</f>
        <v/>
      </c>
      <c r="K27" s="105"/>
      <c r="L27" s="105" t="str">
        <f>IF(F27=True, IFERROR(VLOOKUP(D27, Repository!A:E, 5, 0), ""), "")</f>
        <v/>
      </c>
      <c r="M27" s="105"/>
      <c r="N27" s="105" t="str">
        <f>IF(F27=True, IFERROR(VLOOKUP(D27, Repository!A:G, 7, 0), ""), "")</f>
        <v/>
      </c>
      <c r="O27" s="105" t="str">
        <f>IFERROR(__xludf.DUMMYFUNCTION("ARRAY_CONSTRAIN(
  ARRAYFORMULA(
    IFERROR(
      LET(
        list, N27,
        arr, TRIM(SPLIT(list, "","")),
        names, XLOOKUP(
          arr,
          'Conformance Score'!A:A,
          'Conformance Score'!B:B,
          ""Not found""
       "&amp;" ),
        TEXTJOIN("", "", TRUE, names)
      ),
      """"
    )
  ),
  1,
  1
)
"),"")</f>
        <v/>
      </c>
      <c r="P27" s="105" t="str">
        <f>IF(F27="Yes", IFERROR(VLOOKUP(D27, Repository!A:F, 6, 0), ""), "")</f>
        <v/>
      </c>
      <c r="Q27" s="105" t="str">
        <f>IF(F27="Yes", IFERROR(VLOOKUP(D27, Repository!A:I, 8, 0), ""), "")</f>
        <v/>
      </c>
      <c r="R27" s="105" t="str">
        <f>IF(F27="Yes", IFERROR(VLOOKUP(D27, Repository!A:J, 9, 0), ""), "")</f>
        <v/>
      </c>
      <c r="S27" s="105"/>
      <c r="T27" s="105"/>
      <c r="U27" s="105"/>
      <c r="V27" s="105"/>
      <c r="W27" s="105"/>
      <c r="X27" s="105"/>
      <c r="Y27" s="105"/>
      <c r="Z27" s="105"/>
      <c r="AA27" s="105"/>
      <c r="AB27" s="105"/>
      <c r="AC27" s="91"/>
      <c r="AD27" s="105"/>
      <c r="AE27" s="105"/>
      <c r="AF27" s="91"/>
      <c r="AG27" s="105"/>
      <c r="AH27" s="105"/>
      <c r="AI27" s="105" t="str">
        <f t="shared" si="1"/>
        <v/>
      </c>
      <c r="AJ27" s="108" t="str">
        <f t="shared" si="2"/>
        <v/>
      </c>
    </row>
    <row r="28" ht="15.75" customHeight="1">
      <c r="A28" s="104"/>
      <c r="B28" s="105" t="str">
        <f>IFERROR(__xludf.DUMMYFUNCTION("ARRAY_CONSTRAIN(
  ARRAYFORMULA(
    IF(
      'Final Report'!A28="""",
      """",
      TEXTJOIN(
        "", "" &amp; CHAR(10),
        TRUE,
        IFERROR(
          VLOOKUP(
            TRIM(
              SPLIT('Final Report'!A28, "","")
            )"&amp;",
            'URL Details'!A:B,
            2,
            FALSE
          ),
          """"
        )
      )
    )
  ),
  1,
  1
)
"),"")</f>
        <v/>
      </c>
      <c r="C28" s="105" t="str">
        <f>IFERROR(__xludf.DUMMYFUNCTION("IFERROR(IF('Final Report'!A28="""","""", TEXTJOIN(CHAR(10), TRUE, ARRAYFORMULA( ""• ""&amp; FILTER( TRIM(FLATTEN(SPLIT( REGEXREPLACE( SUBSTITUTE(TEXTJOIN("","", TRUE, IFERROR(ARRAYFORMULA(VLOOKUP(TRIM(SPLIT('Final Report'!A28, "","")), 'URL Details'!A:D, 4, F"&amp;"ALSE)),"""") ), CHAR(10), "",""), ""\s*,\s*"", "",""), "",""))), TRIM(FLATTEN(SPLIT( REGEXREPLACE( SUBSTITUTE(TEXTJOIN("","", TRUE, IFERROR(ARRAYFORMULA(VLOOKUP(TRIM(SPLIT('Final Report'!A28, "","")), 'URL Details'!A:D, 4, FALSE)),"""") ), CHAR(10), "","""&amp;"), ""\s*,\s*"", "",""), "","")))&lt;&gt;"""" ) ) ) ),"""")
"),"")</f>
        <v/>
      </c>
      <c r="D28" s="105"/>
      <c r="E28" s="105"/>
      <c r="F28" s="110" t="b">
        <v>0</v>
      </c>
      <c r="G28" s="105" t="str">
        <f>IF(F28=True, IFERROR(VLOOKUP(D28, Repository!A:B, 2, 0), ""), "")</f>
        <v/>
      </c>
      <c r="H28" s="105"/>
      <c r="I28" s="105"/>
      <c r="J28" s="105" t="str">
        <f>IF(F28=True, IFERROR(VLOOKUP(D28, Repository!A:C, 3, 0), ""), "")</f>
        <v/>
      </c>
      <c r="K28" s="105"/>
      <c r="L28" s="105" t="str">
        <f>IF(F28=True, IFERROR(VLOOKUP(D28, Repository!A:E, 5, 0), ""), "")</f>
        <v/>
      </c>
      <c r="M28" s="105"/>
      <c r="N28" s="105" t="str">
        <f>IF(F28=True, IFERROR(VLOOKUP(D28, Repository!A:G, 7, 0), ""), "")</f>
        <v/>
      </c>
      <c r="O28" s="105" t="str">
        <f>IFERROR(__xludf.DUMMYFUNCTION("ARRAY_CONSTRAIN(
  ARRAYFORMULA(
    IFERROR(
      LET(
        list, N28,
        arr, TRIM(SPLIT(list, "","")),
        names, XLOOKUP(
          arr,
          'Conformance Score'!A:A,
          'Conformance Score'!B:B,
          ""Not found""
       "&amp;" ),
        TEXTJOIN("", "", TRUE, names)
      ),
      """"
    )
  ),
  1,
  1
)
"),"")</f>
        <v/>
      </c>
      <c r="P28" s="105" t="str">
        <f>IF(F28="Yes", IFERROR(VLOOKUP(D28, Repository!A:F, 6, 0), ""), "")</f>
        <v/>
      </c>
      <c r="Q28" s="105" t="str">
        <f>IF(F28="Yes", IFERROR(VLOOKUP(D28, Repository!A:I, 8, 0), ""), "")</f>
        <v/>
      </c>
      <c r="R28" s="105" t="str">
        <f>IF(F28="Yes", IFERROR(VLOOKUP(D28, Repository!A:J, 9, 0), ""), "")</f>
        <v/>
      </c>
      <c r="S28" s="105"/>
      <c r="T28" s="105"/>
      <c r="U28" s="105"/>
      <c r="V28" s="105"/>
      <c r="W28" s="105"/>
      <c r="X28" s="105"/>
      <c r="Y28" s="105"/>
      <c r="Z28" s="105"/>
      <c r="AA28" s="105"/>
      <c r="AB28" s="105"/>
      <c r="AC28" s="91"/>
      <c r="AD28" s="105"/>
      <c r="AE28" s="105"/>
      <c r="AF28" s="91"/>
      <c r="AG28" s="105"/>
      <c r="AH28" s="105"/>
      <c r="AI28" s="105" t="str">
        <f t="shared" si="1"/>
        <v/>
      </c>
      <c r="AJ28" s="108" t="str">
        <f t="shared" si="2"/>
        <v/>
      </c>
    </row>
    <row r="29" ht="15.75" customHeight="1">
      <c r="A29" s="104"/>
      <c r="B29" s="105" t="str">
        <f>IFERROR(__xludf.DUMMYFUNCTION("ARRAY_CONSTRAIN(
  ARRAYFORMULA(
    IF(
      'Final Report'!A29="""",
      """",
      TEXTJOIN(
        "", "" &amp; CHAR(10),
        TRUE,
        IFERROR(
          VLOOKUP(
            TRIM(
              SPLIT('Final Report'!A29, "","")
            )"&amp;",
            'URL Details'!A:B,
            2,
            FALSE
          ),
          """"
        )
      )
    )
  ),
  1,
  1
)
"),"")</f>
        <v/>
      </c>
      <c r="C29" s="105" t="str">
        <f>IFERROR(__xludf.DUMMYFUNCTION("IFERROR(IF('Final Report'!A29="""","""", TEXTJOIN(CHAR(10), TRUE, ARRAYFORMULA( ""• ""&amp; FILTER( TRIM(FLATTEN(SPLIT( REGEXREPLACE( SUBSTITUTE(TEXTJOIN("","", TRUE, IFERROR(ARRAYFORMULA(VLOOKUP(TRIM(SPLIT('Final Report'!A29, "","")), 'URL Details'!A:D, 4, F"&amp;"ALSE)),"""") ), CHAR(10), "",""), ""\s*,\s*"", "",""), "",""))), TRIM(FLATTEN(SPLIT( REGEXREPLACE( SUBSTITUTE(TEXTJOIN("","", TRUE, IFERROR(ARRAYFORMULA(VLOOKUP(TRIM(SPLIT('Final Report'!A29, "","")), 'URL Details'!A:D, 4, FALSE)),"""") ), CHAR(10), "","""&amp;"), ""\s*,\s*"", "",""), "","")))&lt;&gt;"""" ) ) ) ),"""")
"),"")</f>
        <v/>
      </c>
      <c r="D29" s="105"/>
      <c r="E29" s="105"/>
      <c r="F29" s="110" t="b">
        <v>0</v>
      </c>
      <c r="G29" s="105" t="str">
        <f>IF(F29=True, IFERROR(VLOOKUP(D29, Repository!A:B, 2, 0), ""), "")</f>
        <v/>
      </c>
      <c r="H29" s="105"/>
      <c r="I29" s="105"/>
      <c r="J29" s="105" t="str">
        <f>IF(F29=True, IFERROR(VLOOKUP(D29, Repository!A:C, 3, 0), ""), "")</f>
        <v/>
      </c>
      <c r="K29" s="105"/>
      <c r="L29" s="105" t="str">
        <f>IF(F29=True, IFERROR(VLOOKUP(D29, Repository!A:E, 5, 0), ""), "")</f>
        <v/>
      </c>
      <c r="M29" s="105"/>
      <c r="N29" s="105" t="str">
        <f>IF(F29=True, IFERROR(VLOOKUP(D29, Repository!A:G, 7, 0), ""), "")</f>
        <v/>
      </c>
      <c r="O29" s="105" t="str">
        <f>IFERROR(__xludf.DUMMYFUNCTION("ARRAY_CONSTRAIN(
  ARRAYFORMULA(
    IFERROR(
      LET(
        list, N29,
        arr, TRIM(SPLIT(list, "","")),
        names, XLOOKUP(
          arr,
          'Conformance Score'!A:A,
          'Conformance Score'!B:B,
          ""Not found""
       "&amp;" ),
        TEXTJOIN("", "", TRUE, names)
      ),
      """"
    )
  ),
  1,
  1
)
"),"")</f>
        <v/>
      </c>
      <c r="P29" s="105" t="str">
        <f>IF(F29="Yes", IFERROR(VLOOKUP(D29, Repository!A:F, 6, 0), ""), "")</f>
        <v/>
      </c>
      <c r="Q29" s="105" t="str">
        <f>IF(F29="Yes", IFERROR(VLOOKUP(D29, Repository!A:I, 8, 0), ""), "")</f>
        <v/>
      </c>
      <c r="R29" s="105" t="str">
        <f>IF(F29="Yes", IFERROR(VLOOKUP(D29, Repository!A:J, 9, 0), ""), "")</f>
        <v/>
      </c>
      <c r="S29" s="105"/>
      <c r="T29" s="105"/>
      <c r="U29" s="105"/>
      <c r="V29" s="105"/>
      <c r="W29" s="105"/>
      <c r="X29" s="105"/>
      <c r="Y29" s="105"/>
      <c r="Z29" s="105"/>
      <c r="AA29" s="105"/>
      <c r="AB29" s="105"/>
      <c r="AC29" s="91"/>
      <c r="AD29" s="105"/>
      <c r="AE29" s="105"/>
      <c r="AF29" s="91"/>
      <c r="AG29" s="105"/>
      <c r="AH29" s="105"/>
      <c r="AI29" s="105" t="str">
        <f t="shared" si="1"/>
        <v/>
      </c>
      <c r="AJ29" s="108" t="str">
        <f t="shared" si="2"/>
        <v/>
      </c>
    </row>
    <row r="30" ht="15.75" customHeight="1">
      <c r="A30" s="104"/>
      <c r="B30" s="105" t="str">
        <f>IFERROR(__xludf.DUMMYFUNCTION("ARRAY_CONSTRAIN(
  ARRAYFORMULA(
    IF(
      'Final Report'!A30="""",
      """",
      TEXTJOIN(
        "", "" &amp; CHAR(10),
        TRUE,
        IFERROR(
          VLOOKUP(
            TRIM(
              SPLIT('Final Report'!A30, "","")
            )"&amp;",
            'URL Details'!A:B,
            2,
            FALSE
          ),
          """"
        )
      )
    )
  ),
  1,
  1
)
"),"")</f>
        <v/>
      </c>
      <c r="C30" s="105" t="str">
        <f>IFERROR(__xludf.DUMMYFUNCTION("IFERROR(IF('Final Report'!A30="""","""", TEXTJOIN(CHAR(10), TRUE, ARRAYFORMULA( ""• ""&amp; FILTER( TRIM(FLATTEN(SPLIT( REGEXREPLACE( SUBSTITUTE(TEXTJOIN("","", TRUE, IFERROR(ARRAYFORMULA(VLOOKUP(TRIM(SPLIT('Final Report'!A30, "","")), 'URL Details'!A:D, 4, F"&amp;"ALSE)),"""") ), CHAR(10), "",""), ""\s*,\s*"", "",""), "",""))), TRIM(FLATTEN(SPLIT( REGEXREPLACE( SUBSTITUTE(TEXTJOIN("","", TRUE, IFERROR(ARRAYFORMULA(VLOOKUP(TRIM(SPLIT('Final Report'!A30, "","")), 'URL Details'!A:D, 4, FALSE)),"""") ), CHAR(10), "","""&amp;"), ""\s*,\s*"", "",""), "","")))&lt;&gt;"""" ) ) ) ),"""")
"),"")</f>
        <v/>
      </c>
      <c r="D30" s="105"/>
      <c r="E30" s="105"/>
      <c r="F30" s="110" t="b">
        <v>0</v>
      </c>
      <c r="G30" s="105" t="str">
        <f>IF(F30=True, IFERROR(VLOOKUP(D30, Repository!A:B, 2, 0), ""), "")</f>
        <v/>
      </c>
      <c r="H30" s="105"/>
      <c r="I30" s="105"/>
      <c r="J30" s="105" t="str">
        <f>IF(F30=True, IFERROR(VLOOKUP(D30, Repository!A:C, 3, 0), ""), "")</f>
        <v/>
      </c>
      <c r="K30" s="105"/>
      <c r="L30" s="105" t="str">
        <f>IF(F30=True, IFERROR(VLOOKUP(D30, Repository!A:E, 5, 0), ""), "")</f>
        <v/>
      </c>
      <c r="M30" s="105"/>
      <c r="N30" s="105" t="str">
        <f>IF(F30=True, IFERROR(VLOOKUP(D30, Repository!A:G, 7, 0), ""), "")</f>
        <v/>
      </c>
      <c r="O30" s="105" t="str">
        <f>IFERROR(__xludf.DUMMYFUNCTION("ARRAY_CONSTRAIN(
  ARRAYFORMULA(
    IFERROR(
      LET(
        list, N30,
        arr, TRIM(SPLIT(list, "","")),
        names, XLOOKUP(
          arr,
          'Conformance Score'!A:A,
          'Conformance Score'!B:B,
          ""Not found""
       "&amp;" ),
        TEXTJOIN("", "", TRUE, names)
      ),
      """"
    )
  ),
  1,
  1
)
"),"")</f>
        <v/>
      </c>
      <c r="P30" s="105" t="str">
        <f>IF(F30="Yes", IFERROR(VLOOKUP(D30, Repository!A:F, 6, 0), ""), "")</f>
        <v/>
      </c>
      <c r="Q30" s="105" t="str">
        <f>IF(F30="Yes", IFERROR(VLOOKUP(D30, Repository!A:I, 8, 0), ""), "")</f>
        <v/>
      </c>
      <c r="R30" s="105" t="str">
        <f>IF(F30="Yes", IFERROR(VLOOKUP(D30, Repository!A:J, 9, 0), ""), "")</f>
        <v/>
      </c>
      <c r="S30" s="105"/>
      <c r="T30" s="105"/>
      <c r="U30" s="105"/>
      <c r="V30" s="105"/>
      <c r="W30" s="105"/>
      <c r="X30" s="105"/>
      <c r="Y30" s="105"/>
      <c r="Z30" s="105"/>
      <c r="AA30" s="105"/>
      <c r="AB30" s="105"/>
      <c r="AC30" s="91"/>
      <c r="AD30" s="105"/>
      <c r="AE30" s="105"/>
      <c r="AF30" s="91"/>
      <c r="AG30" s="105"/>
      <c r="AH30" s="105"/>
      <c r="AI30" s="105" t="str">
        <f t="shared" si="1"/>
        <v/>
      </c>
      <c r="AJ30" s="108" t="str">
        <f t="shared" si="2"/>
        <v/>
      </c>
    </row>
    <row r="31" ht="15.75" customHeight="1">
      <c r="A31" s="104"/>
      <c r="B31" s="105" t="str">
        <f>IFERROR(__xludf.DUMMYFUNCTION("ARRAY_CONSTRAIN(
  ARRAYFORMULA(
    IF(
      'Final Report'!A31="""",
      """",
      TEXTJOIN(
        "", "" &amp; CHAR(10),
        TRUE,
        IFERROR(
          VLOOKUP(
            TRIM(
              SPLIT('Final Report'!A31, "","")
            )"&amp;",
            'URL Details'!A:B,
            2,
            FALSE
          ),
          """"
        )
      )
    )
  ),
  1,
  1
)
"),"")</f>
        <v/>
      </c>
      <c r="C31" s="105" t="str">
        <f>IFERROR(__xludf.DUMMYFUNCTION("IFERROR(IF('Final Report'!A31="""","""", TEXTJOIN(CHAR(10), TRUE, ARRAYFORMULA( ""• ""&amp; FILTER( TRIM(FLATTEN(SPLIT( REGEXREPLACE( SUBSTITUTE(TEXTJOIN("","", TRUE, IFERROR(ARRAYFORMULA(VLOOKUP(TRIM(SPLIT('Final Report'!A31, "","")), 'URL Details'!A:D, 4, F"&amp;"ALSE)),"""") ), CHAR(10), "",""), ""\s*,\s*"", "",""), "",""))), TRIM(FLATTEN(SPLIT( REGEXREPLACE( SUBSTITUTE(TEXTJOIN("","", TRUE, IFERROR(ARRAYFORMULA(VLOOKUP(TRIM(SPLIT('Final Report'!A31, "","")), 'URL Details'!A:D, 4, FALSE)),"""") ), CHAR(10), "","""&amp;"), ""\s*,\s*"", "",""), "","")))&lt;&gt;"""" ) ) ) ),"""")
"),"")</f>
        <v/>
      </c>
      <c r="D31" s="105"/>
      <c r="E31" s="105"/>
      <c r="F31" s="110" t="b">
        <v>0</v>
      </c>
      <c r="G31" s="105" t="str">
        <f>IF(F31=True, IFERROR(VLOOKUP(D31, Repository!A:B, 2, 0), ""), "")</f>
        <v/>
      </c>
      <c r="H31" s="105"/>
      <c r="I31" s="105"/>
      <c r="J31" s="105" t="str">
        <f>IF(F31=True, IFERROR(VLOOKUP(D31, Repository!A:C, 3, 0), ""), "")</f>
        <v/>
      </c>
      <c r="K31" s="105"/>
      <c r="L31" s="105" t="str">
        <f>IF(F31=True, IFERROR(VLOOKUP(D31, Repository!A:E, 5, 0), ""), "")</f>
        <v/>
      </c>
      <c r="M31" s="105"/>
      <c r="N31" s="105" t="str">
        <f>IF(F31=True, IFERROR(VLOOKUP(D31, Repository!A:G, 7, 0), ""), "")</f>
        <v/>
      </c>
      <c r="O31" s="105" t="str">
        <f>IFERROR(__xludf.DUMMYFUNCTION("ARRAY_CONSTRAIN(
  ARRAYFORMULA(
    IFERROR(
      LET(
        list, N31,
        arr, TRIM(SPLIT(list, "","")),
        names, XLOOKUP(
          arr,
          'Conformance Score'!A:A,
          'Conformance Score'!B:B,
          ""Not found""
       "&amp;" ),
        TEXTJOIN("", "", TRUE, names)
      ),
      """"
    )
  ),
  1,
  1
)
"),"")</f>
        <v/>
      </c>
      <c r="P31" s="105" t="str">
        <f>IF(F31="Yes", IFERROR(VLOOKUP(D31, Repository!A:F, 6, 0), ""), "")</f>
        <v/>
      </c>
      <c r="Q31" s="105" t="str">
        <f>IF(F31="Yes", IFERROR(VLOOKUP(D31, Repository!A:I, 8, 0), ""), "")</f>
        <v/>
      </c>
      <c r="R31" s="105" t="str">
        <f>IF(F31="Yes", IFERROR(VLOOKUP(D31, Repository!A:J, 9, 0), ""), "")</f>
        <v/>
      </c>
      <c r="S31" s="105"/>
      <c r="T31" s="105"/>
      <c r="U31" s="105"/>
      <c r="V31" s="105"/>
      <c r="W31" s="105"/>
      <c r="X31" s="105"/>
      <c r="Y31" s="105"/>
      <c r="Z31" s="105"/>
      <c r="AA31" s="105"/>
      <c r="AB31" s="105"/>
      <c r="AC31" s="91"/>
      <c r="AD31" s="105"/>
      <c r="AE31" s="105"/>
      <c r="AF31" s="91"/>
      <c r="AG31" s="105"/>
      <c r="AH31" s="105"/>
      <c r="AI31" s="105" t="str">
        <f t="shared" si="1"/>
        <v/>
      </c>
      <c r="AJ31" s="108" t="str">
        <f t="shared" si="2"/>
        <v/>
      </c>
    </row>
    <row r="32" ht="15.75" customHeight="1">
      <c r="A32" s="104"/>
      <c r="B32" s="105" t="str">
        <f>IFERROR(__xludf.DUMMYFUNCTION("ARRAY_CONSTRAIN(
  ARRAYFORMULA(
    IF(
      'Final Report'!A32="""",
      """",
      TEXTJOIN(
        "", "" &amp; CHAR(10),
        TRUE,
        IFERROR(
          VLOOKUP(
            TRIM(
              SPLIT('Final Report'!A32, "","")
            )"&amp;",
            'URL Details'!A:B,
            2,
            FALSE
          ),
          """"
        )
      )
    )
  ),
  1,
  1
)
"),"")</f>
        <v/>
      </c>
      <c r="C32" s="105" t="str">
        <f>IFERROR(__xludf.DUMMYFUNCTION("IFERROR(IF('Final Report'!A32="""","""", TEXTJOIN(CHAR(10), TRUE, ARRAYFORMULA( ""• ""&amp; FILTER( TRIM(FLATTEN(SPLIT( REGEXREPLACE( SUBSTITUTE(TEXTJOIN("","", TRUE, IFERROR(ARRAYFORMULA(VLOOKUP(TRIM(SPLIT('Final Report'!A32, "","")), 'URL Details'!A:D, 4, F"&amp;"ALSE)),"""") ), CHAR(10), "",""), ""\s*,\s*"", "",""), "",""))), TRIM(FLATTEN(SPLIT( REGEXREPLACE( SUBSTITUTE(TEXTJOIN("","", TRUE, IFERROR(ARRAYFORMULA(VLOOKUP(TRIM(SPLIT('Final Report'!A32, "","")), 'URL Details'!A:D, 4, FALSE)),"""") ), CHAR(10), "","""&amp;"), ""\s*,\s*"", "",""), "","")))&lt;&gt;"""" ) ) ) ),"""")
"),"")</f>
        <v/>
      </c>
      <c r="D32" s="105"/>
      <c r="E32" s="105"/>
      <c r="F32" s="110" t="b">
        <v>0</v>
      </c>
      <c r="G32" s="105" t="str">
        <f>IF(F32=True, IFERROR(VLOOKUP(D32, Repository!A:B, 2, 0), ""), "")</f>
        <v/>
      </c>
      <c r="H32" s="105"/>
      <c r="I32" s="105"/>
      <c r="J32" s="105" t="str">
        <f>IF(F32=True, IFERROR(VLOOKUP(D32, Repository!A:C, 3, 0), ""), "")</f>
        <v/>
      </c>
      <c r="K32" s="105"/>
      <c r="L32" s="105" t="str">
        <f>IF(F32=True, IFERROR(VLOOKUP(D32, Repository!A:E, 5, 0), ""), "")</f>
        <v/>
      </c>
      <c r="M32" s="105"/>
      <c r="N32" s="105" t="str">
        <f>IF(F32=True, IFERROR(VLOOKUP(D32, Repository!A:G, 7, 0), ""), "")</f>
        <v/>
      </c>
      <c r="O32" s="105" t="str">
        <f>IFERROR(__xludf.DUMMYFUNCTION("ARRAY_CONSTRAIN(
  ARRAYFORMULA(
    IFERROR(
      LET(
        list, N32,
        arr, TRIM(SPLIT(list, "","")),
        names, XLOOKUP(
          arr,
          'Conformance Score'!A:A,
          'Conformance Score'!B:B,
          ""Not found""
       "&amp;" ),
        TEXTJOIN("", "", TRUE, names)
      ),
      """"
    )
  ),
  1,
  1
)
"),"")</f>
        <v/>
      </c>
      <c r="P32" s="105" t="str">
        <f>IF(F32="Yes", IFERROR(VLOOKUP(D32, Repository!A:F, 6, 0), ""), "")</f>
        <v/>
      </c>
      <c r="Q32" s="105" t="str">
        <f>IF(F32="Yes", IFERROR(VLOOKUP(D32, Repository!A:I, 8, 0), ""), "")</f>
        <v/>
      </c>
      <c r="R32" s="105" t="str">
        <f>IF(F32="Yes", IFERROR(VLOOKUP(D32, Repository!A:J, 9, 0), ""), "")</f>
        <v/>
      </c>
      <c r="S32" s="105"/>
      <c r="T32" s="105"/>
      <c r="U32" s="105"/>
      <c r="V32" s="105"/>
      <c r="W32" s="105"/>
      <c r="X32" s="105"/>
      <c r="Y32" s="105"/>
      <c r="Z32" s="105"/>
      <c r="AA32" s="105"/>
      <c r="AB32" s="105"/>
      <c r="AC32" s="91"/>
      <c r="AD32" s="105"/>
      <c r="AE32" s="105"/>
      <c r="AF32" s="91"/>
      <c r="AG32" s="105"/>
      <c r="AH32" s="105"/>
      <c r="AI32" s="105" t="str">
        <f t="shared" si="1"/>
        <v/>
      </c>
      <c r="AJ32" s="108" t="str">
        <f t="shared" si="2"/>
        <v/>
      </c>
    </row>
    <row r="33" ht="15.75" customHeight="1">
      <c r="A33" s="104"/>
      <c r="B33" s="105" t="str">
        <f>IFERROR(__xludf.DUMMYFUNCTION("ARRAY_CONSTRAIN(
  ARRAYFORMULA(
    IF(
      'Final Report'!A33="""",
      """",
      TEXTJOIN(
        "", "" &amp; CHAR(10),
        TRUE,
        IFERROR(
          VLOOKUP(
            TRIM(
              SPLIT('Final Report'!A33, "","")
            )"&amp;",
            'URL Details'!A:B,
            2,
            FALSE
          ),
          """"
        )
      )
    )
  ),
  1,
  1
)
"),"")</f>
        <v/>
      </c>
      <c r="C33" s="105" t="str">
        <f>IFERROR(__xludf.DUMMYFUNCTION("IFERROR(IF('Final Report'!A33="""","""", TEXTJOIN(CHAR(10), TRUE, ARRAYFORMULA( ""• ""&amp; FILTER( TRIM(FLATTEN(SPLIT( REGEXREPLACE( SUBSTITUTE(TEXTJOIN("","", TRUE, IFERROR(ARRAYFORMULA(VLOOKUP(TRIM(SPLIT('Final Report'!A33, "","")), 'URL Details'!A:D, 4, F"&amp;"ALSE)),"""") ), CHAR(10), "",""), ""\s*,\s*"", "",""), "",""))), TRIM(FLATTEN(SPLIT( REGEXREPLACE( SUBSTITUTE(TEXTJOIN("","", TRUE, IFERROR(ARRAYFORMULA(VLOOKUP(TRIM(SPLIT('Final Report'!A33, "","")), 'URL Details'!A:D, 4, FALSE)),"""") ), CHAR(10), "","""&amp;"), ""\s*,\s*"", "",""), "","")))&lt;&gt;"""" ) ) ) ),"""")
"),"")</f>
        <v/>
      </c>
      <c r="D33" s="105"/>
      <c r="E33" s="105"/>
      <c r="F33" s="110" t="b">
        <v>0</v>
      </c>
      <c r="G33" s="105" t="str">
        <f>IF(F33=True, IFERROR(VLOOKUP(D33, Repository!A:B, 2, 0), ""), "")</f>
        <v/>
      </c>
      <c r="H33" s="105"/>
      <c r="I33" s="105"/>
      <c r="J33" s="105" t="str">
        <f>IF(F33=True, IFERROR(VLOOKUP(D33, Repository!A:C, 3, 0), ""), "")</f>
        <v/>
      </c>
      <c r="K33" s="105"/>
      <c r="L33" s="105" t="str">
        <f>IF(F33=True, IFERROR(VLOOKUP(D33, Repository!A:E, 5, 0), ""), "")</f>
        <v/>
      </c>
      <c r="M33" s="105"/>
      <c r="N33" s="105" t="str">
        <f>IF(F33=True, IFERROR(VLOOKUP(D33, Repository!A:G, 7, 0), ""), "")</f>
        <v/>
      </c>
      <c r="O33" s="105" t="str">
        <f>IFERROR(__xludf.DUMMYFUNCTION("ARRAY_CONSTRAIN(
  ARRAYFORMULA(
    IFERROR(
      LET(
        list, N33,
        arr, TRIM(SPLIT(list, "","")),
        names, XLOOKUP(
          arr,
          'Conformance Score'!A:A,
          'Conformance Score'!B:B,
          ""Not found""
       "&amp;" ),
        TEXTJOIN("", "", TRUE, names)
      ),
      """"
    )
  ),
  1,
  1
)
"),"")</f>
        <v/>
      </c>
      <c r="P33" s="105" t="str">
        <f>IF(F33="Yes", IFERROR(VLOOKUP(D33, Repository!A:F, 6, 0), ""), "")</f>
        <v/>
      </c>
      <c r="Q33" s="105" t="str">
        <f>IF(F33="Yes", IFERROR(VLOOKUP(D33, Repository!A:I, 8, 0), ""), "")</f>
        <v/>
      </c>
      <c r="R33" s="105" t="str">
        <f>IF(F33="Yes", IFERROR(VLOOKUP(D33, Repository!A:J, 9, 0), ""), "")</f>
        <v/>
      </c>
      <c r="S33" s="105"/>
      <c r="T33" s="105"/>
      <c r="U33" s="105"/>
      <c r="V33" s="105"/>
      <c r="W33" s="105"/>
      <c r="X33" s="105"/>
      <c r="Y33" s="105"/>
      <c r="Z33" s="105"/>
      <c r="AA33" s="105"/>
      <c r="AB33" s="105"/>
      <c r="AC33" s="91"/>
      <c r="AD33" s="105"/>
      <c r="AE33" s="105"/>
      <c r="AF33" s="91"/>
      <c r="AG33" s="105"/>
      <c r="AH33" s="105"/>
      <c r="AI33" s="105" t="str">
        <f t="shared" si="1"/>
        <v/>
      </c>
      <c r="AJ33" s="108" t="str">
        <f t="shared" si="2"/>
        <v/>
      </c>
    </row>
    <row r="34" ht="15.75" customHeight="1">
      <c r="A34" s="104"/>
      <c r="B34" s="105" t="str">
        <f>IFERROR(__xludf.DUMMYFUNCTION("ARRAY_CONSTRAIN(
  ARRAYFORMULA(
    IF(
      'Final Report'!A34="""",
      """",
      TEXTJOIN(
        "", "" &amp; CHAR(10),
        TRUE,
        IFERROR(
          VLOOKUP(
            TRIM(
              SPLIT('Final Report'!A34, "","")
            )"&amp;",
            'URL Details'!A:B,
            2,
            FALSE
          ),
          """"
        )
      )
    )
  ),
  1,
  1
)
"),"")</f>
        <v/>
      </c>
      <c r="C34" s="105" t="str">
        <f>IFERROR(__xludf.DUMMYFUNCTION("IFERROR(IF('Final Report'!A34="""","""", TEXTJOIN(CHAR(10), TRUE, ARRAYFORMULA( ""• ""&amp; FILTER( TRIM(FLATTEN(SPLIT( REGEXREPLACE( SUBSTITUTE(TEXTJOIN("","", TRUE, IFERROR(ARRAYFORMULA(VLOOKUP(TRIM(SPLIT('Final Report'!A34, "","")), 'URL Details'!A:D, 4, F"&amp;"ALSE)),"""") ), CHAR(10), "",""), ""\s*,\s*"", "",""), "",""))), TRIM(FLATTEN(SPLIT( REGEXREPLACE( SUBSTITUTE(TEXTJOIN("","", TRUE, IFERROR(ARRAYFORMULA(VLOOKUP(TRIM(SPLIT('Final Report'!A34, "","")), 'URL Details'!A:D, 4, FALSE)),"""") ), CHAR(10), "","""&amp;"), ""\s*,\s*"", "",""), "","")))&lt;&gt;"""" ) ) ) ),"""")
"),"")</f>
        <v/>
      </c>
      <c r="D34" s="105"/>
      <c r="E34" s="105"/>
      <c r="F34" s="110" t="b">
        <v>0</v>
      </c>
      <c r="G34" s="105" t="str">
        <f>IF(F34=True, IFERROR(VLOOKUP(D34, Repository!A:B, 2, 0), ""), "")</f>
        <v/>
      </c>
      <c r="H34" s="105"/>
      <c r="I34" s="105"/>
      <c r="J34" s="105" t="str">
        <f>IF(F34=True, IFERROR(VLOOKUP(D34, Repository!A:C, 3, 0), ""), "")</f>
        <v/>
      </c>
      <c r="K34" s="105"/>
      <c r="L34" s="105" t="str">
        <f>IF(F34=True, IFERROR(VLOOKUP(D34, Repository!A:E, 5, 0), ""), "")</f>
        <v/>
      </c>
      <c r="M34" s="105"/>
      <c r="N34" s="105" t="str">
        <f>IF(F34=True, IFERROR(VLOOKUP(D34, Repository!A:G, 7, 0), ""), "")</f>
        <v/>
      </c>
      <c r="O34" s="105" t="str">
        <f>IFERROR(__xludf.DUMMYFUNCTION("ARRAY_CONSTRAIN(
  ARRAYFORMULA(
    IFERROR(
      LET(
        list, N34,
        arr, TRIM(SPLIT(list, "","")),
        names, XLOOKUP(
          arr,
          'Conformance Score'!A:A,
          'Conformance Score'!B:B,
          ""Not found""
       "&amp;" ),
        TEXTJOIN("", "", TRUE, names)
      ),
      """"
    )
  ),
  1,
  1
)
"),"")</f>
        <v/>
      </c>
      <c r="P34" s="105" t="str">
        <f>IF(F34="Yes", IFERROR(VLOOKUP(D34, Repository!A:F, 6, 0), ""), "")</f>
        <v/>
      </c>
      <c r="Q34" s="105" t="str">
        <f>IF(F34="Yes", IFERROR(VLOOKUP(D34, Repository!A:I, 8, 0), ""), "")</f>
        <v/>
      </c>
      <c r="R34" s="105" t="str">
        <f>IF(F34="Yes", IFERROR(VLOOKUP(D34, Repository!A:J, 9, 0), ""), "")</f>
        <v/>
      </c>
      <c r="S34" s="105"/>
      <c r="T34" s="105"/>
      <c r="U34" s="105"/>
      <c r="V34" s="105"/>
      <c r="W34" s="105"/>
      <c r="X34" s="105"/>
      <c r="Y34" s="105"/>
      <c r="Z34" s="105"/>
      <c r="AA34" s="105"/>
      <c r="AB34" s="105"/>
      <c r="AC34" s="91"/>
      <c r="AD34" s="105"/>
      <c r="AE34" s="105"/>
      <c r="AF34" s="91"/>
      <c r="AG34" s="105"/>
      <c r="AH34" s="105"/>
      <c r="AI34" s="105" t="str">
        <f t="shared" si="1"/>
        <v/>
      </c>
      <c r="AJ34" s="108" t="str">
        <f t="shared" si="2"/>
        <v/>
      </c>
    </row>
    <row r="35" ht="15.75" customHeight="1">
      <c r="A35" s="104"/>
      <c r="B35" s="105" t="str">
        <f>IFERROR(__xludf.DUMMYFUNCTION("ARRAY_CONSTRAIN(
  ARRAYFORMULA(
    IF(
      'Final Report'!A35="""",
      """",
      TEXTJOIN(
        "", "" &amp; CHAR(10),
        TRUE,
        IFERROR(
          VLOOKUP(
            TRIM(
              SPLIT('Final Report'!A35, "","")
            )"&amp;",
            'URL Details'!A:B,
            2,
            FALSE
          ),
          """"
        )
      )
    )
  ),
  1,
  1
)
"),"")</f>
        <v/>
      </c>
      <c r="C35" s="105" t="str">
        <f>IFERROR(__xludf.DUMMYFUNCTION("IFERROR(IF('Final Report'!A35="""","""", TEXTJOIN(CHAR(10), TRUE, ARRAYFORMULA( ""• ""&amp; FILTER( TRIM(FLATTEN(SPLIT( REGEXREPLACE( SUBSTITUTE(TEXTJOIN("","", TRUE, IFERROR(ARRAYFORMULA(VLOOKUP(TRIM(SPLIT('Final Report'!A35, "","")), 'URL Details'!A:D, 4, F"&amp;"ALSE)),"""") ), CHAR(10), "",""), ""\s*,\s*"", "",""), "",""))), TRIM(FLATTEN(SPLIT( REGEXREPLACE( SUBSTITUTE(TEXTJOIN("","", TRUE, IFERROR(ARRAYFORMULA(VLOOKUP(TRIM(SPLIT('Final Report'!A35, "","")), 'URL Details'!A:D, 4, FALSE)),"""") ), CHAR(10), "","""&amp;"), ""\s*,\s*"", "",""), "","")))&lt;&gt;"""" ) ) ) ),"""")
"),"")</f>
        <v/>
      </c>
      <c r="D35" s="105"/>
      <c r="E35" s="105"/>
      <c r="F35" s="110" t="b">
        <v>0</v>
      </c>
      <c r="G35" s="105" t="str">
        <f>IF(F35=True, IFERROR(VLOOKUP(D35, Repository!A:B, 2, 0), ""), "")</f>
        <v/>
      </c>
      <c r="H35" s="105"/>
      <c r="I35" s="105"/>
      <c r="J35" s="105" t="str">
        <f>IF(F35=True, IFERROR(VLOOKUP(D35, Repository!A:C, 3, 0), ""), "")</f>
        <v/>
      </c>
      <c r="K35" s="105"/>
      <c r="L35" s="105" t="str">
        <f>IF(F35=True, IFERROR(VLOOKUP(D35, Repository!A:E, 5, 0), ""), "")</f>
        <v/>
      </c>
      <c r="M35" s="105"/>
      <c r="N35" s="105" t="str">
        <f>IF(F35=True, IFERROR(VLOOKUP(D35, Repository!A:G, 7, 0), ""), "")</f>
        <v/>
      </c>
      <c r="O35" s="105" t="str">
        <f>IFERROR(__xludf.DUMMYFUNCTION("ARRAY_CONSTRAIN(
  ARRAYFORMULA(
    IFERROR(
      LET(
        list, N35,
        arr, TRIM(SPLIT(list, "","")),
        names, XLOOKUP(
          arr,
          'Conformance Score'!A:A,
          'Conformance Score'!B:B,
          ""Not found""
       "&amp;" ),
        TEXTJOIN("", "", TRUE, names)
      ),
      """"
    )
  ),
  1,
  1
)
"),"")</f>
        <v/>
      </c>
      <c r="P35" s="105" t="str">
        <f>IF(F35="Yes", IFERROR(VLOOKUP(D35, Repository!A:F, 6, 0), ""), "")</f>
        <v/>
      </c>
      <c r="Q35" s="105" t="str">
        <f>IF(F35="Yes", IFERROR(VLOOKUP(D35, Repository!A:I, 8, 0), ""), "")</f>
        <v/>
      </c>
      <c r="R35" s="105" t="str">
        <f>IF(F35="Yes", IFERROR(VLOOKUP(D35, Repository!A:J, 9, 0), ""), "")</f>
        <v/>
      </c>
      <c r="S35" s="105"/>
      <c r="T35" s="105"/>
      <c r="U35" s="105"/>
      <c r="V35" s="105"/>
      <c r="W35" s="105"/>
      <c r="X35" s="105"/>
      <c r="Y35" s="105"/>
      <c r="Z35" s="105"/>
      <c r="AA35" s="105"/>
      <c r="AB35" s="105"/>
      <c r="AC35" s="91"/>
      <c r="AD35" s="105"/>
      <c r="AE35" s="105"/>
      <c r="AF35" s="91"/>
      <c r="AG35" s="105"/>
      <c r="AH35" s="105"/>
      <c r="AI35" s="105" t="str">
        <f t="shared" si="1"/>
        <v/>
      </c>
      <c r="AJ35" s="108" t="str">
        <f t="shared" si="2"/>
        <v/>
      </c>
    </row>
    <row r="36" ht="15.75" customHeight="1">
      <c r="A36" s="104"/>
      <c r="B36" s="105" t="str">
        <f>IFERROR(__xludf.DUMMYFUNCTION("ARRAY_CONSTRAIN(
  ARRAYFORMULA(
    IF(
      'Final Report'!A36="""",
      """",
      TEXTJOIN(
        "", "" &amp; CHAR(10),
        TRUE,
        IFERROR(
          VLOOKUP(
            TRIM(
              SPLIT('Final Report'!A36, "","")
            )"&amp;",
            'URL Details'!A:B,
            2,
            FALSE
          ),
          """"
        )
      )
    )
  ),
  1,
  1
)
"),"")</f>
        <v/>
      </c>
      <c r="C36" s="105" t="str">
        <f>IFERROR(__xludf.DUMMYFUNCTION("IFERROR(IF('Final Report'!A36="""","""", TEXTJOIN(CHAR(10), TRUE, ARRAYFORMULA( ""• ""&amp; FILTER( TRIM(FLATTEN(SPLIT( REGEXREPLACE( SUBSTITUTE(TEXTJOIN("","", TRUE, IFERROR(ARRAYFORMULA(VLOOKUP(TRIM(SPLIT('Final Report'!A36, "","")), 'URL Details'!A:D, 4, F"&amp;"ALSE)),"""") ), CHAR(10), "",""), ""\s*,\s*"", "",""), "",""))), TRIM(FLATTEN(SPLIT( REGEXREPLACE( SUBSTITUTE(TEXTJOIN("","", TRUE, IFERROR(ARRAYFORMULA(VLOOKUP(TRIM(SPLIT('Final Report'!A36, "","")), 'URL Details'!A:D, 4, FALSE)),"""") ), CHAR(10), "","""&amp;"), ""\s*,\s*"", "",""), "","")))&lt;&gt;"""" ) ) ) ),"""")
"),"")</f>
        <v/>
      </c>
      <c r="D36" s="105"/>
      <c r="E36" s="105"/>
      <c r="F36" s="110" t="b">
        <v>0</v>
      </c>
      <c r="G36" s="105" t="str">
        <f>IF(F36=True, IFERROR(VLOOKUP(D36, Repository!A:B, 2, 0), ""), "")</f>
        <v/>
      </c>
      <c r="H36" s="105"/>
      <c r="I36" s="105"/>
      <c r="J36" s="105" t="str">
        <f>IF(F36=True, IFERROR(VLOOKUP(D36, Repository!A:C, 3, 0), ""), "")</f>
        <v/>
      </c>
      <c r="K36" s="105"/>
      <c r="L36" s="105" t="str">
        <f>IF(F36=True, IFERROR(VLOOKUP(D36, Repository!A:E, 5, 0), ""), "")</f>
        <v/>
      </c>
      <c r="M36" s="105"/>
      <c r="N36" s="105" t="str">
        <f>IF(F36=True, IFERROR(VLOOKUP(D36, Repository!A:G, 7, 0), ""), "")</f>
        <v/>
      </c>
      <c r="O36" s="105" t="str">
        <f>IFERROR(__xludf.DUMMYFUNCTION("ARRAY_CONSTRAIN(
  ARRAYFORMULA(
    IFERROR(
      LET(
        list, N36,
        arr, TRIM(SPLIT(list, "","")),
        names, XLOOKUP(
          arr,
          'Conformance Score'!A:A,
          'Conformance Score'!B:B,
          ""Not found""
       "&amp;" ),
        TEXTJOIN("", "", TRUE, names)
      ),
      """"
    )
  ),
  1,
  1
)
"),"")</f>
        <v/>
      </c>
      <c r="P36" s="105" t="str">
        <f>IF(F36="Yes", IFERROR(VLOOKUP(D36, Repository!A:F, 6, 0), ""), "")</f>
        <v/>
      </c>
      <c r="Q36" s="105" t="str">
        <f>IF(F36="Yes", IFERROR(VLOOKUP(D36, Repository!A:I, 8, 0), ""), "")</f>
        <v/>
      </c>
      <c r="R36" s="105" t="str">
        <f>IF(F36="Yes", IFERROR(VLOOKUP(D36, Repository!A:J, 9, 0), ""), "")</f>
        <v/>
      </c>
      <c r="S36" s="105"/>
      <c r="T36" s="105"/>
      <c r="U36" s="105"/>
      <c r="V36" s="105"/>
      <c r="W36" s="105"/>
      <c r="X36" s="105"/>
      <c r="Y36" s="105"/>
      <c r="Z36" s="105"/>
      <c r="AA36" s="105"/>
      <c r="AB36" s="105"/>
      <c r="AC36" s="91"/>
      <c r="AD36" s="105"/>
      <c r="AE36" s="105"/>
      <c r="AF36" s="91"/>
      <c r="AG36" s="105"/>
      <c r="AH36" s="105"/>
      <c r="AI36" s="105" t="str">
        <f t="shared" si="1"/>
        <v/>
      </c>
      <c r="AJ36" s="108" t="str">
        <f t="shared" si="2"/>
        <v/>
      </c>
    </row>
    <row r="37" ht="15.75" customHeight="1">
      <c r="A37" s="104"/>
      <c r="B37" s="105" t="str">
        <f>IFERROR(__xludf.DUMMYFUNCTION("ARRAY_CONSTRAIN(
  ARRAYFORMULA(
    IF(
      'Final Report'!A37="""",
      """",
      TEXTJOIN(
        "", "" &amp; CHAR(10),
        TRUE,
        IFERROR(
          VLOOKUP(
            TRIM(
              SPLIT('Final Report'!A37, "","")
            )"&amp;",
            'URL Details'!A:B,
            2,
            FALSE
          ),
          """"
        )
      )
    )
  ),
  1,
  1
)
"),"")</f>
        <v/>
      </c>
      <c r="C37" s="105" t="str">
        <f>IFERROR(__xludf.DUMMYFUNCTION("IFERROR(IF('Final Report'!A37="""","""", TEXTJOIN(CHAR(10), TRUE, ARRAYFORMULA( ""• ""&amp; FILTER( TRIM(FLATTEN(SPLIT( REGEXREPLACE( SUBSTITUTE(TEXTJOIN("","", TRUE, IFERROR(ARRAYFORMULA(VLOOKUP(TRIM(SPLIT('Final Report'!A37, "","")), 'URL Details'!A:D, 4, F"&amp;"ALSE)),"""") ), CHAR(10), "",""), ""\s*,\s*"", "",""), "",""))), TRIM(FLATTEN(SPLIT( REGEXREPLACE( SUBSTITUTE(TEXTJOIN("","", TRUE, IFERROR(ARRAYFORMULA(VLOOKUP(TRIM(SPLIT('Final Report'!A37, "","")), 'URL Details'!A:D, 4, FALSE)),"""") ), CHAR(10), "","""&amp;"), ""\s*,\s*"", "",""), "","")))&lt;&gt;"""" ) ) ) ),"""")
"),"")</f>
        <v/>
      </c>
      <c r="D37" s="105"/>
      <c r="E37" s="105"/>
      <c r="F37" s="110" t="b">
        <v>0</v>
      </c>
      <c r="G37" s="105" t="str">
        <f>IF(F37=True, IFERROR(VLOOKUP(D37, Repository!A:B, 2, 0), ""), "")</f>
        <v/>
      </c>
      <c r="H37" s="105"/>
      <c r="I37" s="105"/>
      <c r="J37" s="105" t="str">
        <f>IF(F37=True, IFERROR(VLOOKUP(D37, Repository!A:C, 3, 0), ""), "")</f>
        <v/>
      </c>
      <c r="K37" s="105"/>
      <c r="L37" s="105" t="str">
        <f>IF(F37=True, IFERROR(VLOOKUP(D37, Repository!A:E, 5, 0), ""), "")</f>
        <v/>
      </c>
      <c r="M37" s="105"/>
      <c r="N37" s="105" t="str">
        <f>IF(F37=True, IFERROR(VLOOKUP(D37, Repository!A:G, 7, 0), ""), "")</f>
        <v/>
      </c>
      <c r="O37" s="105" t="str">
        <f>IFERROR(__xludf.DUMMYFUNCTION("ARRAY_CONSTRAIN(
  ARRAYFORMULA(
    IFERROR(
      LET(
        list, N37,
        arr, TRIM(SPLIT(list, "","")),
        names, XLOOKUP(
          arr,
          'Conformance Score'!A:A,
          'Conformance Score'!B:B,
          ""Not found""
       "&amp;" ),
        TEXTJOIN("", "", TRUE, names)
      ),
      """"
    )
  ),
  1,
  1
)
"),"")</f>
        <v/>
      </c>
      <c r="P37" s="105" t="str">
        <f>IF(F37="Yes", IFERROR(VLOOKUP(D37, Repository!A:F, 6, 0), ""), "")</f>
        <v/>
      </c>
      <c r="Q37" s="105" t="str">
        <f>IF(F37="Yes", IFERROR(VLOOKUP(D37, Repository!A:I, 8, 0), ""), "")</f>
        <v/>
      </c>
      <c r="R37" s="105" t="str">
        <f>IF(F37="Yes", IFERROR(VLOOKUP(D37, Repository!A:J, 9, 0), ""), "")</f>
        <v/>
      </c>
      <c r="S37" s="105"/>
      <c r="T37" s="105"/>
      <c r="U37" s="105"/>
      <c r="V37" s="105"/>
      <c r="W37" s="105"/>
      <c r="X37" s="105"/>
      <c r="Y37" s="105"/>
      <c r="Z37" s="105"/>
      <c r="AA37" s="105"/>
      <c r="AB37" s="105"/>
      <c r="AC37" s="91"/>
      <c r="AD37" s="105"/>
      <c r="AE37" s="105"/>
      <c r="AF37" s="91"/>
      <c r="AG37" s="105"/>
      <c r="AH37" s="105"/>
      <c r="AI37" s="105" t="str">
        <f t="shared" si="1"/>
        <v/>
      </c>
      <c r="AJ37" s="108" t="str">
        <f t="shared" si="2"/>
        <v/>
      </c>
    </row>
    <row r="38" ht="15.75" customHeight="1">
      <c r="A38" s="104"/>
      <c r="B38" s="105" t="str">
        <f>IFERROR(__xludf.DUMMYFUNCTION("ARRAY_CONSTRAIN(
  ARRAYFORMULA(
    IF(
      'Final Report'!A38="""",
      """",
      TEXTJOIN(
        "", "" &amp; CHAR(10),
        TRUE,
        IFERROR(
          VLOOKUP(
            TRIM(
              SPLIT('Final Report'!A38, "","")
            )"&amp;",
            'URL Details'!A:B,
            2,
            FALSE
          ),
          """"
        )
      )
    )
  ),
  1,
  1
)
"),"")</f>
        <v/>
      </c>
      <c r="C38" s="105" t="str">
        <f>IFERROR(__xludf.DUMMYFUNCTION("IFERROR(IF('Final Report'!A38="""","""", TEXTJOIN(CHAR(10), TRUE, ARRAYFORMULA( ""• ""&amp; FILTER( TRIM(FLATTEN(SPLIT( REGEXREPLACE( SUBSTITUTE(TEXTJOIN("","", TRUE, IFERROR(ARRAYFORMULA(VLOOKUP(TRIM(SPLIT('Final Report'!A38, "","")), 'URL Details'!A:D, 4, F"&amp;"ALSE)),"""") ), CHAR(10), "",""), ""\s*,\s*"", "",""), "",""))), TRIM(FLATTEN(SPLIT( REGEXREPLACE( SUBSTITUTE(TEXTJOIN("","", TRUE, IFERROR(ARRAYFORMULA(VLOOKUP(TRIM(SPLIT('Final Report'!A38, "","")), 'URL Details'!A:D, 4, FALSE)),"""") ), CHAR(10), "","""&amp;"), ""\s*,\s*"", "",""), "","")))&lt;&gt;"""" ) ) ) ),"""")
"),"")</f>
        <v/>
      </c>
      <c r="D38" s="105"/>
      <c r="E38" s="105"/>
      <c r="F38" s="110" t="b">
        <v>0</v>
      </c>
      <c r="G38" s="105" t="str">
        <f>IF(F38=True, IFERROR(VLOOKUP(D38, Repository!A:B, 2, 0), ""), "")</f>
        <v/>
      </c>
      <c r="H38" s="105"/>
      <c r="I38" s="105"/>
      <c r="J38" s="105" t="str">
        <f>IF(F38=True, IFERROR(VLOOKUP(D38, Repository!A:C, 3, 0), ""), "")</f>
        <v/>
      </c>
      <c r="K38" s="105"/>
      <c r="L38" s="105" t="str">
        <f>IF(F38=True, IFERROR(VLOOKUP(D38, Repository!A:E, 5, 0), ""), "")</f>
        <v/>
      </c>
      <c r="M38" s="105"/>
      <c r="N38" s="105" t="str">
        <f>IF(F38=True, IFERROR(VLOOKUP(D38, Repository!A:G, 7, 0), ""), "")</f>
        <v/>
      </c>
      <c r="O38" s="105" t="str">
        <f>IFERROR(__xludf.DUMMYFUNCTION("ARRAY_CONSTRAIN(
  ARRAYFORMULA(
    IFERROR(
      LET(
        list, N38,
        arr, TRIM(SPLIT(list, "","")),
        names, XLOOKUP(
          arr,
          'Conformance Score'!A:A,
          'Conformance Score'!B:B,
          ""Not found""
       "&amp;" ),
        TEXTJOIN("", "", TRUE, names)
      ),
      """"
    )
  ),
  1,
  1
)
"),"")</f>
        <v/>
      </c>
      <c r="P38" s="105" t="str">
        <f>IF(F38="Yes", IFERROR(VLOOKUP(D38, Repository!A:F, 6, 0), ""), "")</f>
        <v/>
      </c>
      <c r="Q38" s="105" t="str">
        <f>IF(F38="Yes", IFERROR(VLOOKUP(D38, Repository!A:I, 8, 0), ""), "")</f>
        <v/>
      </c>
      <c r="R38" s="105" t="str">
        <f>IF(F38="Yes", IFERROR(VLOOKUP(D38, Repository!A:J, 9, 0), ""), "")</f>
        <v/>
      </c>
      <c r="S38" s="105"/>
      <c r="T38" s="105"/>
      <c r="U38" s="105"/>
      <c r="V38" s="105"/>
      <c r="W38" s="105"/>
      <c r="X38" s="105"/>
      <c r="Y38" s="105"/>
      <c r="Z38" s="105"/>
      <c r="AA38" s="105"/>
      <c r="AB38" s="105"/>
      <c r="AC38" s="91"/>
      <c r="AD38" s="105"/>
      <c r="AE38" s="105"/>
      <c r="AF38" s="91"/>
      <c r="AG38" s="105"/>
      <c r="AH38" s="105"/>
      <c r="AI38" s="105" t="str">
        <f t="shared" si="1"/>
        <v/>
      </c>
      <c r="AJ38" s="108" t="str">
        <f t="shared" si="2"/>
        <v/>
      </c>
    </row>
    <row r="39" ht="15.75" customHeight="1">
      <c r="A39" s="104"/>
      <c r="B39" s="105" t="str">
        <f>IFERROR(__xludf.DUMMYFUNCTION("ARRAY_CONSTRAIN(
  ARRAYFORMULA(
    IF(
      'Final Report'!A39="""",
      """",
      TEXTJOIN(
        "", "" &amp; CHAR(10),
        TRUE,
        IFERROR(
          VLOOKUP(
            TRIM(
              SPLIT('Final Report'!A39, "","")
            )"&amp;",
            'URL Details'!A:B,
            2,
            FALSE
          ),
          """"
        )
      )
    )
  ),
  1,
  1
)
"),"")</f>
        <v/>
      </c>
      <c r="C39" s="105" t="str">
        <f>IFERROR(__xludf.DUMMYFUNCTION("IFERROR(IF('Final Report'!A39="""","""", TEXTJOIN(CHAR(10), TRUE, ARRAYFORMULA( ""• ""&amp; FILTER( TRIM(FLATTEN(SPLIT( REGEXREPLACE( SUBSTITUTE(TEXTJOIN("","", TRUE, IFERROR(ARRAYFORMULA(VLOOKUP(TRIM(SPLIT('Final Report'!A39, "","")), 'URL Details'!A:D, 4, F"&amp;"ALSE)),"""") ), CHAR(10), "",""), ""\s*,\s*"", "",""), "",""))), TRIM(FLATTEN(SPLIT( REGEXREPLACE( SUBSTITUTE(TEXTJOIN("","", TRUE, IFERROR(ARRAYFORMULA(VLOOKUP(TRIM(SPLIT('Final Report'!A39, "","")), 'URL Details'!A:D, 4, FALSE)),"""") ), CHAR(10), "","""&amp;"), ""\s*,\s*"", "",""), "","")))&lt;&gt;"""" ) ) ) ),"""")
"),"")</f>
        <v/>
      </c>
      <c r="D39" s="105"/>
      <c r="E39" s="105"/>
      <c r="F39" s="110" t="b">
        <v>0</v>
      </c>
      <c r="G39" s="105" t="str">
        <f>IF(F39=True, IFERROR(VLOOKUP(D39, Repository!A:B, 2, 0), ""), "")</f>
        <v/>
      </c>
      <c r="H39" s="105"/>
      <c r="I39" s="105"/>
      <c r="J39" s="105" t="str">
        <f>IF(F39=True, IFERROR(VLOOKUP(D39, Repository!A:C, 3, 0), ""), "")</f>
        <v/>
      </c>
      <c r="K39" s="105"/>
      <c r="L39" s="105" t="str">
        <f>IF(F39=True, IFERROR(VLOOKUP(D39, Repository!A:E, 5, 0), ""), "")</f>
        <v/>
      </c>
      <c r="M39" s="105"/>
      <c r="N39" s="105" t="str">
        <f>IF(F39=True, IFERROR(VLOOKUP(D39, Repository!A:G, 7, 0), ""), "")</f>
        <v/>
      </c>
      <c r="O39" s="105" t="str">
        <f>IFERROR(__xludf.DUMMYFUNCTION("ARRAY_CONSTRAIN(
  ARRAYFORMULA(
    IFERROR(
      LET(
        list, N39,
        arr, TRIM(SPLIT(list, "","")),
        names, XLOOKUP(
          arr,
          'Conformance Score'!A:A,
          'Conformance Score'!B:B,
          ""Not found""
       "&amp;" ),
        TEXTJOIN("", "", TRUE, names)
      ),
      """"
    )
  ),
  1,
  1
)
"),"")</f>
        <v/>
      </c>
      <c r="P39" s="105" t="str">
        <f>IF(F39="Yes", IFERROR(VLOOKUP(D39, Repository!A:F, 6, 0), ""), "")</f>
        <v/>
      </c>
      <c r="Q39" s="105" t="str">
        <f>IF(F39="Yes", IFERROR(VLOOKUP(D39, Repository!A:I, 8, 0), ""), "")</f>
        <v/>
      </c>
      <c r="R39" s="105" t="str">
        <f>IF(F39="Yes", IFERROR(VLOOKUP(D39, Repository!A:J, 9, 0), ""), "")</f>
        <v/>
      </c>
      <c r="S39" s="105"/>
      <c r="T39" s="105"/>
      <c r="U39" s="105"/>
      <c r="V39" s="105"/>
      <c r="W39" s="105"/>
      <c r="X39" s="105"/>
      <c r="Y39" s="105"/>
      <c r="Z39" s="105"/>
      <c r="AA39" s="105"/>
      <c r="AB39" s="105"/>
      <c r="AC39" s="91"/>
      <c r="AD39" s="105"/>
      <c r="AE39" s="105"/>
      <c r="AF39" s="91"/>
      <c r="AG39" s="105"/>
      <c r="AH39" s="105"/>
      <c r="AI39" s="105" t="str">
        <f t="shared" si="1"/>
        <v/>
      </c>
      <c r="AJ39" s="108" t="str">
        <f t="shared" si="2"/>
        <v/>
      </c>
    </row>
    <row r="40" ht="15.75" customHeight="1">
      <c r="A40" s="104"/>
      <c r="B40" s="105" t="str">
        <f>IFERROR(__xludf.DUMMYFUNCTION("ARRAY_CONSTRAIN(
  ARRAYFORMULA(
    IF(
      'Final Report'!A40="""",
      """",
      TEXTJOIN(
        "", "" &amp; CHAR(10),
        TRUE,
        IFERROR(
          VLOOKUP(
            TRIM(
              SPLIT('Final Report'!A40, "","")
            )"&amp;",
            'URL Details'!A:B,
            2,
            FALSE
          ),
          """"
        )
      )
    )
  ),
  1,
  1
)
"),"")</f>
        <v/>
      </c>
      <c r="C40" s="105" t="str">
        <f>IFERROR(__xludf.DUMMYFUNCTION("IFERROR(IF('Final Report'!A40="""","""", TEXTJOIN(CHAR(10), TRUE, ARRAYFORMULA( ""• ""&amp; FILTER( TRIM(FLATTEN(SPLIT( REGEXREPLACE( SUBSTITUTE(TEXTJOIN("","", TRUE, IFERROR(ARRAYFORMULA(VLOOKUP(TRIM(SPLIT('Final Report'!A40, "","")), 'URL Details'!A:D, 4, F"&amp;"ALSE)),"""") ), CHAR(10), "",""), ""\s*,\s*"", "",""), "",""))), TRIM(FLATTEN(SPLIT( REGEXREPLACE( SUBSTITUTE(TEXTJOIN("","", TRUE, IFERROR(ARRAYFORMULA(VLOOKUP(TRIM(SPLIT('Final Report'!A40, "","")), 'URL Details'!A:D, 4, FALSE)),"""") ), CHAR(10), "","""&amp;"), ""\s*,\s*"", "",""), "","")))&lt;&gt;"""" ) ) ) ),"""")
"),"")</f>
        <v/>
      </c>
      <c r="D40" s="105"/>
      <c r="E40" s="105"/>
      <c r="F40" s="110" t="b">
        <v>0</v>
      </c>
      <c r="G40" s="105" t="str">
        <f>IF(F40=True, IFERROR(VLOOKUP(D40, Repository!A:B, 2, 0), ""), "")</f>
        <v/>
      </c>
      <c r="H40" s="105"/>
      <c r="I40" s="105"/>
      <c r="J40" s="105" t="str">
        <f>IF(F40=True, IFERROR(VLOOKUP(D40, Repository!A:C, 3, 0), ""), "")</f>
        <v/>
      </c>
      <c r="K40" s="105"/>
      <c r="L40" s="105" t="str">
        <f>IF(F40=True, IFERROR(VLOOKUP(D40, Repository!A:E, 5, 0), ""), "")</f>
        <v/>
      </c>
      <c r="M40" s="105"/>
      <c r="N40" s="105" t="str">
        <f>IF(F40=True, IFERROR(VLOOKUP(D40, Repository!A:G, 7, 0), ""), "")</f>
        <v/>
      </c>
      <c r="O40" s="105" t="str">
        <f>IFERROR(__xludf.DUMMYFUNCTION("ARRAY_CONSTRAIN(
  ARRAYFORMULA(
    IFERROR(
      LET(
        list, N40,
        arr, TRIM(SPLIT(list, "","")),
        names, XLOOKUP(
          arr,
          'Conformance Score'!A:A,
          'Conformance Score'!B:B,
          ""Not found""
       "&amp;" ),
        TEXTJOIN("", "", TRUE, names)
      ),
      """"
    )
  ),
  1,
  1
)
"),"")</f>
        <v/>
      </c>
      <c r="P40" s="105" t="str">
        <f>IF(F40="Yes", IFERROR(VLOOKUP(D40, Repository!A:F, 6, 0), ""), "")</f>
        <v/>
      </c>
      <c r="Q40" s="105" t="str">
        <f>IF(F40="Yes", IFERROR(VLOOKUP(D40, Repository!A:I, 8, 0), ""), "")</f>
        <v/>
      </c>
      <c r="R40" s="105" t="str">
        <f>IF(F40="Yes", IFERROR(VLOOKUP(D40, Repository!A:J, 9, 0), ""), "")</f>
        <v/>
      </c>
      <c r="S40" s="105"/>
      <c r="T40" s="105"/>
      <c r="U40" s="105"/>
      <c r="V40" s="105"/>
      <c r="W40" s="105"/>
      <c r="X40" s="105"/>
      <c r="Y40" s="105"/>
      <c r="Z40" s="105"/>
      <c r="AA40" s="105"/>
      <c r="AB40" s="105"/>
      <c r="AC40" s="91"/>
      <c r="AD40" s="105"/>
      <c r="AE40" s="105"/>
      <c r="AF40" s="91"/>
      <c r="AG40" s="105"/>
      <c r="AH40" s="105"/>
      <c r="AI40" s="105" t="str">
        <f t="shared" si="1"/>
        <v/>
      </c>
      <c r="AJ40" s="108" t="str">
        <f t="shared" si="2"/>
        <v/>
      </c>
    </row>
    <row r="41" ht="15.75" customHeight="1">
      <c r="A41" s="104"/>
      <c r="B41" s="105" t="str">
        <f>IFERROR(__xludf.DUMMYFUNCTION("ARRAY_CONSTRAIN(
  ARRAYFORMULA(
    IF(
      'Final Report'!A41="""",
      """",
      TEXTJOIN(
        "", "" &amp; CHAR(10),
        TRUE,
        IFERROR(
          VLOOKUP(
            TRIM(
              SPLIT('Final Report'!A41, "","")
            )"&amp;",
            'URL Details'!A:B,
            2,
            FALSE
          ),
          """"
        )
      )
    )
  ),
  1,
  1
)
"),"")</f>
        <v/>
      </c>
      <c r="C41" s="105" t="str">
        <f>IFERROR(__xludf.DUMMYFUNCTION("IFERROR(IF('Final Report'!A41="""","""", TEXTJOIN(CHAR(10), TRUE, ARRAYFORMULA( ""• ""&amp; FILTER( TRIM(FLATTEN(SPLIT( REGEXREPLACE( SUBSTITUTE(TEXTJOIN("","", TRUE, IFERROR(ARRAYFORMULA(VLOOKUP(TRIM(SPLIT('Final Report'!A41, "","")), 'URL Details'!A:D, 4, F"&amp;"ALSE)),"""") ), CHAR(10), "",""), ""\s*,\s*"", "",""), "",""))), TRIM(FLATTEN(SPLIT( REGEXREPLACE( SUBSTITUTE(TEXTJOIN("","", TRUE, IFERROR(ARRAYFORMULA(VLOOKUP(TRIM(SPLIT('Final Report'!A41, "","")), 'URL Details'!A:D, 4, FALSE)),"""") ), CHAR(10), "","""&amp;"), ""\s*,\s*"", "",""), "","")))&lt;&gt;"""" ) ) ) ),"""")
"),"")</f>
        <v/>
      </c>
      <c r="D41" s="105"/>
      <c r="E41" s="105"/>
      <c r="F41" s="110" t="b">
        <v>0</v>
      </c>
      <c r="G41" s="105" t="str">
        <f>IF(F41=True, IFERROR(VLOOKUP(D41, Repository!A:B, 2, 0), ""), "")</f>
        <v/>
      </c>
      <c r="H41" s="105"/>
      <c r="I41" s="105"/>
      <c r="J41" s="105" t="str">
        <f>IF(F41=True, IFERROR(VLOOKUP(D41, Repository!A:C, 3, 0), ""), "")</f>
        <v/>
      </c>
      <c r="K41" s="105"/>
      <c r="L41" s="105" t="str">
        <f>IF(F41=True, IFERROR(VLOOKUP(D41, Repository!A:E, 5, 0), ""), "")</f>
        <v/>
      </c>
      <c r="M41" s="105"/>
      <c r="N41" s="105" t="str">
        <f>IF(F41=True, IFERROR(VLOOKUP(D41, Repository!A:G, 7, 0), ""), "")</f>
        <v/>
      </c>
      <c r="O41" s="105" t="str">
        <f>IFERROR(__xludf.DUMMYFUNCTION("ARRAY_CONSTRAIN(
  ARRAYFORMULA(
    IFERROR(
      LET(
        list, N41,
        arr, TRIM(SPLIT(list, "","")),
        names, XLOOKUP(
          arr,
          'Conformance Score'!A:A,
          'Conformance Score'!B:B,
          ""Not found""
       "&amp;" ),
        TEXTJOIN("", "", TRUE, names)
      ),
      """"
    )
  ),
  1,
  1
)
"),"")</f>
        <v/>
      </c>
      <c r="P41" s="105" t="str">
        <f>IF(F41="Yes", IFERROR(VLOOKUP(D41, Repository!A:F, 6, 0), ""), "")</f>
        <v/>
      </c>
      <c r="Q41" s="105" t="str">
        <f>IF(F41="Yes", IFERROR(VLOOKUP(D41, Repository!A:I, 8, 0), ""), "")</f>
        <v/>
      </c>
      <c r="R41" s="105" t="str">
        <f>IF(F41="Yes", IFERROR(VLOOKUP(D41, Repository!A:J, 9, 0), ""), "")</f>
        <v/>
      </c>
      <c r="S41" s="105"/>
      <c r="T41" s="105"/>
      <c r="U41" s="105"/>
      <c r="V41" s="105"/>
      <c r="W41" s="105"/>
      <c r="X41" s="105"/>
      <c r="Y41" s="105"/>
      <c r="Z41" s="105"/>
      <c r="AA41" s="105"/>
      <c r="AB41" s="105"/>
      <c r="AC41" s="91"/>
      <c r="AD41" s="105"/>
      <c r="AE41" s="105"/>
      <c r="AF41" s="91"/>
      <c r="AG41" s="105"/>
      <c r="AH41" s="105"/>
      <c r="AI41" s="105" t="str">
        <f t="shared" si="1"/>
        <v/>
      </c>
      <c r="AJ41" s="108" t="str">
        <f t="shared" si="2"/>
        <v/>
      </c>
    </row>
    <row r="42" ht="15.75" customHeight="1">
      <c r="A42" s="104"/>
      <c r="B42" s="105" t="str">
        <f>IFERROR(__xludf.DUMMYFUNCTION("ARRAY_CONSTRAIN(
  ARRAYFORMULA(
    IF(
      'Final Report'!A42="""",
      """",
      TEXTJOIN(
        "", "" &amp; CHAR(10),
        TRUE,
        IFERROR(
          VLOOKUP(
            TRIM(
              SPLIT('Final Report'!A42, "","")
            )"&amp;",
            'URL Details'!A:B,
            2,
            FALSE
          ),
          """"
        )
      )
    )
  ),
  1,
  1
)
"),"")</f>
        <v/>
      </c>
      <c r="C42" s="105" t="str">
        <f>IFERROR(__xludf.DUMMYFUNCTION("IFERROR(IF('Final Report'!A42="""","""", TEXTJOIN(CHAR(10), TRUE, ARRAYFORMULA( ""• ""&amp; FILTER( TRIM(FLATTEN(SPLIT( REGEXREPLACE( SUBSTITUTE(TEXTJOIN("","", TRUE, IFERROR(ARRAYFORMULA(VLOOKUP(TRIM(SPLIT('Final Report'!A42, "","")), 'URL Details'!A:D, 4, F"&amp;"ALSE)),"""") ), CHAR(10), "",""), ""\s*,\s*"", "",""), "",""))), TRIM(FLATTEN(SPLIT( REGEXREPLACE( SUBSTITUTE(TEXTJOIN("","", TRUE, IFERROR(ARRAYFORMULA(VLOOKUP(TRIM(SPLIT('Final Report'!A42, "","")), 'URL Details'!A:D, 4, FALSE)),"""") ), CHAR(10), "","""&amp;"), ""\s*,\s*"", "",""), "","")))&lt;&gt;"""" ) ) ) ),"""")
"),"")</f>
        <v/>
      </c>
      <c r="D42" s="105"/>
      <c r="E42" s="105"/>
      <c r="F42" s="110" t="b">
        <v>0</v>
      </c>
      <c r="G42" s="105" t="str">
        <f>IF(F42=True, IFERROR(VLOOKUP(D42, Repository!A:B, 2, 0), ""), "")</f>
        <v/>
      </c>
      <c r="H42" s="105"/>
      <c r="I42" s="105"/>
      <c r="J42" s="105" t="str">
        <f>IF(F42=True, IFERROR(VLOOKUP(D42, Repository!A:C, 3, 0), ""), "")</f>
        <v/>
      </c>
      <c r="K42" s="105"/>
      <c r="L42" s="105" t="str">
        <f>IF(F42=True, IFERROR(VLOOKUP(D42, Repository!A:E, 5, 0), ""), "")</f>
        <v/>
      </c>
      <c r="M42" s="105"/>
      <c r="N42" s="105" t="str">
        <f>IF(F42=True, IFERROR(VLOOKUP(D42, Repository!A:G, 7, 0), ""), "")</f>
        <v/>
      </c>
      <c r="O42" s="105" t="str">
        <f>IFERROR(__xludf.DUMMYFUNCTION("ARRAY_CONSTRAIN(
  ARRAYFORMULA(
    IFERROR(
      LET(
        list, N42,
        arr, TRIM(SPLIT(list, "","")),
        names, XLOOKUP(
          arr,
          'Conformance Score'!A:A,
          'Conformance Score'!B:B,
          ""Not found""
       "&amp;" ),
        TEXTJOIN("", "", TRUE, names)
      ),
      """"
    )
  ),
  1,
  1
)
"),"")</f>
        <v/>
      </c>
      <c r="P42" s="105" t="str">
        <f>IF(F42="Yes", IFERROR(VLOOKUP(D42, Repository!A:F, 6, 0), ""), "")</f>
        <v/>
      </c>
      <c r="Q42" s="105" t="str">
        <f>IF(F42="Yes", IFERROR(VLOOKUP(D42, Repository!A:I, 8, 0), ""), "")</f>
        <v/>
      </c>
      <c r="R42" s="105" t="str">
        <f>IF(F42="Yes", IFERROR(VLOOKUP(D42, Repository!A:J, 9, 0), ""), "")</f>
        <v/>
      </c>
      <c r="S42" s="105"/>
      <c r="T42" s="105"/>
      <c r="U42" s="105"/>
      <c r="V42" s="105"/>
      <c r="W42" s="105"/>
      <c r="X42" s="105"/>
      <c r="Y42" s="105"/>
      <c r="Z42" s="105"/>
      <c r="AA42" s="105"/>
      <c r="AB42" s="105"/>
      <c r="AC42" s="91"/>
      <c r="AD42" s="105"/>
      <c r="AE42" s="105"/>
      <c r="AF42" s="91"/>
      <c r="AG42" s="105"/>
      <c r="AH42" s="105"/>
      <c r="AI42" s="105" t="str">
        <f t="shared" si="1"/>
        <v/>
      </c>
      <c r="AJ42" s="108" t="str">
        <f t="shared" si="2"/>
        <v/>
      </c>
    </row>
    <row r="43" ht="15.75" customHeight="1">
      <c r="A43" s="104"/>
      <c r="B43" s="105" t="str">
        <f>IFERROR(__xludf.DUMMYFUNCTION("ARRAY_CONSTRAIN(
  ARRAYFORMULA(
    IF(
      'Final Report'!A43="""",
      """",
      TEXTJOIN(
        "", "" &amp; CHAR(10),
        TRUE,
        IFERROR(
          VLOOKUP(
            TRIM(
              SPLIT('Final Report'!A43, "","")
            )"&amp;",
            'URL Details'!A:B,
            2,
            FALSE
          ),
          """"
        )
      )
    )
  ),
  1,
  1
)
"),"")</f>
        <v/>
      </c>
      <c r="C43" s="105" t="str">
        <f>IFERROR(__xludf.DUMMYFUNCTION("IFERROR(IF('Final Report'!A43="""","""", TEXTJOIN(CHAR(10), TRUE, ARRAYFORMULA( ""• ""&amp; FILTER( TRIM(FLATTEN(SPLIT( REGEXREPLACE( SUBSTITUTE(TEXTJOIN("","", TRUE, IFERROR(ARRAYFORMULA(VLOOKUP(TRIM(SPLIT('Final Report'!A43, "","")), 'URL Details'!A:D, 4, F"&amp;"ALSE)),"""") ), CHAR(10), "",""), ""\s*,\s*"", "",""), "",""))), TRIM(FLATTEN(SPLIT( REGEXREPLACE( SUBSTITUTE(TEXTJOIN("","", TRUE, IFERROR(ARRAYFORMULA(VLOOKUP(TRIM(SPLIT('Final Report'!A43, "","")), 'URL Details'!A:D, 4, FALSE)),"""") ), CHAR(10), "","""&amp;"), ""\s*,\s*"", "",""), "","")))&lt;&gt;"""" ) ) ) ),"""")
"),"")</f>
        <v/>
      </c>
      <c r="D43" s="105"/>
      <c r="E43" s="105"/>
      <c r="F43" s="110" t="b">
        <v>0</v>
      </c>
      <c r="G43" s="105" t="str">
        <f>IF(F43=True, IFERROR(VLOOKUP(D43, Repository!A:B, 2, 0), ""), "")</f>
        <v/>
      </c>
      <c r="H43" s="105"/>
      <c r="I43" s="105"/>
      <c r="J43" s="105" t="str">
        <f>IF(F43=True, IFERROR(VLOOKUP(D43, Repository!A:C, 3, 0), ""), "")</f>
        <v/>
      </c>
      <c r="K43" s="105"/>
      <c r="L43" s="105" t="str">
        <f>IF(F43=True, IFERROR(VLOOKUP(D43, Repository!A:E, 5, 0), ""), "")</f>
        <v/>
      </c>
      <c r="M43" s="105"/>
      <c r="N43" s="105" t="str">
        <f>IF(F43=True, IFERROR(VLOOKUP(D43, Repository!A:G, 7, 0), ""), "")</f>
        <v/>
      </c>
      <c r="O43" s="105" t="str">
        <f>IFERROR(__xludf.DUMMYFUNCTION("ARRAY_CONSTRAIN(
  ARRAYFORMULA(
    IFERROR(
      LET(
        list, N43,
        arr, TRIM(SPLIT(list, "","")),
        names, XLOOKUP(
          arr,
          'Conformance Score'!A:A,
          'Conformance Score'!B:B,
          ""Not found""
       "&amp;" ),
        TEXTJOIN("", "", TRUE, names)
      ),
      """"
    )
  ),
  1,
  1
)
"),"")</f>
        <v/>
      </c>
      <c r="P43" s="105" t="str">
        <f>IF(F43="Yes", IFERROR(VLOOKUP(D43, Repository!A:F, 6, 0), ""), "")</f>
        <v/>
      </c>
      <c r="Q43" s="105" t="str">
        <f>IF(F43="Yes", IFERROR(VLOOKUP(D43, Repository!A:I, 8, 0), ""), "")</f>
        <v/>
      </c>
      <c r="R43" s="105" t="str">
        <f>IF(F43="Yes", IFERROR(VLOOKUP(D43, Repository!A:J, 9, 0), ""), "")</f>
        <v/>
      </c>
      <c r="S43" s="105"/>
      <c r="T43" s="105"/>
      <c r="U43" s="105"/>
      <c r="V43" s="105"/>
      <c r="W43" s="105"/>
      <c r="X43" s="105"/>
      <c r="Y43" s="105"/>
      <c r="Z43" s="105"/>
      <c r="AA43" s="105"/>
      <c r="AB43" s="105"/>
      <c r="AC43" s="91"/>
      <c r="AD43" s="105"/>
      <c r="AE43" s="105"/>
      <c r="AF43" s="91"/>
      <c r="AG43" s="105"/>
      <c r="AH43" s="105"/>
      <c r="AI43" s="105" t="str">
        <f t="shared" si="1"/>
        <v/>
      </c>
      <c r="AJ43" s="108" t="str">
        <f t="shared" si="2"/>
        <v/>
      </c>
    </row>
    <row r="44" ht="15.75" customHeight="1">
      <c r="A44" s="104"/>
      <c r="B44" s="105" t="str">
        <f>IFERROR(__xludf.DUMMYFUNCTION("ARRAY_CONSTRAIN(
  ARRAYFORMULA(
    IF(
      'Final Report'!A44="""",
      """",
      TEXTJOIN(
        "", "" &amp; CHAR(10),
        TRUE,
        IFERROR(
          VLOOKUP(
            TRIM(
              SPLIT('Final Report'!A44, "","")
            )"&amp;",
            'URL Details'!A:B,
            2,
            FALSE
          ),
          """"
        )
      )
    )
  ),
  1,
  1
)
"),"")</f>
        <v/>
      </c>
      <c r="C44" s="105" t="str">
        <f>IFERROR(__xludf.DUMMYFUNCTION("IFERROR(IF('Final Report'!A44="""","""", TEXTJOIN(CHAR(10), TRUE, ARRAYFORMULA( ""• ""&amp; FILTER( TRIM(FLATTEN(SPLIT( REGEXREPLACE( SUBSTITUTE(TEXTJOIN("","", TRUE, IFERROR(ARRAYFORMULA(VLOOKUP(TRIM(SPLIT('Final Report'!A44, "","")), 'URL Details'!A:D, 4, F"&amp;"ALSE)),"""") ), CHAR(10), "",""), ""\s*,\s*"", "",""), "",""))), TRIM(FLATTEN(SPLIT( REGEXREPLACE( SUBSTITUTE(TEXTJOIN("","", TRUE, IFERROR(ARRAYFORMULA(VLOOKUP(TRIM(SPLIT('Final Report'!A44, "","")), 'URL Details'!A:D, 4, FALSE)),"""") ), CHAR(10), "","""&amp;"), ""\s*,\s*"", "",""), "","")))&lt;&gt;"""" ) ) ) ),"""")
"),"")</f>
        <v/>
      </c>
      <c r="D44" s="105"/>
      <c r="E44" s="105"/>
      <c r="F44" s="110" t="b">
        <v>0</v>
      </c>
      <c r="G44" s="105" t="str">
        <f>IF(F44=True, IFERROR(VLOOKUP(D44, Repository!A:B, 2, 0), ""), "")</f>
        <v/>
      </c>
      <c r="H44" s="105"/>
      <c r="I44" s="105"/>
      <c r="J44" s="105" t="str">
        <f>IF(F44=True, IFERROR(VLOOKUP(D44, Repository!A:C, 3, 0), ""), "")</f>
        <v/>
      </c>
      <c r="K44" s="105"/>
      <c r="L44" s="105" t="str">
        <f>IF(F44=True, IFERROR(VLOOKUP(D44, Repository!A:E, 5, 0), ""), "")</f>
        <v/>
      </c>
      <c r="M44" s="105"/>
      <c r="N44" s="105" t="str">
        <f>IF(F44=True, IFERROR(VLOOKUP(D44, Repository!A:G, 7, 0), ""), "")</f>
        <v/>
      </c>
      <c r="O44" s="105" t="str">
        <f>IFERROR(__xludf.DUMMYFUNCTION("ARRAY_CONSTRAIN(
  ARRAYFORMULA(
    IFERROR(
      LET(
        list, N44,
        arr, TRIM(SPLIT(list, "","")),
        names, XLOOKUP(
          arr,
          'Conformance Score'!A:A,
          'Conformance Score'!B:B,
          ""Not found""
       "&amp;" ),
        TEXTJOIN("", "", TRUE, names)
      ),
      """"
    )
  ),
  1,
  1
)
"),"")</f>
        <v/>
      </c>
      <c r="P44" s="105" t="str">
        <f>IF(F44="Yes", IFERROR(VLOOKUP(D44, Repository!A:F, 6, 0), ""), "")</f>
        <v/>
      </c>
      <c r="Q44" s="105" t="str">
        <f>IF(F44="Yes", IFERROR(VLOOKUP(D44, Repository!A:I, 8, 0), ""), "")</f>
        <v/>
      </c>
      <c r="R44" s="105" t="str">
        <f>IF(F44="Yes", IFERROR(VLOOKUP(D44, Repository!A:J, 9, 0), ""), "")</f>
        <v/>
      </c>
      <c r="S44" s="105"/>
      <c r="T44" s="105"/>
      <c r="U44" s="105"/>
      <c r="V44" s="105"/>
      <c r="W44" s="105"/>
      <c r="X44" s="105"/>
      <c r="Y44" s="105"/>
      <c r="Z44" s="105"/>
      <c r="AA44" s="105"/>
      <c r="AB44" s="105"/>
      <c r="AC44" s="91"/>
      <c r="AD44" s="105"/>
      <c r="AE44" s="105"/>
      <c r="AF44" s="91"/>
      <c r="AG44" s="105"/>
      <c r="AH44" s="105"/>
      <c r="AI44" s="105" t="str">
        <f t="shared" si="1"/>
        <v/>
      </c>
      <c r="AJ44" s="108" t="str">
        <f t="shared" si="2"/>
        <v/>
      </c>
    </row>
    <row r="45" ht="15.75" customHeight="1">
      <c r="A45" s="104"/>
      <c r="B45" s="105" t="str">
        <f>IFERROR(__xludf.DUMMYFUNCTION("ARRAY_CONSTRAIN(
  ARRAYFORMULA(
    IF(
      'Final Report'!A45="""",
      """",
      TEXTJOIN(
        "", "" &amp; CHAR(10),
        TRUE,
        IFERROR(
          VLOOKUP(
            TRIM(
              SPLIT('Final Report'!A45, "","")
            )"&amp;",
            'URL Details'!A:B,
            2,
            FALSE
          ),
          """"
        )
      )
    )
  ),
  1,
  1
)
"),"")</f>
        <v/>
      </c>
      <c r="C45" s="105" t="str">
        <f>IFERROR(__xludf.DUMMYFUNCTION("IFERROR(IF('Final Report'!A45="""","""", TEXTJOIN(CHAR(10), TRUE, ARRAYFORMULA( ""• ""&amp; FILTER( TRIM(FLATTEN(SPLIT( REGEXREPLACE( SUBSTITUTE(TEXTJOIN("","", TRUE, IFERROR(ARRAYFORMULA(VLOOKUP(TRIM(SPLIT('Final Report'!A45, "","")), 'URL Details'!A:D, 4, F"&amp;"ALSE)),"""") ), CHAR(10), "",""), ""\s*,\s*"", "",""), "",""))), TRIM(FLATTEN(SPLIT( REGEXREPLACE( SUBSTITUTE(TEXTJOIN("","", TRUE, IFERROR(ARRAYFORMULA(VLOOKUP(TRIM(SPLIT('Final Report'!A45, "","")), 'URL Details'!A:D, 4, FALSE)),"""") ), CHAR(10), "","""&amp;"), ""\s*,\s*"", "",""), "","")))&lt;&gt;"""" ) ) ) ),"""")
"),"")</f>
        <v/>
      </c>
      <c r="D45" s="105"/>
      <c r="E45" s="105"/>
      <c r="F45" s="110" t="b">
        <v>0</v>
      </c>
      <c r="G45" s="105" t="str">
        <f>IF(F45=True, IFERROR(VLOOKUP(D45, Repository!A:B, 2, 0), ""), "")</f>
        <v/>
      </c>
      <c r="H45" s="105"/>
      <c r="I45" s="105"/>
      <c r="J45" s="105" t="str">
        <f>IF(F45=True, IFERROR(VLOOKUP(D45, Repository!A:C, 3, 0), ""), "")</f>
        <v/>
      </c>
      <c r="K45" s="105"/>
      <c r="L45" s="105" t="str">
        <f>IF(F45=True, IFERROR(VLOOKUP(D45, Repository!A:E, 5, 0), ""), "")</f>
        <v/>
      </c>
      <c r="M45" s="105"/>
      <c r="N45" s="105" t="str">
        <f>IF(F45=True, IFERROR(VLOOKUP(D45, Repository!A:G, 7, 0), ""), "")</f>
        <v/>
      </c>
      <c r="O45" s="105" t="str">
        <f>IFERROR(__xludf.DUMMYFUNCTION("ARRAY_CONSTRAIN(
  ARRAYFORMULA(
    IFERROR(
      LET(
        list, N45,
        arr, TRIM(SPLIT(list, "","")),
        names, XLOOKUP(
          arr,
          'Conformance Score'!A:A,
          'Conformance Score'!B:B,
          ""Not found""
       "&amp;" ),
        TEXTJOIN("", "", TRUE, names)
      ),
      """"
    )
  ),
  1,
  1
)
"),"")</f>
        <v/>
      </c>
      <c r="P45" s="105" t="str">
        <f>IF(F45="Yes", IFERROR(VLOOKUP(D45, Repository!A:F, 6, 0), ""), "")</f>
        <v/>
      </c>
      <c r="Q45" s="105" t="str">
        <f>IF(F45="Yes", IFERROR(VLOOKUP(D45, Repository!A:I, 8, 0), ""), "")</f>
        <v/>
      </c>
      <c r="R45" s="105" t="str">
        <f>IF(F45="Yes", IFERROR(VLOOKUP(D45, Repository!A:J, 9, 0), ""), "")</f>
        <v/>
      </c>
      <c r="S45" s="105"/>
      <c r="T45" s="105"/>
      <c r="U45" s="105"/>
      <c r="V45" s="105"/>
      <c r="W45" s="105"/>
      <c r="X45" s="105"/>
      <c r="Y45" s="105"/>
      <c r="Z45" s="105"/>
      <c r="AA45" s="105"/>
      <c r="AB45" s="105"/>
      <c r="AC45" s="91"/>
      <c r="AD45" s="105"/>
      <c r="AE45" s="105"/>
      <c r="AF45" s="91"/>
      <c r="AG45" s="105"/>
      <c r="AH45" s="105"/>
      <c r="AI45" s="105" t="str">
        <f t="shared" si="1"/>
        <v/>
      </c>
      <c r="AJ45" s="108" t="str">
        <f t="shared" si="2"/>
        <v/>
      </c>
    </row>
    <row r="46" ht="15.75" customHeight="1">
      <c r="A46" s="104"/>
      <c r="B46" s="105" t="str">
        <f>IFERROR(__xludf.DUMMYFUNCTION("ARRAY_CONSTRAIN(
  ARRAYFORMULA(
    IF(
      'Final Report'!A46="""",
      """",
      TEXTJOIN(
        "", "" &amp; CHAR(10),
        TRUE,
        IFERROR(
          VLOOKUP(
            TRIM(
              SPLIT('Final Report'!A46, "","")
            )"&amp;",
            'URL Details'!A:B,
            2,
            FALSE
          ),
          """"
        )
      )
    )
  ),
  1,
  1
)
"),"")</f>
        <v/>
      </c>
      <c r="C46" s="105" t="str">
        <f>IFERROR(__xludf.DUMMYFUNCTION("IFERROR(IF('Final Report'!A46="""","""", TEXTJOIN(CHAR(10), TRUE, ARRAYFORMULA( ""• ""&amp; FILTER( TRIM(FLATTEN(SPLIT( REGEXREPLACE( SUBSTITUTE(TEXTJOIN("","", TRUE, IFERROR(ARRAYFORMULA(VLOOKUP(TRIM(SPLIT('Final Report'!A46, "","")), 'URL Details'!A:D, 4, F"&amp;"ALSE)),"""") ), CHAR(10), "",""), ""\s*,\s*"", "",""), "",""))), TRIM(FLATTEN(SPLIT( REGEXREPLACE( SUBSTITUTE(TEXTJOIN("","", TRUE, IFERROR(ARRAYFORMULA(VLOOKUP(TRIM(SPLIT('Final Report'!A46, "","")), 'URL Details'!A:D, 4, FALSE)),"""") ), CHAR(10), "","""&amp;"), ""\s*,\s*"", "",""), "","")))&lt;&gt;"""" ) ) ) ),"""")
"),"")</f>
        <v/>
      </c>
      <c r="D46" s="105"/>
      <c r="E46" s="105"/>
      <c r="F46" s="110" t="b">
        <v>0</v>
      </c>
      <c r="G46" s="105" t="str">
        <f>IF(F46=True, IFERROR(VLOOKUP(D46, Repository!A:B, 2, 0), ""), "")</f>
        <v/>
      </c>
      <c r="H46" s="105"/>
      <c r="I46" s="105"/>
      <c r="J46" s="105" t="str">
        <f>IF(F46=True, IFERROR(VLOOKUP(D46, Repository!A:C, 3, 0), ""), "")</f>
        <v/>
      </c>
      <c r="K46" s="105"/>
      <c r="L46" s="105" t="str">
        <f>IF(F46=True, IFERROR(VLOOKUP(D46, Repository!A:E, 5, 0), ""), "")</f>
        <v/>
      </c>
      <c r="M46" s="105"/>
      <c r="N46" s="105" t="str">
        <f>IF(F46=True, IFERROR(VLOOKUP(D46, Repository!A:G, 7, 0), ""), "")</f>
        <v/>
      </c>
      <c r="O46" s="105" t="str">
        <f>IFERROR(__xludf.DUMMYFUNCTION("ARRAY_CONSTRAIN(
  ARRAYFORMULA(
    IFERROR(
      LET(
        list, N46,
        arr, TRIM(SPLIT(list, "","")),
        names, XLOOKUP(
          arr,
          'Conformance Score'!A:A,
          'Conformance Score'!B:B,
          ""Not found""
       "&amp;" ),
        TEXTJOIN("", "", TRUE, names)
      ),
      """"
    )
  ),
  1,
  1
)
"),"")</f>
        <v/>
      </c>
      <c r="P46" s="105" t="str">
        <f>IF(F46="Yes", IFERROR(VLOOKUP(D46, Repository!A:F, 6, 0), ""), "")</f>
        <v/>
      </c>
      <c r="Q46" s="105" t="str">
        <f>IF(F46="Yes", IFERROR(VLOOKUP(D46, Repository!A:I, 8, 0), ""), "")</f>
        <v/>
      </c>
      <c r="R46" s="105" t="str">
        <f>IF(F46="Yes", IFERROR(VLOOKUP(D46, Repository!A:J, 9, 0), ""), "")</f>
        <v/>
      </c>
      <c r="S46" s="105"/>
      <c r="T46" s="105"/>
      <c r="U46" s="105"/>
      <c r="V46" s="105"/>
      <c r="W46" s="105"/>
      <c r="X46" s="105"/>
      <c r="Y46" s="105"/>
      <c r="Z46" s="105"/>
      <c r="AA46" s="105"/>
      <c r="AB46" s="105"/>
      <c r="AC46" s="91"/>
      <c r="AD46" s="105"/>
      <c r="AE46" s="105"/>
      <c r="AF46" s="91"/>
      <c r="AG46" s="105"/>
      <c r="AH46" s="105"/>
      <c r="AI46" s="105" t="str">
        <f t="shared" si="1"/>
        <v/>
      </c>
      <c r="AJ46" s="108" t="str">
        <f t="shared" si="2"/>
        <v/>
      </c>
    </row>
    <row r="47" ht="15.75" customHeight="1">
      <c r="A47" s="104"/>
      <c r="B47" s="105" t="str">
        <f>IFERROR(__xludf.DUMMYFUNCTION("ARRAY_CONSTRAIN(
  ARRAYFORMULA(
    IF(
      'Final Report'!A47="""",
      """",
      TEXTJOIN(
        "", "" &amp; CHAR(10),
        TRUE,
        IFERROR(
          VLOOKUP(
            TRIM(
              SPLIT('Final Report'!A47, "","")
            )"&amp;",
            'URL Details'!A:B,
            2,
            FALSE
          ),
          """"
        )
      )
    )
  ),
  1,
  1
)
"),"")</f>
        <v/>
      </c>
      <c r="C47" s="105" t="str">
        <f>IFERROR(__xludf.DUMMYFUNCTION("IFERROR(IF('Final Report'!A47="""","""", TEXTJOIN(CHAR(10), TRUE, ARRAYFORMULA( ""• ""&amp; FILTER( TRIM(FLATTEN(SPLIT( REGEXREPLACE( SUBSTITUTE(TEXTJOIN("","", TRUE, IFERROR(ARRAYFORMULA(VLOOKUP(TRIM(SPLIT('Final Report'!A47, "","")), 'URL Details'!A:D, 4, F"&amp;"ALSE)),"""") ), CHAR(10), "",""), ""\s*,\s*"", "",""), "",""))), TRIM(FLATTEN(SPLIT( REGEXREPLACE( SUBSTITUTE(TEXTJOIN("","", TRUE, IFERROR(ARRAYFORMULA(VLOOKUP(TRIM(SPLIT('Final Report'!A47, "","")), 'URL Details'!A:D, 4, FALSE)),"""") ), CHAR(10), "","""&amp;"), ""\s*,\s*"", "",""), "","")))&lt;&gt;"""" ) ) ) ),"""")
"),"")</f>
        <v/>
      </c>
      <c r="D47" s="105"/>
      <c r="E47" s="105"/>
      <c r="F47" s="110" t="b">
        <v>0</v>
      </c>
      <c r="G47" s="105" t="str">
        <f>IF(F47=True, IFERROR(VLOOKUP(D47, Repository!A:B, 2, 0), ""), "")</f>
        <v/>
      </c>
      <c r="H47" s="105"/>
      <c r="I47" s="105"/>
      <c r="J47" s="105" t="str">
        <f>IF(F47=True, IFERROR(VLOOKUP(D47, Repository!A:C, 3, 0), ""), "")</f>
        <v/>
      </c>
      <c r="K47" s="105"/>
      <c r="L47" s="105" t="str">
        <f>IF(F47=True, IFERROR(VLOOKUP(D47, Repository!A:E, 5, 0), ""), "")</f>
        <v/>
      </c>
      <c r="M47" s="105"/>
      <c r="N47" s="105" t="str">
        <f>IF(F47=True, IFERROR(VLOOKUP(D47, Repository!A:G, 7, 0), ""), "")</f>
        <v/>
      </c>
      <c r="O47" s="105" t="str">
        <f>IFERROR(__xludf.DUMMYFUNCTION("ARRAY_CONSTRAIN(
  ARRAYFORMULA(
    IFERROR(
      LET(
        list, N47,
        arr, TRIM(SPLIT(list, "","")),
        names, XLOOKUP(
          arr,
          'Conformance Score'!A:A,
          'Conformance Score'!B:B,
          ""Not found""
       "&amp;" ),
        TEXTJOIN("", "", TRUE, names)
      ),
      """"
    )
  ),
  1,
  1
)
"),"")</f>
        <v/>
      </c>
      <c r="P47" s="105" t="str">
        <f>IF(F47="Yes", IFERROR(VLOOKUP(D47, Repository!A:F, 6, 0), ""), "")</f>
        <v/>
      </c>
      <c r="Q47" s="105" t="str">
        <f>IF(F47="Yes", IFERROR(VLOOKUP(D47, Repository!A:I, 8, 0), ""), "")</f>
        <v/>
      </c>
      <c r="R47" s="105" t="str">
        <f>IF(F47="Yes", IFERROR(VLOOKUP(D47, Repository!A:J, 9, 0), ""), "")</f>
        <v/>
      </c>
      <c r="S47" s="105"/>
      <c r="T47" s="105"/>
      <c r="U47" s="105"/>
      <c r="V47" s="105"/>
      <c r="W47" s="105"/>
      <c r="X47" s="105"/>
      <c r="Y47" s="105"/>
      <c r="Z47" s="105"/>
      <c r="AA47" s="105"/>
      <c r="AB47" s="105"/>
      <c r="AC47" s="91"/>
      <c r="AD47" s="105"/>
      <c r="AE47" s="105"/>
      <c r="AF47" s="91"/>
      <c r="AG47" s="105"/>
      <c r="AH47" s="105"/>
      <c r="AI47" s="105" t="str">
        <f t="shared" si="1"/>
        <v/>
      </c>
      <c r="AJ47" s="108" t="str">
        <f t="shared" si="2"/>
        <v/>
      </c>
    </row>
    <row r="48" ht="15.75" customHeight="1">
      <c r="A48" s="104"/>
      <c r="B48" s="105" t="str">
        <f>IFERROR(__xludf.DUMMYFUNCTION("ARRAY_CONSTRAIN(
  ARRAYFORMULA(
    IF(
      'Final Report'!A48="""",
      """",
      TEXTJOIN(
        "", "" &amp; CHAR(10),
        TRUE,
        IFERROR(
          VLOOKUP(
            TRIM(
              SPLIT('Final Report'!A48, "","")
            )"&amp;",
            'URL Details'!A:B,
            2,
            FALSE
          ),
          """"
        )
      )
    )
  ),
  1,
  1
)
"),"")</f>
        <v/>
      </c>
      <c r="C48" s="105" t="str">
        <f>IFERROR(__xludf.DUMMYFUNCTION("IFERROR(IF('Final Report'!A48="""","""", TEXTJOIN(CHAR(10), TRUE, ARRAYFORMULA( ""• ""&amp; FILTER( TRIM(FLATTEN(SPLIT( REGEXREPLACE( SUBSTITUTE(TEXTJOIN("","", TRUE, IFERROR(ARRAYFORMULA(VLOOKUP(TRIM(SPLIT('Final Report'!A48, "","")), 'URL Details'!A:D, 4, F"&amp;"ALSE)),"""") ), CHAR(10), "",""), ""\s*,\s*"", "",""), "",""))), TRIM(FLATTEN(SPLIT( REGEXREPLACE( SUBSTITUTE(TEXTJOIN("","", TRUE, IFERROR(ARRAYFORMULA(VLOOKUP(TRIM(SPLIT('Final Report'!A48, "","")), 'URL Details'!A:D, 4, FALSE)),"""") ), CHAR(10), "","""&amp;"), ""\s*,\s*"", "",""), "","")))&lt;&gt;"""" ) ) ) ),"""")
"),"")</f>
        <v/>
      </c>
      <c r="D48" s="105"/>
      <c r="E48" s="105"/>
      <c r="F48" s="110" t="b">
        <v>0</v>
      </c>
      <c r="G48" s="105" t="str">
        <f>IF(F48=True, IFERROR(VLOOKUP(D48, Repository!A:B, 2, 0), ""), "")</f>
        <v/>
      </c>
      <c r="H48" s="105"/>
      <c r="I48" s="105"/>
      <c r="J48" s="105" t="str">
        <f>IF(F48=True, IFERROR(VLOOKUP(D48, Repository!A:C, 3, 0), ""), "")</f>
        <v/>
      </c>
      <c r="K48" s="105"/>
      <c r="L48" s="105" t="str">
        <f>IF(F48=True, IFERROR(VLOOKUP(D48, Repository!A:E, 5, 0), ""), "")</f>
        <v/>
      </c>
      <c r="M48" s="105"/>
      <c r="N48" s="105" t="str">
        <f>IF(F48=True, IFERROR(VLOOKUP(D48, Repository!A:G, 7, 0), ""), "")</f>
        <v/>
      </c>
      <c r="O48" s="105" t="str">
        <f>IFERROR(__xludf.DUMMYFUNCTION("ARRAY_CONSTRAIN(
  ARRAYFORMULA(
    IFERROR(
      LET(
        list, N48,
        arr, TRIM(SPLIT(list, "","")),
        names, XLOOKUP(
          arr,
          'Conformance Score'!A:A,
          'Conformance Score'!B:B,
          ""Not found""
       "&amp;" ),
        TEXTJOIN("", "", TRUE, names)
      ),
      """"
    )
  ),
  1,
  1
)
"),"")</f>
        <v/>
      </c>
      <c r="P48" s="105" t="str">
        <f>IF(F48="Yes", IFERROR(VLOOKUP(D48, Repository!A:F, 6, 0), ""), "")</f>
        <v/>
      </c>
      <c r="Q48" s="105" t="str">
        <f>IF(F48="Yes", IFERROR(VLOOKUP(D48, Repository!A:I, 8, 0), ""), "")</f>
        <v/>
      </c>
      <c r="R48" s="105" t="str">
        <f>IF(F48="Yes", IFERROR(VLOOKUP(D48, Repository!A:J, 9, 0), ""), "")</f>
        <v/>
      </c>
      <c r="S48" s="105"/>
      <c r="T48" s="105"/>
      <c r="U48" s="105"/>
      <c r="V48" s="105"/>
      <c r="W48" s="105"/>
      <c r="X48" s="105"/>
      <c r="Y48" s="105"/>
      <c r="Z48" s="105"/>
      <c r="AA48" s="105"/>
      <c r="AB48" s="105"/>
      <c r="AC48" s="91"/>
      <c r="AD48" s="105"/>
      <c r="AE48" s="105"/>
      <c r="AF48" s="91"/>
      <c r="AG48" s="105"/>
      <c r="AH48" s="105"/>
      <c r="AI48" s="105" t="str">
        <f t="shared" si="1"/>
        <v/>
      </c>
      <c r="AJ48" s="108" t="str">
        <f t="shared" si="2"/>
        <v/>
      </c>
    </row>
    <row r="49" ht="15.75" customHeight="1">
      <c r="A49" s="104"/>
      <c r="B49" s="105" t="str">
        <f>IFERROR(__xludf.DUMMYFUNCTION("ARRAY_CONSTRAIN(
  ARRAYFORMULA(
    IF(
      'Final Report'!A49="""",
      """",
      TEXTJOIN(
        "", "" &amp; CHAR(10),
        TRUE,
        IFERROR(
          VLOOKUP(
            TRIM(
              SPLIT('Final Report'!A49, "","")
            )"&amp;",
            'URL Details'!A:B,
            2,
            FALSE
          ),
          """"
        )
      )
    )
  ),
  1,
  1
)
"),"")</f>
        <v/>
      </c>
      <c r="C49" s="105" t="str">
        <f>IFERROR(__xludf.DUMMYFUNCTION("IFERROR(IF('Final Report'!A49="""","""", TEXTJOIN(CHAR(10), TRUE, ARRAYFORMULA( ""• ""&amp; FILTER( TRIM(FLATTEN(SPLIT( REGEXREPLACE( SUBSTITUTE(TEXTJOIN("","", TRUE, IFERROR(ARRAYFORMULA(VLOOKUP(TRIM(SPLIT('Final Report'!A49, "","")), 'URL Details'!A:D, 4, F"&amp;"ALSE)),"""") ), CHAR(10), "",""), ""\s*,\s*"", "",""), "",""))), TRIM(FLATTEN(SPLIT( REGEXREPLACE( SUBSTITUTE(TEXTJOIN("","", TRUE, IFERROR(ARRAYFORMULA(VLOOKUP(TRIM(SPLIT('Final Report'!A49, "","")), 'URL Details'!A:D, 4, FALSE)),"""") ), CHAR(10), "","""&amp;"), ""\s*,\s*"", "",""), "","")))&lt;&gt;"""" ) ) ) ),"""")
"),"")</f>
        <v/>
      </c>
      <c r="D49" s="105"/>
      <c r="E49" s="105"/>
      <c r="F49" s="110" t="b">
        <v>0</v>
      </c>
      <c r="G49" s="105" t="str">
        <f>IF(F49=True, IFERROR(VLOOKUP(D49, Repository!A:B, 2, 0), ""), "")</f>
        <v/>
      </c>
      <c r="H49" s="105"/>
      <c r="I49" s="105"/>
      <c r="J49" s="105" t="str">
        <f>IF(F49=True, IFERROR(VLOOKUP(D49, Repository!A:C, 3, 0), ""), "")</f>
        <v/>
      </c>
      <c r="K49" s="105"/>
      <c r="L49" s="105" t="str">
        <f>IF(F49=True, IFERROR(VLOOKUP(D49, Repository!A:E, 5, 0), ""), "")</f>
        <v/>
      </c>
      <c r="M49" s="105"/>
      <c r="N49" s="105" t="str">
        <f>IF(F49=True, IFERROR(VLOOKUP(D49, Repository!A:G, 7, 0), ""), "")</f>
        <v/>
      </c>
      <c r="O49" s="105" t="str">
        <f>IFERROR(__xludf.DUMMYFUNCTION("ARRAY_CONSTRAIN(
  ARRAYFORMULA(
    IFERROR(
      LET(
        list, N49,
        arr, TRIM(SPLIT(list, "","")),
        names, XLOOKUP(
          arr,
          'Conformance Score'!A:A,
          'Conformance Score'!B:B,
          ""Not found""
       "&amp;" ),
        TEXTJOIN("", "", TRUE, names)
      ),
      """"
    )
  ),
  1,
  1
)
"),"")</f>
        <v/>
      </c>
      <c r="P49" s="105" t="str">
        <f>IF(F49="Yes", IFERROR(VLOOKUP(D49, Repository!A:F, 6, 0), ""), "")</f>
        <v/>
      </c>
      <c r="Q49" s="105" t="str">
        <f>IF(F49="Yes", IFERROR(VLOOKUP(D49, Repository!A:I, 8, 0), ""), "")</f>
        <v/>
      </c>
      <c r="R49" s="105" t="str">
        <f>IF(F49="Yes", IFERROR(VLOOKUP(D49, Repository!A:J, 9, 0), ""), "")</f>
        <v/>
      </c>
      <c r="S49" s="105"/>
      <c r="T49" s="105"/>
      <c r="U49" s="105"/>
      <c r="V49" s="105"/>
      <c r="W49" s="105"/>
      <c r="X49" s="105"/>
      <c r="Y49" s="105"/>
      <c r="Z49" s="105"/>
      <c r="AA49" s="105"/>
      <c r="AB49" s="105"/>
      <c r="AC49" s="91"/>
      <c r="AD49" s="105"/>
      <c r="AE49" s="105"/>
      <c r="AF49" s="91"/>
      <c r="AG49" s="105"/>
      <c r="AH49" s="105"/>
      <c r="AI49" s="105" t="str">
        <f t="shared" si="1"/>
        <v/>
      </c>
      <c r="AJ49" s="108" t="str">
        <f t="shared" si="2"/>
        <v/>
      </c>
    </row>
    <row r="50" ht="15.75" customHeight="1">
      <c r="A50" s="104"/>
      <c r="B50" s="105" t="str">
        <f>IFERROR(__xludf.DUMMYFUNCTION("ARRAY_CONSTRAIN(
  ARRAYFORMULA(
    IF(
      'Final Report'!A50="""",
      """",
      TEXTJOIN(
        "", "" &amp; CHAR(10),
        TRUE,
        IFERROR(
          VLOOKUP(
            TRIM(
              SPLIT('Final Report'!A50, "","")
            )"&amp;",
            'URL Details'!A:B,
            2,
            FALSE
          ),
          """"
        )
      )
    )
  ),
  1,
  1
)
"),"")</f>
        <v/>
      </c>
      <c r="C50" s="105" t="str">
        <f>IFERROR(__xludf.DUMMYFUNCTION("IFERROR(IF('Final Report'!A50="""","""", TEXTJOIN(CHAR(10), TRUE, ARRAYFORMULA( ""• ""&amp; FILTER( TRIM(FLATTEN(SPLIT( REGEXREPLACE( SUBSTITUTE(TEXTJOIN("","", TRUE, IFERROR(ARRAYFORMULA(VLOOKUP(TRIM(SPLIT('Final Report'!A50, "","")), 'URL Details'!A:D, 4, F"&amp;"ALSE)),"""") ), CHAR(10), "",""), ""\s*,\s*"", "",""), "",""))), TRIM(FLATTEN(SPLIT( REGEXREPLACE( SUBSTITUTE(TEXTJOIN("","", TRUE, IFERROR(ARRAYFORMULA(VLOOKUP(TRIM(SPLIT('Final Report'!A50, "","")), 'URL Details'!A:D, 4, FALSE)),"""") ), CHAR(10), "","""&amp;"), ""\s*,\s*"", "",""), "","")))&lt;&gt;"""" ) ) ) ),"""")
"),"")</f>
        <v/>
      </c>
      <c r="D50" s="105"/>
      <c r="E50" s="105"/>
      <c r="F50" s="110" t="b">
        <v>0</v>
      </c>
      <c r="G50" s="105" t="str">
        <f>IF(F50=True, IFERROR(VLOOKUP(D50, Repository!A:B, 2, 0), ""), "")</f>
        <v/>
      </c>
      <c r="H50" s="105"/>
      <c r="I50" s="105"/>
      <c r="J50" s="105" t="str">
        <f>IF(F50=True, IFERROR(VLOOKUP(D50, Repository!A:C, 3, 0), ""), "")</f>
        <v/>
      </c>
      <c r="K50" s="105"/>
      <c r="L50" s="105" t="str">
        <f>IF(F50=True, IFERROR(VLOOKUP(D50, Repository!A:E, 5, 0), ""), "")</f>
        <v/>
      </c>
      <c r="M50" s="105"/>
      <c r="N50" s="105" t="str">
        <f>IF(F50=True, IFERROR(VLOOKUP(D50, Repository!A:G, 7, 0), ""), "")</f>
        <v/>
      </c>
      <c r="O50" s="105" t="str">
        <f>IFERROR(__xludf.DUMMYFUNCTION("ARRAY_CONSTRAIN(
  ARRAYFORMULA(
    IFERROR(
      LET(
        list, N50,
        arr, TRIM(SPLIT(list, "","")),
        names, XLOOKUP(
          arr,
          'Conformance Score'!A:A,
          'Conformance Score'!B:B,
          ""Not found""
       "&amp;" ),
        TEXTJOIN("", "", TRUE, names)
      ),
      """"
    )
  ),
  1,
  1
)
"),"")</f>
        <v/>
      </c>
      <c r="P50" s="105" t="str">
        <f>IF(F50="Yes", IFERROR(VLOOKUP(D50, Repository!A:F, 6, 0), ""), "")</f>
        <v/>
      </c>
      <c r="Q50" s="105" t="str">
        <f>IF(F50="Yes", IFERROR(VLOOKUP(D50, Repository!A:I, 8, 0), ""), "")</f>
        <v/>
      </c>
      <c r="R50" s="105" t="str">
        <f>IF(F50="Yes", IFERROR(VLOOKUP(D50, Repository!A:J, 9, 0), ""), "")</f>
        <v/>
      </c>
      <c r="S50" s="105"/>
      <c r="T50" s="105"/>
      <c r="U50" s="105"/>
      <c r="V50" s="105"/>
      <c r="W50" s="105"/>
      <c r="X50" s="105"/>
      <c r="Y50" s="105"/>
      <c r="Z50" s="105"/>
      <c r="AA50" s="105"/>
      <c r="AB50" s="105"/>
      <c r="AC50" s="91"/>
      <c r="AD50" s="105"/>
      <c r="AE50" s="105"/>
      <c r="AF50" s="91"/>
      <c r="AG50" s="105"/>
      <c r="AH50" s="105"/>
      <c r="AI50" s="105" t="str">
        <f t="shared" si="1"/>
        <v/>
      </c>
      <c r="AJ50" s="108" t="str">
        <f t="shared" si="2"/>
        <v/>
      </c>
    </row>
    <row r="51" ht="15.75" customHeight="1">
      <c r="A51" s="104"/>
      <c r="B51" s="105" t="str">
        <f>IFERROR(__xludf.DUMMYFUNCTION("ARRAY_CONSTRAIN(
  ARRAYFORMULA(
    IF(
      'Final Report'!A51="""",
      """",
      TEXTJOIN(
        "", "" &amp; CHAR(10),
        TRUE,
        IFERROR(
          VLOOKUP(
            TRIM(
              SPLIT('Final Report'!A51, "","")
            )"&amp;",
            'URL Details'!A:B,
            2,
            FALSE
          ),
          """"
        )
      )
    )
  ),
  1,
  1
)
"),"")</f>
        <v/>
      </c>
      <c r="C51" s="105" t="str">
        <f>IFERROR(__xludf.DUMMYFUNCTION("IFERROR(IF('Final Report'!A51="""","""", TEXTJOIN(CHAR(10), TRUE, ARRAYFORMULA( ""• ""&amp; FILTER( TRIM(FLATTEN(SPLIT( REGEXREPLACE( SUBSTITUTE(TEXTJOIN("","", TRUE, IFERROR(ARRAYFORMULA(VLOOKUP(TRIM(SPLIT('Final Report'!A51, "","")), 'URL Details'!A:D, 4, F"&amp;"ALSE)),"""") ), CHAR(10), "",""), ""\s*,\s*"", "",""), "",""))), TRIM(FLATTEN(SPLIT( REGEXREPLACE( SUBSTITUTE(TEXTJOIN("","", TRUE, IFERROR(ARRAYFORMULA(VLOOKUP(TRIM(SPLIT('Final Report'!A51, "","")), 'URL Details'!A:D, 4, FALSE)),"""") ), CHAR(10), "","""&amp;"), ""\s*,\s*"", "",""), "","")))&lt;&gt;"""" ) ) ) ),"""")
"),"")</f>
        <v/>
      </c>
      <c r="D51" s="105"/>
      <c r="E51" s="105"/>
      <c r="F51" s="110" t="b">
        <v>0</v>
      </c>
      <c r="G51" s="105" t="str">
        <f>IF(F51=True, IFERROR(VLOOKUP(D51, Repository!A:B, 2, 0), ""), "")</f>
        <v/>
      </c>
      <c r="H51" s="105"/>
      <c r="I51" s="105"/>
      <c r="J51" s="105" t="str">
        <f>IF(F51=True, IFERROR(VLOOKUP(D51, Repository!A:C, 3, 0), ""), "")</f>
        <v/>
      </c>
      <c r="K51" s="105"/>
      <c r="L51" s="105" t="str">
        <f>IF(F51=True, IFERROR(VLOOKUP(D51, Repository!A:E, 5, 0), ""), "")</f>
        <v/>
      </c>
      <c r="M51" s="105"/>
      <c r="N51" s="105" t="str">
        <f>IF(F51=True, IFERROR(VLOOKUP(D51, Repository!A:G, 7, 0), ""), "")</f>
        <v/>
      </c>
      <c r="O51" s="105" t="str">
        <f>IFERROR(__xludf.DUMMYFUNCTION("ARRAY_CONSTRAIN(
  ARRAYFORMULA(
    IFERROR(
      LET(
        list, N51,
        arr, TRIM(SPLIT(list, "","")),
        names, XLOOKUP(
          arr,
          'Conformance Score'!A:A,
          'Conformance Score'!B:B,
          ""Not found""
       "&amp;" ),
        TEXTJOIN("", "", TRUE, names)
      ),
      """"
    )
  ),
  1,
  1
)
"),"")</f>
        <v/>
      </c>
      <c r="P51" s="105" t="str">
        <f>IF(F51="Yes", IFERROR(VLOOKUP(D51, Repository!A:F, 6, 0), ""), "")</f>
        <v/>
      </c>
      <c r="Q51" s="105" t="str">
        <f>IF(F51="Yes", IFERROR(VLOOKUP(D51, Repository!A:I, 8, 0), ""), "")</f>
        <v/>
      </c>
      <c r="R51" s="105" t="str">
        <f>IF(F51="Yes", IFERROR(VLOOKUP(D51, Repository!A:J, 9, 0), ""), "")</f>
        <v/>
      </c>
      <c r="S51" s="105"/>
      <c r="T51" s="105"/>
      <c r="U51" s="105"/>
      <c r="V51" s="105"/>
      <c r="W51" s="105"/>
      <c r="X51" s="105"/>
      <c r="Y51" s="105"/>
      <c r="Z51" s="105"/>
      <c r="AA51" s="105"/>
      <c r="AB51" s="105"/>
      <c r="AC51" s="91"/>
      <c r="AD51" s="105"/>
      <c r="AE51" s="105"/>
      <c r="AF51" s="91"/>
      <c r="AG51" s="105"/>
      <c r="AH51" s="105"/>
      <c r="AI51" s="105" t="str">
        <f t="shared" si="1"/>
        <v/>
      </c>
      <c r="AJ51" s="108" t="str">
        <f t="shared" si="2"/>
        <v/>
      </c>
    </row>
    <row r="52" ht="15.75" customHeight="1">
      <c r="A52" s="104"/>
      <c r="B52" s="105" t="str">
        <f>IFERROR(__xludf.DUMMYFUNCTION("ARRAY_CONSTRAIN(
  ARRAYFORMULA(
    IF(
      'Final Report'!A52="""",
      """",
      TEXTJOIN(
        "", "" &amp; CHAR(10),
        TRUE,
        IFERROR(
          VLOOKUP(
            TRIM(
              SPLIT('Final Report'!A52, "","")
            )"&amp;",
            'URL Details'!A:B,
            2,
            FALSE
          ),
          """"
        )
      )
    )
  ),
  1,
  1
)
"),"")</f>
        <v/>
      </c>
      <c r="C52" s="105" t="str">
        <f>IFERROR(__xludf.DUMMYFUNCTION("IFERROR(IF('Final Report'!A52="""","""", TEXTJOIN(CHAR(10), TRUE, ARRAYFORMULA( ""• ""&amp; FILTER( TRIM(FLATTEN(SPLIT( REGEXREPLACE( SUBSTITUTE(TEXTJOIN("","", TRUE, IFERROR(ARRAYFORMULA(VLOOKUP(TRIM(SPLIT('Final Report'!A52, "","")), 'URL Details'!A:D, 4, F"&amp;"ALSE)),"""") ), CHAR(10), "",""), ""\s*,\s*"", "",""), "",""))), TRIM(FLATTEN(SPLIT( REGEXREPLACE( SUBSTITUTE(TEXTJOIN("","", TRUE, IFERROR(ARRAYFORMULA(VLOOKUP(TRIM(SPLIT('Final Report'!A52, "","")), 'URL Details'!A:D, 4, FALSE)),"""") ), CHAR(10), "","""&amp;"), ""\s*,\s*"", "",""), "","")))&lt;&gt;"""" ) ) ) ),"""")
"),"")</f>
        <v/>
      </c>
      <c r="D52" s="105"/>
      <c r="E52" s="105"/>
      <c r="F52" s="110" t="b">
        <v>0</v>
      </c>
      <c r="G52" s="105" t="str">
        <f>IF(F52=True, IFERROR(VLOOKUP(D52, Repository!A:B, 2, 0), ""), "")</f>
        <v/>
      </c>
      <c r="H52" s="105"/>
      <c r="I52" s="105"/>
      <c r="J52" s="105" t="str">
        <f>IF(F52=True, IFERROR(VLOOKUP(D52, Repository!A:C, 3, 0), ""), "")</f>
        <v/>
      </c>
      <c r="K52" s="105"/>
      <c r="L52" s="105" t="str">
        <f>IF(F52=True, IFERROR(VLOOKUP(D52, Repository!A:E, 5, 0), ""), "")</f>
        <v/>
      </c>
      <c r="M52" s="105"/>
      <c r="N52" s="105" t="str">
        <f>IF(F52=True, IFERROR(VLOOKUP(D52, Repository!A:G, 7, 0), ""), "")</f>
        <v/>
      </c>
      <c r="O52" s="105" t="str">
        <f>IFERROR(__xludf.DUMMYFUNCTION("ARRAY_CONSTRAIN(
  ARRAYFORMULA(
    IFERROR(
      LET(
        list, N52,
        arr, TRIM(SPLIT(list, "","")),
        names, XLOOKUP(
          arr,
          'Conformance Score'!A:A,
          'Conformance Score'!B:B,
          ""Not found""
       "&amp;" ),
        TEXTJOIN("", "", TRUE, names)
      ),
      """"
    )
  ),
  1,
  1
)
"),"")</f>
        <v/>
      </c>
      <c r="P52" s="105" t="str">
        <f>IF(F52="Yes", IFERROR(VLOOKUP(D52, Repository!A:F, 6, 0), ""), "")</f>
        <v/>
      </c>
      <c r="Q52" s="105" t="str">
        <f>IF(F52="Yes", IFERROR(VLOOKUP(D52, Repository!A:I, 8, 0), ""), "")</f>
        <v/>
      </c>
      <c r="R52" s="105" t="str">
        <f>IF(F52="Yes", IFERROR(VLOOKUP(D52, Repository!A:J, 9, 0), ""), "")</f>
        <v/>
      </c>
      <c r="S52" s="105"/>
      <c r="T52" s="105"/>
      <c r="U52" s="105"/>
      <c r="V52" s="105"/>
      <c r="W52" s="105"/>
      <c r="X52" s="105"/>
      <c r="Y52" s="105"/>
      <c r="Z52" s="105"/>
      <c r="AA52" s="105"/>
      <c r="AB52" s="105"/>
      <c r="AC52" s="91"/>
      <c r="AD52" s="105"/>
      <c r="AE52" s="105"/>
      <c r="AF52" s="91"/>
      <c r="AG52" s="105"/>
      <c r="AH52" s="105"/>
      <c r="AI52" s="105" t="str">
        <f t="shared" si="1"/>
        <v/>
      </c>
      <c r="AJ52" s="108" t="str">
        <f t="shared" si="2"/>
        <v/>
      </c>
    </row>
    <row r="53" ht="15.75" customHeight="1">
      <c r="A53" s="104"/>
      <c r="B53" s="105" t="str">
        <f>IFERROR(__xludf.DUMMYFUNCTION("ARRAY_CONSTRAIN(
  ARRAYFORMULA(
    IF(
      'Final Report'!A53="""",
      """",
      TEXTJOIN(
        "", "" &amp; CHAR(10),
        TRUE,
        IFERROR(
          VLOOKUP(
            TRIM(
              SPLIT('Final Report'!A53, "","")
            )"&amp;",
            'URL Details'!A:B,
            2,
            FALSE
          ),
          """"
        )
      )
    )
  ),
  1,
  1
)
"),"")</f>
        <v/>
      </c>
      <c r="C53" s="105" t="str">
        <f>IFERROR(__xludf.DUMMYFUNCTION("IFERROR(IF('Final Report'!A53="""","""", TEXTJOIN(CHAR(10), TRUE, ARRAYFORMULA( ""• ""&amp; FILTER( TRIM(FLATTEN(SPLIT( REGEXREPLACE( SUBSTITUTE(TEXTJOIN("","", TRUE, IFERROR(ARRAYFORMULA(VLOOKUP(TRIM(SPLIT('Final Report'!A53, "","")), 'URL Details'!A:D, 4, F"&amp;"ALSE)),"""") ), CHAR(10), "",""), ""\s*,\s*"", "",""), "",""))), TRIM(FLATTEN(SPLIT( REGEXREPLACE( SUBSTITUTE(TEXTJOIN("","", TRUE, IFERROR(ARRAYFORMULA(VLOOKUP(TRIM(SPLIT('Final Report'!A53, "","")), 'URL Details'!A:D, 4, FALSE)),"""") ), CHAR(10), "","""&amp;"), ""\s*,\s*"", "",""), "","")))&lt;&gt;"""" ) ) ) ),"""")
"),"")</f>
        <v/>
      </c>
      <c r="D53" s="105"/>
      <c r="E53" s="105"/>
      <c r="F53" s="110" t="b">
        <v>0</v>
      </c>
      <c r="G53" s="105" t="str">
        <f>IF(F53=True, IFERROR(VLOOKUP(D53, Repository!A:B, 2, 0), ""), "")</f>
        <v/>
      </c>
      <c r="H53" s="105"/>
      <c r="I53" s="105"/>
      <c r="J53" s="105" t="str">
        <f>IF(F53=True, IFERROR(VLOOKUP(D53, Repository!A:C, 3, 0), ""), "")</f>
        <v/>
      </c>
      <c r="K53" s="105"/>
      <c r="L53" s="105" t="str">
        <f>IF(F53=True, IFERROR(VLOOKUP(D53, Repository!A:E, 5, 0), ""), "")</f>
        <v/>
      </c>
      <c r="M53" s="105"/>
      <c r="N53" s="105" t="str">
        <f>IF(F53=True, IFERROR(VLOOKUP(D53, Repository!A:G, 7, 0), ""), "")</f>
        <v/>
      </c>
      <c r="O53" s="105" t="str">
        <f>IFERROR(__xludf.DUMMYFUNCTION("ARRAY_CONSTRAIN(
  ARRAYFORMULA(
    IFERROR(
      LET(
        list, N53,
        arr, TRIM(SPLIT(list, "","")),
        names, XLOOKUP(
          arr,
          'Conformance Score'!A:A,
          'Conformance Score'!B:B,
          ""Not found""
       "&amp;" ),
        TEXTJOIN("", "", TRUE, names)
      ),
      """"
    )
  ),
  1,
  1
)
"),"")</f>
        <v/>
      </c>
      <c r="P53" s="105" t="str">
        <f>IF(F53="Yes", IFERROR(VLOOKUP(D53, Repository!A:F, 6, 0), ""), "")</f>
        <v/>
      </c>
      <c r="Q53" s="105" t="str">
        <f>IF(F53="Yes", IFERROR(VLOOKUP(D53, Repository!A:I, 8, 0), ""), "")</f>
        <v/>
      </c>
      <c r="R53" s="105" t="str">
        <f>IF(F53="Yes", IFERROR(VLOOKUP(D53, Repository!A:J, 9, 0), ""), "")</f>
        <v/>
      </c>
      <c r="S53" s="105"/>
      <c r="T53" s="105"/>
      <c r="U53" s="105"/>
      <c r="V53" s="105"/>
      <c r="W53" s="105"/>
      <c r="X53" s="105"/>
      <c r="Y53" s="105"/>
      <c r="Z53" s="105"/>
      <c r="AA53" s="105"/>
      <c r="AB53" s="105"/>
      <c r="AC53" s="91"/>
      <c r="AD53" s="105"/>
      <c r="AE53" s="105"/>
      <c r="AF53" s="91"/>
      <c r="AG53" s="105"/>
      <c r="AH53" s="105"/>
      <c r="AI53" s="105" t="str">
        <f t="shared" si="1"/>
        <v/>
      </c>
      <c r="AJ53" s="108" t="str">
        <f t="shared" si="2"/>
        <v/>
      </c>
    </row>
    <row r="54" ht="15.75" customHeight="1">
      <c r="A54" s="104"/>
      <c r="B54" s="105" t="str">
        <f>IFERROR(__xludf.DUMMYFUNCTION("ARRAY_CONSTRAIN(
  ARRAYFORMULA(
    IF(
      'Final Report'!A54="""",
      """",
      TEXTJOIN(
        "", "" &amp; CHAR(10),
        TRUE,
        IFERROR(
          VLOOKUP(
            TRIM(
              SPLIT('Final Report'!A54, "","")
            )"&amp;",
            'URL Details'!A:B,
            2,
            FALSE
          ),
          """"
        )
      )
    )
  ),
  1,
  1
)
"),"")</f>
        <v/>
      </c>
      <c r="C54" s="105" t="str">
        <f>IFERROR(__xludf.DUMMYFUNCTION("IFERROR(IF('Final Report'!A54="""","""", TEXTJOIN(CHAR(10), TRUE, ARRAYFORMULA( ""• ""&amp; FILTER( TRIM(FLATTEN(SPLIT( REGEXREPLACE( SUBSTITUTE(TEXTJOIN("","", TRUE, IFERROR(ARRAYFORMULA(VLOOKUP(TRIM(SPLIT('Final Report'!A54, "","")), 'URL Details'!A:D, 4, F"&amp;"ALSE)),"""") ), CHAR(10), "",""), ""\s*,\s*"", "",""), "",""))), TRIM(FLATTEN(SPLIT( REGEXREPLACE( SUBSTITUTE(TEXTJOIN("","", TRUE, IFERROR(ARRAYFORMULA(VLOOKUP(TRIM(SPLIT('Final Report'!A54, "","")), 'URL Details'!A:D, 4, FALSE)),"""") ), CHAR(10), "","""&amp;"), ""\s*,\s*"", "",""), "","")))&lt;&gt;"""" ) ) ) ),"""")
"),"")</f>
        <v/>
      </c>
      <c r="D54" s="105"/>
      <c r="E54" s="105"/>
      <c r="F54" s="110" t="b">
        <v>0</v>
      </c>
      <c r="G54" s="105" t="str">
        <f>IF(F54=True, IFERROR(VLOOKUP(D54, Repository!A:B, 2, 0), ""), "")</f>
        <v/>
      </c>
      <c r="H54" s="105"/>
      <c r="I54" s="105"/>
      <c r="J54" s="105" t="str">
        <f>IF(F54=True, IFERROR(VLOOKUP(D54, Repository!A:C, 3, 0), ""), "")</f>
        <v/>
      </c>
      <c r="K54" s="105"/>
      <c r="L54" s="105" t="str">
        <f>IF(F54=True, IFERROR(VLOOKUP(D54, Repository!A:E, 5, 0), ""), "")</f>
        <v/>
      </c>
      <c r="M54" s="105"/>
      <c r="N54" s="105" t="str">
        <f>IF(F54=True, IFERROR(VLOOKUP(D54, Repository!A:G, 7, 0), ""), "")</f>
        <v/>
      </c>
      <c r="O54" s="105" t="str">
        <f>IFERROR(__xludf.DUMMYFUNCTION("ARRAY_CONSTRAIN(
  ARRAYFORMULA(
    IFERROR(
      LET(
        list, N54,
        arr, TRIM(SPLIT(list, "","")),
        names, XLOOKUP(
          arr,
          'Conformance Score'!A:A,
          'Conformance Score'!B:B,
          ""Not found""
       "&amp;" ),
        TEXTJOIN("", "", TRUE, names)
      ),
      """"
    )
  ),
  1,
  1
)
"),"")</f>
        <v/>
      </c>
      <c r="P54" s="105" t="str">
        <f>IF(F54="Yes", IFERROR(VLOOKUP(D54, Repository!A:F, 6, 0), ""), "")</f>
        <v/>
      </c>
      <c r="Q54" s="105" t="str">
        <f>IF(F54="Yes", IFERROR(VLOOKUP(D54, Repository!A:I, 8, 0), ""), "")</f>
        <v/>
      </c>
      <c r="R54" s="105" t="str">
        <f>IF(F54="Yes", IFERROR(VLOOKUP(D54, Repository!A:J, 9, 0), ""), "")</f>
        <v/>
      </c>
      <c r="S54" s="105"/>
      <c r="T54" s="105"/>
      <c r="U54" s="105"/>
      <c r="V54" s="105"/>
      <c r="W54" s="105"/>
      <c r="X54" s="105"/>
      <c r="Y54" s="105"/>
      <c r="Z54" s="105"/>
      <c r="AA54" s="105"/>
      <c r="AB54" s="105"/>
      <c r="AC54" s="91"/>
      <c r="AD54" s="105"/>
      <c r="AE54" s="105"/>
      <c r="AF54" s="91"/>
      <c r="AG54" s="105"/>
      <c r="AH54" s="105"/>
      <c r="AI54" s="105" t="str">
        <f t="shared" si="1"/>
        <v/>
      </c>
      <c r="AJ54" s="108" t="str">
        <f t="shared" si="2"/>
        <v/>
      </c>
    </row>
    <row r="55" ht="15.75" customHeight="1">
      <c r="A55" s="104"/>
      <c r="B55" s="105" t="str">
        <f>IFERROR(__xludf.DUMMYFUNCTION("ARRAY_CONSTRAIN(
  ARRAYFORMULA(
    IF(
      'Final Report'!A55="""",
      """",
      TEXTJOIN(
        "", "" &amp; CHAR(10),
        TRUE,
        IFERROR(
          VLOOKUP(
            TRIM(
              SPLIT('Final Report'!A55, "","")
            )"&amp;",
            'URL Details'!A:B,
            2,
            FALSE
          ),
          """"
        )
      )
    )
  ),
  1,
  1
)
"),"")</f>
        <v/>
      </c>
      <c r="C55" s="105" t="str">
        <f>IFERROR(__xludf.DUMMYFUNCTION("IFERROR(IF('Final Report'!A55="""","""", TEXTJOIN(CHAR(10), TRUE, ARRAYFORMULA( ""• ""&amp; FILTER( TRIM(FLATTEN(SPLIT( REGEXREPLACE( SUBSTITUTE(TEXTJOIN("","", TRUE, IFERROR(ARRAYFORMULA(VLOOKUP(TRIM(SPLIT('Final Report'!A55, "","")), 'URL Details'!A:D, 4, F"&amp;"ALSE)),"""") ), CHAR(10), "",""), ""\s*,\s*"", "",""), "",""))), TRIM(FLATTEN(SPLIT( REGEXREPLACE( SUBSTITUTE(TEXTJOIN("","", TRUE, IFERROR(ARRAYFORMULA(VLOOKUP(TRIM(SPLIT('Final Report'!A55, "","")), 'URL Details'!A:D, 4, FALSE)),"""") ), CHAR(10), "","""&amp;"), ""\s*,\s*"", "",""), "","")))&lt;&gt;"""" ) ) ) ),"""")
"),"")</f>
        <v/>
      </c>
      <c r="D55" s="105"/>
      <c r="E55" s="105"/>
      <c r="F55" s="110" t="b">
        <v>0</v>
      </c>
      <c r="G55" s="105" t="str">
        <f>IF(F55=True, IFERROR(VLOOKUP(D55, Repository!A:B, 2, 0), ""), "")</f>
        <v/>
      </c>
      <c r="H55" s="105"/>
      <c r="I55" s="105"/>
      <c r="J55" s="105" t="str">
        <f>IF(F55=True, IFERROR(VLOOKUP(D55, Repository!A:C, 3, 0), ""), "")</f>
        <v/>
      </c>
      <c r="K55" s="105"/>
      <c r="L55" s="105" t="str">
        <f>IF(F55=True, IFERROR(VLOOKUP(D55, Repository!A:E, 5, 0), ""), "")</f>
        <v/>
      </c>
      <c r="M55" s="105"/>
      <c r="N55" s="105" t="str">
        <f>IF(F55=True, IFERROR(VLOOKUP(D55, Repository!A:G, 7, 0), ""), "")</f>
        <v/>
      </c>
      <c r="O55" s="105" t="str">
        <f>IFERROR(__xludf.DUMMYFUNCTION("ARRAY_CONSTRAIN(
  ARRAYFORMULA(
    IFERROR(
      LET(
        list, N55,
        arr, TRIM(SPLIT(list, "","")),
        names, XLOOKUP(
          arr,
          'Conformance Score'!A:A,
          'Conformance Score'!B:B,
          ""Not found""
       "&amp;" ),
        TEXTJOIN("", "", TRUE, names)
      ),
      """"
    )
  ),
  1,
  1
)
"),"")</f>
        <v/>
      </c>
      <c r="P55" s="105" t="str">
        <f>IF(F55="Yes", IFERROR(VLOOKUP(D55, Repository!A:F, 6, 0), ""), "")</f>
        <v/>
      </c>
      <c r="Q55" s="105" t="str">
        <f>IF(F55="Yes", IFERROR(VLOOKUP(D55, Repository!A:I, 8, 0), ""), "")</f>
        <v/>
      </c>
      <c r="R55" s="105" t="str">
        <f>IF(F55="Yes", IFERROR(VLOOKUP(D55, Repository!A:J, 9, 0), ""), "")</f>
        <v/>
      </c>
      <c r="S55" s="105"/>
      <c r="T55" s="105"/>
      <c r="U55" s="105"/>
      <c r="V55" s="105"/>
      <c r="W55" s="105"/>
      <c r="X55" s="105"/>
      <c r="Y55" s="105"/>
      <c r="Z55" s="105"/>
      <c r="AA55" s="105"/>
      <c r="AB55" s="105"/>
      <c r="AC55" s="91"/>
      <c r="AD55" s="105"/>
      <c r="AE55" s="105"/>
      <c r="AF55" s="91"/>
      <c r="AG55" s="105"/>
      <c r="AH55" s="105"/>
      <c r="AI55" s="105" t="str">
        <f t="shared" si="1"/>
        <v/>
      </c>
      <c r="AJ55" s="108" t="str">
        <f t="shared" si="2"/>
        <v/>
      </c>
    </row>
    <row r="56" ht="15.75" customHeight="1">
      <c r="A56" s="104"/>
      <c r="B56" s="105" t="str">
        <f>IFERROR(__xludf.DUMMYFUNCTION("ARRAY_CONSTRAIN(
  ARRAYFORMULA(
    IF(
      'Final Report'!A56="""",
      """",
      TEXTJOIN(
        "", "" &amp; CHAR(10),
        TRUE,
        IFERROR(
          VLOOKUP(
            TRIM(
              SPLIT('Final Report'!A56, "","")
            )"&amp;",
            'URL Details'!A:B,
            2,
            FALSE
          ),
          """"
        )
      )
    )
  ),
  1,
  1
)
"),"")</f>
        <v/>
      </c>
      <c r="C56" s="105" t="str">
        <f>IFERROR(__xludf.DUMMYFUNCTION("IFERROR(IF('Final Report'!A56="""","""", TEXTJOIN(CHAR(10), TRUE, ARRAYFORMULA( ""• ""&amp; FILTER( TRIM(FLATTEN(SPLIT( REGEXREPLACE( SUBSTITUTE(TEXTJOIN("","", TRUE, IFERROR(ARRAYFORMULA(VLOOKUP(TRIM(SPLIT('Final Report'!A56, "","")), 'URL Details'!A:D, 4, F"&amp;"ALSE)),"""") ), CHAR(10), "",""), ""\s*,\s*"", "",""), "",""))), TRIM(FLATTEN(SPLIT( REGEXREPLACE( SUBSTITUTE(TEXTJOIN("","", TRUE, IFERROR(ARRAYFORMULA(VLOOKUP(TRIM(SPLIT('Final Report'!A56, "","")), 'URL Details'!A:D, 4, FALSE)),"""") ), CHAR(10), "","""&amp;"), ""\s*,\s*"", "",""), "","")))&lt;&gt;"""" ) ) ) ),"""")
"),"")</f>
        <v/>
      </c>
      <c r="D56" s="105"/>
      <c r="E56" s="105"/>
      <c r="F56" s="110" t="b">
        <v>0</v>
      </c>
      <c r="G56" s="105" t="str">
        <f>IF(F56=True, IFERROR(VLOOKUP(D56, Repository!A:B, 2, 0), ""), "")</f>
        <v/>
      </c>
      <c r="H56" s="105"/>
      <c r="I56" s="105"/>
      <c r="J56" s="105" t="str">
        <f>IF(F56=True, IFERROR(VLOOKUP(D56, Repository!A:C, 3, 0), ""), "")</f>
        <v/>
      </c>
      <c r="K56" s="105"/>
      <c r="L56" s="105" t="str">
        <f>IF(F56=True, IFERROR(VLOOKUP(D56, Repository!A:E, 5, 0), ""), "")</f>
        <v/>
      </c>
      <c r="M56" s="105"/>
      <c r="N56" s="105" t="str">
        <f>IF(F56=True, IFERROR(VLOOKUP(D56, Repository!A:G, 7, 0), ""), "")</f>
        <v/>
      </c>
      <c r="O56" s="105" t="str">
        <f>IFERROR(__xludf.DUMMYFUNCTION("ARRAY_CONSTRAIN(
  ARRAYFORMULA(
    IFERROR(
      LET(
        list, N56,
        arr, TRIM(SPLIT(list, "","")),
        names, XLOOKUP(
          arr,
          'Conformance Score'!A:A,
          'Conformance Score'!B:B,
          ""Not found""
       "&amp;" ),
        TEXTJOIN("", "", TRUE, names)
      ),
      """"
    )
  ),
  1,
  1
)
"),"")</f>
        <v/>
      </c>
      <c r="P56" s="105" t="str">
        <f>IF(F56="Yes", IFERROR(VLOOKUP(D56, Repository!A:F, 6, 0), ""), "")</f>
        <v/>
      </c>
      <c r="Q56" s="105" t="str">
        <f>IF(F56="Yes", IFERROR(VLOOKUP(D56, Repository!A:I, 8, 0), ""), "")</f>
        <v/>
      </c>
      <c r="R56" s="105" t="str">
        <f>IF(F56="Yes", IFERROR(VLOOKUP(D56, Repository!A:J, 9, 0), ""), "")</f>
        <v/>
      </c>
      <c r="S56" s="105"/>
      <c r="T56" s="105"/>
      <c r="U56" s="105"/>
      <c r="V56" s="105"/>
      <c r="W56" s="105"/>
      <c r="X56" s="105"/>
      <c r="Y56" s="105"/>
      <c r="Z56" s="105"/>
      <c r="AA56" s="105"/>
      <c r="AB56" s="105"/>
      <c r="AC56" s="91"/>
      <c r="AD56" s="105"/>
      <c r="AE56" s="105"/>
      <c r="AF56" s="91"/>
      <c r="AG56" s="105"/>
      <c r="AH56" s="105"/>
      <c r="AI56" s="105" t="str">
        <f t="shared" si="1"/>
        <v/>
      </c>
      <c r="AJ56" s="108" t="str">
        <f t="shared" si="2"/>
        <v/>
      </c>
    </row>
    <row r="57" ht="15.75" customHeight="1">
      <c r="A57" s="104"/>
      <c r="B57" s="105" t="str">
        <f>IFERROR(__xludf.DUMMYFUNCTION("ARRAY_CONSTRAIN(
  ARRAYFORMULA(
    IF(
      'Final Report'!A57="""",
      """",
      TEXTJOIN(
        "", "" &amp; CHAR(10),
        TRUE,
        IFERROR(
          VLOOKUP(
            TRIM(
              SPLIT('Final Report'!A57, "","")
            )"&amp;",
            'URL Details'!A:B,
            2,
            FALSE
          ),
          """"
        )
      )
    )
  ),
  1,
  1
)
"),"")</f>
        <v/>
      </c>
      <c r="C57" s="105" t="str">
        <f>IFERROR(__xludf.DUMMYFUNCTION("IFERROR(IF('Final Report'!A57="""","""", TEXTJOIN(CHAR(10), TRUE, ARRAYFORMULA( ""• ""&amp; FILTER( TRIM(FLATTEN(SPLIT( REGEXREPLACE( SUBSTITUTE(TEXTJOIN("","", TRUE, IFERROR(ARRAYFORMULA(VLOOKUP(TRIM(SPLIT('Final Report'!A57, "","")), 'URL Details'!A:D, 4, F"&amp;"ALSE)),"""") ), CHAR(10), "",""), ""\s*,\s*"", "",""), "",""))), TRIM(FLATTEN(SPLIT( REGEXREPLACE( SUBSTITUTE(TEXTJOIN("","", TRUE, IFERROR(ARRAYFORMULA(VLOOKUP(TRIM(SPLIT('Final Report'!A57, "","")), 'URL Details'!A:D, 4, FALSE)),"""") ), CHAR(10), "","""&amp;"), ""\s*,\s*"", "",""), "","")))&lt;&gt;"""" ) ) ) ),"""")
"),"")</f>
        <v/>
      </c>
      <c r="D57" s="105"/>
      <c r="E57" s="105"/>
      <c r="F57" s="110" t="b">
        <v>0</v>
      </c>
      <c r="G57" s="105" t="str">
        <f>IF(F57=True, IFERROR(VLOOKUP(D57, Repository!A:B, 2, 0), ""), "")</f>
        <v/>
      </c>
      <c r="H57" s="105"/>
      <c r="I57" s="105"/>
      <c r="J57" s="105" t="str">
        <f>IF(F57=True, IFERROR(VLOOKUP(D57, Repository!A:C, 3, 0), ""), "")</f>
        <v/>
      </c>
      <c r="K57" s="105"/>
      <c r="L57" s="105" t="str">
        <f>IF(F57=True, IFERROR(VLOOKUP(D57, Repository!A:E, 5, 0), ""), "")</f>
        <v/>
      </c>
      <c r="M57" s="105"/>
      <c r="N57" s="105" t="str">
        <f>IF(F57=True, IFERROR(VLOOKUP(D57, Repository!A:G, 7, 0), ""), "")</f>
        <v/>
      </c>
      <c r="O57" s="105" t="str">
        <f>IFERROR(__xludf.DUMMYFUNCTION("ARRAY_CONSTRAIN(
  ARRAYFORMULA(
    IFERROR(
      LET(
        list, N57,
        arr, TRIM(SPLIT(list, "","")),
        names, XLOOKUP(
          arr,
          'Conformance Score'!A:A,
          'Conformance Score'!B:B,
          ""Not found""
       "&amp;" ),
        TEXTJOIN("", "", TRUE, names)
      ),
      """"
    )
  ),
  1,
  1
)
"),"")</f>
        <v/>
      </c>
      <c r="P57" s="105" t="str">
        <f>IF(F57="Yes", IFERROR(VLOOKUP(D57, Repository!A:F, 6, 0), ""), "")</f>
        <v/>
      </c>
      <c r="Q57" s="105" t="str">
        <f>IF(F57="Yes", IFERROR(VLOOKUP(D57, Repository!A:I, 8, 0), ""), "")</f>
        <v/>
      </c>
      <c r="R57" s="105" t="str">
        <f>IF(F57="Yes", IFERROR(VLOOKUP(D57, Repository!A:J, 9, 0), ""), "")</f>
        <v/>
      </c>
      <c r="S57" s="105"/>
      <c r="T57" s="105"/>
      <c r="U57" s="105"/>
      <c r="V57" s="105"/>
      <c r="W57" s="105"/>
      <c r="X57" s="105"/>
      <c r="Y57" s="105"/>
      <c r="Z57" s="105"/>
      <c r="AA57" s="105"/>
      <c r="AB57" s="105"/>
      <c r="AC57" s="91"/>
      <c r="AD57" s="105"/>
      <c r="AE57" s="105"/>
      <c r="AF57" s="91"/>
      <c r="AG57" s="105"/>
      <c r="AH57" s="105"/>
      <c r="AI57" s="105" t="str">
        <f t="shared" si="1"/>
        <v/>
      </c>
      <c r="AJ57" s="108" t="str">
        <f t="shared" si="2"/>
        <v/>
      </c>
    </row>
    <row r="58" ht="15.75" customHeight="1">
      <c r="A58" s="104"/>
      <c r="B58" s="105" t="str">
        <f>IFERROR(__xludf.DUMMYFUNCTION("ARRAY_CONSTRAIN(
  ARRAYFORMULA(
    IF(
      'Final Report'!A58="""",
      """",
      TEXTJOIN(
        "", "" &amp; CHAR(10),
        TRUE,
        IFERROR(
          VLOOKUP(
            TRIM(
              SPLIT('Final Report'!A58, "","")
            )"&amp;",
            'URL Details'!A:B,
            2,
            FALSE
          ),
          """"
        )
      )
    )
  ),
  1,
  1
)
"),"")</f>
        <v/>
      </c>
      <c r="C58" s="105" t="str">
        <f>IFERROR(__xludf.DUMMYFUNCTION("IFERROR(IF('Final Report'!A58="""","""", TEXTJOIN(CHAR(10), TRUE, ARRAYFORMULA( ""• ""&amp; FILTER( TRIM(FLATTEN(SPLIT( REGEXREPLACE( SUBSTITUTE(TEXTJOIN("","", TRUE, IFERROR(ARRAYFORMULA(VLOOKUP(TRIM(SPLIT('Final Report'!A58, "","")), 'URL Details'!A:D, 4, F"&amp;"ALSE)),"""") ), CHAR(10), "",""), ""\s*,\s*"", "",""), "",""))), TRIM(FLATTEN(SPLIT( REGEXREPLACE( SUBSTITUTE(TEXTJOIN("","", TRUE, IFERROR(ARRAYFORMULA(VLOOKUP(TRIM(SPLIT('Final Report'!A58, "","")), 'URL Details'!A:D, 4, FALSE)),"""") ), CHAR(10), "","""&amp;"), ""\s*,\s*"", "",""), "","")))&lt;&gt;"""" ) ) ) ),"""")
"),"")</f>
        <v/>
      </c>
      <c r="D58" s="105"/>
      <c r="E58" s="105"/>
      <c r="F58" s="110" t="b">
        <v>0</v>
      </c>
      <c r="G58" s="105" t="str">
        <f>IF(F58=True, IFERROR(VLOOKUP(D58, Repository!A:B, 2, 0), ""), "")</f>
        <v/>
      </c>
      <c r="H58" s="105"/>
      <c r="I58" s="105"/>
      <c r="J58" s="105" t="str">
        <f>IF(F58=True, IFERROR(VLOOKUP(D58, Repository!A:C, 3, 0), ""), "")</f>
        <v/>
      </c>
      <c r="K58" s="105"/>
      <c r="L58" s="105" t="str">
        <f>IF(F58=True, IFERROR(VLOOKUP(D58, Repository!A:E, 5, 0), ""), "")</f>
        <v/>
      </c>
      <c r="M58" s="105"/>
      <c r="N58" s="105" t="str">
        <f>IF(F58=True, IFERROR(VLOOKUP(D58, Repository!A:G, 7, 0), ""), "")</f>
        <v/>
      </c>
      <c r="O58" s="105" t="str">
        <f>IFERROR(__xludf.DUMMYFUNCTION("ARRAY_CONSTRAIN(
  ARRAYFORMULA(
    IFERROR(
      LET(
        list, N58,
        arr, TRIM(SPLIT(list, "","")),
        names, XLOOKUP(
          arr,
          'Conformance Score'!A:A,
          'Conformance Score'!B:B,
          ""Not found""
       "&amp;" ),
        TEXTJOIN("", "", TRUE, names)
      ),
      """"
    )
  ),
  1,
  1
)
"),"")</f>
        <v/>
      </c>
      <c r="P58" s="105" t="str">
        <f>IF(F58="Yes", IFERROR(VLOOKUP(D58, Repository!A:F, 6, 0), ""), "")</f>
        <v/>
      </c>
      <c r="Q58" s="105" t="str">
        <f>IF(F58="Yes", IFERROR(VLOOKUP(D58, Repository!A:I, 8, 0), ""), "")</f>
        <v/>
      </c>
      <c r="R58" s="105" t="str">
        <f>IF(F58="Yes", IFERROR(VLOOKUP(D58, Repository!A:J, 9, 0), ""), "")</f>
        <v/>
      </c>
      <c r="S58" s="105"/>
      <c r="T58" s="105"/>
      <c r="U58" s="105"/>
      <c r="V58" s="105"/>
      <c r="W58" s="105"/>
      <c r="X58" s="105"/>
      <c r="Y58" s="105"/>
      <c r="Z58" s="105"/>
      <c r="AA58" s="105"/>
      <c r="AB58" s="105"/>
      <c r="AC58" s="91"/>
      <c r="AD58" s="105"/>
      <c r="AE58" s="105"/>
      <c r="AF58" s="91"/>
      <c r="AG58" s="105"/>
      <c r="AH58" s="105"/>
      <c r="AI58" s="105" t="str">
        <f t="shared" si="1"/>
        <v/>
      </c>
      <c r="AJ58" s="108" t="str">
        <f t="shared" si="2"/>
        <v/>
      </c>
    </row>
    <row r="59" ht="15.75" customHeight="1">
      <c r="A59" s="104"/>
      <c r="B59" s="105" t="str">
        <f>IFERROR(__xludf.DUMMYFUNCTION("ARRAY_CONSTRAIN(
  ARRAYFORMULA(
    IF(
      'Final Report'!A59="""",
      """",
      TEXTJOIN(
        "", "" &amp; CHAR(10),
        TRUE,
        IFERROR(
          VLOOKUP(
            TRIM(
              SPLIT('Final Report'!A59, "","")
            )"&amp;",
            'URL Details'!A:B,
            2,
            FALSE
          ),
          """"
        )
      )
    )
  ),
  1,
  1
)
"),"")</f>
        <v/>
      </c>
      <c r="C59" s="105" t="str">
        <f>IFERROR(__xludf.DUMMYFUNCTION("IFERROR(IF('Final Report'!A59="""","""", TEXTJOIN(CHAR(10), TRUE, ARRAYFORMULA( ""• ""&amp; FILTER( TRIM(FLATTEN(SPLIT( REGEXREPLACE( SUBSTITUTE(TEXTJOIN("","", TRUE, IFERROR(ARRAYFORMULA(VLOOKUP(TRIM(SPLIT('Final Report'!A59, "","")), 'URL Details'!A:D, 4, F"&amp;"ALSE)),"""") ), CHAR(10), "",""), ""\s*,\s*"", "",""), "",""))), TRIM(FLATTEN(SPLIT( REGEXREPLACE( SUBSTITUTE(TEXTJOIN("","", TRUE, IFERROR(ARRAYFORMULA(VLOOKUP(TRIM(SPLIT('Final Report'!A59, "","")), 'URL Details'!A:D, 4, FALSE)),"""") ), CHAR(10), "","""&amp;"), ""\s*,\s*"", "",""), "","")))&lt;&gt;"""" ) ) ) ),"""")
"),"")</f>
        <v/>
      </c>
      <c r="D59" s="105"/>
      <c r="E59" s="105"/>
      <c r="F59" s="110" t="b">
        <v>0</v>
      </c>
      <c r="G59" s="105" t="str">
        <f>IF(F59=True, IFERROR(VLOOKUP(D59, Repository!A:B, 2, 0), ""), "")</f>
        <v/>
      </c>
      <c r="H59" s="105"/>
      <c r="I59" s="105"/>
      <c r="J59" s="105" t="str">
        <f>IF(F59=True, IFERROR(VLOOKUP(D59, Repository!A:C, 3, 0), ""), "")</f>
        <v/>
      </c>
      <c r="K59" s="105"/>
      <c r="L59" s="105" t="str">
        <f>IF(F59=True, IFERROR(VLOOKUP(D59, Repository!A:E, 5, 0), ""), "")</f>
        <v/>
      </c>
      <c r="M59" s="105"/>
      <c r="N59" s="105" t="str">
        <f>IF(F59=True, IFERROR(VLOOKUP(D59, Repository!A:G, 7, 0), ""), "")</f>
        <v/>
      </c>
      <c r="O59" s="105" t="str">
        <f>IFERROR(__xludf.DUMMYFUNCTION("ARRAY_CONSTRAIN(
  ARRAYFORMULA(
    IFERROR(
      LET(
        list, N59,
        arr, TRIM(SPLIT(list, "","")),
        names, XLOOKUP(
          arr,
          'Conformance Score'!A:A,
          'Conformance Score'!B:B,
          ""Not found""
       "&amp;" ),
        TEXTJOIN("", "", TRUE, names)
      ),
      """"
    )
  ),
  1,
  1
)
"),"")</f>
        <v/>
      </c>
      <c r="P59" s="105" t="str">
        <f>IF(F59="Yes", IFERROR(VLOOKUP(D59, Repository!A:F, 6, 0), ""), "")</f>
        <v/>
      </c>
      <c r="Q59" s="105" t="str">
        <f>IF(F59="Yes", IFERROR(VLOOKUP(D59, Repository!A:I, 8, 0), ""), "")</f>
        <v/>
      </c>
      <c r="R59" s="105" t="str">
        <f>IF(F59="Yes", IFERROR(VLOOKUP(D59, Repository!A:J, 9, 0), ""), "")</f>
        <v/>
      </c>
      <c r="S59" s="105"/>
      <c r="T59" s="105"/>
      <c r="U59" s="105"/>
      <c r="V59" s="105"/>
      <c r="W59" s="105"/>
      <c r="X59" s="105"/>
      <c r="Y59" s="105"/>
      <c r="Z59" s="105"/>
      <c r="AA59" s="105"/>
      <c r="AB59" s="105"/>
      <c r="AC59" s="91"/>
      <c r="AD59" s="105"/>
      <c r="AE59" s="105"/>
      <c r="AF59" s="91"/>
      <c r="AG59" s="105"/>
      <c r="AH59" s="105"/>
      <c r="AI59" s="105" t="str">
        <f t="shared" si="1"/>
        <v/>
      </c>
      <c r="AJ59" s="108" t="str">
        <f t="shared" si="2"/>
        <v/>
      </c>
    </row>
    <row r="60" ht="15.75" customHeight="1">
      <c r="A60" s="104"/>
      <c r="B60" s="105" t="str">
        <f>IFERROR(__xludf.DUMMYFUNCTION("ARRAY_CONSTRAIN(
  ARRAYFORMULA(
    IF(
      'Final Report'!A60="""",
      """",
      TEXTJOIN(
        "", "" &amp; CHAR(10),
        TRUE,
        IFERROR(
          VLOOKUP(
            TRIM(
              SPLIT('Final Report'!A60, "","")
            )"&amp;",
            'URL Details'!A:B,
            2,
            FALSE
          ),
          """"
        )
      )
    )
  ),
  1,
  1
)
"),"")</f>
        <v/>
      </c>
      <c r="C60" s="105" t="str">
        <f>IFERROR(__xludf.DUMMYFUNCTION("IFERROR(IF('Final Report'!A60="""","""", TEXTJOIN(CHAR(10), TRUE, ARRAYFORMULA( ""• ""&amp; FILTER( TRIM(FLATTEN(SPLIT( REGEXREPLACE( SUBSTITUTE(TEXTJOIN("","", TRUE, IFERROR(ARRAYFORMULA(VLOOKUP(TRIM(SPLIT('Final Report'!A60, "","")), 'URL Details'!A:D, 4, F"&amp;"ALSE)),"""") ), CHAR(10), "",""), ""\s*,\s*"", "",""), "",""))), TRIM(FLATTEN(SPLIT( REGEXREPLACE( SUBSTITUTE(TEXTJOIN("","", TRUE, IFERROR(ARRAYFORMULA(VLOOKUP(TRIM(SPLIT('Final Report'!A60, "","")), 'URL Details'!A:D, 4, FALSE)),"""") ), CHAR(10), "","""&amp;"), ""\s*,\s*"", "",""), "","")))&lt;&gt;"""" ) ) ) ),"""")
"),"")</f>
        <v/>
      </c>
      <c r="D60" s="105"/>
      <c r="E60" s="105"/>
      <c r="F60" s="110" t="b">
        <v>0</v>
      </c>
      <c r="G60" s="105" t="str">
        <f>IF(F60=True, IFERROR(VLOOKUP(D60, Repository!A:B, 2, 0), ""), "")</f>
        <v/>
      </c>
      <c r="H60" s="105"/>
      <c r="I60" s="105"/>
      <c r="J60" s="105" t="str">
        <f>IF(F60=True, IFERROR(VLOOKUP(D60, Repository!A:C, 3, 0), ""), "")</f>
        <v/>
      </c>
      <c r="K60" s="105"/>
      <c r="L60" s="105" t="str">
        <f>IF(F60=True, IFERROR(VLOOKUP(D60, Repository!A:E, 5, 0), ""), "")</f>
        <v/>
      </c>
      <c r="M60" s="105"/>
      <c r="N60" s="105" t="str">
        <f>IF(F60=True, IFERROR(VLOOKUP(D60, Repository!A:G, 7, 0), ""), "")</f>
        <v/>
      </c>
      <c r="O60" s="105" t="str">
        <f>IFERROR(__xludf.DUMMYFUNCTION("ARRAY_CONSTRAIN(
  ARRAYFORMULA(
    IFERROR(
      LET(
        list, N60,
        arr, TRIM(SPLIT(list, "","")),
        names, XLOOKUP(
          arr,
          'Conformance Score'!A:A,
          'Conformance Score'!B:B,
          ""Not found""
       "&amp;" ),
        TEXTJOIN("", "", TRUE, names)
      ),
      """"
    )
  ),
  1,
  1
)
"),"")</f>
        <v/>
      </c>
      <c r="P60" s="105" t="str">
        <f>IF(F60="Yes", IFERROR(VLOOKUP(D60, Repository!A:F, 6, 0), ""), "")</f>
        <v/>
      </c>
      <c r="Q60" s="105" t="str">
        <f>IF(F60="Yes", IFERROR(VLOOKUP(D60, Repository!A:I, 8, 0), ""), "")</f>
        <v/>
      </c>
      <c r="R60" s="105" t="str">
        <f>IF(F60="Yes", IFERROR(VLOOKUP(D60, Repository!A:J, 9, 0), ""), "")</f>
        <v/>
      </c>
      <c r="S60" s="105"/>
      <c r="T60" s="105"/>
      <c r="U60" s="105"/>
      <c r="V60" s="105"/>
      <c r="W60" s="105"/>
      <c r="X60" s="105"/>
      <c r="Y60" s="105"/>
      <c r="Z60" s="105"/>
      <c r="AA60" s="105"/>
      <c r="AB60" s="105"/>
      <c r="AC60" s="91"/>
      <c r="AD60" s="105"/>
      <c r="AE60" s="105"/>
      <c r="AF60" s="91"/>
      <c r="AG60" s="105"/>
      <c r="AH60" s="105"/>
      <c r="AI60" s="105" t="str">
        <f t="shared" si="1"/>
        <v/>
      </c>
      <c r="AJ60" s="108" t="str">
        <f t="shared" si="2"/>
        <v/>
      </c>
    </row>
    <row r="61" ht="15.75" customHeight="1">
      <c r="A61" s="104"/>
      <c r="B61" s="105" t="str">
        <f>IFERROR(__xludf.DUMMYFUNCTION("ARRAY_CONSTRAIN(
  ARRAYFORMULA(
    IF(
      'Final Report'!A61="""",
      """",
      TEXTJOIN(
        "", "" &amp; CHAR(10),
        TRUE,
        IFERROR(
          VLOOKUP(
            TRIM(
              SPLIT('Final Report'!A61, "","")
            )"&amp;",
            'URL Details'!A:B,
            2,
            FALSE
          ),
          """"
        )
      )
    )
  ),
  1,
  1
)
"),"")</f>
        <v/>
      </c>
      <c r="C61" s="105" t="str">
        <f>IFERROR(__xludf.DUMMYFUNCTION("IFERROR(IF('Final Report'!A61="""","""", TEXTJOIN(CHAR(10), TRUE, ARRAYFORMULA( ""• ""&amp; FILTER( TRIM(FLATTEN(SPLIT( REGEXREPLACE( SUBSTITUTE(TEXTJOIN("","", TRUE, IFERROR(ARRAYFORMULA(VLOOKUP(TRIM(SPLIT('Final Report'!A61, "","")), 'URL Details'!A:D, 4, F"&amp;"ALSE)),"""") ), CHAR(10), "",""), ""\s*,\s*"", "",""), "",""))), TRIM(FLATTEN(SPLIT( REGEXREPLACE( SUBSTITUTE(TEXTJOIN("","", TRUE, IFERROR(ARRAYFORMULA(VLOOKUP(TRIM(SPLIT('Final Report'!A61, "","")), 'URL Details'!A:D, 4, FALSE)),"""") ), CHAR(10), "","""&amp;"), ""\s*,\s*"", "",""), "","")))&lt;&gt;"""" ) ) ) ),"""")
"),"")</f>
        <v/>
      </c>
      <c r="D61" s="105"/>
      <c r="E61" s="105"/>
      <c r="F61" s="110" t="b">
        <v>0</v>
      </c>
      <c r="G61" s="105" t="str">
        <f>IF(F61=True, IFERROR(VLOOKUP(D61, Repository!A:B, 2, 0), ""), "")</f>
        <v/>
      </c>
      <c r="H61" s="105"/>
      <c r="I61" s="105"/>
      <c r="J61" s="105" t="str">
        <f>IF(F61=True, IFERROR(VLOOKUP(D61, Repository!A:C, 3, 0), ""), "")</f>
        <v/>
      </c>
      <c r="K61" s="105"/>
      <c r="L61" s="105" t="str">
        <f>IF(F61=True, IFERROR(VLOOKUP(D61, Repository!A:E, 5, 0), ""), "")</f>
        <v/>
      </c>
      <c r="M61" s="105"/>
      <c r="N61" s="105" t="str">
        <f>IF(F61=True, IFERROR(VLOOKUP(D61, Repository!A:G, 7, 0), ""), "")</f>
        <v/>
      </c>
      <c r="O61" s="105" t="str">
        <f>IFERROR(__xludf.DUMMYFUNCTION("ARRAY_CONSTRAIN(
  ARRAYFORMULA(
    IFERROR(
      LET(
        list, N61,
        arr, TRIM(SPLIT(list, "","")),
        names, XLOOKUP(
          arr,
          'Conformance Score'!A:A,
          'Conformance Score'!B:B,
          ""Not found""
       "&amp;" ),
        TEXTJOIN("", "", TRUE, names)
      ),
      """"
    )
  ),
  1,
  1
)
"),"")</f>
        <v/>
      </c>
      <c r="P61" s="105" t="str">
        <f>IF(F61="Yes", IFERROR(VLOOKUP(D61, Repository!A:F, 6, 0), ""), "")</f>
        <v/>
      </c>
      <c r="Q61" s="105" t="str">
        <f>IF(F61="Yes", IFERROR(VLOOKUP(D61, Repository!A:I, 8, 0), ""), "")</f>
        <v/>
      </c>
      <c r="R61" s="105" t="str">
        <f>IF(F61="Yes", IFERROR(VLOOKUP(D61, Repository!A:J, 9, 0), ""), "")</f>
        <v/>
      </c>
      <c r="S61" s="105"/>
      <c r="T61" s="105"/>
      <c r="U61" s="105"/>
      <c r="V61" s="105"/>
      <c r="W61" s="105"/>
      <c r="X61" s="105"/>
      <c r="Y61" s="105"/>
      <c r="Z61" s="105"/>
      <c r="AA61" s="105"/>
      <c r="AB61" s="105"/>
      <c r="AC61" s="91"/>
      <c r="AD61" s="105"/>
      <c r="AE61" s="105"/>
      <c r="AF61" s="91"/>
      <c r="AG61" s="105"/>
      <c r="AH61" s="105"/>
      <c r="AI61" s="105" t="str">
        <f t="shared" si="1"/>
        <v/>
      </c>
      <c r="AJ61" s="108" t="str">
        <f t="shared" si="2"/>
        <v/>
      </c>
    </row>
    <row r="62" ht="15.75" customHeight="1">
      <c r="A62" s="104"/>
      <c r="B62" s="105" t="str">
        <f>IFERROR(__xludf.DUMMYFUNCTION("ARRAY_CONSTRAIN(
  ARRAYFORMULA(
    IF(
      'Final Report'!A62="""",
      """",
      TEXTJOIN(
        "", "" &amp; CHAR(10),
        TRUE,
        IFERROR(
          VLOOKUP(
            TRIM(
              SPLIT('Final Report'!A62, "","")
            )"&amp;",
            'URL Details'!A:B,
            2,
            FALSE
          ),
          """"
        )
      )
    )
  ),
  1,
  1
)
"),"")</f>
        <v/>
      </c>
      <c r="C62" s="105" t="str">
        <f>IFERROR(__xludf.DUMMYFUNCTION("IFERROR(IF('Final Report'!A62="""","""", TEXTJOIN(CHAR(10), TRUE, ARRAYFORMULA( ""• ""&amp; FILTER( TRIM(FLATTEN(SPLIT( REGEXREPLACE( SUBSTITUTE(TEXTJOIN("","", TRUE, IFERROR(ARRAYFORMULA(VLOOKUP(TRIM(SPLIT('Final Report'!A62, "","")), 'URL Details'!A:D, 4, F"&amp;"ALSE)),"""") ), CHAR(10), "",""), ""\s*,\s*"", "",""), "",""))), TRIM(FLATTEN(SPLIT( REGEXREPLACE( SUBSTITUTE(TEXTJOIN("","", TRUE, IFERROR(ARRAYFORMULA(VLOOKUP(TRIM(SPLIT('Final Report'!A62, "","")), 'URL Details'!A:D, 4, FALSE)),"""") ), CHAR(10), "","""&amp;"), ""\s*,\s*"", "",""), "","")))&lt;&gt;"""" ) ) ) ),"""")
"),"")</f>
        <v/>
      </c>
      <c r="D62" s="105"/>
      <c r="E62" s="105"/>
      <c r="F62" s="110" t="b">
        <v>0</v>
      </c>
      <c r="G62" s="105" t="str">
        <f>IF(F62=True, IFERROR(VLOOKUP(D62, Repository!A:B, 2, 0), ""), "")</f>
        <v/>
      </c>
      <c r="H62" s="105"/>
      <c r="I62" s="105"/>
      <c r="J62" s="105" t="str">
        <f>IF(F62=True, IFERROR(VLOOKUP(D62, Repository!A:C, 3, 0), ""), "")</f>
        <v/>
      </c>
      <c r="K62" s="105"/>
      <c r="L62" s="105" t="str">
        <f>IF(F62=True, IFERROR(VLOOKUP(D62, Repository!A:E, 5, 0), ""), "")</f>
        <v/>
      </c>
      <c r="M62" s="105"/>
      <c r="N62" s="105" t="str">
        <f>IF(F62=True, IFERROR(VLOOKUP(D62, Repository!A:G, 7, 0), ""), "")</f>
        <v/>
      </c>
      <c r="O62" s="105" t="str">
        <f>IFERROR(__xludf.DUMMYFUNCTION("ARRAY_CONSTRAIN(
  ARRAYFORMULA(
    IFERROR(
      LET(
        list, N62,
        arr, TRIM(SPLIT(list, "","")),
        names, XLOOKUP(
          arr,
          'Conformance Score'!A:A,
          'Conformance Score'!B:B,
          ""Not found""
       "&amp;" ),
        TEXTJOIN("", "", TRUE, names)
      ),
      """"
    )
  ),
  1,
  1
)
"),"")</f>
        <v/>
      </c>
      <c r="P62" s="105" t="str">
        <f>IF(F62="Yes", IFERROR(VLOOKUP(D62, Repository!A:F, 6, 0), ""), "")</f>
        <v/>
      </c>
      <c r="Q62" s="105" t="str">
        <f>IF(F62="Yes", IFERROR(VLOOKUP(D62, Repository!A:I, 8, 0), ""), "")</f>
        <v/>
      </c>
      <c r="R62" s="105" t="str">
        <f>IF(F62="Yes", IFERROR(VLOOKUP(D62, Repository!A:J, 9, 0), ""), "")</f>
        <v/>
      </c>
      <c r="S62" s="105"/>
      <c r="T62" s="105"/>
      <c r="U62" s="105"/>
      <c r="V62" s="105"/>
      <c r="W62" s="105"/>
      <c r="X62" s="105"/>
      <c r="Y62" s="105"/>
      <c r="Z62" s="105"/>
      <c r="AA62" s="105"/>
      <c r="AB62" s="105"/>
      <c r="AC62" s="91"/>
      <c r="AD62" s="105"/>
      <c r="AE62" s="105"/>
      <c r="AF62" s="91"/>
      <c r="AG62" s="105"/>
      <c r="AH62" s="105"/>
      <c r="AI62" s="105" t="str">
        <f t="shared" si="1"/>
        <v/>
      </c>
      <c r="AJ62" s="108" t="str">
        <f t="shared" si="2"/>
        <v/>
      </c>
    </row>
    <row r="63" ht="15.75" customHeight="1">
      <c r="A63" s="104"/>
      <c r="B63" s="105" t="str">
        <f>IFERROR(__xludf.DUMMYFUNCTION("ARRAY_CONSTRAIN(
  ARRAYFORMULA(
    IF(
      'Final Report'!A63="""",
      """",
      TEXTJOIN(
        "", "" &amp; CHAR(10),
        TRUE,
        IFERROR(
          VLOOKUP(
            TRIM(
              SPLIT('Final Report'!A63, "","")
            )"&amp;",
            'URL Details'!A:B,
            2,
            FALSE
          ),
          """"
        )
      )
    )
  ),
  1,
  1
)
"),"")</f>
        <v/>
      </c>
      <c r="C63" s="105" t="str">
        <f>IFERROR(__xludf.DUMMYFUNCTION("IFERROR(IF('Final Report'!A63="""","""", TEXTJOIN(CHAR(10), TRUE, ARRAYFORMULA( ""• ""&amp; FILTER( TRIM(FLATTEN(SPLIT( REGEXREPLACE( SUBSTITUTE(TEXTJOIN("","", TRUE, IFERROR(ARRAYFORMULA(VLOOKUP(TRIM(SPLIT('Final Report'!A63, "","")), 'URL Details'!A:D, 4, F"&amp;"ALSE)),"""") ), CHAR(10), "",""), ""\s*,\s*"", "",""), "",""))), TRIM(FLATTEN(SPLIT( REGEXREPLACE( SUBSTITUTE(TEXTJOIN("","", TRUE, IFERROR(ARRAYFORMULA(VLOOKUP(TRIM(SPLIT('Final Report'!A63, "","")), 'URL Details'!A:D, 4, FALSE)),"""") ), CHAR(10), "","""&amp;"), ""\s*,\s*"", "",""), "","")))&lt;&gt;"""" ) ) ) ),"""")
"),"")</f>
        <v/>
      </c>
      <c r="D63" s="105"/>
      <c r="E63" s="105"/>
      <c r="F63" s="110" t="b">
        <v>0</v>
      </c>
      <c r="G63" s="105" t="str">
        <f>IF(F63=True, IFERROR(VLOOKUP(D63, Repository!A:B, 2, 0), ""), "")</f>
        <v/>
      </c>
      <c r="H63" s="105"/>
      <c r="I63" s="105"/>
      <c r="J63" s="105" t="str">
        <f>IF(F63=True, IFERROR(VLOOKUP(D63, Repository!A:C, 3, 0), ""), "")</f>
        <v/>
      </c>
      <c r="K63" s="105"/>
      <c r="L63" s="105" t="str">
        <f>IF(F63=True, IFERROR(VLOOKUP(D63, Repository!A:E, 5, 0), ""), "")</f>
        <v/>
      </c>
      <c r="M63" s="105"/>
      <c r="N63" s="105" t="str">
        <f>IF(F63=True, IFERROR(VLOOKUP(D63, Repository!A:G, 7, 0), ""), "")</f>
        <v/>
      </c>
      <c r="O63" s="105" t="str">
        <f>IFERROR(__xludf.DUMMYFUNCTION("ARRAY_CONSTRAIN(
  ARRAYFORMULA(
    IFERROR(
      LET(
        list, N63,
        arr, TRIM(SPLIT(list, "","")),
        names, XLOOKUP(
          arr,
          'Conformance Score'!A:A,
          'Conformance Score'!B:B,
          ""Not found""
       "&amp;" ),
        TEXTJOIN("", "", TRUE, names)
      ),
      """"
    )
  ),
  1,
  1
)
"),"")</f>
        <v/>
      </c>
      <c r="P63" s="105" t="str">
        <f>IF(F63="Yes", IFERROR(VLOOKUP(D63, Repository!A:F, 6, 0), ""), "")</f>
        <v/>
      </c>
      <c r="Q63" s="105" t="str">
        <f>IF(F63="Yes", IFERROR(VLOOKUP(D63, Repository!A:I, 8, 0), ""), "")</f>
        <v/>
      </c>
      <c r="R63" s="105" t="str">
        <f>IF(F63="Yes", IFERROR(VLOOKUP(D63, Repository!A:J, 9, 0), ""), "")</f>
        <v/>
      </c>
      <c r="S63" s="105"/>
      <c r="T63" s="105"/>
      <c r="U63" s="105"/>
      <c r="V63" s="105"/>
      <c r="W63" s="105"/>
      <c r="X63" s="105"/>
      <c r="Y63" s="105"/>
      <c r="Z63" s="105"/>
      <c r="AA63" s="105"/>
      <c r="AB63" s="105"/>
      <c r="AC63" s="91"/>
      <c r="AD63" s="105"/>
      <c r="AE63" s="105"/>
      <c r="AF63" s="91"/>
      <c r="AG63" s="105"/>
      <c r="AH63" s="105"/>
      <c r="AI63" s="105" t="str">
        <f t="shared" si="1"/>
        <v/>
      </c>
      <c r="AJ63" s="108" t="str">
        <f t="shared" si="2"/>
        <v/>
      </c>
    </row>
    <row r="64" ht="15.75" customHeight="1">
      <c r="A64" s="104"/>
      <c r="B64" s="105" t="str">
        <f>IFERROR(__xludf.DUMMYFUNCTION("ARRAY_CONSTRAIN(
  ARRAYFORMULA(
    IF(
      'Final Report'!A64="""",
      """",
      TEXTJOIN(
        "", "" &amp; CHAR(10),
        TRUE,
        IFERROR(
          VLOOKUP(
            TRIM(
              SPLIT('Final Report'!A64, "","")
            )"&amp;",
            'URL Details'!A:B,
            2,
            FALSE
          ),
          """"
        )
      )
    )
  ),
  1,
  1
)
"),"")</f>
        <v/>
      </c>
      <c r="C64" s="105" t="str">
        <f>IFERROR(__xludf.DUMMYFUNCTION("IFERROR(IF('Final Report'!A64="""","""", TEXTJOIN(CHAR(10), TRUE, ARRAYFORMULA( ""• ""&amp; FILTER( TRIM(FLATTEN(SPLIT( REGEXREPLACE( SUBSTITUTE(TEXTJOIN("","", TRUE, IFERROR(ARRAYFORMULA(VLOOKUP(TRIM(SPLIT('Final Report'!A64, "","")), 'URL Details'!A:D, 4, F"&amp;"ALSE)),"""") ), CHAR(10), "",""), ""\s*,\s*"", "",""), "",""))), TRIM(FLATTEN(SPLIT( REGEXREPLACE( SUBSTITUTE(TEXTJOIN("","", TRUE, IFERROR(ARRAYFORMULA(VLOOKUP(TRIM(SPLIT('Final Report'!A64, "","")), 'URL Details'!A:D, 4, FALSE)),"""") ), CHAR(10), "","""&amp;"), ""\s*,\s*"", "",""), "","")))&lt;&gt;"""" ) ) ) ),"""")
"),"")</f>
        <v/>
      </c>
      <c r="D64" s="105"/>
      <c r="E64" s="105"/>
      <c r="F64" s="110" t="b">
        <v>0</v>
      </c>
      <c r="G64" s="105" t="str">
        <f>IF(F64=True, IFERROR(VLOOKUP(D64, Repository!A:B, 2, 0), ""), "")</f>
        <v/>
      </c>
      <c r="H64" s="105"/>
      <c r="I64" s="105"/>
      <c r="J64" s="105" t="str">
        <f>IF(F64=True, IFERROR(VLOOKUP(D64, Repository!A:C, 3, 0), ""), "")</f>
        <v/>
      </c>
      <c r="K64" s="105"/>
      <c r="L64" s="105" t="str">
        <f>IF(F64=True, IFERROR(VLOOKUP(D64, Repository!A:E, 5, 0), ""), "")</f>
        <v/>
      </c>
      <c r="M64" s="105"/>
      <c r="N64" s="105" t="str">
        <f>IF(F64=True, IFERROR(VLOOKUP(D64, Repository!A:G, 7, 0), ""), "")</f>
        <v/>
      </c>
      <c r="O64" s="105" t="str">
        <f>IFERROR(__xludf.DUMMYFUNCTION("ARRAY_CONSTRAIN(
  ARRAYFORMULA(
    IFERROR(
      LET(
        list, N64,
        arr, TRIM(SPLIT(list, "","")),
        names, XLOOKUP(
          arr,
          'Conformance Score'!A:A,
          'Conformance Score'!B:B,
          ""Not found""
       "&amp;" ),
        TEXTJOIN("", "", TRUE, names)
      ),
      """"
    )
  ),
  1,
  1
)
"),"")</f>
        <v/>
      </c>
      <c r="P64" s="105" t="str">
        <f>IF(F64="Yes", IFERROR(VLOOKUP(D64, Repository!A:F, 6, 0), ""), "")</f>
        <v/>
      </c>
      <c r="Q64" s="105" t="str">
        <f>IF(F64="Yes", IFERROR(VLOOKUP(D64, Repository!A:I, 8, 0), ""), "")</f>
        <v/>
      </c>
      <c r="R64" s="105" t="str">
        <f>IF(F64="Yes", IFERROR(VLOOKUP(D64, Repository!A:J, 9, 0), ""), "")</f>
        <v/>
      </c>
      <c r="S64" s="105"/>
      <c r="T64" s="105"/>
      <c r="U64" s="105"/>
      <c r="V64" s="105"/>
      <c r="W64" s="105"/>
      <c r="X64" s="105"/>
      <c r="Y64" s="105"/>
      <c r="Z64" s="105"/>
      <c r="AA64" s="105"/>
      <c r="AB64" s="105"/>
      <c r="AC64" s="91"/>
      <c r="AD64" s="105"/>
      <c r="AE64" s="105"/>
      <c r="AF64" s="91"/>
      <c r="AG64" s="105"/>
      <c r="AH64" s="105"/>
      <c r="AI64" s="105" t="str">
        <f t="shared" si="1"/>
        <v/>
      </c>
      <c r="AJ64" s="108" t="str">
        <f t="shared" si="2"/>
        <v/>
      </c>
    </row>
    <row r="65" ht="15.75" customHeight="1">
      <c r="A65" s="104"/>
      <c r="B65" s="105" t="str">
        <f>IFERROR(__xludf.DUMMYFUNCTION("ARRAY_CONSTRAIN(
  ARRAYFORMULA(
    IF(
      'Final Report'!A65="""",
      """",
      TEXTJOIN(
        "", "" &amp; CHAR(10),
        TRUE,
        IFERROR(
          VLOOKUP(
            TRIM(
              SPLIT('Final Report'!A65, "","")
            )"&amp;",
            'URL Details'!A:B,
            2,
            FALSE
          ),
          """"
        )
      )
    )
  ),
  1,
  1
)
"),"")</f>
        <v/>
      </c>
      <c r="C65" s="105" t="str">
        <f>IFERROR(__xludf.DUMMYFUNCTION("IFERROR(IF('Final Report'!A65="""","""", TEXTJOIN(CHAR(10), TRUE, ARRAYFORMULA( ""• ""&amp; FILTER( TRIM(FLATTEN(SPLIT( REGEXREPLACE( SUBSTITUTE(TEXTJOIN("","", TRUE, IFERROR(ARRAYFORMULA(VLOOKUP(TRIM(SPLIT('Final Report'!A65, "","")), 'URL Details'!A:D, 4, F"&amp;"ALSE)),"""") ), CHAR(10), "",""), ""\s*,\s*"", "",""), "",""))), TRIM(FLATTEN(SPLIT( REGEXREPLACE( SUBSTITUTE(TEXTJOIN("","", TRUE, IFERROR(ARRAYFORMULA(VLOOKUP(TRIM(SPLIT('Final Report'!A65, "","")), 'URL Details'!A:D, 4, FALSE)),"""") ), CHAR(10), "","""&amp;"), ""\s*,\s*"", "",""), "","")))&lt;&gt;"""" ) ) ) ),"""")
"),"")</f>
        <v/>
      </c>
      <c r="D65" s="105"/>
      <c r="E65" s="105"/>
      <c r="F65" s="110" t="b">
        <v>0</v>
      </c>
      <c r="G65" s="105" t="str">
        <f>IF(F65=True, IFERROR(VLOOKUP(D65, Repository!A:B, 2, 0), ""), "")</f>
        <v/>
      </c>
      <c r="H65" s="105"/>
      <c r="I65" s="105"/>
      <c r="J65" s="105" t="str">
        <f>IF(F65=True, IFERROR(VLOOKUP(D65, Repository!A:C, 3, 0), ""), "")</f>
        <v/>
      </c>
      <c r="K65" s="105"/>
      <c r="L65" s="105" t="str">
        <f>IF(F65=True, IFERROR(VLOOKUP(D65, Repository!A:E, 5, 0), ""), "")</f>
        <v/>
      </c>
      <c r="M65" s="105"/>
      <c r="N65" s="105" t="str">
        <f>IF(F65=True, IFERROR(VLOOKUP(D65, Repository!A:G, 7, 0), ""), "")</f>
        <v/>
      </c>
      <c r="O65" s="105" t="str">
        <f>IFERROR(__xludf.DUMMYFUNCTION("ARRAY_CONSTRAIN(
  ARRAYFORMULA(
    IFERROR(
      LET(
        list, N65,
        arr, TRIM(SPLIT(list, "","")),
        names, XLOOKUP(
          arr,
          'Conformance Score'!A:A,
          'Conformance Score'!B:B,
          ""Not found""
       "&amp;" ),
        TEXTJOIN("", "", TRUE, names)
      ),
      """"
    )
  ),
  1,
  1
)
"),"")</f>
        <v/>
      </c>
      <c r="P65" s="105" t="str">
        <f>IF(F65="Yes", IFERROR(VLOOKUP(D65, Repository!A:F, 6, 0), ""), "")</f>
        <v/>
      </c>
      <c r="Q65" s="105" t="str">
        <f>IF(F65="Yes", IFERROR(VLOOKUP(D65, Repository!A:I, 8, 0), ""), "")</f>
        <v/>
      </c>
      <c r="R65" s="105" t="str">
        <f>IF(F65="Yes", IFERROR(VLOOKUP(D65, Repository!A:J, 9, 0), ""), "")</f>
        <v/>
      </c>
      <c r="S65" s="105"/>
      <c r="T65" s="105"/>
      <c r="U65" s="105"/>
      <c r="V65" s="105"/>
      <c r="W65" s="105"/>
      <c r="X65" s="105"/>
      <c r="Y65" s="105"/>
      <c r="Z65" s="105"/>
      <c r="AA65" s="105"/>
      <c r="AB65" s="105"/>
      <c r="AC65" s="91"/>
      <c r="AD65" s="105"/>
      <c r="AE65" s="105"/>
      <c r="AF65" s="91"/>
      <c r="AG65" s="105"/>
      <c r="AH65" s="105"/>
      <c r="AI65" s="105" t="str">
        <f t="shared" si="1"/>
        <v/>
      </c>
      <c r="AJ65" s="108" t="str">
        <f t="shared" si="2"/>
        <v/>
      </c>
    </row>
    <row r="66" ht="15.75" customHeight="1">
      <c r="A66" s="104"/>
      <c r="B66" s="105" t="str">
        <f>IFERROR(__xludf.DUMMYFUNCTION("ARRAY_CONSTRAIN(
  ARRAYFORMULA(
    IF(
      'Final Report'!A66="""",
      """",
      TEXTJOIN(
        "", "" &amp; CHAR(10),
        TRUE,
        IFERROR(
          VLOOKUP(
            TRIM(
              SPLIT('Final Report'!A66, "","")
            )"&amp;",
            'URL Details'!A:B,
            2,
            FALSE
          ),
          """"
        )
      )
    )
  ),
  1,
  1
)
"),"")</f>
        <v/>
      </c>
      <c r="C66" s="105" t="str">
        <f>IFERROR(__xludf.DUMMYFUNCTION("IFERROR(IF('Final Report'!A66="""","""", TEXTJOIN(CHAR(10), TRUE, ARRAYFORMULA( ""• ""&amp; FILTER( TRIM(FLATTEN(SPLIT( REGEXREPLACE( SUBSTITUTE(TEXTJOIN("","", TRUE, IFERROR(ARRAYFORMULA(VLOOKUP(TRIM(SPLIT('Final Report'!A66, "","")), 'URL Details'!A:D, 4, F"&amp;"ALSE)),"""") ), CHAR(10), "",""), ""\s*,\s*"", "",""), "",""))), TRIM(FLATTEN(SPLIT( REGEXREPLACE( SUBSTITUTE(TEXTJOIN("","", TRUE, IFERROR(ARRAYFORMULA(VLOOKUP(TRIM(SPLIT('Final Report'!A66, "","")), 'URL Details'!A:D, 4, FALSE)),"""") ), CHAR(10), "","""&amp;"), ""\s*,\s*"", "",""), "","")))&lt;&gt;"""" ) ) ) ),"""")
"),"")</f>
        <v/>
      </c>
      <c r="D66" s="105"/>
      <c r="E66" s="105"/>
      <c r="F66" s="110" t="b">
        <v>0</v>
      </c>
      <c r="G66" s="105" t="str">
        <f>IF(F66=True, IFERROR(VLOOKUP(D66, Repository!A:B, 2, 0), ""), "")</f>
        <v/>
      </c>
      <c r="H66" s="105"/>
      <c r="I66" s="105"/>
      <c r="J66" s="105" t="str">
        <f>IF(F66=True, IFERROR(VLOOKUP(D66, Repository!A:C, 3, 0), ""), "")</f>
        <v/>
      </c>
      <c r="K66" s="105"/>
      <c r="L66" s="105" t="str">
        <f>IF(F66=True, IFERROR(VLOOKUP(D66, Repository!A:E, 5, 0), ""), "")</f>
        <v/>
      </c>
      <c r="M66" s="105"/>
      <c r="N66" s="105" t="str">
        <f>IF(F66=True, IFERROR(VLOOKUP(D66, Repository!A:G, 7, 0), ""), "")</f>
        <v/>
      </c>
      <c r="O66" s="105" t="str">
        <f>IFERROR(__xludf.DUMMYFUNCTION("ARRAY_CONSTRAIN(
  ARRAYFORMULA(
    IFERROR(
      LET(
        list, N66,
        arr, TRIM(SPLIT(list, "","")),
        names, XLOOKUP(
          arr,
          'Conformance Score'!A:A,
          'Conformance Score'!B:B,
          ""Not found""
       "&amp;" ),
        TEXTJOIN("", "", TRUE, names)
      ),
      """"
    )
  ),
  1,
  1
)
"),"")</f>
        <v/>
      </c>
      <c r="P66" s="105" t="str">
        <f>IF(F66="Yes", IFERROR(VLOOKUP(D66, Repository!A:F, 6, 0), ""), "")</f>
        <v/>
      </c>
      <c r="Q66" s="105" t="str">
        <f>IF(F66="Yes", IFERROR(VLOOKUP(D66, Repository!A:I, 8, 0), ""), "")</f>
        <v/>
      </c>
      <c r="R66" s="105" t="str">
        <f>IF(F66="Yes", IFERROR(VLOOKUP(D66, Repository!A:J, 9, 0), ""), "")</f>
        <v/>
      </c>
      <c r="S66" s="105"/>
      <c r="T66" s="105"/>
      <c r="U66" s="105"/>
      <c r="V66" s="105"/>
      <c r="W66" s="105"/>
      <c r="X66" s="105"/>
      <c r="Y66" s="105"/>
      <c r="Z66" s="105"/>
      <c r="AA66" s="105"/>
      <c r="AB66" s="105"/>
      <c r="AC66" s="91"/>
      <c r="AD66" s="105"/>
      <c r="AE66" s="105"/>
      <c r="AF66" s="91"/>
      <c r="AG66" s="105"/>
      <c r="AH66" s="105"/>
      <c r="AI66" s="105" t="str">
        <f t="shared" si="1"/>
        <v/>
      </c>
      <c r="AJ66" s="108" t="str">
        <f t="shared" si="2"/>
        <v/>
      </c>
    </row>
    <row r="67" ht="15.75" customHeight="1">
      <c r="A67" s="104"/>
      <c r="B67" s="105" t="str">
        <f>IFERROR(__xludf.DUMMYFUNCTION("ARRAY_CONSTRAIN(
  ARRAYFORMULA(
    IF(
      'Final Report'!A67="""",
      """",
      TEXTJOIN(
        "", "" &amp; CHAR(10),
        TRUE,
        IFERROR(
          VLOOKUP(
            TRIM(
              SPLIT('Final Report'!A67, "","")
            )"&amp;",
            'URL Details'!A:B,
            2,
            FALSE
          ),
          """"
        )
      )
    )
  ),
  1,
  1
)
"),"")</f>
        <v/>
      </c>
      <c r="C67" s="105" t="str">
        <f>IFERROR(__xludf.DUMMYFUNCTION("IFERROR(IF('Final Report'!A67="""","""", TEXTJOIN(CHAR(10), TRUE, ARRAYFORMULA( ""• ""&amp; FILTER( TRIM(FLATTEN(SPLIT( REGEXREPLACE( SUBSTITUTE(TEXTJOIN("","", TRUE, IFERROR(ARRAYFORMULA(VLOOKUP(TRIM(SPLIT('Final Report'!A67, "","")), 'URL Details'!A:D, 4, F"&amp;"ALSE)),"""") ), CHAR(10), "",""), ""\s*,\s*"", "",""), "",""))), TRIM(FLATTEN(SPLIT( REGEXREPLACE( SUBSTITUTE(TEXTJOIN("","", TRUE, IFERROR(ARRAYFORMULA(VLOOKUP(TRIM(SPLIT('Final Report'!A67, "","")), 'URL Details'!A:D, 4, FALSE)),"""") ), CHAR(10), "","""&amp;"), ""\s*,\s*"", "",""), "","")))&lt;&gt;"""" ) ) ) ),"""")
"),"")</f>
        <v/>
      </c>
      <c r="D67" s="105"/>
      <c r="E67" s="105"/>
      <c r="F67" s="110" t="b">
        <v>0</v>
      </c>
      <c r="G67" s="105" t="str">
        <f>IF(F67=True, IFERROR(VLOOKUP(D67, Repository!A:B, 2, 0), ""), "")</f>
        <v/>
      </c>
      <c r="H67" s="105"/>
      <c r="I67" s="105"/>
      <c r="J67" s="105" t="str">
        <f>IF(F67=True, IFERROR(VLOOKUP(D67, Repository!A:C, 3, 0), ""), "")</f>
        <v/>
      </c>
      <c r="K67" s="105"/>
      <c r="L67" s="105" t="str">
        <f>IF(F67=True, IFERROR(VLOOKUP(D67, Repository!A:E, 5, 0), ""), "")</f>
        <v/>
      </c>
      <c r="M67" s="105"/>
      <c r="N67" s="105" t="str">
        <f>IF(F67=True, IFERROR(VLOOKUP(D67, Repository!A:G, 7, 0), ""), "")</f>
        <v/>
      </c>
      <c r="O67" s="105" t="str">
        <f>IFERROR(__xludf.DUMMYFUNCTION("ARRAY_CONSTRAIN(
  ARRAYFORMULA(
    IFERROR(
      LET(
        list, N67,
        arr, TRIM(SPLIT(list, "","")),
        names, XLOOKUP(
          arr,
          'Conformance Score'!A:A,
          'Conformance Score'!B:B,
          ""Not found""
       "&amp;" ),
        TEXTJOIN("", "", TRUE, names)
      ),
      """"
    )
  ),
  1,
  1
)
"),"")</f>
        <v/>
      </c>
      <c r="P67" s="105" t="str">
        <f>IF(F67="Yes", IFERROR(VLOOKUP(D67, Repository!A:F, 6, 0), ""), "")</f>
        <v/>
      </c>
      <c r="Q67" s="105" t="str">
        <f>IF(F67="Yes", IFERROR(VLOOKUP(D67, Repository!A:I, 8, 0), ""), "")</f>
        <v/>
      </c>
      <c r="R67" s="105" t="str">
        <f>IF(F67="Yes", IFERROR(VLOOKUP(D67, Repository!A:J, 9, 0), ""), "")</f>
        <v/>
      </c>
      <c r="S67" s="105"/>
      <c r="T67" s="105"/>
      <c r="U67" s="105"/>
      <c r="V67" s="105"/>
      <c r="W67" s="105"/>
      <c r="X67" s="105"/>
      <c r="Y67" s="105"/>
      <c r="Z67" s="105"/>
      <c r="AA67" s="105"/>
      <c r="AB67" s="105"/>
      <c r="AC67" s="91"/>
      <c r="AD67" s="105"/>
      <c r="AE67" s="105"/>
      <c r="AF67" s="91"/>
      <c r="AG67" s="105"/>
      <c r="AH67" s="105"/>
      <c r="AI67" s="105" t="str">
        <f t="shared" si="1"/>
        <v/>
      </c>
      <c r="AJ67" s="108" t="str">
        <f t="shared" si="2"/>
        <v/>
      </c>
    </row>
    <row r="68" ht="15.75" customHeight="1">
      <c r="A68" s="104"/>
      <c r="B68" s="105" t="str">
        <f>IFERROR(__xludf.DUMMYFUNCTION("ARRAY_CONSTRAIN(
  ARRAYFORMULA(
    IF(
      'Final Report'!A68="""",
      """",
      TEXTJOIN(
        "", "" &amp; CHAR(10),
        TRUE,
        IFERROR(
          VLOOKUP(
            TRIM(
              SPLIT('Final Report'!A68, "","")
            )"&amp;",
            'URL Details'!A:B,
            2,
            FALSE
          ),
          """"
        )
      )
    )
  ),
  1,
  1
)
"),"")</f>
        <v/>
      </c>
      <c r="C68" s="105" t="str">
        <f>IFERROR(__xludf.DUMMYFUNCTION("IFERROR(IF('Final Report'!A68="""","""", TEXTJOIN(CHAR(10), TRUE, ARRAYFORMULA( ""• ""&amp; FILTER( TRIM(FLATTEN(SPLIT( REGEXREPLACE( SUBSTITUTE(TEXTJOIN("","", TRUE, IFERROR(ARRAYFORMULA(VLOOKUP(TRIM(SPLIT('Final Report'!A68, "","")), 'URL Details'!A:D, 4, F"&amp;"ALSE)),"""") ), CHAR(10), "",""), ""\s*,\s*"", "",""), "",""))), TRIM(FLATTEN(SPLIT( REGEXREPLACE( SUBSTITUTE(TEXTJOIN("","", TRUE, IFERROR(ARRAYFORMULA(VLOOKUP(TRIM(SPLIT('Final Report'!A68, "","")), 'URL Details'!A:D, 4, FALSE)),"""") ), CHAR(10), "","""&amp;"), ""\s*,\s*"", "",""), "","")))&lt;&gt;"""" ) ) ) ),"""")
"),"")</f>
        <v/>
      </c>
      <c r="D68" s="105"/>
      <c r="E68" s="105"/>
      <c r="F68" s="110" t="b">
        <v>0</v>
      </c>
      <c r="G68" s="105" t="str">
        <f>IF(F68=True, IFERROR(VLOOKUP(D68, Repository!A:B, 2, 0), ""), "")</f>
        <v/>
      </c>
      <c r="H68" s="105"/>
      <c r="I68" s="105"/>
      <c r="J68" s="105" t="str">
        <f>IF(F68=True, IFERROR(VLOOKUP(D68, Repository!A:C, 3, 0), ""), "")</f>
        <v/>
      </c>
      <c r="K68" s="105"/>
      <c r="L68" s="105" t="str">
        <f>IF(F68=True, IFERROR(VLOOKUP(D68, Repository!A:E, 5, 0), ""), "")</f>
        <v/>
      </c>
      <c r="M68" s="105"/>
      <c r="N68" s="105" t="str">
        <f>IF(F68=True, IFERROR(VLOOKUP(D68, Repository!A:G, 7, 0), ""), "")</f>
        <v/>
      </c>
      <c r="O68" s="105" t="str">
        <f>IFERROR(__xludf.DUMMYFUNCTION("ARRAY_CONSTRAIN(
  ARRAYFORMULA(
    IFERROR(
      LET(
        list, N68,
        arr, TRIM(SPLIT(list, "","")),
        names, XLOOKUP(
          arr,
          'Conformance Score'!A:A,
          'Conformance Score'!B:B,
          ""Not found""
       "&amp;" ),
        TEXTJOIN("", "", TRUE, names)
      ),
      """"
    )
  ),
  1,
  1
)
"),"")</f>
        <v/>
      </c>
      <c r="P68" s="105" t="str">
        <f>IF(F68="Yes", IFERROR(VLOOKUP(D68, Repository!A:F, 6, 0), ""), "")</f>
        <v/>
      </c>
      <c r="Q68" s="105" t="str">
        <f>IF(F68="Yes", IFERROR(VLOOKUP(D68, Repository!A:I, 8, 0), ""), "")</f>
        <v/>
      </c>
      <c r="R68" s="105" t="str">
        <f>IF(F68="Yes", IFERROR(VLOOKUP(D68, Repository!A:J, 9, 0), ""), "")</f>
        <v/>
      </c>
      <c r="S68" s="105"/>
      <c r="T68" s="105"/>
      <c r="U68" s="105"/>
      <c r="V68" s="105"/>
      <c r="W68" s="105"/>
      <c r="X68" s="105"/>
      <c r="Y68" s="105"/>
      <c r="Z68" s="105"/>
      <c r="AA68" s="105"/>
      <c r="AB68" s="105"/>
      <c r="AC68" s="91"/>
      <c r="AD68" s="105"/>
      <c r="AE68" s="105"/>
      <c r="AF68" s="91"/>
      <c r="AG68" s="105"/>
      <c r="AH68" s="105"/>
      <c r="AI68" s="105" t="str">
        <f t="shared" si="1"/>
        <v/>
      </c>
      <c r="AJ68" s="108" t="str">
        <f t="shared" si="2"/>
        <v/>
      </c>
    </row>
    <row r="69" ht="15.75" customHeight="1">
      <c r="A69" s="104"/>
      <c r="B69" s="105" t="str">
        <f>IFERROR(__xludf.DUMMYFUNCTION("ARRAY_CONSTRAIN(
  ARRAYFORMULA(
    IF(
      'Final Report'!A69="""",
      """",
      TEXTJOIN(
        "", "" &amp; CHAR(10),
        TRUE,
        IFERROR(
          VLOOKUP(
            TRIM(
              SPLIT('Final Report'!A69, "","")
            )"&amp;",
            'URL Details'!A:B,
            2,
            FALSE
          ),
          """"
        )
      )
    )
  ),
  1,
  1
)
"),"")</f>
        <v/>
      </c>
      <c r="C69" s="105" t="str">
        <f>IFERROR(__xludf.DUMMYFUNCTION("IFERROR(IF('Final Report'!A69="""","""", TEXTJOIN(CHAR(10), TRUE, ARRAYFORMULA( ""• ""&amp; FILTER( TRIM(FLATTEN(SPLIT( REGEXREPLACE( SUBSTITUTE(TEXTJOIN("","", TRUE, IFERROR(ARRAYFORMULA(VLOOKUP(TRIM(SPLIT('Final Report'!A69, "","")), 'URL Details'!A:D, 4, F"&amp;"ALSE)),"""") ), CHAR(10), "",""), ""\s*,\s*"", "",""), "",""))), TRIM(FLATTEN(SPLIT( REGEXREPLACE( SUBSTITUTE(TEXTJOIN("","", TRUE, IFERROR(ARRAYFORMULA(VLOOKUP(TRIM(SPLIT('Final Report'!A69, "","")), 'URL Details'!A:D, 4, FALSE)),"""") ), CHAR(10), "","""&amp;"), ""\s*,\s*"", "",""), "","")))&lt;&gt;"""" ) ) ) ),"""")
"),"")</f>
        <v/>
      </c>
      <c r="D69" s="105"/>
      <c r="E69" s="105"/>
      <c r="F69" s="110" t="b">
        <v>0</v>
      </c>
      <c r="G69" s="105" t="str">
        <f>IF(F69=True, IFERROR(VLOOKUP(D69, Repository!A:B, 2, 0), ""), "")</f>
        <v/>
      </c>
      <c r="H69" s="105"/>
      <c r="I69" s="105"/>
      <c r="J69" s="105" t="str">
        <f>IF(F69=True, IFERROR(VLOOKUP(D69, Repository!A:C, 3, 0), ""), "")</f>
        <v/>
      </c>
      <c r="K69" s="105"/>
      <c r="L69" s="105" t="str">
        <f>IF(F69=True, IFERROR(VLOOKUP(D69, Repository!A:E, 5, 0), ""), "")</f>
        <v/>
      </c>
      <c r="M69" s="105"/>
      <c r="N69" s="105" t="str">
        <f>IF(F69=True, IFERROR(VLOOKUP(D69, Repository!A:G, 7, 0), ""), "")</f>
        <v/>
      </c>
      <c r="O69" s="105" t="str">
        <f>IFERROR(__xludf.DUMMYFUNCTION("ARRAY_CONSTRAIN(
  ARRAYFORMULA(
    IFERROR(
      LET(
        list, N69,
        arr, TRIM(SPLIT(list, "","")),
        names, XLOOKUP(
          arr,
          'Conformance Score'!A:A,
          'Conformance Score'!B:B,
          ""Not found""
       "&amp;" ),
        TEXTJOIN("", "", TRUE, names)
      ),
      """"
    )
  ),
  1,
  1
)
"),"")</f>
        <v/>
      </c>
      <c r="P69" s="105" t="str">
        <f>IF(F69="Yes", IFERROR(VLOOKUP(D69, Repository!A:F, 6, 0), ""), "")</f>
        <v/>
      </c>
      <c r="Q69" s="105" t="str">
        <f>IF(F69="Yes", IFERROR(VLOOKUP(D69, Repository!A:I, 8, 0), ""), "")</f>
        <v/>
      </c>
      <c r="R69" s="105" t="str">
        <f>IF(F69="Yes", IFERROR(VLOOKUP(D69, Repository!A:J, 9, 0), ""), "")</f>
        <v/>
      </c>
      <c r="S69" s="105"/>
      <c r="T69" s="105"/>
      <c r="U69" s="105"/>
      <c r="V69" s="105"/>
      <c r="W69" s="105"/>
      <c r="X69" s="105"/>
      <c r="Y69" s="105"/>
      <c r="Z69" s="105"/>
      <c r="AA69" s="105"/>
      <c r="AB69" s="105"/>
      <c r="AC69" s="91"/>
      <c r="AD69" s="105"/>
      <c r="AE69" s="105"/>
      <c r="AF69" s="91"/>
      <c r="AG69" s="105"/>
      <c r="AH69" s="105"/>
      <c r="AI69" s="105" t="str">
        <f t="shared" si="1"/>
        <v/>
      </c>
      <c r="AJ69" s="108" t="str">
        <f t="shared" si="2"/>
        <v/>
      </c>
    </row>
    <row r="70" ht="15.75" customHeight="1">
      <c r="A70" s="104"/>
      <c r="B70" s="105" t="str">
        <f>IFERROR(__xludf.DUMMYFUNCTION("ARRAY_CONSTRAIN(
  ARRAYFORMULA(
    IF(
      'Final Report'!A70="""",
      """",
      TEXTJOIN(
        "", "" &amp; CHAR(10),
        TRUE,
        IFERROR(
          VLOOKUP(
            TRIM(
              SPLIT('Final Report'!A70, "","")
            )"&amp;",
            'URL Details'!A:B,
            2,
            FALSE
          ),
          """"
        )
      )
    )
  ),
  1,
  1
)
"),"")</f>
        <v/>
      </c>
      <c r="C70" s="105" t="str">
        <f>IFERROR(__xludf.DUMMYFUNCTION("IFERROR(IF('Final Report'!A70="""","""", TEXTJOIN(CHAR(10), TRUE, ARRAYFORMULA( ""• ""&amp; FILTER( TRIM(FLATTEN(SPLIT( REGEXREPLACE( SUBSTITUTE(TEXTJOIN("","", TRUE, IFERROR(ARRAYFORMULA(VLOOKUP(TRIM(SPLIT('Final Report'!A70, "","")), 'URL Details'!A:D, 4, F"&amp;"ALSE)),"""") ), CHAR(10), "",""), ""\s*,\s*"", "",""), "",""))), TRIM(FLATTEN(SPLIT( REGEXREPLACE( SUBSTITUTE(TEXTJOIN("","", TRUE, IFERROR(ARRAYFORMULA(VLOOKUP(TRIM(SPLIT('Final Report'!A70, "","")), 'URL Details'!A:D, 4, FALSE)),"""") ), CHAR(10), "","""&amp;"), ""\s*,\s*"", "",""), "","")))&lt;&gt;"""" ) ) ) ),"""")
"),"")</f>
        <v/>
      </c>
      <c r="D70" s="105"/>
      <c r="E70" s="105"/>
      <c r="F70" s="110" t="b">
        <v>0</v>
      </c>
      <c r="G70" s="105" t="str">
        <f>IF(F70=True, IFERROR(VLOOKUP(D70, Repository!A:B, 2, 0), ""), "")</f>
        <v/>
      </c>
      <c r="H70" s="105"/>
      <c r="I70" s="105"/>
      <c r="J70" s="105" t="str">
        <f>IF(F70=True, IFERROR(VLOOKUP(D70, Repository!A:C, 3, 0), ""), "")</f>
        <v/>
      </c>
      <c r="K70" s="105"/>
      <c r="L70" s="105" t="str">
        <f>IF(F70=True, IFERROR(VLOOKUP(D70, Repository!A:E, 5, 0), ""), "")</f>
        <v/>
      </c>
      <c r="M70" s="105"/>
      <c r="N70" s="105" t="str">
        <f>IF(F70=True, IFERROR(VLOOKUP(D70, Repository!A:G, 7, 0), ""), "")</f>
        <v/>
      </c>
      <c r="O70" s="105" t="str">
        <f>IFERROR(__xludf.DUMMYFUNCTION("ARRAY_CONSTRAIN(
  ARRAYFORMULA(
    IFERROR(
      LET(
        list, N70,
        arr, TRIM(SPLIT(list, "","")),
        names, XLOOKUP(
          arr,
          'Conformance Score'!A:A,
          'Conformance Score'!B:B,
          ""Not found""
       "&amp;" ),
        TEXTJOIN("", "", TRUE, names)
      ),
      """"
    )
  ),
  1,
  1
)
"),"")</f>
        <v/>
      </c>
      <c r="P70" s="105" t="str">
        <f>IF(F70="Yes", IFERROR(VLOOKUP(D70, Repository!A:F, 6, 0), ""), "")</f>
        <v/>
      </c>
      <c r="Q70" s="105" t="str">
        <f>IF(F70="Yes", IFERROR(VLOOKUP(D70, Repository!A:I, 8, 0), ""), "")</f>
        <v/>
      </c>
      <c r="R70" s="105" t="str">
        <f>IF(F70="Yes", IFERROR(VLOOKUP(D70, Repository!A:J, 9, 0), ""), "")</f>
        <v/>
      </c>
      <c r="S70" s="105"/>
      <c r="T70" s="105"/>
      <c r="U70" s="105"/>
      <c r="V70" s="105"/>
      <c r="W70" s="105"/>
      <c r="X70" s="105"/>
      <c r="Y70" s="105"/>
      <c r="Z70" s="105"/>
      <c r="AA70" s="105"/>
      <c r="AB70" s="105"/>
      <c r="AC70" s="91"/>
      <c r="AD70" s="105"/>
      <c r="AE70" s="105"/>
      <c r="AF70" s="91"/>
      <c r="AG70" s="105"/>
      <c r="AH70" s="105"/>
      <c r="AI70" s="105" t="str">
        <f t="shared" si="1"/>
        <v/>
      </c>
      <c r="AJ70" s="108" t="str">
        <f t="shared" si="2"/>
        <v/>
      </c>
    </row>
    <row r="71" ht="15.75" customHeight="1">
      <c r="A71" s="104"/>
      <c r="B71" s="105" t="str">
        <f>IFERROR(__xludf.DUMMYFUNCTION("ARRAY_CONSTRAIN(
  ARRAYFORMULA(
    IF(
      'Final Report'!A71="""",
      """",
      TEXTJOIN(
        "", "" &amp; CHAR(10),
        TRUE,
        IFERROR(
          VLOOKUP(
            TRIM(
              SPLIT('Final Report'!A71, "","")
            )"&amp;",
            'URL Details'!A:B,
            2,
            FALSE
          ),
          """"
        )
      )
    )
  ),
  1,
  1
)
"),"")</f>
        <v/>
      </c>
      <c r="C71" s="105" t="str">
        <f>IFERROR(__xludf.DUMMYFUNCTION("IFERROR(IF('Final Report'!A71="""","""", TEXTJOIN(CHAR(10), TRUE, ARRAYFORMULA( ""• ""&amp; FILTER( TRIM(FLATTEN(SPLIT( REGEXREPLACE( SUBSTITUTE(TEXTJOIN("","", TRUE, IFERROR(ARRAYFORMULA(VLOOKUP(TRIM(SPLIT('Final Report'!A71, "","")), 'URL Details'!A:D, 4, F"&amp;"ALSE)),"""") ), CHAR(10), "",""), ""\s*,\s*"", "",""), "",""))), TRIM(FLATTEN(SPLIT( REGEXREPLACE( SUBSTITUTE(TEXTJOIN("","", TRUE, IFERROR(ARRAYFORMULA(VLOOKUP(TRIM(SPLIT('Final Report'!A71, "","")), 'URL Details'!A:D, 4, FALSE)),"""") ), CHAR(10), "","""&amp;"), ""\s*,\s*"", "",""), "","")))&lt;&gt;"""" ) ) ) ),"""")
"),"")</f>
        <v/>
      </c>
      <c r="D71" s="105"/>
      <c r="E71" s="105"/>
      <c r="F71" s="110" t="b">
        <v>0</v>
      </c>
      <c r="G71" s="105" t="str">
        <f>IF(F71=True, IFERROR(VLOOKUP(D71, Repository!A:B, 2, 0), ""), "")</f>
        <v/>
      </c>
      <c r="H71" s="105"/>
      <c r="I71" s="105"/>
      <c r="J71" s="105" t="str">
        <f>IF(F71=True, IFERROR(VLOOKUP(D71, Repository!A:C, 3, 0), ""), "")</f>
        <v/>
      </c>
      <c r="K71" s="105"/>
      <c r="L71" s="105" t="str">
        <f>IF(F71=True, IFERROR(VLOOKUP(D71, Repository!A:E, 5, 0), ""), "")</f>
        <v/>
      </c>
      <c r="M71" s="105"/>
      <c r="N71" s="105" t="str">
        <f>IF(F71=True, IFERROR(VLOOKUP(D71, Repository!A:G, 7, 0), ""), "")</f>
        <v/>
      </c>
      <c r="O71" s="105" t="str">
        <f>IFERROR(__xludf.DUMMYFUNCTION("ARRAY_CONSTRAIN(
  ARRAYFORMULA(
    IFERROR(
      LET(
        list, N71,
        arr, TRIM(SPLIT(list, "","")),
        names, XLOOKUP(
          arr,
          'Conformance Score'!A:A,
          'Conformance Score'!B:B,
          ""Not found""
       "&amp;" ),
        TEXTJOIN("", "", TRUE, names)
      ),
      """"
    )
  ),
  1,
  1
)
"),"")</f>
        <v/>
      </c>
      <c r="P71" s="105" t="str">
        <f>IF(F71="Yes", IFERROR(VLOOKUP(D71, Repository!A:F, 6, 0), ""), "")</f>
        <v/>
      </c>
      <c r="Q71" s="105" t="str">
        <f>IF(F71="Yes", IFERROR(VLOOKUP(D71, Repository!A:I, 8, 0), ""), "")</f>
        <v/>
      </c>
      <c r="R71" s="105" t="str">
        <f>IF(F71="Yes", IFERROR(VLOOKUP(D71, Repository!A:J, 9, 0), ""), "")</f>
        <v/>
      </c>
      <c r="S71" s="105"/>
      <c r="T71" s="105"/>
      <c r="U71" s="105"/>
      <c r="V71" s="105"/>
      <c r="W71" s="105"/>
      <c r="X71" s="105"/>
      <c r="Y71" s="105"/>
      <c r="Z71" s="105"/>
      <c r="AA71" s="105"/>
      <c r="AB71" s="105"/>
      <c r="AC71" s="91"/>
      <c r="AD71" s="105"/>
      <c r="AE71" s="105"/>
      <c r="AF71" s="91"/>
      <c r="AG71" s="105"/>
      <c r="AH71" s="105"/>
      <c r="AI71" s="105" t="str">
        <f t="shared" si="1"/>
        <v/>
      </c>
      <c r="AJ71" s="108" t="str">
        <f t="shared" si="2"/>
        <v/>
      </c>
    </row>
    <row r="72" ht="15.75" customHeight="1">
      <c r="A72" s="104"/>
      <c r="B72" s="105" t="str">
        <f>IFERROR(__xludf.DUMMYFUNCTION("ARRAY_CONSTRAIN(
  ARRAYFORMULA(
    IF(
      'Final Report'!A72="""",
      """",
      TEXTJOIN(
        "", "" &amp; CHAR(10),
        TRUE,
        IFERROR(
          VLOOKUP(
            TRIM(
              SPLIT('Final Report'!A72, "","")
            )"&amp;",
            'URL Details'!A:B,
            2,
            FALSE
          ),
          """"
        )
      )
    )
  ),
  1,
  1
)
"),"")</f>
        <v/>
      </c>
      <c r="C72" s="105" t="str">
        <f>IFERROR(__xludf.DUMMYFUNCTION("IFERROR(IF('Final Report'!A72="""","""", TEXTJOIN(CHAR(10), TRUE, ARRAYFORMULA( ""• ""&amp; FILTER( TRIM(FLATTEN(SPLIT( REGEXREPLACE( SUBSTITUTE(TEXTJOIN("","", TRUE, IFERROR(ARRAYFORMULA(VLOOKUP(TRIM(SPLIT('Final Report'!A72, "","")), 'URL Details'!A:D, 4, F"&amp;"ALSE)),"""") ), CHAR(10), "",""), ""\s*,\s*"", "",""), "",""))), TRIM(FLATTEN(SPLIT( REGEXREPLACE( SUBSTITUTE(TEXTJOIN("","", TRUE, IFERROR(ARRAYFORMULA(VLOOKUP(TRIM(SPLIT('Final Report'!A72, "","")), 'URL Details'!A:D, 4, FALSE)),"""") ), CHAR(10), "","""&amp;"), ""\s*,\s*"", "",""), "","")))&lt;&gt;"""" ) ) ) ),"""")
"),"")</f>
        <v/>
      </c>
      <c r="D72" s="105"/>
      <c r="E72" s="105"/>
      <c r="F72" s="110" t="b">
        <v>0</v>
      </c>
      <c r="G72" s="105" t="str">
        <f>IF(F72=True, IFERROR(VLOOKUP(D72, Repository!A:B, 2, 0), ""), "")</f>
        <v/>
      </c>
      <c r="H72" s="105"/>
      <c r="I72" s="105"/>
      <c r="J72" s="105" t="str">
        <f>IF(F72=True, IFERROR(VLOOKUP(D72, Repository!A:C, 3, 0), ""), "")</f>
        <v/>
      </c>
      <c r="K72" s="105"/>
      <c r="L72" s="105" t="str">
        <f>IF(F72=True, IFERROR(VLOOKUP(D72, Repository!A:E, 5, 0), ""), "")</f>
        <v/>
      </c>
      <c r="M72" s="105"/>
      <c r="N72" s="105" t="str">
        <f>IF(F72=True, IFERROR(VLOOKUP(D72, Repository!A:G, 7, 0), ""), "")</f>
        <v/>
      </c>
      <c r="O72" s="105" t="str">
        <f>IFERROR(__xludf.DUMMYFUNCTION("ARRAY_CONSTRAIN(
  ARRAYFORMULA(
    IFERROR(
      LET(
        list, N72,
        arr, TRIM(SPLIT(list, "","")),
        names, XLOOKUP(
          arr,
          'Conformance Score'!A:A,
          'Conformance Score'!B:B,
          ""Not found""
       "&amp;" ),
        TEXTJOIN("", "", TRUE, names)
      ),
      """"
    )
  ),
  1,
  1
)
"),"")</f>
        <v/>
      </c>
      <c r="P72" s="105" t="str">
        <f>IF(F72="Yes", IFERROR(VLOOKUP(D72, Repository!A:F, 6, 0), ""), "")</f>
        <v/>
      </c>
      <c r="Q72" s="105" t="str">
        <f>IF(F72="Yes", IFERROR(VLOOKUP(D72, Repository!A:I, 8, 0), ""), "")</f>
        <v/>
      </c>
      <c r="R72" s="105" t="str">
        <f>IF(F72="Yes", IFERROR(VLOOKUP(D72, Repository!A:J, 9, 0), ""), "")</f>
        <v/>
      </c>
      <c r="S72" s="105"/>
      <c r="T72" s="105"/>
      <c r="U72" s="105"/>
      <c r="V72" s="105"/>
      <c r="W72" s="105"/>
      <c r="X72" s="105"/>
      <c r="Y72" s="105"/>
      <c r="Z72" s="105"/>
      <c r="AA72" s="105"/>
      <c r="AB72" s="105"/>
      <c r="AC72" s="91"/>
      <c r="AD72" s="105"/>
      <c r="AE72" s="105"/>
      <c r="AF72" s="91"/>
      <c r="AG72" s="105"/>
      <c r="AH72" s="105"/>
      <c r="AI72" s="105" t="str">
        <f t="shared" si="1"/>
        <v/>
      </c>
      <c r="AJ72" s="108" t="str">
        <f t="shared" si="2"/>
        <v/>
      </c>
    </row>
    <row r="73" ht="15.75" customHeight="1">
      <c r="A73" s="104"/>
      <c r="B73" s="105" t="str">
        <f>IFERROR(__xludf.DUMMYFUNCTION("ARRAY_CONSTRAIN(
  ARRAYFORMULA(
    IF(
      'Final Report'!A73="""",
      """",
      TEXTJOIN(
        "", "" &amp; CHAR(10),
        TRUE,
        IFERROR(
          VLOOKUP(
            TRIM(
              SPLIT('Final Report'!A73, "","")
            )"&amp;",
            'URL Details'!A:B,
            2,
            FALSE
          ),
          """"
        )
      )
    )
  ),
  1,
  1
)
"),"")</f>
        <v/>
      </c>
      <c r="C73" s="105" t="str">
        <f>IFERROR(__xludf.DUMMYFUNCTION("IFERROR(IF('Final Report'!A73="""","""", TEXTJOIN(CHAR(10), TRUE, ARRAYFORMULA( ""• ""&amp; FILTER( TRIM(FLATTEN(SPLIT( REGEXREPLACE( SUBSTITUTE(TEXTJOIN("","", TRUE, IFERROR(ARRAYFORMULA(VLOOKUP(TRIM(SPLIT('Final Report'!A73, "","")), 'URL Details'!A:D, 4, F"&amp;"ALSE)),"""") ), CHAR(10), "",""), ""\s*,\s*"", "",""), "",""))), TRIM(FLATTEN(SPLIT( REGEXREPLACE( SUBSTITUTE(TEXTJOIN("","", TRUE, IFERROR(ARRAYFORMULA(VLOOKUP(TRIM(SPLIT('Final Report'!A73, "","")), 'URL Details'!A:D, 4, FALSE)),"""") ), CHAR(10), "","""&amp;"), ""\s*,\s*"", "",""), "","")))&lt;&gt;"""" ) ) ) ),"""")
"),"")</f>
        <v/>
      </c>
      <c r="D73" s="105"/>
      <c r="E73" s="105"/>
      <c r="F73" s="110" t="b">
        <v>0</v>
      </c>
      <c r="G73" s="105" t="str">
        <f>IF(F73=True, IFERROR(VLOOKUP(D73, Repository!A:B, 2, 0), ""), "")</f>
        <v/>
      </c>
      <c r="H73" s="105"/>
      <c r="I73" s="105"/>
      <c r="J73" s="105" t="str">
        <f>IF(F73=True, IFERROR(VLOOKUP(D73, Repository!A:C, 3, 0), ""), "")</f>
        <v/>
      </c>
      <c r="K73" s="105"/>
      <c r="L73" s="105" t="str">
        <f>IF(F73=True, IFERROR(VLOOKUP(D73, Repository!A:E, 5, 0), ""), "")</f>
        <v/>
      </c>
      <c r="M73" s="105"/>
      <c r="N73" s="105" t="str">
        <f>IF(F73=True, IFERROR(VLOOKUP(D73, Repository!A:G, 7, 0), ""), "")</f>
        <v/>
      </c>
      <c r="O73" s="105" t="str">
        <f>IFERROR(__xludf.DUMMYFUNCTION("ARRAY_CONSTRAIN(
  ARRAYFORMULA(
    IFERROR(
      LET(
        list, N73,
        arr, TRIM(SPLIT(list, "","")),
        names, XLOOKUP(
          arr,
          'Conformance Score'!A:A,
          'Conformance Score'!B:B,
          ""Not found""
       "&amp;" ),
        TEXTJOIN("", "", TRUE, names)
      ),
      """"
    )
  ),
  1,
  1
)
"),"")</f>
        <v/>
      </c>
      <c r="P73" s="105" t="str">
        <f>IF(F73="Yes", IFERROR(VLOOKUP(D73, Repository!A:F, 6, 0), ""), "")</f>
        <v/>
      </c>
      <c r="Q73" s="105" t="str">
        <f>IF(F73="Yes", IFERROR(VLOOKUP(D73, Repository!A:I, 8, 0), ""), "")</f>
        <v/>
      </c>
      <c r="R73" s="105" t="str">
        <f>IF(F73="Yes", IFERROR(VLOOKUP(D73, Repository!A:J, 9, 0), ""), "")</f>
        <v/>
      </c>
      <c r="S73" s="105"/>
      <c r="T73" s="105"/>
      <c r="U73" s="105"/>
      <c r="V73" s="105"/>
      <c r="W73" s="105"/>
      <c r="X73" s="105"/>
      <c r="Y73" s="105"/>
      <c r="Z73" s="105"/>
      <c r="AA73" s="105"/>
      <c r="AB73" s="105"/>
      <c r="AC73" s="91"/>
      <c r="AD73" s="105"/>
      <c r="AE73" s="105"/>
      <c r="AF73" s="91"/>
      <c r="AG73" s="105"/>
      <c r="AH73" s="105"/>
      <c r="AI73" s="105" t="str">
        <f t="shared" si="1"/>
        <v/>
      </c>
      <c r="AJ73" s="108" t="str">
        <f t="shared" si="2"/>
        <v/>
      </c>
    </row>
    <row r="74" ht="15.75" customHeight="1">
      <c r="A74" s="104"/>
      <c r="B74" s="105" t="str">
        <f>IFERROR(__xludf.DUMMYFUNCTION("ARRAY_CONSTRAIN(
  ARRAYFORMULA(
    IF(
      'Final Report'!A74="""",
      """",
      TEXTJOIN(
        "", "" &amp; CHAR(10),
        TRUE,
        IFERROR(
          VLOOKUP(
            TRIM(
              SPLIT('Final Report'!A74, "","")
            )"&amp;",
            'URL Details'!A:B,
            2,
            FALSE
          ),
          """"
        )
      )
    )
  ),
  1,
  1
)
"),"")</f>
        <v/>
      </c>
      <c r="C74" s="105" t="str">
        <f>IFERROR(__xludf.DUMMYFUNCTION("IFERROR(IF('Final Report'!A74="""","""", TEXTJOIN(CHAR(10), TRUE, ARRAYFORMULA( ""• ""&amp; FILTER( TRIM(FLATTEN(SPLIT( REGEXREPLACE( SUBSTITUTE(TEXTJOIN("","", TRUE, IFERROR(ARRAYFORMULA(VLOOKUP(TRIM(SPLIT('Final Report'!A74, "","")), 'URL Details'!A:D, 4, F"&amp;"ALSE)),"""") ), CHAR(10), "",""), ""\s*,\s*"", "",""), "",""))), TRIM(FLATTEN(SPLIT( REGEXREPLACE( SUBSTITUTE(TEXTJOIN("","", TRUE, IFERROR(ARRAYFORMULA(VLOOKUP(TRIM(SPLIT('Final Report'!A74, "","")), 'URL Details'!A:D, 4, FALSE)),"""") ), CHAR(10), "","""&amp;"), ""\s*,\s*"", "",""), "","")))&lt;&gt;"""" ) ) ) ),"""")
"),"")</f>
        <v/>
      </c>
      <c r="D74" s="105"/>
      <c r="E74" s="105"/>
      <c r="F74" s="110" t="b">
        <v>0</v>
      </c>
      <c r="G74" s="105" t="str">
        <f>IF(F74=True, IFERROR(VLOOKUP(D74, Repository!A:B, 2, 0), ""), "")</f>
        <v/>
      </c>
      <c r="H74" s="105"/>
      <c r="I74" s="105"/>
      <c r="J74" s="105" t="str">
        <f>IF(F74=True, IFERROR(VLOOKUP(D74, Repository!A:C, 3, 0), ""), "")</f>
        <v/>
      </c>
      <c r="K74" s="105"/>
      <c r="L74" s="105" t="str">
        <f>IF(F74=True, IFERROR(VLOOKUP(D74, Repository!A:E, 5, 0), ""), "")</f>
        <v/>
      </c>
      <c r="M74" s="105"/>
      <c r="N74" s="105" t="str">
        <f>IF(F74=True, IFERROR(VLOOKUP(D74, Repository!A:G, 7, 0), ""), "")</f>
        <v/>
      </c>
      <c r="O74" s="105" t="str">
        <f>IFERROR(__xludf.DUMMYFUNCTION("ARRAY_CONSTRAIN(
  ARRAYFORMULA(
    IFERROR(
      LET(
        list, N74,
        arr, TRIM(SPLIT(list, "","")),
        names, XLOOKUP(
          arr,
          'Conformance Score'!A:A,
          'Conformance Score'!B:B,
          ""Not found""
       "&amp;" ),
        TEXTJOIN("", "", TRUE, names)
      ),
      """"
    )
  ),
  1,
  1
)
"),"")</f>
        <v/>
      </c>
      <c r="P74" s="105" t="str">
        <f>IF(F74="Yes", IFERROR(VLOOKUP(D74, Repository!A:F, 6, 0), ""), "")</f>
        <v/>
      </c>
      <c r="Q74" s="105" t="str">
        <f>IF(F74="Yes", IFERROR(VLOOKUP(D74, Repository!A:I, 8, 0), ""), "")</f>
        <v/>
      </c>
      <c r="R74" s="105" t="str">
        <f>IF(F74="Yes", IFERROR(VLOOKUP(D74, Repository!A:J, 9, 0), ""), "")</f>
        <v/>
      </c>
      <c r="S74" s="105"/>
      <c r="T74" s="105"/>
      <c r="U74" s="105"/>
      <c r="V74" s="105"/>
      <c r="W74" s="105"/>
      <c r="X74" s="105"/>
      <c r="Y74" s="105"/>
      <c r="Z74" s="105"/>
      <c r="AA74" s="105"/>
      <c r="AB74" s="105"/>
      <c r="AC74" s="91"/>
      <c r="AD74" s="105"/>
      <c r="AE74" s="105"/>
      <c r="AF74" s="91"/>
      <c r="AG74" s="105"/>
      <c r="AH74" s="105"/>
      <c r="AI74" s="105" t="str">
        <f t="shared" si="1"/>
        <v/>
      </c>
      <c r="AJ74" s="108" t="str">
        <f t="shared" si="2"/>
        <v/>
      </c>
    </row>
    <row r="75" ht="15.75" customHeight="1">
      <c r="A75" s="104"/>
      <c r="B75" s="105" t="str">
        <f>IFERROR(__xludf.DUMMYFUNCTION("ARRAY_CONSTRAIN(
  ARRAYFORMULA(
    IF(
      'Final Report'!A75="""",
      """",
      TEXTJOIN(
        "", "" &amp; CHAR(10),
        TRUE,
        IFERROR(
          VLOOKUP(
            TRIM(
              SPLIT('Final Report'!A75, "","")
            )"&amp;",
            'URL Details'!A:B,
            2,
            FALSE
          ),
          """"
        )
      )
    )
  ),
  1,
  1
)
"),"")</f>
        <v/>
      </c>
      <c r="C75" s="105" t="str">
        <f>IFERROR(__xludf.DUMMYFUNCTION("IFERROR(IF('Final Report'!A75="""","""", TEXTJOIN(CHAR(10), TRUE, ARRAYFORMULA( ""• ""&amp; FILTER( TRIM(FLATTEN(SPLIT( REGEXREPLACE( SUBSTITUTE(TEXTJOIN("","", TRUE, IFERROR(ARRAYFORMULA(VLOOKUP(TRIM(SPLIT('Final Report'!A75, "","")), 'URL Details'!A:D, 4, F"&amp;"ALSE)),"""") ), CHAR(10), "",""), ""\s*,\s*"", "",""), "",""))), TRIM(FLATTEN(SPLIT( REGEXREPLACE( SUBSTITUTE(TEXTJOIN("","", TRUE, IFERROR(ARRAYFORMULA(VLOOKUP(TRIM(SPLIT('Final Report'!A75, "","")), 'URL Details'!A:D, 4, FALSE)),"""") ), CHAR(10), "","""&amp;"), ""\s*,\s*"", "",""), "","")))&lt;&gt;"""" ) ) ) ),"""")
"),"")</f>
        <v/>
      </c>
      <c r="D75" s="105"/>
      <c r="E75" s="105"/>
      <c r="F75" s="110" t="b">
        <v>0</v>
      </c>
      <c r="G75" s="105" t="str">
        <f>IF(F75=True, IFERROR(VLOOKUP(D75, Repository!A:B, 2, 0), ""), "")</f>
        <v/>
      </c>
      <c r="H75" s="105"/>
      <c r="I75" s="105"/>
      <c r="J75" s="105" t="str">
        <f>IF(F75=True, IFERROR(VLOOKUP(D75, Repository!A:C, 3, 0), ""), "")</f>
        <v/>
      </c>
      <c r="K75" s="105"/>
      <c r="L75" s="105" t="str">
        <f>IF(F75=True, IFERROR(VLOOKUP(D75, Repository!A:E, 5, 0), ""), "")</f>
        <v/>
      </c>
      <c r="M75" s="105"/>
      <c r="N75" s="105" t="str">
        <f>IF(F75=True, IFERROR(VLOOKUP(D75, Repository!A:G, 7, 0), ""), "")</f>
        <v/>
      </c>
      <c r="O75" s="105" t="str">
        <f>IFERROR(__xludf.DUMMYFUNCTION("ARRAY_CONSTRAIN(
  ARRAYFORMULA(
    IFERROR(
      LET(
        list, N75,
        arr, TRIM(SPLIT(list, "","")),
        names, XLOOKUP(
          arr,
          'Conformance Score'!A:A,
          'Conformance Score'!B:B,
          ""Not found""
       "&amp;" ),
        TEXTJOIN("", "", TRUE, names)
      ),
      """"
    )
  ),
  1,
  1
)
"),"")</f>
        <v/>
      </c>
      <c r="P75" s="105" t="str">
        <f>IF(F75="Yes", IFERROR(VLOOKUP(D75, Repository!A:F, 6, 0), ""), "")</f>
        <v/>
      </c>
      <c r="Q75" s="105" t="str">
        <f>IF(F75="Yes", IFERROR(VLOOKUP(D75, Repository!A:I, 8, 0), ""), "")</f>
        <v/>
      </c>
      <c r="R75" s="105" t="str">
        <f>IF(F75="Yes", IFERROR(VLOOKUP(D75, Repository!A:J, 9, 0), ""), "")</f>
        <v/>
      </c>
      <c r="S75" s="105"/>
      <c r="T75" s="105"/>
      <c r="U75" s="105"/>
      <c r="V75" s="105"/>
      <c r="W75" s="105"/>
      <c r="X75" s="105"/>
      <c r="Y75" s="105"/>
      <c r="Z75" s="105"/>
      <c r="AA75" s="105"/>
      <c r="AB75" s="105"/>
      <c r="AC75" s="91"/>
      <c r="AD75" s="105"/>
      <c r="AE75" s="105"/>
      <c r="AF75" s="91"/>
      <c r="AG75" s="105"/>
      <c r="AH75" s="105"/>
      <c r="AI75" s="105" t="str">
        <f t="shared" si="1"/>
        <v/>
      </c>
      <c r="AJ75" s="108" t="str">
        <f t="shared" si="2"/>
        <v/>
      </c>
    </row>
    <row r="76" ht="15.75" customHeight="1">
      <c r="A76" s="104"/>
      <c r="B76" s="105" t="str">
        <f>IFERROR(__xludf.DUMMYFUNCTION("ARRAY_CONSTRAIN(
  ARRAYFORMULA(
    IF(
      'Final Report'!A76="""",
      """",
      TEXTJOIN(
        "", "" &amp; CHAR(10),
        TRUE,
        IFERROR(
          VLOOKUP(
            TRIM(
              SPLIT('Final Report'!A76, "","")
            )"&amp;",
            'URL Details'!A:B,
            2,
            FALSE
          ),
          """"
        )
      )
    )
  ),
  1,
  1
)
"),"")</f>
        <v/>
      </c>
      <c r="C76" s="105" t="str">
        <f>IFERROR(__xludf.DUMMYFUNCTION("IFERROR(IF('Final Report'!A76="""","""", TEXTJOIN(CHAR(10), TRUE, ARRAYFORMULA( ""• ""&amp; FILTER( TRIM(FLATTEN(SPLIT( REGEXREPLACE( SUBSTITUTE(TEXTJOIN("","", TRUE, IFERROR(ARRAYFORMULA(VLOOKUP(TRIM(SPLIT('Final Report'!A76, "","")), 'URL Details'!A:D, 4, F"&amp;"ALSE)),"""") ), CHAR(10), "",""), ""\s*,\s*"", "",""), "",""))), TRIM(FLATTEN(SPLIT( REGEXREPLACE( SUBSTITUTE(TEXTJOIN("","", TRUE, IFERROR(ARRAYFORMULA(VLOOKUP(TRIM(SPLIT('Final Report'!A76, "","")), 'URL Details'!A:D, 4, FALSE)),"""") ), CHAR(10), "","""&amp;"), ""\s*,\s*"", "",""), "","")))&lt;&gt;"""" ) ) ) ),"""")
"),"")</f>
        <v/>
      </c>
      <c r="D76" s="105"/>
      <c r="E76" s="105"/>
      <c r="F76" s="110" t="b">
        <v>0</v>
      </c>
      <c r="G76" s="105" t="str">
        <f>IF(F76=True, IFERROR(VLOOKUP(D76, Repository!A:B, 2, 0), ""), "")</f>
        <v/>
      </c>
      <c r="H76" s="105"/>
      <c r="I76" s="105"/>
      <c r="J76" s="105" t="str">
        <f>IF(F76=True, IFERROR(VLOOKUP(D76, Repository!A:C, 3, 0), ""), "")</f>
        <v/>
      </c>
      <c r="K76" s="105"/>
      <c r="L76" s="105" t="str">
        <f>IF(F76=True, IFERROR(VLOOKUP(D76, Repository!A:E, 5, 0), ""), "")</f>
        <v/>
      </c>
      <c r="M76" s="105"/>
      <c r="N76" s="105" t="str">
        <f>IF(F76=True, IFERROR(VLOOKUP(D76, Repository!A:G, 7, 0), ""), "")</f>
        <v/>
      </c>
      <c r="O76" s="105" t="str">
        <f>IFERROR(__xludf.DUMMYFUNCTION("ARRAY_CONSTRAIN(
  ARRAYFORMULA(
    IFERROR(
      LET(
        list, N76,
        arr, TRIM(SPLIT(list, "","")),
        names, XLOOKUP(
          arr,
          'Conformance Score'!A:A,
          'Conformance Score'!B:B,
          ""Not found""
       "&amp;" ),
        TEXTJOIN("", "", TRUE, names)
      ),
      """"
    )
  ),
  1,
  1
)
"),"")</f>
        <v/>
      </c>
      <c r="P76" s="105" t="str">
        <f>IF(F76="Yes", IFERROR(VLOOKUP(D76, Repository!A:F, 6, 0), ""), "")</f>
        <v/>
      </c>
      <c r="Q76" s="105" t="str">
        <f>IF(F76="Yes", IFERROR(VLOOKUP(D76, Repository!A:I, 8, 0), ""), "")</f>
        <v/>
      </c>
      <c r="R76" s="105" t="str">
        <f>IF(F76="Yes", IFERROR(VLOOKUP(D76, Repository!A:J, 9, 0), ""), "")</f>
        <v/>
      </c>
      <c r="S76" s="105"/>
      <c r="T76" s="105"/>
      <c r="U76" s="105"/>
      <c r="V76" s="105"/>
      <c r="W76" s="105"/>
      <c r="X76" s="105"/>
      <c r="Y76" s="105"/>
      <c r="Z76" s="105"/>
      <c r="AA76" s="105"/>
      <c r="AB76" s="105"/>
      <c r="AC76" s="91"/>
      <c r="AD76" s="105"/>
      <c r="AE76" s="105"/>
      <c r="AF76" s="91"/>
      <c r="AG76" s="105"/>
      <c r="AH76" s="105"/>
      <c r="AI76" s="105" t="str">
        <f t="shared" si="1"/>
        <v/>
      </c>
      <c r="AJ76" s="108" t="str">
        <f t="shared" si="2"/>
        <v/>
      </c>
    </row>
    <row r="77" ht="15.75" customHeight="1">
      <c r="A77" s="104"/>
      <c r="B77" s="105" t="str">
        <f>IFERROR(__xludf.DUMMYFUNCTION("ARRAY_CONSTRAIN(
  ARRAYFORMULA(
    IF(
      'Final Report'!A77="""",
      """",
      TEXTJOIN(
        "", "" &amp; CHAR(10),
        TRUE,
        IFERROR(
          VLOOKUP(
            TRIM(
              SPLIT('Final Report'!A77, "","")
            )"&amp;",
            'URL Details'!A:B,
            2,
            FALSE
          ),
          """"
        )
      )
    )
  ),
  1,
  1
)
"),"")</f>
        <v/>
      </c>
      <c r="C77" s="105" t="str">
        <f>IFERROR(__xludf.DUMMYFUNCTION("IFERROR(IF('Final Report'!A77="""","""", TEXTJOIN(CHAR(10), TRUE, ARRAYFORMULA( ""• ""&amp; FILTER( TRIM(FLATTEN(SPLIT( REGEXREPLACE( SUBSTITUTE(TEXTJOIN("","", TRUE, IFERROR(ARRAYFORMULA(VLOOKUP(TRIM(SPLIT('Final Report'!A77, "","")), 'URL Details'!A:D, 4, F"&amp;"ALSE)),"""") ), CHAR(10), "",""), ""\s*,\s*"", "",""), "",""))), TRIM(FLATTEN(SPLIT( REGEXREPLACE( SUBSTITUTE(TEXTJOIN("","", TRUE, IFERROR(ARRAYFORMULA(VLOOKUP(TRIM(SPLIT('Final Report'!A77, "","")), 'URL Details'!A:D, 4, FALSE)),"""") ), CHAR(10), "","""&amp;"), ""\s*,\s*"", "",""), "","")))&lt;&gt;"""" ) ) ) ),"""")
"),"")</f>
        <v/>
      </c>
      <c r="D77" s="105"/>
      <c r="E77" s="105"/>
      <c r="F77" s="110" t="b">
        <v>0</v>
      </c>
      <c r="G77" s="105" t="str">
        <f>IF(F77=True, IFERROR(VLOOKUP(D77, Repository!A:B, 2, 0), ""), "")</f>
        <v/>
      </c>
      <c r="H77" s="105"/>
      <c r="I77" s="105"/>
      <c r="J77" s="105" t="str">
        <f>IF(F77=True, IFERROR(VLOOKUP(D77, Repository!A:C, 3, 0), ""), "")</f>
        <v/>
      </c>
      <c r="K77" s="105"/>
      <c r="L77" s="105" t="str">
        <f>IF(F77=True, IFERROR(VLOOKUP(D77, Repository!A:E, 5, 0), ""), "")</f>
        <v/>
      </c>
      <c r="M77" s="105"/>
      <c r="N77" s="105" t="str">
        <f>IF(F77=True, IFERROR(VLOOKUP(D77, Repository!A:G, 7, 0), ""), "")</f>
        <v/>
      </c>
      <c r="O77" s="105" t="str">
        <f>IFERROR(__xludf.DUMMYFUNCTION("ARRAY_CONSTRAIN(
  ARRAYFORMULA(
    IFERROR(
      LET(
        list, N77,
        arr, TRIM(SPLIT(list, "","")),
        names, XLOOKUP(
          arr,
          'Conformance Score'!A:A,
          'Conformance Score'!B:B,
          ""Not found""
       "&amp;" ),
        TEXTJOIN("", "", TRUE, names)
      ),
      """"
    )
  ),
  1,
  1
)
"),"")</f>
        <v/>
      </c>
      <c r="P77" s="105" t="str">
        <f>IF(F77="Yes", IFERROR(VLOOKUP(D77, Repository!A:F, 6, 0), ""), "")</f>
        <v/>
      </c>
      <c r="Q77" s="105" t="str">
        <f>IF(F77="Yes", IFERROR(VLOOKUP(D77, Repository!A:I, 8, 0), ""), "")</f>
        <v/>
      </c>
      <c r="R77" s="105" t="str">
        <f>IF(F77="Yes", IFERROR(VLOOKUP(D77, Repository!A:J, 9, 0), ""), "")</f>
        <v/>
      </c>
      <c r="S77" s="105"/>
      <c r="T77" s="105"/>
      <c r="U77" s="105"/>
      <c r="V77" s="105"/>
      <c r="W77" s="105"/>
      <c r="X77" s="105"/>
      <c r="Y77" s="105"/>
      <c r="Z77" s="105"/>
      <c r="AA77" s="105"/>
      <c r="AB77" s="105"/>
      <c r="AC77" s="91"/>
      <c r="AD77" s="105"/>
      <c r="AE77" s="105"/>
      <c r="AF77" s="91"/>
      <c r="AG77" s="105"/>
      <c r="AH77" s="105"/>
      <c r="AI77" s="105" t="str">
        <f t="shared" si="1"/>
        <v/>
      </c>
      <c r="AJ77" s="108" t="str">
        <f t="shared" si="2"/>
        <v/>
      </c>
    </row>
    <row r="78" ht="15.75" customHeight="1">
      <c r="A78" s="104"/>
      <c r="B78" s="105" t="str">
        <f>IFERROR(__xludf.DUMMYFUNCTION("ARRAY_CONSTRAIN(
  ARRAYFORMULA(
    IF(
      'Final Report'!A78="""",
      """",
      TEXTJOIN(
        "", "" &amp; CHAR(10),
        TRUE,
        IFERROR(
          VLOOKUP(
            TRIM(
              SPLIT('Final Report'!A78, "","")
            )"&amp;",
            'URL Details'!A:B,
            2,
            FALSE
          ),
          """"
        )
      )
    )
  ),
  1,
  1
)
"),"")</f>
        <v/>
      </c>
      <c r="C78" s="105" t="str">
        <f>IFERROR(__xludf.DUMMYFUNCTION("IFERROR(IF('Final Report'!A78="""","""", TEXTJOIN(CHAR(10), TRUE, ARRAYFORMULA( ""• ""&amp; FILTER( TRIM(FLATTEN(SPLIT( REGEXREPLACE( SUBSTITUTE(TEXTJOIN("","", TRUE, IFERROR(ARRAYFORMULA(VLOOKUP(TRIM(SPLIT('Final Report'!A78, "","")), 'URL Details'!A:D, 4, F"&amp;"ALSE)),"""") ), CHAR(10), "",""), ""\s*,\s*"", "",""), "",""))), TRIM(FLATTEN(SPLIT( REGEXREPLACE( SUBSTITUTE(TEXTJOIN("","", TRUE, IFERROR(ARRAYFORMULA(VLOOKUP(TRIM(SPLIT('Final Report'!A78, "","")), 'URL Details'!A:D, 4, FALSE)),"""") ), CHAR(10), "","""&amp;"), ""\s*,\s*"", "",""), "","")))&lt;&gt;"""" ) ) ) ),"""")
"),"")</f>
        <v/>
      </c>
      <c r="D78" s="105"/>
      <c r="E78" s="105"/>
      <c r="F78" s="110" t="b">
        <v>0</v>
      </c>
      <c r="G78" s="105" t="str">
        <f>IF(F78=True, IFERROR(VLOOKUP(D78, Repository!A:B, 2, 0), ""), "")</f>
        <v/>
      </c>
      <c r="H78" s="105"/>
      <c r="I78" s="105"/>
      <c r="J78" s="105" t="str">
        <f>IF(F78=True, IFERROR(VLOOKUP(D78, Repository!A:C, 3, 0), ""), "")</f>
        <v/>
      </c>
      <c r="K78" s="105"/>
      <c r="L78" s="105" t="str">
        <f>IF(F78=True, IFERROR(VLOOKUP(D78, Repository!A:E, 5, 0), ""), "")</f>
        <v/>
      </c>
      <c r="M78" s="105"/>
      <c r="N78" s="105" t="str">
        <f>IF(F78=True, IFERROR(VLOOKUP(D78, Repository!A:G, 7, 0), ""), "")</f>
        <v/>
      </c>
      <c r="O78" s="105" t="str">
        <f>IFERROR(__xludf.DUMMYFUNCTION("ARRAY_CONSTRAIN(
  ARRAYFORMULA(
    IFERROR(
      LET(
        list, N78,
        arr, TRIM(SPLIT(list, "","")),
        names, XLOOKUP(
          arr,
          'Conformance Score'!A:A,
          'Conformance Score'!B:B,
          ""Not found""
       "&amp;" ),
        TEXTJOIN("", "", TRUE, names)
      ),
      """"
    )
  ),
  1,
  1
)
"),"")</f>
        <v/>
      </c>
      <c r="P78" s="105" t="str">
        <f>IF(F78="Yes", IFERROR(VLOOKUP(D78, Repository!A:F, 6, 0), ""), "")</f>
        <v/>
      </c>
      <c r="Q78" s="105" t="str">
        <f>IF(F78="Yes", IFERROR(VLOOKUP(D78, Repository!A:I, 8, 0), ""), "")</f>
        <v/>
      </c>
      <c r="R78" s="105" t="str">
        <f>IF(F78="Yes", IFERROR(VLOOKUP(D78, Repository!A:J, 9, 0), ""), "")</f>
        <v/>
      </c>
      <c r="S78" s="105"/>
      <c r="T78" s="105"/>
      <c r="U78" s="105"/>
      <c r="V78" s="105"/>
      <c r="W78" s="105"/>
      <c r="X78" s="105"/>
      <c r="Y78" s="105"/>
      <c r="Z78" s="105"/>
      <c r="AA78" s="105"/>
      <c r="AB78" s="105"/>
      <c r="AC78" s="91"/>
      <c r="AD78" s="105"/>
      <c r="AE78" s="105"/>
      <c r="AF78" s="91"/>
      <c r="AG78" s="105"/>
      <c r="AH78" s="105"/>
      <c r="AI78" s="105" t="str">
        <f t="shared" si="1"/>
        <v/>
      </c>
      <c r="AJ78" s="108" t="str">
        <f t="shared" si="2"/>
        <v/>
      </c>
    </row>
    <row r="79" ht="15.75" customHeight="1">
      <c r="A79" s="104"/>
      <c r="B79" s="105" t="str">
        <f>IFERROR(__xludf.DUMMYFUNCTION("ARRAY_CONSTRAIN(
  ARRAYFORMULA(
    IF(
      'Final Report'!A79="""",
      """",
      TEXTJOIN(
        "", "" &amp; CHAR(10),
        TRUE,
        IFERROR(
          VLOOKUP(
            TRIM(
              SPLIT('Final Report'!A79, "","")
            )"&amp;",
            'URL Details'!A:B,
            2,
            FALSE
          ),
          """"
        )
      )
    )
  ),
  1,
  1
)
"),"")</f>
        <v/>
      </c>
      <c r="C79" s="105" t="str">
        <f>IFERROR(__xludf.DUMMYFUNCTION("IFERROR(IF('Final Report'!A79="""","""", TEXTJOIN(CHAR(10), TRUE, ARRAYFORMULA( ""• ""&amp; FILTER( TRIM(FLATTEN(SPLIT( REGEXREPLACE( SUBSTITUTE(TEXTJOIN("","", TRUE, IFERROR(ARRAYFORMULA(VLOOKUP(TRIM(SPLIT('Final Report'!A79, "","")), 'URL Details'!A:D, 4, F"&amp;"ALSE)),"""") ), CHAR(10), "",""), ""\s*,\s*"", "",""), "",""))), TRIM(FLATTEN(SPLIT( REGEXREPLACE( SUBSTITUTE(TEXTJOIN("","", TRUE, IFERROR(ARRAYFORMULA(VLOOKUP(TRIM(SPLIT('Final Report'!A79, "","")), 'URL Details'!A:D, 4, FALSE)),"""") ), CHAR(10), "","""&amp;"), ""\s*,\s*"", "",""), "","")))&lt;&gt;"""" ) ) ) ),"""")
"),"")</f>
        <v/>
      </c>
      <c r="D79" s="105"/>
      <c r="E79" s="105"/>
      <c r="F79" s="110" t="b">
        <v>0</v>
      </c>
      <c r="G79" s="105" t="str">
        <f>IF(F79=True, IFERROR(VLOOKUP(D79, Repository!A:B, 2, 0), ""), "")</f>
        <v/>
      </c>
      <c r="H79" s="105"/>
      <c r="I79" s="105"/>
      <c r="J79" s="105" t="str">
        <f>IF(F79=True, IFERROR(VLOOKUP(D79, Repository!A:C, 3, 0), ""), "")</f>
        <v/>
      </c>
      <c r="K79" s="105"/>
      <c r="L79" s="105" t="str">
        <f>IF(F79=True, IFERROR(VLOOKUP(D79, Repository!A:E, 5, 0), ""), "")</f>
        <v/>
      </c>
      <c r="M79" s="105"/>
      <c r="N79" s="105" t="str">
        <f>IF(F79=True, IFERROR(VLOOKUP(D79, Repository!A:G, 7, 0), ""), "")</f>
        <v/>
      </c>
      <c r="O79" s="105" t="str">
        <f>IFERROR(__xludf.DUMMYFUNCTION("ARRAY_CONSTRAIN(
  ARRAYFORMULA(
    IFERROR(
      LET(
        list, N79,
        arr, TRIM(SPLIT(list, "","")),
        names, XLOOKUP(
          arr,
          'Conformance Score'!A:A,
          'Conformance Score'!B:B,
          ""Not found""
       "&amp;" ),
        TEXTJOIN("", "", TRUE, names)
      ),
      """"
    )
  ),
  1,
  1
)
"),"")</f>
        <v/>
      </c>
      <c r="P79" s="105" t="str">
        <f>IF(F79="Yes", IFERROR(VLOOKUP(D79, Repository!A:F, 6, 0), ""), "")</f>
        <v/>
      </c>
      <c r="Q79" s="105" t="str">
        <f>IF(F79="Yes", IFERROR(VLOOKUP(D79, Repository!A:I, 8, 0), ""), "")</f>
        <v/>
      </c>
      <c r="R79" s="105" t="str">
        <f>IF(F79="Yes", IFERROR(VLOOKUP(D79, Repository!A:J, 9, 0), ""), "")</f>
        <v/>
      </c>
      <c r="S79" s="105"/>
      <c r="T79" s="105"/>
      <c r="U79" s="105"/>
      <c r="V79" s="105"/>
      <c r="W79" s="105"/>
      <c r="X79" s="105"/>
      <c r="Y79" s="105"/>
      <c r="Z79" s="105"/>
      <c r="AA79" s="105"/>
      <c r="AB79" s="105"/>
      <c r="AC79" s="91"/>
      <c r="AD79" s="105"/>
      <c r="AE79" s="105"/>
      <c r="AF79" s="91"/>
      <c r="AG79" s="105"/>
      <c r="AH79" s="105"/>
      <c r="AI79" s="105" t="str">
        <f t="shared" si="1"/>
        <v/>
      </c>
      <c r="AJ79" s="108" t="str">
        <f t="shared" si="2"/>
        <v/>
      </c>
    </row>
    <row r="80" ht="15.75" customHeight="1">
      <c r="A80" s="104"/>
      <c r="B80" s="105" t="str">
        <f>IFERROR(__xludf.DUMMYFUNCTION("ARRAY_CONSTRAIN(
  ARRAYFORMULA(
    IF(
      'Final Report'!A80="""",
      """",
      TEXTJOIN(
        "", "" &amp; CHAR(10),
        TRUE,
        IFERROR(
          VLOOKUP(
            TRIM(
              SPLIT('Final Report'!A80, "","")
            )"&amp;",
            'URL Details'!A:B,
            2,
            FALSE
          ),
          """"
        )
      )
    )
  ),
  1,
  1
)
"),"")</f>
        <v/>
      </c>
      <c r="C80" s="105" t="str">
        <f>IFERROR(__xludf.DUMMYFUNCTION("IFERROR(IF('Final Report'!A80="""","""", TEXTJOIN(CHAR(10), TRUE, ARRAYFORMULA( ""• ""&amp; FILTER( TRIM(FLATTEN(SPLIT( REGEXREPLACE( SUBSTITUTE(TEXTJOIN("","", TRUE, IFERROR(ARRAYFORMULA(VLOOKUP(TRIM(SPLIT('Final Report'!A80, "","")), 'URL Details'!A:D, 4, F"&amp;"ALSE)),"""") ), CHAR(10), "",""), ""\s*,\s*"", "",""), "",""))), TRIM(FLATTEN(SPLIT( REGEXREPLACE( SUBSTITUTE(TEXTJOIN("","", TRUE, IFERROR(ARRAYFORMULA(VLOOKUP(TRIM(SPLIT('Final Report'!A80, "","")), 'URL Details'!A:D, 4, FALSE)),"""") ), CHAR(10), "","""&amp;"), ""\s*,\s*"", "",""), "","")))&lt;&gt;"""" ) ) ) ),"""")
"),"")</f>
        <v/>
      </c>
      <c r="D80" s="105"/>
      <c r="E80" s="105"/>
      <c r="F80" s="110" t="b">
        <v>0</v>
      </c>
      <c r="G80" s="105" t="str">
        <f>IF(F80=True, IFERROR(VLOOKUP(D80, Repository!A:B, 2, 0), ""), "")</f>
        <v/>
      </c>
      <c r="H80" s="105"/>
      <c r="I80" s="105"/>
      <c r="J80" s="105" t="str">
        <f>IF(F80=True, IFERROR(VLOOKUP(D80, Repository!A:C, 3, 0), ""), "")</f>
        <v/>
      </c>
      <c r="K80" s="105"/>
      <c r="L80" s="105" t="str">
        <f>IF(F80=True, IFERROR(VLOOKUP(D80, Repository!A:E, 5, 0), ""), "")</f>
        <v/>
      </c>
      <c r="M80" s="105"/>
      <c r="N80" s="105" t="str">
        <f>IF(F80=True, IFERROR(VLOOKUP(D80, Repository!A:G, 7, 0), ""), "")</f>
        <v/>
      </c>
      <c r="O80" s="105" t="str">
        <f>IFERROR(__xludf.DUMMYFUNCTION("ARRAY_CONSTRAIN(
  ARRAYFORMULA(
    IFERROR(
      LET(
        list, N80,
        arr, TRIM(SPLIT(list, "","")),
        names, XLOOKUP(
          arr,
          'Conformance Score'!A:A,
          'Conformance Score'!B:B,
          ""Not found""
       "&amp;" ),
        TEXTJOIN("", "", TRUE, names)
      ),
      """"
    )
  ),
  1,
  1
)
"),"")</f>
        <v/>
      </c>
      <c r="P80" s="105" t="str">
        <f>IF(F80="Yes", IFERROR(VLOOKUP(D80, Repository!A:F, 6, 0), ""), "")</f>
        <v/>
      </c>
      <c r="Q80" s="105" t="str">
        <f>IF(F80="Yes", IFERROR(VLOOKUP(D80, Repository!A:I, 8, 0), ""), "")</f>
        <v/>
      </c>
      <c r="R80" s="105" t="str">
        <f>IF(F80="Yes", IFERROR(VLOOKUP(D80, Repository!A:J, 9, 0), ""), "")</f>
        <v/>
      </c>
      <c r="S80" s="105"/>
      <c r="T80" s="105"/>
      <c r="U80" s="105"/>
      <c r="V80" s="105"/>
      <c r="W80" s="105"/>
      <c r="X80" s="105"/>
      <c r="Y80" s="105"/>
      <c r="Z80" s="105"/>
      <c r="AA80" s="105"/>
      <c r="AB80" s="105"/>
      <c r="AC80" s="91"/>
      <c r="AD80" s="105"/>
      <c r="AE80" s="105"/>
      <c r="AF80" s="91"/>
      <c r="AG80" s="105"/>
      <c r="AH80" s="105"/>
      <c r="AI80" s="105" t="str">
        <f t="shared" si="1"/>
        <v/>
      </c>
      <c r="AJ80" s="108" t="str">
        <f t="shared" si="2"/>
        <v/>
      </c>
    </row>
    <row r="81" ht="15.75" customHeight="1">
      <c r="A81" s="104"/>
      <c r="B81" s="105" t="str">
        <f>IFERROR(__xludf.DUMMYFUNCTION("ARRAY_CONSTRAIN(
  ARRAYFORMULA(
    IF(
      'Final Report'!A81="""",
      """",
      TEXTJOIN(
        "", "" &amp; CHAR(10),
        TRUE,
        IFERROR(
          VLOOKUP(
            TRIM(
              SPLIT('Final Report'!A81, "","")
            )"&amp;",
            'URL Details'!A:B,
            2,
            FALSE
          ),
          """"
        )
      )
    )
  ),
  1,
  1
)
"),"")</f>
        <v/>
      </c>
      <c r="C81" s="105" t="str">
        <f>IFERROR(__xludf.DUMMYFUNCTION("IFERROR(IF('Final Report'!A81="""","""", TEXTJOIN(CHAR(10), TRUE, ARRAYFORMULA( ""• ""&amp; FILTER( TRIM(FLATTEN(SPLIT( REGEXREPLACE( SUBSTITUTE(TEXTJOIN("","", TRUE, IFERROR(ARRAYFORMULA(VLOOKUP(TRIM(SPLIT('Final Report'!A81, "","")), 'URL Details'!A:D, 4, F"&amp;"ALSE)),"""") ), CHAR(10), "",""), ""\s*,\s*"", "",""), "",""))), TRIM(FLATTEN(SPLIT( REGEXREPLACE( SUBSTITUTE(TEXTJOIN("","", TRUE, IFERROR(ARRAYFORMULA(VLOOKUP(TRIM(SPLIT('Final Report'!A81, "","")), 'URL Details'!A:D, 4, FALSE)),"""") ), CHAR(10), "","""&amp;"), ""\s*,\s*"", "",""), "","")))&lt;&gt;"""" ) ) ) ),"""")
"),"")</f>
        <v/>
      </c>
      <c r="D81" s="105"/>
      <c r="E81" s="105"/>
      <c r="F81" s="110" t="b">
        <v>0</v>
      </c>
      <c r="G81" s="105" t="str">
        <f>IF(F81=True, IFERROR(VLOOKUP(D81, Repository!A:B, 2, 0), ""), "")</f>
        <v/>
      </c>
      <c r="H81" s="105"/>
      <c r="I81" s="105"/>
      <c r="J81" s="105" t="str">
        <f>IF(F81=True, IFERROR(VLOOKUP(D81, Repository!A:C, 3, 0), ""), "")</f>
        <v/>
      </c>
      <c r="K81" s="105"/>
      <c r="L81" s="105" t="str">
        <f>IF(F81=True, IFERROR(VLOOKUP(D81, Repository!A:E, 5, 0), ""), "")</f>
        <v/>
      </c>
      <c r="M81" s="105"/>
      <c r="N81" s="105" t="str">
        <f>IF(F81=True, IFERROR(VLOOKUP(D81, Repository!A:G, 7, 0), ""), "")</f>
        <v/>
      </c>
      <c r="O81" s="105" t="str">
        <f>IFERROR(__xludf.DUMMYFUNCTION("ARRAY_CONSTRAIN(
  ARRAYFORMULA(
    IFERROR(
      LET(
        list, N81,
        arr, TRIM(SPLIT(list, "","")),
        names, XLOOKUP(
          arr,
          'Conformance Score'!A:A,
          'Conformance Score'!B:B,
          ""Not found""
       "&amp;" ),
        TEXTJOIN("", "", TRUE, names)
      ),
      """"
    )
  ),
  1,
  1
)
"),"")</f>
        <v/>
      </c>
      <c r="P81" s="105" t="str">
        <f>IF(F81="Yes", IFERROR(VLOOKUP(D81, Repository!A:F, 6, 0), ""), "")</f>
        <v/>
      </c>
      <c r="Q81" s="105" t="str">
        <f>IF(F81="Yes", IFERROR(VLOOKUP(D81, Repository!A:I, 8, 0), ""), "")</f>
        <v/>
      </c>
      <c r="R81" s="105" t="str">
        <f>IF(F81="Yes", IFERROR(VLOOKUP(D81, Repository!A:J, 9, 0), ""), "")</f>
        <v/>
      </c>
      <c r="S81" s="105"/>
      <c r="T81" s="105"/>
      <c r="U81" s="105"/>
      <c r="V81" s="105"/>
      <c r="W81" s="105"/>
      <c r="X81" s="105"/>
      <c r="Y81" s="105"/>
      <c r="Z81" s="105"/>
      <c r="AA81" s="105"/>
      <c r="AB81" s="105"/>
      <c r="AC81" s="91"/>
      <c r="AD81" s="105"/>
      <c r="AE81" s="105"/>
      <c r="AF81" s="91"/>
      <c r="AG81" s="105"/>
      <c r="AH81" s="105"/>
      <c r="AI81" s="105" t="str">
        <f t="shared" si="1"/>
        <v/>
      </c>
      <c r="AJ81" s="108" t="str">
        <f t="shared" si="2"/>
        <v/>
      </c>
    </row>
    <row r="82" ht="15.75" customHeight="1">
      <c r="A82" s="104"/>
      <c r="B82" s="105" t="str">
        <f>IFERROR(__xludf.DUMMYFUNCTION("ARRAY_CONSTRAIN(
  ARRAYFORMULA(
    IF(
      'Final Report'!A82="""",
      """",
      TEXTJOIN(
        "", "" &amp; CHAR(10),
        TRUE,
        IFERROR(
          VLOOKUP(
            TRIM(
              SPLIT('Final Report'!A82, "","")
            )"&amp;",
            'URL Details'!A:B,
            2,
            FALSE
          ),
          """"
        )
      )
    )
  ),
  1,
  1
)
"),"")</f>
        <v/>
      </c>
      <c r="C82" s="105" t="str">
        <f>IFERROR(__xludf.DUMMYFUNCTION("IFERROR(IF('Final Report'!A82="""","""", TEXTJOIN(CHAR(10), TRUE, ARRAYFORMULA( ""• ""&amp; FILTER( TRIM(FLATTEN(SPLIT( REGEXREPLACE( SUBSTITUTE(TEXTJOIN("","", TRUE, IFERROR(ARRAYFORMULA(VLOOKUP(TRIM(SPLIT('Final Report'!A82, "","")), 'URL Details'!A:D, 4, F"&amp;"ALSE)),"""") ), CHAR(10), "",""), ""\s*,\s*"", "",""), "",""))), TRIM(FLATTEN(SPLIT( REGEXREPLACE( SUBSTITUTE(TEXTJOIN("","", TRUE, IFERROR(ARRAYFORMULA(VLOOKUP(TRIM(SPLIT('Final Report'!A82, "","")), 'URL Details'!A:D, 4, FALSE)),"""") ), CHAR(10), "","""&amp;"), ""\s*,\s*"", "",""), "","")))&lt;&gt;"""" ) ) ) ),"""")
"),"")</f>
        <v/>
      </c>
      <c r="D82" s="105"/>
      <c r="E82" s="105"/>
      <c r="F82" s="110" t="b">
        <v>0</v>
      </c>
      <c r="G82" s="105" t="str">
        <f>IF(F82=True, IFERROR(VLOOKUP(D82, Repository!A:B, 2, 0), ""), "")</f>
        <v/>
      </c>
      <c r="H82" s="105"/>
      <c r="I82" s="105"/>
      <c r="J82" s="105" t="str">
        <f>IF(F82=True, IFERROR(VLOOKUP(D82, Repository!A:C, 3, 0), ""), "")</f>
        <v/>
      </c>
      <c r="K82" s="105"/>
      <c r="L82" s="105" t="str">
        <f>IF(F82=True, IFERROR(VLOOKUP(D82, Repository!A:E, 5, 0), ""), "")</f>
        <v/>
      </c>
      <c r="M82" s="105"/>
      <c r="N82" s="105" t="str">
        <f>IF(F82=True, IFERROR(VLOOKUP(D82, Repository!A:G, 7, 0), ""), "")</f>
        <v/>
      </c>
      <c r="O82" s="105" t="str">
        <f>IFERROR(__xludf.DUMMYFUNCTION("ARRAY_CONSTRAIN(
  ARRAYFORMULA(
    IFERROR(
      LET(
        list, N82,
        arr, TRIM(SPLIT(list, "","")),
        names, XLOOKUP(
          arr,
          'Conformance Score'!A:A,
          'Conformance Score'!B:B,
          ""Not found""
       "&amp;" ),
        TEXTJOIN("", "", TRUE, names)
      ),
      """"
    )
  ),
  1,
  1
)
"),"")</f>
        <v/>
      </c>
      <c r="P82" s="105" t="str">
        <f>IF(F82="Yes", IFERROR(VLOOKUP(D82, Repository!A:F, 6, 0), ""), "")</f>
        <v/>
      </c>
      <c r="Q82" s="105" t="str">
        <f>IF(F82="Yes", IFERROR(VLOOKUP(D82, Repository!A:I, 8, 0), ""), "")</f>
        <v/>
      </c>
      <c r="R82" s="105" t="str">
        <f>IF(F82="Yes", IFERROR(VLOOKUP(D82, Repository!A:J, 9, 0), ""), "")</f>
        <v/>
      </c>
      <c r="S82" s="105"/>
      <c r="T82" s="105"/>
      <c r="U82" s="105"/>
      <c r="V82" s="105"/>
      <c r="W82" s="105"/>
      <c r="X82" s="105"/>
      <c r="Y82" s="105"/>
      <c r="Z82" s="105"/>
      <c r="AA82" s="105"/>
      <c r="AB82" s="105"/>
      <c r="AC82" s="91"/>
      <c r="AD82" s="105"/>
      <c r="AE82" s="105"/>
      <c r="AF82" s="91"/>
      <c r="AG82" s="105"/>
      <c r="AH82" s="105"/>
      <c r="AI82" s="105" t="str">
        <f t="shared" si="1"/>
        <v/>
      </c>
      <c r="AJ82" s="108" t="str">
        <f t="shared" si="2"/>
        <v/>
      </c>
    </row>
    <row r="83" ht="15.75" customHeight="1">
      <c r="A83" s="104"/>
      <c r="B83" s="105" t="str">
        <f>IFERROR(__xludf.DUMMYFUNCTION("ARRAY_CONSTRAIN(
  ARRAYFORMULA(
    IF(
      'Final Report'!A83="""",
      """",
      TEXTJOIN(
        "", "" &amp; CHAR(10),
        TRUE,
        IFERROR(
          VLOOKUP(
            TRIM(
              SPLIT('Final Report'!A83, "","")
            )"&amp;",
            'URL Details'!A:B,
            2,
            FALSE
          ),
          """"
        )
      )
    )
  ),
  1,
  1
)
"),"")</f>
        <v/>
      </c>
      <c r="C83" s="105" t="str">
        <f>IFERROR(__xludf.DUMMYFUNCTION("IFERROR(IF('Final Report'!A83="""","""", TEXTJOIN(CHAR(10), TRUE, ARRAYFORMULA( ""• ""&amp; FILTER( TRIM(FLATTEN(SPLIT( REGEXREPLACE( SUBSTITUTE(TEXTJOIN("","", TRUE, IFERROR(ARRAYFORMULA(VLOOKUP(TRIM(SPLIT('Final Report'!A83, "","")), 'URL Details'!A:D, 4, F"&amp;"ALSE)),"""") ), CHAR(10), "",""), ""\s*,\s*"", "",""), "",""))), TRIM(FLATTEN(SPLIT( REGEXREPLACE( SUBSTITUTE(TEXTJOIN("","", TRUE, IFERROR(ARRAYFORMULA(VLOOKUP(TRIM(SPLIT('Final Report'!A83, "","")), 'URL Details'!A:D, 4, FALSE)),"""") ), CHAR(10), "","""&amp;"), ""\s*,\s*"", "",""), "","")))&lt;&gt;"""" ) ) ) ),"""")
"),"")</f>
        <v/>
      </c>
      <c r="D83" s="105"/>
      <c r="E83" s="105"/>
      <c r="F83" s="110" t="b">
        <v>0</v>
      </c>
      <c r="G83" s="105" t="str">
        <f>IF(F83=True, IFERROR(VLOOKUP(D83, Repository!A:B, 2, 0), ""), "")</f>
        <v/>
      </c>
      <c r="H83" s="105"/>
      <c r="I83" s="105"/>
      <c r="J83" s="105" t="str">
        <f>IF(F83=True, IFERROR(VLOOKUP(D83, Repository!A:C, 3, 0), ""), "")</f>
        <v/>
      </c>
      <c r="K83" s="105"/>
      <c r="L83" s="105" t="str">
        <f>IF(F83=True, IFERROR(VLOOKUP(D83, Repository!A:E, 5, 0), ""), "")</f>
        <v/>
      </c>
      <c r="M83" s="105"/>
      <c r="N83" s="105" t="str">
        <f>IF(F83=True, IFERROR(VLOOKUP(D83, Repository!A:G, 7, 0), ""), "")</f>
        <v/>
      </c>
      <c r="O83" s="105" t="str">
        <f>IFERROR(__xludf.DUMMYFUNCTION("ARRAY_CONSTRAIN(
  ARRAYFORMULA(
    IFERROR(
      LET(
        list, N83,
        arr, TRIM(SPLIT(list, "","")),
        names, XLOOKUP(
          arr,
          'Conformance Score'!A:A,
          'Conformance Score'!B:B,
          ""Not found""
       "&amp;" ),
        TEXTJOIN("", "", TRUE, names)
      ),
      """"
    )
  ),
  1,
  1
)
"),"")</f>
        <v/>
      </c>
      <c r="P83" s="105" t="str">
        <f>IF(F83="Yes", IFERROR(VLOOKUP(D83, Repository!A:F, 6, 0), ""), "")</f>
        <v/>
      </c>
      <c r="Q83" s="105" t="str">
        <f>IF(F83="Yes", IFERROR(VLOOKUP(D83, Repository!A:I, 8, 0), ""), "")</f>
        <v/>
      </c>
      <c r="R83" s="105" t="str">
        <f>IF(F83="Yes", IFERROR(VLOOKUP(D83, Repository!A:J, 9, 0), ""), "")</f>
        <v/>
      </c>
      <c r="S83" s="105"/>
      <c r="T83" s="105"/>
      <c r="U83" s="105"/>
      <c r="V83" s="105"/>
      <c r="W83" s="105"/>
      <c r="X83" s="105"/>
      <c r="Y83" s="105"/>
      <c r="Z83" s="105"/>
      <c r="AA83" s="105"/>
      <c r="AB83" s="105"/>
      <c r="AC83" s="91"/>
      <c r="AD83" s="105"/>
      <c r="AE83" s="105"/>
      <c r="AF83" s="91"/>
      <c r="AG83" s="105"/>
      <c r="AH83" s="105"/>
      <c r="AI83" s="105" t="str">
        <f t="shared" si="1"/>
        <v/>
      </c>
      <c r="AJ83" s="108" t="str">
        <f t="shared" si="2"/>
        <v/>
      </c>
    </row>
    <row r="84" ht="15.75" customHeight="1">
      <c r="A84" s="104"/>
      <c r="B84" s="105" t="str">
        <f>IFERROR(__xludf.DUMMYFUNCTION("ARRAY_CONSTRAIN(
  ARRAYFORMULA(
    IF(
      'Final Report'!A84="""",
      """",
      TEXTJOIN(
        "", "" &amp; CHAR(10),
        TRUE,
        IFERROR(
          VLOOKUP(
            TRIM(
              SPLIT('Final Report'!A84, "","")
            )"&amp;",
            'URL Details'!A:B,
            2,
            FALSE
          ),
          """"
        )
      )
    )
  ),
  1,
  1
)
"),"")</f>
        <v/>
      </c>
      <c r="C84" s="105" t="str">
        <f>IFERROR(__xludf.DUMMYFUNCTION("IFERROR(IF('Final Report'!A84="""","""", TEXTJOIN(CHAR(10), TRUE, ARRAYFORMULA( ""• ""&amp; FILTER( TRIM(FLATTEN(SPLIT( REGEXREPLACE( SUBSTITUTE(TEXTJOIN("","", TRUE, IFERROR(ARRAYFORMULA(VLOOKUP(TRIM(SPLIT('Final Report'!A84, "","")), 'URL Details'!A:D, 4, F"&amp;"ALSE)),"""") ), CHAR(10), "",""), ""\s*,\s*"", "",""), "",""))), TRIM(FLATTEN(SPLIT( REGEXREPLACE( SUBSTITUTE(TEXTJOIN("","", TRUE, IFERROR(ARRAYFORMULA(VLOOKUP(TRIM(SPLIT('Final Report'!A84, "","")), 'URL Details'!A:D, 4, FALSE)),"""") ), CHAR(10), "","""&amp;"), ""\s*,\s*"", "",""), "","")))&lt;&gt;"""" ) ) ) ),"""")
"),"")</f>
        <v/>
      </c>
      <c r="D84" s="105"/>
      <c r="E84" s="105"/>
      <c r="F84" s="110" t="b">
        <v>0</v>
      </c>
      <c r="G84" s="105" t="str">
        <f>IF(F84=True, IFERROR(VLOOKUP(D84, Repository!A:B, 2, 0), ""), "")</f>
        <v/>
      </c>
      <c r="H84" s="105"/>
      <c r="I84" s="105"/>
      <c r="J84" s="105" t="str">
        <f>IF(F84=True, IFERROR(VLOOKUP(D84, Repository!A:C, 3, 0), ""), "")</f>
        <v/>
      </c>
      <c r="K84" s="105"/>
      <c r="L84" s="105" t="str">
        <f>IF(F84=True, IFERROR(VLOOKUP(D84, Repository!A:E, 5, 0), ""), "")</f>
        <v/>
      </c>
      <c r="M84" s="105"/>
      <c r="N84" s="105" t="str">
        <f>IF(F84=True, IFERROR(VLOOKUP(D84, Repository!A:G, 7, 0), ""), "")</f>
        <v/>
      </c>
      <c r="O84" s="105" t="str">
        <f>IFERROR(__xludf.DUMMYFUNCTION("ARRAY_CONSTRAIN(
  ARRAYFORMULA(
    IFERROR(
      LET(
        list, N84,
        arr, TRIM(SPLIT(list, "","")),
        names, XLOOKUP(
          arr,
          'Conformance Score'!A:A,
          'Conformance Score'!B:B,
          ""Not found""
       "&amp;" ),
        TEXTJOIN("", "", TRUE, names)
      ),
      """"
    )
  ),
  1,
  1
)
"),"")</f>
        <v/>
      </c>
      <c r="P84" s="105" t="str">
        <f>IF(F84="Yes", IFERROR(VLOOKUP(D84, Repository!A:F, 6, 0), ""), "")</f>
        <v/>
      </c>
      <c r="Q84" s="105" t="str">
        <f>IF(F84="Yes", IFERROR(VLOOKUP(D84, Repository!A:I, 8, 0), ""), "")</f>
        <v/>
      </c>
      <c r="R84" s="105" t="str">
        <f>IF(F84="Yes", IFERROR(VLOOKUP(D84, Repository!A:J, 9, 0), ""), "")</f>
        <v/>
      </c>
      <c r="S84" s="105"/>
      <c r="T84" s="105"/>
      <c r="U84" s="105"/>
      <c r="V84" s="105"/>
      <c r="W84" s="105"/>
      <c r="X84" s="105"/>
      <c r="Y84" s="105"/>
      <c r="Z84" s="105"/>
      <c r="AA84" s="105"/>
      <c r="AB84" s="105"/>
      <c r="AC84" s="91"/>
      <c r="AD84" s="105"/>
      <c r="AE84" s="105"/>
      <c r="AF84" s="91"/>
      <c r="AG84" s="105"/>
      <c r="AH84" s="105"/>
      <c r="AI84" s="105" t="str">
        <f t="shared" si="1"/>
        <v/>
      </c>
      <c r="AJ84" s="108" t="str">
        <f t="shared" si="2"/>
        <v/>
      </c>
    </row>
    <row r="85" ht="15.75" customHeight="1">
      <c r="A85" s="104"/>
      <c r="B85" s="105" t="str">
        <f>IFERROR(__xludf.DUMMYFUNCTION("ARRAY_CONSTRAIN(
  ARRAYFORMULA(
    IF(
      'Final Report'!A85="""",
      """",
      TEXTJOIN(
        "", "" &amp; CHAR(10),
        TRUE,
        IFERROR(
          VLOOKUP(
            TRIM(
              SPLIT('Final Report'!A85, "","")
            )"&amp;",
            'URL Details'!A:B,
            2,
            FALSE
          ),
          """"
        )
      )
    )
  ),
  1,
  1
)
"),"")</f>
        <v/>
      </c>
      <c r="C85" s="105" t="str">
        <f>IFERROR(__xludf.DUMMYFUNCTION("IFERROR(IF('Final Report'!A85="""","""", TEXTJOIN(CHAR(10), TRUE, ARRAYFORMULA( ""• ""&amp; FILTER( TRIM(FLATTEN(SPLIT( REGEXREPLACE( SUBSTITUTE(TEXTJOIN("","", TRUE, IFERROR(ARRAYFORMULA(VLOOKUP(TRIM(SPLIT('Final Report'!A85, "","")), 'URL Details'!A:D, 4, F"&amp;"ALSE)),"""") ), CHAR(10), "",""), ""\s*,\s*"", "",""), "",""))), TRIM(FLATTEN(SPLIT( REGEXREPLACE( SUBSTITUTE(TEXTJOIN("","", TRUE, IFERROR(ARRAYFORMULA(VLOOKUP(TRIM(SPLIT('Final Report'!A85, "","")), 'URL Details'!A:D, 4, FALSE)),"""") ), CHAR(10), "","""&amp;"), ""\s*,\s*"", "",""), "","")))&lt;&gt;"""" ) ) ) ),"""")
"),"")</f>
        <v/>
      </c>
      <c r="D85" s="105"/>
      <c r="E85" s="105"/>
      <c r="F85" s="110" t="b">
        <v>0</v>
      </c>
      <c r="G85" s="105" t="str">
        <f>IF(F85=True, IFERROR(VLOOKUP(D85, Repository!A:B, 2, 0), ""), "")</f>
        <v/>
      </c>
      <c r="H85" s="105"/>
      <c r="I85" s="105"/>
      <c r="J85" s="105" t="str">
        <f>IF(F85=True, IFERROR(VLOOKUP(D85, Repository!A:C, 3, 0), ""), "")</f>
        <v/>
      </c>
      <c r="K85" s="105"/>
      <c r="L85" s="105" t="str">
        <f>IF(F85=True, IFERROR(VLOOKUP(D85, Repository!A:E, 5, 0), ""), "")</f>
        <v/>
      </c>
      <c r="M85" s="105"/>
      <c r="N85" s="105" t="str">
        <f>IF(F85=True, IFERROR(VLOOKUP(D85, Repository!A:G, 7, 0), ""), "")</f>
        <v/>
      </c>
      <c r="O85" s="105" t="str">
        <f>IFERROR(__xludf.DUMMYFUNCTION("ARRAY_CONSTRAIN(
  ARRAYFORMULA(
    IFERROR(
      LET(
        list, N85,
        arr, TRIM(SPLIT(list, "","")),
        names, XLOOKUP(
          arr,
          'Conformance Score'!A:A,
          'Conformance Score'!B:B,
          ""Not found""
       "&amp;" ),
        TEXTJOIN("", "", TRUE, names)
      ),
      """"
    )
  ),
  1,
  1
)
"),"")</f>
        <v/>
      </c>
      <c r="P85" s="105" t="str">
        <f>IF(F85="Yes", IFERROR(VLOOKUP(D85, Repository!A:F, 6, 0), ""), "")</f>
        <v/>
      </c>
      <c r="Q85" s="105" t="str">
        <f>IF(F85="Yes", IFERROR(VLOOKUP(D85, Repository!A:I, 8, 0), ""), "")</f>
        <v/>
      </c>
      <c r="R85" s="105" t="str">
        <f>IF(F85="Yes", IFERROR(VLOOKUP(D85, Repository!A:J, 9, 0), ""), "")</f>
        <v/>
      </c>
      <c r="S85" s="105"/>
      <c r="T85" s="105"/>
      <c r="U85" s="105"/>
      <c r="V85" s="105"/>
      <c r="W85" s="105"/>
      <c r="X85" s="105"/>
      <c r="Y85" s="105"/>
      <c r="Z85" s="105"/>
      <c r="AA85" s="105"/>
      <c r="AB85" s="105"/>
      <c r="AC85" s="91"/>
      <c r="AD85" s="105"/>
      <c r="AE85" s="105"/>
      <c r="AF85" s="91"/>
      <c r="AG85" s="105"/>
      <c r="AH85" s="105"/>
      <c r="AI85" s="105" t="str">
        <f t="shared" si="1"/>
        <v/>
      </c>
      <c r="AJ85" s="108" t="str">
        <f t="shared" si="2"/>
        <v/>
      </c>
    </row>
    <row r="86" ht="15.75" customHeight="1">
      <c r="A86" s="104"/>
      <c r="B86" s="105" t="str">
        <f>IFERROR(__xludf.DUMMYFUNCTION("ARRAY_CONSTRAIN(
  ARRAYFORMULA(
    IF(
      'Final Report'!A86="""",
      """",
      TEXTJOIN(
        "", "" &amp; CHAR(10),
        TRUE,
        IFERROR(
          VLOOKUP(
            TRIM(
              SPLIT('Final Report'!A86, "","")
            )"&amp;",
            'URL Details'!A:B,
            2,
            FALSE
          ),
          """"
        )
      )
    )
  ),
  1,
  1
)
"),"")</f>
        <v/>
      </c>
      <c r="C86" s="105" t="str">
        <f>IFERROR(__xludf.DUMMYFUNCTION("IFERROR(IF('Final Report'!A86="""","""", TEXTJOIN(CHAR(10), TRUE, ARRAYFORMULA( ""• ""&amp; FILTER( TRIM(FLATTEN(SPLIT( REGEXREPLACE( SUBSTITUTE(TEXTJOIN("","", TRUE, IFERROR(ARRAYFORMULA(VLOOKUP(TRIM(SPLIT('Final Report'!A86, "","")), 'URL Details'!A:D, 4, F"&amp;"ALSE)),"""") ), CHAR(10), "",""), ""\s*,\s*"", "",""), "",""))), TRIM(FLATTEN(SPLIT( REGEXREPLACE( SUBSTITUTE(TEXTJOIN("","", TRUE, IFERROR(ARRAYFORMULA(VLOOKUP(TRIM(SPLIT('Final Report'!A86, "","")), 'URL Details'!A:D, 4, FALSE)),"""") ), CHAR(10), "","""&amp;"), ""\s*,\s*"", "",""), "","")))&lt;&gt;"""" ) ) ) ),"""")
"),"")</f>
        <v/>
      </c>
      <c r="D86" s="105"/>
      <c r="E86" s="105"/>
      <c r="F86" s="110" t="b">
        <v>0</v>
      </c>
      <c r="G86" s="105" t="str">
        <f>IF(F86=True, IFERROR(VLOOKUP(D86, Repository!A:B, 2, 0), ""), "")</f>
        <v/>
      </c>
      <c r="H86" s="105"/>
      <c r="I86" s="105"/>
      <c r="J86" s="105" t="str">
        <f>IF(F86=True, IFERROR(VLOOKUP(D86, Repository!A:C, 3, 0), ""), "")</f>
        <v/>
      </c>
      <c r="K86" s="105"/>
      <c r="L86" s="105" t="str">
        <f>IF(F86=True, IFERROR(VLOOKUP(D86, Repository!A:E, 5, 0), ""), "")</f>
        <v/>
      </c>
      <c r="M86" s="105"/>
      <c r="N86" s="105" t="str">
        <f>IF(F86=True, IFERROR(VLOOKUP(D86, Repository!A:G, 7, 0), ""), "")</f>
        <v/>
      </c>
      <c r="O86" s="105" t="str">
        <f>IFERROR(__xludf.DUMMYFUNCTION("ARRAY_CONSTRAIN(
  ARRAYFORMULA(
    IFERROR(
      LET(
        list, N86,
        arr, TRIM(SPLIT(list, "","")),
        names, XLOOKUP(
          arr,
          'Conformance Score'!A:A,
          'Conformance Score'!B:B,
          ""Not found""
       "&amp;" ),
        TEXTJOIN("", "", TRUE, names)
      ),
      """"
    )
  ),
  1,
  1
)
"),"")</f>
        <v/>
      </c>
      <c r="P86" s="105" t="str">
        <f>IF(F86="Yes", IFERROR(VLOOKUP(D86, Repository!A:F, 6, 0), ""), "")</f>
        <v/>
      </c>
      <c r="Q86" s="105" t="str">
        <f>IF(F86="Yes", IFERROR(VLOOKUP(D86, Repository!A:I, 8, 0), ""), "")</f>
        <v/>
      </c>
      <c r="R86" s="105" t="str">
        <f>IF(F86="Yes", IFERROR(VLOOKUP(D86, Repository!A:J, 9, 0), ""), "")</f>
        <v/>
      </c>
      <c r="S86" s="105"/>
      <c r="T86" s="105"/>
      <c r="U86" s="105"/>
      <c r="V86" s="105"/>
      <c r="W86" s="105"/>
      <c r="X86" s="105"/>
      <c r="Y86" s="105"/>
      <c r="Z86" s="105"/>
      <c r="AA86" s="105"/>
      <c r="AB86" s="105"/>
      <c r="AC86" s="91"/>
      <c r="AD86" s="105"/>
      <c r="AE86" s="105"/>
      <c r="AF86" s="91"/>
      <c r="AG86" s="105"/>
      <c r="AH86" s="105"/>
      <c r="AI86" s="105" t="str">
        <f t="shared" si="1"/>
        <v/>
      </c>
      <c r="AJ86" s="108" t="str">
        <f t="shared" si="2"/>
        <v/>
      </c>
    </row>
    <row r="87" ht="15.75" customHeight="1">
      <c r="A87" s="104"/>
      <c r="B87" s="105" t="str">
        <f>IFERROR(__xludf.DUMMYFUNCTION("ARRAY_CONSTRAIN(
  ARRAYFORMULA(
    IF(
      'Final Report'!A87="""",
      """",
      TEXTJOIN(
        "", "" &amp; CHAR(10),
        TRUE,
        IFERROR(
          VLOOKUP(
            TRIM(
              SPLIT('Final Report'!A87, "","")
            )"&amp;",
            'URL Details'!A:B,
            2,
            FALSE
          ),
          """"
        )
      )
    )
  ),
  1,
  1
)
"),"")</f>
        <v/>
      </c>
      <c r="C87" s="105" t="str">
        <f>IFERROR(__xludf.DUMMYFUNCTION("IFERROR(IF('Final Report'!A87="""","""", TEXTJOIN(CHAR(10), TRUE, ARRAYFORMULA( ""• ""&amp; FILTER( TRIM(FLATTEN(SPLIT( REGEXREPLACE( SUBSTITUTE(TEXTJOIN("","", TRUE, IFERROR(ARRAYFORMULA(VLOOKUP(TRIM(SPLIT('Final Report'!A87, "","")), 'URL Details'!A:D, 4, F"&amp;"ALSE)),"""") ), CHAR(10), "",""), ""\s*,\s*"", "",""), "",""))), TRIM(FLATTEN(SPLIT( REGEXREPLACE( SUBSTITUTE(TEXTJOIN("","", TRUE, IFERROR(ARRAYFORMULA(VLOOKUP(TRIM(SPLIT('Final Report'!A87, "","")), 'URL Details'!A:D, 4, FALSE)),"""") ), CHAR(10), "","""&amp;"), ""\s*,\s*"", "",""), "","")))&lt;&gt;"""" ) ) ) ),"""")
"),"")</f>
        <v/>
      </c>
      <c r="D87" s="105"/>
      <c r="E87" s="105"/>
      <c r="F87" s="110" t="b">
        <v>0</v>
      </c>
      <c r="G87" s="105" t="str">
        <f>IF(F87=True, IFERROR(VLOOKUP(D87, Repository!A:B, 2, 0), ""), "")</f>
        <v/>
      </c>
      <c r="H87" s="105"/>
      <c r="I87" s="105"/>
      <c r="J87" s="105" t="str">
        <f>IF(F87=True, IFERROR(VLOOKUP(D87, Repository!A:C, 3, 0), ""), "")</f>
        <v/>
      </c>
      <c r="K87" s="105"/>
      <c r="L87" s="105" t="str">
        <f>IF(F87=True, IFERROR(VLOOKUP(D87, Repository!A:E, 5, 0), ""), "")</f>
        <v/>
      </c>
      <c r="M87" s="105"/>
      <c r="N87" s="105" t="str">
        <f>IF(F87=True, IFERROR(VLOOKUP(D87, Repository!A:G, 7, 0), ""), "")</f>
        <v/>
      </c>
      <c r="O87" s="105" t="str">
        <f>IFERROR(__xludf.DUMMYFUNCTION("ARRAY_CONSTRAIN(
  ARRAYFORMULA(
    IFERROR(
      LET(
        list, N87,
        arr, TRIM(SPLIT(list, "","")),
        names, XLOOKUP(
          arr,
          'Conformance Score'!A:A,
          'Conformance Score'!B:B,
          ""Not found""
       "&amp;" ),
        TEXTJOIN("", "", TRUE, names)
      ),
      """"
    )
  ),
  1,
  1
)
"),"")</f>
        <v/>
      </c>
      <c r="P87" s="105" t="str">
        <f>IF(F87="Yes", IFERROR(VLOOKUP(D87, Repository!A:F, 6, 0), ""), "")</f>
        <v/>
      </c>
      <c r="Q87" s="105" t="str">
        <f>IF(F87="Yes", IFERROR(VLOOKUP(D87, Repository!A:I, 8, 0), ""), "")</f>
        <v/>
      </c>
      <c r="R87" s="105" t="str">
        <f>IF(F87="Yes", IFERROR(VLOOKUP(D87, Repository!A:J, 9, 0), ""), "")</f>
        <v/>
      </c>
      <c r="S87" s="105"/>
      <c r="T87" s="105"/>
      <c r="U87" s="105"/>
      <c r="V87" s="105"/>
      <c r="W87" s="105"/>
      <c r="X87" s="105"/>
      <c r="Y87" s="105"/>
      <c r="Z87" s="105"/>
      <c r="AA87" s="105"/>
      <c r="AB87" s="105"/>
      <c r="AC87" s="91"/>
      <c r="AD87" s="105"/>
      <c r="AE87" s="105"/>
      <c r="AF87" s="91"/>
      <c r="AG87" s="105"/>
      <c r="AH87" s="105"/>
      <c r="AI87" s="105" t="str">
        <f t="shared" si="1"/>
        <v/>
      </c>
      <c r="AJ87" s="108" t="str">
        <f t="shared" si="2"/>
        <v/>
      </c>
    </row>
    <row r="88" ht="15.75" customHeight="1">
      <c r="A88" s="104"/>
      <c r="B88" s="105" t="str">
        <f>IFERROR(__xludf.DUMMYFUNCTION("ARRAY_CONSTRAIN(
  ARRAYFORMULA(
    IF(
      'Final Report'!A88="""",
      """",
      TEXTJOIN(
        "", "" &amp; CHAR(10),
        TRUE,
        IFERROR(
          VLOOKUP(
            TRIM(
              SPLIT('Final Report'!A88, "","")
            )"&amp;",
            'URL Details'!A:B,
            2,
            FALSE
          ),
          """"
        )
      )
    )
  ),
  1,
  1
)
"),"")</f>
        <v/>
      </c>
      <c r="C88" s="105" t="str">
        <f>IFERROR(__xludf.DUMMYFUNCTION("IFERROR(IF('Final Report'!A88="""","""", TEXTJOIN(CHAR(10), TRUE, ARRAYFORMULA( ""• ""&amp; FILTER( TRIM(FLATTEN(SPLIT( REGEXREPLACE( SUBSTITUTE(TEXTJOIN("","", TRUE, IFERROR(ARRAYFORMULA(VLOOKUP(TRIM(SPLIT('Final Report'!A88, "","")), 'URL Details'!A:D, 4, F"&amp;"ALSE)),"""") ), CHAR(10), "",""), ""\s*,\s*"", "",""), "",""))), TRIM(FLATTEN(SPLIT( REGEXREPLACE( SUBSTITUTE(TEXTJOIN("","", TRUE, IFERROR(ARRAYFORMULA(VLOOKUP(TRIM(SPLIT('Final Report'!A88, "","")), 'URL Details'!A:D, 4, FALSE)),"""") ), CHAR(10), "","""&amp;"), ""\s*,\s*"", "",""), "","")))&lt;&gt;"""" ) ) ) ),"""")
"),"")</f>
        <v/>
      </c>
      <c r="D88" s="105"/>
      <c r="E88" s="105"/>
      <c r="F88" s="110" t="b">
        <v>0</v>
      </c>
      <c r="G88" s="105" t="str">
        <f>IF(F88=True, IFERROR(VLOOKUP(D88, Repository!A:B, 2, 0), ""), "")</f>
        <v/>
      </c>
      <c r="H88" s="105"/>
      <c r="I88" s="105"/>
      <c r="J88" s="105" t="str">
        <f>IF(F88=True, IFERROR(VLOOKUP(D88, Repository!A:C, 3, 0), ""), "")</f>
        <v/>
      </c>
      <c r="K88" s="105"/>
      <c r="L88" s="105" t="str">
        <f>IF(F88=True, IFERROR(VLOOKUP(D88, Repository!A:E, 5, 0), ""), "")</f>
        <v/>
      </c>
      <c r="M88" s="105"/>
      <c r="N88" s="105" t="str">
        <f>IF(F88=True, IFERROR(VLOOKUP(D88, Repository!A:G, 7, 0), ""), "")</f>
        <v/>
      </c>
      <c r="O88" s="105" t="str">
        <f>IFERROR(__xludf.DUMMYFUNCTION("ARRAY_CONSTRAIN(
  ARRAYFORMULA(
    IFERROR(
      LET(
        list, N88,
        arr, TRIM(SPLIT(list, "","")),
        names, XLOOKUP(
          arr,
          'Conformance Score'!A:A,
          'Conformance Score'!B:B,
          ""Not found""
       "&amp;" ),
        TEXTJOIN("", "", TRUE, names)
      ),
      """"
    )
  ),
  1,
  1
)
"),"")</f>
        <v/>
      </c>
      <c r="P88" s="105" t="str">
        <f>IF(F88="Yes", IFERROR(VLOOKUP(D88, Repository!A:F, 6, 0), ""), "")</f>
        <v/>
      </c>
      <c r="Q88" s="105" t="str">
        <f>IF(F88="Yes", IFERROR(VLOOKUP(D88, Repository!A:I, 8, 0), ""), "")</f>
        <v/>
      </c>
      <c r="R88" s="105" t="str">
        <f>IF(F88="Yes", IFERROR(VLOOKUP(D88, Repository!A:J, 9, 0), ""), "")</f>
        <v/>
      </c>
      <c r="S88" s="105"/>
      <c r="T88" s="105"/>
      <c r="U88" s="105"/>
      <c r="V88" s="105"/>
      <c r="W88" s="105"/>
      <c r="X88" s="105"/>
      <c r="Y88" s="105"/>
      <c r="Z88" s="105"/>
      <c r="AA88" s="105"/>
      <c r="AB88" s="105"/>
      <c r="AC88" s="91"/>
      <c r="AD88" s="105"/>
      <c r="AE88" s="105"/>
      <c r="AF88" s="91"/>
      <c r="AG88" s="105"/>
      <c r="AH88" s="105"/>
      <c r="AI88" s="105" t="str">
        <f t="shared" si="1"/>
        <v/>
      </c>
      <c r="AJ88" s="108" t="str">
        <f t="shared" si="2"/>
        <v/>
      </c>
    </row>
    <row r="89" ht="15.75" customHeight="1">
      <c r="A89" s="104"/>
      <c r="B89" s="105" t="str">
        <f>IFERROR(__xludf.DUMMYFUNCTION("ARRAY_CONSTRAIN(
  ARRAYFORMULA(
    IF(
      'Final Report'!A89="""",
      """",
      TEXTJOIN(
        "", "" &amp; CHAR(10),
        TRUE,
        IFERROR(
          VLOOKUP(
            TRIM(
              SPLIT('Final Report'!A89, "","")
            )"&amp;",
            'URL Details'!A:B,
            2,
            FALSE
          ),
          """"
        )
      )
    )
  ),
  1,
  1
)
"),"")</f>
        <v/>
      </c>
      <c r="C89" s="105" t="str">
        <f>IFERROR(__xludf.DUMMYFUNCTION("IFERROR(IF('Final Report'!A89="""","""", TEXTJOIN(CHAR(10), TRUE, ARRAYFORMULA( ""• ""&amp; FILTER( TRIM(FLATTEN(SPLIT( REGEXREPLACE( SUBSTITUTE(TEXTJOIN("","", TRUE, IFERROR(ARRAYFORMULA(VLOOKUP(TRIM(SPLIT('Final Report'!A89, "","")), 'URL Details'!A:D, 4, F"&amp;"ALSE)),"""") ), CHAR(10), "",""), ""\s*,\s*"", "",""), "",""))), TRIM(FLATTEN(SPLIT( REGEXREPLACE( SUBSTITUTE(TEXTJOIN("","", TRUE, IFERROR(ARRAYFORMULA(VLOOKUP(TRIM(SPLIT('Final Report'!A89, "","")), 'URL Details'!A:D, 4, FALSE)),"""") ), CHAR(10), "","""&amp;"), ""\s*,\s*"", "",""), "","")))&lt;&gt;"""" ) ) ) ),"""")
"),"")</f>
        <v/>
      </c>
      <c r="D89" s="105"/>
      <c r="E89" s="105"/>
      <c r="F89" s="110" t="b">
        <v>0</v>
      </c>
      <c r="G89" s="105" t="str">
        <f>IF(F89=True, IFERROR(VLOOKUP(D89, Repository!A:B, 2, 0), ""), "")</f>
        <v/>
      </c>
      <c r="H89" s="105"/>
      <c r="I89" s="105"/>
      <c r="J89" s="105" t="str">
        <f>IF(F89=True, IFERROR(VLOOKUP(D89, Repository!A:C, 3, 0), ""), "")</f>
        <v/>
      </c>
      <c r="K89" s="105"/>
      <c r="L89" s="105" t="str">
        <f>IF(F89=True, IFERROR(VLOOKUP(D89, Repository!A:E, 5, 0), ""), "")</f>
        <v/>
      </c>
      <c r="M89" s="105"/>
      <c r="N89" s="105" t="str">
        <f>IF(F89=True, IFERROR(VLOOKUP(D89, Repository!A:G, 7, 0), ""), "")</f>
        <v/>
      </c>
      <c r="O89" s="105" t="str">
        <f>IFERROR(__xludf.DUMMYFUNCTION("ARRAY_CONSTRAIN(
  ARRAYFORMULA(
    IFERROR(
      LET(
        list, N89,
        arr, TRIM(SPLIT(list, "","")),
        names, XLOOKUP(
          arr,
          'Conformance Score'!A:A,
          'Conformance Score'!B:B,
          ""Not found""
       "&amp;" ),
        TEXTJOIN("", "", TRUE, names)
      ),
      """"
    )
  ),
  1,
  1
)
"),"")</f>
        <v/>
      </c>
      <c r="P89" s="105" t="str">
        <f>IF(F89="Yes", IFERROR(VLOOKUP(D89, Repository!A:F, 6, 0), ""), "")</f>
        <v/>
      </c>
      <c r="Q89" s="105" t="str">
        <f>IF(F89="Yes", IFERROR(VLOOKUP(D89, Repository!A:I, 8, 0), ""), "")</f>
        <v/>
      </c>
      <c r="R89" s="105" t="str">
        <f>IF(F89="Yes", IFERROR(VLOOKUP(D89, Repository!A:J, 9, 0), ""), "")</f>
        <v/>
      </c>
      <c r="S89" s="105"/>
      <c r="T89" s="105"/>
      <c r="U89" s="105"/>
      <c r="V89" s="105"/>
      <c r="W89" s="105"/>
      <c r="X89" s="105"/>
      <c r="Y89" s="105"/>
      <c r="Z89" s="105"/>
      <c r="AA89" s="105"/>
      <c r="AB89" s="105"/>
      <c r="AC89" s="91"/>
      <c r="AD89" s="105"/>
      <c r="AE89" s="105"/>
      <c r="AF89" s="91"/>
      <c r="AG89" s="105"/>
      <c r="AH89" s="105"/>
      <c r="AI89" s="105" t="str">
        <f t="shared" si="1"/>
        <v/>
      </c>
      <c r="AJ89" s="108" t="str">
        <f t="shared" si="2"/>
        <v/>
      </c>
    </row>
    <row r="90" ht="15.75" customHeight="1">
      <c r="A90" s="104"/>
      <c r="B90" s="105" t="str">
        <f>IFERROR(__xludf.DUMMYFUNCTION("ARRAY_CONSTRAIN(
  ARRAYFORMULA(
    IF(
      'Final Report'!A90="""",
      """",
      TEXTJOIN(
        "", "" &amp; CHAR(10),
        TRUE,
        IFERROR(
          VLOOKUP(
            TRIM(
              SPLIT('Final Report'!A90, "","")
            )"&amp;",
            'URL Details'!A:B,
            2,
            FALSE
          ),
          """"
        )
      )
    )
  ),
  1,
  1
)
"),"")</f>
        <v/>
      </c>
      <c r="C90" s="105" t="str">
        <f>IFERROR(__xludf.DUMMYFUNCTION("IFERROR(IF('Final Report'!A90="""","""", TEXTJOIN(CHAR(10), TRUE, ARRAYFORMULA( ""• ""&amp; FILTER( TRIM(FLATTEN(SPLIT( REGEXREPLACE( SUBSTITUTE(TEXTJOIN("","", TRUE, IFERROR(ARRAYFORMULA(VLOOKUP(TRIM(SPLIT('Final Report'!A90, "","")), 'URL Details'!A:D, 4, F"&amp;"ALSE)),"""") ), CHAR(10), "",""), ""\s*,\s*"", "",""), "",""))), TRIM(FLATTEN(SPLIT( REGEXREPLACE( SUBSTITUTE(TEXTJOIN("","", TRUE, IFERROR(ARRAYFORMULA(VLOOKUP(TRIM(SPLIT('Final Report'!A90, "","")), 'URL Details'!A:D, 4, FALSE)),"""") ), CHAR(10), "","""&amp;"), ""\s*,\s*"", "",""), "","")))&lt;&gt;"""" ) ) ) ),"""")
"),"")</f>
        <v/>
      </c>
      <c r="D90" s="105"/>
      <c r="E90" s="105"/>
      <c r="F90" s="110" t="b">
        <v>0</v>
      </c>
      <c r="G90" s="105" t="str">
        <f>IF(F90=True, IFERROR(VLOOKUP(D90, Repository!A:B, 2, 0), ""), "")</f>
        <v/>
      </c>
      <c r="H90" s="105"/>
      <c r="I90" s="105"/>
      <c r="J90" s="105" t="str">
        <f>IF(F90=True, IFERROR(VLOOKUP(D90, Repository!A:C, 3, 0), ""), "")</f>
        <v/>
      </c>
      <c r="K90" s="105"/>
      <c r="L90" s="105" t="str">
        <f>IF(F90=True, IFERROR(VLOOKUP(D90, Repository!A:E, 5, 0), ""), "")</f>
        <v/>
      </c>
      <c r="M90" s="105"/>
      <c r="N90" s="105" t="str">
        <f>IF(F90=True, IFERROR(VLOOKUP(D90, Repository!A:G, 7, 0), ""), "")</f>
        <v/>
      </c>
      <c r="O90" s="105" t="str">
        <f>IFERROR(__xludf.DUMMYFUNCTION("ARRAY_CONSTRAIN(
  ARRAYFORMULA(
    IFERROR(
      LET(
        list, N90,
        arr, TRIM(SPLIT(list, "","")),
        names, XLOOKUP(
          arr,
          'Conformance Score'!A:A,
          'Conformance Score'!B:B,
          ""Not found""
       "&amp;" ),
        TEXTJOIN("", "", TRUE, names)
      ),
      """"
    )
  ),
  1,
  1
)
"),"")</f>
        <v/>
      </c>
      <c r="P90" s="105" t="str">
        <f>IF(F90="Yes", IFERROR(VLOOKUP(D90, Repository!A:F, 6, 0), ""), "")</f>
        <v/>
      </c>
      <c r="Q90" s="105" t="str">
        <f>IF(F90="Yes", IFERROR(VLOOKUP(D90, Repository!A:I, 8, 0), ""), "")</f>
        <v/>
      </c>
      <c r="R90" s="105" t="str">
        <f>IF(F90="Yes", IFERROR(VLOOKUP(D90, Repository!A:J, 9, 0), ""), "")</f>
        <v/>
      </c>
      <c r="S90" s="105"/>
      <c r="T90" s="105"/>
      <c r="U90" s="105"/>
      <c r="V90" s="105"/>
      <c r="W90" s="105"/>
      <c r="X90" s="105"/>
      <c r="Y90" s="105"/>
      <c r="Z90" s="105"/>
      <c r="AA90" s="105"/>
      <c r="AB90" s="105"/>
      <c r="AC90" s="91"/>
      <c r="AD90" s="105"/>
      <c r="AE90" s="105"/>
      <c r="AF90" s="91"/>
      <c r="AG90" s="105"/>
      <c r="AH90" s="105"/>
      <c r="AI90" s="105" t="str">
        <f t="shared" si="1"/>
        <v/>
      </c>
      <c r="AJ90" s="108" t="str">
        <f t="shared" si="2"/>
        <v/>
      </c>
    </row>
    <row r="91" ht="15.75" customHeight="1">
      <c r="A91" s="104"/>
      <c r="B91" s="105" t="str">
        <f>IFERROR(__xludf.DUMMYFUNCTION("ARRAY_CONSTRAIN(
  ARRAYFORMULA(
    IF(
      'Final Report'!A91="""",
      """",
      TEXTJOIN(
        "", "" &amp; CHAR(10),
        TRUE,
        IFERROR(
          VLOOKUP(
            TRIM(
              SPLIT('Final Report'!A91, "","")
            )"&amp;",
            'URL Details'!A:B,
            2,
            FALSE
          ),
          """"
        )
      )
    )
  ),
  1,
  1
)
"),"")</f>
        <v/>
      </c>
      <c r="C91" s="105" t="str">
        <f>IFERROR(__xludf.DUMMYFUNCTION("IFERROR(IF('Final Report'!A91="""","""", TEXTJOIN(CHAR(10), TRUE, ARRAYFORMULA( ""• ""&amp; FILTER( TRIM(FLATTEN(SPLIT( REGEXREPLACE( SUBSTITUTE(TEXTJOIN("","", TRUE, IFERROR(ARRAYFORMULA(VLOOKUP(TRIM(SPLIT('Final Report'!A91, "","")), 'URL Details'!A:D, 4, F"&amp;"ALSE)),"""") ), CHAR(10), "",""), ""\s*,\s*"", "",""), "",""))), TRIM(FLATTEN(SPLIT( REGEXREPLACE( SUBSTITUTE(TEXTJOIN("","", TRUE, IFERROR(ARRAYFORMULA(VLOOKUP(TRIM(SPLIT('Final Report'!A91, "","")), 'URL Details'!A:D, 4, FALSE)),"""") ), CHAR(10), "","""&amp;"), ""\s*,\s*"", "",""), "","")))&lt;&gt;"""" ) ) ) ),"""")
"),"")</f>
        <v/>
      </c>
      <c r="D91" s="105"/>
      <c r="E91" s="105"/>
      <c r="F91" s="110" t="b">
        <v>0</v>
      </c>
      <c r="G91" s="105" t="str">
        <f>IF(F91=True, IFERROR(VLOOKUP(D91, Repository!A:B, 2, 0), ""), "")</f>
        <v/>
      </c>
      <c r="H91" s="105"/>
      <c r="I91" s="105"/>
      <c r="J91" s="105" t="str">
        <f>IF(F91=True, IFERROR(VLOOKUP(D91, Repository!A:C, 3, 0), ""), "")</f>
        <v/>
      </c>
      <c r="K91" s="105"/>
      <c r="L91" s="105" t="str">
        <f>IF(F91=True, IFERROR(VLOOKUP(D91, Repository!A:E, 5, 0), ""), "")</f>
        <v/>
      </c>
      <c r="M91" s="105"/>
      <c r="N91" s="105" t="str">
        <f>IF(F91=True, IFERROR(VLOOKUP(D91, Repository!A:G, 7, 0), ""), "")</f>
        <v/>
      </c>
      <c r="O91" s="105" t="str">
        <f>IFERROR(__xludf.DUMMYFUNCTION("ARRAY_CONSTRAIN(
  ARRAYFORMULA(
    IFERROR(
      LET(
        list, N91,
        arr, TRIM(SPLIT(list, "","")),
        names, XLOOKUP(
          arr,
          'Conformance Score'!A:A,
          'Conformance Score'!B:B,
          ""Not found""
       "&amp;" ),
        TEXTJOIN("", "", TRUE, names)
      ),
      """"
    )
  ),
  1,
  1
)
"),"")</f>
        <v/>
      </c>
      <c r="P91" s="105" t="str">
        <f>IF(F91="Yes", IFERROR(VLOOKUP(D91, Repository!A:F, 6, 0), ""), "")</f>
        <v/>
      </c>
      <c r="Q91" s="105" t="str">
        <f>IF(F91="Yes", IFERROR(VLOOKUP(D91, Repository!A:I, 8, 0), ""), "")</f>
        <v/>
      </c>
      <c r="R91" s="105" t="str">
        <f>IF(F91="Yes", IFERROR(VLOOKUP(D91, Repository!A:J, 9, 0), ""), "")</f>
        <v/>
      </c>
      <c r="S91" s="105"/>
      <c r="T91" s="105"/>
      <c r="U91" s="105"/>
      <c r="V91" s="105"/>
      <c r="W91" s="105"/>
      <c r="X91" s="105"/>
      <c r="Y91" s="105"/>
      <c r="Z91" s="105"/>
      <c r="AA91" s="105"/>
      <c r="AB91" s="105"/>
      <c r="AC91" s="91"/>
      <c r="AD91" s="105"/>
      <c r="AE91" s="105"/>
      <c r="AF91" s="91"/>
      <c r="AG91" s="105"/>
      <c r="AH91" s="105"/>
      <c r="AI91" s="105" t="str">
        <f t="shared" si="1"/>
        <v/>
      </c>
      <c r="AJ91" s="108" t="str">
        <f t="shared" si="2"/>
        <v/>
      </c>
    </row>
    <row r="92" ht="15.75" customHeight="1">
      <c r="A92" s="104"/>
      <c r="B92" s="105" t="str">
        <f>IFERROR(__xludf.DUMMYFUNCTION("ARRAY_CONSTRAIN(
  ARRAYFORMULA(
    IF(
      'Final Report'!A92="""",
      """",
      TEXTJOIN(
        "", "" &amp; CHAR(10),
        TRUE,
        IFERROR(
          VLOOKUP(
            TRIM(
              SPLIT('Final Report'!A92, "","")
            )"&amp;",
            'URL Details'!A:B,
            2,
            FALSE
          ),
          """"
        )
      )
    )
  ),
  1,
  1
)
"),"")</f>
        <v/>
      </c>
      <c r="C92" s="105" t="str">
        <f>IFERROR(__xludf.DUMMYFUNCTION("IFERROR(IF('Final Report'!A92="""","""", TEXTJOIN(CHAR(10), TRUE, ARRAYFORMULA( ""• ""&amp; FILTER( TRIM(FLATTEN(SPLIT( REGEXREPLACE( SUBSTITUTE(TEXTJOIN("","", TRUE, IFERROR(ARRAYFORMULA(VLOOKUP(TRIM(SPLIT('Final Report'!A92, "","")), 'URL Details'!A:D, 4, F"&amp;"ALSE)),"""") ), CHAR(10), "",""), ""\s*,\s*"", "",""), "",""))), TRIM(FLATTEN(SPLIT( REGEXREPLACE( SUBSTITUTE(TEXTJOIN("","", TRUE, IFERROR(ARRAYFORMULA(VLOOKUP(TRIM(SPLIT('Final Report'!A92, "","")), 'URL Details'!A:D, 4, FALSE)),"""") ), CHAR(10), "","""&amp;"), ""\s*,\s*"", "",""), "","")))&lt;&gt;"""" ) ) ) ),"""")
"),"")</f>
        <v/>
      </c>
      <c r="D92" s="105"/>
      <c r="E92" s="105"/>
      <c r="F92" s="110" t="b">
        <v>0</v>
      </c>
      <c r="G92" s="105" t="str">
        <f>IF(F92=True, IFERROR(VLOOKUP(D92, Repository!A:B, 2, 0), ""), "")</f>
        <v/>
      </c>
      <c r="H92" s="105"/>
      <c r="I92" s="105"/>
      <c r="J92" s="105" t="str">
        <f>IF(F92=True, IFERROR(VLOOKUP(D92, Repository!A:C, 3, 0), ""), "")</f>
        <v/>
      </c>
      <c r="K92" s="105"/>
      <c r="L92" s="105" t="str">
        <f>IF(F92=True, IFERROR(VLOOKUP(D92, Repository!A:E, 5, 0), ""), "")</f>
        <v/>
      </c>
      <c r="M92" s="105"/>
      <c r="N92" s="105" t="str">
        <f>IF(F92=True, IFERROR(VLOOKUP(D92, Repository!A:G, 7, 0), ""), "")</f>
        <v/>
      </c>
      <c r="O92" s="105" t="str">
        <f>IFERROR(__xludf.DUMMYFUNCTION("ARRAY_CONSTRAIN(
  ARRAYFORMULA(
    IFERROR(
      LET(
        list, N92,
        arr, TRIM(SPLIT(list, "","")),
        names, XLOOKUP(
          arr,
          'Conformance Score'!A:A,
          'Conformance Score'!B:B,
          ""Not found""
       "&amp;" ),
        TEXTJOIN("", "", TRUE, names)
      ),
      """"
    )
  ),
  1,
  1
)
"),"")</f>
        <v/>
      </c>
      <c r="P92" s="105" t="str">
        <f>IF(F92="Yes", IFERROR(VLOOKUP(D92, Repository!A:F, 6, 0), ""), "")</f>
        <v/>
      </c>
      <c r="Q92" s="105" t="str">
        <f>IF(F92="Yes", IFERROR(VLOOKUP(D92, Repository!A:I, 8, 0), ""), "")</f>
        <v/>
      </c>
      <c r="R92" s="105" t="str">
        <f>IF(F92="Yes", IFERROR(VLOOKUP(D92, Repository!A:J, 9, 0), ""), "")</f>
        <v/>
      </c>
      <c r="S92" s="105"/>
      <c r="T92" s="105"/>
      <c r="U92" s="105"/>
      <c r="V92" s="105"/>
      <c r="W92" s="105"/>
      <c r="X92" s="105"/>
      <c r="Y92" s="105"/>
      <c r="Z92" s="105"/>
      <c r="AA92" s="105"/>
      <c r="AB92" s="105"/>
      <c r="AC92" s="91"/>
      <c r="AD92" s="105"/>
      <c r="AE92" s="105"/>
      <c r="AF92" s="91"/>
      <c r="AG92" s="105"/>
      <c r="AH92" s="105"/>
      <c r="AI92" s="105" t="str">
        <f t="shared" si="1"/>
        <v/>
      </c>
      <c r="AJ92" s="108" t="str">
        <f t="shared" si="2"/>
        <v/>
      </c>
    </row>
    <row r="93" ht="15.75" customHeight="1">
      <c r="A93" s="104"/>
      <c r="B93" s="105" t="str">
        <f>IFERROR(__xludf.DUMMYFUNCTION("ARRAY_CONSTRAIN(
  ARRAYFORMULA(
    IF(
      'Final Report'!A93="""",
      """",
      TEXTJOIN(
        "", "" &amp; CHAR(10),
        TRUE,
        IFERROR(
          VLOOKUP(
            TRIM(
              SPLIT('Final Report'!A93, "","")
            )"&amp;",
            'URL Details'!A:B,
            2,
            FALSE
          ),
          """"
        )
      )
    )
  ),
  1,
  1
)
"),"")</f>
        <v/>
      </c>
      <c r="C93" s="105" t="str">
        <f>IFERROR(__xludf.DUMMYFUNCTION("IFERROR(IF('Final Report'!A93="""","""", TEXTJOIN(CHAR(10), TRUE, ARRAYFORMULA( ""• ""&amp; FILTER( TRIM(FLATTEN(SPLIT( REGEXREPLACE( SUBSTITUTE(TEXTJOIN("","", TRUE, IFERROR(ARRAYFORMULA(VLOOKUP(TRIM(SPLIT('Final Report'!A93, "","")), 'URL Details'!A:D, 4, F"&amp;"ALSE)),"""") ), CHAR(10), "",""), ""\s*,\s*"", "",""), "",""))), TRIM(FLATTEN(SPLIT( REGEXREPLACE( SUBSTITUTE(TEXTJOIN("","", TRUE, IFERROR(ARRAYFORMULA(VLOOKUP(TRIM(SPLIT('Final Report'!A93, "","")), 'URL Details'!A:D, 4, FALSE)),"""") ), CHAR(10), "","""&amp;"), ""\s*,\s*"", "",""), "","")))&lt;&gt;"""" ) ) ) ),"""")
"),"")</f>
        <v/>
      </c>
      <c r="D93" s="105"/>
      <c r="E93" s="105"/>
      <c r="F93" s="110" t="b">
        <v>0</v>
      </c>
      <c r="G93" s="105" t="str">
        <f>IF(F93=True, IFERROR(VLOOKUP(D93, Repository!A:B, 2, 0), ""), "")</f>
        <v/>
      </c>
      <c r="H93" s="105"/>
      <c r="I93" s="105"/>
      <c r="J93" s="105" t="str">
        <f>IF(F93=True, IFERROR(VLOOKUP(D93, Repository!A:C, 3, 0), ""), "")</f>
        <v/>
      </c>
      <c r="K93" s="105"/>
      <c r="L93" s="105" t="str">
        <f>IF(F93=True, IFERROR(VLOOKUP(D93, Repository!A:E, 5, 0), ""), "")</f>
        <v/>
      </c>
      <c r="M93" s="105"/>
      <c r="N93" s="105" t="str">
        <f>IF(F93=True, IFERROR(VLOOKUP(D93, Repository!A:G, 7, 0), ""), "")</f>
        <v/>
      </c>
      <c r="O93" s="105" t="str">
        <f>IFERROR(__xludf.DUMMYFUNCTION("ARRAY_CONSTRAIN(
  ARRAYFORMULA(
    IFERROR(
      LET(
        list, N93,
        arr, TRIM(SPLIT(list, "","")),
        names, XLOOKUP(
          arr,
          'Conformance Score'!A:A,
          'Conformance Score'!B:B,
          ""Not found""
       "&amp;" ),
        TEXTJOIN("", "", TRUE, names)
      ),
      """"
    )
  ),
  1,
  1
)
"),"")</f>
        <v/>
      </c>
      <c r="P93" s="105" t="str">
        <f>IF(F93="Yes", IFERROR(VLOOKUP(D93, Repository!A:F, 6, 0), ""), "")</f>
        <v/>
      </c>
      <c r="Q93" s="105" t="str">
        <f>IF(F93="Yes", IFERROR(VLOOKUP(D93, Repository!A:I, 8, 0), ""), "")</f>
        <v/>
      </c>
      <c r="R93" s="105" t="str">
        <f>IF(F93="Yes", IFERROR(VLOOKUP(D93, Repository!A:J, 9, 0), ""), "")</f>
        <v/>
      </c>
      <c r="S93" s="105"/>
      <c r="T93" s="105"/>
      <c r="U93" s="105"/>
      <c r="V93" s="105"/>
      <c r="W93" s="105"/>
      <c r="X93" s="105"/>
      <c r="Y93" s="105"/>
      <c r="Z93" s="105"/>
      <c r="AA93" s="105"/>
      <c r="AB93" s="105"/>
      <c r="AC93" s="91"/>
      <c r="AD93" s="105"/>
      <c r="AE93" s="105"/>
      <c r="AF93" s="91"/>
      <c r="AG93" s="105"/>
      <c r="AH93" s="105"/>
      <c r="AI93" s="105" t="str">
        <f t="shared" si="1"/>
        <v/>
      </c>
      <c r="AJ93" s="108" t="str">
        <f t="shared" si="2"/>
        <v/>
      </c>
    </row>
    <row r="94" ht="15.75" customHeight="1">
      <c r="A94" s="104"/>
      <c r="B94" s="105" t="str">
        <f>IFERROR(__xludf.DUMMYFUNCTION("ARRAY_CONSTRAIN(
  ARRAYFORMULA(
    IF(
      'Final Report'!A94="""",
      """",
      TEXTJOIN(
        "", "" &amp; CHAR(10),
        TRUE,
        IFERROR(
          VLOOKUP(
            TRIM(
              SPLIT('Final Report'!A94, "","")
            )"&amp;",
            'URL Details'!A:B,
            2,
            FALSE
          ),
          """"
        )
      )
    )
  ),
  1,
  1
)
"),"")</f>
        <v/>
      </c>
      <c r="C94" s="105" t="str">
        <f>IFERROR(__xludf.DUMMYFUNCTION("IFERROR(IF('Final Report'!A94="""","""", TEXTJOIN(CHAR(10), TRUE, ARRAYFORMULA( ""• ""&amp; FILTER( TRIM(FLATTEN(SPLIT( REGEXREPLACE( SUBSTITUTE(TEXTJOIN("","", TRUE, IFERROR(ARRAYFORMULA(VLOOKUP(TRIM(SPLIT('Final Report'!A94, "","")), 'URL Details'!A:D, 4, F"&amp;"ALSE)),"""") ), CHAR(10), "",""), ""\s*,\s*"", "",""), "",""))), TRIM(FLATTEN(SPLIT( REGEXREPLACE( SUBSTITUTE(TEXTJOIN("","", TRUE, IFERROR(ARRAYFORMULA(VLOOKUP(TRIM(SPLIT('Final Report'!A94, "","")), 'URL Details'!A:D, 4, FALSE)),"""") ), CHAR(10), "","""&amp;"), ""\s*,\s*"", "",""), "","")))&lt;&gt;"""" ) ) ) ),"""")
"),"")</f>
        <v/>
      </c>
      <c r="D94" s="105"/>
      <c r="E94" s="105"/>
      <c r="F94" s="110" t="b">
        <v>0</v>
      </c>
      <c r="G94" s="105" t="str">
        <f>IF(F94=True, IFERROR(VLOOKUP(D94, Repository!A:B, 2, 0), ""), "")</f>
        <v/>
      </c>
      <c r="H94" s="105"/>
      <c r="I94" s="105"/>
      <c r="J94" s="105" t="str">
        <f>IF(F94=True, IFERROR(VLOOKUP(D94, Repository!A:C, 3, 0), ""), "")</f>
        <v/>
      </c>
      <c r="K94" s="105"/>
      <c r="L94" s="105" t="str">
        <f>IF(F94=True, IFERROR(VLOOKUP(D94, Repository!A:E, 5, 0), ""), "")</f>
        <v/>
      </c>
      <c r="M94" s="105"/>
      <c r="N94" s="105" t="str">
        <f>IF(F94=True, IFERROR(VLOOKUP(D94, Repository!A:G, 7, 0), ""), "")</f>
        <v/>
      </c>
      <c r="O94" s="105" t="str">
        <f>IFERROR(__xludf.DUMMYFUNCTION("ARRAY_CONSTRAIN(
  ARRAYFORMULA(
    IFERROR(
      LET(
        list, N94,
        arr, TRIM(SPLIT(list, "","")),
        names, XLOOKUP(
          arr,
          'Conformance Score'!A:A,
          'Conformance Score'!B:B,
          ""Not found""
       "&amp;" ),
        TEXTJOIN("", "", TRUE, names)
      ),
      """"
    )
  ),
  1,
  1
)
"),"")</f>
        <v/>
      </c>
      <c r="P94" s="105" t="str">
        <f>IF(F94="Yes", IFERROR(VLOOKUP(D94, Repository!A:F, 6, 0), ""), "")</f>
        <v/>
      </c>
      <c r="Q94" s="105" t="str">
        <f>IF(F94="Yes", IFERROR(VLOOKUP(D94, Repository!A:I, 8, 0), ""), "")</f>
        <v/>
      </c>
      <c r="R94" s="105" t="str">
        <f>IF(F94="Yes", IFERROR(VLOOKUP(D94, Repository!A:J, 9, 0), ""), "")</f>
        <v/>
      </c>
      <c r="S94" s="105"/>
      <c r="T94" s="105"/>
      <c r="U94" s="105"/>
      <c r="V94" s="105"/>
      <c r="W94" s="105"/>
      <c r="X94" s="105"/>
      <c r="Y94" s="105"/>
      <c r="Z94" s="105"/>
      <c r="AA94" s="105"/>
      <c r="AB94" s="105"/>
      <c r="AC94" s="91"/>
      <c r="AD94" s="105"/>
      <c r="AE94" s="105"/>
      <c r="AF94" s="91"/>
      <c r="AG94" s="105"/>
      <c r="AH94" s="105"/>
      <c r="AI94" s="105" t="str">
        <f t="shared" si="1"/>
        <v/>
      </c>
      <c r="AJ94" s="108" t="str">
        <f t="shared" si="2"/>
        <v/>
      </c>
    </row>
    <row r="95" ht="15.75" customHeight="1">
      <c r="A95" s="104"/>
      <c r="B95" s="105" t="str">
        <f>IFERROR(__xludf.DUMMYFUNCTION("ARRAY_CONSTRAIN(
  ARRAYFORMULA(
    IF(
      'Final Report'!A95="""",
      """",
      TEXTJOIN(
        "", "" &amp; CHAR(10),
        TRUE,
        IFERROR(
          VLOOKUP(
            TRIM(
              SPLIT('Final Report'!A95, "","")
            )"&amp;",
            'URL Details'!A:B,
            2,
            FALSE
          ),
          """"
        )
      )
    )
  ),
  1,
  1
)
"),"")</f>
        <v/>
      </c>
      <c r="C95" s="105" t="str">
        <f>IFERROR(__xludf.DUMMYFUNCTION("IFERROR(IF('Final Report'!A95="""","""", TEXTJOIN(CHAR(10), TRUE, ARRAYFORMULA( ""• ""&amp; FILTER( TRIM(FLATTEN(SPLIT( REGEXREPLACE( SUBSTITUTE(TEXTJOIN("","", TRUE, IFERROR(ARRAYFORMULA(VLOOKUP(TRIM(SPLIT('Final Report'!A95, "","")), 'URL Details'!A:D, 4, F"&amp;"ALSE)),"""") ), CHAR(10), "",""), ""\s*,\s*"", "",""), "",""))), TRIM(FLATTEN(SPLIT( REGEXREPLACE( SUBSTITUTE(TEXTJOIN("","", TRUE, IFERROR(ARRAYFORMULA(VLOOKUP(TRIM(SPLIT('Final Report'!A95, "","")), 'URL Details'!A:D, 4, FALSE)),"""") ), CHAR(10), "","""&amp;"), ""\s*,\s*"", "",""), "","")))&lt;&gt;"""" ) ) ) ),"""")
"),"")</f>
        <v/>
      </c>
      <c r="D95" s="105"/>
      <c r="E95" s="105"/>
      <c r="F95" s="110" t="b">
        <v>0</v>
      </c>
      <c r="G95" s="105" t="str">
        <f>IF(F95=True, IFERROR(VLOOKUP(D95, Repository!A:B, 2, 0), ""), "")</f>
        <v/>
      </c>
      <c r="H95" s="105"/>
      <c r="I95" s="105"/>
      <c r="J95" s="105" t="str">
        <f>IF(F95=True, IFERROR(VLOOKUP(D95, Repository!A:C, 3, 0), ""), "")</f>
        <v/>
      </c>
      <c r="K95" s="105"/>
      <c r="L95" s="105" t="str">
        <f>IF(F95=True, IFERROR(VLOOKUP(D95, Repository!A:E, 5, 0), ""), "")</f>
        <v/>
      </c>
      <c r="M95" s="105"/>
      <c r="N95" s="105" t="str">
        <f>IF(F95=True, IFERROR(VLOOKUP(D95, Repository!A:G, 7, 0), ""), "")</f>
        <v/>
      </c>
      <c r="O95" s="105" t="str">
        <f>IFERROR(__xludf.DUMMYFUNCTION("ARRAY_CONSTRAIN(
  ARRAYFORMULA(
    IFERROR(
      LET(
        list, N95,
        arr, TRIM(SPLIT(list, "","")),
        names, XLOOKUP(
          arr,
          'Conformance Score'!A:A,
          'Conformance Score'!B:B,
          ""Not found""
       "&amp;" ),
        TEXTJOIN("", "", TRUE, names)
      ),
      """"
    )
  ),
  1,
  1
)
"),"")</f>
        <v/>
      </c>
      <c r="P95" s="105" t="str">
        <f>IF(F95="Yes", IFERROR(VLOOKUP(D95, Repository!A:F, 6, 0), ""), "")</f>
        <v/>
      </c>
      <c r="Q95" s="105" t="str">
        <f>IF(F95="Yes", IFERROR(VLOOKUP(D95, Repository!A:I, 8, 0), ""), "")</f>
        <v/>
      </c>
      <c r="R95" s="105" t="str">
        <f>IF(F95="Yes", IFERROR(VLOOKUP(D95, Repository!A:J, 9, 0), ""), "")</f>
        <v/>
      </c>
      <c r="S95" s="105"/>
      <c r="T95" s="105"/>
      <c r="U95" s="105"/>
      <c r="V95" s="105"/>
      <c r="W95" s="105"/>
      <c r="X95" s="105"/>
      <c r="Y95" s="105"/>
      <c r="Z95" s="105"/>
      <c r="AA95" s="105"/>
      <c r="AB95" s="105"/>
      <c r="AC95" s="91"/>
      <c r="AD95" s="105"/>
      <c r="AE95" s="105"/>
      <c r="AF95" s="91"/>
      <c r="AG95" s="105"/>
      <c r="AH95" s="105"/>
      <c r="AI95" s="105" t="str">
        <f t="shared" si="1"/>
        <v/>
      </c>
      <c r="AJ95" s="108" t="str">
        <f t="shared" si="2"/>
        <v/>
      </c>
    </row>
    <row r="96" ht="15.75" customHeight="1">
      <c r="A96" s="104"/>
      <c r="B96" s="105" t="str">
        <f>IFERROR(__xludf.DUMMYFUNCTION("ARRAY_CONSTRAIN(
  ARRAYFORMULA(
    IF(
      'Final Report'!A96="""",
      """",
      TEXTJOIN(
        "", "" &amp; CHAR(10),
        TRUE,
        IFERROR(
          VLOOKUP(
            TRIM(
              SPLIT('Final Report'!A96, "","")
            )"&amp;",
            'URL Details'!A:B,
            2,
            FALSE
          ),
          """"
        )
      )
    )
  ),
  1,
  1
)
"),"")</f>
        <v/>
      </c>
      <c r="C96" s="105" t="str">
        <f>IFERROR(__xludf.DUMMYFUNCTION("IFERROR(IF('Final Report'!A96="""","""", TEXTJOIN(CHAR(10), TRUE, ARRAYFORMULA( ""• ""&amp; FILTER( TRIM(FLATTEN(SPLIT( REGEXREPLACE( SUBSTITUTE(TEXTJOIN("","", TRUE, IFERROR(ARRAYFORMULA(VLOOKUP(TRIM(SPLIT('Final Report'!A96, "","")), 'URL Details'!A:D, 4, F"&amp;"ALSE)),"""") ), CHAR(10), "",""), ""\s*,\s*"", "",""), "",""))), TRIM(FLATTEN(SPLIT( REGEXREPLACE( SUBSTITUTE(TEXTJOIN("","", TRUE, IFERROR(ARRAYFORMULA(VLOOKUP(TRIM(SPLIT('Final Report'!A96, "","")), 'URL Details'!A:D, 4, FALSE)),"""") ), CHAR(10), "","""&amp;"), ""\s*,\s*"", "",""), "","")))&lt;&gt;"""" ) ) ) ),"""")
"),"")</f>
        <v/>
      </c>
      <c r="D96" s="105"/>
      <c r="E96" s="105"/>
      <c r="F96" s="110" t="b">
        <v>0</v>
      </c>
      <c r="G96" s="105" t="str">
        <f>IF(F96=True, IFERROR(VLOOKUP(D96, Repository!A:B, 2, 0), ""), "")</f>
        <v/>
      </c>
      <c r="H96" s="105"/>
      <c r="I96" s="105"/>
      <c r="J96" s="105" t="str">
        <f>IF(F96=True, IFERROR(VLOOKUP(D96, Repository!A:C, 3, 0), ""), "")</f>
        <v/>
      </c>
      <c r="K96" s="105"/>
      <c r="L96" s="105" t="str">
        <f>IF(F96=True, IFERROR(VLOOKUP(D96, Repository!A:E, 5, 0), ""), "")</f>
        <v/>
      </c>
      <c r="M96" s="105"/>
      <c r="N96" s="105" t="str">
        <f>IF(F96=True, IFERROR(VLOOKUP(D96, Repository!A:G, 7, 0), ""), "")</f>
        <v/>
      </c>
      <c r="O96" s="105" t="str">
        <f>IFERROR(__xludf.DUMMYFUNCTION("ARRAY_CONSTRAIN(
  ARRAYFORMULA(
    IFERROR(
      LET(
        list, N96,
        arr, TRIM(SPLIT(list, "","")),
        names, XLOOKUP(
          arr,
          'Conformance Score'!A:A,
          'Conformance Score'!B:B,
          ""Not found""
       "&amp;" ),
        TEXTJOIN("", "", TRUE, names)
      ),
      """"
    )
  ),
  1,
  1
)
"),"")</f>
        <v/>
      </c>
      <c r="P96" s="105" t="str">
        <f>IF(F96="Yes", IFERROR(VLOOKUP(D96, Repository!A:F, 6, 0), ""), "")</f>
        <v/>
      </c>
      <c r="Q96" s="105" t="str">
        <f>IF(F96="Yes", IFERROR(VLOOKUP(D96, Repository!A:I, 8, 0), ""), "")</f>
        <v/>
      </c>
      <c r="R96" s="105" t="str">
        <f>IF(F96="Yes", IFERROR(VLOOKUP(D96, Repository!A:J, 9, 0), ""), "")</f>
        <v/>
      </c>
      <c r="S96" s="105"/>
      <c r="T96" s="105"/>
      <c r="U96" s="105"/>
      <c r="V96" s="105"/>
      <c r="W96" s="105"/>
      <c r="X96" s="105"/>
      <c r="Y96" s="105"/>
      <c r="Z96" s="105"/>
      <c r="AA96" s="105"/>
      <c r="AB96" s="105"/>
      <c r="AC96" s="91"/>
      <c r="AD96" s="105"/>
      <c r="AE96" s="105"/>
      <c r="AF96" s="91"/>
      <c r="AG96" s="105"/>
      <c r="AH96" s="105"/>
      <c r="AI96" s="105" t="str">
        <f t="shared" si="1"/>
        <v/>
      </c>
      <c r="AJ96" s="108" t="str">
        <f t="shared" si="2"/>
        <v/>
      </c>
    </row>
    <row r="97" ht="15.75" customHeight="1">
      <c r="A97" s="104"/>
      <c r="B97" s="105" t="str">
        <f>IFERROR(__xludf.DUMMYFUNCTION("ARRAY_CONSTRAIN(
  ARRAYFORMULA(
    IF(
      'Final Report'!A97="""",
      """",
      TEXTJOIN(
        "", "" &amp; CHAR(10),
        TRUE,
        IFERROR(
          VLOOKUP(
            TRIM(
              SPLIT('Final Report'!A97, "","")
            )"&amp;",
            'URL Details'!A:B,
            2,
            FALSE
          ),
          """"
        )
      )
    )
  ),
  1,
  1
)
"),"")</f>
        <v/>
      </c>
      <c r="C97" s="105" t="str">
        <f>IFERROR(__xludf.DUMMYFUNCTION("IFERROR(IF('Final Report'!A97="""","""", TEXTJOIN(CHAR(10), TRUE, ARRAYFORMULA( ""• ""&amp; FILTER( TRIM(FLATTEN(SPLIT( REGEXREPLACE( SUBSTITUTE(TEXTJOIN("","", TRUE, IFERROR(ARRAYFORMULA(VLOOKUP(TRIM(SPLIT('Final Report'!A97, "","")), 'URL Details'!A:D, 4, F"&amp;"ALSE)),"""") ), CHAR(10), "",""), ""\s*,\s*"", "",""), "",""))), TRIM(FLATTEN(SPLIT( REGEXREPLACE( SUBSTITUTE(TEXTJOIN("","", TRUE, IFERROR(ARRAYFORMULA(VLOOKUP(TRIM(SPLIT('Final Report'!A97, "","")), 'URL Details'!A:D, 4, FALSE)),"""") ), CHAR(10), "","""&amp;"), ""\s*,\s*"", "",""), "","")))&lt;&gt;"""" ) ) ) ),"""")
"),"")</f>
        <v/>
      </c>
      <c r="D97" s="105"/>
      <c r="E97" s="105"/>
      <c r="F97" s="110" t="b">
        <v>0</v>
      </c>
      <c r="G97" s="105" t="str">
        <f>IF(F97=True, IFERROR(VLOOKUP(D97, Repository!A:B, 2, 0), ""), "")</f>
        <v/>
      </c>
      <c r="H97" s="105"/>
      <c r="I97" s="105"/>
      <c r="J97" s="105" t="str">
        <f>IF(F97=True, IFERROR(VLOOKUP(D97, Repository!A:C, 3, 0), ""), "")</f>
        <v/>
      </c>
      <c r="K97" s="105"/>
      <c r="L97" s="105" t="str">
        <f>IF(F97=True, IFERROR(VLOOKUP(D97, Repository!A:E, 5, 0), ""), "")</f>
        <v/>
      </c>
      <c r="M97" s="105"/>
      <c r="N97" s="105" t="str">
        <f>IF(F97=True, IFERROR(VLOOKUP(D97, Repository!A:G, 7, 0), ""), "")</f>
        <v/>
      </c>
      <c r="O97" s="105" t="str">
        <f>IFERROR(__xludf.DUMMYFUNCTION("ARRAY_CONSTRAIN(
  ARRAYFORMULA(
    IFERROR(
      LET(
        list, N97,
        arr, TRIM(SPLIT(list, "","")),
        names, XLOOKUP(
          arr,
          'Conformance Score'!A:A,
          'Conformance Score'!B:B,
          ""Not found""
       "&amp;" ),
        TEXTJOIN("", "", TRUE, names)
      ),
      """"
    )
  ),
  1,
  1
)
"),"")</f>
        <v/>
      </c>
      <c r="P97" s="105" t="str">
        <f>IF(F97="Yes", IFERROR(VLOOKUP(D97, Repository!A:F, 6, 0), ""), "")</f>
        <v/>
      </c>
      <c r="Q97" s="105" t="str">
        <f>IF(F97="Yes", IFERROR(VLOOKUP(D97, Repository!A:I, 8, 0), ""), "")</f>
        <v/>
      </c>
      <c r="R97" s="105" t="str">
        <f>IF(F97="Yes", IFERROR(VLOOKUP(D97, Repository!A:J, 9, 0), ""), "")</f>
        <v/>
      </c>
      <c r="S97" s="105"/>
      <c r="T97" s="105"/>
      <c r="U97" s="105"/>
      <c r="V97" s="105"/>
      <c r="W97" s="105"/>
      <c r="X97" s="105"/>
      <c r="Y97" s="105"/>
      <c r="Z97" s="105"/>
      <c r="AA97" s="105"/>
      <c r="AB97" s="105"/>
      <c r="AC97" s="91"/>
      <c r="AD97" s="105"/>
      <c r="AE97" s="105"/>
      <c r="AF97" s="91"/>
      <c r="AG97" s="105"/>
      <c r="AH97" s="105"/>
      <c r="AI97" s="105" t="str">
        <f t="shared" si="1"/>
        <v/>
      </c>
      <c r="AJ97" s="108" t="str">
        <f t="shared" si="2"/>
        <v/>
      </c>
    </row>
    <row r="98" ht="15.75" customHeight="1">
      <c r="A98" s="104"/>
      <c r="B98" s="105" t="str">
        <f>IFERROR(__xludf.DUMMYFUNCTION("ARRAY_CONSTRAIN(
  ARRAYFORMULA(
    IF(
      'Final Report'!A98="""",
      """",
      TEXTJOIN(
        "", "" &amp; CHAR(10),
        TRUE,
        IFERROR(
          VLOOKUP(
            TRIM(
              SPLIT('Final Report'!A98, "","")
            )"&amp;",
            'URL Details'!A:B,
            2,
            FALSE
          ),
          """"
        )
      )
    )
  ),
  1,
  1
)
"),"")</f>
        <v/>
      </c>
      <c r="C98" s="105" t="str">
        <f>IFERROR(__xludf.DUMMYFUNCTION("IFERROR(IF('Final Report'!A98="""","""", TEXTJOIN(CHAR(10), TRUE, ARRAYFORMULA( ""• ""&amp; FILTER( TRIM(FLATTEN(SPLIT( REGEXREPLACE( SUBSTITUTE(TEXTJOIN("","", TRUE, IFERROR(ARRAYFORMULA(VLOOKUP(TRIM(SPLIT('Final Report'!A98, "","")), 'URL Details'!A:D, 4, F"&amp;"ALSE)),"""") ), CHAR(10), "",""), ""\s*,\s*"", "",""), "",""))), TRIM(FLATTEN(SPLIT( REGEXREPLACE( SUBSTITUTE(TEXTJOIN("","", TRUE, IFERROR(ARRAYFORMULA(VLOOKUP(TRIM(SPLIT('Final Report'!A98, "","")), 'URL Details'!A:D, 4, FALSE)),"""") ), CHAR(10), "","""&amp;"), ""\s*,\s*"", "",""), "","")))&lt;&gt;"""" ) ) ) ),"""")
"),"")</f>
        <v/>
      </c>
      <c r="D98" s="105"/>
      <c r="E98" s="105"/>
      <c r="F98" s="110" t="b">
        <v>0</v>
      </c>
      <c r="G98" s="105" t="str">
        <f>IF(F98=True, IFERROR(VLOOKUP(D98, Repository!A:B, 2, 0), ""), "")</f>
        <v/>
      </c>
      <c r="H98" s="105"/>
      <c r="I98" s="105"/>
      <c r="J98" s="105" t="str">
        <f>IF(F98=True, IFERROR(VLOOKUP(D98, Repository!A:C, 3, 0), ""), "")</f>
        <v/>
      </c>
      <c r="K98" s="105"/>
      <c r="L98" s="105" t="str">
        <f>IF(F98=True, IFERROR(VLOOKUP(D98, Repository!A:E, 5, 0), ""), "")</f>
        <v/>
      </c>
      <c r="M98" s="105"/>
      <c r="N98" s="105" t="str">
        <f>IF(F98=True, IFERROR(VLOOKUP(D98, Repository!A:G, 7, 0), ""), "")</f>
        <v/>
      </c>
      <c r="O98" s="105" t="str">
        <f>IFERROR(__xludf.DUMMYFUNCTION("ARRAY_CONSTRAIN(
  ARRAYFORMULA(
    IFERROR(
      LET(
        list, N98,
        arr, TRIM(SPLIT(list, "","")),
        names, XLOOKUP(
          arr,
          'Conformance Score'!A:A,
          'Conformance Score'!B:B,
          ""Not found""
       "&amp;" ),
        TEXTJOIN("", "", TRUE, names)
      ),
      """"
    )
  ),
  1,
  1
)
"),"")</f>
        <v/>
      </c>
      <c r="P98" s="105" t="str">
        <f>IF(F98="Yes", IFERROR(VLOOKUP(D98, Repository!A:F, 6, 0), ""), "")</f>
        <v/>
      </c>
      <c r="Q98" s="105" t="str">
        <f>IF(F98="Yes", IFERROR(VLOOKUP(D98, Repository!A:I, 8, 0), ""), "")</f>
        <v/>
      </c>
      <c r="R98" s="105" t="str">
        <f>IF(F98="Yes", IFERROR(VLOOKUP(D98, Repository!A:J, 9, 0), ""), "")</f>
        <v/>
      </c>
      <c r="S98" s="105"/>
      <c r="T98" s="105"/>
      <c r="U98" s="105"/>
      <c r="V98" s="105"/>
      <c r="W98" s="105"/>
      <c r="X98" s="105"/>
      <c r="Y98" s="105"/>
      <c r="Z98" s="105"/>
      <c r="AA98" s="105"/>
      <c r="AB98" s="105"/>
      <c r="AC98" s="91"/>
      <c r="AD98" s="105"/>
      <c r="AE98" s="105"/>
      <c r="AF98" s="91"/>
      <c r="AG98" s="105"/>
      <c r="AH98" s="105"/>
      <c r="AI98" s="105" t="str">
        <f t="shared" si="1"/>
        <v/>
      </c>
      <c r="AJ98" s="108" t="str">
        <f t="shared" si="2"/>
        <v/>
      </c>
    </row>
    <row r="99" ht="15.75" customHeight="1">
      <c r="A99" s="104"/>
      <c r="B99" s="105" t="str">
        <f>IFERROR(__xludf.DUMMYFUNCTION("ARRAY_CONSTRAIN(
  ARRAYFORMULA(
    IF(
      'Final Report'!A99="""",
      """",
      TEXTJOIN(
        "", "" &amp; CHAR(10),
        TRUE,
        IFERROR(
          VLOOKUP(
            TRIM(
              SPLIT('Final Report'!A99, "","")
            )"&amp;",
            'URL Details'!A:B,
            2,
            FALSE
          ),
          """"
        )
      )
    )
  ),
  1,
  1
)
"),"")</f>
        <v/>
      </c>
      <c r="C99" s="105" t="str">
        <f>IFERROR(__xludf.DUMMYFUNCTION("IFERROR(IF('Final Report'!A99="""","""", TEXTJOIN(CHAR(10), TRUE, ARRAYFORMULA( ""• ""&amp; FILTER( TRIM(FLATTEN(SPLIT( REGEXREPLACE( SUBSTITUTE(TEXTJOIN("","", TRUE, IFERROR(ARRAYFORMULA(VLOOKUP(TRIM(SPLIT('Final Report'!A99, "","")), 'URL Details'!A:D, 4, F"&amp;"ALSE)),"""") ), CHAR(10), "",""), ""\s*,\s*"", "",""), "",""))), TRIM(FLATTEN(SPLIT( REGEXREPLACE( SUBSTITUTE(TEXTJOIN("","", TRUE, IFERROR(ARRAYFORMULA(VLOOKUP(TRIM(SPLIT('Final Report'!A99, "","")), 'URL Details'!A:D, 4, FALSE)),"""") ), CHAR(10), "","""&amp;"), ""\s*,\s*"", "",""), "","")))&lt;&gt;"""" ) ) ) ),"""")
"),"")</f>
        <v/>
      </c>
      <c r="D99" s="105"/>
      <c r="E99" s="105"/>
      <c r="F99" s="110" t="b">
        <v>0</v>
      </c>
      <c r="G99" s="105" t="str">
        <f>IF(F99=True, IFERROR(VLOOKUP(D99, Repository!A:B, 2, 0), ""), "")</f>
        <v/>
      </c>
      <c r="H99" s="105"/>
      <c r="I99" s="105"/>
      <c r="J99" s="105" t="str">
        <f>IF(F99=True, IFERROR(VLOOKUP(D99, Repository!A:C, 3, 0), ""), "")</f>
        <v/>
      </c>
      <c r="K99" s="105"/>
      <c r="L99" s="105" t="str">
        <f>IF(F99=True, IFERROR(VLOOKUP(D99, Repository!A:E, 5, 0), ""), "")</f>
        <v/>
      </c>
      <c r="M99" s="105"/>
      <c r="N99" s="105" t="str">
        <f>IF(F99=True, IFERROR(VLOOKUP(D99, Repository!A:G, 7, 0), ""), "")</f>
        <v/>
      </c>
      <c r="O99" s="105" t="str">
        <f>IFERROR(__xludf.DUMMYFUNCTION("ARRAY_CONSTRAIN(
  ARRAYFORMULA(
    IFERROR(
      LET(
        list, N99,
        arr, TRIM(SPLIT(list, "","")),
        names, XLOOKUP(
          arr,
          'Conformance Score'!A:A,
          'Conformance Score'!B:B,
          ""Not found""
       "&amp;" ),
        TEXTJOIN("", "", TRUE, names)
      ),
      """"
    )
  ),
  1,
  1
)
"),"")</f>
        <v/>
      </c>
      <c r="P99" s="105" t="str">
        <f>IF(F99="Yes", IFERROR(VLOOKUP(D99, Repository!A:F, 6, 0), ""), "")</f>
        <v/>
      </c>
      <c r="Q99" s="105" t="str">
        <f>IF(F99="Yes", IFERROR(VLOOKUP(D99, Repository!A:I, 8, 0), ""), "")</f>
        <v/>
      </c>
      <c r="R99" s="105" t="str">
        <f>IF(F99="Yes", IFERROR(VLOOKUP(D99, Repository!A:J, 9, 0), ""), "")</f>
        <v/>
      </c>
      <c r="S99" s="105"/>
      <c r="T99" s="105"/>
      <c r="U99" s="105"/>
      <c r="V99" s="105"/>
      <c r="W99" s="105"/>
      <c r="X99" s="105"/>
      <c r="Y99" s="105"/>
      <c r="Z99" s="105"/>
      <c r="AA99" s="105"/>
      <c r="AB99" s="105"/>
      <c r="AC99" s="91"/>
      <c r="AD99" s="105"/>
      <c r="AE99" s="105"/>
      <c r="AF99" s="91"/>
      <c r="AG99" s="105"/>
      <c r="AH99" s="105"/>
      <c r="AI99" s="105" t="str">
        <f t="shared" si="1"/>
        <v/>
      </c>
      <c r="AJ99" s="108" t="str">
        <f t="shared" si="2"/>
        <v/>
      </c>
    </row>
    <row r="100" ht="15.75" customHeight="1">
      <c r="A100" s="104"/>
      <c r="B100" s="105" t="str">
        <f>IFERROR(__xludf.DUMMYFUNCTION("ARRAY_CONSTRAIN(
  ARRAYFORMULA(
    IF(
      'Final Report'!A100="""",
      """",
      TEXTJOIN(
        "", "" &amp; CHAR(10),
        TRUE,
        IFERROR(
          VLOOKUP(
            TRIM(
              SPLIT('Final Report'!A100, "","")
           "&amp;" ),
            'URL Details'!A:B,
            2,
            FALSE
          ),
          """"
        )
      )
    )
  ),
  1,
  1
)
"),"")</f>
        <v/>
      </c>
      <c r="C100" s="105" t="str">
        <f>IFERROR(__xludf.DUMMYFUNCTION("IFERROR(IF('Final Report'!A100="""","""", TEXTJOIN(CHAR(10), TRUE, ARRAYFORMULA( ""• ""&amp; FILTER( TRIM(FLATTEN(SPLIT( REGEXREPLACE( SUBSTITUTE(TEXTJOIN("","", TRUE, IFERROR(ARRAYFORMULA(VLOOKUP(TRIM(SPLIT('Final Report'!A100, "","")), 'URL Details'!A:D, 4,"&amp;" FALSE)),"""") ), CHAR(10), "",""), ""\s*,\s*"", "",""), "",""))), TRIM(FLATTEN(SPLIT( REGEXREPLACE( SUBSTITUTE(TEXTJOIN("","", TRUE, IFERROR(ARRAYFORMULA(VLOOKUP(TRIM(SPLIT('Final Report'!A100, "","")), 'URL Details'!A:D, 4, FALSE)),"""") ), CHAR(10), """&amp;",""), ""\s*,\s*"", "",""), "","")))&lt;&gt;"""" ) ) ) ),"""")
"),"")</f>
        <v/>
      </c>
      <c r="D100" s="105"/>
      <c r="E100" s="105"/>
      <c r="F100" s="110" t="b">
        <v>0</v>
      </c>
      <c r="G100" s="105" t="str">
        <f>IF(F100=True, IFERROR(VLOOKUP(D100, Repository!A:B, 2, 0), ""), "")</f>
        <v/>
      </c>
      <c r="H100" s="105"/>
      <c r="I100" s="105"/>
      <c r="J100" s="105" t="str">
        <f>IF(F100=True, IFERROR(VLOOKUP(D100, Repository!A:C, 3, 0), ""), "")</f>
        <v/>
      </c>
      <c r="K100" s="105"/>
      <c r="L100" s="105" t="str">
        <f>IF(F100=True, IFERROR(VLOOKUP(D100, Repository!A:E, 5, 0), ""), "")</f>
        <v/>
      </c>
      <c r="M100" s="105"/>
      <c r="N100" s="105" t="str">
        <f>IF(F100=True, IFERROR(VLOOKUP(D100, Repository!A:G, 7, 0), ""), "")</f>
        <v/>
      </c>
      <c r="O100" s="105" t="str">
        <f>IFERROR(__xludf.DUMMYFUNCTION("ARRAY_CONSTRAIN(
  ARRAYFORMULA(
    IFERROR(
      LET(
        list, N100,
        arr, TRIM(SPLIT(list, "","")),
        names, XLOOKUP(
          arr,
          'Conformance Score'!A:A,
          'Conformance Score'!B:B,
          ""Not found""
      "&amp;"  ),
        TEXTJOIN("", "", TRUE, names)
      ),
      """"
    )
  ),
  1,
  1
)
"),"")</f>
        <v/>
      </c>
      <c r="P100" s="105" t="str">
        <f>IF(F100="Yes", IFERROR(VLOOKUP(D100, Repository!A:F, 6, 0), ""), "")</f>
        <v/>
      </c>
      <c r="Q100" s="105" t="str">
        <f>IF(F100="Yes", IFERROR(VLOOKUP(D100, Repository!A:I, 8, 0), ""), "")</f>
        <v/>
      </c>
      <c r="R100" s="105" t="str">
        <f>IF(F100="Yes", IFERROR(VLOOKUP(D100, Repository!A:J, 9, 0), ""), "")</f>
        <v/>
      </c>
      <c r="S100" s="105"/>
      <c r="T100" s="105"/>
      <c r="U100" s="105"/>
      <c r="V100" s="105"/>
      <c r="W100" s="105"/>
      <c r="X100" s="105"/>
      <c r="Y100" s="105"/>
      <c r="Z100" s="105"/>
      <c r="AA100" s="105"/>
      <c r="AB100" s="105"/>
      <c r="AC100" s="91"/>
      <c r="AD100" s="105"/>
      <c r="AE100" s="105"/>
      <c r="AF100" s="91"/>
      <c r="AG100" s="105"/>
      <c r="AH100" s="105"/>
      <c r="AI100" s="105" t="str">
        <f t="shared" si="1"/>
        <v/>
      </c>
      <c r="AJ100" s="108" t="str">
        <f t="shared" si="2"/>
        <v/>
      </c>
    </row>
    <row r="101" ht="15.75" customHeight="1">
      <c r="A101" s="104"/>
      <c r="B101" s="105" t="str">
        <f>IFERROR(__xludf.DUMMYFUNCTION("ARRAY_CONSTRAIN(
  ARRAYFORMULA(
    IF(
      'Final Report'!A101="""",
      """",
      TEXTJOIN(
        "", "" &amp; CHAR(10),
        TRUE,
        IFERROR(
          VLOOKUP(
            TRIM(
              SPLIT('Final Report'!A101, "","")
           "&amp;" ),
            'URL Details'!A:B,
            2,
            FALSE
          ),
          """"
        )
      )
    )
  ),
  1,
  1
)
"),"")</f>
        <v/>
      </c>
      <c r="C101" s="105" t="str">
        <f>IFERROR(__xludf.DUMMYFUNCTION("IFERROR(IF('Final Report'!A101="""","""", TEXTJOIN(CHAR(10), TRUE, ARRAYFORMULA( ""• ""&amp; FILTER( TRIM(FLATTEN(SPLIT( REGEXREPLACE( SUBSTITUTE(TEXTJOIN("","", TRUE, IFERROR(ARRAYFORMULA(VLOOKUP(TRIM(SPLIT('Final Report'!A101, "","")), 'URL Details'!A:D, 4,"&amp;" FALSE)),"""") ), CHAR(10), "",""), ""\s*,\s*"", "",""), "",""))), TRIM(FLATTEN(SPLIT( REGEXREPLACE( SUBSTITUTE(TEXTJOIN("","", TRUE, IFERROR(ARRAYFORMULA(VLOOKUP(TRIM(SPLIT('Final Report'!A101, "","")), 'URL Details'!A:D, 4, FALSE)),"""") ), CHAR(10), """&amp;",""), ""\s*,\s*"", "",""), "","")))&lt;&gt;"""" ) ) ) ),"""")
"),"")</f>
        <v/>
      </c>
      <c r="D101" s="105"/>
      <c r="E101" s="105"/>
      <c r="F101" s="110" t="b">
        <v>0</v>
      </c>
      <c r="G101" s="105" t="str">
        <f>IF(F101=True, IFERROR(VLOOKUP(D101, Repository!A:B, 2, 0), ""), "")</f>
        <v/>
      </c>
      <c r="H101" s="105"/>
      <c r="I101" s="105"/>
      <c r="J101" s="105" t="str">
        <f>IF(F101=True, IFERROR(VLOOKUP(D101, Repository!A:C, 3, 0), ""), "")</f>
        <v/>
      </c>
      <c r="K101" s="105"/>
      <c r="L101" s="105" t="str">
        <f>IF(F101=True, IFERROR(VLOOKUP(D101, Repository!A:E, 5, 0), ""), "")</f>
        <v/>
      </c>
      <c r="M101" s="105"/>
      <c r="N101" s="105" t="str">
        <f>IF(F101=True, IFERROR(VLOOKUP(D101, Repository!A:G, 7, 0), ""), "")</f>
        <v/>
      </c>
      <c r="O101" s="105" t="str">
        <f>IFERROR(__xludf.DUMMYFUNCTION("ARRAY_CONSTRAIN(
  ARRAYFORMULA(
    IFERROR(
      LET(
        list, N101,
        arr, TRIM(SPLIT(list, "","")),
        names, XLOOKUP(
          arr,
          'Conformance Score'!A:A,
          'Conformance Score'!B:B,
          ""Not found""
      "&amp;"  ),
        TEXTJOIN("", "", TRUE, names)
      ),
      """"
    )
  ),
  1,
  1
)
"),"")</f>
        <v/>
      </c>
      <c r="P101" s="105" t="str">
        <f>IF(F101="Yes", IFERROR(VLOOKUP(D101, Repository!A:F, 6, 0), ""), "")</f>
        <v/>
      </c>
      <c r="Q101" s="105" t="str">
        <f>IF(F101="Yes", IFERROR(VLOOKUP(D101, Repository!A:I, 8, 0), ""), "")</f>
        <v/>
      </c>
      <c r="R101" s="105" t="str">
        <f>IF(F101="Yes", IFERROR(VLOOKUP(D101, Repository!A:J, 9, 0), ""), "")</f>
        <v/>
      </c>
      <c r="S101" s="105"/>
      <c r="T101" s="105"/>
      <c r="U101" s="105"/>
      <c r="V101" s="105"/>
      <c r="W101" s="105"/>
      <c r="X101" s="105"/>
      <c r="Y101" s="105"/>
      <c r="Z101" s="105"/>
      <c r="AA101" s="105"/>
      <c r="AB101" s="105"/>
      <c r="AC101" s="91"/>
      <c r="AD101" s="105"/>
      <c r="AE101" s="105"/>
      <c r="AF101" s="91"/>
      <c r="AG101" s="105"/>
      <c r="AH101" s="105"/>
      <c r="AI101" s="105" t="str">
        <f t="shared" si="1"/>
        <v/>
      </c>
      <c r="AJ101" s="108" t="str">
        <f t="shared" si="2"/>
        <v/>
      </c>
    </row>
    <row r="102" ht="15.75" customHeight="1">
      <c r="A102" s="104"/>
      <c r="B102" s="105" t="str">
        <f>IFERROR(__xludf.DUMMYFUNCTION("ARRAY_CONSTRAIN(
  ARRAYFORMULA(
    IF(
      'Final Report'!A102="""",
      """",
      TEXTJOIN(
        "", "" &amp; CHAR(10),
        TRUE,
        IFERROR(
          VLOOKUP(
            TRIM(
              SPLIT('Final Report'!A102, "","")
           "&amp;" ),
            'URL Details'!A:B,
            2,
            FALSE
          ),
          """"
        )
      )
    )
  ),
  1,
  1
)
"),"")</f>
        <v/>
      </c>
      <c r="C102" s="105" t="str">
        <f>IFERROR(__xludf.DUMMYFUNCTION("IFERROR(IF('Final Report'!A102="""","""", TEXTJOIN(CHAR(10), TRUE, ARRAYFORMULA( ""• ""&amp; FILTER( TRIM(FLATTEN(SPLIT( REGEXREPLACE( SUBSTITUTE(TEXTJOIN("","", TRUE, IFERROR(ARRAYFORMULA(VLOOKUP(TRIM(SPLIT('Final Report'!A102, "","")), 'URL Details'!A:D, 4,"&amp;" FALSE)),"""") ), CHAR(10), "",""), ""\s*,\s*"", "",""), "",""))), TRIM(FLATTEN(SPLIT( REGEXREPLACE( SUBSTITUTE(TEXTJOIN("","", TRUE, IFERROR(ARRAYFORMULA(VLOOKUP(TRIM(SPLIT('Final Report'!A102, "","")), 'URL Details'!A:D, 4, FALSE)),"""") ), CHAR(10), """&amp;",""), ""\s*,\s*"", "",""), "","")))&lt;&gt;"""" ) ) ) ),"""")
"),"")</f>
        <v/>
      </c>
      <c r="D102" s="105"/>
      <c r="E102" s="105"/>
      <c r="F102" s="110" t="b">
        <v>0</v>
      </c>
      <c r="G102" s="105" t="str">
        <f>IF(F102=True, IFERROR(VLOOKUP(D102, Repository!A:B, 2, 0), ""), "")</f>
        <v/>
      </c>
      <c r="H102" s="105"/>
      <c r="I102" s="105"/>
      <c r="J102" s="105" t="str">
        <f>IF(F102=True, IFERROR(VLOOKUP(D102, Repository!A:C, 3, 0), ""), "")</f>
        <v/>
      </c>
      <c r="K102" s="105"/>
      <c r="L102" s="105" t="str">
        <f>IF(F102=True, IFERROR(VLOOKUP(D102, Repository!A:E, 5, 0), ""), "")</f>
        <v/>
      </c>
      <c r="M102" s="105"/>
      <c r="N102" s="105" t="str">
        <f>IF(F102=True, IFERROR(VLOOKUP(D102, Repository!A:G, 7, 0), ""), "")</f>
        <v/>
      </c>
      <c r="O102" s="105" t="str">
        <f>IFERROR(__xludf.DUMMYFUNCTION("ARRAY_CONSTRAIN(
  ARRAYFORMULA(
    IFERROR(
      LET(
        list, N102,
        arr, TRIM(SPLIT(list, "","")),
        names, XLOOKUP(
          arr,
          'Conformance Score'!A:A,
          'Conformance Score'!B:B,
          ""Not found""
      "&amp;"  ),
        TEXTJOIN("", "", TRUE, names)
      ),
      """"
    )
  ),
  1,
  1
)
"),"")</f>
        <v/>
      </c>
      <c r="P102" s="105" t="str">
        <f>IF(F102="Yes", IFERROR(VLOOKUP(D102, Repository!A:F, 6, 0), ""), "")</f>
        <v/>
      </c>
      <c r="Q102" s="105" t="str">
        <f>IF(F102="Yes", IFERROR(VLOOKUP(D102, Repository!A:I, 8, 0), ""), "")</f>
        <v/>
      </c>
      <c r="R102" s="105" t="str">
        <f>IF(F102="Yes", IFERROR(VLOOKUP(D102, Repository!A:J, 9, 0), ""), "")</f>
        <v/>
      </c>
      <c r="S102" s="105"/>
      <c r="T102" s="105"/>
      <c r="U102" s="105"/>
      <c r="V102" s="105"/>
      <c r="W102" s="105"/>
      <c r="X102" s="105"/>
      <c r="Y102" s="105"/>
      <c r="Z102" s="105"/>
      <c r="AA102" s="105"/>
      <c r="AB102" s="105"/>
      <c r="AC102" s="91"/>
      <c r="AD102" s="105"/>
      <c r="AE102" s="105"/>
      <c r="AF102" s="91"/>
      <c r="AG102" s="105"/>
      <c r="AH102" s="105"/>
      <c r="AI102" s="105" t="str">
        <f t="shared" si="1"/>
        <v/>
      </c>
      <c r="AJ102" s="108" t="str">
        <f t="shared" si="2"/>
        <v/>
      </c>
    </row>
    <row r="103" ht="15.75" customHeight="1">
      <c r="A103" s="104"/>
      <c r="B103" s="105" t="str">
        <f>IFERROR(__xludf.DUMMYFUNCTION("ARRAY_CONSTRAIN(
  ARRAYFORMULA(
    IF(
      'Final Report'!A103="""",
      """",
      TEXTJOIN(
        "", "" &amp; CHAR(10),
        TRUE,
        IFERROR(
          VLOOKUP(
            TRIM(
              SPLIT('Final Report'!A103, "","")
           "&amp;" ),
            'URL Details'!A:B,
            2,
            FALSE
          ),
          """"
        )
      )
    )
  ),
  1,
  1
)
"),"")</f>
        <v/>
      </c>
      <c r="C103" s="105" t="str">
        <f>IFERROR(__xludf.DUMMYFUNCTION("IFERROR(IF('Final Report'!A103="""","""", TEXTJOIN(CHAR(10), TRUE, ARRAYFORMULA( ""• ""&amp; FILTER( TRIM(FLATTEN(SPLIT( REGEXREPLACE( SUBSTITUTE(TEXTJOIN("","", TRUE, IFERROR(ARRAYFORMULA(VLOOKUP(TRIM(SPLIT('Final Report'!A103, "","")), 'URL Details'!A:D, 4,"&amp;" FALSE)),"""") ), CHAR(10), "",""), ""\s*,\s*"", "",""), "",""))), TRIM(FLATTEN(SPLIT( REGEXREPLACE( SUBSTITUTE(TEXTJOIN("","", TRUE, IFERROR(ARRAYFORMULA(VLOOKUP(TRIM(SPLIT('Final Report'!A103, "","")), 'URL Details'!A:D, 4, FALSE)),"""") ), CHAR(10), """&amp;",""), ""\s*,\s*"", "",""), "","")))&lt;&gt;"""" ) ) ) ),"""")
"),"")</f>
        <v/>
      </c>
      <c r="D103" s="105"/>
      <c r="E103" s="105"/>
      <c r="F103" s="110" t="b">
        <v>0</v>
      </c>
      <c r="G103" s="105" t="str">
        <f>IF(F103=True, IFERROR(VLOOKUP(D103, Repository!A:B, 2, 0), ""), "")</f>
        <v/>
      </c>
      <c r="H103" s="105"/>
      <c r="I103" s="105"/>
      <c r="J103" s="105" t="str">
        <f>IF(F103=True, IFERROR(VLOOKUP(D103, Repository!A:C, 3, 0), ""), "")</f>
        <v/>
      </c>
      <c r="K103" s="105"/>
      <c r="L103" s="105" t="str">
        <f>IF(F103=True, IFERROR(VLOOKUP(D103, Repository!A:E, 5, 0), ""), "")</f>
        <v/>
      </c>
      <c r="M103" s="105"/>
      <c r="N103" s="105" t="str">
        <f>IF(F103=True, IFERROR(VLOOKUP(D103, Repository!A:G, 7, 0), ""), "")</f>
        <v/>
      </c>
      <c r="O103" s="105" t="str">
        <f>IFERROR(__xludf.DUMMYFUNCTION("ARRAY_CONSTRAIN(
  ARRAYFORMULA(
    IFERROR(
      LET(
        list, N103,
        arr, TRIM(SPLIT(list, "","")),
        names, XLOOKUP(
          arr,
          'Conformance Score'!A:A,
          'Conformance Score'!B:B,
          ""Not found""
      "&amp;"  ),
        TEXTJOIN("", "", TRUE, names)
      ),
      """"
    )
  ),
  1,
  1
)
"),"")</f>
        <v/>
      </c>
      <c r="P103" s="105" t="str">
        <f>IF(F103="Yes", IFERROR(VLOOKUP(D103, Repository!A:F, 6, 0), ""), "")</f>
        <v/>
      </c>
      <c r="Q103" s="105" t="str">
        <f>IF(F103="Yes", IFERROR(VLOOKUP(D103, Repository!A:I, 8, 0), ""), "")</f>
        <v/>
      </c>
      <c r="R103" s="105" t="str">
        <f>IF(F103="Yes", IFERROR(VLOOKUP(D103, Repository!A:J, 9, 0), ""), "")</f>
        <v/>
      </c>
      <c r="S103" s="105"/>
      <c r="T103" s="105"/>
      <c r="U103" s="105"/>
      <c r="V103" s="105"/>
      <c r="W103" s="105"/>
      <c r="X103" s="105"/>
      <c r="Y103" s="105"/>
      <c r="Z103" s="105"/>
      <c r="AA103" s="105"/>
      <c r="AB103" s="105"/>
      <c r="AC103" s="91"/>
      <c r="AD103" s="105"/>
      <c r="AE103" s="105"/>
      <c r="AF103" s="91"/>
      <c r="AG103" s="105"/>
      <c r="AH103" s="105"/>
      <c r="AI103" s="105" t="str">
        <f t="shared" si="1"/>
        <v/>
      </c>
      <c r="AJ103" s="108" t="str">
        <f t="shared" si="2"/>
        <v/>
      </c>
    </row>
    <row r="104" ht="15.75" customHeight="1">
      <c r="A104" s="104"/>
      <c r="B104" s="105" t="str">
        <f>IFERROR(__xludf.DUMMYFUNCTION("ARRAY_CONSTRAIN(
  ARRAYFORMULA(
    IF(
      'Final Report'!A104="""",
      """",
      TEXTJOIN(
        "", "" &amp; CHAR(10),
        TRUE,
        IFERROR(
          VLOOKUP(
            TRIM(
              SPLIT('Final Report'!A104, "","")
           "&amp;" ),
            'URL Details'!A:B,
            2,
            FALSE
          ),
          """"
        )
      )
    )
  ),
  1,
  1
)
"),"")</f>
        <v/>
      </c>
      <c r="C104" s="105" t="str">
        <f>IFERROR(__xludf.DUMMYFUNCTION("IFERROR(IF('Final Report'!A104="""","""", TEXTJOIN(CHAR(10), TRUE, ARRAYFORMULA( ""• ""&amp; FILTER( TRIM(FLATTEN(SPLIT( REGEXREPLACE( SUBSTITUTE(TEXTJOIN("","", TRUE, IFERROR(ARRAYFORMULA(VLOOKUP(TRIM(SPLIT('Final Report'!A104, "","")), 'URL Details'!A:D, 4,"&amp;" FALSE)),"""") ), CHAR(10), "",""), ""\s*,\s*"", "",""), "",""))), TRIM(FLATTEN(SPLIT( REGEXREPLACE( SUBSTITUTE(TEXTJOIN("","", TRUE, IFERROR(ARRAYFORMULA(VLOOKUP(TRIM(SPLIT('Final Report'!A104, "","")), 'URL Details'!A:D, 4, FALSE)),"""") ), CHAR(10), """&amp;",""), ""\s*,\s*"", "",""), "","")))&lt;&gt;"""" ) ) ) ),"""")
"),"")</f>
        <v/>
      </c>
      <c r="D104" s="105"/>
      <c r="E104" s="105"/>
      <c r="F104" s="110" t="b">
        <v>0</v>
      </c>
      <c r="G104" s="105" t="str">
        <f>IF(F104=True, IFERROR(VLOOKUP(D104, Repository!A:B, 2, 0), ""), "")</f>
        <v/>
      </c>
      <c r="H104" s="105"/>
      <c r="I104" s="105"/>
      <c r="J104" s="105" t="str">
        <f>IF(F104=True, IFERROR(VLOOKUP(D104, Repository!A:C, 3, 0), ""), "")</f>
        <v/>
      </c>
      <c r="K104" s="105"/>
      <c r="L104" s="105" t="str">
        <f>IF(F104=True, IFERROR(VLOOKUP(D104, Repository!A:E, 5, 0), ""), "")</f>
        <v/>
      </c>
      <c r="M104" s="105"/>
      <c r="N104" s="105" t="str">
        <f>IF(F104=True, IFERROR(VLOOKUP(D104, Repository!A:G, 7, 0), ""), "")</f>
        <v/>
      </c>
      <c r="O104" s="105" t="str">
        <f>IFERROR(__xludf.DUMMYFUNCTION("ARRAY_CONSTRAIN(
  ARRAYFORMULA(
    IFERROR(
      LET(
        list, N104,
        arr, TRIM(SPLIT(list, "","")),
        names, XLOOKUP(
          arr,
          'Conformance Score'!A:A,
          'Conformance Score'!B:B,
          ""Not found""
      "&amp;"  ),
        TEXTJOIN("", "", TRUE, names)
      ),
      """"
    )
  ),
  1,
  1
)
"),"")</f>
        <v/>
      </c>
      <c r="P104" s="105" t="str">
        <f>IF(F104="Yes", IFERROR(VLOOKUP(D104, Repository!A:F, 6, 0), ""), "")</f>
        <v/>
      </c>
      <c r="Q104" s="105" t="str">
        <f>IF(F104="Yes", IFERROR(VLOOKUP(D104, Repository!A:I, 8, 0), ""), "")</f>
        <v/>
      </c>
      <c r="R104" s="105" t="str">
        <f>IF(F104="Yes", IFERROR(VLOOKUP(D104, Repository!A:J, 9, 0), ""), "")</f>
        <v/>
      </c>
      <c r="S104" s="105"/>
      <c r="T104" s="105"/>
      <c r="U104" s="105"/>
      <c r="V104" s="105"/>
      <c r="W104" s="105"/>
      <c r="X104" s="105"/>
      <c r="Y104" s="105"/>
      <c r="Z104" s="105"/>
      <c r="AA104" s="105"/>
      <c r="AB104" s="105"/>
      <c r="AC104" s="91"/>
      <c r="AD104" s="105"/>
      <c r="AE104" s="105"/>
      <c r="AF104" s="91"/>
      <c r="AG104" s="105"/>
      <c r="AH104" s="105"/>
      <c r="AI104" s="105" t="str">
        <f t="shared" si="1"/>
        <v/>
      </c>
      <c r="AJ104" s="108" t="str">
        <f t="shared" si="2"/>
        <v/>
      </c>
    </row>
    <row r="105" ht="15.75" customHeight="1">
      <c r="A105" s="104"/>
      <c r="B105" s="105" t="str">
        <f>IFERROR(__xludf.DUMMYFUNCTION("ARRAY_CONSTRAIN(
  ARRAYFORMULA(
    IF(
      'Final Report'!A105="""",
      """",
      TEXTJOIN(
        "", "" &amp; CHAR(10),
        TRUE,
        IFERROR(
          VLOOKUP(
            TRIM(
              SPLIT('Final Report'!A105, "","")
           "&amp;" ),
            'URL Details'!A:B,
            2,
            FALSE
          ),
          """"
        )
      )
    )
  ),
  1,
  1
)
"),"")</f>
        <v/>
      </c>
      <c r="C105" s="105" t="str">
        <f>IFERROR(__xludf.DUMMYFUNCTION("IFERROR(IF('Final Report'!A105="""","""", TEXTJOIN(CHAR(10), TRUE, ARRAYFORMULA( ""• ""&amp; FILTER( TRIM(FLATTEN(SPLIT( REGEXREPLACE( SUBSTITUTE(TEXTJOIN("","", TRUE, IFERROR(ARRAYFORMULA(VLOOKUP(TRIM(SPLIT('Final Report'!A105, "","")), 'URL Details'!A:D, 4,"&amp;" FALSE)),"""") ), CHAR(10), "",""), ""\s*,\s*"", "",""), "",""))), TRIM(FLATTEN(SPLIT( REGEXREPLACE( SUBSTITUTE(TEXTJOIN("","", TRUE, IFERROR(ARRAYFORMULA(VLOOKUP(TRIM(SPLIT('Final Report'!A105, "","")), 'URL Details'!A:D, 4, FALSE)),"""") ), CHAR(10), """&amp;",""), ""\s*,\s*"", "",""), "","")))&lt;&gt;"""" ) ) ) ),"""")
"),"")</f>
        <v/>
      </c>
      <c r="D105" s="105"/>
      <c r="E105" s="105"/>
      <c r="F105" s="110" t="b">
        <v>0</v>
      </c>
      <c r="G105" s="105" t="str">
        <f>IF(F105=True, IFERROR(VLOOKUP(D105, Repository!A:B, 2, 0), ""), "")</f>
        <v/>
      </c>
      <c r="H105" s="105"/>
      <c r="I105" s="105"/>
      <c r="J105" s="105" t="str">
        <f>IF(F105=True, IFERROR(VLOOKUP(D105, Repository!A:C, 3, 0), ""), "")</f>
        <v/>
      </c>
      <c r="K105" s="105"/>
      <c r="L105" s="105" t="str">
        <f>IF(F105=True, IFERROR(VLOOKUP(D105, Repository!A:E, 5, 0), ""), "")</f>
        <v/>
      </c>
      <c r="M105" s="105"/>
      <c r="N105" s="105" t="str">
        <f>IF(F105=True, IFERROR(VLOOKUP(D105, Repository!A:G, 7, 0), ""), "")</f>
        <v/>
      </c>
      <c r="O105" s="105" t="str">
        <f>IFERROR(__xludf.DUMMYFUNCTION("ARRAY_CONSTRAIN(
  ARRAYFORMULA(
    IFERROR(
      LET(
        list, N105,
        arr, TRIM(SPLIT(list, "","")),
        names, XLOOKUP(
          arr,
          'Conformance Score'!A:A,
          'Conformance Score'!B:B,
          ""Not found""
      "&amp;"  ),
        TEXTJOIN("", "", TRUE, names)
      ),
      """"
    )
  ),
  1,
  1
)
"),"")</f>
        <v/>
      </c>
      <c r="P105" s="105" t="str">
        <f>IF(F105="Yes", IFERROR(VLOOKUP(D105, Repository!A:F, 6, 0), ""), "")</f>
        <v/>
      </c>
      <c r="Q105" s="105" t="str">
        <f>IF(F105="Yes", IFERROR(VLOOKUP(D105, Repository!A:I, 8, 0), ""), "")</f>
        <v/>
      </c>
      <c r="R105" s="105" t="str">
        <f>IF(F105="Yes", IFERROR(VLOOKUP(D105, Repository!A:J, 9, 0), ""), "")</f>
        <v/>
      </c>
      <c r="S105" s="105"/>
      <c r="T105" s="105"/>
      <c r="U105" s="105"/>
      <c r="V105" s="105"/>
      <c r="W105" s="105"/>
      <c r="X105" s="105"/>
      <c r="Y105" s="105"/>
      <c r="Z105" s="105"/>
      <c r="AA105" s="105"/>
      <c r="AB105" s="105"/>
      <c r="AC105" s="91"/>
      <c r="AD105" s="105"/>
      <c r="AE105" s="105"/>
      <c r="AF105" s="91"/>
      <c r="AG105" s="105"/>
      <c r="AH105" s="105"/>
      <c r="AI105" s="105" t="str">
        <f t="shared" si="1"/>
        <v/>
      </c>
      <c r="AJ105" s="108" t="str">
        <f t="shared" si="2"/>
        <v/>
      </c>
    </row>
    <row r="106" ht="15.75" customHeight="1">
      <c r="A106" s="104"/>
      <c r="B106" s="105" t="str">
        <f>IFERROR(__xludf.DUMMYFUNCTION("ARRAY_CONSTRAIN(
  ARRAYFORMULA(
    IF(
      'Final Report'!A106="""",
      """",
      TEXTJOIN(
        "", "" &amp; CHAR(10),
        TRUE,
        IFERROR(
          VLOOKUP(
            TRIM(
              SPLIT('Final Report'!A106, "","")
           "&amp;" ),
            'URL Details'!A:B,
            2,
            FALSE
          ),
          """"
        )
      )
    )
  ),
  1,
  1
)
"),"")</f>
        <v/>
      </c>
      <c r="C106" s="105" t="str">
        <f>IFERROR(__xludf.DUMMYFUNCTION("IFERROR(IF('Final Report'!A106="""","""", TEXTJOIN(CHAR(10), TRUE, ARRAYFORMULA( ""• ""&amp; FILTER( TRIM(FLATTEN(SPLIT( REGEXREPLACE( SUBSTITUTE(TEXTJOIN("","", TRUE, IFERROR(ARRAYFORMULA(VLOOKUP(TRIM(SPLIT('Final Report'!A106, "","")), 'URL Details'!A:D, 4,"&amp;" FALSE)),"""") ), CHAR(10), "",""), ""\s*,\s*"", "",""), "",""))), TRIM(FLATTEN(SPLIT( REGEXREPLACE( SUBSTITUTE(TEXTJOIN("","", TRUE, IFERROR(ARRAYFORMULA(VLOOKUP(TRIM(SPLIT('Final Report'!A106, "","")), 'URL Details'!A:D, 4, FALSE)),"""") ), CHAR(10), """&amp;",""), ""\s*,\s*"", "",""), "","")))&lt;&gt;"""" ) ) ) ),"""")
"),"")</f>
        <v/>
      </c>
      <c r="D106" s="105"/>
      <c r="E106" s="105"/>
      <c r="F106" s="110" t="b">
        <v>0</v>
      </c>
      <c r="G106" s="105" t="str">
        <f>IF(F106=True, IFERROR(VLOOKUP(D106, Repository!A:B, 2, 0), ""), "")</f>
        <v/>
      </c>
      <c r="H106" s="105"/>
      <c r="I106" s="105"/>
      <c r="J106" s="105" t="str">
        <f>IF(F106=True, IFERROR(VLOOKUP(D106, Repository!A:C, 3, 0), ""), "")</f>
        <v/>
      </c>
      <c r="K106" s="105"/>
      <c r="L106" s="105" t="str">
        <f>IF(F106=True, IFERROR(VLOOKUP(D106, Repository!A:E, 5, 0), ""), "")</f>
        <v/>
      </c>
      <c r="M106" s="105"/>
      <c r="N106" s="105" t="str">
        <f>IF(F106=True, IFERROR(VLOOKUP(D106, Repository!A:G, 7, 0), ""), "")</f>
        <v/>
      </c>
      <c r="O106" s="105" t="str">
        <f>IFERROR(__xludf.DUMMYFUNCTION("ARRAY_CONSTRAIN(
  ARRAYFORMULA(
    IFERROR(
      LET(
        list, N106,
        arr, TRIM(SPLIT(list, "","")),
        names, XLOOKUP(
          arr,
          'Conformance Score'!A:A,
          'Conformance Score'!B:B,
          ""Not found""
      "&amp;"  ),
        TEXTJOIN("", "", TRUE, names)
      ),
      """"
    )
  ),
  1,
  1
)
"),"")</f>
        <v/>
      </c>
      <c r="P106" s="105" t="str">
        <f>IF(F106="Yes", IFERROR(VLOOKUP(D106, Repository!A:F, 6, 0), ""), "")</f>
        <v/>
      </c>
      <c r="Q106" s="105" t="str">
        <f>IF(F106="Yes", IFERROR(VLOOKUP(D106, Repository!A:I, 8, 0), ""), "")</f>
        <v/>
      </c>
      <c r="R106" s="105" t="str">
        <f>IF(F106="Yes", IFERROR(VLOOKUP(D106, Repository!A:J, 9, 0), ""), "")</f>
        <v/>
      </c>
      <c r="S106" s="105"/>
      <c r="T106" s="105"/>
      <c r="U106" s="105"/>
      <c r="V106" s="105"/>
      <c r="W106" s="105"/>
      <c r="X106" s="105"/>
      <c r="Y106" s="105"/>
      <c r="Z106" s="105"/>
      <c r="AA106" s="105"/>
      <c r="AB106" s="105"/>
      <c r="AC106" s="91"/>
      <c r="AD106" s="105"/>
      <c r="AE106" s="105"/>
      <c r="AF106" s="91"/>
      <c r="AG106" s="105"/>
      <c r="AH106" s="105"/>
      <c r="AI106" s="105" t="str">
        <f t="shared" si="1"/>
        <v/>
      </c>
      <c r="AJ106" s="108" t="str">
        <f t="shared" si="2"/>
        <v/>
      </c>
    </row>
    <row r="107" ht="15.75" customHeight="1">
      <c r="A107" s="104"/>
      <c r="B107" s="105" t="str">
        <f>IFERROR(__xludf.DUMMYFUNCTION("ARRAY_CONSTRAIN(
  ARRAYFORMULA(
    IF(
      'Final Report'!A107="""",
      """",
      TEXTJOIN(
        "", "" &amp; CHAR(10),
        TRUE,
        IFERROR(
          VLOOKUP(
            TRIM(
              SPLIT('Final Report'!A107, "","")
           "&amp;" ),
            'URL Details'!A:B,
            2,
            FALSE
          ),
          """"
        )
      )
    )
  ),
  1,
  1
)
"),"")</f>
        <v/>
      </c>
      <c r="C107" s="105" t="str">
        <f>IFERROR(__xludf.DUMMYFUNCTION("IFERROR(IF('Final Report'!A107="""","""", TEXTJOIN(CHAR(10), TRUE, ARRAYFORMULA( ""• ""&amp; FILTER( TRIM(FLATTEN(SPLIT( REGEXREPLACE( SUBSTITUTE(TEXTJOIN("","", TRUE, IFERROR(ARRAYFORMULA(VLOOKUP(TRIM(SPLIT('Final Report'!A107, "","")), 'URL Details'!A:D, 4,"&amp;" FALSE)),"""") ), CHAR(10), "",""), ""\s*,\s*"", "",""), "",""))), TRIM(FLATTEN(SPLIT( REGEXREPLACE( SUBSTITUTE(TEXTJOIN("","", TRUE, IFERROR(ARRAYFORMULA(VLOOKUP(TRIM(SPLIT('Final Report'!A107, "","")), 'URL Details'!A:D, 4, FALSE)),"""") ), CHAR(10), """&amp;",""), ""\s*,\s*"", "",""), "","")))&lt;&gt;"""" ) ) ) ),"""")
"),"")</f>
        <v/>
      </c>
      <c r="D107" s="105"/>
      <c r="E107" s="105"/>
      <c r="F107" s="110" t="b">
        <v>0</v>
      </c>
      <c r="G107" s="105" t="str">
        <f>IF(F107=True, IFERROR(VLOOKUP(D107, Repository!A:B, 2, 0), ""), "")</f>
        <v/>
      </c>
      <c r="H107" s="105"/>
      <c r="I107" s="105"/>
      <c r="J107" s="105" t="str">
        <f>IF(F107=True, IFERROR(VLOOKUP(D107, Repository!A:C, 3, 0), ""), "")</f>
        <v/>
      </c>
      <c r="K107" s="105"/>
      <c r="L107" s="105" t="str">
        <f>IF(F107=True, IFERROR(VLOOKUP(D107, Repository!A:E, 5, 0), ""), "")</f>
        <v/>
      </c>
      <c r="M107" s="105"/>
      <c r="N107" s="105" t="str">
        <f>IF(F107=True, IFERROR(VLOOKUP(D107, Repository!A:G, 7, 0), ""), "")</f>
        <v/>
      </c>
      <c r="O107" s="105" t="str">
        <f>IFERROR(__xludf.DUMMYFUNCTION("ARRAY_CONSTRAIN(
  ARRAYFORMULA(
    IFERROR(
      LET(
        list, N107,
        arr, TRIM(SPLIT(list, "","")),
        names, XLOOKUP(
          arr,
          'Conformance Score'!A:A,
          'Conformance Score'!B:B,
          ""Not found""
      "&amp;"  ),
        TEXTJOIN("", "", TRUE, names)
      ),
      """"
    )
  ),
  1,
  1
)
"),"")</f>
        <v/>
      </c>
      <c r="P107" s="105" t="str">
        <f>IF(F107="Yes", IFERROR(VLOOKUP(D107, Repository!A:F, 6, 0), ""), "")</f>
        <v/>
      </c>
      <c r="Q107" s="105" t="str">
        <f>IF(F107="Yes", IFERROR(VLOOKUP(D107, Repository!A:I, 8, 0), ""), "")</f>
        <v/>
      </c>
      <c r="R107" s="105" t="str">
        <f>IF(F107="Yes", IFERROR(VLOOKUP(D107, Repository!A:J, 9, 0), ""), "")</f>
        <v/>
      </c>
      <c r="S107" s="105"/>
      <c r="T107" s="105"/>
      <c r="U107" s="105"/>
      <c r="V107" s="105"/>
      <c r="W107" s="105"/>
      <c r="X107" s="105"/>
      <c r="Y107" s="105"/>
      <c r="Z107" s="105"/>
      <c r="AA107" s="105"/>
      <c r="AB107" s="105"/>
      <c r="AC107" s="91"/>
      <c r="AD107" s="105"/>
      <c r="AE107" s="105"/>
      <c r="AF107" s="91"/>
      <c r="AG107" s="105"/>
      <c r="AH107" s="105"/>
      <c r="AI107" s="105" t="str">
        <f t="shared" si="1"/>
        <v/>
      </c>
      <c r="AJ107" s="108" t="str">
        <f t="shared" si="2"/>
        <v/>
      </c>
    </row>
    <row r="108" ht="15.75" customHeight="1">
      <c r="A108" s="104"/>
      <c r="B108" s="105" t="str">
        <f>IFERROR(__xludf.DUMMYFUNCTION("ARRAY_CONSTRAIN(
  ARRAYFORMULA(
    IF(
      'Final Report'!A108="""",
      """",
      TEXTJOIN(
        "", "" &amp; CHAR(10),
        TRUE,
        IFERROR(
          VLOOKUP(
            TRIM(
              SPLIT('Final Report'!A108, "","")
           "&amp;" ),
            'URL Details'!A:B,
            2,
            FALSE
          ),
          """"
        )
      )
    )
  ),
  1,
  1
)
"),"")</f>
        <v/>
      </c>
      <c r="C108" s="105" t="str">
        <f>IFERROR(__xludf.DUMMYFUNCTION("IFERROR(IF('Final Report'!A108="""","""", TEXTJOIN(CHAR(10), TRUE, ARRAYFORMULA( ""• ""&amp; FILTER( TRIM(FLATTEN(SPLIT( REGEXREPLACE( SUBSTITUTE(TEXTJOIN("","", TRUE, IFERROR(ARRAYFORMULA(VLOOKUP(TRIM(SPLIT('Final Report'!A108, "","")), 'URL Details'!A:D, 4,"&amp;" FALSE)),"""") ), CHAR(10), "",""), ""\s*,\s*"", "",""), "",""))), TRIM(FLATTEN(SPLIT( REGEXREPLACE( SUBSTITUTE(TEXTJOIN("","", TRUE, IFERROR(ARRAYFORMULA(VLOOKUP(TRIM(SPLIT('Final Report'!A108, "","")), 'URL Details'!A:D, 4, FALSE)),"""") ), CHAR(10), """&amp;",""), ""\s*,\s*"", "",""), "","")))&lt;&gt;"""" ) ) ) ),"""")
"),"")</f>
        <v/>
      </c>
      <c r="D108" s="105"/>
      <c r="E108" s="105"/>
      <c r="F108" s="110" t="b">
        <v>0</v>
      </c>
      <c r="G108" s="105" t="str">
        <f>IF(F108=True, IFERROR(VLOOKUP(D108, Repository!A:B, 2, 0), ""), "")</f>
        <v/>
      </c>
      <c r="H108" s="105"/>
      <c r="I108" s="105"/>
      <c r="J108" s="105" t="str">
        <f>IF(F108=True, IFERROR(VLOOKUP(D108, Repository!A:C, 3, 0), ""), "")</f>
        <v/>
      </c>
      <c r="K108" s="105"/>
      <c r="L108" s="105" t="str">
        <f>IF(F108=True, IFERROR(VLOOKUP(D108, Repository!A:E, 5, 0), ""), "")</f>
        <v/>
      </c>
      <c r="M108" s="105"/>
      <c r="N108" s="105" t="str">
        <f>IF(F108=True, IFERROR(VLOOKUP(D108, Repository!A:G, 7, 0), ""), "")</f>
        <v/>
      </c>
      <c r="O108" s="105" t="str">
        <f>IFERROR(__xludf.DUMMYFUNCTION("ARRAY_CONSTRAIN(
  ARRAYFORMULA(
    IFERROR(
      LET(
        list, N108,
        arr, TRIM(SPLIT(list, "","")),
        names, XLOOKUP(
          arr,
          'Conformance Score'!A:A,
          'Conformance Score'!B:B,
          ""Not found""
      "&amp;"  ),
        TEXTJOIN("", "", TRUE, names)
      ),
      """"
    )
  ),
  1,
  1
)
"),"")</f>
        <v/>
      </c>
      <c r="P108" s="105" t="str">
        <f>IF(F108="Yes", IFERROR(VLOOKUP(D108, Repository!A:F, 6, 0), ""), "")</f>
        <v/>
      </c>
      <c r="Q108" s="105" t="str">
        <f>IF(F108="Yes", IFERROR(VLOOKUP(D108, Repository!A:I, 8, 0), ""), "")</f>
        <v/>
      </c>
      <c r="R108" s="105" t="str">
        <f>IF(F108="Yes", IFERROR(VLOOKUP(D108, Repository!A:J, 9, 0), ""), "")</f>
        <v/>
      </c>
      <c r="S108" s="105"/>
      <c r="T108" s="105"/>
      <c r="U108" s="105"/>
      <c r="V108" s="105"/>
      <c r="W108" s="105"/>
      <c r="X108" s="105"/>
      <c r="Y108" s="105"/>
      <c r="Z108" s="105"/>
      <c r="AA108" s="105"/>
      <c r="AB108" s="105"/>
      <c r="AC108" s="91"/>
      <c r="AD108" s="105"/>
      <c r="AE108" s="105"/>
      <c r="AF108" s="91"/>
      <c r="AG108" s="105"/>
      <c r="AH108" s="105"/>
      <c r="AI108" s="105" t="str">
        <f t="shared" si="1"/>
        <v/>
      </c>
      <c r="AJ108" s="108" t="str">
        <f t="shared" si="2"/>
        <v/>
      </c>
    </row>
    <row r="109" ht="15.75" customHeight="1">
      <c r="A109" s="104"/>
      <c r="B109" s="105" t="str">
        <f>IFERROR(__xludf.DUMMYFUNCTION("ARRAY_CONSTRAIN(
  ARRAYFORMULA(
    IF(
      'Final Report'!A109="""",
      """",
      TEXTJOIN(
        "", "" &amp; CHAR(10),
        TRUE,
        IFERROR(
          VLOOKUP(
            TRIM(
              SPLIT('Final Report'!A109, "","")
           "&amp;" ),
            'URL Details'!A:B,
            2,
            FALSE
          ),
          """"
        )
      )
    )
  ),
  1,
  1
)
"),"")</f>
        <v/>
      </c>
      <c r="C109" s="105" t="str">
        <f>IFERROR(__xludf.DUMMYFUNCTION("IFERROR(IF('Final Report'!A109="""","""", TEXTJOIN(CHAR(10), TRUE, ARRAYFORMULA( ""• ""&amp; FILTER( TRIM(FLATTEN(SPLIT( REGEXREPLACE( SUBSTITUTE(TEXTJOIN("","", TRUE, IFERROR(ARRAYFORMULA(VLOOKUP(TRIM(SPLIT('Final Report'!A109, "","")), 'URL Details'!A:D, 4,"&amp;" FALSE)),"""") ), CHAR(10), "",""), ""\s*,\s*"", "",""), "",""))), TRIM(FLATTEN(SPLIT( REGEXREPLACE( SUBSTITUTE(TEXTJOIN("","", TRUE, IFERROR(ARRAYFORMULA(VLOOKUP(TRIM(SPLIT('Final Report'!A109, "","")), 'URL Details'!A:D, 4, FALSE)),"""") ), CHAR(10), """&amp;",""), ""\s*,\s*"", "",""), "","")))&lt;&gt;"""" ) ) ) ),"""")
"),"")</f>
        <v/>
      </c>
      <c r="D109" s="105"/>
      <c r="E109" s="105"/>
      <c r="F109" s="110" t="b">
        <v>0</v>
      </c>
      <c r="G109" s="105" t="str">
        <f>IF(F109=True, IFERROR(VLOOKUP(D109, Repository!A:B, 2, 0), ""), "")</f>
        <v/>
      </c>
      <c r="H109" s="105"/>
      <c r="I109" s="105"/>
      <c r="J109" s="105" t="str">
        <f>IF(F109=True, IFERROR(VLOOKUP(D109, Repository!A:C, 3, 0), ""), "")</f>
        <v/>
      </c>
      <c r="K109" s="105"/>
      <c r="L109" s="105" t="str">
        <f>IF(F109=True, IFERROR(VLOOKUP(D109, Repository!A:E, 5, 0), ""), "")</f>
        <v/>
      </c>
      <c r="M109" s="105"/>
      <c r="N109" s="105" t="str">
        <f>IF(F109=True, IFERROR(VLOOKUP(D109, Repository!A:G, 7, 0), ""), "")</f>
        <v/>
      </c>
      <c r="O109" s="105" t="str">
        <f>IFERROR(__xludf.DUMMYFUNCTION("ARRAY_CONSTRAIN(
  ARRAYFORMULA(
    IFERROR(
      LET(
        list, N109,
        arr, TRIM(SPLIT(list, "","")),
        names, XLOOKUP(
          arr,
          'Conformance Score'!A:A,
          'Conformance Score'!B:B,
          ""Not found""
      "&amp;"  ),
        TEXTJOIN("", "", TRUE, names)
      ),
      """"
    )
  ),
  1,
  1
)
"),"")</f>
        <v/>
      </c>
      <c r="P109" s="105" t="str">
        <f>IF(F109="Yes", IFERROR(VLOOKUP(D109, Repository!A:F, 6, 0), ""), "")</f>
        <v/>
      </c>
      <c r="Q109" s="105" t="str">
        <f>IF(F109="Yes", IFERROR(VLOOKUP(D109, Repository!A:I, 8, 0), ""), "")</f>
        <v/>
      </c>
      <c r="R109" s="105" t="str">
        <f>IF(F109="Yes", IFERROR(VLOOKUP(D109, Repository!A:J, 9, 0), ""), "")</f>
        <v/>
      </c>
      <c r="S109" s="105"/>
      <c r="T109" s="105"/>
      <c r="U109" s="105"/>
      <c r="V109" s="105"/>
      <c r="W109" s="105"/>
      <c r="X109" s="105"/>
      <c r="Y109" s="105"/>
      <c r="Z109" s="105"/>
      <c r="AA109" s="105"/>
      <c r="AB109" s="105"/>
      <c r="AC109" s="91"/>
      <c r="AD109" s="105"/>
      <c r="AE109" s="105"/>
      <c r="AF109" s="91"/>
      <c r="AG109" s="105"/>
      <c r="AH109" s="105"/>
      <c r="AI109" s="105" t="str">
        <f t="shared" si="1"/>
        <v/>
      </c>
      <c r="AJ109" s="108" t="str">
        <f t="shared" si="2"/>
        <v/>
      </c>
    </row>
    <row r="110" ht="15.75" customHeight="1">
      <c r="A110" s="104"/>
      <c r="B110" s="105" t="str">
        <f>IFERROR(__xludf.DUMMYFUNCTION("ARRAY_CONSTRAIN(
  ARRAYFORMULA(
    IF(
      'Final Report'!A110="""",
      """",
      TEXTJOIN(
        "", "" &amp; CHAR(10),
        TRUE,
        IFERROR(
          VLOOKUP(
            TRIM(
              SPLIT('Final Report'!A110, "","")
           "&amp;" ),
            'URL Details'!A:B,
            2,
            FALSE
          ),
          """"
        )
      )
    )
  ),
  1,
  1
)
"),"")</f>
        <v/>
      </c>
      <c r="C110" s="105" t="str">
        <f>IFERROR(__xludf.DUMMYFUNCTION("IFERROR(IF('Final Report'!A110="""","""", TEXTJOIN(CHAR(10), TRUE, ARRAYFORMULA( ""• ""&amp; FILTER( TRIM(FLATTEN(SPLIT( REGEXREPLACE( SUBSTITUTE(TEXTJOIN("","", TRUE, IFERROR(ARRAYFORMULA(VLOOKUP(TRIM(SPLIT('Final Report'!A110, "","")), 'URL Details'!A:D, 4,"&amp;" FALSE)),"""") ), CHAR(10), "",""), ""\s*,\s*"", "",""), "",""))), TRIM(FLATTEN(SPLIT( REGEXREPLACE( SUBSTITUTE(TEXTJOIN("","", TRUE, IFERROR(ARRAYFORMULA(VLOOKUP(TRIM(SPLIT('Final Report'!A110, "","")), 'URL Details'!A:D, 4, FALSE)),"""") ), CHAR(10), """&amp;",""), ""\s*,\s*"", "",""), "","")))&lt;&gt;"""" ) ) ) ),"""")
"),"")</f>
        <v/>
      </c>
      <c r="D110" s="105"/>
      <c r="E110" s="105"/>
      <c r="F110" s="110" t="b">
        <v>0</v>
      </c>
      <c r="G110" s="105" t="str">
        <f>IF(F110=True, IFERROR(VLOOKUP(D110, Repository!A:B, 2, 0), ""), "")</f>
        <v/>
      </c>
      <c r="H110" s="105"/>
      <c r="I110" s="105"/>
      <c r="J110" s="105" t="str">
        <f>IF(F110=True, IFERROR(VLOOKUP(D110, Repository!A:C, 3, 0), ""), "")</f>
        <v/>
      </c>
      <c r="K110" s="105"/>
      <c r="L110" s="105" t="str">
        <f>IF(F110=True, IFERROR(VLOOKUP(D110, Repository!A:E, 5, 0), ""), "")</f>
        <v/>
      </c>
      <c r="M110" s="105"/>
      <c r="N110" s="105" t="str">
        <f>IF(F110=True, IFERROR(VLOOKUP(D110, Repository!A:G, 7, 0), ""), "")</f>
        <v/>
      </c>
      <c r="O110" s="105" t="str">
        <f>IFERROR(__xludf.DUMMYFUNCTION("ARRAY_CONSTRAIN(
  ARRAYFORMULA(
    IFERROR(
      LET(
        list, N110,
        arr, TRIM(SPLIT(list, "","")),
        names, XLOOKUP(
          arr,
          'Conformance Score'!A:A,
          'Conformance Score'!B:B,
          ""Not found""
      "&amp;"  ),
        TEXTJOIN("", "", TRUE, names)
      ),
      """"
    )
  ),
  1,
  1
)
"),"")</f>
        <v/>
      </c>
      <c r="P110" s="105" t="str">
        <f>IF(F110="Yes", IFERROR(VLOOKUP(D110, Repository!A:F, 6, 0), ""), "")</f>
        <v/>
      </c>
      <c r="Q110" s="105" t="str">
        <f>IF(F110="Yes", IFERROR(VLOOKUP(D110, Repository!A:I, 8, 0), ""), "")</f>
        <v/>
      </c>
      <c r="R110" s="105" t="str">
        <f>IF(F110="Yes", IFERROR(VLOOKUP(D110, Repository!A:J, 9, 0), ""), "")</f>
        <v/>
      </c>
      <c r="S110" s="105"/>
      <c r="T110" s="105"/>
      <c r="U110" s="105"/>
      <c r="V110" s="105"/>
      <c r="W110" s="105"/>
      <c r="X110" s="105"/>
      <c r="Y110" s="105"/>
      <c r="Z110" s="105"/>
      <c r="AA110" s="105"/>
      <c r="AB110" s="105"/>
      <c r="AC110" s="91"/>
      <c r="AD110" s="105"/>
      <c r="AE110" s="105"/>
      <c r="AF110" s="91"/>
      <c r="AG110" s="105"/>
      <c r="AH110" s="105"/>
      <c r="AI110" s="105" t="str">
        <f t="shared" si="1"/>
        <v/>
      </c>
      <c r="AJ110" s="108" t="str">
        <f t="shared" si="2"/>
        <v/>
      </c>
    </row>
    <row r="111" ht="15.75" customHeight="1">
      <c r="A111" s="104"/>
      <c r="B111" s="105" t="str">
        <f>IFERROR(__xludf.DUMMYFUNCTION("ARRAY_CONSTRAIN(
  ARRAYFORMULA(
    IF(
      'Final Report'!A111="""",
      """",
      TEXTJOIN(
        "", "" &amp; CHAR(10),
        TRUE,
        IFERROR(
          VLOOKUP(
            TRIM(
              SPLIT('Final Report'!A111, "","")
           "&amp;" ),
            'URL Details'!A:B,
            2,
            FALSE
          ),
          """"
        )
      )
    )
  ),
  1,
  1
)
"),"")</f>
        <v/>
      </c>
      <c r="C111" s="105" t="str">
        <f>IFERROR(__xludf.DUMMYFUNCTION("IFERROR(IF('Final Report'!A111="""","""", TEXTJOIN(CHAR(10), TRUE, ARRAYFORMULA( ""• ""&amp; FILTER( TRIM(FLATTEN(SPLIT( REGEXREPLACE( SUBSTITUTE(TEXTJOIN("","", TRUE, IFERROR(ARRAYFORMULA(VLOOKUP(TRIM(SPLIT('Final Report'!A111, "","")), 'URL Details'!A:D, 4,"&amp;" FALSE)),"""") ), CHAR(10), "",""), ""\s*,\s*"", "",""), "",""))), TRIM(FLATTEN(SPLIT( REGEXREPLACE( SUBSTITUTE(TEXTJOIN("","", TRUE, IFERROR(ARRAYFORMULA(VLOOKUP(TRIM(SPLIT('Final Report'!A111, "","")), 'URL Details'!A:D, 4, FALSE)),"""") ), CHAR(10), """&amp;",""), ""\s*,\s*"", "",""), "","")))&lt;&gt;"""" ) ) ) ),"""")
"),"")</f>
        <v/>
      </c>
      <c r="D111" s="105"/>
      <c r="E111" s="105"/>
      <c r="F111" s="110" t="b">
        <v>0</v>
      </c>
      <c r="G111" s="105" t="str">
        <f>IF(F111=True, IFERROR(VLOOKUP(D111, Repository!A:B, 2, 0), ""), "")</f>
        <v/>
      </c>
      <c r="H111" s="105"/>
      <c r="I111" s="105"/>
      <c r="J111" s="105" t="str">
        <f>IF(F111=True, IFERROR(VLOOKUP(D111, Repository!A:C, 3, 0), ""), "")</f>
        <v/>
      </c>
      <c r="K111" s="105"/>
      <c r="L111" s="105" t="str">
        <f>IF(F111=True, IFERROR(VLOOKUP(D111, Repository!A:E, 5, 0), ""), "")</f>
        <v/>
      </c>
      <c r="M111" s="105"/>
      <c r="N111" s="105" t="str">
        <f>IF(F111=True, IFERROR(VLOOKUP(D111, Repository!A:G, 7, 0), ""), "")</f>
        <v/>
      </c>
      <c r="O111" s="105" t="str">
        <f>IFERROR(__xludf.DUMMYFUNCTION("ARRAY_CONSTRAIN(
  ARRAYFORMULA(
    IFERROR(
      LET(
        list, N111,
        arr, TRIM(SPLIT(list, "","")),
        names, XLOOKUP(
          arr,
          'Conformance Score'!A:A,
          'Conformance Score'!B:B,
          ""Not found""
      "&amp;"  ),
        TEXTJOIN("", "", TRUE, names)
      ),
      """"
    )
  ),
  1,
  1
)
"),"")</f>
        <v/>
      </c>
      <c r="P111" s="105" t="str">
        <f>IF(F111="Yes", IFERROR(VLOOKUP(D111, Repository!A:F, 6, 0), ""), "")</f>
        <v/>
      </c>
      <c r="Q111" s="105" t="str">
        <f>IF(F111="Yes", IFERROR(VLOOKUP(D111, Repository!A:I, 8, 0), ""), "")</f>
        <v/>
      </c>
      <c r="R111" s="105" t="str">
        <f>IF(F111="Yes", IFERROR(VLOOKUP(D111, Repository!A:J, 9, 0), ""), "")</f>
        <v/>
      </c>
      <c r="S111" s="105"/>
      <c r="T111" s="105"/>
      <c r="U111" s="105"/>
      <c r="V111" s="105"/>
      <c r="W111" s="105"/>
      <c r="X111" s="105"/>
      <c r="Y111" s="105"/>
      <c r="Z111" s="105"/>
      <c r="AA111" s="105"/>
      <c r="AB111" s="105"/>
      <c r="AC111" s="91"/>
      <c r="AD111" s="105"/>
      <c r="AE111" s="105"/>
      <c r="AF111" s="91"/>
      <c r="AG111" s="105"/>
      <c r="AH111" s="105"/>
      <c r="AI111" s="105" t="str">
        <f t="shared" si="1"/>
        <v/>
      </c>
      <c r="AJ111" s="108" t="str">
        <f t="shared" si="2"/>
        <v/>
      </c>
    </row>
    <row r="112" ht="15.75" customHeight="1">
      <c r="A112" s="104"/>
      <c r="B112" s="105" t="str">
        <f>IFERROR(__xludf.DUMMYFUNCTION("ARRAY_CONSTRAIN(
  ARRAYFORMULA(
    IF(
      'Final Report'!A112="""",
      """",
      TEXTJOIN(
        "", "" &amp; CHAR(10),
        TRUE,
        IFERROR(
          VLOOKUP(
            TRIM(
              SPLIT('Final Report'!A112, "","")
           "&amp;" ),
            'URL Details'!A:B,
            2,
            FALSE
          ),
          """"
        )
      )
    )
  ),
  1,
  1
)
"),"")</f>
        <v/>
      </c>
      <c r="C112" s="105" t="str">
        <f>IFERROR(__xludf.DUMMYFUNCTION("IFERROR(IF('Final Report'!A112="""","""", TEXTJOIN(CHAR(10), TRUE, ARRAYFORMULA( ""• ""&amp; FILTER( TRIM(FLATTEN(SPLIT( REGEXREPLACE( SUBSTITUTE(TEXTJOIN("","", TRUE, IFERROR(ARRAYFORMULA(VLOOKUP(TRIM(SPLIT('Final Report'!A112, "","")), 'URL Details'!A:D, 4,"&amp;" FALSE)),"""") ), CHAR(10), "",""), ""\s*,\s*"", "",""), "",""))), TRIM(FLATTEN(SPLIT( REGEXREPLACE( SUBSTITUTE(TEXTJOIN("","", TRUE, IFERROR(ARRAYFORMULA(VLOOKUP(TRIM(SPLIT('Final Report'!A112, "","")), 'URL Details'!A:D, 4, FALSE)),"""") ), CHAR(10), """&amp;",""), ""\s*,\s*"", "",""), "","")))&lt;&gt;"""" ) ) ) ),"""")
"),"")</f>
        <v/>
      </c>
      <c r="D112" s="105"/>
      <c r="E112" s="105"/>
      <c r="F112" s="110" t="b">
        <v>0</v>
      </c>
      <c r="G112" s="105" t="str">
        <f>IF(F112=True, IFERROR(VLOOKUP(D112, Repository!A:B, 2, 0), ""), "")</f>
        <v/>
      </c>
      <c r="H112" s="105"/>
      <c r="I112" s="105"/>
      <c r="J112" s="105" t="str">
        <f>IF(F112=True, IFERROR(VLOOKUP(D112, Repository!A:C, 3, 0), ""), "")</f>
        <v/>
      </c>
      <c r="K112" s="105"/>
      <c r="L112" s="105" t="str">
        <f>IF(F112=True, IFERROR(VLOOKUP(D112, Repository!A:E, 5, 0), ""), "")</f>
        <v/>
      </c>
      <c r="M112" s="105"/>
      <c r="N112" s="105" t="str">
        <f>IF(F112=True, IFERROR(VLOOKUP(D112, Repository!A:G, 7, 0), ""), "")</f>
        <v/>
      </c>
      <c r="O112" s="105" t="str">
        <f>IFERROR(__xludf.DUMMYFUNCTION("ARRAY_CONSTRAIN(
  ARRAYFORMULA(
    IFERROR(
      LET(
        list, N112,
        arr, TRIM(SPLIT(list, "","")),
        names, XLOOKUP(
          arr,
          'Conformance Score'!A:A,
          'Conformance Score'!B:B,
          ""Not found""
      "&amp;"  ),
        TEXTJOIN("", "", TRUE, names)
      ),
      """"
    )
  ),
  1,
  1
)
"),"")</f>
        <v/>
      </c>
      <c r="P112" s="105" t="str">
        <f>IF(F112="Yes", IFERROR(VLOOKUP(D112, Repository!A:F, 6, 0), ""), "")</f>
        <v/>
      </c>
      <c r="Q112" s="105" t="str">
        <f>IF(F112="Yes", IFERROR(VLOOKUP(D112, Repository!A:I, 8, 0), ""), "")</f>
        <v/>
      </c>
      <c r="R112" s="105" t="str">
        <f>IF(F112="Yes", IFERROR(VLOOKUP(D112, Repository!A:J, 9, 0), ""), "")</f>
        <v/>
      </c>
      <c r="S112" s="105"/>
      <c r="T112" s="105"/>
      <c r="U112" s="105"/>
      <c r="V112" s="105"/>
      <c r="W112" s="105"/>
      <c r="X112" s="105"/>
      <c r="Y112" s="105"/>
      <c r="Z112" s="105"/>
      <c r="AA112" s="105"/>
      <c r="AB112" s="105"/>
      <c r="AC112" s="91"/>
      <c r="AD112" s="105"/>
      <c r="AE112" s="105"/>
      <c r="AF112" s="91"/>
      <c r="AG112" s="105"/>
      <c r="AH112" s="105"/>
      <c r="AI112" s="105" t="str">
        <f t="shared" si="1"/>
        <v/>
      </c>
      <c r="AJ112" s="108" t="str">
        <f t="shared" si="2"/>
        <v/>
      </c>
    </row>
    <row r="113" ht="15.75" customHeight="1">
      <c r="A113" s="104"/>
      <c r="B113" s="105" t="str">
        <f>IFERROR(__xludf.DUMMYFUNCTION("ARRAY_CONSTRAIN(
  ARRAYFORMULA(
    IF(
      'Final Report'!A113="""",
      """",
      TEXTJOIN(
        "", "" &amp; CHAR(10),
        TRUE,
        IFERROR(
          VLOOKUP(
            TRIM(
              SPLIT('Final Report'!A113, "","")
           "&amp;" ),
            'URL Details'!A:B,
            2,
            FALSE
          ),
          """"
        )
      )
    )
  ),
  1,
  1
)
"),"")</f>
        <v/>
      </c>
      <c r="C113" s="105" t="str">
        <f>IFERROR(__xludf.DUMMYFUNCTION("IFERROR(IF('Final Report'!A113="""","""", TEXTJOIN(CHAR(10), TRUE, ARRAYFORMULA( ""• ""&amp; FILTER( TRIM(FLATTEN(SPLIT( REGEXREPLACE( SUBSTITUTE(TEXTJOIN("","", TRUE, IFERROR(ARRAYFORMULA(VLOOKUP(TRIM(SPLIT('Final Report'!A113, "","")), 'URL Details'!A:D, 4,"&amp;" FALSE)),"""") ), CHAR(10), "",""), ""\s*,\s*"", "",""), "",""))), TRIM(FLATTEN(SPLIT( REGEXREPLACE( SUBSTITUTE(TEXTJOIN("","", TRUE, IFERROR(ARRAYFORMULA(VLOOKUP(TRIM(SPLIT('Final Report'!A113, "","")), 'URL Details'!A:D, 4, FALSE)),"""") ), CHAR(10), """&amp;",""), ""\s*,\s*"", "",""), "","")))&lt;&gt;"""" ) ) ) ),"""")
"),"")</f>
        <v/>
      </c>
      <c r="D113" s="105"/>
      <c r="E113" s="105"/>
      <c r="F113" s="110" t="b">
        <v>0</v>
      </c>
      <c r="G113" s="105" t="str">
        <f>IF(F113=True, IFERROR(VLOOKUP(D113, Repository!A:B, 2, 0), ""), "")</f>
        <v/>
      </c>
      <c r="H113" s="105"/>
      <c r="I113" s="105"/>
      <c r="J113" s="105" t="str">
        <f>IF(F113=True, IFERROR(VLOOKUP(D113, Repository!A:C, 3, 0), ""), "")</f>
        <v/>
      </c>
      <c r="K113" s="105"/>
      <c r="L113" s="105" t="str">
        <f>IF(F113=True, IFERROR(VLOOKUP(D113, Repository!A:E, 5, 0), ""), "")</f>
        <v/>
      </c>
      <c r="M113" s="105"/>
      <c r="N113" s="105" t="str">
        <f>IF(F113=True, IFERROR(VLOOKUP(D113, Repository!A:G, 7, 0), ""), "")</f>
        <v/>
      </c>
      <c r="O113" s="105" t="str">
        <f>IFERROR(__xludf.DUMMYFUNCTION("ARRAY_CONSTRAIN(
  ARRAYFORMULA(
    IFERROR(
      LET(
        list, N113,
        arr, TRIM(SPLIT(list, "","")),
        names, XLOOKUP(
          arr,
          'Conformance Score'!A:A,
          'Conformance Score'!B:B,
          ""Not found""
      "&amp;"  ),
        TEXTJOIN("", "", TRUE, names)
      ),
      """"
    )
  ),
  1,
  1
)
"),"")</f>
        <v/>
      </c>
      <c r="P113" s="105" t="str">
        <f>IF(F113="Yes", IFERROR(VLOOKUP(D113, Repository!A:F, 6, 0), ""), "")</f>
        <v/>
      </c>
      <c r="Q113" s="105" t="str">
        <f>IF(F113="Yes", IFERROR(VLOOKUP(D113, Repository!A:I, 8, 0), ""), "")</f>
        <v/>
      </c>
      <c r="R113" s="105" t="str">
        <f>IF(F113="Yes", IFERROR(VLOOKUP(D113, Repository!A:J, 9, 0), ""), "")</f>
        <v/>
      </c>
      <c r="S113" s="105"/>
      <c r="T113" s="105"/>
      <c r="U113" s="105"/>
      <c r="V113" s="105"/>
      <c r="W113" s="105"/>
      <c r="X113" s="105"/>
      <c r="Y113" s="105"/>
      <c r="Z113" s="105"/>
      <c r="AA113" s="105"/>
      <c r="AB113" s="105"/>
      <c r="AC113" s="91"/>
      <c r="AD113" s="105"/>
      <c r="AE113" s="105"/>
      <c r="AF113" s="91"/>
      <c r="AG113" s="105"/>
      <c r="AH113" s="105"/>
      <c r="AI113" s="105" t="str">
        <f t="shared" si="1"/>
        <v/>
      </c>
      <c r="AJ113" s="108" t="str">
        <f t="shared" si="2"/>
        <v/>
      </c>
    </row>
    <row r="114" ht="15.75" customHeight="1">
      <c r="A114" s="104"/>
      <c r="B114" s="105" t="str">
        <f>IFERROR(__xludf.DUMMYFUNCTION("ARRAY_CONSTRAIN(
  ARRAYFORMULA(
    IF(
      'Final Report'!A114="""",
      """",
      TEXTJOIN(
        "", "" &amp; CHAR(10),
        TRUE,
        IFERROR(
          VLOOKUP(
            TRIM(
              SPLIT('Final Report'!A114, "","")
           "&amp;" ),
            'URL Details'!A:B,
            2,
            FALSE
          ),
          """"
        )
      )
    )
  ),
  1,
  1
)
"),"")</f>
        <v/>
      </c>
      <c r="C114" s="105" t="str">
        <f>IFERROR(__xludf.DUMMYFUNCTION("IFERROR(IF('Final Report'!A114="""","""", TEXTJOIN(CHAR(10), TRUE, ARRAYFORMULA( ""• ""&amp; FILTER( TRIM(FLATTEN(SPLIT( REGEXREPLACE( SUBSTITUTE(TEXTJOIN("","", TRUE, IFERROR(ARRAYFORMULA(VLOOKUP(TRIM(SPLIT('Final Report'!A114, "","")), 'URL Details'!A:D, 4,"&amp;" FALSE)),"""") ), CHAR(10), "",""), ""\s*,\s*"", "",""), "",""))), TRIM(FLATTEN(SPLIT( REGEXREPLACE( SUBSTITUTE(TEXTJOIN("","", TRUE, IFERROR(ARRAYFORMULA(VLOOKUP(TRIM(SPLIT('Final Report'!A114, "","")), 'URL Details'!A:D, 4, FALSE)),"""") ), CHAR(10), """&amp;",""), ""\s*,\s*"", "",""), "","")))&lt;&gt;"""" ) ) ) ),"""")
"),"")</f>
        <v/>
      </c>
      <c r="D114" s="105"/>
      <c r="E114" s="105"/>
      <c r="F114" s="110" t="b">
        <v>0</v>
      </c>
      <c r="G114" s="105" t="str">
        <f>IF(F114=True, IFERROR(VLOOKUP(D114, Repository!A:B, 2, 0), ""), "")</f>
        <v/>
      </c>
      <c r="H114" s="105"/>
      <c r="I114" s="105"/>
      <c r="J114" s="105" t="str">
        <f>IF(F114=True, IFERROR(VLOOKUP(D114, Repository!A:C, 3, 0), ""), "")</f>
        <v/>
      </c>
      <c r="K114" s="105"/>
      <c r="L114" s="105" t="str">
        <f>IF(F114=True, IFERROR(VLOOKUP(D114, Repository!A:E, 5, 0), ""), "")</f>
        <v/>
      </c>
      <c r="M114" s="105"/>
      <c r="N114" s="105" t="str">
        <f>IF(F114=True, IFERROR(VLOOKUP(D114, Repository!A:G, 7, 0), ""), "")</f>
        <v/>
      </c>
      <c r="O114" s="105" t="str">
        <f>IFERROR(__xludf.DUMMYFUNCTION("ARRAY_CONSTRAIN(
  ARRAYFORMULA(
    IFERROR(
      LET(
        list, N114,
        arr, TRIM(SPLIT(list, "","")),
        names, XLOOKUP(
          arr,
          'Conformance Score'!A:A,
          'Conformance Score'!B:B,
          ""Not found""
      "&amp;"  ),
        TEXTJOIN("", "", TRUE, names)
      ),
      """"
    )
  ),
  1,
  1
)
"),"")</f>
        <v/>
      </c>
      <c r="P114" s="105" t="str">
        <f>IF(F114="Yes", IFERROR(VLOOKUP(D114, Repository!A:F, 6, 0), ""), "")</f>
        <v/>
      </c>
      <c r="Q114" s="105" t="str">
        <f>IF(F114="Yes", IFERROR(VLOOKUP(D114, Repository!A:I, 8, 0), ""), "")</f>
        <v/>
      </c>
      <c r="R114" s="105" t="str">
        <f>IF(F114="Yes", IFERROR(VLOOKUP(D114, Repository!A:J, 9, 0), ""), "")</f>
        <v/>
      </c>
      <c r="S114" s="105"/>
      <c r="T114" s="105"/>
      <c r="U114" s="105"/>
      <c r="V114" s="105"/>
      <c r="W114" s="105"/>
      <c r="X114" s="105"/>
      <c r="Y114" s="105"/>
      <c r="Z114" s="105"/>
      <c r="AA114" s="105"/>
      <c r="AB114" s="105"/>
      <c r="AC114" s="91"/>
      <c r="AD114" s="105"/>
      <c r="AE114" s="105"/>
      <c r="AF114" s="91"/>
      <c r="AG114" s="105"/>
      <c r="AH114" s="105"/>
      <c r="AI114" s="105" t="str">
        <f t="shared" si="1"/>
        <v/>
      </c>
      <c r="AJ114" s="108" t="str">
        <f t="shared" si="2"/>
        <v/>
      </c>
    </row>
    <row r="115" ht="15.75" customHeight="1">
      <c r="A115" s="104"/>
      <c r="B115" s="105" t="str">
        <f>IFERROR(__xludf.DUMMYFUNCTION("ARRAY_CONSTRAIN(
  ARRAYFORMULA(
    IF(
      'Final Report'!A115="""",
      """",
      TEXTJOIN(
        "", "" &amp; CHAR(10),
        TRUE,
        IFERROR(
          VLOOKUP(
            TRIM(
              SPLIT('Final Report'!A115, "","")
           "&amp;" ),
            'URL Details'!A:B,
            2,
            FALSE
          ),
          """"
        )
      )
    )
  ),
  1,
  1
)
"),"")</f>
        <v/>
      </c>
      <c r="C115" s="105" t="str">
        <f>IFERROR(__xludf.DUMMYFUNCTION("IFERROR(IF('Final Report'!A115="""","""", TEXTJOIN(CHAR(10), TRUE, ARRAYFORMULA( ""• ""&amp; FILTER( TRIM(FLATTEN(SPLIT( REGEXREPLACE( SUBSTITUTE(TEXTJOIN("","", TRUE, IFERROR(ARRAYFORMULA(VLOOKUP(TRIM(SPLIT('Final Report'!A115, "","")), 'URL Details'!A:D, 4,"&amp;" FALSE)),"""") ), CHAR(10), "",""), ""\s*,\s*"", "",""), "",""))), TRIM(FLATTEN(SPLIT( REGEXREPLACE( SUBSTITUTE(TEXTJOIN("","", TRUE, IFERROR(ARRAYFORMULA(VLOOKUP(TRIM(SPLIT('Final Report'!A115, "","")), 'URL Details'!A:D, 4, FALSE)),"""") ), CHAR(10), """&amp;",""), ""\s*,\s*"", "",""), "","")))&lt;&gt;"""" ) ) ) ),"""")
"),"")</f>
        <v/>
      </c>
      <c r="D115" s="105"/>
      <c r="E115" s="105"/>
      <c r="F115" s="110" t="b">
        <v>0</v>
      </c>
      <c r="G115" s="105" t="str">
        <f>IF(F115=True, IFERROR(VLOOKUP(D115, Repository!A:B, 2, 0), ""), "")</f>
        <v/>
      </c>
      <c r="H115" s="105"/>
      <c r="I115" s="105"/>
      <c r="J115" s="105" t="str">
        <f>IF(F115=True, IFERROR(VLOOKUP(D115, Repository!A:C, 3, 0), ""), "")</f>
        <v/>
      </c>
      <c r="K115" s="105"/>
      <c r="L115" s="105" t="str">
        <f>IF(F115=True, IFERROR(VLOOKUP(D115, Repository!A:E, 5, 0), ""), "")</f>
        <v/>
      </c>
      <c r="M115" s="105"/>
      <c r="N115" s="105" t="str">
        <f>IF(F115=True, IFERROR(VLOOKUP(D115, Repository!A:G, 7, 0), ""), "")</f>
        <v/>
      </c>
      <c r="O115" s="105" t="str">
        <f>IFERROR(__xludf.DUMMYFUNCTION("ARRAY_CONSTRAIN(
  ARRAYFORMULA(
    IFERROR(
      LET(
        list, N115,
        arr, TRIM(SPLIT(list, "","")),
        names, XLOOKUP(
          arr,
          'Conformance Score'!A:A,
          'Conformance Score'!B:B,
          ""Not found""
      "&amp;"  ),
        TEXTJOIN("", "", TRUE, names)
      ),
      """"
    )
  ),
  1,
  1
)
"),"")</f>
        <v/>
      </c>
      <c r="P115" s="105" t="str">
        <f>IF(F115="Yes", IFERROR(VLOOKUP(D115, Repository!A:F, 6, 0), ""), "")</f>
        <v/>
      </c>
      <c r="Q115" s="105" t="str">
        <f>IF(F115="Yes", IFERROR(VLOOKUP(D115, Repository!A:I, 8, 0), ""), "")</f>
        <v/>
      </c>
      <c r="R115" s="105" t="str">
        <f>IF(F115="Yes", IFERROR(VLOOKUP(D115, Repository!A:J, 9, 0), ""), "")</f>
        <v/>
      </c>
      <c r="S115" s="105"/>
      <c r="T115" s="105"/>
      <c r="U115" s="105"/>
      <c r="V115" s="105"/>
      <c r="W115" s="105"/>
      <c r="X115" s="105"/>
      <c r="Y115" s="105"/>
      <c r="Z115" s="105"/>
      <c r="AA115" s="105"/>
      <c r="AB115" s="105"/>
      <c r="AC115" s="91"/>
      <c r="AD115" s="105"/>
      <c r="AE115" s="105"/>
      <c r="AF115" s="91"/>
      <c r="AG115" s="105"/>
      <c r="AH115" s="105"/>
      <c r="AI115" s="105" t="str">
        <f t="shared" si="1"/>
        <v/>
      </c>
      <c r="AJ115" s="108" t="str">
        <f t="shared" si="2"/>
        <v/>
      </c>
    </row>
    <row r="116" ht="15.75" customHeight="1">
      <c r="A116" s="104"/>
      <c r="B116" s="105" t="str">
        <f>IFERROR(__xludf.DUMMYFUNCTION("ARRAY_CONSTRAIN(
  ARRAYFORMULA(
    IF(
      'Final Report'!A116="""",
      """",
      TEXTJOIN(
        "", "" &amp; CHAR(10),
        TRUE,
        IFERROR(
          VLOOKUP(
            TRIM(
              SPLIT('Final Report'!A116, "","")
           "&amp;" ),
            'URL Details'!A:B,
            2,
            FALSE
          ),
          """"
        )
      )
    )
  ),
  1,
  1
)
"),"")</f>
        <v/>
      </c>
      <c r="C116" s="105" t="str">
        <f>IFERROR(__xludf.DUMMYFUNCTION("IFERROR(IF('Final Report'!A116="""","""", TEXTJOIN(CHAR(10), TRUE, ARRAYFORMULA( ""• ""&amp; FILTER( TRIM(FLATTEN(SPLIT( REGEXREPLACE( SUBSTITUTE(TEXTJOIN("","", TRUE, IFERROR(ARRAYFORMULA(VLOOKUP(TRIM(SPLIT('Final Report'!A116, "","")), 'URL Details'!A:D, 4,"&amp;" FALSE)),"""") ), CHAR(10), "",""), ""\s*,\s*"", "",""), "",""))), TRIM(FLATTEN(SPLIT( REGEXREPLACE( SUBSTITUTE(TEXTJOIN("","", TRUE, IFERROR(ARRAYFORMULA(VLOOKUP(TRIM(SPLIT('Final Report'!A116, "","")), 'URL Details'!A:D, 4, FALSE)),"""") ), CHAR(10), """&amp;",""), ""\s*,\s*"", "",""), "","")))&lt;&gt;"""" ) ) ) ),"""")
"),"")</f>
        <v/>
      </c>
      <c r="D116" s="105"/>
      <c r="E116" s="105"/>
      <c r="F116" s="110" t="b">
        <v>0</v>
      </c>
      <c r="G116" s="105" t="str">
        <f>IF(F116=True, IFERROR(VLOOKUP(D116, Repository!A:B, 2, 0), ""), "")</f>
        <v/>
      </c>
      <c r="H116" s="105"/>
      <c r="I116" s="105"/>
      <c r="J116" s="105" t="str">
        <f>IF(F116=True, IFERROR(VLOOKUP(D116, Repository!A:C, 3, 0), ""), "")</f>
        <v/>
      </c>
      <c r="K116" s="105"/>
      <c r="L116" s="105" t="str">
        <f>IF(F116=True, IFERROR(VLOOKUP(D116, Repository!A:E, 5, 0), ""), "")</f>
        <v/>
      </c>
      <c r="M116" s="105"/>
      <c r="N116" s="105" t="str">
        <f>IF(F116=True, IFERROR(VLOOKUP(D116, Repository!A:G, 7, 0), ""), "")</f>
        <v/>
      </c>
      <c r="O116" s="105" t="str">
        <f>IFERROR(__xludf.DUMMYFUNCTION("ARRAY_CONSTRAIN(
  ARRAYFORMULA(
    IFERROR(
      LET(
        list, N116,
        arr, TRIM(SPLIT(list, "","")),
        names, XLOOKUP(
          arr,
          'Conformance Score'!A:A,
          'Conformance Score'!B:B,
          ""Not found""
      "&amp;"  ),
        TEXTJOIN("", "", TRUE, names)
      ),
      """"
    )
  ),
  1,
  1
)
"),"")</f>
        <v/>
      </c>
      <c r="P116" s="105" t="str">
        <f>IF(F116="Yes", IFERROR(VLOOKUP(D116, Repository!A:F, 6, 0), ""), "")</f>
        <v/>
      </c>
      <c r="Q116" s="105" t="str">
        <f>IF(F116="Yes", IFERROR(VLOOKUP(D116, Repository!A:I, 8, 0), ""), "")</f>
        <v/>
      </c>
      <c r="R116" s="105" t="str">
        <f>IF(F116="Yes", IFERROR(VLOOKUP(D116, Repository!A:J, 9, 0), ""), "")</f>
        <v/>
      </c>
      <c r="S116" s="105"/>
      <c r="T116" s="105"/>
      <c r="U116" s="105"/>
      <c r="V116" s="105"/>
      <c r="W116" s="105"/>
      <c r="X116" s="105"/>
      <c r="Y116" s="105"/>
      <c r="Z116" s="105"/>
      <c r="AA116" s="105"/>
      <c r="AB116" s="105"/>
      <c r="AC116" s="91"/>
      <c r="AD116" s="105"/>
      <c r="AE116" s="105"/>
      <c r="AF116" s="91"/>
      <c r="AG116" s="105"/>
      <c r="AH116" s="105"/>
      <c r="AI116" s="105" t="str">
        <f t="shared" si="1"/>
        <v/>
      </c>
      <c r="AJ116" s="108" t="str">
        <f t="shared" si="2"/>
        <v/>
      </c>
    </row>
    <row r="117" ht="15.75" customHeight="1">
      <c r="A117" s="104"/>
      <c r="B117" s="105" t="str">
        <f>IFERROR(__xludf.DUMMYFUNCTION("ARRAY_CONSTRAIN(
  ARRAYFORMULA(
    IF(
      'Final Report'!A117="""",
      """",
      TEXTJOIN(
        "", "" &amp; CHAR(10),
        TRUE,
        IFERROR(
          VLOOKUP(
            TRIM(
              SPLIT('Final Report'!A117, "","")
           "&amp;" ),
            'URL Details'!A:B,
            2,
            FALSE
          ),
          """"
        )
      )
    )
  ),
  1,
  1
)
"),"")</f>
        <v/>
      </c>
      <c r="C117" s="105" t="str">
        <f>IFERROR(__xludf.DUMMYFUNCTION("IFERROR(IF('Final Report'!A117="""","""", TEXTJOIN(CHAR(10), TRUE, ARRAYFORMULA( ""• ""&amp; FILTER( TRIM(FLATTEN(SPLIT( REGEXREPLACE( SUBSTITUTE(TEXTJOIN("","", TRUE, IFERROR(ARRAYFORMULA(VLOOKUP(TRIM(SPLIT('Final Report'!A117, "","")), 'URL Details'!A:D, 4,"&amp;" FALSE)),"""") ), CHAR(10), "",""), ""\s*,\s*"", "",""), "",""))), TRIM(FLATTEN(SPLIT( REGEXREPLACE( SUBSTITUTE(TEXTJOIN("","", TRUE, IFERROR(ARRAYFORMULA(VLOOKUP(TRIM(SPLIT('Final Report'!A117, "","")), 'URL Details'!A:D, 4, FALSE)),"""") ), CHAR(10), """&amp;",""), ""\s*,\s*"", "",""), "","")))&lt;&gt;"""" ) ) ) ),"""")
"),"")</f>
        <v/>
      </c>
      <c r="D117" s="105"/>
      <c r="E117" s="105"/>
      <c r="F117" s="110" t="b">
        <v>0</v>
      </c>
      <c r="G117" s="105" t="str">
        <f>IF(F117=True, IFERROR(VLOOKUP(D117, Repository!A:B, 2, 0), ""), "")</f>
        <v/>
      </c>
      <c r="H117" s="105"/>
      <c r="I117" s="105"/>
      <c r="J117" s="105" t="str">
        <f>IF(F117=True, IFERROR(VLOOKUP(D117, Repository!A:C, 3, 0), ""), "")</f>
        <v/>
      </c>
      <c r="K117" s="105"/>
      <c r="L117" s="105" t="str">
        <f>IF(F117=True, IFERROR(VLOOKUP(D117, Repository!A:E, 5, 0), ""), "")</f>
        <v/>
      </c>
      <c r="M117" s="105"/>
      <c r="N117" s="105" t="str">
        <f>IF(F117=True, IFERROR(VLOOKUP(D117, Repository!A:G, 7, 0), ""), "")</f>
        <v/>
      </c>
      <c r="O117" s="105" t="str">
        <f>IFERROR(__xludf.DUMMYFUNCTION("ARRAY_CONSTRAIN(
  ARRAYFORMULA(
    IFERROR(
      LET(
        list, N117,
        arr, TRIM(SPLIT(list, "","")),
        names, XLOOKUP(
          arr,
          'Conformance Score'!A:A,
          'Conformance Score'!B:B,
          ""Not found""
      "&amp;"  ),
        TEXTJOIN("", "", TRUE, names)
      ),
      """"
    )
  ),
  1,
  1
)
"),"")</f>
        <v/>
      </c>
      <c r="P117" s="105" t="str">
        <f>IF(F117="Yes", IFERROR(VLOOKUP(D117, Repository!A:F, 6, 0), ""), "")</f>
        <v/>
      </c>
      <c r="Q117" s="105" t="str">
        <f>IF(F117="Yes", IFERROR(VLOOKUP(D117, Repository!A:I, 8, 0), ""), "")</f>
        <v/>
      </c>
      <c r="R117" s="105" t="str">
        <f>IF(F117="Yes", IFERROR(VLOOKUP(D117, Repository!A:J, 9, 0), ""), "")</f>
        <v/>
      </c>
      <c r="S117" s="105"/>
      <c r="T117" s="105"/>
      <c r="U117" s="105"/>
      <c r="V117" s="105"/>
      <c r="W117" s="105"/>
      <c r="X117" s="105"/>
      <c r="Y117" s="105"/>
      <c r="Z117" s="105"/>
      <c r="AA117" s="105"/>
      <c r="AB117" s="105"/>
      <c r="AC117" s="91"/>
      <c r="AD117" s="105"/>
      <c r="AE117" s="105"/>
      <c r="AF117" s="91"/>
      <c r="AG117" s="105"/>
      <c r="AH117" s="105"/>
      <c r="AI117" s="105" t="str">
        <f t="shared" si="1"/>
        <v/>
      </c>
      <c r="AJ117" s="108" t="str">
        <f t="shared" si="2"/>
        <v/>
      </c>
    </row>
    <row r="118" ht="15.75" customHeight="1">
      <c r="A118" s="104"/>
      <c r="B118" s="105" t="str">
        <f>IFERROR(__xludf.DUMMYFUNCTION("ARRAY_CONSTRAIN(
  ARRAYFORMULA(
    IF(
      'Final Report'!A118="""",
      """",
      TEXTJOIN(
        "", "" &amp; CHAR(10),
        TRUE,
        IFERROR(
          VLOOKUP(
            TRIM(
              SPLIT('Final Report'!A118, "","")
           "&amp;" ),
            'URL Details'!A:B,
            2,
            FALSE
          ),
          """"
        )
      )
    )
  ),
  1,
  1
)
"),"")</f>
        <v/>
      </c>
      <c r="C118" s="105" t="str">
        <f>IFERROR(__xludf.DUMMYFUNCTION("IFERROR(IF('Final Report'!A118="""","""", TEXTJOIN(CHAR(10), TRUE, ARRAYFORMULA( ""• ""&amp; FILTER( TRIM(FLATTEN(SPLIT( REGEXREPLACE( SUBSTITUTE(TEXTJOIN("","", TRUE, IFERROR(ARRAYFORMULA(VLOOKUP(TRIM(SPLIT('Final Report'!A118, "","")), 'URL Details'!A:D, 4,"&amp;" FALSE)),"""") ), CHAR(10), "",""), ""\s*,\s*"", "",""), "",""))), TRIM(FLATTEN(SPLIT( REGEXREPLACE( SUBSTITUTE(TEXTJOIN("","", TRUE, IFERROR(ARRAYFORMULA(VLOOKUP(TRIM(SPLIT('Final Report'!A118, "","")), 'URL Details'!A:D, 4, FALSE)),"""") ), CHAR(10), """&amp;",""), ""\s*,\s*"", "",""), "","")))&lt;&gt;"""" ) ) ) ),"""")
"),"")</f>
        <v/>
      </c>
      <c r="D118" s="105"/>
      <c r="E118" s="105"/>
      <c r="F118" s="110" t="b">
        <v>0</v>
      </c>
      <c r="G118" s="105" t="str">
        <f>IF(F118=True, IFERROR(VLOOKUP(D118, Repository!A:B, 2, 0), ""), "")</f>
        <v/>
      </c>
      <c r="H118" s="105"/>
      <c r="I118" s="105"/>
      <c r="J118" s="105" t="str">
        <f>IF(F118=True, IFERROR(VLOOKUP(D118, Repository!A:C, 3, 0), ""), "")</f>
        <v/>
      </c>
      <c r="K118" s="105"/>
      <c r="L118" s="105" t="str">
        <f>IF(F118=True, IFERROR(VLOOKUP(D118, Repository!A:E, 5, 0), ""), "")</f>
        <v/>
      </c>
      <c r="M118" s="105"/>
      <c r="N118" s="105" t="str">
        <f>IF(F118=True, IFERROR(VLOOKUP(D118, Repository!A:G, 7, 0), ""), "")</f>
        <v/>
      </c>
      <c r="O118" s="105" t="str">
        <f>IFERROR(__xludf.DUMMYFUNCTION("ARRAY_CONSTRAIN(
  ARRAYFORMULA(
    IFERROR(
      LET(
        list, N118,
        arr, TRIM(SPLIT(list, "","")),
        names, XLOOKUP(
          arr,
          'Conformance Score'!A:A,
          'Conformance Score'!B:B,
          ""Not found""
      "&amp;"  ),
        TEXTJOIN("", "", TRUE, names)
      ),
      """"
    )
  ),
  1,
  1
)
"),"")</f>
        <v/>
      </c>
      <c r="P118" s="105" t="str">
        <f>IF(F118="Yes", IFERROR(VLOOKUP(D118, Repository!A:F, 6, 0), ""), "")</f>
        <v/>
      </c>
      <c r="Q118" s="105" t="str">
        <f>IF(F118="Yes", IFERROR(VLOOKUP(D118, Repository!A:I, 8, 0), ""), "")</f>
        <v/>
      </c>
      <c r="R118" s="105" t="str">
        <f>IF(F118="Yes", IFERROR(VLOOKUP(D118, Repository!A:J, 9, 0), ""), "")</f>
        <v/>
      </c>
      <c r="S118" s="105"/>
      <c r="T118" s="105"/>
      <c r="U118" s="105"/>
      <c r="V118" s="105"/>
      <c r="W118" s="105"/>
      <c r="X118" s="105"/>
      <c r="Y118" s="105"/>
      <c r="Z118" s="105"/>
      <c r="AA118" s="105"/>
      <c r="AB118" s="105"/>
      <c r="AC118" s="91"/>
      <c r="AD118" s="105"/>
      <c r="AE118" s="105"/>
      <c r="AF118" s="91"/>
      <c r="AG118" s="105"/>
      <c r="AH118" s="105"/>
      <c r="AI118" s="105" t="str">
        <f t="shared" si="1"/>
        <v/>
      </c>
      <c r="AJ118" s="108" t="str">
        <f t="shared" si="2"/>
        <v/>
      </c>
    </row>
    <row r="119" ht="15.75" customHeight="1">
      <c r="A119" s="104"/>
      <c r="B119" s="105" t="str">
        <f>IFERROR(__xludf.DUMMYFUNCTION("ARRAY_CONSTRAIN(
  ARRAYFORMULA(
    IF(
      'Final Report'!A119="""",
      """",
      TEXTJOIN(
        "", "" &amp; CHAR(10),
        TRUE,
        IFERROR(
          VLOOKUP(
            TRIM(
              SPLIT('Final Report'!A119, "","")
           "&amp;" ),
            'URL Details'!A:B,
            2,
            FALSE
          ),
          """"
        )
      )
    )
  ),
  1,
  1
)
"),"")</f>
        <v/>
      </c>
      <c r="C119" s="105" t="str">
        <f>IFERROR(__xludf.DUMMYFUNCTION("IFERROR(IF('Final Report'!A119="""","""", TEXTJOIN(CHAR(10), TRUE, ARRAYFORMULA( ""• ""&amp; FILTER( TRIM(FLATTEN(SPLIT( REGEXREPLACE( SUBSTITUTE(TEXTJOIN("","", TRUE, IFERROR(ARRAYFORMULA(VLOOKUP(TRIM(SPLIT('Final Report'!A119, "","")), 'URL Details'!A:D, 4,"&amp;" FALSE)),"""") ), CHAR(10), "",""), ""\s*,\s*"", "",""), "",""))), TRIM(FLATTEN(SPLIT( REGEXREPLACE( SUBSTITUTE(TEXTJOIN("","", TRUE, IFERROR(ARRAYFORMULA(VLOOKUP(TRIM(SPLIT('Final Report'!A119, "","")), 'URL Details'!A:D, 4, FALSE)),"""") ), CHAR(10), """&amp;",""), ""\s*,\s*"", "",""), "","")))&lt;&gt;"""" ) ) ) ),"""")
"),"")</f>
        <v/>
      </c>
      <c r="D119" s="105"/>
      <c r="E119" s="105"/>
      <c r="F119" s="110" t="b">
        <v>0</v>
      </c>
      <c r="G119" s="105" t="str">
        <f>IF(F119=True, IFERROR(VLOOKUP(D119, Repository!A:B, 2, 0), ""), "")</f>
        <v/>
      </c>
      <c r="H119" s="105"/>
      <c r="I119" s="105"/>
      <c r="J119" s="105" t="str">
        <f>IF(F119=True, IFERROR(VLOOKUP(D119, Repository!A:C, 3, 0), ""), "")</f>
        <v/>
      </c>
      <c r="K119" s="105"/>
      <c r="L119" s="105" t="str">
        <f>IF(F119=True, IFERROR(VLOOKUP(D119, Repository!A:E, 5, 0), ""), "")</f>
        <v/>
      </c>
      <c r="M119" s="105"/>
      <c r="N119" s="105" t="str">
        <f>IF(F119=True, IFERROR(VLOOKUP(D119, Repository!A:G, 7, 0), ""), "")</f>
        <v/>
      </c>
      <c r="O119" s="105" t="str">
        <f>IFERROR(__xludf.DUMMYFUNCTION("ARRAY_CONSTRAIN(
  ARRAYFORMULA(
    IFERROR(
      LET(
        list, N119,
        arr, TRIM(SPLIT(list, "","")),
        names, XLOOKUP(
          arr,
          'Conformance Score'!A:A,
          'Conformance Score'!B:B,
          ""Not found""
      "&amp;"  ),
        TEXTJOIN("", "", TRUE, names)
      ),
      """"
    )
  ),
  1,
  1
)
"),"")</f>
        <v/>
      </c>
      <c r="P119" s="105" t="str">
        <f>IF(F119="Yes", IFERROR(VLOOKUP(D119, Repository!A:F, 6, 0), ""), "")</f>
        <v/>
      </c>
      <c r="Q119" s="105" t="str">
        <f>IF(F119="Yes", IFERROR(VLOOKUP(D119, Repository!A:I, 8, 0), ""), "")</f>
        <v/>
      </c>
      <c r="R119" s="105" t="str">
        <f>IF(F119="Yes", IFERROR(VLOOKUP(D119, Repository!A:J, 9, 0), ""), "")</f>
        <v/>
      </c>
      <c r="S119" s="105"/>
      <c r="T119" s="105"/>
      <c r="U119" s="105"/>
      <c r="V119" s="105"/>
      <c r="W119" s="105"/>
      <c r="X119" s="105"/>
      <c r="Y119" s="105"/>
      <c r="Z119" s="105"/>
      <c r="AA119" s="105"/>
      <c r="AB119" s="105"/>
      <c r="AC119" s="91"/>
      <c r="AD119" s="105"/>
      <c r="AE119" s="105"/>
      <c r="AF119" s="91"/>
      <c r="AG119" s="105"/>
      <c r="AH119" s="105"/>
      <c r="AI119" s="105" t="str">
        <f t="shared" si="1"/>
        <v/>
      </c>
      <c r="AJ119" s="108" t="str">
        <f t="shared" si="2"/>
        <v/>
      </c>
    </row>
    <row r="120" ht="15.75" customHeight="1">
      <c r="A120" s="104"/>
      <c r="B120" s="105" t="str">
        <f>IFERROR(__xludf.DUMMYFUNCTION("ARRAY_CONSTRAIN(
  ARRAYFORMULA(
    IF(
      'Final Report'!A120="""",
      """",
      TEXTJOIN(
        "", "" &amp; CHAR(10),
        TRUE,
        IFERROR(
          VLOOKUP(
            TRIM(
              SPLIT('Final Report'!A120, "","")
           "&amp;" ),
            'URL Details'!A:B,
            2,
            FALSE
          ),
          """"
        )
      )
    )
  ),
  1,
  1
)
"),"")</f>
        <v/>
      </c>
      <c r="C120" s="105" t="str">
        <f>IFERROR(__xludf.DUMMYFUNCTION("IFERROR(IF('Final Report'!A120="""","""", TEXTJOIN(CHAR(10), TRUE, ARRAYFORMULA( ""• ""&amp; FILTER( TRIM(FLATTEN(SPLIT( REGEXREPLACE( SUBSTITUTE(TEXTJOIN("","", TRUE, IFERROR(ARRAYFORMULA(VLOOKUP(TRIM(SPLIT('Final Report'!A120, "","")), 'URL Details'!A:D, 4,"&amp;" FALSE)),"""") ), CHAR(10), "",""), ""\s*,\s*"", "",""), "",""))), TRIM(FLATTEN(SPLIT( REGEXREPLACE( SUBSTITUTE(TEXTJOIN("","", TRUE, IFERROR(ARRAYFORMULA(VLOOKUP(TRIM(SPLIT('Final Report'!A120, "","")), 'URL Details'!A:D, 4, FALSE)),"""") ), CHAR(10), """&amp;",""), ""\s*,\s*"", "",""), "","")))&lt;&gt;"""" ) ) ) ),"""")
"),"")</f>
        <v/>
      </c>
      <c r="D120" s="105"/>
      <c r="E120" s="105"/>
      <c r="F120" s="110" t="b">
        <v>0</v>
      </c>
      <c r="G120" s="105" t="str">
        <f>IF(F120=True, IFERROR(VLOOKUP(D120, Repository!A:B, 2, 0), ""), "")</f>
        <v/>
      </c>
      <c r="H120" s="105"/>
      <c r="I120" s="105"/>
      <c r="J120" s="105" t="str">
        <f>IF(F120=True, IFERROR(VLOOKUP(D120, Repository!A:C, 3, 0), ""), "")</f>
        <v/>
      </c>
      <c r="K120" s="105"/>
      <c r="L120" s="105" t="str">
        <f>IF(F120=True, IFERROR(VLOOKUP(D120, Repository!A:E, 5, 0), ""), "")</f>
        <v/>
      </c>
      <c r="M120" s="105"/>
      <c r="N120" s="105" t="str">
        <f>IF(F120=True, IFERROR(VLOOKUP(D120, Repository!A:G, 7, 0), ""), "")</f>
        <v/>
      </c>
      <c r="O120" s="105" t="str">
        <f>IFERROR(__xludf.DUMMYFUNCTION("ARRAY_CONSTRAIN(
  ARRAYFORMULA(
    IFERROR(
      LET(
        list, N120,
        arr, TRIM(SPLIT(list, "","")),
        names, XLOOKUP(
          arr,
          'Conformance Score'!A:A,
          'Conformance Score'!B:B,
          ""Not found""
      "&amp;"  ),
        TEXTJOIN("", "", TRUE, names)
      ),
      """"
    )
  ),
  1,
  1
)
"),"")</f>
        <v/>
      </c>
      <c r="P120" s="105" t="str">
        <f>IF(F120="Yes", IFERROR(VLOOKUP(D120, Repository!A:F, 6, 0), ""), "")</f>
        <v/>
      </c>
      <c r="Q120" s="105" t="str">
        <f>IF(F120="Yes", IFERROR(VLOOKUP(D120, Repository!A:I, 8, 0), ""), "")</f>
        <v/>
      </c>
      <c r="R120" s="105" t="str">
        <f>IF(F120="Yes", IFERROR(VLOOKUP(D120, Repository!A:J, 9, 0), ""), "")</f>
        <v/>
      </c>
      <c r="S120" s="105"/>
      <c r="T120" s="105"/>
      <c r="U120" s="105"/>
      <c r="V120" s="105"/>
      <c r="W120" s="105"/>
      <c r="X120" s="105"/>
      <c r="Y120" s="105"/>
      <c r="Z120" s="105"/>
      <c r="AA120" s="105"/>
      <c r="AB120" s="105"/>
      <c r="AC120" s="91"/>
      <c r="AD120" s="105"/>
      <c r="AE120" s="105"/>
      <c r="AF120" s="91"/>
      <c r="AG120" s="105"/>
      <c r="AH120" s="105"/>
      <c r="AI120" s="105" t="str">
        <f t="shared" si="1"/>
        <v/>
      </c>
      <c r="AJ120" s="108" t="str">
        <f t="shared" si="2"/>
        <v/>
      </c>
    </row>
    <row r="121" ht="15.75" customHeight="1">
      <c r="A121" s="104"/>
      <c r="B121" s="105" t="str">
        <f>IFERROR(__xludf.DUMMYFUNCTION("ARRAY_CONSTRAIN(
  ARRAYFORMULA(
    IF(
      'Final Report'!A121="""",
      """",
      TEXTJOIN(
        "", "" &amp; CHAR(10),
        TRUE,
        IFERROR(
          VLOOKUP(
            TRIM(
              SPLIT('Final Report'!A121, "","")
           "&amp;" ),
            'URL Details'!A:B,
            2,
            FALSE
          ),
          """"
        )
      )
    )
  ),
  1,
  1
)
"),"")</f>
        <v/>
      </c>
      <c r="C121" s="105" t="str">
        <f>IFERROR(__xludf.DUMMYFUNCTION("IFERROR(IF('Final Report'!A121="""","""", TEXTJOIN(CHAR(10), TRUE, ARRAYFORMULA( ""• ""&amp; FILTER( TRIM(FLATTEN(SPLIT( REGEXREPLACE( SUBSTITUTE(TEXTJOIN("","", TRUE, IFERROR(ARRAYFORMULA(VLOOKUP(TRIM(SPLIT('Final Report'!A121, "","")), 'URL Details'!A:D, 4,"&amp;" FALSE)),"""") ), CHAR(10), "",""), ""\s*,\s*"", "",""), "",""))), TRIM(FLATTEN(SPLIT( REGEXREPLACE( SUBSTITUTE(TEXTJOIN("","", TRUE, IFERROR(ARRAYFORMULA(VLOOKUP(TRIM(SPLIT('Final Report'!A121, "","")), 'URL Details'!A:D, 4, FALSE)),"""") ), CHAR(10), """&amp;",""), ""\s*,\s*"", "",""), "","")))&lt;&gt;"""" ) ) ) ),"""")
"),"")</f>
        <v/>
      </c>
      <c r="D121" s="105"/>
      <c r="E121" s="105"/>
      <c r="F121" s="110" t="b">
        <v>0</v>
      </c>
      <c r="G121" s="105" t="str">
        <f>IF(F121=True, IFERROR(VLOOKUP(D121, Repository!A:B, 2, 0), ""), "")</f>
        <v/>
      </c>
      <c r="H121" s="105"/>
      <c r="I121" s="105"/>
      <c r="J121" s="105" t="str">
        <f>IF(F121=True, IFERROR(VLOOKUP(D121, Repository!A:C, 3, 0), ""), "")</f>
        <v/>
      </c>
      <c r="K121" s="105"/>
      <c r="L121" s="105" t="str">
        <f>IF(F121=True, IFERROR(VLOOKUP(D121, Repository!A:E, 5, 0), ""), "")</f>
        <v/>
      </c>
      <c r="M121" s="105"/>
      <c r="N121" s="105" t="str">
        <f>IF(F121=True, IFERROR(VLOOKUP(D121, Repository!A:G, 7, 0), ""), "")</f>
        <v/>
      </c>
      <c r="O121" s="105" t="str">
        <f>IFERROR(__xludf.DUMMYFUNCTION("ARRAY_CONSTRAIN(
  ARRAYFORMULA(
    IFERROR(
      LET(
        list, N121,
        arr, TRIM(SPLIT(list, "","")),
        names, XLOOKUP(
          arr,
          'Conformance Score'!A:A,
          'Conformance Score'!B:B,
          ""Not found""
      "&amp;"  ),
        TEXTJOIN("", "", TRUE, names)
      ),
      """"
    )
  ),
  1,
  1
)
"),"")</f>
        <v/>
      </c>
      <c r="P121" s="105" t="str">
        <f>IF(F121="Yes", IFERROR(VLOOKUP(D121, Repository!A:F, 6, 0), ""), "")</f>
        <v/>
      </c>
      <c r="Q121" s="105" t="str">
        <f>IF(F121="Yes", IFERROR(VLOOKUP(D121, Repository!A:I, 8, 0), ""), "")</f>
        <v/>
      </c>
      <c r="R121" s="105" t="str">
        <f>IF(F121="Yes", IFERROR(VLOOKUP(D121, Repository!A:J, 9, 0), ""), "")</f>
        <v/>
      </c>
      <c r="S121" s="105"/>
      <c r="T121" s="105"/>
      <c r="U121" s="105"/>
      <c r="V121" s="105"/>
      <c r="W121" s="105"/>
      <c r="X121" s="105"/>
      <c r="Y121" s="105"/>
      <c r="Z121" s="105"/>
      <c r="AA121" s="105"/>
      <c r="AB121" s="105"/>
      <c r="AC121" s="91"/>
      <c r="AD121" s="105"/>
      <c r="AE121" s="105"/>
      <c r="AF121" s="91"/>
      <c r="AG121" s="105"/>
      <c r="AH121" s="105"/>
      <c r="AI121" s="105" t="str">
        <f t="shared" si="1"/>
        <v/>
      </c>
      <c r="AJ121" s="108" t="str">
        <f t="shared" si="2"/>
        <v/>
      </c>
    </row>
    <row r="122" ht="15.75" customHeight="1">
      <c r="A122" s="104"/>
      <c r="B122" s="105" t="str">
        <f>IFERROR(__xludf.DUMMYFUNCTION("ARRAY_CONSTRAIN(
  ARRAYFORMULA(
    IF(
      'Final Report'!A122="""",
      """",
      TEXTJOIN(
        "", "" &amp; CHAR(10),
        TRUE,
        IFERROR(
          VLOOKUP(
            TRIM(
              SPLIT('Final Report'!A122, "","")
           "&amp;" ),
            'URL Details'!A:B,
            2,
            FALSE
          ),
          """"
        )
      )
    )
  ),
  1,
  1
)
"),"")</f>
        <v/>
      </c>
      <c r="C122" s="105" t="str">
        <f>IFERROR(__xludf.DUMMYFUNCTION("IFERROR(IF('Final Report'!A122="""","""", TEXTJOIN(CHAR(10), TRUE, ARRAYFORMULA( ""• ""&amp; FILTER( TRIM(FLATTEN(SPLIT( REGEXREPLACE( SUBSTITUTE(TEXTJOIN("","", TRUE, IFERROR(ARRAYFORMULA(VLOOKUP(TRIM(SPLIT('Final Report'!A122, "","")), 'URL Details'!A:D, 4,"&amp;" FALSE)),"""") ), CHAR(10), "",""), ""\s*,\s*"", "",""), "",""))), TRIM(FLATTEN(SPLIT( REGEXREPLACE( SUBSTITUTE(TEXTJOIN("","", TRUE, IFERROR(ARRAYFORMULA(VLOOKUP(TRIM(SPLIT('Final Report'!A122, "","")), 'URL Details'!A:D, 4, FALSE)),"""") ), CHAR(10), """&amp;",""), ""\s*,\s*"", "",""), "","")))&lt;&gt;"""" ) ) ) ),"""")
"),"")</f>
        <v/>
      </c>
      <c r="D122" s="105"/>
      <c r="E122" s="105"/>
      <c r="F122" s="110" t="b">
        <v>0</v>
      </c>
      <c r="G122" s="105" t="str">
        <f>IF(F122=True, IFERROR(VLOOKUP(D122, Repository!A:B, 2, 0), ""), "")</f>
        <v/>
      </c>
      <c r="H122" s="105"/>
      <c r="I122" s="105"/>
      <c r="J122" s="105" t="str">
        <f>IF(F122=True, IFERROR(VLOOKUP(D122, Repository!A:C, 3, 0), ""), "")</f>
        <v/>
      </c>
      <c r="K122" s="105"/>
      <c r="L122" s="105" t="str">
        <f>IF(F122=True, IFERROR(VLOOKUP(D122, Repository!A:E, 5, 0), ""), "")</f>
        <v/>
      </c>
      <c r="M122" s="105"/>
      <c r="N122" s="105" t="str">
        <f>IF(F122=True, IFERROR(VLOOKUP(D122, Repository!A:G, 7, 0), ""), "")</f>
        <v/>
      </c>
      <c r="O122" s="105" t="str">
        <f>IFERROR(__xludf.DUMMYFUNCTION("ARRAY_CONSTRAIN(
  ARRAYFORMULA(
    IFERROR(
      LET(
        list, N122,
        arr, TRIM(SPLIT(list, "","")),
        names, XLOOKUP(
          arr,
          'Conformance Score'!A:A,
          'Conformance Score'!B:B,
          ""Not found""
      "&amp;"  ),
        TEXTJOIN("", "", TRUE, names)
      ),
      """"
    )
  ),
  1,
  1
)
"),"")</f>
        <v/>
      </c>
      <c r="P122" s="105" t="str">
        <f>IF(F122="Yes", IFERROR(VLOOKUP(D122, Repository!A:F, 6, 0), ""), "")</f>
        <v/>
      </c>
      <c r="Q122" s="105" t="str">
        <f>IF(F122="Yes", IFERROR(VLOOKUP(D122, Repository!A:I, 8, 0), ""), "")</f>
        <v/>
      </c>
      <c r="R122" s="105" t="str">
        <f>IF(F122="Yes", IFERROR(VLOOKUP(D122, Repository!A:J, 9, 0), ""), "")</f>
        <v/>
      </c>
      <c r="S122" s="105"/>
      <c r="T122" s="105"/>
      <c r="U122" s="105"/>
      <c r="V122" s="105"/>
      <c r="W122" s="105"/>
      <c r="X122" s="105"/>
      <c r="Y122" s="105"/>
      <c r="Z122" s="105"/>
      <c r="AA122" s="105"/>
      <c r="AB122" s="105"/>
      <c r="AC122" s="91"/>
      <c r="AD122" s="105"/>
      <c r="AE122" s="105"/>
      <c r="AF122" s="91"/>
      <c r="AG122" s="105"/>
      <c r="AH122" s="105"/>
      <c r="AI122" s="105" t="str">
        <f t="shared" si="1"/>
        <v/>
      </c>
      <c r="AJ122" s="108" t="str">
        <f t="shared" si="2"/>
        <v/>
      </c>
    </row>
    <row r="123" ht="15.75" customHeight="1">
      <c r="A123" s="104"/>
      <c r="B123" s="105" t="str">
        <f>IFERROR(__xludf.DUMMYFUNCTION("ARRAY_CONSTRAIN(
  ARRAYFORMULA(
    IF(
      'Final Report'!A123="""",
      """",
      TEXTJOIN(
        "", "" &amp; CHAR(10),
        TRUE,
        IFERROR(
          VLOOKUP(
            TRIM(
              SPLIT('Final Report'!A123, "","")
           "&amp;" ),
            'URL Details'!A:B,
            2,
            FALSE
          ),
          """"
        )
      )
    )
  ),
  1,
  1
)
"),"")</f>
        <v/>
      </c>
      <c r="C123" s="105" t="str">
        <f>IFERROR(__xludf.DUMMYFUNCTION("IFERROR(IF('Final Report'!A123="""","""", TEXTJOIN(CHAR(10), TRUE, ARRAYFORMULA( ""• ""&amp; FILTER( TRIM(FLATTEN(SPLIT( REGEXREPLACE( SUBSTITUTE(TEXTJOIN("","", TRUE, IFERROR(ARRAYFORMULA(VLOOKUP(TRIM(SPLIT('Final Report'!A123, "","")), 'URL Details'!A:D, 4,"&amp;" FALSE)),"""") ), CHAR(10), "",""), ""\s*,\s*"", "",""), "",""))), TRIM(FLATTEN(SPLIT( REGEXREPLACE( SUBSTITUTE(TEXTJOIN("","", TRUE, IFERROR(ARRAYFORMULA(VLOOKUP(TRIM(SPLIT('Final Report'!A123, "","")), 'URL Details'!A:D, 4, FALSE)),"""") ), CHAR(10), """&amp;",""), ""\s*,\s*"", "",""), "","")))&lt;&gt;"""" ) ) ) ),"""")
"),"")</f>
        <v/>
      </c>
      <c r="D123" s="105"/>
      <c r="E123" s="105"/>
      <c r="F123" s="110" t="b">
        <v>0</v>
      </c>
      <c r="G123" s="105" t="str">
        <f>IF(F123=True, IFERROR(VLOOKUP(D123, Repository!A:B, 2, 0), ""), "")</f>
        <v/>
      </c>
      <c r="H123" s="105"/>
      <c r="I123" s="105"/>
      <c r="J123" s="105" t="str">
        <f>IF(F123=True, IFERROR(VLOOKUP(D123, Repository!A:C, 3, 0), ""), "")</f>
        <v/>
      </c>
      <c r="K123" s="105"/>
      <c r="L123" s="105" t="str">
        <f>IF(F123=True, IFERROR(VLOOKUP(D123, Repository!A:E, 5, 0), ""), "")</f>
        <v/>
      </c>
      <c r="M123" s="105"/>
      <c r="N123" s="105" t="str">
        <f>IF(F123=True, IFERROR(VLOOKUP(D123, Repository!A:G, 7, 0), ""), "")</f>
        <v/>
      </c>
      <c r="O123" s="105" t="str">
        <f>IFERROR(__xludf.DUMMYFUNCTION("ARRAY_CONSTRAIN(
  ARRAYFORMULA(
    IFERROR(
      LET(
        list, N123,
        arr, TRIM(SPLIT(list, "","")),
        names, XLOOKUP(
          arr,
          'Conformance Score'!A:A,
          'Conformance Score'!B:B,
          ""Not found""
      "&amp;"  ),
        TEXTJOIN("", "", TRUE, names)
      ),
      """"
    )
  ),
  1,
  1
)
"),"")</f>
        <v/>
      </c>
      <c r="P123" s="105" t="str">
        <f>IF(F123="Yes", IFERROR(VLOOKUP(D123, Repository!A:F, 6, 0), ""), "")</f>
        <v/>
      </c>
      <c r="Q123" s="105" t="str">
        <f>IF(F123="Yes", IFERROR(VLOOKUP(D123, Repository!A:I, 8, 0), ""), "")</f>
        <v/>
      </c>
      <c r="R123" s="105" t="str">
        <f>IF(F123="Yes", IFERROR(VLOOKUP(D123, Repository!A:J, 9, 0), ""), "")</f>
        <v/>
      </c>
      <c r="S123" s="105"/>
      <c r="T123" s="105"/>
      <c r="U123" s="105"/>
      <c r="V123" s="105"/>
      <c r="W123" s="105"/>
      <c r="X123" s="105"/>
      <c r="Y123" s="105"/>
      <c r="Z123" s="105"/>
      <c r="AA123" s="105"/>
      <c r="AB123" s="105"/>
      <c r="AC123" s="91"/>
      <c r="AD123" s="105"/>
      <c r="AE123" s="105"/>
      <c r="AF123" s="91"/>
      <c r="AG123" s="105"/>
      <c r="AH123" s="105"/>
      <c r="AI123" s="105" t="str">
        <f t="shared" si="1"/>
        <v/>
      </c>
      <c r="AJ123" s="108" t="str">
        <f t="shared" si="2"/>
        <v/>
      </c>
    </row>
    <row r="124" ht="15.75" customHeight="1">
      <c r="A124" s="104"/>
      <c r="B124" s="105" t="str">
        <f>IFERROR(__xludf.DUMMYFUNCTION("ARRAY_CONSTRAIN(
  ARRAYFORMULA(
    IF(
      'Final Report'!A124="""",
      """",
      TEXTJOIN(
        "", "" &amp; CHAR(10),
        TRUE,
        IFERROR(
          VLOOKUP(
            TRIM(
              SPLIT('Final Report'!A124, "","")
           "&amp;" ),
            'URL Details'!A:B,
            2,
            FALSE
          ),
          """"
        )
      )
    )
  ),
  1,
  1
)
"),"")</f>
        <v/>
      </c>
      <c r="C124" s="105" t="str">
        <f>IFERROR(__xludf.DUMMYFUNCTION("IFERROR(IF('Final Report'!A124="""","""", TEXTJOIN(CHAR(10), TRUE, ARRAYFORMULA( ""• ""&amp; FILTER( TRIM(FLATTEN(SPLIT( REGEXREPLACE( SUBSTITUTE(TEXTJOIN("","", TRUE, IFERROR(ARRAYFORMULA(VLOOKUP(TRIM(SPLIT('Final Report'!A124, "","")), 'URL Details'!A:D, 4,"&amp;" FALSE)),"""") ), CHAR(10), "",""), ""\s*,\s*"", "",""), "",""))), TRIM(FLATTEN(SPLIT( REGEXREPLACE( SUBSTITUTE(TEXTJOIN("","", TRUE, IFERROR(ARRAYFORMULA(VLOOKUP(TRIM(SPLIT('Final Report'!A124, "","")), 'URL Details'!A:D, 4, FALSE)),"""") ), CHAR(10), """&amp;",""), ""\s*,\s*"", "",""), "","")))&lt;&gt;"""" ) ) ) ),"""")
"),"")</f>
        <v/>
      </c>
      <c r="D124" s="105"/>
      <c r="E124" s="105"/>
      <c r="F124" s="110" t="b">
        <v>0</v>
      </c>
      <c r="G124" s="105" t="str">
        <f>IF(F124=True, IFERROR(VLOOKUP(D124, Repository!A:B, 2, 0), ""), "")</f>
        <v/>
      </c>
      <c r="H124" s="105"/>
      <c r="I124" s="105"/>
      <c r="J124" s="105" t="str">
        <f>IF(F124=True, IFERROR(VLOOKUP(D124, Repository!A:C, 3, 0), ""), "")</f>
        <v/>
      </c>
      <c r="K124" s="105"/>
      <c r="L124" s="105" t="str">
        <f>IF(F124=True, IFERROR(VLOOKUP(D124, Repository!A:E, 5, 0), ""), "")</f>
        <v/>
      </c>
      <c r="M124" s="105"/>
      <c r="N124" s="105" t="str">
        <f>IF(F124=True, IFERROR(VLOOKUP(D124, Repository!A:G, 7, 0), ""), "")</f>
        <v/>
      </c>
      <c r="O124" s="105" t="str">
        <f>IFERROR(__xludf.DUMMYFUNCTION("ARRAY_CONSTRAIN(
  ARRAYFORMULA(
    IFERROR(
      LET(
        list, N124,
        arr, TRIM(SPLIT(list, "","")),
        names, XLOOKUP(
          arr,
          'Conformance Score'!A:A,
          'Conformance Score'!B:B,
          ""Not found""
      "&amp;"  ),
        TEXTJOIN("", "", TRUE, names)
      ),
      """"
    )
  ),
  1,
  1
)
"),"")</f>
        <v/>
      </c>
      <c r="P124" s="105" t="str">
        <f>IF(F124="Yes", IFERROR(VLOOKUP(D124, Repository!A:F, 6, 0), ""), "")</f>
        <v/>
      </c>
      <c r="Q124" s="105" t="str">
        <f>IF(F124="Yes", IFERROR(VLOOKUP(D124, Repository!A:I, 8, 0), ""), "")</f>
        <v/>
      </c>
      <c r="R124" s="105" t="str">
        <f>IF(F124="Yes", IFERROR(VLOOKUP(D124, Repository!A:J, 9, 0), ""), "")</f>
        <v/>
      </c>
      <c r="S124" s="105"/>
      <c r="T124" s="105"/>
      <c r="U124" s="105"/>
      <c r="V124" s="105"/>
      <c r="W124" s="105"/>
      <c r="X124" s="105"/>
      <c r="Y124" s="105"/>
      <c r="Z124" s="105"/>
      <c r="AA124" s="105"/>
      <c r="AB124" s="105"/>
      <c r="AC124" s="91"/>
      <c r="AD124" s="105"/>
      <c r="AE124" s="105"/>
      <c r="AF124" s="91"/>
      <c r="AG124" s="105"/>
      <c r="AH124" s="105"/>
      <c r="AI124" s="105" t="str">
        <f t="shared" si="1"/>
        <v/>
      </c>
      <c r="AJ124" s="108" t="str">
        <f t="shared" si="2"/>
        <v/>
      </c>
    </row>
    <row r="125" ht="15.75" customHeight="1">
      <c r="A125" s="104"/>
      <c r="B125" s="105" t="str">
        <f>IFERROR(__xludf.DUMMYFUNCTION("ARRAY_CONSTRAIN(
  ARRAYFORMULA(
    IF(
      'Final Report'!A125="""",
      """",
      TEXTJOIN(
        "", "" &amp; CHAR(10),
        TRUE,
        IFERROR(
          VLOOKUP(
            TRIM(
              SPLIT('Final Report'!A125, "","")
           "&amp;" ),
            'URL Details'!A:B,
            2,
            FALSE
          ),
          """"
        )
      )
    )
  ),
  1,
  1
)
"),"")</f>
        <v/>
      </c>
      <c r="C125" s="105" t="str">
        <f>IFERROR(__xludf.DUMMYFUNCTION("IFERROR(IF('Final Report'!A125="""","""", TEXTJOIN(CHAR(10), TRUE, ARRAYFORMULA( ""• ""&amp; FILTER( TRIM(FLATTEN(SPLIT( REGEXREPLACE( SUBSTITUTE(TEXTJOIN("","", TRUE, IFERROR(ARRAYFORMULA(VLOOKUP(TRIM(SPLIT('Final Report'!A125, "","")), 'URL Details'!A:D, 4,"&amp;" FALSE)),"""") ), CHAR(10), "",""), ""\s*,\s*"", "",""), "",""))), TRIM(FLATTEN(SPLIT( REGEXREPLACE( SUBSTITUTE(TEXTJOIN("","", TRUE, IFERROR(ARRAYFORMULA(VLOOKUP(TRIM(SPLIT('Final Report'!A125, "","")), 'URL Details'!A:D, 4, FALSE)),"""") ), CHAR(10), """&amp;",""), ""\s*,\s*"", "",""), "","")))&lt;&gt;"""" ) ) ) ),"""")
"),"")</f>
        <v/>
      </c>
      <c r="D125" s="105"/>
      <c r="E125" s="105"/>
      <c r="F125" s="110" t="b">
        <v>0</v>
      </c>
      <c r="G125" s="105" t="str">
        <f>IF(F125=True, IFERROR(VLOOKUP(D125, Repository!A:B, 2, 0), ""), "")</f>
        <v/>
      </c>
      <c r="H125" s="105"/>
      <c r="I125" s="105"/>
      <c r="J125" s="105" t="str">
        <f>IF(F125=True, IFERROR(VLOOKUP(D125, Repository!A:C, 3, 0), ""), "")</f>
        <v/>
      </c>
      <c r="K125" s="105"/>
      <c r="L125" s="105" t="str">
        <f>IF(F125=True, IFERROR(VLOOKUP(D125, Repository!A:E, 5, 0), ""), "")</f>
        <v/>
      </c>
      <c r="M125" s="105"/>
      <c r="N125" s="105" t="str">
        <f>IF(F125=True, IFERROR(VLOOKUP(D125, Repository!A:G, 7, 0), ""), "")</f>
        <v/>
      </c>
      <c r="O125" s="105" t="str">
        <f>IFERROR(__xludf.DUMMYFUNCTION("ARRAY_CONSTRAIN(
  ARRAYFORMULA(
    IFERROR(
      LET(
        list, N125,
        arr, TRIM(SPLIT(list, "","")),
        names, XLOOKUP(
          arr,
          'Conformance Score'!A:A,
          'Conformance Score'!B:B,
          ""Not found""
      "&amp;"  ),
        TEXTJOIN("", "", TRUE, names)
      ),
      """"
    )
  ),
  1,
  1
)
"),"")</f>
        <v/>
      </c>
      <c r="P125" s="105" t="str">
        <f>IF(F125="Yes", IFERROR(VLOOKUP(D125, Repository!A:F, 6, 0), ""), "")</f>
        <v/>
      </c>
      <c r="Q125" s="105" t="str">
        <f>IF(F125="Yes", IFERROR(VLOOKUP(D125, Repository!A:I, 8, 0), ""), "")</f>
        <v/>
      </c>
      <c r="R125" s="105" t="str">
        <f>IF(F125="Yes", IFERROR(VLOOKUP(D125, Repository!A:J, 9, 0), ""), "")</f>
        <v/>
      </c>
      <c r="S125" s="105"/>
      <c r="T125" s="105"/>
      <c r="U125" s="105"/>
      <c r="V125" s="105"/>
      <c r="W125" s="105"/>
      <c r="X125" s="105"/>
      <c r="Y125" s="105"/>
      <c r="Z125" s="105"/>
      <c r="AA125" s="105"/>
      <c r="AB125" s="105"/>
      <c r="AC125" s="91"/>
      <c r="AD125" s="105"/>
      <c r="AE125" s="105"/>
      <c r="AF125" s="91"/>
      <c r="AG125" s="105"/>
      <c r="AH125" s="105"/>
      <c r="AI125" s="105" t="str">
        <f t="shared" si="1"/>
        <v/>
      </c>
      <c r="AJ125" s="108" t="str">
        <f t="shared" si="2"/>
        <v/>
      </c>
    </row>
    <row r="126" ht="15.75" customHeight="1">
      <c r="A126" s="104"/>
      <c r="B126" s="105" t="str">
        <f>IFERROR(__xludf.DUMMYFUNCTION("ARRAY_CONSTRAIN(
  ARRAYFORMULA(
    IF(
      'Final Report'!A126="""",
      """",
      TEXTJOIN(
        "", "" &amp; CHAR(10),
        TRUE,
        IFERROR(
          VLOOKUP(
            TRIM(
              SPLIT('Final Report'!A126, "","")
           "&amp;" ),
            'URL Details'!A:B,
            2,
            FALSE
          ),
          """"
        )
      )
    )
  ),
  1,
  1
)
"),"")</f>
        <v/>
      </c>
      <c r="C126" s="105" t="str">
        <f>IFERROR(__xludf.DUMMYFUNCTION("IFERROR(IF('Final Report'!A126="""","""", TEXTJOIN(CHAR(10), TRUE, ARRAYFORMULA( ""• ""&amp; FILTER( TRIM(FLATTEN(SPLIT( REGEXREPLACE( SUBSTITUTE(TEXTJOIN("","", TRUE, IFERROR(ARRAYFORMULA(VLOOKUP(TRIM(SPLIT('Final Report'!A126, "","")), 'URL Details'!A:D, 4,"&amp;" FALSE)),"""") ), CHAR(10), "",""), ""\s*,\s*"", "",""), "",""))), TRIM(FLATTEN(SPLIT( REGEXREPLACE( SUBSTITUTE(TEXTJOIN("","", TRUE, IFERROR(ARRAYFORMULA(VLOOKUP(TRIM(SPLIT('Final Report'!A126, "","")), 'URL Details'!A:D, 4, FALSE)),"""") ), CHAR(10), """&amp;",""), ""\s*,\s*"", "",""), "","")))&lt;&gt;"""" ) ) ) ),"""")
"),"")</f>
        <v/>
      </c>
      <c r="D126" s="105"/>
      <c r="E126" s="105"/>
      <c r="F126" s="110" t="b">
        <v>0</v>
      </c>
      <c r="G126" s="105" t="str">
        <f>IF(F126=True, IFERROR(VLOOKUP(D126, Repository!A:B, 2, 0), ""), "")</f>
        <v/>
      </c>
      <c r="H126" s="105"/>
      <c r="I126" s="105"/>
      <c r="J126" s="105" t="str">
        <f>IF(F126=True, IFERROR(VLOOKUP(D126, Repository!A:C, 3, 0), ""), "")</f>
        <v/>
      </c>
      <c r="K126" s="105"/>
      <c r="L126" s="105" t="str">
        <f>IF(F126=True, IFERROR(VLOOKUP(D126, Repository!A:E, 5, 0), ""), "")</f>
        <v/>
      </c>
      <c r="M126" s="105"/>
      <c r="N126" s="105" t="str">
        <f>IF(F126=True, IFERROR(VLOOKUP(D126, Repository!A:G, 7, 0), ""), "")</f>
        <v/>
      </c>
      <c r="O126" s="105" t="str">
        <f>IFERROR(__xludf.DUMMYFUNCTION("ARRAY_CONSTRAIN(
  ARRAYFORMULA(
    IFERROR(
      LET(
        list, N126,
        arr, TRIM(SPLIT(list, "","")),
        names, XLOOKUP(
          arr,
          'Conformance Score'!A:A,
          'Conformance Score'!B:B,
          ""Not found""
      "&amp;"  ),
        TEXTJOIN("", "", TRUE, names)
      ),
      """"
    )
  ),
  1,
  1
)
"),"")</f>
        <v/>
      </c>
      <c r="P126" s="105" t="str">
        <f>IF(F126="Yes", IFERROR(VLOOKUP(D126, Repository!A:F, 6, 0), ""), "")</f>
        <v/>
      </c>
      <c r="Q126" s="105" t="str">
        <f>IF(F126="Yes", IFERROR(VLOOKUP(D126, Repository!A:I, 8, 0), ""), "")</f>
        <v/>
      </c>
      <c r="R126" s="105" t="str">
        <f>IF(F126="Yes", IFERROR(VLOOKUP(D126, Repository!A:J, 9, 0), ""), "")</f>
        <v/>
      </c>
      <c r="S126" s="105"/>
      <c r="T126" s="105"/>
      <c r="U126" s="105"/>
      <c r="V126" s="105"/>
      <c r="W126" s="105"/>
      <c r="X126" s="105"/>
      <c r="Y126" s="105"/>
      <c r="Z126" s="105"/>
      <c r="AA126" s="105"/>
      <c r="AB126" s="105"/>
      <c r="AC126" s="91"/>
      <c r="AD126" s="105"/>
      <c r="AE126" s="105"/>
      <c r="AF126" s="91"/>
      <c r="AG126" s="105"/>
      <c r="AH126" s="105"/>
      <c r="AI126" s="105" t="str">
        <f t="shared" si="1"/>
        <v/>
      </c>
      <c r="AJ126" s="108" t="str">
        <f t="shared" si="2"/>
        <v/>
      </c>
    </row>
    <row r="127" ht="15.75" customHeight="1">
      <c r="A127" s="104"/>
      <c r="B127" s="105" t="str">
        <f>IFERROR(__xludf.DUMMYFUNCTION("ARRAY_CONSTRAIN(
  ARRAYFORMULA(
    IF(
      'Final Report'!A127="""",
      """",
      TEXTJOIN(
        "", "" &amp; CHAR(10),
        TRUE,
        IFERROR(
          VLOOKUP(
            TRIM(
              SPLIT('Final Report'!A127, "","")
           "&amp;" ),
            'URL Details'!A:B,
            2,
            FALSE
          ),
          """"
        )
      )
    )
  ),
  1,
  1
)
"),"")</f>
        <v/>
      </c>
      <c r="C127" s="105" t="str">
        <f>IFERROR(__xludf.DUMMYFUNCTION("IFERROR(IF('Final Report'!A127="""","""", TEXTJOIN(CHAR(10), TRUE, ARRAYFORMULA( ""• ""&amp; FILTER( TRIM(FLATTEN(SPLIT( REGEXREPLACE( SUBSTITUTE(TEXTJOIN("","", TRUE, IFERROR(ARRAYFORMULA(VLOOKUP(TRIM(SPLIT('Final Report'!A127, "","")), 'URL Details'!A:D, 4,"&amp;" FALSE)),"""") ), CHAR(10), "",""), ""\s*,\s*"", "",""), "",""))), TRIM(FLATTEN(SPLIT( REGEXREPLACE( SUBSTITUTE(TEXTJOIN("","", TRUE, IFERROR(ARRAYFORMULA(VLOOKUP(TRIM(SPLIT('Final Report'!A127, "","")), 'URL Details'!A:D, 4, FALSE)),"""") ), CHAR(10), """&amp;",""), ""\s*,\s*"", "",""), "","")))&lt;&gt;"""" ) ) ) ),"""")
"),"")</f>
        <v/>
      </c>
      <c r="D127" s="105"/>
      <c r="E127" s="105"/>
      <c r="F127" s="110" t="b">
        <v>0</v>
      </c>
      <c r="G127" s="105" t="str">
        <f>IF(F127=True, IFERROR(VLOOKUP(D127, Repository!A:B, 2, 0), ""), "")</f>
        <v/>
      </c>
      <c r="H127" s="105"/>
      <c r="I127" s="105"/>
      <c r="J127" s="105" t="str">
        <f>IF(F127=True, IFERROR(VLOOKUP(D127, Repository!A:C, 3, 0), ""), "")</f>
        <v/>
      </c>
      <c r="K127" s="105"/>
      <c r="L127" s="105" t="str">
        <f>IF(F127=True, IFERROR(VLOOKUP(D127, Repository!A:E, 5, 0), ""), "")</f>
        <v/>
      </c>
      <c r="M127" s="105"/>
      <c r="N127" s="105" t="str">
        <f>IF(F127=True, IFERROR(VLOOKUP(D127, Repository!A:G, 7, 0), ""), "")</f>
        <v/>
      </c>
      <c r="O127" s="105" t="str">
        <f>IFERROR(__xludf.DUMMYFUNCTION("ARRAY_CONSTRAIN(
  ARRAYFORMULA(
    IFERROR(
      LET(
        list, N127,
        arr, TRIM(SPLIT(list, "","")),
        names, XLOOKUP(
          arr,
          'Conformance Score'!A:A,
          'Conformance Score'!B:B,
          ""Not found""
      "&amp;"  ),
        TEXTJOIN("", "", TRUE, names)
      ),
      """"
    )
  ),
  1,
  1
)
"),"")</f>
        <v/>
      </c>
      <c r="P127" s="105" t="str">
        <f>IF(F127="Yes", IFERROR(VLOOKUP(D127, Repository!A:F, 6, 0), ""), "")</f>
        <v/>
      </c>
      <c r="Q127" s="105" t="str">
        <f>IF(F127="Yes", IFERROR(VLOOKUP(D127, Repository!A:I, 8, 0), ""), "")</f>
        <v/>
      </c>
      <c r="R127" s="105" t="str">
        <f>IF(F127="Yes", IFERROR(VLOOKUP(D127, Repository!A:J, 9, 0), ""), "")</f>
        <v/>
      </c>
      <c r="S127" s="105"/>
      <c r="T127" s="105"/>
      <c r="U127" s="105"/>
      <c r="V127" s="105"/>
      <c r="W127" s="105"/>
      <c r="X127" s="105"/>
      <c r="Y127" s="105"/>
      <c r="Z127" s="105"/>
      <c r="AA127" s="105"/>
      <c r="AB127" s="105"/>
      <c r="AC127" s="91"/>
      <c r="AD127" s="105"/>
      <c r="AE127" s="105"/>
      <c r="AF127" s="91"/>
      <c r="AG127" s="105"/>
      <c r="AH127" s="105"/>
      <c r="AI127" s="105" t="str">
        <f t="shared" si="1"/>
        <v/>
      </c>
      <c r="AJ127" s="108" t="str">
        <f t="shared" si="2"/>
        <v/>
      </c>
    </row>
    <row r="128" ht="15.75" customHeight="1">
      <c r="A128" s="104"/>
      <c r="B128" s="105" t="str">
        <f>IFERROR(__xludf.DUMMYFUNCTION("ARRAY_CONSTRAIN(
  ARRAYFORMULA(
    IF(
      'Final Report'!A128="""",
      """",
      TEXTJOIN(
        "", "" &amp; CHAR(10),
        TRUE,
        IFERROR(
          VLOOKUP(
            TRIM(
              SPLIT('Final Report'!A128, "","")
           "&amp;" ),
            'URL Details'!A:B,
            2,
            FALSE
          ),
          """"
        )
      )
    )
  ),
  1,
  1
)
"),"")</f>
        <v/>
      </c>
      <c r="C128" s="105" t="str">
        <f>IFERROR(__xludf.DUMMYFUNCTION("IFERROR(IF('Final Report'!A128="""","""", TEXTJOIN(CHAR(10), TRUE, ARRAYFORMULA( ""• ""&amp; FILTER( TRIM(FLATTEN(SPLIT( REGEXREPLACE( SUBSTITUTE(TEXTJOIN("","", TRUE, IFERROR(ARRAYFORMULA(VLOOKUP(TRIM(SPLIT('Final Report'!A128, "","")), 'URL Details'!A:D, 4,"&amp;" FALSE)),"""") ), CHAR(10), "",""), ""\s*,\s*"", "",""), "",""))), TRIM(FLATTEN(SPLIT( REGEXREPLACE( SUBSTITUTE(TEXTJOIN("","", TRUE, IFERROR(ARRAYFORMULA(VLOOKUP(TRIM(SPLIT('Final Report'!A128, "","")), 'URL Details'!A:D, 4, FALSE)),"""") ), CHAR(10), """&amp;",""), ""\s*,\s*"", "",""), "","")))&lt;&gt;"""" ) ) ) ),"""")
"),"")</f>
        <v/>
      </c>
      <c r="D128" s="105"/>
      <c r="E128" s="105"/>
      <c r="F128" s="110" t="b">
        <v>0</v>
      </c>
      <c r="G128" s="105" t="str">
        <f>IF(F128=True, IFERROR(VLOOKUP(D128, Repository!A:B, 2, 0), ""), "")</f>
        <v/>
      </c>
      <c r="H128" s="105"/>
      <c r="I128" s="105"/>
      <c r="J128" s="105" t="str">
        <f>IF(F128=True, IFERROR(VLOOKUP(D128, Repository!A:C, 3, 0), ""), "")</f>
        <v/>
      </c>
      <c r="K128" s="105"/>
      <c r="L128" s="105" t="str">
        <f>IF(F128=True, IFERROR(VLOOKUP(D128, Repository!A:E, 5, 0), ""), "")</f>
        <v/>
      </c>
      <c r="M128" s="105"/>
      <c r="N128" s="105" t="str">
        <f>IF(F128=True, IFERROR(VLOOKUP(D128, Repository!A:G, 7, 0), ""), "")</f>
        <v/>
      </c>
      <c r="O128" s="105" t="str">
        <f>IFERROR(__xludf.DUMMYFUNCTION("ARRAY_CONSTRAIN(
  ARRAYFORMULA(
    IFERROR(
      LET(
        list, N128,
        arr, TRIM(SPLIT(list, "","")),
        names, XLOOKUP(
          arr,
          'Conformance Score'!A:A,
          'Conformance Score'!B:B,
          ""Not found""
      "&amp;"  ),
        TEXTJOIN("", "", TRUE, names)
      ),
      """"
    )
  ),
  1,
  1
)
"),"")</f>
        <v/>
      </c>
      <c r="P128" s="105" t="str">
        <f>IF(F128="Yes", IFERROR(VLOOKUP(D128, Repository!A:F, 6, 0), ""), "")</f>
        <v/>
      </c>
      <c r="Q128" s="105" t="str">
        <f>IF(F128="Yes", IFERROR(VLOOKUP(D128, Repository!A:I, 8, 0), ""), "")</f>
        <v/>
      </c>
      <c r="R128" s="105" t="str">
        <f>IF(F128="Yes", IFERROR(VLOOKUP(D128, Repository!A:J, 9, 0), ""), "")</f>
        <v/>
      </c>
      <c r="S128" s="105"/>
      <c r="T128" s="105"/>
      <c r="U128" s="105"/>
      <c r="V128" s="105"/>
      <c r="W128" s="105"/>
      <c r="X128" s="105"/>
      <c r="Y128" s="105"/>
      <c r="Z128" s="105"/>
      <c r="AA128" s="105"/>
      <c r="AB128" s="105"/>
      <c r="AC128" s="91"/>
      <c r="AD128" s="105"/>
      <c r="AE128" s="105"/>
      <c r="AF128" s="91"/>
      <c r="AG128" s="105"/>
      <c r="AH128" s="105"/>
      <c r="AI128" s="105" t="str">
        <f t="shared" si="1"/>
        <v/>
      </c>
      <c r="AJ128" s="108" t="str">
        <f t="shared" si="2"/>
        <v/>
      </c>
    </row>
    <row r="129" ht="15.75" customHeight="1">
      <c r="A129" s="104"/>
      <c r="B129" s="105" t="str">
        <f>IFERROR(__xludf.DUMMYFUNCTION("ARRAY_CONSTRAIN(
  ARRAYFORMULA(
    IF(
      'Final Report'!A129="""",
      """",
      TEXTJOIN(
        "", "" &amp; CHAR(10),
        TRUE,
        IFERROR(
          VLOOKUP(
            TRIM(
              SPLIT('Final Report'!A129, "","")
           "&amp;" ),
            'URL Details'!A:B,
            2,
            FALSE
          ),
          """"
        )
      )
    )
  ),
  1,
  1
)
"),"")</f>
        <v/>
      </c>
      <c r="C129" s="105" t="str">
        <f>IFERROR(__xludf.DUMMYFUNCTION("IFERROR(IF('Final Report'!A129="""","""", TEXTJOIN(CHAR(10), TRUE, ARRAYFORMULA( ""• ""&amp; FILTER( TRIM(FLATTEN(SPLIT( REGEXREPLACE( SUBSTITUTE(TEXTJOIN("","", TRUE, IFERROR(ARRAYFORMULA(VLOOKUP(TRIM(SPLIT('Final Report'!A129, "","")), 'URL Details'!A:D, 4,"&amp;" FALSE)),"""") ), CHAR(10), "",""), ""\s*,\s*"", "",""), "",""))), TRIM(FLATTEN(SPLIT( REGEXREPLACE( SUBSTITUTE(TEXTJOIN("","", TRUE, IFERROR(ARRAYFORMULA(VLOOKUP(TRIM(SPLIT('Final Report'!A129, "","")), 'URL Details'!A:D, 4, FALSE)),"""") ), CHAR(10), """&amp;",""), ""\s*,\s*"", "",""), "","")))&lt;&gt;"""" ) ) ) ),"""")
"),"")</f>
        <v/>
      </c>
      <c r="D129" s="105"/>
      <c r="E129" s="105"/>
      <c r="F129" s="110" t="b">
        <v>0</v>
      </c>
      <c r="G129" s="105" t="str">
        <f>IF(F129=True, IFERROR(VLOOKUP(D129, Repository!A:B, 2, 0), ""), "")</f>
        <v/>
      </c>
      <c r="H129" s="105"/>
      <c r="I129" s="105"/>
      <c r="J129" s="105" t="str">
        <f>IF(F129=True, IFERROR(VLOOKUP(D129, Repository!A:C, 3, 0), ""), "")</f>
        <v/>
      </c>
      <c r="K129" s="105"/>
      <c r="L129" s="105" t="str">
        <f>IF(F129=True, IFERROR(VLOOKUP(D129, Repository!A:E, 5, 0), ""), "")</f>
        <v/>
      </c>
      <c r="M129" s="105"/>
      <c r="N129" s="105" t="str">
        <f>IF(F129=True, IFERROR(VLOOKUP(D129, Repository!A:G, 7, 0), ""), "")</f>
        <v/>
      </c>
      <c r="O129" s="105" t="str">
        <f>IFERROR(__xludf.DUMMYFUNCTION("ARRAY_CONSTRAIN(
  ARRAYFORMULA(
    IFERROR(
      LET(
        list, N129,
        arr, TRIM(SPLIT(list, "","")),
        names, XLOOKUP(
          arr,
          'Conformance Score'!A:A,
          'Conformance Score'!B:B,
          ""Not found""
      "&amp;"  ),
        TEXTJOIN("", "", TRUE, names)
      ),
      """"
    )
  ),
  1,
  1
)
"),"")</f>
        <v/>
      </c>
      <c r="P129" s="105" t="str">
        <f>IF(F129="Yes", IFERROR(VLOOKUP(D129, Repository!A:F, 6, 0), ""), "")</f>
        <v/>
      </c>
      <c r="Q129" s="105" t="str">
        <f>IF(F129="Yes", IFERROR(VLOOKUP(D129, Repository!A:I, 8, 0), ""), "")</f>
        <v/>
      </c>
      <c r="R129" s="105" t="str">
        <f>IF(F129="Yes", IFERROR(VLOOKUP(D129, Repository!A:J, 9, 0), ""), "")</f>
        <v/>
      </c>
      <c r="S129" s="105"/>
      <c r="T129" s="105"/>
      <c r="U129" s="105"/>
      <c r="V129" s="105"/>
      <c r="W129" s="105"/>
      <c r="X129" s="105"/>
      <c r="Y129" s="105"/>
      <c r="Z129" s="105"/>
      <c r="AA129" s="105"/>
      <c r="AB129" s="105"/>
      <c r="AC129" s="91"/>
      <c r="AD129" s="105"/>
      <c r="AE129" s="105"/>
      <c r="AF129" s="91"/>
      <c r="AG129" s="105"/>
      <c r="AH129" s="105"/>
      <c r="AI129" s="105" t="str">
        <f t="shared" si="1"/>
        <v/>
      </c>
      <c r="AJ129" s="108" t="str">
        <f t="shared" si="2"/>
        <v/>
      </c>
    </row>
    <row r="130" ht="15.75" customHeight="1">
      <c r="A130" s="104"/>
      <c r="B130" s="105" t="str">
        <f>IFERROR(__xludf.DUMMYFUNCTION("ARRAY_CONSTRAIN(
  ARRAYFORMULA(
    IF(
      'Final Report'!A130="""",
      """",
      TEXTJOIN(
        "", "" &amp; CHAR(10),
        TRUE,
        IFERROR(
          VLOOKUP(
            TRIM(
              SPLIT('Final Report'!A130, "","")
           "&amp;" ),
            'URL Details'!A:B,
            2,
            FALSE
          ),
          """"
        )
      )
    )
  ),
  1,
  1
)
"),"")</f>
        <v/>
      </c>
      <c r="C130" s="105" t="str">
        <f>IFERROR(__xludf.DUMMYFUNCTION("IFERROR(IF('Final Report'!A130="""","""", TEXTJOIN(CHAR(10), TRUE, ARRAYFORMULA( ""• ""&amp; FILTER( TRIM(FLATTEN(SPLIT( REGEXREPLACE( SUBSTITUTE(TEXTJOIN("","", TRUE, IFERROR(ARRAYFORMULA(VLOOKUP(TRIM(SPLIT('Final Report'!A130, "","")), 'URL Details'!A:D, 4,"&amp;" FALSE)),"""") ), CHAR(10), "",""), ""\s*,\s*"", "",""), "",""))), TRIM(FLATTEN(SPLIT( REGEXREPLACE( SUBSTITUTE(TEXTJOIN("","", TRUE, IFERROR(ARRAYFORMULA(VLOOKUP(TRIM(SPLIT('Final Report'!A130, "","")), 'URL Details'!A:D, 4, FALSE)),"""") ), CHAR(10), """&amp;",""), ""\s*,\s*"", "",""), "","")))&lt;&gt;"""" ) ) ) ),"""")
"),"")</f>
        <v/>
      </c>
      <c r="D130" s="105"/>
      <c r="E130" s="105"/>
      <c r="F130" s="110" t="b">
        <v>0</v>
      </c>
      <c r="G130" s="105" t="str">
        <f>IF(F130=True, IFERROR(VLOOKUP(D130, Repository!A:B, 2, 0), ""), "")</f>
        <v/>
      </c>
      <c r="H130" s="105"/>
      <c r="I130" s="105"/>
      <c r="J130" s="105" t="str">
        <f>IF(F130=True, IFERROR(VLOOKUP(D130, Repository!A:C, 3, 0), ""), "")</f>
        <v/>
      </c>
      <c r="K130" s="105"/>
      <c r="L130" s="105" t="str">
        <f>IF(F130=True, IFERROR(VLOOKUP(D130, Repository!A:E, 5, 0), ""), "")</f>
        <v/>
      </c>
      <c r="M130" s="105"/>
      <c r="N130" s="105" t="str">
        <f>IF(F130=True, IFERROR(VLOOKUP(D130, Repository!A:G, 7, 0), ""), "")</f>
        <v/>
      </c>
      <c r="O130" s="105" t="str">
        <f>IFERROR(__xludf.DUMMYFUNCTION("ARRAY_CONSTRAIN(
  ARRAYFORMULA(
    IFERROR(
      LET(
        list, N130,
        arr, TRIM(SPLIT(list, "","")),
        names, XLOOKUP(
          arr,
          'Conformance Score'!A:A,
          'Conformance Score'!B:B,
          ""Not found""
      "&amp;"  ),
        TEXTJOIN("", "", TRUE, names)
      ),
      """"
    )
  ),
  1,
  1
)
"),"")</f>
        <v/>
      </c>
      <c r="P130" s="105" t="str">
        <f>IF(F130="Yes", IFERROR(VLOOKUP(D130, Repository!A:F, 6, 0), ""), "")</f>
        <v/>
      </c>
      <c r="Q130" s="105" t="str">
        <f>IF(F130="Yes", IFERROR(VLOOKUP(D130, Repository!A:I, 8, 0), ""), "")</f>
        <v/>
      </c>
      <c r="R130" s="105" t="str">
        <f>IF(F130="Yes", IFERROR(VLOOKUP(D130, Repository!A:J, 9, 0), ""), "")</f>
        <v/>
      </c>
      <c r="S130" s="105"/>
      <c r="T130" s="105"/>
      <c r="U130" s="105"/>
      <c r="V130" s="105"/>
      <c r="W130" s="105"/>
      <c r="X130" s="105"/>
      <c r="Y130" s="105"/>
      <c r="Z130" s="105"/>
      <c r="AA130" s="105"/>
      <c r="AB130" s="105"/>
      <c r="AC130" s="91"/>
      <c r="AD130" s="105"/>
      <c r="AE130" s="105"/>
      <c r="AF130" s="91"/>
      <c r="AG130" s="105"/>
      <c r="AH130" s="105"/>
      <c r="AI130" s="105" t="str">
        <f t="shared" si="1"/>
        <v/>
      </c>
      <c r="AJ130" s="108" t="str">
        <f t="shared" si="2"/>
        <v/>
      </c>
    </row>
    <row r="131" ht="15.75" customHeight="1">
      <c r="A131" s="104"/>
      <c r="B131" s="105" t="str">
        <f>IFERROR(__xludf.DUMMYFUNCTION("ARRAY_CONSTRAIN(
  ARRAYFORMULA(
    IF(
      'Final Report'!A131="""",
      """",
      TEXTJOIN(
        "", "" &amp; CHAR(10),
        TRUE,
        IFERROR(
          VLOOKUP(
            TRIM(
              SPLIT('Final Report'!A131, "","")
           "&amp;" ),
            'URL Details'!A:B,
            2,
            FALSE
          ),
          """"
        )
      )
    )
  ),
  1,
  1
)
"),"")</f>
        <v/>
      </c>
      <c r="C131" s="105" t="str">
        <f>IFERROR(__xludf.DUMMYFUNCTION("IFERROR(IF('Final Report'!A131="""","""", TEXTJOIN(CHAR(10), TRUE, ARRAYFORMULA( ""• ""&amp; FILTER( TRIM(FLATTEN(SPLIT( REGEXREPLACE( SUBSTITUTE(TEXTJOIN("","", TRUE, IFERROR(ARRAYFORMULA(VLOOKUP(TRIM(SPLIT('Final Report'!A131, "","")), 'URL Details'!A:D, 4,"&amp;" FALSE)),"""") ), CHAR(10), "",""), ""\s*,\s*"", "",""), "",""))), TRIM(FLATTEN(SPLIT( REGEXREPLACE( SUBSTITUTE(TEXTJOIN("","", TRUE, IFERROR(ARRAYFORMULA(VLOOKUP(TRIM(SPLIT('Final Report'!A131, "","")), 'URL Details'!A:D, 4, FALSE)),"""") ), CHAR(10), """&amp;",""), ""\s*,\s*"", "",""), "","")))&lt;&gt;"""" ) ) ) ),"""")
"),"")</f>
        <v/>
      </c>
      <c r="D131" s="105"/>
      <c r="E131" s="105"/>
      <c r="F131" s="110" t="b">
        <v>0</v>
      </c>
      <c r="G131" s="105" t="str">
        <f>IF(F131=True, IFERROR(VLOOKUP(D131, Repository!A:B, 2, 0), ""), "")</f>
        <v/>
      </c>
      <c r="H131" s="105"/>
      <c r="I131" s="105"/>
      <c r="J131" s="105" t="str">
        <f>IF(F131=True, IFERROR(VLOOKUP(D131, Repository!A:C, 3, 0), ""), "")</f>
        <v/>
      </c>
      <c r="K131" s="105"/>
      <c r="L131" s="105" t="str">
        <f>IF(F131=True, IFERROR(VLOOKUP(D131, Repository!A:E, 5, 0), ""), "")</f>
        <v/>
      </c>
      <c r="M131" s="105"/>
      <c r="N131" s="105" t="str">
        <f>IF(F131=True, IFERROR(VLOOKUP(D131, Repository!A:G, 7, 0), ""), "")</f>
        <v/>
      </c>
      <c r="O131" s="105" t="str">
        <f>IFERROR(__xludf.DUMMYFUNCTION("ARRAY_CONSTRAIN(
  ARRAYFORMULA(
    IFERROR(
      LET(
        list, N131,
        arr, TRIM(SPLIT(list, "","")),
        names, XLOOKUP(
          arr,
          'Conformance Score'!A:A,
          'Conformance Score'!B:B,
          ""Not found""
      "&amp;"  ),
        TEXTJOIN("", "", TRUE, names)
      ),
      """"
    )
  ),
  1,
  1
)
"),"")</f>
        <v/>
      </c>
      <c r="P131" s="105" t="str">
        <f>IF(F131="Yes", IFERROR(VLOOKUP(D131, Repository!A:F, 6, 0), ""), "")</f>
        <v/>
      </c>
      <c r="Q131" s="105" t="str">
        <f>IF(F131="Yes", IFERROR(VLOOKUP(D131, Repository!A:I, 8, 0), ""), "")</f>
        <v/>
      </c>
      <c r="R131" s="105" t="str">
        <f>IF(F131="Yes", IFERROR(VLOOKUP(D131, Repository!A:J, 9, 0), ""), "")</f>
        <v/>
      </c>
      <c r="S131" s="105"/>
      <c r="T131" s="105"/>
      <c r="U131" s="105"/>
      <c r="V131" s="105"/>
      <c r="W131" s="105"/>
      <c r="X131" s="105"/>
      <c r="Y131" s="105"/>
      <c r="Z131" s="105"/>
      <c r="AA131" s="105"/>
      <c r="AB131" s="105"/>
      <c r="AC131" s="91"/>
      <c r="AD131" s="105"/>
      <c r="AE131" s="105"/>
      <c r="AF131" s="91"/>
      <c r="AG131" s="105"/>
      <c r="AH131" s="105"/>
      <c r="AI131" s="105" t="str">
        <f t="shared" si="1"/>
        <v/>
      </c>
      <c r="AJ131" s="108" t="str">
        <f t="shared" si="2"/>
        <v/>
      </c>
    </row>
    <row r="132" ht="15.75" customHeight="1">
      <c r="A132" s="104"/>
      <c r="B132" s="105" t="str">
        <f>IFERROR(__xludf.DUMMYFUNCTION("ARRAY_CONSTRAIN(
  ARRAYFORMULA(
    IF(
      'Final Report'!A132="""",
      """",
      TEXTJOIN(
        "", "" &amp; CHAR(10),
        TRUE,
        IFERROR(
          VLOOKUP(
            TRIM(
              SPLIT('Final Report'!A132, "","")
           "&amp;" ),
            'URL Details'!A:B,
            2,
            FALSE
          ),
          """"
        )
      )
    )
  ),
  1,
  1
)
"),"")</f>
        <v/>
      </c>
      <c r="C132" s="105" t="str">
        <f>IFERROR(__xludf.DUMMYFUNCTION("IFERROR(IF('Final Report'!A132="""","""", TEXTJOIN(CHAR(10), TRUE, ARRAYFORMULA( ""• ""&amp; FILTER( TRIM(FLATTEN(SPLIT( REGEXREPLACE( SUBSTITUTE(TEXTJOIN("","", TRUE, IFERROR(ARRAYFORMULA(VLOOKUP(TRIM(SPLIT('Final Report'!A132, "","")), 'URL Details'!A:D, 4,"&amp;" FALSE)),"""") ), CHAR(10), "",""), ""\s*,\s*"", "",""), "",""))), TRIM(FLATTEN(SPLIT( REGEXREPLACE( SUBSTITUTE(TEXTJOIN("","", TRUE, IFERROR(ARRAYFORMULA(VLOOKUP(TRIM(SPLIT('Final Report'!A132, "","")), 'URL Details'!A:D, 4, FALSE)),"""") ), CHAR(10), """&amp;",""), ""\s*,\s*"", "",""), "","")))&lt;&gt;"""" ) ) ) ),"""")
"),"")</f>
        <v/>
      </c>
      <c r="D132" s="105"/>
      <c r="E132" s="105"/>
      <c r="F132" s="110" t="b">
        <v>0</v>
      </c>
      <c r="G132" s="105" t="str">
        <f>IF(F132=True, IFERROR(VLOOKUP(D132, Repository!A:B, 2, 0), ""), "")</f>
        <v/>
      </c>
      <c r="H132" s="105"/>
      <c r="I132" s="105"/>
      <c r="J132" s="105" t="str">
        <f>IF(F132=True, IFERROR(VLOOKUP(D132, Repository!A:C, 3, 0), ""), "")</f>
        <v/>
      </c>
      <c r="K132" s="105"/>
      <c r="L132" s="105" t="str">
        <f>IF(F132=True, IFERROR(VLOOKUP(D132, Repository!A:E, 5, 0), ""), "")</f>
        <v/>
      </c>
      <c r="M132" s="105"/>
      <c r="N132" s="105" t="str">
        <f>IF(F132=True, IFERROR(VLOOKUP(D132, Repository!A:G, 7, 0), ""), "")</f>
        <v/>
      </c>
      <c r="O132" s="105" t="str">
        <f>IFERROR(__xludf.DUMMYFUNCTION("ARRAY_CONSTRAIN(
  ARRAYFORMULA(
    IFERROR(
      LET(
        list, N132,
        arr, TRIM(SPLIT(list, "","")),
        names, XLOOKUP(
          arr,
          'Conformance Score'!A:A,
          'Conformance Score'!B:B,
          ""Not found""
      "&amp;"  ),
        TEXTJOIN("", "", TRUE, names)
      ),
      """"
    )
  ),
  1,
  1
)
"),"")</f>
        <v/>
      </c>
      <c r="P132" s="105" t="str">
        <f>IF(F132="Yes", IFERROR(VLOOKUP(D132, Repository!A:F, 6, 0), ""), "")</f>
        <v/>
      </c>
      <c r="Q132" s="105" t="str">
        <f>IF(F132="Yes", IFERROR(VLOOKUP(D132, Repository!A:I, 8, 0), ""), "")</f>
        <v/>
      </c>
      <c r="R132" s="105" t="str">
        <f>IF(F132="Yes", IFERROR(VLOOKUP(D132, Repository!A:J, 9, 0), ""), "")</f>
        <v/>
      </c>
      <c r="S132" s="105"/>
      <c r="T132" s="105"/>
      <c r="U132" s="105"/>
      <c r="V132" s="105"/>
      <c r="W132" s="105"/>
      <c r="X132" s="105"/>
      <c r="Y132" s="105"/>
      <c r="Z132" s="105"/>
      <c r="AA132" s="105"/>
      <c r="AB132" s="105"/>
      <c r="AC132" s="91"/>
      <c r="AD132" s="105"/>
      <c r="AE132" s="105"/>
      <c r="AF132" s="91"/>
      <c r="AG132" s="105"/>
      <c r="AH132" s="105"/>
      <c r="AI132" s="105" t="str">
        <f t="shared" si="1"/>
        <v/>
      </c>
      <c r="AJ132" s="108" t="str">
        <f t="shared" si="2"/>
        <v/>
      </c>
    </row>
    <row r="133" ht="15.75" customHeight="1">
      <c r="A133" s="104"/>
      <c r="B133" s="105" t="str">
        <f>IFERROR(__xludf.DUMMYFUNCTION("ARRAY_CONSTRAIN(
  ARRAYFORMULA(
    IF(
      'Final Report'!A133="""",
      """",
      TEXTJOIN(
        "", "" &amp; CHAR(10),
        TRUE,
        IFERROR(
          VLOOKUP(
            TRIM(
              SPLIT('Final Report'!A133, "","")
           "&amp;" ),
            'URL Details'!A:B,
            2,
            FALSE
          ),
          """"
        )
      )
    )
  ),
  1,
  1
)
"),"")</f>
        <v/>
      </c>
      <c r="C133" s="105" t="str">
        <f>IFERROR(__xludf.DUMMYFUNCTION("IFERROR(IF('Final Report'!A133="""","""", TEXTJOIN(CHAR(10), TRUE, ARRAYFORMULA( ""• ""&amp; FILTER( TRIM(FLATTEN(SPLIT( REGEXREPLACE( SUBSTITUTE(TEXTJOIN("","", TRUE, IFERROR(ARRAYFORMULA(VLOOKUP(TRIM(SPLIT('Final Report'!A133, "","")), 'URL Details'!A:D, 4,"&amp;" FALSE)),"""") ), CHAR(10), "",""), ""\s*,\s*"", "",""), "",""))), TRIM(FLATTEN(SPLIT( REGEXREPLACE( SUBSTITUTE(TEXTJOIN("","", TRUE, IFERROR(ARRAYFORMULA(VLOOKUP(TRIM(SPLIT('Final Report'!A133, "","")), 'URL Details'!A:D, 4, FALSE)),"""") ), CHAR(10), """&amp;",""), ""\s*,\s*"", "",""), "","")))&lt;&gt;"""" ) ) ) ),"""")
"),"")</f>
        <v/>
      </c>
      <c r="D133" s="105"/>
      <c r="E133" s="105"/>
      <c r="F133" s="110" t="b">
        <v>0</v>
      </c>
      <c r="G133" s="105" t="str">
        <f>IF(F133=True, IFERROR(VLOOKUP(D133, Repository!A:B, 2, 0), ""), "")</f>
        <v/>
      </c>
      <c r="H133" s="105"/>
      <c r="I133" s="105"/>
      <c r="J133" s="105" t="str">
        <f>IF(F133=True, IFERROR(VLOOKUP(D133, Repository!A:C, 3, 0), ""), "")</f>
        <v/>
      </c>
      <c r="K133" s="105"/>
      <c r="L133" s="105" t="str">
        <f>IF(F133=True, IFERROR(VLOOKUP(D133, Repository!A:E, 5, 0), ""), "")</f>
        <v/>
      </c>
      <c r="M133" s="105"/>
      <c r="N133" s="105" t="str">
        <f>IF(F133=True, IFERROR(VLOOKUP(D133, Repository!A:G, 7, 0), ""), "")</f>
        <v/>
      </c>
      <c r="O133" s="105" t="str">
        <f>IFERROR(__xludf.DUMMYFUNCTION("ARRAY_CONSTRAIN(
  ARRAYFORMULA(
    IFERROR(
      LET(
        list, N133,
        arr, TRIM(SPLIT(list, "","")),
        names, XLOOKUP(
          arr,
          'Conformance Score'!A:A,
          'Conformance Score'!B:B,
          ""Not found""
      "&amp;"  ),
        TEXTJOIN("", "", TRUE, names)
      ),
      """"
    )
  ),
  1,
  1
)
"),"")</f>
        <v/>
      </c>
      <c r="P133" s="105" t="str">
        <f>IF(F133="Yes", IFERROR(VLOOKUP(D133, Repository!A:F, 6, 0), ""), "")</f>
        <v/>
      </c>
      <c r="Q133" s="105" t="str">
        <f>IF(F133="Yes", IFERROR(VLOOKUP(D133, Repository!A:I, 8, 0), ""), "")</f>
        <v/>
      </c>
      <c r="R133" s="105" t="str">
        <f>IF(F133="Yes", IFERROR(VLOOKUP(D133, Repository!A:J, 9, 0), ""), "")</f>
        <v/>
      </c>
      <c r="S133" s="105"/>
      <c r="T133" s="105"/>
      <c r="U133" s="105"/>
      <c r="V133" s="105"/>
      <c r="W133" s="105"/>
      <c r="X133" s="105"/>
      <c r="Y133" s="105"/>
      <c r="Z133" s="105"/>
      <c r="AA133" s="105"/>
      <c r="AB133" s="105"/>
      <c r="AC133" s="91"/>
      <c r="AD133" s="105"/>
      <c r="AE133" s="105"/>
      <c r="AF133" s="91"/>
      <c r="AG133" s="105"/>
      <c r="AH133" s="105"/>
      <c r="AI133" s="105" t="str">
        <f t="shared" si="1"/>
        <v/>
      </c>
      <c r="AJ133" s="108" t="str">
        <f t="shared" si="2"/>
        <v/>
      </c>
    </row>
    <row r="134" ht="15.75" customHeight="1">
      <c r="A134" s="104"/>
      <c r="B134" s="105" t="str">
        <f>IFERROR(__xludf.DUMMYFUNCTION("ARRAY_CONSTRAIN(
  ARRAYFORMULA(
    IF(
      'Final Report'!A134="""",
      """",
      TEXTJOIN(
        "", "" &amp; CHAR(10),
        TRUE,
        IFERROR(
          VLOOKUP(
            TRIM(
              SPLIT('Final Report'!A134, "","")
           "&amp;" ),
            'URL Details'!A:B,
            2,
            FALSE
          ),
          """"
        )
      )
    )
  ),
  1,
  1
)
"),"")</f>
        <v/>
      </c>
      <c r="C134" s="105" t="str">
        <f>IFERROR(__xludf.DUMMYFUNCTION("IFERROR(IF('Final Report'!A134="""","""", TEXTJOIN(CHAR(10), TRUE, ARRAYFORMULA( ""• ""&amp; FILTER( TRIM(FLATTEN(SPLIT( REGEXREPLACE( SUBSTITUTE(TEXTJOIN("","", TRUE, IFERROR(ARRAYFORMULA(VLOOKUP(TRIM(SPLIT('Final Report'!A134, "","")), 'URL Details'!A:D, 4,"&amp;" FALSE)),"""") ), CHAR(10), "",""), ""\s*,\s*"", "",""), "",""))), TRIM(FLATTEN(SPLIT( REGEXREPLACE( SUBSTITUTE(TEXTJOIN("","", TRUE, IFERROR(ARRAYFORMULA(VLOOKUP(TRIM(SPLIT('Final Report'!A134, "","")), 'URL Details'!A:D, 4, FALSE)),"""") ), CHAR(10), """&amp;",""), ""\s*,\s*"", "",""), "","")))&lt;&gt;"""" ) ) ) ),"""")
"),"")</f>
        <v/>
      </c>
      <c r="D134" s="105"/>
      <c r="E134" s="105"/>
      <c r="F134" s="110" t="b">
        <v>0</v>
      </c>
      <c r="G134" s="105" t="str">
        <f>IF(F134=True, IFERROR(VLOOKUP(D134, Repository!A:B, 2, 0), ""), "")</f>
        <v/>
      </c>
      <c r="H134" s="105"/>
      <c r="I134" s="105"/>
      <c r="J134" s="105" t="str">
        <f>IF(F134=True, IFERROR(VLOOKUP(D134, Repository!A:C, 3, 0), ""), "")</f>
        <v/>
      </c>
      <c r="K134" s="105"/>
      <c r="L134" s="105" t="str">
        <f>IF(F134=True, IFERROR(VLOOKUP(D134, Repository!A:E, 5, 0), ""), "")</f>
        <v/>
      </c>
      <c r="M134" s="105"/>
      <c r="N134" s="105" t="str">
        <f>IF(F134=True, IFERROR(VLOOKUP(D134, Repository!A:G, 7, 0), ""), "")</f>
        <v/>
      </c>
      <c r="O134" s="105" t="str">
        <f>IFERROR(__xludf.DUMMYFUNCTION("ARRAY_CONSTRAIN(
  ARRAYFORMULA(
    IFERROR(
      LET(
        list, N134,
        arr, TRIM(SPLIT(list, "","")),
        names, XLOOKUP(
          arr,
          'Conformance Score'!A:A,
          'Conformance Score'!B:B,
          ""Not found""
      "&amp;"  ),
        TEXTJOIN("", "", TRUE, names)
      ),
      """"
    )
  ),
  1,
  1
)
"),"")</f>
        <v/>
      </c>
      <c r="P134" s="105" t="str">
        <f>IF(F134="Yes", IFERROR(VLOOKUP(D134, Repository!A:F, 6, 0), ""), "")</f>
        <v/>
      </c>
      <c r="Q134" s="105" t="str">
        <f>IF(F134="Yes", IFERROR(VLOOKUP(D134, Repository!A:I, 8, 0), ""), "")</f>
        <v/>
      </c>
      <c r="R134" s="105" t="str">
        <f>IF(F134="Yes", IFERROR(VLOOKUP(D134, Repository!A:J, 9, 0), ""), "")</f>
        <v/>
      </c>
      <c r="S134" s="105"/>
      <c r="T134" s="105"/>
      <c r="U134" s="105"/>
      <c r="V134" s="105"/>
      <c r="W134" s="105"/>
      <c r="X134" s="105"/>
      <c r="Y134" s="105"/>
      <c r="Z134" s="105"/>
      <c r="AA134" s="105"/>
      <c r="AB134" s="105"/>
      <c r="AC134" s="91"/>
      <c r="AD134" s="105"/>
      <c r="AE134" s="105"/>
      <c r="AF134" s="91"/>
      <c r="AG134" s="105"/>
      <c r="AH134" s="105"/>
      <c r="AI134" s="105" t="str">
        <f t="shared" si="1"/>
        <v/>
      </c>
      <c r="AJ134" s="108" t="str">
        <f t="shared" si="2"/>
        <v/>
      </c>
    </row>
    <row r="135" ht="15.75" customHeight="1">
      <c r="A135" s="104"/>
      <c r="B135" s="105" t="str">
        <f>IFERROR(__xludf.DUMMYFUNCTION("ARRAY_CONSTRAIN(
  ARRAYFORMULA(
    IF(
      'Final Report'!A135="""",
      """",
      TEXTJOIN(
        "", "" &amp; CHAR(10),
        TRUE,
        IFERROR(
          VLOOKUP(
            TRIM(
              SPLIT('Final Report'!A135, "","")
           "&amp;" ),
            'URL Details'!A:B,
            2,
            FALSE
          ),
          """"
        )
      )
    )
  ),
  1,
  1
)
"),"")</f>
        <v/>
      </c>
      <c r="C135" s="105" t="str">
        <f>IFERROR(__xludf.DUMMYFUNCTION("IFERROR(IF('Final Report'!A135="""","""", TEXTJOIN(CHAR(10), TRUE, ARRAYFORMULA( ""• ""&amp; FILTER( TRIM(FLATTEN(SPLIT( REGEXREPLACE( SUBSTITUTE(TEXTJOIN("","", TRUE, IFERROR(ARRAYFORMULA(VLOOKUP(TRIM(SPLIT('Final Report'!A135, "","")), 'URL Details'!A:D, 4,"&amp;" FALSE)),"""") ), CHAR(10), "",""), ""\s*,\s*"", "",""), "",""))), TRIM(FLATTEN(SPLIT( REGEXREPLACE( SUBSTITUTE(TEXTJOIN("","", TRUE, IFERROR(ARRAYFORMULA(VLOOKUP(TRIM(SPLIT('Final Report'!A135, "","")), 'URL Details'!A:D, 4, FALSE)),"""") ), CHAR(10), """&amp;",""), ""\s*,\s*"", "",""), "","")))&lt;&gt;"""" ) ) ) ),"""")
"),"")</f>
        <v/>
      </c>
      <c r="D135" s="105"/>
      <c r="E135" s="105"/>
      <c r="F135" s="110" t="b">
        <v>0</v>
      </c>
      <c r="G135" s="105" t="str">
        <f>IF(F135=True, IFERROR(VLOOKUP(D135, Repository!A:B, 2, 0), ""), "")</f>
        <v/>
      </c>
      <c r="H135" s="105"/>
      <c r="I135" s="105"/>
      <c r="J135" s="105" t="str">
        <f>IF(F135=True, IFERROR(VLOOKUP(D135, Repository!A:C, 3, 0), ""), "")</f>
        <v/>
      </c>
      <c r="K135" s="105"/>
      <c r="L135" s="105" t="str">
        <f>IF(F135=True, IFERROR(VLOOKUP(D135, Repository!A:E, 5, 0), ""), "")</f>
        <v/>
      </c>
      <c r="M135" s="105"/>
      <c r="N135" s="105" t="str">
        <f>IF(F135=True, IFERROR(VLOOKUP(D135, Repository!A:G, 7, 0), ""), "")</f>
        <v/>
      </c>
      <c r="O135" s="105" t="str">
        <f>IFERROR(__xludf.DUMMYFUNCTION("ARRAY_CONSTRAIN(
  ARRAYFORMULA(
    IFERROR(
      LET(
        list, N135,
        arr, TRIM(SPLIT(list, "","")),
        names, XLOOKUP(
          arr,
          'Conformance Score'!A:A,
          'Conformance Score'!B:B,
          ""Not found""
      "&amp;"  ),
        TEXTJOIN("", "", TRUE, names)
      ),
      """"
    )
  ),
  1,
  1
)
"),"")</f>
        <v/>
      </c>
      <c r="P135" s="105" t="str">
        <f>IF(F135="Yes", IFERROR(VLOOKUP(D135, Repository!A:F, 6, 0), ""), "")</f>
        <v/>
      </c>
      <c r="Q135" s="105" t="str">
        <f>IF(F135="Yes", IFERROR(VLOOKUP(D135, Repository!A:I, 8, 0), ""), "")</f>
        <v/>
      </c>
      <c r="R135" s="105" t="str">
        <f>IF(F135="Yes", IFERROR(VLOOKUP(D135, Repository!A:J, 9, 0), ""), "")</f>
        <v/>
      </c>
      <c r="S135" s="105"/>
      <c r="T135" s="105"/>
      <c r="U135" s="105"/>
      <c r="V135" s="105"/>
      <c r="W135" s="105"/>
      <c r="X135" s="105"/>
      <c r="Y135" s="105"/>
      <c r="Z135" s="105"/>
      <c r="AA135" s="105"/>
      <c r="AB135" s="105"/>
      <c r="AC135" s="91"/>
      <c r="AD135" s="105"/>
      <c r="AE135" s="105"/>
      <c r="AF135" s="91"/>
      <c r="AG135" s="105"/>
      <c r="AH135" s="105"/>
      <c r="AI135" s="105" t="str">
        <f t="shared" si="1"/>
        <v/>
      </c>
      <c r="AJ135" s="108" t="str">
        <f t="shared" si="2"/>
        <v/>
      </c>
    </row>
    <row r="136" ht="15.75" customHeight="1">
      <c r="A136" s="104"/>
      <c r="B136" s="105" t="str">
        <f>IFERROR(__xludf.DUMMYFUNCTION("ARRAY_CONSTRAIN(
  ARRAYFORMULA(
    IF(
      'Final Report'!A136="""",
      """",
      TEXTJOIN(
        "", "" &amp; CHAR(10),
        TRUE,
        IFERROR(
          VLOOKUP(
            TRIM(
              SPLIT('Final Report'!A136, "","")
           "&amp;" ),
            'URL Details'!A:B,
            2,
            FALSE
          ),
          """"
        )
      )
    )
  ),
  1,
  1
)
"),"")</f>
        <v/>
      </c>
      <c r="C136" s="105" t="str">
        <f>IFERROR(__xludf.DUMMYFUNCTION("IFERROR(IF('Final Report'!A136="""","""", TEXTJOIN(CHAR(10), TRUE, ARRAYFORMULA( ""• ""&amp; FILTER( TRIM(FLATTEN(SPLIT( REGEXREPLACE( SUBSTITUTE(TEXTJOIN("","", TRUE, IFERROR(ARRAYFORMULA(VLOOKUP(TRIM(SPLIT('Final Report'!A136, "","")), 'URL Details'!A:D, 4,"&amp;" FALSE)),"""") ), CHAR(10), "",""), ""\s*,\s*"", "",""), "",""))), TRIM(FLATTEN(SPLIT( REGEXREPLACE( SUBSTITUTE(TEXTJOIN("","", TRUE, IFERROR(ARRAYFORMULA(VLOOKUP(TRIM(SPLIT('Final Report'!A136, "","")), 'URL Details'!A:D, 4, FALSE)),"""") ), CHAR(10), """&amp;",""), ""\s*,\s*"", "",""), "","")))&lt;&gt;"""" ) ) ) ),"""")
"),"")</f>
        <v/>
      </c>
      <c r="D136" s="105"/>
      <c r="E136" s="105"/>
      <c r="F136" s="110" t="b">
        <v>0</v>
      </c>
      <c r="G136" s="105" t="str">
        <f>IF(F136=True, IFERROR(VLOOKUP(D136, Repository!A:B, 2, 0), ""), "")</f>
        <v/>
      </c>
      <c r="H136" s="105"/>
      <c r="I136" s="105"/>
      <c r="J136" s="105" t="str">
        <f>IF(F136=True, IFERROR(VLOOKUP(D136, Repository!A:C, 3, 0), ""), "")</f>
        <v/>
      </c>
      <c r="K136" s="105"/>
      <c r="L136" s="105" t="str">
        <f>IF(F136=True, IFERROR(VLOOKUP(D136, Repository!A:E, 5, 0), ""), "")</f>
        <v/>
      </c>
      <c r="M136" s="105"/>
      <c r="N136" s="105" t="str">
        <f>IF(F136=True, IFERROR(VLOOKUP(D136, Repository!A:G, 7, 0), ""), "")</f>
        <v/>
      </c>
      <c r="O136" s="105" t="str">
        <f>IFERROR(__xludf.DUMMYFUNCTION("ARRAY_CONSTRAIN(
  ARRAYFORMULA(
    IFERROR(
      LET(
        list, N136,
        arr, TRIM(SPLIT(list, "","")),
        names, XLOOKUP(
          arr,
          'Conformance Score'!A:A,
          'Conformance Score'!B:B,
          ""Not found""
      "&amp;"  ),
        TEXTJOIN("", "", TRUE, names)
      ),
      """"
    )
  ),
  1,
  1
)
"),"")</f>
        <v/>
      </c>
      <c r="P136" s="105" t="str">
        <f>IF(F136="Yes", IFERROR(VLOOKUP(D136, Repository!A:F, 6, 0), ""), "")</f>
        <v/>
      </c>
      <c r="Q136" s="105" t="str">
        <f>IF(F136="Yes", IFERROR(VLOOKUP(D136, Repository!A:I, 8, 0), ""), "")</f>
        <v/>
      </c>
      <c r="R136" s="105" t="str">
        <f>IF(F136="Yes", IFERROR(VLOOKUP(D136, Repository!A:J, 9, 0), ""), "")</f>
        <v/>
      </c>
      <c r="S136" s="105"/>
      <c r="T136" s="105"/>
      <c r="U136" s="105"/>
      <c r="V136" s="105"/>
      <c r="W136" s="105"/>
      <c r="X136" s="105"/>
      <c r="Y136" s="105"/>
      <c r="Z136" s="105"/>
      <c r="AA136" s="105"/>
      <c r="AB136" s="105"/>
      <c r="AC136" s="91"/>
      <c r="AD136" s="105"/>
      <c r="AE136" s="105"/>
      <c r="AF136" s="91"/>
      <c r="AG136" s="105"/>
      <c r="AH136" s="105"/>
      <c r="AI136" s="105" t="str">
        <f t="shared" si="1"/>
        <v/>
      </c>
      <c r="AJ136" s="108" t="str">
        <f t="shared" si="2"/>
        <v/>
      </c>
    </row>
    <row r="137" ht="15.75" customHeight="1">
      <c r="A137" s="104"/>
      <c r="B137" s="105" t="str">
        <f>IFERROR(__xludf.DUMMYFUNCTION("ARRAY_CONSTRAIN(
  ARRAYFORMULA(
    IF(
      'Final Report'!A137="""",
      """",
      TEXTJOIN(
        "", "" &amp; CHAR(10),
        TRUE,
        IFERROR(
          VLOOKUP(
            TRIM(
              SPLIT('Final Report'!A137, "","")
           "&amp;" ),
            'URL Details'!A:B,
            2,
            FALSE
          ),
          """"
        )
      )
    )
  ),
  1,
  1
)
"),"")</f>
        <v/>
      </c>
      <c r="C137" s="105" t="str">
        <f>IFERROR(__xludf.DUMMYFUNCTION("IFERROR(IF('Final Report'!A137="""","""", TEXTJOIN(CHAR(10), TRUE, ARRAYFORMULA( ""• ""&amp; FILTER( TRIM(FLATTEN(SPLIT( REGEXREPLACE( SUBSTITUTE(TEXTJOIN("","", TRUE, IFERROR(ARRAYFORMULA(VLOOKUP(TRIM(SPLIT('Final Report'!A137, "","")), 'URL Details'!A:D, 4,"&amp;" FALSE)),"""") ), CHAR(10), "",""), ""\s*,\s*"", "",""), "",""))), TRIM(FLATTEN(SPLIT( REGEXREPLACE( SUBSTITUTE(TEXTJOIN("","", TRUE, IFERROR(ARRAYFORMULA(VLOOKUP(TRIM(SPLIT('Final Report'!A137, "","")), 'URL Details'!A:D, 4, FALSE)),"""") ), CHAR(10), """&amp;",""), ""\s*,\s*"", "",""), "","")))&lt;&gt;"""" ) ) ) ),"""")
"),"")</f>
        <v/>
      </c>
      <c r="D137" s="105"/>
      <c r="E137" s="105"/>
      <c r="F137" s="110" t="b">
        <v>0</v>
      </c>
      <c r="G137" s="105" t="str">
        <f>IF(F137=True, IFERROR(VLOOKUP(D137, Repository!A:B, 2, 0), ""), "")</f>
        <v/>
      </c>
      <c r="H137" s="105"/>
      <c r="I137" s="105"/>
      <c r="J137" s="105" t="str">
        <f>IF(F137=True, IFERROR(VLOOKUP(D137, Repository!A:C, 3, 0), ""), "")</f>
        <v/>
      </c>
      <c r="K137" s="105"/>
      <c r="L137" s="105" t="str">
        <f>IF(F137=True, IFERROR(VLOOKUP(D137, Repository!A:E, 5, 0), ""), "")</f>
        <v/>
      </c>
      <c r="M137" s="105"/>
      <c r="N137" s="105" t="str">
        <f>IF(F137=True, IFERROR(VLOOKUP(D137, Repository!A:G, 7, 0), ""), "")</f>
        <v/>
      </c>
      <c r="O137" s="105" t="str">
        <f>IFERROR(__xludf.DUMMYFUNCTION("ARRAY_CONSTRAIN(
  ARRAYFORMULA(
    IFERROR(
      LET(
        list, N137,
        arr, TRIM(SPLIT(list, "","")),
        names, XLOOKUP(
          arr,
          'Conformance Score'!A:A,
          'Conformance Score'!B:B,
          ""Not found""
      "&amp;"  ),
        TEXTJOIN("", "", TRUE, names)
      ),
      """"
    )
  ),
  1,
  1
)
"),"")</f>
        <v/>
      </c>
      <c r="P137" s="105" t="str">
        <f>IF(F137="Yes", IFERROR(VLOOKUP(D137, Repository!A:F, 6, 0), ""), "")</f>
        <v/>
      </c>
      <c r="Q137" s="105" t="str">
        <f>IF(F137="Yes", IFERROR(VLOOKUP(D137, Repository!A:I, 8, 0), ""), "")</f>
        <v/>
      </c>
      <c r="R137" s="105" t="str">
        <f>IF(F137="Yes", IFERROR(VLOOKUP(D137, Repository!A:J, 9, 0), ""), "")</f>
        <v/>
      </c>
      <c r="S137" s="105"/>
      <c r="T137" s="105"/>
      <c r="U137" s="105"/>
      <c r="V137" s="105"/>
      <c r="W137" s="105"/>
      <c r="X137" s="105"/>
      <c r="Y137" s="105"/>
      <c r="Z137" s="105"/>
      <c r="AA137" s="105"/>
      <c r="AB137" s="105"/>
      <c r="AC137" s="91"/>
      <c r="AD137" s="105"/>
      <c r="AE137" s="105"/>
      <c r="AF137" s="91"/>
      <c r="AG137" s="105"/>
      <c r="AH137" s="105"/>
      <c r="AI137" s="105" t="str">
        <f t="shared" si="1"/>
        <v/>
      </c>
      <c r="AJ137" s="108" t="str">
        <f t="shared" si="2"/>
        <v/>
      </c>
    </row>
    <row r="138" ht="15.75" customHeight="1">
      <c r="A138" s="104"/>
      <c r="B138" s="105" t="str">
        <f>IFERROR(__xludf.DUMMYFUNCTION("ARRAY_CONSTRAIN(
  ARRAYFORMULA(
    IF(
      'Final Report'!A138="""",
      """",
      TEXTJOIN(
        "", "" &amp; CHAR(10),
        TRUE,
        IFERROR(
          VLOOKUP(
            TRIM(
              SPLIT('Final Report'!A138, "","")
           "&amp;" ),
            'URL Details'!A:B,
            2,
            FALSE
          ),
          """"
        )
      )
    )
  ),
  1,
  1
)
"),"")</f>
        <v/>
      </c>
      <c r="C138" s="105" t="str">
        <f>IFERROR(__xludf.DUMMYFUNCTION("IFERROR(IF('Final Report'!A138="""","""", TEXTJOIN(CHAR(10), TRUE, ARRAYFORMULA( ""• ""&amp; FILTER( TRIM(FLATTEN(SPLIT( REGEXREPLACE( SUBSTITUTE(TEXTJOIN("","", TRUE, IFERROR(ARRAYFORMULA(VLOOKUP(TRIM(SPLIT('Final Report'!A138, "","")), 'URL Details'!A:D, 4,"&amp;" FALSE)),"""") ), CHAR(10), "",""), ""\s*,\s*"", "",""), "",""))), TRIM(FLATTEN(SPLIT( REGEXREPLACE( SUBSTITUTE(TEXTJOIN("","", TRUE, IFERROR(ARRAYFORMULA(VLOOKUP(TRIM(SPLIT('Final Report'!A138, "","")), 'URL Details'!A:D, 4, FALSE)),"""") ), CHAR(10), """&amp;",""), ""\s*,\s*"", "",""), "","")))&lt;&gt;"""" ) ) ) ),"""")
"),"")</f>
        <v/>
      </c>
      <c r="D138" s="105"/>
      <c r="E138" s="105"/>
      <c r="F138" s="110" t="b">
        <v>0</v>
      </c>
      <c r="G138" s="105" t="str">
        <f>IF(F138=True, IFERROR(VLOOKUP(D138, Repository!A:B, 2, 0), ""), "")</f>
        <v/>
      </c>
      <c r="H138" s="105"/>
      <c r="I138" s="105"/>
      <c r="J138" s="105" t="str">
        <f>IF(F138=True, IFERROR(VLOOKUP(D138, Repository!A:C, 3, 0), ""), "")</f>
        <v/>
      </c>
      <c r="K138" s="105"/>
      <c r="L138" s="105" t="str">
        <f>IF(F138=True, IFERROR(VLOOKUP(D138, Repository!A:E, 5, 0), ""), "")</f>
        <v/>
      </c>
      <c r="M138" s="105"/>
      <c r="N138" s="105" t="str">
        <f>IF(F138=True, IFERROR(VLOOKUP(D138, Repository!A:G, 7, 0), ""), "")</f>
        <v/>
      </c>
      <c r="O138" s="105" t="str">
        <f>IFERROR(__xludf.DUMMYFUNCTION("ARRAY_CONSTRAIN(
  ARRAYFORMULA(
    IFERROR(
      LET(
        list, N138,
        arr, TRIM(SPLIT(list, "","")),
        names, XLOOKUP(
          arr,
          'Conformance Score'!A:A,
          'Conformance Score'!B:B,
          ""Not found""
      "&amp;"  ),
        TEXTJOIN("", "", TRUE, names)
      ),
      """"
    )
  ),
  1,
  1
)
"),"")</f>
        <v/>
      </c>
      <c r="P138" s="105" t="str">
        <f>IF(F138="Yes", IFERROR(VLOOKUP(D138, Repository!A:F, 6, 0), ""), "")</f>
        <v/>
      </c>
      <c r="Q138" s="105" t="str">
        <f>IF(F138="Yes", IFERROR(VLOOKUP(D138, Repository!A:I, 8, 0), ""), "")</f>
        <v/>
      </c>
      <c r="R138" s="105" t="str">
        <f>IF(F138="Yes", IFERROR(VLOOKUP(D138, Repository!A:J, 9, 0), ""), "")</f>
        <v/>
      </c>
      <c r="S138" s="105"/>
      <c r="T138" s="105"/>
      <c r="U138" s="105"/>
      <c r="V138" s="105"/>
      <c r="W138" s="105"/>
      <c r="X138" s="105"/>
      <c r="Y138" s="105"/>
      <c r="Z138" s="105"/>
      <c r="AA138" s="105"/>
      <c r="AB138" s="105"/>
      <c r="AC138" s="91"/>
      <c r="AD138" s="105"/>
      <c r="AE138" s="105"/>
      <c r="AF138" s="91"/>
      <c r="AG138" s="105"/>
      <c r="AH138" s="105"/>
      <c r="AI138" s="105" t="str">
        <f t="shared" si="1"/>
        <v/>
      </c>
      <c r="AJ138" s="108" t="str">
        <f t="shared" si="2"/>
        <v/>
      </c>
    </row>
    <row r="139" ht="15.75" customHeight="1">
      <c r="A139" s="104"/>
      <c r="B139" s="105" t="str">
        <f>IFERROR(__xludf.DUMMYFUNCTION("ARRAY_CONSTRAIN(
  ARRAYFORMULA(
    IF(
      'Final Report'!A139="""",
      """",
      TEXTJOIN(
        "", "" &amp; CHAR(10),
        TRUE,
        IFERROR(
          VLOOKUP(
            TRIM(
              SPLIT('Final Report'!A139, "","")
           "&amp;" ),
            'URL Details'!A:B,
            2,
            FALSE
          ),
          """"
        )
      )
    )
  ),
  1,
  1
)
"),"")</f>
        <v/>
      </c>
      <c r="C139" s="105" t="str">
        <f>IFERROR(__xludf.DUMMYFUNCTION("IFERROR(IF('Final Report'!A139="""","""", TEXTJOIN(CHAR(10), TRUE, ARRAYFORMULA( ""• ""&amp; FILTER( TRIM(FLATTEN(SPLIT( REGEXREPLACE( SUBSTITUTE(TEXTJOIN("","", TRUE, IFERROR(ARRAYFORMULA(VLOOKUP(TRIM(SPLIT('Final Report'!A139, "","")), 'URL Details'!A:D, 4,"&amp;" FALSE)),"""") ), CHAR(10), "",""), ""\s*,\s*"", "",""), "",""))), TRIM(FLATTEN(SPLIT( REGEXREPLACE( SUBSTITUTE(TEXTJOIN("","", TRUE, IFERROR(ARRAYFORMULA(VLOOKUP(TRIM(SPLIT('Final Report'!A139, "","")), 'URL Details'!A:D, 4, FALSE)),"""") ), CHAR(10), """&amp;",""), ""\s*,\s*"", "",""), "","")))&lt;&gt;"""" ) ) ) ),"""")
"),"")</f>
        <v/>
      </c>
      <c r="D139" s="105"/>
      <c r="E139" s="105"/>
      <c r="F139" s="110" t="b">
        <v>0</v>
      </c>
      <c r="G139" s="105" t="str">
        <f>IF(F139=True, IFERROR(VLOOKUP(D139, Repository!A:B, 2, 0), ""), "")</f>
        <v/>
      </c>
      <c r="H139" s="105"/>
      <c r="I139" s="105"/>
      <c r="J139" s="105" t="str">
        <f>IF(F139=True, IFERROR(VLOOKUP(D139, Repository!A:C, 3, 0), ""), "")</f>
        <v/>
      </c>
      <c r="K139" s="105"/>
      <c r="L139" s="105" t="str">
        <f>IF(F139=True, IFERROR(VLOOKUP(D139, Repository!A:E, 5, 0), ""), "")</f>
        <v/>
      </c>
      <c r="M139" s="105"/>
      <c r="N139" s="105" t="str">
        <f>IF(F139=True, IFERROR(VLOOKUP(D139, Repository!A:G, 7, 0), ""), "")</f>
        <v/>
      </c>
      <c r="O139" s="105" t="str">
        <f>IFERROR(__xludf.DUMMYFUNCTION("ARRAY_CONSTRAIN(
  ARRAYFORMULA(
    IFERROR(
      LET(
        list, N139,
        arr, TRIM(SPLIT(list, "","")),
        names, XLOOKUP(
          arr,
          'Conformance Score'!A:A,
          'Conformance Score'!B:B,
          ""Not found""
      "&amp;"  ),
        TEXTJOIN("", "", TRUE, names)
      ),
      """"
    )
  ),
  1,
  1
)
"),"")</f>
        <v/>
      </c>
      <c r="P139" s="105" t="str">
        <f>IF(F139="Yes", IFERROR(VLOOKUP(D139, Repository!A:F, 6, 0), ""), "")</f>
        <v/>
      </c>
      <c r="Q139" s="105" t="str">
        <f>IF(F139="Yes", IFERROR(VLOOKUP(D139, Repository!A:I, 8, 0), ""), "")</f>
        <v/>
      </c>
      <c r="R139" s="105" t="str">
        <f>IF(F139="Yes", IFERROR(VLOOKUP(D139, Repository!A:J, 9, 0), ""), "")</f>
        <v/>
      </c>
      <c r="S139" s="105"/>
      <c r="T139" s="105"/>
      <c r="U139" s="105"/>
      <c r="V139" s="105"/>
      <c r="W139" s="105"/>
      <c r="X139" s="105"/>
      <c r="Y139" s="105"/>
      <c r="Z139" s="105"/>
      <c r="AA139" s="105"/>
      <c r="AB139" s="105"/>
      <c r="AC139" s="91"/>
      <c r="AD139" s="105"/>
      <c r="AE139" s="105"/>
      <c r="AF139" s="91"/>
      <c r="AG139" s="105"/>
      <c r="AH139" s="105"/>
      <c r="AI139" s="105" t="str">
        <f t="shared" si="1"/>
        <v/>
      </c>
      <c r="AJ139" s="108" t="str">
        <f t="shared" si="2"/>
        <v/>
      </c>
    </row>
    <row r="140" ht="15.75" customHeight="1">
      <c r="A140" s="104"/>
      <c r="B140" s="105" t="str">
        <f>IFERROR(__xludf.DUMMYFUNCTION("ARRAY_CONSTRAIN(
  ARRAYFORMULA(
    IF(
      'Final Report'!A140="""",
      """",
      TEXTJOIN(
        "", "" &amp; CHAR(10),
        TRUE,
        IFERROR(
          VLOOKUP(
            TRIM(
              SPLIT('Final Report'!A140, "","")
           "&amp;" ),
            'URL Details'!A:B,
            2,
            FALSE
          ),
          """"
        )
      )
    )
  ),
  1,
  1
)
"),"")</f>
        <v/>
      </c>
      <c r="C140" s="105" t="str">
        <f>IFERROR(__xludf.DUMMYFUNCTION("IFERROR(IF('Final Report'!A140="""","""", TEXTJOIN(CHAR(10), TRUE, ARRAYFORMULA( ""• ""&amp; FILTER( TRIM(FLATTEN(SPLIT( REGEXREPLACE( SUBSTITUTE(TEXTJOIN("","", TRUE, IFERROR(ARRAYFORMULA(VLOOKUP(TRIM(SPLIT('Final Report'!A140, "","")), 'URL Details'!A:D, 4,"&amp;" FALSE)),"""") ), CHAR(10), "",""), ""\s*,\s*"", "",""), "",""))), TRIM(FLATTEN(SPLIT( REGEXREPLACE( SUBSTITUTE(TEXTJOIN("","", TRUE, IFERROR(ARRAYFORMULA(VLOOKUP(TRIM(SPLIT('Final Report'!A140, "","")), 'URL Details'!A:D, 4, FALSE)),"""") ), CHAR(10), """&amp;",""), ""\s*,\s*"", "",""), "","")))&lt;&gt;"""" ) ) ) ),"""")
"),"")</f>
        <v/>
      </c>
      <c r="D140" s="105"/>
      <c r="E140" s="105"/>
      <c r="F140" s="110" t="b">
        <v>0</v>
      </c>
      <c r="G140" s="105" t="str">
        <f>IF(F140=True, IFERROR(VLOOKUP(D140, Repository!A:B, 2, 0), ""), "")</f>
        <v/>
      </c>
      <c r="H140" s="105"/>
      <c r="I140" s="105"/>
      <c r="J140" s="105" t="str">
        <f>IF(F140=True, IFERROR(VLOOKUP(D140, Repository!A:C, 3, 0), ""), "")</f>
        <v/>
      </c>
      <c r="K140" s="105"/>
      <c r="L140" s="105" t="str">
        <f>IF(F140=True, IFERROR(VLOOKUP(D140, Repository!A:E, 5, 0), ""), "")</f>
        <v/>
      </c>
      <c r="M140" s="105"/>
      <c r="N140" s="105" t="str">
        <f>IF(F140=True, IFERROR(VLOOKUP(D140, Repository!A:G, 7, 0), ""), "")</f>
        <v/>
      </c>
      <c r="O140" s="105" t="str">
        <f>IFERROR(__xludf.DUMMYFUNCTION("ARRAY_CONSTRAIN(
  ARRAYFORMULA(
    IFERROR(
      LET(
        list, N140,
        arr, TRIM(SPLIT(list, "","")),
        names, XLOOKUP(
          arr,
          'Conformance Score'!A:A,
          'Conformance Score'!B:B,
          ""Not found""
      "&amp;"  ),
        TEXTJOIN("", "", TRUE, names)
      ),
      """"
    )
  ),
  1,
  1
)
"),"")</f>
        <v/>
      </c>
      <c r="P140" s="105" t="str">
        <f>IF(F140="Yes", IFERROR(VLOOKUP(D140, Repository!A:F, 6, 0), ""), "")</f>
        <v/>
      </c>
      <c r="Q140" s="105" t="str">
        <f>IF(F140="Yes", IFERROR(VLOOKUP(D140, Repository!A:I, 8, 0), ""), "")</f>
        <v/>
      </c>
      <c r="R140" s="105" t="str">
        <f>IF(F140="Yes", IFERROR(VLOOKUP(D140, Repository!A:J, 9, 0), ""), "")</f>
        <v/>
      </c>
      <c r="S140" s="105"/>
      <c r="T140" s="105"/>
      <c r="U140" s="105"/>
      <c r="V140" s="105"/>
      <c r="W140" s="105"/>
      <c r="X140" s="105"/>
      <c r="Y140" s="105"/>
      <c r="Z140" s="105"/>
      <c r="AA140" s="105"/>
      <c r="AB140" s="105"/>
      <c r="AC140" s="91"/>
      <c r="AD140" s="105"/>
      <c r="AE140" s="105"/>
      <c r="AF140" s="91"/>
      <c r="AG140" s="105"/>
      <c r="AH140" s="105"/>
      <c r="AI140" s="105" t="str">
        <f t="shared" si="1"/>
        <v/>
      </c>
      <c r="AJ140" s="108" t="str">
        <f t="shared" si="2"/>
        <v/>
      </c>
    </row>
    <row r="141" ht="15.75" customHeight="1">
      <c r="A141" s="104"/>
      <c r="B141" s="105" t="str">
        <f>IFERROR(__xludf.DUMMYFUNCTION("ARRAY_CONSTRAIN(
  ARRAYFORMULA(
    IF(
      'Final Report'!A141="""",
      """",
      TEXTJOIN(
        "", "" &amp; CHAR(10),
        TRUE,
        IFERROR(
          VLOOKUP(
            TRIM(
              SPLIT('Final Report'!A141, "","")
           "&amp;" ),
            'URL Details'!A:B,
            2,
            FALSE
          ),
          """"
        )
      )
    )
  ),
  1,
  1
)
"),"")</f>
        <v/>
      </c>
      <c r="C141" s="105" t="str">
        <f>IFERROR(__xludf.DUMMYFUNCTION("IFERROR(IF('Final Report'!A141="""","""", TEXTJOIN(CHAR(10), TRUE, ARRAYFORMULA( ""• ""&amp; FILTER( TRIM(FLATTEN(SPLIT( REGEXREPLACE( SUBSTITUTE(TEXTJOIN("","", TRUE, IFERROR(ARRAYFORMULA(VLOOKUP(TRIM(SPLIT('Final Report'!A141, "","")), 'URL Details'!A:D, 4,"&amp;" FALSE)),"""") ), CHAR(10), "",""), ""\s*,\s*"", "",""), "",""))), TRIM(FLATTEN(SPLIT( REGEXREPLACE( SUBSTITUTE(TEXTJOIN("","", TRUE, IFERROR(ARRAYFORMULA(VLOOKUP(TRIM(SPLIT('Final Report'!A141, "","")), 'URL Details'!A:D, 4, FALSE)),"""") ), CHAR(10), """&amp;",""), ""\s*,\s*"", "",""), "","")))&lt;&gt;"""" ) ) ) ),"""")
"),"")</f>
        <v/>
      </c>
      <c r="D141" s="105"/>
      <c r="E141" s="105"/>
      <c r="F141" s="110" t="b">
        <v>0</v>
      </c>
      <c r="G141" s="105" t="str">
        <f>IF(F141=True, IFERROR(VLOOKUP(D141, Repository!A:B, 2, 0), ""), "")</f>
        <v/>
      </c>
      <c r="H141" s="105"/>
      <c r="I141" s="105"/>
      <c r="J141" s="105" t="str">
        <f>IF(F141=True, IFERROR(VLOOKUP(D141, Repository!A:C, 3, 0), ""), "")</f>
        <v/>
      </c>
      <c r="K141" s="105"/>
      <c r="L141" s="105" t="str">
        <f>IF(F141=True, IFERROR(VLOOKUP(D141, Repository!A:E, 5, 0), ""), "")</f>
        <v/>
      </c>
      <c r="M141" s="105"/>
      <c r="N141" s="105" t="str">
        <f>IF(F141=True, IFERROR(VLOOKUP(D141, Repository!A:G, 7, 0), ""), "")</f>
        <v/>
      </c>
      <c r="O141" s="105" t="str">
        <f>IFERROR(__xludf.DUMMYFUNCTION("ARRAY_CONSTRAIN(
  ARRAYFORMULA(
    IFERROR(
      LET(
        list, N141,
        arr, TRIM(SPLIT(list, "","")),
        names, XLOOKUP(
          arr,
          'Conformance Score'!A:A,
          'Conformance Score'!B:B,
          ""Not found""
      "&amp;"  ),
        TEXTJOIN("", "", TRUE, names)
      ),
      """"
    )
  ),
  1,
  1
)
"),"")</f>
        <v/>
      </c>
      <c r="P141" s="105" t="str">
        <f>IF(F141="Yes", IFERROR(VLOOKUP(D141, Repository!A:F, 6, 0), ""), "")</f>
        <v/>
      </c>
      <c r="Q141" s="105" t="str">
        <f>IF(F141="Yes", IFERROR(VLOOKUP(D141, Repository!A:I, 8, 0), ""), "")</f>
        <v/>
      </c>
      <c r="R141" s="105" t="str">
        <f>IF(F141="Yes", IFERROR(VLOOKUP(D141, Repository!A:J, 9, 0), ""), "")</f>
        <v/>
      </c>
      <c r="S141" s="105"/>
      <c r="T141" s="105"/>
      <c r="U141" s="105"/>
      <c r="V141" s="105"/>
      <c r="W141" s="105"/>
      <c r="X141" s="105"/>
      <c r="Y141" s="105"/>
      <c r="Z141" s="105"/>
      <c r="AA141" s="105"/>
      <c r="AB141" s="105"/>
      <c r="AC141" s="91"/>
      <c r="AD141" s="105"/>
      <c r="AE141" s="105"/>
      <c r="AF141" s="91"/>
      <c r="AG141" s="105"/>
      <c r="AH141" s="105"/>
      <c r="AI141" s="105" t="str">
        <f t="shared" si="1"/>
        <v/>
      </c>
      <c r="AJ141" s="108" t="str">
        <f t="shared" si="2"/>
        <v/>
      </c>
    </row>
    <row r="142" ht="15.75" customHeight="1">
      <c r="A142" s="104"/>
      <c r="B142" s="105" t="str">
        <f>IFERROR(__xludf.DUMMYFUNCTION("ARRAY_CONSTRAIN(
  ARRAYFORMULA(
    IF(
      'Final Report'!A142="""",
      """",
      TEXTJOIN(
        "", "" &amp; CHAR(10),
        TRUE,
        IFERROR(
          VLOOKUP(
            TRIM(
              SPLIT('Final Report'!A142, "","")
           "&amp;" ),
            'URL Details'!A:B,
            2,
            FALSE
          ),
          """"
        )
      )
    )
  ),
  1,
  1
)
"),"")</f>
        <v/>
      </c>
      <c r="C142" s="105" t="str">
        <f>IFERROR(__xludf.DUMMYFUNCTION("IFERROR(IF('Final Report'!A142="""","""", TEXTJOIN(CHAR(10), TRUE, ARRAYFORMULA( ""• ""&amp; FILTER( TRIM(FLATTEN(SPLIT( REGEXREPLACE( SUBSTITUTE(TEXTJOIN("","", TRUE, IFERROR(ARRAYFORMULA(VLOOKUP(TRIM(SPLIT('Final Report'!A142, "","")), 'URL Details'!A:D, 4,"&amp;" FALSE)),"""") ), CHAR(10), "",""), ""\s*,\s*"", "",""), "",""))), TRIM(FLATTEN(SPLIT( REGEXREPLACE( SUBSTITUTE(TEXTJOIN("","", TRUE, IFERROR(ARRAYFORMULA(VLOOKUP(TRIM(SPLIT('Final Report'!A142, "","")), 'URL Details'!A:D, 4, FALSE)),"""") ), CHAR(10), """&amp;",""), ""\s*,\s*"", "",""), "","")))&lt;&gt;"""" ) ) ) ),"""")
"),"")</f>
        <v/>
      </c>
      <c r="D142" s="105"/>
      <c r="E142" s="105"/>
      <c r="F142" s="110" t="b">
        <v>0</v>
      </c>
      <c r="G142" s="105" t="str">
        <f>IF(F142=True, IFERROR(VLOOKUP(D142, Repository!A:B, 2, 0), ""), "")</f>
        <v/>
      </c>
      <c r="H142" s="105"/>
      <c r="I142" s="105"/>
      <c r="J142" s="105" t="str">
        <f>IF(F142=True, IFERROR(VLOOKUP(D142, Repository!A:C, 3, 0), ""), "")</f>
        <v/>
      </c>
      <c r="K142" s="105"/>
      <c r="L142" s="105" t="str">
        <f>IF(F142=True, IFERROR(VLOOKUP(D142, Repository!A:E, 5, 0), ""), "")</f>
        <v/>
      </c>
      <c r="M142" s="105"/>
      <c r="N142" s="105" t="str">
        <f>IF(F142=True, IFERROR(VLOOKUP(D142, Repository!A:G, 7, 0), ""), "")</f>
        <v/>
      </c>
      <c r="O142" s="105" t="str">
        <f>IFERROR(__xludf.DUMMYFUNCTION("ARRAY_CONSTRAIN(
  ARRAYFORMULA(
    IFERROR(
      LET(
        list, N142,
        arr, TRIM(SPLIT(list, "","")),
        names, XLOOKUP(
          arr,
          'Conformance Score'!A:A,
          'Conformance Score'!B:B,
          ""Not found""
      "&amp;"  ),
        TEXTJOIN("", "", TRUE, names)
      ),
      """"
    )
  ),
  1,
  1
)
"),"")</f>
        <v/>
      </c>
      <c r="P142" s="105" t="str">
        <f>IF(F142="Yes", IFERROR(VLOOKUP(D142, Repository!A:F, 6, 0), ""), "")</f>
        <v/>
      </c>
      <c r="Q142" s="105" t="str">
        <f>IF(F142="Yes", IFERROR(VLOOKUP(D142, Repository!A:I, 8, 0), ""), "")</f>
        <v/>
      </c>
      <c r="R142" s="105" t="str">
        <f>IF(F142="Yes", IFERROR(VLOOKUP(D142, Repository!A:J, 9, 0), ""), "")</f>
        <v/>
      </c>
      <c r="S142" s="105"/>
      <c r="T142" s="105"/>
      <c r="U142" s="105"/>
      <c r="V142" s="105"/>
      <c r="W142" s="105"/>
      <c r="X142" s="105"/>
      <c r="Y142" s="105"/>
      <c r="Z142" s="105"/>
      <c r="AA142" s="105"/>
      <c r="AB142" s="105"/>
      <c r="AC142" s="91"/>
      <c r="AD142" s="105"/>
      <c r="AE142" s="105"/>
      <c r="AF142" s="91"/>
      <c r="AG142" s="105"/>
      <c r="AH142" s="105"/>
      <c r="AI142" s="105" t="str">
        <f t="shared" si="1"/>
        <v/>
      </c>
      <c r="AJ142" s="108" t="str">
        <f t="shared" si="2"/>
        <v/>
      </c>
    </row>
    <row r="143" ht="15.75" customHeight="1">
      <c r="A143" s="104"/>
      <c r="B143" s="105" t="str">
        <f>IFERROR(__xludf.DUMMYFUNCTION("ARRAY_CONSTRAIN(
  ARRAYFORMULA(
    IF(
      'Final Report'!A143="""",
      """",
      TEXTJOIN(
        "", "" &amp; CHAR(10),
        TRUE,
        IFERROR(
          VLOOKUP(
            TRIM(
              SPLIT('Final Report'!A143, "","")
           "&amp;" ),
            'URL Details'!A:B,
            2,
            FALSE
          ),
          """"
        )
      )
    )
  ),
  1,
  1
)
"),"")</f>
        <v/>
      </c>
      <c r="C143" s="105" t="str">
        <f>IFERROR(__xludf.DUMMYFUNCTION("IFERROR(IF('Final Report'!A143="""","""", TEXTJOIN(CHAR(10), TRUE, ARRAYFORMULA( ""• ""&amp; FILTER( TRIM(FLATTEN(SPLIT( REGEXREPLACE( SUBSTITUTE(TEXTJOIN("","", TRUE, IFERROR(ARRAYFORMULA(VLOOKUP(TRIM(SPLIT('Final Report'!A143, "","")), 'URL Details'!A:D, 4,"&amp;" FALSE)),"""") ), CHAR(10), "",""), ""\s*,\s*"", "",""), "",""))), TRIM(FLATTEN(SPLIT( REGEXREPLACE( SUBSTITUTE(TEXTJOIN("","", TRUE, IFERROR(ARRAYFORMULA(VLOOKUP(TRIM(SPLIT('Final Report'!A143, "","")), 'URL Details'!A:D, 4, FALSE)),"""") ), CHAR(10), """&amp;",""), ""\s*,\s*"", "",""), "","")))&lt;&gt;"""" ) ) ) ),"""")
"),"")</f>
        <v/>
      </c>
      <c r="D143" s="105"/>
      <c r="E143" s="105"/>
      <c r="F143" s="110" t="b">
        <v>0</v>
      </c>
      <c r="G143" s="105" t="str">
        <f>IF(F143=True, IFERROR(VLOOKUP(D143, Repository!A:B, 2, 0), ""), "")</f>
        <v/>
      </c>
      <c r="H143" s="105"/>
      <c r="I143" s="105"/>
      <c r="J143" s="105" t="str">
        <f>IF(F143=True, IFERROR(VLOOKUP(D143, Repository!A:C, 3, 0), ""), "")</f>
        <v/>
      </c>
      <c r="K143" s="105"/>
      <c r="L143" s="105" t="str">
        <f>IF(F143=True, IFERROR(VLOOKUP(D143, Repository!A:E, 5, 0), ""), "")</f>
        <v/>
      </c>
      <c r="M143" s="105"/>
      <c r="N143" s="105" t="str">
        <f>IF(F143=True, IFERROR(VLOOKUP(D143, Repository!A:G, 7, 0), ""), "")</f>
        <v/>
      </c>
      <c r="O143" s="105" t="str">
        <f>IFERROR(__xludf.DUMMYFUNCTION("ARRAY_CONSTRAIN(
  ARRAYFORMULA(
    IFERROR(
      LET(
        list, N143,
        arr, TRIM(SPLIT(list, "","")),
        names, XLOOKUP(
          arr,
          'Conformance Score'!A:A,
          'Conformance Score'!B:B,
          ""Not found""
      "&amp;"  ),
        TEXTJOIN("", "", TRUE, names)
      ),
      """"
    )
  ),
  1,
  1
)
"),"")</f>
        <v/>
      </c>
      <c r="P143" s="105" t="str">
        <f>IF(F143="Yes", IFERROR(VLOOKUP(D143, Repository!A:F, 6, 0), ""), "")</f>
        <v/>
      </c>
      <c r="Q143" s="105" t="str">
        <f>IF(F143="Yes", IFERROR(VLOOKUP(D143, Repository!A:I, 8, 0), ""), "")</f>
        <v/>
      </c>
      <c r="R143" s="105" t="str">
        <f>IF(F143="Yes", IFERROR(VLOOKUP(D143, Repository!A:J, 9, 0), ""), "")</f>
        <v/>
      </c>
      <c r="S143" s="105"/>
      <c r="T143" s="105"/>
      <c r="U143" s="105"/>
      <c r="V143" s="105"/>
      <c r="W143" s="105"/>
      <c r="X143" s="105"/>
      <c r="Y143" s="105"/>
      <c r="Z143" s="105"/>
      <c r="AA143" s="105"/>
      <c r="AB143" s="105"/>
      <c r="AC143" s="91"/>
      <c r="AD143" s="105"/>
      <c r="AE143" s="105"/>
      <c r="AF143" s="91"/>
      <c r="AG143" s="105"/>
      <c r="AH143" s="105"/>
      <c r="AI143" s="105" t="str">
        <f t="shared" si="1"/>
        <v/>
      </c>
      <c r="AJ143" s="108" t="str">
        <f t="shared" si="2"/>
        <v/>
      </c>
    </row>
    <row r="144" ht="15.75" customHeight="1">
      <c r="A144" s="104"/>
      <c r="B144" s="105" t="str">
        <f>IFERROR(__xludf.DUMMYFUNCTION("ARRAY_CONSTRAIN(
  ARRAYFORMULA(
    IF(
      'Final Report'!A144="""",
      """",
      TEXTJOIN(
        "", "" &amp; CHAR(10),
        TRUE,
        IFERROR(
          VLOOKUP(
            TRIM(
              SPLIT('Final Report'!A144, "","")
           "&amp;" ),
            'URL Details'!A:B,
            2,
            FALSE
          ),
          """"
        )
      )
    )
  ),
  1,
  1
)
"),"")</f>
        <v/>
      </c>
      <c r="C144" s="105" t="str">
        <f>IFERROR(__xludf.DUMMYFUNCTION("IFERROR(IF('Final Report'!A144="""","""", TEXTJOIN(CHAR(10), TRUE, ARRAYFORMULA( ""• ""&amp; FILTER( TRIM(FLATTEN(SPLIT( REGEXREPLACE( SUBSTITUTE(TEXTJOIN("","", TRUE, IFERROR(ARRAYFORMULA(VLOOKUP(TRIM(SPLIT('Final Report'!A144, "","")), 'URL Details'!A:D, 4,"&amp;" FALSE)),"""") ), CHAR(10), "",""), ""\s*,\s*"", "",""), "",""))), TRIM(FLATTEN(SPLIT( REGEXREPLACE( SUBSTITUTE(TEXTJOIN("","", TRUE, IFERROR(ARRAYFORMULA(VLOOKUP(TRIM(SPLIT('Final Report'!A144, "","")), 'URL Details'!A:D, 4, FALSE)),"""") ), CHAR(10), """&amp;",""), ""\s*,\s*"", "",""), "","")))&lt;&gt;"""" ) ) ) ),"""")
"),"")</f>
        <v/>
      </c>
      <c r="D144" s="105"/>
      <c r="E144" s="105"/>
      <c r="F144" s="110" t="b">
        <v>0</v>
      </c>
      <c r="G144" s="105" t="str">
        <f>IF(F144=True, IFERROR(VLOOKUP(D144, Repository!A:B, 2, 0), ""), "")</f>
        <v/>
      </c>
      <c r="H144" s="105"/>
      <c r="I144" s="105"/>
      <c r="J144" s="105" t="str">
        <f>IF(F144=True, IFERROR(VLOOKUP(D144, Repository!A:C, 3, 0), ""), "")</f>
        <v/>
      </c>
      <c r="K144" s="105"/>
      <c r="L144" s="105" t="str">
        <f>IF(F144=True, IFERROR(VLOOKUP(D144, Repository!A:E, 5, 0), ""), "")</f>
        <v/>
      </c>
      <c r="M144" s="105"/>
      <c r="N144" s="105" t="str">
        <f>IF(F144=True, IFERROR(VLOOKUP(D144, Repository!A:G, 7, 0), ""), "")</f>
        <v/>
      </c>
      <c r="O144" s="105" t="str">
        <f>IFERROR(__xludf.DUMMYFUNCTION("ARRAY_CONSTRAIN(
  ARRAYFORMULA(
    IFERROR(
      LET(
        list, N144,
        arr, TRIM(SPLIT(list, "","")),
        names, XLOOKUP(
          arr,
          'Conformance Score'!A:A,
          'Conformance Score'!B:B,
          ""Not found""
      "&amp;"  ),
        TEXTJOIN("", "", TRUE, names)
      ),
      """"
    )
  ),
  1,
  1
)
"),"")</f>
        <v/>
      </c>
      <c r="P144" s="105" t="str">
        <f>IF(F144="Yes", IFERROR(VLOOKUP(D144, Repository!A:F, 6, 0), ""), "")</f>
        <v/>
      </c>
      <c r="Q144" s="105" t="str">
        <f>IF(F144="Yes", IFERROR(VLOOKUP(D144, Repository!A:I, 8, 0), ""), "")</f>
        <v/>
      </c>
      <c r="R144" s="105" t="str">
        <f>IF(F144="Yes", IFERROR(VLOOKUP(D144, Repository!A:J, 9, 0), ""), "")</f>
        <v/>
      </c>
      <c r="S144" s="105"/>
      <c r="T144" s="105"/>
      <c r="U144" s="105"/>
      <c r="V144" s="105"/>
      <c r="W144" s="105"/>
      <c r="X144" s="105"/>
      <c r="Y144" s="105"/>
      <c r="Z144" s="105"/>
      <c r="AA144" s="105"/>
      <c r="AB144" s="105"/>
      <c r="AC144" s="91"/>
      <c r="AD144" s="105"/>
      <c r="AE144" s="105"/>
      <c r="AF144" s="91"/>
      <c r="AG144" s="105"/>
      <c r="AH144" s="105"/>
      <c r="AI144" s="105" t="str">
        <f t="shared" si="1"/>
        <v/>
      </c>
      <c r="AJ144" s="108" t="str">
        <f t="shared" si="2"/>
        <v/>
      </c>
    </row>
    <row r="145" ht="15.75" customHeight="1">
      <c r="A145" s="104"/>
      <c r="B145" s="105" t="str">
        <f>IFERROR(__xludf.DUMMYFUNCTION("ARRAY_CONSTRAIN(
  ARRAYFORMULA(
    IF(
      'Final Report'!A145="""",
      """",
      TEXTJOIN(
        "", "" &amp; CHAR(10),
        TRUE,
        IFERROR(
          VLOOKUP(
            TRIM(
              SPLIT('Final Report'!A145, "","")
           "&amp;" ),
            'URL Details'!A:B,
            2,
            FALSE
          ),
          """"
        )
      )
    )
  ),
  1,
  1
)
"),"")</f>
        <v/>
      </c>
      <c r="C145" s="105" t="str">
        <f>IFERROR(__xludf.DUMMYFUNCTION("IFERROR(IF('Final Report'!A145="""","""", TEXTJOIN(CHAR(10), TRUE, ARRAYFORMULA( ""• ""&amp; FILTER( TRIM(FLATTEN(SPLIT( REGEXREPLACE( SUBSTITUTE(TEXTJOIN("","", TRUE, IFERROR(ARRAYFORMULA(VLOOKUP(TRIM(SPLIT('Final Report'!A145, "","")), 'URL Details'!A:D, 4,"&amp;" FALSE)),"""") ), CHAR(10), "",""), ""\s*,\s*"", "",""), "",""))), TRIM(FLATTEN(SPLIT( REGEXREPLACE( SUBSTITUTE(TEXTJOIN("","", TRUE, IFERROR(ARRAYFORMULA(VLOOKUP(TRIM(SPLIT('Final Report'!A145, "","")), 'URL Details'!A:D, 4, FALSE)),"""") ), CHAR(10), """&amp;",""), ""\s*,\s*"", "",""), "","")))&lt;&gt;"""" ) ) ) ),"""")
"),"")</f>
        <v/>
      </c>
      <c r="D145" s="105"/>
      <c r="E145" s="105"/>
      <c r="F145" s="110" t="b">
        <v>0</v>
      </c>
      <c r="G145" s="105" t="str">
        <f>IF(F145=True, IFERROR(VLOOKUP(D145, Repository!A:B, 2, 0), ""), "")</f>
        <v/>
      </c>
      <c r="H145" s="105"/>
      <c r="I145" s="105"/>
      <c r="J145" s="105" t="str">
        <f>IF(F145=True, IFERROR(VLOOKUP(D145, Repository!A:C, 3, 0), ""), "")</f>
        <v/>
      </c>
      <c r="K145" s="105"/>
      <c r="L145" s="105" t="str">
        <f>IF(F145=True, IFERROR(VLOOKUP(D145, Repository!A:E, 5, 0), ""), "")</f>
        <v/>
      </c>
      <c r="M145" s="105"/>
      <c r="N145" s="105" t="str">
        <f>IF(F145=True, IFERROR(VLOOKUP(D145, Repository!A:G, 7, 0), ""), "")</f>
        <v/>
      </c>
      <c r="O145" s="105" t="str">
        <f>IFERROR(__xludf.DUMMYFUNCTION("ARRAY_CONSTRAIN(
  ARRAYFORMULA(
    IFERROR(
      LET(
        list, N145,
        arr, TRIM(SPLIT(list, "","")),
        names, XLOOKUP(
          arr,
          'Conformance Score'!A:A,
          'Conformance Score'!B:B,
          ""Not found""
      "&amp;"  ),
        TEXTJOIN("", "", TRUE, names)
      ),
      """"
    )
  ),
  1,
  1
)
"),"")</f>
        <v/>
      </c>
      <c r="P145" s="105" t="str">
        <f>IF(F145="Yes", IFERROR(VLOOKUP(D145, Repository!A:F, 6, 0), ""), "")</f>
        <v/>
      </c>
      <c r="Q145" s="105" t="str">
        <f>IF(F145="Yes", IFERROR(VLOOKUP(D145, Repository!A:I, 8, 0), ""), "")</f>
        <v/>
      </c>
      <c r="R145" s="105" t="str">
        <f>IF(F145="Yes", IFERROR(VLOOKUP(D145, Repository!A:J, 9, 0), ""), "")</f>
        <v/>
      </c>
      <c r="S145" s="105"/>
      <c r="T145" s="105"/>
      <c r="U145" s="105"/>
      <c r="V145" s="105"/>
      <c r="W145" s="105"/>
      <c r="X145" s="105"/>
      <c r="Y145" s="105"/>
      <c r="Z145" s="105"/>
      <c r="AA145" s="105"/>
      <c r="AB145" s="105"/>
      <c r="AC145" s="91"/>
      <c r="AD145" s="105"/>
      <c r="AE145" s="105"/>
      <c r="AF145" s="91"/>
      <c r="AG145" s="105"/>
      <c r="AH145" s="105"/>
      <c r="AI145" s="105" t="str">
        <f t="shared" si="1"/>
        <v/>
      </c>
      <c r="AJ145" s="108" t="str">
        <f t="shared" si="2"/>
        <v/>
      </c>
    </row>
    <row r="146" ht="15.75" customHeight="1">
      <c r="A146" s="104"/>
      <c r="B146" s="105" t="str">
        <f>IFERROR(__xludf.DUMMYFUNCTION("ARRAY_CONSTRAIN(
  ARRAYFORMULA(
    IF(
      'Final Report'!A146="""",
      """",
      TEXTJOIN(
        "", "" &amp; CHAR(10),
        TRUE,
        IFERROR(
          VLOOKUP(
            TRIM(
              SPLIT('Final Report'!A146, "","")
           "&amp;" ),
            'URL Details'!A:B,
            2,
            FALSE
          ),
          """"
        )
      )
    )
  ),
  1,
  1
)
"),"")</f>
        <v/>
      </c>
      <c r="C146" s="105" t="str">
        <f>IFERROR(__xludf.DUMMYFUNCTION("IFERROR(IF('Final Report'!A146="""","""", TEXTJOIN(CHAR(10), TRUE, ARRAYFORMULA( ""• ""&amp; FILTER( TRIM(FLATTEN(SPLIT( REGEXREPLACE( SUBSTITUTE(TEXTJOIN("","", TRUE, IFERROR(ARRAYFORMULA(VLOOKUP(TRIM(SPLIT('Final Report'!A146, "","")), 'URL Details'!A:D, 4,"&amp;" FALSE)),"""") ), CHAR(10), "",""), ""\s*,\s*"", "",""), "",""))), TRIM(FLATTEN(SPLIT( REGEXREPLACE( SUBSTITUTE(TEXTJOIN("","", TRUE, IFERROR(ARRAYFORMULA(VLOOKUP(TRIM(SPLIT('Final Report'!A146, "","")), 'URL Details'!A:D, 4, FALSE)),"""") ), CHAR(10), """&amp;",""), ""\s*,\s*"", "",""), "","")))&lt;&gt;"""" ) ) ) ),"""")
"),"")</f>
        <v/>
      </c>
      <c r="D146" s="105"/>
      <c r="E146" s="105"/>
      <c r="F146" s="110" t="b">
        <v>0</v>
      </c>
      <c r="G146" s="105" t="str">
        <f>IF(F146=True, IFERROR(VLOOKUP(D146, Repository!A:B, 2, 0), ""), "")</f>
        <v/>
      </c>
      <c r="H146" s="105"/>
      <c r="I146" s="105"/>
      <c r="J146" s="105" t="str">
        <f>IF(F146=True, IFERROR(VLOOKUP(D146, Repository!A:C, 3, 0), ""), "")</f>
        <v/>
      </c>
      <c r="K146" s="105"/>
      <c r="L146" s="105" t="str">
        <f>IF(F146=True, IFERROR(VLOOKUP(D146, Repository!A:E, 5, 0), ""), "")</f>
        <v/>
      </c>
      <c r="M146" s="105"/>
      <c r="N146" s="105" t="str">
        <f>IF(F146=True, IFERROR(VLOOKUP(D146, Repository!A:G, 7, 0), ""), "")</f>
        <v/>
      </c>
      <c r="O146" s="105" t="str">
        <f>IFERROR(__xludf.DUMMYFUNCTION("ARRAY_CONSTRAIN(
  ARRAYFORMULA(
    IFERROR(
      LET(
        list, N146,
        arr, TRIM(SPLIT(list, "","")),
        names, XLOOKUP(
          arr,
          'Conformance Score'!A:A,
          'Conformance Score'!B:B,
          ""Not found""
      "&amp;"  ),
        TEXTJOIN("", "", TRUE, names)
      ),
      """"
    )
  ),
  1,
  1
)
"),"")</f>
        <v/>
      </c>
      <c r="P146" s="105" t="str">
        <f>IF(F146="Yes", IFERROR(VLOOKUP(D146, Repository!A:F, 6, 0), ""), "")</f>
        <v/>
      </c>
      <c r="Q146" s="105" t="str">
        <f>IF(F146="Yes", IFERROR(VLOOKUP(D146, Repository!A:I, 8, 0), ""), "")</f>
        <v/>
      </c>
      <c r="R146" s="105" t="str">
        <f>IF(F146="Yes", IFERROR(VLOOKUP(D146, Repository!A:J, 9, 0), ""), "")</f>
        <v/>
      </c>
      <c r="S146" s="105"/>
      <c r="T146" s="105"/>
      <c r="U146" s="105"/>
      <c r="V146" s="105"/>
      <c r="W146" s="105"/>
      <c r="X146" s="105"/>
      <c r="Y146" s="105"/>
      <c r="Z146" s="105"/>
      <c r="AA146" s="105"/>
      <c r="AB146" s="105"/>
      <c r="AC146" s="91"/>
      <c r="AD146" s="105"/>
      <c r="AE146" s="105"/>
      <c r="AF146" s="91"/>
      <c r="AG146" s="105"/>
      <c r="AH146" s="105"/>
      <c r="AI146" s="105" t="str">
        <f t="shared" si="1"/>
        <v/>
      </c>
      <c r="AJ146" s="108" t="str">
        <f t="shared" si="2"/>
        <v/>
      </c>
    </row>
    <row r="147" ht="15.75" customHeight="1">
      <c r="A147" s="104"/>
      <c r="B147" s="105" t="str">
        <f>IFERROR(__xludf.DUMMYFUNCTION("ARRAY_CONSTRAIN(
  ARRAYFORMULA(
    IF(
      'Final Report'!A147="""",
      """",
      TEXTJOIN(
        "", "" &amp; CHAR(10),
        TRUE,
        IFERROR(
          VLOOKUP(
            TRIM(
              SPLIT('Final Report'!A147, "","")
           "&amp;" ),
            'URL Details'!A:B,
            2,
            FALSE
          ),
          """"
        )
      )
    )
  ),
  1,
  1
)
"),"")</f>
        <v/>
      </c>
      <c r="C147" s="105" t="str">
        <f>IFERROR(__xludf.DUMMYFUNCTION("IFERROR(IF('Final Report'!A147="""","""", TEXTJOIN(CHAR(10), TRUE, ARRAYFORMULA( ""• ""&amp; FILTER( TRIM(FLATTEN(SPLIT( REGEXREPLACE( SUBSTITUTE(TEXTJOIN("","", TRUE, IFERROR(ARRAYFORMULA(VLOOKUP(TRIM(SPLIT('Final Report'!A147, "","")), 'URL Details'!A:D, 4,"&amp;" FALSE)),"""") ), CHAR(10), "",""), ""\s*,\s*"", "",""), "",""))), TRIM(FLATTEN(SPLIT( REGEXREPLACE( SUBSTITUTE(TEXTJOIN("","", TRUE, IFERROR(ARRAYFORMULA(VLOOKUP(TRIM(SPLIT('Final Report'!A147, "","")), 'URL Details'!A:D, 4, FALSE)),"""") ), CHAR(10), """&amp;",""), ""\s*,\s*"", "",""), "","")))&lt;&gt;"""" ) ) ) ),"""")
"),"")</f>
        <v/>
      </c>
      <c r="D147" s="105"/>
      <c r="E147" s="105"/>
      <c r="F147" s="110" t="b">
        <v>0</v>
      </c>
      <c r="G147" s="105" t="str">
        <f>IF(F147=True, IFERROR(VLOOKUP(D147, Repository!A:B, 2, 0), ""), "")</f>
        <v/>
      </c>
      <c r="H147" s="105"/>
      <c r="I147" s="105"/>
      <c r="J147" s="105" t="str">
        <f>IF(F147=True, IFERROR(VLOOKUP(D147, Repository!A:C, 3, 0), ""), "")</f>
        <v/>
      </c>
      <c r="K147" s="105"/>
      <c r="L147" s="105" t="str">
        <f>IF(F147=True, IFERROR(VLOOKUP(D147, Repository!A:E, 5, 0), ""), "")</f>
        <v/>
      </c>
      <c r="M147" s="105"/>
      <c r="N147" s="105" t="str">
        <f>IF(F147=True, IFERROR(VLOOKUP(D147, Repository!A:G, 7, 0), ""), "")</f>
        <v/>
      </c>
      <c r="O147" s="105" t="str">
        <f>IFERROR(__xludf.DUMMYFUNCTION("ARRAY_CONSTRAIN(
  ARRAYFORMULA(
    IFERROR(
      LET(
        list, N147,
        arr, TRIM(SPLIT(list, "","")),
        names, XLOOKUP(
          arr,
          'Conformance Score'!A:A,
          'Conformance Score'!B:B,
          ""Not found""
      "&amp;"  ),
        TEXTJOIN("", "", TRUE, names)
      ),
      """"
    )
  ),
  1,
  1
)
"),"")</f>
        <v/>
      </c>
      <c r="P147" s="105" t="str">
        <f>IF(F147="Yes", IFERROR(VLOOKUP(D147, Repository!A:F, 6, 0), ""), "")</f>
        <v/>
      </c>
      <c r="Q147" s="105" t="str">
        <f>IF(F147="Yes", IFERROR(VLOOKUP(D147, Repository!A:I, 8, 0), ""), "")</f>
        <v/>
      </c>
      <c r="R147" s="105" t="str">
        <f>IF(F147="Yes", IFERROR(VLOOKUP(D147, Repository!A:J, 9, 0), ""), "")</f>
        <v/>
      </c>
      <c r="S147" s="105"/>
      <c r="T147" s="105"/>
      <c r="U147" s="105"/>
      <c r="V147" s="105"/>
      <c r="W147" s="105"/>
      <c r="X147" s="105"/>
      <c r="Y147" s="105"/>
      <c r="Z147" s="105"/>
      <c r="AA147" s="105"/>
      <c r="AB147" s="105"/>
      <c r="AC147" s="91"/>
      <c r="AD147" s="105"/>
      <c r="AE147" s="105"/>
      <c r="AF147" s="91"/>
      <c r="AG147" s="105"/>
      <c r="AH147" s="105"/>
      <c r="AI147" s="105" t="str">
        <f t="shared" si="1"/>
        <v/>
      </c>
      <c r="AJ147" s="108" t="str">
        <f t="shared" si="2"/>
        <v/>
      </c>
    </row>
    <row r="148" ht="15.75" customHeight="1">
      <c r="A148" s="104"/>
      <c r="B148" s="105" t="str">
        <f>IFERROR(__xludf.DUMMYFUNCTION("ARRAY_CONSTRAIN(
  ARRAYFORMULA(
    IF(
      'Final Report'!A148="""",
      """",
      TEXTJOIN(
        "", "" &amp; CHAR(10),
        TRUE,
        IFERROR(
          VLOOKUP(
            TRIM(
              SPLIT('Final Report'!A148, "","")
           "&amp;" ),
            'URL Details'!A:B,
            2,
            FALSE
          ),
          """"
        )
      )
    )
  ),
  1,
  1
)
"),"")</f>
        <v/>
      </c>
      <c r="C148" s="105" t="str">
        <f>IFERROR(__xludf.DUMMYFUNCTION("IFERROR(IF('Final Report'!A148="""","""", TEXTJOIN(CHAR(10), TRUE, ARRAYFORMULA( ""• ""&amp; FILTER( TRIM(FLATTEN(SPLIT( REGEXREPLACE( SUBSTITUTE(TEXTJOIN("","", TRUE, IFERROR(ARRAYFORMULA(VLOOKUP(TRIM(SPLIT('Final Report'!A148, "","")), 'URL Details'!A:D, 4,"&amp;" FALSE)),"""") ), CHAR(10), "",""), ""\s*,\s*"", "",""), "",""))), TRIM(FLATTEN(SPLIT( REGEXREPLACE( SUBSTITUTE(TEXTJOIN("","", TRUE, IFERROR(ARRAYFORMULA(VLOOKUP(TRIM(SPLIT('Final Report'!A148, "","")), 'URL Details'!A:D, 4, FALSE)),"""") ), CHAR(10), """&amp;",""), ""\s*,\s*"", "",""), "","")))&lt;&gt;"""" ) ) ) ),"""")
"),"")</f>
        <v/>
      </c>
      <c r="D148" s="105"/>
      <c r="E148" s="105"/>
      <c r="F148" s="110" t="b">
        <v>0</v>
      </c>
      <c r="G148" s="105" t="str">
        <f>IF(F148=True, IFERROR(VLOOKUP(D148, Repository!A:B, 2, 0), ""), "")</f>
        <v/>
      </c>
      <c r="H148" s="105"/>
      <c r="I148" s="105"/>
      <c r="J148" s="105" t="str">
        <f>IF(F148=True, IFERROR(VLOOKUP(D148, Repository!A:C, 3, 0), ""), "")</f>
        <v/>
      </c>
      <c r="K148" s="105"/>
      <c r="L148" s="105" t="str">
        <f>IF(F148=True, IFERROR(VLOOKUP(D148, Repository!A:E, 5, 0), ""), "")</f>
        <v/>
      </c>
      <c r="M148" s="105"/>
      <c r="N148" s="105" t="str">
        <f>IF(F148=True, IFERROR(VLOOKUP(D148, Repository!A:G, 7, 0), ""), "")</f>
        <v/>
      </c>
      <c r="O148" s="105" t="str">
        <f>IFERROR(__xludf.DUMMYFUNCTION("ARRAY_CONSTRAIN(
  ARRAYFORMULA(
    IFERROR(
      LET(
        list, N148,
        arr, TRIM(SPLIT(list, "","")),
        names, XLOOKUP(
          arr,
          'Conformance Score'!A:A,
          'Conformance Score'!B:B,
          ""Not found""
      "&amp;"  ),
        TEXTJOIN("", "", TRUE, names)
      ),
      """"
    )
  ),
  1,
  1
)
"),"")</f>
        <v/>
      </c>
      <c r="P148" s="105" t="str">
        <f>IF(F148="Yes", IFERROR(VLOOKUP(D148, Repository!A:F, 6, 0), ""), "")</f>
        <v/>
      </c>
      <c r="Q148" s="105" t="str">
        <f>IF(F148="Yes", IFERROR(VLOOKUP(D148, Repository!A:I, 8, 0), ""), "")</f>
        <v/>
      </c>
      <c r="R148" s="105" t="str">
        <f>IF(F148="Yes", IFERROR(VLOOKUP(D148, Repository!A:J, 9, 0), ""), "")</f>
        <v/>
      </c>
      <c r="S148" s="105"/>
      <c r="T148" s="105"/>
      <c r="U148" s="105"/>
      <c r="V148" s="105"/>
      <c r="W148" s="105"/>
      <c r="X148" s="105"/>
      <c r="Y148" s="105"/>
      <c r="Z148" s="105"/>
      <c r="AA148" s="105"/>
      <c r="AB148" s="105"/>
      <c r="AC148" s="91"/>
      <c r="AD148" s="105"/>
      <c r="AE148" s="105"/>
      <c r="AF148" s="91"/>
      <c r="AG148" s="105"/>
      <c r="AH148" s="105"/>
      <c r="AI148" s="105" t="str">
        <f t="shared" si="1"/>
        <v/>
      </c>
      <c r="AJ148" s="108" t="str">
        <f t="shared" si="2"/>
        <v/>
      </c>
    </row>
    <row r="149" ht="15.75" customHeight="1">
      <c r="A149" s="104"/>
      <c r="B149" s="105" t="str">
        <f>IFERROR(__xludf.DUMMYFUNCTION("ARRAY_CONSTRAIN(
  ARRAYFORMULA(
    IF(
      'Final Report'!A149="""",
      """",
      TEXTJOIN(
        "", "" &amp; CHAR(10),
        TRUE,
        IFERROR(
          VLOOKUP(
            TRIM(
              SPLIT('Final Report'!A149, "","")
           "&amp;" ),
            'URL Details'!A:B,
            2,
            FALSE
          ),
          """"
        )
      )
    )
  ),
  1,
  1
)
"),"")</f>
        <v/>
      </c>
      <c r="C149" s="105" t="str">
        <f>IFERROR(__xludf.DUMMYFUNCTION("IFERROR(IF('Final Report'!A149="""","""", TEXTJOIN(CHAR(10), TRUE, ARRAYFORMULA( ""• ""&amp; FILTER( TRIM(FLATTEN(SPLIT( REGEXREPLACE( SUBSTITUTE(TEXTJOIN("","", TRUE, IFERROR(ARRAYFORMULA(VLOOKUP(TRIM(SPLIT('Final Report'!A149, "","")), 'URL Details'!A:D, 4,"&amp;" FALSE)),"""") ), CHAR(10), "",""), ""\s*,\s*"", "",""), "",""))), TRIM(FLATTEN(SPLIT( REGEXREPLACE( SUBSTITUTE(TEXTJOIN("","", TRUE, IFERROR(ARRAYFORMULA(VLOOKUP(TRIM(SPLIT('Final Report'!A149, "","")), 'URL Details'!A:D, 4, FALSE)),"""") ), CHAR(10), """&amp;",""), ""\s*,\s*"", "",""), "","")))&lt;&gt;"""" ) ) ) ),"""")
"),"")</f>
        <v/>
      </c>
      <c r="D149" s="105"/>
      <c r="E149" s="105"/>
      <c r="F149" s="110" t="b">
        <v>0</v>
      </c>
      <c r="G149" s="105" t="str">
        <f>IF(F149=True, IFERROR(VLOOKUP(D149, Repository!A:B, 2, 0), ""), "")</f>
        <v/>
      </c>
      <c r="H149" s="105"/>
      <c r="I149" s="105"/>
      <c r="J149" s="105" t="str">
        <f>IF(F149=True, IFERROR(VLOOKUP(D149, Repository!A:C, 3, 0), ""), "")</f>
        <v/>
      </c>
      <c r="K149" s="105"/>
      <c r="L149" s="105" t="str">
        <f>IF(F149=True, IFERROR(VLOOKUP(D149, Repository!A:E, 5, 0), ""), "")</f>
        <v/>
      </c>
      <c r="M149" s="105"/>
      <c r="N149" s="105" t="str">
        <f>IF(F149=True, IFERROR(VLOOKUP(D149, Repository!A:G, 7, 0), ""), "")</f>
        <v/>
      </c>
      <c r="O149" s="105" t="str">
        <f>IFERROR(__xludf.DUMMYFUNCTION("ARRAY_CONSTRAIN(
  ARRAYFORMULA(
    IFERROR(
      LET(
        list, N149,
        arr, TRIM(SPLIT(list, "","")),
        names, XLOOKUP(
          arr,
          'Conformance Score'!A:A,
          'Conformance Score'!B:B,
          ""Not found""
      "&amp;"  ),
        TEXTJOIN("", "", TRUE, names)
      ),
      """"
    )
  ),
  1,
  1
)
"),"")</f>
        <v/>
      </c>
      <c r="P149" s="105" t="str">
        <f>IF(F149="Yes", IFERROR(VLOOKUP(D149, Repository!A:F, 6, 0), ""), "")</f>
        <v/>
      </c>
      <c r="Q149" s="105" t="str">
        <f>IF(F149="Yes", IFERROR(VLOOKUP(D149, Repository!A:I, 8, 0), ""), "")</f>
        <v/>
      </c>
      <c r="R149" s="105" t="str">
        <f>IF(F149="Yes", IFERROR(VLOOKUP(D149, Repository!A:J, 9, 0), ""), "")</f>
        <v/>
      </c>
      <c r="S149" s="105"/>
      <c r="T149" s="105"/>
      <c r="U149" s="105"/>
      <c r="V149" s="105"/>
      <c r="W149" s="105"/>
      <c r="X149" s="105"/>
      <c r="Y149" s="105"/>
      <c r="Z149" s="105"/>
      <c r="AA149" s="105"/>
      <c r="AB149" s="105"/>
      <c r="AC149" s="91"/>
      <c r="AD149" s="105"/>
      <c r="AE149" s="105"/>
      <c r="AF149" s="91"/>
      <c r="AG149" s="105"/>
      <c r="AH149" s="105"/>
      <c r="AI149" s="105" t="str">
        <f t="shared" si="1"/>
        <v/>
      </c>
      <c r="AJ149" s="108" t="str">
        <f t="shared" si="2"/>
        <v/>
      </c>
    </row>
    <row r="150" ht="15.75" customHeight="1">
      <c r="A150" s="104"/>
      <c r="B150" s="105" t="str">
        <f>IFERROR(__xludf.DUMMYFUNCTION("ARRAY_CONSTRAIN(
  ARRAYFORMULA(
    IF(
      'Final Report'!A150="""",
      """",
      TEXTJOIN(
        "", "" &amp; CHAR(10),
        TRUE,
        IFERROR(
          VLOOKUP(
            TRIM(
              SPLIT('Final Report'!A150, "","")
           "&amp;" ),
            'URL Details'!A:B,
            2,
            FALSE
          ),
          """"
        )
      )
    )
  ),
  1,
  1
)
"),"")</f>
        <v/>
      </c>
      <c r="C150" s="105" t="str">
        <f>IFERROR(__xludf.DUMMYFUNCTION("IFERROR(IF('Final Report'!A150="""","""", TEXTJOIN(CHAR(10), TRUE, ARRAYFORMULA( ""• ""&amp; FILTER( TRIM(FLATTEN(SPLIT( REGEXREPLACE( SUBSTITUTE(TEXTJOIN("","", TRUE, IFERROR(ARRAYFORMULA(VLOOKUP(TRIM(SPLIT('Final Report'!A150, "","")), 'URL Details'!A:D, 4,"&amp;" FALSE)),"""") ), CHAR(10), "",""), ""\s*,\s*"", "",""), "",""))), TRIM(FLATTEN(SPLIT( REGEXREPLACE( SUBSTITUTE(TEXTJOIN("","", TRUE, IFERROR(ARRAYFORMULA(VLOOKUP(TRIM(SPLIT('Final Report'!A150, "","")), 'URL Details'!A:D, 4, FALSE)),"""") ), CHAR(10), """&amp;",""), ""\s*,\s*"", "",""), "","")))&lt;&gt;"""" ) ) ) ),"""")
"),"")</f>
        <v/>
      </c>
      <c r="D150" s="105"/>
      <c r="E150" s="105"/>
      <c r="F150" s="110" t="b">
        <v>0</v>
      </c>
      <c r="G150" s="105" t="str">
        <f>IF(F150=True, IFERROR(VLOOKUP(D150, Repository!A:B, 2, 0), ""), "")</f>
        <v/>
      </c>
      <c r="H150" s="105"/>
      <c r="I150" s="105"/>
      <c r="J150" s="105" t="str">
        <f>IF(F150=True, IFERROR(VLOOKUP(D150, Repository!A:C, 3, 0), ""), "")</f>
        <v/>
      </c>
      <c r="K150" s="105"/>
      <c r="L150" s="105" t="str">
        <f>IF(F150=True, IFERROR(VLOOKUP(D150, Repository!A:E, 5, 0), ""), "")</f>
        <v/>
      </c>
      <c r="M150" s="105"/>
      <c r="N150" s="105" t="str">
        <f>IF(F150=True, IFERROR(VLOOKUP(D150, Repository!A:G, 7, 0), ""), "")</f>
        <v/>
      </c>
      <c r="O150" s="105" t="str">
        <f>IFERROR(__xludf.DUMMYFUNCTION("ARRAY_CONSTRAIN(
  ARRAYFORMULA(
    IFERROR(
      LET(
        list, N150,
        arr, TRIM(SPLIT(list, "","")),
        names, XLOOKUP(
          arr,
          'Conformance Score'!A:A,
          'Conformance Score'!B:B,
          ""Not found""
      "&amp;"  ),
        TEXTJOIN("", "", TRUE, names)
      ),
      """"
    )
  ),
  1,
  1
)
"),"")</f>
        <v/>
      </c>
      <c r="P150" s="105" t="str">
        <f>IF(F150="Yes", IFERROR(VLOOKUP(D150, Repository!A:F, 6, 0), ""), "")</f>
        <v/>
      </c>
      <c r="Q150" s="105" t="str">
        <f>IF(F150="Yes", IFERROR(VLOOKUP(D150, Repository!A:I, 8, 0), ""), "")</f>
        <v/>
      </c>
      <c r="R150" s="105" t="str">
        <f>IF(F150="Yes", IFERROR(VLOOKUP(D150, Repository!A:J, 9, 0), ""), "")</f>
        <v/>
      </c>
      <c r="S150" s="105"/>
      <c r="T150" s="105"/>
      <c r="U150" s="105"/>
      <c r="V150" s="105"/>
      <c r="W150" s="105"/>
      <c r="X150" s="105"/>
      <c r="Y150" s="105"/>
      <c r="Z150" s="105"/>
      <c r="AA150" s="105"/>
      <c r="AB150" s="105"/>
      <c r="AC150" s="91"/>
      <c r="AD150" s="105"/>
      <c r="AE150" s="105"/>
      <c r="AF150" s="91"/>
      <c r="AG150" s="105"/>
      <c r="AH150" s="105"/>
      <c r="AI150" s="105" t="str">
        <f t="shared" si="1"/>
        <v/>
      </c>
      <c r="AJ150" s="108" t="str">
        <f t="shared" si="2"/>
        <v/>
      </c>
    </row>
    <row r="151" ht="15.75" customHeight="1">
      <c r="A151" s="104"/>
      <c r="B151" s="105" t="str">
        <f>IFERROR(__xludf.DUMMYFUNCTION("ARRAY_CONSTRAIN(
  ARRAYFORMULA(
    IF(
      'Final Report'!A151="""",
      """",
      TEXTJOIN(
        "", "" &amp; CHAR(10),
        TRUE,
        IFERROR(
          VLOOKUP(
            TRIM(
              SPLIT('Final Report'!A151, "","")
           "&amp;" ),
            'URL Details'!A:B,
            2,
            FALSE
          ),
          """"
        )
      )
    )
  ),
  1,
  1
)
"),"")</f>
        <v/>
      </c>
      <c r="C151" s="105" t="str">
        <f>IFERROR(__xludf.DUMMYFUNCTION("IFERROR(IF('Final Report'!A151="""","""", TEXTJOIN(CHAR(10), TRUE, ARRAYFORMULA( ""• ""&amp; FILTER( TRIM(FLATTEN(SPLIT( REGEXREPLACE( SUBSTITUTE(TEXTJOIN("","", TRUE, IFERROR(ARRAYFORMULA(VLOOKUP(TRIM(SPLIT('Final Report'!A151, "","")), 'URL Details'!A:D, 4,"&amp;" FALSE)),"""") ), CHAR(10), "",""), ""\s*,\s*"", "",""), "",""))), TRIM(FLATTEN(SPLIT( REGEXREPLACE( SUBSTITUTE(TEXTJOIN("","", TRUE, IFERROR(ARRAYFORMULA(VLOOKUP(TRIM(SPLIT('Final Report'!A151, "","")), 'URL Details'!A:D, 4, FALSE)),"""") ), CHAR(10), """&amp;",""), ""\s*,\s*"", "",""), "","")))&lt;&gt;"""" ) ) ) ),"""")
"),"")</f>
        <v/>
      </c>
      <c r="D151" s="105"/>
      <c r="E151" s="105"/>
      <c r="F151" s="110" t="b">
        <v>0</v>
      </c>
      <c r="G151" s="105" t="str">
        <f>IF(F151=True, IFERROR(VLOOKUP(D151, Repository!A:B, 2, 0), ""), "")</f>
        <v/>
      </c>
      <c r="H151" s="105"/>
      <c r="I151" s="105"/>
      <c r="J151" s="105" t="str">
        <f>IF(F151=True, IFERROR(VLOOKUP(D151, Repository!A:C, 3, 0), ""), "")</f>
        <v/>
      </c>
      <c r="K151" s="105"/>
      <c r="L151" s="105" t="str">
        <f>IF(F151=True, IFERROR(VLOOKUP(D151, Repository!A:E, 5, 0), ""), "")</f>
        <v/>
      </c>
      <c r="M151" s="105"/>
      <c r="N151" s="105" t="str">
        <f>IF(F151=True, IFERROR(VLOOKUP(D151, Repository!A:G, 7, 0), ""), "")</f>
        <v/>
      </c>
      <c r="O151" s="105" t="str">
        <f>IFERROR(__xludf.DUMMYFUNCTION("ARRAY_CONSTRAIN(
  ARRAYFORMULA(
    IFERROR(
      LET(
        list, N151,
        arr, TRIM(SPLIT(list, "","")),
        names, XLOOKUP(
          arr,
          'Conformance Score'!A:A,
          'Conformance Score'!B:B,
          ""Not found""
      "&amp;"  ),
        TEXTJOIN("", "", TRUE, names)
      ),
      """"
    )
  ),
  1,
  1
)
"),"")</f>
        <v/>
      </c>
      <c r="P151" s="105" t="str">
        <f>IF(F151="Yes", IFERROR(VLOOKUP(D151, Repository!A:F, 6, 0), ""), "")</f>
        <v/>
      </c>
      <c r="Q151" s="105" t="str">
        <f>IF(F151="Yes", IFERROR(VLOOKUP(D151, Repository!A:I, 8, 0), ""), "")</f>
        <v/>
      </c>
      <c r="R151" s="105" t="str">
        <f>IF(F151="Yes", IFERROR(VLOOKUP(D151, Repository!A:J, 9, 0), ""), "")</f>
        <v/>
      </c>
      <c r="S151" s="105"/>
      <c r="T151" s="105"/>
      <c r="U151" s="105"/>
      <c r="V151" s="105"/>
      <c r="W151" s="105"/>
      <c r="X151" s="105"/>
      <c r="Y151" s="105"/>
      <c r="Z151" s="105"/>
      <c r="AA151" s="105"/>
      <c r="AB151" s="105"/>
      <c r="AC151" s="91"/>
      <c r="AD151" s="105"/>
      <c r="AE151" s="105"/>
      <c r="AF151" s="91"/>
      <c r="AG151" s="105"/>
      <c r="AH151" s="105"/>
      <c r="AI151" s="105" t="str">
        <f t="shared" si="1"/>
        <v/>
      </c>
      <c r="AJ151" s="108" t="str">
        <f t="shared" si="2"/>
        <v/>
      </c>
    </row>
    <row r="152" ht="15.75" customHeight="1">
      <c r="A152" s="104"/>
      <c r="B152" s="105" t="str">
        <f>IFERROR(__xludf.DUMMYFUNCTION("ARRAY_CONSTRAIN(
  ARRAYFORMULA(
    IF(
      'Final Report'!A152="""",
      """",
      TEXTJOIN(
        "", "" &amp; CHAR(10),
        TRUE,
        IFERROR(
          VLOOKUP(
            TRIM(
              SPLIT('Final Report'!A152, "","")
           "&amp;" ),
            'URL Details'!A:B,
            2,
            FALSE
          ),
          """"
        )
      )
    )
  ),
  1,
  1
)
"),"")</f>
        <v/>
      </c>
      <c r="C152" s="105" t="str">
        <f>IFERROR(__xludf.DUMMYFUNCTION("IFERROR(IF('Final Report'!A152="""","""", TEXTJOIN(CHAR(10), TRUE, ARRAYFORMULA( ""• ""&amp; FILTER( TRIM(FLATTEN(SPLIT( REGEXREPLACE( SUBSTITUTE(TEXTJOIN("","", TRUE, IFERROR(ARRAYFORMULA(VLOOKUP(TRIM(SPLIT('Final Report'!A152, "","")), 'URL Details'!A:D, 4,"&amp;" FALSE)),"""") ), CHAR(10), "",""), ""\s*,\s*"", "",""), "",""))), TRIM(FLATTEN(SPLIT( REGEXREPLACE( SUBSTITUTE(TEXTJOIN("","", TRUE, IFERROR(ARRAYFORMULA(VLOOKUP(TRIM(SPLIT('Final Report'!A152, "","")), 'URL Details'!A:D, 4, FALSE)),"""") ), CHAR(10), """&amp;",""), ""\s*,\s*"", "",""), "","")))&lt;&gt;"""" ) ) ) ),"""")
"),"")</f>
        <v/>
      </c>
      <c r="D152" s="105"/>
      <c r="E152" s="105"/>
      <c r="F152" s="110" t="b">
        <v>0</v>
      </c>
      <c r="G152" s="105" t="str">
        <f>IF(F152=True, IFERROR(VLOOKUP(D152, Repository!A:B, 2, 0), ""), "")</f>
        <v/>
      </c>
      <c r="H152" s="105"/>
      <c r="I152" s="105"/>
      <c r="J152" s="105" t="str">
        <f>IF(F152=True, IFERROR(VLOOKUP(D152, Repository!A:C, 3, 0), ""), "")</f>
        <v/>
      </c>
      <c r="K152" s="105"/>
      <c r="L152" s="105" t="str">
        <f>IF(F152=True, IFERROR(VLOOKUP(D152, Repository!A:E, 5, 0), ""), "")</f>
        <v/>
      </c>
      <c r="M152" s="105"/>
      <c r="N152" s="105" t="str">
        <f>IF(F152=True, IFERROR(VLOOKUP(D152, Repository!A:G, 7, 0), ""), "")</f>
        <v/>
      </c>
      <c r="O152" s="105" t="str">
        <f>IFERROR(__xludf.DUMMYFUNCTION("ARRAY_CONSTRAIN(
  ARRAYFORMULA(
    IFERROR(
      LET(
        list, N152,
        arr, TRIM(SPLIT(list, "","")),
        names, XLOOKUP(
          arr,
          'Conformance Score'!A:A,
          'Conformance Score'!B:B,
          ""Not found""
      "&amp;"  ),
        TEXTJOIN("", "", TRUE, names)
      ),
      """"
    )
  ),
  1,
  1
)
"),"")</f>
        <v/>
      </c>
      <c r="P152" s="105" t="str">
        <f>IF(F152="Yes", IFERROR(VLOOKUP(D152, Repository!A:F, 6, 0), ""), "")</f>
        <v/>
      </c>
      <c r="Q152" s="105" t="str">
        <f>IF(F152="Yes", IFERROR(VLOOKUP(D152, Repository!A:I, 8, 0), ""), "")</f>
        <v/>
      </c>
      <c r="R152" s="105" t="str">
        <f>IF(F152="Yes", IFERROR(VLOOKUP(D152, Repository!A:J, 9, 0), ""), "")</f>
        <v/>
      </c>
      <c r="S152" s="105"/>
      <c r="T152" s="105"/>
      <c r="U152" s="105"/>
      <c r="V152" s="105"/>
      <c r="W152" s="105"/>
      <c r="X152" s="105"/>
      <c r="Y152" s="105"/>
      <c r="Z152" s="105"/>
      <c r="AA152" s="105"/>
      <c r="AB152" s="105"/>
      <c r="AC152" s="91"/>
      <c r="AD152" s="105"/>
      <c r="AE152" s="105"/>
      <c r="AF152" s="91"/>
      <c r="AG152" s="105"/>
      <c r="AH152" s="105"/>
      <c r="AI152" s="105" t="str">
        <f t="shared" si="1"/>
        <v/>
      </c>
      <c r="AJ152" s="108" t="str">
        <f t="shared" si="2"/>
        <v/>
      </c>
    </row>
    <row r="153" ht="15.75" customHeight="1">
      <c r="A153" s="104"/>
      <c r="B153" s="105" t="str">
        <f>IFERROR(__xludf.DUMMYFUNCTION("ARRAY_CONSTRAIN(
  ARRAYFORMULA(
    IF(
      'Final Report'!A153="""",
      """",
      TEXTJOIN(
        "", "" &amp; CHAR(10),
        TRUE,
        IFERROR(
          VLOOKUP(
            TRIM(
              SPLIT('Final Report'!A153, "","")
           "&amp;" ),
            'URL Details'!A:B,
            2,
            FALSE
          ),
          """"
        )
      )
    )
  ),
  1,
  1
)
"),"")</f>
        <v/>
      </c>
      <c r="C153" s="105" t="str">
        <f>IFERROR(__xludf.DUMMYFUNCTION("IFERROR(IF('Final Report'!A153="""","""", TEXTJOIN(CHAR(10), TRUE, ARRAYFORMULA( ""• ""&amp; FILTER( TRIM(FLATTEN(SPLIT( REGEXREPLACE( SUBSTITUTE(TEXTJOIN("","", TRUE, IFERROR(ARRAYFORMULA(VLOOKUP(TRIM(SPLIT('Final Report'!A153, "","")), 'URL Details'!A:D, 4,"&amp;" FALSE)),"""") ), CHAR(10), "",""), ""\s*,\s*"", "",""), "",""))), TRIM(FLATTEN(SPLIT( REGEXREPLACE( SUBSTITUTE(TEXTJOIN("","", TRUE, IFERROR(ARRAYFORMULA(VLOOKUP(TRIM(SPLIT('Final Report'!A153, "","")), 'URL Details'!A:D, 4, FALSE)),"""") ), CHAR(10), """&amp;",""), ""\s*,\s*"", "",""), "","")))&lt;&gt;"""" ) ) ) ),"""")
"),"")</f>
        <v/>
      </c>
      <c r="D153" s="105"/>
      <c r="E153" s="105"/>
      <c r="F153" s="110" t="b">
        <v>0</v>
      </c>
      <c r="G153" s="105" t="str">
        <f>IF(F153=True, IFERROR(VLOOKUP(D153, Repository!A:B, 2, 0), ""), "")</f>
        <v/>
      </c>
      <c r="H153" s="105"/>
      <c r="I153" s="105"/>
      <c r="J153" s="105" t="str">
        <f>IF(F153=True, IFERROR(VLOOKUP(D153, Repository!A:C, 3, 0), ""), "")</f>
        <v/>
      </c>
      <c r="K153" s="105"/>
      <c r="L153" s="105" t="str">
        <f>IF(F153=True, IFERROR(VLOOKUP(D153, Repository!A:E, 5, 0), ""), "")</f>
        <v/>
      </c>
      <c r="M153" s="105"/>
      <c r="N153" s="105" t="str">
        <f>IF(F153=True, IFERROR(VLOOKUP(D153, Repository!A:G, 7, 0), ""), "")</f>
        <v/>
      </c>
      <c r="O153" s="105" t="str">
        <f>IFERROR(__xludf.DUMMYFUNCTION("ARRAY_CONSTRAIN(
  ARRAYFORMULA(
    IFERROR(
      LET(
        list, N153,
        arr, TRIM(SPLIT(list, "","")),
        names, XLOOKUP(
          arr,
          'Conformance Score'!A:A,
          'Conformance Score'!B:B,
          ""Not found""
      "&amp;"  ),
        TEXTJOIN("", "", TRUE, names)
      ),
      """"
    )
  ),
  1,
  1
)
"),"")</f>
        <v/>
      </c>
      <c r="P153" s="105" t="str">
        <f>IF(F153="Yes", IFERROR(VLOOKUP(D153, Repository!A:F, 6, 0), ""), "")</f>
        <v/>
      </c>
      <c r="Q153" s="105" t="str">
        <f>IF(F153="Yes", IFERROR(VLOOKUP(D153, Repository!A:I, 8, 0), ""), "")</f>
        <v/>
      </c>
      <c r="R153" s="105" t="str">
        <f>IF(F153="Yes", IFERROR(VLOOKUP(D153, Repository!A:J, 9, 0), ""), "")</f>
        <v/>
      </c>
      <c r="S153" s="105"/>
      <c r="T153" s="105"/>
      <c r="U153" s="105"/>
      <c r="V153" s="105"/>
      <c r="W153" s="105"/>
      <c r="X153" s="105"/>
      <c r="Y153" s="105"/>
      <c r="Z153" s="105"/>
      <c r="AA153" s="105"/>
      <c r="AB153" s="105"/>
      <c r="AC153" s="91"/>
      <c r="AD153" s="105"/>
      <c r="AE153" s="105"/>
      <c r="AF153" s="91"/>
      <c r="AG153" s="105"/>
      <c r="AH153" s="105"/>
      <c r="AI153" s="105" t="str">
        <f t="shared" si="1"/>
        <v/>
      </c>
      <c r="AJ153" s="108" t="str">
        <f t="shared" si="2"/>
        <v/>
      </c>
    </row>
    <row r="154" ht="15.75" customHeight="1">
      <c r="A154" s="104"/>
      <c r="B154" s="105" t="str">
        <f>IFERROR(__xludf.DUMMYFUNCTION("ARRAY_CONSTRAIN(
  ARRAYFORMULA(
    IF(
      'Final Report'!A154="""",
      """",
      TEXTJOIN(
        "", "" &amp; CHAR(10),
        TRUE,
        IFERROR(
          VLOOKUP(
            TRIM(
              SPLIT('Final Report'!A154, "","")
           "&amp;" ),
            'URL Details'!A:B,
            2,
            FALSE
          ),
          """"
        )
      )
    )
  ),
  1,
  1
)
"),"")</f>
        <v/>
      </c>
      <c r="C154" s="105" t="str">
        <f>IFERROR(__xludf.DUMMYFUNCTION("IFERROR(IF('Final Report'!A154="""","""", TEXTJOIN(CHAR(10), TRUE, ARRAYFORMULA( ""• ""&amp; FILTER( TRIM(FLATTEN(SPLIT( REGEXREPLACE( SUBSTITUTE(TEXTJOIN("","", TRUE, IFERROR(ARRAYFORMULA(VLOOKUP(TRIM(SPLIT('Final Report'!A154, "","")), 'URL Details'!A:D, 4,"&amp;" FALSE)),"""") ), CHAR(10), "",""), ""\s*,\s*"", "",""), "",""))), TRIM(FLATTEN(SPLIT( REGEXREPLACE( SUBSTITUTE(TEXTJOIN("","", TRUE, IFERROR(ARRAYFORMULA(VLOOKUP(TRIM(SPLIT('Final Report'!A154, "","")), 'URL Details'!A:D, 4, FALSE)),"""") ), CHAR(10), """&amp;",""), ""\s*,\s*"", "",""), "","")))&lt;&gt;"""" ) ) ) ),"""")
"),"")</f>
        <v/>
      </c>
      <c r="D154" s="105"/>
      <c r="E154" s="105"/>
      <c r="F154" s="110" t="b">
        <v>0</v>
      </c>
      <c r="G154" s="105" t="str">
        <f>IF(F154=True, IFERROR(VLOOKUP(D154, Repository!A:B, 2, 0), ""), "")</f>
        <v/>
      </c>
      <c r="H154" s="105"/>
      <c r="I154" s="105"/>
      <c r="J154" s="105" t="str">
        <f>IF(F154=True, IFERROR(VLOOKUP(D154, Repository!A:C, 3, 0), ""), "")</f>
        <v/>
      </c>
      <c r="K154" s="105"/>
      <c r="L154" s="105" t="str">
        <f>IF(F154=True, IFERROR(VLOOKUP(D154, Repository!A:E, 5, 0), ""), "")</f>
        <v/>
      </c>
      <c r="M154" s="105"/>
      <c r="N154" s="105" t="str">
        <f>IF(F154=True, IFERROR(VLOOKUP(D154, Repository!A:G, 7, 0), ""), "")</f>
        <v/>
      </c>
      <c r="O154" s="105" t="str">
        <f>IFERROR(__xludf.DUMMYFUNCTION("ARRAY_CONSTRAIN(
  ARRAYFORMULA(
    IFERROR(
      LET(
        list, N154,
        arr, TRIM(SPLIT(list, "","")),
        names, XLOOKUP(
          arr,
          'Conformance Score'!A:A,
          'Conformance Score'!B:B,
          ""Not found""
      "&amp;"  ),
        TEXTJOIN("", "", TRUE, names)
      ),
      """"
    )
  ),
  1,
  1
)
"),"")</f>
        <v/>
      </c>
      <c r="P154" s="105" t="str">
        <f>IF(F154="Yes", IFERROR(VLOOKUP(D154, Repository!A:F, 6, 0), ""), "")</f>
        <v/>
      </c>
      <c r="Q154" s="105" t="str">
        <f>IF(F154="Yes", IFERROR(VLOOKUP(D154, Repository!A:I, 8, 0), ""), "")</f>
        <v/>
      </c>
      <c r="R154" s="105" t="str">
        <f>IF(F154="Yes", IFERROR(VLOOKUP(D154, Repository!A:J, 9, 0), ""), "")</f>
        <v/>
      </c>
      <c r="S154" s="105"/>
      <c r="T154" s="105"/>
      <c r="U154" s="105"/>
      <c r="V154" s="105"/>
      <c r="W154" s="105"/>
      <c r="X154" s="105"/>
      <c r="Y154" s="105"/>
      <c r="Z154" s="105"/>
      <c r="AA154" s="105"/>
      <c r="AB154" s="105"/>
      <c r="AC154" s="91"/>
      <c r="AD154" s="105"/>
      <c r="AE154" s="105"/>
      <c r="AF154" s="91"/>
      <c r="AG154" s="105"/>
      <c r="AH154" s="105"/>
      <c r="AI154" s="105" t="str">
        <f t="shared" si="1"/>
        <v/>
      </c>
      <c r="AJ154" s="108" t="str">
        <f t="shared" si="2"/>
        <v/>
      </c>
    </row>
    <row r="155" ht="15.75" customHeight="1">
      <c r="A155" s="104"/>
      <c r="B155" s="105" t="str">
        <f>IFERROR(__xludf.DUMMYFUNCTION("ARRAY_CONSTRAIN(
  ARRAYFORMULA(
    IF(
      'Final Report'!A155="""",
      """",
      TEXTJOIN(
        "", "" &amp; CHAR(10),
        TRUE,
        IFERROR(
          VLOOKUP(
            TRIM(
              SPLIT('Final Report'!A155, "","")
           "&amp;" ),
            'URL Details'!A:B,
            2,
            FALSE
          ),
          """"
        )
      )
    )
  ),
  1,
  1
)
"),"")</f>
        <v/>
      </c>
      <c r="C155" s="105" t="str">
        <f>IFERROR(__xludf.DUMMYFUNCTION("IFERROR(IF('Final Report'!A155="""","""", TEXTJOIN(CHAR(10), TRUE, ARRAYFORMULA( ""• ""&amp; FILTER( TRIM(FLATTEN(SPLIT( REGEXREPLACE( SUBSTITUTE(TEXTJOIN("","", TRUE, IFERROR(ARRAYFORMULA(VLOOKUP(TRIM(SPLIT('Final Report'!A155, "","")), 'URL Details'!A:D, 4,"&amp;" FALSE)),"""") ), CHAR(10), "",""), ""\s*,\s*"", "",""), "",""))), TRIM(FLATTEN(SPLIT( REGEXREPLACE( SUBSTITUTE(TEXTJOIN("","", TRUE, IFERROR(ARRAYFORMULA(VLOOKUP(TRIM(SPLIT('Final Report'!A155, "","")), 'URL Details'!A:D, 4, FALSE)),"""") ), CHAR(10), """&amp;",""), ""\s*,\s*"", "",""), "","")))&lt;&gt;"""" ) ) ) ),"""")
"),"")</f>
        <v/>
      </c>
      <c r="D155" s="105"/>
      <c r="E155" s="105"/>
      <c r="F155" s="110" t="b">
        <v>0</v>
      </c>
      <c r="G155" s="105" t="str">
        <f>IF(F155=True, IFERROR(VLOOKUP(D155, Repository!A:B, 2, 0), ""), "")</f>
        <v/>
      </c>
      <c r="H155" s="105"/>
      <c r="I155" s="105"/>
      <c r="J155" s="105" t="str">
        <f>IF(F155=True, IFERROR(VLOOKUP(D155, Repository!A:C, 3, 0), ""), "")</f>
        <v/>
      </c>
      <c r="K155" s="105"/>
      <c r="L155" s="105" t="str">
        <f>IF(F155=True, IFERROR(VLOOKUP(D155, Repository!A:E, 5, 0), ""), "")</f>
        <v/>
      </c>
      <c r="M155" s="105"/>
      <c r="N155" s="105" t="str">
        <f>IF(F155=True, IFERROR(VLOOKUP(D155, Repository!A:G, 7, 0), ""), "")</f>
        <v/>
      </c>
      <c r="O155" s="105" t="str">
        <f>IFERROR(__xludf.DUMMYFUNCTION("ARRAY_CONSTRAIN(
  ARRAYFORMULA(
    IFERROR(
      LET(
        list, N155,
        arr, TRIM(SPLIT(list, "","")),
        names, XLOOKUP(
          arr,
          'Conformance Score'!A:A,
          'Conformance Score'!B:B,
          ""Not found""
      "&amp;"  ),
        TEXTJOIN("", "", TRUE, names)
      ),
      """"
    )
  ),
  1,
  1
)
"),"")</f>
        <v/>
      </c>
      <c r="P155" s="105" t="str">
        <f>IF(F155="Yes", IFERROR(VLOOKUP(D155, Repository!A:F, 6, 0), ""), "")</f>
        <v/>
      </c>
      <c r="Q155" s="105" t="str">
        <f>IF(F155="Yes", IFERROR(VLOOKUP(D155, Repository!A:I, 8, 0), ""), "")</f>
        <v/>
      </c>
      <c r="R155" s="105" t="str">
        <f>IF(F155="Yes", IFERROR(VLOOKUP(D155, Repository!A:J, 9, 0), ""), "")</f>
        <v/>
      </c>
      <c r="S155" s="105"/>
      <c r="T155" s="105"/>
      <c r="U155" s="105"/>
      <c r="V155" s="105"/>
      <c r="W155" s="105"/>
      <c r="X155" s="105"/>
      <c r="Y155" s="105"/>
      <c r="Z155" s="105"/>
      <c r="AA155" s="105"/>
      <c r="AB155" s="105"/>
      <c r="AC155" s="91"/>
      <c r="AD155" s="105"/>
      <c r="AE155" s="105"/>
      <c r="AF155" s="91"/>
      <c r="AG155" s="105"/>
      <c r="AH155" s="105"/>
      <c r="AI155" s="105" t="str">
        <f t="shared" si="1"/>
        <v/>
      </c>
      <c r="AJ155" s="108" t="str">
        <f t="shared" si="2"/>
        <v/>
      </c>
    </row>
    <row r="156" ht="15.75" customHeight="1">
      <c r="A156" s="104"/>
      <c r="B156" s="105" t="str">
        <f>IFERROR(__xludf.DUMMYFUNCTION("ARRAY_CONSTRAIN(
  ARRAYFORMULA(
    IF(
      'Final Report'!A156="""",
      """",
      TEXTJOIN(
        "", "" &amp; CHAR(10),
        TRUE,
        IFERROR(
          VLOOKUP(
            TRIM(
              SPLIT('Final Report'!A156, "","")
           "&amp;" ),
            'URL Details'!A:B,
            2,
            FALSE
          ),
          """"
        )
      )
    )
  ),
  1,
  1
)
"),"")</f>
        <v/>
      </c>
      <c r="C156" s="105" t="str">
        <f>IFERROR(__xludf.DUMMYFUNCTION("IFERROR(IF('Final Report'!A156="""","""", TEXTJOIN(CHAR(10), TRUE, ARRAYFORMULA( ""• ""&amp; FILTER( TRIM(FLATTEN(SPLIT( REGEXREPLACE( SUBSTITUTE(TEXTJOIN("","", TRUE, IFERROR(ARRAYFORMULA(VLOOKUP(TRIM(SPLIT('Final Report'!A156, "","")), 'URL Details'!A:D, 4,"&amp;" FALSE)),"""") ), CHAR(10), "",""), ""\s*,\s*"", "",""), "",""))), TRIM(FLATTEN(SPLIT( REGEXREPLACE( SUBSTITUTE(TEXTJOIN("","", TRUE, IFERROR(ARRAYFORMULA(VLOOKUP(TRIM(SPLIT('Final Report'!A156, "","")), 'URL Details'!A:D, 4, FALSE)),"""") ), CHAR(10), """&amp;",""), ""\s*,\s*"", "",""), "","")))&lt;&gt;"""" ) ) ) ),"""")
"),"")</f>
        <v/>
      </c>
      <c r="D156" s="105"/>
      <c r="E156" s="105"/>
      <c r="F156" s="110" t="b">
        <v>0</v>
      </c>
      <c r="G156" s="105" t="str">
        <f>IF(F156=True, IFERROR(VLOOKUP(D156, Repository!A:B, 2, 0), ""), "")</f>
        <v/>
      </c>
      <c r="H156" s="105"/>
      <c r="I156" s="105"/>
      <c r="J156" s="105" t="str">
        <f>IF(F156=True, IFERROR(VLOOKUP(D156, Repository!A:C, 3, 0), ""), "")</f>
        <v/>
      </c>
      <c r="K156" s="105"/>
      <c r="L156" s="105" t="str">
        <f>IF(F156=True, IFERROR(VLOOKUP(D156, Repository!A:E, 5, 0), ""), "")</f>
        <v/>
      </c>
      <c r="M156" s="105"/>
      <c r="N156" s="105" t="str">
        <f>IF(F156=True, IFERROR(VLOOKUP(D156, Repository!A:G, 7, 0), ""), "")</f>
        <v/>
      </c>
      <c r="O156" s="105" t="str">
        <f>IFERROR(__xludf.DUMMYFUNCTION("ARRAY_CONSTRAIN(
  ARRAYFORMULA(
    IFERROR(
      LET(
        list, N156,
        arr, TRIM(SPLIT(list, "","")),
        names, XLOOKUP(
          arr,
          'Conformance Score'!A:A,
          'Conformance Score'!B:B,
          ""Not found""
      "&amp;"  ),
        TEXTJOIN("", "", TRUE, names)
      ),
      """"
    )
  ),
  1,
  1
)
"),"")</f>
        <v/>
      </c>
      <c r="P156" s="105" t="str">
        <f>IF(F156="Yes", IFERROR(VLOOKUP(D156, Repository!A:F, 6, 0), ""), "")</f>
        <v/>
      </c>
      <c r="Q156" s="105" t="str">
        <f>IF(F156="Yes", IFERROR(VLOOKUP(D156, Repository!A:I, 8, 0), ""), "")</f>
        <v/>
      </c>
      <c r="R156" s="105" t="str">
        <f>IF(F156="Yes", IFERROR(VLOOKUP(D156, Repository!A:J, 9, 0), ""), "")</f>
        <v/>
      </c>
      <c r="S156" s="105"/>
      <c r="T156" s="105"/>
      <c r="U156" s="105"/>
      <c r="V156" s="105"/>
      <c r="W156" s="105"/>
      <c r="X156" s="105"/>
      <c r="Y156" s="105"/>
      <c r="Z156" s="105"/>
      <c r="AA156" s="105"/>
      <c r="AB156" s="105"/>
      <c r="AC156" s="91"/>
      <c r="AD156" s="105"/>
      <c r="AE156" s="105"/>
      <c r="AF156" s="91"/>
      <c r="AG156" s="105"/>
      <c r="AH156" s="105"/>
      <c r="AI156" s="105" t="str">
        <f t="shared" si="1"/>
        <v/>
      </c>
      <c r="AJ156" s="108" t="str">
        <f t="shared" si="2"/>
        <v/>
      </c>
    </row>
    <row r="157" ht="15.75" customHeight="1">
      <c r="A157" s="104"/>
      <c r="B157" s="105" t="str">
        <f>IFERROR(__xludf.DUMMYFUNCTION("ARRAY_CONSTRAIN(
  ARRAYFORMULA(
    IF(
      'Final Report'!A157="""",
      """",
      TEXTJOIN(
        "", "" &amp; CHAR(10),
        TRUE,
        IFERROR(
          VLOOKUP(
            TRIM(
              SPLIT('Final Report'!A157, "","")
           "&amp;" ),
            'URL Details'!A:B,
            2,
            FALSE
          ),
          """"
        )
      )
    )
  ),
  1,
  1
)
"),"")</f>
        <v/>
      </c>
      <c r="C157" s="105" t="str">
        <f>IFERROR(__xludf.DUMMYFUNCTION("IFERROR(IF('Final Report'!A157="""","""", TEXTJOIN(CHAR(10), TRUE, ARRAYFORMULA( ""• ""&amp; FILTER( TRIM(FLATTEN(SPLIT( REGEXREPLACE( SUBSTITUTE(TEXTJOIN("","", TRUE, IFERROR(ARRAYFORMULA(VLOOKUP(TRIM(SPLIT('Final Report'!A157, "","")), 'URL Details'!A:D, 4,"&amp;" FALSE)),"""") ), CHAR(10), "",""), ""\s*,\s*"", "",""), "",""))), TRIM(FLATTEN(SPLIT( REGEXREPLACE( SUBSTITUTE(TEXTJOIN("","", TRUE, IFERROR(ARRAYFORMULA(VLOOKUP(TRIM(SPLIT('Final Report'!A157, "","")), 'URL Details'!A:D, 4, FALSE)),"""") ), CHAR(10), """&amp;",""), ""\s*,\s*"", "",""), "","")))&lt;&gt;"""" ) ) ) ),"""")
"),"")</f>
        <v/>
      </c>
      <c r="D157" s="105"/>
      <c r="E157" s="105"/>
      <c r="F157" s="110" t="b">
        <v>0</v>
      </c>
      <c r="G157" s="105" t="str">
        <f>IF(F157=True, IFERROR(VLOOKUP(D157, Repository!A:B, 2, 0), ""), "")</f>
        <v/>
      </c>
      <c r="H157" s="105"/>
      <c r="I157" s="105"/>
      <c r="J157" s="105" t="str">
        <f>IF(F157=True, IFERROR(VLOOKUP(D157, Repository!A:C, 3, 0), ""), "")</f>
        <v/>
      </c>
      <c r="K157" s="105"/>
      <c r="L157" s="105" t="str">
        <f>IF(F157=True, IFERROR(VLOOKUP(D157, Repository!A:E, 5, 0), ""), "")</f>
        <v/>
      </c>
      <c r="M157" s="105"/>
      <c r="N157" s="105" t="str">
        <f>IF(F157=True, IFERROR(VLOOKUP(D157, Repository!A:G, 7, 0), ""), "")</f>
        <v/>
      </c>
      <c r="O157" s="105" t="str">
        <f>IFERROR(__xludf.DUMMYFUNCTION("ARRAY_CONSTRAIN(
  ARRAYFORMULA(
    IFERROR(
      LET(
        list, N157,
        arr, TRIM(SPLIT(list, "","")),
        names, XLOOKUP(
          arr,
          'Conformance Score'!A:A,
          'Conformance Score'!B:B,
          ""Not found""
      "&amp;"  ),
        TEXTJOIN("", "", TRUE, names)
      ),
      """"
    )
  ),
  1,
  1
)
"),"")</f>
        <v/>
      </c>
      <c r="P157" s="105" t="str">
        <f>IF(F157="Yes", IFERROR(VLOOKUP(D157, Repository!A:F, 6, 0), ""), "")</f>
        <v/>
      </c>
      <c r="Q157" s="105" t="str">
        <f>IF(F157="Yes", IFERROR(VLOOKUP(D157, Repository!A:I, 8, 0), ""), "")</f>
        <v/>
      </c>
      <c r="R157" s="105" t="str">
        <f>IF(F157="Yes", IFERROR(VLOOKUP(D157, Repository!A:J, 9, 0), ""), "")</f>
        <v/>
      </c>
      <c r="S157" s="105"/>
      <c r="T157" s="105"/>
      <c r="U157" s="105"/>
      <c r="V157" s="105"/>
      <c r="W157" s="105"/>
      <c r="X157" s="105"/>
      <c r="Y157" s="105"/>
      <c r="Z157" s="105"/>
      <c r="AA157" s="105"/>
      <c r="AB157" s="105"/>
      <c r="AC157" s="91"/>
      <c r="AD157" s="105"/>
      <c r="AE157" s="105"/>
      <c r="AF157" s="91"/>
      <c r="AG157" s="105"/>
      <c r="AH157" s="105"/>
      <c r="AI157" s="105" t="str">
        <f t="shared" si="1"/>
        <v/>
      </c>
      <c r="AJ157" s="108" t="str">
        <f t="shared" si="2"/>
        <v/>
      </c>
    </row>
    <row r="158" ht="15.75" customHeight="1">
      <c r="A158" s="104"/>
      <c r="B158" s="105" t="str">
        <f>IFERROR(__xludf.DUMMYFUNCTION("ARRAY_CONSTRAIN(
  ARRAYFORMULA(
    IF(
      'Final Report'!A158="""",
      """",
      TEXTJOIN(
        "", "" &amp; CHAR(10),
        TRUE,
        IFERROR(
          VLOOKUP(
            TRIM(
              SPLIT('Final Report'!A158, "","")
           "&amp;" ),
            'URL Details'!A:B,
            2,
            FALSE
          ),
          """"
        )
      )
    )
  ),
  1,
  1
)
"),"")</f>
        <v/>
      </c>
      <c r="C158" s="105" t="str">
        <f>IFERROR(__xludf.DUMMYFUNCTION("IFERROR(IF('Final Report'!A158="""","""", TEXTJOIN(CHAR(10), TRUE, ARRAYFORMULA( ""• ""&amp; FILTER( TRIM(FLATTEN(SPLIT( REGEXREPLACE( SUBSTITUTE(TEXTJOIN("","", TRUE, IFERROR(ARRAYFORMULA(VLOOKUP(TRIM(SPLIT('Final Report'!A158, "","")), 'URL Details'!A:D, 4,"&amp;" FALSE)),"""") ), CHAR(10), "",""), ""\s*,\s*"", "",""), "",""))), TRIM(FLATTEN(SPLIT( REGEXREPLACE( SUBSTITUTE(TEXTJOIN("","", TRUE, IFERROR(ARRAYFORMULA(VLOOKUP(TRIM(SPLIT('Final Report'!A158, "","")), 'URL Details'!A:D, 4, FALSE)),"""") ), CHAR(10), """&amp;",""), ""\s*,\s*"", "",""), "","")))&lt;&gt;"""" ) ) ) ),"""")
"),"")</f>
        <v/>
      </c>
      <c r="D158" s="105"/>
      <c r="E158" s="105"/>
      <c r="F158" s="110" t="b">
        <v>0</v>
      </c>
      <c r="G158" s="105" t="str">
        <f>IF(F158=True, IFERROR(VLOOKUP(D158, Repository!A:B, 2, 0), ""), "")</f>
        <v/>
      </c>
      <c r="H158" s="105"/>
      <c r="I158" s="105"/>
      <c r="J158" s="105" t="str">
        <f>IF(F158=True, IFERROR(VLOOKUP(D158, Repository!A:C, 3, 0), ""), "")</f>
        <v/>
      </c>
      <c r="K158" s="105"/>
      <c r="L158" s="105" t="str">
        <f>IF(F158=True, IFERROR(VLOOKUP(D158, Repository!A:E, 5, 0), ""), "")</f>
        <v/>
      </c>
      <c r="M158" s="105"/>
      <c r="N158" s="105" t="str">
        <f>IF(F158=True, IFERROR(VLOOKUP(D158, Repository!A:G, 7, 0), ""), "")</f>
        <v/>
      </c>
      <c r="O158" s="105" t="str">
        <f>IFERROR(__xludf.DUMMYFUNCTION("ARRAY_CONSTRAIN(
  ARRAYFORMULA(
    IFERROR(
      LET(
        list, N158,
        arr, TRIM(SPLIT(list, "","")),
        names, XLOOKUP(
          arr,
          'Conformance Score'!A:A,
          'Conformance Score'!B:B,
          ""Not found""
      "&amp;"  ),
        TEXTJOIN("", "", TRUE, names)
      ),
      """"
    )
  ),
  1,
  1
)
"),"")</f>
        <v/>
      </c>
      <c r="P158" s="105" t="str">
        <f>IF(F158="Yes", IFERROR(VLOOKUP(D158, Repository!A:F, 6, 0), ""), "")</f>
        <v/>
      </c>
      <c r="Q158" s="105" t="str">
        <f>IF(F158="Yes", IFERROR(VLOOKUP(D158, Repository!A:I, 8, 0), ""), "")</f>
        <v/>
      </c>
      <c r="R158" s="105" t="str">
        <f>IF(F158="Yes", IFERROR(VLOOKUP(D158, Repository!A:J, 9, 0), ""), "")</f>
        <v/>
      </c>
      <c r="S158" s="105"/>
      <c r="T158" s="105"/>
      <c r="U158" s="105"/>
      <c r="V158" s="105"/>
      <c r="W158" s="105"/>
      <c r="X158" s="105"/>
      <c r="Y158" s="105"/>
      <c r="Z158" s="105"/>
      <c r="AA158" s="105"/>
      <c r="AB158" s="105"/>
      <c r="AC158" s="91"/>
      <c r="AD158" s="105"/>
      <c r="AE158" s="105"/>
      <c r="AF158" s="91"/>
      <c r="AG158" s="105"/>
      <c r="AH158" s="105"/>
      <c r="AI158" s="105" t="str">
        <f t="shared" si="1"/>
        <v/>
      </c>
      <c r="AJ158" s="108" t="str">
        <f t="shared" si="2"/>
        <v/>
      </c>
    </row>
    <row r="159" ht="15.75" customHeight="1">
      <c r="A159" s="104"/>
      <c r="B159" s="105" t="str">
        <f>IFERROR(__xludf.DUMMYFUNCTION("ARRAY_CONSTRAIN(
  ARRAYFORMULA(
    IF(
      'Final Report'!A159="""",
      """",
      TEXTJOIN(
        "", "" &amp; CHAR(10),
        TRUE,
        IFERROR(
          VLOOKUP(
            TRIM(
              SPLIT('Final Report'!A159, "","")
           "&amp;" ),
            'URL Details'!A:B,
            2,
            FALSE
          ),
          """"
        )
      )
    )
  ),
  1,
  1
)
"),"")</f>
        <v/>
      </c>
      <c r="C159" s="105" t="str">
        <f>IFERROR(__xludf.DUMMYFUNCTION("IFERROR(IF('Final Report'!A159="""","""", TEXTJOIN(CHAR(10), TRUE, ARRAYFORMULA( ""• ""&amp; FILTER( TRIM(FLATTEN(SPLIT( REGEXREPLACE( SUBSTITUTE(TEXTJOIN("","", TRUE, IFERROR(ARRAYFORMULA(VLOOKUP(TRIM(SPLIT('Final Report'!A159, "","")), 'URL Details'!A:D, 4,"&amp;" FALSE)),"""") ), CHAR(10), "",""), ""\s*,\s*"", "",""), "",""))), TRIM(FLATTEN(SPLIT( REGEXREPLACE( SUBSTITUTE(TEXTJOIN("","", TRUE, IFERROR(ARRAYFORMULA(VLOOKUP(TRIM(SPLIT('Final Report'!A159, "","")), 'URL Details'!A:D, 4, FALSE)),"""") ), CHAR(10), """&amp;",""), ""\s*,\s*"", "",""), "","")))&lt;&gt;"""" ) ) ) ),"""")
"),"")</f>
        <v/>
      </c>
      <c r="D159" s="105"/>
      <c r="E159" s="105"/>
      <c r="F159" s="110" t="b">
        <v>0</v>
      </c>
      <c r="G159" s="105" t="str">
        <f>IF(F159=True, IFERROR(VLOOKUP(D159, Repository!A:B, 2, 0), ""), "")</f>
        <v/>
      </c>
      <c r="H159" s="105"/>
      <c r="I159" s="105"/>
      <c r="J159" s="105" t="str">
        <f>IF(F159=True, IFERROR(VLOOKUP(D159, Repository!A:C, 3, 0), ""), "")</f>
        <v/>
      </c>
      <c r="K159" s="105"/>
      <c r="L159" s="105" t="str">
        <f>IF(F159=True, IFERROR(VLOOKUP(D159, Repository!A:E, 5, 0), ""), "")</f>
        <v/>
      </c>
      <c r="M159" s="105"/>
      <c r="N159" s="105" t="str">
        <f>IF(F159=True, IFERROR(VLOOKUP(D159, Repository!A:G, 7, 0), ""), "")</f>
        <v/>
      </c>
      <c r="O159" s="105" t="str">
        <f>IFERROR(__xludf.DUMMYFUNCTION("ARRAY_CONSTRAIN(
  ARRAYFORMULA(
    IFERROR(
      LET(
        list, N159,
        arr, TRIM(SPLIT(list, "","")),
        names, XLOOKUP(
          arr,
          'Conformance Score'!A:A,
          'Conformance Score'!B:B,
          ""Not found""
      "&amp;"  ),
        TEXTJOIN("", "", TRUE, names)
      ),
      """"
    )
  ),
  1,
  1
)
"),"")</f>
        <v/>
      </c>
      <c r="P159" s="105" t="str">
        <f>IF(F159="Yes", IFERROR(VLOOKUP(D159, Repository!A:F, 6, 0), ""), "")</f>
        <v/>
      </c>
      <c r="Q159" s="105" t="str">
        <f>IF(F159="Yes", IFERROR(VLOOKUP(D159, Repository!A:I, 8, 0), ""), "")</f>
        <v/>
      </c>
      <c r="R159" s="105" t="str">
        <f>IF(F159="Yes", IFERROR(VLOOKUP(D159, Repository!A:J, 9, 0), ""), "")</f>
        <v/>
      </c>
      <c r="S159" s="105"/>
      <c r="T159" s="105"/>
      <c r="U159" s="105"/>
      <c r="V159" s="105"/>
      <c r="W159" s="105"/>
      <c r="X159" s="105"/>
      <c r="Y159" s="105"/>
      <c r="Z159" s="105"/>
      <c r="AA159" s="105"/>
      <c r="AB159" s="105"/>
      <c r="AC159" s="91"/>
      <c r="AD159" s="105"/>
      <c r="AE159" s="105"/>
      <c r="AF159" s="91"/>
      <c r="AG159" s="105"/>
      <c r="AH159" s="105"/>
      <c r="AI159" s="105" t="str">
        <f t="shared" si="1"/>
        <v/>
      </c>
      <c r="AJ159" s="108" t="str">
        <f t="shared" si="2"/>
        <v/>
      </c>
    </row>
    <row r="160" ht="15.75" customHeight="1">
      <c r="A160" s="104"/>
      <c r="B160" s="105" t="str">
        <f>IFERROR(__xludf.DUMMYFUNCTION("ARRAY_CONSTRAIN(
  ARRAYFORMULA(
    IF(
      'Final Report'!A160="""",
      """",
      TEXTJOIN(
        "", "" &amp; CHAR(10),
        TRUE,
        IFERROR(
          VLOOKUP(
            TRIM(
              SPLIT('Final Report'!A160, "","")
           "&amp;" ),
            'URL Details'!A:B,
            2,
            FALSE
          ),
          """"
        )
      )
    )
  ),
  1,
  1
)
"),"")</f>
        <v/>
      </c>
      <c r="C160" s="105" t="str">
        <f>IFERROR(__xludf.DUMMYFUNCTION("IFERROR(IF('Final Report'!A160="""","""", TEXTJOIN(CHAR(10), TRUE, ARRAYFORMULA( ""• ""&amp; FILTER( TRIM(FLATTEN(SPLIT( REGEXREPLACE( SUBSTITUTE(TEXTJOIN("","", TRUE, IFERROR(ARRAYFORMULA(VLOOKUP(TRIM(SPLIT('Final Report'!A160, "","")), 'URL Details'!A:D, 4,"&amp;" FALSE)),"""") ), CHAR(10), "",""), ""\s*,\s*"", "",""), "",""))), TRIM(FLATTEN(SPLIT( REGEXREPLACE( SUBSTITUTE(TEXTJOIN("","", TRUE, IFERROR(ARRAYFORMULA(VLOOKUP(TRIM(SPLIT('Final Report'!A160, "","")), 'URL Details'!A:D, 4, FALSE)),"""") ), CHAR(10), """&amp;",""), ""\s*,\s*"", "",""), "","")))&lt;&gt;"""" ) ) ) ),"""")
"),"")</f>
        <v/>
      </c>
      <c r="D160" s="105"/>
      <c r="E160" s="105"/>
      <c r="F160" s="110" t="b">
        <v>0</v>
      </c>
      <c r="G160" s="105" t="str">
        <f>IF(F160=True, IFERROR(VLOOKUP(D160, Repository!A:B, 2, 0), ""), "")</f>
        <v/>
      </c>
      <c r="H160" s="105"/>
      <c r="I160" s="105"/>
      <c r="J160" s="105" t="str">
        <f>IF(F160=True, IFERROR(VLOOKUP(D160, Repository!A:C, 3, 0), ""), "")</f>
        <v/>
      </c>
      <c r="K160" s="105"/>
      <c r="L160" s="105" t="str">
        <f>IF(F160=True, IFERROR(VLOOKUP(D160, Repository!A:E, 5, 0), ""), "")</f>
        <v/>
      </c>
      <c r="M160" s="105"/>
      <c r="N160" s="105" t="str">
        <f>IF(F160=True, IFERROR(VLOOKUP(D160, Repository!A:G, 7, 0), ""), "")</f>
        <v/>
      </c>
      <c r="O160" s="105" t="str">
        <f>IFERROR(__xludf.DUMMYFUNCTION("ARRAY_CONSTRAIN(
  ARRAYFORMULA(
    IFERROR(
      LET(
        list, N160,
        arr, TRIM(SPLIT(list, "","")),
        names, XLOOKUP(
          arr,
          'Conformance Score'!A:A,
          'Conformance Score'!B:B,
          ""Not found""
      "&amp;"  ),
        TEXTJOIN("", "", TRUE, names)
      ),
      """"
    )
  ),
  1,
  1
)
"),"")</f>
        <v/>
      </c>
      <c r="P160" s="105" t="str">
        <f>IF(F160="Yes", IFERROR(VLOOKUP(D160, Repository!A:F, 6, 0), ""), "")</f>
        <v/>
      </c>
      <c r="Q160" s="105" t="str">
        <f>IF(F160="Yes", IFERROR(VLOOKUP(D160, Repository!A:I, 8, 0), ""), "")</f>
        <v/>
      </c>
      <c r="R160" s="105" t="str">
        <f>IF(F160="Yes", IFERROR(VLOOKUP(D160, Repository!A:J, 9, 0), ""), "")</f>
        <v/>
      </c>
      <c r="S160" s="105"/>
      <c r="T160" s="105"/>
      <c r="U160" s="105"/>
      <c r="V160" s="105"/>
      <c r="W160" s="105"/>
      <c r="X160" s="105"/>
      <c r="Y160" s="105"/>
      <c r="Z160" s="105"/>
      <c r="AA160" s="105"/>
      <c r="AB160" s="105"/>
      <c r="AC160" s="91"/>
      <c r="AD160" s="105"/>
      <c r="AE160" s="105"/>
      <c r="AF160" s="91"/>
      <c r="AG160" s="105"/>
      <c r="AH160" s="105"/>
      <c r="AI160" s="105" t="str">
        <f t="shared" si="1"/>
        <v/>
      </c>
      <c r="AJ160" s="108" t="str">
        <f t="shared" si="2"/>
        <v/>
      </c>
    </row>
    <row r="161" ht="15.75" customHeight="1">
      <c r="A161" s="104"/>
      <c r="B161" s="105" t="str">
        <f>IFERROR(__xludf.DUMMYFUNCTION("ARRAY_CONSTRAIN(
  ARRAYFORMULA(
    IF(
      'Final Report'!A161="""",
      """",
      TEXTJOIN(
        "", "" &amp; CHAR(10),
        TRUE,
        IFERROR(
          VLOOKUP(
            TRIM(
              SPLIT('Final Report'!A161, "","")
           "&amp;" ),
            'URL Details'!A:B,
            2,
            FALSE
          ),
          """"
        )
      )
    )
  ),
  1,
  1
)
"),"")</f>
        <v/>
      </c>
      <c r="C161" s="105" t="str">
        <f>IFERROR(__xludf.DUMMYFUNCTION("IFERROR(IF('Final Report'!A161="""","""", TEXTJOIN(CHAR(10), TRUE, ARRAYFORMULA( ""• ""&amp; FILTER( TRIM(FLATTEN(SPLIT( REGEXREPLACE( SUBSTITUTE(TEXTJOIN("","", TRUE, IFERROR(ARRAYFORMULA(VLOOKUP(TRIM(SPLIT('Final Report'!A161, "","")), 'URL Details'!A:D, 4,"&amp;" FALSE)),"""") ), CHAR(10), "",""), ""\s*,\s*"", "",""), "",""))), TRIM(FLATTEN(SPLIT( REGEXREPLACE( SUBSTITUTE(TEXTJOIN("","", TRUE, IFERROR(ARRAYFORMULA(VLOOKUP(TRIM(SPLIT('Final Report'!A161, "","")), 'URL Details'!A:D, 4, FALSE)),"""") ), CHAR(10), """&amp;",""), ""\s*,\s*"", "",""), "","")))&lt;&gt;"""" ) ) ) ),"""")
"),"")</f>
        <v/>
      </c>
      <c r="D161" s="105"/>
      <c r="E161" s="105"/>
      <c r="F161" s="110" t="b">
        <v>0</v>
      </c>
      <c r="G161" s="105" t="str">
        <f>IF(F161=True, IFERROR(VLOOKUP(D161, Repository!A:B, 2, 0), ""), "")</f>
        <v/>
      </c>
      <c r="H161" s="105"/>
      <c r="I161" s="105"/>
      <c r="J161" s="105" t="str">
        <f>IF(F161=True, IFERROR(VLOOKUP(D161, Repository!A:C, 3, 0), ""), "")</f>
        <v/>
      </c>
      <c r="K161" s="105"/>
      <c r="L161" s="105" t="str">
        <f>IF(F161=True, IFERROR(VLOOKUP(D161, Repository!A:E, 5, 0), ""), "")</f>
        <v/>
      </c>
      <c r="M161" s="105"/>
      <c r="N161" s="105" t="str">
        <f>IF(F161=True, IFERROR(VLOOKUP(D161, Repository!A:G, 7, 0), ""), "")</f>
        <v/>
      </c>
      <c r="O161" s="105" t="str">
        <f>IFERROR(__xludf.DUMMYFUNCTION("ARRAY_CONSTRAIN(
  ARRAYFORMULA(
    IFERROR(
      LET(
        list, N161,
        arr, TRIM(SPLIT(list, "","")),
        names, XLOOKUP(
          arr,
          'Conformance Score'!A:A,
          'Conformance Score'!B:B,
          ""Not found""
      "&amp;"  ),
        TEXTJOIN("", "", TRUE, names)
      ),
      """"
    )
  ),
  1,
  1
)
"),"")</f>
        <v/>
      </c>
      <c r="P161" s="105" t="str">
        <f>IF(F161="Yes", IFERROR(VLOOKUP(D161, Repository!A:F, 6, 0), ""), "")</f>
        <v/>
      </c>
      <c r="Q161" s="105" t="str">
        <f>IF(F161="Yes", IFERROR(VLOOKUP(D161, Repository!A:I, 8, 0), ""), "")</f>
        <v/>
      </c>
      <c r="R161" s="105" t="str">
        <f>IF(F161="Yes", IFERROR(VLOOKUP(D161, Repository!A:J, 9, 0), ""), "")</f>
        <v/>
      </c>
      <c r="S161" s="105"/>
      <c r="T161" s="105"/>
      <c r="U161" s="105"/>
      <c r="V161" s="105"/>
      <c r="W161" s="105"/>
      <c r="X161" s="105"/>
      <c r="Y161" s="105"/>
      <c r="Z161" s="105"/>
      <c r="AA161" s="105"/>
      <c r="AB161" s="105"/>
      <c r="AC161" s="91"/>
      <c r="AD161" s="105"/>
      <c r="AE161" s="105"/>
      <c r="AF161" s="91"/>
      <c r="AG161" s="105"/>
      <c r="AH161" s="105"/>
      <c r="AI161" s="105" t="str">
        <f t="shared" si="1"/>
        <v/>
      </c>
      <c r="AJ161" s="108" t="str">
        <f t="shared" si="2"/>
        <v/>
      </c>
    </row>
    <row r="162" ht="15.75" customHeight="1">
      <c r="A162" s="104"/>
      <c r="B162" s="105" t="str">
        <f>IFERROR(__xludf.DUMMYFUNCTION("ARRAY_CONSTRAIN(
  ARRAYFORMULA(
    IF(
      'Final Report'!A162="""",
      """",
      TEXTJOIN(
        "", "" &amp; CHAR(10),
        TRUE,
        IFERROR(
          VLOOKUP(
            TRIM(
              SPLIT('Final Report'!A162, "","")
           "&amp;" ),
            'URL Details'!A:B,
            2,
            FALSE
          ),
          """"
        )
      )
    )
  ),
  1,
  1
)
"),"")</f>
        <v/>
      </c>
      <c r="C162" s="105" t="str">
        <f>IFERROR(__xludf.DUMMYFUNCTION("IFERROR(IF('Final Report'!A162="""","""", TEXTJOIN(CHAR(10), TRUE, ARRAYFORMULA( ""• ""&amp; FILTER( TRIM(FLATTEN(SPLIT( REGEXREPLACE( SUBSTITUTE(TEXTJOIN("","", TRUE, IFERROR(ARRAYFORMULA(VLOOKUP(TRIM(SPLIT('Final Report'!A162, "","")), 'URL Details'!A:D, 4,"&amp;" FALSE)),"""") ), CHAR(10), "",""), ""\s*,\s*"", "",""), "",""))), TRIM(FLATTEN(SPLIT( REGEXREPLACE( SUBSTITUTE(TEXTJOIN("","", TRUE, IFERROR(ARRAYFORMULA(VLOOKUP(TRIM(SPLIT('Final Report'!A162, "","")), 'URL Details'!A:D, 4, FALSE)),"""") ), CHAR(10), """&amp;",""), ""\s*,\s*"", "",""), "","")))&lt;&gt;"""" ) ) ) ),"""")
"),"")</f>
        <v/>
      </c>
      <c r="D162" s="105"/>
      <c r="E162" s="105"/>
      <c r="F162" s="110" t="b">
        <v>0</v>
      </c>
      <c r="G162" s="105" t="str">
        <f>IF(F162=True, IFERROR(VLOOKUP(D162, Repository!A:B, 2, 0), ""), "")</f>
        <v/>
      </c>
      <c r="H162" s="105"/>
      <c r="I162" s="105"/>
      <c r="J162" s="105" t="str">
        <f>IF(F162=True, IFERROR(VLOOKUP(D162, Repository!A:C, 3, 0), ""), "")</f>
        <v/>
      </c>
      <c r="K162" s="105"/>
      <c r="L162" s="105" t="str">
        <f>IF(F162=True, IFERROR(VLOOKUP(D162, Repository!A:E, 5, 0), ""), "")</f>
        <v/>
      </c>
      <c r="M162" s="105"/>
      <c r="N162" s="105" t="str">
        <f>IF(F162=True, IFERROR(VLOOKUP(D162, Repository!A:G, 7, 0), ""), "")</f>
        <v/>
      </c>
      <c r="O162" s="105" t="str">
        <f>IFERROR(__xludf.DUMMYFUNCTION("ARRAY_CONSTRAIN(
  ARRAYFORMULA(
    IFERROR(
      LET(
        list, N162,
        arr, TRIM(SPLIT(list, "","")),
        names, XLOOKUP(
          arr,
          'Conformance Score'!A:A,
          'Conformance Score'!B:B,
          ""Not found""
      "&amp;"  ),
        TEXTJOIN("", "", TRUE, names)
      ),
      """"
    )
  ),
  1,
  1
)
"),"")</f>
        <v/>
      </c>
      <c r="P162" s="105" t="str">
        <f>IF(F162="Yes", IFERROR(VLOOKUP(D162, Repository!A:F, 6, 0), ""), "")</f>
        <v/>
      </c>
      <c r="Q162" s="105" t="str">
        <f>IF(F162="Yes", IFERROR(VLOOKUP(D162, Repository!A:I, 8, 0), ""), "")</f>
        <v/>
      </c>
      <c r="R162" s="105" t="str">
        <f>IF(F162="Yes", IFERROR(VLOOKUP(D162, Repository!A:J, 9, 0), ""), "")</f>
        <v/>
      </c>
      <c r="S162" s="105"/>
      <c r="T162" s="105"/>
      <c r="U162" s="105"/>
      <c r="V162" s="105"/>
      <c r="W162" s="105"/>
      <c r="X162" s="105"/>
      <c r="Y162" s="105"/>
      <c r="Z162" s="105"/>
      <c r="AA162" s="105"/>
      <c r="AB162" s="105"/>
      <c r="AC162" s="91"/>
      <c r="AD162" s="105"/>
      <c r="AE162" s="105"/>
      <c r="AF162" s="91"/>
      <c r="AG162" s="105"/>
      <c r="AH162" s="105"/>
      <c r="AI162" s="105" t="str">
        <f t="shared" si="1"/>
        <v/>
      </c>
      <c r="AJ162" s="108" t="str">
        <f t="shared" si="2"/>
        <v/>
      </c>
    </row>
    <row r="163" ht="15.75" customHeight="1">
      <c r="A163" s="104"/>
      <c r="B163" s="105" t="str">
        <f>IFERROR(__xludf.DUMMYFUNCTION("ARRAY_CONSTRAIN(
  ARRAYFORMULA(
    IF(
      'Final Report'!A163="""",
      """",
      TEXTJOIN(
        "", "" &amp; CHAR(10),
        TRUE,
        IFERROR(
          VLOOKUP(
            TRIM(
              SPLIT('Final Report'!A163, "","")
           "&amp;" ),
            'URL Details'!A:B,
            2,
            FALSE
          ),
          """"
        )
      )
    )
  ),
  1,
  1
)
"),"")</f>
        <v/>
      </c>
      <c r="C163" s="105" t="str">
        <f>IFERROR(__xludf.DUMMYFUNCTION("IFERROR(IF('Final Report'!A163="""","""", TEXTJOIN(CHAR(10), TRUE, ARRAYFORMULA( ""• ""&amp; FILTER( TRIM(FLATTEN(SPLIT( REGEXREPLACE( SUBSTITUTE(TEXTJOIN("","", TRUE, IFERROR(ARRAYFORMULA(VLOOKUP(TRIM(SPLIT('Final Report'!A163, "","")), 'URL Details'!A:D, 4,"&amp;" FALSE)),"""") ), CHAR(10), "",""), ""\s*,\s*"", "",""), "",""))), TRIM(FLATTEN(SPLIT( REGEXREPLACE( SUBSTITUTE(TEXTJOIN("","", TRUE, IFERROR(ARRAYFORMULA(VLOOKUP(TRIM(SPLIT('Final Report'!A163, "","")), 'URL Details'!A:D, 4, FALSE)),"""") ), CHAR(10), """&amp;",""), ""\s*,\s*"", "",""), "","")))&lt;&gt;"""" ) ) ) ),"""")
"),"")</f>
        <v/>
      </c>
      <c r="D163" s="105"/>
      <c r="E163" s="105"/>
      <c r="F163" s="110" t="b">
        <v>0</v>
      </c>
      <c r="G163" s="105" t="str">
        <f>IF(F163=True, IFERROR(VLOOKUP(D163, Repository!A:B, 2, 0), ""), "")</f>
        <v/>
      </c>
      <c r="H163" s="105"/>
      <c r="I163" s="105"/>
      <c r="J163" s="105" t="str">
        <f>IF(F163=True, IFERROR(VLOOKUP(D163, Repository!A:C, 3, 0), ""), "")</f>
        <v/>
      </c>
      <c r="K163" s="105"/>
      <c r="L163" s="105" t="str">
        <f>IF(F163=True, IFERROR(VLOOKUP(D163, Repository!A:E, 5, 0), ""), "")</f>
        <v/>
      </c>
      <c r="M163" s="105"/>
      <c r="N163" s="105" t="str">
        <f>IF(F163=True, IFERROR(VLOOKUP(D163, Repository!A:G, 7, 0), ""), "")</f>
        <v/>
      </c>
      <c r="O163" s="105" t="str">
        <f>IFERROR(__xludf.DUMMYFUNCTION("ARRAY_CONSTRAIN(
  ARRAYFORMULA(
    IFERROR(
      LET(
        list, N163,
        arr, TRIM(SPLIT(list, "","")),
        names, XLOOKUP(
          arr,
          'Conformance Score'!A:A,
          'Conformance Score'!B:B,
          ""Not found""
      "&amp;"  ),
        TEXTJOIN("", "", TRUE, names)
      ),
      """"
    )
  ),
  1,
  1
)
"),"")</f>
        <v/>
      </c>
      <c r="P163" s="105" t="str">
        <f>IF(F163="Yes", IFERROR(VLOOKUP(D163, Repository!A:F, 6, 0), ""), "")</f>
        <v/>
      </c>
      <c r="Q163" s="105" t="str">
        <f>IF(F163="Yes", IFERROR(VLOOKUP(D163, Repository!A:I, 8, 0), ""), "")</f>
        <v/>
      </c>
      <c r="R163" s="105" t="str">
        <f>IF(F163="Yes", IFERROR(VLOOKUP(D163, Repository!A:J, 9, 0), ""), "")</f>
        <v/>
      </c>
      <c r="S163" s="105"/>
      <c r="T163" s="105"/>
      <c r="U163" s="105"/>
      <c r="V163" s="105"/>
      <c r="W163" s="105"/>
      <c r="X163" s="105"/>
      <c r="Y163" s="105"/>
      <c r="Z163" s="105"/>
      <c r="AA163" s="105"/>
      <c r="AB163" s="105"/>
      <c r="AC163" s="91"/>
      <c r="AD163" s="105"/>
      <c r="AE163" s="105"/>
      <c r="AF163" s="91"/>
      <c r="AG163" s="105"/>
      <c r="AH163" s="105"/>
      <c r="AI163" s="105" t="str">
        <f t="shared" si="1"/>
        <v/>
      </c>
      <c r="AJ163" s="108" t="str">
        <f t="shared" si="2"/>
        <v/>
      </c>
    </row>
    <row r="164" ht="15.75" customHeight="1">
      <c r="A164" s="104"/>
      <c r="B164" s="105" t="str">
        <f>IFERROR(__xludf.DUMMYFUNCTION("ARRAY_CONSTRAIN(
  ARRAYFORMULA(
    IF(
      'Final Report'!A164="""",
      """",
      TEXTJOIN(
        "", "" &amp; CHAR(10),
        TRUE,
        IFERROR(
          VLOOKUP(
            TRIM(
              SPLIT('Final Report'!A164, "","")
           "&amp;" ),
            'URL Details'!A:B,
            2,
            FALSE
          ),
          """"
        )
      )
    )
  ),
  1,
  1
)
"),"")</f>
        <v/>
      </c>
      <c r="C164" s="105" t="str">
        <f>IFERROR(__xludf.DUMMYFUNCTION("IFERROR(IF('Final Report'!A164="""","""", TEXTJOIN(CHAR(10), TRUE, ARRAYFORMULA( ""• ""&amp; FILTER( TRIM(FLATTEN(SPLIT( REGEXREPLACE( SUBSTITUTE(TEXTJOIN("","", TRUE, IFERROR(ARRAYFORMULA(VLOOKUP(TRIM(SPLIT('Final Report'!A164, "","")), 'URL Details'!A:D, 4,"&amp;" FALSE)),"""") ), CHAR(10), "",""), ""\s*,\s*"", "",""), "",""))), TRIM(FLATTEN(SPLIT( REGEXREPLACE( SUBSTITUTE(TEXTJOIN("","", TRUE, IFERROR(ARRAYFORMULA(VLOOKUP(TRIM(SPLIT('Final Report'!A164, "","")), 'URL Details'!A:D, 4, FALSE)),"""") ), CHAR(10), """&amp;",""), ""\s*,\s*"", "",""), "","")))&lt;&gt;"""" ) ) ) ),"""")
"),"")</f>
        <v/>
      </c>
      <c r="D164" s="105"/>
      <c r="E164" s="105"/>
      <c r="F164" s="110" t="b">
        <v>0</v>
      </c>
      <c r="G164" s="105" t="str">
        <f>IF(F164=True, IFERROR(VLOOKUP(D164, Repository!A:B, 2, 0), ""), "")</f>
        <v/>
      </c>
      <c r="H164" s="105"/>
      <c r="I164" s="105"/>
      <c r="J164" s="105" t="str">
        <f>IF(F164=True, IFERROR(VLOOKUP(D164, Repository!A:C, 3, 0), ""), "")</f>
        <v/>
      </c>
      <c r="K164" s="105"/>
      <c r="L164" s="105" t="str">
        <f>IF(F164=True, IFERROR(VLOOKUP(D164, Repository!A:E, 5, 0), ""), "")</f>
        <v/>
      </c>
      <c r="M164" s="105"/>
      <c r="N164" s="105" t="str">
        <f>IF(F164=True, IFERROR(VLOOKUP(D164, Repository!A:G, 7, 0), ""), "")</f>
        <v/>
      </c>
      <c r="O164" s="105" t="str">
        <f>IFERROR(__xludf.DUMMYFUNCTION("ARRAY_CONSTRAIN(
  ARRAYFORMULA(
    IFERROR(
      LET(
        list, N164,
        arr, TRIM(SPLIT(list, "","")),
        names, XLOOKUP(
          arr,
          'Conformance Score'!A:A,
          'Conformance Score'!B:B,
          ""Not found""
      "&amp;"  ),
        TEXTJOIN("", "", TRUE, names)
      ),
      """"
    )
  ),
  1,
  1
)
"),"")</f>
        <v/>
      </c>
      <c r="P164" s="105" t="str">
        <f>IF(F164="Yes", IFERROR(VLOOKUP(D164, Repository!A:F, 6, 0), ""), "")</f>
        <v/>
      </c>
      <c r="Q164" s="105" t="str">
        <f>IF(F164="Yes", IFERROR(VLOOKUP(D164, Repository!A:I, 8, 0), ""), "")</f>
        <v/>
      </c>
      <c r="R164" s="105" t="str">
        <f>IF(F164="Yes", IFERROR(VLOOKUP(D164, Repository!A:J, 9, 0), ""), "")</f>
        <v/>
      </c>
      <c r="S164" s="105"/>
      <c r="T164" s="105"/>
      <c r="U164" s="105"/>
      <c r="V164" s="105"/>
      <c r="W164" s="105"/>
      <c r="X164" s="105"/>
      <c r="Y164" s="105"/>
      <c r="Z164" s="105"/>
      <c r="AA164" s="105"/>
      <c r="AB164" s="105"/>
      <c r="AC164" s="91"/>
      <c r="AD164" s="105"/>
      <c r="AE164" s="105"/>
      <c r="AF164" s="91"/>
      <c r="AG164" s="105"/>
      <c r="AH164" s="105"/>
      <c r="AI164" s="105" t="str">
        <f t="shared" si="1"/>
        <v/>
      </c>
      <c r="AJ164" s="108" t="str">
        <f t="shared" si="2"/>
        <v/>
      </c>
    </row>
    <row r="165" ht="15.75" customHeight="1">
      <c r="A165" s="104"/>
      <c r="B165" s="105" t="str">
        <f>IFERROR(__xludf.DUMMYFUNCTION("ARRAY_CONSTRAIN(
  ARRAYFORMULA(
    IF(
      'Final Report'!A165="""",
      """",
      TEXTJOIN(
        "", "" &amp; CHAR(10),
        TRUE,
        IFERROR(
          VLOOKUP(
            TRIM(
              SPLIT('Final Report'!A165, "","")
           "&amp;" ),
            'URL Details'!A:B,
            2,
            FALSE
          ),
          """"
        )
      )
    )
  ),
  1,
  1
)
"),"")</f>
        <v/>
      </c>
      <c r="C165" s="105" t="str">
        <f>IFERROR(__xludf.DUMMYFUNCTION("IFERROR(IF('Final Report'!A165="""","""", TEXTJOIN(CHAR(10), TRUE, ARRAYFORMULA( ""• ""&amp; FILTER( TRIM(FLATTEN(SPLIT( REGEXREPLACE( SUBSTITUTE(TEXTJOIN("","", TRUE, IFERROR(ARRAYFORMULA(VLOOKUP(TRIM(SPLIT('Final Report'!A165, "","")), 'URL Details'!A:D, 4,"&amp;" FALSE)),"""") ), CHAR(10), "",""), ""\s*,\s*"", "",""), "",""))), TRIM(FLATTEN(SPLIT( REGEXREPLACE( SUBSTITUTE(TEXTJOIN("","", TRUE, IFERROR(ARRAYFORMULA(VLOOKUP(TRIM(SPLIT('Final Report'!A165, "","")), 'URL Details'!A:D, 4, FALSE)),"""") ), CHAR(10), """&amp;",""), ""\s*,\s*"", "",""), "","")))&lt;&gt;"""" ) ) ) ),"""")
"),"")</f>
        <v/>
      </c>
      <c r="D165" s="105"/>
      <c r="E165" s="105"/>
      <c r="F165" s="110" t="b">
        <v>0</v>
      </c>
      <c r="G165" s="105" t="str">
        <f>IF(F165=True, IFERROR(VLOOKUP(D165, Repository!A:B, 2, 0), ""), "")</f>
        <v/>
      </c>
      <c r="H165" s="105"/>
      <c r="I165" s="105"/>
      <c r="J165" s="105" t="str">
        <f>IF(F165=True, IFERROR(VLOOKUP(D165, Repository!A:C, 3, 0), ""), "")</f>
        <v/>
      </c>
      <c r="K165" s="105"/>
      <c r="L165" s="105" t="str">
        <f>IF(F165=True, IFERROR(VLOOKUP(D165, Repository!A:E, 5, 0), ""), "")</f>
        <v/>
      </c>
      <c r="M165" s="105"/>
      <c r="N165" s="105" t="str">
        <f>IF(F165=True, IFERROR(VLOOKUP(D165, Repository!A:G, 7, 0), ""), "")</f>
        <v/>
      </c>
      <c r="O165" s="105" t="str">
        <f>IFERROR(__xludf.DUMMYFUNCTION("ARRAY_CONSTRAIN(
  ARRAYFORMULA(
    IFERROR(
      LET(
        list, N165,
        arr, TRIM(SPLIT(list, "","")),
        names, XLOOKUP(
          arr,
          'Conformance Score'!A:A,
          'Conformance Score'!B:B,
          ""Not found""
      "&amp;"  ),
        TEXTJOIN("", "", TRUE, names)
      ),
      """"
    )
  ),
  1,
  1
)
"),"")</f>
        <v/>
      </c>
      <c r="P165" s="105" t="str">
        <f>IF(F165="Yes", IFERROR(VLOOKUP(D165, Repository!A:F, 6, 0), ""), "")</f>
        <v/>
      </c>
      <c r="Q165" s="105" t="str">
        <f>IF(F165="Yes", IFERROR(VLOOKUP(D165, Repository!A:I, 8, 0), ""), "")</f>
        <v/>
      </c>
      <c r="R165" s="105" t="str">
        <f>IF(F165="Yes", IFERROR(VLOOKUP(D165, Repository!A:J, 9, 0), ""), "")</f>
        <v/>
      </c>
      <c r="S165" s="105"/>
      <c r="T165" s="105"/>
      <c r="U165" s="105"/>
      <c r="V165" s="105"/>
      <c r="W165" s="105"/>
      <c r="X165" s="105"/>
      <c r="Y165" s="105"/>
      <c r="Z165" s="105"/>
      <c r="AA165" s="105"/>
      <c r="AB165" s="105"/>
      <c r="AC165" s="91"/>
      <c r="AD165" s="105"/>
      <c r="AE165" s="105"/>
      <c r="AF165" s="91"/>
      <c r="AG165" s="105"/>
      <c r="AH165" s="105"/>
      <c r="AI165" s="105" t="str">
        <f t="shared" si="1"/>
        <v/>
      </c>
      <c r="AJ165" s="108" t="str">
        <f t="shared" si="2"/>
        <v/>
      </c>
    </row>
    <row r="166" ht="15.75" customHeight="1">
      <c r="A166" s="104"/>
      <c r="B166" s="105" t="str">
        <f>IFERROR(__xludf.DUMMYFUNCTION("ARRAY_CONSTRAIN(
  ARRAYFORMULA(
    IF(
      'Final Report'!A166="""",
      """",
      TEXTJOIN(
        "", "" &amp; CHAR(10),
        TRUE,
        IFERROR(
          VLOOKUP(
            TRIM(
              SPLIT('Final Report'!A166, "","")
           "&amp;" ),
            'URL Details'!A:B,
            2,
            FALSE
          ),
          """"
        )
      )
    )
  ),
  1,
  1
)
"),"")</f>
        <v/>
      </c>
      <c r="C166" s="105" t="str">
        <f>IFERROR(__xludf.DUMMYFUNCTION("IFERROR(IF('Final Report'!A166="""","""", TEXTJOIN(CHAR(10), TRUE, ARRAYFORMULA( ""• ""&amp; FILTER( TRIM(FLATTEN(SPLIT( REGEXREPLACE( SUBSTITUTE(TEXTJOIN("","", TRUE, IFERROR(ARRAYFORMULA(VLOOKUP(TRIM(SPLIT('Final Report'!A166, "","")), 'URL Details'!A:D, 4,"&amp;" FALSE)),"""") ), CHAR(10), "",""), ""\s*,\s*"", "",""), "",""))), TRIM(FLATTEN(SPLIT( REGEXREPLACE( SUBSTITUTE(TEXTJOIN("","", TRUE, IFERROR(ARRAYFORMULA(VLOOKUP(TRIM(SPLIT('Final Report'!A166, "","")), 'URL Details'!A:D, 4, FALSE)),"""") ), CHAR(10), """&amp;",""), ""\s*,\s*"", "",""), "","")))&lt;&gt;"""" ) ) ) ),"""")
"),"")</f>
        <v/>
      </c>
      <c r="D166" s="105"/>
      <c r="E166" s="105"/>
      <c r="F166" s="110" t="b">
        <v>0</v>
      </c>
      <c r="G166" s="105" t="str">
        <f>IF(F166=True, IFERROR(VLOOKUP(D166, Repository!A:B, 2, 0), ""), "")</f>
        <v/>
      </c>
      <c r="H166" s="105"/>
      <c r="I166" s="105"/>
      <c r="J166" s="105" t="str">
        <f>IF(F166=True, IFERROR(VLOOKUP(D166, Repository!A:C, 3, 0), ""), "")</f>
        <v/>
      </c>
      <c r="K166" s="105"/>
      <c r="L166" s="105" t="str">
        <f>IF(F166=True, IFERROR(VLOOKUP(D166, Repository!A:E, 5, 0), ""), "")</f>
        <v/>
      </c>
      <c r="M166" s="105"/>
      <c r="N166" s="105" t="str">
        <f>IF(F166=True, IFERROR(VLOOKUP(D166, Repository!A:G, 7, 0), ""), "")</f>
        <v/>
      </c>
      <c r="O166" s="105" t="str">
        <f>IFERROR(__xludf.DUMMYFUNCTION("ARRAY_CONSTRAIN(
  ARRAYFORMULA(
    IFERROR(
      LET(
        list, N166,
        arr, TRIM(SPLIT(list, "","")),
        names, XLOOKUP(
          arr,
          'Conformance Score'!A:A,
          'Conformance Score'!B:B,
          ""Not found""
      "&amp;"  ),
        TEXTJOIN("", "", TRUE, names)
      ),
      """"
    )
  ),
  1,
  1
)
"),"")</f>
        <v/>
      </c>
      <c r="P166" s="105" t="str">
        <f>IF(F166="Yes", IFERROR(VLOOKUP(D166, Repository!A:F, 6, 0), ""), "")</f>
        <v/>
      </c>
      <c r="Q166" s="105" t="str">
        <f>IF(F166="Yes", IFERROR(VLOOKUP(D166, Repository!A:I, 8, 0), ""), "")</f>
        <v/>
      </c>
      <c r="R166" s="105" t="str">
        <f>IF(F166="Yes", IFERROR(VLOOKUP(D166, Repository!A:J, 9, 0), ""), "")</f>
        <v/>
      </c>
      <c r="S166" s="105"/>
      <c r="T166" s="105"/>
      <c r="U166" s="105"/>
      <c r="V166" s="105"/>
      <c r="W166" s="105"/>
      <c r="X166" s="105"/>
      <c r="Y166" s="105"/>
      <c r="Z166" s="105"/>
      <c r="AA166" s="105"/>
      <c r="AB166" s="105"/>
      <c r="AC166" s="91"/>
      <c r="AD166" s="105"/>
      <c r="AE166" s="105"/>
      <c r="AF166" s="91"/>
      <c r="AG166" s="105"/>
      <c r="AH166" s="105"/>
      <c r="AI166" s="105" t="str">
        <f t="shared" si="1"/>
        <v/>
      </c>
      <c r="AJ166" s="108" t="str">
        <f t="shared" si="2"/>
        <v/>
      </c>
    </row>
    <row r="167" ht="15.75" customHeight="1">
      <c r="A167" s="104"/>
      <c r="B167" s="105" t="str">
        <f>IFERROR(__xludf.DUMMYFUNCTION("ARRAY_CONSTRAIN(
  ARRAYFORMULA(
    IF(
      'Final Report'!A167="""",
      """",
      TEXTJOIN(
        "", "" &amp; CHAR(10),
        TRUE,
        IFERROR(
          VLOOKUP(
            TRIM(
              SPLIT('Final Report'!A167, "","")
           "&amp;" ),
            'URL Details'!A:B,
            2,
            FALSE
          ),
          """"
        )
      )
    )
  ),
  1,
  1
)
"),"")</f>
        <v/>
      </c>
      <c r="C167" s="105" t="str">
        <f>IFERROR(__xludf.DUMMYFUNCTION("IFERROR(IF('Final Report'!A167="""","""", TEXTJOIN(CHAR(10), TRUE, ARRAYFORMULA( ""• ""&amp; FILTER( TRIM(FLATTEN(SPLIT( REGEXREPLACE( SUBSTITUTE(TEXTJOIN("","", TRUE, IFERROR(ARRAYFORMULA(VLOOKUP(TRIM(SPLIT('Final Report'!A167, "","")), 'URL Details'!A:D, 4,"&amp;" FALSE)),"""") ), CHAR(10), "",""), ""\s*,\s*"", "",""), "",""))), TRIM(FLATTEN(SPLIT( REGEXREPLACE( SUBSTITUTE(TEXTJOIN("","", TRUE, IFERROR(ARRAYFORMULA(VLOOKUP(TRIM(SPLIT('Final Report'!A167, "","")), 'URL Details'!A:D, 4, FALSE)),"""") ), CHAR(10), """&amp;",""), ""\s*,\s*"", "",""), "","")))&lt;&gt;"""" ) ) ) ),"""")
"),"")</f>
        <v/>
      </c>
      <c r="D167" s="105"/>
      <c r="E167" s="105"/>
      <c r="F167" s="110" t="b">
        <v>0</v>
      </c>
      <c r="G167" s="105" t="str">
        <f>IF(F167=True, IFERROR(VLOOKUP(D167, Repository!A:B, 2, 0), ""), "")</f>
        <v/>
      </c>
      <c r="H167" s="105"/>
      <c r="I167" s="105"/>
      <c r="J167" s="105" t="str">
        <f>IF(F167=True, IFERROR(VLOOKUP(D167, Repository!A:C, 3, 0), ""), "")</f>
        <v/>
      </c>
      <c r="K167" s="105"/>
      <c r="L167" s="105" t="str">
        <f>IF(F167=True, IFERROR(VLOOKUP(D167, Repository!A:E, 5, 0), ""), "")</f>
        <v/>
      </c>
      <c r="M167" s="105"/>
      <c r="N167" s="105" t="str">
        <f>IF(F167=True, IFERROR(VLOOKUP(D167, Repository!A:G, 7, 0), ""), "")</f>
        <v/>
      </c>
      <c r="O167" s="105" t="str">
        <f>IFERROR(__xludf.DUMMYFUNCTION("ARRAY_CONSTRAIN(
  ARRAYFORMULA(
    IFERROR(
      LET(
        list, N167,
        arr, TRIM(SPLIT(list, "","")),
        names, XLOOKUP(
          arr,
          'Conformance Score'!A:A,
          'Conformance Score'!B:B,
          ""Not found""
      "&amp;"  ),
        TEXTJOIN("", "", TRUE, names)
      ),
      """"
    )
  ),
  1,
  1
)
"),"")</f>
        <v/>
      </c>
      <c r="P167" s="105" t="str">
        <f>IF(F167="Yes", IFERROR(VLOOKUP(D167, Repository!A:F, 6, 0), ""), "")</f>
        <v/>
      </c>
      <c r="Q167" s="105" t="str">
        <f>IF(F167="Yes", IFERROR(VLOOKUP(D167, Repository!A:I, 8, 0), ""), "")</f>
        <v/>
      </c>
      <c r="R167" s="105" t="str">
        <f>IF(F167="Yes", IFERROR(VLOOKUP(D167, Repository!A:J, 9, 0), ""), "")</f>
        <v/>
      </c>
      <c r="S167" s="105"/>
      <c r="T167" s="105"/>
      <c r="U167" s="105"/>
      <c r="V167" s="105"/>
      <c r="W167" s="105"/>
      <c r="X167" s="105"/>
      <c r="Y167" s="105"/>
      <c r="Z167" s="105"/>
      <c r="AA167" s="105"/>
      <c r="AB167" s="105"/>
      <c r="AC167" s="91"/>
      <c r="AD167" s="105"/>
      <c r="AE167" s="105"/>
      <c r="AF167" s="91"/>
      <c r="AG167" s="105"/>
      <c r="AH167" s="105"/>
      <c r="AI167" s="105" t="str">
        <f t="shared" si="1"/>
        <v/>
      </c>
      <c r="AJ167" s="108" t="str">
        <f t="shared" si="2"/>
        <v/>
      </c>
    </row>
    <row r="168" ht="15.75" customHeight="1">
      <c r="A168" s="104"/>
      <c r="B168" s="105" t="str">
        <f>IFERROR(__xludf.DUMMYFUNCTION("ARRAY_CONSTRAIN(
  ARRAYFORMULA(
    IF(
      'Final Report'!A168="""",
      """",
      TEXTJOIN(
        "", "" &amp; CHAR(10),
        TRUE,
        IFERROR(
          VLOOKUP(
            TRIM(
              SPLIT('Final Report'!A168, "","")
           "&amp;" ),
            'URL Details'!A:B,
            2,
            FALSE
          ),
          """"
        )
      )
    )
  ),
  1,
  1
)
"),"")</f>
        <v/>
      </c>
      <c r="C168" s="105" t="str">
        <f>IFERROR(__xludf.DUMMYFUNCTION("IFERROR(IF('Final Report'!A168="""","""", TEXTJOIN(CHAR(10), TRUE, ARRAYFORMULA( ""• ""&amp; FILTER( TRIM(FLATTEN(SPLIT( REGEXREPLACE( SUBSTITUTE(TEXTJOIN("","", TRUE, IFERROR(ARRAYFORMULA(VLOOKUP(TRIM(SPLIT('Final Report'!A168, "","")), 'URL Details'!A:D, 4,"&amp;" FALSE)),"""") ), CHAR(10), "",""), ""\s*,\s*"", "",""), "",""))), TRIM(FLATTEN(SPLIT( REGEXREPLACE( SUBSTITUTE(TEXTJOIN("","", TRUE, IFERROR(ARRAYFORMULA(VLOOKUP(TRIM(SPLIT('Final Report'!A168, "","")), 'URL Details'!A:D, 4, FALSE)),"""") ), CHAR(10), """&amp;",""), ""\s*,\s*"", "",""), "","")))&lt;&gt;"""" ) ) ) ),"""")
"),"")</f>
        <v/>
      </c>
      <c r="D168" s="105"/>
      <c r="E168" s="105"/>
      <c r="F168" s="110" t="b">
        <v>0</v>
      </c>
      <c r="G168" s="105" t="str">
        <f>IF(F168=True, IFERROR(VLOOKUP(D168, Repository!A:B, 2, 0), ""), "")</f>
        <v/>
      </c>
      <c r="H168" s="105"/>
      <c r="I168" s="105"/>
      <c r="J168" s="105" t="str">
        <f>IF(F168=True, IFERROR(VLOOKUP(D168, Repository!A:C, 3, 0), ""), "")</f>
        <v/>
      </c>
      <c r="K168" s="105"/>
      <c r="L168" s="105" t="str">
        <f>IF(F168=True, IFERROR(VLOOKUP(D168, Repository!A:E, 5, 0), ""), "")</f>
        <v/>
      </c>
      <c r="M168" s="105"/>
      <c r="N168" s="105" t="str">
        <f>IF(F168=True, IFERROR(VLOOKUP(D168, Repository!A:G, 7, 0), ""), "")</f>
        <v/>
      </c>
      <c r="O168" s="105" t="str">
        <f>IFERROR(__xludf.DUMMYFUNCTION("ARRAY_CONSTRAIN(
  ARRAYFORMULA(
    IFERROR(
      LET(
        list, N168,
        arr, TRIM(SPLIT(list, "","")),
        names, XLOOKUP(
          arr,
          'Conformance Score'!A:A,
          'Conformance Score'!B:B,
          ""Not found""
      "&amp;"  ),
        TEXTJOIN("", "", TRUE, names)
      ),
      """"
    )
  ),
  1,
  1
)
"),"")</f>
        <v/>
      </c>
      <c r="P168" s="105" t="str">
        <f>IF(F168="Yes", IFERROR(VLOOKUP(D168, Repository!A:F, 6, 0), ""), "")</f>
        <v/>
      </c>
      <c r="Q168" s="105" t="str">
        <f>IF(F168="Yes", IFERROR(VLOOKUP(D168, Repository!A:I, 8, 0), ""), "")</f>
        <v/>
      </c>
      <c r="R168" s="105" t="str">
        <f>IF(F168="Yes", IFERROR(VLOOKUP(D168, Repository!A:J, 9, 0), ""), "")</f>
        <v/>
      </c>
      <c r="S168" s="105"/>
      <c r="T168" s="105"/>
      <c r="U168" s="105"/>
      <c r="V168" s="105"/>
      <c r="W168" s="105"/>
      <c r="X168" s="105"/>
      <c r="Y168" s="105"/>
      <c r="Z168" s="105"/>
      <c r="AA168" s="105"/>
      <c r="AB168" s="105"/>
      <c r="AC168" s="91"/>
      <c r="AD168" s="105"/>
      <c r="AE168" s="105"/>
      <c r="AF168" s="91"/>
      <c r="AG168" s="105"/>
      <c r="AH168" s="105"/>
      <c r="AI168" s="105" t="str">
        <f t="shared" si="1"/>
        <v/>
      </c>
      <c r="AJ168" s="108" t="str">
        <f t="shared" si="2"/>
        <v/>
      </c>
    </row>
    <row r="169" ht="15.75" customHeight="1">
      <c r="A169" s="104"/>
      <c r="B169" s="105" t="str">
        <f>IFERROR(__xludf.DUMMYFUNCTION("ARRAY_CONSTRAIN(
  ARRAYFORMULA(
    IF(
      'Final Report'!A169="""",
      """",
      TEXTJOIN(
        "", "" &amp; CHAR(10),
        TRUE,
        IFERROR(
          VLOOKUP(
            TRIM(
              SPLIT('Final Report'!A169, "","")
           "&amp;" ),
            'URL Details'!A:B,
            2,
            FALSE
          ),
          """"
        )
      )
    )
  ),
  1,
  1
)
"),"")</f>
        <v/>
      </c>
      <c r="C169" s="105" t="str">
        <f>IFERROR(__xludf.DUMMYFUNCTION("IFERROR(IF('Final Report'!A169="""","""", TEXTJOIN(CHAR(10), TRUE, ARRAYFORMULA( ""• ""&amp; FILTER( TRIM(FLATTEN(SPLIT( REGEXREPLACE( SUBSTITUTE(TEXTJOIN("","", TRUE, IFERROR(ARRAYFORMULA(VLOOKUP(TRIM(SPLIT('Final Report'!A169, "","")), 'URL Details'!A:D, 4,"&amp;" FALSE)),"""") ), CHAR(10), "",""), ""\s*,\s*"", "",""), "",""))), TRIM(FLATTEN(SPLIT( REGEXREPLACE( SUBSTITUTE(TEXTJOIN("","", TRUE, IFERROR(ARRAYFORMULA(VLOOKUP(TRIM(SPLIT('Final Report'!A169, "","")), 'URL Details'!A:D, 4, FALSE)),"""") ), CHAR(10), """&amp;",""), ""\s*,\s*"", "",""), "","")))&lt;&gt;"""" ) ) ) ),"""")
"),"")</f>
        <v/>
      </c>
      <c r="D169" s="105"/>
      <c r="E169" s="105"/>
      <c r="F169" s="110" t="b">
        <v>0</v>
      </c>
      <c r="G169" s="105" t="str">
        <f>IF(F169=True, IFERROR(VLOOKUP(D169, Repository!A:B, 2, 0), ""), "")</f>
        <v/>
      </c>
      <c r="H169" s="105"/>
      <c r="I169" s="105"/>
      <c r="J169" s="105" t="str">
        <f>IF(F169=True, IFERROR(VLOOKUP(D169, Repository!A:C, 3, 0), ""), "")</f>
        <v/>
      </c>
      <c r="K169" s="105"/>
      <c r="L169" s="105" t="str">
        <f>IF(F169=True, IFERROR(VLOOKUP(D169, Repository!A:E, 5, 0), ""), "")</f>
        <v/>
      </c>
      <c r="M169" s="105"/>
      <c r="N169" s="105" t="str">
        <f>IF(F169=True, IFERROR(VLOOKUP(D169, Repository!A:G, 7, 0), ""), "")</f>
        <v/>
      </c>
      <c r="O169" s="105" t="str">
        <f>IFERROR(__xludf.DUMMYFUNCTION("ARRAY_CONSTRAIN(
  ARRAYFORMULA(
    IFERROR(
      LET(
        list, N169,
        arr, TRIM(SPLIT(list, "","")),
        names, XLOOKUP(
          arr,
          'Conformance Score'!A:A,
          'Conformance Score'!B:B,
          ""Not found""
      "&amp;"  ),
        TEXTJOIN("", "", TRUE, names)
      ),
      """"
    )
  ),
  1,
  1
)
"),"")</f>
        <v/>
      </c>
      <c r="P169" s="105" t="str">
        <f>IF(F169="Yes", IFERROR(VLOOKUP(D169, Repository!A:F, 6, 0), ""), "")</f>
        <v/>
      </c>
      <c r="Q169" s="105" t="str">
        <f>IF(F169="Yes", IFERROR(VLOOKUP(D169, Repository!A:I, 8, 0), ""), "")</f>
        <v/>
      </c>
      <c r="R169" s="105" t="str">
        <f>IF(F169="Yes", IFERROR(VLOOKUP(D169, Repository!A:J, 9, 0), ""), "")</f>
        <v/>
      </c>
      <c r="S169" s="105"/>
      <c r="T169" s="105"/>
      <c r="U169" s="105"/>
      <c r="V169" s="105"/>
      <c r="W169" s="105"/>
      <c r="X169" s="105"/>
      <c r="Y169" s="105"/>
      <c r="Z169" s="105"/>
      <c r="AA169" s="105"/>
      <c r="AB169" s="105"/>
      <c r="AC169" s="91"/>
      <c r="AD169" s="105"/>
      <c r="AE169" s="105"/>
      <c r="AF169" s="91"/>
      <c r="AG169" s="105"/>
      <c r="AH169" s="105"/>
      <c r="AI169" s="105" t="str">
        <f t="shared" si="1"/>
        <v/>
      </c>
      <c r="AJ169" s="108" t="str">
        <f t="shared" si="2"/>
        <v/>
      </c>
    </row>
    <row r="170" ht="15.75" customHeight="1">
      <c r="A170" s="104"/>
      <c r="B170" s="105" t="str">
        <f>IFERROR(__xludf.DUMMYFUNCTION("ARRAY_CONSTRAIN(
  ARRAYFORMULA(
    IF(
      'Final Report'!A170="""",
      """",
      TEXTJOIN(
        "", "" &amp; CHAR(10),
        TRUE,
        IFERROR(
          VLOOKUP(
            TRIM(
              SPLIT('Final Report'!A170, "","")
           "&amp;" ),
            'URL Details'!A:B,
            2,
            FALSE
          ),
          """"
        )
      )
    )
  ),
  1,
  1
)
"),"")</f>
        <v/>
      </c>
      <c r="C170" s="105" t="str">
        <f>IFERROR(__xludf.DUMMYFUNCTION("IFERROR(IF('Final Report'!A170="""","""", TEXTJOIN(CHAR(10), TRUE, ARRAYFORMULA( ""• ""&amp; FILTER( TRIM(FLATTEN(SPLIT( REGEXREPLACE( SUBSTITUTE(TEXTJOIN("","", TRUE, IFERROR(ARRAYFORMULA(VLOOKUP(TRIM(SPLIT('Final Report'!A170, "","")), 'URL Details'!A:D, 4,"&amp;" FALSE)),"""") ), CHAR(10), "",""), ""\s*,\s*"", "",""), "",""))), TRIM(FLATTEN(SPLIT( REGEXREPLACE( SUBSTITUTE(TEXTJOIN("","", TRUE, IFERROR(ARRAYFORMULA(VLOOKUP(TRIM(SPLIT('Final Report'!A170, "","")), 'URL Details'!A:D, 4, FALSE)),"""") ), CHAR(10), """&amp;",""), ""\s*,\s*"", "",""), "","")))&lt;&gt;"""" ) ) ) ),"""")
"),"")</f>
        <v/>
      </c>
      <c r="D170" s="105"/>
      <c r="E170" s="105"/>
      <c r="F170" s="110" t="b">
        <v>0</v>
      </c>
      <c r="G170" s="105" t="str">
        <f>IF(F170=True, IFERROR(VLOOKUP(D170, Repository!A:B, 2, 0), ""), "")</f>
        <v/>
      </c>
      <c r="H170" s="105"/>
      <c r="I170" s="105"/>
      <c r="J170" s="105" t="str">
        <f>IF(F170=True, IFERROR(VLOOKUP(D170, Repository!A:C, 3, 0), ""), "")</f>
        <v/>
      </c>
      <c r="K170" s="105"/>
      <c r="L170" s="105" t="str">
        <f>IF(F170=True, IFERROR(VLOOKUP(D170, Repository!A:E, 5, 0), ""), "")</f>
        <v/>
      </c>
      <c r="M170" s="105"/>
      <c r="N170" s="105" t="str">
        <f>IF(F170=True, IFERROR(VLOOKUP(D170, Repository!A:G, 7, 0), ""), "")</f>
        <v/>
      </c>
      <c r="O170" s="105" t="str">
        <f>IFERROR(__xludf.DUMMYFUNCTION("ARRAY_CONSTRAIN(
  ARRAYFORMULA(
    IFERROR(
      LET(
        list, N170,
        arr, TRIM(SPLIT(list, "","")),
        names, XLOOKUP(
          arr,
          'Conformance Score'!A:A,
          'Conformance Score'!B:B,
          ""Not found""
      "&amp;"  ),
        TEXTJOIN("", "", TRUE, names)
      ),
      """"
    )
  ),
  1,
  1
)
"),"")</f>
        <v/>
      </c>
      <c r="P170" s="105" t="str">
        <f>IF(F170="Yes", IFERROR(VLOOKUP(D170, Repository!A:F, 6, 0), ""), "")</f>
        <v/>
      </c>
      <c r="Q170" s="105" t="str">
        <f>IF(F170="Yes", IFERROR(VLOOKUP(D170, Repository!A:I, 8, 0), ""), "")</f>
        <v/>
      </c>
      <c r="R170" s="105" t="str">
        <f>IF(F170="Yes", IFERROR(VLOOKUP(D170, Repository!A:J, 9, 0), ""), "")</f>
        <v/>
      </c>
      <c r="S170" s="105"/>
      <c r="T170" s="105"/>
      <c r="U170" s="105"/>
      <c r="V170" s="105"/>
      <c r="W170" s="105"/>
      <c r="X170" s="105"/>
      <c r="Y170" s="105"/>
      <c r="Z170" s="105"/>
      <c r="AA170" s="105"/>
      <c r="AB170" s="105"/>
      <c r="AC170" s="91"/>
      <c r="AD170" s="105"/>
      <c r="AE170" s="105"/>
      <c r="AF170" s="91"/>
      <c r="AG170" s="105"/>
      <c r="AH170" s="105"/>
      <c r="AI170" s="105" t="str">
        <f t="shared" si="1"/>
        <v/>
      </c>
      <c r="AJ170" s="108" t="str">
        <f t="shared" si="2"/>
        <v/>
      </c>
    </row>
    <row r="171" ht="15.75" customHeight="1">
      <c r="A171" s="104"/>
      <c r="B171" s="105" t="str">
        <f>IFERROR(__xludf.DUMMYFUNCTION("ARRAY_CONSTRAIN(
  ARRAYFORMULA(
    IF(
      'Final Report'!A171="""",
      """",
      TEXTJOIN(
        "", "" &amp; CHAR(10),
        TRUE,
        IFERROR(
          VLOOKUP(
            TRIM(
              SPLIT('Final Report'!A171, "","")
           "&amp;" ),
            'URL Details'!A:B,
            2,
            FALSE
          ),
          """"
        )
      )
    )
  ),
  1,
  1
)
"),"")</f>
        <v/>
      </c>
      <c r="C171" s="105" t="str">
        <f>IFERROR(__xludf.DUMMYFUNCTION("IFERROR(IF('Final Report'!A171="""","""", TEXTJOIN(CHAR(10), TRUE, ARRAYFORMULA( ""• ""&amp; FILTER( TRIM(FLATTEN(SPLIT( REGEXREPLACE( SUBSTITUTE(TEXTJOIN("","", TRUE, IFERROR(ARRAYFORMULA(VLOOKUP(TRIM(SPLIT('Final Report'!A171, "","")), 'URL Details'!A:D, 4,"&amp;" FALSE)),"""") ), CHAR(10), "",""), ""\s*,\s*"", "",""), "",""))), TRIM(FLATTEN(SPLIT( REGEXREPLACE( SUBSTITUTE(TEXTJOIN("","", TRUE, IFERROR(ARRAYFORMULA(VLOOKUP(TRIM(SPLIT('Final Report'!A171, "","")), 'URL Details'!A:D, 4, FALSE)),"""") ), CHAR(10), """&amp;",""), ""\s*,\s*"", "",""), "","")))&lt;&gt;"""" ) ) ) ),"""")
"),"")</f>
        <v/>
      </c>
      <c r="D171" s="105"/>
      <c r="E171" s="105"/>
      <c r="F171" s="110" t="b">
        <v>0</v>
      </c>
      <c r="G171" s="105" t="str">
        <f>IF(F171=True, IFERROR(VLOOKUP(D171, Repository!A:B, 2, 0), ""), "")</f>
        <v/>
      </c>
      <c r="H171" s="105"/>
      <c r="I171" s="105"/>
      <c r="J171" s="105" t="str">
        <f>IF(F171=True, IFERROR(VLOOKUP(D171, Repository!A:C, 3, 0), ""), "")</f>
        <v/>
      </c>
      <c r="K171" s="105"/>
      <c r="L171" s="105" t="str">
        <f>IF(F171=True, IFERROR(VLOOKUP(D171, Repository!A:E, 5, 0), ""), "")</f>
        <v/>
      </c>
      <c r="M171" s="105"/>
      <c r="N171" s="105" t="str">
        <f>IF(F171=True, IFERROR(VLOOKUP(D171, Repository!A:G, 7, 0), ""), "")</f>
        <v/>
      </c>
      <c r="O171" s="105" t="str">
        <f>IFERROR(__xludf.DUMMYFUNCTION("ARRAY_CONSTRAIN(
  ARRAYFORMULA(
    IFERROR(
      LET(
        list, N171,
        arr, TRIM(SPLIT(list, "","")),
        names, XLOOKUP(
          arr,
          'Conformance Score'!A:A,
          'Conformance Score'!B:B,
          ""Not found""
      "&amp;"  ),
        TEXTJOIN("", "", TRUE, names)
      ),
      """"
    )
  ),
  1,
  1
)
"),"")</f>
        <v/>
      </c>
      <c r="P171" s="105" t="str">
        <f>IF(F171="Yes", IFERROR(VLOOKUP(D171, Repository!A:F, 6, 0), ""), "")</f>
        <v/>
      </c>
      <c r="Q171" s="105" t="str">
        <f>IF(F171="Yes", IFERROR(VLOOKUP(D171, Repository!A:I, 8, 0), ""), "")</f>
        <v/>
      </c>
      <c r="R171" s="105" t="str">
        <f>IF(F171="Yes", IFERROR(VLOOKUP(D171, Repository!A:J, 9, 0), ""), "")</f>
        <v/>
      </c>
      <c r="S171" s="105"/>
      <c r="T171" s="105"/>
      <c r="U171" s="105"/>
      <c r="V171" s="105"/>
      <c r="W171" s="105"/>
      <c r="X171" s="105"/>
      <c r="Y171" s="105"/>
      <c r="Z171" s="105"/>
      <c r="AA171" s="105"/>
      <c r="AB171" s="105"/>
      <c r="AC171" s="91"/>
      <c r="AD171" s="105"/>
      <c r="AE171" s="105"/>
      <c r="AF171" s="91"/>
      <c r="AG171" s="105"/>
      <c r="AH171" s="105"/>
      <c r="AI171" s="105" t="str">
        <f t="shared" si="1"/>
        <v/>
      </c>
      <c r="AJ171" s="108" t="str">
        <f t="shared" si="2"/>
        <v/>
      </c>
    </row>
    <row r="172" ht="15.75" customHeight="1">
      <c r="A172" s="104"/>
      <c r="B172" s="105" t="str">
        <f>IFERROR(__xludf.DUMMYFUNCTION("ARRAY_CONSTRAIN(
  ARRAYFORMULA(
    IF(
      'Final Report'!A172="""",
      """",
      TEXTJOIN(
        "", "" &amp; CHAR(10),
        TRUE,
        IFERROR(
          VLOOKUP(
            TRIM(
              SPLIT('Final Report'!A172, "","")
           "&amp;" ),
            'URL Details'!A:B,
            2,
            FALSE
          ),
          """"
        )
      )
    )
  ),
  1,
  1
)
"),"")</f>
        <v/>
      </c>
      <c r="C172" s="105" t="str">
        <f>IFERROR(__xludf.DUMMYFUNCTION("IFERROR(IF('Final Report'!A172="""","""", TEXTJOIN(CHAR(10), TRUE, ARRAYFORMULA( ""• ""&amp; FILTER( TRIM(FLATTEN(SPLIT( REGEXREPLACE( SUBSTITUTE(TEXTJOIN("","", TRUE, IFERROR(ARRAYFORMULA(VLOOKUP(TRIM(SPLIT('Final Report'!A172, "","")), 'URL Details'!A:D, 4,"&amp;" FALSE)),"""") ), CHAR(10), "",""), ""\s*,\s*"", "",""), "",""))), TRIM(FLATTEN(SPLIT( REGEXREPLACE( SUBSTITUTE(TEXTJOIN("","", TRUE, IFERROR(ARRAYFORMULA(VLOOKUP(TRIM(SPLIT('Final Report'!A172, "","")), 'URL Details'!A:D, 4, FALSE)),"""") ), CHAR(10), """&amp;",""), ""\s*,\s*"", "",""), "","")))&lt;&gt;"""" ) ) ) ),"""")
"),"")</f>
        <v/>
      </c>
      <c r="D172" s="105"/>
      <c r="E172" s="105"/>
      <c r="F172" s="110" t="b">
        <v>0</v>
      </c>
      <c r="G172" s="105" t="str">
        <f>IF(F172=True, IFERROR(VLOOKUP(D172, Repository!A:B, 2, 0), ""), "")</f>
        <v/>
      </c>
      <c r="H172" s="105"/>
      <c r="I172" s="105"/>
      <c r="J172" s="105" t="str">
        <f>IF(F172=True, IFERROR(VLOOKUP(D172, Repository!A:C, 3, 0), ""), "")</f>
        <v/>
      </c>
      <c r="K172" s="105"/>
      <c r="L172" s="105" t="str">
        <f>IF(F172=True, IFERROR(VLOOKUP(D172, Repository!A:E, 5, 0), ""), "")</f>
        <v/>
      </c>
      <c r="M172" s="105"/>
      <c r="N172" s="105" t="str">
        <f>IF(F172=True, IFERROR(VLOOKUP(D172, Repository!A:G, 7, 0), ""), "")</f>
        <v/>
      </c>
      <c r="O172" s="105" t="str">
        <f>IFERROR(__xludf.DUMMYFUNCTION("ARRAY_CONSTRAIN(
  ARRAYFORMULA(
    IFERROR(
      LET(
        list, N172,
        arr, TRIM(SPLIT(list, "","")),
        names, XLOOKUP(
          arr,
          'Conformance Score'!A:A,
          'Conformance Score'!B:B,
          ""Not found""
      "&amp;"  ),
        TEXTJOIN("", "", TRUE, names)
      ),
      """"
    )
  ),
  1,
  1
)
"),"")</f>
        <v/>
      </c>
      <c r="P172" s="105" t="str">
        <f>IF(F172="Yes", IFERROR(VLOOKUP(D172, Repository!A:F, 6, 0), ""), "")</f>
        <v/>
      </c>
      <c r="Q172" s="105" t="str">
        <f>IF(F172="Yes", IFERROR(VLOOKUP(D172, Repository!A:I, 8, 0), ""), "")</f>
        <v/>
      </c>
      <c r="R172" s="105" t="str">
        <f>IF(F172="Yes", IFERROR(VLOOKUP(D172, Repository!A:J, 9, 0), ""), "")</f>
        <v/>
      </c>
      <c r="S172" s="105"/>
      <c r="T172" s="105"/>
      <c r="U172" s="105"/>
      <c r="V172" s="105"/>
      <c r="W172" s="105"/>
      <c r="X172" s="105"/>
      <c r="Y172" s="105"/>
      <c r="Z172" s="105"/>
      <c r="AA172" s="105"/>
      <c r="AB172" s="105"/>
      <c r="AC172" s="91"/>
      <c r="AD172" s="105"/>
      <c r="AE172" s="105"/>
      <c r="AF172" s="91"/>
      <c r="AG172" s="105"/>
      <c r="AH172" s="105"/>
      <c r="AI172" s="105" t="str">
        <f t="shared" si="1"/>
        <v/>
      </c>
      <c r="AJ172" s="108" t="str">
        <f t="shared" si="2"/>
        <v/>
      </c>
    </row>
    <row r="173" ht="15.75" customHeight="1">
      <c r="A173" s="104"/>
      <c r="B173" s="105" t="str">
        <f>IFERROR(__xludf.DUMMYFUNCTION("ARRAY_CONSTRAIN(
  ARRAYFORMULA(
    IF(
      'Final Report'!A173="""",
      """",
      TEXTJOIN(
        "", "" &amp; CHAR(10),
        TRUE,
        IFERROR(
          VLOOKUP(
            TRIM(
              SPLIT('Final Report'!A173, "","")
           "&amp;" ),
            'URL Details'!A:B,
            2,
            FALSE
          ),
          """"
        )
      )
    )
  ),
  1,
  1
)
"),"")</f>
        <v/>
      </c>
      <c r="C173" s="105" t="str">
        <f>IFERROR(__xludf.DUMMYFUNCTION("IFERROR(IF('Final Report'!A173="""","""", TEXTJOIN(CHAR(10), TRUE, ARRAYFORMULA( ""• ""&amp; FILTER( TRIM(FLATTEN(SPLIT( REGEXREPLACE( SUBSTITUTE(TEXTJOIN("","", TRUE, IFERROR(ARRAYFORMULA(VLOOKUP(TRIM(SPLIT('Final Report'!A173, "","")), 'URL Details'!A:D, 4,"&amp;" FALSE)),"""") ), CHAR(10), "",""), ""\s*,\s*"", "",""), "",""))), TRIM(FLATTEN(SPLIT( REGEXREPLACE( SUBSTITUTE(TEXTJOIN("","", TRUE, IFERROR(ARRAYFORMULA(VLOOKUP(TRIM(SPLIT('Final Report'!A173, "","")), 'URL Details'!A:D, 4, FALSE)),"""") ), CHAR(10), """&amp;",""), ""\s*,\s*"", "",""), "","")))&lt;&gt;"""" ) ) ) ),"""")
"),"")</f>
        <v/>
      </c>
      <c r="D173" s="105"/>
      <c r="E173" s="105"/>
      <c r="F173" s="110" t="b">
        <v>0</v>
      </c>
      <c r="G173" s="105" t="str">
        <f>IF(F173=True, IFERROR(VLOOKUP(D173, Repository!A:B, 2, 0), ""), "")</f>
        <v/>
      </c>
      <c r="H173" s="105"/>
      <c r="I173" s="105"/>
      <c r="J173" s="105" t="str">
        <f>IF(F173=True, IFERROR(VLOOKUP(D173, Repository!A:C, 3, 0), ""), "")</f>
        <v/>
      </c>
      <c r="K173" s="105"/>
      <c r="L173" s="105" t="str">
        <f>IF(F173=True, IFERROR(VLOOKUP(D173, Repository!A:E, 5, 0), ""), "")</f>
        <v/>
      </c>
      <c r="M173" s="105"/>
      <c r="N173" s="105" t="str">
        <f>IF(F173=True, IFERROR(VLOOKUP(D173, Repository!A:G, 7, 0), ""), "")</f>
        <v/>
      </c>
      <c r="O173" s="105" t="str">
        <f>IFERROR(__xludf.DUMMYFUNCTION("ARRAY_CONSTRAIN(
  ARRAYFORMULA(
    IFERROR(
      LET(
        list, N173,
        arr, TRIM(SPLIT(list, "","")),
        names, XLOOKUP(
          arr,
          'Conformance Score'!A:A,
          'Conformance Score'!B:B,
          ""Not found""
      "&amp;"  ),
        TEXTJOIN("", "", TRUE, names)
      ),
      """"
    )
  ),
  1,
  1
)
"),"")</f>
        <v/>
      </c>
      <c r="P173" s="105" t="str">
        <f>IF(F173="Yes", IFERROR(VLOOKUP(D173, Repository!A:F, 6, 0), ""), "")</f>
        <v/>
      </c>
      <c r="Q173" s="105" t="str">
        <f>IF(F173="Yes", IFERROR(VLOOKUP(D173, Repository!A:I, 8, 0), ""), "")</f>
        <v/>
      </c>
      <c r="R173" s="105" t="str">
        <f>IF(F173="Yes", IFERROR(VLOOKUP(D173, Repository!A:J, 9, 0), ""), "")</f>
        <v/>
      </c>
      <c r="S173" s="105"/>
      <c r="T173" s="105"/>
      <c r="U173" s="105"/>
      <c r="V173" s="105"/>
      <c r="W173" s="105"/>
      <c r="X173" s="105"/>
      <c r="Y173" s="105"/>
      <c r="Z173" s="105"/>
      <c r="AA173" s="105"/>
      <c r="AB173" s="105"/>
      <c r="AC173" s="91"/>
      <c r="AD173" s="105"/>
      <c r="AE173" s="105"/>
      <c r="AF173" s="91"/>
      <c r="AG173" s="105"/>
      <c r="AH173" s="105"/>
      <c r="AI173" s="105" t="str">
        <f t="shared" si="1"/>
        <v/>
      </c>
      <c r="AJ173" s="108" t="str">
        <f t="shared" si="2"/>
        <v/>
      </c>
    </row>
    <row r="174" ht="15.75" customHeight="1">
      <c r="A174" s="104"/>
      <c r="B174" s="105" t="str">
        <f>IFERROR(__xludf.DUMMYFUNCTION("ARRAY_CONSTRAIN(
  ARRAYFORMULA(
    IF(
      'Final Report'!A174="""",
      """",
      TEXTJOIN(
        "", "" &amp; CHAR(10),
        TRUE,
        IFERROR(
          VLOOKUP(
            TRIM(
              SPLIT('Final Report'!A174, "","")
           "&amp;" ),
            'URL Details'!A:B,
            2,
            FALSE
          ),
          """"
        )
      )
    )
  ),
  1,
  1
)
"),"")</f>
        <v/>
      </c>
      <c r="C174" s="105" t="str">
        <f>IFERROR(__xludf.DUMMYFUNCTION("IFERROR(IF('Final Report'!A174="""","""", TEXTJOIN(CHAR(10), TRUE, ARRAYFORMULA( ""• ""&amp; FILTER( TRIM(FLATTEN(SPLIT( REGEXREPLACE( SUBSTITUTE(TEXTJOIN("","", TRUE, IFERROR(ARRAYFORMULA(VLOOKUP(TRIM(SPLIT('Final Report'!A174, "","")), 'URL Details'!A:D, 4,"&amp;" FALSE)),"""") ), CHAR(10), "",""), ""\s*,\s*"", "",""), "",""))), TRIM(FLATTEN(SPLIT( REGEXREPLACE( SUBSTITUTE(TEXTJOIN("","", TRUE, IFERROR(ARRAYFORMULA(VLOOKUP(TRIM(SPLIT('Final Report'!A174, "","")), 'URL Details'!A:D, 4, FALSE)),"""") ), CHAR(10), """&amp;",""), ""\s*,\s*"", "",""), "","")))&lt;&gt;"""" ) ) ) ),"""")
"),"")</f>
        <v/>
      </c>
      <c r="D174" s="105"/>
      <c r="E174" s="105"/>
      <c r="F174" s="110" t="b">
        <v>0</v>
      </c>
      <c r="G174" s="105" t="str">
        <f>IF(F174=True, IFERROR(VLOOKUP(D174, Repository!A:B, 2, 0), ""), "")</f>
        <v/>
      </c>
      <c r="H174" s="105"/>
      <c r="I174" s="105"/>
      <c r="J174" s="105" t="str">
        <f>IF(F174=True, IFERROR(VLOOKUP(D174, Repository!A:C, 3, 0), ""), "")</f>
        <v/>
      </c>
      <c r="K174" s="105"/>
      <c r="L174" s="105" t="str">
        <f>IF(F174=True, IFERROR(VLOOKUP(D174, Repository!A:E, 5, 0), ""), "")</f>
        <v/>
      </c>
      <c r="M174" s="105"/>
      <c r="N174" s="105" t="str">
        <f>IF(F174=True, IFERROR(VLOOKUP(D174, Repository!A:G, 7, 0), ""), "")</f>
        <v/>
      </c>
      <c r="O174" s="105" t="str">
        <f>IFERROR(__xludf.DUMMYFUNCTION("ARRAY_CONSTRAIN(
  ARRAYFORMULA(
    IFERROR(
      LET(
        list, N174,
        arr, TRIM(SPLIT(list, "","")),
        names, XLOOKUP(
          arr,
          'Conformance Score'!A:A,
          'Conformance Score'!B:B,
          ""Not found""
      "&amp;"  ),
        TEXTJOIN("", "", TRUE, names)
      ),
      """"
    )
  ),
  1,
  1
)
"),"")</f>
        <v/>
      </c>
      <c r="P174" s="105" t="str">
        <f>IF(F174="Yes", IFERROR(VLOOKUP(D174, Repository!A:F, 6, 0), ""), "")</f>
        <v/>
      </c>
      <c r="Q174" s="105" t="str">
        <f>IF(F174="Yes", IFERROR(VLOOKUP(D174, Repository!A:I, 8, 0), ""), "")</f>
        <v/>
      </c>
      <c r="R174" s="105" t="str">
        <f>IF(F174="Yes", IFERROR(VLOOKUP(D174, Repository!A:J, 9, 0), ""), "")</f>
        <v/>
      </c>
      <c r="S174" s="105"/>
      <c r="T174" s="105"/>
      <c r="U174" s="105"/>
      <c r="V174" s="105"/>
      <c r="W174" s="105"/>
      <c r="X174" s="105"/>
      <c r="Y174" s="105"/>
      <c r="Z174" s="105"/>
      <c r="AA174" s="105"/>
      <c r="AB174" s="105"/>
      <c r="AC174" s="91"/>
      <c r="AD174" s="105"/>
      <c r="AE174" s="105"/>
      <c r="AF174" s="91"/>
      <c r="AG174" s="105"/>
      <c r="AH174" s="105"/>
      <c r="AI174" s="105" t="str">
        <f t="shared" si="1"/>
        <v/>
      </c>
      <c r="AJ174" s="108" t="str">
        <f t="shared" si="2"/>
        <v/>
      </c>
    </row>
    <row r="175" ht="15.75" customHeight="1">
      <c r="A175" s="104"/>
      <c r="B175" s="105" t="str">
        <f>IFERROR(__xludf.DUMMYFUNCTION("ARRAY_CONSTRAIN(
  ARRAYFORMULA(
    IF(
      'Final Report'!A175="""",
      """",
      TEXTJOIN(
        "", "" &amp; CHAR(10),
        TRUE,
        IFERROR(
          VLOOKUP(
            TRIM(
              SPLIT('Final Report'!A175, "","")
           "&amp;" ),
            'URL Details'!A:B,
            2,
            FALSE
          ),
          """"
        )
      )
    )
  ),
  1,
  1
)
"),"")</f>
        <v/>
      </c>
      <c r="C175" s="105" t="str">
        <f>IFERROR(__xludf.DUMMYFUNCTION("IFERROR(IF('Final Report'!A175="""","""", TEXTJOIN(CHAR(10), TRUE, ARRAYFORMULA( ""• ""&amp; FILTER( TRIM(FLATTEN(SPLIT( REGEXREPLACE( SUBSTITUTE(TEXTJOIN("","", TRUE, IFERROR(ARRAYFORMULA(VLOOKUP(TRIM(SPLIT('Final Report'!A175, "","")), 'URL Details'!A:D, 4,"&amp;" FALSE)),"""") ), CHAR(10), "",""), ""\s*,\s*"", "",""), "",""))), TRIM(FLATTEN(SPLIT( REGEXREPLACE( SUBSTITUTE(TEXTJOIN("","", TRUE, IFERROR(ARRAYFORMULA(VLOOKUP(TRIM(SPLIT('Final Report'!A175, "","")), 'URL Details'!A:D, 4, FALSE)),"""") ), CHAR(10), """&amp;",""), ""\s*,\s*"", "",""), "","")))&lt;&gt;"""" ) ) ) ),"""")
"),"")</f>
        <v/>
      </c>
      <c r="D175" s="105"/>
      <c r="E175" s="105"/>
      <c r="F175" s="110" t="b">
        <v>0</v>
      </c>
      <c r="G175" s="105" t="str">
        <f>IF(F175=True, IFERROR(VLOOKUP(D175, Repository!A:B, 2, 0), ""), "")</f>
        <v/>
      </c>
      <c r="H175" s="105"/>
      <c r="I175" s="105"/>
      <c r="J175" s="105" t="str">
        <f>IF(F175=True, IFERROR(VLOOKUP(D175, Repository!A:C, 3, 0), ""), "")</f>
        <v/>
      </c>
      <c r="K175" s="105"/>
      <c r="L175" s="105" t="str">
        <f>IF(F175=True, IFERROR(VLOOKUP(D175, Repository!A:E, 5, 0), ""), "")</f>
        <v/>
      </c>
      <c r="M175" s="105"/>
      <c r="N175" s="105" t="str">
        <f>IF(F175=True, IFERROR(VLOOKUP(D175, Repository!A:G, 7, 0), ""), "")</f>
        <v/>
      </c>
      <c r="O175" s="105" t="str">
        <f>IFERROR(__xludf.DUMMYFUNCTION("ARRAY_CONSTRAIN(
  ARRAYFORMULA(
    IFERROR(
      LET(
        list, N175,
        arr, TRIM(SPLIT(list, "","")),
        names, XLOOKUP(
          arr,
          'Conformance Score'!A:A,
          'Conformance Score'!B:B,
          ""Not found""
      "&amp;"  ),
        TEXTJOIN("", "", TRUE, names)
      ),
      """"
    )
  ),
  1,
  1
)
"),"")</f>
        <v/>
      </c>
      <c r="P175" s="105" t="str">
        <f>IF(F175="Yes", IFERROR(VLOOKUP(D175, Repository!A:F, 6, 0), ""), "")</f>
        <v/>
      </c>
      <c r="Q175" s="105" t="str">
        <f>IF(F175="Yes", IFERROR(VLOOKUP(D175, Repository!A:I, 8, 0), ""), "")</f>
        <v/>
      </c>
      <c r="R175" s="105" t="str">
        <f>IF(F175="Yes", IFERROR(VLOOKUP(D175, Repository!A:J, 9, 0), ""), "")</f>
        <v/>
      </c>
      <c r="S175" s="105"/>
      <c r="T175" s="105"/>
      <c r="U175" s="105"/>
      <c r="V175" s="105"/>
      <c r="W175" s="105"/>
      <c r="X175" s="105"/>
      <c r="Y175" s="105"/>
      <c r="Z175" s="105"/>
      <c r="AA175" s="105"/>
      <c r="AB175" s="105"/>
      <c r="AC175" s="91"/>
      <c r="AD175" s="105"/>
      <c r="AE175" s="105"/>
      <c r="AF175" s="91"/>
      <c r="AG175" s="105"/>
      <c r="AH175" s="105"/>
      <c r="AI175" s="105" t="str">
        <f t="shared" si="1"/>
        <v/>
      </c>
      <c r="AJ175" s="108" t="str">
        <f t="shared" si="2"/>
        <v/>
      </c>
    </row>
    <row r="176" ht="15.75" customHeight="1">
      <c r="A176" s="104"/>
      <c r="B176" s="105" t="str">
        <f>IFERROR(__xludf.DUMMYFUNCTION("ARRAY_CONSTRAIN(
  ARRAYFORMULA(
    IF(
      'Final Report'!A176="""",
      """",
      TEXTJOIN(
        "", "" &amp; CHAR(10),
        TRUE,
        IFERROR(
          VLOOKUP(
            TRIM(
              SPLIT('Final Report'!A176, "","")
           "&amp;" ),
            'URL Details'!A:B,
            2,
            FALSE
          ),
          """"
        )
      )
    )
  ),
  1,
  1
)
"),"")</f>
        <v/>
      </c>
      <c r="C176" s="105" t="str">
        <f>IFERROR(__xludf.DUMMYFUNCTION("IFERROR(IF('Final Report'!A176="""","""", TEXTJOIN(CHAR(10), TRUE, ARRAYFORMULA( ""• ""&amp; FILTER( TRIM(FLATTEN(SPLIT( REGEXREPLACE( SUBSTITUTE(TEXTJOIN("","", TRUE, IFERROR(ARRAYFORMULA(VLOOKUP(TRIM(SPLIT('Final Report'!A176, "","")), 'URL Details'!A:D, 4,"&amp;" FALSE)),"""") ), CHAR(10), "",""), ""\s*,\s*"", "",""), "",""))), TRIM(FLATTEN(SPLIT( REGEXREPLACE( SUBSTITUTE(TEXTJOIN("","", TRUE, IFERROR(ARRAYFORMULA(VLOOKUP(TRIM(SPLIT('Final Report'!A176, "","")), 'URL Details'!A:D, 4, FALSE)),"""") ), CHAR(10), """&amp;",""), ""\s*,\s*"", "",""), "","")))&lt;&gt;"""" ) ) ) ),"""")
"),"")</f>
        <v/>
      </c>
      <c r="D176" s="105"/>
      <c r="E176" s="105"/>
      <c r="F176" s="110" t="b">
        <v>0</v>
      </c>
      <c r="G176" s="105" t="str">
        <f>IF(F176=True, IFERROR(VLOOKUP(D176, Repository!A:B, 2, 0), ""), "")</f>
        <v/>
      </c>
      <c r="H176" s="105"/>
      <c r="I176" s="105"/>
      <c r="J176" s="105" t="str">
        <f>IF(F176=True, IFERROR(VLOOKUP(D176, Repository!A:C, 3, 0), ""), "")</f>
        <v/>
      </c>
      <c r="K176" s="105"/>
      <c r="L176" s="105" t="str">
        <f>IF(F176=True, IFERROR(VLOOKUP(D176, Repository!A:E, 5, 0), ""), "")</f>
        <v/>
      </c>
      <c r="M176" s="105"/>
      <c r="N176" s="105" t="str">
        <f>IF(F176=True, IFERROR(VLOOKUP(D176, Repository!A:G, 7, 0), ""), "")</f>
        <v/>
      </c>
      <c r="O176" s="105" t="str">
        <f>IFERROR(__xludf.DUMMYFUNCTION("ARRAY_CONSTRAIN(
  ARRAYFORMULA(
    IFERROR(
      LET(
        list, N176,
        arr, TRIM(SPLIT(list, "","")),
        names, XLOOKUP(
          arr,
          'Conformance Score'!A:A,
          'Conformance Score'!B:B,
          ""Not found""
      "&amp;"  ),
        TEXTJOIN("", "", TRUE, names)
      ),
      """"
    )
  ),
  1,
  1
)
"),"")</f>
        <v/>
      </c>
      <c r="P176" s="105" t="str">
        <f>IF(F176="Yes", IFERROR(VLOOKUP(D176, Repository!A:F, 6, 0), ""), "")</f>
        <v/>
      </c>
      <c r="Q176" s="105" t="str">
        <f>IF(F176="Yes", IFERROR(VLOOKUP(D176, Repository!A:I, 8, 0), ""), "")</f>
        <v/>
      </c>
      <c r="R176" s="105" t="str">
        <f>IF(F176="Yes", IFERROR(VLOOKUP(D176, Repository!A:J, 9, 0), ""), "")</f>
        <v/>
      </c>
      <c r="S176" s="105"/>
      <c r="T176" s="105"/>
      <c r="U176" s="105"/>
      <c r="V176" s="105"/>
      <c r="W176" s="105"/>
      <c r="X176" s="105"/>
      <c r="Y176" s="105"/>
      <c r="Z176" s="105"/>
      <c r="AA176" s="105"/>
      <c r="AB176" s="105"/>
      <c r="AC176" s="91"/>
      <c r="AD176" s="105"/>
      <c r="AE176" s="105"/>
      <c r="AF176" s="91"/>
      <c r="AG176" s="105"/>
      <c r="AH176" s="105"/>
      <c r="AI176" s="105" t="str">
        <f t="shared" si="1"/>
        <v/>
      </c>
      <c r="AJ176" s="108" t="str">
        <f t="shared" si="2"/>
        <v/>
      </c>
    </row>
    <row r="177" ht="15.75" customHeight="1">
      <c r="A177" s="104"/>
      <c r="B177" s="105" t="str">
        <f>IFERROR(__xludf.DUMMYFUNCTION("ARRAY_CONSTRAIN(
  ARRAYFORMULA(
    IF(
      'Final Report'!A177="""",
      """",
      TEXTJOIN(
        "", "" &amp; CHAR(10),
        TRUE,
        IFERROR(
          VLOOKUP(
            TRIM(
              SPLIT('Final Report'!A177, "","")
           "&amp;" ),
            'URL Details'!A:B,
            2,
            FALSE
          ),
          """"
        )
      )
    )
  ),
  1,
  1
)
"),"")</f>
        <v/>
      </c>
      <c r="C177" s="105" t="str">
        <f>IFERROR(__xludf.DUMMYFUNCTION("IFERROR(IF('Final Report'!A177="""","""", TEXTJOIN(CHAR(10), TRUE, ARRAYFORMULA( ""• ""&amp; FILTER( TRIM(FLATTEN(SPLIT( REGEXREPLACE( SUBSTITUTE(TEXTJOIN("","", TRUE, IFERROR(ARRAYFORMULA(VLOOKUP(TRIM(SPLIT('Final Report'!A177, "","")), 'URL Details'!A:D, 4,"&amp;" FALSE)),"""") ), CHAR(10), "",""), ""\s*,\s*"", "",""), "",""))), TRIM(FLATTEN(SPLIT( REGEXREPLACE( SUBSTITUTE(TEXTJOIN("","", TRUE, IFERROR(ARRAYFORMULA(VLOOKUP(TRIM(SPLIT('Final Report'!A177, "","")), 'URL Details'!A:D, 4, FALSE)),"""") ), CHAR(10), """&amp;",""), ""\s*,\s*"", "",""), "","")))&lt;&gt;"""" ) ) ) ),"""")
"),"")</f>
        <v/>
      </c>
      <c r="D177" s="105"/>
      <c r="E177" s="105"/>
      <c r="F177" s="110" t="b">
        <v>0</v>
      </c>
      <c r="G177" s="105" t="str">
        <f>IF(F177=True, IFERROR(VLOOKUP(D177, Repository!A:B, 2, 0), ""), "")</f>
        <v/>
      </c>
      <c r="H177" s="105"/>
      <c r="I177" s="105"/>
      <c r="J177" s="105" t="str">
        <f>IF(F177=True, IFERROR(VLOOKUP(D177, Repository!A:C, 3, 0), ""), "")</f>
        <v/>
      </c>
      <c r="K177" s="105"/>
      <c r="L177" s="105" t="str">
        <f>IF(F177=True, IFERROR(VLOOKUP(D177, Repository!A:E, 5, 0), ""), "")</f>
        <v/>
      </c>
      <c r="M177" s="105"/>
      <c r="N177" s="105" t="str">
        <f>IF(F177=True, IFERROR(VLOOKUP(D177, Repository!A:G, 7, 0), ""), "")</f>
        <v/>
      </c>
      <c r="O177" s="105" t="str">
        <f>IFERROR(__xludf.DUMMYFUNCTION("ARRAY_CONSTRAIN(
  ARRAYFORMULA(
    IFERROR(
      LET(
        list, N177,
        arr, TRIM(SPLIT(list, "","")),
        names, XLOOKUP(
          arr,
          'Conformance Score'!A:A,
          'Conformance Score'!B:B,
          ""Not found""
      "&amp;"  ),
        TEXTJOIN("", "", TRUE, names)
      ),
      """"
    )
  ),
  1,
  1
)
"),"")</f>
        <v/>
      </c>
      <c r="P177" s="105" t="str">
        <f>IF(F177="Yes", IFERROR(VLOOKUP(D177, Repository!A:F, 6, 0), ""), "")</f>
        <v/>
      </c>
      <c r="Q177" s="105" t="str">
        <f>IF(F177="Yes", IFERROR(VLOOKUP(D177, Repository!A:I, 8, 0), ""), "")</f>
        <v/>
      </c>
      <c r="R177" s="105" t="str">
        <f>IF(F177="Yes", IFERROR(VLOOKUP(D177, Repository!A:J, 9, 0), ""), "")</f>
        <v/>
      </c>
      <c r="S177" s="105"/>
      <c r="T177" s="105"/>
      <c r="U177" s="105"/>
      <c r="V177" s="105"/>
      <c r="W177" s="105"/>
      <c r="X177" s="105"/>
      <c r="Y177" s="105"/>
      <c r="Z177" s="105"/>
      <c r="AA177" s="105"/>
      <c r="AB177" s="105"/>
      <c r="AC177" s="91"/>
      <c r="AD177" s="105"/>
      <c r="AE177" s="105"/>
      <c r="AF177" s="91"/>
      <c r="AG177" s="105"/>
      <c r="AH177" s="105"/>
      <c r="AI177" s="105" t="str">
        <f t="shared" si="1"/>
        <v/>
      </c>
      <c r="AJ177" s="108" t="str">
        <f t="shared" si="2"/>
        <v/>
      </c>
    </row>
    <row r="178" ht="15.75" customHeight="1">
      <c r="A178" s="104"/>
      <c r="B178" s="105" t="str">
        <f>IFERROR(__xludf.DUMMYFUNCTION("ARRAY_CONSTRAIN(
  ARRAYFORMULA(
    IF(
      'Final Report'!A178="""",
      """",
      TEXTJOIN(
        "", "" &amp; CHAR(10),
        TRUE,
        IFERROR(
          VLOOKUP(
            TRIM(
              SPLIT('Final Report'!A178, "","")
           "&amp;" ),
            'URL Details'!A:B,
            2,
            FALSE
          ),
          """"
        )
      )
    )
  ),
  1,
  1
)
"),"")</f>
        <v/>
      </c>
      <c r="C178" s="105" t="str">
        <f>IFERROR(__xludf.DUMMYFUNCTION("IFERROR(IF('Final Report'!A178="""","""", TEXTJOIN(CHAR(10), TRUE, ARRAYFORMULA( ""• ""&amp; FILTER( TRIM(FLATTEN(SPLIT( REGEXREPLACE( SUBSTITUTE(TEXTJOIN("","", TRUE, IFERROR(ARRAYFORMULA(VLOOKUP(TRIM(SPLIT('Final Report'!A178, "","")), 'URL Details'!A:D, 4,"&amp;" FALSE)),"""") ), CHAR(10), "",""), ""\s*,\s*"", "",""), "",""))), TRIM(FLATTEN(SPLIT( REGEXREPLACE( SUBSTITUTE(TEXTJOIN("","", TRUE, IFERROR(ARRAYFORMULA(VLOOKUP(TRIM(SPLIT('Final Report'!A178, "","")), 'URL Details'!A:D, 4, FALSE)),"""") ), CHAR(10), """&amp;",""), ""\s*,\s*"", "",""), "","")))&lt;&gt;"""" ) ) ) ),"""")
"),"")</f>
        <v/>
      </c>
      <c r="D178" s="105"/>
      <c r="E178" s="105"/>
      <c r="F178" s="110" t="b">
        <v>0</v>
      </c>
      <c r="G178" s="105" t="str">
        <f>IF(F178=True, IFERROR(VLOOKUP(D178, Repository!A:B, 2, 0), ""), "")</f>
        <v/>
      </c>
      <c r="H178" s="105"/>
      <c r="I178" s="105"/>
      <c r="J178" s="105" t="str">
        <f>IF(F178=True, IFERROR(VLOOKUP(D178, Repository!A:C, 3, 0), ""), "")</f>
        <v/>
      </c>
      <c r="K178" s="105"/>
      <c r="L178" s="105" t="str">
        <f>IF(F178=True, IFERROR(VLOOKUP(D178, Repository!A:E, 5, 0), ""), "")</f>
        <v/>
      </c>
      <c r="M178" s="105"/>
      <c r="N178" s="105" t="str">
        <f>IF(F178=True, IFERROR(VLOOKUP(D178, Repository!A:G, 7, 0), ""), "")</f>
        <v/>
      </c>
      <c r="O178" s="105" t="str">
        <f>IFERROR(__xludf.DUMMYFUNCTION("ARRAY_CONSTRAIN(
  ARRAYFORMULA(
    IFERROR(
      LET(
        list, N178,
        arr, TRIM(SPLIT(list, "","")),
        names, XLOOKUP(
          arr,
          'Conformance Score'!A:A,
          'Conformance Score'!B:B,
          ""Not found""
      "&amp;"  ),
        TEXTJOIN("", "", TRUE, names)
      ),
      """"
    )
  ),
  1,
  1
)
"),"")</f>
        <v/>
      </c>
      <c r="P178" s="105" t="str">
        <f>IF(F178="Yes", IFERROR(VLOOKUP(D178, Repository!A:F, 6, 0), ""), "")</f>
        <v/>
      </c>
      <c r="Q178" s="105" t="str">
        <f>IF(F178="Yes", IFERROR(VLOOKUP(D178, Repository!A:I, 8, 0), ""), "")</f>
        <v/>
      </c>
      <c r="R178" s="105" t="str">
        <f>IF(F178="Yes", IFERROR(VLOOKUP(D178, Repository!A:J, 9, 0), ""), "")</f>
        <v/>
      </c>
      <c r="S178" s="105"/>
      <c r="T178" s="105"/>
      <c r="U178" s="105"/>
      <c r="V178" s="105"/>
      <c r="W178" s="105"/>
      <c r="X178" s="105"/>
      <c r="Y178" s="105"/>
      <c r="Z178" s="105"/>
      <c r="AA178" s="105"/>
      <c r="AB178" s="105"/>
      <c r="AC178" s="91"/>
      <c r="AD178" s="105"/>
      <c r="AE178" s="105"/>
      <c r="AF178" s="91"/>
      <c r="AG178" s="105"/>
      <c r="AH178" s="105"/>
      <c r="AI178" s="105" t="str">
        <f t="shared" si="1"/>
        <v/>
      </c>
      <c r="AJ178" s="108" t="str">
        <f t="shared" si="2"/>
        <v/>
      </c>
    </row>
    <row r="179" ht="15.75" customHeight="1">
      <c r="A179" s="104"/>
      <c r="B179" s="105" t="str">
        <f>IFERROR(__xludf.DUMMYFUNCTION("ARRAY_CONSTRAIN(
  ARRAYFORMULA(
    IF(
      'Final Report'!A179="""",
      """",
      TEXTJOIN(
        "", "" &amp; CHAR(10),
        TRUE,
        IFERROR(
          VLOOKUP(
            TRIM(
              SPLIT('Final Report'!A179, "","")
           "&amp;" ),
            'URL Details'!A:B,
            2,
            FALSE
          ),
          """"
        )
      )
    )
  ),
  1,
  1
)
"),"")</f>
        <v/>
      </c>
      <c r="C179" s="105" t="str">
        <f>IFERROR(__xludf.DUMMYFUNCTION("IFERROR(IF('Final Report'!A179="""","""", TEXTJOIN(CHAR(10), TRUE, ARRAYFORMULA( ""• ""&amp; FILTER( TRIM(FLATTEN(SPLIT( REGEXREPLACE( SUBSTITUTE(TEXTJOIN("","", TRUE, IFERROR(ARRAYFORMULA(VLOOKUP(TRIM(SPLIT('Final Report'!A179, "","")), 'URL Details'!A:D, 4,"&amp;" FALSE)),"""") ), CHAR(10), "",""), ""\s*,\s*"", "",""), "",""))), TRIM(FLATTEN(SPLIT( REGEXREPLACE( SUBSTITUTE(TEXTJOIN("","", TRUE, IFERROR(ARRAYFORMULA(VLOOKUP(TRIM(SPLIT('Final Report'!A179, "","")), 'URL Details'!A:D, 4, FALSE)),"""") ), CHAR(10), """&amp;",""), ""\s*,\s*"", "",""), "","")))&lt;&gt;"""" ) ) ) ),"""")
"),"")</f>
        <v/>
      </c>
      <c r="D179" s="105"/>
      <c r="E179" s="105"/>
      <c r="F179" s="110" t="b">
        <v>0</v>
      </c>
      <c r="G179" s="105" t="str">
        <f>IF(F179=True, IFERROR(VLOOKUP(D179, Repository!A:B, 2, 0), ""), "")</f>
        <v/>
      </c>
      <c r="H179" s="105"/>
      <c r="I179" s="105"/>
      <c r="J179" s="105" t="str">
        <f>IF(F179=True, IFERROR(VLOOKUP(D179, Repository!A:C, 3, 0), ""), "")</f>
        <v/>
      </c>
      <c r="K179" s="105"/>
      <c r="L179" s="105" t="str">
        <f>IF(F179=True, IFERROR(VLOOKUP(D179, Repository!A:E, 5, 0), ""), "")</f>
        <v/>
      </c>
      <c r="M179" s="105"/>
      <c r="N179" s="105" t="str">
        <f>IF(F179=True, IFERROR(VLOOKUP(D179, Repository!A:G, 7, 0), ""), "")</f>
        <v/>
      </c>
      <c r="O179" s="105" t="str">
        <f>IFERROR(__xludf.DUMMYFUNCTION("ARRAY_CONSTRAIN(
  ARRAYFORMULA(
    IFERROR(
      LET(
        list, N179,
        arr, TRIM(SPLIT(list, "","")),
        names, XLOOKUP(
          arr,
          'Conformance Score'!A:A,
          'Conformance Score'!B:B,
          ""Not found""
      "&amp;"  ),
        TEXTJOIN("", "", TRUE, names)
      ),
      """"
    )
  ),
  1,
  1
)
"),"")</f>
        <v/>
      </c>
      <c r="P179" s="105" t="str">
        <f>IF(F179="Yes", IFERROR(VLOOKUP(D179, Repository!A:F, 6, 0), ""), "")</f>
        <v/>
      </c>
      <c r="Q179" s="105" t="str">
        <f>IF(F179="Yes", IFERROR(VLOOKUP(D179, Repository!A:I, 8, 0), ""), "")</f>
        <v/>
      </c>
      <c r="R179" s="105" t="str">
        <f>IF(F179="Yes", IFERROR(VLOOKUP(D179, Repository!A:J, 9, 0), ""), "")</f>
        <v/>
      </c>
      <c r="S179" s="105"/>
      <c r="T179" s="105"/>
      <c r="U179" s="105"/>
      <c r="V179" s="105"/>
      <c r="W179" s="105"/>
      <c r="X179" s="105"/>
      <c r="Y179" s="105"/>
      <c r="Z179" s="105"/>
      <c r="AA179" s="105"/>
      <c r="AB179" s="105"/>
      <c r="AC179" s="91"/>
      <c r="AD179" s="105"/>
      <c r="AE179" s="105"/>
      <c r="AF179" s="91"/>
      <c r="AG179" s="105"/>
      <c r="AH179" s="105"/>
      <c r="AI179" s="105" t="str">
        <f t="shared" si="1"/>
        <v/>
      </c>
      <c r="AJ179" s="108" t="str">
        <f t="shared" si="2"/>
        <v/>
      </c>
    </row>
    <row r="180" ht="15.75" customHeight="1">
      <c r="A180" s="104"/>
      <c r="B180" s="105" t="str">
        <f>IFERROR(__xludf.DUMMYFUNCTION("ARRAY_CONSTRAIN(
  ARRAYFORMULA(
    IF(
      'Final Report'!A180="""",
      """",
      TEXTJOIN(
        "", "" &amp; CHAR(10),
        TRUE,
        IFERROR(
          VLOOKUP(
            TRIM(
              SPLIT('Final Report'!A180, "","")
           "&amp;" ),
            'URL Details'!A:B,
            2,
            FALSE
          ),
          """"
        )
      )
    )
  ),
  1,
  1
)
"),"")</f>
        <v/>
      </c>
      <c r="C180" s="105" t="str">
        <f>IFERROR(__xludf.DUMMYFUNCTION("IFERROR(IF('Final Report'!A180="""","""", TEXTJOIN(CHAR(10), TRUE, ARRAYFORMULA( ""• ""&amp; FILTER( TRIM(FLATTEN(SPLIT( REGEXREPLACE( SUBSTITUTE(TEXTJOIN("","", TRUE, IFERROR(ARRAYFORMULA(VLOOKUP(TRIM(SPLIT('Final Report'!A180, "","")), 'URL Details'!A:D, 4,"&amp;" FALSE)),"""") ), CHAR(10), "",""), ""\s*,\s*"", "",""), "",""))), TRIM(FLATTEN(SPLIT( REGEXREPLACE( SUBSTITUTE(TEXTJOIN("","", TRUE, IFERROR(ARRAYFORMULA(VLOOKUP(TRIM(SPLIT('Final Report'!A180, "","")), 'URL Details'!A:D, 4, FALSE)),"""") ), CHAR(10), """&amp;",""), ""\s*,\s*"", "",""), "","")))&lt;&gt;"""" ) ) ) ),"""")
"),"")</f>
        <v/>
      </c>
      <c r="D180" s="105"/>
      <c r="E180" s="105"/>
      <c r="F180" s="110" t="b">
        <v>0</v>
      </c>
      <c r="G180" s="105" t="str">
        <f>IF(F180=True, IFERROR(VLOOKUP(D180, Repository!A:B, 2, 0), ""), "")</f>
        <v/>
      </c>
      <c r="H180" s="105"/>
      <c r="I180" s="105"/>
      <c r="J180" s="105" t="str">
        <f>IF(F180=True, IFERROR(VLOOKUP(D180, Repository!A:C, 3, 0), ""), "")</f>
        <v/>
      </c>
      <c r="K180" s="105"/>
      <c r="L180" s="105" t="str">
        <f>IF(F180=True, IFERROR(VLOOKUP(D180, Repository!A:E, 5, 0), ""), "")</f>
        <v/>
      </c>
      <c r="M180" s="105"/>
      <c r="N180" s="105" t="str">
        <f>IF(F180=True, IFERROR(VLOOKUP(D180, Repository!A:G, 7, 0), ""), "")</f>
        <v/>
      </c>
      <c r="O180" s="105" t="str">
        <f>IFERROR(__xludf.DUMMYFUNCTION("ARRAY_CONSTRAIN(
  ARRAYFORMULA(
    IFERROR(
      LET(
        list, N180,
        arr, TRIM(SPLIT(list, "","")),
        names, XLOOKUP(
          arr,
          'Conformance Score'!A:A,
          'Conformance Score'!B:B,
          ""Not found""
      "&amp;"  ),
        TEXTJOIN("", "", TRUE, names)
      ),
      """"
    )
  ),
  1,
  1
)
"),"")</f>
        <v/>
      </c>
      <c r="P180" s="105" t="str">
        <f>IF(F180="Yes", IFERROR(VLOOKUP(D180, Repository!A:F, 6, 0), ""), "")</f>
        <v/>
      </c>
      <c r="Q180" s="105" t="str">
        <f>IF(F180="Yes", IFERROR(VLOOKUP(D180, Repository!A:I, 8, 0), ""), "")</f>
        <v/>
      </c>
      <c r="R180" s="105" t="str">
        <f>IF(F180="Yes", IFERROR(VLOOKUP(D180, Repository!A:J, 9, 0), ""), "")</f>
        <v/>
      </c>
      <c r="S180" s="105"/>
      <c r="T180" s="105"/>
      <c r="U180" s="105"/>
      <c r="V180" s="105"/>
      <c r="W180" s="105"/>
      <c r="X180" s="105"/>
      <c r="Y180" s="105"/>
      <c r="Z180" s="105"/>
      <c r="AA180" s="105"/>
      <c r="AB180" s="105"/>
      <c r="AC180" s="91"/>
      <c r="AD180" s="105"/>
      <c r="AE180" s="105"/>
      <c r="AF180" s="91"/>
      <c r="AG180" s="105"/>
      <c r="AH180" s="105"/>
      <c r="AI180" s="105" t="str">
        <f t="shared" si="1"/>
        <v/>
      </c>
      <c r="AJ180" s="108" t="str">
        <f t="shared" si="2"/>
        <v/>
      </c>
    </row>
    <row r="181" ht="15.75" customHeight="1">
      <c r="A181" s="104"/>
      <c r="B181" s="105" t="str">
        <f>IFERROR(__xludf.DUMMYFUNCTION("ARRAY_CONSTRAIN(
  ARRAYFORMULA(
    IF(
      'Final Report'!A181="""",
      """",
      TEXTJOIN(
        "", "" &amp; CHAR(10),
        TRUE,
        IFERROR(
          VLOOKUP(
            TRIM(
              SPLIT('Final Report'!A181, "","")
           "&amp;" ),
            'URL Details'!A:B,
            2,
            FALSE
          ),
          """"
        )
      )
    )
  ),
  1,
  1
)
"),"")</f>
        <v/>
      </c>
      <c r="C181" s="105" t="str">
        <f>IFERROR(__xludf.DUMMYFUNCTION("IFERROR(IF('Final Report'!A181="""","""", TEXTJOIN(CHAR(10), TRUE, ARRAYFORMULA( ""• ""&amp; FILTER( TRIM(FLATTEN(SPLIT( REGEXREPLACE( SUBSTITUTE(TEXTJOIN("","", TRUE, IFERROR(ARRAYFORMULA(VLOOKUP(TRIM(SPLIT('Final Report'!A181, "","")), 'URL Details'!A:D, 4,"&amp;" FALSE)),"""") ), CHAR(10), "",""), ""\s*,\s*"", "",""), "",""))), TRIM(FLATTEN(SPLIT( REGEXREPLACE( SUBSTITUTE(TEXTJOIN("","", TRUE, IFERROR(ARRAYFORMULA(VLOOKUP(TRIM(SPLIT('Final Report'!A181, "","")), 'URL Details'!A:D, 4, FALSE)),"""") ), CHAR(10), """&amp;",""), ""\s*,\s*"", "",""), "","")))&lt;&gt;"""" ) ) ) ),"""")
"),"")</f>
        <v/>
      </c>
      <c r="D181" s="105"/>
      <c r="E181" s="105"/>
      <c r="F181" s="110" t="b">
        <v>0</v>
      </c>
      <c r="G181" s="105" t="str">
        <f>IF(F181=True, IFERROR(VLOOKUP(D181, Repository!A:B, 2, 0), ""), "")</f>
        <v/>
      </c>
      <c r="H181" s="105"/>
      <c r="I181" s="105"/>
      <c r="J181" s="105" t="str">
        <f>IF(F181=True, IFERROR(VLOOKUP(D181, Repository!A:C, 3, 0), ""), "")</f>
        <v/>
      </c>
      <c r="K181" s="105"/>
      <c r="L181" s="105" t="str">
        <f>IF(F181=True, IFERROR(VLOOKUP(D181, Repository!A:E, 5, 0), ""), "")</f>
        <v/>
      </c>
      <c r="M181" s="105"/>
      <c r="N181" s="105" t="str">
        <f>IF(F181=True, IFERROR(VLOOKUP(D181, Repository!A:G, 7, 0), ""), "")</f>
        <v/>
      </c>
      <c r="O181" s="105" t="str">
        <f>IFERROR(__xludf.DUMMYFUNCTION("ARRAY_CONSTRAIN(
  ARRAYFORMULA(
    IFERROR(
      LET(
        list, N181,
        arr, TRIM(SPLIT(list, "","")),
        names, XLOOKUP(
          arr,
          'Conformance Score'!A:A,
          'Conformance Score'!B:B,
          ""Not found""
      "&amp;"  ),
        TEXTJOIN("", "", TRUE, names)
      ),
      """"
    )
  ),
  1,
  1
)
"),"")</f>
        <v/>
      </c>
      <c r="P181" s="105" t="str">
        <f>IF(F181="Yes", IFERROR(VLOOKUP(D181, Repository!A:F, 6, 0), ""), "")</f>
        <v/>
      </c>
      <c r="Q181" s="105" t="str">
        <f>IF(F181="Yes", IFERROR(VLOOKUP(D181, Repository!A:I, 8, 0), ""), "")</f>
        <v/>
      </c>
      <c r="R181" s="105" t="str">
        <f>IF(F181="Yes", IFERROR(VLOOKUP(D181, Repository!A:J, 9, 0), ""), "")</f>
        <v/>
      </c>
      <c r="S181" s="105"/>
      <c r="T181" s="105"/>
      <c r="U181" s="105"/>
      <c r="V181" s="105"/>
      <c r="W181" s="105"/>
      <c r="X181" s="105"/>
      <c r="Y181" s="105"/>
      <c r="Z181" s="105"/>
      <c r="AA181" s="105"/>
      <c r="AB181" s="105"/>
      <c r="AC181" s="91"/>
      <c r="AD181" s="105"/>
      <c r="AE181" s="105"/>
      <c r="AF181" s="91"/>
      <c r="AG181" s="105"/>
      <c r="AH181" s="105"/>
      <c r="AI181" s="105" t="str">
        <f t="shared" si="1"/>
        <v/>
      </c>
      <c r="AJ181" s="108" t="str">
        <f t="shared" si="2"/>
        <v/>
      </c>
    </row>
    <row r="182" ht="15.75" customHeight="1">
      <c r="A182" s="104"/>
      <c r="B182" s="105" t="str">
        <f>IFERROR(__xludf.DUMMYFUNCTION("ARRAY_CONSTRAIN(
  ARRAYFORMULA(
    IF(
      'Final Report'!A182="""",
      """",
      TEXTJOIN(
        "", "" &amp; CHAR(10),
        TRUE,
        IFERROR(
          VLOOKUP(
            TRIM(
              SPLIT('Final Report'!A182, "","")
           "&amp;" ),
            'URL Details'!A:B,
            2,
            FALSE
          ),
          """"
        )
      )
    )
  ),
  1,
  1
)
"),"")</f>
        <v/>
      </c>
      <c r="C182" s="105" t="str">
        <f>IFERROR(__xludf.DUMMYFUNCTION("IFERROR(IF('Final Report'!A182="""","""", TEXTJOIN(CHAR(10), TRUE, ARRAYFORMULA( ""• ""&amp; FILTER( TRIM(FLATTEN(SPLIT( REGEXREPLACE( SUBSTITUTE(TEXTJOIN("","", TRUE, IFERROR(ARRAYFORMULA(VLOOKUP(TRIM(SPLIT('Final Report'!A182, "","")), 'URL Details'!A:D, 4,"&amp;" FALSE)),"""") ), CHAR(10), "",""), ""\s*,\s*"", "",""), "",""))), TRIM(FLATTEN(SPLIT( REGEXREPLACE( SUBSTITUTE(TEXTJOIN("","", TRUE, IFERROR(ARRAYFORMULA(VLOOKUP(TRIM(SPLIT('Final Report'!A182, "","")), 'URL Details'!A:D, 4, FALSE)),"""") ), CHAR(10), """&amp;",""), ""\s*,\s*"", "",""), "","")))&lt;&gt;"""" ) ) ) ),"""")
"),"")</f>
        <v/>
      </c>
      <c r="D182" s="105"/>
      <c r="E182" s="105"/>
      <c r="F182" s="110" t="b">
        <v>0</v>
      </c>
      <c r="G182" s="105" t="str">
        <f>IF(F182=True, IFERROR(VLOOKUP(D182, Repository!A:B, 2, 0), ""), "")</f>
        <v/>
      </c>
      <c r="H182" s="105"/>
      <c r="I182" s="105"/>
      <c r="J182" s="105" t="str">
        <f>IF(F182=True, IFERROR(VLOOKUP(D182, Repository!A:C, 3, 0), ""), "")</f>
        <v/>
      </c>
      <c r="K182" s="105"/>
      <c r="L182" s="105" t="str">
        <f>IF(F182=True, IFERROR(VLOOKUP(D182, Repository!A:E, 5, 0), ""), "")</f>
        <v/>
      </c>
      <c r="M182" s="105"/>
      <c r="N182" s="105" t="str">
        <f>IF(F182=True, IFERROR(VLOOKUP(D182, Repository!A:G, 7, 0), ""), "")</f>
        <v/>
      </c>
      <c r="O182" s="105" t="str">
        <f>IFERROR(__xludf.DUMMYFUNCTION("ARRAY_CONSTRAIN(
  ARRAYFORMULA(
    IFERROR(
      LET(
        list, N182,
        arr, TRIM(SPLIT(list, "","")),
        names, XLOOKUP(
          arr,
          'Conformance Score'!A:A,
          'Conformance Score'!B:B,
          ""Not found""
      "&amp;"  ),
        TEXTJOIN("", "", TRUE, names)
      ),
      """"
    )
  ),
  1,
  1
)
"),"")</f>
        <v/>
      </c>
      <c r="P182" s="105" t="str">
        <f>IF(F182="Yes", IFERROR(VLOOKUP(D182, Repository!A:F, 6, 0), ""), "")</f>
        <v/>
      </c>
      <c r="Q182" s="105" t="str">
        <f>IF(F182="Yes", IFERROR(VLOOKUP(D182, Repository!A:I, 8, 0), ""), "")</f>
        <v/>
      </c>
      <c r="R182" s="105" t="str">
        <f>IF(F182="Yes", IFERROR(VLOOKUP(D182, Repository!A:J, 9, 0), ""), "")</f>
        <v/>
      </c>
      <c r="S182" s="105"/>
      <c r="T182" s="105"/>
      <c r="U182" s="105"/>
      <c r="V182" s="105"/>
      <c r="W182" s="105"/>
      <c r="X182" s="105"/>
      <c r="Y182" s="105"/>
      <c r="Z182" s="105"/>
      <c r="AA182" s="105"/>
      <c r="AB182" s="105"/>
      <c r="AC182" s="91"/>
      <c r="AD182" s="105"/>
      <c r="AE182" s="105"/>
      <c r="AF182" s="91"/>
      <c r="AG182" s="105"/>
      <c r="AH182" s="105"/>
      <c r="AI182" s="105" t="str">
        <f t="shared" si="1"/>
        <v/>
      </c>
      <c r="AJ182" s="108" t="str">
        <f t="shared" si="2"/>
        <v/>
      </c>
    </row>
    <row r="183" ht="15.75" customHeight="1">
      <c r="A183" s="104"/>
      <c r="B183" s="105" t="str">
        <f>IFERROR(__xludf.DUMMYFUNCTION("ARRAY_CONSTRAIN(
  ARRAYFORMULA(
    IF(
      'Final Report'!A183="""",
      """",
      TEXTJOIN(
        "", "" &amp; CHAR(10),
        TRUE,
        IFERROR(
          VLOOKUP(
            TRIM(
              SPLIT('Final Report'!A183, "","")
           "&amp;" ),
            'URL Details'!A:B,
            2,
            FALSE
          ),
          """"
        )
      )
    )
  ),
  1,
  1
)
"),"")</f>
        <v/>
      </c>
      <c r="C183" s="105" t="str">
        <f>IFERROR(__xludf.DUMMYFUNCTION("IFERROR(IF('Final Report'!A183="""","""", TEXTJOIN(CHAR(10), TRUE, ARRAYFORMULA( ""• ""&amp; FILTER( TRIM(FLATTEN(SPLIT( REGEXREPLACE( SUBSTITUTE(TEXTJOIN("","", TRUE, IFERROR(ARRAYFORMULA(VLOOKUP(TRIM(SPLIT('Final Report'!A183, "","")), 'URL Details'!A:D, 4,"&amp;" FALSE)),"""") ), CHAR(10), "",""), ""\s*,\s*"", "",""), "",""))), TRIM(FLATTEN(SPLIT( REGEXREPLACE( SUBSTITUTE(TEXTJOIN("","", TRUE, IFERROR(ARRAYFORMULA(VLOOKUP(TRIM(SPLIT('Final Report'!A183, "","")), 'URL Details'!A:D, 4, FALSE)),"""") ), CHAR(10), """&amp;",""), ""\s*,\s*"", "",""), "","")))&lt;&gt;"""" ) ) ) ),"""")
"),"")</f>
        <v/>
      </c>
      <c r="D183" s="105"/>
      <c r="E183" s="105"/>
      <c r="F183" s="110" t="b">
        <v>0</v>
      </c>
      <c r="G183" s="105" t="str">
        <f>IF(F183=True, IFERROR(VLOOKUP(D183, Repository!A:B, 2, 0), ""), "")</f>
        <v/>
      </c>
      <c r="H183" s="105"/>
      <c r="I183" s="105"/>
      <c r="J183" s="105" t="str">
        <f>IF(F183=True, IFERROR(VLOOKUP(D183, Repository!A:C, 3, 0), ""), "")</f>
        <v/>
      </c>
      <c r="K183" s="105"/>
      <c r="L183" s="105" t="str">
        <f>IF(F183=True, IFERROR(VLOOKUP(D183, Repository!A:E, 5, 0), ""), "")</f>
        <v/>
      </c>
      <c r="M183" s="105"/>
      <c r="N183" s="105" t="str">
        <f>IF(F183=True, IFERROR(VLOOKUP(D183, Repository!A:G, 7, 0), ""), "")</f>
        <v/>
      </c>
      <c r="O183" s="105" t="str">
        <f>IFERROR(__xludf.DUMMYFUNCTION("ARRAY_CONSTRAIN(
  ARRAYFORMULA(
    IFERROR(
      LET(
        list, N183,
        arr, TRIM(SPLIT(list, "","")),
        names, XLOOKUP(
          arr,
          'Conformance Score'!A:A,
          'Conformance Score'!B:B,
          ""Not found""
      "&amp;"  ),
        TEXTJOIN("", "", TRUE, names)
      ),
      """"
    )
  ),
  1,
  1
)
"),"")</f>
        <v/>
      </c>
      <c r="P183" s="105" t="str">
        <f>IF(F183="Yes", IFERROR(VLOOKUP(D183, Repository!A:F, 6, 0), ""), "")</f>
        <v/>
      </c>
      <c r="Q183" s="105" t="str">
        <f>IF(F183="Yes", IFERROR(VLOOKUP(D183, Repository!A:I, 8, 0), ""), "")</f>
        <v/>
      </c>
      <c r="R183" s="105" t="str">
        <f>IF(F183="Yes", IFERROR(VLOOKUP(D183, Repository!A:J, 9, 0), ""), "")</f>
        <v/>
      </c>
      <c r="S183" s="105"/>
      <c r="T183" s="105"/>
      <c r="U183" s="105"/>
      <c r="V183" s="105"/>
      <c r="W183" s="105"/>
      <c r="X183" s="105"/>
      <c r="Y183" s="105"/>
      <c r="Z183" s="105"/>
      <c r="AA183" s="105"/>
      <c r="AB183" s="105"/>
      <c r="AC183" s="91"/>
      <c r="AD183" s="105"/>
      <c r="AE183" s="105"/>
      <c r="AF183" s="91"/>
      <c r="AG183" s="105"/>
      <c r="AH183" s="105"/>
      <c r="AI183" s="105" t="str">
        <f t="shared" si="1"/>
        <v/>
      </c>
      <c r="AJ183" s="108" t="str">
        <f t="shared" si="2"/>
        <v/>
      </c>
    </row>
    <row r="184" ht="15.75" customHeight="1">
      <c r="A184" s="104"/>
      <c r="B184" s="105" t="str">
        <f>IFERROR(__xludf.DUMMYFUNCTION("ARRAY_CONSTRAIN(
  ARRAYFORMULA(
    IF(
      'Final Report'!A184="""",
      """",
      TEXTJOIN(
        "", "" &amp; CHAR(10),
        TRUE,
        IFERROR(
          VLOOKUP(
            TRIM(
              SPLIT('Final Report'!A184, "","")
           "&amp;" ),
            'URL Details'!A:B,
            2,
            FALSE
          ),
          """"
        )
      )
    )
  ),
  1,
  1
)
"),"")</f>
        <v/>
      </c>
      <c r="C184" s="105" t="str">
        <f>IFERROR(__xludf.DUMMYFUNCTION("IFERROR(IF('Final Report'!A184="""","""", TEXTJOIN(CHAR(10), TRUE, ARRAYFORMULA( ""• ""&amp; FILTER( TRIM(FLATTEN(SPLIT( REGEXREPLACE( SUBSTITUTE(TEXTJOIN("","", TRUE, IFERROR(ARRAYFORMULA(VLOOKUP(TRIM(SPLIT('Final Report'!A184, "","")), 'URL Details'!A:D, 4,"&amp;" FALSE)),"""") ), CHAR(10), "",""), ""\s*,\s*"", "",""), "",""))), TRIM(FLATTEN(SPLIT( REGEXREPLACE( SUBSTITUTE(TEXTJOIN("","", TRUE, IFERROR(ARRAYFORMULA(VLOOKUP(TRIM(SPLIT('Final Report'!A184, "","")), 'URL Details'!A:D, 4, FALSE)),"""") ), CHAR(10), """&amp;",""), ""\s*,\s*"", "",""), "","")))&lt;&gt;"""" ) ) ) ),"""")
"),"")</f>
        <v/>
      </c>
      <c r="D184" s="105"/>
      <c r="E184" s="105"/>
      <c r="F184" s="110" t="b">
        <v>0</v>
      </c>
      <c r="G184" s="105" t="str">
        <f>IF(F184=True, IFERROR(VLOOKUP(D184, Repository!A:B, 2, 0), ""), "")</f>
        <v/>
      </c>
      <c r="H184" s="105"/>
      <c r="I184" s="105"/>
      <c r="J184" s="105" t="str">
        <f>IF(F184=True, IFERROR(VLOOKUP(D184, Repository!A:C, 3, 0), ""), "")</f>
        <v/>
      </c>
      <c r="K184" s="105"/>
      <c r="L184" s="105" t="str">
        <f>IF(F184=True, IFERROR(VLOOKUP(D184, Repository!A:E, 5, 0), ""), "")</f>
        <v/>
      </c>
      <c r="M184" s="105"/>
      <c r="N184" s="105" t="str">
        <f>IF(F184=True, IFERROR(VLOOKUP(D184, Repository!A:G, 7, 0), ""), "")</f>
        <v/>
      </c>
      <c r="O184" s="105" t="str">
        <f>IFERROR(__xludf.DUMMYFUNCTION("ARRAY_CONSTRAIN(
  ARRAYFORMULA(
    IFERROR(
      LET(
        list, N184,
        arr, TRIM(SPLIT(list, "","")),
        names, XLOOKUP(
          arr,
          'Conformance Score'!A:A,
          'Conformance Score'!B:B,
          ""Not found""
      "&amp;"  ),
        TEXTJOIN("", "", TRUE, names)
      ),
      """"
    )
  ),
  1,
  1
)
"),"")</f>
        <v/>
      </c>
      <c r="P184" s="105" t="str">
        <f>IF(F184="Yes", IFERROR(VLOOKUP(D184, Repository!A:F, 6, 0), ""), "")</f>
        <v/>
      </c>
      <c r="Q184" s="105" t="str">
        <f>IF(F184="Yes", IFERROR(VLOOKUP(D184, Repository!A:I, 8, 0), ""), "")</f>
        <v/>
      </c>
      <c r="R184" s="105" t="str">
        <f>IF(F184="Yes", IFERROR(VLOOKUP(D184, Repository!A:J, 9, 0), ""), "")</f>
        <v/>
      </c>
      <c r="S184" s="105"/>
      <c r="T184" s="105"/>
      <c r="U184" s="105"/>
      <c r="V184" s="105"/>
      <c r="W184" s="105"/>
      <c r="X184" s="105"/>
      <c r="Y184" s="105"/>
      <c r="Z184" s="105"/>
      <c r="AA184" s="105"/>
      <c r="AB184" s="105"/>
      <c r="AC184" s="91"/>
      <c r="AD184" s="105"/>
      <c r="AE184" s="105"/>
      <c r="AF184" s="91"/>
      <c r="AG184" s="105"/>
      <c r="AH184" s="105"/>
      <c r="AI184" s="105" t="str">
        <f t="shared" si="1"/>
        <v/>
      </c>
      <c r="AJ184" s="108" t="str">
        <f t="shared" si="2"/>
        <v/>
      </c>
    </row>
    <row r="185" ht="15.75" customHeight="1">
      <c r="A185" s="104"/>
      <c r="B185" s="105" t="str">
        <f>IFERROR(__xludf.DUMMYFUNCTION("ARRAY_CONSTRAIN(
  ARRAYFORMULA(
    IF(
      'Final Report'!A185="""",
      """",
      TEXTJOIN(
        "", "" &amp; CHAR(10),
        TRUE,
        IFERROR(
          VLOOKUP(
            TRIM(
              SPLIT('Final Report'!A185, "","")
           "&amp;" ),
            'URL Details'!A:B,
            2,
            FALSE
          ),
          """"
        )
      )
    )
  ),
  1,
  1
)
"),"")</f>
        <v/>
      </c>
      <c r="C185" s="105" t="str">
        <f>IFERROR(__xludf.DUMMYFUNCTION("IFERROR(IF('Final Report'!A185="""","""", TEXTJOIN(CHAR(10), TRUE, ARRAYFORMULA( ""• ""&amp; FILTER( TRIM(FLATTEN(SPLIT( REGEXREPLACE( SUBSTITUTE(TEXTJOIN("","", TRUE, IFERROR(ARRAYFORMULA(VLOOKUP(TRIM(SPLIT('Final Report'!A185, "","")), 'URL Details'!A:D, 4,"&amp;" FALSE)),"""") ), CHAR(10), "",""), ""\s*,\s*"", "",""), "",""))), TRIM(FLATTEN(SPLIT( REGEXREPLACE( SUBSTITUTE(TEXTJOIN("","", TRUE, IFERROR(ARRAYFORMULA(VLOOKUP(TRIM(SPLIT('Final Report'!A185, "","")), 'URL Details'!A:D, 4, FALSE)),"""") ), CHAR(10), """&amp;",""), ""\s*,\s*"", "",""), "","")))&lt;&gt;"""" ) ) ) ),"""")
"),"")</f>
        <v/>
      </c>
      <c r="D185" s="105"/>
      <c r="E185" s="105"/>
      <c r="F185" s="110" t="b">
        <v>0</v>
      </c>
      <c r="G185" s="105" t="str">
        <f>IF(F185=True, IFERROR(VLOOKUP(D185, Repository!A:B, 2, 0), ""), "")</f>
        <v/>
      </c>
      <c r="H185" s="105"/>
      <c r="I185" s="105"/>
      <c r="J185" s="105" t="str">
        <f>IF(F185=True, IFERROR(VLOOKUP(D185, Repository!A:C, 3, 0), ""), "")</f>
        <v/>
      </c>
      <c r="K185" s="105"/>
      <c r="L185" s="105" t="str">
        <f>IF(F185=True, IFERROR(VLOOKUP(D185, Repository!A:E, 5, 0), ""), "")</f>
        <v/>
      </c>
      <c r="M185" s="105"/>
      <c r="N185" s="105" t="str">
        <f>IF(F185=True, IFERROR(VLOOKUP(D185, Repository!A:G, 7, 0), ""), "")</f>
        <v/>
      </c>
      <c r="O185" s="105" t="str">
        <f>IFERROR(__xludf.DUMMYFUNCTION("ARRAY_CONSTRAIN(
  ARRAYFORMULA(
    IFERROR(
      LET(
        list, N185,
        arr, TRIM(SPLIT(list, "","")),
        names, XLOOKUP(
          arr,
          'Conformance Score'!A:A,
          'Conformance Score'!B:B,
          ""Not found""
      "&amp;"  ),
        TEXTJOIN("", "", TRUE, names)
      ),
      """"
    )
  ),
  1,
  1
)
"),"")</f>
        <v/>
      </c>
      <c r="P185" s="105" t="str">
        <f>IF(F185="Yes", IFERROR(VLOOKUP(D185, Repository!A:F, 6, 0), ""), "")</f>
        <v/>
      </c>
      <c r="Q185" s="105" t="str">
        <f>IF(F185="Yes", IFERROR(VLOOKUP(D185, Repository!A:I, 8, 0), ""), "")</f>
        <v/>
      </c>
      <c r="R185" s="105" t="str">
        <f>IF(F185="Yes", IFERROR(VLOOKUP(D185, Repository!A:J, 9, 0), ""), "")</f>
        <v/>
      </c>
      <c r="S185" s="105"/>
      <c r="T185" s="105"/>
      <c r="U185" s="105"/>
      <c r="V185" s="105"/>
      <c r="W185" s="105"/>
      <c r="X185" s="105"/>
      <c r="Y185" s="105"/>
      <c r="Z185" s="105"/>
      <c r="AA185" s="105"/>
      <c r="AB185" s="105"/>
      <c r="AC185" s="91"/>
      <c r="AD185" s="105"/>
      <c r="AE185" s="105"/>
      <c r="AF185" s="91"/>
      <c r="AG185" s="105"/>
      <c r="AH185" s="105"/>
      <c r="AI185" s="105" t="str">
        <f t="shared" si="1"/>
        <v/>
      </c>
      <c r="AJ185" s="108" t="str">
        <f t="shared" si="2"/>
        <v/>
      </c>
    </row>
    <row r="186" ht="15.75" customHeight="1">
      <c r="A186" s="104"/>
      <c r="B186" s="105" t="str">
        <f>IFERROR(__xludf.DUMMYFUNCTION("ARRAY_CONSTRAIN(
  ARRAYFORMULA(
    IF(
      'Final Report'!A186="""",
      """",
      TEXTJOIN(
        "", "" &amp; CHAR(10),
        TRUE,
        IFERROR(
          VLOOKUP(
            TRIM(
              SPLIT('Final Report'!A186, "","")
           "&amp;" ),
            'URL Details'!A:B,
            2,
            FALSE
          ),
          """"
        )
      )
    )
  ),
  1,
  1
)
"),"")</f>
        <v/>
      </c>
      <c r="C186" s="105" t="str">
        <f>IFERROR(__xludf.DUMMYFUNCTION("IFERROR(IF('Final Report'!A186="""","""", TEXTJOIN(CHAR(10), TRUE, ARRAYFORMULA( ""• ""&amp; FILTER( TRIM(FLATTEN(SPLIT( REGEXREPLACE( SUBSTITUTE(TEXTJOIN("","", TRUE, IFERROR(ARRAYFORMULA(VLOOKUP(TRIM(SPLIT('Final Report'!A186, "","")), 'URL Details'!A:D, 4,"&amp;" FALSE)),"""") ), CHAR(10), "",""), ""\s*,\s*"", "",""), "",""))), TRIM(FLATTEN(SPLIT( REGEXREPLACE( SUBSTITUTE(TEXTJOIN("","", TRUE, IFERROR(ARRAYFORMULA(VLOOKUP(TRIM(SPLIT('Final Report'!A186, "","")), 'URL Details'!A:D, 4, FALSE)),"""") ), CHAR(10), """&amp;",""), ""\s*,\s*"", "",""), "","")))&lt;&gt;"""" ) ) ) ),"""")
"),"")</f>
        <v/>
      </c>
      <c r="D186" s="105"/>
      <c r="E186" s="105"/>
      <c r="F186" s="110" t="b">
        <v>0</v>
      </c>
      <c r="G186" s="105" t="str">
        <f>IF(F186=True, IFERROR(VLOOKUP(D186, Repository!A:B, 2, 0), ""), "")</f>
        <v/>
      </c>
      <c r="H186" s="105"/>
      <c r="I186" s="105"/>
      <c r="J186" s="105" t="str">
        <f>IF(F186=True, IFERROR(VLOOKUP(D186, Repository!A:C, 3, 0), ""), "")</f>
        <v/>
      </c>
      <c r="K186" s="105"/>
      <c r="L186" s="105" t="str">
        <f>IF(F186=True, IFERROR(VLOOKUP(D186, Repository!A:E, 5, 0), ""), "")</f>
        <v/>
      </c>
      <c r="M186" s="105"/>
      <c r="N186" s="105" t="str">
        <f>IF(F186=True, IFERROR(VLOOKUP(D186, Repository!A:G, 7, 0), ""), "")</f>
        <v/>
      </c>
      <c r="O186" s="105" t="str">
        <f>IFERROR(__xludf.DUMMYFUNCTION("ARRAY_CONSTRAIN(
  ARRAYFORMULA(
    IFERROR(
      LET(
        list, N186,
        arr, TRIM(SPLIT(list, "","")),
        names, XLOOKUP(
          arr,
          'Conformance Score'!A:A,
          'Conformance Score'!B:B,
          ""Not found""
      "&amp;"  ),
        TEXTJOIN("", "", TRUE, names)
      ),
      """"
    )
  ),
  1,
  1
)
"),"")</f>
        <v/>
      </c>
      <c r="P186" s="105" t="str">
        <f>IF(F186="Yes", IFERROR(VLOOKUP(D186, Repository!A:F, 6, 0), ""), "")</f>
        <v/>
      </c>
      <c r="Q186" s="105" t="str">
        <f>IF(F186="Yes", IFERROR(VLOOKUP(D186, Repository!A:I, 8, 0), ""), "")</f>
        <v/>
      </c>
      <c r="R186" s="105" t="str">
        <f>IF(F186="Yes", IFERROR(VLOOKUP(D186, Repository!A:J, 9, 0), ""), "")</f>
        <v/>
      </c>
      <c r="S186" s="105"/>
      <c r="T186" s="105"/>
      <c r="U186" s="105"/>
      <c r="V186" s="105"/>
      <c r="W186" s="105"/>
      <c r="X186" s="105"/>
      <c r="Y186" s="105"/>
      <c r="Z186" s="105"/>
      <c r="AA186" s="105"/>
      <c r="AB186" s="105"/>
      <c r="AC186" s="91"/>
      <c r="AD186" s="105"/>
      <c r="AE186" s="105"/>
      <c r="AF186" s="91"/>
      <c r="AG186" s="105"/>
      <c r="AH186" s="105"/>
      <c r="AI186" s="105" t="str">
        <f t="shared" si="1"/>
        <v/>
      </c>
      <c r="AJ186" s="108" t="str">
        <f t="shared" si="2"/>
        <v/>
      </c>
    </row>
    <row r="187" ht="15.75" customHeight="1">
      <c r="A187" s="104"/>
      <c r="B187" s="105" t="str">
        <f>IFERROR(__xludf.DUMMYFUNCTION("ARRAY_CONSTRAIN(
  ARRAYFORMULA(
    IF(
      'Final Report'!A187="""",
      """",
      TEXTJOIN(
        "", "" &amp; CHAR(10),
        TRUE,
        IFERROR(
          VLOOKUP(
            TRIM(
              SPLIT('Final Report'!A187, "","")
           "&amp;" ),
            'URL Details'!A:B,
            2,
            FALSE
          ),
          """"
        )
      )
    )
  ),
  1,
  1
)
"),"")</f>
        <v/>
      </c>
      <c r="C187" s="105" t="str">
        <f>IFERROR(__xludf.DUMMYFUNCTION("IFERROR(IF('Final Report'!A187="""","""", TEXTJOIN(CHAR(10), TRUE, ARRAYFORMULA( ""• ""&amp; FILTER( TRIM(FLATTEN(SPLIT( REGEXREPLACE( SUBSTITUTE(TEXTJOIN("","", TRUE, IFERROR(ARRAYFORMULA(VLOOKUP(TRIM(SPLIT('Final Report'!A187, "","")), 'URL Details'!A:D, 4,"&amp;" FALSE)),"""") ), CHAR(10), "",""), ""\s*,\s*"", "",""), "",""))), TRIM(FLATTEN(SPLIT( REGEXREPLACE( SUBSTITUTE(TEXTJOIN("","", TRUE, IFERROR(ARRAYFORMULA(VLOOKUP(TRIM(SPLIT('Final Report'!A187, "","")), 'URL Details'!A:D, 4, FALSE)),"""") ), CHAR(10), """&amp;",""), ""\s*,\s*"", "",""), "","")))&lt;&gt;"""" ) ) ) ),"""")
"),"")</f>
        <v/>
      </c>
      <c r="D187" s="105"/>
      <c r="E187" s="105"/>
      <c r="F187" s="110" t="b">
        <v>0</v>
      </c>
      <c r="G187" s="105" t="str">
        <f>IF(F187=True, IFERROR(VLOOKUP(D187, Repository!A:B, 2, 0), ""), "")</f>
        <v/>
      </c>
      <c r="H187" s="105"/>
      <c r="I187" s="105"/>
      <c r="J187" s="105" t="str">
        <f>IF(F187=True, IFERROR(VLOOKUP(D187, Repository!A:C, 3, 0), ""), "")</f>
        <v/>
      </c>
      <c r="K187" s="105"/>
      <c r="L187" s="105" t="str">
        <f>IF(F187=True, IFERROR(VLOOKUP(D187, Repository!A:E, 5, 0), ""), "")</f>
        <v/>
      </c>
      <c r="M187" s="105"/>
      <c r="N187" s="105" t="str">
        <f>IF(F187=True, IFERROR(VLOOKUP(D187, Repository!A:G, 7, 0), ""), "")</f>
        <v/>
      </c>
      <c r="O187" s="105" t="str">
        <f>IFERROR(__xludf.DUMMYFUNCTION("ARRAY_CONSTRAIN(
  ARRAYFORMULA(
    IFERROR(
      LET(
        list, N187,
        arr, TRIM(SPLIT(list, "","")),
        names, XLOOKUP(
          arr,
          'Conformance Score'!A:A,
          'Conformance Score'!B:B,
          ""Not found""
      "&amp;"  ),
        TEXTJOIN("", "", TRUE, names)
      ),
      """"
    )
  ),
  1,
  1
)
"),"")</f>
        <v/>
      </c>
      <c r="P187" s="105" t="str">
        <f>IF(F187="Yes", IFERROR(VLOOKUP(D187, Repository!A:F, 6, 0), ""), "")</f>
        <v/>
      </c>
      <c r="Q187" s="105" t="str">
        <f>IF(F187="Yes", IFERROR(VLOOKUP(D187, Repository!A:I, 8, 0), ""), "")</f>
        <v/>
      </c>
      <c r="R187" s="105" t="str">
        <f>IF(F187="Yes", IFERROR(VLOOKUP(D187, Repository!A:J, 9, 0), ""), "")</f>
        <v/>
      </c>
      <c r="S187" s="105"/>
      <c r="T187" s="105"/>
      <c r="U187" s="105"/>
      <c r="V187" s="105"/>
      <c r="W187" s="105"/>
      <c r="X187" s="105"/>
      <c r="Y187" s="105"/>
      <c r="Z187" s="105"/>
      <c r="AA187" s="105"/>
      <c r="AB187" s="105"/>
      <c r="AC187" s="91"/>
      <c r="AD187" s="105"/>
      <c r="AE187" s="105"/>
      <c r="AF187" s="91"/>
      <c r="AG187" s="105"/>
      <c r="AH187" s="105"/>
      <c r="AI187" s="105" t="str">
        <f t="shared" si="1"/>
        <v/>
      </c>
      <c r="AJ187" s="108" t="str">
        <f t="shared" si="2"/>
        <v/>
      </c>
    </row>
    <row r="188" ht="15.75" customHeight="1">
      <c r="A188" s="104"/>
      <c r="B188" s="105" t="str">
        <f>IFERROR(__xludf.DUMMYFUNCTION("ARRAY_CONSTRAIN(
  ARRAYFORMULA(
    IF(
      'Final Report'!A188="""",
      """",
      TEXTJOIN(
        "", "" &amp; CHAR(10),
        TRUE,
        IFERROR(
          VLOOKUP(
            TRIM(
              SPLIT('Final Report'!A188, "","")
           "&amp;" ),
            'URL Details'!A:B,
            2,
            FALSE
          ),
          """"
        )
      )
    )
  ),
  1,
  1
)
"),"")</f>
        <v/>
      </c>
      <c r="C188" s="105" t="str">
        <f>IFERROR(__xludf.DUMMYFUNCTION("IFERROR(IF('Final Report'!A188="""","""", TEXTJOIN(CHAR(10), TRUE, ARRAYFORMULA( ""• ""&amp; FILTER( TRIM(FLATTEN(SPLIT( REGEXREPLACE( SUBSTITUTE(TEXTJOIN("","", TRUE, IFERROR(ARRAYFORMULA(VLOOKUP(TRIM(SPLIT('Final Report'!A188, "","")), 'URL Details'!A:D, 4,"&amp;" FALSE)),"""") ), CHAR(10), "",""), ""\s*,\s*"", "",""), "",""))), TRIM(FLATTEN(SPLIT( REGEXREPLACE( SUBSTITUTE(TEXTJOIN("","", TRUE, IFERROR(ARRAYFORMULA(VLOOKUP(TRIM(SPLIT('Final Report'!A188, "","")), 'URL Details'!A:D, 4, FALSE)),"""") ), CHAR(10), """&amp;",""), ""\s*,\s*"", "",""), "","")))&lt;&gt;"""" ) ) ) ),"""")
"),"")</f>
        <v/>
      </c>
      <c r="D188" s="105"/>
      <c r="E188" s="105"/>
      <c r="F188" s="110" t="b">
        <v>0</v>
      </c>
      <c r="G188" s="105" t="str">
        <f>IF(F188=True, IFERROR(VLOOKUP(D188, Repository!A:B, 2, 0), ""), "")</f>
        <v/>
      </c>
      <c r="H188" s="105"/>
      <c r="I188" s="105"/>
      <c r="J188" s="105" t="str">
        <f>IF(F188=True, IFERROR(VLOOKUP(D188, Repository!A:C, 3, 0), ""), "")</f>
        <v/>
      </c>
      <c r="K188" s="105"/>
      <c r="L188" s="105" t="str">
        <f>IF(F188=True, IFERROR(VLOOKUP(D188, Repository!A:E, 5, 0), ""), "")</f>
        <v/>
      </c>
      <c r="M188" s="105"/>
      <c r="N188" s="105" t="str">
        <f>IF(F188=True, IFERROR(VLOOKUP(D188, Repository!A:G, 7, 0), ""), "")</f>
        <v/>
      </c>
      <c r="O188" s="105" t="str">
        <f>IFERROR(__xludf.DUMMYFUNCTION("ARRAY_CONSTRAIN(
  ARRAYFORMULA(
    IFERROR(
      LET(
        list, N188,
        arr, TRIM(SPLIT(list, "","")),
        names, XLOOKUP(
          arr,
          'Conformance Score'!A:A,
          'Conformance Score'!B:B,
          ""Not found""
      "&amp;"  ),
        TEXTJOIN("", "", TRUE, names)
      ),
      """"
    )
  ),
  1,
  1
)
"),"")</f>
        <v/>
      </c>
      <c r="P188" s="105" t="str">
        <f>IF(F188="Yes", IFERROR(VLOOKUP(D188, Repository!A:F, 6, 0), ""), "")</f>
        <v/>
      </c>
      <c r="Q188" s="105" t="str">
        <f>IF(F188="Yes", IFERROR(VLOOKUP(D188, Repository!A:I, 8, 0), ""), "")</f>
        <v/>
      </c>
      <c r="R188" s="105" t="str">
        <f>IF(F188="Yes", IFERROR(VLOOKUP(D188, Repository!A:J, 9, 0), ""), "")</f>
        <v/>
      </c>
      <c r="S188" s="105"/>
      <c r="T188" s="105"/>
      <c r="U188" s="105"/>
      <c r="V188" s="105"/>
      <c r="W188" s="105"/>
      <c r="X188" s="105"/>
      <c r="Y188" s="105"/>
      <c r="Z188" s="105"/>
      <c r="AA188" s="105"/>
      <c r="AB188" s="105"/>
      <c r="AC188" s="91"/>
      <c r="AD188" s="105"/>
      <c r="AE188" s="105"/>
      <c r="AF188" s="91"/>
      <c r="AG188" s="105"/>
      <c r="AH188" s="105"/>
      <c r="AI188" s="105" t="str">
        <f t="shared" si="1"/>
        <v/>
      </c>
      <c r="AJ188" s="108" t="str">
        <f t="shared" si="2"/>
        <v/>
      </c>
    </row>
    <row r="189" ht="15.75" customHeight="1">
      <c r="A189" s="104"/>
      <c r="B189" s="105" t="str">
        <f>IFERROR(__xludf.DUMMYFUNCTION("ARRAY_CONSTRAIN(
  ARRAYFORMULA(
    IF(
      'Final Report'!A189="""",
      """",
      TEXTJOIN(
        "", "" &amp; CHAR(10),
        TRUE,
        IFERROR(
          VLOOKUP(
            TRIM(
              SPLIT('Final Report'!A189, "","")
           "&amp;" ),
            'URL Details'!A:B,
            2,
            FALSE
          ),
          """"
        )
      )
    )
  ),
  1,
  1
)
"),"")</f>
        <v/>
      </c>
      <c r="C189" s="105" t="str">
        <f>IFERROR(__xludf.DUMMYFUNCTION("IFERROR(IF('Final Report'!A189="""","""", TEXTJOIN(CHAR(10), TRUE, ARRAYFORMULA( ""• ""&amp; FILTER( TRIM(FLATTEN(SPLIT( REGEXREPLACE( SUBSTITUTE(TEXTJOIN("","", TRUE, IFERROR(ARRAYFORMULA(VLOOKUP(TRIM(SPLIT('Final Report'!A189, "","")), 'URL Details'!A:D, 4,"&amp;" FALSE)),"""") ), CHAR(10), "",""), ""\s*,\s*"", "",""), "",""))), TRIM(FLATTEN(SPLIT( REGEXREPLACE( SUBSTITUTE(TEXTJOIN("","", TRUE, IFERROR(ARRAYFORMULA(VLOOKUP(TRIM(SPLIT('Final Report'!A189, "","")), 'URL Details'!A:D, 4, FALSE)),"""") ), CHAR(10), """&amp;",""), ""\s*,\s*"", "",""), "","")))&lt;&gt;"""" ) ) ) ),"""")
"),"")</f>
        <v/>
      </c>
      <c r="D189" s="105"/>
      <c r="E189" s="105"/>
      <c r="F189" s="110" t="b">
        <v>0</v>
      </c>
      <c r="G189" s="105" t="str">
        <f>IF(F189=True, IFERROR(VLOOKUP(D189, Repository!A:B, 2, 0), ""), "")</f>
        <v/>
      </c>
      <c r="H189" s="105"/>
      <c r="I189" s="105"/>
      <c r="J189" s="105" t="str">
        <f>IF(F189=True, IFERROR(VLOOKUP(D189, Repository!A:C, 3, 0), ""), "")</f>
        <v/>
      </c>
      <c r="K189" s="105"/>
      <c r="L189" s="105" t="str">
        <f>IF(F189=True, IFERROR(VLOOKUP(D189, Repository!A:E, 5, 0), ""), "")</f>
        <v/>
      </c>
      <c r="M189" s="105"/>
      <c r="N189" s="105" t="str">
        <f>IF(F189=True, IFERROR(VLOOKUP(D189, Repository!A:G, 7, 0), ""), "")</f>
        <v/>
      </c>
      <c r="O189" s="105" t="str">
        <f>IFERROR(__xludf.DUMMYFUNCTION("ARRAY_CONSTRAIN(
  ARRAYFORMULA(
    IFERROR(
      LET(
        list, N189,
        arr, TRIM(SPLIT(list, "","")),
        names, XLOOKUP(
          arr,
          'Conformance Score'!A:A,
          'Conformance Score'!B:B,
          ""Not found""
      "&amp;"  ),
        TEXTJOIN("", "", TRUE, names)
      ),
      """"
    )
  ),
  1,
  1
)
"),"")</f>
        <v/>
      </c>
      <c r="P189" s="105" t="str">
        <f>IF(F189="Yes", IFERROR(VLOOKUP(D189, Repository!A:F, 6, 0), ""), "")</f>
        <v/>
      </c>
      <c r="Q189" s="105" t="str">
        <f>IF(F189="Yes", IFERROR(VLOOKUP(D189, Repository!A:I, 8, 0), ""), "")</f>
        <v/>
      </c>
      <c r="R189" s="105" t="str">
        <f>IF(F189="Yes", IFERROR(VLOOKUP(D189, Repository!A:J, 9, 0), ""), "")</f>
        <v/>
      </c>
      <c r="S189" s="105"/>
      <c r="T189" s="105"/>
      <c r="U189" s="105"/>
      <c r="V189" s="105"/>
      <c r="W189" s="105"/>
      <c r="X189" s="105"/>
      <c r="Y189" s="105"/>
      <c r="Z189" s="105"/>
      <c r="AA189" s="105"/>
      <c r="AB189" s="105"/>
      <c r="AC189" s="91"/>
      <c r="AD189" s="105"/>
      <c r="AE189" s="105"/>
      <c r="AF189" s="91"/>
      <c r="AG189" s="105"/>
      <c r="AH189" s="105"/>
      <c r="AI189" s="105" t="str">
        <f t="shared" si="1"/>
        <v/>
      </c>
      <c r="AJ189" s="108" t="str">
        <f t="shared" si="2"/>
        <v/>
      </c>
    </row>
    <row r="190" ht="15.75" customHeight="1">
      <c r="A190" s="104"/>
      <c r="B190" s="105" t="str">
        <f>IFERROR(__xludf.DUMMYFUNCTION("ARRAY_CONSTRAIN(
  ARRAYFORMULA(
    IF(
      'Final Report'!A190="""",
      """",
      TEXTJOIN(
        "", "" &amp; CHAR(10),
        TRUE,
        IFERROR(
          VLOOKUP(
            TRIM(
              SPLIT('Final Report'!A190, "","")
           "&amp;" ),
            'URL Details'!A:B,
            2,
            FALSE
          ),
          """"
        )
      )
    )
  ),
  1,
  1
)
"),"")</f>
        <v/>
      </c>
      <c r="C190" s="105" t="str">
        <f>IFERROR(__xludf.DUMMYFUNCTION("IFERROR(IF('Final Report'!A190="""","""", TEXTJOIN(CHAR(10), TRUE, ARRAYFORMULA( ""• ""&amp; FILTER( TRIM(FLATTEN(SPLIT( REGEXREPLACE( SUBSTITUTE(TEXTJOIN("","", TRUE, IFERROR(ARRAYFORMULA(VLOOKUP(TRIM(SPLIT('Final Report'!A190, "","")), 'URL Details'!A:D, 4,"&amp;" FALSE)),"""") ), CHAR(10), "",""), ""\s*,\s*"", "",""), "",""))), TRIM(FLATTEN(SPLIT( REGEXREPLACE( SUBSTITUTE(TEXTJOIN("","", TRUE, IFERROR(ARRAYFORMULA(VLOOKUP(TRIM(SPLIT('Final Report'!A190, "","")), 'URL Details'!A:D, 4, FALSE)),"""") ), CHAR(10), """&amp;",""), ""\s*,\s*"", "",""), "","")))&lt;&gt;"""" ) ) ) ),"""")
"),"")</f>
        <v/>
      </c>
      <c r="D190" s="105"/>
      <c r="E190" s="105"/>
      <c r="F190" s="110" t="b">
        <v>0</v>
      </c>
      <c r="G190" s="105" t="str">
        <f>IF(F190=True, IFERROR(VLOOKUP(D190, Repository!A:B, 2, 0), ""), "")</f>
        <v/>
      </c>
      <c r="H190" s="105"/>
      <c r="I190" s="105"/>
      <c r="J190" s="105" t="str">
        <f>IF(F190=True, IFERROR(VLOOKUP(D190, Repository!A:C, 3, 0), ""), "")</f>
        <v/>
      </c>
      <c r="K190" s="105"/>
      <c r="L190" s="105" t="str">
        <f>IF(F190=True, IFERROR(VLOOKUP(D190, Repository!A:E, 5, 0), ""), "")</f>
        <v/>
      </c>
      <c r="M190" s="105"/>
      <c r="N190" s="105" t="str">
        <f>IF(F190=True, IFERROR(VLOOKUP(D190, Repository!A:G, 7, 0), ""), "")</f>
        <v/>
      </c>
      <c r="O190" s="105" t="str">
        <f>IFERROR(__xludf.DUMMYFUNCTION("ARRAY_CONSTRAIN(
  ARRAYFORMULA(
    IFERROR(
      LET(
        list, N190,
        arr, TRIM(SPLIT(list, "","")),
        names, XLOOKUP(
          arr,
          'Conformance Score'!A:A,
          'Conformance Score'!B:B,
          ""Not found""
      "&amp;"  ),
        TEXTJOIN("", "", TRUE, names)
      ),
      """"
    )
  ),
  1,
  1
)
"),"")</f>
        <v/>
      </c>
      <c r="P190" s="105" t="str">
        <f>IF(F190="Yes", IFERROR(VLOOKUP(D190, Repository!A:F, 6, 0), ""), "")</f>
        <v/>
      </c>
      <c r="Q190" s="105" t="str">
        <f>IF(F190="Yes", IFERROR(VLOOKUP(D190, Repository!A:I, 8, 0), ""), "")</f>
        <v/>
      </c>
      <c r="R190" s="105" t="str">
        <f>IF(F190="Yes", IFERROR(VLOOKUP(D190, Repository!A:J, 9, 0), ""), "")</f>
        <v/>
      </c>
      <c r="S190" s="105"/>
      <c r="T190" s="105"/>
      <c r="U190" s="105"/>
      <c r="V190" s="105"/>
      <c r="W190" s="105"/>
      <c r="X190" s="105"/>
      <c r="Y190" s="105"/>
      <c r="Z190" s="105"/>
      <c r="AA190" s="105"/>
      <c r="AB190" s="105"/>
      <c r="AC190" s="91"/>
      <c r="AD190" s="105"/>
      <c r="AE190" s="105"/>
      <c r="AF190" s="91"/>
      <c r="AG190" s="105"/>
      <c r="AH190" s="105"/>
      <c r="AI190" s="105" t="str">
        <f t="shared" si="1"/>
        <v/>
      </c>
      <c r="AJ190" s="108" t="str">
        <f t="shared" si="2"/>
        <v/>
      </c>
    </row>
    <row r="191" ht="15.75" customHeight="1">
      <c r="A191" s="104"/>
      <c r="B191" s="105" t="str">
        <f>IFERROR(__xludf.DUMMYFUNCTION("ARRAY_CONSTRAIN(
  ARRAYFORMULA(
    IF(
      'Final Report'!A191="""",
      """",
      TEXTJOIN(
        "", "" &amp; CHAR(10),
        TRUE,
        IFERROR(
          VLOOKUP(
            TRIM(
              SPLIT('Final Report'!A191, "","")
           "&amp;" ),
            'URL Details'!A:B,
            2,
            FALSE
          ),
          """"
        )
      )
    )
  ),
  1,
  1
)
"),"")</f>
        <v/>
      </c>
      <c r="C191" s="105" t="str">
        <f>IFERROR(__xludf.DUMMYFUNCTION("IFERROR(IF('Final Report'!A191="""","""", TEXTJOIN(CHAR(10), TRUE, ARRAYFORMULA( ""• ""&amp; FILTER( TRIM(FLATTEN(SPLIT( REGEXREPLACE( SUBSTITUTE(TEXTJOIN("","", TRUE, IFERROR(ARRAYFORMULA(VLOOKUP(TRIM(SPLIT('Final Report'!A191, "","")), 'URL Details'!A:D, 4,"&amp;" FALSE)),"""") ), CHAR(10), "",""), ""\s*,\s*"", "",""), "",""))), TRIM(FLATTEN(SPLIT( REGEXREPLACE( SUBSTITUTE(TEXTJOIN("","", TRUE, IFERROR(ARRAYFORMULA(VLOOKUP(TRIM(SPLIT('Final Report'!A191, "","")), 'URL Details'!A:D, 4, FALSE)),"""") ), CHAR(10), """&amp;",""), ""\s*,\s*"", "",""), "","")))&lt;&gt;"""" ) ) ) ),"""")
"),"")</f>
        <v/>
      </c>
      <c r="D191" s="105"/>
      <c r="E191" s="105"/>
      <c r="F191" s="110" t="b">
        <v>0</v>
      </c>
      <c r="G191" s="105" t="str">
        <f>IF(F191=True, IFERROR(VLOOKUP(D191, Repository!A:B, 2, 0), ""), "")</f>
        <v/>
      </c>
      <c r="H191" s="105"/>
      <c r="I191" s="105"/>
      <c r="J191" s="105" t="str">
        <f>IF(F191=True, IFERROR(VLOOKUP(D191, Repository!A:C, 3, 0), ""), "")</f>
        <v/>
      </c>
      <c r="K191" s="105"/>
      <c r="L191" s="105" t="str">
        <f>IF(F191=True, IFERROR(VLOOKUP(D191, Repository!A:E, 5, 0), ""), "")</f>
        <v/>
      </c>
      <c r="M191" s="105"/>
      <c r="N191" s="105" t="str">
        <f>IF(F191=True, IFERROR(VLOOKUP(D191, Repository!A:G, 7, 0), ""), "")</f>
        <v/>
      </c>
      <c r="O191" s="105" t="str">
        <f>IFERROR(__xludf.DUMMYFUNCTION("ARRAY_CONSTRAIN(
  ARRAYFORMULA(
    IFERROR(
      LET(
        list, N191,
        arr, TRIM(SPLIT(list, "","")),
        names, XLOOKUP(
          arr,
          'Conformance Score'!A:A,
          'Conformance Score'!B:B,
          ""Not found""
      "&amp;"  ),
        TEXTJOIN("", "", TRUE, names)
      ),
      """"
    )
  ),
  1,
  1
)
"),"")</f>
        <v/>
      </c>
      <c r="P191" s="105" t="str">
        <f>IF(F191="Yes", IFERROR(VLOOKUP(D191, Repository!A:F, 6, 0), ""), "")</f>
        <v/>
      </c>
      <c r="Q191" s="105" t="str">
        <f>IF(F191="Yes", IFERROR(VLOOKUP(D191, Repository!A:I, 8, 0), ""), "")</f>
        <v/>
      </c>
      <c r="R191" s="105" t="str">
        <f>IF(F191="Yes", IFERROR(VLOOKUP(D191, Repository!A:J, 9, 0), ""), "")</f>
        <v/>
      </c>
      <c r="S191" s="105"/>
      <c r="T191" s="105"/>
      <c r="U191" s="105"/>
      <c r="V191" s="105"/>
      <c r="W191" s="105"/>
      <c r="X191" s="105"/>
      <c r="Y191" s="105"/>
      <c r="Z191" s="105"/>
      <c r="AA191" s="105"/>
      <c r="AB191" s="105"/>
      <c r="AC191" s="91"/>
      <c r="AD191" s="105"/>
      <c r="AE191" s="105"/>
      <c r="AF191" s="91"/>
      <c r="AG191" s="105"/>
      <c r="AH191" s="105"/>
      <c r="AI191" s="105" t="str">
        <f t="shared" si="1"/>
        <v/>
      </c>
      <c r="AJ191" s="108" t="str">
        <f t="shared" si="2"/>
        <v/>
      </c>
    </row>
    <row r="192" ht="15.75" customHeight="1">
      <c r="A192" s="104"/>
      <c r="B192" s="105" t="str">
        <f>IFERROR(__xludf.DUMMYFUNCTION("ARRAY_CONSTRAIN(
  ARRAYFORMULA(
    IF(
      'Final Report'!A192="""",
      """",
      TEXTJOIN(
        "", "" &amp; CHAR(10),
        TRUE,
        IFERROR(
          VLOOKUP(
            TRIM(
              SPLIT('Final Report'!A192, "","")
           "&amp;" ),
            'URL Details'!A:B,
            2,
            FALSE
          ),
          """"
        )
      )
    )
  ),
  1,
  1
)
"),"")</f>
        <v/>
      </c>
      <c r="C192" s="105" t="str">
        <f>IFERROR(__xludf.DUMMYFUNCTION("IFERROR(IF('Final Report'!A192="""","""", TEXTJOIN(CHAR(10), TRUE, ARRAYFORMULA( ""• ""&amp; FILTER( TRIM(FLATTEN(SPLIT( REGEXREPLACE( SUBSTITUTE(TEXTJOIN("","", TRUE, IFERROR(ARRAYFORMULA(VLOOKUP(TRIM(SPLIT('Final Report'!A192, "","")), 'URL Details'!A:D, 4,"&amp;" FALSE)),"""") ), CHAR(10), "",""), ""\s*,\s*"", "",""), "",""))), TRIM(FLATTEN(SPLIT( REGEXREPLACE( SUBSTITUTE(TEXTJOIN("","", TRUE, IFERROR(ARRAYFORMULA(VLOOKUP(TRIM(SPLIT('Final Report'!A192, "","")), 'URL Details'!A:D, 4, FALSE)),"""") ), CHAR(10), """&amp;",""), ""\s*,\s*"", "",""), "","")))&lt;&gt;"""" ) ) ) ),"""")
"),"")</f>
        <v/>
      </c>
      <c r="D192" s="105"/>
      <c r="E192" s="105"/>
      <c r="F192" s="110" t="b">
        <v>0</v>
      </c>
      <c r="G192" s="105" t="str">
        <f>IF(F192=True, IFERROR(VLOOKUP(D192, Repository!A:B, 2, 0), ""), "")</f>
        <v/>
      </c>
      <c r="H192" s="105"/>
      <c r="I192" s="105"/>
      <c r="J192" s="105" t="str">
        <f>IF(F192=True, IFERROR(VLOOKUP(D192, Repository!A:C, 3, 0), ""), "")</f>
        <v/>
      </c>
      <c r="K192" s="105"/>
      <c r="L192" s="105" t="str">
        <f>IF(F192=True, IFERROR(VLOOKUP(D192, Repository!A:E, 5, 0), ""), "")</f>
        <v/>
      </c>
      <c r="M192" s="105"/>
      <c r="N192" s="105" t="str">
        <f>IF(F192=True, IFERROR(VLOOKUP(D192, Repository!A:G, 7, 0), ""), "")</f>
        <v/>
      </c>
      <c r="O192" s="105" t="str">
        <f>IFERROR(__xludf.DUMMYFUNCTION("ARRAY_CONSTRAIN(
  ARRAYFORMULA(
    IFERROR(
      LET(
        list, N192,
        arr, TRIM(SPLIT(list, "","")),
        names, XLOOKUP(
          arr,
          'Conformance Score'!A:A,
          'Conformance Score'!B:B,
          ""Not found""
      "&amp;"  ),
        TEXTJOIN("", "", TRUE, names)
      ),
      """"
    )
  ),
  1,
  1
)
"),"")</f>
        <v/>
      </c>
      <c r="P192" s="105" t="str">
        <f>IF(F192="Yes", IFERROR(VLOOKUP(D192, Repository!A:F, 6, 0), ""), "")</f>
        <v/>
      </c>
      <c r="Q192" s="105" t="str">
        <f>IF(F192="Yes", IFERROR(VLOOKUP(D192, Repository!A:I, 8, 0), ""), "")</f>
        <v/>
      </c>
      <c r="R192" s="105" t="str">
        <f>IF(F192="Yes", IFERROR(VLOOKUP(D192, Repository!A:J, 9, 0), ""), "")</f>
        <v/>
      </c>
      <c r="S192" s="105"/>
      <c r="T192" s="105"/>
      <c r="U192" s="105"/>
      <c r="V192" s="105"/>
      <c r="W192" s="105"/>
      <c r="X192" s="105"/>
      <c r="Y192" s="105"/>
      <c r="Z192" s="105"/>
      <c r="AA192" s="105"/>
      <c r="AB192" s="105"/>
      <c r="AC192" s="91"/>
      <c r="AD192" s="105"/>
      <c r="AE192" s="105"/>
      <c r="AF192" s="91"/>
      <c r="AG192" s="105"/>
      <c r="AH192" s="105"/>
      <c r="AI192" s="105" t="str">
        <f t="shared" si="1"/>
        <v/>
      </c>
      <c r="AJ192" s="108" t="str">
        <f t="shared" si="2"/>
        <v/>
      </c>
    </row>
    <row r="193" ht="15.75" customHeight="1">
      <c r="A193" s="104"/>
      <c r="B193" s="105" t="str">
        <f>IFERROR(__xludf.DUMMYFUNCTION("ARRAY_CONSTRAIN(
  ARRAYFORMULA(
    IF(
      'Final Report'!A193="""",
      """",
      TEXTJOIN(
        "", "" &amp; CHAR(10),
        TRUE,
        IFERROR(
          VLOOKUP(
            TRIM(
              SPLIT('Final Report'!A193, "","")
           "&amp;" ),
            'URL Details'!A:B,
            2,
            FALSE
          ),
          """"
        )
      )
    )
  ),
  1,
  1
)
"),"")</f>
        <v/>
      </c>
      <c r="C193" s="105" t="str">
        <f>IFERROR(__xludf.DUMMYFUNCTION("IFERROR(IF('Final Report'!A193="""","""", TEXTJOIN(CHAR(10), TRUE, ARRAYFORMULA( ""• ""&amp; FILTER( TRIM(FLATTEN(SPLIT( REGEXREPLACE( SUBSTITUTE(TEXTJOIN("","", TRUE, IFERROR(ARRAYFORMULA(VLOOKUP(TRIM(SPLIT('Final Report'!A193, "","")), 'URL Details'!A:D, 4,"&amp;" FALSE)),"""") ), CHAR(10), "",""), ""\s*,\s*"", "",""), "",""))), TRIM(FLATTEN(SPLIT( REGEXREPLACE( SUBSTITUTE(TEXTJOIN("","", TRUE, IFERROR(ARRAYFORMULA(VLOOKUP(TRIM(SPLIT('Final Report'!A193, "","")), 'URL Details'!A:D, 4, FALSE)),"""") ), CHAR(10), """&amp;",""), ""\s*,\s*"", "",""), "","")))&lt;&gt;"""" ) ) ) ),"""")
"),"")</f>
        <v/>
      </c>
      <c r="D193" s="105"/>
      <c r="E193" s="105"/>
      <c r="F193" s="110" t="b">
        <v>0</v>
      </c>
      <c r="G193" s="105" t="str">
        <f>IF(F193=True, IFERROR(VLOOKUP(D193, Repository!A:B, 2, 0), ""), "")</f>
        <v/>
      </c>
      <c r="H193" s="105"/>
      <c r="I193" s="105"/>
      <c r="J193" s="105" t="str">
        <f>IF(F193=True, IFERROR(VLOOKUP(D193, Repository!A:C, 3, 0), ""), "")</f>
        <v/>
      </c>
      <c r="K193" s="105"/>
      <c r="L193" s="105" t="str">
        <f>IF(F193=True, IFERROR(VLOOKUP(D193, Repository!A:E, 5, 0), ""), "")</f>
        <v/>
      </c>
      <c r="M193" s="105"/>
      <c r="N193" s="105" t="str">
        <f>IF(F193=True, IFERROR(VLOOKUP(D193, Repository!A:G, 7, 0), ""), "")</f>
        <v/>
      </c>
      <c r="O193" s="105" t="str">
        <f>IFERROR(__xludf.DUMMYFUNCTION("ARRAY_CONSTRAIN(
  ARRAYFORMULA(
    IFERROR(
      LET(
        list, N193,
        arr, TRIM(SPLIT(list, "","")),
        names, XLOOKUP(
          arr,
          'Conformance Score'!A:A,
          'Conformance Score'!B:B,
          ""Not found""
      "&amp;"  ),
        TEXTJOIN("", "", TRUE, names)
      ),
      """"
    )
  ),
  1,
  1
)
"),"")</f>
        <v/>
      </c>
      <c r="P193" s="105" t="str">
        <f>IF(F193="Yes", IFERROR(VLOOKUP(D193, Repository!A:F, 6, 0), ""), "")</f>
        <v/>
      </c>
      <c r="Q193" s="105" t="str">
        <f>IF(F193="Yes", IFERROR(VLOOKUP(D193, Repository!A:I, 8, 0), ""), "")</f>
        <v/>
      </c>
      <c r="R193" s="105" t="str">
        <f>IF(F193="Yes", IFERROR(VLOOKUP(D193, Repository!A:J, 9, 0), ""), "")</f>
        <v/>
      </c>
      <c r="S193" s="105"/>
      <c r="T193" s="105"/>
      <c r="U193" s="105"/>
      <c r="V193" s="105"/>
      <c r="W193" s="105"/>
      <c r="X193" s="105"/>
      <c r="Y193" s="105"/>
      <c r="Z193" s="105"/>
      <c r="AA193" s="105"/>
      <c r="AB193" s="105"/>
      <c r="AC193" s="91"/>
      <c r="AD193" s="105"/>
      <c r="AE193" s="105"/>
      <c r="AF193" s="91"/>
      <c r="AG193" s="105"/>
      <c r="AH193" s="105"/>
      <c r="AI193" s="105" t="str">
        <f t="shared" si="1"/>
        <v/>
      </c>
      <c r="AJ193" s="108" t="str">
        <f t="shared" si="2"/>
        <v/>
      </c>
    </row>
    <row r="194" ht="15.75" customHeight="1">
      <c r="A194" s="104"/>
      <c r="B194" s="105" t="str">
        <f>IFERROR(__xludf.DUMMYFUNCTION("ARRAY_CONSTRAIN(
  ARRAYFORMULA(
    IF(
      'Final Report'!A194="""",
      """",
      TEXTJOIN(
        "", "" &amp; CHAR(10),
        TRUE,
        IFERROR(
          VLOOKUP(
            TRIM(
              SPLIT('Final Report'!A194, "","")
           "&amp;" ),
            'URL Details'!A:B,
            2,
            FALSE
          ),
          """"
        )
      )
    )
  ),
  1,
  1
)
"),"")</f>
        <v/>
      </c>
      <c r="C194" s="105" t="str">
        <f>IFERROR(__xludf.DUMMYFUNCTION("IFERROR(IF('Final Report'!A194="""","""", TEXTJOIN(CHAR(10), TRUE, ARRAYFORMULA( ""• ""&amp; FILTER( TRIM(FLATTEN(SPLIT( REGEXREPLACE( SUBSTITUTE(TEXTJOIN("","", TRUE, IFERROR(ARRAYFORMULA(VLOOKUP(TRIM(SPLIT('Final Report'!A194, "","")), 'URL Details'!A:D, 4,"&amp;" FALSE)),"""") ), CHAR(10), "",""), ""\s*,\s*"", "",""), "",""))), TRIM(FLATTEN(SPLIT( REGEXREPLACE( SUBSTITUTE(TEXTJOIN("","", TRUE, IFERROR(ARRAYFORMULA(VLOOKUP(TRIM(SPLIT('Final Report'!A194, "","")), 'URL Details'!A:D, 4, FALSE)),"""") ), CHAR(10), """&amp;",""), ""\s*,\s*"", "",""), "","")))&lt;&gt;"""" ) ) ) ),"""")
"),"")</f>
        <v/>
      </c>
      <c r="D194" s="105"/>
      <c r="E194" s="105"/>
      <c r="F194" s="110" t="b">
        <v>0</v>
      </c>
      <c r="G194" s="105" t="str">
        <f>IF(F194=True, IFERROR(VLOOKUP(D194, Repository!A:B, 2, 0), ""), "")</f>
        <v/>
      </c>
      <c r="H194" s="105"/>
      <c r="I194" s="105"/>
      <c r="J194" s="105" t="str">
        <f>IF(F194=True, IFERROR(VLOOKUP(D194, Repository!A:C, 3, 0), ""), "")</f>
        <v/>
      </c>
      <c r="K194" s="105"/>
      <c r="L194" s="105" t="str">
        <f>IF(F194=True, IFERROR(VLOOKUP(D194, Repository!A:E, 5, 0), ""), "")</f>
        <v/>
      </c>
      <c r="M194" s="105"/>
      <c r="N194" s="105" t="str">
        <f>IF(F194=True, IFERROR(VLOOKUP(D194, Repository!A:G, 7, 0), ""), "")</f>
        <v/>
      </c>
      <c r="O194" s="105" t="str">
        <f>IFERROR(__xludf.DUMMYFUNCTION("ARRAY_CONSTRAIN(
  ARRAYFORMULA(
    IFERROR(
      LET(
        list, N194,
        arr, TRIM(SPLIT(list, "","")),
        names, XLOOKUP(
          arr,
          'Conformance Score'!A:A,
          'Conformance Score'!B:B,
          ""Not found""
      "&amp;"  ),
        TEXTJOIN("", "", TRUE, names)
      ),
      """"
    )
  ),
  1,
  1
)
"),"")</f>
        <v/>
      </c>
      <c r="P194" s="105" t="str">
        <f>IF(F194="Yes", IFERROR(VLOOKUP(D194, Repository!A:F, 6, 0), ""), "")</f>
        <v/>
      </c>
      <c r="Q194" s="105" t="str">
        <f>IF(F194="Yes", IFERROR(VLOOKUP(D194, Repository!A:I, 8, 0), ""), "")</f>
        <v/>
      </c>
      <c r="R194" s="105" t="str">
        <f>IF(F194="Yes", IFERROR(VLOOKUP(D194, Repository!A:J, 9, 0), ""), "")</f>
        <v/>
      </c>
      <c r="S194" s="105"/>
      <c r="T194" s="105"/>
      <c r="U194" s="105"/>
      <c r="V194" s="105"/>
      <c r="W194" s="105"/>
      <c r="X194" s="105"/>
      <c r="Y194" s="105"/>
      <c r="Z194" s="105"/>
      <c r="AA194" s="105"/>
      <c r="AB194" s="105"/>
      <c r="AC194" s="91"/>
      <c r="AD194" s="105"/>
      <c r="AE194" s="105"/>
      <c r="AF194" s="91"/>
      <c r="AG194" s="105"/>
      <c r="AH194" s="105"/>
      <c r="AI194" s="105" t="str">
        <f t="shared" si="1"/>
        <v/>
      </c>
      <c r="AJ194" s="108" t="str">
        <f t="shared" si="2"/>
        <v/>
      </c>
    </row>
    <row r="195" ht="15.75" customHeight="1">
      <c r="A195" s="104"/>
      <c r="B195" s="105" t="str">
        <f>IFERROR(__xludf.DUMMYFUNCTION("ARRAY_CONSTRAIN(
  ARRAYFORMULA(
    IF(
      'Final Report'!A195="""",
      """",
      TEXTJOIN(
        "", "" &amp; CHAR(10),
        TRUE,
        IFERROR(
          VLOOKUP(
            TRIM(
              SPLIT('Final Report'!A195, "","")
           "&amp;" ),
            'URL Details'!A:B,
            2,
            FALSE
          ),
          """"
        )
      )
    )
  ),
  1,
  1
)
"),"")</f>
        <v/>
      </c>
      <c r="C195" s="105" t="str">
        <f>IFERROR(__xludf.DUMMYFUNCTION("IFERROR(IF('Final Report'!A195="""","""", TEXTJOIN(CHAR(10), TRUE, ARRAYFORMULA( ""• ""&amp; FILTER( TRIM(FLATTEN(SPLIT( REGEXREPLACE( SUBSTITUTE(TEXTJOIN("","", TRUE, IFERROR(ARRAYFORMULA(VLOOKUP(TRIM(SPLIT('Final Report'!A195, "","")), 'URL Details'!A:D, 4,"&amp;" FALSE)),"""") ), CHAR(10), "",""), ""\s*,\s*"", "",""), "",""))), TRIM(FLATTEN(SPLIT( REGEXREPLACE( SUBSTITUTE(TEXTJOIN("","", TRUE, IFERROR(ARRAYFORMULA(VLOOKUP(TRIM(SPLIT('Final Report'!A195, "","")), 'URL Details'!A:D, 4, FALSE)),"""") ), CHAR(10), """&amp;",""), ""\s*,\s*"", "",""), "","")))&lt;&gt;"""" ) ) ) ),"""")
"),"")</f>
        <v/>
      </c>
      <c r="D195" s="105"/>
      <c r="E195" s="105"/>
      <c r="F195" s="110" t="b">
        <v>0</v>
      </c>
      <c r="G195" s="105" t="str">
        <f>IF(F195=True, IFERROR(VLOOKUP(D195, Repository!A:B, 2, 0), ""), "")</f>
        <v/>
      </c>
      <c r="H195" s="105"/>
      <c r="I195" s="105"/>
      <c r="J195" s="105" t="str">
        <f>IF(F195=True, IFERROR(VLOOKUP(D195, Repository!A:C, 3, 0), ""), "")</f>
        <v/>
      </c>
      <c r="K195" s="105"/>
      <c r="L195" s="105" t="str">
        <f>IF(F195=True, IFERROR(VLOOKUP(D195, Repository!A:E, 5, 0), ""), "")</f>
        <v/>
      </c>
      <c r="M195" s="105"/>
      <c r="N195" s="105" t="str">
        <f>IF(F195=True, IFERROR(VLOOKUP(D195, Repository!A:G, 7, 0), ""), "")</f>
        <v/>
      </c>
      <c r="O195" s="105" t="str">
        <f>IFERROR(__xludf.DUMMYFUNCTION("ARRAY_CONSTRAIN(
  ARRAYFORMULA(
    IFERROR(
      LET(
        list, N195,
        arr, TRIM(SPLIT(list, "","")),
        names, XLOOKUP(
          arr,
          'Conformance Score'!A:A,
          'Conformance Score'!B:B,
          ""Not found""
      "&amp;"  ),
        TEXTJOIN("", "", TRUE, names)
      ),
      """"
    )
  ),
  1,
  1
)
"),"")</f>
        <v/>
      </c>
      <c r="P195" s="105" t="str">
        <f>IF(F195="Yes", IFERROR(VLOOKUP(D195, Repository!A:F, 6, 0), ""), "")</f>
        <v/>
      </c>
      <c r="Q195" s="105" t="str">
        <f>IF(F195="Yes", IFERROR(VLOOKUP(D195, Repository!A:I, 8, 0), ""), "")</f>
        <v/>
      </c>
      <c r="R195" s="105" t="str">
        <f>IF(F195="Yes", IFERROR(VLOOKUP(D195, Repository!A:J, 9, 0), ""), "")</f>
        <v/>
      </c>
      <c r="S195" s="105"/>
      <c r="T195" s="105"/>
      <c r="U195" s="105"/>
      <c r="V195" s="105"/>
      <c r="W195" s="105"/>
      <c r="X195" s="105"/>
      <c r="Y195" s="105"/>
      <c r="Z195" s="105"/>
      <c r="AA195" s="105"/>
      <c r="AB195" s="105"/>
      <c r="AC195" s="91"/>
      <c r="AD195" s="105"/>
      <c r="AE195" s="105"/>
      <c r="AF195" s="91"/>
      <c r="AG195" s="105"/>
      <c r="AH195" s="105"/>
      <c r="AI195" s="105" t="str">
        <f t="shared" si="1"/>
        <v/>
      </c>
      <c r="AJ195" s="108" t="str">
        <f t="shared" si="2"/>
        <v/>
      </c>
    </row>
    <row r="196" ht="15.75" customHeight="1">
      <c r="A196" s="104"/>
      <c r="B196" s="105" t="str">
        <f>IFERROR(__xludf.DUMMYFUNCTION("ARRAY_CONSTRAIN(
  ARRAYFORMULA(
    IF(
      'Final Report'!A196="""",
      """",
      TEXTJOIN(
        "", "" &amp; CHAR(10),
        TRUE,
        IFERROR(
          VLOOKUP(
            TRIM(
              SPLIT('Final Report'!A196, "","")
           "&amp;" ),
            'URL Details'!A:B,
            2,
            FALSE
          ),
          """"
        )
      )
    )
  ),
  1,
  1
)
"),"")</f>
        <v/>
      </c>
      <c r="C196" s="105" t="str">
        <f>IFERROR(__xludf.DUMMYFUNCTION("IFERROR(IF('Final Report'!A196="""","""", TEXTJOIN(CHAR(10), TRUE, ARRAYFORMULA( ""• ""&amp; FILTER( TRIM(FLATTEN(SPLIT( REGEXREPLACE( SUBSTITUTE(TEXTJOIN("","", TRUE, IFERROR(ARRAYFORMULA(VLOOKUP(TRIM(SPLIT('Final Report'!A196, "","")), 'URL Details'!A:D, 4,"&amp;" FALSE)),"""") ), CHAR(10), "",""), ""\s*,\s*"", "",""), "",""))), TRIM(FLATTEN(SPLIT( REGEXREPLACE( SUBSTITUTE(TEXTJOIN("","", TRUE, IFERROR(ARRAYFORMULA(VLOOKUP(TRIM(SPLIT('Final Report'!A196, "","")), 'URL Details'!A:D, 4, FALSE)),"""") ), CHAR(10), """&amp;",""), ""\s*,\s*"", "",""), "","")))&lt;&gt;"""" ) ) ) ),"""")
"),"")</f>
        <v/>
      </c>
      <c r="D196" s="105"/>
      <c r="E196" s="105"/>
      <c r="F196" s="110" t="b">
        <v>0</v>
      </c>
      <c r="G196" s="105" t="str">
        <f>IF(F196=True, IFERROR(VLOOKUP(D196, Repository!A:B, 2, 0), ""), "")</f>
        <v/>
      </c>
      <c r="H196" s="105"/>
      <c r="I196" s="105"/>
      <c r="J196" s="105" t="str">
        <f>IF(F196=True, IFERROR(VLOOKUP(D196, Repository!A:C, 3, 0), ""), "")</f>
        <v/>
      </c>
      <c r="K196" s="105"/>
      <c r="L196" s="105" t="str">
        <f>IF(F196=True, IFERROR(VLOOKUP(D196, Repository!A:E, 5, 0), ""), "")</f>
        <v/>
      </c>
      <c r="M196" s="105"/>
      <c r="N196" s="105" t="str">
        <f>IF(F196=True, IFERROR(VLOOKUP(D196, Repository!A:G, 7, 0), ""), "")</f>
        <v/>
      </c>
      <c r="O196" s="105" t="str">
        <f>IFERROR(__xludf.DUMMYFUNCTION("ARRAY_CONSTRAIN(
  ARRAYFORMULA(
    IFERROR(
      LET(
        list, N196,
        arr, TRIM(SPLIT(list, "","")),
        names, XLOOKUP(
          arr,
          'Conformance Score'!A:A,
          'Conformance Score'!B:B,
          ""Not found""
      "&amp;"  ),
        TEXTJOIN("", "", TRUE, names)
      ),
      """"
    )
  ),
  1,
  1
)
"),"")</f>
        <v/>
      </c>
      <c r="P196" s="105" t="str">
        <f>IF(F196="Yes", IFERROR(VLOOKUP(D196, Repository!A:F, 6, 0), ""), "")</f>
        <v/>
      </c>
      <c r="Q196" s="105" t="str">
        <f>IF(F196="Yes", IFERROR(VLOOKUP(D196, Repository!A:I, 8, 0), ""), "")</f>
        <v/>
      </c>
      <c r="R196" s="105" t="str">
        <f>IF(F196="Yes", IFERROR(VLOOKUP(D196, Repository!A:J, 9, 0), ""), "")</f>
        <v/>
      </c>
      <c r="S196" s="105"/>
      <c r="T196" s="105"/>
      <c r="U196" s="105"/>
      <c r="V196" s="105"/>
      <c r="W196" s="105"/>
      <c r="X196" s="105"/>
      <c r="Y196" s="105"/>
      <c r="Z196" s="105"/>
      <c r="AA196" s="105"/>
      <c r="AB196" s="105"/>
      <c r="AC196" s="91"/>
      <c r="AD196" s="105"/>
      <c r="AE196" s="105"/>
      <c r="AF196" s="91"/>
      <c r="AG196" s="105"/>
      <c r="AH196" s="105"/>
      <c r="AI196" s="105" t="str">
        <f t="shared" si="1"/>
        <v/>
      </c>
      <c r="AJ196" s="108" t="str">
        <f t="shared" si="2"/>
        <v/>
      </c>
    </row>
    <row r="197" ht="15.75" customHeight="1">
      <c r="A197" s="104"/>
      <c r="B197" s="105" t="str">
        <f>IFERROR(__xludf.DUMMYFUNCTION("ARRAY_CONSTRAIN(
  ARRAYFORMULA(
    IF(
      'Final Report'!A197="""",
      """",
      TEXTJOIN(
        "", "" &amp; CHAR(10),
        TRUE,
        IFERROR(
          VLOOKUP(
            TRIM(
              SPLIT('Final Report'!A197, "","")
           "&amp;" ),
            'URL Details'!A:B,
            2,
            FALSE
          ),
          """"
        )
      )
    )
  ),
  1,
  1
)
"),"")</f>
        <v/>
      </c>
      <c r="C197" s="105" t="str">
        <f>IFERROR(__xludf.DUMMYFUNCTION("IFERROR(IF('Final Report'!A197="""","""", TEXTJOIN(CHAR(10), TRUE, ARRAYFORMULA( ""• ""&amp; FILTER( TRIM(FLATTEN(SPLIT( REGEXREPLACE( SUBSTITUTE(TEXTJOIN("","", TRUE, IFERROR(ARRAYFORMULA(VLOOKUP(TRIM(SPLIT('Final Report'!A197, "","")), 'URL Details'!A:D, 4,"&amp;" FALSE)),"""") ), CHAR(10), "",""), ""\s*,\s*"", "",""), "",""))), TRIM(FLATTEN(SPLIT( REGEXREPLACE( SUBSTITUTE(TEXTJOIN("","", TRUE, IFERROR(ARRAYFORMULA(VLOOKUP(TRIM(SPLIT('Final Report'!A197, "","")), 'URL Details'!A:D, 4, FALSE)),"""") ), CHAR(10), """&amp;",""), ""\s*,\s*"", "",""), "","")))&lt;&gt;"""" ) ) ) ),"""")
"),"")</f>
        <v/>
      </c>
      <c r="D197" s="105"/>
      <c r="E197" s="105"/>
      <c r="F197" s="110" t="b">
        <v>0</v>
      </c>
      <c r="G197" s="105" t="str">
        <f>IF(F197=True, IFERROR(VLOOKUP(D197, Repository!A:B, 2, 0), ""), "")</f>
        <v/>
      </c>
      <c r="H197" s="105"/>
      <c r="I197" s="105"/>
      <c r="J197" s="105" t="str">
        <f>IF(F197=True, IFERROR(VLOOKUP(D197, Repository!A:C, 3, 0), ""), "")</f>
        <v/>
      </c>
      <c r="K197" s="105"/>
      <c r="L197" s="105" t="str">
        <f>IF(F197=True, IFERROR(VLOOKUP(D197, Repository!A:E, 5, 0), ""), "")</f>
        <v/>
      </c>
      <c r="M197" s="105"/>
      <c r="N197" s="105" t="str">
        <f>IF(F197=True, IFERROR(VLOOKUP(D197, Repository!A:G, 7, 0), ""), "")</f>
        <v/>
      </c>
      <c r="O197" s="105" t="str">
        <f>IFERROR(__xludf.DUMMYFUNCTION("ARRAY_CONSTRAIN(
  ARRAYFORMULA(
    IFERROR(
      LET(
        list, N197,
        arr, TRIM(SPLIT(list, "","")),
        names, XLOOKUP(
          arr,
          'Conformance Score'!A:A,
          'Conformance Score'!B:B,
          ""Not found""
      "&amp;"  ),
        TEXTJOIN("", "", TRUE, names)
      ),
      """"
    )
  ),
  1,
  1
)
"),"")</f>
        <v/>
      </c>
      <c r="P197" s="105" t="str">
        <f>IF(F197="Yes", IFERROR(VLOOKUP(D197, Repository!A:F, 6, 0), ""), "")</f>
        <v/>
      </c>
      <c r="Q197" s="105" t="str">
        <f>IF(F197="Yes", IFERROR(VLOOKUP(D197, Repository!A:I, 8, 0), ""), "")</f>
        <v/>
      </c>
      <c r="R197" s="105" t="str">
        <f>IF(F197="Yes", IFERROR(VLOOKUP(D197, Repository!A:J, 9, 0), ""), "")</f>
        <v/>
      </c>
      <c r="S197" s="105"/>
      <c r="T197" s="105"/>
      <c r="U197" s="105"/>
      <c r="V197" s="105"/>
      <c r="W197" s="105"/>
      <c r="X197" s="105"/>
      <c r="Y197" s="105"/>
      <c r="Z197" s="105"/>
      <c r="AA197" s="105"/>
      <c r="AB197" s="105"/>
      <c r="AC197" s="91"/>
      <c r="AD197" s="105"/>
      <c r="AE197" s="105"/>
      <c r="AF197" s="91"/>
      <c r="AG197" s="105"/>
      <c r="AH197" s="105"/>
      <c r="AI197" s="105" t="str">
        <f t="shared" si="1"/>
        <v/>
      </c>
      <c r="AJ197" s="108" t="str">
        <f t="shared" si="2"/>
        <v/>
      </c>
    </row>
    <row r="198" ht="15.75" customHeight="1">
      <c r="A198" s="104"/>
      <c r="B198" s="105" t="str">
        <f>IFERROR(__xludf.DUMMYFUNCTION("ARRAY_CONSTRAIN(
  ARRAYFORMULA(
    IF(
      'Final Report'!A198="""",
      """",
      TEXTJOIN(
        "", "" &amp; CHAR(10),
        TRUE,
        IFERROR(
          VLOOKUP(
            TRIM(
              SPLIT('Final Report'!A198, "","")
           "&amp;" ),
            'URL Details'!A:B,
            2,
            FALSE
          ),
          """"
        )
      )
    )
  ),
  1,
  1
)
"),"")</f>
        <v/>
      </c>
      <c r="C198" s="105" t="str">
        <f>IFERROR(__xludf.DUMMYFUNCTION("IFERROR(IF('Final Report'!A198="""","""", TEXTJOIN(CHAR(10), TRUE, ARRAYFORMULA( ""• ""&amp; FILTER( TRIM(FLATTEN(SPLIT( REGEXREPLACE( SUBSTITUTE(TEXTJOIN("","", TRUE, IFERROR(ARRAYFORMULA(VLOOKUP(TRIM(SPLIT('Final Report'!A198, "","")), 'URL Details'!A:D, 4,"&amp;" FALSE)),"""") ), CHAR(10), "",""), ""\s*,\s*"", "",""), "",""))), TRIM(FLATTEN(SPLIT( REGEXREPLACE( SUBSTITUTE(TEXTJOIN("","", TRUE, IFERROR(ARRAYFORMULA(VLOOKUP(TRIM(SPLIT('Final Report'!A198, "","")), 'URL Details'!A:D, 4, FALSE)),"""") ), CHAR(10), """&amp;",""), ""\s*,\s*"", "",""), "","")))&lt;&gt;"""" ) ) ) ),"""")
"),"")</f>
        <v/>
      </c>
      <c r="D198" s="105"/>
      <c r="E198" s="105"/>
      <c r="F198" s="110" t="b">
        <v>0</v>
      </c>
      <c r="G198" s="105" t="str">
        <f>IF(F198=True, IFERROR(VLOOKUP(D198, Repository!A:B, 2, 0), ""), "")</f>
        <v/>
      </c>
      <c r="H198" s="105"/>
      <c r="I198" s="105"/>
      <c r="J198" s="105" t="str">
        <f>IF(F198=True, IFERROR(VLOOKUP(D198, Repository!A:C, 3, 0), ""), "")</f>
        <v/>
      </c>
      <c r="K198" s="105"/>
      <c r="L198" s="105" t="str">
        <f>IF(F198=True, IFERROR(VLOOKUP(D198, Repository!A:E, 5, 0), ""), "")</f>
        <v/>
      </c>
      <c r="M198" s="105"/>
      <c r="N198" s="105" t="str">
        <f>IF(F198=True, IFERROR(VLOOKUP(D198, Repository!A:G, 7, 0), ""), "")</f>
        <v/>
      </c>
      <c r="O198" s="105" t="str">
        <f>IFERROR(__xludf.DUMMYFUNCTION("ARRAY_CONSTRAIN(
  ARRAYFORMULA(
    IFERROR(
      LET(
        list, N198,
        arr, TRIM(SPLIT(list, "","")),
        names, XLOOKUP(
          arr,
          'Conformance Score'!A:A,
          'Conformance Score'!B:B,
          ""Not found""
      "&amp;"  ),
        TEXTJOIN("", "", TRUE, names)
      ),
      """"
    )
  ),
  1,
  1
)
"),"")</f>
        <v/>
      </c>
      <c r="P198" s="105" t="str">
        <f>IF(F198="Yes", IFERROR(VLOOKUP(D198, Repository!A:F, 6, 0), ""), "")</f>
        <v/>
      </c>
      <c r="Q198" s="105" t="str">
        <f>IF(F198="Yes", IFERROR(VLOOKUP(D198, Repository!A:I, 8, 0), ""), "")</f>
        <v/>
      </c>
      <c r="R198" s="105" t="str">
        <f>IF(F198="Yes", IFERROR(VLOOKUP(D198, Repository!A:J, 9, 0), ""), "")</f>
        <v/>
      </c>
      <c r="S198" s="105"/>
      <c r="T198" s="105"/>
      <c r="U198" s="105"/>
      <c r="V198" s="105"/>
      <c r="W198" s="105"/>
      <c r="X198" s="105"/>
      <c r="Y198" s="105"/>
      <c r="Z198" s="105"/>
      <c r="AA198" s="105"/>
      <c r="AB198" s="105"/>
      <c r="AC198" s="91"/>
      <c r="AD198" s="105"/>
      <c r="AE198" s="105"/>
      <c r="AF198" s="91"/>
      <c r="AG198" s="105"/>
      <c r="AH198" s="105"/>
      <c r="AI198" s="105" t="str">
        <f t="shared" si="1"/>
        <v/>
      </c>
      <c r="AJ198" s="108" t="str">
        <f t="shared" si="2"/>
        <v/>
      </c>
    </row>
    <row r="199" ht="15.75" customHeight="1">
      <c r="A199" s="104"/>
      <c r="B199" s="105" t="str">
        <f>IFERROR(__xludf.DUMMYFUNCTION("ARRAY_CONSTRAIN(
  ARRAYFORMULA(
    IF(
      'Final Report'!A199="""",
      """",
      TEXTJOIN(
        "", "" &amp; CHAR(10),
        TRUE,
        IFERROR(
          VLOOKUP(
            TRIM(
              SPLIT('Final Report'!A199, "","")
           "&amp;" ),
            'URL Details'!A:B,
            2,
            FALSE
          ),
          """"
        )
      )
    )
  ),
  1,
  1
)
"),"")</f>
        <v/>
      </c>
      <c r="C199" s="105" t="str">
        <f>IFERROR(__xludf.DUMMYFUNCTION("IFERROR(IF('Final Report'!A199="""","""", TEXTJOIN(CHAR(10), TRUE, ARRAYFORMULA( ""• ""&amp; FILTER( TRIM(FLATTEN(SPLIT( REGEXREPLACE( SUBSTITUTE(TEXTJOIN("","", TRUE, IFERROR(ARRAYFORMULA(VLOOKUP(TRIM(SPLIT('Final Report'!A199, "","")), 'URL Details'!A:D, 4,"&amp;" FALSE)),"""") ), CHAR(10), "",""), ""\s*,\s*"", "",""), "",""))), TRIM(FLATTEN(SPLIT( REGEXREPLACE( SUBSTITUTE(TEXTJOIN("","", TRUE, IFERROR(ARRAYFORMULA(VLOOKUP(TRIM(SPLIT('Final Report'!A199, "","")), 'URL Details'!A:D, 4, FALSE)),"""") ), CHAR(10), """&amp;",""), ""\s*,\s*"", "",""), "","")))&lt;&gt;"""" ) ) ) ),"""")
"),"")</f>
        <v/>
      </c>
      <c r="D199" s="105"/>
      <c r="E199" s="105"/>
      <c r="F199" s="110" t="b">
        <v>0</v>
      </c>
      <c r="G199" s="105" t="str">
        <f>IF(F199=True, IFERROR(VLOOKUP(D199, Repository!A:B, 2, 0), ""), "")</f>
        <v/>
      </c>
      <c r="H199" s="105"/>
      <c r="I199" s="105"/>
      <c r="J199" s="105" t="str">
        <f>IF(F199=True, IFERROR(VLOOKUP(D199, Repository!A:C, 3, 0), ""), "")</f>
        <v/>
      </c>
      <c r="K199" s="105"/>
      <c r="L199" s="105" t="str">
        <f>IF(F199=True, IFERROR(VLOOKUP(D199, Repository!A:E, 5, 0), ""), "")</f>
        <v/>
      </c>
      <c r="M199" s="105"/>
      <c r="N199" s="105" t="str">
        <f>IF(F199=True, IFERROR(VLOOKUP(D199, Repository!A:G, 7, 0), ""), "")</f>
        <v/>
      </c>
      <c r="O199" s="105" t="str">
        <f>IFERROR(__xludf.DUMMYFUNCTION("ARRAY_CONSTRAIN(
  ARRAYFORMULA(
    IFERROR(
      LET(
        list, N199,
        arr, TRIM(SPLIT(list, "","")),
        names, XLOOKUP(
          arr,
          'Conformance Score'!A:A,
          'Conformance Score'!B:B,
          ""Not found""
      "&amp;"  ),
        TEXTJOIN("", "", TRUE, names)
      ),
      """"
    )
  ),
  1,
  1
)
"),"")</f>
        <v/>
      </c>
      <c r="P199" s="105" t="str">
        <f>IF(F199="Yes", IFERROR(VLOOKUP(D199, Repository!A:F, 6, 0), ""), "")</f>
        <v/>
      </c>
      <c r="Q199" s="105" t="str">
        <f>IF(F199="Yes", IFERROR(VLOOKUP(D199, Repository!A:I, 8, 0), ""), "")</f>
        <v/>
      </c>
      <c r="R199" s="105" t="str">
        <f>IF(F199="Yes", IFERROR(VLOOKUP(D199, Repository!A:J, 9, 0), ""), "")</f>
        <v/>
      </c>
      <c r="S199" s="105"/>
      <c r="T199" s="105"/>
      <c r="U199" s="105"/>
      <c r="V199" s="105"/>
      <c r="W199" s="105"/>
      <c r="X199" s="105"/>
      <c r="Y199" s="105"/>
      <c r="Z199" s="105"/>
      <c r="AA199" s="105"/>
      <c r="AB199" s="105"/>
      <c r="AC199" s="91"/>
      <c r="AD199" s="105"/>
      <c r="AE199" s="105"/>
      <c r="AF199" s="91"/>
      <c r="AG199" s="105"/>
      <c r="AH199" s="105"/>
      <c r="AI199" s="105" t="str">
        <f t="shared" si="1"/>
        <v/>
      </c>
      <c r="AJ199" s="108" t="str">
        <f t="shared" si="2"/>
        <v/>
      </c>
    </row>
    <row r="200" ht="15.75" customHeight="1">
      <c r="A200" s="104"/>
      <c r="B200" s="105" t="str">
        <f>IFERROR(__xludf.DUMMYFUNCTION("ARRAY_CONSTRAIN(
  ARRAYFORMULA(
    IF(
      'Final Report'!A200="""",
      """",
      TEXTJOIN(
        "", "" &amp; CHAR(10),
        TRUE,
        IFERROR(
          VLOOKUP(
            TRIM(
              SPLIT('Final Report'!A200, "","")
           "&amp;" ),
            'URL Details'!A:B,
            2,
            FALSE
          ),
          """"
        )
      )
    )
  ),
  1,
  1
)
"),"")</f>
        <v/>
      </c>
      <c r="C200" s="105" t="str">
        <f>IFERROR(__xludf.DUMMYFUNCTION("IFERROR(IF('Final Report'!A200="""","""", TEXTJOIN(CHAR(10), TRUE, ARRAYFORMULA( ""• ""&amp; FILTER( TRIM(FLATTEN(SPLIT( REGEXREPLACE( SUBSTITUTE(TEXTJOIN("","", TRUE, IFERROR(ARRAYFORMULA(VLOOKUP(TRIM(SPLIT('Final Report'!A200, "","")), 'URL Details'!A:D, 4,"&amp;" FALSE)),"""") ), CHAR(10), "",""), ""\s*,\s*"", "",""), "",""))), TRIM(FLATTEN(SPLIT( REGEXREPLACE( SUBSTITUTE(TEXTJOIN("","", TRUE, IFERROR(ARRAYFORMULA(VLOOKUP(TRIM(SPLIT('Final Report'!A200, "","")), 'URL Details'!A:D, 4, FALSE)),"""") ), CHAR(10), """&amp;",""), ""\s*,\s*"", "",""), "","")))&lt;&gt;"""" ) ) ) ),"""")
"),"")</f>
        <v/>
      </c>
      <c r="D200" s="105"/>
      <c r="E200" s="105"/>
      <c r="F200" s="110" t="b">
        <v>0</v>
      </c>
      <c r="G200" s="105" t="str">
        <f>IF(F200=True, IFERROR(VLOOKUP(D200, Repository!A:B, 2, 0), ""), "")</f>
        <v/>
      </c>
      <c r="H200" s="105"/>
      <c r="I200" s="105"/>
      <c r="J200" s="105" t="str">
        <f>IF(F200=True, IFERROR(VLOOKUP(D200, Repository!A:C, 3, 0), ""), "")</f>
        <v/>
      </c>
      <c r="K200" s="105"/>
      <c r="L200" s="105" t="str">
        <f>IF(F200=True, IFERROR(VLOOKUP(D200, Repository!A:E, 5, 0), ""), "")</f>
        <v/>
      </c>
      <c r="M200" s="105"/>
      <c r="N200" s="105" t="str">
        <f>IF(F200=True, IFERROR(VLOOKUP(D200, Repository!A:G, 7, 0), ""), "")</f>
        <v/>
      </c>
      <c r="O200" s="105" t="str">
        <f>IFERROR(__xludf.DUMMYFUNCTION("ARRAY_CONSTRAIN(
  ARRAYFORMULA(
    IFERROR(
      LET(
        list, N200,
        arr, TRIM(SPLIT(list, "","")),
        names, XLOOKUP(
          arr,
          'Conformance Score'!A:A,
          'Conformance Score'!B:B,
          ""Not found""
      "&amp;"  ),
        TEXTJOIN("", "", TRUE, names)
      ),
      """"
    )
  ),
  1,
  1
)
"),"")</f>
        <v/>
      </c>
      <c r="P200" s="105" t="str">
        <f>IF(F200="Yes", IFERROR(VLOOKUP(D200, Repository!A:F, 6, 0), ""), "")</f>
        <v/>
      </c>
      <c r="Q200" s="105" t="str">
        <f>IF(F200="Yes", IFERROR(VLOOKUP(D200, Repository!A:I, 8, 0), ""), "")</f>
        <v/>
      </c>
      <c r="R200" s="105" t="str">
        <f>IF(F200="Yes", IFERROR(VLOOKUP(D200, Repository!A:J, 9, 0), ""), "")</f>
        <v/>
      </c>
      <c r="S200" s="105"/>
      <c r="T200" s="105"/>
      <c r="U200" s="105"/>
      <c r="V200" s="105"/>
      <c r="W200" s="105"/>
      <c r="X200" s="105"/>
      <c r="Y200" s="105"/>
      <c r="Z200" s="105"/>
      <c r="AA200" s="105"/>
      <c r="AB200" s="105"/>
      <c r="AC200" s="91"/>
      <c r="AD200" s="105"/>
      <c r="AE200" s="105"/>
      <c r="AF200" s="91"/>
      <c r="AG200" s="105"/>
      <c r="AH200" s="105"/>
      <c r="AI200" s="105" t="str">
        <f t="shared" si="1"/>
        <v/>
      </c>
      <c r="AJ200" s="108" t="str">
        <f t="shared" si="2"/>
        <v/>
      </c>
    </row>
    <row r="201" ht="15.75" customHeight="1">
      <c r="A201" s="104"/>
      <c r="B201" s="105" t="str">
        <f>IFERROR(__xludf.DUMMYFUNCTION("ARRAY_CONSTRAIN(
  ARRAYFORMULA(
    IF(
      'Final Report'!A201="""",
      """",
      TEXTJOIN(
        "", "" &amp; CHAR(10),
        TRUE,
        IFERROR(
          VLOOKUP(
            TRIM(
              SPLIT('Final Report'!A201, "","")
           "&amp;" ),
            'URL Details'!A:B,
            2,
            FALSE
          ),
          """"
        )
      )
    )
  ),
  1,
  1
)
"),"")</f>
        <v/>
      </c>
      <c r="C201" s="105" t="str">
        <f>IFERROR(__xludf.DUMMYFUNCTION("IFERROR(IF('Final Report'!A201="""","""", TEXTJOIN(CHAR(10), TRUE, ARRAYFORMULA( ""• ""&amp; FILTER( TRIM(FLATTEN(SPLIT( REGEXREPLACE( SUBSTITUTE(TEXTJOIN("","", TRUE, IFERROR(ARRAYFORMULA(VLOOKUP(TRIM(SPLIT('Final Report'!A201, "","")), 'URL Details'!A:D, 4,"&amp;" FALSE)),"""") ), CHAR(10), "",""), ""\s*,\s*"", "",""), "",""))), TRIM(FLATTEN(SPLIT( REGEXREPLACE( SUBSTITUTE(TEXTJOIN("","", TRUE, IFERROR(ARRAYFORMULA(VLOOKUP(TRIM(SPLIT('Final Report'!A201, "","")), 'URL Details'!A:D, 4, FALSE)),"""") ), CHAR(10), """&amp;",""), ""\s*,\s*"", "",""), "","")))&lt;&gt;"""" ) ) ) ),"""")
"),"")</f>
        <v/>
      </c>
      <c r="D201" s="105"/>
      <c r="E201" s="105"/>
      <c r="F201" s="110" t="b">
        <v>0</v>
      </c>
      <c r="G201" s="105" t="str">
        <f>IF(F201=True, IFERROR(VLOOKUP(D201, Repository!A:B, 2, 0), ""), "")</f>
        <v/>
      </c>
      <c r="H201" s="105"/>
      <c r="I201" s="105"/>
      <c r="J201" s="105" t="str">
        <f>IF(F201=True, IFERROR(VLOOKUP(D201, Repository!A:C, 3, 0), ""), "")</f>
        <v/>
      </c>
      <c r="K201" s="105"/>
      <c r="L201" s="105" t="str">
        <f>IF(F201=True, IFERROR(VLOOKUP(D201, Repository!A:E, 5, 0), ""), "")</f>
        <v/>
      </c>
      <c r="M201" s="105"/>
      <c r="N201" s="105" t="str">
        <f>IF(F201=True, IFERROR(VLOOKUP(D201, Repository!A:G, 7, 0), ""), "")</f>
        <v/>
      </c>
      <c r="O201" s="105" t="str">
        <f>IFERROR(__xludf.DUMMYFUNCTION("ARRAY_CONSTRAIN(
  ARRAYFORMULA(
    IFERROR(
      LET(
        list, N201,
        arr, TRIM(SPLIT(list, "","")),
        names, XLOOKUP(
          arr,
          'Conformance Score'!A:A,
          'Conformance Score'!B:B,
          ""Not found""
      "&amp;"  ),
        TEXTJOIN("", "", TRUE, names)
      ),
      """"
    )
  ),
  1,
  1
)
"),"")</f>
        <v/>
      </c>
      <c r="P201" s="105" t="str">
        <f>IF(F201="Yes", IFERROR(VLOOKUP(D201, Repository!A:F, 6, 0), ""), "")</f>
        <v/>
      </c>
      <c r="Q201" s="105" t="str">
        <f>IF(F201="Yes", IFERROR(VLOOKUP(D201, Repository!A:I, 8, 0), ""), "")</f>
        <v/>
      </c>
      <c r="R201" s="105" t="str">
        <f>IF(F201="Yes", IFERROR(VLOOKUP(D201, Repository!A:J, 9, 0), ""), "")</f>
        <v/>
      </c>
      <c r="S201" s="105"/>
      <c r="T201" s="105"/>
      <c r="U201" s="105"/>
      <c r="V201" s="105"/>
      <c r="W201" s="105"/>
      <c r="X201" s="105"/>
      <c r="Y201" s="105"/>
      <c r="Z201" s="105"/>
      <c r="AA201" s="105"/>
      <c r="AB201" s="105"/>
      <c r="AC201" s="91"/>
      <c r="AD201" s="105"/>
      <c r="AE201" s="105"/>
      <c r="AF201" s="91"/>
      <c r="AG201" s="105"/>
      <c r="AH201" s="105"/>
      <c r="AI201" s="105" t="str">
        <f t="shared" si="1"/>
        <v/>
      </c>
      <c r="AJ201" s="108" t="str">
        <f t="shared" si="2"/>
        <v/>
      </c>
    </row>
    <row r="202" ht="15.75" customHeight="1">
      <c r="A202" s="104"/>
      <c r="B202" s="105" t="str">
        <f>IFERROR(__xludf.DUMMYFUNCTION("ARRAY_CONSTRAIN(
  ARRAYFORMULA(
    IF(
      'Final Report'!A202="""",
      """",
      TEXTJOIN(
        "", "" &amp; CHAR(10),
        TRUE,
        IFERROR(
          VLOOKUP(
            TRIM(
              SPLIT('Final Report'!A202, "","")
           "&amp;" ),
            'URL Details'!A:B,
            2,
            FALSE
          ),
          """"
        )
      )
    )
  ),
  1,
  1
)
"),"")</f>
        <v/>
      </c>
      <c r="C202" s="105" t="str">
        <f>IFERROR(__xludf.DUMMYFUNCTION("IFERROR(IF('Final Report'!A202="""","""", TEXTJOIN(CHAR(10), TRUE, ARRAYFORMULA( ""• ""&amp; FILTER( TRIM(FLATTEN(SPLIT( REGEXREPLACE( SUBSTITUTE(TEXTJOIN("","", TRUE, IFERROR(ARRAYFORMULA(VLOOKUP(TRIM(SPLIT('Final Report'!A202, "","")), 'URL Details'!A:D, 4,"&amp;" FALSE)),"""") ), CHAR(10), "",""), ""\s*,\s*"", "",""), "",""))), TRIM(FLATTEN(SPLIT( REGEXREPLACE( SUBSTITUTE(TEXTJOIN("","", TRUE, IFERROR(ARRAYFORMULA(VLOOKUP(TRIM(SPLIT('Final Report'!A202, "","")), 'URL Details'!A:D, 4, FALSE)),"""") ), CHAR(10), """&amp;",""), ""\s*,\s*"", "",""), "","")))&lt;&gt;"""" ) ) ) ),"""")
"),"")</f>
        <v/>
      </c>
      <c r="D202" s="105"/>
      <c r="E202" s="105"/>
      <c r="F202" s="110" t="b">
        <v>0</v>
      </c>
      <c r="G202" s="105" t="str">
        <f>IF(F202=True, IFERROR(VLOOKUP(D202, Repository!A:B, 2, 0), ""), "")</f>
        <v/>
      </c>
      <c r="H202" s="105"/>
      <c r="I202" s="105"/>
      <c r="J202" s="105" t="str">
        <f>IF(F202=True, IFERROR(VLOOKUP(D202, Repository!A:C, 3, 0), ""), "")</f>
        <v/>
      </c>
      <c r="K202" s="105"/>
      <c r="L202" s="105" t="str">
        <f>IF(F202=True, IFERROR(VLOOKUP(D202, Repository!A:E, 5, 0), ""), "")</f>
        <v/>
      </c>
      <c r="M202" s="105"/>
      <c r="N202" s="105" t="str">
        <f>IF(F202=True, IFERROR(VLOOKUP(D202, Repository!A:G, 7, 0), ""), "")</f>
        <v/>
      </c>
      <c r="O202" s="105" t="str">
        <f>IFERROR(__xludf.DUMMYFUNCTION("ARRAY_CONSTRAIN(
  ARRAYFORMULA(
    IFERROR(
      LET(
        list, N202,
        arr, TRIM(SPLIT(list, "","")),
        names, XLOOKUP(
          arr,
          'Conformance Score'!A:A,
          'Conformance Score'!B:B,
          ""Not found""
      "&amp;"  ),
        TEXTJOIN("", "", TRUE, names)
      ),
      """"
    )
  ),
  1,
  1
)
"),"")</f>
        <v/>
      </c>
      <c r="P202" s="105" t="str">
        <f>IF(F202="Yes", IFERROR(VLOOKUP(D202, Repository!A:F, 6, 0), ""), "")</f>
        <v/>
      </c>
      <c r="Q202" s="105" t="str">
        <f>IF(F202="Yes", IFERROR(VLOOKUP(D202, Repository!A:I, 8, 0), ""), "")</f>
        <v/>
      </c>
      <c r="R202" s="105" t="str">
        <f>IF(F202="Yes", IFERROR(VLOOKUP(D202, Repository!A:J, 9, 0), ""), "")</f>
        <v/>
      </c>
      <c r="S202" s="105"/>
      <c r="T202" s="105"/>
      <c r="U202" s="105"/>
      <c r="V202" s="105"/>
      <c r="W202" s="105"/>
      <c r="X202" s="105"/>
      <c r="Y202" s="105"/>
      <c r="Z202" s="105"/>
      <c r="AA202" s="105"/>
      <c r="AB202" s="105"/>
      <c r="AC202" s="91"/>
      <c r="AD202" s="105"/>
      <c r="AE202" s="105"/>
      <c r="AF202" s="91"/>
      <c r="AG202" s="105"/>
      <c r="AH202" s="105"/>
      <c r="AI202" s="105" t="str">
        <f t="shared" si="1"/>
        <v/>
      </c>
      <c r="AJ202" s="108" t="str">
        <f t="shared" si="2"/>
        <v/>
      </c>
    </row>
    <row r="203" ht="15.75" customHeight="1">
      <c r="A203" s="104"/>
      <c r="B203" s="105" t="str">
        <f>IFERROR(__xludf.DUMMYFUNCTION("ARRAY_CONSTRAIN(
  ARRAYFORMULA(
    IF(
      'Final Report'!A203="""",
      """",
      TEXTJOIN(
        "", "" &amp; CHAR(10),
        TRUE,
        IFERROR(
          VLOOKUP(
            TRIM(
              SPLIT('Final Report'!A203, "","")
           "&amp;" ),
            'URL Details'!A:B,
            2,
            FALSE
          ),
          """"
        )
      )
    )
  ),
  1,
  1
)
"),"")</f>
        <v/>
      </c>
      <c r="C203" s="105" t="str">
        <f>IFERROR(__xludf.DUMMYFUNCTION("IFERROR(IF('Final Report'!A203="""","""", TEXTJOIN(CHAR(10), TRUE, ARRAYFORMULA( ""• ""&amp; FILTER( TRIM(FLATTEN(SPLIT( REGEXREPLACE( SUBSTITUTE(TEXTJOIN("","", TRUE, IFERROR(ARRAYFORMULA(VLOOKUP(TRIM(SPLIT('Final Report'!A203, "","")), 'URL Details'!A:D, 4,"&amp;" FALSE)),"""") ), CHAR(10), "",""), ""\s*,\s*"", "",""), "",""))), TRIM(FLATTEN(SPLIT( REGEXREPLACE( SUBSTITUTE(TEXTJOIN("","", TRUE, IFERROR(ARRAYFORMULA(VLOOKUP(TRIM(SPLIT('Final Report'!A203, "","")), 'URL Details'!A:D, 4, FALSE)),"""") ), CHAR(10), """&amp;",""), ""\s*,\s*"", "",""), "","")))&lt;&gt;"""" ) ) ) ),"""")
"),"")</f>
        <v/>
      </c>
      <c r="D203" s="105"/>
      <c r="E203" s="105"/>
      <c r="F203" s="110" t="b">
        <v>0</v>
      </c>
      <c r="G203" s="105" t="str">
        <f>IF(F203=True, IFERROR(VLOOKUP(D203, Repository!A:B, 2, 0), ""), "")</f>
        <v/>
      </c>
      <c r="H203" s="105"/>
      <c r="I203" s="105"/>
      <c r="J203" s="105" t="str">
        <f>IF(F203=True, IFERROR(VLOOKUP(D203, Repository!A:C, 3, 0), ""), "")</f>
        <v/>
      </c>
      <c r="K203" s="105"/>
      <c r="L203" s="105" t="str">
        <f>IF(F203=True, IFERROR(VLOOKUP(D203, Repository!A:E, 5, 0), ""), "")</f>
        <v/>
      </c>
      <c r="M203" s="105"/>
      <c r="N203" s="105" t="str">
        <f>IF(F203=True, IFERROR(VLOOKUP(D203, Repository!A:G, 7, 0), ""), "")</f>
        <v/>
      </c>
      <c r="O203" s="105" t="str">
        <f>IFERROR(__xludf.DUMMYFUNCTION("ARRAY_CONSTRAIN(
  ARRAYFORMULA(
    IFERROR(
      LET(
        list, N203,
        arr, TRIM(SPLIT(list, "","")),
        names, XLOOKUP(
          arr,
          'Conformance Score'!A:A,
          'Conformance Score'!B:B,
          ""Not found""
      "&amp;"  ),
        TEXTJOIN("", "", TRUE, names)
      ),
      """"
    )
  ),
  1,
  1
)
"),"")</f>
        <v/>
      </c>
      <c r="P203" s="105" t="str">
        <f>IF(F203="Yes", IFERROR(VLOOKUP(D203, Repository!A:F, 6, 0), ""), "")</f>
        <v/>
      </c>
      <c r="Q203" s="105" t="str">
        <f>IF(F203="Yes", IFERROR(VLOOKUP(D203, Repository!A:I, 8, 0), ""), "")</f>
        <v/>
      </c>
      <c r="R203" s="105" t="str">
        <f>IF(F203="Yes", IFERROR(VLOOKUP(D203, Repository!A:J, 9, 0), ""), "")</f>
        <v/>
      </c>
      <c r="S203" s="105"/>
      <c r="T203" s="105"/>
      <c r="U203" s="105"/>
      <c r="V203" s="105"/>
      <c r="W203" s="105"/>
      <c r="X203" s="105"/>
      <c r="Y203" s="105"/>
      <c r="Z203" s="105"/>
      <c r="AA203" s="105"/>
      <c r="AB203" s="105"/>
      <c r="AC203" s="91"/>
      <c r="AD203" s="105"/>
      <c r="AE203" s="105"/>
      <c r="AF203" s="91"/>
      <c r="AG203" s="105"/>
      <c r="AH203" s="105"/>
      <c r="AI203" s="105" t="str">
        <f t="shared" si="1"/>
        <v/>
      </c>
      <c r="AJ203" s="108" t="str">
        <f t="shared" si="2"/>
        <v/>
      </c>
    </row>
    <row r="204" ht="15.75" customHeight="1">
      <c r="A204" s="104"/>
      <c r="B204" s="105" t="str">
        <f>IFERROR(__xludf.DUMMYFUNCTION("ARRAY_CONSTRAIN(
  ARRAYFORMULA(
    IF(
      'Final Report'!A204="""",
      """",
      TEXTJOIN(
        "", "" &amp; CHAR(10),
        TRUE,
        IFERROR(
          VLOOKUP(
            TRIM(
              SPLIT('Final Report'!A204, "","")
           "&amp;" ),
            'URL Details'!A:B,
            2,
            FALSE
          ),
          """"
        )
      )
    )
  ),
  1,
  1
)
"),"")</f>
        <v/>
      </c>
      <c r="C204" s="105" t="str">
        <f>IFERROR(__xludf.DUMMYFUNCTION("IFERROR(IF('Final Report'!A204="""","""", TEXTJOIN(CHAR(10), TRUE, ARRAYFORMULA( ""• ""&amp; FILTER( TRIM(FLATTEN(SPLIT( REGEXREPLACE( SUBSTITUTE(TEXTJOIN("","", TRUE, IFERROR(ARRAYFORMULA(VLOOKUP(TRIM(SPLIT('Final Report'!A204, "","")), 'URL Details'!A:D, 4,"&amp;" FALSE)),"""") ), CHAR(10), "",""), ""\s*,\s*"", "",""), "",""))), TRIM(FLATTEN(SPLIT( REGEXREPLACE( SUBSTITUTE(TEXTJOIN("","", TRUE, IFERROR(ARRAYFORMULA(VLOOKUP(TRIM(SPLIT('Final Report'!A204, "","")), 'URL Details'!A:D, 4, FALSE)),"""") ), CHAR(10), """&amp;",""), ""\s*,\s*"", "",""), "","")))&lt;&gt;"""" ) ) ) ),"""")
"),"")</f>
        <v/>
      </c>
      <c r="D204" s="105"/>
      <c r="E204" s="105"/>
      <c r="F204" s="110" t="b">
        <v>0</v>
      </c>
      <c r="G204" s="105" t="str">
        <f>IF(F204=True, IFERROR(VLOOKUP(D204, Repository!A:B, 2, 0), ""), "")</f>
        <v/>
      </c>
      <c r="H204" s="105"/>
      <c r="I204" s="105"/>
      <c r="J204" s="105" t="str">
        <f>IF(F204=True, IFERROR(VLOOKUP(D204, Repository!A:C, 3, 0), ""), "")</f>
        <v/>
      </c>
      <c r="K204" s="105"/>
      <c r="L204" s="105" t="str">
        <f>IF(F204=True, IFERROR(VLOOKUP(D204, Repository!A:E, 5, 0), ""), "")</f>
        <v/>
      </c>
      <c r="M204" s="105"/>
      <c r="N204" s="105" t="str">
        <f>IF(F204=True, IFERROR(VLOOKUP(D204, Repository!A:G, 7, 0), ""), "")</f>
        <v/>
      </c>
      <c r="O204" s="105" t="str">
        <f>IFERROR(__xludf.DUMMYFUNCTION("ARRAY_CONSTRAIN(
  ARRAYFORMULA(
    IFERROR(
      LET(
        list, N204,
        arr, TRIM(SPLIT(list, "","")),
        names, XLOOKUP(
          arr,
          'Conformance Score'!A:A,
          'Conformance Score'!B:B,
          ""Not found""
      "&amp;"  ),
        TEXTJOIN("", "", TRUE, names)
      ),
      """"
    )
  ),
  1,
  1
)
"),"")</f>
        <v/>
      </c>
      <c r="P204" s="105" t="str">
        <f>IF(F204="Yes", IFERROR(VLOOKUP(D204, Repository!A:F, 6, 0), ""), "")</f>
        <v/>
      </c>
      <c r="Q204" s="105" t="str">
        <f>IF(F204="Yes", IFERROR(VLOOKUP(D204, Repository!A:I, 8, 0), ""), "")</f>
        <v/>
      </c>
      <c r="R204" s="105" t="str">
        <f>IF(F204="Yes", IFERROR(VLOOKUP(D204, Repository!A:J, 9, 0), ""), "")</f>
        <v/>
      </c>
      <c r="S204" s="105"/>
      <c r="T204" s="105"/>
      <c r="U204" s="105"/>
      <c r="V204" s="105"/>
      <c r="W204" s="105"/>
      <c r="X204" s="105"/>
      <c r="Y204" s="105"/>
      <c r="Z204" s="105"/>
      <c r="AA204" s="105"/>
      <c r="AB204" s="105"/>
      <c r="AC204" s="91"/>
      <c r="AD204" s="105"/>
      <c r="AE204" s="105"/>
      <c r="AF204" s="91"/>
      <c r="AG204" s="105"/>
      <c r="AH204" s="105"/>
      <c r="AI204" s="105" t="str">
        <f t="shared" si="1"/>
        <v/>
      </c>
      <c r="AJ204" s="108" t="str">
        <f t="shared" si="2"/>
        <v/>
      </c>
    </row>
    <row r="205" ht="15.75" customHeight="1">
      <c r="A205" s="104"/>
      <c r="B205" s="105" t="str">
        <f>IFERROR(__xludf.DUMMYFUNCTION("ARRAY_CONSTRAIN(
  ARRAYFORMULA(
    IF(
      'Final Report'!A205="""",
      """",
      TEXTJOIN(
        "", "" &amp; CHAR(10),
        TRUE,
        IFERROR(
          VLOOKUP(
            TRIM(
              SPLIT('Final Report'!A205, "","")
           "&amp;" ),
            'URL Details'!A:B,
            2,
            FALSE
          ),
          """"
        )
      )
    )
  ),
  1,
  1
)
"),"")</f>
        <v/>
      </c>
      <c r="C205" s="105" t="str">
        <f>IFERROR(__xludf.DUMMYFUNCTION("IFERROR(IF('Final Report'!A205="""","""", TEXTJOIN(CHAR(10), TRUE, ARRAYFORMULA( ""• ""&amp; FILTER( TRIM(FLATTEN(SPLIT( REGEXREPLACE( SUBSTITUTE(TEXTJOIN("","", TRUE, IFERROR(ARRAYFORMULA(VLOOKUP(TRIM(SPLIT('Final Report'!A205, "","")), 'URL Details'!A:D, 4,"&amp;" FALSE)),"""") ), CHAR(10), "",""), ""\s*,\s*"", "",""), "",""))), TRIM(FLATTEN(SPLIT( REGEXREPLACE( SUBSTITUTE(TEXTJOIN("","", TRUE, IFERROR(ARRAYFORMULA(VLOOKUP(TRIM(SPLIT('Final Report'!A205, "","")), 'URL Details'!A:D, 4, FALSE)),"""") ), CHAR(10), """&amp;",""), ""\s*,\s*"", "",""), "","")))&lt;&gt;"""" ) ) ) ),"""")
"),"")</f>
        <v/>
      </c>
      <c r="D205" s="105"/>
      <c r="E205" s="105"/>
      <c r="F205" s="110" t="b">
        <v>0</v>
      </c>
      <c r="G205" s="105" t="str">
        <f>IF(F205=True, IFERROR(VLOOKUP(D205, Repository!A:B, 2, 0), ""), "")</f>
        <v/>
      </c>
      <c r="H205" s="105"/>
      <c r="I205" s="105"/>
      <c r="J205" s="105" t="str">
        <f>IF(F205=True, IFERROR(VLOOKUP(D205, Repository!A:C, 3, 0), ""), "")</f>
        <v/>
      </c>
      <c r="K205" s="105"/>
      <c r="L205" s="105" t="str">
        <f>IF(F205=True, IFERROR(VLOOKUP(D205, Repository!A:E, 5, 0), ""), "")</f>
        <v/>
      </c>
      <c r="M205" s="105"/>
      <c r="N205" s="105" t="str">
        <f>IF(F205=True, IFERROR(VLOOKUP(D205, Repository!A:G, 7, 0), ""), "")</f>
        <v/>
      </c>
      <c r="O205" s="105" t="str">
        <f>IFERROR(__xludf.DUMMYFUNCTION("ARRAY_CONSTRAIN(
  ARRAYFORMULA(
    IFERROR(
      LET(
        list, N205,
        arr, TRIM(SPLIT(list, "","")),
        names, XLOOKUP(
          arr,
          'Conformance Score'!A:A,
          'Conformance Score'!B:B,
          ""Not found""
      "&amp;"  ),
        TEXTJOIN("", "", TRUE, names)
      ),
      """"
    )
  ),
  1,
  1
)
"),"")</f>
        <v/>
      </c>
      <c r="P205" s="105" t="str">
        <f>IF(F205="Yes", IFERROR(VLOOKUP(D205, Repository!A:F, 6, 0), ""), "")</f>
        <v/>
      </c>
      <c r="Q205" s="105" t="str">
        <f>IF(F205="Yes", IFERROR(VLOOKUP(D205, Repository!A:I, 8, 0), ""), "")</f>
        <v/>
      </c>
      <c r="R205" s="105" t="str">
        <f>IF(F205="Yes", IFERROR(VLOOKUP(D205, Repository!A:J, 9, 0), ""), "")</f>
        <v/>
      </c>
      <c r="S205" s="105"/>
      <c r="T205" s="105"/>
      <c r="U205" s="105"/>
      <c r="V205" s="105"/>
      <c r="W205" s="105"/>
      <c r="X205" s="105"/>
      <c r="Y205" s="105"/>
      <c r="Z205" s="105"/>
      <c r="AA205" s="105"/>
      <c r="AB205" s="105"/>
      <c r="AC205" s="91"/>
      <c r="AD205" s="105"/>
      <c r="AE205" s="105"/>
      <c r="AF205" s="91"/>
      <c r="AG205" s="105"/>
      <c r="AH205" s="105"/>
      <c r="AI205" s="105" t="str">
        <f t="shared" si="1"/>
        <v/>
      </c>
      <c r="AJ205" s="108" t="str">
        <f t="shared" si="2"/>
        <v/>
      </c>
    </row>
    <row r="206" ht="15.75" customHeight="1">
      <c r="A206" s="104"/>
      <c r="B206" s="105" t="str">
        <f>IFERROR(__xludf.DUMMYFUNCTION("ARRAY_CONSTRAIN(
  ARRAYFORMULA(
    IF(
      'Final Report'!A206="""",
      """",
      TEXTJOIN(
        "", "" &amp; CHAR(10),
        TRUE,
        IFERROR(
          VLOOKUP(
            TRIM(
              SPLIT('Final Report'!A206, "","")
           "&amp;" ),
            'URL Details'!A:B,
            2,
            FALSE
          ),
          """"
        )
      )
    )
  ),
  1,
  1
)
"),"")</f>
        <v/>
      </c>
      <c r="C206" s="105" t="str">
        <f>IFERROR(__xludf.DUMMYFUNCTION("IFERROR(IF('Final Report'!A206="""","""", TEXTJOIN(CHAR(10), TRUE, ARRAYFORMULA( ""• ""&amp; FILTER( TRIM(FLATTEN(SPLIT( REGEXREPLACE( SUBSTITUTE(TEXTJOIN("","", TRUE, IFERROR(ARRAYFORMULA(VLOOKUP(TRIM(SPLIT('Final Report'!A206, "","")), 'URL Details'!A:D, 4,"&amp;" FALSE)),"""") ), CHAR(10), "",""), ""\s*,\s*"", "",""), "",""))), TRIM(FLATTEN(SPLIT( REGEXREPLACE( SUBSTITUTE(TEXTJOIN("","", TRUE, IFERROR(ARRAYFORMULA(VLOOKUP(TRIM(SPLIT('Final Report'!A206, "","")), 'URL Details'!A:D, 4, FALSE)),"""") ), CHAR(10), """&amp;",""), ""\s*,\s*"", "",""), "","")))&lt;&gt;"""" ) ) ) ),"""")
"),"")</f>
        <v/>
      </c>
      <c r="D206" s="105"/>
      <c r="E206" s="105"/>
      <c r="F206" s="110" t="b">
        <v>0</v>
      </c>
      <c r="G206" s="105" t="str">
        <f>IF(F206=True, IFERROR(VLOOKUP(D206, Repository!A:B, 2, 0), ""), "")</f>
        <v/>
      </c>
      <c r="H206" s="105"/>
      <c r="I206" s="105"/>
      <c r="J206" s="105" t="str">
        <f>IF(F206=True, IFERROR(VLOOKUP(D206, Repository!A:C, 3, 0), ""), "")</f>
        <v/>
      </c>
      <c r="K206" s="105"/>
      <c r="L206" s="105" t="str">
        <f>IF(F206=True, IFERROR(VLOOKUP(D206, Repository!A:E, 5, 0), ""), "")</f>
        <v/>
      </c>
      <c r="M206" s="105"/>
      <c r="N206" s="105" t="str">
        <f>IF(F206=True, IFERROR(VLOOKUP(D206, Repository!A:G, 7, 0), ""), "")</f>
        <v/>
      </c>
      <c r="O206" s="105" t="str">
        <f>IFERROR(__xludf.DUMMYFUNCTION("ARRAY_CONSTRAIN(
  ARRAYFORMULA(
    IFERROR(
      LET(
        list, N206,
        arr, TRIM(SPLIT(list, "","")),
        names, XLOOKUP(
          arr,
          'Conformance Score'!A:A,
          'Conformance Score'!B:B,
          ""Not found""
      "&amp;"  ),
        TEXTJOIN("", "", TRUE, names)
      ),
      """"
    )
  ),
  1,
  1
)
"),"")</f>
        <v/>
      </c>
      <c r="P206" s="105" t="str">
        <f>IF(F206="Yes", IFERROR(VLOOKUP(D206, Repository!A:F, 6, 0), ""), "")</f>
        <v/>
      </c>
      <c r="Q206" s="105" t="str">
        <f>IF(F206="Yes", IFERROR(VLOOKUP(D206, Repository!A:I, 8, 0), ""), "")</f>
        <v/>
      </c>
      <c r="R206" s="105" t="str">
        <f>IF(F206="Yes", IFERROR(VLOOKUP(D206, Repository!A:J, 9, 0), ""), "")</f>
        <v/>
      </c>
      <c r="S206" s="105"/>
      <c r="T206" s="105"/>
      <c r="U206" s="105"/>
      <c r="V206" s="105"/>
      <c r="W206" s="105"/>
      <c r="X206" s="105"/>
      <c r="Y206" s="105"/>
      <c r="Z206" s="105"/>
      <c r="AA206" s="105"/>
      <c r="AB206" s="105"/>
      <c r="AC206" s="91"/>
      <c r="AD206" s="105"/>
      <c r="AE206" s="105"/>
      <c r="AF206" s="91"/>
      <c r="AG206" s="105"/>
      <c r="AH206" s="105"/>
      <c r="AI206" s="105" t="str">
        <f t="shared" si="1"/>
        <v/>
      </c>
      <c r="AJ206" s="108" t="str">
        <f t="shared" si="2"/>
        <v/>
      </c>
    </row>
    <row r="207" ht="15.75" customHeight="1">
      <c r="A207" s="104"/>
      <c r="B207" s="105" t="str">
        <f>IFERROR(__xludf.DUMMYFUNCTION("ARRAY_CONSTRAIN(
  ARRAYFORMULA(
    IF(
      'Final Report'!A207="""",
      """",
      TEXTJOIN(
        "", "" &amp; CHAR(10),
        TRUE,
        IFERROR(
          VLOOKUP(
            TRIM(
              SPLIT('Final Report'!A207, "","")
           "&amp;" ),
            'URL Details'!A:B,
            2,
            FALSE
          ),
          """"
        )
      )
    )
  ),
  1,
  1
)
"),"")</f>
        <v/>
      </c>
      <c r="C207" s="105" t="str">
        <f>IFERROR(__xludf.DUMMYFUNCTION("IFERROR(IF('Final Report'!A207="""","""", TEXTJOIN(CHAR(10), TRUE, ARRAYFORMULA( ""• ""&amp; FILTER( TRIM(FLATTEN(SPLIT( REGEXREPLACE( SUBSTITUTE(TEXTJOIN("","", TRUE, IFERROR(ARRAYFORMULA(VLOOKUP(TRIM(SPLIT('Final Report'!A207, "","")), 'URL Details'!A:D, 4,"&amp;" FALSE)),"""") ), CHAR(10), "",""), ""\s*,\s*"", "",""), "",""))), TRIM(FLATTEN(SPLIT( REGEXREPLACE( SUBSTITUTE(TEXTJOIN("","", TRUE, IFERROR(ARRAYFORMULA(VLOOKUP(TRIM(SPLIT('Final Report'!A207, "","")), 'URL Details'!A:D, 4, FALSE)),"""") ), CHAR(10), """&amp;",""), ""\s*,\s*"", "",""), "","")))&lt;&gt;"""" ) ) ) ),"""")
"),"")</f>
        <v/>
      </c>
      <c r="D207" s="105"/>
      <c r="E207" s="105"/>
      <c r="F207" s="110" t="b">
        <v>0</v>
      </c>
      <c r="G207" s="105" t="str">
        <f>IF(F207=True, IFERROR(VLOOKUP(D207, Repository!A:B, 2, 0), ""), "")</f>
        <v/>
      </c>
      <c r="H207" s="105"/>
      <c r="I207" s="105"/>
      <c r="J207" s="105" t="str">
        <f>IF(F207=True, IFERROR(VLOOKUP(D207, Repository!A:C, 3, 0), ""), "")</f>
        <v/>
      </c>
      <c r="K207" s="105"/>
      <c r="L207" s="105" t="str">
        <f>IF(F207=True, IFERROR(VLOOKUP(D207, Repository!A:E, 5, 0), ""), "")</f>
        <v/>
      </c>
      <c r="M207" s="105"/>
      <c r="N207" s="105" t="str">
        <f>IF(F207=True, IFERROR(VLOOKUP(D207, Repository!A:G, 7, 0), ""), "")</f>
        <v/>
      </c>
      <c r="O207" s="105" t="str">
        <f>IFERROR(__xludf.DUMMYFUNCTION("ARRAY_CONSTRAIN(
  ARRAYFORMULA(
    IFERROR(
      LET(
        list, N207,
        arr, TRIM(SPLIT(list, "","")),
        names, XLOOKUP(
          arr,
          'Conformance Score'!A:A,
          'Conformance Score'!B:B,
          ""Not found""
      "&amp;"  ),
        TEXTJOIN("", "", TRUE, names)
      ),
      """"
    )
  ),
  1,
  1
)
"),"")</f>
        <v/>
      </c>
      <c r="P207" s="105" t="str">
        <f>IF(F207="Yes", IFERROR(VLOOKUP(D207, Repository!A:F, 6, 0), ""), "")</f>
        <v/>
      </c>
      <c r="Q207" s="105" t="str">
        <f>IF(F207="Yes", IFERROR(VLOOKUP(D207, Repository!A:I, 8, 0), ""), "")</f>
        <v/>
      </c>
      <c r="R207" s="105" t="str">
        <f>IF(F207="Yes", IFERROR(VLOOKUP(D207, Repository!A:J, 9, 0), ""), "")</f>
        <v/>
      </c>
      <c r="S207" s="105"/>
      <c r="T207" s="105"/>
      <c r="U207" s="105"/>
      <c r="V207" s="105"/>
      <c r="W207" s="105"/>
      <c r="X207" s="105"/>
      <c r="Y207" s="105"/>
      <c r="Z207" s="105"/>
      <c r="AA207" s="105"/>
      <c r="AB207" s="105"/>
      <c r="AC207" s="91"/>
      <c r="AD207" s="105"/>
      <c r="AE207" s="105"/>
      <c r="AF207" s="91"/>
      <c r="AG207" s="105"/>
      <c r="AH207" s="105"/>
      <c r="AI207" s="105" t="str">
        <f t="shared" si="1"/>
        <v/>
      </c>
      <c r="AJ207" s="108" t="str">
        <f t="shared" si="2"/>
        <v/>
      </c>
    </row>
    <row r="208" ht="15.75" customHeight="1">
      <c r="A208" s="104"/>
      <c r="B208" s="105" t="str">
        <f>IFERROR(__xludf.DUMMYFUNCTION("ARRAY_CONSTRAIN(
  ARRAYFORMULA(
    IF(
      'Final Report'!A208="""",
      """",
      TEXTJOIN(
        "", "" &amp; CHAR(10),
        TRUE,
        IFERROR(
          VLOOKUP(
            TRIM(
              SPLIT('Final Report'!A208, "","")
           "&amp;" ),
            'URL Details'!A:B,
            2,
            FALSE
          ),
          """"
        )
      )
    )
  ),
  1,
  1
)
"),"")</f>
        <v/>
      </c>
      <c r="C208" s="105" t="str">
        <f>IFERROR(__xludf.DUMMYFUNCTION("IFERROR(IF('Final Report'!A208="""","""", TEXTJOIN(CHAR(10), TRUE, ARRAYFORMULA( ""• ""&amp; FILTER( TRIM(FLATTEN(SPLIT( REGEXREPLACE( SUBSTITUTE(TEXTJOIN("","", TRUE, IFERROR(ARRAYFORMULA(VLOOKUP(TRIM(SPLIT('Final Report'!A208, "","")), 'URL Details'!A:D, 4,"&amp;" FALSE)),"""") ), CHAR(10), "",""), ""\s*,\s*"", "",""), "",""))), TRIM(FLATTEN(SPLIT( REGEXREPLACE( SUBSTITUTE(TEXTJOIN("","", TRUE, IFERROR(ARRAYFORMULA(VLOOKUP(TRIM(SPLIT('Final Report'!A208, "","")), 'URL Details'!A:D, 4, FALSE)),"""") ), CHAR(10), """&amp;",""), ""\s*,\s*"", "",""), "","")))&lt;&gt;"""" ) ) ) ),"""")
"),"")</f>
        <v/>
      </c>
      <c r="D208" s="105"/>
      <c r="E208" s="105"/>
      <c r="F208" s="110" t="b">
        <v>0</v>
      </c>
      <c r="G208" s="105" t="str">
        <f>IF(F208=True, IFERROR(VLOOKUP(D208, Repository!A:B, 2, 0), ""), "")</f>
        <v/>
      </c>
      <c r="H208" s="105"/>
      <c r="I208" s="105"/>
      <c r="J208" s="105" t="str">
        <f>IF(F208=True, IFERROR(VLOOKUP(D208, Repository!A:C, 3, 0), ""), "")</f>
        <v/>
      </c>
      <c r="K208" s="105"/>
      <c r="L208" s="105" t="str">
        <f>IF(F208=True, IFERROR(VLOOKUP(D208, Repository!A:E, 5, 0), ""), "")</f>
        <v/>
      </c>
      <c r="M208" s="105"/>
      <c r="N208" s="105" t="str">
        <f>IF(F208=True, IFERROR(VLOOKUP(D208, Repository!A:G, 7, 0), ""), "")</f>
        <v/>
      </c>
      <c r="O208" s="105" t="str">
        <f>IFERROR(__xludf.DUMMYFUNCTION("ARRAY_CONSTRAIN(
  ARRAYFORMULA(
    IFERROR(
      LET(
        list, N208,
        arr, TRIM(SPLIT(list, "","")),
        names, XLOOKUP(
          arr,
          'Conformance Score'!A:A,
          'Conformance Score'!B:B,
          ""Not found""
      "&amp;"  ),
        TEXTJOIN("", "", TRUE, names)
      ),
      """"
    )
  ),
  1,
  1
)
"),"")</f>
        <v/>
      </c>
      <c r="P208" s="105" t="str">
        <f>IF(F208="Yes", IFERROR(VLOOKUP(D208, Repository!A:F, 6, 0), ""), "")</f>
        <v/>
      </c>
      <c r="Q208" s="105" t="str">
        <f>IF(F208="Yes", IFERROR(VLOOKUP(D208, Repository!A:I, 8, 0), ""), "")</f>
        <v/>
      </c>
      <c r="R208" s="105" t="str">
        <f>IF(F208="Yes", IFERROR(VLOOKUP(D208, Repository!A:J, 9, 0), ""), "")</f>
        <v/>
      </c>
      <c r="S208" s="105"/>
      <c r="T208" s="105"/>
      <c r="U208" s="105"/>
      <c r="V208" s="105"/>
      <c r="W208" s="105"/>
      <c r="X208" s="105"/>
      <c r="Y208" s="105"/>
      <c r="Z208" s="105"/>
      <c r="AA208" s="105"/>
      <c r="AB208" s="105"/>
      <c r="AC208" s="91"/>
      <c r="AD208" s="105"/>
      <c r="AE208" s="105"/>
      <c r="AF208" s="91"/>
      <c r="AG208" s="105"/>
      <c r="AH208" s="105"/>
      <c r="AI208" s="105" t="str">
        <f t="shared" si="1"/>
        <v/>
      </c>
      <c r="AJ208" s="108" t="str">
        <f t="shared" si="2"/>
        <v/>
      </c>
    </row>
    <row r="209" ht="15.75" customHeight="1">
      <c r="A209" s="104"/>
      <c r="B209" s="105" t="str">
        <f>IFERROR(__xludf.DUMMYFUNCTION("ARRAY_CONSTRAIN(
  ARRAYFORMULA(
    IF(
      'Final Report'!A209="""",
      """",
      TEXTJOIN(
        "", "" &amp; CHAR(10),
        TRUE,
        IFERROR(
          VLOOKUP(
            TRIM(
              SPLIT('Final Report'!A209, "","")
           "&amp;" ),
            'URL Details'!A:B,
            2,
            FALSE
          ),
          """"
        )
      )
    )
  ),
  1,
  1
)
"),"")</f>
        <v/>
      </c>
      <c r="C209" s="105" t="str">
        <f>IFERROR(__xludf.DUMMYFUNCTION("IFERROR(IF('Final Report'!A209="""","""", TEXTJOIN(CHAR(10), TRUE, ARRAYFORMULA( ""• ""&amp; FILTER( TRIM(FLATTEN(SPLIT( REGEXREPLACE( SUBSTITUTE(TEXTJOIN("","", TRUE, IFERROR(ARRAYFORMULA(VLOOKUP(TRIM(SPLIT('Final Report'!A209, "","")), 'URL Details'!A:D, 4,"&amp;" FALSE)),"""") ), CHAR(10), "",""), ""\s*,\s*"", "",""), "",""))), TRIM(FLATTEN(SPLIT( REGEXREPLACE( SUBSTITUTE(TEXTJOIN("","", TRUE, IFERROR(ARRAYFORMULA(VLOOKUP(TRIM(SPLIT('Final Report'!A209, "","")), 'URL Details'!A:D, 4, FALSE)),"""") ), CHAR(10), """&amp;",""), ""\s*,\s*"", "",""), "","")))&lt;&gt;"""" ) ) ) ),"""")
"),"")</f>
        <v/>
      </c>
      <c r="D209" s="105"/>
      <c r="E209" s="105"/>
      <c r="F209" s="110" t="b">
        <v>0</v>
      </c>
      <c r="G209" s="105" t="str">
        <f>IF(F209=True, IFERROR(VLOOKUP(D209, Repository!A:B, 2, 0), ""), "")</f>
        <v/>
      </c>
      <c r="H209" s="105"/>
      <c r="I209" s="105"/>
      <c r="J209" s="105" t="str">
        <f>IF(F209=True, IFERROR(VLOOKUP(D209, Repository!A:C, 3, 0), ""), "")</f>
        <v/>
      </c>
      <c r="K209" s="105"/>
      <c r="L209" s="105" t="str">
        <f>IF(F209=True, IFERROR(VLOOKUP(D209, Repository!A:E, 5, 0), ""), "")</f>
        <v/>
      </c>
      <c r="M209" s="105"/>
      <c r="N209" s="105" t="str">
        <f>IF(F209=True, IFERROR(VLOOKUP(D209, Repository!A:G, 7, 0), ""), "")</f>
        <v/>
      </c>
      <c r="O209" s="105" t="str">
        <f>IFERROR(__xludf.DUMMYFUNCTION("ARRAY_CONSTRAIN(
  ARRAYFORMULA(
    IFERROR(
      LET(
        list, N209,
        arr, TRIM(SPLIT(list, "","")),
        names, XLOOKUP(
          arr,
          'Conformance Score'!A:A,
          'Conformance Score'!B:B,
          ""Not found""
      "&amp;"  ),
        TEXTJOIN("", "", TRUE, names)
      ),
      """"
    )
  ),
  1,
  1
)
"),"")</f>
        <v/>
      </c>
      <c r="P209" s="105" t="str">
        <f>IF(F209="Yes", IFERROR(VLOOKUP(D209, Repository!A:F, 6, 0), ""), "")</f>
        <v/>
      </c>
      <c r="Q209" s="105" t="str">
        <f>IF(F209="Yes", IFERROR(VLOOKUP(D209, Repository!A:I, 8, 0), ""), "")</f>
        <v/>
      </c>
      <c r="R209" s="105" t="str">
        <f>IF(F209="Yes", IFERROR(VLOOKUP(D209, Repository!A:J, 9, 0), ""), "")</f>
        <v/>
      </c>
      <c r="S209" s="105"/>
      <c r="T209" s="105"/>
      <c r="U209" s="105"/>
      <c r="V209" s="105"/>
      <c r="W209" s="105"/>
      <c r="X209" s="105"/>
      <c r="Y209" s="105"/>
      <c r="Z209" s="105"/>
      <c r="AA209" s="105"/>
      <c r="AB209" s="105"/>
      <c r="AC209" s="91"/>
      <c r="AD209" s="105"/>
      <c r="AE209" s="105"/>
      <c r="AF209" s="91"/>
      <c r="AG209" s="105"/>
      <c r="AH209" s="105"/>
      <c r="AI209" s="105" t="str">
        <f t="shared" si="1"/>
        <v/>
      </c>
      <c r="AJ209" s="108" t="str">
        <f t="shared" si="2"/>
        <v/>
      </c>
    </row>
    <row r="210" ht="15.75" customHeight="1">
      <c r="A210" s="104"/>
      <c r="B210" s="105" t="str">
        <f>IFERROR(__xludf.DUMMYFUNCTION("ARRAY_CONSTRAIN(
  ARRAYFORMULA(
    IF(
      'Final Report'!A210="""",
      """",
      TEXTJOIN(
        "", "" &amp; CHAR(10),
        TRUE,
        IFERROR(
          VLOOKUP(
            TRIM(
              SPLIT('Final Report'!A210, "","")
           "&amp;" ),
            'URL Details'!A:B,
            2,
            FALSE
          ),
          """"
        )
      )
    )
  ),
  1,
  1
)
"),"")</f>
        <v/>
      </c>
      <c r="C210" s="105" t="str">
        <f>IFERROR(__xludf.DUMMYFUNCTION("IFERROR(IF('Final Report'!A210="""","""", TEXTJOIN(CHAR(10), TRUE, ARRAYFORMULA( ""• ""&amp; FILTER( TRIM(FLATTEN(SPLIT( REGEXREPLACE( SUBSTITUTE(TEXTJOIN("","", TRUE, IFERROR(ARRAYFORMULA(VLOOKUP(TRIM(SPLIT('Final Report'!A210, "","")), 'URL Details'!A:D, 4,"&amp;" FALSE)),"""") ), CHAR(10), "",""), ""\s*,\s*"", "",""), "",""))), TRIM(FLATTEN(SPLIT( REGEXREPLACE( SUBSTITUTE(TEXTJOIN("","", TRUE, IFERROR(ARRAYFORMULA(VLOOKUP(TRIM(SPLIT('Final Report'!A210, "","")), 'URL Details'!A:D, 4, FALSE)),"""") ), CHAR(10), """&amp;",""), ""\s*,\s*"", "",""), "","")))&lt;&gt;"""" ) ) ) ),"""")
"),"")</f>
        <v/>
      </c>
      <c r="D210" s="105"/>
      <c r="E210" s="105"/>
      <c r="F210" s="110" t="b">
        <v>0</v>
      </c>
      <c r="G210" s="105" t="str">
        <f>IF(F210=True, IFERROR(VLOOKUP(D210, Repository!A:B, 2, 0), ""), "")</f>
        <v/>
      </c>
      <c r="H210" s="105"/>
      <c r="I210" s="105"/>
      <c r="J210" s="105" t="str">
        <f>IF(F210=True, IFERROR(VLOOKUP(D210, Repository!A:C, 3, 0), ""), "")</f>
        <v/>
      </c>
      <c r="K210" s="105"/>
      <c r="L210" s="105" t="str">
        <f>IF(F210=True, IFERROR(VLOOKUP(D210, Repository!A:E, 5, 0), ""), "")</f>
        <v/>
      </c>
      <c r="M210" s="105"/>
      <c r="N210" s="105" t="str">
        <f>IF(F210=True, IFERROR(VLOOKUP(D210, Repository!A:G, 7, 0), ""), "")</f>
        <v/>
      </c>
      <c r="O210" s="105" t="str">
        <f>IFERROR(__xludf.DUMMYFUNCTION("ARRAY_CONSTRAIN(
  ARRAYFORMULA(
    IFERROR(
      LET(
        list, N210,
        arr, TRIM(SPLIT(list, "","")),
        names, XLOOKUP(
          arr,
          'Conformance Score'!A:A,
          'Conformance Score'!B:B,
          ""Not found""
      "&amp;"  ),
        TEXTJOIN("", "", TRUE, names)
      ),
      """"
    )
  ),
  1,
  1
)
"),"")</f>
        <v/>
      </c>
      <c r="P210" s="105" t="str">
        <f>IF(F210="Yes", IFERROR(VLOOKUP(D210, Repository!A:F, 6, 0), ""), "")</f>
        <v/>
      </c>
      <c r="Q210" s="105" t="str">
        <f>IF(F210="Yes", IFERROR(VLOOKUP(D210, Repository!A:I, 8, 0), ""), "")</f>
        <v/>
      </c>
      <c r="R210" s="105" t="str">
        <f>IF(F210="Yes", IFERROR(VLOOKUP(D210, Repository!A:J, 9, 0), ""), "")</f>
        <v/>
      </c>
      <c r="S210" s="105"/>
      <c r="T210" s="105"/>
      <c r="U210" s="105"/>
      <c r="V210" s="105"/>
      <c r="W210" s="105"/>
      <c r="X210" s="105"/>
      <c r="Y210" s="105"/>
      <c r="Z210" s="105"/>
      <c r="AA210" s="105"/>
      <c r="AB210" s="105"/>
      <c r="AC210" s="91"/>
      <c r="AD210" s="105"/>
      <c r="AE210" s="105"/>
      <c r="AF210" s="91"/>
      <c r="AG210" s="105"/>
      <c r="AH210" s="105"/>
      <c r="AI210" s="105" t="str">
        <f t="shared" si="1"/>
        <v/>
      </c>
      <c r="AJ210" s="108" t="str">
        <f t="shared" si="2"/>
        <v/>
      </c>
    </row>
    <row r="211" ht="15.75" customHeight="1">
      <c r="A211" s="104"/>
      <c r="B211" s="105" t="str">
        <f>IFERROR(__xludf.DUMMYFUNCTION("ARRAY_CONSTRAIN(
  ARRAYFORMULA(
    IF(
      'Final Report'!A211="""",
      """",
      TEXTJOIN(
        "", "" &amp; CHAR(10),
        TRUE,
        IFERROR(
          VLOOKUP(
            TRIM(
              SPLIT('Final Report'!A211, "","")
           "&amp;" ),
            'URL Details'!A:B,
            2,
            FALSE
          ),
          """"
        )
      )
    )
  ),
  1,
  1
)
"),"")</f>
        <v/>
      </c>
      <c r="C211" s="105" t="str">
        <f>IFERROR(__xludf.DUMMYFUNCTION("IFERROR(IF('Final Report'!A211="""","""", TEXTJOIN(CHAR(10), TRUE, ARRAYFORMULA( ""• ""&amp; FILTER( TRIM(FLATTEN(SPLIT( REGEXREPLACE( SUBSTITUTE(TEXTJOIN("","", TRUE, IFERROR(ARRAYFORMULA(VLOOKUP(TRIM(SPLIT('Final Report'!A211, "","")), 'URL Details'!A:D, 4,"&amp;" FALSE)),"""") ), CHAR(10), "",""), ""\s*,\s*"", "",""), "",""))), TRIM(FLATTEN(SPLIT( REGEXREPLACE( SUBSTITUTE(TEXTJOIN("","", TRUE, IFERROR(ARRAYFORMULA(VLOOKUP(TRIM(SPLIT('Final Report'!A211, "","")), 'URL Details'!A:D, 4, FALSE)),"""") ), CHAR(10), """&amp;",""), ""\s*,\s*"", "",""), "","")))&lt;&gt;"""" ) ) ) ),"""")
"),"")</f>
        <v/>
      </c>
      <c r="D211" s="105"/>
      <c r="E211" s="105"/>
      <c r="F211" s="110" t="b">
        <v>0</v>
      </c>
      <c r="G211" s="105" t="str">
        <f>IF(F211=True, IFERROR(VLOOKUP(D211, Repository!A:B, 2, 0), ""), "")</f>
        <v/>
      </c>
      <c r="H211" s="105"/>
      <c r="I211" s="105"/>
      <c r="J211" s="105" t="str">
        <f>IF(F211=True, IFERROR(VLOOKUP(D211, Repository!A:C, 3, 0), ""), "")</f>
        <v/>
      </c>
      <c r="K211" s="105"/>
      <c r="L211" s="105" t="str">
        <f>IF(F211=True, IFERROR(VLOOKUP(D211, Repository!A:E, 5, 0), ""), "")</f>
        <v/>
      </c>
      <c r="M211" s="105"/>
      <c r="N211" s="105" t="str">
        <f>IF(F211=True, IFERROR(VLOOKUP(D211, Repository!A:G, 7, 0), ""), "")</f>
        <v/>
      </c>
      <c r="O211" s="105" t="str">
        <f>IFERROR(__xludf.DUMMYFUNCTION("ARRAY_CONSTRAIN(
  ARRAYFORMULA(
    IFERROR(
      LET(
        list, N211,
        arr, TRIM(SPLIT(list, "","")),
        names, XLOOKUP(
          arr,
          'Conformance Score'!A:A,
          'Conformance Score'!B:B,
          ""Not found""
      "&amp;"  ),
        TEXTJOIN("", "", TRUE, names)
      ),
      """"
    )
  ),
  1,
  1
)
"),"")</f>
        <v/>
      </c>
      <c r="P211" s="105" t="str">
        <f>IF(F211="Yes", IFERROR(VLOOKUP(D211, Repository!A:F, 6, 0), ""), "")</f>
        <v/>
      </c>
      <c r="Q211" s="105" t="str">
        <f>IF(F211="Yes", IFERROR(VLOOKUP(D211, Repository!A:I, 8, 0), ""), "")</f>
        <v/>
      </c>
      <c r="R211" s="105" t="str">
        <f>IF(F211="Yes", IFERROR(VLOOKUP(D211, Repository!A:J, 9, 0), ""), "")</f>
        <v/>
      </c>
      <c r="S211" s="105"/>
      <c r="T211" s="105"/>
      <c r="U211" s="105"/>
      <c r="V211" s="105"/>
      <c r="W211" s="105"/>
      <c r="X211" s="105"/>
      <c r="Y211" s="105"/>
      <c r="Z211" s="105"/>
      <c r="AA211" s="105"/>
      <c r="AB211" s="105"/>
      <c r="AC211" s="91"/>
      <c r="AD211" s="105"/>
      <c r="AE211" s="105"/>
      <c r="AF211" s="91"/>
      <c r="AG211" s="105"/>
      <c r="AH211" s="105"/>
      <c r="AI211" s="105" t="str">
        <f t="shared" si="1"/>
        <v/>
      </c>
      <c r="AJ211" s="108" t="str">
        <f t="shared" si="2"/>
        <v/>
      </c>
    </row>
    <row r="212" ht="15.75" customHeight="1">
      <c r="A212" s="104"/>
      <c r="B212" s="105" t="str">
        <f>IFERROR(__xludf.DUMMYFUNCTION("ARRAY_CONSTRAIN(
  ARRAYFORMULA(
    IF(
      'Final Report'!A212="""",
      """",
      TEXTJOIN(
        "", "" &amp; CHAR(10),
        TRUE,
        IFERROR(
          VLOOKUP(
            TRIM(
              SPLIT('Final Report'!A212, "","")
           "&amp;" ),
            'URL Details'!A:B,
            2,
            FALSE
          ),
          """"
        )
      )
    )
  ),
  1,
  1
)
"),"")</f>
        <v/>
      </c>
      <c r="C212" s="105" t="str">
        <f>IFERROR(__xludf.DUMMYFUNCTION("IFERROR(IF('Final Report'!A212="""","""", TEXTJOIN(CHAR(10), TRUE, ARRAYFORMULA( ""• ""&amp; FILTER( TRIM(FLATTEN(SPLIT( REGEXREPLACE( SUBSTITUTE(TEXTJOIN("","", TRUE, IFERROR(ARRAYFORMULA(VLOOKUP(TRIM(SPLIT('Final Report'!A212, "","")), 'URL Details'!A:D, 4,"&amp;" FALSE)),"""") ), CHAR(10), "",""), ""\s*,\s*"", "",""), "",""))), TRIM(FLATTEN(SPLIT( REGEXREPLACE( SUBSTITUTE(TEXTJOIN("","", TRUE, IFERROR(ARRAYFORMULA(VLOOKUP(TRIM(SPLIT('Final Report'!A212, "","")), 'URL Details'!A:D, 4, FALSE)),"""") ), CHAR(10), """&amp;",""), ""\s*,\s*"", "",""), "","")))&lt;&gt;"""" ) ) ) ),"""")
"),"")</f>
        <v/>
      </c>
      <c r="D212" s="105"/>
      <c r="E212" s="105"/>
      <c r="F212" s="110" t="b">
        <v>0</v>
      </c>
      <c r="G212" s="105" t="str">
        <f>IF(F212=True, IFERROR(VLOOKUP(D212, Repository!A:B, 2, 0), ""), "")</f>
        <v/>
      </c>
      <c r="H212" s="105"/>
      <c r="I212" s="105"/>
      <c r="J212" s="105" t="str">
        <f>IF(F212=True, IFERROR(VLOOKUP(D212, Repository!A:C, 3, 0), ""), "")</f>
        <v/>
      </c>
      <c r="K212" s="105"/>
      <c r="L212" s="105" t="str">
        <f>IF(F212=True, IFERROR(VLOOKUP(D212, Repository!A:E, 5, 0), ""), "")</f>
        <v/>
      </c>
      <c r="M212" s="105"/>
      <c r="N212" s="105" t="str">
        <f>IF(F212=True, IFERROR(VLOOKUP(D212, Repository!A:G, 7, 0), ""), "")</f>
        <v/>
      </c>
      <c r="O212" s="105" t="str">
        <f>IFERROR(__xludf.DUMMYFUNCTION("ARRAY_CONSTRAIN(
  ARRAYFORMULA(
    IFERROR(
      LET(
        list, N212,
        arr, TRIM(SPLIT(list, "","")),
        names, XLOOKUP(
          arr,
          'Conformance Score'!A:A,
          'Conformance Score'!B:B,
          ""Not found""
      "&amp;"  ),
        TEXTJOIN("", "", TRUE, names)
      ),
      """"
    )
  ),
  1,
  1
)
"),"")</f>
        <v/>
      </c>
      <c r="P212" s="105" t="str">
        <f>IF(F212="Yes", IFERROR(VLOOKUP(D212, Repository!A:F, 6, 0), ""), "")</f>
        <v/>
      </c>
      <c r="Q212" s="105" t="str">
        <f>IF(F212="Yes", IFERROR(VLOOKUP(D212, Repository!A:I, 8, 0), ""), "")</f>
        <v/>
      </c>
      <c r="R212" s="105" t="str">
        <f>IF(F212="Yes", IFERROR(VLOOKUP(D212, Repository!A:J, 9, 0), ""), "")</f>
        <v/>
      </c>
      <c r="S212" s="105"/>
      <c r="T212" s="105"/>
      <c r="U212" s="105"/>
      <c r="V212" s="105"/>
      <c r="W212" s="105"/>
      <c r="X212" s="105"/>
      <c r="Y212" s="105"/>
      <c r="Z212" s="105"/>
      <c r="AA212" s="105"/>
      <c r="AB212" s="105"/>
      <c r="AC212" s="91"/>
      <c r="AD212" s="105"/>
      <c r="AE212" s="105"/>
      <c r="AF212" s="91"/>
      <c r="AG212" s="105"/>
      <c r="AH212" s="105"/>
      <c r="AI212" s="105" t="str">
        <f t="shared" si="1"/>
        <v/>
      </c>
      <c r="AJ212" s="108" t="str">
        <f t="shared" si="2"/>
        <v/>
      </c>
    </row>
    <row r="213" ht="15.75" customHeight="1">
      <c r="A213" s="104"/>
      <c r="B213" s="105" t="str">
        <f>IFERROR(__xludf.DUMMYFUNCTION("ARRAY_CONSTRAIN(
  ARRAYFORMULA(
    IF(
      'Final Report'!A213="""",
      """",
      TEXTJOIN(
        "", "" &amp; CHAR(10),
        TRUE,
        IFERROR(
          VLOOKUP(
            TRIM(
              SPLIT('Final Report'!A213, "","")
           "&amp;" ),
            'URL Details'!A:B,
            2,
            FALSE
          ),
          """"
        )
      )
    )
  ),
  1,
  1
)
"),"")</f>
        <v/>
      </c>
      <c r="C213" s="105" t="str">
        <f>IFERROR(__xludf.DUMMYFUNCTION("IFERROR(IF('Final Report'!A213="""","""", TEXTJOIN(CHAR(10), TRUE, ARRAYFORMULA( ""• ""&amp; FILTER( TRIM(FLATTEN(SPLIT( REGEXREPLACE( SUBSTITUTE(TEXTJOIN("","", TRUE, IFERROR(ARRAYFORMULA(VLOOKUP(TRIM(SPLIT('Final Report'!A213, "","")), 'URL Details'!A:D, 4,"&amp;" FALSE)),"""") ), CHAR(10), "",""), ""\s*,\s*"", "",""), "",""))), TRIM(FLATTEN(SPLIT( REGEXREPLACE( SUBSTITUTE(TEXTJOIN("","", TRUE, IFERROR(ARRAYFORMULA(VLOOKUP(TRIM(SPLIT('Final Report'!A213, "","")), 'URL Details'!A:D, 4, FALSE)),"""") ), CHAR(10), """&amp;",""), ""\s*,\s*"", "",""), "","")))&lt;&gt;"""" ) ) ) ),"""")
"),"")</f>
        <v/>
      </c>
      <c r="D213" s="105"/>
      <c r="E213" s="105"/>
      <c r="F213" s="110" t="b">
        <v>0</v>
      </c>
      <c r="G213" s="105" t="str">
        <f>IF(F213=True, IFERROR(VLOOKUP(D213, Repository!A:B, 2, 0), ""), "")</f>
        <v/>
      </c>
      <c r="H213" s="105"/>
      <c r="I213" s="105"/>
      <c r="J213" s="105" t="str">
        <f>IF(F213=True, IFERROR(VLOOKUP(D213, Repository!A:C, 3, 0), ""), "")</f>
        <v/>
      </c>
      <c r="K213" s="105"/>
      <c r="L213" s="105" t="str">
        <f>IF(F213=True, IFERROR(VLOOKUP(D213, Repository!A:E, 5, 0), ""), "")</f>
        <v/>
      </c>
      <c r="M213" s="105"/>
      <c r="N213" s="105" t="str">
        <f>IF(F213=True, IFERROR(VLOOKUP(D213, Repository!A:G, 7, 0), ""), "")</f>
        <v/>
      </c>
      <c r="O213" s="105" t="str">
        <f>IFERROR(__xludf.DUMMYFUNCTION("ARRAY_CONSTRAIN(
  ARRAYFORMULA(
    IFERROR(
      LET(
        list, N213,
        arr, TRIM(SPLIT(list, "","")),
        names, XLOOKUP(
          arr,
          'Conformance Score'!A:A,
          'Conformance Score'!B:B,
          ""Not found""
      "&amp;"  ),
        TEXTJOIN("", "", TRUE, names)
      ),
      """"
    )
  ),
  1,
  1
)
"),"")</f>
        <v/>
      </c>
      <c r="P213" s="105" t="str">
        <f>IF(F213="Yes", IFERROR(VLOOKUP(D213, Repository!A:F, 6, 0), ""), "")</f>
        <v/>
      </c>
      <c r="Q213" s="105" t="str">
        <f>IF(F213="Yes", IFERROR(VLOOKUP(D213, Repository!A:I, 8, 0), ""), "")</f>
        <v/>
      </c>
      <c r="R213" s="105" t="str">
        <f>IF(F213="Yes", IFERROR(VLOOKUP(D213, Repository!A:J, 9, 0), ""), "")</f>
        <v/>
      </c>
      <c r="S213" s="105"/>
      <c r="T213" s="105"/>
      <c r="U213" s="105"/>
      <c r="V213" s="105"/>
      <c r="W213" s="105"/>
      <c r="X213" s="105"/>
      <c r="Y213" s="105"/>
      <c r="Z213" s="105"/>
      <c r="AA213" s="105"/>
      <c r="AB213" s="105"/>
      <c r="AC213" s="91"/>
      <c r="AD213" s="105"/>
      <c r="AE213" s="105"/>
      <c r="AF213" s="91"/>
      <c r="AG213" s="105"/>
      <c r="AH213" s="105"/>
      <c r="AI213" s="105" t="str">
        <f t="shared" si="1"/>
        <v/>
      </c>
      <c r="AJ213" s="108" t="str">
        <f t="shared" si="2"/>
        <v/>
      </c>
    </row>
    <row r="214" ht="15.75" customHeight="1">
      <c r="A214" s="104"/>
      <c r="B214" s="105" t="str">
        <f>IFERROR(__xludf.DUMMYFUNCTION("ARRAY_CONSTRAIN(
  ARRAYFORMULA(
    IF(
      'Final Report'!A214="""",
      """",
      TEXTJOIN(
        "", "" &amp; CHAR(10),
        TRUE,
        IFERROR(
          VLOOKUP(
            TRIM(
              SPLIT('Final Report'!A214, "","")
           "&amp;" ),
            'URL Details'!A:B,
            2,
            FALSE
          ),
          """"
        )
      )
    )
  ),
  1,
  1
)
"),"")</f>
        <v/>
      </c>
      <c r="C214" s="105" t="str">
        <f>IFERROR(__xludf.DUMMYFUNCTION("IFERROR(IF('Final Report'!A214="""","""", TEXTJOIN(CHAR(10), TRUE, ARRAYFORMULA( ""• ""&amp; FILTER( TRIM(FLATTEN(SPLIT( REGEXREPLACE( SUBSTITUTE(TEXTJOIN("","", TRUE, IFERROR(ARRAYFORMULA(VLOOKUP(TRIM(SPLIT('Final Report'!A214, "","")), 'URL Details'!A:D, 4,"&amp;" FALSE)),"""") ), CHAR(10), "",""), ""\s*,\s*"", "",""), "",""))), TRIM(FLATTEN(SPLIT( REGEXREPLACE( SUBSTITUTE(TEXTJOIN("","", TRUE, IFERROR(ARRAYFORMULA(VLOOKUP(TRIM(SPLIT('Final Report'!A214, "","")), 'URL Details'!A:D, 4, FALSE)),"""") ), CHAR(10), """&amp;",""), ""\s*,\s*"", "",""), "","")))&lt;&gt;"""" ) ) ) ),"""")
"),"")</f>
        <v/>
      </c>
      <c r="D214" s="105"/>
      <c r="E214" s="105"/>
      <c r="F214" s="110" t="b">
        <v>0</v>
      </c>
      <c r="G214" s="105" t="str">
        <f>IF(F214=True, IFERROR(VLOOKUP(D214, Repository!A:B, 2, 0), ""), "")</f>
        <v/>
      </c>
      <c r="H214" s="105"/>
      <c r="I214" s="105"/>
      <c r="J214" s="105" t="str">
        <f>IF(F214=True, IFERROR(VLOOKUP(D214, Repository!A:C, 3, 0), ""), "")</f>
        <v/>
      </c>
      <c r="K214" s="105"/>
      <c r="L214" s="105" t="str">
        <f>IF(F214=True, IFERROR(VLOOKUP(D214, Repository!A:E, 5, 0), ""), "")</f>
        <v/>
      </c>
      <c r="M214" s="105"/>
      <c r="N214" s="105" t="str">
        <f>IF(F214=True, IFERROR(VLOOKUP(D214, Repository!A:G, 7, 0), ""), "")</f>
        <v/>
      </c>
      <c r="O214" s="105" t="str">
        <f>IFERROR(__xludf.DUMMYFUNCTION("ARRAY_CONSTRAIN(
  ARRAYFORMULA(
    IFERROR(
      LET(
        list, N214,
        arr, TRIM(SPLIT(list, "","")),
        names, XLOOKUP(
          arr,
          'Conformance Score'!A:A,
          'Conformance Score'!B:B,
          ""Not found""
      "&amp;"  ),
        TEXTJOIN("", "", TRUE, names)
      ),
      """"
    )
  ),
  1,
  1
)
"),"")</f>
        <v/>
      </c>
      <c r="P214" s="105" t="str">
        <f>IF(F214="Yes", IFERROR(VLOOKUP(D214, Repository!A:F, 6, 0), ""), "")</f>
        <v/>
      </c>
      <c r="Q214" s="105" t="str">
        <f>IF(F214="Yes", IFERROR(VLOOKUP(D214, Repository!A:I, 8, 0), ""), "")</f>
        <v/>
      </c>
      <c r="R214" s="105" t="str">
        <f>IF(F214="Yes", IFERROR(VLOOKUP(D214, Repository!A:J, 9, 0), ""), "")</f>
        <v/>
      </c>
      <c r="S214" s="105"/>
      <c r="T214" s="105"/>
      <c r="U214" s="105"/>
      <c r="V214" s="105"/>
      <c r="W214" s="105"/>
      <c r="X214" s="105"/>
      <c r="Y214" s="105"/>
      <c r="Z214" s="105"/>
      <c r="AA214" s="105"/>
      <c r="AB214" s="105"/>
      <c r="AC214" s="91"/>
      <c r="AD214" s="105"/>
      <c r="AE214" s="105"/>
      <c r="AF214" s="91"/>
      <c r="AG214" s="105"/>
      <c r="AH214" s="105"/>
      <c r="AI214" s="105" t="str">
        <f t="shared" si="1"/>
        <v/>
      </c>
      <c r="AJ214" s="108" t="str">
        <f t="shared" si="2"/>
        <v/>
      </c>
    </row>
    <row r="215" ht="15.75" customHeight="1">
      <c r="A215" s="104"/>
      <c r="B215" s="105" t="str">
        <f>IFERROR(__xludf.DUMMYFUNCTION("ARRAY_CONSTRAIN(
  ARRAYFORMULA(
    IF(
      'Final Report'!A215="""",
      """",
      TEXTJOIN(
        "", "" &amp; CHAR(10),
        TRUE,
        IFERROR(
          VLOOKUP(
            TRIM(
              SPLIT('Final Report'!A215, "","")
           "&amp;" ),
            'URL Details'!A:B,
            2,
            FALSE
          ),
          """"
        )
      )
    )
  ),
  1,
  1
)
"),"")</f>
        <v/>
      </c>
      <c r="C215" s="105" t="str">
        <f>IFERROR(__xludf.DUMMYFUNCTION("IFERROR(IF('Final Report'!A215="""","""", TEXTJOIN(CHAR(10), TRUE, ARRAYFORMULA( ""• ""&amp; FILTER( TRIM(FLATTEN(SPLIT( REGEXREPLACE( SUBSTITUTE(TEXTJOIN("","", TRUE, IFERROR(ARRAYFORMULA(VLOOKUP(TRIM(SPLIT('Final Report'!A215, "","")), 'URL Details'!A:D, 4,"&amp;" FALSE)),"""") ), CHAR(10), "",""), ""\s*,\s*"", "",""), "",""))), TRIM(FLATTEN(SPLIT( REGEXREPLACE( SUBSTITUTE(TEXTJOIN("","", TRUE, IFERROR(ARRAYFORMULA(VLOOKUP(TRIM(SPLIT('Final Report'!A215, "","")), 'URL Details'!A:D, 4, FALSE)),"""") ), CHAR(10), """&amp;",""), ""\s*,\s*"", "",""), "","")))&lt;&gt;"""" ) ) ) ),"""")
"),"")</f>
        <v/>
      </c>
      <c r="D215" s="105"/>
      <c r="E215" s="105"/>
      <c r="F215" s="110" t="b">
        <v>0</v>
      </c>
      <c r="G215" s="105" t="str">
        <f>IF(F215=True, IFERROR(VLOOKUP(D215, Repository!A:B, 2, 0), ""), "")</f>
        <v/>
      </c>
      <c r="H215" s="105"/>
      <c r="I215" s="105"/>
      <c r="J215" s="105" t="str">
        <f>IF(F215=True, IFERROR(VLOOKUP(D215, Repository!A:C, 3, 0), ""), "")</f>
        <v/>
      </c>
      <c r="K215" s="105"/>
      <c r="L215" s="105" t="str">
        <f>IF(F215=True, IFERROR(VLOOKUP(D215, Repository!A:E, 5, 0), ""), "")</f>
        <v/>
      </c>
      <c r="M215" s="105"/>
      <c r="N215" s="105" t="str">
        <f>IF(F215=True, IFERROR(VLOOKUP(D215, Repository!A:G, 7, 0), ""), "")</f>
        <v/>
      </c>
      <c r="O215" s="105" t="str">
        <f>IFERROR(__xludf.DUMMYFUNCTION("ARRAY_CONSTRAIN(
  ARRAYFORMULA(
    IFERROR(
      LET(
        list, N215,
        arr, TRIM(SPLIT(list, "","")),
        names, XLOOKUP(
          arr,
          'Conformance Score'!A:A,
          'Conformance Score'!B:B,
          ""Not found""
      "&amp;"  ),
        TEXTJOIN("", "", TRUE, names)
      ),
      """"
    )
  ),
  1,
  1
)
"),"")</f>
        <v/>
      </c>
      <c r="P215" s="105" t="str">
        <f>IF(F215="Yes", IFERROR(VLOOKUP(D215, Repository!A:F, 6, 0), ""), "")</f>
        <v/>
      </c>
      <c r="Q215" s="105" t="str">
        <f>IF(F215="Yes", IFERROR(VLOOKUP(D215, Repository!A:I, 8, 0), ""), "")</f>
        <v/>
      </c>
      <c r="R215" s="105" t="str">
        <f>IF(F215="Yes", IFERROR(VLOOKUP(D215, Repository!A:J, 9, 0), ""), "")</f>
        <v/>
      </c>
      <c r="S215" s="105"/>
      <c r="T215" s="105"/>
      <c r="U215" s="105"/>
      <c r="V215" s="105"/>
      <c r="W215" s="105"/>
      <c r="X215" s="105"/>
      <c r="Y215" s="105"/>
      <c r="Z215" s="105"/>
      <c r="AA215" s="105"/>
      <c r="AB215" s="105"/>
      <c r="AC215" s="91"/>
      <c r="AD215" s="105"/>
      <c r="AE215" s="105"/>
      <c r="AF215" s="91"/>
      <c r="AG215" s="105"/>
      <c r="AH215" s="105"/>
      <c r="AI215" s="105" t="str">
        <f t="shared" si="1"/>
        <v/>
      </c>
      <c r="AJ215" s="108" t="str">
        <f t="shared" si="2"/>
        <v/>
      </c>
    </row>
    <row r="216" ht="15.75" customHeight="1">
      <c r="A216" s="104"/>
      <c r="B216" s="105" t="str">
        <f>IFERROR(__xludf.DUMMYFUNCTION("ARRAY_CONSTRAIN(
  ARRAYFORMULA(
    IF(
      'Final Report'!A216="""",
      """",
      TEXTJOIN(
        "", "" &amp; CHAR(10),
        TRUE,
        IFERROR(
          VLOOKUP(
            TRIM(
              SPLIT('Final Report'!A216, "","")
           "&amp;" ),
            'URL Details'!A:B,
            2,
            FALSE
          ),
          """"
        )
      )
    )
  ),
  1,
  1
)
"),"")</f>
        <v/>
      </c>
      <c r="C216" s="105" t="str">
        <f>IFERROR(__xludf.DUMMYFUNCTION("IFERROR(IF('Final Report'!A216="""","""", TEXTJOIN(CHAR(10), TRUE, ARRAYFORMULA( ""• ""&amp; FILTER( TRIM(FLATTEN(SPLIT( REGEXREPLACE( SUBSTITUTE(TEXTJOIN("","", TRUE, IFERROR(ARRAYFORMULA(VLOOKUP(TRIM(SPLIT('Final Report'!A216, "","")), 'URL Details'!A:D, 4,"&amp;" FALSE)),"""") ), CHAR(10), "",""), ""\s*,\s*"", "",""), "",""))), TRIM(FLATTEN(SPLIT( REGEXREPLACE( SUBSTITUTE(TEXTJOIN("","", TRUE, IFERROR(ARRAYFORMULA(VLOOKUP(TRIM(SPLIT('Final Report'!A216, "","")), 'URL Details'!A:D, 4, FALSE)),"""") ), CHAR(10), """&amp;",""), ""\s*,\s*"", "",""), "","")))&lt;&gt;"""" ) ) ) ),"""")
"),"")</f>
        <v/>
      </c>
      <c r="D216" s="105"/>
      <c r="E216" s="105"/>
      <c r="F216" s="110" t="b">
        <v>0</v>
      </c>
      <c r="G216" s="105" t="str">
        <f>IF(F216=True, IFERROR(VLOOKUP(D216, Repository!A:B, 2, 0), ""), "")</f>
        <v/>
      </c>
      <c r="H216" s="105"/>
      <c r="I216" s="105"/>
      <c r="J216" s="105" t="str">
        <f>IF(F216=True, IFERROR(VLOOKUP(D216, Repository!A:C, 3, 0), ""), "")</f>
        <v/>
      </c>
      <c r="K216" s="105"/>
      <c r="L216" s="105" t="str">
        <f>IF(F216=True, IFERROR(VLOOKUP(D216, Repository!A:E, 5, 0), ""), "")</f>
        <v/>
      </c>
      <c r="M216" s="105"/>
      <c r="N216" s="105" t="str">
        <f>IF(F216=True, IFERROR(VLOOKUP(D216, Repository!A:G, 7, 0), ""), "")</f>
        <v/>
      </c>
      <c r="O216" s="105" t="str">
        <f>IFERROR(__xludf.DUMMYFUNCTION("ARRAY_CONSTRAIN(
  ARRAYFORMULA(
    IFERROR(
      LET(
        list, N216,
        arr, TRIM(SPLIT(list, "","")),
        names, XLOOKUP(
          arr,
          'Conformance Score'!A:A,
          'Conformance Score'!B:B,
          ""Not found""
      "&amp;"  ),
        TEXTJOIN("", "", TRUE, names)
      ),
      """"
    )
  ),
  1,
  1
)
"),"")</f>
        <v/>
      </c>
      <c r="P216" s="105" t="str">
        <f>IF(F216="Yes", IFERROR(VLOOKUP(D216, Repository!A:F, 6, 0), ""), "")</f>
        <v/>
      </c>
      <c r="Q216" s="105" t="str">
        <f>IF(F216="Yes", IFERROR(VLOOKUP(D216, Repository!A:I, 8, 0), ""), "")</f>
        <v/>
      </c>
      <c r="R216" s="105" t="str">
        <f>IF(F216="Yes", IFERROR(VLOOKUP(D216, Repository!A:J, 9, 0), ""), "")</f>
        <v/>
      </c>
      <c r="S216" s="105"/>
      <c r="T216" s="105"/>
      <c r="U216" s="105"/>
      <c r="V216" s="105"/>
      <c r="W216" s="105"/>
      <c r="X216" s="105"/>
      <c r="Y216" s="105"/>
      <c r="Z216" s="105"/>
      <c r="AA216" s="105"/>
      <c r="AB216" s="105"/>
      <c r="AC216" s="91"/>
      <c r="AD216" s="105"/>
      <c r="AE216" s="105"/>
      <c r="AF216" s="91"/>
      <c r="AG216" s="105"/>
      <c r="AH216" s="105"/>
      <c r="AI216" s="105" t="str">
        <f t="shared" si="1"/>
        <v/>
      </c>
      <c r="AJ216" s="108" t="str">
        <f t="shared" si="2"/>
        <v/>
      </c>
    </row>
    <row r="217" ht="15.75" customHeight="1">
      <c r="A217" s="104"/>
      <c r="B217" s="105" t="str">
        <f>IFERROR(__xludf.DUMMYFUNCTION("ARRAY_CONSTRAIN(
  ARRAYFORMULA(
    IF(
      'Final Report'!A217="""",
      """",
      TEXTJOIN(
        "", "" &amp; CHAR(10),
        TRUE,
        IFERROR(
          VLOOKUP(
            TRIM(
              SPLIT('Final Report'!A217, "","")
           "&amp;" ),
            'URL Details'!A:B,
            2,
            FALSE
          ),
          """"
        )
      )
    )
  ),
  1,
  1
)
"),"")</f>
        <v/>
      </c>
      <c r="C217" s="105" t="str">
        <f>IFERROR(__xludf.DUMMYFUNCTION("IFERROR(IF('Final Report'!A217="""","""", TEXTJOIN(CHAR(10), TRUE, ARRAYFORMULA( ""• ""&amp; FILTER( TRIM(FLATTEN(SPLIT( REGEXREPLACE( SUBSTITUTE(TEXTJOIN("","", TRUE, IFERROR(ARRAYFORMULA(VLOOKUP(TRIM(SPLIT('Final Report'!A217, "","")), 'URL Details'!A:D, 4,"&amp;" FALSE)),"""") ), CHAR(10), "",""), ""\s*,\s*"", "",""), "",""))), TRIM(FLATTEN(SPLIT( REGEXREPLACE( SUBSTITUTE(TEXTJOIN("","", TRUE, IFERROR(ARRAYFORMULA(VLOOKUP(TRIM(SPLIT('Final Report'!A217, "","")), 'URL Details'!A:D, 4, FALSE)),"""") ), CHAR(10), """&amp;",""), ""\s*,\s*"", "",""), "","")))&lt;&gt;"""" ) ) ) ),"""")
"),"")</f>
        <v/>
      </c>
      <c r="D217" s="105"/>
      <c r="E217" s="105"/>
      <c r="F217" s="110" t="b">
        <v>0</v>
      </c>
      <c r="G217" s="105" t="str">
        <f>IF(F217=True, IFERROR(VLOOKUP(D217, Repository!A:B, 2, 0), ""), "")</f>
        <v/>
      </c>
      <c r="H217" s="105"/>
      <c r="I217" s="105"/>
      <c r="J217" s="105" t="str">
        <f>IF(F217=True, IFERROR(VLOOKUP(D217, Repository!A:C, 3, 0), ""), "")</f>
        <v/>
      </c>
      <c r="K217" s="105"/>
      <c r="L217" s="105" t="str">
        <f>IF(F217=True, IFERROR(VLOOKUP(D217, Repository!A:E, 5, 0), ""), "")</f>
        <v/>
      </c>
      <c r="M217" s="105"/>
      <c r="N217" s="105" t="str">
        <f>IF(F217=True, IFERROR(VLOOKUP(D217, Repository!A:G, 7, 0), ""), "")</f>
        <v/>
      </c>
      <c r="O217" s="105" t="str">
        <f>IFERROR(__xludf.DUMMYFUNCTION("ARRAY_CONSTRAIN(
  ARRAYFORMULA(
    IFERROR(
      LET(
        list, N217,
        arr, TRIM(SPLIT(list, "","")),
        names, XLOOKUP(
          arr,
          'Conformance Score'!A:A,
          'Conformance Score'!B:B,
          ""Not found""
      "&amp;"  ),
        TEXTJOIN("", "", TRUE, names)
      ),
      """"
    )
  ),
  1,
  1
)
"),"")</f>
        <v/>
      </c>
      <c r="P217" s="105" t="str">
        <f>IF(F217="Yes", IFERROR(VLOOKUP(D217, Repository!A:F, 6, 0), ""), "")</f>
        <v/>
      </c>
      <c r="Q217" s="105" t="str">
        <f>IF(F217="Yes", IFERROR(VLOOKUP(D217, Repository!A:I, 8, 0), ""), "")</f>
        <v/>
      </c>
      <c r="R217" s="105" t="str">
        <f>IF(F217="Yes", IFERROR(VLOOKUP(D217, Repository!A:J, 9, 0), ""), "")</f>
        <v/>
      </c>
      <c r="S217" s="105"/>
      <c r="T217" s="105"/>
      <c r="U217" s="105"/>
      <c r="V217" s="105"/>
      <c r="W217" s="105"/>
      <c r="X217" s="105"/>
      <c r="Y217" s="105"/>
      <c r="Z217" s="105"/>
      <c r="AA217" s="105"/>
      <c r="AB217" s="105"/>
      <c r="AC217" s="91"/>
      <c r="AD217" s="105"/>
      <c r="AE217" s="105"/>
      <c r="AF217" s="91"/>
      <c r="AG217" s="105"/>
      <c r="AH217" s="105"/>
      <c r="AI217" s="105" t="str">
        <f t="shared" si="1"/>
        <v/>
      </c>
      <c r="AJ217" s="108" t="str">
        <f t="shared" si="2"/>
        <v/>
      </c>
    </row>
    <row r="218" ht="15.75" customHeight="1">
      <c r="A218" s="104"/>
      <c r="B218" s="105" t="str">
        <f>IFERROR(__xludf.DUMMYFUNCTION("ARRAY_CONSTRAIN(
  ARRAYFORMULA(
    IF(
      'Final Report'!A218="""",
      """",
      TEXTJOIN(
        "", "" &amp; CHAR(10),
        TRUE,
        IFERROR(
          VLOOKUP(
            TRIM(
              SPLIT('Final Report'!A218, "","")
           "&amp;" ),
            'URL Details'!A:B,
            2,
            FALSE
          ),
          """"
        )
      )
    )
  ),
  1,
  1
)
"),"")</f>
        <v/>
      </c>
      <c r="C218" s="105" t="str">
        <f>IFERROR(__xludf.DUMMYFUNCTION("IFERROR(IF('Final Report'!A218="""","""", TEXTJOIN(CHAR(10), TRUE, ARRAYFORMULA( ""• ""&amp; FILTER( TRIM(FLATTEN(SPLIT( REGEXREPLACE( SUBSTITUTE(TEXTJOIN("","", TRUE, IFERROR(ARRAYFORMULA(VLOOKUP(TRIM(SPLIT('Final Report'!A218, "","")), 'URL Details'!A:D, 4,"&amp;" FALSE)),"""") ), CHAR(10), "",""), ""\s*,\s*"", "",""), "",""))), TRIM(FLATTEN(SPLIT( REGEXREPLACE( SUBSTITUTE(TEXTJOIN("","", TRUE, IFERROR(ARRAYFORMULA(VLOOKUP(TRIM(SPLIT('Final Report'!A218, "","")), 'URL Details'!A:D, 4, FALSE)),"""") ), CHAR(10), """&amp;",""), ""\s*,\s*"", "",""), "","")))&lt;&gt;"""" ) ) ) ),"""")
"),"")</f>
        <v/>
      </c>
      <c r="D218" s="105"/>
      <c r="E218" s="105"/>
      <c r="F218" s="110" t="b">
        <v>0</v>
      </c>
      <c r="G218" s="105" t="str">
        <f>IF(F218=True, IFERROR(VLOOKUP(D218, Repository!A:B, 2, 0), ""), "")</f>
        <v/>
      </c>
      <c r="H218" s="105"/>
      <c r="I218" s="105"/>
      <c r="J218" s="105" t="str">
        <f>IF(F218=True, IFERROR(VLOOKUP(D218, Repository!A:C, 3, 0), ""), "")</f>
        <v/>
      </c>
      <c r="K218" s="105"/>
      <c r="L218" s="105" t="str">
        <f>IF(F218=True, IFERROR(VLOOKUP(D218, Repository!A:E, 5, 0), ""), "")</f>
        <v/>
      </c>
      <c r="M218" s="105"/>
      <c r="N218" s="105" t="str">
        <f>IF(F218=True, IFERROR(VLOOKUP(D218, Repository!A:G, 7, 0), ""), "")</f>
        <v/>
      </c>
      <c r="O218" s="105" t="str">
        <f>IFERROR(__xludf.DUMMYFUNCTION("ARRAY_CONSTRAIN(
  ARRAYFORMULA(
    IFERROR(
      LET(
        list, N218,
        arr, TRIM(SPLIT(list, "","")),
        names, XLOOKUP(
          arr,
          'Conformance Score'!A:A,
          'Conformance Score'!B:B,
          ""Not found""
      "&amp;"  ),
        TEXTJOIN("", "", TRUE, names)
      ),
      """"
    )
  ),
  1,
  1
)
"),"")</f>
        <v/>
      </c>
      <c r="P218" s="105" t="str">
        <f>IF(F218="Yes", IFERROR(VLOOKUP(D218, Repository!A:F, 6, 0), ""), "")</f>
        <v/>
      </c>
      <c r="Q218" s="105" t="str">
        <f>IF(F218="Yes", IFERROR(VLOOKUP(D218, Repository!A:I, 8, 0), ""), "")</f>
        <v/>
      </c>
      <c r="R218" s="105" t="str">
        <f>IF(F218="Yes", IFERROR(VLOOKUP(D218, Repository!A:J, 9, 0), ""), "")</f>
        <v/>
      </c>
      <c r="S218" s="105"/>
      <c r="T218" s="105"/>
      <c r="U218" s="105"/>
      <c r="V218" s="105"/>
      <c r="W218" s="105"/>
      <c r="X218" s="105"/>
      <c r="Y218" s="105"/>
      <c r="Z218" s="105"/>
      <c r="AA218" s="105"/>
      <c r="AB218" s="105"/>
      <c r="AC218" s="91"/>
      <c r="AD218" s="105"/>
      <c r="AE218" s="105"/>
      <c r="AF218" s="91"/>
      <c r="AG218" s="105"/>
      <c r="AH218" s="105"/>
      <c r="AI218" s="105" t="str">
        <f t="shared" si="1"/>
        <v/>
      </c>
      <c r="AJ218" s="108" t="str">
        <f t="shared" si="2"/>
        <v/>
      </c>
    </row>
    <row r="219" ht="15.75" customHeight="1">
      <c r="A219" s="104"/>
      <c r="B219" s="105" t="str">
        <f>IFERROR(__xludf.DUMMYFUNCTION("ARRAY_CONSTRAIN(
  ARRAYFORMULA(
    IF(
      'Final Report'!A219="""",
      """",
      TEXTJOIN(
        "", "" &amp; CHAR(10),
        TRUE,
        IFERROR(
          VLOOKUP(
            TRIM(
              SPLIT('Final Report'!A219, "","")
           "&amp;" ),
            'URL Details'!A:B,
            2,
            FALSE
          ),
          """"
        )
      )
    )
  ),
  1,
  1
)
"),"")</f>
        <v/>
      </c>
      <c r="C219" s="105" t="str">
        <f>IFERROR(__xludf.DUMMYFUNCTION("IFERROR(IF('Final Report'!A219="""","""", TEXTJOIN(CHAR(10), TRUE, ARRAYFORMULA( ""• ""&amp; FILTER( TRIM(FLATTEN(SPLIT( REGEXREPLACE( SUBSTITUTE(TEXTJOIN("","", TRUE, IFERROR(ARRAYFORMULA(VLOOKUP(TRIM(SPLIT('Final Report'!A219, "","")), 'URL Details'!A:D, 4,"&amp;" FALSE)),"""") ), CHAR(10), "",""), ""\s*,\s*"", "",""), "",""))), TRIM(FLATTEN(SPLIT( REGEXREPLACE( SUBSTITUTE(TEXTJOIN("","", TRUE, IFERROR(ARRAYFORMULA(VLOOKUP(TRIM(SPLIT('Final Report'!A219, "","")), 'URL Details'!A:D, 4, FALSE)),"""") ), CHAR(10), """&amp;",""), ""\s*,\s*"", "",""), "","")))&lt;&gt;"""" ) ) ) ),"""")
"),"")</f>
        <v/>
      </c>
      <c r="D219" s="105"/>
      <c r="E219" s="105"/>
      <c r="F219" s="110" t="b">
        <v>0</v>
      </c>
      <c r="G219" s="105" t="str">
        <f>IF(F219=True, IFERROR(VLOOKUP(D219, Repository!A:B, 2, 0), ""), "")</f>
        <v/>
      </c>
      <c r="H219" s="105"/>
      <c r="I219" s="105"/>
      <c r="J219" s="105" t="str">
        <f>IF(F219=True, IFERROR(VLOOKUP(D219, Repository!A:C, 3, 0), ""), "")</f>
        <v/>
      </c>
      <c r="K219" s="105"/>
      <c r="L219" s="105" t="str">
        <f>IF(F219=True, IFERROR(VLOOKUP(D219, Repository!A:E, 5, 0), ""), "")</f>
        <v/>
      </c>
      <c r="M219" s="105"/>
      <c r="N219" s="105" t="str">
        <f>IF(F219=True, IFERROR(VLOOKUP(D219, Repository!A:G, 7, 0), ""), "")</f>
        <v/>
      </c>
      <c r="O219" s="105" t="str">
        <f>IFERROR(__xludf.DUMMYFUNCTION("ARRAY_CONSTRAIN(
  ARRAYFORMULA(
    IFERROR(
      LET(
        list, N219,
        arr, TRIM(SPLIT(list, "","")),
        names, XLOOKUP(
          arr,
          'Conformance Score'!A:A,
          'Conformance Score'!B:B,
          ""Not found""
      "&amp;"  ),
        TEXTJOIN("", "", TRUE, names)
      ),
      """"
    )
  ),
  1,
  1
)
"),"")</f>
        <v/>
      </c>
      <c r="P219" s="105" t="str">
        <f>IF(F219="Yes", IFERROR(VLOOKUP(D219, Repository!A:F, 6, 0), ""), "")</f>
        <v/>
      </c>
      <c r="Q219" s="105" t="str">
        <f>IF(F219="Yes", IFERROR(VLOOKUP(D219, Repository!A:I, 8, 0), ""), "")</f>
        <v/>
      </c>
      <c r="R219" s="105" t="str">
        <f>IF(F219="Yes", IFERROR(VLOOKUP(D219, Repository!A:J, 9, 0), ""), "")</f>
        <v/>
      </c>
      <c r="S219" s="105"/>
      <c r="T219" s="105"/>
      <c r="U219" s="105"/>
      <c r="V219" s="105"/>
      <c r="W219" s="105"/>
      <c r="X219" s="105"/>
      <c r="Y219" s="105"/>
      <c r="Z219" s="105"/>
      <c r="AA219" s="105"/>
      <c r="AB219" s="105"/>
      <c r="AC219" s="91"/>
      <c r="AD219" s="105"/>
      <c r="AE219" s="105"/>
      <c r="AF219" s="91"/>
      <c r="AG219" s="105"/>
      <c r="AH219" s="105"/>
      <c r="AI219" s="105" t="str">
        <f t="shared" si="1"/>
        <v/>
      </c>
      <c r="AJ219" s="108" t="str">
        <f t="shared" si="2"/>
        <v/>
      </c>
    </row>
    <row r="220" ht="15.75" customHeight="1">
      <c r="A220" s="104"/>
      <c r="B220" s="105" t="str">
        <f>IFERROR(__xludf.DUMMYFUNCTION("ARRAY_CONSTRAIN(
  ARRAYFORMULA(
    IF(
      'Final Report'!A220="""",
      """",
      TEXTJOIN(
        "", "" &amp; CHAR(10),
        TRUE,
        IFERROR(
          VLOOKUP(
            TRIM(
              SPLIT('Final Report'!A220, "","")
           "&amp;" ),
            'URL Details'!A:B,
            2,
            FALSE
          ),
          """"
        )
      )
    )
  ),
  1,
  1
)
"),"")</f>
        <v/>
      </c>
      <c r="C220" s="105" t="str">
        <f>IFERROR(__xludf.DUMMYFUNCTION("IFERROR(IF('Final Report'!A220="""","""", TEXTJOIN(CHAR(10), TRUE, ARRAYFORMULA( ""• ""&amp; FILTER( TRIM(FLATTEN(SPLIT( REGEXREPLACE( SUBSTITUTE(TEXTJOIN("","", TRUE, IFERROR(ARRAYFORMULA(VLOOKUP(TRIM(SPLIT('Final Report'!A220, "","")), 'URL Details'!A:D, 4,"&amp;" FALSE)),"""") ), CHAR(10), "",""), ""\s*,\s*"", "",""), "",""))), TRIM(FLATTEN(SPLIT( REGEXREPLACE( SUBSTITUTE(TEXTJOIN("","", TRUE, IFERROR(ARRAYFORMULA(VLOOKUP(TRIM(SPLIT('Final Report'!A220, "","")), 'URL Details'!A:D, 4, FALSE)),"""") ), CHAR(10), """&amp;",""), ""\s*,\s*"", "",""), "","")))&lt;&gt;"""" ) ) ) ),"""")
"),"")</f>
        <v/>
      </c>
      <c r="D220" s="105"/>
      <c r="E220" s="105"/>
      <c r="F220" s="110" t="b">
        <v>0</v>
      </c>
      <c r="G220" s="105" t="str">
        <f>IF(F220=True, IFERROR(VLOOKUP(D220, Repository!A:B, 2, 0), ""), "")</f>
        <v/>
      </c>
      <c r="H220" s="105"/>
      <c r="I220" s="105"/>
      <c r="J220" s="105" t="str">
        <f>IF(F220=True, IFERROR(VLOOKUP(D220, Repository!A:C, 3, 0), ""), "")</f>
        <v/>
      </c>
      <c r="K220" s="105"/>
      <c r="L220" s="105" t="str">
        <f>IF(F220=True, IFERROR(VLOOKUP(D220, Repository!A:E, 5, 0), ""), "")</f>
        <v/>
      </c>
      <c r="M220" s="105"/>
      <c r="N220" s="105" t="str">
        <f>IF(F220=True, IFERROR(VLOOKUP(D220, Repository!A:G, 7, 0), ""), "")</f>
        <v/>
      </c>
      <c r="O220" s="105" t="str">
        <f>IFERROR(__xludf.DUMMYFUNCTION("ARRAY_CONSTRAIN(
  ARRAYFORMULA(
    IFERROR(
      LET(
        list, N220,
        arr, TRIM(SPLIT(list, "","")),
        names, XLOOKUP(
          arr,
          'Conformance Score'!A:A,
          'Conformance Score'!B:B,
          ""Not found""
      "&amp;"  ),
        TEXTJOIN("", "", TRUE, names)
      ),
      """"
    )
  ),
  1,
  1
)
"),"")</f>
        <v/>
      </c>
      <c r="P220" s="105" t="str">
        <f>IF(F220="Yes", IFERROR(VLOOKUP(D220, Repository!A:F, 6, 0), ""), "")</f>
        <v/>
      </c>
      <c r="Q220" s="105" t="str">
        <f>IF(F220="Yes", IFERROR(VLOOKUP(D220, Repository!A:I, 8, 0), ""), "")</f>
        <v/>
      </c>
      <c r="R220" s="105" t="str">
        <f>IF(F220="Yes", IFERROR(VLOOKUP(D220, Repository!A:J, 9, 0), ""), "")</f>
        <v/>
      </c>
      <c r="S220" s="105"/>
      <c r="T220" s="105"/>
      <c r="U220" s="105"/>
      <c r="V220" s="105"/>
      <c r="W220" s="105"/>
      <c r="X220" s="105"/>
      <c r="Y220" s="105"/>
      <c r="Z220" s="105"/>
      <c r="AA220" s="105"/>
      <c r="AB220" s="105"/>
      <c r="AC220" s="91"/>
      <c r="AD220" s="105"/>
      <c r="AE220" s="105"/>
      <c r="AF220" s="91"/>
      <c r="AG220" s="105"/>
      <c r="AH220" s="105"/>
      <c r="AI220" s="105" t="str">
        <f t="shared" si="1"/>
        <v/>
      </c>
      <c r="AJ220" s="108" t="str">
        <f t="shared" si="2"/>
        <v/>
      </c>
    </row>
    <row r="221" ht="15.75" customHeight="1">
      <c r="A221" s="104"/>
      <c r="B221" s="105" t="str">
        <f>IFERROR(__xludf.DUMMYFUNCTION("ARRAY_CONSTRAIN(
  ARRAYFORMULA(
    IF(
      'Final Report'!A221="""",
      """",
      TEXTJOIN(
        "", "" &amp; CHAR(10),
        TRUE,
        IFERROR(
          VLOOKUP(
            TRIM(
              SPLIT('Final Report'!A221, "","")
           "&amp;" ),
            'URL Details'!A:B,
            2,
            FALSE
          ),
          """"
        )
      )
    )
  ),
  1,
  1
)
"),"")</f>
        <v/>
      </c>
      <c r="C221" s="105" t="str">
        <f>IFERROR(__xludf.DUMMYFUNCTION("IFERROR(IF('Final Report'!A221="""","""", TEXTJOIN(CHAR(10), TRUE, ARRAYFORMULA( ""• ""&amp; FILTER( TRIM(FLATTEN(SPLIT( REGEXREPLACE( SUBSTITUTE(TEXTJOIN("","", TRUE, IFERROR(ARRAYFORMULA(VLOOKUP(TRIM(SPLIT('Final Report'!A221, "","")), 'URL Details'!A:D, 4,"&amp;" FALSE)),"""") ), CHAR(10), "",""), ""\s*,\s*"", "",""), "",""))), TRIM(FLATTEN(SPLIT( REGEXREPLACE( SUBSTITUTE(TEXTJOIN("","", TRUE, IFERROR(ARRAYFORMULA(VLOOKUP(TRIM(SPLIT('Final Report'!A221, "","")), 'URL Details'!A:D, 4, FALSE)),"""") ), CHAR(10), """&amp;",""), ""\s*,\s*"", "",""), "","")))&lt;&gt;"""" ) ) ) ),"""")
"),"")</f>
        <v/>
      </c>
      <c r="D221" s="105"/>
      <c r="E221" s="105"/>
      <c r="F221" s="110" t="b">
        <v>0</v>
      </c>
      <c r="G221" s="105" t="str">
        <f>IF(F221=True, IFERROR(VLOOKUP(D221, Repository!A:B, 2, 0), ""), "")</f>
        <v/>
      </c>
      <c r="H221" s="105"/>
      <c r="I221" s="105"/>
      <c r="J221" s="105" t="str">
        <f>IF(F221=True, IFERROR(VLOOKUP(D221, Repository!A:C, 3, 0), ""), "")</f>
        <v/>
      </c>
      <c r="K221" s="105"/>
      <c r="L221" s="105" t="str">
        <f>IF(F221=True, IFERROR(VLOOKUP(D221, Repository!A:E, 5, 0), ""), "")</f>
        <v/>
      </c>
      <c r="M221" s="105"/>
      <c r="N221" s="105" t="str">
        <f>IF(F221=True, IFERROR(VLOOKUP(D221, Repository!A:G, 7, 0), ""), "")</f>
        <v/>
      </c>
      <c r="O221" s="105" t="str">
        <f>IFERROR(__xludf.DUMMYFUNCTION("ARRAY_CONSTRAIN(
  ARRAYFORMULA(
    IFERROR(
      LET(
        list, N221,
        arr, TRIM(SPLIT(list, "","")),
        names, XLOOKUP(
          arr,
          'Conformance Score'!A:A,
          'Conformance Score'!B:B,
          ""Not found""
      "&amp;"  ),
        TEXTJOIN("", "", TRUE, names)
      ),
      """"
    )
  ),
  1,
  1
)
"),"")</f>
        <v/>
      </c>
      <c r="P221" s="105" t="str">
        <f>IF(F221="Yes", IFERROR(VLOOKUP(D221, Repository!A:F, 6, 0), ""), "")</f>
        <v/>
      </c>
      <c r="Q221" s="105" t="str">
        <f>IF(F221="Yes", IFERROR(VLOOKUP(D221, Repository!A:I, 8, 0), ""), "")</f>
        <v/>
      </c>
      <c r="R221" s="105" t="str">
        <f>IF(F221="Yes", IFERROR(VLOOKUP(D221, Repository!A:J, 9, 0), ""), "")</f>
        <v/>
      </c>
      <c r="S221" s="105"/>
      <c r="T221" s="105"/>
      <c r="U221" s="105"/>
      <c r="V221" s="105"/>
      <c r="W221" s="105"/>
      <c r="X221" s="105"/>
      <c r="Y221" s="105"/>
      <c r="Z221" s="105"/>
      <c r="AA221" s="105"/>
      <c r="AB221" s="105"/>
      <c r="AC221" s="91"/>
      <c r="AD221" s="105"/>
      <c r="AE221" s="105"/>
      <c r="AF221" s="91"/>
      <c r="AG221" s="105"/>
      <c r="AH221" s="105"/>
      <c r="AI221" s="105" t="str">
        <f t="shared" si="1"/>
        <v/>
      </c>
      <c r="AJ221" s="108" t="str">
        <f t="shared" si="2"/>
        <v/>
      </c>
    </row>
    <row r="222" ht="15.75" customHeight="1">
      <c r="A222" s="104"/>
      <c r="B222" s="105" t="str">
        <f>IFERROR(__xludf.DUMMYFUNCTION("ARRAY_CONSTRAIN(
  ARRAYFORMULA(
    IF(
      'Final Report'!A222="""",
      """",
      TEXTJOIN(
        "", "" &amp; CHAR(10),
        TRUE,
        IFERROR(
          VLOOKUP(
            TRIM(
              SPLIT('Final Report'!A222, "","")
           "&amp;" ),
            'URL Details'!A:B,
            2,
            FALSE
          ),
          """"
        )
      )
    )
  ),
  1,
  1
)
"),"")</f>
        <v/>
      </c>
      <c r="C222" s="105" t="str">
        <f>IFERROR(__xludf.DUMMYFUNCTION("IFERROR(IF('Final Report'!A222="""","""", TEXTJOIN(CHAR(10), TRUE, ARRAYFORMULA( ""• ""&amp; FILTER( TRIM(FLATTEN(SPLIT( REGEXREPLACE( SUBSTITUTE(TEXTJOIN("","", TRUE, IFERROR(ARRAYFORMULA(VLOOKUP(TRIM(SPLIT('Final Report'!A222, "","")), 'URL Details'!A:D, 4,"&amp;" FALSE)),"""") ), CHAR(10), "",""), ""\s*,\s*"", "",""), "",""))), TRIM(FLATTEN(SPLIT( REGEXREPLACE( SUBSTITUTE(TEXTJOIN("","", TRUE, IFERROR(ARRAYFORMULA(VLOOKUP(TRIM(SPLIT('Final Report'!A222, "","")), 'URL Details'!A:D, 4, FALSE)),"""") ), CHAR(10), """&amp;",""), ""\s*,\s*"", "",""), "","")))&lt;&gt;"""" ) ) ) ),"""")
"),"")</f>
        <v/>
      </c>
      <c r="D222" s="105"/>
      <c r="E222" s="105"/>
      <c r="F222" s="110" t="b">
        <v>0</v>
      </c>
      <c r="G222" s="105" t="str">
        <f>IF(F222=True, IFERROR(VLOOKUP(D222, Repository!A:B, 2, 0), ""), "")</f>
        <v/>
      </c>
      <c r="H222" s="105"/>
      <c r="I222" s="105"/>
      <c r="J222" s="105" t="str">
        <f>IF(F222=True, IFERROR(VLOOKUP(D222, Repository!A:C, 3, 0), ""), "")</f>
        <v/>
      </c>
      <c r="K222" s="105"/>
      <c r="L222" s="105" t="str">
        <f>IF(F222=True, IFERROR(VLOOKUP(D222, Repository!A:E, 5, 0), ""), "")</f>
        <v/>
      </c>
      <c r="M222" s="105"/>
      <c r="N222" s="105" t="str">
        <f>IF(F222=True, IFERROR(VLOOKUP(D222, Repository!A:G, 7, 0), ""), "")</f>
        <v/>
      </c>
      <c r="O222" s="105" t="str">
        <f>IFERROR(__xludf.DUMMYFUNCTION("ARRAY_CONSTRAIN(
  ARRAYFORMULA(
    IFERROR(
      LET(
        list, N222,
        arr, TRIM(SPLIT(list, "","")),
        names, XLOOKUP(
          arr,
          'Conformance Score'!A:A,
          'Conformance Score'!B:B,
          ""Not found""
      "&amp;"  ),
        TEXTJOIN("", "", TRUE, names)
      ),
      """"
    )
  ),
  1,
  1
)
"),"")</f>
        <v/>
      </c>
      <c r="P222" s="105" t="str">
        <f>IF(F222="Yes", IFERROR(VLOOKUP(D222, Repository!A:F, 6, 0), ""), "")</f>
        <v/>
      </c>
      <c r="Q222" s="105" t="str">
        <f>IF(F222="Yes", IFERROR(VLOOKUP(D222, Repository!A:I, 8, 0), ""), "")</f>
        <v/>
      </c>
      <c r="R222" s="105" t="str">
        <f>IF(F222="Yes", IFERROR(VLOOKUP(D222, Repository!A:J, 9, 0), ""), "")</f>
        <v/>
      </c>
      <c r="S222" s="105"/>
      <c r="T222" s="105"/>
      <c r="U222" s="105"/>
      <c r="V222" s="105"/>
      <c r="W222" s="105"/>
      <c r="X222" s="105"/>
      <c r="Y222" s="105"/>
      <c r="Z222" s="105"/>
      <c r="AA222" s="105"/>
      <c r="AB222" s="105"/>
      <c r="AC222" s="91"/>
      <c r="AD222" s="105"/>
      <c r="AE222" s="105"/>
      <c r="AF222" s="91"/>
      <c r="AG222" s="105"/>
      <c r="AH222" s="105"/>
      <c r="AI222" s="105" t="str">
        <f t="shared" si="1"/>
        <v/>
      </c>
      <c r="AJ222" s="108" t="str">
        <f t="shared" si="2"/>
        <v/>
      </c>
    </row>
    <row r="223" ht="15.75" customHeight="1">
      <c r="A223" s="104"/>
      <c r="B223" s="105" t="str">
        <f>IFERROR(__xludf.DUMMYFUNCTION("ARRAY_CONSTRAIN(
  ARRAYFORMULA(
    IF(
      'Final Report'!A223="""",
      """",
      TEXTJOIN(
        "", "" &amp; CHAR(10),
        TRUE,
        IFERROR(
          VLOOKUP(
            TRIM(
              SPLIT('Final Report'!A223, "","")
           "&amp;" ),
            'URL Details'!A:B,
            2,
            FALSE
          ),
          """"
        )
      )
    )
  ),
  1,
  1
)
"),"")</f>
        <v/>
      </c>
      <c r="C223" s="105" t="str">
        <f>IFERROR(__xludf.DUMMYFUNCTION("IFERROR(IF('Final Report'!A223="""","""", TEXTJOIN(CHAR(10), TRUE, ARRAYFORMULA( ""• ""&amp; FILTER( TRIM(FLATTEN(SPLIT( REGEXREPLACE( SUBSTITUTE(TEXTJOIN("","", TRUE, IFERROR(ARRAYFORMULA(VLOOKUP(TRIM(SPLIT('Final Report'!A223, "","")), 'URL Details'!A:D, 4,"&amp;" FALSE)),"""") ), CHAR(10), "",""), ""\s*,\s*"", "",""), "",""))), TRIM(FLATTEN(SPLIT( REGEXREPLACE( SUBSTITUTE(TEXTJOIN("","", TRUE, IFERROR(ARRAYFORMULA(VLOOKUP(TRIM(SPLIT('Final Report'!A223, "","")), 'URL Details'!A:D, 4, FALSE)),"""") ), CHAR(10), """&amp;",""), ""\s*,\s*"", "",""), "","")))&lt;&gt;"""" ) ) ) ),"""")
"),"")</f>
        <v/>
      </c>
      <c r="D223" s="105"/>
      <c r="E223" s="105"/>
      <c r="F223" s="110" t="b">
        <v>0</v>
      </c>
      <c r="G223" s="105" t="str">
        <f>IF(F223=True, IFERROR(VLOOKUP(D223, Repository!A:B, 2, 0), ""), "")</f>
        <v/>
      </c>
      <c r="H223" s="105"/>
      <c r="I223" s="105"/>
      <c r="J223" s="105" t="str">
        <f>IF(F223=True, IFERROR(VLOOKUP(D223, Repository!A:C, 3, 0), ""), "")</f>
        <v/>
      </c>
      <c r="K223" s="105"/>
      <c r="L223" s="105" t="str">
        <f>IF(F223=True, IFERROR(VLOOKUP(D223, Repository!A:E, 5, 0), ""), "")</f>
        <v/>
      </c>
      <c r="M223" s="105"/>
      <c r="N223" s="105" t="str">
        <f>IF(F223=True, IFERROR(VLOOKUP(D223, Repository!A:G, 7, 0), ""), "")</f>
        <v/>
      </c>
      <c r="O223" s="105" t="str">
        <f>IFERROR(__xludf.DUMMYFUNCTION("ARRAY_CONSTRAIN(
  ARRAYFORMULA(
    IFERROR(
      LET(
        list, N223,
        arr, TRIM(SPLIT(list, "","")),
        names, XLOOKUP(
          arr,
          'Conformance Score'!A:A,
          'Conformance Score'!B:B,
          ""Not found""
      "&amp;"  ),
        TEXTJOIN("", "", TRUE, names)
      ),
      """"
    )
  ),
  1,
  1
)
"),"")</f>
        <v/>
      </c>
      <c r="P223" s="105" t="str">
        <f>IF(F223="Yes", IFERROR(VLOOKUP(D223, Repository!A:F, 6, 0), ""), "")</f>
        <v/>
      </c>
      <c r="Q223" s="105" t="str">
        <f>IF(F223="Yes", IFERROR(VLOOKUP(D223, Repository!A:I, 8, 0), ""), "")</f>
        <v/>
      </c>
      <c r="R223" s="105" t="str">
        <f>IF(F223="Yes", IFERROR(VLOOKUP(D223, Repository!A:J, 9, 0), ""), "")</f>
        <v/>
      </c>
      <c r="S223" s="105"/>
      <c r="T223" s="105"/>
      <c r="U223" s="105"/>
      <c r="V223" s="105"/>
      <c r="W223" s="105"/>
      <c r="X223" s="105"/>
      <c r="Y223" s="105"/>
      <c r="Z223" s="105"/>
      <c r="AA223" s="105"/>
      <c r="AB223" s="105"/>
      <c r="AC223" s="91"/>
      <c r="AD223" s="105"/>
      <c r="AE223" s="105"/>
      <c r="AF223" s="91"/>
      <c r="AG223" s="105"/>
      <c r="AH223" s="105"/>
      <c r="AI223" s="105" t="str">
        <f t="shared" si="1"/>
        <v/>
      </c>
      <c r="AJ223" s="108" t="str">
        <f t="shared" si="2"/>
        <v/>
      </c>
    </row>
    <row r="224" ht="15.75" customHeight="1">
      <c r="A224" s="104"/>
      <c r="B224" s="105" t="str">
        <f>IFERROR(__xludf.DUMMYFUNCTION("ARRAY_CONSTRAIN(
  ARRAYFORMULA(
    IF(
      'Final Report'!A224="""",
      """",
      TEXTJOIN(
        "", "" &amp; CHAR(10),
        TRUE,
        IFERROR(
          VLOOKUP(
            TRIM(
              SPLIT('Final Report'!A224, "","")
           "&amp;" ),
            'URL Details'!A:B,
            2,
            FALSE
          ),
          """"
        )
      )
    )
  ),
  1,
  1
)
"),"")</f>
        <v/>
      </c>
      <c r="C224" s="105" t="str">
        <f>IFERROR(__xludf.DUMMYFUNCTION("IFERROR(IF('Final Report'!A224="""","""", TEXTJOIN(CHAR(10), TRUE, ARRAYFORMULA( ""• ""&amp; FILTER( TRIM(FLATTEN(SPLIT( REGEXREPLACE( SUBSTITUTE(TEXTJOIN("","", TRUE, IFERROR(ARRAYFORMULA(VLOOKUP(TRIM(SPLIT('Final Report'!A224, "","")), 'URL Details'!A:D, 4,"&amp;" FALSE)),"""") ), CHAR(10), "",""), ""\s*,\s*"", "",""), "",""))), TRIM(FLATTEN(SPLIT( REGEXREPLACE( SUBSTITUTE(TEXTJOIN("","", TRUE, IFERROR(ARRAYFORMULA(VLOOKUP(TRIM(SPLIT('Final Report'!A224, "","")), 'URL Details'!A:D, 4, FALSE)),"""") ), CHAR(10), """&amp;",""), ""\s*,\s*"", "",""), "","")))&lt;&gt;"""" ) ) ) ),"""")
"),"")</f>
        <v/>
      </c>
      <c r="D224" s="105"/>
      <c r="E224" s="105"/>
      <c r="F224" s="110" t="b">
        <v>0</v>
      </c>
      <c r="G224" s="105" t="str">
        <f>IF(F224=True, IFERROR(VLOOKUP(D224, Repository!A:B, 2, 0), ""), "")</f>
        <v/>
      </c>
      <c r="H224" s="105"/>
      <c r="I224" s="105"/>
      <c r="J224" s="105" t="str">
        <f>IF(F224=True, IFERROR(VLOOKUP(D224, Repository!A:C, 3, 0), ""), "")</f>
        <v/>
      </c>
      <c r="K224" s="105"/>
      <c r="L224" s="105" t="str">
        <f>IF(F224=True, IFERROR(VLOOKUP(D224, Repository!A:E, 5, 0), ""), "")</f>
        <v/>
      </c>
      <c r="M224" s="105"/>
      <c r="N224" s="105" t="str">
        <f>IF(F224=True, IFERROR(VLOOKUP(D224, Repository!A:G, 7, 0), ""), "")</f>
        <v/>
      </c>
      <c r="O224" s="105" t="str">
        <f>IFERROR(__xludf.DUMMYFUNCTION("ARRAY_CONSTRAIN(
  ARRAYFORMULA(
    IFERROR(
      LET(
        list, N224,
        arr, TRIM(SPLIT(list, "","")),
        names, XLOOKUP(
          arr,
          'Conformance Score'!A:A,
          'Conformance Score'!B:B,
          ""Not found""
      "&amp;"  ),
        TEXTJOIN("", "", TRUE, names)
      ),
      """"
    )
  ),
  1,
  1
)
"),"")</f>
        <v/>
      </c>
      <c r="P224" s="105" t="str">
        <f>IF(F224="Yes", IFERROR(VLOOKUP(D224, Repository!A:F, 6, 0), ""), "")</f>
        <v/>
      </c>
      <c r="Q224" s="105" t="str">
        <f>IF(F224="Yes", IFERROR(VLOOKUP(D224, Repository!A:I, 8, 0), ""), "")</f>
        <v/>
      </c>
      <c r="R224" s="105" t="str">
        <f>IF(F224="Yes", IFERROR(VLOOKUP(D224, Repository!A:J, 9, 0), ""), "")</f>
        <v/>
      </c>
      <c r="S224" s="105"/>
      <c r="T224" s="105"/>
      <c r="U224" s="105"/>
      <c r="V224" s="105"/>
      <c r="W224" s="105"/>
      <c r="X224" s="105"/>
      <c r="Y224" s="105"/>
      <c r="Z224" s="105"/>
      <c r="AA224" s="105"/>
      <c r="AB224" s="105"/>
      <c r="AC224" s="91"/>
      <c r="AD224" s="105"/>
      <c r="AE224" s="105"/>
      <c r="AF224" s="91"/>
      <c r="AG224" s="105"/>
      <c r="AH224" s="105"/>
      <c r="AI224" s="105" t="str">
        <f t="shared" si="1"/>
        <v/>
      </c>
      <c r="AJ224" s="108" t="str">
        <f t="shared" si="2"/>
        <v/>
      </c>
    </row>
    <row r="225" ht="15.75" customHeight="1">
      <c r="A225" s="104"/>
      <c r="B225" s="105" t="str">
        <f>IFERROR(__xludf.DUMMYFUNCTION("ARRAY_CONSTRAIN(
  ARRAYFORMULA(
    IF(
      'Final Report'!A225="""",
      """",
      TEXTJOIN(
        "", "" &amp; CHAR(10),
        TRUE,
        IFERROR(
          VLOOKUP(
            TRIM(
              SPLIT('Final Report'!A225, "","")
           "&amp;" ),
            'URL Details'!A:B,
            2,
            FALSE
          ),
          """"
        )
      )
    )
  ),
  1,
  1
)
"),"")</f>
        <v/>
      </c>
      <c r="C225" s="105" t="str">
        <f>IFERROR(__xludf.DUMMYFUNCTION("IFERROR(IF('Final Report'!A225="""","""", TEXTJOIN(CHAR(10), TRUE, ARRAYFORMULA( ""• ""&amp; FILTER( TRIM(FLATTEN(SPLIT( REGEXREPLACE( SUBSTITUTE(TEXTJOIN("","", TRUE, IFERROR(ARRAYFORMULA(VLOOKUP(TRIM(SPLIT('Final Report'!A225, "","")), 'URL Details'!A:D, 4,"&amp;" FALSE)),"""") ), CHAR(10), "",""), ""\s*,\s*"", "",""), "",""))), TRIM(FLATTEN(SPLIT( REGEXREPLACE( SUBSTITUTE(TEXTJOIN("","", TRUE, IFERROR(ARRAYFORMULA(VLOOKUP(TRIM(SPLIT('Final Report'!A225, "","")), 'URL Details'!A:D, 4, FALSE)),"""") ), CHAR(10), """&amp;",""), ""\s*,\s*"", "",""), "","")))&lt;&gt;"""" ) ) ) ),"""")
"),"")</f>
        <v/>
      </c>
      <c r="D225" s="105"/>
      <c r="E225" s="105"/>
      <c r="F225" s="110" t="b">
        <v>0</v>
      </c>
      <c r="G225" s="105" t="str">
        <f>IF(F225=True, IFERROR(VLOOKUP(D225, Repository!A:B, 2, 0), ""), "")</f>
        <v/>
      </c>
      <c r="H225" s="105"/>
      <c r="I225" s="105"/>
      <c r="J225" s="105" t="str">
        <f>IF(F225=True, IFERROR(VLOOKUP(D225, Repository!A:C, 3, 0), ""), "")</f>
        <v/>
      </c>
      <c r="K225" s="105"/>
      <c r="L225" s="105" t="str">
        <f>IF(F225=True, IFERROR(VLOOKUP(D225, Repository!A:E, 5, 0), ""), "")</f>
        <v/>
      </c>
      <c r="M225" s="105"/>
      <c r="N225" s="105" t="str">
        <f>IF(F225=True, IFERROR(VLOOKUP(D225, Repository!A:G, 7, 0), ""), "")</f>
        <v/>
      </c>
      <c r="O225" s="105" t="str">
        <f>IFERROR(__xludf.DUMMYFUNCTION("ARRAY_CONSTRAIN(
  ARRAYFORMULA(
    IFERROR(
      LET(
        list, N225,
        arr, TRIM(SPLIT(list, "","")),
        names, XLOOKUP(
          arr,
          'Conformance Score'!A:A,
          'Conformance Score'!B:B,
          ""Not found""
      "&amp;"  ),
        TEXTJOIN("", "", TRUE, names)
      ),
      """"
    )
  ),
  1,
  1
)
"),"")</f>
        <v/>
      </c>
      <c r="P225" s="105" t="str">
        <f>IF(F225="Yes", IFERROR(VLOOKUP(D225, Repository!A:F, 6, 0), ""), "")</f>
        <v/>
      </c>
      <c r="Q225" s="105" t="str">
        <f>IF(F225="Yes", IFERROR(VLOOKUP(D225, Repository!A:I, 8, 0), ""), "")</f>
        <v/>
      </c>
      <c r="R225" s="105" t="str">
        <f>IF(F225="Yes", IFERROR(VLOOKUP(D225, Repository!A:J, 9, 0), ""), "")</f>
        <v/>
      </c>
      <c r="S225" s="105"/>
      <c r="T225" s="105"/>
      <c r="U225" s="105"/>
      <c r="V225" s="105"/>
      <c r="W225" s="105"/>
      <c r="X225" s="105"/>
      <c r="Y225" s="105"/>
      <c r="Z225" s="105"/>
      <c r="AA225" s="105"/>
      <c r="AB225" s="105"/>
      <c r="AC225" s="91"/>
      <c r="AD225" s="105"/>
      <c r="AE225" s="105"/>
      <c r="AF225" s="91"/>
      <c r="AG225" s="105"/>
      <c r="AH225" s="105"/>
      <c r="AI225" s="105" t="str">
        <f t="shared" si="1"/>
        <v/>
      </c>
      <c r="AJ225" s="108" t="str">
        <f t="shared" si="2"/>
        <v/>
      </c>
    </row>
    <row r="226" ht="15.75" customHeight="1">
      <c r="A226" s="104"/>
      <c r="B226" s="105" t="str">
        <f>IFERROR(__xludf.DUMMYFUNCTION("ARRAY_CONSTRAIN(
  ARRAYFORMULA(
    IF(
      'Final Report'!A226="""",
      """",
      TEXTJOIN(
        "", "" &amp; CHAR(10),
        TRUE,
        IFERROR(
          VLOOKUP(
            TRIM(
              SPLIT('Final Report'!A226, "","")
           "&amp;" ),
            'URL Details'!A:B,
            2,
            FALSE
          ),
          """"
        )
      )
    )
  ),
  1,
  1
)
"),"")</f>
        <v/>
      </c>
      <c r="C226" s="105" t="str">
        <f>IFERROR(__xludf.DUMMYFUNCTION("IFERROR(IF('Final Report'!A226="""","""", TEXTJOIN(CHAR(10), TRUE, ARRAYFORMULA( ""• ""&amp; FILTER( TRIM(FLATTEN(SPLIT( REGEXREPLACE( SUBSTITUTE(TEXTJOIN("","", TRUE, IFERROR(ARRAYFORMULA(VLOOKUP(TRIM(SPLIT('Final Report'!A226, "","")), 'URL Details'!A:D, 4,"&amp;" FALSE)),"""") ), CHAR(10), "",""), ""\s*,\s*"", "",""), "",""))), TRIM(FLATTEN(SPLIT( REGEXREPLACE( SUBSTITUTE(TEXTJOIN("","", TRUE, IFERROR(ARRAYFORMULA(VLOOKUP(TRIM(SPLIT('Final Report'!A226, "","")), 'URL Details'!A:D, 4, FALSE)),"""") ), CHAR(10), """&amp;",""), ""\s*,\s*"", "",""), "","")))&lt;&gt;"""" ) ) ) ),"""")
"),"")</f>
        <v/>
      </c>
      <c r="D226" s="105"/>
      <c r="E226" s="105"/>
      <c r="F226" s="110" t="b">
        <v>0</v>
      </c>
      <c r="G226" s="105" t="str">
        <f>IF(F226=True, IFERROR(VLOOKUP(D226, Repository!A:B, 2, 0), ""), "")</f>
        <v/>
      </c>
      <c r="H226" s="105"/>
      <c r="I226" s="105"/>
      <c r="J226" s="105" t="str">
        <f>IF(F226=True, IFERROR(VLOOKUP(D226, Repository!A:C, 3, 0), ""), "")</f>
        <v/>
      </c>
      <c r="K226" s="105"/>
      <c r="L226" s="105" t="str">
        <f>IF(F226=True, IFERROR(VLOOKUP(D226, Repository!A:E, 5, 0), ""), "")</f>
        <v/>
      </c>
      <c r="M226" s="105"/>
      <c r="N226" s="105" t="str">
        <f>IF(F226=True, IFERROR(VLOOKUP(D226, Repository!A:G, 7, 0), ""), "")</f>
        <v/>
      </c>
      <c r="O226" s="105" t="str">
        <f>IFERROR(__xludf.DUMMYFUNCTION("ARRAY_CONSTRAIN(
  ARRAYFORMULA(
    IFERROR(
      LET(
        list, N226,
        arr, TRIM(SPLIT(list, "","")),
        names, XLOOKUP(
          arr,
          'Conformance Score'!A:A,
          'Conformance Score'!B:B,
          ""Not found""
      "&amp;"  ),
        TEXTJOIN("", "", TRUE, names)
      ),
      """"
    )
  ),
  1,
  1
)
"),"")</f>
        <v/>
      </c>
      <c r="P226" s="105" t="str">
        <f>IF(F226="Yes", IFERROR(VLOOKUP(D226, Repository!A:F, 6, 0), ""), "")</f>
        <v/>
      </c>
      <c r="Q226" s="105" t="str">
        <f>IF(F226="Yes", IFERROR(VLOOKUP(D226, Repository!A:I, 8, 0), ""), "")</f>
        <v/>
      </c>
      <c r="R226" s="105" t="str">
        <f>IF(F226="Yes", IFERROR(VLOOKUP(D226, Repository!A:J, 9, 0), ""), "")</f>
        <v/>
      </c>
      <c r="S226" s="105"/>
      <c r="T226" s="105"/>
      <c r="U226" s="105"/>
      <c r="V226" s="105"/>
      <c r="W226" s="105"/>
      <c r="X226" s="105"/>
      <c r="Y226" s="105"/>
      <c r="Z226" s="105"/>
      <c r="AA226" s="105"/>
      <c r="AB226" s="105"/>
      <c r="AC226" s="91"/>
      <c r="AD226" s="105"/>
      <c r="AE226" s="105"/>
      <c r="AF226" s="91"/>
      <c r="AG226" s="105"/>
      <c r="AH226" s="105"/>
      <c r="AI226" s="105" t="str">
        <f t="shared" si="1"/>
        <v/>
      </c>
      <c r="AJ226" s="108" t="str">
        <f t="shared" si="2"/>
        <v/>
      </c>
    </row>
    <row r="227" ht="15.75" customHeight="1">
      <c r="A227" s="104"/>
      <c r="B227" s="105" t="str">
        <f>IFERROR(__xludf.DUMMYFUNCTION("ARRAY_CONSTRAIN(
  ARRAYFORMULA(
    IF(
      'Final Report'!A227="""",
      """",
      TEXTJOIN(
        "", "" &amp; CHAR(10),
        TRUE,
        IFERROR(
          VLOOKUP(
            TRIM(
              SPLIT('Final Report'!A227, "","")
           "&amp;" ),
            'URL Details'!A:B,
            2,
            FALSE
          ),
          """"
        )
      )
    )
  ),
  1,
  1
)
"),"")</f>
        <v/>
      </c>
      <c r="C227" s="105" t="str">
        <f>IFERROR(__xludf.DUMMYFUNCTION("IFERROR(IF('Final Report'!A227="""","""", TEXTJOIN(CHAR(10), TRUE, ARRAYFORMULA( ""• ""&amp; FILTER( TRIM(FLATTEN(SPLIT( REGEXREPLACE( SUBSTITUTE(TEXTJOIN("","", TRUE, IFERROR(ARRAYFORMULA(VLOOKUP(TRIM(SPLIT('Final Report'!A227, "","")), 'URL Details'!A:D, 4,"&amp;" FALSE)),"""") ), CHAR(10), "",""), ""\s*,\s*"", "",""), "",""))), TRIM(FLATTEN(SPLIT( REGEXREPLACE( SUBSTITUTE(TEXTJOIN("","", TRUE, IFERROR(ARRAYFORMULA(VLOOKUP(TRIM(SPLIT('Final Report'!A227, "","")), 'URL Details'!A:D, 4, FALSE)),"""") ), CHAR(10), """&amp;",""), ""\s*,\s*"", "",""), "","")))&lt;&gt;"""" ) ) ) ),"""")
"),"")</f>
        <v/>
      </c>
      <c r="D227" s="105"/>
      <c r="E227" s="105"/>
      <c r="F227" s="110" t="b">
        <v>0</v>
      </c>
      <c r="G227" s="105" t="str">
        <f>IF(F227=True, IFERROR(VLOOKUP(D227, Repository!A:B, 2, 0), ""), "")</f>
        <v/>
      </c>
      <c r="H227" s="105"/>
      <c r="I227" s="105"/>
      <c r="J227" s="105" t="str">
        <f>IF(F227=True, IFERROR(VLOOKUP(D227, Repository!A:C, 3, 0), ""), "")</f>
        <v/>
      </c>
      <c r="K227" s="105"/>
      <c r="L227" s="105" t="str">
        <f>IF(F227=True, IFERROR(VLOOKUP(D227, Repository!A:E, 5, 0), ""), "")</f>
        <v/>
      </c>
      <c r="M227" s="105"/>
      <c r="N227" s="105" t="str">
        <f>IF(F227=True, IFERROR(VLOOKUP(D227, Repository!A:G, 7, 0), ""), "")</f>
        <v/>
      </c>
      <c r="O227" s="105" t="str">
        <f>IFERROR(__xludf.DUMMYFUNCTION("ARRAY_CONSTRAIN(
  ARRAYFORMULA(
    IFERROR(
      LET(
        list, N227,
        arr, TRIM(SPLIT(list, "","")),
        names, XLOOKUP(
          arr,
          'Conformance Score'!A:A,
          'Conformance Score'!B:B,
          ""Not found""
      "&amp;"  ),
        TEXTJOIN("", "", TRUE, names)
      ),
      """"
    )
  ),
  1,
  1
)
"),"")</f>
        <v/>
      </c>
      <c r="P227" s="105" t="str">
        <f>IF(F227="Yes", IFERROR(VLOOKUP(D227, Repository!A:F, 6, 0), ""), "")</f>
        <v/>
      </c>
      <c r="Q227" s="105" t="str">
        <f>IF(F227="Yes", IFERROR(VLOOKUP(D227, Repository!A:I, 8, 0), ""), "")</f>
        <v/>
      </c>
      <c r="R227" s="105" t="str">
        <f>IF(F227="Yes", IFERROR(VLOOKUP(D227, Repository!A:J, 9, 0), ""), "")</f>
        <v/>
      </c>
      <c r="S227" s="105"/>
      <c r="T227" s="105"/>
      <c r="U227" s="105"/>
      <c r="V227" s="105"/>
      <c r="W227" s="105"/>
      <c r="X227" s="105"/>
      <c r="Y227" s="105"/>
      <c r="Z227" s="105"/>
      <c r="AA227" s="105"/>
      <c r="AB227" s="105"/>
      <c r="AC227" s="91"/>
      <c r="AD227" s="105"/>
      <c r="AE227" s="105"/>
      <c r="AF227" s="91"/>
      <c r="AG227" s="105"/>
      <c r="AH227" s="105"/>
      <c r="AI227" s="105" t="str">
        <f t="shared" si="1"/>
        <v/>
      </c>
      <c r="AJ227" s="108" t="str">
        <f t="shared" si="2"/>
        <v/>
      </c>
    </row>
    <row r="228" ht="15.75" customHeight="1">
      <c r="A228" s="104"/>
      <c r="B228" s="105" t="str">
        <f>IFERROR(__xludf.DUMMYFUNCTION("ARRAY_CONSTRAIN(
  ARRAYFORMULA(
    IF(
      'Final Report'!A228="""",
      """",
      TEXTJOIN(
        "", "" &amp; CHAR(10),
        TRUE,
        IFERROR(
          VLOOKUP(
            TRIM(
              SPLIT('Final Report'!A228, "","")
           "&amp;" ),
            'URL Details'!A:B,
            2,
            FALSE
          ),
          """"
        )
      )
    )
  ),
  1,
  1
)
"),"")</f>
        <v/>
      </c>
      <c r="C228" s="105" t="str">
        <f>IFERROR(__xludf.DUMMYFUNCTION("IFERROR(IF('Final Report'!A228="""","""", TEXTJOIN(CHAR(10), TRUE, ARRAYFORMULA( ""• ""&amp; FILTER( TRIM(FLATTEN(SPLIT( REGEXREPLACE( SUBSTITUTE(TEXTJOIN("","", TRUE, IFERROR(ARRAYFORMULA(VLOOKUP(TRIM(SPLIT('Final Report'!A228, "","")), 'URL Details'!A:D, 4,"&amp;" FALSE)),"""") ), CHAR(10), "",""), ""\s*,\s*"", "",""), "",""))), TRIM(FLATTEN(SPLIT( REGEXREPLACE( SUBSTITUTE(TEXTJOIN("","", TRUE, IFERROR(ARRAYFORMULA(VLOOKUP(TRIM(SPLIT('Final Report'!A228, "","")), 'URL Details'!A:D, 4, FALSE)),"""") ), CHAR(10), """&amp;",""), ""\s*,\s*"", "",""), "","")))&lt;&gt;"""" ) ) ) ),"""")
"),"")</f>
        <v/>
      </c>
      <c r="D228" s="105"/>
      <c r="E228" s="105"/>
      <c r="F228" s="110" t="b">
        <v>0</v>
      </c>
      <c r="G228" s="105" t="str">
        <f>IF(F228=True, IFERROR(VLOOKUP(D228, Repository!A:B, 2, 0), ""), "")</f>
        <v/>
      </c>
      <c r="H228" s="105"/>
      <c r="I228" s="105"/>
      <c r="J228" s="105" t="str">
        <f>IF(F228=True, IFERROR(VLOOKUP(D228, Repository!A:C, 3, 0), ""), "")</f>
        <v/>
      </c>
      <c r="K228" s="105"/>
      <c r="L228" s="105" t="str">
        <f>IF(F228=True, IFERROR(VLOOKUP(D228, Repository!A:E, 5, 0), ""), "")</f>
        <v/>
      </c>
      <c r="M228" s="105"/>
      <c r="N228" s="105" t="str">
        <f>IF(F228=True, IFERROR(VLOOKUP(D228, Repository!A:G, 7, 0), ""), "")</f>
        <v/>
      </c>
      <c r="O228" s="105" t="str">
        <f>IFERROR(__xludf.DUMMYFUNCTION("ARRAY_CONSTRAIN(
  ARRAYFORMULA(
    IFERROR(
      LET(
        list, N228,
        arr, TRIM(SPLIT(list, "","")),
        names, XLOOKUP(
          arr,
          'Conformance Score'!A:A,
          'Conformance Score'!B:B,
          ""Not found""
      "&amp;"  ),
        TEXTJOIN("", "", TRUE, names)
      ),
      """"
    )
  ),
  1,
  1
)
"),"")</f>
        <v/>
      </c>
      <c r="P228" s="105" t="str">
        <f>IF(F228="Yes", IFERROR(VLOOKUP(D228, Repository!A:F, 6, 0), ""), "")</f>
        <v/>
      </c>
      <c r="Q228" s="105" t="str">
        <f>IF(F228="Yes", IFERROR(VLOOKUP(D228, Repository!A:I, 8, 0), ""), "")</f>
        <v/>
      </c>
      <c r="R228" s="105" t="str">
        <f>IF(F228="Yes", IFERROR(VLOOKUP(D228, Repository!A:J, 9, 0), ""), "")</f>
        <v/>
      </c>
      <c r="S228" s="105"/>
      <c r="T228" s="105"/>
      <c r="U228" s="105"/>
      <c r="V228" s="105"/>
      <c r="W228" s="105"/>
      <c r="X228" s="105"/>
      <c r="Y228" s="105"/>
      <c r="Z228" s="105"/>
      <c r="AA228" s="105"/>
      <c r="AB228" s="105"/>
      <c r="AC228" s="91"/>
      <c r="AD228" s="105"/>
      <c r="AE228" s="105"/>
      <c r="AF228" s="91"/>
      <c r="AG228" s="105"/>
      <c r="AH228" s="105"/>
      <c r="AI228" s="105" t="str">
        <f t="shared" si="1"/>
        <v/>
      </c>
      <c r="AJ228" s="108" t="str">
        <f t="shared" si="2"/>
        <v/>
      </c>
    </row>
    <row r="229" ht="15.75" customHeight="1">
      <c r="A229" s="104"/>
      <c r="B229" s="105" t="str">
        <f>IFERROR(__xludf.DUMMYFUNCTION("ARRAY_CONSTRAIN(
  ARRAYFORMULA(
    IF(
      'Final Report'!A229="""",
      """",
      TEXTJOIN(
        "", "" &amp; CHAR(10),
        TRUE,
        IFERROR(
          VLOOKUP(
            TRIM(
              SPLIT('Final Report'!A229, "","")
           "&amp;" ),
            'URL Details'!A:B,
            2,
            FALSE
          ),
          """"
        )
      )
    )
  ),
  1,
  1
)
"),"")</f>
        <v/>
      </c>
      <c r="C229" s="105" t="str">
        <f>IFERROR(__xludf.DUMMYFUNCTION("IFERROR(IF('Final Report'!A229="""","""", TEXTJOIN(CHAR(10), TRUE, ARRAYFORMULA( ""• ""&amp; FILTER( TRIM(FLATTEN(SPLIT( REGEXREPLACE( SUBSTITUTE(TEXTJOIN("","", TRUE, IFERROR(ARRAYFORMULA(VLOOKUP(TRIM(SPLIT('Final Report'!A229, "","")), 'URL Details'!A:D, 4,"&amp;" FALSE)),"""") ), CHAR(10), "",""), ""\s*,\s*"", "",""), "",""))), TRIM(FLATTEN(SPLIT( REGEXREPLACE( SUBSTITUTE(TEXTJOIN("","", TRUE, IFERROR(ARRAYFORMULA(VLOOKUP(TRIM(SPLIT('Final Report'!A229, "","")), 'URL Details'!A:D, 4, FALSE)),"""") ), CHAR(10), """&amp;",""), ""\s*,\s*"", "",""), "","")))&lt;&gt;"""" ) ) ) ),"""")
"),"")</f>
        <v/>
      </c>
      <c r="D229" s="105"/>
      <c r="E229" s="105"/>
      <c r="F229" s="110" t="b">
        <v>0</v>
      </c>
      <c r="G229" s="105" t="str">
        <f>IF(F229=True, IFERROR(VLOOKUP(D229, Repository!A:B, 2, 0), ""), "")</f>
        <v/>
      </c>
      <c r="H229" s="105"/>
      <c r="I229" s="105"/>
      <c r="J229" s="105" t="str">
        <f>IF(F229=True, IFERROR(VLOOKUP(D229, Repository!A:C, 3, 0), ""), "")</f>
        <v/>
      </c>
      <c r="K229" s="105"/>
      <c r="L229" s="105" t="str">
        <f>IF(F229=True, IFERROR(VLOOKUP(D229, Repository!A:E, 5, 0), ""), "")</f>
        <v/>
      </c>
      <c r="M229" s="105"/>
      <c r="N229" s="105" t="str">
        <f>IF(F229=True, IFERROR(VLOOKUP(D229, Repository!A:G, 7, 0), ""), "")</f>
        <v/>
      </c>
      <c r="O229" s="105" t="str">
        <f>IFERROR(__xludf.DUMMYFUNCTION("ARRAY_CONSTRAIN(
  ARRAYFORMULA(
    IFERROR(
      LET(
        list, N229,
        arr, TRIM(SPLIT(list, "","")),
        names, XLOOKUP(
          arr,
          'Conformance Score'!A:A,
          'Conformance Score'!B:B,
          ""Not found""
      "&amp;"  ),
        TEXTJOIN("", "", TRUE, names)
      ),
      """"
    )
  ),
  1,
  1
)
"),"")</f>
        <v/>
      </c>
      <c r="P229" s="105" t="str">
        <f>IF(F229="Yes", IFERROR(VLOOKUP(D229, Repository!A:F, 6, 0), ""), "")</f>
        <v/>
      </c>
      <c r="Q229" s="105" t="str">
        <f>IF(F229="Yes", IFERROR(VLOOKUP(D229, Repository!A:I, 8, 0), ""), "")</f>
        <v/>
      </c>
      <c r="R229" s="105" t="str">
        <f>IF(F229="Yes", IFERROR(VLOOKUP(D229, Repository!A:J, 9, 0), ""), "")</f>
        <v/>
      </c>
      <c r="S229" s="105"/>
      <c r="T229" s="105"/>
      <c r="U229" s="105"/>
      <c r="V229" s="105"/>
      <c r="W229" s="105"/>
      <c r="X229" s="105"/>
      <c r="Y229" s="105"/>
      <c r="Z229" s="105"/>
      <c r="AA229" s="105"/>
      <c r="AB229" s="105"/>
      <c r="AC229" s="91"/>
      <c r="AD229" s="105"/>
      <c r="AE229" s="105"/>
      <c r="AF229" s="91"/>
      <c r="AG229" s="105"/>
      <c r="AH229" s="105"/>
      <c r="AI229" s="105" t="str">
        <f t="shared" si="1"/>
        <v/>
      </c>
      <c r="AJ229" s="108" t="str">
        <f t="shared" si="2"/>
        <v/>
      </c>
    </row>
    <row r="230" ht="15.75" customHeight="1">
      <c r="A230" s="104"/>
      <c r="B230" s="105" t="str">
        <f>IFERROR(__xludf.DUMMYFUNCTION("ARRAY_CONSTRAIN(
  ARRAYFORMULA(
    IF(
      'Final Report'!A230="""",
      """",
      TEXTJOIN(
        "", "" &amp; CHAR(10),
        TRUE,
        IFERROR(
          VLOOKUP(
            TRIM(
              SPLIT('Final Report'!A230, "","")
           "&amp;" ),
            'URL Details'!A:B,
            2,
            FALSE
          ),
          """"
        )
      )
    )
  ),
  1,
  1
)
"),"")</f>
        <v/>
      </c>
      <c r="C230" s="105" t="str">
        <f>IFERROR(__xludf.DUMMYFUNCTION("IFERROR(IF('Final Report'!A230="""","""", TEXTJOIN(CHAR(10), TRUE, ARRAYFORMULA( ""• ""&amp; FILTER( TRIM(FLATTEN(SPLIT( REGEXREPLACE( SUBSTITUTE(TEXTJOIN("","", TRUE, IFERROR(ARRAYFORMULA(VLOOKUP(TRIM(SPLIT('Final Report'!A230, "","")), 'URL Details'!A:D, 4,"&amp;" FALSE)),"""") ), CHAR(10), "",""), ""\s*,\s*"", "",""), "",""))), TRIM(FLATTEN(SPLIT( REGEXREPLACE( SUBSTITUTE(TEXTJOIN("","", TRUE, IFERROR(ARRAYFORMULA(VLOOKUP(TRIM(SPLIT('Final Report'!A230, "","")), 'URL Details'!A:D, 4, FALSE)),"""") ), CHAR(10), """&amp;",""), ""\s*,\s*"", "",""), "","")))&lt;&gt;"""" ) ) ) ),"""")
"),"")</f>
        <v/>
      </c>
      <c r="D230" s="105"/>
      <c r="E230" s="105"/>
      <c r="F230" s="110" t="b">
        <v>0</v>
      </c>
      <c r="G230" s="105" t="str">
        <f>IF(F230=True, IFERROR(VLOOKUP(D230, Repository!A:B, 2, 0), ""), "")</f>
        <v/>
      </c>
      <c r="H230" s="105"/>
      <c r="I230" s="105"/>
      <c r="J230" s="105" t="str">
        <f>IF(F230=True, IFERROR(VLOOKUP(D230, Repository!A:C, 3, 0), ""), "")</f>
        <v/>
      </c>
      <c r="K230" s="105"/>
      <c r="L230" s="105" t="str">
        <f>IF(F230=True, IFERROR(VLOOKUP(D230, Repository!A:E, 5, 0), ""), "")</f>
        <v/>
      </c>
      <c r="M230" s="105"/>
      <c r="N230" s="105" t="str">
        <f>IF(F230=True, IFERROR(VLOOKUP(D230, Repository!A:G, 7, 0), ""), "")</f>
        <v/>
      </c>
      <c r="O230" s="105" t="str">
        <f>IFERROR(__xludf.DUMMYFUNCTION("ARRAY_CONSTRAIN(
  ARRAYFORMULA(
    IFERROR(
      LET(
        list, N230,
        arr, TRIM(SPLIT(list, "","")),
        names, XLOOKUP(
          arr,
          'Conformance Score'!A:A,
          'Conformance Score'!B:B,
          ""Not found""
      "&amp;"  ),
        TEXTJOIN("", "", TRUE, names)
      ),
      """"
    )
  ),
  1,
  1
)
"),"")</f>
        <v/>
      </c>
      <c r="P230" s="105" t="str">
        <f>IF(F230="Yes", IFERROR(VLOOKUP(D230, Repository!A:F, 6, 0), ""), "")</f>
        <v/>
      </c>
      <c r="Q230" s="105" t="str">
        <f>IF(F230="Yes", IFERROR(VLOOKUP(D230, Repository!A:I, 8, 0), ""), "")</f>
        <v/>
      </c>
      <c r="R230" s="105" t="str">
        <f>IF(F230="Yes", IFERROR(VLOOKUP(D230, Repository!A:J, 9, 0), ""), "")</f>
        <v/>
      </c>
      <c r="S230" s="105"/>
      <c r="T230" s="105"/>
      <c r="U230" s="105"/>
      <c r="V230" s="105"/>
      <c r="W230" s="105"/>
      <c r="X230" s="105"/>
      <c r="Y230" s="105"/>
      <c r="Z230" s="105"/>
      <c r="AA230" s="105"/>
      <c r="AB230" s="105"/>
      <c r="AC230" s="91"/>
      <c r="AD230" s="105"/>
      <c r="AE230" s="105"/>
      <c r="AF230" s="91"/>
      <c r="AG230" s="105"/>
      <c r="AH230" s="105"/>
      <c r="AI230" s="105" t="str">
        <f t="shared" si="1"/>
        <v/>
      </c>
      <c r="AJ230" s="108" t="str">
        <f t="shared" si="2"/>
        <v/>
      </c>
    </row>
    <row r="231" ht="15.75" customHeight="1">
      <c r="A231" s="104"/>
      <c r="B231" s="105" t="str">
        <f>IFERROR(__xludf.DUMMYFUNCTION("ARRAY_CONSTRAIN(
  ARRAYFORMULA(
    IF(
      'Final Report'!A231="""",
      """",
      TEXTJOIN(
        "", "" &amp; CHAR(10),
        TRUE,
        IFERROR(
          VLOOKUP(
            TRIM(
              SPLIT('Final Report'!A231, "","")
           "&amp;" ),
            'URL Details'!A:B,
            2,
            FALSE
          ),
          """"
        )
      )
    )
  ),
  1,
  1
)
"),"")</f>
        <v/>
      </c>
      <c r="C231" s="105" t="str">
        <f>IFERROR(__xludf.DUMMYFUNCTION("IFERROR(IF('Final Report'!A231="""","""", TEXTJOIN(CHAR(10), TRUE, ARRAYFORMULA( ""• ""&amp; FILTER( TRIM(FLATTEN(SPLIT( REGEXREPLACE( SUBSTITUTE(TEXTJOIN("","", TRUE, IFERROR(ARRAYFORMULA(VLOOKUP(TRIM(SPLIT('Final Report'!A231, "","")), 'URL Details'!A:D, 4,"&amp;" FALSE)),"""") ), CHAR(10), "",""), ""\s*,\s*"", "",""), "",""))), TRIM(FLATTEN(SPLIT( REGEXREPLACE( SUBSTITUTE(TEXTJOIN("","", TRUE, IFERROR(ARRAYFORMULA(VLOOKUP(TRIM(SPLIT('Final Report'!A231, "","")), 'URL Details'!A:D, 4, FALSE)),"""") ), CHAR(10), """&amp;",""), ""\s*,\s*"", "",""), "","")))&lt;&gt;"""" ) ) ) ),"""")
"),"")</f>
        <v/>
      </c>
      <c r="D231" s="105"/>
      <c r="E231" s="105"/>
      <c r="F231" s="110" t="b">
        <v>0</v>
      </c>
      <c r="G231" s="105" t="str">
        <f>IF(F231=True, IFERROR(VLOOKUP(D231, Repository!A:B, 2, 0), ""), "")</f>
        <v/>
      </c>
      <c r="H231" s="105"/>
      <c r="I231" s="105"/>
      <c r="J231" s="105" t="str">
        <f>IF(F231=True, IFERROR(VLOOKUP(D231, Repository!A:C, 3, 0), ""), "")</f>
        <v/>
      </c>
      <c r="K231" s="105"/>
      <c r="L231" s="105" t="str">
        <f>IF(F231=True, IFERROR(VLOOKUP(D231, Repository!A:E, 5, 0), ""), "")</f>
        <v/>
      </c>
      <c r="M231" s="105"/>
      <c r="N231" s="105" t="str">
        <f>IF(F231=True, IFERROR(VLOOKUP(D231, Repository!A:G, 7, 0), ""), "")</f>
        <v/>
      </c>
      <c r="O231" s="105" t="str">
        <f>IFERROR(__xludf.DUMMYFUNCTION("ARRAY_CONSTRAIN(
  ARRAYFORMULA(
    IFERROR(
      LET(
        list, N231,
        arr, TRIM(SPLIT(list, "","")),
        names, XLOOKUP(
          arr,
          'Conformance Score'!A:A,
          'Conformance Score'!B:B,
          ""Not found""
      "&amp;"  ),
        TEXTJOIN("", "", TRUE, names)
      ),
      """"
    )
  ),
  1,
  1
)
"),"")</f>
        <v/>
      </c>
      <c r="P231" s="105" t="str">
        <f>IF(F231="Yes", IFERROR(VLOOKUP(D231, Repository!A:F, 6, 0), ""), "")</f>
        <v/>
      </c>
      <c r="Q231" s="105" t="str">
        <f>IF(F231="Yes", IFERROR(VLOOKUP(D231, Repository!A:I, 8, 0), ""), "")</f>
        <v/>
      </c>
      <c r="R231" s="105" t="str">
        <f>IF(F231="Yes", IFERROR(VLOOKUP(D231, Repository!A:J, 9, 0), ""), "")</f>
        <v/>
      </c>
      <c r="S231" s="105"/>
      <c r="T231" s="105"/>
      <c r="U231" s="105"/>
      <c r="V231" s="105"/>
      <c r="W231" s="105"/>
      <c r="X231" s="105"/>
      <c r="Y231" s="105"/>
      <c r="Z231" s="105"/>
      <c r="AA231" s="105"/>
      <c r="AB231" s="105"/>
      <c r="AC231" s="91"/>
      <c r="AD231" s="105"/>
      <c r="AE231" s="105"/>
      <c r="AF231" s="91"/>
      <c r="AG231" s="105"/>
      <c r="AH231" s="105"/>
      <c r="AI231" s="105" t="str">
        <f t="shared" si="1"/>
        <v/>
      </c>
      <c r="AJ231" s="108" t="str">
        <f t="shared" si="2"/>
        <v/>
      </c>
    </row>
    <row r="232" ht="15.75" customHeight="1">
      <c r="A232" s="104"/>
      <c r="B232" s="105" t="str">
        <f>IFERROR(__xludf.DUMMYFUNCTION("ARRAY_CONSTRAIN(
  ARRAYFORMULA(
    IF(
      'Final Report'!A232="""",
      """",
      TEXTJOIN(
        "", "" &amp; CHAR(10),
        TRUE,
        IFERROR(
          VLOOKUP(
            TRIM(
              SPLIT('Final Report'!A232, "","")
           "&amp;" ),
            'URL Details'!A:B,
            2,
            FALSE
          ),
          """"
        )
      )
    )
  ),
  1,
  1
)
"),"")</f>
        <v/>
      </c>
      <c r="C232" s="105" t="str">
        <f>IFERROR(__xludf.DUMMYFUNCTION("IFERROR(IF('Final Report'!A232="""","""", TEXTJOIN(CHAR(10), TRUE, ARRAYFORMULA( ""• ""&amp; FILTER( TRIM(FLATTEN(SPLIT( REGEXREPLACE( SUBSTITUTE(TEXTJOIN("","", TRUE, IFERROR(ARRAYFORMULA(VLOOKUP(TRIM(SPLIT('Final Report'!A232, "","")), 'URL Details'!A:D, 4,"&amp;" FALSE)),"""") ), CHAR(10), "",""), ""\s*,\s*"", "",""), "",""))), TRIM(FLATTEN(SPLIT( REGEXREPLACE( SUBSTITUTE(TEXTJOIN("","", TRUE, IFERROR(ARRAYFORMULA(VLOOKUP(TRIM(SPLIT('Final Report'!A232, "","")), 'URL Details'!A:D, 4, FALSE)),"""") ), CHAR(10), """&amp;",""), ""\s*,\s*"", "",""), "","")))&lt;&gt;"""" ) ) ) ),"""")
"),"")</f>
        <v/>
      </c>
      <c r="D232" s="105"/>
      <c r="E232" s="105"/>
      <c r="F232" s="110" t="b">
        <v>0</v>
      </c>
      <c r="G232" s="105" t="str">
        <f>IF(F232=True, IFERROR(VLOOKUP(D232, Repository!A:B, 2, 0), ""), "")</f>
        <v/>
      </c>
      <c r="H232" s="105"/>
      <c r="I232" s="105"/>
      <c r="J232" s="105" t="str">
        <f>IF(F232=True, IFERROR(VLOOKUP(D232, Repository!A:C, 3, 0), ""), "")</f>
        <v/>
      </c>
      <c r="K232" s="105"/>
      <c r="L232" s="105" t="str">
        <f>IF(F232=True, IFERROR(VLOOKUP(D232, Repository!A:E, 5, 0), ""), "")</f>
        <v/>
      </c>
      <c r="M232" s="105"/>
      <c r="N232" s="105" t="str">
        <f>IF(F232=True, IFERROR(VLOOKUP(D232, Repository!A:G, 7, 0), ""), "")</f>
        <v/>
      </c>
      <c r="O232" s="105" t="str">
        <f>IFERROR(__xludf.DUMMYFUNCTION("ARRAY_CONSTRAIN(
  ARRAYFORMULA(
    IFERROR(
      LET(
        list, N232,
        arr, TRIM(SPLIT(list, "","")),
        names, XLOOKUP(
          arr,
          'Conformance Score'!A:A,
          'Conformance Score'!B:B,
          ""Not found""
      "&amp;"  ),
        TEXTJOIN("", "", TRUE, names)
      ),
      """"
    )
  ),
  1,
  1
)
"),"")</f>
        <v/>
      </c>
      <c r="P232" s="105" t="str">
        <f>IF(F232="Yes", IFERROR(VLOOKUP(D232, Repository!A:F, 6, 0), ""), "")</f>
        <v/>
      </c>
      <c r="Q232" s="105" t="str">
        <f>IF(F232="Yes", IFERROR(VLOOKUP(D232, Repository!A:I, 8, 0), ""), "")</f>
        <v/>
      </c>
      <c r="R232" s="105" t="str">
        <f>IF(F232="Yes", IFERROR(VLOOKUP(D232, Repository!A:J, 9, 0), ""), "")</f>
        <v/>
      </c>
      <c r="S232" s="105"/>
      <c r="T232" s="105"/>
      <c r="U232" s="105"/>
      <c r="V232" s="105"/>
      <c r="W232" s="105"/>
      <c r="X232" s="105"/>
      <c r="Y232" s="105"/>
      <c r="Z232" s="105"/>
      <c r="AA232" s="105"/>
      <c r="AB232" s="105"/>
      <c r="AC232" s="91"/>
      <c r="AD232" s="105"/>
      <c r="AE232" s="105"/>
      <c r="AF232" s="91"/>
      <c r="AG232" s="105"/>
      <c r="AH232" s="105"/>
      <c r="AI232" s="105" t="str">
        <f t="shared" si="1"/>
        <v/>
      </c>
      <c r="AJ232" s="108" t="str">
        <f t="shared" si="2"/>
        <v/>
      </c>
    </row>
    <row r="233" ht="15.75" customHeight="1">
      <c r="A233" s="104"/>
      <c r="B233" s="105" t="str">
        <f>IFERROR(__xludf.DUMMYFUNCTION("ARRAY_CONSTRAIN(
  ARRAYFORMULA(
    IF(
      'Final Report'!A233="""",
      """",
      TEXTJOIN(
        "", "" &amp; CHAR(10),
        TRUE,
        IFERROR(
          VLOOKUP(
            TRIM(
              SPLIT('Final Report'!A233, "","")
           "&amp;" ),
            'URL Details'!A:B,
            2,
            FALSE
          ),
          """"
        )
      )
    )
  ),
  1,
  1
)
"),"")</f>
        <v/>
      </c>
      <c r="C233" s="105" t="str">
        <f>IFERROR(__xludf.DUMMYFUNCTION("IFERROR(IF('Final Report'!A233="""","""", TEXTJOIN(CHAR(10), TRUE, ARRAYFORMULA( ""• ""&amp; FILTER( TRIM(FLATTEN(SPLIT( REGEXREPLACE( SUBSTITUTE(TEXTJOIN("","", TRUE, IFERROR(ARRAYFORMULA(VLOOKUP(TRIM(SPLIT('Final Report'!A233, "","")), 'URL Details'!A:D, 4,"&amp;" FALSE)),"""") ), CHAR(10), "",""), ""\s*,\s*"", "",""), "",""))), TRIM(FLATTEN(SPLIT( REGEXREPLACE( SUBSTITUTE(TEXTJOIN("","", TRUE, IFERROR(ARRAYFORMULA(VLOOKUP(TRIM(SPLIT('Final Report'!A233, "","")), 'URL Details'!A:D, 4, FALSE)),"""") ), CHAR(10), """&amp;",""), ""\s*,\s*"", "",""), "","")))&lt;&gt;"""" ) ) ) ),"""")
"),"")</f>
        <v/>
      </c>
      <c r="D233" s="105"/>
      <c r="E233" s="105"/>
      <c r="F233" s="110" t="b">
        <v>0</v>
      </c>
      <c r="G233" s="105" t="str">
        <f>IF(F233=True, IFERROR(VLOOKUP(D233, Repository!A:B, 2, 0), ""), "")</f>
        <v/>
      </c>
      <c r="H233" s="105"/>
      <c r="I233" s="105"/>
      <c r="J233" s="105" t="str">
        <f>IF(F233=True, IFERROR(VLOOKUP(D233, Repository!A:C, 3, 0), ""), "")</f>
        <v/>
      </c>
      <c r="K233" s="105"/>
      <c r="L233" s="105" t="str">
        <f>IF(F233=True, IFERROR(VLOOKUP(D233, Repository!A:E, 5, 0), ""), "")</f>
        <v/>
      </c>
      <c r="M233" s="105"/>
      <c r="N233" s="105" t="str">
        <f>IF(F233=True, IFERROR(VLOOKUP(D233, Repository!A:G, 7, 0), ""), "")</f>
        <v/>
      </c>
      <c r="O233" s="105" t="str">
        <f>IFERROR(__xludf.DUMMYFUNCTION("ARRAY_CONSTRAIN(
  ARRAYFORMULA(
    IFERROR(
      LET(
        list, N233,
        arr, TRIM(SPLIT(list, "","")),
        names, XLOOKUP(
          arr,
          'Conformance Score'!A:A,
          'Conformance Score'!B:B,
          ""Not found""
      "&amp;"  ),
        TEXTJOIN("", "", TRUE, names)
      ),
      """"
    )
  ),
  1,
  1
)
"),"")</f>
        <v/>
      </c>
      <c r="P233" s="105" t="str">
        <f>IF(F233="Yes", IFERROR(VLOOKUP(D233, Repository!A:F, 6, 0), ""), "")</f>
        <v/>
      </c>
      <c r="Q233" s="105" t="str">
        <f>IF(F233="Yes", IFERROR(VLOOKUP(D233, Repository!A:I, 8, 0), ""), "")</f>
        <v/>
      </c>
      <c r="R233" s="105" t="str">
        <f>IF(F233="Yes", IFERROR(VLOOKUP(D233, Repository!A:J, 9, 0), ""), "")</f>
        <v/>
      </c>
      <c r="S233" s="105"/>
      <c r="T233" s="105"/>
      <c r="U233" s="105"/>
      <c r="V233" s="105"/>
      <c r="W233" s="105"/>
      <c r="X233" s="105"/>
      <c r="Y233" s="105"/>
      <c r="Z233" s="105"/>
      <c r="AA233" s="105"/>
      <c r="AB233" s="105"/>
      <c r="AC233" s="91"/>
      <c r="AD233" s="105"/>
      <c r="AE233" s="105"/>
      <c r="AF233" s="91"/>
      <c r="AG233" s="105"/>
      <c r="AH233" s="105"/>
      <c r="AI233" s="105" t="str">
        <f t="shared" si="1"/>
        <v/>
      </c>
      <c r="AJ233" s="108" t="str">
        <f t="shared" si="2"/>
        <v/>
      </c>
    </row>
    <row r="234" ht="15.75" customHeight="1">
      <c r="A234" s="104"/>
      <c r="B234" s="105" t="str">
        <f>IFERROR(__xludf.DUMMYFUNCTION("ARRAY_CONSTRAIN(
  ARRAYFORMULA(
    IF(
      'Final Report'!A234="""",
      """",
      TEXTJOIN(
        "", "" &amp; CHAR(10),
        TRUE,
        IFERROR(
          VLOOKUP(
            TRIM(
              SPLIT('Final Report'!A234, "","")
           "&amp;" ),
            'URL Details'!A:B,
            2,
            FALSE
          ),
          """"
        )
      )
    )
  ),
  1,
  1
)
"),"")</f>
        <v/>
      </c>
      <c r="C234" s="105" t="str">
        <f>IFERROR(__xludf.DUMMYFUNCTION("IFERROR(IF('Final Report'!A234="""","""", TEXTJOIN(CHAR(10), TRUE, ARRAYFORMULA( ""• ""&amp; FILTER( TRIM(FLATTEN(SPLIT( REGEXREPLACE( SUBSTITUTE(TEXTJOIN("","", TRUE, IFERROR(ARRAYFORMULA(VLOOKUP(TRIM(SPLIT('Final Report'!A234, "","")), 'URL Details'!A:D, 4,"&amp;" FALSE)),"""") ), CHAR(10), "",""), ""\s*,\s*"", "",""), "",""))), TRIM(FLATTEN(SPLIT( REGEXREPLACE( SUBSTITUTE(TEXTJOIN("","", TRUE, IFERROR(ARRAYFORMULA(VLOOKUP(TRIM(SPLIT('Final Report'!A234, "","")), 'URL Details'!A:D, 4, FALSE)),"""") ), CHAR(10), """&amp;",""), ""\s*,\s*"", "",""), "","")))&lt;&gt;"""" ) ) ) ),"""")
"),"")</f>
        <v/>
      </c>
      <c r="D234" s="105"/>
      <c r="E234" s="105"/>
      <c r="F234" s="110" t="b">
        <v>0</v>
      </c>
      <c r="G234" s="105" t="str">
        <f>IF(F234=True, IFERROR(VLOOKUP(D234, Repository!A:B, 2, 0), ""), "")</f>
        <v/>
      </c>
      <c r="H234" s="105"/>
      <c r="I234" s="105"/>
      <c r="J234" s="105" t="str">
        <f>IF(F234=True, IFERROR(VLOOKUP(D234, Repository!A:C, 3, 0), ""), "")</f>
        <v/>
      </c>
      <c r="K234" s="105"/>
      <c r="L234" s="105" t="str">
        <f>IF(F234=True, IFERROR(VLOOKUP(D234, Repository!A:E, 5, 0), ""), "")</f>
        <v/>
      </c>
      <c r="M234" s="105"/>
      <c r="N234" s="105" t="str">
        <f>IF(F234=True, IFERROR(VLOOKUP(D234, Repository!A:G, 7, 0), ""), "")</f>
        <v/>
      </c>
      <c r="O234" s="105" t="str">
        <f>IFERROR(__xludf.DUMMYFUNCTION("ARRAY_CONSTRAIN(
  ARRAYFORMULA(
    IFERROR(
      LET(
        list, N234,
        arr, TRIM(SPLIT(list, "","")),
        names, XLOOKUP(
          arr,
          'Conformance Score'!A:A,
          'Conformance Score'!B:B,
          ""Not found""
      "&amp;"  ),
        TEXTJOIN("", "", TRUE, names)
      ),
      """"
    )
  ),
  1,
  1
)
"),"")</f>
        <v/>
      </c>
      <c r="P234" s="105" t="str">
        <f>IF(F234="Yes", IFERROR(VLOOKUP(D234, Repository!A:F, 6, 0), ""), "")</f>
        <v/>
      </c>
      <c r="Q234" s="105" t="str">
        <f>IF(F234="Yes", IFERROR(VLOOKUP(D234, Repository!A:I, 8, 0), ""), "")</f>
        <v/>
      </c>
      <c r="R234" s="105" t="str">
        <f>IF(F234="Yes", IFERROR(VLOOKUP(D234, Repository!A:J, 9, 0), ""), "")</f>
        <v/>
      </c>
      <c r="S234" s="105"/>
      <c r="T234" s="105"/>
      <c r="U234" s="105"/>
      <c r="V234" s="105"/>
      <c r="W234" s="105"/>
      <c r="X234" s="105"/>
      <c r="Y234" s="105"/>
      <c r="Z234" s="105"/>
      <c r="AA234" s="105"/>
      <c r="AB234" s="105"/>
      <c r="AC234" s="91"/>
      <c r="AD234" s="105"/>
      <c r="AE234" s="105"/>
      <c r="AF234" s="91"/>
      <c r="AG234" s="105"/>
      <c r="AH234" s="105"/>
      <c r="AI234" s="105" t="str">
        <f t="shared" si="1"/>
        <v/>
      </c>
      <c r="AJ234" s="108" t="str">
        <f t="shared" si="2"/>
        <v/>
      </c>
    </row>
    <row r="235" ht="15.75" customHeight="1">
      <c r="A235" s="104"/>
      <c r="B235" s="105" t="str">
        <f>IFERROR(__xludf.DUMMYFUNCTION("ARRAY_CONSTRAIN(
  ARRAYFORMULA(
    IF(
      'Final Report'!A235="""",
      """",
      TEXTJOIN(
        "", "" &amp; CHAR(10),
        TRUE,
        IFERROR(
          VLOOKUP(
            TRIM(
              SPLIT('Final Report'!A235, "","")
           "&amp;" ),
            'URL Details'!A:B,
            2,
            FALSE
          ),
          """"
        )
      )
    )
  ),
  1,
  1
)
"),"")</f>
        <v/>
      </c>
      <c r="C235" s="105" t="str">
        <f>IFERROR(__xludf.DUMMYFUNCTION("IFERROR(IF('Final Report'!A235="""","""", TEXTJOIN(CHAR(10), TRUE, ARRAYFORMULA( ""• ""&amp; FILTER( TRIM(FLATTEN(SPLIT( REGEXREPLACE( SUBSTITUTE(TEXTJOIN("","", TRUE, IFERROR(ARRAYFORMULA(VLOOKUP(TRIM(SPLIT('Final Report'!A235, "","")), 'URL Details'!A:D, 4,"&amp;" FALSE)),"""") ), CHAR(10), "",""), ""\s*,\s*"", "",""), "",""))), TRIM(FLATTEN(SPLIT( REGEXREPLACE( SUBSTITUTE(TEXTJOIN("","", TRUE, IFERROR(ARRAYFORMULA(VLOOKUP(TRIM(SPLIT('Final Report'!A235, "","")), 'URL Details'!A:D, 4, FALSE)),"""") ), CHAR(10), """&amp;",""), ""\s*,\s*"", "",""), "","")))&lt;&gt;"""" ) ) ) ),"""")
"),"")</f>
        <v/>
      </c>
      <c r="D235" s="105"/>
      <c r="E235" s="105"/>
      <c r="F235" s="110" t="b">
        <v>0</v>
      </c>
      <c r="G235" s="105" t="str">
        <f>IF(F235=True, IFERROR(VLOOKUP(D235, Repository!A:B, 2, 0), ""), "")</f>
        <v/>
      </c>
      <c r="H235" s="105"/>
      <c r="I235" s="105"/>
      <c r="J235" s="105" t="str">
        <f>IF(F235=True, IFERROR(VLOOKUP(D235, Repository!A:C, 3, 0), ""), "")</f>
        <v/>
      </c>
      <c r="K235" s="105"/>
      <c r="L235" s="105" t="str">
        <f>IF(F235=True, IFERROR(VLOOKUP(D235, Repository!A:E, 5, 0), ""), "")</f>
        <v/>
      </c>
      <c r="M235" s="105"/>
      <c r="N235" s="105" t="str">
        <f>IF(F235=True, IFERROR(VLOOKUP(D235, Repository!A:G, 7, 0), ""), "")</f>
        <v/>
      </c>
      <c r="O235" s="105" t="str">
        <f>IFERROR(__xludf.DUMMYFUNCTION("ARRAY_CONSTRAIN(
  ARRAYFORMULA(
    IFERROR(
      LET(
        list, N235,
        arr, TRIM(SPLIT(list, "","")),
        names, XLOOKUP(
          arr,
          'Conformance Score'!A:A,
          'Conformance Score'!B:B,
          ""Not found""
      "&amp;"  ),
        TEXTJOIN("", "", TRUE, names)
      ),
      """"
    )
  ),
  1,
  1
)
"),"")</f>
        <v/>
      </c>
      <c r="P235" s="105" t="str">
        <f>IF(F235="Yes", IFERROR(VLOOKUP(D235, Repository!A:F, 6, 0), ""), "")</f>
        <v/>
      </c>
      <c r="Q235" s="105" t="str">
        <f>IF(F235="Yes", IFERROR(VLOOKUP(D235, Repository!A:I, 8, 0), ""), "")</f>
        <v/>
      </c>
      <c r="R235" s="105" t="str">
        <f>IF(F235="Yes", IFERROR(VLOOKUP(D235, Repository!A:J, 9, 0), ""), "")</f>
        <v/>
      </c>
      <c r="S235" s="105"/>
      <c r="T235" s="105"/>
      <c r="U235" s="105"/>
      <c r="V235" s="105"/>
      <c r="W235" s="105"/>
      <c r="X235" s="105"/>
      <c r="Y235" s="105"/>
      <c r="Z235" s="105"/>
      <c r="AA235" s="105"/>
      <c r="AB235" s="105"/>
      <c r="AC235" s="91"/>
      <c r="AD235" s="105"/>
      <c r="AE235" s="105"/>
      <c r="AF235" s="91"/>
      <c r="AG235" s="105"/>
      <c r="AH235" s="105"/>
      <c r="AI235" s="105" t="str">
        <f t="shared" si="1"/>
        <v/>
      </c>
      <c r="AJ235" s="108" t="str">
        <f t="shared" si="2"/>
        <v/>
      </c>
    </row>
    <row r="236" ht="15.75" customHeight="1">
      <c r="A236" s="104"/>
      <c r="B236" s="105" t="str">
        <f>IFERROR(__xludf.DUMMYFUNCTION("ARRAY_CONSTRAIN(
  ARRAYFORMULA(
    IF(
      'Final Report'!A236="""",
      """",
      TEXTJOIN(
        "", "" &amp; CHAR(10),
        TRUE,
        IFERROR(
          VLOOKUP(
            TRIM(
              SPLIT('Final Report'!A236, "","")
           "&amp;" ),
            'URL Details'!A:B,
            2,
            FALSE
          ),
          """"
        )
      )
    )
  ),
  1,
  1
)
"),"")</f>
        <v/>
      </c>
      <c r="C236" s="105" t="str">
        <f>IFERROR(__xludf.DUMMYFUNCTION("IFERROR(IF('Final Report'!A236="""","""", TEXTJOIN(CHAR(10), TRUE, ARRAYFORMULA( ""• ""&amp; FILTER( TRIM(FLATTEN(SPLIT( REGEXREPLACE( SUBSTITUTE(TEXTJOIN("","", TRUE, IFERROR(ARRAYFORMULA(VLOOKUP(TRIM(SPLIT('Final Report'!A236, "","")), 'URL Details'!A:D, 4,"&amp;" FALSE)),"""") ), CHAR(10), "",""), ""\s*,\s*"", "",""), "",""))), TRIM(FLATTEN(SPLIT( REGEXREPLACE( SUBSTITUTE(TEXTJOIN("","", TRUE, IFERROR(ARRAYFORMULA(VLOOKUP(TRIM(SPLIT('Final Report'!A236, "","")), 'URL Details'!A:D, 4, FALSE)),"""") ), CHAR(10), """&amp;",""), ""\s*,\s*"", "",""), "","")))&lt;&gt;"""" ) ) ) ),"""")
"),"")</f>
        <v/>
      </c>
      <c r="D236" s="105"/>
      <c r="E236" s="105"/>
      <c r="F236" s="110" t="b">
        <v>0</v>
      </c>
      <c r="G236" s="105" t="str">
        <f>IF(F236=True, IFERROR(VLOOKUP(D236, Repository!A:B, 2, 0), ""), "")</f>
        <v/>
      </c>
      <c r="H236" s="105"/>
      <c r="I236" s="105"/>
      <c r="J236" s="105" t="str">
        <f>IF(F236=True, IFERROR(VLOOKUP(D236, Repository!A:C, 3, 0), ""), "")</f>
        <v/>
      </c>
      <c r="K236" s="105"/>
      <c r="L236" s="105" t="str">
        <f>IF(F236=True, IFERROR(VLOOKUP(D236, Repository!A:E, 5, 0), ""), "")</f>
        <v/>
      </c>
      <c r="M236" s="105"/>
      <c r="N236" s="105" t="str">
        <f>IF(F236=True, IFERROR(VLOOKUP(D236, Repository!A:G, 7, 0), ""), "")</f>
        <v/>
      </c>
      <c r="O236" s="105" t="str">
        <f>IFERROR(__xludf.DUMMYFUNCTION("ARRAY_CONSTRAIN(
  ARRAYFORMULA(
    IFERROR(
      LET(
        list, N236,
        arr, TRIM(SPLIT(list, "","")),
        names, XLOOKUP(
          arr,
          'Conformance Score'!A:A,
          'Conformance Score'!B:B,
          ""Not found""
      "&amp;"  ),
        TEXTJOIN("", "", TRUE, names)
      ),
      """"
    )
  ),
  1,
  1
)
"),"")</f>
        <v/>
      </c>
      <c r="P236" s="105" t="str">
        <f>IF(F236="Yes", IFERROR(VLOOKUP(D236, Repository!A:F, 6, 0), ""), "")</f>
        <v/>
      </c>
      <c r="Q236" s="105" t="str">
        <f>IF(F236="Yes", IFERROR(VLOOKUP(D236, Repository!A:I, 8, 0), ""), "")</f>
        <v/>
      </c>
      <c r="R236" s="105" t="str">
        <f>IF(F236="Yes", IFERROR(VLOOKUP(D236, Repository!A:J, 9, 0), ""), "")</f>
        <v/>
      </c>
      <c r="S236" s="105"/>
      <c r="T236" s="105"/>
      <c r="U236" s="105"/>
      <c r="V236" s="105"/>
      <c r="W236" s="105"/>
      <c r="X236" s="105"/>
      <c r="Y236" s="105"/>
      <c r="Z236" s="105"/>
      <c r="AA236" s="105"/>
      <c r="AB236" s="105"/>
      <c r="AC236" s="91"/>
      <c r="AD236" s="105"/>
      <c r="AE236" s="105"/>
      <c r="AF236" s="91"/>
      <c r="AG236" s="105"/>
      <c r="AH236" s="105"/>
      <c r="AI236" s="105" t="str">
        <f t="shared" si="1"/>
        <v/>
      </c>
      <c r="AJ236" s="108" t="str">
        <f t="shared" si="2"/>
        <v/>
      </c>
    </row>
    <row r="237" ht="15.75" customHeight="1">
      <c r="A237" s="104"/>
      <c r="B237" s="105" t="str">
        <f>IFERROR(__xludf.DUMMYFUNCTION("ARRAY_CONSTRAIN(
  ARRAYFORMULA(
    IF(
      'Final Report'!A237="""",
      """",
      TEXTJOIN(
        "", "" &amp; CHAR(10),
        TRUE,
        IFERROR(
          VLOOKUP(
            TRIM(
              SPLIT('Final Report'!A237, "","")
           "&amp;" ),
            'URL Details'!A:B,
            2,
            FALSE
          ),
          """"
        )
      )
    )
  ),
  1,
  1
)
"),"")</f>
        <v/>
      </c>
      <c r="C237" s="105" t="str">
        <f>IFERROR(__xludf.DUMMYFUNCTION("IFERROR(IF('Final Report'!A237="""","""", TEXTJOIN(CHAR(10), TRUE, ARRAYFORMULA( ""• ""&amp; FILTER( TRIM(FLATTEN(SPLIT( REGEXREPLACE( SUBSTITUTE(TEXTJOIN("","", TRUE, IFERROR(ARRAYFORMULA(VLOOKUP(TRIM(SPLIT('Final Report'!A237, "","")), 'URL Details'!A:D, 4,"&amp;" FALSE)),"""") ), CHAR(10), "",""), ""\s*,\s*"", "",""), "",""))), TRIM(FLATTEN(SPLIT( REGEXREPLACE( SUBSTITUTE(TEXTJOIN("","", TRUE, IFERROR(ARRAYFORMULA(VLOOKUP(TRIM(SPLIT('Final Report'!A237, "","")), 'URL Details'!A:D, 4, FALSE)),"""") ), CHAR(10), """&amp;",""), ""\s*,\s*"", "",""), "","")))&lt;&gt;"""" ) ) ) ),"""")
"),"")</f>
        <v/>
      </c>
      <c r="D237" s="105"/>
      <c r="E237" s="105"/>
      <c r="F237" s="110" t="b">
        <v>0</v>
      </c>
      <c r="G237" s="105" t="str">
        <f>IF(F237=True, IFERROR(VLOOKUP(D237, Repository!A:B, 2, 0), ""), "")</f>
        <v/>
      </c>
      <c r="H237" s="105"/>
      <c r="I237" s="105"/>
      <c r="J237" s="105" t="str">
        <f>IF(F237=True, IFERROR(VLOOKUP(D237, Repository!A:C, 3, 0), ""), "")</f>
        <v/>
      </c>
      <c r="K237" s="105"/>
      <c r="L237" s="105" t="str">
        <f>IF(F237=True, IFERROR(VLOOKUP(D237, Repository!A:E, 5, 0), ""), "")</f>
        <v/>
      </c>
      <c r="M237" s="105"/>
      <c r="N237" s="105" t="str">
        <f>IF(F237=True, IFERROR(VLOOKUP(D237, Repository!A:G, 7, 0), ""), "")</f>
        <v/>
      </c>
      <c r="O237" s="105" t="str">
        <f>IFERROR(__xludf.DUMMYFUNCTION("ARRAY_CONSTRAIN(
  ARRAYFORMULA(
    IFERROR(
      LET(
        list, N237,
        arr, TRIM(SPLIT(list, "","")),
        names, XLOOKUP(
          arr,
          'Conformance Score'!A:A,
          'Conformance Score'!B:B,
          ""Not found""
      "&amp;"  ),
        TEXTJOIN("", "", TRUE, names)
      ),
      """"
    )
  ),
  1,
  1
)
"),"")</f>
        <v/>
      </c>
      <c r="P237" s="105" t="str">
        <f>IF(F237="Yes", IFERROR(VLOOKUP(D237, Repository!A:F, 6, 0), ""), "")</f>
        <v/>
      </c>
      <c r="Q237" s="105" t="str">
        <f>IF(F237="Yes", IFERROR(VLOOKUP(D237, Repository!A:I, 8, 0), ""), "")</f>
        <v/>
      </c>
      <c r="R237" s="105" t="str">
        <f>IF(F237="Yes", IFERROR(VLOOKUP(D237, Repository!A:J, 9, 0), ""), "")</f>
        <v/>
      </c>
      <c r="S237" s="105"/>
      <c r="T237" s="105"/>
      <c r="U237" s="105"/>
      <c r="V237" s="105"/>
      <c r="W237" s="105"/>
      <c r="X237" s="105"/>
      <c r="Y237" s="105"/>
      <c r="Z237" s="105"/>
      <c r="AA237" s="105"/>
      <c r="AB237" s="105"/>
      <c r="AC237" s="91"/>
      <c r="AD237" s="105"/>
      <c r="AE237" s="105"/>
      <c r="AF237" s="91"/>
      <c r="AG237" s="105"/>
      <c r="AH237" s="105"/>
      <c r="AI237" s="105" t="str">
        <f t="shared" si="1"/>
        <v/>
      </c>
      <c r="AJ237" s="108" t="str">
        <f t="shared" si="2"/>
        <v/>
      </c>
    </row>
    <row r="238" ht="15.75" customHeight="1">
      <c r="A238" s="104"/>
      <c r="B238" s="105" t="str">
        <f>IFERROR(__xludf.DUMMYFUNCTION("ARRAY_CONSTRAIN(
  ARRAYFORMULA(
    IF(
      'Final Report'!A238="""",
      """",
      TEXTJOIN(
        "", "" &amp; CHAR(10),
        TRUE,
        IFERROR(
          VLOOKUP(
            TRIM(
              SPLIT('Final Report'!A238, "","")
           "&amp;" ),
            'URL Details'!A:B,
            2,
            FALSE
          ),
          """"
        )
      )
    )
  ),
  1,
  1
)
"),"")</f>
        <v/>
      </c>
      <c r="C238" s="105" t="str">
        <f>IFERROR(__xludf.DUMMYFUNCTION("IFERROR(IF('Final Report'!A238="""","""", TEXTJOIN(CHAR(10), TRUE, ARRAYFORMULA( ""• ""&amp; FILTER( TRIM(FLATTEN(SPLIT( REGEXREPLACE( SUBSTITUTE(TEXTJOIN("","", TRUE, IFERROR(ARRAYFORMULA(VLOOKUP(TRIM(SPLIT('Final Report'!A238, "","")), 'URL Details'!A:D, 4,"&amp;" FALSE)),"""") ), CHAR(10), "",""), ""\s*,\s*"", "",""), "",""))), TRIM(FLATTEN(SPLIT( REGEXREPLACE( SUBSTITUTE(TEXTJOIN("","", TRUE, IFERROR(ARRAYFORMULA(VLOOKUP(TRIM(SPLIT('Final Report'!A238, "","")), 'URL Details'!A:D, 4, FALSE)),"""") ), CHAR(10), """&amp;",""), ""\s*,\s*"", "",""), "","")))&lt;&gt;"""" ) ) ) ),"""")
"),"")</f>
        <v/>
      </c>
      <c r="D238" s="105"/>
      <c r="E238" s="105"/>
      <c r="F238" s="110" t="b">
        <v>0</v>
      </c>
      <c r="G238" s="105" t="str">
        <f>IF(F238=True, IFERROR(VLOOKUP(D238, Repository!A:B, 2, 0), ""), "")</f>
        <v/>
      </c>
      <c r="H238" s="105"/>
      <c r="I238" s="105"/>
      <c r="J238" s="105" t="str">
        <f>IF(F238=True, IFERROR(VLOOKUP(D238, Repository!A:C, 3, 0), ""), "")</f>
        <v/>
      </c>
      <c r="K238" s="105"/>
      <c r="L238" s="105" t="str">
        <f>IF(F238=True, IFERROR(VLOOKUP(D238, Repository!A:E, 5, 0), ""), "")</f>
        <v/>
      </c>
      <c r="M238" s="105"/>
      <c r="N238" s="105" t="str">
        <f>IF(F238=True, IFERROR(VLOOKUP(D238, Repository!A:G, 7, 0), ""), "")</f>
        <v/>
      </c>
      <c r="O238" s="105" t="str">
        <f>IFERROR(__xludf.DUMMYFUNCTION("ARRAY_CONSTRAIN(
  ARRAYFORMULA(
    IFERROR(
      LET(
        list, N238,
        arr, TRIM(SPLIT(list, "","")),
        names, XLOOKUP(
          arr,
          'Conformance Score'!A:A,
          'Conformance Score'!B:B,
          ""Not found""
      "&amp;"  ),
        TEXTJOIN("", "", TRUE, names)
      ),
      """"
    )
  ),
  1,
  1
)
"),"")</f>
        <v/>
      </c>
      <c r="P238" s="105" t="str">
        <f>IF(F238="Yes", IFERROR(VLOOKUP(D238, Repository!A:F, 6, 0), ""), "")</f>
        <v/>
      </c>
      <c r="Q238" s="105" t="str">
        <f>IF(F238="Yes", IFERROR(VLOOKUP(D238, Repository!A:I, 8, 0), ""), "")</f>
        <v/>
      </c>
      <c r="R238" s="105" t="str">
        <f>IF(F238="Yes", IFERROR(VLOOKUP(D238, Repository!A:J, 9, 0), ""), "")</f>
        <v/>
      </c>
      <c r="S238" s="105"/>
      <c r="T238" s="105"/>
      <c r="U238" s="105"/>
      <c r="V238" s="105"/>
      <c r="W238" s="105"/>
      <c r="X238" s="105"/>
      <c r="Y238" s="105"/>
      <c r="Z238" s="105"/>
      <c r="AA238" s="105"/>
      <c r="AB238" s="105"/>
      <c r="AC238" s="91"/>
      <c r="AD238" s="105"/>
      <c r="AE238" s="105"/>
      <c r="AF238" s="91"/>
      <c r="AG238" s="105"/>
      <c r="AH238" s="105"/>
      <c r="AI238" s="105" t="str">
        <f t="shared" si="1"/>
        <v/>
      </c>
      <c r="AJ238" s="108" t="str">
        <f t="shared" si="2"/>
        <v/>
      </c>
    </row>
    <row r="239" ht="15.75" customHeight="1">
      <c r="A239" s="104"/>
      <c r="B239" s="105" t="str">
        <f>IFERROR(__xludf.DUMMYFUNCTION("ARRAY_CONSTRAIN(
  ARRAYFORMULA(
    IF(
      'Final Report'!A239="""",
      """",
      TEXTJOIN(
        "", "" &amp; CHAR(10),
        TRUE,
        IFERROR(
          VLOOKUP(
            TRIM(
              SPLIT('Final Report'!A239, "","")
           "&amp;" ),
            'URL Details'!A:B,
            2,
            FALSE
          ),
          """"
        )
      )
    )
  ),
  1,
  1
)
"),"")</f>
        <v/>
      </c>
      <c r="C239" s="105" t="str">
        <f>IFERROR(__xludf.DUMMYFUNCTION("IFERROR(IF('Final Report'!A239="""","""", TEXTJOIN(CHAR(10), TRUE, ARRAYFORMULA( ""• ""&amp; FILTER( TRIM(FLATTEN(SPLIT( REGEXREPLACE( SUBSTITUTE(TEXTJOIN("","", TRUE, IFERROR(ARRAYFORMULA(VLOOKUP(TRIM(SPLIT('Final Report'!A239, "","")), 'URL Details'!A:D, 4,"&amp;" FALSE)),"""") ), CHAR(10), "",""), ""\s*,\s*"", "",""), "",""))), TRIM(FLATTEN(SPLIT( REGEXREPLACE( SUBSTITUTE(TEXTJOIN("","", TRUE, IFERROR(ARRAYFORMULA(VLOOKUP(TRIM(SPLIT('Final Report'!A239, "","")), 'URL Details'!A:D, 4, FALSE)),"""") ), CHAR(10), """&amp;",""), ""\s*,\s*"", "",""), "","")))&lt;&gt;"""" ) ) ) ),"""")
"),"")</f>
        <v/>
      </c>
      <c r="D239" s="105"/>
      <c r="E239" s="105"/>
      <c r="F239" s="110" t="b">
        <v>0</v>
      </c>
      <c r="G239" s="105" t="str">
        <f>IF(F239=True, IFERROR(VLOOKUP(D239, Repository!A:B, 2, 0), ""), "")</f>
        <v/>
      </c>
      <c r="H239" s="105"/>
      <c r="I239" s="105"/>
      <c r="J239" s="105" t="str">
        <f>IF(F239=True, IFERROR(VLOOKUP(D239, Repository!A:C, 3, 0), ""), "")</f>
        <v/>
      </c>
      <c r="K239" s="105"/>
      <c r="L239" s="105" t="str">
        <f>IF(F239=True, IFERROR(VLOOKUP(D239, Repository!A:E, 5, 0), ""), "")</f>
        <v/>
      </c>
      <c r="M239" s="105"/>
      <c r="N239" s="105" t="str">
        <f>IF(F239=True, IFERROR(VLOOKUP(D239, Repository!A:G, 7, 0), ""), "")</f>
        <v/>
      </c>
      <c r="O239" s="105" t="str">
        <f>IFERROR(__xludf.DUMMYFUNCTION("ARRAY_CONSTRAIN(
  ARRAYFORMULA(
    IFERROR(
      LET(
        list, N239,
        arr, TRIM(SPLIT(list, "","")),
        names, XLOOKUP(
          arr,
          'Conformance Score'!A:A,
          'Conformance Score'!B:B,
          ""Not found""
      "&amp;"  ),
        TEXTJOIN("", "", TRUE, names)
      ),
      """"
    )
  ),
  1,
  1
)
"),"")</f>
        <v/>
      </c>
      <c r="P239" s="105" t="str">
        <f>IF(F239="Yes", IFERROR(VLOOKUP(D239, Repository!A:F, 6, 0), ""), "")</f>
        <v/>
      </c>
      <c r="Q239" s="105" t="str">
        <f>IF(F239="Yes", IFERROR(VLOOKUP(D239, Repository!A:I, 8, 0), ""), "")</f>
        <v/>
      </c>
      <c r="R239" s="105" t="str">
        <f>IF(F239="Yes", IFERROR(VLOOKUP(D239, Repository!A:J, 9, 0), ""), "")</f>
        <v/>
      </c>
      <c r="S239" s="105"/>
      <c r="T239" s="105"/>
      <c r="U239" s="105"/>
      <c r="V239" s="105"/>
      <c r="W239" s="105"/>
      <c r="X239" s="105"/>
      <c r="Y239" s="105"/>
      <c r="Z239" s="105"/>
      <c r="AA239" s="105"/>
      <c r="AB239" s="105"/>
      <c r="AC239" s="91"/>
      <c r="AD239" s="105"/>
      <c r="AE239" s="105"/>
      <c r="AF239" s="91"/>
      <c r="AG239" s="105"/>
      <c r="AH239" s="105"/>
      <c r="AI239" s="105" t="str">
        <f t="shared" si="1"/>
        <v/>
      </c>
      <c r="AJ239" s="108" t="str">
        <f t="shared" si="2"/>
        <v/>
      </c>
    </row>
    <row r="240" ht="15.75" customHeight="1">
      <c r="A240" s="104"/>
      <c r="B240" s="105" t="str">
        <f>IFERROR(__xludf.DUMMYFUNCTION("ARRAY_CONSTRAIN(
  ARRAYFORMULA(
    IF(
      'Final Report'!A240="""",
      """",
      TEXTJOIN(
        "", "" &amp; CHAR(10),
        TRUE,
        IFERROR(
          VLOOKUP(
            TRIM(
              SPLIT('Final Report'!A240, "","")
           "&amp;" ),
            'URL Details'!A:B,
            2,
            FALSE
          ),
          """"
        )
      )
    )
  ),
  1,
  1
)
"),"")</f>
        <v/>
      </c>
      <c r="C240" s="105" t="str">
        <f>IFERROR(__xludf.DUMMYFUNCTION("IFERROR(IF('Final Report'!A240="""","""", TEXTJOIN(CHAR(10), TRUE, ARRAYFORMULA( ""• ""&amp; FILTER( TRIM(FLATTEN(SPLIT( REGEXREPLACE( SUBSTITUTE(TEXTJOIN("","", TRUE, IFERROR(ARRAYFORMULA(VLOOKUP(TRIM(SPLIT('Final Report'!A240, "","")), 'URL Details'!A:D, 4,"&amp;" FALSE)),"""") ), CHAR(10), "",""), ""\s*,\s*"", "",""), "",""))), TRIM(FLATTEN(SPLIT( REGEXREPLACE( SUBSTITUTE(TEXTJOIN("","", TRUE, IFERROR(ARRAYFORMULA(VLOOKUP(TRIM(SPLIT('Final Report'!A240, "","")), 'URL Details'!A:D, 4, FALSE)),"""") ), CHAR(10), """&amp;",""), ""\s*,\s*"", "",""), "","")))&lt;&gt;"""" ) ) ) ),"""")
"),"")</f>
        <v/>
      </c>
      <c r="D240" s="105"/>
      <c r="E240" s="105"/>
      <c r="F240" s="110" t="b">
        <v>0</v>
      </c>
      <c r="G240" s="105" t="str">
        <f>IF(F240=True, IFERROR(VLOOKUP(D240, Repository!A:B, 2, 0), ""), "")</f>
        <v/>
      </c>
      <c r="H240" s="105"/>
      <c r="I240" s="105"/>
      <c r="J240" s="105" t="str">
        <f>IF(F240=True, IFERROR(VLOOKUP(D240, Repository!A:C, 3, 0), ""), "")</f>
        <v/>
      </c>
      <c r="K240" s="105"/>
      <c r="L240" s="105" t="str">
        <f>IF(F240=True, IFERROR(VLOOKUP(D240, Repository!A:E, 5, 0), ""), "")</f>
        <v/>
      </c>
      <c r="M240" s="105"/>
      <c r="N240" s="105" t="str">
        <f>IF(F240=True, IFERROR(VLOOKUP(D240, Repository!A:G, 7, 0), ""), "")</f>
        <v/>
      </c>
      <c r="O240" s="105" t="str">
        <f>IFERROR(__xludf.DUMMYFUNCTION("ARRAY_CONSTRAIN(
  ARRAYFORMULA(
    IFERROR(
      LET(
        list, N240,
        arr, TRIM(SPLIT(list, "","")),
        names, XLOOKUP(
          arr,
          'Conformance Score'!A:A,
          'Conformance Score'!B:B,
          ""Not found""
      "&amp;"  ),
        TEXTJOIN("", "", TRUE, names)
      ),
      """"
    )
  ),
  1,
  1
)
"),"")</f>
        <v/>
      </c>
      <c r="P240" s="105" t="str">
        <f>IF(F240="Yes", IFERROR(VLOOKUP(D240, Repository!A:F, 6, 0), ""), "")</f>
        <v/>
      </c>
      <c r="Q240" s="105" t="str">
        <f>IF(F240="Yes", IFERROR(VLOOKUP(D240, Repository!A:I, 8, 0), ""), "")</f>
        <v/>
      </c>
      <c r="R240" s="105" t="str">
        <f>IF(F240="Yes", IFERROR(VLOOKUP(D240, Repository!A:J, 9, 0), ""), "")</f>
        <v/>
      </c>
      <c r="S240" s="105"/>
      <c r="T240" s="105"/>
      <c r="U240" s="105"/>
      <c r="V240" s="105"/>
      <c r="W240" s="105"/>
      <c r="X240" s="105"/>
      <c r="Y240" s="105"/>
      <c r="Z240" s="105"/>
      <c r="AA240" s="105"/>
      <c r="AB240" s="105"/>
      <c r="AC240" s="91"/>
      <c r="AD240" s="105"/>
      <c r="AE240" s="105"/>
      <c r="AF240" s="91"/>
      <c r="AG240" s="105"/>
      <c r="AH240" s="105"/>
      <c r="AI240" s="105" t="str">
        <f t="shared" si="1"/>
        <v/>
      </c>
      <c r="AJ240" s="108" t="str">
        <f t="shared" si="2"/>
        <v/>
      </c>
    </row>
    <row r="241" ht="15.75" customHeight="1">
      <c r="A241" s="104"/>
      <c r="B241" s="105" t="str">
        <f>IFERROR(__xludf.DUMMYFUNCTION("ARRAY_CONSTRAIN(
  ARRAYFORMULA(
    IF(
      'Final Report'!A241="""",
      """",
      TEXTJOIN(
        "", "" &amp; CHAR(10),
        TRUE,
        IFERROR(
          VLOOKUP(
            TRIM(
              SPLIT('Final Report'!A241, "","")
           "&amp;" ),
            'URL Details'!A:B,
            2,
            FALSE
          ),
          """"
        )
      )
    )
  ),
  1,
  1
)
"),"")</f>
        <v/>
      </c>
      <c r="C241" s="105" t="str">
        <f>IFERROR(__xludf.DUMMYFUNCTION("IFERROR(IF('Final Report'!A241="""","""", TEXTJOIN(CHAR(10), TRUE, ARRAYFORMULA( ""• ""&amp; FILTER( TRIM(FLATTEN(SPLIT( REGEXREPLACE( SUBSTITUTE(TEXTJOIN("","", TRUE, IFERROR(ARRAYFORMULA(VLOOKUP(TRIM(SPLIT('Final Report'!A241, "","")), 'URL Details'!A:D, 4,"&amp;" FALSE)),"""") ), CHAR(10), "",""), ""\s*,\s*"", "",""), "",""))), TRIM(FLATTEN(SPLIT( REGEXREPLACE( SUBSTITUTE(TEXTJOIN("","", TRUE, IFERROR(ARRAYFORMULA(VLOOKUP(TRIM(SPLIT('Final Report'!A241, "","")), 'URL Details'!A:D, 4, FALSE)),"""") ), CHAR(10), """&amp;",""), ""\s*,\s*"", "",""), "","")))&lt;&gt;"""" ) ) ) ),"""")
"),"")</f>
        <v/>
      </c>
      <c r="D241" s="105"/>
      <c r="E241" s="105"/>
      <c r="F241" s="110" t="b">
        <v>0</v>
      </c>
      <c r="G241" s="105" t="str">
        <f>IF(F241=True, IFERROR(VLOOKUP(D241, Repository!A:B, 2, 0), ""), "")</f>
        <v/>
      </c>
      <c r="H241" s="105"/>
      <c r="I241" s="105"/>
      <c r="J241" s="105" t="str">
        <f>IF(F241=True, IFERROR(VLOOKUP(D241, Repository!A:C, 3, 0), ""), "")</f>
        <v/>
      </c>
      <c r="K241" s="105"/>
      <c r="L241" s="105" t="str">
        <f>IF(F241=True, IFERROR(VLOOKUP(D241, Repository!A:E, 5, 0), ""), "")</f>
        <v/>
      </c>
      <c r="M241" s="105"/>
      <c r="N241" s="105" t="str">
        <f>IF(F241=True, IFERROR(VLOOKUP(D241, Repository!A:G, 7, 0), ""), "")</f>
        <v/>
      </c>
      <c r="O241" s="105" t="str">
        <f>IFERROR(__xludf.DUMMYFUNCTION("ARRAY_CONSTRAIN(
  ARRAYFORMULA(
    IFERROR(
      LET(
        list, N241,
        arr, TRIM(SPLIT(list, "","")),
        names, XLOOKUP(
          arr,
          'Conformance Score'!A:A,
          'Conformance Score'!B:B,
          ""Not found""
      "&amp;"  ),
        TEXTJOIN("", "", TRUE, names)
      ),
      """"
    )
  ),
  1,
  1
)
"),"")</f>
        <v/>
      </c>
      <c r="P241" s="105" t="str">
        <f>IF(F241="Yes", IFERROR(VLOOKUP(D241, Repository!A:F, 6, 0), ""), "")</f>
        <v/>
      </c>
      <c r="Q241" s="105" t="str">
        <f>IF(F241="Yes", IFERROR(VLOOKUP(D241, Repository!A:I, 8, 0), ""), "")</f>
        <v/>
      </c>
      <c r="R241" s="105" t="str">
        <f>IF(F241="Yes", IFERROR(VLOOKUP(D241, Repository!A:J, 9, 0), ""), "")</f>
        <v/>
      </c>
      <c r="S241" s="105"/>
      <c r="T241" s="105"/>
      <c r="U241" s="105"/>
      <c r="V241" s="105"/>
      <c r="W241" s="105"/>
      <c r="X241" s="105"/>
      <c r="Y241" s="105"/>
      <c r="Z241" s="105"/>
      <c r="AA241" s="105"/>
      <c r="AB241" s="105"/>
      <c r="AC241" s="91"/>
      <c r="AD241" s="105"/>
      <c r="AE241" s="105"/>
      <c r="AF241" s="91"/>
      <c r="AG241" s="105"/>
      <c r="AH241" s="105"/>
      <c r="AI241" s="105" t="str">
        <f t="shared" si="1"/>
        <v/>
      </c>
      <c r="AJ241" s="108" t="str">
        <f t="shared" si="2"/>
        <v/>
      </c>
    </row>
    <row r="242" ht="15.75" customHeight="1">
      <c r="A242" s="104"/>
      <c r="B242" s="105" t="str">
        <f>IFERROR(__xludf.DUMMYFUNCTION("ARRAY_CONSTRAIN(
  ARRAYFORMULA(
    IF(
      'Final Report'!A242="""",
      """",
      TEXTJOIN(
        "", "" &amp; CHAR(10),
        TRUE,
        IFERROR(
          VLOOKUP(
            TRIM(
              SPLIT('Final Report'!A242, "","")
           "&amp;" ),
            'URL Details'!A:B,
            2,
            FALSE
          ),
          """"
        )
      )
    )
  ),
  1,
  1
)
"),"")</f>
        <v/>
      </c>
      <c r="C242" s="105" t="str">
        <f>IFERROR(__xludf.DUMMYFUNCTION("IFERROR(IF('Final Report'!A242="""","""", TEXTJOIN(CHAR(10), TRUE, ARRAYFORMULA( ""• ""&amp; FILTER( TRIM(FLATTEN(SPLIT( REGEXREPLACE( SUBSTITUTE(TEXTJOIN("","", TRUE, IFERROR(ARRAYFORMULA(VLOOKUP(TRIM(SPLIT('Final Report'!A242, "","")), 'URL Details'!A:D, 4,"&amp;" FALSE)),"""") ), CHAR(10), "",""), ""\s*,\s*"", "",""), "",""))), TRIM(FLATTEN(SPLIT( REGEXREPLACE( SUBSTITUTE(TEXTJOIN("","", TRUE, IFERROR(ARRAYFORMULA(VLOOKUP(TRIM(SPLIT('Final Report'!A242, "","")), 'URL Details'!A:D, 4, FALSE)),"""") ), CHAR(10), """&amp;",""), ""\s*,\s*"", "",""), "","")))&lt;&gt;"""" ) ) ) ),"""")
"),"")</f>
        <v/>
      </c>
      <c r="D242" s="105"/>
      <c r="E242" s="105"/>
      <c r="F242" s="110" t="b">
        <v>0</v>
      </c>
      <c r="G242" s="105" t="str">
        <f>IF(F242=True, IFERROR(VLOOKUP(D242, Repository!A:B, 2, 0), ""), "")</f>
        <v/>
      </c>
      <c r="H242" s="105"/>
      <c r="I242" s="105"/>
      <c r="J242" s="105" t="str">
        <f>IF(F242=True, IFERROR(VLOOKUP(D242, Repository!A:C, 3, 0), ""), "")</f>
        <v/>
      </c>
      <c r="K242" s="105"/>
      <c r="L242" s="105" t="str">
        <f>IF(F242=True, IFERROR(VLOOKUP(D242, Repository!A:E, 5, 0), ""), "")</f>
        <v/>
      </c>
      <c r="M242" s="105"/>
      <c r="N242" s="105" t="str">
        <f>IF(F242=True, IFERROR(VLOOKUP(D242, Repository!A:G, 7, 0), ""), "")</f>
        <v/>
      </c>
      <c r="O242" s="105" t="str">
        <f>IFERROR(__xludf.DUMMYFUNCTION("ARRAY_CONSTRAIN(
  ARRAYFORMULA(
    IFERROR(
      LET(
        list, N242,
        arr, TRIM(SPLIT(list, "","")),
        names, XLOOKUP(
          arr,
          'Conformance Score'!A:A,
          'Conformance Score'!B:B,
          ""Not found""
      "&amp;"  ),
        TEXTJOIN("", "", TRUE, names)
      ),
      """"
    )
  ),
  1,
  1
)
"),"")</f>
        <v/>
      </c>
      <c r="P242" s="105" t="str">
        <f>IF(F242="Yes", IFERROR(VLOOKUP(D242, Repository!A:F, 6, 0), ""), "")</f>
        <v/>
      </c>
      <c r="Q242" s="105" t="str">
        <f>IF(F242="Yes", IFERROR(VLOOKUP(D242, Repository!A:I, 8, 0), ""), "")</f>
        <v/>
      </c>
      <c r="R242" s="105" t="str">
        <f>IF(F242="Yes", IFERROR(VLOOKUP(D242, Repository!A:J, 9, 0), ""), "")</f>
        <v/>
      </c>
      <c r="S242" s="105"/>
      <c r="T242" s="105"/>
      <c r="U242" s="105"/>
      <c r="V242" s="105"/>
      <c r="W242" s="105"/>
      <c r="X242" s="105"/>
      <c r="Y242" s="105"/>
      <c r="Z242" s="105"/>
      <c r="AA242" s="105"/>
      <c r="AB242" s="105"/>
      <c r="AC242" s="91"/>
      <c r="AD242" s="105"/>
      <c r="AE242" s="105"/>
      <c r="AF242" s="91"/>
      <c r="AG242" s="105"/>
      <c r="AH242" s="105"/>
      <c r="AI242" s="105" t="str">
        <f t="shared" si="1"/>
        <v/>
      </c>
      <c r="AJ242" s="108" t="str">
        <f t="shared" si="2"/>
        <v/>
      </c>
    </row>
    <row r="243" ht="15.75" customHeight="1">
      <c r="A243" s="104"/>
      <c r="B243" s="105" t="str">
        <f>IFERROR(__xludf.DUMMYFUNCTION("ARRAY_CONSTRAIN(
  ARRAYFORMULA(
    IF(
      'Final Report'!A243="""",
      """",
      TEXTJOIN(
        "", "" &amp; CHAR(10),
        TRUE,
        IFERROR(
          VLOOKUP(
            TRIM(
              SPLIT('Final Report'!A243, "","")
           "&amp;" ),
            'URL Details'!A:B,
            2,
            FALSE
          ),
          """"
        )
      )
    )
  ),
  1,
  1
)
"),"")</f>
        <v/>
      </c>
      <c r="C243" s="105" t="str">
        <f>IFERROR(__xludf.DUMMYFUNCTION("IFERROR(IF('Final Report'!A243="""","""", TEXTJOIN(CHAR(10), TRUE, ARRAYFORMULA( ""• ""&amp; FILTER( TRIM(FLATTEN(SPLIT( REGEXREPLACE( SUBSTITUTE(TEXTJOIN("","", TRUE, IFERROR(ARRAYFORMULA(VLOOKUP(TRIM(SPLIT('Final Report'!A243, "","")), 'URL Details'!A:D, 4,"&amp;" FALSE)),"""") ), CHAR(10), "",""), ""\s*,\s*"", "",""), "",""))), TRIM(FLATTEN(SPLIT( REGEXREPLACE( SUBSTITUTE(TEXTJOIN("","", TRUE, IFERROR(ARRAYFORMULA(VLOOKUP(TRIM(SPLIT('Final Report'!A243, "","")), 'URL Details'!A:D, 4, FALSE)),"""") ), CHAR(10), """&amp;",""), ""\s*,\s*"", "",""), "","")))&lt;&gt;"""" ) ) ) ),"""")
"),"")</f>
        <v/>
      </c>
      <c r="D243" s="105"/>
      <c r="E243" s="105"/>
      <c r="F243" s="110" t="b">
        <v>0</v>
      </c>
      <c r="G243" s="105" t="str">
        <f>IF(F243=True, IFERROR(VLOOKUP(D243, Repository!A:B, 2, 0), ""), "")</f>
        <v/>
      </c>
      <c r="H243" s="105"/>
      <c r="I243" s="105"/>
      <c r="J243" s="105" t="str">
        <f>IF(F243=True, IFERROR(VLOOKUP(D243, Repository!A:C, 3, 0), ""), "")</f>
        <v/>
      </c>
      <c r="K243" s="105"/>
      <c r="L243" s="105" t="str">
        <f>IF(F243=True, IFERROR(VLOOKUP(D243, Repository!A:E, 5, 0), ""), "")</f>
        <v/>
      </c>
      <c r="M243" s="105"/>
      <c r="N243" s="105" t="str">
        <f>IF(F243=True, IFERROR(VLOOKUP(D243, Repository!A:G, 7, 0), ""), "")</f>
        <v/>
      </c>
      <c r="O243" s="105" t="str">
        <f>IFERROR(__xludf.DUMMYFUNCTION("ARRAY_CONSTRAIN(
  ARRAYFORMULA(
    IFERROR(
      LET(
        list, N243,
        arr, TRIM(SPLIT(list, "","")),
        names, XLOOKUP(
          arr,
          'Conformance Score'!A:A,
          'Conformance Score'!B:B,
          ""Not found""
      "&amp;"  ),
        TEXTJOIN("", "", TRUE, names)
      ),
      """"
    )
  ),
  1,
  1
)
"),"")</f>
        <v/>
      </c>
      <c r="P243" s="105" t="str">
        <f>IF(F243="Yes", IFERROR(VLOOKUP(D243, Repository!A:F, 6, 0), ""), "")</f>
        <v/>
      </c>
      <c r="Q243" s="105" t="str">
        <f>IF(F243="Yes", IFERROR(VLOOKUP(D243, Repository!A:I, 8, 0), ""), "")</f>
        <v/>
      </c>
      <c r="R243" s="105" t="str">
        <f>IF(F243="Yes", IFERROR(VLOOKUP(D243, Repository!A:J, 9, 0), ""), "")</f>
        <v/>
      </c>
      <c r="S243" s="105"/>
      <c r="T243" s="105"/>
      <c r="U243" s="105"/>
      <c r="V243" s="105"/>
      <c r="W243" s="105"/>
      <c r="X243" s="105"/>
      <c r="Y243" s="105"/>
      <c r="Z243" s="105"/>
      <c r="AA243" s="105"/>
      <c r="AB243" s="105"/>
      <c r="AC243" s="91"/>
      <c r="AD243" s="105"/>
      <c r="AE243" s="105"/>
      <c r="AF243" s="91"/>
      <c r="AG243" s="105"/>
      <c r="AH243" s="105"/>
      <c r="AI243" s="105" t="str">
        <f t="shared" si="1"/>
        <v/>
      </c>
      <c r="AJ243" s="108" t="str">
        <f t="shared" si="2"/>
        <v/>
      </c>
    </row>
    <row r="244" ht="15.75" customHeight="1">
      <c r="A244" s="104"/>
      <c r="B244" s="105" t="str">
        <f>IFERROR(__xludf.DUMMYFUNCTION("ARRAY_CONSTRAIN(
  ARRAYFORMULA(
    IF(
      'Final Report'!A244="""",
      """",
      TEXTJOIN(
        "", "" &amp; CHAR(10),
        TRUE,
        IFERROR(
          VLOOKUP(
            TRIM(
              SPLIT('Final Report'!A244, "","")
           "&amp;" ),
            'URL Details'!A:B,
            2,
            FALSE
          ),
          """"
        )
      )
    )
  ),
  1,
  1
)
"),"")</f>
        <v/>
      </c>
      <c r="C244" s="105" t="str">
        <f>IFERROR(__xludf.DUMMYFUNCTION("IFERROR(IF('Final Report'!A244="""","""", TEXTJOIN(CHAR(10), TRUE, ARRAYFORMULA( ""• ""&amp; FILTER( TRIM(FLATTEN(SPLIT( REGEXREPLACE( SUBSTITUTE(TEXTJOIN("","", TRUE, IFERROR(ARRAYFORMULA(VLOOKUP(TRIM(SPLIT('Final Report'!A244, "","")), 'URL Details'!A:D, 4,"&amp;" FALSE)),"""") ), CHAR(10), "",""), ""\s*,\s*"", "",""), "",""))), TRIM(FLATTEN(SPLIT( REGEXREPLACE( SUBSTITUTE(TEXTJOIN("","", TRUE, IFERROR(ARRAYFORMULA(VLOOKUP(TRIM(SPLIT('Final Report'!A244, "","")), 'URL Details'!A:D, 4, FALSE)),"""") ), CHAR(10), """&amp;",""), ""\s*,\s*"", "",""), "","")))&lt;&gt;"""" ) ) ) ),"""")
"),"")</f>
        <v/>
      </c>
      <c r="D244" s="105"/>
      <c r="E244" s="105"/>
      <c r="F244" s="110" t="b">
        <v>0</v>
      </c>
      <c r="G244" s="105" t="str">
        <f>IF(F244=True, IFERROR(VLOOKUP(D244, Repository!A:B, 2, 0), ""), "")</f>
        <v/>
      </c>
      <c r="H244" s="105"/>
      <c r="I244" s="105"/>
      <c r="J244" s="105" t="str">
        <f>IF(F244=True, IFERROR(VLOOKUP(D244, Repository!A:C, 3, 0), ""), "")</f>
        <v/>
      </c>
      <c r="K244" s="105"/>
      <c r="L244" s="105" t="str">
        <f>IF(F244=True, IFERROR(VLOOKUP(D244, Repository!A:E, 5, 0), ""), "")</f>
        <v/>
      </c>
      <c r="M244" s="105"/>
      <c r="N244" s="105" t="str">
        <f>IF(F244=True, IFERROR(VLOOKUP(D244, Repository!A:G, 7, 0), ""), "")</f>
        <v/>
      </c>
      <c r="O244" s="105" t="str">
        <f>IFERROR(__xludf.DUMMYFUNCTION("ARRAY_CONSTRAIN(
  ARRAYFORMULA(
    IFERROR(
      LET(
        list, N244,
        arr, TRIM(SPLIT(list, "","")),
        names, XLOOKUP(
          arr,
          'Conformance Score'!A:A,
          'Conformance Score'!B:B,
          ""Not found""
      "&amp;"  ),
        TEXTJOIN("", "", TRUE, names)
      ),
      """"
    )
  ),
  1,
  1
)
"),"")</f>
        <v/>
      </c>
      <c r="P244" s="105" t="str">
        <f>IF(F244="Yes", IFERROR(VLOOKUP(D244, Repository!A:F, 6, 0), ""), "")</f>
        <v/>
      </c>
      <c r="Q244" s="105" t="str">
        <f>IF(F244="Yes", IFERROR(VLOOKUP(D244, Repository!A:I, 8, 0), ""), "")</f>
        <v/>
      </c>
      <c r="R244" s="105" t="str">
        <f>IF(F244="Yes", IFERROR(VLOOKUP(D244, Repository!A:J, 9, 0), ""), "")</f>
        <v/>
      </c>
      <c r="S244" s="105"/>
      <c r="T244" s="105"/>
      <c r="U244" s="105"/>
      <c r="V244" s="105"/>
      <c r="W244" s="105"/>
      <c r="X244" s="105"/>
      <c r="Y244" s="105"/>
      <c r="Z244" s="105"/>
      <c r="AA244" s="105"/>
      <c r="AB244" s="105"/>
      <c r="AC244" s="91"/>
      <c r="AD244" s="105"/>
      <c r="AE244" s="105"/>
      <c r="AF244" s="91"/>
      <c r="AG244" s="105"/>
      <c r="AH244" s="105"/>
      <c r="AI244" s="105" t="str">
        <f t="shared" si="1"/>
        <v/>
      </c>
      <c r="AJ244" s="108" t="str">
        <f t="shared" si="2"/>
        <v/>
      </c>
    </row>
    <row r="245" ht="15.75" customHeight="1">
      <c r="A245" s="104"/>
      <c r="B245" s="105" t="str">
        <f>IFERROR(__xludf.DUMMYFUNCTION("ARRAY_CONSTRAIN(
  ARRAYFORMULA(
    IF(
      'Final Report'!A245="""",
      """",
      TEXTJOIN(
        "", "" &amp; CHAR(10),
        TRUE,
        IFERROR(
          VLOOKUP(
            TRIM(
              SPLIT('Final Report'!A245, "","")
           "&amp;" ),
            'URL Details'!A:B,
            2,
            FALSE
          ),
          """"
        )
      )
    )
  ),
  1,
  1
)
"),"")</f>
        <v/>
      </c>
      <c r="C245" s="105" t="str">
        <f>IFERROR(__xludf.DUMMYFUNCTION("IFERROR(IF('Final Report'!A245="""","""", TEXTJOIN(CHAR(10), TRUE, ARRAYFORMULA( ""• ""&amp; FILTER( TRIM(FLATTEN(SPLIT( REGEXREPLACE( SUBSTITUTE(TEXTJOIN("","", TRUE, IFERROR(ARRAYFORMULA(VLOOKUP(TRIM(SPLIT('Final Report'!A245, "","")), 'URL Details'!A:D, 4,"&amp;" FALSE)),"""") ), CHAR(10), "",""), ""\s*,\s*"", "",""), "",""))), TRIM(FLATTEN(SPLIT( REGEXREPLACE( SUBSTITUTE(TEXTJOIN("","", TRUE, IFERROR(ARRAYFORMULA(VLOOKUP(TRIM(SPLIT('Final Report'!A245, "","")), 'URL Details'!A:D, 4, FALSE)),"""") ), CHAR(10), """&amp;",""), ""\s*,\s*"", "",""), "","")))&lt;&gt;"""" ) ) ) ),"""")
"),"")</f>
        <v/>
      </c>
      <c r="D245" s="105"/>
      <c r="E245" s="105"/>
      <c r="F245" s="110" t="b">
        <v>0</v>
      </c>
      <c r="G245" s="105" t="str">
        <f>IF(F245=True, IFERROR(VLOOKUP(D245, Repository!A:B, 2, 0), ""), "")</f>
        <v/>
      </c>
      <c r="H245" s="105"/>
      <c r="I245" s="105"/>
      <c r="J245" s="105" t="str">
        <f>IF(F245=True, IFERROR(VLOOKUP(D245, Repository!A:C, 3, 0), ""), "")</f>
        <v/>
      </c>
      <c r="K245" s="105"/>
      <c r="L245" s="105" t="str">
        <f>IF(F245=True, IFERROR(VLOOKUP(D245, Repository!A:E, 5, 0), ""), "")</f>
        <v/>
      </c>
      <c r="M245" s="105"/>
      <c r="N245" s="105" t="str">
        <f>IF(F245=True, IFERROR(VLOOKUP(D245, Repository!A:G, 7, 0), ""), "")</f>
        <v/>
      </c>
      <c r="O245" s="105" t="str">
        <f>IFERROR(__xludf.DUMMYFUNCTION("ARRAY_CONSTRAIN(
  ARRAYFORMULA(
    IFERROR(
      LET(
        list, N245,
        arr, TRIM(SPLIT(list, "","")),
        names, XLOOKUP(
          arr,
          'Conformance Score'!A:A,
          'Conformance Score'!B:B,
          ""Not found""
      "&amp;"  ),
        TEXTJOIN("", "", TRUE, names)
      ),
      """"
    )
  ),
  1,
  1
)
"),"")</f>
        <v/>
      </c>
      <c r="P245" s="105" t="str">
        <f>IF(F245="Yes", IFERROR(VLOOKUP(D245, Repository!A:F, 6, 0), ""), "")</f>
        <v/>
      </c>
      <c r="Q245" s="105" t="str">
        <f>IF(F245="Yes", IFERROR(VLOOKUP(D245, Repository!A:I, 8, 0), ""), "")</f>
        <v/>
      </c>
      <c r="R245" s="105" t="str">
        <f>IF(F245="Yes", IFERROR(VLOOKUP(D245, Repository!A:J, 9, 0), ""), "")</f>
        <v/>
      </c>
      <c r="S245" s="105"/>
      <c r="T245" s="105"/>
      <c r="U245" s="105"/>
      <c r="V245" s="105"/>
      <c r="W245" s="105"/>
      <c r="X245" s="105"/>
      <c r="Y245" s="105"/>
      <c r="Z245" s="105"/>
      <c r="AA245" s="105"/>
      <c r="AB245" s="105"/>
      <c r="AC245" s="91"/>
      <c r="AD245" s="105"/>
      <c r="AE245" s="105"/>
      <c r="AF245" s="91"/>
      <c r="AG245" s="105"/>
      <c r="AH245" s="105"/>
      <c r="AI245" s="105" t="str">
        <f t="shared" si="1"/>
        <v/>
      </c>
      <c r="AJ245" s="108" t="str">
        <f t="shared" si="2"/>
        <v/>
      </c>
    </row>
    <row r="246" ht="15.75" customHeight="1">
      <c r="A246" s="104"/>
      <c r="B246" s="105" t="str">
        <f>IFERROR(__xludf.DUMMYFUNCTION("ARRAY_CONSTRAIN(
  ARRAYFORMULA(
    IF(
      'Final Report'!A246="""",
      """",
      TEXTJOIN(
        "", "" &amp; CHAR(10),
        TRUE,
        IFERROR(
          VLOOKUP(
            TRIM(
              SPLIT('Final Report'!A246, "","")
           "&amp;" ),
            'URL Details'!A:B,
            2,
            FALSE
          ),
          """"
        )
      )
    )
  ),
  1,
  1
)
"),"")</f>
        <v/>
      </c>
      <c r="C246" s="105" t="str">
        <f>IFERROR(__xludf.DUMMYFUNCTION("IFERROR(IF('Final Report'!A246="""","""", TEXTJOIN(CHAR(10), TRUE, ARRAYFORMULA( ""• ""&amp; FILTER( TRIM(FLATTEN(SPLIT( REGEXREPLACE( SUBSTITUTE(TEXTJOIN("","", TRUE, IFERROR(ARRAYFORMULA(VLOOKUP(TRIM(SPLIT('Final Report'!A246, "","")), 'URL Details'!A:D, 4,"&amp;" FALSE)),"""") ), CHAR(10), "",""), ""\s*,\s*"", "",""), "",""))), TRIM(FLATTEN(SPLIT( REGEXREPLACE( SUBSTITUTE(TEXTJOIN("","", TRUE, IFERROR(ARRAYFORMULA(VLOOKUP(TRIM(SPLIT('Final Report'!A246, "","")), 'URL Details'!A:D, 4, FALSE)),"""") ), CHAR(10), """&amp;",""), ""\s*,\s*"", "",""), "","")))&lt;&gt;"""" ) ) ) ),"""")
"),"")</f>
        <v/>
      </c>
      <c r="D246" s="105"/>
      <c r="E246" s="105"/>
      <c r="F246" s="110" t="b">
        <v>0</v>
      </c>
      <c r="G246" s="105" t="str">
        <f>IF(F246=True, IFERROR(VLOOKUP(D246, Repository!A:B, 2, 0), ""), "")</f>
        <v/>
      </c>
      <c r="H246" s="105"/>
      <c r="I246" s="105"/>
      <c r="J246" s="105" t="str">
        <f>IF(F246=True, IFERROR(VLOOKUP(D246, Repository!A:C, 3, 0), ""), "")</f>
        <v/>
      </c>
      <c r="K246" s="105"/>
      <c r="L246" s="105" t="str">
        <f>IF(F246=True, IFERROR(VLOOKUP(D246, Repository!A:E, 5, 0), ""), "")</f>
        <v/>
      </c>
      <c r="M246" s="105"/>
      <c r="N246" s="105" t="str">
        <f>IF(F246=True, IFERROR(VLOOKUP(D246, Repository!A:G, 7, 0), ""), "")</f>
        <v/>
      </c>
      <c r="O246" s="105" t="str">
        <f>IFERROR(__xludf.DUMMYFUNCTION("ARRAY_CONSTRAIN(
  ARRAYFORMULA(
    IFERROR(
      LET(
        list, N246,
        arr, TRIM(SPLIT(list, "","")),
        names, XLOOKUP(
          arr,
          'Conformance Score'!A:A,
          'Conformance Score'!B:B,
          ""Not found""
      "&amp;"  ),
        TEXTJOIN("", "", TRUE, names)
      ),
      """"
    )
  ),
  1,
  1
)
"),"")</f>
        <v/>
      </c>
      <c r="P246" s="105" t="str">
        <f>IF(F246="Yes", IFERROR(VLOOKUP(D246, Repository!A:F, 6, 0), ""), "")</f>
        <v/>
      </c>
      <c r="Q246" s="105" t="str">
        <f>IF(F246="Yes", IFERROR(VLOOKUP(D246, Repository!A:I, 8, 0), ""), "")</f>
        <v/>
      </c>
      <c r="R246" s="105" t="str">
        <f>IF(F246="Yes", IFERROR(VLOOKUP(D246, Repository!A:J, 9, 0), ""), "")</f>
        <v/>
      </c>
      <c r="S246" s="105"/>
      <c r="T246" s="105"/>
      <c r="U246" s="105"/>
      <c r="V246" s="105"/>
      <c r="W246" s="105"/>
      <c r="X246" s="105"/>
      <c r="Y246" s="105"/>
      <c r="Z246" s="105"/>
      <c r="AA246" s="105"/>
      <c r="AB246" s="105"/>
      <c r="AC246" s="91"/>
      <c r="AD246" s="105"/>
      <c r="AE246" s="105"/>
      <c r="AF246" s="91"/>
      <c r="AG246" s="105"/>
      <c r="AH246" s="105"/>
      <c r="AI246" s="105" t="str">
        <f t="shared" si="1"/>
        <v/>
      </c>
      <c r="AJ246" s="108" t="str">
        <f t="shared" si="2"/>
        <v/>
      </c>
    </row>
    <row r="247" ht="15.75" customHeight="1">
      <c r="A247" s="104"/>
      <c r="B247" s="105" t="str">
        <f>IFERROR(__xludf.DUMMYFUNCTION("ARRAY_CONSTRAIN(
  ARRAYFORMULA(
    IF(
      'Final Report'!A247="""",
      """",
      TEXTJOIN(
        "", "" &amp; CHAR(10),
        TRUE,
        IFERROR(
          VLOOKUP(
            TRIM(
              SPLIT('Final Report'!A247, "","")
           "&amp;" ),
            'URL Details'!A:B,
            2,
            FALSE
          ),
          """"
        )
      )
    )
  ),
  1,
  1
)
"),"")</f>
        <v/>
      </c>
      <c r="C247" s="105" t="str">
        <f>IFERROR(__xludf.DUMMYFUNCTION("IFERROR(IF('Final Report'!A247="""","""", TEXTJOIN(CHAR(10), TRUE, ARRAYFORMULA( ""• ""&amp; FILTER( TRIM(FLATTEN(SPLIT( REGEXREPLACE( SUBSTITUTE(TEXTJOIN("","", TRUE, IFERROR(ARRAYFORMULA(VLOOKUP(TRIM(SPLIT('Final Report'!A247, "","")), 'URL Details'!A:D, 4,"&amp;" FALSE)),"""") ), CHAR(10), "",""), ""\s*,\s*"", "",""), "",""))), TRIM(FLATTEN(SPLIT( REGEXREPLACE( SUBSTITUTE(TEXTJOIN("","", TRUE, IFERROR(ARRAYFORMULA(VLOOKUP(TRIM(SPLIT('Final Report'!A247, "","")), 'URL Details'!A:D, 4, FALSE)),"""") ), CHAR(10), """&amp;",""), ""\s*,\s*"", "",""), "","")))&lt;&gt;"""" ) ) ) ),"""")
"),"")</f>
        <v/>
      </c>
      <c r="D247" s="105"/>
      <c r="E247" s="105"/>
      <c r="F247" s="110" t="b">
        <v>0</v>
      </c>
      <c r="G247" s="105" t="str">
        <f>IF(F247=True, IFERROR(VLOOKUP(D247, Repository!A:B, 2, 0), ""), "")</f>
        <v/>
      </c>
      <c r="H247" s="105"/>
      <c r="I247" s="105"/>
      <c r="J247" s="105" t="str">
        <f>IF(F247=True, IFERROR(VLOOKUP(D247, Repository!A:C, 3, 0), ""), "")</f>
        <v/>
      </c>
      <c r="K247" s="105"/>
      <c r="L247" s="105" t="str">
        <f>IF(F247=True, IFERROR(VLOOKUP(D247, Repository!A:E, 5, 0), ""), "")</f>
        <v/>
      </c>
      <c r="M247" s="105"/>
      <c r="N247" s="105" t="str">
        <f>IF(F247=True, IFERROR(VLOOKUP(D247, Repository!A:G, 7, 0), ""), "")</f>
        <v/>
      </c>
      <c r="O247" s="105" t="str">
        <f>IFERROR(__xludf.DUMMYFUNCTION("ARRAY_CONSTRAIN(
  ARRAYFORMULA(
    IFERROR(
      LET(
        list, N247,
        arr, TRIM(SPLIT(list, "","")),
        names, XLOOKUP(
          arr,
          'Conformance Score'!A:A,
          'Conformance Score'!B:B,
          ""Not found""
      "&amp;"  ),
        TEXTJOIN("", "", TRUE, names)
      ),
      """"
    )
  ),
  1,
  1
)
"),"")</f>
        <v/>
      </c>
      <c r="P247" s="105" t="str">
        <f>IF(F247="Yes", IFERROR(VLOOKUP(D247, Repository!A:F, 6, 0), ""), "")</f>
        <v/>
      </c>
      <c r="Q247" s="105" t="str">
        <f>IF(F247="Yes", IFERROR(VLOOKUP(D247, Repository!A:I, 8, 0), ""), "")</f>
        <v/>
      </c>
      <c r="R247" s="105" t="str">
        <f>IF(F247="Yes", IFERROR(VLOOKUP(D247, Repository!A:J, 9, 0), ""), "")</f>
        <v/>
      </c>
      <c r="S247" s="105"/>
      <c r="T247" s="105"/>
      <c r="U247" s="105"/>
      <c r="V247" s="105"/>
      <c r="W247" s="105"/>
      <c r="X247" s="105"/>
      <c r="Y247" s="105"/>
      <c r="Z247" s="105"/>
      <c r="AA247" s="105"/>
      <c r="AB247" s="105"/>
      <c r="AC247" s="91"/>
      <c r="AD247" s="105"/>
      <c r="AE247" s="105"/>
      <c r="AF247" s="91"/>
      <c r="AG247" s="105"/>
      <c r="AH247" s="105"/>
      <c r="AI247" s="105" t="str">
        <f t="shared" si="1"/>
        <v/>
      </c>
      <c r="AJ247" s="108" t="str">
        <f t="shared" si="2"/>
        <v/>
      </c>
    </row>
    <row r="248" ht="15.75" customHeight="1">
      <c r="A248" s="104"/>
      <c r="B248" s="105" t="str">
        <f>IFERROR(__xludf.DUMMYFUNCTION("ARRAY_CONSTRAIN(
  ARRAYFORMULA(
    IF(
      'Final Report'!A248="""",
      """",
      TEXTJOIN(
        "", "" &amp; CHAR(10),
        TRUE,
        IFERROR(
          VLOOKUP(
            TRIM(
              SPLIT('Final Report'!A248, "","")
           "&amp;" ),
            'URL Details'!A:B,
            2,
            FALSE
          ),
          """"
        )
      )
    )
  ),
  1,
  1
)
"),"")</f>
        <v/>
      </c>
      <c r="C248" s="105" t="str">
        <f>IFERROR(__xludf.DUMMYFUNCTION("IFERROR(IF('Final Report'!A248="""","""", TEXTJOIN(CHAR(10), TRUE, ARRAYFORMULA( ""• ""&amp; FILTER( TRIM(FLATTEN(SPLIT( REGEXREPLACE( SUBSTITUTE(TEXTJOIN("","", TRUE, IFERROR(ARRAYFORMULA(VLOOKUP(TRIM(SPLIT('Final Report'!A248, "","")), 'URL Details'!A:D, 4,"&amp;" FALSE)),"""") ), CHAR(10), "",""), ""\s*,\s*"", "",""), "",""))), TRIM(FLATTEN(SPLIT( REGEXREPLACE( SUBSTITUTE(TEXTJOIN("","", TRUE, IFERROR(ARRAYFORMULA(VLOOKUP(TRIM(SPLIT('Final Report'!A248, "","")), 'URL Details'!A:D, 4, FALSE)),"""") ), CHAR(10), """&amp;",""), ""\s*,\s*"", "",""), "","")))&lt;&gt;"""" ) ) ) ),"""")
"),"")</f>
        <v/>
      </c>
      <c r="D248" s="105"/>
      <c r="E248" s="105"/>
      <c r="F248" s="110" t="b">
        <v>0</v>
      </c>
      <c r="G248" s="105" t="str">
        <f>IF(F248=True, IFERROR(VLOOKUP(D248, Repository!A:B, 2, 0), ""), "")</f>
        <v/>
      </c>
      <c r="H248" s="105"/>
      <c r="I248" s="105"/>
      <c r="J248" s="105" t="str">
        <f>IF(F248=True, IFERROR(VLOOKUP(D248, Repository!A:C, 3, 0), ""), "")</f>
        <v/>
      </c>
      <c r="K248" s="105"/>
      <c r="L248" s="105" t="str">
        <f>IF(F248=True, IFERROR(VLOOKUP(D248, Repository!A:E, 5, 0), ""), "")</f>
        <v/>
      </c>
      <c r="M248" s="105"/>
      <c r="N248" s="105" t="str">
        <f>IF(F248=True, IFERROR(VLOOKUP(D248, Repository!A:G, 7, 0), ""), "")</f>
        <v/>
      </c>
      <c r="O248" s="105" t="str">
        <f>IFERROR(__xludf.DUMMYFUNCTION("ARRAY_CONSTRAIN(
  ARRAYFORMULA(
    IFERROR(
      LET(
        list, N248,
        arr, TRIM(SPLIT(list, "","")),
        names, XLOOKUP(
          arr,
          'Conformance Score'!A:A,
          'Conformance Score'!B:B,
          ""Not found""
      "&amp;"  ),
        TEXTJOIN("", "", TRUE, names)
      ),
      """"
    )
  ),
  1,
  1
)
"),"")</f>
        <v/>
      </c>
      <c r="P248" s="105" t="str">
        <f>IF(F248="Yes", IFERROR(VLOOKUP(D248, Repository!A:F, 6, 0), ""), "")</f>
        <v/>
      </c>
      <c r="Q248" s="105" t="str">
        <f>IF(F248="Yes", IFERROR(VLOOKUP(D248, Repository!A:I, 8, 0), ""), "")</f>
        <v/>
      </c>
      <c r="R248" s="105" t="str">
        <f>IF(F248="Yes", IFERROR(VLOOKUP(D248, Repository!A:J, 9, 0), ""), "")</f>
        <v/>
      </c>
      <c r="S248" s="105"/>
      <c r="T248" s="105"/>
      <c r="U248" s="105"/>
      <c r="V248" s="105"/>
      <c r="W248" s="105"/>
      <c r="X248" s="105"/>
      <c r="Y248" s="105"/>
      <c r="Z248" s="105"/>
      <c r="AA248" s="105"/>
      <c r="AB248" s="105"/>
      <c r="AC248" s="91"/>
      <c r="AD248" s="105"/>
      <c r="AE248" s="105"/>
      <c r="AF248" s="91"/>
      <c r="AG248" s="105"/>
      <c r="AH248" s="105"/>
      <c r="AI248" s="105" t="str">
        <f t="shared" si="1"/>
        <v/>
      </c>
      <c r="AJ248" s="108" t="str">
        <f t="shared" si="2"/>
        <v/>
      </c>
    </row>
    <row r="249" ht="15.75" customHeight="1">
      <c r="A249" s="104"/>
      <c r="B249" s="105" t="str">
        <f>IFERROR(__xludf.DUMMYFUNCTION("ARRAY_CONSTRAIN(
  ARRAYFORMULA(
    IF(
      'Final Report'!A249="""",
      """",
      TEXTJOIN(
        "", "" &amp; CHAR(10),
        TRUE,
        IFERROR(
          VLOOKUP(
            TRIM(
              SPLIT('Final Report'!A249, "","")
           "&amp;" ),
            'URL Details'!A:B,
            2,
            FALSE
          ),
          """"
        )
      )
    )
  ),
  1,
  1
)
"),"")</f>
        <v/>
      </c>
      <c r="C249" s="105" t="str">
        <f>IFERROR(__xludf.DUMMYFUNCTION("IFERROR(IF('Final Report'!A249="""","""", TEXTJOIN(CHAR(10), TRUE, ARRAYFORMULA( ""• ""&amp; FILTER( TRIM(FLATTEN(SPLIT( REGEXREPLACE( SUBSTITUTE(TEXTJOIN("","", TRUE, IFERROR(ARRAYFORMULA(VLOOKUP(TRIM(SPLIT('Final Report'!A249, "","")), 'URL Details'!A:D, 4,"&amp;" FALSE)),"""") ), CHAR(10), "",""), ""\s*,\s*"", "",""), "",""))), TRIM(FLATTEN(SPLIT( REGEXREPLACE( SUBSTITUTE(TEXTJOIN("","", TRUE, IFERROR(ARRAYFORMULA(VLOOKUP(TRIM(SPLIT('Final Report'!A249, "","")), 'URL Details'!A:D, 4, FALSE)),"""") ), CHAR(10), """&amp;",""), ""\s*,\s*"", "",""), "","")))&lt;&gt;"""" ) ) ) ),"""")
"),"")</f>
        <v/>
      </c>
      <c r="D249" s="105"/>
      <c r="E249" s="105"/>
      <c r="F249" s="110" t="b">
        <v>0</v>
      </c>
      <c r="G249" s="105" t="str">
        <f>IF(F249=True, IFERROR(VLOOKUP(D249, Repository!A:B, 2, 0), ""), "")</f>
        <v/>
      </c>
      <c r="H249" s="105"/>
      <c r="I249" s="105"/>
      <c r="J249" s="105" t="str">
        <f>IF(F249=True, IFERROR(VLOOKUP(D249, Repository!A:C, 3, 0), ""), "")</f>
        <v/>
      </c>
      <c r="K249" s="105"/>
      <c r="L249" s="105" t="str">
        <f>IF(F249=True, IFERROR(VLOOKUP(D249, Repository!A:E, 5, 0), ""), "")</f>
        <v/>
      </c>
      <c r="M249" s="105"/>
      <c r="N249" s="105" t="str">
        <f>IF(F249=True, IFERROR(VLOOKUP(D249, Repository!A:G, 7, 0), ""), "")</f>
        <v/>
      </c>
      <c r="O249" s="105" t="str">
        <f>IFERROR(__xludf.DUMMYFUNCTION("ARRAY_CONSTRAIN(
  ARRAYFORMULA(
    IFERROR(
      LET(
        list, N249,
        arr, TRIM(SPLIT(list, "","")),
        names, XLOOKUP(
          arr,
          'Conformance Score'!A:A,
          'Conformance Score'!B:B,
          ""Not found""
      "&amp;"  ),
        TEXTJOIN("", "", TRUE, names)
      ),
      """"
    )
  ),
  1,
  1
)
"),"")</f>
        <v/>
      </c>
      <c r="P249" s="105" t="str">
        <f>IF(F249="Yes", IFERROR(VLOOKUP(D249, Repository!A:F, 6, 0), ""), "")</f>
        <v/>
      </c>
      <c r="Q249" s="105" t="str">
        <f>IF(F249="Yes", IFERROR(VLOOKUP(D249, Repository!A:I, 8, 0), ""), "")</f>
        <v/>
      </c>
      <c r="R249" s="105" t="str">
        <f>IF(F249="Yes", IFERROR(VLOOKUP(D249, Repository!A:J, 9, 0), ""), "")</f>
        <v/>
      </c>
      <c r="S249" s="105"/>
      <c r="T249" s="105"/>
      <c r="U249" s="105"/>
      <c r="V249" s="105"/>
      <c r="W249" s="105"/>
      <c r="X249" s="105"/>
      <c r="Y249" s="105"/>
      <c r="Z249" s="105"/>
      <c r="AA249" s="105"/>
      <c r="AB249" s="105"/>
      <c r="AC249" s="91"/>
      <c r="AD249" s="105"/>
      <c r="AE249" s="105"/>
      <c r="AF249" s="91"/>
      <c r="AG249" s="105"/>
      <c r="AH249" s="105"/>
      <c r="AI249" s="105" t="str">
        <f t="shared" si="1"/>
        <v/>
      </c>
      <c r="AJ249" s="108" t="str">
        <f t="shared" si="2"/>
        <v/>
      </c>
    </row>
    <row r="250" ht="15.75" customHeight="1">
      <c r="A250" s="104"/>
      <c r="B250" s="105" t="str">
        <f>IFERROR(__xludf.DUMMYFUNCTION("ARRAY_CONSTRAIN(
  ARRAYFORMULA(
    IF(
      'Final Report'!A250="""",
      """",
      TEXTJOIN(
        "", "" &amp; CHAR(10),
        TRUE,
        IFERROR(
          VLOOKUP(
            TRIM(
              SPLIT('Final Report'!A250, "","")
           "&amp;" ),
            'URL Details'!A:B,
            2,
            FALSE
          ),
          """"
        )
      )
    )
  ),
  1,
  1
)
"),"")</f>
        <v/>
      </c>
      <c r="C250" s="105" t="str">
        <f>IFERROR(__xludf.DUMMYFUNCTION("IFERROR(IF('Final Report'!A250="""","""", TEXTJOIN(CHAR(10), TRUE, ARRAYFORMULA( ""• ""&amp; FILTER( TRIM(FLATTEN(SPLIT( REGEXREPLACE( SUBSTITUTE(TEXTJOIN("","", TRUE, IFERROR(ARRAYFORMULA(VLOOKUP(TRIM(SPLIT('Final Report'!A250, "","")), 'URL Details'!A:D, 4,"&amp;" FALSE)),"""") ), CHAR(10), "",""), ""\s*,\s*"", "",""), "",""))), TRIM(FLATTEN(SPLIT( REGEXREPLACE( SUBSTITUTE(TEXTJOIN("","", TRUE, IFERROR(ARRAYFORMULA(VLOOKUP(TRIM(SPLIT('Final Report'!A250, "","")), 'URL Details'!A:D, 4, FALSE)),"""") ), CHAR(10), """&amp;",""), ""\s*,\s*"", "",""), "","")))&lt;&gt;"""" ) ) ) ),"""")
"),"")</f>
        <v/>
      </c>
      <c r="D250" s="105"/>
      <c r="E250" s="105"/>
      <c r="F250" s="110" t="b">
        <v>0</v>
      </c>
      <c r="G250" s="105" t="str">
        <f>IF(F250=True, IFERROR(VLOOKUP(D250, Repository!A:B, 2, 0), ""), "")</f>
        <v/>
      </c>
      <c r="H250" s="105"/>
      <c r="I250" s="105"/>
      <c r="J250" s="105" t="str">
        <f>IF(F250=True, IFERROR(VLOOKUP(D250, Repository!A:C, 3, 0), ""), "")</f>
        <v/>
      </c>
      <c r="K250" s="105"/>
      <c r="L250" s="105" t="str">
        <f>IF(F250=True, IFERROR(VLOOKUP(D250, Repository!A:E, 5, 0), ""), "")</f>
        <v/>
      </c>
      <c r="M250" s="105"/>
      <c r="N250" s="105" t="str">
        <f>IF(F250=True, IFERROR(VLOOKUP(D250, Repository!A:G, 7, 0), ""), "")</f>
        <v/>
      </c>
      <c r="O250" s="105" t="str">
        <f>IFERROR(__xludf.DUMMYFUNCTION("ARRAY_CONSTRAIN(
  ARRAYFORMULA(
    IFERROR(
      LET(
        list, N250,
        arr, TRIM(SPLIT(list, "","")),
        names, XLOOKUP(
          arr,
          'Conformance Score'!A:A,
          'Conformance Score'!B:B,
          ""Not found""
      "&amp;"  ),
        TEXTJOIN("", "", TRUE, names)
      ),
      """"
    )
  ),
  1,
  1
)
"),"")</f>
        <v/>
      </c>
      <c r="P250" s="105" t="str">
        <f>IF(F250="Yes", IFERROR(VLOOKUP(D250, Repository!A:F, 6, 0), ""), "")</f>
        <v/>
      </c>
      <c r="Q250" s="105" t="str">
        <f>IF(F250="Yes", IFERROR(VLOOKUP(D250, Repository!A:I, 8, 0), ""), "")</f>
        <v/>
      </c>
      <c r="R250" s="105" t="str">
        <f>IF(F250="Yes", IFERROR(VLOOKUP(D250, Repository!A:J, 9, 0), ""), "")</f>
        <v/>
      </c>
      <c r="S250" s="105"/>
      <c r="T250" s="105"/>
      <c r="U250" s="105"/>
      <c r="V250" s="105"/>
      <c r="W250" s="105"/>
      <c r="X250" s="105"/>
      <c r="Y250" s="105"/>
      <c r="Z250" s="105"/>
      <c r="AA250" s="105"/>
      <c r="AB250" s="105"/>
      <c r="AC250" s="91"/>
      <c r="AD250" s="105"/>
      <c r="AE250" s="105"/>
      <c r="AF250" s="91"/>
      <c r="AG250" s="105"/>
      <c r="AH250" s="105"/>
      <c r="AI250" s="105" t="str">
        <f t="shared" si="1"/>
        <v/>
      </c>
      <c r="AJ250" s="108" t="str">
        <f t="shared" si="2"/>
        <v/>
      </c>
    </row>
    <row r="251" ht="15.75" customHeight="1">
      <c r="A251" s="104"/>
      <c r="B251" s="105" t="str">
        <f>IFERROR(__xludf.DUMMYFUNCTION("ARRAY_CONSTRAIN(
  ARRAYFORMULA(
    IF(
      'Final Report'!A251="""",
      """",
      TEXTJOIN(
        "", "" &amp; CHAR(10),
        TRUE,
        IFERROR(
          VLOOKUP(
            TRIM(
              SPLIT('Final Report'!A251, "","")
           "&amp;" ),
            'URL Details'!A:B,
            2,
            FALSE
          ),
          """"
        )
      )
    )
  ),
  1,
  1
)
"),"")</f>
        <v/>
      </c>
      <c r="C251" s="105" t="str">
        <f>IFERROR(__xludf.DUMMYFUNCTION("IFERROR(IF('Final Report'!A251="""","""", TEXTJOIN(CHAR(10), TRUE, ARRAYFORMULA( ""• ""&amp; FILTER( TRIM(FLATTEN(SPLIT( REGEXREPLACE( SUBSTITUTE(TEXTJOIN("","", TRUE, IFERROR(ARRAYFORMULA(VLOOKUP(TRIM(SPLIT('Final Report'!A251, "","")), 'URL Details'!A:D, 4,"&amp;" FALSE)),"""") ), CHAR(10), "",""), ""\s*,\s*"", "",""), "",""))), TRIM(FLATTEN(SPLIT( REGEXREPLACE( SUBSTITUTE(TEXTJOIN("","", TRUE, IFERROR(ARRAYFORMULA(VLOOKUP(TRIM(SPLIT('Final Report'!A251, "","")), 'URL Details'!A:D, 4, FALSE)),"""") ), CHAR(10), """&amp;",""), ""\s*,\s*"", "",""), "","")))&lt;&gt;"""" ) ) ) ),"""")
"),"")</f>
        <v/>
      </c>
      <c r="D251" s="105"/>
      <c r="E251" s="105"/>
      <c r="F251" s="110" t="b">
        <v>0</v>
      </c>
      <c r="G251" s="105" t="str">
        <f>IF(F251=True, IFERROR(VLOOKUP(D251, Repository!A:B, 2, 0), ""), "")</f>
        <v/>
      </c>
      <c r="H251" s="105"/>
      <c r="I251" s="105"/>
      <c r="J251" s="105" t="str">
        <f>IF(F251=True, IFERROR(VLOOKUP(D251, Repository!A:C, 3, 0), ""), "")</f>
        <v/>
      </c>
      <c r="K251" s="105"/>
      <c r="L251" s="105" t="str">
        <f>IF(F251=True, IFERROR(VLOOKUP(D251, Repository!A:E, 5, 0), ""), "")</f>
        <v/>
      </c>
      <c r="M251" s="105"/>
      <c r="N251" s="105" t="str">
        <f>IF(F251=True, IFERROR(VLOOKUP(D251, Repository!A:G, 7, 0), ""), "")</f>
        <v/>
      </c>
      <c r="O251" s="105" t="str">
        <f>IFERROR(__xludf.DUMMYFUNCTION("ARRAY_CONSTRAIN(
  ARRAYFORMULA(
    IFERROR(
      LET(
        list, N251,
        arr, TRIM(SPLIT(list, "","")),
        names, XLOOKUP(
          arr,
          'Conformance Score'!A:A,
          'Conformance Score'!B:B,
          ""Not found""
      "&amp;"  ),
        TEXTJOIN("", "", TRUE, names)
      ),
      """"
    )
  ),
  1,
  1
)
"),"")</f>
        <v/>
      </c>
      <c r="P251" s="105" t="str">
        <f>IF(F251="Yes", IFERROR(VLOOKUP(D251, Repository!A:F, 6, 0), ""), "")</f>
        <v/>
      </c>
      <c r="Q251" s="105" t="str">
        <f>IF(F251="Yes", IFERROR(VLOOKUP(D251, Repository!A:I, 8, 0), ""), "")</f>
        <v/>
      </c>
      <c r="R251" s="105" t="str">
        <f>IF(F251="Yes", IFERROR(VLOOKUP(D251, Repository!A:J, 9, 0), ""), "")</f>
        <v/>
      </c>
      <c r="S251" s="105"/>
      <c r="T251" s="105"/>
      <c r="U251" s="105"/>
      <c r="V251" s="105"/>
      <c r="W251" s="105"/>
      <c r="X251" s="105"/>
      <c r="Y251" s="105"/>
      <c r="Z251" s="105"/>
      <c r="AA251" s="105"/>
      <c r="AB251" s="105"/>
      <c r="AC251" s="91"/>
      <c r="AD251" s="105"/>
      <c r="AE251" s="105"/>
      <c r="AF251" s="91"/>
      <c r="AG251" s="105"/>
      <c r="AH251" s="105"/>
      <c r="AI251" s="105" t="str">
        <f t="shared" si="1"/>
        <v/>
      </c>
      <c r="AJ251" s="108" t="str">
        <f t="shared" si="2"/>
        <v/>
      </c>
    </row>
    <row r="252" ht="15.75" customHeight="1">
      <c r="A252" s="104"/>
      <c r="B252" s="105" t="str">
        <f>IFERROR(__xludf.DUMMYFUNCTION("ARRAY_CONSTRAIN(
  ARRAYFORMULA(
    IF(
      'Final Report'!A252="""",
      """",
      TEXTJOIN(
        "", "" &amp; CHAR(10),
        TRUE,
        IFERROR(
          VLOOKUP(
            TRIM(
              SPLIT('Final Report'!A252, "","")
           "&amp;" ),
            'URL Details'!A:B,
            2,
            FALSE
          ),
          """"
        )
      )
    )
  ),
  1,
  1
)
"),"")</f>
        <v/>
      </c>
      <c r="C252" s="105" t="str">
        <f>IFERROR(__xludf.DUMMYFUNCTION("IFERROR(IF('Final Report'!A252="""","""", TEXTJOIN(CHAR(10), TRUE, ARRAYFORMULA( ""• ""&amp; FILTER( TRIM(FLATTEN(SPLIT( REGEXREPLACE( SUBSTITUTE(TEXTJOIN("","", TRUE, IFERROR(ARRAYFORMULA(VLOOKUP(TRIM(SPLIT('Final Report'!A252, "","")), 'URL Details'!A:D, 4,"&amp;" FALSE)),"""") ), CHAR(10), "",""), ""\s*,\s*"", "",""), "",""))), TRIM(FLATTEN(SPLIT( REGEXREPLACE( SUBSTITUTE(TEXTJOIN("","", TRUE, IFERROR(ARRAYFORMULA(VLOOKUP(TRIM(SPLIT('Final Report'!A252, "","")), 'URL Details'!A:D, 4, FALSE)),"""") ), CHAR(10), """&amp;",""), ""\s*,\s*"", "",""), "","")))&lt;&gt;"""" ) ) ) ),"""")
"),"")</f>
        <v/>
      </c>
      <c r="D252" s="105"/>
      <c r="E252" s="105"/>
      <c r="F252" s="110" t="b">
        <v>0</v>
      </c>
      <c r="G252" s="105" t="str">
        <f>IF(F252=True, IFERROR(VLOOKUP(D252, Repository!A:B, 2, 0), ""), "")</f>
        <v/>
      </c>
      <c r="H252" s="105"/>
      <c r="I252" s="105"/>
      <c r="J252" s="105" t="str">
        <f>IF(F252=True, IFERROR(VLOOKUP(D252, Repository!A:C, 3, 0), ""), "")</f>
        <v/>
      </c>
      <c r="K252" s="105"/>
      <c r="L252" s="105" t="str">
        <f>IF(F252=True, IFERROR(VLOOKUP(D252, Repository!A:E, 5, 0), ""), "")</f>
        <v/>
      </c>
      <c r="M252" s="105"/>
      <c r="N252" s="105" t="str">
        <f>IF(F252=True, IFERROR(VLOOKUP(D252, Repository!A:G, 7, 0), ""), "")</f>
        <v/>
      </c>
      <c r="O252" s="105" t="str">
        <f>IFERROR(__xludf.DUMMYFUNCTION("ARRAY_CONSTRAIN(
  ARRAYFORMULA(
    IFERROR(
      LET(
        list, N252,
        arr, TRIM(SPLIT(list, "","")),
        names, XLOOKUP(
          arr,
          'Conformance Score'!A:A,
          'Conformance Score'!B:B,
          ""Not found""
      "&amp;"  ),
        TEXTJOIN("", "", TRUE, names)
      ),
      """"
    )
  ),
  1,
  1
)
"),"")</f>
        <v/>
      </c>
      <c r="P252" s="105" t="str">
        <f>IF(F252="Yes", IFERROR(VLOOKUP(D252, Repository!A:F, 6, 0), ""), "")</f>
        <v/>
      </c>
      <c r="Q252" s="105" t="str">
        <f>IF(F252="Yes", IFERROR(VLOOKUP(D252, Repository!A:I, 8, 0), ""), "")</f>
        <v/>
      </c>
      <c r="R252" s="105" t="str">
        <f>IF(F252="Yes", IFERROR(VLOOKUP(D252, Repository!A:J, 9, 0), ""), "")</f>
        <v/>
      </c>
      <c r="S252" s="105"/>
      <c r="T252" s="105"/>
      <c r="U252" s="105"/>
      <c r="V252" s="105"/>
      <c r="W252" s="105"/>
      <c r="X252" s="105"/>
      <c r="Y252" s="105"/>
      <c r="Z252" s="105"/>
      <c r="AA252" s="105"/>
      <c r="AB252" s="105"/>
      <c r="AC252" s="91"/>
      <c r="AD252" s="105"/>
      <c r="AE252" s="105"/>
      <c r="AF252" s="91"/>
      <c r="AG252" s="105"/>
      <c r="AH252" s="105"/>
      <c r="AI252" s="105" t="str">
        <f t="shared" si="1"/>
        <v/>
      </c>
      <c r="AJ252" s="108" t="str">
        <f t="shared" si="2"/>
        <v/>
      </c>
    </row>
    <row r="253" ht="15.75" customHeight="1">
      <c r="A253" s="104"/>
      <c r="B253" s="105" t="str">
        <f>IFERROR(__xludf.DUMMYFUNCTION("ARRAY_CONSTRAIN(
  ARRAYFORMULA(
    IF(
      'Final Report'!A253="""",
      """",
      TEXTJOIN(
        "", "" &amp; CHAR(10),
        TRUE,
        IFERROR(
          VLOOKUP(
            TRIM(
              SPLIT('Final Report'!A253, "","")
           "&amp;" ),
            'URL Details'!A:B,
            2,
            FALSE
          ),
          """"
        )
      )
    )
  ),
  1,
  1
)
"),"")</f>
        <v/>
      </c>
      <c r="C253" s="105" t="str">
        <f>IFERROR(__xludf.DUMMYFUNCTION("IFERROR(IF('Final Report'!A253="""","""", TEXTJOIN(CHAR(10), TRUE, ARRAYFORMULA( ""• ""&amp; FILTER( TRIM(FLATTEN(SPLIT( REGEXREPLACE( SUBSTITUTE(TEXTJOIN("","", TRUE, IFERROR(ARRAYFORMULA(VLOOKUP(TRIM(SPLIT('Final Report'!A253, "","")), 'URL Details'!A:D, 4,"&amp;" FALSE)),"""") ), CHAR(10), "",""), ""\s*,\s*"", "",""), "",""))), TRIM(FLATTEN(SPLIT( REGEXREPLACE( SUBSTITUTE(TEXTJOIN("","", TRUE, IFERROR(ARRAYFORMULA(VLOOKUP(TRIM(SPLIT('Final Report'!A253, "","")), 'URL Details'!A:D, 4, FALSE)),"""") ), CHAR(10), """&amp;",""), ""\s*,\s*"", "",""), "","")))&lt;&gt;"""" ) ) ) ),"""")
"),"")</f>
        <v/>
      </c>
      <c r="D253" s="105"/>
      <c r="E253" s="105"/>
      <c r="F253" s="110" t="b">
        <v>0</v>
      </c>
      <c r="G253" s="105" t="str">
        <f>IF(F253=True, IFERROR(VLOOKUP(D253, Repository!A:B, 2, 0), ""), "")</f>
        <v/>
      </c>
      <c r="H253" s="105"/>
      <c r="I253" s="105"/>
      <c r="J253" s="105" t="str">
        <f>IF(F253=True, IFERROR(VLOOKUP(D253, Repository!A:C, 3, 0), ""), "")</f>
        <v/>
      </c>
      <c r="K253" s="105"/>
      <c r="L253" s="105" t="str">
        <f>IF(F253=True, IFERROR(VLOOKUP(D253, Repository!A:E, 5, 0), ""), "")</f>
        <v/>
      </c>
      <c r="M253" s="105"/>
      <c r="N253" s="105" t="str">
        <f>IF(F253=True, IFERROR(VLOOKUP(D253, Repository!A:G, 7, 0), ""), "")</f>
        <v/>
      </c>
      <c r="O253" s="105" t="str">
        <f>IFERROR(__xludf.DUMMYFUNCTION("ARRAY_CONSTRAIN(
  ARRAYFORMULA(
    IFERROR(
      LET(
        list, N253,
        arr, TRIM(SPLIT(list, "","")),
        names, XLOOKUP(
          arr,
          'Conformance Score'!A:A,
          'Conformance Score'!B:B,
          ""Not found""
      "&amp;"  ),
        TEXTJOIN("", "", TRUE, names)
      ),
      """"
    )
  ),
  1,
  1
)
"),"")</f>
        <v/>
      </c>
      <c r="P253" s="105" t="str">
        <f>IF(F253="Yes", IFERROR(VLOOKUP(D253, Repository!A:F, 6, 0), ""), "")</f>
        <v/>
      </c>
      <c r="Q253" s="105" t="str">
        <f>IF(F253="Yes", IFERROR(VLOOKUP(D253, Repository!A:I, 8, 0), ""), "")</f>
        <v/>
      </c>
      <c r="R253" s="105" t="str">
        <f>IF(F253="Yes", IFERROR(VLOOKUP(D253, Repository!A:J, 9, 0), ""), "")</f>
        <v/>
      </c>
      <c r="S253" s="105"/>
      <c r="T253" s="105"/>
      <c r="U253" s="105"/>
      <c r="V253" s="105"/>
      <c r="W253" s="105"/>
      <c r="X253" s="105"/>
      <c r="Y253" s="105"/>
      <c r="Z253" s="105"/>
      <c r="AA253" s="105"/>
      <c r="AB253" s="105"/>
      <c r="AC253" s="91"/>
      <c r="AD253" s="105"/>
      <c r="AE253" s="105"/>
      <c r="AF253" s="91"/>
      <c r="AG253" s="105"/>
      <c r="AH253" s="105"/>
      <c r="AI253" s="105" t="str">
        <f t="shared" si="1"/>
        <v/>
      </c>
      <c r="AJ253" s="108" t="str">
        <f t="shared" si="2"/>
        <v/>
      </c>
    </row>
    <row r="254" ht="15.75" customHeight="1">
      <c r="A254" s="104"/>
      <c r="B254" s="105" t="str">
        <f>IFERROR(__xludf.DUMMYFUNCTION("ARRAY_CONSTRAIN(
  ARRAYFORMULA(
    IF(
      'Final Report'!A254="""",
      """",
      TEXTJOIN(
        "", "" &amp; CHAR(10),
        TRUE,
        IFERROR(
          VLOOKUP(
            TRIM(
              SPLIT('Final Report'!A254, "","")
           "&amp;" ),
            'URL Details'!A:B,
            2,
            FALSE
          ),
          """"
        )
      )
    )
  ),
  1,
  1
)
"),"")</f>
        <v/>
      </c>
      <c r="C254" s="105" t="str">
        <f>IFERROR(__xludf.DUMMYFUNCTION("IFERROR(IF('Final Report'!A254="""","""", TEXTJOIN(CHAR(10), TRUE, ARRAYFORMULA( ""• ""&amp; FILTER( TRIM(FLATTEN(SPLIT( REGEXREPLACE( SUBSTITUTE(TEXTJOIN("","", TRUE, IFERROR(ARRAYFORMULA(VLOOKUP(TRIM(SPLIT('Final Report'!A254, "","")), 'URL Details'!A:D, 4,"&amp;" FALSE)),"""") ), CHAR(10), "",""), ""\s*,\s*"", "",""), "",""))), TRIM(FLATTEN(SPLIT( REGEXREPLACE( SUBSTITUTE(TEXTJOIN("","", TRUE, IFERROR(ARRAYFORMULA(VLOOKUP(TRIM(SPLIT('Final Report'!A254, "","")), 'URL Details'!A:D, 4, FALSE)),"""") ), CHAR(10), """&amp;",""), ""\s*,\s*"", "",""), "","")))&lt;&gt;"""" ) ) ) ),"""")
"),"")</f>
        <v/>
      </c>
      <c r="D254" s="105"/>
      <c r="E254" s="105"/>
      <c r="F254" s="110" t="b">
        <v>0</v>
      </c>
      <c r="G254" s="105" t="str">
        <f>IF(F254=True, IFERROR(VLOOKUP(D254, Repository!A:B, 2, 0), ""), "")</f>
        <v/>
      </c>
      <c r="H254" s="105"/>
      <c r="I254" s="105"/>
      <c r="J254" s="105" t="str">
        <f>IF(F254=True, IFERROR(VLOOKUP(D254, Repository!A:C, 3, 0), ""), "")</f>
        <v/>
      </c>
      <c r="K254" s="105"/>
      <c r="L254" s="105" t="str">
        <f>IF(F254=True, IFERROR(VLOOKUP(D254, Repository!A:E, 5, 0), ""), "")</f>
        <v/>
      </c>
      <c r="M254" s="105"/>
      <c r="N254" s="105" t="str">
        <f>IF(F254=True, IFERROR(VLOOKUP(D254, Repository!A:G, 7, 0), ""), "")</f>
        <v/>
      </c>
      <c r="O254" s="105" t="str">
        <f>IFERROR(__xludf.DUMMYFUNCTION("ARRAY_CONSTRAIN(
  ARRAYFORMULA(
    IFERROR(
      LET(
        list, N254,
        arr, TRIM(SPLIT(list, "","")),
        names, XLOOKUP(
          arr,
          'Conformance Score'!A:A,
          'Conformance Score'!B:B,
          ""Not found""
      "&amp;"  ),
        TEXTJOIN("", "", TRUE, names)
      ),
      """"
    )
  ),
  1,
  1
)
"),"")</f>
        <v/>
      </c>
      <c r="P254" s="105" t="str">
        <f>IF(F254="Yes", IFERROR(VLOOKUP(D254, Repository!A:F, 6, 0), ""), "")</f>
        <v/>
      </c>
      <c r="Q254" s="105" t="str">
        <f>IF(F254="Yes", IFERROR(VLOOKUP(D254, Repository!A:I, 8, 0), ""), "")</f>
        <v/>
      </c>
      <c r="R254" s="105" t="str">
        <f>IF(F254="Yes", IFERROR(VLOOKUP(D254, Repository!A:J, 9, 0), ""), "")</f>
        <v/>
      </c>
      <c r="S254" s="105"/>
      <c r="T254" s="105"/>
      <c r="U254" s="105"/>
      <c r="V254" s="105"/>
      <c r="W254" s="105"/>
      <c r="X254" s="105"/>
      <c r="Y254" s="105"/>
      <c r="Z254" s="105"/>
      <c r="AA254" s="105"/>
      <c r="AB254" s="105"/>
      <c r="AC254" s="91"/>
      <c r="AD254" s="105"/>
      <c r="AE254" s="105"/>
      <c r="AF254" s="91"/>
      <c r="AG254" s="105"/>
      <c r="AH254" s="105"/>
      <c r="AI254" s="105" t="str">
        <f t="shared" si="1"/>
        <v/>
      </c>
      <c r="AJ254" s="108" t="str">
        <f t="shared" si="2"/>
        <v/>
      </c>
    </row>
    <row r="255" ht="15.75" customHeight="1">
      <c r="A255" s="104"/>
      <c r="B255" s="105" t="str">
        <f>IFERROR(__xludf.DUMMYFUNCTION("ARRAY_CONSTRAIN(
  ARRAYFORMULA(
    IF(
      'Final Report'!A255="""",
      """",
      TEXTJOIN(
        "", "" &amp; CHAR(10),
        TRUE,
        IFERROR(
          VLOOKUP(
            TRIM(
              SPLIT('Final Report'!A255, "","")
           "&amp;" ),
            'URL Details'!A:B,
            2,
            FALSE
          ),
          """"
        )
      )
    )
  ),
  1,
  1
)
"),"")</f>
        <v/>
      </c>
      <c r="C255" s="105" t="str">
        <f>IFERROR(__xludf.DUMMYFUNCTION("IFERROR(IF('Final Report'!A255="""","""", TEXTJOIN(CHAR(10), TRUE, ARRAYFORMULA( ""• ""&amp; FILTER( TRIM(FLATTEN(SPLIT( REGEXREPLACE( SUBSTITUTE(TEXTJOIN("","", TRUE, IFERROR(ARRAYFORMULA(VLOOKUP(TRIM(SPLIT('Final Report'!A255, "","")), 'URL Details'!A:D, 4,"&amp;" FALSE)),"""") ), CHAR(10), "",""), ""\s*,\s*"", "",""), "",""))), TRIM(FLATTEN(SPLIT( REGEXREPLACE( SUBSTITUTE(TEXTJOIN("","", TRUE, IFERROR(ARRAYFORMULA(VLOOKUP(TRIM(SPLIT('Final Report'!A255, "","")), 'URL Details'!A:D, 4, FALSE)),"""") ), CHAR(10), """&amp;",""), ""\s*,\s*"", "",""), "","")))&lt;&gt;"""" ) ) ) ),"""")
"),"")</f>
        <v/>
      </c>
      <c r="D255" s="105"/>
      <c r="E255" s="105"/>
      <c r="F255" s="110" t="b">
        <v>0</v>
      </c>
      <c r="G255" s="105" t="str">
        <f>IF(F255=True, IFERROR(VLOOKUP(D255, Repository!A:B, 2, 0), ""), "")</f>
        <v/>
      </c>
      <c r="H255" s="105"/>
      <c r="I255" s="105"/>
      <c r="J255" s="105" t="str">
        <f>IF(F255=True, IFERROR(VLOOKUP(D255, Repository!A:C, 3, 0), ""), "")</f>
        <v/>
      </c>
      <c r="K255" s="105"/>
      <c r="L255" s="105" t="str">
        <f>IF(F255=True, IFERROR(VLOOKUP(D255, Repository!A:E, 5, 0), ""), "")</f>
        <v/>
      </c>
      <c r="M255" s="105"/>
      <c r="N255" s="105" t="str">
        <f>IF(F255=True, IFERROR(VLOOKUP(D255, Repository!A:G, 7, 0), ""), "")</f>
        <v/>
      </c>
      <c r="O255" s="105" t="str">
        <f>IFERROR(__xludf.DUMMYFUNCTION("ARRAY_CONSTRAIN(
  ARRAYFORMULA(
    IFERROR(
      LET(
        list, N255,
        arr, TRIM(SPLIT(list, "","")),
        names, XLOOKUP(
          arr,
          'Conformance Score'!A:A,
          'Conformance Score'!B:B,
          ""Not found""
      "&amp;"  ),
        TEXTJOIN("", "", TRUE, names)
      ),
      """"
    )
  ),
  1,
  1
)
"),"")</f>
        <v/>
      </c>
      <c r="P255" s="105" t="str">
        <f>IF(F255="Yes", IFERROR(VLOOKUP(D255, Repository!A:F, 6, 0), ""), "")</f>
        <v/>
      </c>
      <c r="Q255" s="105" t="str">
        <f>IF(F255="Yes", IFERROR(VLOOKUP(D255, Repository!A:I, 8, 0), ""), "")</f>
        <v/>
      </c>
      <c r="R255" s="105" t="str">
        <f>IF(F255="Yes", IFERROR(VLOOKUP(D255, Repository!A:J, 9, 0), ""), "")</f>
        <v/>
      </c>
      <c r="S255" s="105"/>
      <c r="T255" s="105"/>
      <c r="U255" s="105"/>
      <c r="V255" s="105"/>
      <c r="W255" s="105"/>
      <c r="X255" s="105"/>
      <c r="Y255" s="105"/>
      <c r="Z255" s="105"/>
      <c r="AA255" s="105"/>
      <c r="AB255" s="105"/>
      <c r="AC255" s="91"/>
      <c r="AD255" s="105"/>
      <c r="AE255" s="105"/>
      <c r="AF255" s="91"/>
      <c r="AG255" s="105"/>
      <c r="AH255" s="105"/>
      <c r="AI255" s="105" t="str">
        <f t="shared" si="1"/>
        <v/>
      </c>
      <c r="AJ255" s="108" t="str">
        <f t="shared" si="2"/>
        <v/>
      </c>
    </row>
    <row r="256" ht="15.75" customHeight="1">
      <c r="A256" s="104"/>
      <c r="B256" s="105" t="str">
        <f>IFERROR(__xludf.DUMMYFUNCTION("ARRAY_CONSTRAIN(
  ARRAYFORMULA(
    IF(
      'Final Report'!A256="""",
      """",
      TEXTJOIN(
        "", "" &amp; CHAR(10),
        TRUE,
        IFERROR(
          VLOOKUP(
            TRIM(
              SPLIT('Final Report'!A256, "","")
           "&amp;" ),
            'URL Details'!A:B,
            2,
            FALSE
          ),
          """"
        )
      )
    )
  ),
  1,
  1
)
"),"")</f>
        <v/>
      </c>
      <c r="C256" s="105" t="str">
        <f>IFERROR(__xludf.DUMMYFUNCTION("IFERROR(IF('Final Report'!A256="""","""", TEXTJOIN(CHAR(10), TRUE, ARRAYFORMULA( ""• ""&amp; FILTER( TRIM(FLATTEN(SPLIT( REGEXREPLACE( SUBSTITUTE(TEXTJOIN("","", TRUE, IFERROR(ARRAYFORMULA(VLOOKUP(TRIM(SPLIT('Final Report'!A256, "","")), 'URL Details'!A:D, 4,"&amp;" FALSE)),"""") ), CHAR(10), "",""), ""\s*,\s*"", "",""), "",""))), TRIM(FLATTEN(SPLIT( REGEXREPLACE( SUBSTITUTE(TEXTJOIN("","", TRUE, IFERROR(ARRAYFORMULA(VLOOKUP(TRIM(SPLIT('Final Report'!A256, "","")), 'URL Details'!A:D, 4, FALSE)),"""") ), CHAR(10), """&amp;",""), ""\s*,\s*"", "",""), "","")))&lt;&gt;"""" ) ) ) ),"""")
"),"")</f>
        <v/>
      </c>
      <c r="D256" s="105"/>
      <c r="E256" s="105"/>
      <c r="F256" s="110" t="b">
        <v>0</v>
      </c>
      <c r="G256" s="105" t="str">
        <f>IF(F256=True, IFERROR(VLOOKUP(D256, Repository!A:B, 2, 0), ""), "")</f>
        <v/>
      </c>
      <c r="H256" s="105"/>
      <c r="I256" s="105"/>
      <c r="J256" s="105" t="str">
        <f>IF(F256=True, IFERROR(VLOOKUP(D256, Repository!A:C, 3, 0), ""), "")</f>
        <v/>
      </c>
      <c r="K256" s="105"/>
      <c r="L256" s="105" t="str">
        <f>IF(F256=True, IFERROR(VLOOKUP(D256, Repository!A:E, 5, 0), ""), "")</f>
        <v/>
      </c>
      <c r="M256" s="105"/>
      <c r="N256" s="105" t="str">
        <f>IF(F256=True, IFERROR(VLOOKUP(D256, Repository!A:G, 7, 0), ""), "")</f>
        <v/>
      </c>
      <c r="O256" s="105" t="str">
        <f>IFERROR(__xludf.DUMMYFUNCTION("ARRAY_CONSTRAIN(
  ARRAYFORMULA(
    IFERROR(
      LET(
        list, N256,
        arr, TRIM(SPLIT(list, "","")),
        names, XLOOKUP(
          arr,
          'Conformance Score'!A:A,
          'Conformance Score'!B:B,
          ""Not found""
      "&amp;"  ),
        TEXTJOIN("", "", TRUE, names)
      ),
      """"
    )
  ),
  1,
  1
)
"),"")</f>
        <v/>
      </c>
      <c r="P256" s="105" t="str">
        <f>IF(F256="Yes", IFERROR(VLOOKUP(D256, Repository!A:F, 6, 0), ""), "")</f>
        <v/>
      </c>
      <c r="Q256" s="105" t="str">
        <f>IF(F256="Yes", IFERROR(VLOOKUP(D256, Repository!A:I, 8, 0), ""), "")</f>
        <v/>
      </c>
      <c r="R256" s="105" t="str">
        <f>IF(F256="Yes", IFERROR(VLOOKUP(D256, Repository!A:J, 9, 0), ""), "")</f>
        <v/>
      </c>
      <c r="S256" s="105"/>
      <c r="T256" s="105"/>
      <c r="U256" s="105"/>
      <c r="V256" s="105"/>
      <c r="W256" s="105"/>
      <c r="X256" s="105"/>
      <c r="Y256" s="105"/>
      <c r="Z256" s="105"/>
      <c r="AA256" s="105"/>
      <c r="AB256" s="105"/>
      <c r="AC256" s="91"/>
      <c r="AD256" s="105"/>
      <c r="AE256" s="105"/>
      <c r="AF256" s="91"/>
      <c r="AG256" s="105"/>
      <c r="AH256" s="105"/>
      <c r="AI256" s="105" t="str">
        <f t="shared" si="1"/>
        <v/>
      </c>
      <c r="AJ256" s="108" t="str">
        <f t="shared" si="2"/>
        <v/>
      </c>
    </row>
    <row r="257" ht="15.75" customHeight="1">
      <c r="A257" s="104"/>
      <c r="B257" s="105" t="str">
        <f>IFERROR(__xludf.DUMMYFUNCTION("ARRAY_CONSTRAIN(
  ARRAYFORMULA(
    IF(
      'Final Report'!A257="""",
      """",
      TEXTJOIN(
        "", "" &amp; CHAR(10),
        TRUE,
        IFERROR(
          VLOOKUP(
            TRIM(
              SPLIT('Final Report'!A257, "","")
           "&amp;" ),
            'URL Details'!A:B,
            2,
            FALSE
          ),
          """"
        )
      )
    )
  ),
  1,
  1
)
"),"")</f>
        <v/>
      </c>
      <c r="C257" s="105" t="str">
        <f>IFERROR(__xludf.DUMMYFUNCTION("IFERROR(IF('Final Report'!A257="""","""", TEXTJOIN(CHAR(10), TRUE, ARRAYFORMULA( ""• ""&amp; FILTER( TRIM(FLATTEN(SPLIT( REGEXREPLACE( SUBSTITUTE(TEXTJOIN("","", TRUE, IFERROR(ARRAYFORMULA(VLOOKUP(TRIM(SPLIT('Final Report'!A257, "","")), 'URL Details'!A:D, 4,"&amp;" FALSE)),"""") ), CHAR(10), "",""), ""\s*,\s*"", "",""), "",""))), TRIM(FLATTEN(SPLIT( REGEXREPLACE( SUBSTITUTE(TEXTJOIN("","", TRUE, IFERROR(ARRAYFORMULA(VLOOKUP(TRIM(SPLIT('Final Report'!A257, "","")), 'URL Details'!A:D, 4, FALSE)),"""") ), CHAR(10), """&amp;",""), ""\s*,\s*"", "",""), "","")))&lt;&gt;"""" ) ) ) ),"""")
"),"")</f>
        <v/>
      </c>
      <c r="D257" s="105"/>
      <c r="E257" s="105"/>
      <c r="F257" s="110" t="b">
        <v>0</v>
      </c>
      <c r="G257" s="105" t="str">
        <f>IF(F257=True, IFERROR(VLOOKUP(D257, Repository!A:B, 2, 0), ""), "")</f>
        <v/>
      </c>
      <c r="H257" s="105"/>
      <c r="I257" s="105"/>
      <c r="J257" s="105" t="str">
        <f>IF(F257=True, IFERROR(VLOOKUP(D257, Repository!A:C, 3, 0), ""), "")</f>
        <v/>
      </c>
      <c r="K257" s="105"/>
      <c r="L257" s="105" t="str">
        <f>IF(F257=True, IFERROR(VLOOKUP(D257, Repository!A:E, 5, 0), ""), "")</f>
        <v/>
      </c>
      <c r="M257" s="105"/>
      <c r="N257" s="105" t="str">
        <f>IF(F257=True, IFERROR(VLOOKUP(D257, Repository!A:G, 7, 0), ""), "")</f>
        <v/>
      </c>
      <c r="O257" s="105" t="str">
        <f>IFERROR(__xludf.DUMMYFUNCTION("ARRAY_CONSTRAIN(
  ARRAYFORMULA(
    IFERROR(
      LET(
        list, N257,
        arr, TRIM(SPLIT(list, "","")),
        names, XLOOKUP(
          arr,
          'Conformance Score'!A:A,
          'Conformance Score'!B:B,
          ""Not found""
      "&amp;"  ),
        TEXTJOIN("", "", TRUE, names)
      ),
      """"
    )
  ),
  1,
  1
)
"),"")</f>
        <v/>
      </c>
      <c r="P257" s="105" t="str">
        <f>IF(F257="Yes", IFERROR(VLOOKUP(D257, Repository!A:F, 6, 0), ""), "")</f>
        <v/>
      </c>
      <c r="Q257" s="105" t="str">
        <f>IF(F257="Yes", IFERROR(VLOOKUP(D257, Repository!A:I, 8, 0), ""), "")</f>
        <v/>
      </c>
      <c r="R257" s="105" t="str">
        <f>IF(F257="Yes", IFERROR(VLOOKUP(D257, Repository!A:J, 9, 0), ""), "")</f>
        <v/>
      </c>
      <c r="S257" s="105"/>
      <c r="T257" s="105"/>
      <c r="U257" s="105"/>
      <c r="V257" s="105"/>
      <c r="W257" s="105"/>
      <c r="X257" s="105"/>
      <c r="Y257" s="105"/>
      <c r="Z257" s="105"/>
      <c r="AA257" s="105"/>
      <c r="AB257" s="105"/>
      <c r="AC257" s="91"/>
      <c r="AD257" s="105"/>
      <c r="AE257" s="105"/>
      <c r="AF257" s="91"/>
      <c r="AG257" s="105"/>
      <c r="AH257" s="105"/>
      <c r="AI257" s="105" t="str">
        <f t="shared" si="1"/>
        <v/>
      </c>
      <c r="AJ257" s="108" t="str">
        <f t="shared" si="2"/>
        <v/>
      </c>
    </row>
    <row r="258" ht="15.75" customHeight="1">
      <c r="A258" s="104"/>
      <c r="B258" s="105" t="str">
        <f>IFERROR(__xludf.DUMMYFUNCTION("ARRAY_CONSTRAIN(
  ARRAYFORMULA(
    IF(
      'Final Report'!A258="""",
      """",
      TEXTJOIN(
        "", "" &amp; CHAR(10),
        TRUE,
        IFERROR(
          VLOOKUP(
            TRIM(
              SPLIT('Final Report'!A258, "","")
           "&amp;" ),
            'URL Details'!A:B,
            2,
            FALSE
          ),
          """"
        )
      )
    )
  ),
  1,
  1
)
"),"")</f>
        <v/>
      </c>
      <c r="C258" s="105" t="str">
        <f>IFERROR(__xludf.DUMMYFUNCTION("IFERROR(IF('Final Report'!A258="""","""", TEXTJOIN(CHAR(10), TRUE, ARRAYFORMULA( ""• ""&amp; FILTER( TRIM(FLATTEN(SPLIT( REGEXREPLACE( SUBSTITUTE(TEXTJOIN("","", TRUE, IFERROR(ARRAYFORMULA(VLOOKUP(TRIM(SPLIT('Final Report'!A258, "","")), 'URL Details'!A:D, 4,"&amp;" FALSE)),"""") ), CHAR(10), "",""), ""\s*,\s*"", "",""), "",""))), TRIM(FLATTEN(SPLIT( REGEXREPLACE( SUBSTITUTE(TEXTJOIN("","", TRUE, IFERROR(ARRAYFORMULA(VLOOKUP(TRIM(SPLIT('Final Report'!A258, "","")), 'URL Details'!A:D, 4, FALSE)),"""") ), CHAR(10), """&amp;",""), ""\s*,\s*"", "",""), "","")))&lt;&gt;"""" ) ) ) ),"""")
"),"")</f>
        <v/>
      </c>
      <c r="D258" s="105"/>
      <c r="E258" s="105"/>
      <c r="F258" s="110" t="b">
        <v>0</v>
      </c>
      <c r="G258" s="105" t="str">
        <f>IF(F258=True, IFERROR(VLOOKUP(D258, Repository!A:B, 2, 0), ""), "")</f>
        <v/>
      </c>
      <c r="H258" s="105"/>
      <c r="I258" s="105"/>
      <c r="J258" s="105" t="str">
        <f>IF(F258=True, IFERROR(VLOOKUP(D258, Repository!A:C, 3, 0), ""), "")</f>
        <v/>
      </c>
      <c r="K258" s="105"/>
      <c r="L258" s="105" t="str">
        <f>IF(F258=True, IFERROR(VLOOKUP(D258, Repository!A:E, 5, 0), ""), "")</f>
        <v/>
      </c>
      <c r="M258" s="105"/>
      <c r="N258" s="105" t="str">
        <f>IF(F258=True, IFERROR(VLOOKUP(D258, Repository!A:G, 7, 0), ""), "")</f>
        <v/>
      </c>
      <c r="O258" s="105" t="str">
        <f>IFERROR(__xludf.DUMMYFUNCTION("ARRAY_CONSTRAIN(
  ARRAYFORMULA(
    IFERROR(
      LET(
        list, N258,
        arr, TRIM(SPLIT(list, "","")),
        names, XLOOKUP(
          arr,
          'Conformance Score'!A:A,
          'Conformance Score'!B:B,
          ""Not found""
      "&amp;"  ),
        TEXTJOIN("", "", TRUE, names)
      ),
      """"
    )
  ),
  1,
  1
)
"),"")</f>
        <v/>
      </c>
      <c r="P258" s="105" t="str">
        <f>IF(F258="Yes", IFERROR(VLOOKUP(D258, Repository!A:F, 6, 0), ""), "")</f>
        <v/>
      </c>
      <c r="Q258" s="105" t="str">
        <f>IF(F258="Yes", IFERROR(VLOOKUP(D258, Repository!A:I, 8, 0), ""), "")</f>
        <v/>
      </c>
      <c r="R258" s="105" t="str">
        <f>IF(F258="Yes", IFERROR(VLOOKUP(D258, Repository!A:J, 9, 0), ""), "")</f>
        <v/>
      </c>
      <c r="S258" s="105"/>
      <c r="T258" s="105"/>
      <c r="U258" s="105"/>
      <c r="V258" s="105"/>
      <c r="W258" s="105"/>
      <c r="X258" s="105"/>
      <c r="Y258" s="105"/>
      <c r="Z258" s="105"/>
      <c r="AA258" s="105"/>
      <c r="AB258" s="105"/>
      <c r="AC258" s="91"/>
      <c r="AD258" s="105"/>
      <c r="AE258" s="105"/>
      <c r="AF258" s="91"/>
      <c r="AG258" s="105"/>
      <c r="AH258" s="105"/>
      <c r="AI258" s="105" t="str">
        <f t="shared" si="1"/>
        <v/>
      </c>
      <c r="AJ258" s="108" t="str">
        <f t="shared" si="2"/>
        <v/>
      </c>
    </row>
    <row r="259" ht="15.75" customHeight="1">
      <c r="A259" s="104"/>
      <c r="B259" s="105" t="str">
        <f>IFERROR(__xludf.DUMMYFUNCTION("ARRAY_CONSTRAIN(
  ARRAYFORMULA(
    IF(
      'Final Report'!A259="""",
      """",
      TEXTJOIN(
        "", "" &amp; CHAR(10),
        TRUE,
        IFERROR(
          VLOOKUP(
            TRIM(
              SPLIT('Final Report'!A259, "","")
           "&amp;" ),
            'URL Details'!A:B,
            2,
            FALSE
          ),
          """"
        )
      )
    )
  ),
  1,
  1
)
"),"")</f>
        <v/>
      </c>
      <c r="C259" s="105" t="str">
        <f>IFERROR(__xludf.DUMMYFUNCTION("IFERROR(IF('Final Report'!A259="""","""", TEXTJOIN(CHAR(10), TRUE, ARRAYFORMULA( ""• ""&amp; FILTER( TRIM(FLATTEN(SPLIT( REGEXREPLACE( SUBSTITUTE(TEXTJOIN("","", TRUE, IFERROR(ARRAYFORMULA(VLOOKUP(TRIM(SPLIT('Final Report'!A259, "","")), 'URL Details'!A:D, 4,"&amp;" FALSE)),"""") ), CHAR(10), "",""), ""\s*,\s*"", "",""), "",""))), TRIM(FLATTEN(SPLIT( REGEXREPLACE( SUBSTITUTE(TEXTJOIN("","", TRUE, IFERROR(ARRAYFORMULA(VLOOKUP(TRIM(SPLIT('Final Report'!A259, "","")), 'URL Details'!A:D, 4, FALSE)),"""") ), CHAR(10), """&amp;",""), ""\s*,\s*"", "",""), "","")))&lt;&gt;"""" ) ) ) ),"""")
"),"")</f>
        <v/>
      </c>
      <c r="D259" s="105"/>
      <c r="E259" s="105"/>
      <c r="F259" s="110" t="b">
        <v>0</v>
      </c>
      <c r="G259" s="105" t="str">
        <f>IF(F259=True, IFERROR(VLOOKUP(D259, Repository!A:B, 2, 0), ""), "")</f>
        <v/>
      </c>
      <c r="H259" s="105"/>
      <c r="I259" s="105"/>
      <c r="J259" s="105" t="str">
        <f>IF(F259=True, IFERROR(VLOOKUP(D259, Repository!A:C, 3, 0), ""), "")</f>
        <v/>
      </c>
      <c r="K259" s="105"/>
      <c r="L259" s="105" t="str">
        <f>IF(F259=True, IFERROR(VLOOKUP(D259, Repository!A:E, 5, 0), ""), "")</f>
        <v/>
      </c>
      <c r="M259" s="105"/>
      <c r="N259" s="105" t="str">
        <f>IF(F259=True, IFERROR(VLOOKUP(D259, Repository!A:G, 7, 0), ""), "")</f>
        <v/>
      </c>
      <c r="O259" s="105" t="str">
        <f>IFERROR(__xludf.DUMMYFUNCTION("ARRAY_CONSTRAIN(
  ARRAYFORMULA(
    IFERROR(
      LET(
        list, N259,
        arr, TRIM(SPLIT(list, "","")),
        names, XLOOKUP(
          arr,
          'Conformance Score'!A:A,
          'Conformance Score'!B:B,
          ""Not found""
      "&amp;"  ),
        TEXTJOIN("", "", TRUE, names)
      ),
      """"
    )
  ),
  1,
  1
)
"),"")</f>
        <v/>
      </c>
      <c r="P259" s="105" t="str">
        <f>IF(F259="Yes", IFERROR(VLOOKUP(D259, Repository!A:F, 6, 0), ""), "")</f>
        <v/>
      </c>
      <c r="Q259" s="105" t="str">
        <f>IF(F259="Yes", IFERROR(VLOOKUP(D259, Repository!A:I, 8, 0), ""), "")</f>
        <v/>
      </c>
      <c r="R259" s="105" t="str">
        <f>IF(F259="Yes", IFERROR(VLOOKUP(D259, Repository!A:J, 9, 0), ""), "")</f>
        <v/>
      </c>
      <c r="S259" s="105"/>
      <c r="T259" s="105"/>
      <c r="U259" s="105"/>
      <c r="V259" s="105"/>
      <c r="W259" s="105"/>
      <c r="X259" s="105"/>
      <c r="Y259" s="105"/>
      <c r="Z259" s="105"/>
      <c r="AA259" s="105"/>
      <c r="AB259" s="105"/>
      <c r="AC259" s="91"/>
      <c r="AD259" s="105"/>
      <c r="AE259" s="105"/>
      <c r="AF259" s="91"/>
      <c r="AG259" s="105"/>
      <c r="AH259" s="105"/>
      <c r="AI259" s="105" t="str">
        <f t="shared" si="1"/>
        <v/>
      </c>
      <c r="AJ259" s="108" t="str">
        <f t="shared" si="2"/>
        <v/>
      </c>
    </row>
    <row r="260" ht="15.75" customHeight="1">
      <c r="A260" s="104"/>
      <c r="B260" s="105" t="str">
        <f>IFERROR(__xludf.DUMMYFUNCTION("ARRAY_CONSTRAIN(
  ARRAYFORMULA(
    IF(
      'Final Report'!A260="""",
      """",
      TEXTJOIN(
        "", "" &amp; CHAR(10),
        TRUE,
        IFERROR(
          VLOOKUP(
            TRIM(
              SPLIT('Final Report'!A260, "","")
           "&amp;" ),
            'URL Details'!A:B,
            2,
            FALSE
          ),
          """"
        )
      )
    )
  ),
  1,
  1
)
"),"")</f>
        <v/>
      </c>
      <c r="C260" s="105" t="str">
        <f>IFERROR(__xludf.DUMMYFUNCTION("IFERROR(IF('Final Report'!A260="""","""", TEXTJOIN(CHAR(10), TRUE, ARRAYFORMULA( ""• ""&amp; FILTER( TRIM(FLATTEN(SPLIT( REGEXREPLACE( SUBSTITUTE(TEXTJOIN("","", TRUE, IFERROR(ARRAYFORMULA(VLOOKUP(TRIM(SPLIT('Final Report'!A260, "","")), 'URL Details'!A:D, 4,"&amp;" FALSE)),"""") ), CHAR(10), "",""), ""\s*,\s*"", "",""), "",""))), TRIM(FLATTEN(SPLIT( REGEXREPLACE( SUBSTITUTE(TEXTJOIN("","", TRUE, IFERROR(ARRAYFORMULA(VLOOKUP(TRIM(SPLIT('Final Report'!A260, "","")), 'URL Details'!A:D, 4, FALSE)),"""") ), CHAR(10), """&amp;",""), ""\s*,\s*"", "",""), "","")))&lt;&gt;"""" ) ) ) ),"""")
"),"")</f>
        <v/>
      </c>
      <c r="D260" s="105"/>
      <c r="E260" s="105"/>
      <c r="F260" s="110" t="b">
        <v>0</v>
      </c>
      <c r="G260" s="105" t="str">
        <f>IF(F260=True, IFERROR(VLOOKUP(D260, Repository!A:B, 2, 0), ""), "")</f>
        <v/>
      </c>
      <c r="H260" s="105"/>
      <c r="I260" s="105"/>
      <c r="J260" s="105" t="str">
        <f>IF(F260=True, IFERROR(VLOOKUP(D260, Repository!A:C, 3, 0), ""), "")</f>
        <v/>
      </c>
      <c r="K260" s="105"/>
      <c r="L260" s="105" t="str">
        <f>IF(F260=True, IFERROR(VLOOKUP(D260, Repository!A:E, 5, 0), ""), "")</f>
        <v/>
      </c>
      <c r="M260" s="105"/>
      <c r="N260" s="105" t="str">
        <f>IF(F260=True, IFERROR(VLOOKUP(D260, Repository!A:G, 7, 0), ""), "")</f>
        <v/>
      </c>
      <c r="O260" s="105" t="str">
        <f>IFERROR(__xludf.DUMMYFUNCTION("ARRAY_CONSTRAIN(
  ARRAYFORMULA(
    IFERROR(
      LET(
        list, N260,
        arr, TRIM(SPLIT(list, "","")),
        names, XLOOKUP(
          arr,
          'Conformance Score'!A:A,
          'Conformance Score'!B:B,
          ""Not found""
      "&amp;"  ),
        TEXTJOIN("", "", TRUE, names)
      ),
      """"
    )
  ),
  1,
  1
)
"),"")</f>
        <v/>
      </c>
      <c r="P260" s="105" t="str">
        <f>IF(F260="Yes", IFERROR(VLOOKUP(D260, Repository!A:F, 6, 0), ""), "")</f>
        <v/>
      </c>
      <c r="Q260" s="105" t="str">
        <f>IF(F260="Yes", IFERROR(VLOOKUP(D260, Repository!A:I, 8, 0), ""), "")</f>
        <v/>
      </c>
      <c r="R260" s="105" t="str">
        <f>IF(F260="Yes", IFERROR(VLOOKUP(D260, Repository!A:J, 9, 0), ""), "")</f>
        <v/>
      </c>
      <c r="S260" s="105"/>
      <c r="T260" s="105"/>
      <c r="U260" s="105"/>
      <c r="V260" s="105"/>
      <c r="W260" s="105"/>
      <c r="X260" s="105"/>
      <c r="Y260" s="105"/>
      <c r="Z260" s="105"/>
      <c r="AA260" s="105"/>
      <c r="AB260" s="105"/>
      <c r="AC260" s="91"/>
      <c r="AD260" s="105"/>
      <c r="AE260" s="105"/>
      <c r="AF260" s="91"/>
      <c r="AG260" s="105"/>
      <c r="AH260" s="105"/>
      <c r="AI260" s="105" t="str">
        <f t="shared" si="1"/>
        <v/>
      </c>
      <c r="AJ260" s="108" t="str">
        <f t="shared" si="2"/>
        <v/>
      </c>
    </row>
    <row r="261" ht="15.75" customHeight="1">
      <c r="A261" s="104"/>
      <c r="B261" s="105" t="str">
        <f>IFERROR(__xludf.DUMMYFUNCTION("ARRAY_CONSTRAIN(
  ARRAYFORMULA(
    IF(
      'Final Report'!A261="""",
      """",
      TEXTJOIN(
        "", "" &amp; CHAR(10),
        TRUE,
        IFERROR(
          VLOOKUP(
            TRIM(
              SPLIT('Final Report'!A261, "","")
           "&amp;" ),
            'URL Details'!A:B,
            2,
            FALSE
          ),
          """"
        )
      )
    )
  ),
  1,
  1
)
"),"")</f>
        <v/>
      </c>
      <c r="C261" s="105" t="str">
        <f>IFERROR(__xludf.DUMMYFUNCTION("IFERROR(IF('Final Report'!A261="""","""", TEXTJOIN(CHAR(10), TRUE, ARRAYFORMULA( ""• ""&amp; FILTER( TRIM(FLATTEN(SPLIT( REGEXREPLACE( SUBSTITUTE(TEXTJOIN("","", TRUE, IFERROR(ARRAYFORMULA(VLOOKUP(TRIM(SPLIT('Final Report'!A261, "","")), 'URL Details'!A:D, 4,"&amp;" FALSE)),"""") ), CHAR(10), "",""), ""\s*,\s*"", "",""), "",""))), TRIM(FLATTEN(SPLIT( REGEXREPLACE( SUBSTITUTE(TEXTJOIN("","", TRUE, IFERROR(ARRAYFORMULA(VLOOKUP(TRIM(SPLIT('Final Report'!A261, "","")), 'URL Details'!A:D, 4, FALSE)),"""") ), CHAR(10), """&amp;",""), ""\s*,\s*"", "",""), "","")))&lt;&gt;"""" ) ) ) ),"""")
"),"")</f>
        <v/>
      </c>
      <c r="D261" s="105"/>
      <c r="E261" s="105"/>
      <c r="F261" s="110" t="b">
        <v>0</v>
      </c>
      <c r="G261" s="105" t="str">
        <f>IF(F261=True, IFERROR(VLOOKUP(D261, Repository!A:B, 2, 0), ""), "")</f>
        <v/>
      </c>
      <c r="H261" s="105"/>
      <c r="I261" s="105"/>
      <c r="J261" s="105" t="str">
        <f>IF(F261=True, IFERROR(VLOOKUP(D261, Repository!A:C, 3, 0), ""), "")</f>
        <v/>
      </c>
      <c r="K261" s="105"/>
      <c r="L261" s="105" t="str">
        <f>IF(F261=True, IFERROR(VLOOKUP(D261, Repository!A:E, 5, 0), ""), "")</f>
        <v/>
      </c>
      <c r="M261" s="105"/>
      <c r="N261" s="105" t="str">
        <f>IF(F261=True, IFERROR(VLOOKUP(D261, Repository!A:G, 7, 0), ""), "")</f>
        <v/>
      </c>
      <c r="O261" s="105" t="str">
        <f>IFERROR(__xludf.DUMMYFUNCTION("ARRAY_CONSTRAIN(
  ARRAYFORMULA(
    IFERROR(
      LET(
        list, N261,
        arr, TRIM(SPLIT(list, "","")),
        names, XLOOKUP(
          arr,
          'Conformance Score'!A:A,
          'Conformance Score'!B:B,
          ""Not found""
      "&amp;"  ),
        TEXTJOIN("", "", TRUE, names)
      ),
      """"
    )
  ),
  1,
  1
)
"),"")</f>
        <v/>
      </c>
      <c r="P261" s="105" t="str">
        <f>IF(F261="Yes", IFERROR(VLOOKUP(D261, Repository!A:F, 6, 0), ""), "")</f>
        <v/>
      </c>
      <c r="Q261" s="105" t="str">
        <f>IF(F261="Yes", IFERROR(VLOOKUP(D261, Repository!A:I, 8, 0), ""), "")</f>
        <v/>
      </c>
      <c r="R261" s="105" t="str">
        <f>IF(F261="Yes", IFERROR(VLOOKUP(D261, Repository!A:J, 9, 0), ""), "")</f>
        <v/>
      </c>
      <c r="S261" s="105"/>
      <c r="T261" s="105"/>
      <c r="U261" s="105"/>
      <c r="V261" s="105"/>
      <c r="W261" s="105"/>
      <c r="X261" s="105"/>
      <c r="Y261" s="105"/>
      <c r="Z261" s="105"/>
      <c r="AA261" s="105"/>
      <c r="AB261" s="105"/>
      <c r="AC261" s="91"/>
      <c r="AD261" s="105"/>
      <c r="AE261" s="105"/>
      <c r="AF261" s="91"/>
      <c r="AG261" s="105"/>
      <c r="AH261" s="105"/>
      <c r="AI261" s="105" t="str">
        <f t="shared" si="1"/>
        <v/>
      </c>
      <c r="AJ261" s="108" t="str">
        <f t="shared" si="2"/>
        <v/>
      </c>
    </row>
    <row r="262" ht="15.75" customHeight="1">
      <c r="A262" s="104"/>
      <c r="B262" s="105" t="str">
        <f>IFERROR(__xludf.DUMMYFUNCTION("ARRAY_CONSTRAIN(
  ARRAYFORMULA(
    IF(
      'Final Report'!A262="""",
      """",
      TEXTJOIN(
        "", "" &amp; CHAR(10),
        TRUE,
        IFERROR(
          VLOOKUP(
            TRIM(
              SPLIT('Final Report'!A262, "","")
           "&amp;" ),
            'URL Details'!A:B,
            2,
            FALSE
          ),
          """"
        )
      )
    )
  ),
  1,
  1
)
"),"")</f>
        <v/>
      </c>
      <c r="C262" s="105" t="str">
        <f>IFERROR(__xludf.DUMMYFUNCTION("IFERROR(IF('Final Report'!A262="""","""", TEXTJOIN(CHAR(10), TRUE, ARRAYFORMULA( ""• ""&amp; FILTER( TRIM(FLATTEN(SPLIT( REGEXREPLACE( SUBSTITUTE(TEXTJOIN("","", TRUE, IFERROR(ARRAYFORMULA(VLOOKUP(TRIM(SPLIT('Final Report'!A262, "","")), 'URL Details'!A:D, 4,"&amp;" FALSE)),"""") ), CHAR(10), "",""), ""\s*,\s*"", "",""), "",""))), TRIM(FLATTEN(SPLIT( REGEXREPLACE( SUBSTITUTE(TEXTJOIN("","", TRUE, IFERROR(ARRAYFORMULA(VLOOKUP(TRIM(SPLIT('Final Report'!A262, "","")), 'URL Details'!A:D, 4, FALSE)),"""") ), CHAR(10), """&amp;",""), ""\s*,\s*"", "",""), "","")))&lt;&gt;"""" ) ) ) ),"""")
"),"")</f>
        <v/>
      </c>
      <c r="D262" s="105"/>
      <c r="E262" s="105"/>
      <c r="F262" s="110" t="b">
        <v>0</v>
      </c>
      <c r="G262" s="105" t="str">
        <f>IF(F262=True, IFERROR(VLOOKUP(D262, Repository!A:B, 2, 0), ""), "")</f>
        <v/>
      </c>
      <c r="H262" s="105"/>
      <c r="I262" s="105"/>
      <c r="J262" s="105" t="str">
        <f>IF(F262=True, IFERROR(VLOOKUP(D262, Repository!A:C, 3, 0), ""), "")</f>
        <v/>
      </c>
      <c r="K262" s="105"/>
      <c r="L262" s="105" t="str">
        <f>IF(F262=True, IFERROR(VLOOKUP(D262, Repository!A:E, 5, 0), ""), "")</f>
        <v/>
      </c>
      <c r="M262" s="105"/>
      <c r="N262" s="105" t="str">
        <f>IF(F262=True, IFERROR(VLOOKUP(D262, Repository!A:G, 7, 0), ""), "")</f>
        <v/>
      </c>
      <c r="O262" s="105" t="str">
        <f>IFERROR(__xludf.DUMMYFUNCTION("ARRAY_CONSTRAIN(
  ARRAYFORMULA(
    IFERROR(
      LET(
        list, N262,
        arr, TRIM(SPLIT(list, "","")),
        names, XLOOKUP(
          arr,
          'Conformance Score'!A:A,
          'Conformance Score'!B:B,
          ""Not found""
      "&amp;"  ),
        TEXTJOIN("", "", TRUE, names)
      ),
      """"
    )
  ),
  1,
  1
)
"),"")</f>
        <v/>
      </c>
      <c r="P262" s="105" t="str">
        <f>IF(F262="Yes", IFERROR(VLOOKUP(D262, Repository!A:F, 6, 0), ""), "")</f>
        <v/>
      </c>
      <c r="Q262" s="105" t="str">
        <f>IF(F262="Yes", IFERROR(VLOOKUP(D262, Repository!A:I, 8, 0), ""), "")</f>
        <v/>
      </c>
      <c r="R262" s="105" t="str">
        <f>IF(F262="Yes", IFERROR(VLOOKUP(D262, Repository!A:J, 9, 0), ""), "")</f>
        <v/>
      </c>
      <c r="S262" s="105"/>
      <c r="T262" s="105"/>
      <c r="U262" s="105"/>
      <c r="V262" s="105"/>
      <c r="W262" s="105"/>
      <c r="X262" s="105"/>
      <c r="Y262" s="105"/>
      <c r="Z262" s="105"/>
      <c r="AA262" s="105"/>
      <c r="AB262" s="105"/>
      <c r="AC262" s="91"/>
      <c r="AD262" s="105"/>
      <c r="AE262" s="105"/>
      <c r="AF262" s="91"/>
      <c r="AG262" s="105"/>
      <c r="AH262" s="105"/>
      <c r="AI262" s="105" t="str">
        <f t="shared" si="1"/>
        <v/>
      </c>
      <c r="AJ262" s="108" t="str">
        <f t="shared" si="2"/>
        <v/>
      </c>
    </row>
    <row r="263" ht="15.75" customHeight="1">
      <c r="A263" s="104"/>
      <c r="B263" s="105" t="str">
        <f>IFERROR(__xludf.DUMMYFUNCTION("ARRAY_CONSTRAIN(
  ARRAYFORMULA(
    IF(
      'Final Report'!A263="""",
      """",
      TEXTJOIN(
        "", "" &amp; CHAR(10),
        TRUE,
        IFERROR(
          VLOOKUP(
            TRIM(
              SPLIT('Final Report'!A263, "","")
           "&amp;" ),
            'URL Details'!A:B,
            2,
            FALSE
          ),
          """"
        )
      )
    )
  ),
  1,
  1
)
"),"")</f>
        <v/>
      </c>
      <c r="C263" s="105" t="str">
        <f>IFERROR(__xludf.DUMMYFUNCTION("IFERROR(IF('Final Report'!A263="""","""", TEXTJOIN(CHAR(10), TRUE, ARRAYFORMULA( ""• ""&amp; FILTER( TRIM(FLATTEN(SPLIT( REGEXREPLACE( SUBSTITUTE(TEXTJOIN("","", TRUE, IFERROR(ARRAYFORMULA(VLOOKUP(TRIM(SPLIT('Final Report'!A263, "","")), 'URL Details'!A:D, 4,"&amp;" FALSE)),"""") ), CHAR(10), "",""), ""\s*,\s*"", "",""), "",""))), TRIM(FLATTEN(SPLIT( REGEXREPLACE( SUBSTITUTE(TEXTJOIN("","", TRUE, IFERROR(ARRAYFORMULA(VLOOKUP(TRIM(SPLIT('Final Report'!A263, "","")), 'URL Details'!A:D, 4, FALSE)),"""") ), CHAR(10), """&amp;",""), ""\s*,\s*"", "",""), "","")))&lt;&gt;"""" ) ) ) ),"""")
"),"")</f>
        <v/>
      </c>
      <c r="D263" s="105"/>
      <c r="E263" s="105"/>
      <c r="F263" s="110" t="b">
        <v>0</v>
      </c>
      <c r="G263" s="105" t="str">
        <f>IF(F263=True, IFERROR(VLOOKUP(D263, Repository!A:B, 2, 0), ""), "")</f>
        <v/>
      </c>
      <c r="H263" s="105"/>
      <c r="I263" s="105"/>
      <c r="J263" s="105" t="str">
        <f>IF(F263=True, IFERROR(VLOOKUP(D263, Repository!A:C, 3, 0), ""), "")</f>
        <v/>
      </c>
      <c r="K263" s="105"/>
      <c r="L263" s="105" t="str">
        <f>IF(F263=True, IFERROR(VLOOKUP(D263, Repository!A:E, 5, 0), ""), "")</f>
        <v/>
      </c>
      <c r="M263" s="105"/>
      <c r="N263" s="105" t="str">
        <f>IF(F263=True, IFERROR(VLOOKUP(D263, Repository!A:G, 7, 0), ""), "")</f>
        <v/>
      </c>
      <c r="O263" s="105" t="str">
        <f>IFERROR(__xludf.DUMMYFUNCTION("ARRAY_CONSTRAIN(
  ARRAYFORMULA(
    IFERROR(
      LET(
        list, N263,
        arr, TRIM(SPLIT(list, "","")),
        names, XLOOKUP(
          arr,
          'Conformance Score'!A:A,
          'Conformance Score'!B:B,
          ""Not found""
      "&amp;"  ),
        TEXTJOIN("", "", TRUE, names)
      ),
      """"
    )
  ),
  1,
  1
)
"),"")</f>
        <v/>
      </c>
      <c r="P263" s="105" t="str">
        <f>IF(F263="Yes", IFERROR(VLOOKUP(D263, Repository!A:F, 6, 0), ""), "")</f>
        <v/>
      </c>
      <c r="Q263" s="105" t="str">
        <f>IF(F263="Yes", IFERROR(VLOOKUP(D263, Repository!A:I, 8, 0), ""), "")</f>
        <v/>
      </c>
      <c r="R263" s="105" t="str">
        <f>IF(F263="Yes", IFERROR(VLOOKUP(D263, Repository!A:J, 9, 0), ""), "")</f>
        <v/>
      </c>
      <c r="S263" s="105"/>
      <c r="T263" s="105"/>
      <c r="U263" s="105"/>
      <c r="V263" s="105"/>
      <c r="W263" s="105"/>
      <c r="X263" s="105"/>
      <c r="Y263" s="105"/>
      <c r="Z263" s="105"/>
      <c r="AA263" s="105"/>
      <c r="AB263" s="105"/>
      <c r="AC263" s="91"/>
      <c r="AD263" s="105"/>
      <c r="AE263" s="105"/>
      <c r="AF263" s="91"/>
      <c r="AG263" s="105"/>
      <c r="AH263" s="105"/>
      <c r="AI263" s="105" t="str">
        <f t="shared" si="1"/>
        <v/>
      </c>
      <c r="AJ263" s="108" t="str">
        <f t="shared" si="2"/>
        <v/>
      </c>
    </row>
    <row r="264" ht="15.75" customHeight="1">
      <c r="A264" s="104"/>
      <c r="B264" s="105" t="str">
        <f>IFERROR(__xludf.DUMMYFUNCTION("ARRAY_CONSTRAIN(
  ARRAYFORMULA(
    IF(
      'Final Report'!A264="""",
      """",
      TEXTJOIN(
        "", "" &amp; CHAR(10),
        TRUE,
        IFERROR(
          VLOOKUP(
            TRIM(
              SPLIT('Final Report'!A264, "","")
           "&amp;" ),
            'URL Details'!A:B,
            2,
            FALSE
          ),
          """"
        )
      )
    )
  ),
  1,
  1
)
"),"")</f>
        <v/>
      </c>
      <c r="C264" s="105" t="str">
        <f>IFERROR(__xludf.DUMMYFUNCTION("IFERROR(IF('Final Report'!A264="""","""", TEXTJOIN(CHAR(10), TRUE, ARRAYFORMULA( ""• ""&amp; FILTER( TRIM(FLATTEN(SPLIT( REGEXREPLACE( SUBSTITUTE(TEXTJOIN("","", TRUE, IFERROR(ARRAYFORMULA(VLOOKUP(TRIM(SPLIT('Final Report'!A264, "","")), 'URL Details'!A:D, 4,"&amp;" FALSE)),"""") ), CHAR(10), "",""), ""\s*,\s*"", "",""), "",""))), TRIM(FLATTEN(SPLIT( REGEXREPLACE( SUBSTITUTE(TEXTJOIN("","", TRUE, IFERROR(ARRAYFORMULA(VLOOKUP(TRIM(SPLIT('Final Report'!A264, "","")), 'URL Details'!A:D, 4, FALSE)),"""") ), CHAR(10), """&amp;",""), ""\s*,\s*"", "",""), "","")))&lt;&gt;"""" ) ) ) ),"""")
"),"")</f>
        <v/>
      </c>
      <c r="D264" s="105"/>
      <c r="E264" s="105"/>
      <c r="F264" s="110" t="b">
        <v>0</v>
      </c>
      <c r="G264" s="105" t="str">
        <f>IF(F264=True, IFERROR(VLOOKUP(D264, Repository!A:B, 2, 0), ""), "")</f>
        <v/>
      </c>
      <c r="H264" s="105"/>
      <c r="I264" s="105"/>
      <c r="J264" s="105" t="str">
        <f>IF(F264=True, IFERROR(VLOOKUP(D264, Repository!A:C, 3, 0), ""), "")</f>
        <v/>
      </c>
      <c r="K264" s="105"/>
      <c r="L264" s="105" t="str">
        <f>IF(F264=True, IFERROR(VLOOKUP(D264, Repository!A:E, 5, 0), ""), "")</f>
        <v/>
      </c>
      <c r="M264" s="105"/>
      <c r="N264" s="105" t="str">
        <f>IF(F264=True, IFERROR(VLOOKUP(D264, Repository!A:G, 7, 0), ""), "")</f>
        <v/>
      </c>
      <c r="O264" s="105" t="str">
        <f>IFERROR(__xludf.DUMMYFUNCTION("ARRAY_CONSTRAIN(
  ARRAYFORMULA(
    IFERROR(
      LET(
        list, N264,
        arr, TRIM(SPLIT(list, "","")),
        names, XLOOKUP(
          arr,
          'Conformance Score'!A:A,
          'Conformance Score'!B:B,
          ""Not found""
      "&amp;"  ),
        TEXTJOIN("", "", TRUE, names)
      ),
      """"
    )
  ),
  1,
  1
)
"),"")</f>
        <v/>
      </c>
      <c r="P264" s="105" t="str">
        <f>IF(F264="Yes", IFERROR(VLOOKUP(D264, Repository!A:F, 6, 0), ""), "")</f>
        <v/>
      </c>
      <c r="Q264" s="105" t="str">
        <f>IF(F264="Yes", IFERROR(VLOOKUP(D264, Repository!A:I, 8, 0), ""), "")</f>
        <v/>
      </c>
      <c r="R264" s="105" t="str">
        <f>IF(F264="Yes", IFERROR(VLOOKUP(D264, Repository!A:J, 9, 0), ""), "")</f>
        <v/>
      </c>
      <c r="S264" s="105"/>
      <c r="T264" s="105"/>
      <c r="U264" s="105"/>
      <c r="V264" s="105"/>
      <c r="W264" s="105"/>
      <c r="X264" s="105"/>
      <c r="Y264" s="105"/>
      <c r="Z264" s="105"/>
      <c r="AA264" s="105"/>
      <c r="AB264" s="105"/>
      <c r="AC264" s="91"/>
      <c r="AD264" s="105"/>
      <c r="AE264" s="105"/>
      <c r="AF264" s="91"/>
      <c r="AG264" s="105"/>
      <c r="AH264" s="105"/>
      <c r="AI264" s="105" t="str">
        <f t="shared" si="1"/>
        <v/>
      </c>
      <c r="AJ264" s="108" t="str">
        <f t="shared" si="2"/>
        <v/>
      </c>
    </row>
    <row r="265" ht="15.75" customHeight="1">
      <c r="A265" s="104"/>
      <c r="B265" s="105" t="str">
        <f>IFERROR(__xludf.DUMMYFUNCTION("ARRAY_CONSTRAIN(
  ARRAYFORMULA(
    IF(
      'Final Report'!A265="""",
      """",
      TEXTJOIN(
        "", "" &amp; CHAR(10),
        TRUE,
        IFERROR(
          VLOOKUP(
            TRIM(
              SPLIT('Final Report'!A265, "","")
           "&amp;" ),
            'URL Details'!A:B,
            2,
            FALSE
          ),
          """"
        )
      )
    )
  ),
  1,
  1
)
"),"")</f>
        <v/>
      </c>
      <c r="C265" s="105" t="str">
        <f>IFERROR(__xludf.DUMMYFUNCTION("IFERROR(IF('Final Report'!A265="""","""", TEXTJOIN(CHAR(10), TRUE, ARRAYFORMULA( ""• ""&amp; FILTER( TRIM(FLATTEN(SPLIT( REGEXREPLACE( SUBSTITUTE(TEXTJOIN("","", TRUE, IFERROR(ARRAYFORMULA(VLOOKUP(TRIM(SPLIT('Final Report'!A265, "","")), 'URL Details'!A:D, 4,"&amp;" FALSE)),"""") ), CHAR(10), "",""), ""\s*,\s*"", "",""), "",""))), TRIM(FLATTEN(SPLIT( REGEXREPLACE( SUBSTITUTE(TEXTJOIN("","", TRUE, IFERROR(ARRAYFORMULA(VLOOKUP(TRIM(SPLIT('Final Report'!A265, "","")), 'URL Details'!A:D, 4, FALSE)),"""") ), CHAR(10), """&amp;",""), ""\s*,\s*"", "",""), "","")))&lt;&gt;"""" ) ) ) ),"""")
"),"")</f>
        <v/>
      </c>
      <c r="D265" s="105"/>
      <c r="E265" s="105"/>
      <c r="F265" s="110" t="b">
        <v>0</v>
      </c>
      <c r="G265" s="105" t="str">
        <f>IF(F265=True, IFERROR(VLOOKUP(D265, Repository!A:B, 2, 0), ""), "")</f>
        <v/>
      </c>
      <c r="H265" s="105"/>
      <c r="I265" s="105"/>
      <c r="J265" s="105" t="str">
        <f>IF(F265=True, IFERROR(VLOOKUP(D265, Repository!A:C, 3, 0), ""), "")</f>
        <v/>
      </c>
      <c r="K265" s="105"/>
      <c r="L265" s="105" t="str">
        <f>IF(F265=True, IFERROR(VLOOKUP(D265, Repository!A:E, 5, 0), ""), "")</f>
        <v/>
      </c>
      <c r="M265" s="105"/>
      <c r="N265" s="105" t="str">
        <f>IF(F265=True, IFERROR(VLOOKUP(D265, Repository!A:G, 7, 0), ""), "")</f>
        <v/>
      </c>
      <c r="O265" s="105" t="str">
        <f>IFERROR(__xludf.DUMMYFUNCTION("ARRAY_CONSTRAIN(
  ARRAYFORMULA(
    IFERROR(
      LET(
        list, N265,
        arr, TRIM(SPLIT(list, "","")),
        names, XLOOKUP(
          arr,
          'Conformance Score'!A:A,
          'Conformance Score'!B:B,
          ""Not found""
      "&amp;"  ),
        TEXTJOIN("", "", TRUE, names)
      ),
      """"
    )
  ),
  1,
  1
)
"),"")</f>
        <v/>
      </c>
      <c r="P265" s="105" t="str">
        <f>IF(F265="Yes", IFERROR(VLOOKUP(D265, Repository!A:F, 6, 0), ""), "")</f>
        <v/>
      </c>
      <c r="Q265" s="105" t="str">
        <f>IF(F265="Yes", IFERROR(VLOOKUP(D265, Repository!A:I, 8, 0), ""), "")</f>
        <v/>
      </c>
      <c r="R265" s="105" t="str">
        <f>IF(F265="Yes", IFERROR(VLOOKUP(D265, Repository!A:J, 9, 0), ""), "")</f>
        <v/>
      </c>
      <c r="S265" s="105"/>
      <c r="T265" s="105"/>
      <c r="U265" s="105"/>
      <c r="V265" s="105"/>
      <c r="W265" s="105"/>
      <c r="X265" s="105"/>
      <c r="Y265" s="105"/>
      <c r="Z265" s="105"/>
      <c r="AA265" s="105"/>
      <c r="AB265" s="105"/>
      <c r="AC265" s="91"/>
      <c r="AD265" s="105"/>
      <c r="AE265" s="105"/>
      <c r="AF265" s="91"/>
      <c r="AG265" s="105"/>
      <c r="AH265" s="105"/>
      <c r="AI265" s="105" t="str">
        <f t="shared" si="1"/>
        <v/>
      </c>
      <c r="AJ265" s="108" t="str">
        <f t="shared" si="2"/>
        <v/>
      </c>
    </row>
    <row r="266" ht="15.75" customHeight="1">
      <c r="A266" s="104"/>
      <c r="B266" s="105" t="str">
        <f>IFERROR(__xludf.DUMMYFUNCTION("ARRAY_CONSTRAIN(
  ARRAYFORMULA(
    IF(
      'Final Report'!A266="""",
      """",
      TEXTJOIN(
        "", "" &amp; CHAR(10),
        TRUE,
        IFERROR(
          VLOOKUP(
            TRIM(
              SPLIT('Final Report'!A266, "","")
           "&amp;" ),
            'URL Details'!A:B,
            2,
            FALSE
          ),
          """"
        )
      )
    )
  ),
  1,
  1
)
"),"")</f>
        <v/>
      </c>
      <c r="C266" s="105" t="str">
        <f>IFERROR(__xludf.DUMMYFUNCTION("IFERROR(IF('Final Report'!A266="""","""", TEXTJOIN(CHAR(10), TRUE, ARRAYFORMULA( ""• ""&amp; FILTER( TRIM(FLATTEN(SPLIT( REGEXREPLACE( SUBSTITUTE(TEXTJOIN("","", TRUE, IFERROR(ARRAYFORMULA(VLOOKUP(TRIM(SPLIT('Final Report'!A266, "","")), 'URL Details'!A:D, 4,"&amp;" FALSE)),"""") ), CHAR(10), "",""), ""\s*,\s*"", "",""), "",""))), TRIM(FLATTEN(SPLIT( REGEXREPLACE( SUBSTITUTE(TEXTJOIN("","", TRUE, IFERROR(ARRAYFORMULA(VLOOKUP(TRIM(SPLIT('Final Report'!A266, "","")), 'URL Details'!A:D, 4, FALSE)),"""") ), CHAR(10), """&amp;",""), ""\s*,\s*"", "",""), "","")))&lt;&gt;"""" ) ) ) ),"""")
"),"")</f>
        <v/>
      </c>
      <c r="D266" s="105"/>
      <c r="E266" s="105"/>
      <c r="F266" s="110" t="b">
        <v>0</v>
      </c>
      <c r="G266" s="105" t="str">
        <f>IF(F266=True, IFERROR(VLOOKUP(D266, Repository!A:B, 2, 0), ""), "")</f>
        <v/>
      </c>
      <c r="H266" s="105"/>
      <c r="I266" s="105"/>
      <c r="J266" s="105" t="str">
        <f>IF(F266=True, IFERROR(VLOOKUP(D266, Repository!A:C, 3, 0), ""), "")</f>
        <v/>
      </c>
      <c r="K266" s="105"/>
      <c r="L266" s="105" t="str">
        <f>IF(F266=True, IFERROR(VLOOKUP(D266, Repository!A:E, 5, 0), ""), "")</f>
        <v/>
      </c>
      <c r="M266" s="105"/>
      <c r="N266" s="105" t="str">
        <f>IF(F266=True, IFERROR(VLOOKUP(D266, Repository!A:G, 7, 0), ""), "")</f>
        <v/>
      </c>
      <c r="O266" s="105" t="str">
        <f>IFERROR(__xludf.DUMMYFUNCTION("ARRAY_CONSTRAIN(
  ARRAYFORMULA(
    IFERROR(
      LET(
        list, N266,
        arr, TRIM(SPLIT(list, "","")),
        names, XLOOKUP(
          arr,
          'Conformance Score'!A:A,
          'Conformance Score'!B:B,
          ""Not found""
      "&amp;"  ),
        TEXTJOIN("", "", TRUE, names)
      ),
      """"
    )
  ),
  1,
  1
)
"),"")</f>
        <v/>
      </c>
      <c r="P266" s="105" t="str">
        <f>IF(F266="Yes", IFERROR(VLOOKUP(D266, Repository!A:F, 6, 0), ""), "")</f>
        <v/>
      </c>
      <c r="Q266" s="105" t="str">
        <f>IF(F266="Yes", IFERROR(VLOOKUP(D266, Repository!A:I, 8, 0), ""), "")</f>
        <v/>
      </c>
      <c r="R266" s="105" t="str">
        <f>IF(F266="Yes", IFERROR(VLOOKUP(D266, Repository!A:J, 9, 0), ""), "")</f>
        <v/>
      </c>
      <c r="S266" s="105"/>
      <c r="T266" s="105"/>
      <c r="U266" s="105"/>
      <c r="V266" s="105"/>
      <c r="W266" s="105"/>
      <c r="X266" s="105"/>
      <c r="Y266" s="105"/>
      <c r="Z266" s="105"/>
      <c r="AA266" s="105"/>
      <c r="AB266" s="105"/>
      <c r="AC266" s="91"/>
      <c r="AD266" s="105"/>
      <c r="AE266" s="105"/>
      <c r="AF266" s="91"/>
      <c r="AG266" s="105"/>
      <c r="AH266" s="105"/>
      <c r="AI266" s="105" t="str">
        <f t="shared" si="1"/>
        <v/>
      </c>
      <c r="AJ266" s="108" t="str">
        <f t="shared" si="2"/>
        <v/>
      </c>
    </row>
    <row r="267" ht="15.75" customHeight="1">
      <c r="A267" s="104"/>
      <c r="B267" s="105" t="str">
        <f>IFERROR(__xludf.DUMMYFUNCTION("ARRAY_CONSTRAIN(
  ARRAYFORMULA(
    IF(
      'Final Report'!A267="""",
      """",
      TEXTJOIN(
        "", "" &amp; CHAR(10),
        TRUE,
        IFERROR(
          VLOOKUP(
            TRIM(
              SPLIT('Final Report'!A267, "","")
           "&amp;" ),
            'URL Details'!A:B,
            2,
            FALSE
          ),
          """"
        )
      )
    )
  ),
  1,
  1
)
"),"")</f>
        <v/>
      </c>
      <c r="C267" s="105" t="str">
        <f>IFERROR(__xludf.DUMMYFUNCTION("IFERROR(IF('Final Report'!A267="""","""", TEXTJOIN(CHAR(10), TRUE, ARRAYFORMULA( ""• ""&amp; FILTER( TRIM(FLATTEN(SPLIT( REGEXREPLACE( SUBSTITUTE(TEXTJOIN("","", TRUE, IFERROR(ARRAYFORMULA(VLOOKUP(TRIM(SPLIT('Final Report'!A267, "","")), 'URL Details'!A:D, 4,"&amp;" FALSE)),"""") ), CHAR(10), "",""), ""\s*,\s*"", "",""), "",""))), TRIM(FLATTEN(SPLIT( REGEXREPLACE( SUBSTITUTE(TEXTJOIN("","", TRUE, IFERROR(ARRAYFORMULA(VLOOKUP(TRIM(SPLIT('Final Report'!A267, "","")), 'URL Details'!A:D, 4, FALSE)),"""") ), CHAR(10), """&amp;",""), ""\s*,\s*"", "",""), "","")))&lt;&gt;"""" ) ) ) ),"""")
"),"")</f>
        <v/>
      </c>
      <c r="D267" s="105"/>
      <c r="E267" s="105"/>
      <c r="F267" s="110" t="b">
        <v>0</v>
      </c>
      <c r="G267" s="105" t="str">
        <f>IF(F267=True, IFERROR(VLOOKUP(D267, Repository!A:B, 2, 0), ""), "")</f>
        <v/>
      </c>
      <c r="H267" s="105"/>
      <c r="I267" s="105"/>
      <c r="J267" s="105" t="str">
        <f>IF(F267=True, IFERROR(VLOOKUP(D267, Repository!A:C, 3, 0), ""), "")</f>
        <v/>
      </c>
      <c r="K267" s="105"/>
      <c r="L267" s="105" t="str">
        <f>IF(F267=True, IFERROR(VLOOKUP(D267, Repository!A:E, 5, 0), ""), "")</f>
        <v/>
      </c>
      <c r="M267" s="105"/>
      <c r="N267" s="105" t="str">
        <f>IF(F267=True, IFERROR(VLOOKUP(D267, Repository!A:G, 7, 0), ""), "")</f>
        <v/>
      </c>
      <c r="O267" s="105" t="str">
        <f>IFERROR(__xludf.DUMMYFUNCTION("ARRAY_CONSTRAIN(
  ARRAYFORMULA(
    IFERROR(
      LET(
        list, N267,
        arr, TRIM(SPLIT(list, "","")),
        names, XLOOKUP(
          arr,
          'Conformance Score'!A:A,
          'Conformance Score'!B:B,
          ""Not found""
      "&amp;"  ),
        TEXTJOIN("", "", TRUE, names)
      ),
      """"
    )
  ),
  1,
  1
)
"),"")</f>
        <v/>
      </c>
      <c r="P267" s="105" t="str">
        <f>IF(F267="Yes", IFERROR(VLOOKUP(D267, Repository!A:F, 6, 0), ""), "")</f>
        <v/>
      </c>
      <c r="Q267" s="105" t="str">
        <f>IF(F267="Yes", IFERROR(VLOOKUP(D267, Repository!A:I, 8, 0), ""), "")</f>
        <v/>
      </c>
      <c r="R267" s="105" t="str">
        <f>IF(F267="Yes", IFERROR(VLOOKUP(D267, Repository!A:J, 9, 0), ""), "")</f>
        <v/>
      </c>
      <c r="S267" s="105"/>
      <c r="T267" s="105"/>
      <c r="U267" s="105"/>
      <c r="V267" s="105"/>
      <c r="W267" s="105"/>
      <c r="X267" s="105"/>
      <c r="Y267" s="105"/>
      <c r="Z267" s="105"/>
      <c r="AA267" s="105"/>
      <c r="AB267" s="105"/>
      <c r="AC267" s="91"/>
      <c r="AD267" s="105"/>
      <c r="AE267" s="105"/>
      <c r="AF267" s="91"/>
      <c r="AG267" s="105"/>
      <c r="AH267" s="105"/>
      <c r="AI267" s="105" t="str">
        <f t="shared" si="1"/>
        <v/>
      </c>
      <c r="AJ267" s="108" t="str">
        <f t="shared" si="2"/>
        <v/>
      </c>
    </row>
    <row r="268" ht="15.75" customHeight="1">
      <c r="A268" s="104"/>
      <c r="B268" s="105" t="str">
        <f>IFERROR(__xludf.DUMMYFUNCTION("ARRAY_CONSTRAIN(
  ARRAYFORMULA(
    IF(
      'Final Report'!A268="""",
      """",
      TEXTJOIN(
        "", "" &amp; CHAR(10),
        TRUE,
        IFERROR(
          VLOOKUP(
            TRIM(
              SPLIT('Final Report'!A268, "","")
           "&amp;" ),
            'URL Details'!A:B,
            2,
            FALSE
          ),
          """"
        )
      )
    )
  ),
  1,
  1
)
"),"")</f>
        <v/>
      </c>
      <c r="C268" s="105" t="str">
        <f>IFERROR(__xludf.DUMMYFUNCTION("IFERROR(IF('Final Report'!A268="""","""", TEXTJOIN(CHAR(10), TRUE, ARRAYFORMULA( ""• ""&amp; FILTER( TRIM(FLATTEN(SPLIT( REGEXREPLACE( SUBSTITUTE(TEXTJOIN("","", TRUE, IFERROR(ARRAYFORMULA(VLOOKUP(TRIM(SPLIT('Final Report'!A268, "","")), 'URL Details'!A:D, 4,"&amp;" FALSE)),"""") ), CHAR(10), "",""), ""\s*,\s*"", "",""), "",""))), TRIM(FLATTEN(SPLIT( REGEXREPLACE( SUBSTITUTE(TEXTJOIN("","", TRUE, IFERROR(ARRAYFORMULA(VLOOKUP(TRIM(SPLIT('Final Report'!A268, "","")), 'URL Details'!A:D, 4, FALSE)),"""") ), CHAR(10), """&amp;",""), ""\s*,\s*"", "",""), "","")))&lt;&gt;"""" ) ) ) ),"""")
"),"")</f>
        <v/>
      </c>
      <c r="D268" s="105"/>
      <c r="E268" s="105"/>
      <c r="F268" s="110" t="b">
        <v>0</v>
      </c>
      <c r="G268" s="105" t="str">
        <f>IF(F268=True, IFERROR(VLOOKUP(D268, Repository!A:B, 2, 0), ""), "")</f>
        <v/>
      </c>
      <c r="H268" s="105"/>
      <c r="I268" s="105"/>
      <c r="J268" s="105" t="str">
        <f>IF(F268=True, IFERROR(VLOOKUP(D268, Repository!A:C, 3, 0), ""), "")</f>
        <v/>
      </c>
      <c r="K268" s="105"/>
      <c r="L268" s="105" t="str">
        <f>IF(F268=True, IFERROR(VLOOKUP(D268, Repository!A:E, 5, 0), ""), "")</f>
        <v/>
      </c>
      <c r="M268" s="105"/>
      <c r="N268" s="105" t="str">
        <f>IF(F268=True, IFERROR(VLOOKUP(D268, Repository!A:G, 7, 0), ""), "")</f>
        <v/>
      </c>
      <c r="O268" s="105" t="str">
        <f>IFERROR(__xludf.DUMMYFUNCTION("ARRAY_CONSTRAIN(
  ARRAYFORMULA(
    IFERROR(
      LET(
        list, N268,
        arr, TRIM(SPLIT(list, "","")),
        names, XLOOKUP(
          arr,
          'Conformance Score'!A:A,
          'Conformance Score'!B:B,
          ""Not found""
      "&amp;"  ),
        TEXTJOIN("", "", TRUE, names)
      ),
      """"
    )
  ),
  1,
  1
)
"),"")</f>
        <v/>
      </c>
      <c r="P268" s="105" t="str">
        <f>IF(F268="Yes", IFERROR(VLOOKUP(D268, Repository!A:F, 6, 0), ""), "")</f>
        <v/>
      </c>
      <c r="Q268" s="105" t="str">
        <f>IF(F268="Yes", IFERROR(VLOOKUP(D268, Repository!A:I, 8, 0), ""), "")</f>
        <v/>
      </c>
      <c r="R268" s="105" t="str">
        <f>IF(F268="Yes", IFERROR(VLOOKUP(D268, Repository!A:J, 9, 0), ""), "")</f>
        <v/>
      </c>
      <c r="S268" s="105"/>
      <c r="T268" s="105"/>
      <c r="U268" s="105"/>
      <c r="V268" s="105"/>
      <c r="W268" s="105"/>
      <c r="X268" s="105"/>
      <c r="Y268" s="105"/>
      <c r="Z268" s="105"/>
      <c r="AA268" s="105"/>
      <c r="AB268" s="105"/>
      <c r="AC268" s="91"/>
      <c r="AD268" s="105"/>
      <c r="AE268" s="105"/>
      <c r="AF268" s="91"/>
      <c r="AG268" s="105"/>
      <c r="AH268" s="105"/>
      <c r="AI268" s="105" t="str">
        <f t="shared" si="1"/>
        <v/>
      </c>
      <c r="AJ268" s="108" t="str">
        <f t="shared" si="2"/>
        <v/>
      </c>
    </row>
    <row r="269" ht="15.75" customHeight="1">
      <c r="A269" s="104"/>
      <c r="B269" s="105" t="str">
        <f>IFERROR(__xludf.DUMMYFUNCTION("ARRAY_CONSTRAIN(
  ARRAYFORMULA(
    IF(
      'Final Report'!A269="""",
      """",
      TEXTJOIN(
        "", "" &amp; CHAR(10),
        TRUE,
        IFERROR(
          VLOOKUP(
            TRIM(
              SPLIT('Final Report'!A269, "","")
           "&amp;" ),
            'URL Details'!A:B,
            2,
            FALSE
          ),
          """"
        )
      )
    )
  ),
  1,
  1
)
"),"")</f>
        <v/>
      </c>
      <c r="C269" s="105" t="str">
        <f>IFERROR(__xludf.DUMMYFUNCTION("IFERROR(IF('Final Report'!A269="""","""", TEXTJOIN(CHAR(10), TRUE, ARRAYFORMULA( ""• ""&amp; FILTER( TRIM(FLATTEN(SPLIT( REGEXREPLACE( SUBSTITUTE(TEXTJOIN("","", TRUE, IFERROR(ARRAYFORMULA(VLOOKUP(TRIM(SPLIT('Final Report'!A269, "","")), 'URL Details'!A:D, 4,"&amp;" FALSE)),"""") ), CHAR(10), "",""), ""\s*,\s*"", "",""), "",""))), TRIM(FLATTEN(SPLIT( REGEXREPLACE( SUBSTITUTE(TEXTJOIN("","", TRUE, IFERROR(ARRAYFORMULA(VLOOKUP(TRIM(SPLIT('Final Report'!A269, "","")), 'URL Details'!A:D, 4, FALSE)),"""") ), CHAR(10), """&amp;",""), ""\s*,\s*"", "",""), "","")))&lt;&gt;"""" ) ) ) ),"""")
"),"")</f>
        <v/>
      </c>
      <c r="D269" s="105"/>
      <c r="E269" s="105"/>
      <c r="F269" s="110" t="b">
        <v>0</v>
      </c>
      <c r="G269" s="105" t="str">
        <f>IF(F269=True, IFERROR(VLOOKUP(D269, Repository!A:B, 2, 0), ""), "")</f>
        <v/>
      </c>
      <c r="H269" s="105"/>
      <c r="I269" s="105"/>
      <c r="J269" s="105" t="str">
        <f>IF(F269=True, IFERROR(VLOOKUP(D269, Repository!A:C, 3, 0), ""), "")</f>
        <v/>
      </c>
      <c r="K269" s="105"/>
      <c r="L269" s="105" t="str">
        <f>IF(F269=True, IFERROR(VLOOKUP(D269, Repository!A:E, 5, 0), ""), "")</f>
        <v/>
      </c>
      <c r="M269" s="105"/>
      <c r="N269" s="105" t="str">
        <f>IF(F269=True, IFERROR(VLOOKUP(D269, Repository!A:G, 7, 0), ""), "")</f>
        <v/>
      </c>
      <c r="O269" s="105" t="str">
        <f>IFERROR(__xludf.DUMMYFUNCTION("ARRAY_CONSTRAIN(
  ARRAYFORMULA(
    IFERROR(
      LET(
        list, N269,
        arr, TRIM(SPLIT(list, "","")),
        names, XLOOKUP(
          arr,
          'Conformance Score'!A:A,
          'Conformance Score'!B:B,
          ""Not found""
      "&amp;"  ),
        TEXTJOIN("", "", TRUE, names)
      ),
      """"
    )
  ),
  1,
  1
)
"),"")</f>
        <v/>
      </c>
      <c r="P269" s="105" t="str">
        <f>IF(F269="Yes", IFERROR(VLOOKUP(D269, Repository!A:F, 6, 0), ""), "")</f>
        <v/>
      </c>
      <c r="Q269" s="105" t="str">
        <f>IF(F269="Yes", IFERROR(VLOOKUP(D269, Repository!A:I, 8, 0), ""), "")</f>
        <v/>
      </c>
      <c r="R269" s="105" t="str">
        <f>IF(F269="Yes", IFERROR(VLOOKUP(D269, Repository!A:J, 9, 0), ""), "")</f>
        <v/>
      </c>
      <c r="S269" s="105"/>
      <c r="T269" s="105"/>
      <c r="U269" s="105"/>
      <c r="V269" s="105"/>
      <c r="W269" s="105"/>
      <c r="X269" s="105"/>
      <c r="Y269" s="105"/>
      <c r="Z269" s="105"/>
      <c r="AA269" s="105"/>
      <c r="AB269" s="105"/>
      <c r="AC269" s="91"/>
      <c r="AD269" s="105"/>
      <c r="AE269" s="105"/>
      <c r="AF269" s="91"/>
      <c r="AG269" s="105"/>
      <c r="AH269" s="105"/>
      <c r="AI269" s="105" t="str">
        <f t="shared" si="1"/>
        <v/>
      </c>
      <c r="AJ269" s="108" t="str">
        <f t="shared" si="2"/>
        <v/>
      </c>
    </row>
    <row r="270" ht="15.75" customHeight="1">
      <c r="A270" s="104"/>
      <c r="B270" s="105" t="str">
        <f>IFERROR(__xludf.DUMMYFUNCTION("ARRAY_CONSTRAIN(
  ARRAYFORMULA(
    IF(
      'Final Report'!A270="""",
      """",
      TEXTJOIN(
        "", "" &amp; CHAR(10),
        TRUE,
        IFERROR(
          VLOOKUP(
            TRIM(
              SPLIT('Final Report'!A270, "","")
           "&amp;" ),
            'URL Details'!A:B,
            2,
            FALSE
          ),
          """"
        )
      )
    )
  ),
  1,
  1
)
"),"")</f>
        <v/>
      </c>
      <c r="C270" s="105" t="str">
        <f>IFERROR(__xludf.DUMMYFUNCTION("IFERROR(IF('Final Report'!A270="""","""", TEXTJOIN(CHAR(10), TRUE, ARRAYFORMULA( ""• ""&amp; FILTER( TRIM(FLATTEN(SPLIT( REGEXREPLACE( SUBSTITUTE(TEXTJOIN("","", TRUE, IFERROR(ARRAYFORMULA(VLOOKUP(TRIM(SPLIT('Final Report'!A270, "","")), 'URL Details'!A:D, 4,"&amp;" FALSE)),"""") ), CHAR(10), "",""), ""\s*,\s*"", "",""), "",""))), TRIM(FLATTEN(SPLIT( REGEXREPLACE( SUBSTITUTE(TEXTJOIN("","", TRUE, IFERROR(ARRAYFORMULA(VLOOKUP(TRIM(SPLIT('Final Report'!A270, "","")), 'URL Details'!A:D, 4, FALSE)),"""") ), CHAR(10), """&amp;",""), ""\s*,\s*"", "",""), "","")))&lt;&gt;"""" ) ) ) ),"""")
"),"")</f>
        <v/>
      </c>
      <c r="D270" s="105"/>
      <c r="E270" s="105"/>
      <c r="F270" s="110" t="b">
        <v>0</v>
      </c>
      <c r="G270" s="105" t="str">
        <f>IF(F270=True, IFERROR(VLOOKUP(D270, Repository!A:B, 2, 0), ""), "")</f>
        <v/>
      </c>
      <c r="H270" s="105"/>
      <c r="I270" s="105"/>
      <c r="J270" s="105" t="str">
        <f>IF(F270=True, IFERROR(VLOOKUP(D270, Repository!A:C, 3, 0), ""), "")</f>
        <v/>
      </c>
      <c r="K270" s="105"/>
      <c r="L270" s="105" t="str">
        <f>IF(F270=True, IFERROR(VLOOKUP(D270, Repository!A:E, 5, 0), ""), "")</f>
        <v/>
      </c>
      <c r="M270" s="105"/>
      <c r="N270" s="105" t="str">
        <f>IF(F270=True, IFERROR(VLOOKUP(D270, Repository!A:G, 7, 0), ""), "")</f>
        <v/>
      </c>
      <c r="O270" s="105" t="str">
        <f>IFERROR(__xludf.DUMMYFUNCTION("ARRAY_CONSTRAIN(
  ARRAYFORMULA(
    IFERROR(
      LET(
        list, N270,
        arr, TRIM(SPLIT(list, "","")),
        names, XLOOKUP(
          arr,
          'Conformance Score'!A:A,
          'Conformance Score'!B:B,
          ""Not found""
      "&amp;"  ),
        TEXTJOIN("", "", TRUE, names)
      ),
      """"
    )
  ),
  1,
  1
)
"),"")</f>
        <v/>
      </c>
      <c r="P270" s="105" t="str">
        <f>IF(F270="Yes", IFERROR(VLOOKUP(D270, Repository!A:F, 6, 0), ""), "")</f>
        <v/>
      </c>
      <c r="Q270" s="105" t="str">
        <f>IF(F270="Yes", IFERROR(VLOOKUP(D270, Repository!A:I, 8, 0), ""), "")</f>
        <v/>
      </c>
      <c r="R270" s="105" t="str">
        <f>IF(F270="Yes", IFERROR(VLOOKUP(D270, Repository!A:J, 9, 0), ""), "")</f>
        <v/>
      </c>
      <c r="S270" s="105"/>
      <c r="T270" s="105"/>
      <c r="U270" s="105"/>
      <c r="V270" s="105"/>
      <c r="W270" s="105"/>
      <c r="X270" s="105"/>
      <c r="Y270" s="105"/>
      <c r="Z270" s="105"/>
      <c r="AA270" s="105"/>
      <c r="AB270" s="105"/>
      <c r="AC270" s="91"/>
      <c r="AD270" s="105"/>
      <c r="AE270" s="105"/>
      <c r="AF270" s="91"/>
      <c r="AG270" s="105"/>
      <c r="AH270" s="105"/>
      <c r="AI270" s="105" t="str">
        <f t="shared" si="1"/>
        <v/>
      </c>
      <c r="AJ270" s="108" t="str">
        <f t="shared" si="2"/>
        <v/>
      </c>
    </row>
    <row r="271" ht="15.75" customHeight="1">
      <c r="A271" s="104"/>
      <c r="B271" s="105" t="str">
        <f>IFERROR(__xludf.DUMMYFUNCTION("ARRAY_CONSTRAIN(
  ARRAYFORMULA(
    IF(
      'Final Report'!A271="""",
      """",
      TEXTJOIN(
        "", "" &amp; CHAR(10),
        TRUE,
        IFERROR(
          VLOOKUP(
            TRIM(
              SPLIT('Final Report'!A271, "","")
           "&amp;" ),
            'URL Details'!A:B,
            2,
            FALSE
          ),
          """"
        )
      )
    )
  ),
  1,
  1
)
"),"")</f>
        <v/>
      </c>
      <c r="C271" s="105" t="str">
        <f>IFERROR(__xludf.DUMMYFUNCTION("IFERROR(IF('Final Report'!A271="""","""", TEXTJOIN(CHAR(10), TRUE, ARRAYFORMULA( ""• ""&amp; FILTER( TRIM(FLATTEN(SPLIT( REGEXREPLACE( SUBSTITUTE(TEXTJOIN("","", TRUE, IFERROR(ARRAYFORMULA(VLOOKUP(TRIM(SPLIT('Final Report'!A271, "","")), 'URL Details'!A:D, 4,"&amp;" FALSE)),"""") ), CHAR(10), "",""), ""\s*,\s*"", "",""), "",""))), TRIM(FLATTEN(SPLIT( REGEXREPLACE( SUBSTITUTE(TEXTJOIN("","", TRUE, IFERROR(ARRAYFORMULA(VLOOKUP(TRIM(SPLIT('Final Report'!A271, "","")), 'URL Details'!A:D, 4, FALSE)),"""") ), CHAR(10), """&amp;",""), ""\s*,\s*"", "",""), "","")))&lt;&gt;"""" ) ) ) ),"""")
"),"")</f>
        <v/>
      </c>
      <c r="D271" s="105"/>
      <c r="E271" s="105"/>
      <c r="F271" s="110" t="b">
        <v>0</v>
      </c>
      <c r="G271" s="105" t="str">
        <f>IF(F271=True, IFERROR(VLOOKUP(D271, Repository!A:B, 2, 0), ""), "")</f>
        <v/>
      </c>
      <c r="H271" s="105"/>
      <c r="I271" s="105"/>
      <c r="J271" s="105" t="str">
        <f>IF(F271=True, IFERROR(VLOOKUP(D271, Repository!A:C, 3, 0), ""), "")</f>
        <v/>
      </c>
      <c r="K271" s="105"/>
      <c r="L271" s="105" t="str">
        <f>IF(F271=True, IFERROR(VLOOKUP(D271, Repository!A:E, 5, 0), ""), "")</f>
        <v/>
      </c>
      <c r="M271" s="105"/>
      <c r="N271" s="105" t="str">
        <f>IF(F271=True, IFERROR(VLOOKUP(D271, Repository!A:G, 7, 0), ""), "")</f>
        <v/>
      </c>
      <c r="O271" s="105" t="str">
        <f>IFERROR(__xludf.DUMMYFUNCTION("ARRAY_CONSTRAIN(
  ARRAYFORMULA(
    IFERROR(
      LET(
        list, N271,
        arr, TRIM(SPLIT(list, "","")),
        names, XLOOKUP(
          arr,
          'Conformance Score'!A:A,
          'Conformance Score'!B:B,
          ""Not found""
      "&amp;"  ),
        TEXTJOIN("", "", TRUE, names)
      ),
      """"
    )
  ),
  1,
  1
)
"),"")</f>
        <v/>
      </c>
      <c r="P271" s="105" t="str">
        <f>IF(F271="Yes", IFERROR(VLOOKUP(D271, Repository!A:F, 6, 0), ""), "")</f>
        <v/>
      </c>
      <c r="Q271" s="105" t="str">
        <f>IF(F271="Yes", IFERROR(VLOOKUP(D271, Repository!A:I, 8, 0), ""), "")</f>
        <v/>
      </c>
      <c r="R271" s="105" t="str">
        <f>IF(F271="Yes", IFERROR(VLOOKUP(D271, Repository!A:J, 9, 0), ""), "")</f>
        <v/>
      </c>
      <c r="S271" s="105"/>
      <c r="T271" s="105"/>
      <c r="U271" s="105"/>
      <c r="V271" s="105"/>
      <c r="W271" s="105"/>
      <c r="X271" s="105"/>
      <c r="Y271" s="105"/>
      <c r="Z271" s="105"/>
      <c r="AA271" s="105"/>
      <c r="AB271" s="105"/>
      <c r="AC271" s="91"/>
      <c r="AD271" s="105"/>
      <c r="AE271" s="105"/>
      <c r="AF271" s="91"/>
      <c r="AG271" s="105"/>
      <c r="AH271" s="105"/>
      <c r="AI271" s="105" t="str">
        <f t="shared" si="1"/>
        <v/>
      </c>
      <c r="AJ271" s="108" t="str">
        <f t="shared" si="2"/>
        <v/>
      </c>
    </row>
    <row r="272" ht="15.75" customHeight="1">
      <c r="A272" s="104"/>
      <c r="B272" s="105" t="str">
        <f>IFERROR(__xludf.DUMMYFUNCTION("ARRAY_CONSTRAIN(
  ARRAYFORMULA(
    IF(
      'Final Report'!A272="""",
      """",
      TEXTJOIN(
        "", "" &amp; CHAR(10),
        TRUE,
        IFERROR(
          VLOOKUP(
            TRIM(
              SPLIT('Final Report'!A272, "","")
           "&amp;" ),
            'URL Details'!A:B,
            2,
            FALSE
          ),
          """"
        )
      )
    )
  ),
  1,
  1
)
"),"")</f>
        <v/>
      </c>
      <c r="C272" s="105" t="str">
        <f>IFERROR(__xludf.DUMMYFUNCTION("IFERROR(IF('Final Report'!A272="""","""", TEXTJOIN(CHAR(10), TRUE, ARRAYFORMULA( ""• ""&amp; FILTER( TRIM(FLATTEN(SPLIT( REGEXREPLACE( SUBSTITUTE(TEXTJOIN("","", TRUE, IFERROR(ARRAYFORMULA(VLOOKUP(TRIM(SPLIT('Final Report'!A272, "","")), 'URL Details'!A:D, 4,"&amp;" FALSE)),"""") ), CHAR(10), "",""), ""\s*,\s*"", "",""), "",""))), TRIM(FLATTEN(SPLIT( REGEXREPLACE( SUBSTITUTE(TEXTJOIN("","", TRUE, IFERROR(ARRAYFORMULA(VLOOKUP(TRIM(SPLIT('Final Report'!A272, "","")), 'URL Details'!A:D, 4, FALSE)),"""") ), CHAR(10), """&amp;",""), ""\s*,\s*"", "",""), "","")))&lt;&gt;"""" ) ) ) ),"""")
"),"")</f>
        <v/>
      </c>
      <c r="D272" s="105"/>
      <c r="E272" s="105"/>
      <c r="F272" s="110" t="b">
        <v>0</v>
      </c>
      <c r="G272" s="105" t="str">
        <f>IF(F272=True, IFERROR(VLOOKUP(D272, Repository!A:B, 2, 0), ""), "")</f>
        <v/>
      </c>
      <c r="H272" s="105"/>
      <c r="I272" s="105"/>
      <c r="J272" s="105" t="str">
        <f>IF(F272=True, IFERROR(VLOOKUP(D272, Repository!A:C, 3, 0), ""), "")</f>
        <v/>
      </c>
      <c r="K272" s="105"/>
      <c r="L272" s="105" t="str">
        <f>IF(F272=True, IFERROR(VLOOKUP(D272, Repository!A:E, 5, 0), ""), "")</f>
        <v/>
      </c>
      <c r="M272" s="105"/>
      <c r="N272" s="105" t="str">
        <f>IF(F272=True, IFERROR(VLOOKUP(D272, Repository!A:G, 7, 0), ""), "")</f>
        <v/>
      </c>
      <c r="O272" s="105" t="str">
        <f>IFERROR(__xludf.DUMMYFUNCTION("ARRAY_CONSTRAIN(
  ARRAYFORMULA(
    IFERROR(
      LET(
        list, N272,
        arr, TRIM(SPLIT(list, "","")),
        names, XLOOKUP(
          arr,
          'Conformance Score'!A:A,
          'Conformance Score'!B:B,
          ""Not found""
      "&amp;"  ),
        TEXTJOIN("", "", TRUE, names)
      ),
      """"
    )
  ),
  1,
  1
)
"),"")</f>
        <v/>
      </c>
      <c r="P272" s="105" t="str">
        <f>IF(F272="Yes", IFERROR(VLOOKUP(D272, Repository!A:F, 6, 0), ""), "")</f>
        <v/>
      </c>
      <c r="Q272" s="105" t="str">
        <f>IF(F272="Yes", IFERROR(VLOOKUP(D272, Repository!A:I, 8, 0), ""), "")</f>
        <v/>
      </c>
      <c r="R272" s="105" t="str">
        <f>IF(F272="Yes", IFERROR(VLOOKUP(D272, Repository!A:J, 9, 0), ""), "")</f>
        <v/>
      </c>
      <c r="S272" s="105"/>
      <c r="T272" s="105"/>
      <c r="U272" s="105"/>
      <c r="V272" s="105"/>
      <c r="W272" s="105"/>
      <c r="X272" s="105"/>
      <c r="Y272" s="105"/>
      <c r="Z272" s="105"/>
      <c r="AA272" s="105"/>
      <c r="AB272" s="105"/>
      <c r="AC272" s="91"/>
      <c r="AD272" s="105"/>
      <c r="AE272" s="105"/>
      <c r="AF272" s="91"/>
      <c r="AG272" s="105"/>
      <c r="AH272" s="105"/>
      <c r="AI272" s="105" t="str">
        <f t="shared" si="1"/>
        <v/>
      </c>
      <c r="AJ272" s="108" t="str">
        <f t="shared" si="2"/>
        <v/>
      </c>
    </row>
    <row r="273" ht="15.75" customHeight="1">
      <c r="A273" s="104"/>
      <c r="B273" s="105" t="str">
        <f>IFERROR(__xludf.DUMMYFUNCTION("ARRAY_CONSTRAIN(
  ARRAYFORMULA(
    IF(
      'Final Report'!A273="""",
      """",
      TEXTJOIN(
        "", "" &amp; CHAR(10),
        TRUE,
        IFERROR(
          VLOOKUP(
            TRIM(
              SPLIT('Final Report'!A273, "","")
           "&amp;" ),
            'URL Details'!A:B,
            2,
            FALSE
          ),
          """"
        )
      )
    )
  ),
  1,
  1
)
"),"")</f>
        <v/>
      </c>
      <c r="C273" s="105" t="str">
        <f>IFERROR(__xludf.DUMMYFUNCTION("IFERROR(IF('Final Report'!A273="""","""", TEXTJOIN(CHAR(10), TRUE, ARRAYFORMULA( ""• ""&amp; FILTER( TRIM(FLATTEN(SPLIT( REGEXREPLACE( SUBSTITUTE(TEXTJOIN("","", TRUE, IFERROR(ARRAYFORMULA(VLOOKUP(TRIM(SPLIT('Final Report'!A273, "","")), 'URL Details'!A:D, 4,"&amp;" FALSE)),"""") ), CHAR(10), "",""), ""\s*,\s*"", "",""), "",""))), TRIM(FLATTEN(SPLIT( REGEXREPLACE( SUBSTITUTE(TEXTJOIN("","", TRUE, IFERROR(ARRAYFORMULA(VLOOKUP(TRIM(SPLIT('Final Report'!A273, "","")), 'URL Details'!A:D, 4, FALSE)),"""") ), CHAR(10), """&amp;",""), ""\s*,\s*"", "",""), "","")))&lt;&gt;"""" ) ) ) ),"""")
"),"")</f>
        <v/>
      </c>
      <c r="D273" s="105"/>
      <c r="E273" s="105"/>
      <c r="F273" s="110" t="b">
        <v>0</v>
      </c>
      <c r="G273" s="105" t="str">
        <f>IF(F273=True, IFERROR(VLOOKUP(D273, Repository!A:B, 2, 0), ""), "")</f>
        <v/>
      </c>
      <c r="H273" s="105"/>
      <c r="I273" s="105"/>
      <c r="J273" s="105" t="str">
        <f>IF(F273=True, IFERROR(VLOOKUP(D273, Repository!A:C, 3, 0), ""), "")</f>
        <v/>
      </c>
      <c r="K273" s="105"/>
      <c r="L273" s="105" t="str">
        <f>IF(F273=True, IFERROR(VLOOKUP(D273, Repository!A:E, 5, 0), ""), "")</f>
        <v/>
      </c>
      <c r="M273" s="105"/>
      <c r="N273" s="105" t="str">
        <f>IF(F273=True, IFERROR(VLOOKUP(D273, Repository!A:G, 7, 0), ""), "")</f>
        <v/>
      </c>
      <c r="O273" s="105" t="str">
        <f>IFERROR(__xludf.DUMMYFUNCTION("ARRAY_CONSTRAIN(
  ARRAYFORMULA(
    IFERROR(
      LET(
        list, N273,
        arr, TRIM(SPLIT(list, "","")),
        names, XLOOKUP(
          arr,
          'Conformance Score'!A:A,
          'Conformance Score'!B:B,
          ""Not found""
      "&amp;"  ),
        TEXTJOIN("", "", TRUE, names)
      ),
      """"
    )
  ),
  1,
  1
)
"),"")</f>
        <v/>
      </c>
      <c r="P273" s="105" t="str">
        <f>IF(F273="Yes", IFERROR(VLOOKUP(D273, Repository!A:F, 6, 0), ""), "")</f>
        <v/>
      </c>
      <c r="Q273" s="105" t="str">
        <f>IF(F273="Yes", IFERROR(VLOOKUP(D273, Repository!A:I, 8, 0), ""), "")</f>
        <v/>
      </c>
      <c r="R273" s="105" t="str">
        <f>IF(F273="Yes", IFERROR(VLOOKUP(D273, Repository!A:J, 9, 0), ""), "")</f>
        <v/>
      </c>
      <c r="S273" s="105"/>
      <c r="T273" s="105"/>
      <c r="U273" s="105"/>
      <c r="V273" s="105"/>
      <c r="W273" s="105"/>
      <c r="X273" s="105"/>
      <c r="Y273" s="105"/>
      <c r="Z273" s="105"/>
      <c r="AA273" s="105"/>
      <c r="AB273" s="105"/>
      <c r="AC273" s="91"/>
      <c r="AD273" s="105"/>
      <c r="AE273" s="105"/>
      <c r="AF273" s="91"/>
      <c r="AG273" s="105"/>
      <c r="AH273" s="105"/>
      <c r="AI273" s="105" t="str">
        <f t="shared" si="1"/>
        <v/>
      </c>
      <c r="AJ273" s="108" t="str">
        <f t="shared" si="2"/>
        <v/>
      </c>
    </row>
    <row r="274" ht="15.75" customHeight="1">
      <c r="A274" s="104"/>
      <c r="B274" s="105" t="str">
        <f>IFERROR(__xludf.DUMMYFUNCTION("ARRAY_CONSTRAIN(
  ARRAYFORMULA(
    IF(
      'Final Report'!A274="""",
      """",
      TEXTJOIN(
        "", "" &amp; CHAR(10),
        TRUE,
        IFERROR(
          VLOOKUP(
            TRIM(
              SPLIT('Final Report'!A274, "","")
           "&amp;" ),
            'URL Details'!A:B,
            2,
            FALSE
          ),
          """"
        )
      )
    )
  ),
  1,
  1
)
"),"")</f>
        <v/>
      </c>
      <c r="C274" s="105" t="str">
        <f>IFERROR(__xludf.DUMMYFUNCTION("IFERROR(IF('Final Report'!A274="""","""", TEXTJOIN(CHAR(10), TRUE, ARRAYFORMULA( ""• ""&amp; FILTER( TRIM(FLATTEN(SPLIT( REGEXREPLACE( SUBSTITUTE(TEXTJOIN("","", TRUE, IFERROR(ARRAYFORMULA(VLOOKUP(TRIM(SPLIT('Final Report'!A274, "","")), 'URL Details'!A:D, 4,"&amp;" FALSE)),"""") ), CHAR(10), "",""), ""\s*,\s*"", "",""), "",""))), TRIM(FLATTEN(SPLIT( REGEXREPLACE( SUBSTITUTE(TEXTJOIN("","", TRUE, IFERROR(ARRAYFORMULA(VLOOKUP(TRIM(SPLIT('Final Report'!A274, "","")), 'URL Details'!A:D, 4, FALSE)),"""") ), CHAR(10), """&amp;",""), ""\s*,\s*"", "",""), "","")))&lt;&gt;"""" ) ) ) ),"""")
"),"")</f>
        <v/>
      </c>
      <c r="D274" s="105"/>
      <c r="E274" s="105"/>
      <c r="F274" s="110" t="b">
        <v>0</v>
      </c>
      <c r="G274" s="105" t="str">
        <f>IF(F274=True, IFERROR(VLOOKUP(D274, Repository!A:B, 2, 0), ""), "")</f>
        <v/>
      </c>
      <c r="H274" s="105"/>
      <c r="I274" s="105"/>
      <c r="J274" s="105" t="str">
        <f>IF(F274=True, IFERROR(VLOOKUP(D274, Repository!A:C, 3, 0), ""), "")</f>
        <v/>
      </c>
      <c r="K274" s="105"/>
      <c r="L274" s="105" t="str">
        <f>IF(F274=True, IFERROR(VLOOKUP(D274, Repository!A:E, 5, 0), ""), "")</f>
        <v/>
      </c>
      <c r="M274" s="105"/>
      <c r="N274" s="105" t="str">
        <f>IF(F274=True, IFERROR(VLOOKUP(D274, Repository!A:G, 7, 0), ""), "")</f>
        <v/>
      </c>
      <c r="O274" s="105" t="str">
        <f>IFERROR(__xludf.DUMMYFUNCTION("ARRAY_CONSTRAIN(
  ARRAYFORMULA(
    IFERROR(
      LET(
        list, N274,
        arr, TRIM(SPLIT(list, "","")),
        names, XLOOKUP(
          arr,
          'Conformance Score'!A:A,
          'Conformance Score'!B:B,
          ""Not found""
      "&amp;"  ),
        TEXTJOIN("", "", TRUE, names)
      ),
      """"
    )
  ),
  1,
  1
)
"),"")</f>
        <v/>
      </c>
      <c r="P274" s="105" t="str">
        <f>IF(F274="Yes", IFERROR(VLOOKUP(D274, Repository!A:F, 6, 0), ""), "")</f>
        <v/>
      </c>
      <c r="Q274" s="105" t="str">
        <f>IF(F274="Yes", IFERROR(VLOOKUP(D274, Repository!A:I, 8, 0), ""), "")</f>
        <v/>
      </c>
      <c r="R274" s="105" t="str">
        <f>IF(F274="Yes", IFERROR(VLOOKUP(D274, Repository!A:J, 9, 0), ""), "")</f>
        <v/>
      </c>
      <c r="S274" s="105"/>
      <c r="T274" s="105"/>
      <c r="U274" s="105"/>
      <c r="V274" s="105"/>
      <c r="W274" s="105"/>
      <c r="X274" s="105"/>
      <c r="Y274" s="105"/>
      <c r="Z274" s="105"/>
      <c r="AA274" s="105"/>
      <c r="AB274" s="105"/>
      <c r="AC274" s="91"/>
      <c r="AD274" s="105"/>
      <c r="AE274" s="105"/>
      <c r="AF274" s="91"/>
      <c r="AG274" s="105"/>
      <c r="AH274" s="105"/>
      <c r="AI274" s="105" t="str">
        <f t="shared" si="1"/>
        <v/>
      </c>
      <c r="AJ274" s="108" t="str">
        <f t="shared" si="2"/>
        <v/>
      </c>
    </row>
    <row r="275" ht="15.75" customHeight="1">
      <c r="A275" s="104"/>
      <c r="B275" s="105" t="str">
        <f>IFERROR(__xludf.DUMMYFUNCTION("ARRAY_CONSTRAIN(
  ARRAYFORMULA(
    IF(
      'Final Report'!A275="""",
      """",
      TEXTJOIN(
        "", "" &amp; CHAR(10),
        TRUE,
        IFERROR(
          VLOOKUP(
            TRIM(
              SPLIT('Final Report'!A275, "","")
           "&amp;" ),
            'URL Details'!A:B,
            2,
            FALSE
          ),
          """"
        )
      )
    )
  ),
  1,
  1
)
"),"")</f>
        <v/>
      </c>
      <c r="C275" s="105" t="str">
        <f>IFERROR(__xludf.DUMMYFUNCTION("IFERROR(IF('Final Report'!A275="""","""", TEXTJOIN(CHAR(10), TRUE, ARRAYFORMULA( ""• ""&amp; FILTER( TRIM(FLATTEN(SPLIT( REGEXREPLACE( SUBSTITUTE(TEXTJOIN("","", TRUE, IFERROR(ARRAYFORMULA(VLOOKUP(TRIM(SPLIT('Final Report'!A275, "","")), 'URL Details'!A:D, 4,"&amp;" FALSE)),"""") ), CHAR(10), "",""), ""\s*,\s*"", "",""), "",""))), TRIM(FLATTEN(SPLIT( REGEXREPLACE( SUBSTITUTE(TEXTJOIN("","", TRUE, IFERROR(ARRAYFORMULA(VLOOKUP(TRIM(SPLIT('Final Report'!A275, "","")), 'URL Details'!A:D, 4, FALSE)),"""") ), CHAR(10), """&amp;",""), ""\s*,\s*"", "",""), "","")))&lt;&gt;"""" ) ) ) ),"""")
"),"")</f>
        <v/>
      </c>
      <c r="D275" s="105"/>
      <c r="E275" s="105"/>
      <c r="F275" s="110" t="b">
        <v>0</v>
      </c>
      <c r="G275" s="105" t="str">
        <f>IF(F275=True, IFERROR(VLOOKUP(D275, Repository!A:B, 2, 0), ""), "")</f>
        <v/>
      </c>
      <c r="H275" s="105"/>
      <c r="I275" s="105"/>
      <c r="J275" s="105" t="str">
        <f>IF(F275=True, IFERROR(VLOOKUP(D275, Repository!A:C, 3, 0), ""), "")</f>
        <v/>
      </c>
      <c r="K275" s="105"/>
      <c r="L275" s="105" t="str">
        <f>IF(F275=True, IFERROR(VLOOKUP(D275, Repository!A:E, 5, 0), ""), "")</f>
        <v/>
      </c>
      <c r="M275" s="105"/>
      <c r="N275" s="105" t="str">
        <f>IF(F275=True, IFERROR(VLOOKUP(D275, Repository!A:G, 7, 0), ""), "")</f>
        <v/>
      </c>
      <c r="O275" s="105" t="str">
        <f>IFERROR(__xludf.DUMMYFUNCTION("ARRAY_CONSTRAIN(
  ARRAYFORMULA(
    IFERROR(
      LET(
        list, N275,
        arr, TRIM(SPLIT(list, "","")),
        names, XLOOKUP(
          arr,
          'Conformance Score'!A:A,
          'Conformance Score'!B:B,
          ""Not found""
      "&amp;"  ),
        TEXTJOIN("", "", TRUE, names)
      ),
      """"
    )
  ),
  1,
  1
)
"),"")</f>
        <v/>
      </c>
      <c r="P275" s="105" t="str">
        <f>IF(F275="Yes", IFERROR(VLOOKUP(D275, Repository!A:F, 6, 0), ""), "")</f>
        <v/>
      </c>
      <c r="Q275" s="105" t="str">
        <f>IF(F275="Yes", IFERROR(VLOOKUP(D275, Repository!A:I, 8, 0), ""), "")</f>
        <v/>
      </c>
      <c r="R275" s="105" t="str">
        <f>IF(F275="Yes", IFERROR(VLOOKUP(D275, Repository!A:J, 9, 0), ""), "")</f>
        <v/>
      </c>
      <c r="S275" s="105"/>
      <c r="T275" s="105"/>
      <c r="U275" s="105"/>
      <c r="V275" s="105"/>
      <c r="W275" s="105"/>
      <c r="X275" s="105"/>
      <c r="Y275" s="105"/>
      <c r="Z275" s="105"/>
      <c r="AA275" s="105"/>
      <c r="AB275" s="105"/>
      <c r="AC275" s="91"/>
      <c r="AD275" s="105"/>
      <c r="AE275" s="105"/>
      <c r="AF275" s="91"/>
      <c r="AG275" s="105"/>
      <c r="AH275" s="105"/>
      <c r="AI275" s="105" t="str">
        <f t="shared" si="1"/>
        <v/>
      </c>
      <c r="AJ275" s="108" t="str">
        <f t="shared" si="2"/>
        <v/>
      </c>
    </row>
    <row r="276" ht="15.75" customHeight="1">
      <c r="A276" s="104"/>
      <c r="B276" s="105" t="str">
        <f>IFERROR(__xludf.DUMMYFUNCTION("ARRAY_CONSTRAIN(
  ARRAYFORMULA(
    IF(
      'Final Report'!A276="""",
      """",
      TEXTJOIN(
        "", "" &amp; CHAR(10),
        TRUE,
        IFERROR(
          VLOOKUP(
            TRIM(
              SPLIT('Final Report'!A276, "","")
           "&amp;" ),
            'URL Details'!A:B,
            2,
            FALSE
          ),
          """"
        )
      )
    )
  ),
  1,
  1
)
"),"")</f>
        <v/>
      </c>
      <c r="C276" s="105" t="str">
        <f>IFERROR(__xludf.DUMMYFUNCTION("IFERROR(IF('Final Report'!A276="""","""", TEXTJOIN(CHAR(10), TRUE, ARRAYFORMULA( ""• ""&amp; FILTER( TRIM(FLATTEN(SPLIT( REGEXREPLACE( SUBSTITUTE(TEXTJOIN("","", TRUE, IFERROR(ARRAYFORMULA(VLOOKUP(TRIM(SPLIT('Final Report'!A276, "","")), 'URL Details'!A:D, 4,"&amp;" FALSE)),"""") ), CHAR(10), "",""), ""\s*,\s*"", "",""), "",""))), TRIM(FLATTEN(SPLIT( REGEXREPLACE( SUBSTITUTE(TEXTJOIN("","", TRUE, IFERROR(ARRAYFORMULA(VLOOKUP(TRIM(SPLIT('Final Report'!A276, "","")), 'URL Details'!A:D, 4, FALSE)),"""") ), CHAR(10), """&amp;",""), ""\s*,\s*"", "",""), "","")))&lt;&gt;"""" ) ) ) ),"""")
"),"")</f>
        <v/>
      </c>
      <c r="D276" s="105"/>
      <c r="E276" s="105"/>
      <c r="F276" s="110" t="b">
        <v>0</v>
      </c>
      <c r="G276" s="105" t="str">
        <f>IF(F276=True, IFERROR(VLOOKUP(D276, Repository!A:B, 2, 0), ""), "")</f>
        <v/>
      </c>
      <c r="H276" s="105"/>
      <c r="I276" s="105"/>
      <c r="J276" s="105" t="str">
        <f>IF(F276=True, IFERROR(VLOOKUP(D276, Repository!A:C, 3, 0), ""), "")</f>
        <v/>
      </c>
      <c r="K276" s="105"/>
      <c r="L276" s="105" t="str">
        <f>IF(F276=True, IFERROR(VLOOKUP(D276, Repository!A:E, 5, 0), ""), "")</f>
        <v/>
      </c>
      <c r="M276" s="105"/>
      <c r="N276" s="105" t="str">
        <f>IF(F276=True, IFERROR(VLOOKUP(D276, Repository!A:G, 7, 0), ""), "")</f>
        <v/>
      </c>
      <c r="O276" s="105" t="str">
        <f>IFERROR(__xludf.DUMMYFUNCTION("ARRAY_CONSTRAIN(
  ARRAYFORMULA(
    IFERROR(
      LET(
        list, N276,
        arr, TRIM(SPLIT(list, "","")),
        names, XLOOKUP(
          arr,
          'Conformance Score'!A:A,
          'Conformance Score'!B:B,
          ""Not found""
      "&amp;"  ),
        TEXTJOIN("", "", TRUE, names)
      ),
      """"
    )
  ),
  1,
  1
)
"),"")</f>
        <v/>
      </c>
      <c r="P276" s="105" t="str">
        <f>IF(F276="Yes", IFERROR(VLOOKUP(D276, Repository!A:F, 6, 0), ""), "")</f>
        <v/>
      </c>
      <c r="Q276" s="105" t="str">
        <f>IF(F276="Yes", IFERROR(VLOOKUP(D276, Repository!A:I, 8, 0), ""), "")</f>
        <v/>
      </c>
      <c r="R276" s="105" t="str">
        <f>IF(F276="Yes", IFERROR(VLOOKUP(D276, Repository!A:J, 9, 0), ""), "")</f>
        <v/>
      </c>
      <c r="S276" s="105"/>
      <c r="T276" s="105"/>
      <c r="U276" s="105"/>
      <c r="V276" s="105"/>
      <c r="W276" s="105"/>
      <c r="X276" s="105"/>
      <c r="Y276" s="105"/>
      <c r="Z276" s="105"/>
      <c r="AA276" s="105"/>
      <c r="AB276" s="105"/>
      <c r="AC276" s="91"/>
      <c r="AD276" s="105"/>
      <c r="AE276" s="105"/>
      <c r="AF276" s="91"/>
      <c r="AG276" s="105"/>
      <c r="AH276" s="105"/>
      <c r="AI276" s="105" t="str">
        <f t="shared" si="1"/>
        <v/>
      </c>
      <c r="AJ276" s="108" t="str">
        <f t="shared" si="2"/>
        <v/>
      </c>
    </row>
    <row r="277" ht="15.75" customHeight="1">
      <c r="A277" s="104"/>
      <c r="B277" s="105" t="str">
        <f>IFERROR(__xludf.DUMMYFUNCTION("ARRAY_CONSTRAIN(
  ARRAYFORMULA(
    IF(
      'Final Report'!A277="""",
      """",
      TEXTJOIN(
        "", "" &amp; CHAR(10),
        TRUE,
        IFERROR(
          VLOOKUP(
            TRIM(
              SPLIT('Final Report'!A277, "","")
           "&amp;" ),
            'URL Details'!A:B,
            2,
            FALSE
          ),
          """"
        )
      )
    )
  ),
  1,
  1
)
"),"")</f>
        <v/>
      </c>
      <c r="C277" s="105" t="str">
        <f>IFERROR(__xludf.DUMMYFUNCTION("IFERROR(IF('Final Report'!A277="""","""", TEXTJOIN(CHAR(10), TRUE, ARRAYFORMULA( ""• ""&amp; FILTER( TRIM(FLATTEN(SPLIT( REGEXREPLACE( SUBSTITUTE(TEXTJOIN("","", TRUE, IFERROR(ARRAYFORMULA(VLOOKUP(TRIM(SPLIT('Final Report'!A277, "","")), 'URL Details'!A:D, 4,"&amp;" FALSE)),"""") ), CHAR(10), "",""), ""\s*,\s*"", "",""), "",""))), TRIM(FLATTEN(SPLIT( REGEXREPLACE( SUBSTITUTE(TEXTJOIN("","", TRUE, IFERROR(ARRAYFORMULA(VLOOKUP(TRIM(SPLIT('Final Report'!A277, "","")), 'URL Details'!A:D, 4, FALSE)),"""") ), CHAR(10), """&amp;",""), ""\s*,\s*"", "",""), "","")))&lt;&gt;"""" ) ) ) ),"""")
"),"")</f>
        <v/>
      </c>
      <c r="D277" s="105"/>
      <c r="E277" s="105"/>
      <c r="F277" s="110" t="b">
        <v>0</v>
      </c>
      <c r="G277" s="105" t="str">
        <f>IF(F277=True, IFERROR(VLOOKUP(D277, Repository!A:B, 2, 0), ""), "")</f>
        <v/>
      </c>
      <c r="H277" s="105"/>
      <c r="I277" s="105"/>
      <c r="J277" s="105" t="str">
        <f>IF(F277=True, IFERROR(VLOOKUP(D277, Repository!A:C, 3, 0), ""), "")</f>
        <v/>
      </c>
      <c r="K277" s="105"/>
      <c r="L277" s="105" t="str">
        <f>IF(F277=True, IFERROR(VLOOKUP(D277, Repository!A:E, 5, 0), ""), "")</f>
        <v/>
      </c>
      <c r="M277" s="105"/>
      <c r="N277" s="105" t="str">
        <f>IF(F277=True, IFERROR(VLOOKUP(D277, Repository!A:G, 7, 0), ""), "")</f>
        <v/>
      </c>
      <c r="O277" s="105" t="str">
        <f>IFERROR(__xludf.DUMMYFUNCTION("ARRAY_CONSTRAIN(
  ARRAYFORMULA(
    IFERROR(
      LET(
        list, N277,
        arr, TRIM(SPLIT(list, "","")),
        names, XLOOKUP(
          arr,
          'Conformance Score'!A:A,
          'Conformance Score'!B:B,
          ""Not found""
      "&amp;"  ),
        TEXTJOIN("", "", TRUE, names)
      ),
      """"
    )
  ),
  1,
  1
)
"),"")</f>
        <v/>
      </c>
      <c r="P277" s="105" t="str">
        <f>IF(F277="Yes", IFERROR(VLOOKUP(D277, Repository!A:F, 6, 0), ""), "")</f>
        <v/>
      </c>
      <c r="Q277" s="105" t="str">
        <f>IF(F277="Yes", IFERROR(VLOOKUP(D277, Repository!A:I, 8, 0), ""), "")</f>
        <v/>
      </c>
      <c r="R277" s="105" t="str">
        <f>IF(F277="Yes", IFERROR(VLOOKUP(D277, Repository!A:J, 9, 0), ""), "")</f>
        <v/>
      </c>
      <c r="S277" s="105"/>
      <c r="T277" s="105"/>
      <c r="U277" s="105"/>
      <c r="V277" s="105"/>
      <c r="W277" s="105"/>
      <c r="X277" s="105"/>
      <c r="Y277" s="105"/>
      <c r="Z277" s="105"/>
      <c r="AA277" s="105"/>
      <c r="AB277" s="105"/>
      <c r="AC277" s="91"/>
      <c r="AD277" s="105"/>
      <c r="AE277" s="105"/>
      <c r="AF277" s="91"/>
      <c r="AG277" s="105"/>
      <c r="AH277" s="105"/>
      <c r="AI277" s="105" t="str">
        <f t="shared" si="1"/>
        <v/>
      </c>
      <c r="AJ277" s="108" t="str">
        <f t="shared" si="2"/>
        <v/>
      </c>
    </row>
    <row r="278" ht="15.75" customHeight="1">
      <c r="A278" s="104"/>
      <c r="B278" s="105" t="str">
        <f>IFERROR(__xludf.DUMMYFUNCTION("ARRAY_CONSTRAIN(
  ARRAYFORMULA(
    IF(
      'Final Report'!A278="""",
      """",
      TEXTJOIN(
        "", "" &amp; CHAR(10),
        TRUE,
        IFERROR(
          VLOOKUP(
            TRIM(
              SPLIT('Final Report'!A278, "","")
           "&amp;" ),
            'URL Details'!A:B,
            2,
            FALSE
          ),
          """"
        )
      )
    )
  ),
  1,
  1
)
"),"")</f>
        <v/>
      </c>
      <c r="C278" s="105" t="str">
        <f>IFERROR(__xludf.DUMMYFUNCTION("IFERROR(IF('Final Report'!A278="""","""", TEXTJOIN(CHAR(10), TRUE, ARRAYFORMULA( ""• ""&amp; FILTER( TRIM(FLATTEN(SPLIT( REGEXREPLACE( SUBSTITUTE(TEXTJOIN("","", TRUE, IFERROR(ARRAYFORMULA(VLOOKUP(TRIM(SPLIT('Final Report'!A278, "","")), 'URL Details'!A:D, 4,"&amp;" FALSE)),"""") ), CHAR(10), "",""), ""\s*,\s*"", "",""), "",""))), TRIM(FLATTEN(SPLIT( REGEXREPLACE( SUBSTITUTE(TEXTJOIN("","", TRUE, IFERROR(ARRAYFORMULA(VLOOKUP(TRIM(SPLIT('Final Report'!A278, "","")), 'URL Details'!A:D, 4, FALSE)),"""") ), CHAR(10), """&amp;",""), ""\s*,\s*"", "",""), "","")))&lt;&gt;"""" ) ) ) ),"""")
"),"")</f>
        <v/>
      </c>
      <c r="D278" s="105"/>
      <c r="E278" s="105"/>
      <c r="F278" s="110" t="b">
        <v>0</v>
      </c>
      <c r="G278" s="105" t="str">
        <f>IF(F278=True, IFERROR(VLOOKUP(D278, Repository!A:B, 2, 0), ""), "")</f>
        <v/>
      </c>
      <c r="H278" s="105"/>
      <c r="I278" s="105"/>
      <c r="J278" s="105" t="str">
        <f>IF(F278=True, IFERROR(VLOOKUP(D278, Repository!A:C, 3, 0), ""), "")</f>
        <v/>
      </c>
      <c r="K278" s="105"/>
      <c r="L278" s="105" t="str">
        <f>IF(F278=True, IFERROR(VLOOKUP(D278, Repository!A:E, 5, 0), ""), "")</f>
        <v/>
      </c>
      <c r="M278" s="105"/>
      <c r="N278" s="105" t="str">
        <f>IF(F278=True, IFERROR(VLOOKUP(D278, Repository!A:G, 7, 0), ""), "")</f>
        <v/>
      </c>
      <c r="O278" s="105" t="str">
        <f>IFERROR(__xludf.DUMMYFUNCTION("ARRAY_CONSTRAIN(
  ARRAYFORMULA(
    IFERROR(
      LET(
        list, N278,
        arr, TRIM(SPLIT(list, "","")),
        names, XLOOKUP(
          arr,
          'Conformance Score'!A:A,
          'Conformance Score'!B:B,
          ""Not found""
      "&amp;"  ),
        TEXTJOIN("", "", TRUE, names)
      ),
      """"
    )
  ),
  1,
  1
)
"),"")</f>
        <v/>
      </c>
      <c r="P278" s="105" t="str">
        <f>IF(F278="Yes", IFERROR(VLOOKUP(D278, Repository!A:F, 6, 0), ""), "")</f>
        <v/>
      </c>
      <c r="Q278" s="105" t="str">
        <f>IF(F278="Yes", IFERROR(VLOOKUP(D278, Repository!A:I, 8, 0), ""), "")</f>
        <v/>
      </c>
      <c r="R278" s="105" t="str">
        <f>IF(F278="Yes", IFERROR(VLOOKUP(D278, Repository!A:J, 9, 0), ""), "")</f>
        <v/>
      </c>
      <c r="S278" s="105"/>
      <c r="T278" s="105"/>
      <c r="U278" s="105"/>
      <c r="V278" s="105"/>
      <c r="W278" s="105"/>
      <c r="X278" s="105"/>
      <c r="Y278" s="105"/>
      <c r="Z278" s="105"/>
      <c r="AA278" s="105"/>
      <c r="AB278" s="105"/>
      <c r="AC278" s="91"/>
      <c r="AD278" s="105"/>
      <c r="AE278" s="105"/>
      <c r="AF278" s="91"/>
      <c r="AG278" s="105"/>
      <c r="AH278" s="105"/>
      <c r="AI278" s="105" t="str">
        <f t="shared" si="1"/>
        <v/>
      </c>
      <c r="AJ278" s="108" t="str">
        <f t="shared" si="2"/>
        <v/>
      </c>
    </row>
    <row r="279" ht="15.75" customHeight="1">
      <c r="A279" s="104"/>
      <c r="B279" s="105" t="str">
        <f>IFERROR(__xludf.DUMMYFUNCTION("ARRAY_CONSTRAIN(
  ARRAYFORMULA(
    IF(
      'Final Report'!A279="""",
      """",
      TEXTJOIN(
        "", "" &amp; CHAR(10),
        TRUE,
        IFERROR(
          VLOOKUP(
            TRIM(
              SPLIT('Final Report'!A279, "","")
           "&amp;" ),
            'URL Details'!A:B,
            2,
            FALSE
          ),
          """"
        )
      )
    )
  ),
  1,
  1
)
"),"")</f>
        <v/>
      </c>
      <c r="C279" s="105" t="str">
        <f>IFERROR(__xludf.DUMMYFUNCTION("IFERROR(IF('Final Report'!A279="""","""", TEXTJOIN(CHAR(10), TRUE, ARRAYFORMULA( ""• ""&amp; FILTER( TRIM(FLATTEN(SPLIT( REGEXREPLACE( SUBSTITUTE(TEXTJOIN("","", TRUE, IFERROR(ARRAYFORMULA(VLOOKUP(TRIM(SPLIT('Final Report'!A279, "","")), 'URL Details'!A:D, 4,"&amp;" FALSE)),"""") ), CHAR(10), "",""), ""\s*,\s*"", "",""), "",""))), TRIM(FLATTEN(SPLIT( REGEXREPLACE( SUBSTITUTE(TEXTJOIN("","", TRUE, IFERROR(ARRAYFORMULA(VLOOKUP(TRIM(SPLIT('Final Report'!A279, "","")), 'URL Details'!A:D, 4, FALSE)),"""") ), CHAR(10), """&amp;",""), ""\s*,\s*"", "",""), "","")))&lt;&gt;"""" ) ) ) ),"""")
"),"")</f>
        <v/>
      </c>
      <c r="D279" s="105"/>
      <c r="E279" s="105"/>
      <c r="F279" s="110" t="b">
        <v>0</v>
      </c>
      <c r="G279" s="105" t="str">
        <f>IF(F279=True, IFERROR(VLOOKUP(D279, Repository!A:B, 2, 0), ""), "")</f>
        <v/>
      </c>
      <c r="H279" s="105"/>
      <c r="I279" s="105"/>
      <c r="J279" s="105" t="str">
        <f>IF(F279=True, IFERROR(VLOOKUP(D279, Repository!A:C, 3, 0), ""), "")</f>
        <v/>
      </c>
      <c r="K279" s="105"/>
      <c r="L279" s="105" t="str">
        <f>IF(F279=True, IFERROR(VLOOKUP(D279, Repository!A:E, 5, 0), ""), "")</f>
        <v/>
      </c>
      <c r="M279" s="105"/>
      <c r="N279" s="105" t="str">
        <f>IF(F279=True, IFERROR(VLOOKUP(D279, Repository!A:G, 7, 0), ""), "")</f>
        <v/>
      </c>
      <c r="O279" s="105" t="str">
        <f>IFERROR(__xludf.DUMMYFUNCTION("ARRAY_CONSTRAIN(
  ARRAYFORMULA(
    IFERROR(
      LET(
        list, N279,
        arr, TRIM(SPLIT(list, "","")),
        names, XLOOKUP(
          arr,
          'Conformance Score'!A:A,
          'Conformance Score'!B:B,
          ""Not found""
      "&amp;"  ),
        TEXTJOIN("", "", TRUE, names)
      ),
      """"
    )
  ),
  1,
  1
)
"),"")</f>
        <v/>
      </c>
      <c r="P279" s="105" t="str">
        <f>IF(F279="Yes", IFERROR(VLOOKUP(D279, Repository!A:F, 6, 0), ""), "")</f>
        <v/>
      </c>
      <c r="Q279" s="105" t="str">
        <f>IF(F279="Yes", IFERROR(VLOOKUP(D279, Repository!A:I, 8, 0), ""), "")</f>
        <v/>
      </c>
      <c r="R279" s="105" t="str">
        <f>IF(F279="Yes", IFERROR(VLOOKUP(D279, Repository!A:J, 9, 0), ""), "")</f>
        <v/>
      </c>
      <c r="S279" s="105"/>
      <c r="T279" s="105"/>
      <c r="U279" s="105"/>
      <c r="V279" s="105"/>
      <c r="W279" s="105"/>
      <c r="X279" s="105"/>
      <c r="Y279" s="105"/>
      <c r="Z279" s="105"/>
      <c r="AA279" s="105"/>
      <c r="AB279" s="105"/>
      <c r="AC279" s="91"/>
      <c r="AD279" s="105"/>
      <c r="AE279" s="105"/>
      <c r="AF279" s="91"/>
      <c r="AG279" s="105"/>
      <c r="AH279" s="105"/>
      <c r="AI279" s="105" t="str">
        <f t="shared" si="1"/>
        <v/>
      </c>
      <c r="AJ279" s="108" t="str">
        <f t="shared" si="2"/>
        <v/>
      </c>
    </row>
    <row r="280" ht="15.75" customHeight="1">
      <c r="A280" s="104"/>
      <c r="B280" s="105" t="str">
        <f>IFERROR(__xludf.DUMMYFUNCTION("ARRAY_CONSTRAIN(
  ARRAYFORMULA(
    IF(
      'Final Report'!A280="""",
      """",
      TEXTJOIN(
        "", "" &amp; CHAR(10),
        TRUE,
        IFERROR(
          VLOOKUP(
            TRIM(
              SPLIT('Final Report'!A280, "","")
           "&amp;" ),
            'URL Details'!A:B,
            2,
            FALSE
          ),
          """"
        )
      )
    )
  ),
  1,
  1
)
"),"")</f>
        <v/>
      </c>
      <c r="C280" s="105" t="str">
        <f>IFERROR(__xludf.DUMMYFUNCTION("IFERROR(IF('Final Report'!A280="""","""", TEXTJOIN(CHAR(10), TRUE, ARRAYFORMULA( ""• ""&amp; FILTER( TRIM(FLATTEN(SPLIT( REGEXREPLACE( SUBSTITUTE(TEXTJOIN("","", TRUE, IFERROR(ARRAYFORMULA(VLOOKUP(TRIM(SPLIT('Final Report'!A280, "","")), 'URL Details'!A:D, 4,"&amp;" FALSE)),"""") ), CHAR(10), "",""), ""\s*,\s*"", "",""), "",""))), TRIM(FLATTEN(SPLIT( REGEXREPLACE( SUBSTITUTE(TEXTJOIN("","", TRUE, IFERROR(ARRAYFORMULA(VLOOKUP(TRIM(SPLIT('Final Report'!A280, "","")), 'URL Details'!A:D, 4, FALSE)),"""") ), CHAR(10), """&amp;",""), ""\s*,\s*"", "",""), "","")))&lt;&gt;"""" ) ) ) ),"""")
"),"")</f>
        <v/>
      </c>
      <c r="D280" s="105"/>
      <c r="E280" s="105"/>
      <c r="F280" s="110" t="b">
        <v>0</v>
      </c>
      <c r="G280" s="105" t="str">
        <f>IF(F280=True, IFERROR(VLOOKUP(D280, Repository!A:B, 2, 0), ""), "")</f>
        <v/>
      </c>
      <c r="H280" s="105"/>
      <c r="I280" s="105"/>
      <c r="J280" s="105" t="str">
        <f>IF(F280=True, IFERROR(VLOOKUP(D280, Repository!A:C, 3, 0), ""), "")</f>
        <v/>
      </c>
      <c r="K280" s="105"/>
      <c r="L280" s="105" t="str">
        <f>IF(F280=True, IFERROR(VLOOKUP(D280, Repository!A:E, 5, 0), ""), "")</f>
        <v/>
      </c>
      <c r="M280" s="105"/>
      <c r="N280" s="105" t="str">
        <f>IF(F280=True, IFERROR(VLOOKUP(D280, Repository!A:G, 7, 0), ""), "")</f>
        <v/>
      </c>
      <c r="O280" s="105" t="str">
        <f>IFERROR(__xludf.DUMMYFUNCTION("ARRAY_CONSTRAIN(
  ARRAYFORMULA(
    IFERROR(
      LET(
        list, N280,
        arr, TRIM(SPLIT(list, "","")),
        names, XLOOKUP(
          arr,
          'Conformance Score'!A:A,
          'Conformance Score'!B:B,
          ""Not found""
      "&amp;"  ),
        TEXTJOIN("", "", TRUE, names)
      ),
      """"
    )
  ),
  1,
  1
)
"),"")</f>
        <v/>
      </c>
      <c r="P280" s="105" t="str">
        <f>IF(F280="Yes", IFERROR(VLOOKUP(D280, Repository!A:F, 6, 0), ""), "")</f>
        <v/>
      </c>
      <c r="Q280" s="105" t="str">
        <f>IF(F280="Yes", IFERROR(VLOOKUP(D280, Repository!A:I, 8, 0), ""), "")</f>
        <v/>
      </c>
      <c r="R280" s="105" t="str">
        <f>IF(F280="Yes", IFERROR(VLOOKUP(D280, Repository!A:J, 9, 0), ""), "")</f>
        <v/>
      </c>
      <c r="S280" s="105"/>
      <c r="T280" s="105"/>
      <c r="U280" s="105"/>
      <c r="V280" s="105"/>
      <c r="W280" s="105"/>
      <c r="X280" s="105"/>
      <c r="Y280" s="105"/>
      <c r="Z280" s="105"/>
      <c r="AA280" s="105"/>
      <c r="AB280" s="105"/>
      <c r="AC280" s="91"/>
      <c r="AD280" s="105"/>
      <c r="AE280" s="105"/>
      <c r="AF280" s="91"/>
      <c r="AG280" s="105"/>
      <c r="AH280" s="105"/>
      <c r="AI280" s="105" t="str">
        <f t="shared" si="1"/>
        <v/>
      </c>
      <c r="AJ280" s="108" t="str">
        <f t="shared" si="2"/>
        <v/>
      </c>
    </row>
    <row r="281" ht="15.75" customHeight="1">
      <c r="A281" s="104"/>
      <c r="B281" s="105" t="str">
        <f>IFERROR(__xludf.DUMMYFUNCTION("ARRAY_CONSTRAIN(
  ARRAYFORMULA(
    IF(
      'Final Report'!A281="""",
      """",
      TEXTJOIN(
        "", "" &amp; CHAR(10),
        TRUE,
        IFERROR(
          VLOOKUP(
            TRIM(
              SPLIT('Final Report'!A281, "","")
           "&amp;" ),
            'URL Details'!A:B,
            2,
            FALSE
          ),
          """"
        )
      )
    )
  ),
  1,
  1
)
"),"")</f>
        <v/>
      </c>
      <c r="C281" s="105" t="str">
        <f>IFERROR(__xludf.DUMMYFUNCTION("IFERROR(IF('Final Report'!A281="""","""", TEXTJOIN(CHAR(10), TRUE, ARRAYFORMULA( ""• ""&amp; FILTER( TRIM(FLATTEN(SPLIT( REGEXREPLACE( SUBSTITUTE(TEXTJOIN("","", TRUE, IFERROR(ARRAYFORMULA(VLOOKUP(TRIM(SPLIT('Final Report'!A281, "","")), 'URL Details'!A:D, 4,"&amp;" FALSE)),"""") ), CHAR(10), "",""), ""\s*,\s*"", "",""), "",""))), TRIM(FLATTEN(SPLIT( REGEXREPLACE( SUBSTITUTE(TEXTJOIN("","", TRUE, IFERROR(ARRAYFORMULA(VLOOKUP(TRIM(SPLIT('Final Report'!A281, "","")), 'URL Details'!A:D, 4, FALSE)),"""") ), CHAR(10), """&amp;",""), ""\s*,\s*"", "",""), "","")))&lt;&gt;"""" ) ) ) ),"""")
"),"")</f>
        <v/>
      </c>
      <c r="D281" s="105"/>
      <c r="E281" s="105"/>
      <c r="F281" s="110" t="b">
        <v>0</v>
      </c>
      <c r="G281" s="105" t="str">
        <f>IF(F281=True, IFERROR(VLOOKUP(D281, Repository!A:B, 2, 0), ""), "")</f>
        <v/>
      </c>
      <c r="H281" s="105"/>
      <c r="I281" s="105"/>
      <c r="J281" s="105" t="str">
        <f>IF(F281=True, IFERROR(VLOOKUP(D281, Repository!A:C, 3, 0), ""), "")</f>
        <v/>
      </c>
      <c r="K281" s="105"/>
      <c r="L281" s="105" t="str">
        <f>IF(F281=True, IFERROR(VLOOKUP(D281, Repository!A:E, 5, 0), ""), "")</f>
        <v/>
      </c>
      <c r="M281" s="105"/>
      <c r="N281" s="105" t="str">
        <f>IF(F281=True, IFERROR(VLOOKUP(D281, Repository!A:G, 7, 0), ""), "")</f>
        <v/>
      </c>
      <c r="O281" s="105" t="str">
        <f>IFERROR(__xludf.DUMMYFUNCTION("ARRAY_CONSTRAIN(
  ARRAYFORMULA(
    IFERROR(
      LET(
        list, N281,
        arr, TRIM(SPLIT(list, "","")),
        names, XLOOKUP(
          arr,
          'Conformance Score'!A:A,
          'Conformance Score'!B:B,
          ""Not found""
      "&amp;"  ),
        TEXTJOIN("", "", TRUE, names)
      ),
      """"
    )
  ),
  1,
  1
)
"),"")</f>
        <v/>
      </c>
      <c r="P281" s="105" t="str">
        <f>IF(F281="Yes", IFERROR(VLOOKUP(D281, Repository!A:F, 6, 0), ""), "")</f>
        <v/>
      </c>
      <c r="Q281" s="105" t="str">
        <f>IF(F281="Yes", IFERROR(VLOOKUP(D281, Repository!A:I, 8, 0), ""), "")</f>
        <v/>
      </c>
      <c r="R281" s="105" t="str">
        <f>IF(F281="Yes", IFERROR(VLOOKUP(D281, Repository!A:J, 9, 0), ""), "")</f>
        <v/>
      </c>
      <c r="S281" s="105"/>
      <c r="T281" s="105"/>
      <c r="U281" s="105"/>
      <c r="V281" s="105"/>
      <c r="W281" s="105"/>
      <c r="X281" s="105"/>
      <c r="Y281" s="105"/>
      <c r="Z281" s="105"/>
      <c r="AA281" s="105"/>
      <c r="AB281" s="105"/>
      <c r="AC281" s="91"/>
      <c r="AD281" s="105"/>
      <c r="AE281" s="105"/>
      <c r="AF281" s="91"/>
      <c r="AG281" s="105"/>
      <c r="AH281" s="105"/>
      <c r="AI281" s="105" t="str">
        <f t="shared" si="1"/>
        <v/>
      </c>
      <c r="AJ281" s="108" t="str">
        <f t="shared" si="2"/>
        <v/>
      </c>
    </row>
    <row r="282" ht="15.75" customHeight="1">
      <c r="A282" s="104"/>
      <c r="B282" s="105" t="str">
        <f>IFERROR(__xludf.DUMMYFUNCTION("ARRAY_CONSTRAIN(
  ARRAYFORMULA(
    IF(
      'Final Report'!A282="""",
      """",
      TEXTJOIN(
        "", "" &amp; CHAR(10),
        TRUE,
        IFERROR(
          VLOOKUP(
            TRIM(
              SPLIT('Final Report'!A282, "","")
           "&amp;" ),
            'URL Details'!A:B,
            2,
            FALSE
          ),
          """"
        )
      )
    )
  ),
  1,
  1
)
"),"")</f>
        <v/>
      </c>
      <c r="C282" s="105" t="str">
        <f>IFERROR(__xludf.DUMMYFUNCTION("IFERROR(IF('Final Report'!A282="""","""", TEXTJOIN(CHAR(10), TRUE, ARRAYFORMULA( ""• ""&amp; FILTER( TRIM(FLATTEN(SPLIT( REGEXREPLACE( SUBSTITUTE(TEXTJOIN("","", TRUE, IFERROR(ARRAYFORMULA(VLOOKUP(TRIM(SPLIT('Final Report'!A282, "","")), 'URL Details'!A:D, 4,"&amp;" FALSE)),"""") ), CHAR(10), "",""), ""\s*,\s*"", "",""), "",""))), TRIM(FLATTEN(SPLIT( REGEXREPLACE( SUBSTITUTE(TEXTJOIN("","", TRUE, IFERROR(ARRAYFORMULA(VLOOKUP(TRIM(SPLIT('Final Report'!A282, "","")), 'URL Details'!A:D, 4, FALSE)),"""") ), CHAR(10), """&amp;",""), ""\s*,\s*"", "",""), "","")))&lt;&gt;"""" ) ) ) ),"""")
"),"")</f>
        <v/>
      </c>
      <c r="D282" s="105"/>
      <c r="E282" s="105"/>
      <c r="F282" s="110" t="b">
        <v>0</v>
      </c>
      <c r="G282" s="105" t="str">
        <f>IF(F282=True, IFERROR(VLOOKUP(D282, Repository!A:B, 2, 0), ""), "")</f>
        <v/>
      </c>
      <c r="H282" s="105"/>
      <c r="I282" s="105"/>
      <c r="J282" s="105" t="str">
        <f>IF(F282=True, IFERROR(VLOOKUP(D282, Repository!A:C, 3, 0), ""), "")</f>
        <v/>
      </c>
      <c r="K282" s="105"/>
      <c r="L282" s="105" t="str">
        <f>IF(F282=True, IFERROR(VLOOKUP(D282, Repository!A:E, 5, 0), ""), "")</f>
        <v/>
      </c>
      <c r="M282" s="105"/>
      <c r="N282" s="105" t="str">
        <f>IF(F282=True, IFERROR(VLOOKUP(D282, Repository!A:G, 7, 0), ""), "")</f>
        <v/>
      </c>
      <c r="O282" s="105" t="str">
        <f>IFERROR(__xludf.DUMMYFUNCTION("ARRAY_CONSTRAIN(
  ARRAYFORMULA(
    IFERROR(
      LET(
        list, N282,
        arr, TRIM(SPLIT(list, "","")),
        names, XLOOKUP(
          arr,
          'Conformance Score'!A:A,
          'Conformance Score'!B:B,
          ""Not found""
      "&amp;"  ),
        TEXTJOIN("", "", TRUE, names)
      ),
      """"
    )
  ),
  1,
  1
)
"),"")</f>
        <v/>
      </c>
      <c r="P282" s="105" t="str">
        <f>IF(F282="Yes", IFERROR(VLOOKUP(D282, Repository!A:F, 6, 0), ""), "")</f>
        <v/>
      </c>
      <c r="Q282" s="105" t="str">
        <f>IF(F282="Yes", IFERROR(VLOOKUP(D282, Repository!A:I, 8, 0), ""), "")</f>
        <v/>
      </c>
      <c r="R282" s="105" t="str">
        <f>IF(F282="Yes", IFERROR(VLOOKUP(D282, Repository!A:J, 9, 0), ""), "")</f>
        <v/>
      </c>
      <c r="S282" s="105"/>
      <c r="T282" s="105"/>
      <c r="U282" s="105"/>
      <c r="V282" s="105"/>
      <c r="W282" s="105"/>
      <c r="X282" s="105"/>
      <c r="Y282" s="105"/>
      <c r="Z282" s="105"/>
      <c r="AA282" s="105"/>
      <c r="AB282" s="105"/>
      <c r="AC282" s="91"/>
      <c r="AD282" s="105"/>
      <c r="AE282" s="105"/>
      <c r="AF282" s="91"/>
      <c r="AG282" s="105"/>
      <c r="AH282" s="105"/>
      <c r="AI282" s="105" t="str">
        <f t="shared" si="1"/>
        <v/>
      </c>
      <c r="AJ282" s="108" t="str">
        <f t="shared" si="2"/>
        <v/>
      </c>
    </row>
    <row r="283" ht="15.75" customHeight="1">
      <c r="A283" s="104"/>
      <c r="B283" s="105" t="str">
        <f>IFERROR(__xludf.DUMMYFUNCTION("ARRAY_CONSTRAIN(
  ARRAYFORMULA(
    IF(
      'Final Report'!A283="""",
      """",
      TEXTJOIN(
        "", "" &amp; CHAR(10),
        TRUE,
        IFERROR(
          VLOOKUP(
            TRIM(
              SPLIT('Final Report'!A283, "","")
           "&amp;" ),
            'URL Details'!A:B,
            2,
            FALSE
          ),
          """"
        )
      )
    )
  ),
  1,
  1
)
"),"")</f>
        <v/>
      </c>
      <c r="C283" s="105" t="str">
        <f>IFERROR(__xludf.DUMMYFUNCTION("IFERROR(IF('Final Report'!A283="""","""", TEXTJOIN(CHAR(10), TRUE, ARRAYFORMULA( ""• ""&amp; FILTER( TRIM(FLATTEN(SPLIT( REGEXREPLACE( SUBSTITUTE(TEXTJOIN("","", TRUE, IFERROR(ARRAYFORMULA(VLOOKUP(TRIM(SPLIT('Final Report'!A283, "","")), 'URL Details'!A:D, 4,"&amp;" FALSE)),"""") ), CHAR(10), "",""), ""\s*,\s*"", "",""), "",""))), TRIM(FLATTEN(SPLIT( REGEXREPLACE( SUBSTITUTE(TEXTJOIN("","", TRUE, IFERROR(ARRAYFORMULA(VLOOKUP(TRIM(SPLIT('Final Report'!A283, "","")), 'URL Details'!A:D, 4, FALSE)),"""") ), CHAR(10), """&amp;",""), ""\s*,\s*"", "",""), "","")))&lt;&gt;"""" ) ) ) ),"""")
"),"")</f>
        <v/>
      </c>
      <c r="D283" s="105"/>
      <c r="E283" s="105"/>
      <c r="F283" s="110" t="b">
        <v>0</v>
      </c>
      <c r="G283" s="105" t="str">
        <f>IF(F283=True, IFERROR(VLOOKUP(D283, Repository!A:B, 2, 0), ""), "")</f>
        <v/>
      </c>
      <c r="H283" s="105"/>
      <c r="I283" s="105"/>
      <c r="J283" s="105" t="str">
        <f>IF(F283=True, IFERROR(VLOOKUP(D283, Repository!A:C, 3, 0), ""), "")</f>
        <v/>
      </c>
      <c r="K283" s="105"/>
      <c r="L283" s="105" t="str">
        <f>IF(F283=True, IFERROR(VLOOKUP(D283, Repository!A:E, 5, 0), ""), "")</f>
        <v/>
      </c>
      <c r="M283" s="105"/>
      <c r="N283" s="105" t="str">
        <f>IF(F283=True, IFERROR(VLOOKUP(D283, Repository!A:G, 7, 0), ""), "")</f>
        <v/>
      </c>
      <c r="O283" s="105" t="str">
        <f>IFERROR(__xludf.DUMMYFUNCTION("ARRAY_CONSTRAIN(
  ARRAYFORMULA(
    IFERROR(
      LET(
        list, N283,
        arr, TRIM(SPLIT(list, "","")),
        names, XLOOKUP(
          arr,
          'Conformance Score'!A:A,
          'Conformance Score'!B:B,
          ""Not found""
      "&amp;"  ),
        TEXTJOIN("", "", TRUE, names)
      ),
      """"
    )
  ),
  1,
  1
)
"),"")</f>
        <v/>
      </c>
      <c r="P283" s="105" t="str">
        <f>IF(F283="Yes", IFERROR(VLOOKUP(D283, Repository!A:F, 6, 0), ""), "")</f>
        <v/>
      </c>
      <c r="Q283" s="105" t="str">
        <f>IF(F283="Yes", IFERROR(VLOOKUP(D283, Repository!A:I, 8, 0), ""), "")</f>
        <v/>
      </c>
      <c r="R283" s="105" t="str">
        <f>IF(F283="Yes", IFERROR(VLOOKUP(D283, Repository!A:J, 9, 0), ""), "")</f>
        <v/>
      </c>
      <c r="S283" s="105"/>
      <c r="T283" s="105"/>
      <c r="U283" s="105"/>
      <c r="V283" s="105"/>
      <c r="W283" s="105"/>
      <c r="X283" s="105"/>
      <c r="Y283" s="105"/>
      <c r="Z283" s="105"/>
      <c r="AA283" s="105"/>
      <c r="AB283" s="105"/>
      <c r="AC283" s="91"/>
      <c r="AD283" s="105"/>
      <c r="AE283" s="105"/>
      <c r="AF283" s="91"/>
      <c r="AG283" s="105"/>
      <c r="AH283" s="105"/>
      <c r="AI283" s="105" t="str">
        <f t="shared" si="1"/>
        <v/>
      </c>
      <c r="AJ283" s="108" t="str">
        <f t="shared" si="2"/>
        <v/>
      </c>
    </row>
    <row r="284" ht="15.75" customHeight="1">
      <c r="A284" s="104"/>
      <c r="B284" s="105" t="str">
        <f>IFERROR(__xludf.DUMMYFUNCTION("ARRAY_CONSTRAIN(
  ARRAYFORMULA(
    IF(
      'Final Report'!A284="""",
      """",
      TEXTJOIN(
        "", "" &amp; CHAR(10),
        TRUE,
        IFERROR(
          VLOOKUP(
            TRIM(
              SPLIT('Final Report'!A284, "","")
           "&amp;" ),
            'URL Details'!A:B,
            2,
            FALSE
          ),
          """"
        )
      )
    )
  ),
  1,
  1
)
"),"")</f>
        <v/>
      </c>
      <c r="C284" s="105" t="str">
        <f>IFERROR(__xludf.DUMMYFUNCTION("IFERROR(IF('Final Report'!A284="""","""", TEXTJOIN(CHAR(10), TRUE, ARRAYFORMULA( ""• ""&amp; FILTER( TRIM(FLATTEN(SPLIT( REGEXREPLACE( SUBSTITUTE(TEXTJOIN("","", TRUE, IFERROR(ARRAYFORMULA(VLOOKUP(TRIM(SPLIT('Final Report'!A284, "","")), 'URL Details'!A:D, 4,"&amp;" FALSE)),"""") ), CHAR(10), "",""), ""\s*,\s*"", "",""), "",""))), TRIM(FLATTEN(SPLIT( REGEXREPLACE( SUBSTITUTE(TEXTJOIN("","", TRUE, IFERROR(ARRAYFORMULA(VLOOKUP(TRIM(SPLIT('Final Report'!A284, "","")), 'URL Details'!A:D, 4, FALSE)),"""") ), CHAR(10), """&amp;",""), ""\s*,\s*"", "",""), "","")))&lt;&gt;"""" ) ) ) ),"""")
"),"")</f>
        <v/>
      </c>
      <c r="D284" s="105"/>
      <c r="E284" s="105"/>
      <c r="F284" s="110" t="b">
        <v>0</v>
      </c>
      <c r="G284" s="105" t="str">
        <f>IF(F284=True, IFERROR(VLOOKUP(D284, Repository!A:B, 2, 0), ""), "")</f>
        <v/>
      </c>
      <c r="H284" s="105"/>
      <c r="I284" s="105"/>
      <c r="J284" s="105" t="str">
        <f>IF(F284=True, IFERROR(VLOOKUP(D284, Repository!A:C, 3, 0), ""), "")</f>
        <v/>
      </c>
      <c r="K284" s="105"/>
      <c r="L284" s="105" t="str">
        <f>IF(F284=True, IFERROR(VLOOKUP(D284, Repository!A:E, 5, 0), ""), "")</f>
        <v/>
      </c>
      <c r="M284" s="105"/>
      <c r="N284" s="105" t="str">
        <f>IF(F284=True, IFERROR(VLOOKUP(D284, Repository!A:G, 7, 0), ""), "")</f>
        <v/>
      </c>
      <c r="O284" s="105" t="str">
        <f>IFERROR(__xludf.DUMMYFUNCTION("ARRAY_CONSTRAIN(
  ARRAYFORMULA(
    IFERROR(
      LET(
        list, N284,
        arr, TRIM(SPLIT(list, "","")),
        names, XLOOKUP(
          arr,
          'Conformance Score'!A:A,
          'Conformance Score'!B:B,
          ""Not found""
      "&amp;"  ),
        TEXTJOIN("", "", TRUE, names)
      ),
      """"
    )
  ),
  1,
  1
)
"),"")</f>
        <v/>
      </c>
      <c r="P284" s="105" t="str">
        <f>IF(F284="Yes", IFERROR(VLOOKUP(D284, Repository!A:F, 6, 0), ""), "")</f>
        <v/>
      </c>
      <c r="Q284" s="105" t="str">
        <f>IF(F284="Yes", IFERROR(VLOOKUP(D284, Repository!A:I, 8, 0), ""), "")</f>
        <v/>
      </c>
      <c r="R284" s="105" t="str">
        <f>IF(F284="Yes", IFERROR(VLOOKUP(D284, Repository!A:J, 9, 0), ""), "")</f>
        <v/>
      </c>
      <c r="S284" s="105"/>
      <c r="T284" s="105"/>
      <c r="U284" s="105"/>
      <c r="V284" s="105"/>
      <c r="W284" s="105"/>
      <c r="X284" s="105"/>
      <c r="Y284" s="105"/>
      <c r="Z284" s="105"/>
      <c r="AA284" s="105"/>
      <c r="AB284" s="105"/>
      <c r="AC284" s="91"/>
      <c r="AD284" s="105"/>
      <c r="AE284" s="105"/>
      <c r="AF284" s="91"/>
      <c r="AG284" s="105"/>
      <c r="AH284" s="105"/>
      <c r="AI284" s="105" t="str">
        <f t="shared" si="1"/>
        <v/>
      </c>
      <c r="AJ284" s="108" t="str">
        <f t="shared" si="2"/>
        <v/>
      </c>
    </row>
    <row r="285" ht="15.75" customHeight="1">
      <c r="A285" s="104"/>
      <c r="B285" s="105" t="str">
        <f>IFERROR(__xludf.DUMMYFUNCTION("ARRAY_CONSTRAIN(
  ARRAYFORMULA(
    IF(
      'Final Report'!A285="""",
      """",
      TEXTJOIN(
        "", "" &amp; CHAR(10),
        TRUE,
        IFERROR(
          VLOOKUP(
            TRIM(
              SPLIT('Final Report'!A285, "","")
           "&amp;" ),
            'URL Details'!A:B,
            2,
            FALSE
          ),
          """"
        )
      )
    )
  ),
  1,
  1
)
"),"")</f>
        <v/>
      </c>
      <c r="C285" s="105" t="str">
        <f>IFERROR(__xludf.DUMMYFUNCTION("IFERROR(IF('Final Report'!A285="""","""", TEXTJOIN(CHAR(10), TRUE, ARRAYFORMULA( ""• ""&amp; FILTER( TRIM(FLATTEN(SPLIT( REGEXREPLACE( SUBSTITUTE(TEXTJOIN("","", TRUE, IFERROR(ARRAYFORMULA(VLOOKUP(TRIM(SPLIT('Final Report'!A285, "","")), 'URL Details'!A:D, 4,"&amp;" FALSE)),"""") ), CHAR(10), "",""), ""\s*,\s*"", "",""), "",""))), TRIM(FLATTEN(SPLIT( REGEXREPLACE( SUBSTITUTE(TEXTJOIN("","", TRUE, IFERROR(ARRAYFORMULA(VLOOKUP(TRIM(SPLIT('Final Report'!A285, "","")), 'URL Details'!A:D, 4, FALSE)),"""") ), CHAR(10), """&amp;",""), ""\s*,\s*"", "",""), "","")))&lt;&gt;"""" ) ) ) ),"""")
"),"")</f>
        <v/>
      </c>
      <c r="D285" s="105"/>
      <c r="E285" s="105"/>
      <c r="F285" s="110" t="b">
        <v>0</v>
      </c>
      <c r="G285" s="105" t="str">
        <f>IF(F285=True, IFERROR(VLOOKUP(D285, Repository!A:B, 2, 0), ""), "")</f>
        <v/>
      </c>
      <c r="H285" s="105"/>
      <c r="I285" s="105"/>
      <c r="J285" s="105" t="str">
        <f>IF(F285=True, IFERROR(VLOOKUP(D285, Repository!A:C, 3, 0), ""), "")</f>
        <v/>
      </c>
      <c r="K285" s="105"/>
      <c r="L285" s="105" t="str">
        <f>IF(F285=True, IFERROR(VLOOKUP(D285, Repository!A:E, 5, 0), ""), "")</f>
        <v/>
      </c>
      <c r="M285" s="105"/>
      <c r="N285" s="105" t="str">
        <f>IF(F285=True, IFERROR(VLOOKUP(D285, Repository!A:G, 7, 0), ""), "")</f>
        <v/>
      </c>
      <c r="O285" s="105" t="str">
        <f>IFERROR(__xludf.DUMMYFUNCTION("ARRAY_CONSTRAIN(
  ARRAYFORMULA(
    IFERROR(
      LET(
        list, N285,
        arr, TRIM(SPLIT(list, "","")),
        names, XLOOKUP(
          arr,
          'Conformance Score'!A:A,
          'Conformance Score'!B:B,
          ""Not found""
      "&amp;"  ),
        TEXTJOIN("", "", TRUE, names)
      ),
      """"
    )
  ),
  1,
  1
)
"),"")</f>
        <v/>
      </c>
      <c r="P285" s="105" t="str">
        <f>IF(F285="Yes", IFERROR(VLOOKUP(D285, Repository!A:F, 6, 0), ""), "")</f>
        <v/>
      </c>
      <c r="Q285" s="105" t="str">
        <f>IF(F285="Yes", IFERROR(VLOOKUP(D285, Repository!A:I, 8, 0), ""), "")</f>
        <v/>
      </c>
      <c r="R285" s="105" t="str">
        <f>IF(F285="Yes", IFERROR(VLOOKUP(D285, Repository!A:J, 9, 0), ""), "")</f>
        <v/>
      </c>
      <c r="S285" s="105"/>
      <c r="T285" s="105"/>
      <c r="U285" s="105"/>
      <c r="V285" s="105"/>
      <c r="W285" s="105"/>
      <c r="X285" s="105"/>
      <c r="Y285" s="105"/>
      <c r="Z285" s="105"/>
      <c r="AA285" s="105"/>
      <c r="AB285" s="105"/>
      <c r="AC285" s="91"/>
      <c r="AD285" s="105"/>
      <c r="AE285" s="105"/>
      <c r="AF285" s="91"/>
      <c r="AG285" s="105"/>
      <c r="AH285" s="105"/>
      <c r="AI285" s="105" t="str">
        <f t="shared" si="1"/>
        <v/>
      </c>
      <c r="AJ285" s="108" t="str">
        <f t="shared" si="2"/>
        <v/>
      </c>
    </row>
    <row r="286" ht="15.75" customHeight="1">
      <c r="A286" s="104"/>
      <c r="B286" s="105" t="str">
        <f>IFERROR(__xludf.DUMMYFUNCTION("ARRAY_CONSTRAIN(
  ARRAYFORMULA(
    IF(
      'Final Report'!A286="""",
      """",
      TEXTJOIN(
        "", "" &amp; CHAR(10),
        TRUE,
        IFERROR(
          VLOOKUP(
            TRIM(
              SPLIT('Final Report'!A286, "","")
           "&amp;" ),
            'URL Details'!A:B,
            2,
            FALSE
          ),
          """"
        )
      )
    )
  ),
  1,
  1
)
"),"")</f>
        <v/>
      </c>
      <c r="C286" s="105" t="str">
        <f>IFERROR(__xludf.DUMMYFUNCTION("IFERROR(IF('Final Report'!A286="""","""", TEXTJOIN(CHAR(10), TRUE, ARRAYFORMULA( ""• ""&amp; FILTER( TRIM(FLATTEN(SPLIT( REGEXREPLACE( SUBSTITUTE(TEXTJOIN("","", TRUE, IFERROR(ARRAYFORMULA(VLOOKUP(TRIM(SPLIT('Final Report'!A286, "","")), 'URL Details'!A:D, 4,"&amp;" FALSE)),"""") ), CHAR(10), "",""), ""\s*,\s*"", "",""), "",""))), TRIM(FLATTEN(SPLIT( REGEXREPLACE( SUBSTITUTE(TEXTJOIN("","", TRUE, IFERROR(ARRAYFORMULA(VLOOKUP(TRIM(SPLIT('Final Report'!A286, "","")), 'URL Details'!A:D, 4, FALSE)),"""") ), CHAR(10), """&amp;",""), ""\s*,\s*"", "",""), "","")))&lt;&gt;"""" ) ) ) ),"""")
"),"")</f>
        <v/>
      </c>
      <c r="D286" s="105"/>
      <c r="E286" s="105"/>
      <c r="F286" s="110" t="b">
        <v>0</v>
      </c>
      <c r="G286" s="105" t="str">
        <f>IF(F286=True, IFERROR(VLOOKUP(D286, Repository!A:B, 2, 0), ""), "")</f>
        <v/>
      </c>
      <c r="H286" s="105"/>
      <c r="I286" s="105"/>
      <c r="J286" s="105" t="str">
        <f>IF(F286=True, IFERROR(VLOOKUP(D286, Repository!A:C, 3, 0), ""), "")</f>
        <v/>
      </c>
      <c r="K286" s="105"/>
      <c r="L286" s="105" t="str">
        <f>IF(F286=True, IFERROR(VLOOKUP(D286, Repository!A:E, 5, 0), ""), "")</f>
        <v/>
      </c>
      <c r="M286" s="105"/>
      <c r="N286" s="105" t="str">
        <f>IF(F286=True, IFERROR(VLOOKUP(D286, Repository!A:G, 7, 0), ""), "")</f>
        <v/>
      </c>
      <c r="O286" s="105" t="str">
        <f>IFERROR(__xludf.DUMMYFUNCTION("ARRAY_CONSTRAIN(
  ARRAYFORMULA(
    IFERROR(
      LET(
        list, N286,
        arr, TRIM(SPLIT(list, "","")),
        names, XLOOKUP(
          arr,
          'Conformance Score'!A:A,
          'Conformance Score'!B:B,
          ""Not found""
      "&amp;"  ),
        TEXTJOIN("", "", TRUE, names)
      ),
      """"
    )
  ),
  1,
  1
)
"),"")</f>
        <v/>
      </c>
      <c r="P286" s="105" t="str">
        <f>IF(F286="Yes", IFERROR(VLOOKUP(D286, Repository!A:F, 6, 0), ""), "")</f>
        <v/>
      </c>
      <c r="Q286" s="105" t="str">
        <f>IF(F286="Yes", IFERROR(VLOOKUP(D286, Repository!A:I, 8, 0), ""), "")</f>
        <v/>
      </c>
      <c r="R286" s="105" t="str">
        <f>IF(F286="Yes", IFERROR(VLOOKUP(D286, Repository!A:J, 9, 0), ""), "")</f>
        <v/>
      </c>
      <c r="S286" s="105"/>
      <c r="T286" s="105"/>
      <c r="U286" s="105"/>
      <c r="V286" s="105"/>
      <c r="W286" s="105"/>
      <c r="X286" s="105"/>
      <c r="Y286" s="105"/>
      <c r="Z286" s="105"/>
      <c r="AA286" s="105"/>
      <c r="AB286" s="105"/>
      <c r="AC286" s="91"/>
      <c r="AD286" s="105"/>
      <c r="AE286" s="105"/>
      <c r="AF286" s="91"/>
      <c r="AG286" s="105"/>
      <c r="AH286" s="105"/>
      <c r="AI286" s="105" t="str">
        <f t="shared" si="1"/>
        <v/>
      </c>
      <c r="AJ286" s="108" t="str">
        <f t="shared" si="2"/>
        <v/>
      </c>
    </row>
    <row r="287" ht="15.75" customHeight="1">
      <c r="A287" s="104"/>
      <c r="B287" s="105" t="str">
        <f>IFERROR(__xludf.DUMMYFUNCTION("ARRAY_CONSTRAIN(
  ARRAYFORMULA(
    IF(
      'Final Report'!A287="""",
      """",
      TEXTJOIN(
        "", "" &amp; CHAR(10),
        TRUE,
        IFERROR(
          VLOOKUP(
            TRIM(
              SPLIT('Final Report'!A287, "","")
           "&amp;" ),
            'URL Details'!A:B,
            2,
            FALSE
          ),
          """"
        )
      )
    )
  ),
  1,
  1
)
"),"")</f>
        <v/>
      </c>
      <c r="C287" s="105" t="str">
        <f>IFERROR(__xludf.DUMMYFUNCTION("IFERROR(IF('Final Report'!A287="""","""", TEXTJOIN(CHAR(10), TRUE, ARRAYFORMULA( ""• ""&amp; FILTER( TRIM(FLATTEN(SPLIT( REGEXREPLACE( SUBSTITUTE(TEXTJOIN("","", TRUE, IFERROR(ARRAYFORMULA(VLOOKUP(TRIM(SPLIT('Final Report'!A287, "","")), 'URL Details'!A:D, 4,"&amp;" FALSE)),"""") ), CHAR(10), "",""), ""\s*,\s*"", "",""), "",""))), TRIM(FLATTEN(SPLIT( REGEXREPLACE( SUBSTITUTE(TEXTJOIN("","", TRUE, IFERROR(ARRAYFORMULA(VLOOKUP(TRIM(SPLIT('Final Report'!A287, "","")), 'URL Details'!A:D, 4, FALSE)),"""") ), CHAR(10), """&amp;",""), ""\s*,\s*"", "",""), "","")))&lt;&gt;"""" ) ) ) ),"""")
"),"")</f>
        <v/>
      </c>
      <c r="D287" s="105"/>
      <c r="E287" s="105"/>
      <c r="F287" s="110" t="b">
        <v>0</v>
      </c>
      <c r="G287" s="105" t="str">
        <f>IF(F287=True, IFERROR(VLOOKUP(D287, Repository!A:B, 2, 0), ""), "")</f>
        <v/>
      </c>
      <c r="H287" s="105"/>
      <c r="I287" s="105"/>
      <c r="J287" s="105" t="str">
        <f>IF(F287=True, IFERROR(VLOOKUP(D287, Repository!A:C, 3, 0), ""), "")</f>
        <v/>
      </c>
      <c r="K287" s="105"/>
      <c r="L287" s="105" t="str">
        <f>IF(F287=True, IFERROR(VLOOKUP(D287, Repository!A:E, 5, 0), ""), "")</f>
        <v/>
      </c>
      <c r="M287" s="105"/>
      <c r="N287" s="105" t="str">
        <f>IF(F287=True, IFERROR(VLOOKUP(D287, Repository!A:G, 7, 0), ""), "")</f>
        <v/>
      </c>
      <c r="O287" s="105" t="str">
        <f>IFERROR(__xludf.DUMMYFUNCTION("ARRAY_CONSTRAIN(
  ARRAYFORMULA(
    IFERROR(
      LET(
        list, N287,
        arr, TRIM(SPLIT(list, "","")),
        names, XLOOKUP(
          arr,
          'Conformance Score'!A:A,
          'Conformance Score'!B:B,
          ""Not found""
      "&amp;"  ),
        TEXTJOIN("", "", TRUE, names)
      ),
      """"
    )
  ),
  1,
  1
)
"),"")</f>
        <v/>
      </c>
      <c r="P287" s="105" t="str">
        <f>IF(F287="Yes", IFERROR(VLOOKUP(D287, Repository!A:F, 6, 0), ""), "")</f>
        <v/>
      </c>
      <c r="Q287" s="105" t="str">
        <f>IF(F287="Yes", IFERROR(VLOOKUP(D287, Repository!A:I, 8, 0), ""), "")</f>
        <v/>
      </c>
      <c r="R287" s="105" t="str">
        <f>IF(F287="Yes", IFERROR(VLOOKUP(D287, Repository!A:J, 9, 0), ""), "")</f>
        <v/>
      </c>
      <c r="S287" s="105"/>
      <c r="T287" s="105"/>
      <c r="U287" s="105"/>
      <c r="V287" s="105"/>
      <c r="W287" s="105"/>
      <c r="X287" s="105"/>
      <c r="Y287" s="105"/>
      <c r="Z287" s="105"/>
      <c r="AA287" s="105"/>
      <c r="AB287" s="105"/>
      <c r="AC287" s="91"/>
      <c r="AD287" s="105"/>
      <c r="AE287" s="105"/>
      <c r="AF287" s="91"/>
      <c r="AG287" s="105"/>
      <c r="AH287" s="105"/>
      <c r="AI287" s="105" t="str">
        <f t="shared" si="1"/>
        <v/>
      </c>
      <c r="AJ287" s="108" t="str">
        <f t="shared" si="2"/>
        <v/>
      </c>
    </row>
    <row r="288" ht="15.75" customHeight="1">
      <c r="A288" s="104"/>
      <c r="B288" s="105" t="str">
        <f>IFERROR(__xludf.DUMMYFUNCTION("ARRAY_CONSTRAIN(
  ARRAYFORMULA(
    IF(
      'Final Report'!A288="""",
      """",
      TEXTJOIN(
        "", "" &amp; CHAR(10),
        TRUE,
        IFERROR(
          VLOOKUP(
            TRIM(
              SPLIT('Final Report'!A288, "","")
           "&amp;" ),
            'URL Details'!A:B,
            2,
            FALSE
          ),
          """"
        )
      )
    )
  ),
  1,
  1
)
"),"")</f>
        <v/>
      </c>
      <c r="C288" s="105" t="str">
        <f>IFERROR(__xludf.DUMMYFUNCTION("IFERROR(IF('Final Report'!A288="""","""", TEXTJOIN(CHAR(10), TRUE, ARRAYFORMULA( ""• ""&amp; FILTER( TRIM(FLATTEN(SPLIT( REGEXREPLACE( SUBSTITUTE(TEXTJOIN("","", TRUE, IFERROR(ARRAYFORMULA(VLOOKUP(TRIM(SPLIT('Final Report'!A288, "","")), 'URL Details'!A:D, 4,"&amp;" FALSE)),"""") ), CHAR(10), "",""), ""\s*,\s*"", "",""), "",""))), TRIM(FLATTEN(SPLIT( REGEXREPLACE( SUBSTITUTE(TEXTJOIN("","", TRUE, IFERROR(ARRAYFORMULA(VLOOKUP(TRIM(SPLIT('Final Report'!A288, "","")), 'URL Details'!A:D, 4, FALSE)),"""") ), CHAR(10), """&amp;",""), ""\s*,\s*"", "",""), "","")))&lt;&gt;"""" ) ) ) ),"""")
"),"")</f>
        <v/>
      </c>
      <c r="D288" s="105"/>
      <c r="E288" s="105"/>
      <c r="F288" s="110" t="b">
        <v>0</v>
      </c>
      <c r="G288" s="105" t="str">
        <f>IF(F288=True, IFERROR(VLOOKUP(D288, Repository!A:B, 2, 0), ""), "")</f>
        <v/>
      </c>
      <c r="H288" s="105"/>
      <c r="I288" s="105"/>
      <c r="J288" s="105" t="str">
        <f>IF(F288=True, IFERROR(VLOOKUP(D288, Repository!A:C, 3, 0), ""), "")</f>
        <v/>
      </c>
      <c r="K288" s="105"/>
      <c r="L288" s="105" t="str">
        <f>IF(F288=True, IFERROR(VLOOKUP(D288, Repository!A:E, 5, 0), ""), "")</f>
        <v/>
      </c>
      <c r="M288" s="105"/>
      <c r="N288" s="105" t="str">
        <f>IF(F288=True, IFERROR(VLOOKUP(D288, Repository!A:G, 7, 0), ""), "")</f>
        <v/>
      </c>
      <c r="O288" s="105" t="str">
        <f>IFERROR(__xludf.DUMMYFUNCTION("ARRAY_CONSTRAIN(
  ARRAYFORMULA(
    IFERROR(
      LET(
        list, N288,
        arr, TRIM(SPLIT(list, "","")),
        names, XLOOKUP(
          arr,
          'Conformance Score'!A:A,
          'Conformance Score'!B:B,
          ""Not found""
      "&amp;"  ),
        TEXTJOIN("", "", TRUE, names)
      ),
      """"
    )
  ),
  1,
  1
)
"),"")</f>
        <v/>
      </c>
      <c r="P288" s="105" t="str">
        <f>IF(F288="Yes", IFERROR(VLOOKUP(D288, Repository!A:F, 6, 0), ""), "")</f>
        <v/>
      </c>
      <c r="Q288" s="105" t="str">
        <f>IF(F288="Yes", IFERROR(VLOOKUP(D288, Repository!A:I, 8, 0), ""), "")</f>
        <v/>
      </c>
      <c r="R288" s="105" t="str">
        <f>IF(F288="Yes", IFERROR(VLOOKUP(D288, Repository!A:J, 9, 0), ""), "")</f>
        <v/>
      </c>
      <c r="S288" s="105"/>
      <c r="T288" s="105"/>
      <c r="U288" s="105"/>
      <c r="V288" s="105"/>
      <c r="W288" s="105"/>
      <c r="X288" s="105"/>
      <c r="Y288" s="105"/>
      <c r="Z288" s="105"/>
      <c r="AA288" s="105"/>
      <c r="AB288" s="105"/>
      <c r="AC288" s="91"/>
      <c r="AD288" s="105"/>
      <c r="AE288" s="105"/>
      <c r="AF288" s="91"/>
      <c r="AG288" s="105"/>
      <c r="AH288" s="105"/>
      <c r="AI288" s="105" t="str">
        <f t="shared" si="1"/>
        <v/>
      </c>
      <c r="AJ288" s="108" t="str">
        <f t="shared" si="2"/>
        <v/>
      </c>
    </row>
    <row r="289" ht="15.75" customHeight="1">
      <c r="A289" s="104"/>
      <c r="B289" s="105" t="str">
        <f>IFERROR(__xludf.DUMMYFUNCTION("ARRAY_CONSTRAIN(
  ARRAYFORMULA(
    IF(
      'Final Report'!A289="""",
      """",
      TEXTJOIN(
        "", "" &amp; CHAR(10),
        TRUE,
        IFERROR(
          VLOOKUP(
            TRIM(
              SPLIT('Final Report'!A289, "","")
           "&amp;" ),
            'URL Details'!A:B,
            2,
            FALSE
          ),
          """"
        )
      )
    )
  ),
  1,
  1
)
"),"")</f>
        <v/>
      </c>
      <c r="C289" s="105" t="str">
        <f>IFERROR(__xludf.DUMMYFUNCTION("IFERROR(IF('Final Report'!A289="""","""", TEXTJOIN(CHAR(10), TRUE, ARRAYFORMULA( ""• ""&amp; FILTER( TRIM(FLATTEN(SPLIT( REGEXREPLACE( SUBSTITUTE(TEXTJOIN("","", TRUE, IFERROR(ARRAYFORMULA(VLOOKUP(TRIM(SPLIT('Final Report'!A289, "","")), 'URL Details'!A:D, 4,"&amp;" FALSE)),"""") ), CHAR(10), "",""), ""\s*,\s*"", "",""), "",""))), TRIM(FLATTEN(SPLIT( REGEXREPLACE( SUBSTITUTE(TEXTJOIN("","", TRUE, IFERROR(ARRAYFORMULA(VLOOKUP(TRIM(SPLIT('Final Report'!A289, "","")), 'URL Details'!A:D, 4, FALSE)),"""") ), CHAR(10), """&amp;",""), ""\s*,\s*"", "",""), "","")))&lt;&gt;"""" ) ) ) ),"""")
"),"")</f>
        <v/>
      </c>
      <c r="D289" s="105"/>
      <c r="E289" s="105"/>
      <c r="F289" s="110" t="b">
        <v>0</v>
      </c>
      <c r="G289" s="105" t="str">
        <f>IF(F289=True, IFERROR(VLOOKUP(D289, Repository!A:B, 2, 0), ""), "")</f>
        <v/>
      </c>
      <c r="H289" s="105"/>
      <c r="I289" s="105"/>
      <c r="J289" s="105" t="str">
        <f>IF(F289=True, IFERROR(VLOOKUP(D289, Repository!A:C, 3, 0), ""), "")</f>
        <v/>
      </c>
      <c r="K289" s="105"/>
      <c r="L289" s="105" t="str">
        <f>IF(F289=True, IFERROR(VLOOKUP(D289, Repository!A:E, 5, 0), ""), "")</f>
        <v/>
      </c>
      <c r="M289" s="105"/>
      <c r="N289" s="105" t="str">
        <f>IF(F289=True, IFERROR(VLOOKUP(D289, Repository!A:G, 7, 0), ""), "")</f>
        <v/>
      </c>
      <c r="O289" s="105" t="str">
        <f>IFERROR(__xludf.DUMMYFUNCTION("ARRAY_CONSTRAIN(
  ARRAYFORMULA(
    IFERROR(
      LET(
        list, N289,
        arr, TRIM(SPLIT(list, "","")),
        names, XLOOKUP(
          arr,
          'Conformance Score'!A:A,
          'Conformance Score'!B:B,
          ""Not found""
      "&amp;"  ),
        TEXTJOIN("", "", TRUE, names)
      ),
      """"
    )
  ),
  1,
  1
)
"),"")</f>
        <v/>
      </c>
      <c r="P289" s="105" t="str">
        <f>IF(F289="Yes", IFERROR(VLOOKUP(D289, Repository!A:F, 6, 0), ""), "")</f>
        <v/>
      </c>
      <c r="Q289" s="105" t="str">
        <f>IF(F289="Yes", IFERROR(VLOOKUP(D289, Repository!A:I, 8, 0), ""), "")</f>
        <v/>
      </c>
      <c r="R289" s="105" t="str">
        <f>IF(F289="Yes", IFERROR(VLOOKUP(D289, Repository!A:J, 9, 0), ""), "")</f>
        <v/>
      </c>
      <c r="S289" s="105"/>
      <c r="T289" s="105"/>
      <c r="U289" s="105"/>
      <c r="V289" s="105"/>
      <c r="W289" s="105"/>
      <c r="X289" s="105"/>
      <c r="Y289" s="105"/>
      <c r="Z289" s="105"/>
      <c r="AA289" s="105"/>
      <c r="AB289" s="105"/>
      <c r="AC289" s="91"/>
      <c r="AD289" s="105"/>
      <c r="AE289" s="105"/>
      <c r="AF289" s="91"/>
      <c r="AG289" s="105"/>
      <c r="AH289" s="105"/>
      <c r="AI289" s="105" t="str">
        <f t="shared" si="1"/>
        <v/>
      </c>
      <c r="AJ289" s="108" t="str">
        <f t="shared" si="2"/>
        <v/>
      </c>
    </row>
    <row r="290" ht="15.75" customHeight="1">
      <c r="A290" s="104"/>
      <c r="B290" s="105" t="str">
        <f>IFERROR(__xludf.DUMMYFUNCTION("ARRAY_CONSTRAIN(
  ARRAYFORMULA(
    IF(
      'Final Report'!A290="""",
      """",
      TEXTJOIN(
        "", "" &amp; CHAR(10),
        TRUE,
        IFERROR(
          VLOOKUP(
            TRIM(
              SPLIT('Final Report'!A290, "","")
           "&amp;" ),
            'URL Details'!A:B,
            2,
            FALSE
          ),
          """"
        )
      )
    )
  ),
  1,
  1
)
"),"")</f>
        <v/>
      </c>
      <c r="C290" s="105" t="str">
        <f>IFERROR(__xludf.DUMMYFUNCTION("IFERROR(IF('Final Report'!A290="""","""", TEXTJOIN(CHAR(10), TRUE, ARRAYFORMULA( ""• ""&amp; FILTER( TRIM(FLATTEN(SPLIT( REGEXREPLACE( SUBSTITUTE(TEXTJOIN("","", TRUE, IFERROR(ARRAYFORMULA(VLOOKUP(TRIM(SPLIT('Final Report'!A290, "","")), 'URL Details'!A:D, 4,"&amp;" FALSE)),"""") ), CHAR(10), "",""), ""\s*,\s*"", "",""), "",""))), TRIM(FLATTEN(SPLIT( REGEXREPLACE( SUBSTITUTE(TEXTJOIN("","", TRUE, IFERROR(ARRAYFORMULA(VLOOKUP(TRIM(SPLIT('Final Report'!A290, "","")), 'URL Details'!A:D, 4, FALSE)),"""") ), CHAR(10), """&amp;",""), ""\s*,\s*"", "",""), "","")))&lt;&gt;"""" ) ) ) ),"""")
"),"")</f>
        <v/>
      </c>
      <c r="D290" s="105"/>
      <c r="E290" s="105"/>
      <c r="F290" s="110" t="b">
        <v>0</v>
      </c>
      <c r="G290" s="105" t="str">
        <f>IF(F290=True, IFERROR(VLOOKUP(D290, Repository!A:B, 2, 0), ""), "")</f>
        <v/>
      </c>
      <c r="H290" s="105"/>
      <c r="I290" s="105"/>
      <c r="J290" s="105" t="str">
        <f>IF(F290=True, IFERROR(VLOOKUP(D290, Repository!A:C, 3, 0), ""), "")</f>
        <v/>
      </c>
      <c r="K290" s="105"/>
      <c r="L290" s="105" t="str">
        <f>IF(F290=True, IFERROR(VLOOKUP(D290, Repository!A:E, 5, 0), ""), "")</f>
        <v/>
      </c>
      <c r="M290" s="105"/>
      <c r="N290" s="105" t="str">
        <f>IF(F290=True, IFERROR(VLOOKUP(D290, Repository!A:G, 7, 0), ""), "")</f>
        <v/>
      </c>
      <c r="O290" s="105" t="str">
        <f>IFERROR(__xludf.DUMMYFUNCTION("ARRAY_CONSTRAIN(
  ARRAYFORMULA(
    IFERROR(
      LET(
        list, N290,
        arr, TRIM(SPLIT(list, "","")),
        names, XLOOKUP(
          arr,
          'Conformance Score'!A:A,
          'Conformance Score'!B:B,
          ""Not found""
      "&amp;"  ),
        TEXTJOIN("", "", TRUE, names)
      ),
      """"
    )
  ),
  1,
  1
)
"),"")</f>
        <v/>
      </c>
      <c r="P290" s="105" t="str">
        <f>IF(F290="Yes", IFERROR(VLOOKUP(D290, Repository!A:F, 6, 0), ""), "")</f>
        <v/>
      </c>
      <c r="Q290" s="105" t="str">
        <f>IF(F290="Yes", IFERROR(VLOOKUP(D290, Repository!A:I, 8, 0), ""), "")</f>
        <v/>
      </c>
      <c r="R290" s="105" t="str">
        <f>IF(F290="Yes", IFERROR(VLOOKUP(D290, Repository!A:J, 9, 0), ""), "")</f>
        <v/>
      </c>
      <c r="S290" s="105"/>
      <c r="T290" s="105"/>
      <c r="U290" s="105"/>
      <c r="V290" s="105"/>
      <c r="W290" s="105"/>
      <c r="X290" s="105"/>
      <c r="Y290" s="105"/>
      <c r="Z290" s="105"/>
      <c r="AA290" s="105"/>
      <c r="AB290" s="105"/>
      <c r="AC290" s="91"/>
      <c r="AD290" s="105"/>
      <c r="AE290" s="105"/>
      <c r="AF290" s="91"/>
      <c r="AG290" s="105"/>
      <c r="AH290" s="105"/>
      <c r="AI290" s="105" t="str">
        <f t="shared" si="1"/>
        <v/>
      </c>
      <c r="AJ290" s="108" t="str">
        <f t="shared" si="2"/>
        <v/>
      </c>
    </row>
    <row r="291" ht="15.75" customHeight="1">
      <c r="A291" s="104"/>
      <c r="B291" s="105" t="str">
        <f>IFERROR(__xludf.DUMMYFUNCTION("ARRAY_CONSTRAIN(
  ARRAYFORMULA(
    IF(
      'Final Report'!A291="""",
      """",
      TEXTJOIN(
        "", "" &amp; CHAR(10),
        TRUE,
        IFERROR(
          VLOOKUP(
            TRIM(
              SPLIT('Final Report'!A291, "","")
           "&amp;" ),
            'URL Details'!A:B,
            2,
            FALSE
          ),
          """"
        )
      )
    )
  ),
  1,
  1
)
"),"")</f>
        <v/>
      </c>
      <c r="C291" s="105" t="str">
        <f>IFERROR(__xludf.DUMMYFUNCTION("IFERROR(IF('Final Report'!A291="""","""", TEXTJOIN(CHAR(10), TRUE, ARRAYFORMULA( ""• ""&amp; FILTER( TRIM(FLATTEN(SPLIT( REGEXREPLACE( SUBSTITUTE(TEXTJOIN("","", TRUE, IFERROR(ARRAYFORMULA(VLOOKUP(TRIM(SPLIT('Final Report'!A291, "","")), 'URL Details'!A:D, 4,"&amp;" FALSE)),"""") ), CHAR(10), "",""), ""\s*,\s*"", "",""), "",""))), TRIM(FLATTEN(SPLIT( REGEXREPLACE( SUBSTITUTE(TEXTJOIN("","", TRUE, IFERROR(ARRAYFORMULA(VLOOKUP(TRIM(SPLIT('Final Report'!A291, "","")), 'URL Details'!A:D, 4, FALSE)),"""") ), CHAR(10), """&amp;",""), ""\s*,\s*"", "",""), "","")))&lt;&gt;"""" ) ) ) ),"""")
"),"")</f>
        <v/>
      </c>
      <c r="D291" s="105"/>
      <c r="E291" s="105"/>
      <c r="F291" s="110" t="b">
        <v>0</v>
      </c>
      <c r="G291" s="105" t="str">
        <f>IF(F291=True, IFERROR(VLOOKUP(D291, Repository!A:B, 2, 0), ""), "")</f>
        <v/>
      </c>
      <c r="H291" s="105"/>
      <c r="I291" s="105"/>
      <c r="J291" s="105" t="str">
        <f>IF(F291=True, IFERROR(VLOOKUP(D291, Repository!A:C, 3, 0), ""), "")</f>
        <v/>
      </c>
      <c r="K291" s="105"/>
      <c r="L291" s="105" t="str">
        <f>IF(F291=True, IFERROR(VLOOKUP(D291, Repository!A:E, 5, 0), ""), "")</f>
        <v/>
      </c>
      <c r="M291" s="105"/>
      <c r="N291" s="105" t="str">
        <f>IF(F291=True, IFERROR(VLOOKUP(D291, Repository!A:G, 7, 0), ""), "")</f>
        <v/>
      </c>
      <c r="O291" s="105" t="str">
        <f>IFERROR(__xludf.DUMMYFUNCTION("ARRAY_CONSTRAIN(
  ARRAYFORMULA(
    IFERROR(
      LET(
        list, N291,
        arr, TRIM(SPLIT(list, "","")),
        names, XLOOKUP(
          arr,
          'Conformance Score'!A:A,
          'Conformance Score'!B:B,
          ""Not found""
      "&amp;"  ),
        TEXTJOIN("", "", TRUE, names)
      ),
      """"
    )
  ),
  1,
  1
)
"),"")</f>
        <v/>
      </c>
      <c r="P291" s="105" t="str">
        <f>IF(F291="Yes", IFERROR(VLOOKUP(D291, Repository!A:F, 6, 0), ""), "")</f>
        <v/>
      </c>
      <c r="Q291" s="105" t="str">
        <f>IF(F291="Yes", IFERROR(VLOOKUP(D291, Repository!A:I, 8, 0), ""), "")</f>
        <v/>
      </c>
      <c r="R291" s="105" t="str">
        <f>IF(F291="Yes", IFERROR(VLOOKUP(D291, Repository!A:J, 9, 0), ""), "")</f>
        <v/>
      </c>
      <c r="S291" s="105"/>
      <c r="T291" s="105"/>
      <c r="U291" s="105"/>
      <c r="V291" s="105"/>
      <c r="W291" s="105"/>
      <c r="X291" s="105"/>
      <c r="Y291" s="105"/>
      <c r="Z291" s="105"/>
      <c r="AA291" s="105"/>
      <c r="AB291" s="105"/>
      <c r="AC291" s="91"/>
      <c r="AD291" s="105"/>
      <c r="AE291" s="105"/>
      <c r="AF291" s="91"/>
      <c r="AG291" s="105"/>
      <c r="AH291" s="105"/>
      <c r="AI291" s="105" t="str">
        <f t="shared" si="1"/>
        <v/>
      </c>
      <c r="AJ291" s="108" t="str">
        <f t="shared" si="2"/>
        <v/>
      </c>
    </row>
    <row r="292" ht="15.75" customHeight="1">
      <c r="A292" s="104"/>
      <c r="B292" s="105" t="str">
        <f>IFERROR(__xludf.DUMMYFUNCTION("ARRAY_CONSTRAIN(
  ARRAYFORMULA(
    IF(
      'Final Report'!A292="""",
      """",
      TEXTJOIN(
        "", "" &amp; CHAR(10),
        TRUE,
        IFERROR(
          VLOOKUP(
            TRIM(
              SPLIT('Final Report'!A292, "","")
           "&amp;" ),
            'URL Details'!A:B,
            2,
            FALSE
          ),
          """"
        )
      )
    )
  ),
  1,
  1
)
"),"")</f>
        <v/>
      </c>
      <c r="C292" s="105" t="str">
        <f>IFERROR(__xludf.DUMMYFUNCTION("IFERROR(IF('Final Report'!A292="""","""", TEXTJOIN(CHAR(10), TRUE, ARRAYFORMULA( ""• ""&amp; FILTER( TRIM(FLATTEN(SPLIT( REGEXREPLACE( SUBSTITUTE(TEXTJOIN("","", TRUE, IFERROR(ARRAYFORMULA(VLOOKUP(TRIM(SPLIT('Final Report'!A292, "","")), 'URL Details'!A:D, 4,"&amp;" FALSE)),"""") ), CHAR(10), "",""), ""\s*,\s*"", "",""), "",""))), TRIM(FLATTEN(SPLIT( REGEXREPLACE( SUBSTITUTE(TEXTJOIN("","", TRUE, IFERROR(ARRAYFORMULA(VLOOKUP(TRIM(SPLIT('Final Report'!A292, "","")), 'URL Details'!A:D, 4, FALSE)),"""") ), CHAR(10), """&amp;",""), ""\s*,\s*"", "",""), "","")))&lt;&gt;"""" ) ) ) ),"""")
"),"")</f>
        <v/>
      </c>
      <c r="D292" s="105"/>
      <c r="E292" s="105"/>
      <c r="F292" s="110" t="b">
        <v>0</v>
      </c>
      <c r="G292" s="105" t="str">
        <f>IF(F292=True, IFERROR(VLOOKUP(D292, Repository!A:B, 2, 0), ""), "")</f>
        <v/>
      </c>
      <c r="H292" s="105"/>
      <c r="I292" s="105"/>
      <c r="J292" s="105" t="str">
        <f>IF(F292=True, IFERROR(VLOOKUP(D292, Repository!A:C, 3, 0), ""), "")</f>
        <v/>
      </c>
      <c r="K292" s="105"/>
      <c r="L292" s="105" t="str">
        <f>IF(F292=True, IFERROR(VLOOKUP(D292, Repository!A:E, 5, 0), ""), "")</f>
        <v/>
      </c>
      <c r="M292" s="105"/>
      <c r="N292" s="105" t="str">
        <f>IF(F292=True, IFERROR(VLOOKUP(D292, Repository!A:G, 7, 0), ""), "")</f>
        <v/>
      </c>
      <c r="O292" s="105" t="str">
        <f>IFERROR(__xludf.DUMMYFUNCTION("ARRAY_CONSTRAIN(
  ARRAYFORMULA(
    IFERROR(
      LET(
        list, N292,
        arr, TRIM(SPLIT(list, "","")),
        names, XLOOKUP(
          arr,
          'Conformance Score'!A:A,
          'Conformance Score'!B:B,
          ""Not found""
      "&amp;"  ),
        TEXTJOIN("", "", TRUE, names)
      ),
      """"
    )
  ),
  1,
  1
)
"),"")</f>
        <v/>
      </c>
      <c r="P292" s="105" t="str">
        <f>IF(F292="Yes", IFERROR(VLOOKUP(D292, Repository!A:F, 6, 0), ""), "")</f>
        <v/>
      </c>
      <c r="Q292" s="105" t="str">
        <f>IF(F292="Yes", IFERROR(VLOOKUP(D292, Repository!A:I, 8, 0), ""), "")</f>
        <v/>
      </c>
      <c r="R292" s="105" t="str">
        <f>IF(F292="Yes", IFERROR(VLOOKUP(D292, Repository!A:J, 9, 0), ""), "")</f>
        <v/>
      </c>
      <c r="S292" s="105"/>
      <c r="T292" s="105"/>
      <c r="U292" s="105"/>
      <c r="V292" s="105"/>
      <c r="W292" s="105"/>
      <c r="X292" s="105"/>
      <c r="Y292" s="105"/>
      <c r="Z292" s="105"/>
      <c r="AA292" s="105"/>
      <c r="AB292" s="105"/>
      <c r="AC292" s="91"/>
      <c r="AD292" s="105"/>
      <c r="AE292" s="105"/>
      <c r="AF292" s="91"/>
      <c r="AG292" s="105"/>
      <c r="AH292" s="105"/>
      <c r="AI292" s="105" t="str">
        <f t="shared" si="1"/>
        <v/>
      </c>
      <c r="AJ292" s="108" t="str">
        <f t="shared" si="2"/>
        <v/>
      </c>
    </row>
    <row r="293" ht="15.75" customHeight="1">
      <c r="A293" s="104"/>
      <c r="B293" s="105" t="str">
        <f>IFERROR(__xludf.DUMMYFUNCTION("ARRAY_CONSTRAIN(
  ARRAYFORMULA(
    IF(
      'Final Report'!A293="""",
      """",
      TEXTJOIN(
        "", "" &amp; CHAR(10),
        TRUE,
        IFERROR(
          VLOOKUP(
            TRIM(
              SPLIT('Final Report'!A293, "","")
           "&amp;" ),
            'URL Details'!A:B,
            2,
            FALSE
          ),
          """"
        )
      )
    )
  ),
  1,
  1
)
"),"")</f>
        <v/>
      </c>
      <c r="C293" s="105" t="str">
        <f>IFERROR(__xludf.DUMMYFUNCTION("IFERROR(IF('Final Report'!A293="""","""", TEXTJOIN(CHAR(10), TRUE, ARRAYFORMULA( ""• ""&amp; FILTER( TRIM(FLATTEN(SPLIT( REGEXREPLACE( SUBSTITUTE(TEXTJOIN("","", TRUE, IFERROR(ARRAYFORMULA(VLOOKUP(TRIM(SPLIT('Final Report'!A293, "","")), 'URL Details'!A:D, 4,"&amp;" FALSE)),"""") ), CHAR(10), "",""), ""\s*,\s*"", "",""), "",""))), TRIM(FLATTEN(SPLIT( REGEXREPLACE( SUBSTITUTE(TEXTJOIN("","", TRUE, IFERROR(ARRAYFORMULA(VLOOKUP(TRIM(SPLIT('Final Report'!A293, "","")), 'URL Details'!A:D, 4, FALSE)),"""") ), CHAR(10), """&amp;",""), ""\s*,\s*"", "",""), "","")))&lt;&gt;"""" ) ) ) ),"""")
"),"")</f>
        <v/>
      </c>
      <c r="D293" s="105"/>
      <c r="E293" s="105"/>
      <c r="F293" s="110" t="b">
        <v>0</v>
      </c>
      <c r="G293" s="105" t="str">
        <f>IF(F293=True, IFERROR(VLOOKUP(D293, Repository!A:B, 2, 0), ""), "")</f>
        <v/>
      </c>
      <c r="H293" s="105"/>
      <c r="I293" s="105"/>
      <c r="J293" s="105" t="str">
        <f>IF(F293=True, IFERROR(VLOOKUP(D293, Repository!A:C, 3, 0), ""), "")</f>
        <v/>
      </c>
      <c r="K293" s="105"/>
      <c r="L293" s="105" t="str">
        <f>IF(F293=True, IFERROR(VLOOKUP(D293, Repository!A:E, 5, 0), ""), "")</f>
        <v/>
      </c>
      <c r="M293" s="105"/>
      <c r="N293" s="105" t="str">
        <f>IF(F293=True, IFERROR(VLOOKUP(D293, Repository!A:G, 7, 0), ""), "")</f>
        <v/>
      </c>
      <c r="O293" s="105" t="str">
        <f>IFERROR(__xludf.DUMMYFUNCTION("ARRAY_CONSTRAIN(
  ARRAYFORMULA(
    IFERROR(
      LET(
        list, N293,
        arr, TRIM(SPLIT(list, "","")),
        names, XLOOKUP(
          arr,
          'Conformance Score'!A:A,
          'Conformance Score'!B:B,
          ""Not found""
      "&amp;"  ),
        TEXTJOIN("", "", TRUE, names)
      ),
      """"
    )
  ),
  1,
  1
)
"),"")</f>
        <v/>
      </c>
      <c r="P293" s="105" t="str">
        <f>IF(F293="Yes", IFERROR(VLOOKUP(D293, Repository!A:F, 6, 0), ""), "")</f>
        <v/>
      </c>
      <c r="Q293" s="105" t="str">
        <f>IF(F293="Yes", IFERROR(VLOOKUP(D293, Repository!A:I, 8, 0), ""), "")</f>
        <v/>
      </c>
      <c r="R293" s="105" t="str">
        <f>IF(F293="Yes", IFERROR(VLOOKUP(D293, Repository!A:J, 9, 0), ""), "")</f>
        <v/>
      </c>
      <c r="S293" s="105"/>
      <c r="T293" s="105"/>
      <c r="U293" s="105"/>
      <c r="V293" s="105"/>
      <c r="W293" s="105"/>
      <c r="X293" s="105"/>
      <c r="Y293" s="105"/>
      <c r="Z293" s="105"/>
      <c r="AA293" s="105"/>
      <c r="AB293" s="105"/>
      <c r="AC293" s="91"/>
      <c r="AD293" s="105"/>
      <c r="AE293" s="105"/>
      <c r="AF293" s="91"/>
      <c r="AG293" s="105"/>
      <c r="AH293" s="105"/>
      <c r="AI293" s="105" t="str">
        <f t="shared" si="1"/>
        <v/>
      </c>
      <c r="AJ293" s="108" t="str">
        <f t="shared" si="2"/>
        <v/>
      </c>
    </row>
    <row r="294" ht="15.75" customHeight="1">
      <c r="A294" s="104"/>
      <c r="B294" s="105" t="str">
        <f>IFERROR(__xludf.DUMMYFUNCTION("ARRAY_CONSTRAIN(
  ARRAYFORMULA(
    IF(
      'Final Report'!A294="""",
      """",
      TEXTJOIN(
        "", "" &amp; CHAR(10),
        TRUE,
        IFERROR(
          VLOOKUP(
            TRIM(
              SPLIT('Final Report'!A294, "","")
           "&amp;" ),
            'URL Details'!A:B,
            2,
            FALSE
          ),
          """"
        )
      )
    )
  ),
  1,
  1
)
"),"")</f>
        <v/>
      </c>
      <c r="C294" s="105" t="str">
        <f>IFERROR(__xludf.DUMMYFUNCTION("IFERROR(IF('Final Report'!A294="""","""", TEXTJOIN(CHAR(10), TRUE, ARRAYFORMULA( ""• ""&amp; FILTER( TRIM(FLATTEN(SPLIT( REGEXREPLACE( SUBSTITUTE(TEXTJOIN("","", TRUE, IFERROR(ARRAYFORMULA(VLOOKUP(TRIM(SPLIT('Final Report'!A294, "","")), 'URL Details'!A:D, 4,"&amp;" FALSE)),"""") ), CHAR(10), "",""), ""\s*,\s*"", "",""), "",""))), TRIM(FLATTEN(SPLIT( REGEXREPLACE( SUBSTITUTE(TEXTJOIN("","", TRUE, IFERROR(ARRAYFORMULA(VLOOKUP(TRIM(SPLIT('Final Report'!A294, "","")), 'URL Details'!A:D, 4, FALSE)),"""") ), CHAR(10), """&amp;",""), ""\s*,\s*"", "",""), "","")))&lt;&gt;"""" ) ) ) ),"""")
"),"")</f>
        <v/>
      </c>
      <c r="D294" s="105"/>
      <c r="E294" s="105"/>
      <c r="F294" s="110" t="b">
        <v>0</v>
      </c>
      <c r="G294" s="105" t="str">
        <f>IF(F294=True, IFERROR(VLOOKUP(D294, Repository!A:B, 2, 0), ""), "")</f>
        <v/>
      </c>
      <c r="H294" s="105"/>
      <c r="I294" s="105"/>
      <c r="J294" s="105" t="str">
        <f>IF(F294=True, IFERROR(VLOOKUP(D294, Repository!A:C, 3, 0), ""), "")</f>
        <v/>
      </c>
      <c r="K294" s="105"/>
      <c r="L294" s="105" t="str">
        <f>IF(F294=True, IFERROR(VLOOKUP(D294, Repository!A:E, 5, 0), ""), "")</f>
        <v/>
      </c>
      <c r="M294" s="105"/>
      <c r="N294" s="105" t="str">
        <f>IF(F294=True, IFERROR(VLOOKUP(D294, Repository!A:G, 7, 0), ""), "")</f>
        <v/>
      </c>
      <c r="O294" s="105" t="str">
        <f>IFERROR(__xludf.DUMMYFUNCTION("ARRAY_CONSTRAIN(
  ARRAYFORMULA(
    IFERROR(
      LET(
        list, N294,
        arr, TRIM(SPLIT(list, "","")),
        names, XLOOKUP(
          arr,
          'Conformance Score'!A:A,
          'Conformance Score'!B:B,
          ""Not found""
      "&amp;"  ),
        TEXTJOIN("", "", TRUE, names)
      ),
      """"
    )
  ),
  1,
  1
)
"),"")</f>
        <v/>
      </c>
      <c r="P294" s="105" t="str">
        <f>IF(F294="Yes", IFERROR(VLOOKUP(D294, Repository!A:F, 6, 0), ""), "")</f>
        <v/>
      </c>
      <c r="Q294" s="105" t="str">
        <f>IF(F294="Yes", IFERROR(VLOOKUP(D294, Repository!A:I, 8, 0), ""), "")</f>
        <v/>
      </c>
      <c r="R294" s="105" t="str">
        <f>IF(F294="Yes", IFERROR(VLOOKUP(D294, Repository!A:J, 9, 0), ""), "")</f>
        <v/>
      </c>
      <c r="S294" s="105"/>
      <c r="T294" s="105"/>
      <c r="U294" s="105"/>
      <c r="V294" s="105"/>
      <c r="W294" s="105"/>
      <c r="X294" s="105"/>
      <c r="Y294" s="105"/>
      <c r="Z294" s="105"/>
      <c r="AA294" s="105"/>
      <c r="AB294" s="105"/>
      <c r="AC294" s="91"/>
      <c r="AD294" s="105"/>
      <c r="AE294" s="105"/>
      <c r="AF294" s="91"/>
      <c r="AG294" s="105"/>
      <c r="AH294" s="105"/>
      <c r="AI294" s="105" t="str">
        <f t="shared" si="1"/>
        <v/>
      </c>
      <c r="AJ294" s="108" t="str">
        <f t="shared" si="2"/>
        <v/>
      </c>
    </row>
    <row r="295" ht="15.75" customHeight="1">
      <c r="A295" s="104"/>
      <c r="B295" s="105" t="str">
        <f>IFERROR(__xludf.DUMMYFUNCTION("ARRAY_CONSTRAIN(
  ARRAYFORMULA(
    IF(
      'Final Report'!A295="""",
      """",
      TEXTJOIN(
        "", "" &amp; CHAR(10),
        TRUE,
        IFERROR(
          VLOOKUP(
            TRIM(
              SPLIT('Final Report'!A295, "","")
           "&amp;" ),
            'URL Details'!A:B,
            2,
            FALSE
          ),
          """"
        )
      )
    )
  ),
  1,
  1
)
"),"")</f>
        <v/>
      </c>
      <c r="C295" s="105" t="str">
        <f>IFERROR(__xludf.DUMMYFUNCTION("IFERROR(IF('Final Report'!A295="""","""", TEXTJOIN(CHAR(10), TRUE, ARRAYFORMULA( ""• ""&amp; FILTER( TRIM(FLATTEN(SPLIT( REGEXREPLACE( SUBSTITUTE(TEXTJOIN("","", TRUE, IFERROR(ARRAYFORMULA(VLOOKUP(TRIM(SPLIT('Final Report'!A295, "","")), 'URL Details'!A:D, 4,"&amp;" FALSE)),"""") ), CHAR(10), "",""), ""\s*,\s*"", "",""), "",""))), TRIM(FLATTEN(SPLIT( REGEXREPLACE( SUBSTITUTE(TEXTJOIN("","", TRUE, IFERROR(ARRAYFORMULA(VLOOKUP(TRIM(SPLIT('Final Report'!A295, "","")), 'URL Details'!A:D, 4, FALSE)),"""") ), CHAR(10), """&amp;",""), ""\s*,\s*"", "",""), "","")))&lt;&gt;"""" ) ) ) ),"""")
"),"")</f>
        <v/>
      </c>
      <c r="D295" s="105"/>
      <c r="E295" s="105"/>
      <c r="F295" s="110" t="b">
        <v>0</v>
      </c>
      <c r="G295" s="105" t="str">
        <f>IF(F295=True, IFERROR(VLOOKUP(D295, Repository!A:B, 2, 0), ""), "")</f>
        <v/>
      </c>
      <c r="H295" s="105"/>
      <c r="I295" s="105"/>
      <c r="J295" s="105" t="str">
        <f>IF(F295=True, IFERROR(VLOOKUP(D295, Repository!A:C, 3, 0), ""), "")</f>
        <v/>
      </c>
      <c r="K295" s="105"/>
      <c r="L295" s="105" t="str">
        <f>IF(F295=True, IFERROR(VLOOKUP(D295, Repository!A:E, 5, 0), ""), "")</f>
        <v/>
      </c>
      <c r="M295" s="105"/>
      <c r="N295" s="105" t="str">
        <f>IF(F295=True, IFERROR(VLOOKUP(D295, Repository!A:G, 7, 0), ""), "")</f>
        <v/>
      </c>
      <c r="O295" s="105" t="str">
        <f>IFERROR(__xludf.DUMMYFUNCTION("ARRAY_CONSTRAIN(
  ARRAYFORMULA(
    IFERROR(
      LET(
        list, N295,
        arr, TRIM(SPLIT(list, "","")),
        names, XLOOKUP(
          arr,
          'Conformance Score'!A:A,
          'Conformance Score'!B:B,
          ""Not found""
      "&amp;"  ),
        TEXTJOIN("", "", TRUE, names)
      ),
      """"
    )
  ),
  1,
  1
)
"),"")</f>
        <v/>
      </c>
      <c r="P295" s="105" t="str">
        <f>IF(F295="Yes", IFERROR(VLOOKUP(D295, Repository!A:F, 6, 0), ""), "")</f>
        <v/>
      </c>
      <c r="Q295" s="105" t="str">
        <f>IF(F295="Yes", IFERROR(VLOOKUP(D295, Repository!A:I, 8, 0), ""), "")</f>
        <v/>
      </c>
      <c r="R295" s="105" t="str">
        <f>IF(F295="Yes", IFERROR(VLOOKUP(D295, Repository!A:J, 9, 0), ""), "")</f>
        <v/>
      </c>
      <c r="S295" s="105"/>
      <c r="T295" s="105"/>
      <c r="U295" s="105"/>
      <c r="V295" s="105"/>
      <c r="W295" s="105"/>
      <c r="X295" s="105"/>
      <c r="Y295" s="105"/>
      <c r="Z295" s="105"/>
      <c r="AA295" s="105"/>
      <c r="AB295" s="105"/>
      <c r="AC295" s="91"/>
      <c r="AD295" s="105"/>
      <c r="AE295" s="105"/>
      <c r="AF295" s="91"/>
      <c r="AG295" s="105"/>
      <c r="AH295" s="105"/>
      <c r="AI295" s="105" t="str">
        <f t="shared" si="1"/>
        <v/>
      </c>
      <c r="AJ295" s="108" t="str">
        <f t="shared" si="2"/>
        <v/>
      </c>
    </row>
    <row r="296" ht="15.75" customHeight="1">
      <c r="A296" s="104"/>
      <c r="B296" s="105" t="str">
        <f>IFERROR(__xludf.DUMMYFUNCTION("ARRAY_CONSTRAIN(
  ARRAYFORMULA(
    IF(
      'Final Report'!A296="""",
      """",
      TEXTJOIN(
        "", "" &amp; CHAR(10),
        TRUE,
        IFERROR(
          VLOOKUP(
            TRIM(
              SPLIT('Final Report'!A296, "","")
           "&amp;" ),
            'URL Details'!A:B,
            2,
            FALSE
          ),
          """"
        )
      )
    )
  ),
  1,
  1
)
"),"")</f>
        <v/>
      </c>
      <c r="C296" s="105" t="str">
        <f>IFERROR(__xludf.DUMMYFUNCTION("IFERROR(IF('Final Report'!A296="""","""", TEXTJOIN(CHAR(10), TRUE, ARRAYFORMULA( ""• ""&amp; FILTER( TRIM(FLATTEN(SPLIT( REGEXREPLACE( SUBSTITUTE(TEXTJOIN("","", TRUE, IFERROR(ARRAYFORMULA(VLOOKUP(TRIM(SPLIT('Final Report'!A296, "","")), 'URL Details'!A:D, 4,"&amp;" FALSE)),"""") ), CHAR(10), "",""), ""\s*,\s*"", "",""), "",""))), TRIM(FLATTEN(SPLIT( REGEXREPLACE( SUBSTITUTE(TEXTJOIN("","", TRUE, IFERROR(ARRAYFORMULA(VLOOKUP(TRIM(SPLIT('Final Report'!A296, "","")), 'URL Details'!A:D, 4, FALSE)),"""") ), CHAR(10), """&amp;",""), ""\s*,\s*"", "",""), "","")))&lt;&gt;"""" ) ) ) ),"""")
"),"")</f>
        <v/>
      </c>
      <c r="D296" s="105"/>
      <c r="E296" s="105"/>
      <c r="F296" s="110" t="b">
        <v>0</v>
      </c>
      <c r="G296" s="105" t="str">
        <f>IF(F296=True, IFERROR(VLOOKUP(D296, Repository!A:B, 2, 0), ""), "")</f>
        <v/>
      </c>
      <c r="H296" s="105"/>
      <c r="I296" s="105"/>
      <c r="J296" s="105" t="str">
        <f>IF(F296=True, IFERROR(VLOOKUP(D296, Repository!A:C, 3, 0), ""), "")</f>
        <v/>
      </c>
      <c r="K296" s="105"/>
      <c r="L296" s="105" t="str">
        <f>IF(F296=True, IFERROR(VLOOKUP(D296, Repository!A:E, 5, 0), ""), "")</f>
        <v/>
      </c>
      <c r="M296" s="105"/>
      <c r="N296" s="105" t="str">
        <f>IF(F296=True, IFERROR(VLOOKUP(D296, Repository!A:G, 7, 0), ""), "")</f>
        <v/>
      </c>
      <c r="O296" s="105" t="str">
        <f>IFERROR(__xludf.DUMMYFUNCTION("ARRAY_CONSTRAIN(
  ARRAYFORMULA(
    IFERROR(
      LET(
        list, N296,
        arr, TRIM(SPLIT(list, "","")),
        names, XLOOKUP(
          arr,
          'Conformance Score'!A:A,
          'Conformance Score'!B:B,
          ""Not found""
      "&amp;"  ),
        TEXTJOIN("", "", TRUE, names)
      ),
      """"
    )
  ),
  1,
  1
)
"),"")</f>
        <v/>
      </c>
      <c r="P296" s="105" t="str">
        <f>IF(F296="Yes", IFERROR(VLOOKUP(D296, Repository!A:F, 6, 0), ""), "")</f>
        <v/>
      </c>
      <c r="Q296" s="105" t="str">
        <f>IF(F296="Yes", IFERROR(VLOOKUP(D296, Repository!A:I, 8, 0), ""), "")</f>
        <v/>
      </c>
      <c r="R296" s="105" t="str">
        <f>IF(F296="Yes", IFERROR(VLOOKUP(D296, Repository!A:J, 9, 0), ""), "")</f>
        <v/>
      </c>
      <c r="S296" s="105"/>
      <c r="T296" s="105"/>
      <c r="U296" s="105"/>
      <c r="V296" s="105"/>
      <c r="W296" s="105"/>
      <c r="X296" s="105"/>
      <c r="Y296" s="105"/>
      <c r="Z296" s="105"/>
      <c r="AA296" s="105"/>
      <c r="AB296" s="105"/>
      <c r="AC296" s="91"/>
      <c r="AD296" s="105"/>
      <c r="AE296" s="105"/>
      <c r="AF296" s="91"/>
      <c r="AG296" s="105"/>
      <c r="AH296" s="105"/>
      <c r="AI296" s="105" t="str">
        <f t="shared" si="1"/>
        <v/>
      </c>
      <c r="AJ296" s="108" t="str">
        <f t="shared" si="2"/>
        <v/>
      </c>
    </row>
    <row r="297" ht="15.75" customHeight="1">
      <c r="A297" s="104"/>
      <c r="B297" s="105" t="str">
        <f>IFERROR(__xludf.DUMMYFUNCTION("ARRAY_CONSTRAIN(
  ARRAYFORMULA(
    IF(
      'Final Report'!A297="""",
      """",
      TEXTJOIN(
        "", "" &amp; CHAR(10),
        TRUE,
        IFERROR(
          VLOOKUP(
            TRIM(
              SPLIT('Final Report'!A297, "","")
           "&amp;" ),
            'URL Details'!A:B,
            2,
            FALSE
          ),
          """"
        )
      )
    )
  ),
  1,
  1
)
"),"")</f>
        <v/>
      </c>
      <c r="C297" s="105" t="str">
        <f>IFERROR(__xludf.DUMMYFUNCTION("IFERROR(IF('Final Report'!A297="""","""", TEXTJOIN(CHAR(10), TRUE, ARRAYFORMULA( ""• ""&amp; FILTER( TRIM(FLATTEN(SPLIT( REGEXREPLACE( SUBSTITUTE(TEXTJOIN("","", TRUE, IFERROR(ARRAYFORMULA(VLOOKUP(TRIM(SPLIT('Final Report'!A297, "","")), 'URL Details'!A:D, 4,"&amp;" FALSE)),"""") ), CHAR(10), "",""), ""\s*,\s*"", "",""), "",""))), TRIM(FLATTEN(SPLIT( REGEXREPLACE( SUBSTITUTE(TEXTJOIN("","", TRUE, IFERROR(ARRAYFORMULA(VLOOKUP(TRIM(SPLIT('Final Report'!A297, "","")), 'URL Details'!A:D, 4, FALSE)),"""") ), CHAR(10), """&amp;",""), ""\s*,\s*"", "",""), "","")))&lt;&gt;"""" ) ) ) ),"""")
"),"")</f>
        <v/>
      </c>
      <c r="D297" s="105"/>
      <c r="E297" s="105"/>
      <c r="F297" s="110" t="b">
        <v>0</v>
      </c>
      <c r="G297" s="105" t="str">
        <f>IF(F297=True, IFERROR(VLOOKUP(D297, Repository!A:B, 2, 0), ""), "")</f>
        <v/>
      </c>
      <c r="H297" s="105"/>
      <c r="I297" s="105"/>
      <c r="J297" s="105" t="str">
        <f>IF(F297=True, IFERROR(VLOOKUP(D297, Repository!A:C, 3, 0), ""), "")</f>
        <v/>
      </c>
      <c r="K297" s="105"/>
      <c r="L297" s="105" t="str">
        <f>IF(F297=True, IFERROR(VLOOKUP(D297, Repository!A:E, 5, 0), ""), "")</f>
        <v/>
      </c>
      <c r="M297" s="105"/>
      <c r="N297" s="105" t="str">
        <f>IF(F297=True, IFERROR(VLOOKUP(D297, Repository!A:G, 7, 0), ""), "")</f>
        <v/>
      </c>
      <c r="O297" s="105" t="str">
        <f>IFERROR(__xludf.DUMMYFUNCTION("ARRAY_CONSTRAIN(
  ARRAYFORMULA(
    IFERROR(
      LET(
        list, N297,
        arr, TRIM(SPLIT(list, "","")),
        names, XLOOKUP(
          arr,
          'Conformance Score'!A:A,
          'Conformance Score'!B:B,
          ""Not found""
      "&amp;"  ),
        TEXTJOIN("", "", TRUE, names)
      ),
      """"
    )
  ),
  1,
  1
)
"),"")</f>
        <v/>
      </c>
      <c r="P297" s="105" t="str">
        <f>IF(F297="Yes", IFERROR(VLOOKUP(D297, Repository!A:F, 6, 0), ""), "")</f>
        <v/>
      </c>
      <c r="Q297" s="105" t="str">
        <f>IF(F297="Yes", IFERROR(VLOOKUP(D297, Repository!A:I, 8, 0), ""), "")</f>
        <v/>
      </c>
      <c r="R297" s="105" t="str">
        <f>IF(F297="Yes", IFERROR(VLOOKUP(D297, Repository!A:J, 9, 0), ""), "")</f>
        <v/>
      </c>
      <c r="S297" s="105"/>
      <c r="T297" s="105"/>
      <c r="U297" s="105"/>
      <c r="V297" s="105"/>
      <c r="W297" s="105"/>
      <c r="X297" s="105"/>
      <c r="Y297" s="105"/>
      <c r="Z297" s="105"/>
      <c r="AA297" s="105"/>
      <c r="AB297" s="105"/>
      <c r="AC297" s="91"/>
      <c r="AD297" s="105"/>
      <c r="AE297" s="105"/>
      <c r="AF297" s="91"/>
      <c r="AG297" s="105"/>
      <c r="AH297" s="105"/>
      <c r="AI297" s="105" t="str">
        <f t="shared" si="1"/>
        <v/>
      </c>
      <c r="AJ297" s="108" t="str">
        <f t="shared" si="2"/>
        <v/>
      </c>
    </row>
    <row r="298" ht="15.75" customHeight="1">
      <c r="A298" s="104"/>
      <c r="B298" s="105" t="str">
        <f>IFERROR(__xludf.DUMMYFUNCTION("ARRAY_CONSTRAIN(
  ARRAYFORMULA(
    IF(
      'Final Report'!A298="""",
      """",
      TEXTJOIN(
        "", "" &amp; CHAR(10),
        TRUE,
        IFERROR(
          VLOOKUP(
            TRIM(
              SPLIT('Final Report'!A298, "","")
           "&amp;" ),
            'URL Details'!A:B,
            2,
            FALSE
          ),
          """"
        )
      )
    )
  ),
  1,
  1
)
"),"")</f>
        <v/>
      </c>
      <c r="C298" s="105" t="str">
        <f>IFERROR(__xludf.DUMMYFUNCTION("IFERROR(IF('Final Report'!A298="""","""", TEXTJOIN(CHAR(10), TRUE, ARRAYFORMULA( ""• ""&amp; FILTER( TRIM(FLATTEN(SPLIT( REGEXREPLACE( SUBSTITUTE(TEXTJOIN("","", TRUE, IFERROR(ARRAYFORMULA(VLOOKUP(TRIM(SPLIT('Final Report'!A298, "","")), 'URL Details'!A:D, 4,"&amp;" FALSE)),"""") ), CHAR(10), "",""), ""\s*,\s*"", "",""), "",""))), TRIM(FLATTEN(SPLIT( REGEXREPLACE( SUBSTITUTE(TEXTJOIN("","", TRUE, IFERROR(ARRAYFORMULA(VLOOKUP(TRIM(SPLIT('Final Report'!A298, "","")), 'URL Details'!A:D, 4, FALSE)),"""") ), CHAR(10), """&amp;",""), ""\s*,\s*"", "",""), "","")))&lt;&gt;"""" ) ) ) ),"""")
"),"")</f>
        <v/>
      </c>
      <c r="D298" s="105"/>
      <c r="E298" s="105"/>
      <c r="F298" s="110" t="b">
        <v>0</v>
      </c>
      <c r="G298" s="105" t="str">
        <f>IF(F298=True, IFERROR(VLOOKUP(D298, Repository!A:B, 2, 0), ""), "")</f>
        <v/>
      </c>
      <c r="H298" s="105"/>
      <c r="I298" s="105"/>
      <c r="J298" s="105" t="str">
        <f>IF(F298=True, IFERROR(VLOOKUP(D298, Repository!A:C, 3, 0), ""), "")</f>
        <v/>
      </c>
      <c r="K298" s="105"/>
      <c r="L298" s="105" t="str">
        <f>IF(F298=True, IFERROR(VLOOKUP(D298, Repository!A:E, 5, 0), ""), "")</f>
        <v/>
      </c>
      <c r="M298" s="105"/>
      <c r="N298" s="105" t="str">
        <f>IF(F298=True, IFERROR(VLOOKUP(D298, Repository!A:G, 7, 0), ""), "")</f>
        <v/>
      </c>
      <c r="O298" s="105" t="str">
        <f>IFERROR(__xludf.DUMMYFUNCTION("ARRAY_CONSTRAIN(
  ARRAYFORMULA(
    IFERROR(
      LET(
        list, N298,
        arr, TRIM(SPLIT(list, "","")),
        names, XLOOKUP(
          arr,
          'Conformance Score'!A:A,
          'Conformance Score'!B:B,
          ""Not found""
      "&amp;"  ),
        TEXTJOIN("", "", TRUE, names)
      ),
      """"
    )
  ),
  1,
  1
)
"),"")</f>
        <v/>
      </c>
      <c r="P298" s="105" t="str">
        <f>IF(F298="Yes", IFERROR(VLOOKUP(D298, Repository!A:F, 6, 0), ""), "")</f>
        <v/>
      </c>
      <c r="Q298" s="105" t="str">
        <f>IF(F298="Yes", IFERROR(VLOOKUP(D298, Repository!A:I, 8, 0), ""), "")</f>
        <v/>
      </c>
      <c r="R298" s="105" t="str">
        <f>IF(F298="Yes", IFERROR(VLOOKUP(D298, Repository!A:J, 9, 0), ""), "")</f>
        <v/>
      </c>
      <c r="S298" s="105"/>
      <c r="T298" s="105"/>
      <c r="U298" s="105"/>
      <c r="V298" s="105"/>
      <c r="W298" s="105"/>
      <c r="X298" s="105"/>
      <c r="Y298" s="105"/>
      <c r="Z298" s="105"/>
      <c r="AA298" s="105"/>
      <c r="AB298" s="105"/>
      <c r="AC298" s="91"/>
      <c r="AD298" s="105"/>
      <c r="AE298" s="105"/>
      <c r="AF298" s="91"/>
      <c r="AG298" s="105"/>
      <c r="AH298" s="105"/>
      <c r="AI298" s="105" t="str">
        <f t="shared" si="1"/>
        <v/>
      </c>
      <c r="AJ298" s="108" t="str">
        <f t="shared" si="2"/>
        <v/>
      </c>
    </row>
    <row r="299" ht="15.75" customHeight="1">
      <c r="A299" s="104"/>
      <c r="B299" s="105" t="str">
        <f>IFERROR(__xludf.DUMMYFUNCTION("ARRAY_CONSTRAIN(
  ARRAYFORMULA(
    IF(
      'Final Report'!A299="""",
      """",
      TEXTJOIN(
        "", "" &amp; CHAR(10),
        TRUE,
        IFERROR(
          VLOOKUP(
            TRIM(
              SPLIT('Final Report'!A299, "","")
           "&amp;" ),
            'URL Details'!A:B,
            2,
            FALSE
          ),
          """"
        )
      )
    )
  ),
  1,
  1
)
"),"")</f>
        <v/>
      </c>
      <c r="C299" s="105" t="str">
        <f>IFERROR(__xludf.DUMMYFUNCTION("IFERROR(IF('Final Report'!A299="""","""", TEXTJOIN(CHAR(10), TRUE, ARRAYFORMULA( ""• ""&amp; FILTER( TRIM(FLATTEN(SPLIT( REGEXREPLACE( SUBSTITUTE(TEXTJOIN("","", TRUE, IFERROR(ARRAYFORMULA(VLOOKUP(TRIM(SPLIT('Final Report'!A299, "","")), 'URL Details'!A:D, 4,"&amp;" FALSE)),"""") ), CHAR(10), "",""), ""\s*,\s*"", "",""), "",""))), TRIM(FLATTEN(SPLIT( REGEXREPLACE( SUBSTITUTE(TEXTJOIN("","", TRUE, IFERROR(ARRAYFORMULA(VLOOKUP(TRIM(SPLIT('Final Report'!A299, "","")), 'URL Details'!A:D, 4, FALSE)),"""") ), CHAR(10), """&amp;",""), ""\s*,\s*"", "",""), "","")))&lt;&gt;"""" ) ) ) ),"""")
"),"")</f>
        <v/>
      </c>
      <c r="D299" s="105"/>
      <c r="E299" s="105"/>
      <c r="F299" s="110" t="b">
        <v>0</v>
      </c>
      <c r="G299" s="105" t="str">
        <f>IF(F299=True, IFERROR(VLOOKUP(D299, Repository!A:B, 2, 0), ""), "")</f>
        <v/>
      </c>
      <c r="H299" s="105"/>
      <c r="I299" s="105"/>
      <c r="J299" s="105" t="str">
        <f>IF(F299=True, IFERROR(VLOOKUP(D299, Repository!A:C, 3, 0), ""), "")</f>
        <v/>
      </c>
      <c r="K299" s="105"/>
      <c r="L299" s="105" t="str">
        <f>IF(F299=True, IFERROR(VLOOKUP(D299, Repository!A:E, 5, 0), ""), "")</f>
        <v/>
      </c>
      <c r="M299" s="105"/>
      <c r="N299" s="105" t="str">
        <f>IF(F299=True, IFERROR(VLOOKUP(D299, Repository!A:G, 7, 0), ""), "")</f>
        <v/>
      </c>
      <c r="O299" s="105" t="str">
        <f>IFERROR(__xludf.DUMMYFUNCTION("ARRAY_CONSTRAIN(
  ARRAYFORMULA(
    IFERROR(
      LET(
        list, N299,
        arr, TRIM(SPLIT(list, "","")),
        names, XLOOKUP(
          arr,
          'Conformance Score'!A:A,
          'Conformance Score'!B:B,
          ""Not found""
      "&amp;"  ),
        TEXTJOIN("", "", TRUE, names)
      ),
      """"
    )
  ),
  1,
  1
)
"),"")</f>
        <v/>
      </c>
      <c r="P299" s="105" t="str">
        <f>IF(F299="Yes", IFERROR(VLOOKUP(D299, Repository!A:F, 6, 0), ""), "")</f>
        <v/>
      </c>
      <c r="Q299" s="105" t="str">
        <f>IF(F299="Yes", IFERROR(VLOOKUP(D299, Repository!A:I, 8, 0), ""), "")</f>
        <v/>
      </c>
      <c r="R299" s="105" t="str">
        <f>IF(F299="Yes", IFERROR(VLOOKUP(D299, Repository!A:J, 9, 0), ""), "")</f>
        <v/>
      </c>
      <c r="S299" s="105"/>
      <c r="T299" s="105"/>
      <c r="U299" s="105"/>
      <c r="V299" s="105"/>
      <c r="W299" s="105"/>
      <c r="X299" s="105"/>
      <c r="Y299" s="105"/>
      <c r="Z299" s="105"/>
      <c r="AA299" s="105"/>
      <c r="AB299" s="105"/>
      <c r="AC299" s="91"/>
      <c r="AD299" s="105"/>
      <c r="AE299" s="105"/>
      <c r="AF299" s="91"/>
      <c r="AG299" s="105"/>
      <c r="AH299" s="105"/>
      <c r="AI299" s="105" t="str">
        <f t="shared" si="1"/>
        <v/>
      </c>
      <c r="AJ299" s="108" t="str">
        <f t="shared" si="2"/>
        <v/>
      </c>
    </row>
    <row r="300" ht="15.75" customHeight="1">
      <c r="A300" s="104"/>
      <c r="B300" s="105" t="str">
        <f>IFERROR(__xludf.DUMMYFUNCTION("ARRAY_CONSTRAIN(
  ARRAYFORMULA(
    IF(
      'Final Report'!A300="""",
      """",
      TEXTJOIN(
        "", "" &amp; CHAR(10),
        TRUE,
        IFERROR(
          VLOOKUP(
            TRIM(
              SPLIT('Final Report'!A300, "","")
           "&amp;" ),
            'URL Details'!A:B,
            2,
            FALSE
          ),
          """"
        )
      )
    )
  ),
  1,
  1
)
"),"")</f>
        <v/>
      </c>
      <c r="C300" s="105" t="str">
        <f>IFERROR(__xludf.DUMMYFUNCTION("IFERROR(IF('Final Report'!A300="""","""", TEXTJOIN(CHAR(10), TRUE, ARRAYFORMULA( ""• ""&amp; FILTER( TRIM(FLATTEN(SPLIT( REGEXREPLACE( SUBSTITUTE(TEXTJOIN("","", TRUE, IFERROR(ARRAYFORMULA(VLOOKUP(TRIM(SPLIT('Final Report'!A300, "","")), 'URL Details'!A:D, 4,"&amp;" FALSE)),"""") ), CHAR(10), "",""), ""\s*,\s*"", "",""), "",""))), TRIM(FLATTEN(SPLIT( REGEXREPLACE( SUBSTITUTE(TEXTJOIN("","", TRUE, IFERROR(ARRAYFORMULA(VLOOKUP(TRIM(SPLIT('Final Report'!A300, "","")), 'URL Details'!A:D, 4, FALSE)),"""") ), CHAR(10), """&amp;",""), ""\s*,\s*"", "",""), "","")))&lt;&gt;"""" ) ) ) ),"""")
"),"")</f>
        <v/>
      </c>
      <c r="D300" s="105"/>
      <c r="E300" s="105"/>
      <c r="F300" s="110" t="b">
        <v>0</v>
      </c>
      <c r="G300" s="105" t="str">
        <f>IF(F300=True, IFERROR(VLOOKUP(D300, Repository!A:B, 2, 0), ""), "")</f>
        <v/>
      </c>
      <c r="H300" s="105"/>
      <c r="I300" s="105"/>
      <c r="J300" s="105" t="str">
        <f>IF(F300=True, IFERROR(VLOOKUP(D300, Repository!A:C, 3, 0), ""), "")</f>
        <v/>
      </c>
      <c r="K300" s="105"/>
      <c r="L300" s="105" t="str">
        <f>IF(F300=True, IFERROR(VLOOKUP(D300, Repository!A:E, 5, 0), ""), "")</f>
        <v/>
      </c>
      <c r="M300" s="105"/>
      <c r="N300" s="105" t="str">
        <f>IF(F300=True, IFERROR(VLOOKUP(D300, Repository!A:G, 7, 0), ""), "")</f>
        <v/>
      </c>
      <c r="O300" s="105" t="str">
        <f>IFERROR(__xludf.DUMMYFUNCTION("ARRAY_CONSTRAIN(
  ARRAYFORMULA(
    IFERROR(
      LET(
        list, N300,
        arr, TRIM(SPLIT(list, "","")),
        names, XLOOKUP(
          arr,
          'Conformance Score'!A:A,
          'Conformance Score'!B:B,
          ""Not found""
      "&amp;"  ),
        TEXTJOIN("", "", TRUE, names)
      ),
      """"
    )
  ),
  1,
  1
)
"),"")</f>
        <v/>
      </c>
      <c r="P300" s="105" t="str">
        <f>IF(F300="Yes", IFERROR(VLOOKUP(D300, Repository!A:F, 6, 0), ""), "")</f>
        <v/>
      </c>
      <c r="Q300" s="105" t="str">
        <f>IF(F300="Yes", IFERROR(VLOOKUP(D300, Repository!A:I, 8, 0), ""), "")</f>
        <v/>
      </c>
      <c r="R300" s="105" t="str">
        <f>IF(F300="Yes", IFERROR(VLOOKUP(D300, Repository!A:J, 9, 0), ""), "")</f>
        <v/>
      </c>
      <c r="S300" s="105"/>
      <c r="T300" s="105"/>
      <c r="U300" s="105"/>
      <c r="V300" s="105"/>
      <c r="W300" s="105"/>
      <c r="X300" s="105"/>
      <c r="Y300" s="105"/>
      <c r="Z300" s="105"/>
      <c r="AA300" s="105"/>
      <c r="AB300" s="105"/>
      <c r="AC300" s="91"/>
      <c r="AD300" s="105"/>
      <c r="AE300" s="105"/>
      <c r="AF300" s="91"/>
      <c r="AG300" s="105"/>
      <c r="AH300" s="105"/>
      <c r="AI300" s="105" t="str">
        <f t="shared" si="1"/>
        <v/>
      </c>
      <c r="AJ300" s="108" t="str">
        <f t="shared" si="2"/>
        <v/>
      </c>
    </row>
    <row r="301" ht="15.75" customHeight="1">
      <c r="A301" s="104"/>
      <c r="B301" s="105" t="str">
        <f>IFERROR(__xludf.DUMMYFUNCTION("ARRAY_CONSTRAIN(
  ARRAYFORMULA(
    IF(
      'Final Report'!A301="""",
      """",
      TEXTJOIN(
        "", "" &amp; CHAR(10),
        TRUE,
        IFERROR(
          VLOOKUP(
            TRIM(
              SPLIT('Final Report'!A301, "","")
           "&amp;" ),
            'URL Details'!A:B,
            2,
            FALSE
          ),
          """"
        )
      )
    )
  ),
  1,
  1
)
"),"")</f>
        <v/>
      </c>
      <c r="C301" s="105" t="str">
        <f>IFERROR(__xludf.DUMMYFUNCTION("IFERROR(IF('Final Report'!A301="""","""", TEXTJOIN(CHAR(10), TRUE, ARRAYFORMULA( ""• ""&amp; FILTER( TRIM(FLATTEN(SPLIT( REGEXREPLACE( SUBSTITUTE(TEXTJOIN("","", TRUE, IFERROR(ARRAYFORMULA(VLOOKUP(TRIM(SPLIT('Final Report'!A301, "","")), 'URL Details'!A:D, 4,"&amp;" FALSE)),"""") ), CHAR(10), "",""), ""\s*,\s*"", "",""), "",""))), TRIM(FLATTEN(SPLIT( REGEXREPLACE( SUBSTITUTE(TEXTJOIN("","", TRUE, IFERROR(ARRAYFORMULA(VLOOKUP(TRIM(SPLIT('Final Report'!A301, "","")), 'URL Details'!A:D, 4, FALSE)),"""") ), CHAR(10), """&amp;",""), ""\s*,\s*"", "",""), "","")))&lt;&gt;"""" ) ) ) ),"""")
"),"")</f>
        <v/>
      </c>
      <c r="D301" s="105"/>
      <c r="E301" s="105"/>
      <c r="F301" s="110" t="b">
        <v>0</v>
      </c>
      <c r="G301" s="105" t="str">
        <f>IF(F301=True, IFERROR(VLOOKUP(D301, Repository!A:B, 2, 0), ""), "")</f>
        <v/>
      </c>
      <c r="H301" s="105"/>
      <c r="I301" s="105"/>
      <c r="J301" s="105" t="str">
        <f>IF(F301=True, IFERROR(VLOOKUP(D301, Repository!A:C, 3, 0), ""), "")</f>
        <v/>
      </c>
      <c r="K301" s="105"/>
      <c r="L301" s="105" t="str">
        <f>IF(F301=True, IFERROR(VLOOKUP(D301, Repository!A:E, 5, 0), ""), "")</f>
        <v/>
      </c>
      <c r="M301" s="105"/>
      <c r="N301" s="105" t="str">
        <f>IF(F301=True, IFERROR(VLOOKUP(D301, Repository!A:G, 7, 0), ""), "")</f>
        <v/>
      </c>
      <c r="O301" s="105" t="str">
        <f>IFERROR(__xludf.DUMMYFUNCTION("ARRAY_CONSTRAIN(
  ARRAYFORMULA(
    IFERROR(
      LET(
        list, N301,
        arr, TRIM(SPLIT(list, "","")),
        names, XLOOKUP(
          arr,
          'Conformance Score'!A:A,
          'Conformance Score'!B:B,
          ""Not found""
      "&amp;"  ),
        TEXTJOIN("", "", TRUE, names)
      ),
      """"
    )
  ),
  1,
  1
)
"),"")</f>
        <v/>
      </c>
      <c r="P301" s="105" t="str">
        <f>IF(F301="Yes", IFERROR(VLOOKUP(D301, Repository!A:F, 6, 0), ""), "")</f>
        <v/>
      </c>
      <c r="Q301" s="105" t="str">
        <f>IF(F301="Yes", IFERROR(VLOOKUP(D301, Repository!A:I, 8, 0), ""), "")</f>
        <v/>
      </c>
      <c r="R301" s="105" t="str">
        <f>IF(F301="Yes", IFERROR(VLOOKUP(D301, Repository!A:J, 9, 0), ""), "")</f>
        <v/>
      </c>
      <c r="S301" s="105"/>
      <c r="T301" s="105"/>
      <c r="U301" s="105"/>
      <c r="V301" s="105"/>
      <c r="W301" s="105"/>
      <c r="X301" s="105"/>
      <c r="Y301" s="105"/>
      <c r="Z301" s="105"/>
      <c r="AA301" s="105"/>
      <c r="AB301" s="105"/>
      <c r="AC301" s="91"/>
      <c r="AD301" s="105"/>
      <c r="AE301" s="105"/>
      <c r="AF301" s="91"/>
      <c r="AG301" s="105"/>
      <c r="AH301" s="105"/>
      <c r="AI301" s="105" t="str">
        <f t="shared" si="1"/>
        <v/>
      </c>
      <c r="AJ301" s="108" t="str">
        <f t="shared" si="2"/>
        <v/>
      </c>
    </row>
    <row r="302" ht="15.75" customHeight="1">
      <c r="A302" s="104"/>
      <c r="B302" s="105" t="str">
        <f>IFERROR(__xludf.DUMMYFUNCTION("ARRAY_CONSTRAIN(
  ARRAYFORMULA(
    IF(
      'Final Report'!A302="""",
      """",
      TEXTJOIN(
        "", "" &amp; CHAR(10),
        TRUE,
        IFERROR(
          VLOOKUP(
            TRIM(
              SPLIT('Final Report'!A302, "","")
           "&amp;" ),
            'URL Details'!A:B,
            2,
            FALSE
          ),
          """"
        )
      )
    )
  ),
  1,
  1
)
"),"")</f>
        <v/>
      </c>
      <c r="C302" s="105" t="str">
        <f>IFERROR(__xludf.DUMMYFUNCTION("IFERROR(IF('Final Report'!A302="""","""", TEXTJOIN(CHAR(10), TRUE, ARRAYFORMULA( ""• ""&amp; FILTER( TRIM(FLATTEN(SPLIT( REGEXREPLACE( SUBSTITUTE(TEXTJOIN("","", TRUE, IFERROR(ARRAYFORMULA(VLOOKUP(TRIM(SPLIT('Final Report'!A302, "","")), 'URL Details'!A:D, 4,"&amp;" FALSE)),"""") ), CHAR(10), "",""), ""\s*,\s*"", "",""), "",""))), TRIM(FLATTEN(SPLIT( REGEXREPLACE( SUBSTITUTE(TEXTJOIN("","", TRUE, IFERROR(ARRAYFORMULA(VLOOKUP(TRIM(SPLIT('Final Report'!A302, "","")), 'URL Details'!A:D, 4, FALSE)),"""") ), CHAR(10), """&amp;",""), ""\s*,\s*"", "",""), "","")))&lt;&gt;"""" ) ) ) ),"""")
"),"")</f>
        <v/>
      </c>
      <c r="D302" s="105"/>
      <c r="E302" s="105"/>
      <c r="F302" s="110" t="b">
        <v>0</v>
      </c>
      <c r="G302" s="105" t="str">
        <f>IF(F302=True, IFERROR(VLOOKUP(D302, Repository!A:B, 2, 0), ""), "")</f>
        <v/>
      </c>
      <c r="H302" s="105"/>
      <c r="I302" s="105"/>
      <c r="J302" s="105" t="str">
        <f>IF(F302=True, IFERROR(VLOOKUP(D302, Repository!A:C, 3, 0), ""), "")</f>
        <v/>
      </c>
      <c r="K302" s="105"/>
      <c r="L302" s="105" t="str">
        <f>IF(F302=True, IFERROR(VLOOKUP(D302, Repository!A:E, 5, 0), ""), "")</f>
        <v/>
      </c>
      <c r="M302" s="105"/>
      <c r="N302" s="105" t="str">
        <f>IF(F302=True, IFERROR(VLOOKUP(D302, Repository!A:G, 7, 0), ""), "")</f>
        <v/>
      </c>
      <c r="O302" s="105" t="str">
        <f>IFERROR(__xludf.DUMMYFUNCTION("ARRAY_CONSTRAIN(
  ARRAYFORMULA(
    IFERROR(
      LET(
        list, N302,
        arr, TRIM(SPLIT(list, "","")),
        names, XLOOKUP(
          arr,
          'Conformance Score'!A:A,
          'Conformance Score'!B:B,
          ""Not found""
      "&amp;"  ),
        TEXTJOIN("", "", TRUE, names)
      ),
      """"
    )
  ),
  1,
  1
)
"),"")</f>
        <v/>
      </c>
      <c r="P302" s="105" t="str">
        <f>IF(F302="Yes", IFERROR(VLOOKUP(D302, Repository!A:F, 6, 0), ""), "")</f>
        <v/>
      </c>
      <c r="Q302" s="105" t="str">
        <f>IF(F302="Yes", IFERROR(VLOOKUP(D302, Repository!A:I, 8, 0), ""), "")</f>
        <v/>
      </c>
      <c r="R302" s="105" t="str">
        <f>IF(F302="Yes", IFERROR(VLOOKUP(D302, Repository!A:J, 9, 0), ""), "")</f>
        <v/>
      </c>
      <c r="S302" s="105"/>
      <c r="T302" s="105"/>
      <c r="U302" s="105"/>
      <c r="V302" s="105"/>
      <c r="W302" s="105"/>
      <c r="X302" s="105"/>
      <c r="Y302" s="105"/>
      <c r="Z302" s="105"/>
      <c r="AA302" s="105"/>
      <c r="AB302" s="105"/>
      <c r="AC302" s="91"/>
      <c r="AD302" s="105"/>
      <c r="AE302" s="105"/>
      <c r="AF302" s="91"/>
      <c r="AG302" s="105"/>
      <c r="AH302" s="105"/>
      <c r="AI302" s="105" t="str">
        <f t="shared" si="1"/>
        <v/>
      </c>
      <c r="AJ302" s="108" t="str">
        <f t="shared" si="2"/>
        <v/>
      </c>
    </row>
    <row r="303" ht="15.75" customHeight="1">
      <c r="A303" s="104"/>
      <c r="B303" s="105" t="str">
        <f>IFERROR(__xludf.DUMMYFUNCTION("ARRAY_CONSTRAIN(
  ARRAYFORMULA(
    IF(
      'Final Report'!A303="""",
      """",
      TEXTJOIN(
        "", "" &amp; CHAR(10),
        TRUE,
        IFERROR(
          VLOOKUP(
            TRIM(
              SPLIT('Final Report'!A303, "","")
           "&amp;" ),
            'URL Details'!A:B,
            2,
            FALSE
          ),
          """"
        )
      )
    )
  ),
  1,
  1
)
"),"")</f>
        <v/>
      </c>
      <c r="C303" s="105" t="str">
        <f>IFERROR(__xludf.DUMMYFUNCTION("IFERROR(IF('Final Report'!A303="""","""", TEXTJOIN(CHAR(10), TRUE, ARRAYFORMULA( ""• ""&amp; FILTER( TRIM(FLATTEN(SPLIT( REGEXREPLACE( SUBSTITUTE(TEXTJOIN("","", TRUE, IFERROR(ARRAYFORMULA(VLOOKUP(TRIM(SPLIT('Final Report'!A303, "","")), 'URL Details'!A:D, 4,"&amp;" FALSE)),"""") ), CHAR(10), "",""), ""\s*,\s*"", "",""), "",""))), TRIM(FLATTEN(SPLIT( REGEXREPLACE( SUBSTITUTE(TEXTJOIN("","", TRUE, IFERROR(ARRAYFORMULA(VLOOKUP(TRIM(SPLIT('Final Report'!A303, "","")), 'URL Details'!A:D, 4, FALSE)),"""") ), CHAR(10), """&amp;",""), ""\s*,\s*"", "",""), "","")))&lt;&gt;"""" ) ) ) ),"""")
"),"")</f>
        <v/>
      </c>
      <c r="D303" s="105"/>
      <c r="E303" s="105"/>
      <c r="F303" s="110" t="b">
        <v>0</v>
      </c>
      <c r="G303" s="105" t="str">
        <f>IF(F303=True, IFERROR(VLOOKUP(D303, Repository!A:B, 2, 0), ""), "")</f>
        <v/>
      </c>
      <c r="H303" s="105"/>
      <c r="I303" s="105"/>
      <c r="J303" s="105" t="str">
        <f>IF(F303=True, IFERROR(VLOOKUP(D303, Repository!A:C, 3, 0), ""), "")</f>
        <v/>
      </c>
      <c r="K303" s="105"/>
      <c r="L303" s="105" t="str">
        <f>IF(F303=True, IFERROR(VLOOKUP(D303, Repository!A:E, 5, 0), ""), "")</f>
        <v/>
      </c>
      <c r="M303" s="105"/>
      <c r="N303" s="105" t="str">
        <f>IF(F303=True, IFERROR(VLOOKUP(D303, Repository!A:G, 7, 0), ""), "")</f>
        <v/>
      </c>
      <c r="O303" s="105" t="str">
        <f>IFERROR(__xludf.DUMMYFUNCTION("ARRAY_CONSTRAIN(
  ARRAYFORMULA(
    IFERROR(
      LET(
        list, N303,
        arr, TRIM(SPLIT(list, "","")),
        names, XLOOKUP(
          arr,
          'Conformance Score'!A:A,
          'Conformance Score'!B:B,
          ""Not found""
      "&amp;"  ),
        TEXTJOIN("", "", TRUE, names)
      ),
      """"
    )
  ),
  1,
  1
)
"),"")</f>
        <v/>
      </c>
      <c r="P303" s="105" t="str">
        <f>IF(F303="Yes", IFERROR(VLOOKUP(D303, Repository!A:F, 6, 0), ""), "")</f>
        <v/>
      </c>
      <c r="Q303" s="105" t="str">
        <f>IF(F303="Yes", IFERROR(VLOOKUP(D303, Repository!A:I, 8, 0), ""), "")</f>
        <v/>
      </c>
      <c r="R303" s="105" t="str">
        <f>IF(F303="Yes", IFERROR(VLOOKUP(D303, Repository!A:J, 9, 0), ""), "")</f>
        <v/>
      </c>
      <c r="S303" s="105"/>
      <c r="T303" s="105"/>
      <c r="U303" s="105"/>
      <c r="V303" s="105"/>
      <c r="W303" s="105"/>
      <c r="X303" s="105"/>
      <c r="Y303" s="105"/>
      <c r="Z303" s="105"/>
      <c r="AA303" s="105"/>
      <c r="AB303" s="105"/>
      <c r="AC303" s="91"/>
      <c r="AD303" s="105"/>
      <c r="AE303" s="105"/>
      <c r="AF303" s="91"/>
      <c r="AG303" s="105"/>
      <c r="AH303" s="105"/>
      <c r="AI303" s="105" t="str">
        <f t="shared" si="1"/>
        <v/>
      </c>
      <c r="AJ303" s="108" t="str">
        <f t="shared" si="2"/>
        <v/>
      </c>
    </row>
    <row r="304" ht="15.75" customHeight="1">
      <c r="A304" s="104"/>
      <c r="B304" s="105" t="str">
        <f>IFERROR(__xludf.DUMMYFUNCTION("ARRAY_CONSTRAIN(
  ARRAYFORMULA(
    IF(
      'Final Report'!A304="""",
      """",
      TEXTJOIN(
        "", "" &amp; CHAR(10),
        TRUE,
        IFERROR(
          VLOOKUP(
            TRIM(
              SPLIT('Final Report'!A304, "","")
           "&amp;" ),
            'URL Details'!A:B,
            2,
            FALSE
          ),
          """"
        )
      )
    )
  ),
  1,
  1
)
"),"")</f>
        <v/>
      </c>
      <c r="C304" s="105" t="str">
        <f>IFERROR(__xludf.DUMMYFUNCTION("IFERROR(IF('Final Report'!A304="""","""", TEXTJOIN(CHAR(10), TRUE, ARRAYFORMULA( ""• ""&amp; FILTER( TRIM(FLATTEN(SPLIT( REGEXREPLACE( SUBSTITUTE(TEXTJOIN("","", TRUE, IFERROR(ARRAYFORMULA(VLOOKUP(TRIM(SPLIT('Final Report'!A304, "","")), 'URL Details'!A:D, 4,"&amp;" FALSE)),"""") ), CHAR(10), "",""), ""\s*,\s*"", "",""), "",""))), TRIM(FLATTEN(SPLIT( REGEXREPLACE( SUBSTITUTE(TEXTJOIN("","", TRUE, IFERROR(ARRAYFORMULA(VLOOKUP(TRIM(SPLIT('Final Report'!A304, "","")), 'URL Details'!A:D, 4, FALSE)),"""") ), CHAR(10), """&amp;",""), ""\s*,\s*"", "",""), "","")))&lt;&gt;"""" ) ) ) ),"""")
"),"")</f>
        <v/>
      </c>
      <c r="D304" s="105"/>
      <c r="E304" s="105"/>
      <c r="F304" s="110" t="b">
        <v>0</v>
      </c>
      <c r="G304" s="105" t="str">
        <f>IF(F304=True, IFERROR(VLOOKUP(D304, Repository!A:B, 2, 0), ""), "")</f>
        <v/>
      </c>
      <c r="H304" s="105"/>
      <c r="I304" s="105"/>
      <c r="J304" s="105" t="str">
        <f>IF(F304=True, IFERROR(VLOOKUP(D304, Repository!A:C, 3, 0), ""), "")</f>
        <v/>
      </c>
      <c r="K304" s="105"/>
      <c r="L304" s="105" t="str">
        <f>IF(F304=True, IFERROR(VLOOKUP(D304, Repository!A:E, 5, 0), ""), "")</f>
        <v/>
      </c>
      <c r="M304" s="105"/>
      <c r="N304" s="105" t="str">
        <f>IF(F304=True, IFERROR(VLOOKUP(D304, Repository!A:G, 7, 0), ""), "")</f>
        <v/>
      </c>
      <c r="O304" s="105" t="str">
        <f>IFERROR(__xludf.DUMMYFUNCTION("ARRAY_CONSTRAIN(
  ARRAYFORMULA(
    IFERROR(
      LET(
        list, N304,
        arr, TRIM(SPLIT(list, "","")),
        names, XLOOKUP(
          arr,
          'Conformance Score'!A:A,
          'Conformance Score'!B:B,
          ""Not found""
      "&amp;"  ),
        TEXTJOIN("", "", TRUE, names)
      ),
      """"
    )
  ),
  1,
  1
)
"),"")</f>
        <v/>
      </c>
      <c r="P304" s="105" t="str">
        <f>IF(F304="Yes", IFERROR(VLOOKUP(D304, Repository!A:F, 6, 0), ""), "")</f>
        <v/>
      </c>
      <c r="Q304" s="105" t="str">
        <f>IF(F304="Yes", IFERROR(VLOOKUP(D304, Repository!A:I, 8, 0), ""), "")</f>
        <v/>
      </c>
      <c r="R304" s="105" t="str">
        <f>IF(F304="Yes", IFERROR(VLOOKUP(D304, Repository!A:J, 9, 0), ""), "")</f>
        <v/>
      </c>
      <c r="S304" s="105"/>
      <c r="T304" s="105"/>
      <c r="U304" s="105"/>
      <c r="V304" s="105"/>
      <c r="W304" s="105"/>
      <c r="X304" s="105"/>
      <c r="Y304" s="105"/>
      <c r="Z304" s="105"/>
      <c r="AA304" s="105"/>
      <c r="AB304" s="105"/>
      <c r="AC304" s="91"/>
      <c r="AD304" s="105"/>
      <c r="AE304" s="105"/>
      <c r="AF304" s="91"/>
      <c r="AG304" s="105"/>
      <c r="AH304" s="105"/>
      <c r="AI304" s="105" t="str">
        <f t="shared" si="1"/>
        <v/>
      </c>
      <c r="AJ304" s="108" t="str">
        <f t="shared" si="2"/>
        <v/>
      </c>
    </row>
    <row r="305" ht="15.75" customHeight="1">
      <c r="A305" s="104"/>
      <c r="B305" s="105" t="str">
        <f>IFERROR(__xludf.DUMMYFUNCTION("ARRAY_CONSTRAIN(
  ARRAYFORMULA(
    IF(
      'Final Report'!A305="""",
      """",
      TEXTJOIN(
        "", "" &amp; CHAR(10),
        TRUE,
        IFERROR(
          VLOOKUP(
            TRIM(
              SPLIT('Final Report'!A305, "","")
           "&amp;" ),
            'URL Details'!A:B,
            2,
            FALSE
          ),
          """"
        )
      )
    )
  ),
  1,
  1
)
"),"")</f>
        <v/>
      </c>
      <c r="C305" s="105" t="str">
        <f>IFERROR(__xludf.DUMMYFUNCTION("IFERROR(IF('Final Report'!A305="""","""", TEXTJOIN(CHAR(10), TRUE, ARRAYFORMULA( ""• ""&amp; FILTER( TRIM(FLATTEN(SPLIT( REGEXREPLACE( SUBSTITUTE(TEXTJOIN("","", TRUE, IFERROR(ARRAYFORMULA(VLOOKUP(TRIM(SPLIT('Final Report'!A305, "","")), 'URL Details'!A:D, 4,"&amp;" FALSE)),"""") ), CHAR(10), "",""), ""\s*,\s*"", "",""), "",""))), TRIM(FLATTEN(SPLIT( REGEXREPLACE( SUBSTITUTE(TEXTJOIN("","", TRUE, IFERROR(ARRAYFORMULA(VLOOKUP(TRIM(SPLIT('Final Report'!A305, "","")), 'URL Details'!A:D, 4, FALSE)),"""") ), CHAR(10), """&amp;",""), ""\s*,\s*"", "",""), "","")))&lt;&gt;"""" ) ) ) ),"""")
"),"")</f>
        <v/>
      </c>
      <c r="D305" s="105"/>
      <c r="E305" s="105"/>
      <c r="F305" s="110" t="b">
        <v>0</v>
      </c>
      <c r="G305" s="105" t="str">
        <f>IF(F305=True, IFERROR(VLOOKUP(D305, Repository!A:B, 2, 0), ""), "")</f>
        <v/>
      </c>
      <c r="H305" s="105"/>
      <c r="I305" s="105"/>
      <c r="J305" s="105" t="str">
        <f>IF(F305=True, IFERROR(VLOOKUP(D305, Repository!A:C, 3, 0), ""), "")</f>
        <v/>
      </c>
      <c r="K305" s="105"/>
      <c r="L305" s="105" t="str">
        <f>IF(F305=True, IFERROR(VLOOKUP(D305, Repository!A:E, 5, 0), ""), "")</f>
        <v/>
      </c>
      <c r="M305" s="105"/>
      <c r="N305" s="105" t="str">
        <f>IF(F305=True, IFERROR(VLOOKUP(D305, Repository!A:G, 7, 0), ""), "")</f>
        <v/>
      </c>
      <c r="O305" s="105" t="str">
        <f>IFERROR(__xludf.DUMMYFUNCTION("ARRAY_CONSTRAIN(
  ARRAYFORMULA(
    IFERROR(
      LET(
        list, N305,
        arr, TRIM(SPLIT(list, "","")),
        names, XLOOKUP(
          arr,
          'Conformance Score'!A:A,
          'Conformance Score'!B:B,
          ""Not found""
      "&amp;"  ),
        TEXTJOIN("", "", TRUE, names)
      ),
      """"
    )
  ),
  1,
  1
)
"),"")</f>
        <v/>
      </c>
      <c r="P305" s="105" t="str">
        <f>IF(F305="Yes", IFERROR(VLOOKUP(D305, Repository!A:F, 6, 0), ""), "")</f>
        <v/>
      </c>
      <c r="Q305" s="105" t="str">
        <f>IF(F305="Yes", IFERROR(VLOOKUP(D305, Repository!A:I, 8, 0), ""), "")</f>
        <v/>
      </c>
      <c r="R305" s="105" t="str">
        <f>IF(F305="Yes", IFERROR(VLOOKUP(D305, Repository!A:J, 9, 0), ""), "")</f>
        <v/>
      </c>
      <c r="S305" s="105"/>
      <c r="T305" s="105"/>
      <c r="U305" s="105"/>
      <c r="V305" s="105"/>
      <c r="W305" s="105"/>
      <c r="X305" s="105"/>
      <c r="Y305" s="105"/>
      <c r="Z305" s="105"/>
      <c r="AA305" s="105"/>
      <c r="AB305" s="105"/>
      <c r="AC305" s="91"/>
      <c r="AD305" s="105"/>
      <c r="AE305" s="105"/>
      <c r="AF305" s="91"/>
      <c r="AG305" s="105"/>
      <c r="AH305" s="105"/>
      <c r="AI305" s="105" t="str">
        <f t="shared" si="1"/>
        <v/>
      </c>
      <c r="AJ305" s="108" t="str">
        <f t="shared" si="2"/>
        <v/>
      </c>
    </row>
    <row r="306" ht="15.75" customHeight="1">
      <c r="A306" s="104"/>
      <c r="B306" s="105" t="str">
        <f>IFERROR(__xludf.DUMMYFUNCTION("ARRAY_CONSTRAIN(
  ARRAYFORMULA(
    IF(
      'Final Report'!A306="""",
      """",
      TEXTJOIN(
        "", "" &amp; CHAR(10),
        TRUE,
        IFERROR(
          VLOOKUP(
            TRIM(
              SPLIT('Final Report'!A306, "","")
           "&amp;" ),
            'URL Details'!A:B,
            2,
            FALSE
          ),
          """"
        )
      )
    )
  ),
  1,
  1
)
"),"")</f>
        <v/>
      </c>
      <c r="C306" s="105" t="str">
        <f>IFERROR(__xludf.DUMMYFUNCTION("IFERROR(IF('Final Report'!A306="""","""", TEXTJOIN(CHAR(10), TRUE, ARRAYFORMULA( ""• ""&amp; FILTER( TRIM(FLATTEN(SPLIT( REGEXREPLACE( SUBSTITUTE(TEXTJOIN("","", TRUE, IFERROR(ARRAYFORMULA(VLOOKUP(TRIM(SPLIT('Final Report'!A306, "","")), 'URL Details'!A:D, 4,"&amp;" FALSE)),"""") ), CHAR(10), "",""), ""\s*,\s*"", "",""), "",""))), TRIM(FLATTEN(SPLIT( REGEXREPLACE( SUBSTITUTE(TEXTJOIN("","", TRUE, IFERROR(ARRAYFORMULA(VLOOKUP(TRIM(SPLIT('Final Report'!A306, "","")), 'URL Details'!A:D, 4, FALSE)),"""") ), CHAR(10), """&amp;",""), ""\s*,\s*"", "",""), "","")))&lt;&gt;"""" ) ) ) ),"""")
"),"")</f>
        <v/>
      </c>
      <c r="D306" s="105"/>
      <c r="E306" s="105"/>
      <c r="F306" s="110" t="b">
        <v>0</v>
      </c>
      <c r="G306" s="105" t="str">
        <f>IF(F306=True, IFERROR(VLOOKUP(D306, Repository!A:B, 2, 0), ""), "")</f>
        <v/>
      </c>
      <c r="H306" s="105"/>
      <c r="I306" s="105"/>
      <c r="J306" s="105" t="str">
        <f>IF(F306=True, IFERROR(VLOOKUP(D306, Repository!A:C, 3, 0), ""), "")</f>
        <v/>
      </c>
      <c r="K306" s="105"/>
      <c r="L306" s="105" t="str">
        <f>IF(F306=True, IFERROR(VLOOKUP(D306, Repository!A:E, 5, 0), ""), "")</f>
        <v/>
      </c>
      <c r="M306" s="105"/>
      <c r="N306" s="105" t="str">
        <f>IF(F306=True, IFERROR(VLOOKUP(D306, Repository!A:G, 7, 0), ""), "")</f>
        <v/>
      </c>
      <c r="O306" s="105" t="str">
        <f>IFERROR(__xludf.DUMMYFUNCTION("ARRAY_CONSTRAIN(
  ARRAYFORMULA(
    IFERROR(
      LET(
        list, N306,
        arr, TRIM(SPLIT(list, "","")),
        names, XLOOKUP(
          arr,
          'Conformance Score'!A:A,
          'Conformance Score'!B:B,
          ""Not found""
      "&amp;"  ),
        TEXTJOIN("", "", TRUE, names)
      ),
      """"
    )
  ),
  1,
  1
)
"),"")</f>
        <v/>
      </c>
      <c r="P306" s="105" t="str">
        <f>IF(F306="Yes", IFERROR(VLOOKUP(D306, Repository!A:F, 6, 0), ""), "")</f>
        <v/>
      </c>
      <c r="Q306" s="105" t="str">
        <f>IF(F306="Yes", IFERROR(VLOOKUP(D306, Repository!A:I, 8, 0), ""), "")</f>
        <v/>
      </c>
      <c r="R306" s="105" t="str">
        <f>IF(F306="Yes", IFERROR(VLOOKUP(D306, Repository!A:J, 9, 0), ""), "")</f>
        <v/>
      </c>
      <c r="S306" s="105"/>
      <c r="T306" s="105"/>
      <c r="U306" s="105"/>
      <c r="V306" s="105"/>
      <c r="W306" s="105"/>
      <c r="X306" s="105"/>
      <c r="Y306" s="105"/>
      <c r="Z306" s="105"/>
      <c r="AA306" s="105"/>
      <c r="AB306" s="105"/>
      <c r="AC306" s="91"/>
      <c r="AD306" s="105"/>
      <c r="AE306" s="105"/>
      <c r="AF306" s="91"/>
      <c r="AG306" s="105"/>
      <c r="AH306" s="105"/>
      <c r="AI306" s="105" t="str">
        <f t="shared" si="1"/>
        <v/>
      </c>
      <c r="AJ306" s="108" t="str">
        <f t="shared" si="2"/>
        <v/>
      </c>
    </row>
    <row r="307" ht="15.75" customHeight="1">
      <c r="A307" s="104"/>
      <c r="B307" s="105" t="str">
        <f>IFERROR(__xludf.DUMMYFUNCTION("ARRAY_CONSTRAIN(
  ARRAYFORMULA(
    IF(
      'Final Report'!A307="""",
      """",
      TEXTJOIN(
        "", "" &amp; CHAR(10),
        TRUE,
        IFERROR(
          VLOOKUP(
            TRIM(
              SPLIT('Final Report'!A307, "","")
           "&amp;" ),
            'URL Details'!A:B,
            2,
            FALSE
          ),
          """"
        )
      )
    )
  ),
  1,
  1
)
"),"")</f>
        <v/>
      </c>
      <c r="C307" s="105" t="str">
        <f>IFERROR(__xludf.DUMMYFUNCTION("IFERROR(IF('Final Report'!A307="""","""", TEXTJOIN(CHAR(10), TRUE, ARRAYFORMULA( ""• ""&amp; FILTER( TRIM(FLATTEN(SPLIT( REGEXREPLACE( SUBSTITUTE(TEXTJOIN("","", TRUE, IFERROR(ARRAYFORMULA(VLOOKUP(TRIM(SPLIT('Final Report'!A307, "","")), 'URL Details'!A:D, 4,"&amp;" FALSE)),"""") ), CHAR(10), "",""), ""\s*,\s*"", "",""), "",""))), TRIM(FLATTEN(SPLIT( REGEXREPLACE( SUBSTITUTE(TEXTJOIN("","", TRUE, IFERROR(ARRAYFORMULA(VLOOKUP(TRIM(SPLIT('Final Report'!A307, "","")), 'URL Details'!A:D, 4, FALSE)),"""") ), CHAR(10), """&amp;",""), ""\s*,\s*"", "",""), "","")))&lt;&gt;"""" ) ) ) ),"""")
"),"")</f>
        <v/>
      </c>
      <c r="D307" s="105"/>
      <c r="E307" s="105"/>
      <c r="F307" s="110" t="b">
        <v>0</v>
      </c>
      <c r="G307" s="105" t="str">
        <f>IF(F307=True, IFERROR(VLOOKUP(D307, Repository!A:B, 2, 0), ""), "")</f>
        <v/>
      </c>
      <c r="H307" s="105"/>
      <c r="I307" s="105"/>
      <c r="J307" s="105" t="str">
        <f>IF(F307=True, IFERROR(VLOOKUP(D307, Repository!A:C, 3, 0), ""), "")</f>
        <v/>
      </c>
      <c r="K307" s="105"/>
      <c r="L307" s="105" t="str">
        <f>IF(F307=True, IFERROR(VLOOKUP(D307, Repository!A:E, 5, 0), ""), "")</f>
        <v/>
      </c>
      <c r="M307" s="105"/>
      <c r="N307" s="105" t="str">
        <f>IF(F307=True, IFERROR(VLOOKUP(D307, Repository!A:G, 7, 0), ""), "")</f>
        <v/>
      </c>
      <c r="O307" s="105" t="str">
        <f>IFERROR(__xludf.DUMMYFUNCTION("ARRAY_CONSTRAIN(
  ARRAYFORMULA(
    IFERROR(
      LET(
        list, N307,
        arr, TRIM(SPLIT(list, "","")),
        names, XLOOKUP(
          arr,
          'Conformance Score'!A:A,
          'Conformance Score'!B:B,
          ""Not found""
      "&amp;"  ),
        TEXTJOIN("", "", TRUE, names)
      ),
      """"
    )
  ),
  1,
  1
)
"),"")</f>
        <v/>
      </c>
      <c r="P307" s="105" t="str">
        <f>IF(F307="Yes", IFERROR(VLOOKUP(D307, Repository!A:F, 6, 0), ""), "")</f>
        <v/>
      </c>
      <c r="Q307" s="105" t="str">
        <f>IF(F307="Yes", IFERROR(VLOOKUP(D307, Repository!A:I, 8, 0), ""), "")</f>
        <v/>
      </c>
      <c r="R307" s="105" t="str">
        <f>IF(F307="Yes", IFERROR(VLOOKUP(D307, Repository!A:J, 9, 0), ""), "")</f>
        <v/>
      </c>
      <c r="S307" s="105"/>
      <c r="T307" s="105"/>
      <c r="U307" s="105"/>
      <c r="V307" s="105"/>
      <c r="W307" s="105"/>
      <c r="X307" s="105"/>
      <c r="Y307" s="105"/>
      <c r="Z307" s="105"/>
      <c r="AA307" s="105"/>
      <c r="AB307" s="105"/>
      <c r="AC307" s="91"/>
      <c r="AD307" s="105"/>
      <c r="AE307" s="105"/>
      <c r="AF307" s="91"/>
      <c r="AG307" s="105"/>
      <c r="AH307" s="105"/>
      <c r="AI307" s="105" t="str">
        <f t="shared" si="1"/>
        <v/>
      </c>
      <c r="AJ307" s="108" t="str">
        <f t="shared" si="2"/>
        <v/>
      </c>
    </row>
    <row r="308" ht="15.75" customHeight="1">
      <c r="A308" s="104"/>
      <c r="B308" s="105" t="str">
        <f>IFERROR(__xludf.DUMMYFUNCTION("ARRAY_CONSTRAIN(
  ARRAYFORMULA(
    IF(
      'Final Report'!A308="""",
      """",
      TEXTJOIN(
        "", "" &amp; CHAR(10),
        TRUE,
        IFERROR(
          VLOOKUP(
            TRIM(
              SPLIT('Final Report'!A308, "","")
           "&amp;" ),
            'URL Details'!A:B,
            2,
            FALSE
          ),
          """"
        )
      )
    )
  ),
  1,
  1
)
"),"")</f>
        <v/>
      </c>
      <c r="C308" s="105" t="str">
        <f>IFERROR(__xludf.DUMMYFUNCTION("IFERROR(IF('Final Report'!A308="""","""", TEXTJOIN(CHAR(10), TRUE, ARRAYFORMULA( ""• ""&amp; FILTER( TRIM(FLATTEN(SPLIT( REGEXREPLACE( SUBSTITUTE(TEXTJOIN("","", TRUE, IFERROR(ARRAYFORMULA(VLOOKUP(TRIM(SPLIT('Final Report'!A308, "","")), 'URL Details'!A:D, 4,"&amp;" FALSE)),"""") ), CHAR(10), "",""), ""\s*,\s*"", "",""), "",""))), TRIM(FLATTEN(SPLIT( REGEXREPLACE( SUBSTITUTE(TEXTJOIN("","", TRUE, IFERROR(ARRAYFORMULA(VLOOKUP(TRIM(SPLIT('Final Report'!A308, "","")), 'URL Details'!A:D, 4, FALSE)),"""") ), CHAR(10), """&amp;",""), ""\s*,\s*"", "",""), "","")))&lt;&gt;"""" ) ) ) ),"""")
"),"")</f>
        <v/>
      </c>
      <c r="D308" s="105"/>
      <c r="E308" s="105"/>
      <c r="F308" s="110" t="b">
        <v>0</v>
      </c>
      <c r="G308" s="105" t="str">
        <f>IF(F308=True, IFERROR(VLOOKUP(D308, Repository!A:B, 2, 0), ""), "")</f>
        <v/>
      </c>
      <c r="H308" s="105"/>
      <c r="I308" s="105"/>
      <c r="J308" s="105" t="str">
        <f>IF(F308=True, IFERROR(VLOOKUP(D308, Repository!A:C, 3, 0), ""), "")</f>
        <v/>
      </c>
      <c r="K308" s="105"/>
      <c r="L308" s="105" t="str">
        <f>IF(F308=True, IFERROR(VLOOKUP(D308, Repository!A:E, 5, 0), ""), "")</f>
        <v/>
      </c>
      <c r="M308" s="105"/>
      <c r="N308" s="105" t="str">
        <f>IF(F308=True, IFERROR(VLOOKUP(D308, Repository!A:G, 7, 0), ""), "")</f>
        <v/>
      </c>
      <c r="O308" s="105" t="str">
        <f>IFERROR(__xludf.DUMMYFUNCTION("ARRAY_CONSTRAIN(
  ARRAYFORMULA(
    IFERROR(
      LET(
        list, N308,
        arr, TRIM(SPLIT(list, "","")),
        names, XLOOKUP(
          arr,
          'Conformance Score'!A:A,
          'Conformance Score'!B:B,
          ""Not found""
      "&amp;"  ),
        TEXTJOIN("", "", TRUE, names)
      ),
      """"
    )
  ),
  1,
  1
)
"),"")</f>
        <v/>
      </c>
      <c r="P308" s="105" t="str">
        <f>IF(F308="Yes", IFERROR(VLOOKUP(D308, Repository!A:F, 6, 0), ""), "")</f>
        <v/>
      </c>
      <c r="Q308" s="105" t="str">
        <f>IF(F308="Yes", IFERROR(VLOOKUP(D308, Repository!A:I, 8, 0), ""), "")</f>
        <v/>
      </c>
      <c r="R308" s="105" t="str">
        <f>IF(F308="Yes", IFERROR(VLOOKUP(D308, Repository!A:J, 9, 0), ""), "")</f>
        <v/>
      </c>
      <c r="S308" s="105"/>
      <c r="T308" s="105"/>
      <c r="U308" s="105"/>
      <c r="V308" s="105"/>
      <c r="W308" s="105"/>
      <c r="X308" s="105"/>
      <c r="Y308" s="105"/>
      <c r="Z308" s="105"/>
      <c r="AA308" s="105"/>
      <c r="AB308" s="105"/>
      <c r="AC308" s="91"/>
      <c r="AD308" s="105"/>
      <c r="AE308" s="105"/>
      <c r="AF308" s="91"/>
      <c r="AG308" s="105"/>
      <c r="AH308" s="105"/>
      <c r="AI308" s="105" t="str">
        <f t="shared" si="1"/>
        <v/>
      </c>
      <c r="AJ308" s="108" t="str">
        <f t="shared" si="2"/>
        <v/>
      </c>
    </row>
    <row r="309" ht="15.75" customHeight="1">
      <c r="A309" s="104"/>
      <c r="B309" s="105" t="str">
        <f>IFERROR(__xludf.DUMMYFUNCTION("ARRAY_CONSTRAIN(
  ARRAYFORMULA(
    IF(
      'Final Report'!A309="""",
      """",
      TEXTJOIN(
        "", "" &amp; CHAR(10),
        TRUE,
        IFERROR(
          VLOOKUP(
            TRIM(
              SPLIT('Final Report'!A309, "","")
           "&amp;" ),
            'URL Details'!A:B,
            2,
            FALSE
          ),
          """"
        )
      )
    )
  ),
  1,
  1
)
"),"")</f>
        <v/>
      </c>
      <c r="C309" s="105" t="str">
        <f>IFERROR(__xludf.DUMMYFUNCTION("IFERROR(IF('Final Report'!A309="""","""", TEXTJOIN(CHAR(10), TRUE, ARRAYFORMULA( ""• ""&amp; FILTER( TRIM(FLATTEN(SPLIT( REGEXREPLACE( SUBSTITUTE(TEXTJOIN("","", TRUE, IFERROR(ARRAYFORMULA(VLOOKUP(TRIM(SPLIT('Final Report'!A309, "","")), 'URL Details'!A:D, 4,"&amp;" FALSE)),"""") ), CHAR(10), "",""), ""\s*,\s*"", "",""), "",""))), TRIM(FLATTEN(SPLIT( REGEXREPLACE( SUBSTITUTE(TEXTJOIN("","", TRUE, IFERROR(ARRAYFORMULA(VLOOKUP(TRIM(SPLIT('Final Report'!A309, "","")), 'URL Details'!A:D, 4, FALSE)),"""") ), CHAR(10), """&amp;",""), ""\s*,\s*"", "",""), "","")))&lt;&gt;"""" ) ) ) ),"""")
"),"")</f>
        <v/>
      </c>
      <c r="D309" s="105"/>
      <c r="E309" s="105"/>
      <c r="F309" s="110" t="b">
        <v>0</v>
      </c>
      <c r="G309" s="105" t="str">
        <f>IF(F309=True, IFERROR(VLOOKUP(D309, Repository!A:B, 2, 0), ""), "")</f>
        <v/>
      </c>
      <c r="H309" s="105"/>
      <c r="I309" s="105"/>
      <c r="J309" s="105" t="str">
        <f>IF(F309=True, IFERROR(VLOOKUP(D309, Repository!A:C, 3, 0), ""), "")</f>
        <v/>
      </c>
      <c r="K309" s="105"/>
      <c r="L309" s="105" t="str">
        <f>IF(F309=True, IFERROR(VLOOKUP(D309, Repository!A:E, 5, 0), ""), "")</f>
        <v/>
      </c>
      <c r="M309" s="105"/>
      <c r="N309" s="105" t="str">
        <f>IF(F309=True, IFERROR(VLOOKUP(D309, Repository!A:G, 7, 0), ""), "")</f>
        <v/>
      </c>
      <c r="O309" s="105" t="str">
        <f>IFERROR(__xludf.DUMMYFUNCTION("ARRAY_CONSTRAIN(
  ARRAYFORMULA(
    IFERROR(
      LET(
        list, N309,
        arr, TRIM(SPLIT(list, "","")),
        names, XLOOKUP(
          arr,
          'Conformance Score'!A:A,
          'Conformance Score'!B:B,
          ""Not found""
      "&amp;"  ),
        TEXTJOIN("", "", TRUE, names)
      ),
      """"
    )
  ),
  1,
  1
)
"),"")</f>
        <v/>
      </c>
      <c r="P309" s="105" t="str">
        <f>IF(F309="Yes", IFERROR(VLOOKUP(D309, Repository!A:F, 6, 0), ""), "")</f>
        <v/>
      </c>
      <c r="Q309" s="105" t="str">
        <f>IF(F309="Yes", IFERROR(VLOOKUP(D309, Repository!A:I, 8, 0), ""), "")</f>
        <v/>
      </c>
      <c r="R309" s="105" t="str">
        <f>IF(F309="Yes", IFERROR(VLOOKUP(D309, Repository!A:J, 9, 0), ""), "")</f>
        <v/>
      </c>
      <c r="S309" s="105"/>
      <c r="T309" s="105"/>
      <c r="U309" s="105"/>
      <c r="V309" s="105"/>
      <c r="W309" s="105"/>
      <c r="X309" s="105"/>
      <c r="Y309" s="105"/>
      <c r="Z309" s="105"/>
      <c r="AA309" s="105"/>
      <c r="AB309" s="105"/>
      <c r="AC309" s="91"/>
      <c r="AD309" s="105"/>
      <c r="AE309" s="105"/>
      <c r="AF309" s="91"/>
      <c r="AG309" s="105"/>
      <c r="AH309" s="105"/>
      <c r="AI309" s="105" t="str">
        <f t="shared" si="1"/>
        <v/>
      </c>
      <c r="AJ309" s="108" t="str">
        <f t="shared" si="2"/>
        <v/>
      </c>
    </row>
    <row r="310" ht="15.75" customHeight="1">
      <c r="A310" s="104"/>
      <c r="B310" s="105" t="str">
        <f>IFERROR(__xludf.DUMMYFUNCTION("ARRAY_CONSTRAIN(
  ARRAYFORMULA(
    IF(
      'Final Report'!A310="""",
      """",
      TEXTJOIN(
        "", "" &amp; CHAR(10),
        TRUE,
        IFERROR(
          VLOOKUP(
            TRIM(
              SPLIT('Final Report'!A310, "","")
           "&amp;" ),
            'URL Details'!A:B,
            2,
            FALSE
          ),
          """"
        )
      )
    )
  ),
  1,
  1
)
"),"")</f>
        <v/>
      </c>
      <c r="C310" s="105" t="str">
        <f>IFERROR(__xludf.DUMMYFUNCTION("IFERROR(IF('Final Report'!A310="""","""", TEXTJOIN(CHAR(10), TRUE, ARRAYFORMULA( ""• ""&amp; FILTER( TRIM(FLATTEN(SPLIT( REGEXREPLACE( SUBSTITUTE(TEXTJOIN("","", TRUE, IFERROR(ARRAYFORMULA(VLOOKUP(TRIM(SPLIT('Final Report'!A310, "","")), 'URL Details'!A:D, 4,"&amp;" FALSE)),"""") ), CHAR(10), "",""), ""\s*,\s*"", "",""), "",""))), TRIM(FLATTEN(SPLIT( REGEXREPLACE( SUBSTITUTE(TEXTJOIN("","", TRUE, IFERROR(ARRAYFORMULA(VLOOKUP(TRIM(SPLIT('Final Report'!A310, "","")), 'URL Details'!A:D, 4, FALSE)),"""") ), CHAR(10), """&amp;",""), ""\s*,\s*"", "",""), "","")))&lt;&gt;"""" ) ) ) ),"""")
"),"")</f>
        <v/>
      </c>
      <c r="D310" s="105"/>
      <c r="E310" s="105"/>
      <c r="F310" s="110" t="b">
        <v>0</v>
      </c>
      <c r="G310" s="105" t="str">
        <f>IF(F310=True, IFERROR(VLOOKUP(D310, Repository!A:B, 2, 0), ""), "")</f>
        <v/>
      </c>
      <c r="H310" s="105"/>
      <c r="I310" s="105"/>
      <c r="J310" s="105" t="str">
        <f>IF(F310=True, IFERROR(VLOOKUP(D310, Repository!A:C, 3, 0), ""), "")</f>
        <v/>
      </c>
      <c r="K310" s="105"/>
      <c r="L310" s="105" t="str">
        <f>IF(F310=True, IFERROR(VLOOKUP(D310, Repository!A:E, 5, 0), ""), "")</f>
        <v/>
      </c>
      <c r="M310" s="105"/>
      <c r="N310" s="105" t="str">
        <f>IF(F310=True, IFERROR(VLOOKUP(D310, Repository!A:G, 7, 0), ""), "")</f>
        <v/>
      </c>
      <c r="O310" s="105" t="str">
        <f>IFERROR(__xludf.DUMMYFUNCTION("ARRAY_CONSTRAIN(
  ARRAYFORMULA(
    IFERROR(
      LET(
        list, N310,
        arr, TRIM(SPLIT(list, "","")),
        names, XLOOKUP(
          arr,
          'Conformance Score'!A:A,
          'Conformance Score'!B:B,
          ""Not found""
      "&amp;"  ),
        TEXTJOIN("", "", TRUE, names)
      ),
      """"
    )
  ),
  1,
  1
)
"),"")</f>
        <v/>
      </c>
      <c r="P310" s="105" t="str">
        <f>IF(F310="Yes", IFERROR(VLOOKUP(D310, Repository!A:F, 6, 0), ""), "")</f>
        <v/>
      </c>
      <c r="Q310" s="105" t="str">
        <f>IF(F310="Yes", IFERROR(VLOOKUP(D310, Repository!A:I, 8, 0), ""), "")</f>
        <v/>
      </c>
      <c r="R310" s="105" t="str">
        <f>IF(F310="Yes", IFERROR(VLOOKUP(D310, Repository!A:J, 9, 0), ""), "")</f>
        <v/>
      </c>
      <c r="S310" s="105"/>
      <c r="T310" s="105"/>
      <c r="U310" s="105"/>
      <c r="V310" s="105"/>
      <c r="W310" s="105"/>
      <c r="X310" s="105"/>
      <c r="Y310" s="105"/>
      <c r="Z310" s="105"/>
      <c r="AA310" s="105"/>
      <c r="AB310" s="105"/>
      <c r="AC310" s="91"/>
      <c r="AD310" s="105"/>
      <c r="AE310" s="105"/>
      <c r="AF310" s="91"/>
      <c r="AG310" s="105"/>
      <c r="AH310" s="105"/>
      <c r="AI310" s="105" t="str">
        <f t="shared" si="1"/>
        <v/>
      </c>
      <c r="AJ310" s="108" t="str">
        <f t="shared" si="2"/>
        <v/>
      </c>
    </row>
    <row r="311" ht="15.75" customHeight="1">
      <c r="A311" s="104"/>
      <c r="B311" s="105" t="str">
        <f>IFERROR(__xludf.DUMMYFUNCTION("ARRAY_CONSTRAIN(
  ARRAYFORMULA(
    IF(
      'Final Report'!A311="""",
      """",
      TEXTJOIN(
        "", "" &amp; CHAR(10),
        TRUE,
        IFERROR(
          VLOOKUP(
            TRIM(
              SPLIT('Final Report'!A311, "","")
           "&amp;" ),
            'URL Details'!A:B,
            2,
            FALSE
          ),
          """"
        )
      )
    )
  ),
  1,
  1
)
"),"")</f>
        <v/>
      </c>
      <c r="C311" s="105" t="str">
        <f>IFERROR(__xludf.DUMMYFUNCTION("IFERROR(IF('Final Report'!A311="""","""", TEXTJOIN(CHAR(10), TRUE, ARRAYFORMULA( ""• ""&amp; FILTER( TRIM(FLATTEN(SPLIT( REGEXREPLACE( SUBSTITUTE(TEXTJOIN("","", TRUE, IFERROR(ARRAYFORMULA(VLOOKUP(TRIM(SPLIT('Final Report'!A311, "","")), 'URL Details'!A:D, 4,"&amp;" FALSE)),"""") ), CHAR(10), "",""), ""\s*,\s*"", "",""), "",""))), TRIM(FLATTEN(SPLIT( REGEXREPLACE( SUBSTITUTE(TEXTJOIN("","", TRUE, IFERROR(ARRAYFORMULA(VLOOKUP(TRIM(SPLIT('Final Report'!A311, "","")), 'URL Details'!A:D, 4, FALSE)),"""") ), CHAR(10), """&amp;",""), ""\s*,\s*"", "",""), "","")))&lt;&gt;"""" ) ) ) ),"""")
"),"")</f>
        <v/>
      </c>
      <c r="D311" s="105"/>
      <c r="E311" s="105"/>
      <c r="F311" s="110" t="b">
        <v>0</v>
      </c>
      <c r="G311" s="105" t="str">
        <f>IF(F311=True, IFERROR(VLOOKUP(D311, Repository!A:B, 2, 0), ""), "")</f>
        <v/>
      </c>
      <c r="H311" s="105"/>
      <c r="I311" s="105"/>
      <c r="J311" s="105" t="str">
        <f>IF(F311=True, IFERROR(VLOOKUP(D311, Repository!A:C, 3, 0), ""), "")</f>
        <v/>
      </c>
      <c r="K311" s="105"/>
      <c r="L311" s="105" t="str">
        <f>IF(F311=True, IFERROR(VLOOKUP(D311, Repository!A:E, 5, 0), ""), "")</f>
        <v/>
      </c>
      <c r="M311" s="105"/>
      <c r="N311" s="105" t="str">
        <f>IF(F311=True, IFERROR(VLOOKUP(D311, Repository!A:G, 7, 0), ""), "")</f>
        <v/>
      </c>
      <c r="O311" s="105" t="str">
        <f>IFERROR(__xludf.DUMMYFUNCTION("ARRAY_CONSTRAIN(
  ARRAYFORMULA(
    IFERROR(
      LET(
        list, N311,
        arr, TRIM(SPLIT(list, "","")),
        names, XLOOKUP(
          arr,
          'Conformance Score'!A:A,
          'Conformance Score'!B:B,
          ""Not found""
      "&amp;"  ),
        TEXTJOIN("", "", TRUE, names)
      ),
      """"
    )
  ),
  1,
  1
)
"),"")</f>
        <v/>
      </c>
      <c r="P311" s="105" t="str">
        <f>IF(F311="Yes", IFERROR(VLOOKUP(D311, Repository!A:F, 6, 0), ""), "")</f>
        <v/>
      </c>
      <c r="Q311" s="105" t="str">
        <f>IF(F311="Yes", IFERROR(VLOOKUP(D311, Repository!A:I, 8, 0), ""), "")</f>
        <v/>
      </c>
      <c r="R311" s="105" t="str">
        <f>IF(F311="Yes", IFERROR(VLOOKUP(D311, Repository!A:J, 9, 0), ""), "")</f>
        <v/>
      </c>
      <c r="S311" s="105"/>
      <c r="T311" s="105"/>
      <c r="U311" s="105"/>
      <c r="V311" s="105"/>
      <c r="W311" s="105"/>
      <c r="X311" s="105"/>
      <c r="Y311" s="105"/>
      <c r="Z311" s="105"/>
      <c r="AA311" s="105"/>
      <c r="AB311" s="105"/>
      <c r="AC311" s="91"/>
      <c r="AD311" s="105"/>
      <c r="AE311" s="105"/>
      <c r="AF311" s="91"/>
      <c r="AG311" s="105"/>
      <c r="AH311" s="105"/>
      <c r="AI311" s="105" t="str">
        <f t="shared" si="1"/>
        <v/>
      </c>
      <c r="AJ311" s="108" t="str">
        <f t="shared" si="2"/>
        <v/>
      </c>
    </row>
    <row r="312" ht="15.75" customHeight="1">
      <c r="A312" s="104"/>
      <c r="B312" s="105" t="str">
        <f>IFERROR(__xludf.DUMMYFUNCTION("ARRAY_CONSTRAIN(
  ARRAYFORMULA(
    IF(
      'Final Report'!A312="""",
      """",
      TEXTJOIN(
        "", "" &amp; CHAR(10),
        TRUE,
        IFERROR(
          VLOOKUP(
            TRIM(
              SPLIT('Final Report'!A312, "","")
           "&amp;" ),
            'URL Details'!A:B,
            2,
            FALSE
          ),
          """"
        )
      )
    )
  ),
  1,
  1
)
"),"")</f>
        <v/>
      </c>
      <c r="C312" s="105" t="str">
        <f>IFERROR(__xludf.DUMMYFUNCTION("IFERROR(IF('Final Report'!A312="""","""", TEXTJOIN(CHAR(10), TRUE, ARRAYFORMULA( ""• ""&amp; FILTER( TRIM(FLATTEN(SPLIT( REGEXREPLACE( SUBSTITUTE(TEXTJOIN("","", TRUE, IFERROR(ARRAYFORMULA(VLOOKUP(TRIM(SPLIT('Final Report'!A312, "","")), 'URL Details'!A:D, 4,"&amp;" FALSE)),"""") ), CHAR(10), "",""), ""\s*,\s*"", "",""), "",""))), TRIM(FLATTEN(SPLIT( REGEXREPLACE( SUBSTITUTE(TEXTJOIN("","", TRUE, IFERROR(ARRAYFORMULA(VLOOKUP(TRIM(SPLIT('Final Report'!A312, "","")), 'URL Details'!A:D, 4, FALSE)),"""") ), CHAR(10), """&amp;",""), ""\s*,\s*"", "",""), "","")))&lt;&gt;"""" ) ) ) ),"""")
"),"")</f>
        <v/>
      </c>
      <c r="D312" s="105"/>
      <c r="E312" s="105"/>
      <c r="F312" s="110" t="b">
        <v>0</v>
      </c>
      <c r="G312" s="105" t="str">
        <f>IF(F312=True, IFERROR(VLOOKUP(D312, Repository!A:B, 2, 0), ""), "")</f>
        <v/>
      </c>
      <c r="H312" s="105"/>
      <c r="I312" s="105"/>
      <c r="J312" s="105" t="str">
        <f>IF(F312=True, IFERROR(VLOOKUP(D312, Repository!A:C, 3, 0), ""), "")</f>
        <v/>
      </c>
      <c r="K312" s="105"/>
      <c r="L312" s="105" t="str">
        <f>IF(F312=True, IFERROR(VLOOKUP(D312, Repository!A:E, 5, 0), ""), "")</f>
        <v/>
      </c>
      <c r="M312" s="105"/>
      <c r="N312" s="105" t="str">
        <f>IF(F312=True, IFERROR(VLOOKUP(D312, Repository!A:G, 7, 0), ""), "")</f>
        <v/>
      </c>
      <c r="O312" s="105" t="str">
        <f>IFERROR(__xludf.DUMMYFUNCTION("ARRAY_CONSTRAIN(
  ARRAYFORMULA(
    IFERROR(
      LET(
        list, N312,
        arr, TRIM(SPLIT(list, "","")),
        names, XLOOKUP(
          arr,
          'Conformance Score'!A:A,
          'Conformance Score'!B:B,
          ""Not found""
      "&amp;"  ),
        TEXTJOIN("", "", TRUE, names)
      ),
      """"
    )
  ),
  1,
  1
)
"),"")</f>
        <v/>
      </c>
      <c r="P312" s="105" t="str">
        <f>IF(F312="Yes", IFERROR(VLOOKUP(D312, Repository!A:F, 6, 0), ""), "")</f>
        <v/>
      </c>
      <c r="Q312" s="105" t="str">
        <f>IF(F312="Yes", IFERROR(VLOOKUP(D312, Repository!A:I, 8, 0), ""), "")</f>
        <v/>
      </c>
      <c r="R312" s="105" t="str">
        <f>IF(F312="Yes", IFERROR(VLOOKUP(D312, Repository!A:J, 9, 0), ""), "")</f>
        <v/>
      </c>
      <c r="S312" s="105"/>
      <c r="T312" s="105"/>
      <c r="U312" s="105"/>
      <c r="V312" s="105"/>
      <c r="W312" s="105"/>
      <c r="X312" s="105"/>
      <c r="Y312" s="105"/>
      <c r="Z312" s="105"/>
      <c r="AA312" s="105"/>
      <c r="AB312" s="105"/>
      <c r="AC312" s="91"/>
      <c r="AD312" s="105"/>
      <c r="AE312" s="105"/>
      <c r="AF312" s="91"/>
      <c r="AG312" s="105"/>
      <c r="AH312" s="105"/>
      <c r="AI312" s="105" t="str">
        <f t="shared" si="1"/>
        <v/>
      </c>
      <c r="AJ312" s="108" t="str">
        <f t="shared" si="2"/>
        <v/>
      </c>
    </row>
    <row r="313" ht="15.75" customHeight="1">
      <c r="A313" s="104"/>
      <c r="B313" s="105" t="str">
        <f>IFERROR(__xludf.DUMMYFUNCTION("ARRAY_CONSTRAIN(
  ARRAYFORMULA(
    IF(
      'Final Report'!A313="""",
      """",
      TEXTJOIN(
        "", "" &amp; CHAR(10),
        TRUE,
        IFERROR(
          VLOOKUP(
            TRIM(
              SPLIT('Final Report'!A313, "","")
           "&amp;" ),
            'URL Details'!A:B,
            2,
            FALSE
          ),
          """"
        )
      )
    )
  ),
  1,
  1
)
"),"")</f>
        <v/>
      </c>
      <c r="C313" s="105" t="str">
        <f>IFERROR(__xludf.DUMMYFUNCTION("IFERROR(IF('Final Report'!A313="""","""", TEXTJOIN(CHAR(10), TRUE, ARRAYFORMULA( ""• ""&amp; FILTER( TRIM(FLATTEN(SPLIT( REGEXREPLACE( SUBSTITUTE(TEXTJOIN("","", TRUE, IFERROR(ARRAYFORMULA(VLOOKUP(TRIM(SPLIT('Final Report'!A313, "","")), 'URL Details'!A:D, 4,"&amp;" FALSE)),"""") ), CHAR(10), "",""), ""\s*,\s*"", "",""), "",""))), TRIM(FLATTEN(SPLIT( REGEXREPLACE( SUBSTITUTE(TEXTJOIN("","", TRUE, IFERROR(ARRAYFORMULA(VLOOKUP(TRIM(SPLIT('Final Report'!A313, "","")), 'URL Details'!A:D, 4, FALSE)),"""") ), CHAR(10), """&amp;",""), ""\s*,\s*"", "",""), "","")))&lt;&gt;"""" ) ) ) ),"""")
"),"")</f>
        <v/>
      </c>
      <c r="D313" s="105"/>
      <c r="E313" s="105"/>
      <c r="F313" s="110" t="b">
        <v>0</v>
      </c>
      <c r="G313" s="105" t="str">
        <f>IF(F313=True, IFERROR(VLOOKUP(D313, Repository!A:B, 2, 0), ""), "")</f>
        <v/>
      </c>
      <c r="H313" s="105"/>
      <c r="I313" s="105"/>
      <c r="J313" s="105" t="str">
        <f>IF(F313=True, IFERROR(VLOOKUP(D313, Repository!A:C, 3, 0), ""), "")</f>
        <v/>
      </c>
      <c r="K313" s="105"/>
      <c r="L313" s="105" t="str">
        <f>IF(F313=True, IFERROR(VLOOKUP(D313, Repository!A:E, 5, 0), ""), "")</f>
        <v/>
      </c>
      <c r="M313" s="105"/>
      <c r="N313" s="105" t="str">
        <f>IF(F313=True, IFERROR(VLOOKUP(D313, Repository!A:G, 7, 0), ""), "")</f>
        <v/>
      </c>
      <c r="O313" s="105" t="str">
        <f>IFERROR(__xludf.DUMMYFUNCTION("ARRAY_CONSTRAIN(
  ARRAYFORMULA(
    IFERROR(
      LET(
        list, N313,
        arr, TRIM(SPLIT(list, "","")),
        names, XLOOKUP(
          arr,
          'Conformance Score'!A:A,
          'Conformance Score'!B:B,
          ""Not found""
      "&amp;"  ),
        TEXTJOIN("", "", TRUE, names)
      ),
      """"
    )
  ),
  1,
  1
)
"),"")</f>
        <v/>
      </c>
      <c r="P313" s="105" t="str">
        <f>IF(F313="Yes", IFERROR(VLOOKUP(D313, Repository!A:F, 6, 0), ""), "")</f>
        <v/>
      </c>
      <c r="Q313" s="105" t="str">
        <f>IF(F313="Yes", IFERROR(VLOOKUP(D313, Repository!A:I, 8, 0), ""), "")</f>
        <v/>
      </c>
      <c r="R313" s="105" t="str">
        <f>IF(F313="Yes", IFERROR(VLOOKUP(D313, Repository!A:J, 9, 0), ""), "")</f>
        <v/>
      </c>
      <c r="S313" s="105"/>
      <c r="T313" s="105"/>
      <c r="U313" s="105"/>
      <c r="V313" s="105"/>
      <c r="W313" s="105"/>
      <c r="X313" s="105"/>
      <c r="Y313" s="105"/>
      <c r="Z313" s="105"/>
      <c r="AA313" s="105"/>
      <c r="AB313" s="105"/>
      <c r="AC313" s="91"/>
      <c r="AD313" s="105"/>
      <c r="AE313" s="105"/>
      <c r="AF313" s="91"/>
      <c r="AG313" s="105"/>
      <c r="AH313" s="105"/>
      <c r="AI313" s="105" t="str">
        <f t="shared" si="1"/>
        <v/>
      </c>
      <c r="AJ313" s="108" t="str">
        <f t="shared" si="2"/>
        <v/>
      </c>
    </row>
    <row r="314" ht="15.75" customHeight="1">
      <c r="A314" s="104"/>
      <c r="B314" s="105" t="str">
        <f>IFERROR(__xludf.DUMMYFUNCTION("ARRAY_CONSTRAIN(
  ARRAYFORMULA(
    IF(
      'Final Report'!A314="""",
      """",
      TEXTJOIN(
        "", "" &amp; CHAR(10),
        TRUE,
        IFERROR(
          VLOOKUP(
            TRIM(
              SPLIT('Final Report'!A314, "","")
           "&amp;" ),
            'URL Details'!A:B,
            2,
            FALSE
          ),
          """"
        )
      )
    )
  ),
  1,
  1
)
"),"")</f>
        <v/>
      </c>
      <c r="C314" s="105" t="str">
        <f>IFERROR(__xludf.DUMMYFUNCTION("IFERROR(IF('Final Report'!A314="""","""", TEXTJOIN(CHAR(10), TRUE, ARRAYFORMULA( ""• ""&amp; FILTER( TRIM(FLATTEN(SPLIT( REGEXREPLACE( SUBSTITUTE(TEXTJOIN("","", TRUE, IFERROR(ARRAYFORMULA(VLOOKUP(TRIM(SPLIT('Final Report'!A314, "","")), 'URL Details'!A:D, 4,"&amp;" FALSE)),"""") ), CHAR(10), "",""), ""\s*,\s*"", "",""), "",""))), TRIM(FLATTEN(SPLIT( REGEXREPLACE( SUBSTITUTE(TEXTJOIN("","", TRUE, IFERROR(ARRAYFORMULA(VLOOKUP(TRIM(SPLIT('Final Report'!A314, "","")), 'URL Details'!A:D, 4, FALSE)),"""") ), CHAR(10), """&amp;",""), ""\s*,\s*"", "",""), "","")))&lt;&gt;"""" ) ) ) ),"""")
"),"")</f>
        <v/>
      </c>
      <c r="D314" s="105"/>
      <c r="E314" s="105"/>
      <c r="F314" s="110" t="b">
        <v>0</v>
      </c>
      <c r="G314" s="105" t="str">
        <f>IF(F314=True, IFERROR(VLOOKUP(D314, Repository!A:B, 2, 0), ""), "")</f>
        <v/>
      </c>
      <c r="H314" s="105"/>
      <c r="I314" s="105"/>
      <c r="J314" s="105" t="str">
        <f>IF(F314=True, IFERROR(VLOOKUP(D314, Repository!A:C, 3, 0), ""), "")</f>
        <v/>
      </c>
      <c r="K314" s="105"/>
      <c r="L314" s="105" t="str">
        <f>IF(F314=True, IFERROR(VLOOKUP(D314, Repository!A:E, 5, 0), ""), "")</f>
        <v/>
      </c>
      <c r="M314" s="105"/>
      <c r="N314" s="105" t="str">
        <f>IF(F314=True, IFERROR(VLOOKUP(D314, Repository!A:G, 7, 0), ""), "")</f>
        <v/>
      </c>
      <c r="O314" s="105" t="str">
        <f>IFERROR(__xludf.DUMMYFUNCTION("ARRAY_CONSTRAIN(
  ARRAYFORMULA(
    IFERROR(
      LET(
        list, N314,
        arr, TRIM(SPLIT(list, "","")),
        names, XLOOKUP(
          arr,
          'Conformance Score'!A:A,
          'Conformance Score'!B:B,
          ""Not found""
      "&amp;"  ),
        TEXTJOIN("", "", TRUE, names)
      ),
      """"
    )
  ),
  1,
  1
)
"),"")</f>
        <v/>
      </c>
      <c r="P314" s="105" t="str">
        <f>IF(F314="Yes", IFERROR(VLOOKUP(D314, Repository!A:F, 6, 0), ""), "")</f>
        <v/>
      </c>
      <c r="Q314" s="105" t="str">
        <f>IF(F314="Yes", IFERROR(VLOOKUP(D314, Repository!A:I, 8, 0), ""), "")</f>
        <v/>
      </c>
      <c r="R314" s="105" t="str">
        <f>IF(F314="Yes", IFERROR(VLOOKUP(D314, Repository!A:J, 9, 0), ""), "")</f>
        <v/>
      </c>
      <c r="S314" s="105"/>
      <c r="T314" s="105"/>
      <c r="U314" s="105"/>
      <c r="V314" s="105"/>
      <c r="W314" s="105"/>
      <c r="X314" s="105"/>
      <c r="Y314" s="105"/>
      <c r="Z314" s="105"/>
      <c r="AA314" s="105"/>
      <c r="AB314" s="105"/>
      <c r="AC314" s="91"/>
      <c r="AD314" s="105"/>
      <c r="AE314" s="105"/>
      <c r="AF314" s="91"/>
      <c r="AG314" s="105"/>
      <c r="AH314" s="105"/>
      <c r="AI314" s="105" t="str">
        <f t="shared" si="1"/>
        <v/>
      </c>
      <c r="AJ314" s="108" t="str">
        <f t="shared" si="2"/>
        <v/>
      </c>
    </row>
    <row r="315" ht="15.75" customHeight="1">
      <c r="A315" s="104"/>
      <c r="B315" s="105" t="str">
        <f>IFERROR(__xludf.DUMMYFUNCTION("ARRAY_CONSTRAIN(
  ARRAYFORMULA(
    IF(
      'Final Report'!A315="""",
      """",
      TEXTJOIN(
        "", "" &amp; CHAR(10),
        TRUE,
        IFERROR(
          VLOOKUP(
            TRIM(
              SPLIT('Final Report'!A315, "","")
           "&amp;" ),
            'URL Details'!A:B,
            2,
            FALSE
          ),
          """"
        )
      )
    )
  ),
  1,
  1
)
"),"")</f>
        <v/>
      </c>
      <c r="C315" s="105" t="str">
        <f>IFERROR(__xludf.DUMMYFUNCTION("IFERROR(IF('Final Report'!A315="""","""", TEXTJOIN(CHAR(10), TRUE, ARRAYFORMULA( ""• ""&amp; FILTER( TRIM(FLATTEN(SPLIT( REGEXREPLACE( SUBSTITUTE(TEXTJOIN("","", TRUE, IFERROR(ARRAYFORMULA(VLOOKUP(TRIM(SPLIT('Final Report'!A315, "","")), 'URL Details'!A:D, 4,"&amp;" FALSE)),"""") ), CHAR(10), "",""), ""\s*,\s*"", "",""), "",""))), TRIM(FLATTEN(SPLIT( REGEXREPLACE( SUBSTITUTE(TEXTJOIN("","", TRUE, IFERROR(ARRAYFORMULA(VLOOKUP(TRIM(SPLIT('Final Report'!A315, "","")), 'URL Details'!A:D, 4, FALSE)),"""") ), CHAR(10), """&amp;",""), ""\s*,\s*"", "",""), "","")))&lt;&gt;"""" ) ) ) ),"""")
"),"")</f>
        <v/>
      </c>
      <c r="D315" s="105"/>
      <c r="E315" s="105"/>
      <c r="F315" s="110" t="b">
        <v>0</v>
      </c>
      <c r="G315" s="105" t="str">
        <f>IF(F315=True, IFERROR(VLOOKUP(D315, Repository!A:B, 2, 0), ""), "")</f>
        <v/>
      </c>
      <c r="H315" s="105"/>
      <c r="I315" s="105"/>
      <c r="J315" s="105" t="str">
        <f>IF(F315=True, IFERROR(VLOOKUP(D315, Repository!A:C, 3, 0), ""), "")</f>
        <v/>
      </c>
      <c r="K315" s="105"/>
      <c r="L315" s="105" t="str">
        <f>IF(F315=True, IFERROR(VLOOKUP(D315, Repository!A:E, 5, 0), ""), "")</f>
        <v/>
      </c>
      <c r="M315" s="105"/>
      <c r="N315" s="105" t="str">
        <f>IF(F315=True, IFERROR(VLOOKUP(D315, Repository!A:G, 7, 0), ""), "")</f>
        <v/>
      </c>
      <c r="O315" s="105" t="str">
        <f>IFERROR(__xludf.DUMMYFUNCTION("ARRAY_CONSTRAIN(
  ARRAYFORMULA(
    IFERROR(
      LET(
        list, N315,
        arr, TRIM(SPLIT(list, "","")),
        names, XLOOKUP(
          arr,
          'Conformance Score'!A:A,
          'Conformance Score'!B:B,
          ""Not found""
      "&amp;"  ),
        TEXTJOIN("", "", TRUE, names)
      ),
      """"
    )
  ),
  1,
  1
)
"),"")</f>
        <v/>
      </c>
      <c r="P315" s="105" t="str">
        <f>IF(F315="Yes", IFERROR(VLOOKUP(D315, Repository!A:F, 6, 0), ""), "")</f>
        <v/>
      </c>
      <c r="Q315" s="105" t="str">
        <f>IF(F315="Yes", IFERROR(VLOOKUP(D315, Repository!A:I, 8, 0), ""), "")</f>
        <v/>
      </c>
      <c r="R315" s="105" t="str">
        <f>IF(F315="Yes", IFERROR(VLOOKUP(D315, Repository!A:J, 9, 0), ""), "")</f>
        <v/>
      </c>
      <c r="S315" s="105"/>
      <c r="T315" s="105"/>
      <c r="U315" s="105"/>
      <c r="V315" s="105"/>
      <c r="W315" s="105"/>
      <c r="X315" s="105"/>
      <c r="Y315" s="105"/>
      <c r="Z315" s="105"/>
      <c r="AA315" s="105"/>
      <c r="AB315" s="105"/>
      <c r="AC315" s="91"/>
      <c r="AD315" s="105"/>
      <c r="AE315" s="105"/>
      <c r="AF315" s="91"/>
      <c r="AG315" s="105"/>
      <c r="AH315" s="105"/>
      <c r="AI315" s="105" t="str">
        <f t="shared" si="1"/>
        <v/>
      </c>
      <c r="AJ315" s="108" t="str">
        <f t="shared" si="2"/>
        <v/>
      </c>
    </row>
    <row r="316" ht="15.75" customHeight="1">
      <c r="A316" s="104"/>
      <c r="B316" s="105" t="str">
        <f>IFERROR(__xludf.DUMMYFUNCTION("ARRAY_CONSTRAIN(
  ARRAYFORMULA(
    IF(
      'Final Report'!A316="""",
      """",
      TEXTJOIN(
        "", "" &amp; CHAR(10),
        TRUE,
        IFERROR(
          VLOOKUP(
            TRIM(
              SPLIT('Final Report'!A316, "","")
           "&amp;" ),
            'URL Details'!A:B,
            2,
            FALSE
          ),
          """"
        )
      )
    )
  ),
  1,
  1
)
"),"")</f>
        <v/>
      </c>
      <c r="C316" s="105" t="str">
        <f>IFERROR(__xludf.DUMMYFUNCTION("IFERROR(IF('Final Report'!A316="""","""", TEXTJOIN(CHAR(10), TRUE, ARRAYFORMULA( ""• ""&amp; FILTER( TRIM(FLATTEN(SPLIT( REGEXREPLACE( SUBSTITUTE(TEXTJOIN("","", TRUE, IFERROR(ARRAYFORMULA(VLOOKUP(TRIM(SPLIT('Final Report'!A316, "","")), 'URL Details'!A:D, 4,"&amp;" FALSE)),"""") ), CHAR(10), "",""), ""\s*,\s*"", "",""), "",""))), TRIM(FLATTEN(SPLIT( REGEXREPLACE( SUBSTITUTE(TEXTJOIN("","", TRUE, IFERROR(ARRAYFORMULA(VLOOKUP(TRIM(SPLIT('Final Report'!A316, "","")), 'URL Details'!A:D, 4, FALSE)),"""") ), CHAR(10), """&amp;",""), ""\s*,\s*"", "",""), "","")))&lt;&gt;"""" ) ) ) ),"""")
"),"")</f>
        <v/>
      </c>
      <c r="D316" s="105"/>
      <c r="E316" s="105"/>
      <c r="F316" s="110" t="b">
        <v>0</v>
      </c>
      <c r="G316" s="105" t="str">
        <f>IF(F316=True, IFERROR(VLOOKUP(D316, Repository!A:B, 2, 0), ""), "")</f>
        <v/>
      </c>
      <c r="H316" s="105"/>
      <c r="I316" s="105"/>
      <c r="J316" s="105" t="str">
        <f>IF(F316=True, IFERROR(VLOOKUP(D316, Repository!A:C, 3, 0), ""), "")</f>
        <v/>
      </c>
      <c r="K316" s="105"/>
      <c r="L316" s="105" t="str">
        <f>IF(F316=True, IFERROR(VLOOKUP(D316, Repository!A:E, 5, 0), ""), "")</f>
        <v/>
      </c>
      <c r="M316" s="105"/>
      <c r="N316" s="105" t="str">
        <f>IF(F316=True, IFERROR(VLOOKUP(D316, Repository!A:G, 7, 0), ""), "")</f>
        <v/>
      </c>
      <c r="O316" s="105" t="str">
        <f>IFERROR(__xludf.DUMMYFUNCTION("ARRAY_CONSTRAIN(
  ARRAYFORMULA(
    IFERROR(
      LET(
        list, N316,
        arr, TRIM(SPLIT(list, "","")),
        names, XLOOKUP(
          arr,
          'Conformance Score'!A:A,
          'Conformance Score'!B:B,
          ""Not found""
      "&amp;"  ),
        TEXTJOIN("", "", TRUE, names)
      ),
      """"
    )
  ),
  1,
  1
)
"),"")</f>
        <v/>
      </c>
      <c r="P316" s="105" t="str">
        <f>IF(F316="Yes", IFERROR(VLOOKUP(D316, Repository!A:F, 6, 0), ""), "")</f>
        <v/>
      </c>
      <c r="Q316" s="105" t="str">
        <f>IF(F316="Yes", IFERROR(VLOOKUP(D316, Repository!A:I, 8, 0), ""), "")</f>
        <v/>
      </c>
      <c r="R316" s="105" t="str">
        <f>IF(F316="Yes", IFERROR(VLOOKUP(D316, Repository!A:J, 9, 0), ""), "")</f>
        <v/>
      </c>
      <c r="S316" s="105"/>
      <c r="T316" s="105"/>
      <c r="U316" s="105"/>
      <c r="V316" s="105"/>
      <c r="W316" s="105"/>
      <c r="X316" s="105"/>
      <c r="Y316" s="105"/>
      <c r="Z316" s="105"/>
      <c r="AA316" s="105"/>
      <c r="AB316" s="105"/>
      <c r="AC316" s="91"/>
      <c r="AD316" s="105"/>
      <c r="AE316" s="105"/>
      <c r="AF316" s="91"/>
      <c r="AG316" s="105"/>
      <c r="AH316" s="105"/>
      <c r="AI316" s="105" t="str">
        <f t="shared" si="1"/>
        <v/>
      </c>
      <c r="AJ316" s="108" t="str">
        <f t="shared" si="2"/>
        <v/>
      </c>
    </row>
    <row r="317" ht="15.75" customHeight="1">
      <c r="A317" s="104"/>
      <c r="B317" s="105" t="str">
        <f>IFERROR(__xludf.DUMMYFUNCTION("ARRAY_CONSTRAIN(
  ARRAYFORMULA(
    IF(
      'Final Report'!A317="""",
      """",
      TEXTJOIN(
        "", "" &amp; CHAR(10),
        TRUE,
        IFERROR(
          VLOOKUP(
            TRIM(
              SPLIT('Final Report'!A317, "","")
           "&amp;" ),
            'URL Details'!A:B,
            2,
            FALSE
          ),
          """"
        )
      )
    )
  ),
  1,
  1
)
"),"")</f>
        <v/>
      </c>
      <c r="C317" s="105" t="str">
        <f>IFERROR(__xludf.DUMMYFUNCTION("IFERROR(IF('Final Report'!A317="""","""", TEXTJOIN(CHAR(10), TRUE, ARRAYFORMULA( ""• ""&amp; FILTER( TRIM(FLATTEN(SPLIT( REGEXREPLACE( SUBSTITUTE(TEXTJOIN("","", TRUE, IFERROR(ARRAYFORMULA(VLOOKUP(TRIM(SPLIT('Final Report'!A317, "","")), 'URL Details'!A:D, 4,"&amp;" FALSE)),"""") ), CHAR(10), "",""), ""\s*,\s*"", "",""), "",""))), TRIM(FLATTEN(SPLIT( REGEXREPLACE( SUBSTITUTE(TEXTJOIN("","", TRUE, IFERROR(ARRAYFORMULA(VLOOKUP(TRIM(SPLIT('Final Report'!A317, "","")), 'URL Details'!A:D, 4, FALSE)),"""") ), CHAR(10), """&amp;",""), ""\s*,\s*"", "",""), "","")))&lt;&gt;"""" ) ) ) ),"""")
"),"")</f>
        <v/>
      </c>
      <c r="D317" s="105"/>
      <c r="E317" s="105"/>
      <c r="F317" s="110" t="b">
        <v>0</v>
      </c>
      <c r="G317" s="105" t="str">
        <f>IF(F317=True, IFERROR(VLOOKUP(D317, Repository!A:B, 2, 0), ""), "")</f>
        <v/>
      </c>
      <c r="H317" s="105"/>
      <c r="I317" s="105"/>
      <c r="J317" s="105" t="str">
        <f>IF(F317=True, IFERROR(VLOOKUP(D317, Repository!A:C, 3, 0), ""), "")</f>
        <v/>
      </c>
      <c r="K317" s="105"/>
      <c r="L317" s="105" t="str">
        <f>IF(F317=True, IFERROR(VLOOKUP(D317, Repository!A:E, 5, 0), ""), "")</f>
        <v/>
      </c>
      <c r="M317" s="105"/>
      <c r="N317" s="105" t="str">
        <f>IF(F317=True, IFERROR(VLOOKUP(D317, Repository!A:G, 7, 0), ""), "")</f>
        <v/>
      </c>
      <c r="O317" s="105" t="str">
        <f>IFERROR(__xludf.DUMMYFUNCTION("ARRAY_CONSTRAIN(
  ARRAYFORMULA(
    IFERROR(
      LET(
        list, N317,
        arr, TRIM(SPLIT(list, "","")),
        names, XLOOKUP(
          arr,
          'Conformance Score'!A:A,
          'Conformance Score'!B:B,
          ""Not found""
      "&amp;"  ),
        TEXTJOIN("", "", TRUE, names)
      ),
      """"
    )
  ),
  1,
  1
)
"),"")</f>
        <v/>
      </c>
      <c r="P317" s="105" t="str">
        <f>IF(F317="Yes", IFERROR(VLOOKUP(D317, Repository!A:F, 6, 0), ""), "")</f>
        <v/>
      </c>
      <c r="Q317" s="105" t="str">
        <f>IF(F317="Yes", IFERROR(VLOOKUP(D317, Repository!A:I, 8, 0), ""), "")</f>
        <v/>
      </c>
      <c r="R317" s="105" t="str">
        <f>IF(F317="Yes", IFERROR(VLOOKUP(D317, Repository!A:J, 9, 0), ""), "")</f>
        <v/>
      </c>
      <c r="S317" s="105"/>
      <c r="T317" s="105"/>
      <c r="U317" s="105"/>
      <c r="V317" s="105"/>
      <c r="W317" s="105"/>
      <c r="X317" s="105"/>
      <c r="Y317" s="105"/>
      <c r="Z317" s="105"/>
      <c r="AA317" s="105"/>
      <c r="AB317" s="105"/>
      <c r="AC317" s="91"/>
      <c r="AD317" s="105"/>
      <c r="AE317" s="105"/>
      <c r="AF317" s="91"/>
      <c r="AG317" s="105"/>
      <c r="AH317" s="105"/>
      <c r="AI317" s="105" t="str">
        <f t="shared" si="1"/>
        <v/>
      </c>
      <c r="AJ317" s="108" t="str">
        <f t="shared" si="2"/>
        <v/>
      </c>
    </row>
    <row r="318" ht="15.75" customHeight="1">
      <c r="A318" s="104"/>
      <c r="B318" s="105" t="str">
        <f>IFERROR(__xludf.DUMMYFUNCTION("ARRAY_CONSTRAIN(
  ARRAYFORMULA(
    IF(
      'Final Report'!A318="""",
      """",
      TEXTJOIN(
        "", "" &amp; CHAR(10),
        TRUE,
        IFERROR(
          VLOOKUP(
            TRIM(
              SPLIT('Final Report'!A318, "","")
           "&amp;" ),
            'URL Details'!A:B,
            2,
            FALSE
          ),
          """"
        )
      )
    )
  ),
  1,
  1
)
"),"")</f>
        <v/>
      </c>
      <c r="C318" s="105" t="str">
        <f>IFERROR(__xludf.DUMMYFUNCTION("IFERROR(IF('Final Report'!A318="""","""", TEXTJOIN(CHAR(10), TRUE, ARRAYFORMULA( ""• ""&amp; FILTER( TRIM(FLATTEN(SPLIT( REGEXREPLACE( SUBSTITUTE(TEXTJOIN("","", TRUE, IFERROR(ARRAYFORMULA(VLOOKUP(TRIM(SPLIT('Final Report'!A318, "","")), 'URL Details'!A:D, 4,"&amp;" FALSE)),"""") ), CHAR(10), "",""), ""\s*,\s*"", "",""), "",""))), TRIM(FLATTEN(SPLIT( REGEXREPLACE( SUBSTITUTE(TEXTJOIN("","", TRUE, IFERROR(ARRAYFORMULA(VLOOKUP(TRIM(SPLIT('Final Report'!A318, "","")), 'URL Details'!A:D, 4, FALSE)),"""") ), CHAR(10), """&amp;",""), ""\s*,\s*"", "",""), "","")))&lt;&gt;"""" ) ) ) ),"""")
"),"")</f>
        <v/>
      </c>
      <c r="D318" s="105"/>
      <c r="E318" s="105"/>
      <c r="F318" s="110" t="b">
        <v>0</v>
      </c>
      <c r="G318" s="105" t="str">
        <f>IF(F318=True, IFERROR(VLOOKUP(D318, Repository!A:B, 2, 0), ""), "")</f>
        <v/>
      </c>
      <c r="H318" s="105"/>
      <c r="I318" s="105"/>
      <c r="J318" s="105" t="str">
        <f>IF(F318=True, IFERROR(VLOOKUP(D318, Repository!A:C, 3, 0), ""), "")</f>
        <v/>
      </c>
      <c r="K318" s="105"/>
      <c r="L318" s="105" t="str">
        <f>IF(F318=True, IFERROR(VLOOKUP(D318, Repository!A:E, 5, 0), ""), "")</f>
        <v/>
      </c>
      <c r="M318" s="105"/>
      <c r="N318" s="105" t="str">
        <f>IF(F318=True, IFERROR(VLOOKUP(D318, Repository!A:G, 7, 0), ""), "")</f>
        <v/>
      </c>
      <c r="O318" s="105" t="str">
        <f>IFERROR(__xludf.DUMMYFUNCTION("ARRAY_CONSTRAIN(
  ARRAYFORMULA(
    IFERROR(
      LET(
        list, N318,
        arr, TRIM(SPLIT(list, "","")),
        names, XLOOKUP(
          arr,
          'Conformance Score'!A:A,
          'Conformance Score'!B:B,
          ""Not found""
      "&amp;"  ),
        TEXTJOIN("", "", TRUE, names)
      ),
      """"
    )
  ),
  1,
  1
)
"),"")</f>
        <v/>
      </c>
      <c r="P318" s="105" t="str">
        <f>IF(F318="Yes", IFERROR(VLOOKUP(D318, Repository!A:F, 6, 0), ""), "")</f>
        <v/>
      </c>
      <c r="Q318" s="105" t="str">
        <f>IF(F318="Yes", IFERROR(VLOOKUP(D318, Repository!A:I, 8, 0), ""), "")</f>
        <v/>
      </c>
      <c r="R318" s="105" t="str">
        <f>IF(F318="Yes", IFERROR(VLOOKUP(D318, Repository!A:J, 9, 0), ""), "")</f>
        <v/>
      </c>
      <c r="S318" s="105"/>
      <c r="T318" s="105"/>
      <c r="U318" s="105"/>
      <c r="V318" s="105"/>
      <c r="W318" s="105"/>
      <c r="X318" s="105"/>
      <c r="Y318" s="105"/>
      <c r="Z318" s="105"/>
      <c r="AA318" s="105"/>
      <c r="AB318" s="105"/>
      <c r="AC318" s="91"/>
      <c r="AD318" s="105"/>
      <c r="AE318" s="105"/>
      <c r="AF318" s="91"/>
      <c r="AG318" s="105"/>
      <c r="AH318" s="105"/>
      <c r="AI318" s="105" t="str">
        <f t="shared" si="1"/>
        <v/>
      </c>
      <c r="AJ318" s="108" t="str">
        <f t="shared" si="2"/>
        <v/>
      </c>
    </row>
    <row r="319" ht="15.75" customHeight="1">
      <c r="A319" s="104"/>
      <c r="B319" s="105" t="str">
        <f>IFERROR(__xludf.DUMMYFUNCTION("ARRAY_CONSTRAIN(
  ARRAYFORMULA(
    IF(
      'Final Report'!A319="""",
      """",
      TEXTJOIN(
        "", "" &amp; CHAR(10),
        TRUE,
        IFERROR(
          VLOOKUP(
            TRIM(
              SPLIT('Final Report'!A319, "","")
           "&amp;" ),
            'URL Details'!A:B,
            2,
            FALSE
          ),
          """"
        )
      )
    )
  ),
  1,
  1
)
"),"")</f>
        <v/>
      </c>
      <c r="C319" s="105" t="str">
        <f>IFERROR(__xludf.DUMMYFUNCTION("IFERROR(IF('Final Report'!A319="""","""", TEXTJOIN(CHAR(10), TRUE, ARRAYFORMULA( ""• ""&amp; FILTER( TRIM(FLATTEN(SPLIT( REGEXREPLACE( SUBSTITUTE(TEXTJOIN("","", TRUE, IFERROR(ARRAYFORMULA(VLOOKUP(TRIM(SPLIT('Final Report'!A319, "","")), 'URL Details'!A:D, 4,"&amp;" FALSE)),"""") ), CHAR(10), "",""), ""\s*,\s*"", "",""), "",""))), TRIM(FLATTEN(SPLIT( REGEXREPLACE( SUBSTITUTE(TEXTJOIN("","", TRUE, IFERROR(ARRAYFORMULA(VLOOKUP(TRIM(SPLIT('Final Report'!A319, "","")), 'URL Details'!A:D, 4, FALSE)),"""") ), CHAR(10), """&amp;",""), ""\s*,\s*"", "",""), "","")))&lt;&gt;"""" ) ) ) ),"""")
"),"")</f>
        <v/>
      </c>
      <c r="D319" s="105"/>
      <c r="E319" s="105"/>
      <c r="F319" s="110" t="b">
        <v>0</v>
      </c>
      <c r="G319" s="105" t="str">
        <f>IF(F319=True, IFERROR(VLOOKUP(D319, Repository!A:B, 2, 0), ""), "")</f>
        <v/>
      </c>
      <c r="H319" s="105"/>
      <c r="I319" s="105"/>
      <c r="J319" s="105" t="str">
        <f>IF(F319=True, IFERROR(VLOOKUP(D319, Repository!A:C, 3, 0), ""), "")</f>
        <v/>
      </c>
      <c r="K319" s="105"/>
      <c r="L319" s="105" t="str">
        <f>IF(F319=True, IFERROR(VLOOKUP(D319, Repository!A:E, 5, 0), ""), "")</f>
        <v/>
      </c>
      <c r="M319" s="105"/>
      <c r="N319" s="105" t="str">
        <f>IF(F319=True, IFERROR(VLOOKUP(D319, Repository!A:G, 7, 0), ""), "")</f>
        <v/>
      </c>
      <c r="O319" s="105" t="str">
        <f>IFERROR(__xludf.DUMMYFUNCTION("ARRAY_CONSTRAIN(
  ARRAYFORMULA(
    IFERROR(
      LET(
        list, N319,
        arr, TRIM(SPLIT(list, "","")),
        names, XLOOKUP(
          arr,
          'Conformance Score'!A:A,
          'Conformance Score'!B:B,
          ""Not found""
      "&amp;"  ),
        TEXTJOIN("", "", TRUE, names)
      ),
      """"
    )
  ),
  1,
  1
)
"),"")</f>
        <v/>
      </c>
      <c r="P319" s="105" t="str">
        <f>IF(F319="Yes", IFERROR(VLOOKUP(D319, Repository!A:F, 6, 0), ""), "")</f>
        <v/>
      </c>
      <c r="Q319" s="105" t="str">
        <f>IF(F319="Yes", IFERROR(VLOOKUP(D319, Repository!A:I, 8, 0), ""), "")</f>
        <v/>
      </c>
      <c r="R319" s="105" t="str">
        <f>IF(F319="Yes", IFERROR(VLOOKUP(D319, Repository!A:J, 9, 0), ""), "")</f>
        <v/>
      </c>
      <c r="S319" s="105"/>
      <c r="T319" s="105"/>
      <c r="U319" s="105"/>
      <c r="V319" s="105"/>
      <c r="W319" s="105"/>
      <c r="X319" s="105"/>
      <c r="Y319" s="105"/>
      <c r="Z319" s="105"/>
      <c r="AA319" s="105"/>
      <c r="AB319" s="105"/>
      <c r="AC319" s="91"/>
      <c r="AD319" s="105"/>
      <c r="AE319" s="105"/>
      <c r="AF319" s="91"/>
      <c r="AG319" s="105"/>
      <c r="AH319" s="105"/>
      <c r="AI319" s="105" t="str">
        <f t="shared" si="1"/>
        <v/>
      </c>
      <c r="AJ319" s="108" t="str">
        <f t="shared" si="2"/>
        <v/>
      </c>
    </row>
    <row r="320" ht="15.75" customHeight="1">
      <c r="A320" s="104"/>
      <c r="B320" s="105" t="str">
        <f>IFERROR(__xludf.DUMMYFUNCTION("ARRAY_CONSTRAIN(
  ARRAYFORMULA(
    IF(
      'Final Report'!A320="""",
      """",
      TEXTJOIN(
        "", "" &amp; CHAR(10),
        TRUE,
        IFERROR(
          VLOOKUP(
            TRIM(
              SPLIT('Final Report'!A320, "","")
           "&amp;" ),
            'URL Details'!A:B,
            2,
            FALSE
          ),
          """"
        )
      )
    )
  ),
  1,
  1
)
"),"")</f>
        <v/>
      </c>
      <c r="C320" s="105" t="str">
        <f>IFERROR(__xludf.DUMMYFUNCTION("IFERROR(IF('Final Report'!A320="""","""", TEXTJOIN(CHAR(10), TRUE, ARRAYFORMULA( ""• ""&amp; FILTER( TRIM(FLATTEN(SPLIT( REGEXREPLACE( SUBSTITUTE(TEXTJOIN("","", TRUE, IFERROR(ARRAYFORMULA(VLOOKUP(TRIM(SPLIT('Final Report'!A320, "","")), 'URL Details'!A:D, 4,"&amp;" FALSE)),"""") ), CHAR(10), "",""), ""\s*,\s*"", "",""), "",""))), TRIM(FLATTEN(SPLIT( REGEXREPLACE( SUBSTITUTE(TEXTJOIN("","", TRUE, IFERROR(ARRAYFORMULA(VLOOKUP(TRIM(SPLIT('Final Report'!A320, "","")), 'URL Details'!A:D, 4, FALSE)),"""") ), CHAR(10), """&amp;",""), ""\s*,\s*"", "",""), "","")))&lt;&gt;"""" ) ) ) ),"""")
"),"")</f>
        <v/>
      </c>
      <c r="D320" s="105"/>
      <c r="E320" s="105"/>
      <c r="F320" s="110" t="b">
        <v>0</v>
      </c>
      <c r="G320" s="105" t="str">
        <f>IF(F320=True, IFERROR(VLOOKUP(D320, Repository!A:B, 2, 0), ""), "")</f>
        <v/>
      </c>
      <c r="H320" s="105"/>
      <c r="I320" s="105"/>
      <c r="J320" s="105" t="str">
        <f>IF(F320=True, IFERROR(VLOOKUP(D320, Repository!A:C, 3, 0), ""), "")</f>
        <v/>
      </c>
      <c r="K320" s="105"/>
      <c r="L320" s="105" t="str">
        <f>IF(F320=True, IFERROR(VLOOKUP(D320, Repository!A:E, 5, 0), ""), "")</f>
        <v/>
      </c>
      <c r="M320" s="105"/>
      <c r="N320" s="105" t="str">
        <f>IF(F320=True, IFERROR(VLOOKUP(D320, Repository!A:G, 7, 0), ""), "")</f>
        <v/>
      </c>
      <c r="O320" s="105" t="str">
        <f>IFERROR(__xludf.DUMMYFUNCTION("ARRAY_CONSTRAIN(
  ARRAYFORMULA(
    IFERROR(
      LET(
        list, N320,
        arr, TRIM(SPLIT(list, "","")),
        names, XLOOKUP(
          arr,
          'Conformance Score'!A:A,
          'Conformance Score'!B:B,
          ""Not found""
      "&amp;"  ),
        TEXTJOIN("", "", TRUE, names)
      ),
      """"
    )
  ),
  1,
  1
)
"),"")</f>
        <v/>
      </c>
      <c r="P320" s="105" t="str">
        <f>IF(F320="Yes", IFERROR(VLOOKUP(D320, Repository!A:F, 6, 0), ""), "")</f>
        <v/>
      </c>
      <c r="Q320" s="105" t="str">
        <f>IF(F320="Yes", IFERROR(VLOOKUP(D320, Repository!A:I, 8, 0), ""), "")</f>
        <v/>
      </c>
      <c r="R320" s="105" t="str">
        <f>IF(F320="Yes", IFERROR(VLOOKUP(D320, Repository!A:J, 9, 0), ""), "")</f>
        <v/>
      </c>
      <c r="S320" s="105"/>
      <c r="T320" s="105"/>
      <c r="U320" s="105"/>
      <c r="V320" s="105"/>
      <c r="W320" s="105"/>
      <c r="X320" s="105"/>
      <c r="Y320" s="105"/>
      <c r="Z320" s="105"/>
      <c r="AA320" s="105"/>
      <c r="AB320" s="105"/>
      <c r="AC320" s="91"/>
      <c r="AD320" s="105"/>
      <c r="AE320" s="105"/>
      <c r="AF320" s="91"/>
      <c r="AG320" s="105"/>
      <c r="AH320" s="105"/>
      <c r="AI320" s="105" t="str">
        <f t="shared" si="1"/>
        <v/>
      </c>
      <c r="AJ320" s="108" t="str">
        <f t="shared" si="2"/>
        <v/>
      </c>
    </row>
    <row r="321" ht="15.75" customHeight="1">
      <c r="A321" s="104"/>
      <c r="B321" s="105" t="str">
        <f>IFERROR(__xludf.DUMMYFUNCTION("ARRAY_CONSTRAIN(
  ARRAYFORMULA(
    IF(
      'Final Report'!A321="""",
      """",
      TEXTJOIN(
        "", "" &amp; CHAR(10),
        TRUE,
        IFERROR(
          VLOOKUP(
            TRIM(
              SPLIT('Final Report'!A321, "","")
           "&amp;" ),
            'URL Details'!A:B,
            2,
            FALSE
          ),
          """"
        )
      )
    )
  ),
  1,
  1
)
"),"")</f>
        <v/>
      </c>
      <c r="C321" s="105" t="str">
        <f>IFERROR(__xludf.DUMMYFUNCTION("IFERROR(IF('Final Report'!A321="""","""", TEXTJOIN(CHAR(10), TRUE, ARRAYFORMULA( ""• ""&amp; FILTER( TRIM(FLATTEN(SPLIT( REGEXREPLACE( SUBSTITUTE(TEXTJOIN("","", TRUE, IFERROR(ARRAYFORMULA(VLOOKUP(TRIM(SPLIT('Final Report'!A321, "","")), 'URL Details'!A:D, 4,"&amp;" FALSE)),"""") ), CHAR(10), "",""), ""\s*,\s*"", "",""), "",""))), TRIM(FLATTEN(SPLIT( REGEXREPLACE( SUBSTITUTE(TEXTJOIN("","", TRUE, IFERROR(ARRAYFORMULA(VLOOKUP(TRIM(SPLIT('Final Report'!A321, "","")), 'URL Details'!A:D, 4, FALSE)),"""") ), CHAR(10), """&amp;",""), ""\s*,\s*"", "",""), "","")))&lt;&gt;"""" ) ) ) ),"""")
"),"")</f>
        <v/>
      </c>
      <c r="D321" s="105"/>
      <c r="E321" s="105"/>
      <c r="F321" s="110" t="b">
        <v>0</v>
      </c>
      <c r="G321" s="105" t="str">
        <f>IF(F321=True, IFERROR(VLOOKUP(D321, Repository!A:B, 2, 0), ""), "")</f>
        <v/>
      </c>
      <c r="H321" s="105"/>
      <c r="I321" s="105"/>
      <c r="J321" s="105" t="str">
        <f>IF(F321=True, IFERROR(VLOOKUP(D321, Repository!A:C, 3, 0), ""), "")</f>
        <v/>
      </c>
      <c r="K321" s="105"/>
      <c r="L321" s="105" t="str">
        <f>IF(F321=True, IFERROR(VLOOKUP(D321, Repository!A:E, 5, 0), ""), "")</f>
        <v/>
      </c>
      <c r="M321" s="105"/>
      <c r="N321" s="105" t="str">
        <f>IF(F321=True, IFERROR(VLOOKUP(D321, Repository!A:G, 7, 0), ""), "")</f>
        <v/>
      </c>
      <c r="O321" s="105" t="str">
        <f>IFERROR(__xludf.DUMMYFUNCTION("ARRAY_CONSTRAIN(
  ARRAYFORMULA(
    IFERROR(
      LET(
        list, N321,
        arr, TRIM(SPLIT(list, "","")),
        names, XLOOKUP(
          arr,
          'Conformance Score'!A:A,
          'Conformance Score'!B:B,
          ""Not found""
      "&amp;"  ),
        TEXTJOIN("", "", TRUE, names)
      ),
      """"
    )
  ),
  1,
  1
)
"),"")</f>
        <v/>
      </c>
      <c r="P321" s="105" t="str">
        <f>IF(F321="Yes", IFERROR(VLOOKUP(D321, Repository!A:F, 6, 0), ""), "")</f>
        <v/>
      </c>
      <c r="Q321" s="105" t="str">
        <f>IF(F321="Yes", IFERROR(VLOOKUP(D321, Repository!A:I, 8, 0), ""), "")</f>
        <v/>
      </c>
      <c r="R321" s="105" t="str">
        <f>IF(F321="Yes", IFERROR(VLOOKUP(D321, Repository!A:J, 9, 0), ""), "")</f>
        <v/>
      </c>
      <c r="S321" s="105"/>
      <c r="T321" s="105"/>
      <c r="U321" s="105"/>
      <c r="V321" s="105"/>
      <c r="W321" s="105"/>
      <c r="X321" s="105"/>
      <c r="Y321" s="105"/>
      <c r="Z321" s="105"/>
      <c r="AA321" s="105"/>
      <c r="AB321" s="105"/>
      <c r="AC321" s="91"/>
      <c r="AD321" s="105"/>
      <c r="AE321" s="105"/>
      <c r="AF321" s="91"/>
      <c r="AG321" s="105"/>
      <c r="AH321" s="105"/>
      <c r="AI321" s="105" t="str">
        <f t="shared" si="1"/>
        <v/>
      </c>
      <c r="AJ321" s="108" t="str">
        <f t="shared" si="2"/>
        <v/>
      </c>
    </row>
    <row r="322" ht="15.75" customHeight="1">
      <c r="A322" s="104"/>
      <c r="B322" s="105" t="str">
        <f>IFERROR(__xludf.DUMMYFUNCTION("ARRAY_CONSTRAIN(
  ARRAYFORMULA(
    IF(
      'Final Report'!A322="""",
      """",
      TEXTJOIN(
        "", "" &amp; CHAR(10),
        TRUE,
        IFERROR(
          VLOOKUP(
            TRIM(
              SPLIT('Final Report'!A322, "","")
           "&amp;" ),
            'URL Details'!A:B,
            2,
            FALSE
          ),
          """"
        )
      )
    )
  ),
  1,
  1
)
"),"")</f>
        <v/>
      </c>
      <c r="C322" s="105" t="str">
        <f>IFERROR(__xludf.DUMMYFUNCTION("IFERROR(IF('Final Report'!A322="""","""", TEXTJOIN(CHAR(10), TRUE, ARRAYFORMULA( ""• ""&amp; FILTER( TRIM(FLATTEN(SPLIT( REGEXREPLACE( SUBSTITUTE(TEXTJOIN("","", TRUE, IFERROR(ARRAYFORMULA(VLOOKUP(TRIM(SPLIT('Final Report'!A322, "","")), 'URL Details'!A:D, 4,"&amp;" FALSE)),"""") ), CHAR(10), "",""), ""\s*,\s*"", "",""), "",""))), TRIM(FLATTEN(SPLIT( REGEXREPLACE( SUBSTITUTE(TEXTJOIN("","", TRUE, IFERROR(ARRAYFORMULA(VLOOKUP(TRIM(SPLIT('Final Report'!A322, "","")), 'URL Details'!A:D, 4, FALSE)),"""") ), CHAR(10), """&amp;",""), ""\s*,\s*"", "",""), "","")))&lt;&gt;"""" ) ) ) ),"""")
"),"")</f>
        <v/>
      </c>
      <c r="D322" s="105"/>
      <c r="E322" s="105"/>
      <c r="F322" s="110" t="b">
        <v>0</v>
      </c>
      <c r="G322" s="105" t="str">
        <f>IF(F322=True, IFERROR(VLOOKUP(D322, Repository!A:B, 2, 0), ""), "")</f>
        <v/>
      </c>
      <c r="H322" s="105"/>
      <c r="I322" s="105"/>
      <c r="J322" s="105" t="str">
        <f>IF(F322=True, IFERROR(VLOOKUP(D322, Repository!A:C, 3, 0), ""), "")</f>
        <v/>
      </c>
      <c r="K322" s="105"/>
      <c r="L322" s="105" t="str">
        <f>IF(F322=True, IFERROR(VLOOKUP(D322, Repository!A:E, 5, 0), ""), "")</f>
        <v/>
      </c>
      <c r="M322" s="105"/>
      <c r="N322" s="105" t="str">
        <f>IF(F322=True, IFERROR(VLOOKUP(D322, Repository!A:G, 7, 0), ""), "")</f>
        <v/>
      </c>
      <c r="O322" s="105" t="str">
        <f>IFERROR(__xludf.DUMMYFUNCTION("ARRAY_CONSTRAIN(
  ARRAYFORMULA(
    IFERROR(
      LET(
        list, N322,
        arr, TRIM(SPLIT(list, "","")),
        names, XLOOKUP(
          arr,
          'Conformance Score'!A:A,
          'Conformance Score'!B:B,
          ""Not found""
      "&amp;"  ),
        TEXTJOIN("", "", TRUE, names)
      ),
      """"
    )
  ),
  1,
  1
)
"),"")</f>
        <v/>
      </c>
      <c r="P322" s="105" t="str">
        <f>IF(F322="Yes", IFERROR(VLOOKUP(D322, Repository!A:F, 6, 0), ""), "")</f>
        <v/>
      </c>
      <c r="Q322" s="105" t="str">
        <f>IF(F322="Yes", IFERROR(VLOOKUP(D322, Repository!A:I, 8, 0), ""), "")</f>
        <v/>
      </c>
      <c r="R322" s="105" t="str">
        <f>IF(F322="Yes", IFERROR(VLOOKUP(D322, Repository!A:J, 9, 0), ""), "")</f>
        <v/>
      </c>
      <c r="S322" s="105"/>
      <c r="T322" s="105"/>
      <c r="U322" s="105"/>
      <c r="V322" s="105"/>
      <c r="W322" s="105"/>
      <c r="X322" s="105"/>
      <c r="Y322" s="105"/>
      <c r="Z322" s="105"/>
      <c r="AA322" s="105"/>
      <c r="AB322" s="105"/>
      <c r="AC322" s="91"/>
      <c r="AD322" s="105"/>
      <c r="AE322" s="105"/>
      <c r="AF322" s="91"/>
      <c r="AG322" s="105"/>
      <c r="AH322" s="105"/>
      <c r="AI322" s="105" t="str">
        <f t="shared" si="1"/>
        <v/>
      </c>
      <c r="AJ322" s="108" t="str">
        <f t="shared" si="2"/>
        <v/>
      </c>
    </row>
    <row r="323" ht="15.75" customHeight="1">
      <c r="A323" s="104"/>
      <c r="B323" s="105" t="str">
        <f>IFERROR(__xludf.DUMMYFUNCTION("ARRAY_CONSTRAIN(
  ARRAYFORMULA(
    IF(
      'Final Report'!A323="""",
      """",
      TEXTJOIN(
        "", "" &amp; CHAR(10),
        TRUE,
        IFERROR(
          VLOOKUP(
            TRIM(
              SPLIT('Final Report'!A323, "","")
           "&amp;" ),
            'URL Details'!A:B,
            2,
            FALSE
          ),
          """"
        )
      )
    )
  ),
  1,
  1
)
"),"")</f>
        <v/>
      </c>
      <c r="C323" s="105" t="str">
        <f>IFERROR(__xludf.DUMMYFUNCTION("IFERROR(IF('Final Report'!A323="""","""", TEXTJOIN(CHAR(10), TRUE, ARRAYFORMULA( ""• ""&amp; FILTER( TRIM(FLATTEN(SPLIT( REGEXREPLACE( SUBSTITUTE(TEXTJOIN("","", TRUE, IFERROR(ARRAYFORMULA(VLOOKUP(TRIM(SPLIT('Final Report'!A323, "","")), 'URL Details'!A:D, 4,"&amp;" FALSE)),"""") ), CHAR(10), "",""), ""\s*,\s*"", "",""), "",""))), TRIM(FLATTEN(SPLIT( REGEXREPLACE( SUBSTITUTE(TEXTJOIN("","", TRUE, IFERROR(ARRAYFORMULA(VLOOKUP(TRIM(SPLIT('Final Report'!A323, "","")), 'URL Details'!A:D, 4, FALSE)),"""") ), CHAR(10), """&amp;",""), ""\s*,\s*"", "",""), "","")))&lt;&gt;"""" ) ) ) ),"""")
"),"")</f>
        <v/>
      </c>
      <c r="D323" s="105"/>
      <c r="E323" s="105"/>
      <c r="F323" s="110" t="b">
        <v>0</v>
      </c>
      <c r="G323" s="105" t="str">
        <f>IF(F323=True, IFERROR(VLOOKUP(D323, Repository!A:B, 2, 0), ""), "")</f>
        <v/>
      </c>
      <c r="H323" s="105"/>
      <c r="I323" s="105"/>
      <c r="J323" s="105" t="str">
        <f>IF(F323=True, IFERROR(VLOOKUP(D323, Repository!A:C, 3, 0), ""), "")</f>
        <v/>
      </c>
      <c r="K323" s="105"/>
      <c r="L323" s="105" t="str">
        <f>IF(F323=True, IFERROR(VLOOKUP(D323, Repository!A:E, 5, 0), ""), "")</f>
        <v/>
      </c>
      <c r="M323" s="105"/>
      <c r="N323" s="105" t="str">
        <f>IF(F323=True, IFERROR(VLOOKUP(D323, Repository!A:G, 7, 0), ""), "")</f>
        <v/>
      </c>
      <c r="O323" s="105" t="str">
        <f>IFERROR(__xludf.DUMMYFUNCTION("ARRAY_CONSTRAIN(
  ARRAYFORMULA(
    IFERROR(
      LET(
        list, N323,
        arr, TRIM(SPLIT(list, "","")),
        names, XLOOKUP(
          arr,
          'Conformance Score'!A:A,
          'Conformance Score'!B:B,
          ""Not found""
      "&amp;"  ),
        TEXTJOIN("", "", TRUE, names)
      ),
      """"
    )
  ),
  1,
  1
)
"),"")</f>
        <v/>
      </c>
      <c r="P323" s="105" t="str">
        <f>IF(F323="Yes", IFERROR(VLOOKUP(D323, Repository!A:F, 6, 0), ""), "")</f>
        <v/>
      </c>
      <c r="Q323" s="105" t="str">
        <f>IF(F323="Yes", IFERROR(VLOOKUP(D323, Repository!A:I, 8, 0), ""), "")</f>
        <v/>
      </c>
      <c r="R323" s="105" t="str">
        <f>IF(F323="Yes", IFERROR(VLOOKUP(D323, Repository!A:J, 9, 0), ""), "")</f>
        <v/>
      </c>
      <c r="S323" s="105"/>
      <c r="T323" s="105"/>
      <c r="U323" s="105"/>
      <c r="V323" s="105"/>
      <c r="W323" s="105"/>
      <c r="X323" s="105"/>
      <c r="Y323" s="105"/>
      <c r="Z323" s="105"/>
      <c r="AA323" s="105"/>
      <c r="AB323" s="105"/>
      <c r="AC323" s="91"/>
      <c r="AD323" s="105"/>
      <c r="AE323" s="105"/>
      <c r="AF323" s="91"/>
      <c r="AG323" s="105"/>
      <c r="AH323" s="105"/>
      <c r="AI323" s="105" t="str">
        <f t="shared" si="1"/>
        <v/>
      </c>
      <c r="AJ323" s="108" t="str">
        <f t="shared" si="2"/>
        <v/>
      </c>
    </row>
    <row r="324" ht="15.75" customHeight="1">
      <c r="A324" s="104"/>
      <c r="B324" s="105" t="str">
        <f>IFERROR(__xludf.DUMMYFUNCTION("ARRAY_CONSTRAIN(
  ARRAYFORMULA(
    IF(
      'Final Report'!A324="""",
      """",
      TEXTJOIN(
        "", "" &amp; CHAR(10),
        TRUE,
        IFERROR(
          VLOOKUP(
            TRIM(
              SPLIT('Final Report'!A324, "","")
           "&amp;" ),
            'URL Details'!A:B,
            2,
            FALSE
          ),
          """"
        )
      )
    )
  ),
  1,
  1
)
"),"")</f>
        <v/>
      </c>
      <c r="C324" s="105" t="str">
        <f>IFERROR(__xludf.DUMMYFUNCTION("IFERROR(IF('Final Report'!A324="""","""", TEXTJOIN(CHAR(10), TRUE, ARRAYFORMULA( ""• ""&amp; FILTER( TRIM(FLATTEN(SPLIT( REGEXREPLACE( SUBSTITUTE(TEXTJOIN("","", TRUE, IFERROR(ARRAYFORMULA(VLOOKUP(TRIM(SPLIT('Final Report'!A324, "","")), 'URL Details'!A:D, 4,"&amp;" FALSE)),"""") ), CHAR(10), "",""), ""\s*,\s*"", "",""), "",""))), TRIM(FLATTEN(SPLIT( REGEXREPLACE( SUBSTITUTE(TEXTJOIN("","", TRUE, IFERROR(ARRAYFORMULA(VLOOKUP(TRIM(SPLIT('Final Report'!A324, "","")), 'URL Details'!A:D, 4, FALSE)),"""") ), CHAR(10), """&amp;",""), ""\s*,\s*"", "",""), "","")))&lt;&gt;"""" ) ) ) ),"""")
"),"")</f>
        <v/>
      </c>
      <c r="D324" s="105"/>
      <c r="E324" s="105"/>
      <c r="F324" s="110" t="b">
        <v>0</v>
      </c>
      <c r="G324" s="105" t="str">
        <f>IF(F324=True, IFERROR(VLOOKUP(D324, Repository!A:B, 2, 0), ""), "")</f>
        <v/>
      </c>
      <c r="H324" s="105"/>
      <c r="I324" s="105"/>
      <c r="J324" s="105" t="str">
        <f>IF(F324=True, IFERROR(VLOOKUP(D324, Repository!A:C, 3, 0), ""), "")</f>
        <v/>
      </c>
      <c r="K324" s="105"/>
      <c r="L324" s="105" t="str">
        <f>IF(F324=True, IFERROR(VLOOKUP(D324, Repository!A:E, 5, 0), ""), "")</f>
        <v/>
      </c>
      <c r="M324" s="105"/>
      <c r="N324" s="105" t="str">
        <f>IF(F324=True, IFERROR(VLOOKUP(D324, Repository!A:G, 7, 0), ""), "")</f>
        <v/>
      </c>
      <c r="O324" s="105" t="str">
        <f>IFERROR(__xludf.DUMMYFUNCTION("ARRAY_CONSTRAIN(
  ARRAYFORMULA(
    IFERROR(
      LET(
        list, N324,
        arr, TRIM(SPLIT(list, "","")),
        names, XLOOKUP(
          arr,
          'Conformance Score'!A:A,
          'Conformance Score'!B:B,
          ""Not found""
      "&amp;"  ),
        TEXTJOIN("", "", TRUE, names)
      ),
      """"
    )
  ),
  1,
  1
)
"),"")</f>
        <v/>
      </c>
      <c r="P324" s="105" t="str">
        <f>IF(F324="Yes", IFERROR(VLOOKUP(D324, Repository!A:F, 6, 0), ""), "")</f>
        <v/>
      </c>
      <c r="Q324" s="105" t="str">
        <f>IF(F324="Yes", IFERROR(VLOOKUP(D324, Repository!A:I, 8, 0), ""), "")</f>
        <v/>
      </c>
      <c r="R324" s="105" t="str">
        <f>IF(F324="Yes", IFERROR(VLOOKUP(D324, Repository!A:J, 9, 0), ""), "")</f>
        <v/>
      </c>
      <c r="S324" s="105"/>
      <c r="T324" s="105"/>
      <c r="U324" s="105"/>
      <c r="V324" s="105"/>
      <c r="W324" s="105"/>
      <c r="X324" s="105"/>
      <c r="Y324" s="105"/>
      <c r="Z324" s="105"/>
      <c r="AA324" s="105"/>
      <c r="AB324" s="105"/>
      <c r="AC324" s="91"/>
      <c r="AD324" s="105"/>
      <c r="AE324" s="105"/>
      <c r="AF324" s="91"/>
      <c r="AG324" s="105"/>
      <c r="AH324" s="105"/>
      <c r="AI324" s="105" t="str">
        <f t="shared" si="1"/>
        <v/>
      </c>
      <c r="AJ324" s="108" t="str">
        <f t="shared" si="2"/>
        <v/>
      </c>
    </row>
    <row r="325" ht="15.75" customHeight="1">
      <c r="A325" s="104"/>
      <c r="B325" s="105" t="str">
        <f>IFERROR(__xludf.DUMMYFUNCTION("ARRAY_CONSTRAIN(
  ARRAYFORMULA(
    IF(
      'Final Report'!A325="""",
      """",
      TEXTJOIN(
        "", "" &amp; CHAR(10),
        TRUE,
        IFERROR(
          VLOOKUP(
            TRIM(
              SPLIT('Final Report'!A325, "","")
           "&amp;" ),
            'URL Details'!A:B,
            2,
            FALSE
          ),
          """"
        )
      )
    )
  ),
  1,
  1
)
"),"")</f>
        <v/>
      </c>
      <c r="C325" s="105" t="str">
        <f>IFERROR(__xludf.DUMMYFUNCTION("IFERROR(IF('Final Report'!A325="""","""", TEXTJOIN(CHAR(10), TRUE, ARRAYFORMULA( ""• ""&amp; FILTER( TRIM(FLATTEN(SPLIT( REGEXREPLACE( SUBSTITUTE(TEXTJOIN("","", TRUE, IFERROR(ARRAYFORMULA(VLOOKUP(TRIM(SPLIT('Final Report'!A325, "","")), 'URL Details'!A:D, 4,"&amp;" FALSE)),"""") ), CHAR(10), "",""), ""\s*,\s*"", "",""), "",""))), TRIM(FLATTEN(SPLIT( REGEXREPLACE( SUBSTITUTE(TEXTJOIN("","", TRUE, IFERROR(ARRAYFORMULA(VLOOKUP(TRIM(SPLIT('Final Report'!A325, "","")), 'URL Details'!A:D, 4, FALSE)),"""") ), CHAR(10), """&amp;",""), ""\s*,\s*"", "",""), "","")))&lt;&gt;"""" ) ) ) ),"""")
"),"")</f>
        <v/>
      </c>
      <c r="D325" s="105"/>
      <c r="E325" s="105"/>
      <c r="F325" s="110" t="b">
        <v>0</v>
      </c>
      <c r="G325" s="105" t="str">
        <f>IF(F325=True, IFERROR(VLOOKUP(D325, Repository!A:B, 2, 0), ""), "")</f>
        <v/>
      </c>
      <c r="H325" s="105"/>
      <c r="I325" s="105"/>
      <c r="J325" s="105" t="str">
        <f>IF(F325=True, IFERROR(VLOOKUP(D325, Repository!A:C, 3, 0), ""), "")</f>
        <v/>
      </c>
      <c r="K325" s="105"/>
      <c r="L325" s="105" t="str">
        <f>IF(F325=True, IFERROR(VLOOKUP(D325, Repository!A:E, 5, 0), ""), "")</f>
        <v/>
      </c>
      <c r="M325" s="105"/>
      <c r="N325" s="105" t="str">
        <f>IF(F325=True, IFERROR(VLOOKUP(D325, Repository!A:G, 7, 0), ""), "")</f>
        <v/>
      </c>
      <c r="O325" s="105" t="str">
        <f>IFERROR(__xludf.DUMMYFUNCTION("ARRAY_CONSTRAIN(
  ARRAYFORMULA(
    IFERROR(
      LET(
        list, N325,
        arr, TRIM(SPLIT(list, "","")),
        names, XLOOKUP(
          arr,
          'Conformance Score'!A:A,
          'Conformance Score'!B:B,
          ""Not found""
      "&amp;"  ),
        TEXTJOIN("", "", TRUE, names)
      ),
      """"
    )
  ),
  1,
  1
)
"),"")</f>
        <v/>
      </c>
      <c r="P325" s="105" t="str">
        <f>IF(F325="Yes", IFERROR(VLOOKUP(D325, Repository!A:F, 6, 0), ""), "")</f>
        <v/>
      </c>
      <c r="Q325" s="105" t="str">
        <f>IF(F325="Yes", IFERROR(VLOOKUP(D325, Repository!A:I, 8, 0), ""), "")</f>
        <v/>
      </c>
      <c r="R325" s="105" t="str">
        <f>IF(F325="Yes", IFERROR(VLOOKUP(D325, Repository!A:J, 9, 0), ""), "")</f>
        <v/>
      </c>
      <c r="S325" s="105"/>
      <c r="T325" s="105"/>
      <c r="U325" s="105"/>
      <c r="V325" s="105"/>
      <c r="W325" s="105"/>
      <c r="X325" s="105"/>
      <c r="Y325" s="105"/>
      <c r="Z325" s="105"/>
      <c r="AA325" s="105"/>
      <c r="AB325" s="105"/>
      <c r="AC325" s="91"/>
      <c r="AD325" s="105"/>
      <c r="AE325" s="105"/>
      <c r="AF325" s="91"/>
      <c r="AG325" s="105"/>
      <c r="AH325" s="105"/>
      <c r="AI325" s="105" t="str">
        <f t="shared" si="1"/>
        <v/>
      </c>
      <c r="AJ325" s="108" t="str">
        <f t="shared" si="2"/>
        <v/>
      </c>
    </row>
    <row r="326" ht="15.75" customHeight="1">
      <c r="A326" s="104"/>
      <c r="B326" s="105" t="str">
        <f>IFERROR(__xludf.DUMMYFUNCTION("ARRAY_CONSTRAIN(
  ARRAYFORMULA(
    IF(
      'Final Report'!A326="""",
      """",
      TEXTJOIN(
        "", "" &amp; CHAR(10),
        TRUE,
        IFERROR(
          VLOOKUP(
            TRIM(
              SPLIT('Final Report'!A326, "","")
           "&amp;" ),
            'URL Details'!A:B,
            2,
            FALSE
          ),
          """"
        )
      )
    )
  ),
  1,
  1
)
"),"")</f>
        <v/>
      </c>
      <c r="C326" s="105" t="str">
        <f>IFERROR(__xludf.DUMMYFUNCTION("IFERROR(IF('Final Report'!A326="""","""", TEXTJOIN(CHAR(10), TRUE, ARRAYFORMULA( ""• ""&amp; FILTER( TRIM(FLATTEN(SPLIT( REGEXREPLACE( SUBSTITUTE(TEXTJOIN("","", TRUE, IFERROR(ARRAYFORMULA(VLOOKUP(TRIM(SPLIT('Final Report'!A326, "","")), 'URL Details'!A:D, 4,"&amp;" FALSE)),"""") ), CHAR(10), "",""), ""\s*,\s*"", "",""), "",""))), TRIM(FLATTEN(SPLIT( REGEXREPLACE( SUBSTITUTE(TEXTJOIN("","", TRUE, IFERROR(ARRAYFORMULA(VLOOKUP(TRIM(SPLIT('Final Report'!A326, "","")), 'URL Details'!A:D, 4, FALSE)),"""") ), CHAR(10), """&amp;",""), ""\s*,\s*"", "",""), "","")))&lt;&gt;"""" ) ) ) ),"""")
"),"")</f>
        <v/>
      </c>
      <c r="D326" s="105"/>
      <c r="E326" s="105"/>
      <c r="F326" s="110" t="b">
        <v>0</v>
      </c>
      <c r="G326" s="105" t="str">
        <f>IF(F326=True, IFERROR(VLOOKUP(D326, Repository!A:B, 2, 0), ""), "")</f>
        <v/>
      </c>
      <c r="H326" s="105"/>
      <c r="I326" s="105"/>
      <c r="J326" s="105" t="str">
        <f>IF(F326=True, IFERROR(VLOOKUP(D326, Repository!A:C, 3, 0), ""), "")</f>
        <v/>
      </c>
      <c r="K326" s="105"/>
      <c r="L326" s="105" t="str">
        <f>IF(F326=True, IFERROR(VLOOKUP(D326, Repository!A:E, 5, 0), ""), "")</f>
        <v/>
      </c>
      <c r="M326" s="105"/>
      <c r="N326" s="105" t="str">
        <f>IF(F326=True, IFERROR(VLOOKUP(D326, Repository!A:G, 7, 0), ""), "")</f>
        <v/>
      </c>
      <c r="O326" s="105" t="str">
        <f>IFERROR(__xludf.DUMMYFUNCTION("ARRAY_CONSTRAIN(
  ARRAYFORMULA(
    IFERROR(
      LET(
        list, N326,
        arr, TRIM(SPLIT(list, "","")),
        names, XLOOKUP(
          arr,
          'Conformance Score'!A:A,
          'Conformance Score'!B:B,
          ""Not found""
      "&amp;"  ),
        TEXTJOIN("", "", TRUE, names)
      ),
      """"
    )
  ),
  1,
  1
)
"),"")</f>
        <v/>
      </c>
      <c r="P326" s="105" t="str">
        <f>IF(F326="Yes", IFERROR(VLOOKUP(D326, Repository!A:F, 6, 0), ""), "")</f>
        <v/>
      </c>
      <c r="Q326" s="105" t="str">
        <f>IF(F326="Yes", IFERROR(VLOOKUP(D326, Repository!A:I, 8, 0), ""), "")</f>
        <v/>
      </c>
      <c r="R326" s="105" t="str">
        <f>IF(F326="Yes", IFERROR(VLOOKUP(D326, Repository!A:J, 9, 0), ""), "")</f>
        <v/>
      </c>
      <c r="S326" s="105"/>
      <c r="T326" s="105"/>
      <c r="U326" s="105"/>
      <c r="V326" s="105"/>
      <c r="W326" s="105"/>
      <c r="X326" s="105"/>
      <c r="Y326" s="105"/>
      <c r="Z326" s="105"/>
      <c r="AA326" s="105"/>
      <c r="AB326" s="105"/>
      <c r="AC326" s="91"/>
      <c r="AD326" s="105"/>
      <c r="AE326" s="105"/>
      <c r="AF326" s="91"/>
      <c r="AG326" s="105"/>
      <c r="AH326" s="105"/>
      <c r="AI326" s="105" t="str">
        <f t="shared" si="1"/>
        <v/>
      </c>
      <c r="AJ326" s="108" t="str">
        <f t="shared" si="2"/>
        <v/>
      </c>
    </row>
    <row r="327" ht="15.75" customHeight="1">
      <c r="A327" s="104"/>
      <c r="B327" s="105" t="str">
        <f>IFERROR(__xludf.DUMMYFUNCTION("ARRAY_CONSTRAIN(
  ARRAYFORMULA(
    IF(
      'Final Report'!A327="""",
      """",
      TEXTJOIN(
        "", "" &amp; CHAR(10),
        TRUE,
        IFERROR(
          VLOOKUP(
            TRIM(
              SPLIT('Final Report'!A327, "","")
           "&amp;" ),
            'URL Details'!A:B,
            2,
            FALSE
          ),
          """"
        )
      )
    )
  ),
  1,
  1
)
"),"")</f>
        <v/>
      </c>
      <c r="C327" s="105" t="str">
        <f>IFERROR(__xludf.DUMMYFUNCTION("IFERROR(IF('Final Report'!A327="""","""", TEXTJOIN(CHAR(10), TRUE, ARRAYFORMULA( ""• ""&amp; FILTER( TRIM(FLATTEN(SPLIT( REGEXREPLACE( SUBSTITUTE(TEXTJOIN("","", TRUE, IFERROR(ARRAYFORMULA(VLOOKUP(TRIM(SPLIT('Final Report'!A327, "","")), 'URL Details'!A:D, 4,"&amp;" FALSE)),"""") ), CHAR(10), "",""), ""\s*,\s*"", "",""), "",""))), TRIM(FLATTEN(SPLIT( REGEXREPLACE( SUBSTITUTE(TEXTJOIN("","", TRUE, IFERROR(ARRAYFORMULA(VLOOKUP(TRIM(SPLIT('Final Report'!A327, "","")), 'URL Details'!A:D, 4, FALSE)),"""") ), CHAR(10), """&amp;",""), ""\s*,\s*"", "",""), "","")))&lt;&gt;"""" ) ) ) ),"""")
"),"")</f>
        <v/>
      </c>
      <c r="D327" s="105"/>
      <c r="E327" s="105"/>
      <c r="F327" s="110" t="b">
        <v>0</v>
      </c>
      <c r="G327" s="105" t="str">
        <f>IF(F327=True, IFERROR(VLOOKUP(D327, Repository!A:B, 2, 0), ""), "")</f>
        <v/>
      </c>
      <c r="H327" s="105"/>
      <c r="I327" s="105"/>
      <c r="J327" s="105" t="str">
        <f>IF(F327=True, IFERROR(VLOOKUP(D327, Repository!A:C, 3, 0), ""), "")</f>
        <v/>
      </c>
      <c r="K327" s="105"/>
      <c r="L327" s="105" t="str">
        <f>IF(F327=True, IFERROR(VLOOKUP(D327, Repository!A:E, 5, 0), ""), "")</f>
        <v/>
      </c>
      <c r="M327" s="105"/>
      <c r="N327" s="105" t="str">
        <f>IF(F327=True, IFERROR(VLOOKUP(D327, Repository!A:G, 7, 0), ""), "")</f>
        <v/>
      </c>
      <c r="O327" s="105" t="str">
        <f>IFERROR(__xludf.DUMMYFUNCTION("ARRAY_CONSTRAIN(
  ARRAYFORMULA(
    IFERROR(
      LET(
        list, N327,
        arr, TRIM(SPLIT(list, "","")),
        names, XLOOKUP(
          arr,
          'Conformance Score'!A:A,
          'Conformance Score'!B:B,
          ""Not found""
      "&amp;"  ),
        TEXTJOIN("", "", TRUE, names)
      ),
      """"
    )
  ),
  1,
  1
)
"),"")</f>
        <v/>
      </c>
      <c r="P327" s="105" t="str">
        <f>IF(F327="Yes", IFERROR(VLOOKUP(D327, Repository!A:F, 6, 0), ""), "")</f>
        <v/>
      </c>
      <c r="Q327" s="105" t="str">
        <f>IF(F327="Yes", IFERROR(VLOOKUP(D327, Repository!A:I, 8, 0), ""), "")</f>
        <v/>
      </c>
      <c r="R327" s="105" t="str">
        <f>IF(F327="Yes", IFERROR(VLOOKUP(D327, Repository!A:J, 9, 0), ""), "")</f>
        <v/>
      </c>
      <c r="S327" s="105"/>
      <c r="T327" s="105"/>
      <c r="U327" s="105"/>
      <c r="V327" s="105"/>
      <c r="W327" s="105"/>
      <c r="X327" s="105"/>
      <c r="Y327" s="105"/>
      <c r="Z327" s="105"/>
      <c r="AA327" s="105"/>
      <c r="AB327" s="105"/>
      <c r="AC327" s="91"/>
      <c r="AD327" s="105"/>
      <c r="AE327" s="105"/>
      <c r="AF327" s="91"/>
      <c r="AG327" s="105"/>
      <c r="AH327" s="105"/>
      <c r="AI327" s="105" t="str">
        <f t="shared" si="1"/>
        <v/>
      </c>
      <c r="AJ327" s="108" t="str">
        <f t="shared" si="2"/>
        <v/>
      </c>
    </row>
    <row r="328" ht="15.75" customHeight="1">
      <c r="A328" s="104"/>
      <c r="B328" s="105" t="str">
        <f>IFERROR(__xludf.DUMMYFUNCTION("ARRAY_CONSTRAIN(
  ARRAYFORMULA(
    IF(
      'Final Report'!A328="""",
      """",
      TEXTJOIN(
        "", "" &amp; CHAR(10),
        TRUE,
        IFERROR(
          VLOOKUP(
            TRIM(
              SPLIT('Final Report'!A328, "","")
           "&amp;" ),
            'URL Details'!A:B,
            2,
            FALSE
          ),
          """"
        )
      )
    )
  ),
  1,
  1
)
"),"")</f>
        <v/>
      </c>
      <c r="C328" s="105" t="str">
        <f>IFERROR(__xludf.DUMMYFUNCTION("IFERROR(IF('Final Report'!A328="""","""", TEXTJOIN(CHAR(10), TRUE, ARRAYFORMULA( ""• ""&amp; FILTER( TRIM(FLATTEN(SPLIT( REGEXREPLACE( SUBSTITUTE(TEXTJOIN("","", TRUE, IFERROR(ARRAYFORMULA(VLOOKUP(TRIM(SPLIT('Final Report'!A328, "","")), 'URL Details'!A:D, 4,"&amp;" FALSE)),"""") ), CHAR(10), "",""), ""\s*,\s*"", "",""), "",""))), TRIM(FLATTEN(SPLIT( REGEXREPLACE( SUBSTITUTE(TEXTJOIN("","", TRUE, IFERROR(ARRAYFORMULA(VLOOKUP(TRIM(SPLIT('Final Report'!A328, "","")), 'URL Details'!A:D, 4, FALSE)),"""") ), CHAR(10), """&amp;",""), ""\s*,\s*"", "",""), "","")))&lt;&gt;"""" ) ) ) ),"""")
"),"")</f>
        <v/>
      </c>
      <c r="D328" s="105"/>
      <c r="E328" s="105"/>
      <c r="F328" s="110" t="b">
        <v>0</v>
      </c>
      <c r="G328" s="105" t="str">
        <f>IF(F328=True, IFERROR(VLOOKUP(D328, Repository!A:B, 2, 0), ""), "")</f>
        <v/>
      </c>
      <c r="H328" s="105"/>
      <c r="I328" s="105"/>
      <c r="J328" s="105" t="str">
        <f>IF(F328=True, IFERROR(VLOOKUP(D328, Repository!A:C, 3, 0), ""), "")</f>
        <v/>
      </c>
      <c r="K328" s="105"/>
      <c r="L328" s="105" t="str">
        <f>IF(F328=True, IFERROR(VLOOKUP(D328, Repository!A:E, 5, 0), ""), "")</f>
        <v/>
      </c>
      <c r="M328" s="105"/>
      <c r="N328" s="105" t="str">
        <f>IF(F328=True, IFERROR(VLOOKUP(D328, Repository!A:G, 7, 0), ""), "")</f>
        <v/>
      </c>
      <c r="O328" s="105" t="str">
        <f>IFERROR(__xludf.DUMMYFUNCTION("ARRAY_CONSTRAIN(
  ARRAYFORMULA(
    IFERROR(
      LET(
        list, N328,
        arr, TRIM(SPLIT(list, "","")),
        names, XLOOKUP(
          arr,
          'Conformance Score'!A:A,
          'Conformance Score'!B:B,
          ""Not found""
      "&amp;"  ),
        TEXTJOIN("", "", TRUE, names)
      ),
      """"
    )
  ),
  1,
  1
)
"),"")</f>
        <v/>
      </c>
      <c r="P328" s="105" t="str">
        <f>IF(F328="Yes", IFERROR(VLOOKUP(D328, Repository!A:F, 6, 0), ""), "")</f>
        <v/>
      </c>
      <c r="Q328" s="105" t="str">
        <f>IF(F328="Yes", IFERROR(VLOOKUP(D328, Repository!A:I, 8, 0), ""), "")</f>
        <v/>
      </c>
      <c r="R328" s="105" t="str">
        <f>IF(F328="Yes", IFERROR(VLOOKUP(D328, Repository!A:J, 9, 0), ""), "")</f>
        <v/>
      </c>
      <c r="S328" s="105"/>
      <c r="T328" s="105"/>
      <c r="U328" s="105"/>
      <c r="V328" s="105"/>
      <c r="W328" s="105"/>
      <c r="X328" s="105"/>
      <c r="Y328" s="105"/>
      <c r="Z328" s="105"/>
      <c r="AA328" s="105"/>
      <c r="AB328" s="105"/>
      <c r="AC328" s="91"/>
      <c r="AD328" s="105"/>
      <c r="AE328" s="105"/>
      <c r="AF328" s="91"/>
      <c r="AG328" s="105"/>
      <c r="AH328" s="105"/>
      <c r="AI328" s="105" t="str">
        <f t="shared" si="1"/>
        <v/>
      </c>
      <c r="AJ328" s="108" t="str">
        <f t="shared" si="2"/>
        <v/>
      </c>
    </row>
    <row r="329" ht="15.75" customHeight="1">
      <c r="A329" s="104"/>
      <c r="B329" s="105" t="str">
        <f>IFERROR(__xludf.DUMMYFUNCTION("ARRAY_CONSTRAIN(
  ARRAYFORMULA(
    IF(
      'Final Report'!A329="""",
      """",
      TEXTJOIN(
        "", "" &amp; CHAR(10),
        TRUE,
        IFERROR(
          VLOOKUP(
            TRIM(
              SPLIT('Final Report'!A329, "","")
           "&amp;" ),
            'URL Details'!A:B,
            2,
            FALSE
          ),
          """"
        )
      )
    )
  ),
  1,
  1
)
"),"")</f>
        <v/>
      </c>
      <c r="C329" s="105" t="str">
        <f>IFERROR(__xludf.DUMMYFUNCTION("IFERROR(IF('Final Report'!A329="""","""", TEXTJOIN(CHAR(10), TRUE, ARRAYFORMULA( ""• ""&amp; FILTER( TRIM(FLATTEN(SPLIT( REGEXREPLACE( SUBSTITUTE(TEXTJOIN("","", TRUE, IFERROR(ARRAYFORMULA(VLOOKUP(TRIM(SPLIT('Final Report'!A329, "","")), 'URL Details'!A:D, 4,"&amp;" FALSE)),"""") ), CHAR(10), "",""), ""\s*,\s*"", "",""), "",""))), TRIM(FLATTEN(SPLIT( REGEXREPLACE( SUBSTITUTE(TEXTJOIN("","", TRUE, IFERROR(ARRAYFORMULA(VLOOKUP(TRIM(SPLIT('Final Report'!A329, "","")), 'URL Details'!A:D, 4, FALSE)),"""") ), CHAR(10), """&amp;",""), ""\s*,\s*"", "",""), "","")))&lt;&gt;"""" ) ) ) ),"""")
"),"")</f>
        <v/>
      </c>
      <c r="D329" s="105"/>
      <c r="E329" s="105"/>
      <c r="F329" s="110" t="b">
        <v>0</v>
      </c>
      <c r="G329" s="105" t="str">
        <f>IF(F329=True, IFERROR(VLOOKUP(D329, Repository!A:B, 2, 0), ""), "")</f>
        <v/>
      </c>
      <c r="H329" s="105"/>
      <c r="I329" s="105"/>
      <c r="J329" s="105" t="str">
        <f>IF(F329=True, IFERROR(VLOOKUP(D329, Repository!A:C, 3, 0), ""), "")</f>
        <v/>
      </c>
      <c r="K329" s="105"/>
      <c r="L329" s="105" t="str">
        <f>IF(F329=True, IFERROR(VLOOKUP(D329, Repository!A:E, 5, 0), ""), "")</f>
        <v/>
      </c>
      <c r="M329" s="105"/>
      <c r="N329" s="105" t="str">
        <f>IF(F329=True, IFERROR(VLOOKUP(D329, Repository!A:G, 7, 0), ""), "")</f>
        <v/>
      </c>
      <c r="O329" s="105" t="str">
        <f>IFERROR(__xludf.DUMMYFUNCTION("ARRAY_CONSTRAIN(
  ARRAYFORMULA(
    IFERROR(
      LET(
        list, N329,
        arr, TRIM(SPLIT(list, "","")),
        names, XLOOKUP(
          arr,
          'Conformance Score'!A:A,
          'Conformance Score'!B:B,
          ""Not found""
      "&amp;"  ),
        TEXTJOIN("", "", TRUE, names)
      ),
      """"
    )
  ),
  1,
  1
)
"),"")</f>
        <v/>
      </c>
      <c r="P329" s="105" t="str">
        <f>IF(F329="Yes", IFERROR(VLOOKUP(D329, Repository!A:F, 6, 0), ""), "")</f>
        <v/>
      </c>
      <c r="Q329" s="105" t="str">
        <f>IF(F329="Yes", IFERROR(VLOOKUP(D329, Repository!A:I, 8, 0), ""), "")</f>
        <v/>
      </c>
      <c r="R329" s="105" t="str">
        <f>IF(F329="Yes", IFERROR(VLOOKUP(D329, Repository!A:J, 9, 0), ""), "")</f>
        <v/>
      </c>
      <c r="S329" s="105"/>
      <c r="T329" s="105"/>
      <c r="U329" s="105"/>
      <c r="V329" s="105"/>
      <c r="W329" s="105"/>
      <c r="X329" s="105"/>
      <c r="Y329" s="105"/>
      <c r="Z329" s="105"/>
      <c r="AA329" s="105"/>
      <c r="AB329" s="105"/>
      <c r="AC329" s="91"/>
      <c r="AD329" s="105"/>
      <c r="AE329" s="105"/>
      <c r="AF329" s="91"/>
      <c r="AG329" s="105"/>
      <c r="AH329" s="105"/>
      <c r="AI329" s="105" t="str">
        <f t="shared" si="1"/>
        <v/>
      </c>
      <c r="AJ329" s="108" t="str">
        <f t="shared" si="2"/>
        <v/>
      </c>
    </row>
    <row r="330" ht="15.75" customHeight="1">
      <c r="A330" s="104"/>
      <c r="B330" s="105" t="str">
        <f>IFERROR(__xludf.DUMMYFUNCTION("ARRAY_CONSTRAIN(
  ARRAYFORMULA(
    IF(
      'Final Report'!A330="""",
      """",
      TEXTJOIN(
        "", "" &amp; CHAR(10),
        TRUE,
        IFERROR(
          VLOOKUP(
            TRIM(
              SPLIT('Final Report'!A330, "","")
           "&amp;" ),
            'URL Details'!A:B,
            2,
            FALSE
          ),
          """"
        )
      )
    )
  ),
  1,
  1
)
"),"")</f>
        <v/>
      </c>
      <c r="C330" s="105" t="str">
        <f>IFERROR(__xludf.DUMMYFUNCTION("IFERROR(IF('Final Report'!A330="""","""", TEXTJOIN(CHAR(10), TRUE, ARRAYFORMULA( ""• ""&amp; FILTER( TRIM(FLATTEN(SPLIT( REGEXREPLACE( SUBSTITUTE(TEXTJOIN("","", TRUE, IFERROR(ARRAYFORMULA(VLOOKUP(TRIM(SPLIT('Final Report'!A330, "","")), 'URL Details'!A:D, 4,"&amp;" FALSE)),"""") ), CHAR(10), "",""), ""\s*,\s*"", "",""), "",""))), TRIM(FLATTEN(SPLIT( REGEXREPLACE( SUBSTITUTE(TEXTJOIN("","", TRUE, IFERROR(ARRAYFORMULA(VLOOKUP(TRIM(SPLIT('Final Report'!A330, "","")), 'URL Details'!A:D, 4, FALSE)),"""") ), CHAR(10), """&amp;",""), ""\s*,\s*"", "",""), "","")))&lt;&gt;"""" ) ) ) ),"""")
"),"")</f>
        <v/>
      </c>
      <c r="D330" s="105"/>
      <c r="E330" s="105"/>
      <c r="F330" s="110" t="b">
        <v>0</v>
      </c>
      <c r="G330" s="105" t="str">
        <f>IF(F330=True, IFERROR(VLOOKUP(D330, Repository!A:B, 2, 0), ""), "")</f>
        <v/>
      </c>
      <c r="H330" s="105"/>
      <c r="I330" s="105"/>
      <c r="J330" s="105" t="str">
        <f>IF(F330=True, IFERROR(VLOOKUP(D330, Repository!A:C, 3, 0), ""), "")</f>
        <v/>
      </c>
      <c r="K330" s="105"/>
      <c r="L330" s="105" t="str">
        <f>IF(F330=True, IFERROR(VLOOKUP(D330, Repository!A:E, 5, 0), ""), "")</f>
        <v/>
      </c>
      <c r="M330" s="105"/>
      <c r="N330" s="105" t="str">
        <f>IF(F330=True, IFERROR(VLOOKUP(D330, Repository!A:G, 7, 0), ""), "")</f>
        <v/>
      </c>
      <c r="O330" s="105" t="str">
        <f>IFERROR(__xludf.DUMMYFUNCTION("ARRAY_CONSTRAIN(
  ARRAYFORMULA(
    IFERROR(
      LET(
        list, N330,
        arr, TRIM(SPLIT(list, "","")),
        names, XLOOKUP(
          arr,
          'Conformance Score'!A:A,
          'Conformance Score'!B:B,
          ""Not found""
      "&amp;"  ),
        TEXTJOIN("", "", TRUE, names)
      ),
      """"
    )
  ),
  1,
  1
)
"),"")</f>
        <v/>
      </c>
      <c r="P330" s="105" t="str">
        <f>IF(F330="Yes", IFERROR(VLOOKUP(D330, Repository!A:F, 6, 0), ""), "")</f>
        <v/>
      </c>
      <c r="Q330" s="105" t="str">
        <f>IF(F330="Yes", IFERROR(VLOOKUP(D330, Repository!A:I, 8, 0), ""), "")</f>
        <v/>
      </c>
      <c r="R330" s="105" t="str">
        <f>IF(F330="Yes", IFERROR(VLOOKUP(D330, Repository!A:J, 9, 0), ""), "")</f>
        <v/>
      </c>
      <c r="S330" s="105"/>
      <c r="T330" s="105"/>
      <c r="U330" s="105"/>
      <c r="V330" s="105"/>
      <c r="W330" s="105"/>
      <c r="X330" s="105"/>
      <c r="Y330" s="105"/>
      <c r="Z330" s="105"/>
      <c r="AA330" s="105"/>
      <c r="AB330" s="105"/>
      <c r="AC330" s="91"/>
      <c r="AD330" s="105"/>
      <c r="AE330" s="105"/>
      <c r="AF330" s="91"/>
      <c r="AG330" s="105"/>
      <c r="AH330" s="105"/>
      <c r="AI330" s="105" t="str">
        <f t="shared" si="1"/>
        <v/>
      </c>
      <c r="AJ330" s="108" t="str">
        <f t="shared" si="2"/>
        <v/>
      </c>
    </row>
    <row r="331" ht="15.75" customHeight="1">
      <c r="A331" s="104"/>
      <c r="B331" s="105" t="str">
        <f>IFERROR(__xludf.DUMMYFUNCTION("ARRAY_CONSTRAIN(
  ARRAYFORMULA(
    IF(
      'Final Report'!A331="""",
      """",
      TEXTJOIN(
        "", "" &amp; CHAR(10),
        TRUE,
        IFERROR(
          VLOOKUP(
            TRIM(
              SPLIT('Final Report'!A331, "","")
           "&amp;" ),
            'URL Details'!A:B,
            2,
            FALSE
          ),
          """"
        )
      )
    )
  ),
  1,
  1
)
"),"")</f>
        <v/>
      </c>
      <c r="C331" s="105" t="str">
        <f>IFERROR(__xludf.DUMMYFUNCTION("IFERROR(IF('Final Report'!A331="""","""", TEXTJOIN(CHAR(10), TRUE, ARRAYFORMULA( ""• ""&amp; FILTER( TRIM(FLATTEN(SPLIT( REGEXREPLACE( SUBSTITUTE(TEXTJOIN("","", TRUE, IFERROR(ARRAYFORMULA(VLOOKUP(TRIM(SPLIT('Final Report'!A331, "","")), 'URL Details'!A:D, 4,"&amp;" FALSE)),"""") ), CHAR(10), "",""), ""\s*,\s*"", "",""), "",""))), TRIM(FLATTEN(SPLIT( REGEXREPLACE( SUBSTITUTE(TEXTJOIN("","", TRUE, IFERROR(ARRAYFORMULA(VLOOKUP(TRIM(SPLIT('Final Report'!A331, "","")), 'URL Details'!A:D, 4, FALSE)),"""") ), CHAR(10), """&amp;",""), ""\s*,\s*"", "",""), "","")))&lt;&gt;"""" ) ) ) ),"""")
"),"")</f>
        <v/>
      </c>
      <c r="D331" s="105"/>
      <c r="E331" s="105"/>
      <c r="F331" s="110" t="b">
        <v>0</v>
      </c>
      <c r="G331" s="105" t="str">
        <f>IF(F331=True, IFERROR(VLOOKUP(D331, Repository!A:B, 2, 0), ""), "")</f>
        <v/>
      </c>
      <c r="H331" s="105"/>
      <c r="I331" s="105"/>
      <c r="J331" s="105" t="str">
        <f>IF(F331=True, IFERROR(VLOOKUP(D331, Repository!A:C, 3, 0), ""), "")</f>
        <v/>
      </c>
      <c r="K331" s="105"/>
      <c r="L331" s="105" t="str">
        <f>IF(F331=True, IFERROR(VLOOKUP(D331, Repository!A:E, 5, 0), ""), "")</f>
        <v/>
      </c>
      <c r="M331" s="105"/>
      <c r="N331" s="105" t="str">
        <f>IF(F331=True, IFERROR(VLOOKUP(D331, Repository!A:G, 7, 0), ""), "")</f>
        <v/>
      </c>
      <c r="O331" s="105" t="str">
        <f>IFERROR(__xludf.DUMMYFUNCTION("ARRAY_CONSTRAIN(
  ARRAYFORMULA(
    IFERROR(
      LET(
        list, N331,
        arr, TRIM(SPLIT(list, "","")),
        names, XLOOKUP(
          arr,
          'Conformance Score'!A:A,
          'Conformance Score'!B:B,
          ""Not found""
      "&amp;"  ),
        TEXTJOIN("", "", TRUE, names)
      ),
      """"
    )
  ),
  1,
  1
)
"),"")</f>
        <v/>
      </c>
      <c r="P331" s="105" t="str">
        <f>IF(F331="Yes", IFERROR(VLOOKUP(D331, Repository!A:F, 6, 0), ""), "")</f>
        <v/>
      </c>
      <c r="Q331" s="105" t="str">
        <f>IF(F331="Yes", IFERROR(VLOOKUP(D331, Repository!A:I, 8, 0), ""), "")</f>
        <v/>
      </c>
      <c r="R331" s="105" t="str">
        <f>IF(F331="Yes", IFERROR(VLOOKUP(D331, Repository!A:J, 9, 0), ""), "")</f>
        <v/>
      </c>
      <c r="S331" s="105"/>
      <c r="T331" s="105"/>
      <c r="U331" s="105"/>
      <c r="V331" s="105"/>
      <c r="W331" s="105"/>
      <c r="X331" s="105"/>
      <c r="Y331" s="105"/>
      <c r="Z331" s="105"/>
      <c r="AA331" s="105"/>
      <c r="AB331" s="105"/>
      <c r="AC331" s="91"/>
      <c r="AD331" s="105"/>
      <c r="AE331" s="105"/>
      <c r="AF331" s="91"/>
      <c r="AG331" s="105"/>
      <c r="AH331" s="105"/>
      <c r="AI331" s="105" t="str">
        <f t="shared" si="1"/>
        <v/>
      </c>
      <c r="AJ331" s="108" t="str">
        <f t="shared" si="2"/>
        <v/>
      </c>
    </row>
    <row r="332" ht="15.75" customHeight="1">
      <c r="A332" s="104"/>
      <c r="B332" s="105" t="str">
        <f>IFERROR(__xludf.DUMMYFUNCTION("ARRAY_CONSTRAIN(
  ARRAYFORMULA(
    IF(
      'Final Report'!A332="""",
      """",
      TEXTJOIN(
        "", "" &amp; CHAR(10),
        TRUE,
        IFERROR(
          VLOOKUP(
            TRIM(
              SPLIT('Final Report'!A332, "","")
           "&amp;" ),
            'URL Details'!A:B,
            2,
            FALSE
          ),
          """"
        )
      )
    )
  ),
  1,
  1
)
"),"")</f>
        <v/>
      </c>
      <c r="C332" s="105" t="str">
        <f>IFERROR(__xludf.DUMMYFUNCTION("IFERROR(IF('Final Report'!A332="""","""", TEXTJOIN(CHAR(10), TRUE, ARRAYFORMULA( ""• ""&amp; FILTER( TRIM(FLATTEN(SPLIT( REGEXREPLACE( SUBSTITUTE(TEXTJOIN("","", TRUE, IFERROR(ARRAYFORMULA(VLOOKUP(TRIM(SPLIT('Final Report'!A332, "","")), 'URL Details'!A:D, 4,"&amp;" FALSE)),"""") ), CHAR(10), "",""), ""\s*,\s*"", "",""), "",""))), TRIM(FLATTEN(SPLIT( REGEXREPLACE( SUBSTITUTE(TEXTJOIN("","", TRUE, IFERROR(ARRAYFORMULA(VLOOKUP(TRIM(SPLIT('Final Report'!A332, "","")), 'URL Details'!A:D, 4, FALSE)),"""") ), CHAR(10), """&amp;",""), ""\s*,\s*"", "",""), "","")))&lt;&gt;"""" ) ) ) ),"""")
"),"")</f>
        <v/>
      </c>
      <c r="D332" s="105"/>
      <c r="E332" s="105"/>
      <c r="F332" s="110" t="b">
        <v>0</v>
      </c>
      <c r="G332" s="105" t="str">
        <f>IF(F332=True, IFERROR(VLOOKUP(D332, Repository!A:B, 2, 0), ""), "")</f>
        <v/>
      </c>
      <c r="H332" s="105"/>
      <c r="I332" s="105"/>
      <c r="J332" s="105" t="str">
        <f>IF(F332=True, IFERROR(VLOOKUP(D332, Repository!A:C, 3, 0), ""), "")</f>
        <v/>
      </c>
      <c r="K332" s="105"/>
      <c r="L332" s="105" t="str">
        <f>IF(F332=True, IFERROR(VLOOKUP(D332, Repository!A:E, 5, 0), ""), "")</f>
        <v/>
      </c>
      <c r="M332" s="105"/>
      <c r="N332" s="105" t="str">
        <f>IF(F332=True, IFERROR(VLOOKUP(D332, Repository!A:G, 7, 0), ""), "")</f>
        <v/>
      </c>
      <c r="O332" s="105" t="str">
        <f>IFERROR(__xludf.DUMMYFUNCTION("ARRAY_CONSTRAIN(
  ARRAYFORMULA(
    IFERROR(
      LET(
        list, N332,
        arr, TRIM(SPLIT(list, "","")),
        names, XLOOKUP(
          arr,
          'Conformance Score'!A:A,
          'Conformance Score'!B:B,
          ""Not found""
      "&amp;"  ),
        TEXTJOIN("", "", TRUE, names)
      ),
      """"
    )
  ),
  1,
  1
)
"),"")</f>
        <v/>
      </c>
      <c r="P332" s="105" t="str">
        <f>IF(F332="Yes", IFERROR(VLOOKUP(D332, Repository!A:F, 6, 0), ""), "")</f>
        <v/>
      </c>
      <c r="Q332" s="105" t="str">
        <f>IF(F332="Yes", IFERROR(VLOOKUP(D332, Repository!A:I, 8, 0), ""), "")</f>
        <v/>
      </c>
      <c r="R332" s="105" t="str">
        <f>IF(F332="Yes", IFERROR(VLOOKUP(D332, Repository!A:J, 9, 0), ""), "")</f>
        <v/>
      </c>
      <c r="S332" s="105"/>
      <c r="T332" s="105"/>
      <c r="U332" s="105"/>
      <c r="V332" s="105"/>
      <c r="W332" s="105"/>
      <c r="X332" s="105"/>
      <c r="Y332" s="105"/>
      <c r="Z332" s="105"/>
      <c r="AA332" s="105"/>
      <c r="AB332" s="105"/>
      <c r="AC332" s="91"/>
      <c r="AD332" s="105"/>
      <c r="AE332" s="105"/>
      <c r="AF332" s="91"/>
      <c r="AG332" s="105"/>
      <c r="AH332" s="105"/>
      <c r="AI332" s="105" t="str">
        <f t="shared" si="1"/>
        <v/>
      </c>
      <c r="AJ332" s="108" t="str">
        <f t="shared" si="2"/>
        <v/>
      </c>
    </row>
    <row r="333" ht="15.75" customHeight="1">
      <c r="A333" s="104"/>
      <c r="B333" s="105" t="str">
        <f>IFERROR(__xludf.DUMMYFUNCTION("ARRAY_CONSTRAIN(
  ARRAYFORMULA(
    IF(
      'Final Report'!A333="""",
      """",
      TEXTJOIN(
        "", "" &amp; CHAR(10),
        TRUE,
        IFERROR(
          VLOOKUP(
            TRIM(
              SPLIT('Final Report'!A333, "","")
           "&amp;" ),
            'URL Details'!A:B,
            2,
            FALSE
          ),
          """"
        )
      )
    )
  ),
  1,
  1
)
"),"")</f>
        <v/>
      </c>
      <c r="C333" s="105" t="str">
        <f>IFERROR(__xludf.DUMMYFUNCTION("IFERROR(IF('Final Report'!A333="""","""", TEXTJOIN(CHAR(10), TRUE, ARRAYFORMULA( ""• ""&amp; FILTER( TRIM(FLATTEN(SPLIT( REGEXREPLACE( SUBSTITUTE(TEXTJOIN("","", TRUE, IFERROR(ARRAYFORMULA(VLOOKUP(TRIM(SPLIT('Final Report'!A333, "","")), 'URL Details'!A:D, 4,"&amp;" FALSE)),"""") ), CHAR(10), "",""), ""\s*,\s*"", "",""), "",""))), TRIM(FLATTEN(SPLIT( REGEXREPLACE( SUBSTITUTE(TEXTJOIN("","", TRUE, IFERROR(ARRAYFORMULA(VLOOKUP(TRIM(SPLIT('Final Report'!A333, "","")), 'URL Details'!A:D, 4, FALSE)),"""") ), CHAR(10), """&amp;",""), ""\s*,\s*"", "",""), "","")))&lt;&gt;"""" ) ) ) ),"""")
"),"")</f>
        <v/>
      </c>
      <c r="D333" s="105"/>
      <c r="E333" s="105"/>
      <c r="F333" s="110" t="b">
        <v>0</v>
      </c>
      <c r="G333" s="105" t="str">
        <f>IF(F333=True, IFERROR(VLOOKUP(D333, Repository!A:B, 2, 0), ""), "")</f>
        <v/>
      </c>
      <c r="H333" s="105"/>
      <c r="I333" s="105"/>
      <c r="J333" s="105" t="str">
        <f>IF(F333=True, IFERROR(VLOOKUP(D333, Repository!A:C, 3, 0), ""), "")</f>
        <v/>
      </c>
      <c r="K333" s="105"/>
      <c r="L333" s="105" t="str">
        <f>IF(F333=True, IFERROR(VLOOKUP(D333, Repository!A:E, 5, 0), ""), "")</f>
        <v/>
      </c>
      <c r="M333" s="105"/>
      <c r="N333" s="105" t="str">
        <f>IF(F333=True, IFERROR(VLOOKUP(D333, Repository!A:G, 7, 0), ""), "")</f>
        <v/>
      </c>
      <c r="O333" s="105" t="str">
        <f>IFERROR(__xludf.DUMMYFUNCTION("ARRAY_CONSTRAIN(
  ARRAYFORMULA(
    IFERROR(
      LET(
        list, N333,
        arr, TRIM(SPLIT(list, "","")),
        names, XLOOKUP(
          arr,
          'Conformance Score'!A:A,
          'Conformance Score'!B:B,
          ""Not found""
      "&amp;"  ),
        TEXTJOIN("", "", TRUE, names)
      ),
      """"
    )
  ),
  1,
  1
)
"),"")</f>
        <v/>
      </c>
      <c r="P333" s="105" t="str">
        <f>IF(F333="Yes", IFERROR(VLOOKUP(D333, Repository!A:F, 6, 0), ""), "")</f>
        <v/>
      </c>
      <c r="Q333" s="105" t="str">
        <f>IF(F333="Yes", IFERROR(VLOOKUP(D333, Repository!A:I, 8, 0), ""), "")</f>
        <v/>
      </c>
      <c r="R333" s="105" t="str">
        <f>IF(F333="Yes", IFERROR(VLOOKUP(D333, Repository!A:J, 9, 0), ""), "")</f>
        <v/>
      </c>
      <c r="S333" s="105"/>
      <c r="T333" s="105"/>
      <c r="U333" s="105"/>
      <c r="V333" s="105"/>
      <c r="W333" s="105"/>
      <c r="X333" s="105"/>
      <c r="Y333" s="105"/>
      <c r="Z333" s="105"/>
      <c r="AA333" s="105"/>
      <c r="AB333" s="105"/>
      <c r="AC333" s="91"/>
      <c r="AD333" s="105"/>
      <c r="AE333" s="105"/>
      <c r="AF333" s="91"/>
      <c r="AG333" s="105"/>
      <c r="AH333" s="105"/>
      <c r="AI333" s="105" t="str">
        <f t="shared" si="1"/>
        <v/>
      </c>
      <c r="AJ333" s="108" t="str">
        <f t="shared" si="2"/>
        <v/>
      </c>
    </row>
    <row r="334" ht="15.75" customHeight="1">
      <c r="A334" s="104"/>
      <c r="B334" s="105" t="str">
        <f>IFERROR(__xludf.DUMMYFUNCTION("ARRAY_CONSTRAIN(
  ARRAYFORMULA(
    IF(
      'Final Report'!A334="""",
      """",
      TEXTJOIN(
        "", "" &amp; CHAR(10),
        TRUE,
        IFERROR(
          VLOOKUP(
            TRIM(
              SPLIT('Final Report'!A334, "","")
           "&amp;" ),
            'URL Details'!A:B,
            2,
            FALSE
          ),
          """"
        )
      )
    )
  ),
  1,
  1
)
"),"")</f>
        <v/>
      </c>
      <c r="C334" s="105" t="str">
        <f>IFERROR(__xludf.DUMMYFUNCTION("IFERROR(IF('Final Report'!A334="""","""", TEXTJOIN(CHAR(10), TRUE, ARRAYFORMULA( ""• ""&amp; FILTER( TRIM(FLATTEN(SPLIT( REGEXREPLACE( SUBSTITUTE(TEXTJOIN("","", TRUE, IFERROR(ARRAYFORMULA(VLOOKUP(TRIM(SPLIT('Final Report'!A334, "","")), 'URL Details'!A:D, 4,"&amp;" FALSE)),"""") ), CHAR(10), "",""), ""\s*,\s*"", "",""), "",""))), TRIM(FLATTEN(SPLIT( REGEXREPLACE( SUBSTITUTE(TEXTJOIN("","", TRUE, IFERROR(ARRAYFORMULA(VLOOKUP(TRIM(SPLIT('Final Report'!A334, "","")), 'URL Details'!A:D, 4, FALSE)),"""") ), CHAR(10), """&amp;",""), ""\s*,\s*"", "",""), "","")))&lt;&gt;"""" ) ) ) ),"""")
"),"")</f>
        <v/>
      </c>
      <c r="D334" s="105"/>
      <c r="E334" s="105"/>
      <c r="F334" s="110" t="b">
        <v>0</v>
      </c>
      <c r="G334" s="105" t="str">
        <f>IF(F334=True, IFERROR(VLOOKUP(D334, Repository!A:B, 2, 0), ""), "")</f>
        <v/>
      </c>
      <c r="H334" s="105"/>
      <c r="I334" s="105"/>
      <c r="J334" s="105" t="str">
        <f>IF(F334=True, IFERROR(VLOOKUP(D334, Repository!A:C, 3, 0), ""), "")</f>
        <v/>
      </c>
      <c r="K334" s="105"/>
      <c r="L334" s="105" t="str">
        <f>IF(F334=True, IFERROR(VLOOKUP(D334, Repository!A:E, 5, 0), ""), "")</f>
        <v/>
      </c>
      <c r="M334" s="105"/>
      <c r="N334" s="105" t="str">
        <f>IF(F334=True, IFERROR(VLOOKUP(D334, Repository!A:G, 7, 0), ""), "")</f>
        <v/>
      </c>
      <c r="O334" s="105" t="str">
        <f>IFERROR(__xludf.DUMMYFUNCTION("ARRAY_CONSTRAIN(
  ARRAYFORMULA(
    IFERROR(
      LET(
        list, N334,
        arr, TRIM(SPLIT(list, "","")),
        names, XLOOKUP(
          arr,
          'Conformance Score'!A:A,
          'Conformance Score'!B:B,
          ""Not found""
      "&amp;"  ),
        TEXTJOIN("", "", TRUE, names)
      ),
      """"
    )
  ),
  1,
  1
)
"),"")</f>
        <v/>
      </c>
      <c r="P334" s="105" t="str">
        <f>IF(F334="Yes", IFERROR(VLOOKUP(D334, Repository!A:F, 6, 0), ""), "")</f>
        <v/>
      </c>
      <c r="Q334" s="105" t="str">
        <f>IF(F334="Yes", IFERROR(VLOOKUP(D334, Repository!A:I, 8, 0), ""), "")</f>
        <v/>
      </c>
      <c r="R334" s="105" t="str">
        <f>IF(F334="Yes", IFERROR(VLOOKUP(D334, Repository!A:J, 9, 0), ""), "")</f>
        <v/>
      </c>
      <c r="S334" s="105"/>
      <c r="T334" s="105"/>
      <c r="U334" s="105"/>
      <c r="V334" s="105"/>
      <c r="W334" s="105"/>
      <c r="X334" s="105"/>
      <c r="Y334" s="105"/>
      <c r="Z334" s="105"/>
      <c r="AA334" s="105"/>
      <c r="AB334" s="105"/>
      <c r="AC334" s="91"/>
      <c r="AD334" s="105"/>
      <c r="AE334" s="105"/>
      <c r="AF334" s="91"/>
      <c r="AG334" s="105"/>
      <c r="AH334" s="105"/>
      <c r="AI334" s="105" t="str">
        <f t="shared" si="1"/>
        <v/>
      </c>
      <c r="AJ334" s="108" t="str">
        <f t="shared" si="2"/>
        <v/>
      </c>
    </row>
    <row r="335" ht="15.75" customHeight="1">
      <c r="A335" s="104"/>
      <c r="B335" s="105" t="str">
        <f>IFERROR(__xludf.DUMMYFUNCTION("ARRAY_CONSTRAIN(
  ARRAYFORMULA(
    IF(
      'Final Report'!A335="""",
      """",
      TEXTJOIN(
        "", "" &amp; CHAR(10),
        TRUE,
        IFERROR(
          VLOOKUP(
            TRIM(
              SPLIT('Final Report'!A335, "","")
           "&amp;" ),
            'URL Details'!A:B,
            2,
            FALSE
          ),
          """"
        )
      )
    )
  ),
  1,
  1
)
"),"")</f>
        <v/>
      </c>
      <c r="C335" s="105" t="str">
        <f>IFERROR(__xludf.DUMMYFUNCTION("IFERROR(IF('Final Report'!A335="""","""", TEXTJOIN(CHAR(10), TRUE, ARRAYFORMULA( ""• ""&amp; FILTER( TRIM(FLATTEN(SPLIT( REGEXREPLACE( SUBSTITUTE(TEXTJOIN("","", TRUE, IFERROR(ARRAYFORMULA(VLOOKUP(TRIM(SPLIT('Final Report'!A335, "","")), 'URL Details'!A:D, 4,"&amp;" FALSE)),"""") ), CHAR(10), "",""), ""\s*,\s*"", "",""), "",""))), TRIM(FLATTEN(SPLIT( REGEXREPLACE( SUBSTITUTE(TEXTJOIN("","", TRUE, IFERROR(ARRAYFORMULA(VLOOKUP(TRIM(SPLIT('Final Report'!A335, "","")), 'URL Details'!A:D, 4, FALSE)),"""") ), CHAR(10), """&amp;",""), ""\s*,\s*"", "",""), "","")))&lt;&gt;"""" ) ) ) ),"""")
"),"")</f>
        <v/>
      </c>
      <c r="D335" s="105"/>
      <c r="E335" s="105"/>
      <c r="F335" s="110" t="b">
        <v>0</v>
      </c>
      <c r="G335" s="105" t="str">
        <f>IF(F335=True, IFERROR(VLOOKUP(D335, Repository!A:B, 2, 0), ""), "")</f>
        <v/>
      </c>
      <c r="H335" s="105"/>
      <c r="I335" s="105"/>
      <c r="J335" s="105" t="str">
        <f>IF(F335=True, IFERROR(VLOOKUP(D335, Repository!A:C, 3, 0), ""), "")</f>
        <v/>
      </c>
      <c r="K335" s="105"/>
      <c r="L335" s="105" t="str">
        <f>IF(F335=True, IFERROR(VLOOKUP(D335, Repository!A:E, 5, 0), ""), "")</f>
        <v/>
      </c>
      <c r="M335" s="105"/>
      <c r="N335" s="105" t="str">
        <f>IF(F335=True, IFERROR(VLOOKUP(D335, Repository!A:G, 7, 0), ""), "")</f>
        <v/>
      </c>
      <c r="O335" s="105" t="str">
        <f>IFERROR(__xludf.DUMMYFUNCTION("ARRAY_CONSTRAIN(
  ARRAYFORMULA(
    IFERROR(
      LET(
        list, N335,
        arr, TRIM(SPLIT(list, "","")),
        names, XLOOKUP(
          arr,
          'Conformance Score'!A:A,
          'Conformance Score'!B:B,
          ""Not found""
      "&amp;"  ),
        TEXTJOIN("", "", TRUE, names)
      ),
      """"
    )
  ),
  1,
  1
)
"),"")</f>
        <v/>
      </c>
      <c r="P335" s="105" t="str">
        <f>IF(F335="Yes", IFERROR(VLOOKUP(D335, Repository!A:F, 6, 0), ""), "")</f>
        <v/>
      </c>
      <c r="Q335" s="105" t="str">
        <f>IF(F335="Yes", IFERROR(VLOOKUP(D335, Repository!A:I, 8, 0), ""), "")</f>
        <v/>
      </c>
      <c r="R335" s="105" t="str">
        <f>IF(F335="Yes", IFERROR(VLOOKUP(D335, Repository!A:J, 9, 0), ""), "")</f>
        <v/>
      </c>
      <c r="S335" s="105"/>
      <c r="T335" s="105"/>
      <c r="U335" s="105"/>
      <c r="V335" s="105"/>
      <c r="W335" s="105"/>
      <c r="X335" s="105"/>
      <c r="Y335" s="105"/>
      <c r="Z335" s="105"/>
      <c r="AA335" s="105"/>
      <c r="AB335" s="105"/>
      <c r="AC335" s="91"/>
      <c r="AD335" s="105"/>
      <c r="AE335" s="105"/>
      <c r="AF335" s="91"/>
      <c r="AG335" s="105"/>
      <c r="AH335" s="105"/>
      <c r="AI335" s="105" t="str">
        <f t="shared" si="1"/>
        <v/>
      </c>
      <c r="AJ335" s="108" t="str">
        <f t="shared" si="2"/>
        <v/>
      </c>
    </row>
    <row r="336" ht="15.75" customHeight="1">
      <c r="A336" s="104"/>
      <c r="B336" s="105" t="str">
        <f>IFERROR(__xludf.DUMMYFUNCTION("ARRAY_CONSTRAIN(
  ARRAYFORMULA(
    IF(
      'Final Report'!A336="""",
      """",
      TEXTJOIN(
        "", "" &amp; CHAR(10),
        TRUE,
        IFERROR(
          VLOOKUP(
            TRIM(
              SPLIT('Final Report'!A336, "","")
           "&amp;" ),
            'URL Details'!A:B,
            2,
            FALSE
          ),
          """"
        )
      )
    )
  ),
  1,
  1
)
"),"")</f>
        <v/>
      </c>
      <c r="C336" s="105" t="str">
        <f>IFERROR(__xludf.DUMMYFUNCTION("IFERROR(IF('Final Report'!A336="""","""", TEXTJOIN(CHAR(10), TRUE, ARRAYFORMULA( ""• ""&amp; FILTER( TRIM(FLATTEN(SPLIT( REGEXREPLACE( SUBSTITUTE(TEXTJOIN("","", TRUE, IFERROR(ARRAYFORMULA(VLOOKUP(TRIM(SPLIT('Final Report'!A336, "","")), 'URL Details'!A:D, 4,"&amp;" FALSE)),"""") ), CHAR(10), "",""), ""\s*,\s*"", "",""), "",""))), TRIM(FLATTEN(SPLIT( REGEXREPLACE( SUBSTITUTE(TEXTJOIN("","", TRUE, IFERROR(ARRAYFORMULA(VLOOKUP(TRIM(SPLIT('Final Report'!A336, "","")), 'URL Details'!A:D, 4, FALSE)),"""") ), CHAR(10), """&amp;",""), ""\s*,\s*"", "",""), "","")))&lt;&gt;"""" ) ) ) ),"""")
"),"")</f>
        <v/>
      </c>
      <c r="D336" s="105"/>
      <c r="E336" s="105"/>
      <c r="F336" s="110" t="b">
        <v>0</v>
      </c>
      <c r="G336" s="105" t="str">
        <f>IF(F336=True, IFERROR(VLOOKUP(D336, Repository!A:B, 2, 0), ""), "")</f>
        <v/>
      </c>
      <c r="H336" s="105"/>
      <c r="I336" s="105"/>
      <c r="J336" s="105" t="str">
        <f>IF(F336=True, IFERROR(VLOOKUP(D336, Repository!A:C, 3, 0), ""), "")</f>
        <v/>
      </c>
      <c r="K336" s="105"/>
      <c r="L336" s="105" t="str">
        <f>IF(F336=True, IFERROR(VLOOKUP(D336, Repository!A:E, 5, 0), ""), "")</f>
        <v/>
      </c>
      <c r="M336" s="105"/>
      <c r="N336" s="105" t="str">
        <f>IF(F336=True, IFERROR(VLOOKUP(D336, Repository!A:G, 7, 0), ""), "")</f>
        <v/>
      </c>
      <c r="O336" s="105" t="str">
        <f>IFERROR(__xludf.DUMMYFUNCTION("ARRAY_CONSTRAIN(
  ARRAYFORMULA(
    IFERROR(
      LET(
        list, N336,
        arr, TRIM(SPLIT(list, "","")),
        names, XLOOKUP(
          arr,
          'Conformance Score'!A:A,
          'Conformance Score'!B:B,
          ""Not found""
      "&amp;"  ),
        TEXTJOIN("", "", TRUE, names)
      ),
      """"
    )
  ),
  1,
  1
)
"),"")</f>
        <v/>
      </c>
      <c r="P336" s="105" t="str">
        <f>IF(F336="Yes", IFERROR(VLOOKUP(D336, Repository!A:F, 6, 0), ""), "")</f>
        <v/>
      </c>
      <c r="Q336" s="105" t="str">
        <f>IF(F336="Yes", IFERROR(VLOOKUP(D336, Repository!A:I, 8, 0), ""), "")</f>
        <v/>
      </c>
      <c r="R336" s="105" t="str">
        <f>IF(F336="Yes", IFERROR(VLOOKUP(D336, Repository!A:J, 9, 0), ""), "")</f>
        <v/>
      </c>
      <c r="S336" s="105"/>
      <c r="T336" s="105"/>
      <c r="U336" s="105"/>
      <c r="V336" s="105"/>
      <c r="W336" s="105"/>
      <c r="X336" s="105"/>
      <c r="Y336" s="105"/>
      <c r="Z336" s="105"/>
      <c r="AA336" s="105"/>
      <c r="AB336" s="105"/>
      <c r="AC336" s="91"/>
      <c r="AD336" s="105"/>
      <c r="AE336" s="105"/>
      <c r="AF336" s="91"/>
      <c r="AG336" s="105"/>
      <c r="AH336" s="105"/>
      <c r="AI336" s="105" t="str">
        <f t="shared" si="1"/>
        <v/>
      </c>
      <c r="AJ336" s="108" t="str">
        <f t="shared" si="2"/>
        <v/>
      </c>
    </row>
    <row r="337" ht="15.75" customHeight="1">
      <c r="A337" s="104"/>
      <c r="B337" s="105" t="str">
        <f>IFERROR(__xludf.DUMMYFUNCTION("ARRAY_CONSTRAIN(
  ARRAYFORMULA(
    IF(
      'Final Report'!A337="""",
      """",
      TEXTJOIN(
        "", "" &amp; CHAR(10),
        TRUE,
        IFERROR(
          VLOOKUP(
            TRIM(
              SPLIT('Final Report'!A337, "","")
           "&amp;" ),
            'URL Details'!A:B,
            2,
            FALSE
          ),
          """"
        )
      )
    )
  ),
  1,
  1
)
"),"")</f>
        <v/>
      </c>
      <c r="C337" s="105" t="str">
        <f>IFERROR(__xludf.DUMMYFUNCTION("IFERROR(IF('Final Report'!A337="""","""", TEXTJOIN(CHAR(10), TRUE, ARRAYFORMULA( ""• ""&amp; FILTER( TRIM(FLATTEN(SPLIT( REGEXREPLACE( SUBSTITUTE(TEXTJOIN("","", TRUE, IFERROR(ARRAYFORMULA(VLOOKUP(TRIM(SPLIT('Final Report'!A337, "","")), 'URL Details'!A:D, 4,"&amp;" FALSE)),"""") ), CHAR(10), "",""), ""\s*,\s*"", "",""), "",""))), TRIM(FLATTEN(SPLIT( REGEXREPLACE( SUBSTITUTE(TEXTJOIN("","", TRUE, IFERROR(ARRAYFORMULA(VLOOKUP(TRIM(SPLIT('Final Report'!A337, "","")), 'URL Details'!A:D, 4, FALSE)),"""") ), CHAR(10), """&amp;",""), ""\s*,\s*"", "",""), "","")))&lt;&gt;"""" ) ) ) ),"""")
"),"")</f>
        <v/>
      </c>
      <c r="D337" s="105"/>
      <c r="E337" s="105"/>
      <c r="F337" s="110" t="b">
        <v>0</v>
      </c>
      <c r="G337" s="105" t="str">
        <f>IF(F337=True, IFERROR(VLOOKUP(D337, Repository!A:B, 2, 0), ""), "")</f>
        <v/>
      </c>
      <c r="H337" s="105"/>
      <c r="I337" s="105"/>
      <c r="J337" s="105" t="str">
        <f>IF(F337=True, IFERROR(VLOOKUP(D337, Repository!A:C, 3, 0), ""), "")</f>
        <v/>
      </c>
      <c r="K337" s="105"/>
      <c r="L337" s="105" t="str">
        <f>IF(F337=True, IFERROR(VLOOKUP(D337, Repository!A:E, 5, 0), ""), "")</f>
        <v/>
      </c>
      <c r="M337" s="105"/>
      <c r="N337" s="105" t="str">
        <f>IF(F337=True, IFERROR(VLOOKUP(D337, Repository!A:G, 7, 0), ""), "")</f>
        <v/>
      </c>
      <c r="O337" s="105" t="str">
        <f>IFERROR(__xludf.DUMMYFUNCTION("ARRAY_CONSTRAIN(
  ARRAYFORMULA(
    IFERROR(
      LET(
        list, N337,
        arr, TRIM(SPLIT(list, "","")),
        names, XLOOKUP(
          arr,
          'Conformance Score'!A:A,
          'Conformance Score'!B:B,
          ""Not found""
      "&amp;"  ),
        TEXTJOIN("", "", TRUE, names)
      ),
      """"
    )
  ),
  1,
  1
)
"),"")</f>
        <v/>
      </c>
      <c r="P337" s="105" t="str">
        <f>IF(F337="Yes", IFERROR(VLOOKUP(D337, Repository!A:F, 6, 0), ""), "")</f>
        <v/>
      </c>
      <c r="Q337" s="105" t="str">
        <f>IF(F337="Yes", IFERROR(VLOOKUP(D337, Repository!A:I, 8, 0), ""), "")</f>
        <v/>
      </c>
      <c r="R337" s="105" t="str">
        <f>IF(F337="Yes", IFERROR(VLOOKUP(D337, Repository!A:J, 9, 0), ""), "")</f>
        <v/>
      </c>
      <c r="S337" s="105"/>
      <c r="T337" s="105"/>
      <c r="U337" s="105"/>
      <c r="V337" s="105"/>
      <c r="W337" s="105"/>
      <c r="X337" s="105"/>
      <c r="Y337" s="105"/>
      <c r="Z337" s="105"/>
      <c r="AA337" s="105"/>
      <c r="AB337" s="105"/>
      <c r="AC337" s="91"/>
      <c r="AD337" s="105"/>
      <c r="AE337" s="105"/>
      <c r="AF337" s="91"/>
      <c r="AG337" s="105"/>
      <c r="AH337" s="105"/>
      <c r="AI337" s="105" t="str">
        <f t="shared" si="1"/>
        <v/>
      </c>
      <c r="AJ337" s="108" t="str">
        <f t="shared" si="2"/>
        <v/>
      </c>
    </row>
    <row r="338" ht="15.75" customHeight="1">
      <c r="A338" s="104"/>
      <c r="B338" s="105" t="str">
        <f>IFERROR(__xludf.DUMMYFUNCTION("ARRAY_CONSTRAIN(
  ARRAYFORMULA(
    IF(
      'Final Report'!A338="""",
      """",
      TEXTJOIN(
        "", "" &amp; CHAR(10),
        TRUE,
        IFERROR(
          VLOOKUP(
            TRIM(
              SPLIT('Final Report'!A338, "","")
           "&amp;" ),
            'URL Details'!A:B,
            2,
            FALSE
          ),
          """"
        )
      )
    )
  ),
  1,
  1
)
"),"")</f>
        <v/>
      </c>
      <c r="C338" s="105" t="str">
        <f>IFERROR(__xludf.DUMMYFUNCTION("IFERROR(IF('Final Report'!A338="""","""", TEXTJOIN(CHAR(10), TRUE, ARRAYFORMULA( ""• ""&amp; FILTER( TRIM(FLATTEN(SPLIT( REGEXREPLACE( SUBSTITUTE(TEXTJOIN("","", TRUE, IFERROR(ARRAYFORMULA(VLOOKUP(TRIM(SPLIT('Final Report'!A338, "","")), 'URL Details'!A:D, 4,"&amp;" FALSE)),"""") ), CHAR(10), "",""), ""\s*,\s*"", "",""), "",""))), TRIM(FLATTEN(SPLIT( REGEXREPLACE( SUBSTITUTE(TEXTJOIN("","", TRUE, IFERROR(ARRAYFORMULA(VLOOKUP(TRIM(SPLIT('Final Report'!A338, "","")), 'URL Details'!A:D, 4, FALSE)),"""") ), CHAR(10), """&amp;",""), ""\s*,\s*"", "",""), "","")))&lt;&gt;"""" ) ) ) ),"""")
"),"")</f>
        <v/>
      </c>
      <c r="D338" s="105"/>
      <c r="E338" s="105"/>
      <c r="F338" s="110" t="b">
        <v>0</v>
      </c>
      <c r="G338" s="105" t="str">
        <f>IF(F338=True, IFERROR(VLOOKUP(D338, Repository!A:B, 2, 0), ""), "")</f>
        <v/>
      </c>
      <c r="H338" s="105"/>
      <c r="I338" s="105"/>
      <c r="J338" s="105" t="str">
        <f>IF(F338=True, IFERROR(VLOOKUP(D338, Repository!A:C, 3, 0), ""), "")</f>
        <v/>
      </c>
      <c r="K338" s="105"/>
      <c r="L338" s="105" t="str">
        <f>IF(F338=True, IFERROR(VLOOKUP(D338, Repository!A:E, 5, 0), ""), "")</f>
        <v/>
      </c>
      <c r="M338" s="105"/>
      <c r="N338" s="105" t="str">
        <f>IF(F338=True, IFERROR(VLOOKUP(D338, Repository!A:G, 7, 0), ""), "")</f>
        <v/>
      </c>
      <c r="O338" s="105" t="str">
        <f>IFERROR(__xludf.DUMMYFUNCTION("ARRAY_CONSTRAIN(
  ARRAYFORMULA(
    IFERROR(
      LET(
        list, N338,
        arr, TRIM(SPLIT(list, "","")),
        names, XLOOKUP(
          arr,
          'Conformance Score'!A:A,
          'Conformance Score'!B:B,
          ""Not found""
      "&amp;"  ),
        TEXTJOIN("", "", TRUE, names)
      ),
      """"
    )
  ),
  1,
  1
)
"),"")</f>
        <v/>
      </c>
      <c r="P338" s="105" t="str">
        <f>IF(F338="Yes", IFERROR(VLOOKUP(D338, Repository!A:F, 6, 0), ""), "")</f>
        <v/>
      </c>
      <c r="Q338" s="105" t="str">
        <f>IF(F338="Yes", IFERROR(VLOOKUP(D338, Repository!A:I, 8, 0), ""), "")</f>
        <v/>
      </c>
      <c r="R338" s="105" t="str">
        <f>IF(F338="Yes", IFERROR(VLOOKUP(D338, Repository!A:J, 9, 0), ""), "")</f>
        <v/>
      </c>
      <c r="S338" s="105"/>
      <c r="T338" s="105"/>
      <c r="U338" s="105"/>
      <c r="V338" s="105"/>
      <c r="W338" s="105"/>
      <c r="X338" s="105"/>
      <c r="Y338" s="105"/>
      <c r="Z338" s="105"/>
      <c r="AA338" s="105"/>
      <c r="AB338" s="105"/>
      <c r="AC338" s="91"/>
      <c r="AD338" s="105"/>
      <c r="AE338" s="105"/>
      <c r="AF338" s="91"/>
      <c r="AG338" s="105"/>
      <c r="AH338" s="105"/>
      <c r="AI338" s="105" t="str">
        <f t="shared" si="1"/>
        <v/>
      </c>
      <c r="AJ338" s="108" t="str">
        <f t="shared" si="2"/>
        <v/>
      </c>
    </row>
    <row r="339" ht="15.75" customHeight="1">
      <c r="A339" s="104"/>
      <c r="B339" s="105" t="str">
        <f>IFERROR(__xludf.DUMMYFUNCTION("ARRAY_CONSTRAIN(
  ARRAYFORMULA(
    IF(
      'Final Report'!A339="""",
      """",
      TEXTJOIN(
        "", "" &amp; CHAR(10),
        TRUE,
        IFERROR(
          VLOOKUP(
            TRIM(
              SPLIT('Final Report'!A339, "","")
           "&amp;" ),
            'URL Details'!A:B,
            2,
            FALSE
          ),
          """"
        )
      )
    )
  ),
  1,
  1
)
"),"")</f>
        <v/>
      </c>
      <c r="C339" s="105" t="str">
        <f>IFERROR(__xludf.DUMMYFUNCTION("IFERROR(IF('Final Report'!A339="""","""", TEXTJOIN(CHAR(10), TRUE, ARRAYFORMULA( ""• ""&amp; FILTER( TRIM(FLATTEN(SPLIT( REGEXREPLACE( SUBSTITUTE(TEXTJOIN("","", TRUE, IFERROR(ARRAYFORMULA(VLOOKUP(TRIM(SPLIT('Final Report'!A339, "","")), 'URL Details'!A:D, 4,"&amp;" FALSE)),"""") ), CHAR(10), "",""), ""\s*,\s*"", "",""), "",""))), TRIM(FLATTEN(SPLIT( REGEXREPLACE( SUBSTITUTE(TEXTJOIN("","", TRUE, IFERROR(ARRAYFORMULA(VLOOKUP(TRIM(SPLIT('Final Report'!A339, "","")), 'URL Details'!A:D, 4, FALSE)),"""") ), CHAR(10), """&amp;",""), ""\s*,\s*"", "",""), "","")))&lt;&gt;"""" ) ) ) ),"""")
"),"")</f>
        <v/>
      </c>
      <c r="D339" s="105"/>
      <c r="E339" s="105"/>
      <c r="F339" s="110" t="b">
        <v>0</v>
      </c>
      <c r="G339" s="105" t="str">
        <f>IF(F339=True, IFERROR(VLOOKUP(D339, Repository!A:B, 2, 0), ""), "")</f>
        <v/>
      </c>
      <c r="H339" s="105"/>
      <c r="I339" s="105"/>
      <c r="J339" s="105" t="str">
        <f>IF(F339=True, IFERROR(VLOOKUP(D339, Repository!A:C, 3, 0), ""), "")</f>
        <v/>
      </c>
      <c r="K339" s="105"/>
      <c r="L339" s="105" t="str">
        <f>IF(F339=True, IFERROR(VLOOKUP(D339, Repository!A:E, 5, 0), ""), "")</f>
        <v/>
      </c>
      <c r="M339" s="105"/>
      <c r="N339" s="105" t="str">
        <f>IF(F339=True, IFERROR(VLOOKUP(D339, Repository!A:G, 7, 0), ""), "")</f>
        <v/>
      </c>
      <c r="O339" s="105" t="str">
        <f>IFERROR(__xludf.DUMMYFUNCTION("ARRAY_CONSTRAIN(
  ARRAYFORMULA(
    IFERROR(
      LET(
        list, N339,
        arr, TRIM(SPLIT(list, "","")),
        names, XLOOKUP(
          arr,
          'Conformance Score'!A:A,
          'Conformance Score'!B:B,
          ""Not found""
      "&amp;"  ),
        TEXTJOIN("", "", TRUE, names)
      ),
      """"
    )
  ),
  1,
  1
)
"),"")</f>
        <v/>
      </c>
      <c r="P339" s="105" t="str">
        <f>IF(F339="Yes", IFERROR(VLOOKUP(D339, Repository!A:F, 6, 0), ""), "")</f>
        <v/>
      </c>
      <c r="Q339" s="105" t="str">
        <f>IF(F339="Yes", IFERROR(VLOOKUP(D339, Repository!A:I, 8, 0), ""), "")</f>
        <v/>
      </c>
      <c r="R339" s="105" t="str">
        <f>IF(F339="Yes", IFERROR(VLOOKUP(D339, Repository!A:J, 9, 0), ""), "")</f>
        <v/>
      </c>
      <c r="S339" s="105"/>
      <c r="T339" s="105"/>
      <c r="U339" s="105"/>
      <c r="V339" s="105"/>
      <c r="W339" s="105"/>
      <c r="X339" s="105"/>
      <c r="Y339" s="105"/>
      <c r="Z339" s="105"/>
      <c r="AA339" s="105"/>
      <c r="AB339" s="105"/>
      <c r="AC339" s="91"/>
      <c r="AD339" s="105"/>
      <c r="AE339" s="105"/>
      <c r="AF339" s="91"/>
      <c r="AG339" s="105"/>
      <c r="AH339" s="105"/>
      <c r="AI339" s="105" t="str">
        <f t="shared" si="1"/>
        <v/>
      </c>
      <c r="AJ339" s="108" t="str">
        <f t="shared" si="2"/>
        <v/>
      </c>
    </row>
    <row r="340" ht="15.75" customHeight="1">
      <c r="A340" s="104"/>
      <c r="B340" s="105" t="str">
        <f>IFERROR(__xludf.DUMMYFUNCTION("ARRAY_CONSTRAIN(
  ARRAYFORMULA(
    IF(
      'Final Report'!A340="""",
      """",
      TEXTJOIN(
        "", "" &amp; CHAR(10),
        TRUE,
        IFERROR(
          VLOOKUP(
            TRIM(
              SPLIT('Final Report'!A340, "","")
           "&amp;" ),
            'URL Details'!A:B,
            2,
            FALSE
          ),
          """"
        )
      )
    )
  ),
  1,
  1
)
"),"")</f>
        <v/>
      </c>
      <c r="C340" s="105" t="str">
        <f>IFERROR(__xludf.DUMMYFUNCTION("IFERROR(IF('Final Report'!A340="""","""", TEXTJOIN(CHAR(10), TRUE, ARRAYFORMULA( ""• ""&amp; FILTER( TRIM(FLATTEN(SPLIT( REGEXREPLACE( SUBSTITUTE(TEXTJOIN("","", TRUE, IFERROR(ARRAYFORMULA(VLOOKUP(TRIM(SPLIT('Final Report'!A340, "","")), 'URL Details'!A:D, 4,"&amp;" FALSE)),"""") ), CHAR(10), "",""), ""\s*,\s*"", "",""), "",""))), TRIM(FLATTEN(SPLIT( REGEXREPLACE( SUBSTITUTE(TEXTJOIN("","", TRUE, IFERROR(ARRAYFORMULA(VLOOKUP(TRIM(SPLIT('Final Report'!A340, "","")), 'URL Details'!A:D, 4, FALSE)),"""") ), CHAR(10), """&amp;",""), ""\s*,\s*"", "",""), "","")))&lt;&gt;"""" ) ) ) ),"""")
"),"")</f>
        <v/>
      </c>
      <c r="D340" s="105"/>
      <c r="E340" s="105"/>
      <c r="F340" s="110" t="b">
        <v>0</v>
      </c>
      <c r="G340" s="105" t="str">
        <f>IF(F340=True, IFERROR(VLOOKUP(D340, Repository!A:B, 2, 0), ""), "")</f>
        <v/>
      </c>
      <c r="H340" s="105"/>
      <c r="I340" s="105"/>
      <c r="J340" s="105" t="str">
        <f>IF(F340=True, IFERROR(VLOOKUP(D340, Repository!A:C, 3, 0), ""), "")</f>
        <v/>
      </c>
      <c r="K340" s="105"/>
      <c r="L340" s="105" t="str">
        <f>IF(F340=True, IFERROR(VLOOKUP(D340, Repository!A:E, 5, 0), ""), "")</f>
        <v/>
      </c>
      <c r="M340" s="105"/>
      <c r="N340" s="105" t="str">
        <f>IF(F340=True, IFERROR(VLOOKUP(D340, Repository!A:G, 7, 0), ""), "")</f>
        <v/>
      </c>
      <c r="O340" s="105" t="str">
        <f>IFERROR(__xludf.DUMMYFUNCTION("ARRAY_CONSTRAIN(
  ARRAYFORMULA(
    IFERROR(
      LET(
        list, N340,
        arr, TRIM(SPLIT(list, "","")),
        names, XLOOKUP(
          arr,
          'Conformance Score'!A:A,
          'Conformance Score'!B:B,
          ""Not found""
      "&amp;"  ),
        TEXTJOIN("", "", TRUE, names)
      ),
      """"
    )
  ),
  1,
  1
)
"),"")</f>
        <v/>
      </c>
      <c r="P340" s="105" t="str">
        <f>IF(F340="Yes", IFERROR(VLOOKUP(D340, Repository!A:F, 6, 0), ""), "")</f>
        <v/>
      </c>
      <c r="Q340" s="105" t="str">
        <f>IF(F340="Yes", IFERROR(VLOOKUP(D340, Repository!A:I, 8, 0), ""), "")</f>
        <v/>
      </c>
      <c r="R340" s="105" t="str">
        <f>IF(F340="Yes", IFERROR(VLOOKUP(D340, Repository!A:J, 9, 0), ""), "")</f>
        <v/>
      </c>
      <c r="S340" s="105"/>
      <c r="T340" s="105"/>
      <c r="U340" s="105"/>
      <c r="V340" s="105"/>
      <c r="W340" s="105"/>
      <c r="X340" s="105"/>
      <c r="Y340" s="105"/>
      <c r="Z340" s="105"/>
      <c r="AA340" s="105"/>
      <c r="AB340" s="105"/>
      <c r="AC340" s="91"/>
      <c r="AD340" s="105"/>
      <c r="AE340" s="105"/>
      <c r="AF340" s="91"/>
      <c r="AG340" s="105"/>
      <c r="AH340" s="105"/>
      <c r="AI340" s="105" t="str">
        <f t="shared" si="1"/>
        <v/>
      </c>
      <c r="AJ340" s="108" t="str">
        <f t="shared" si="2"/>
        <v/>
      </c>
    </row>
    <row r="341" ht="15.75" customHeight="1">
      <c r="A341" s="104"/>
      <c r="B341" s="105" t="str">
        <f>IFERROR(__xludf.DUMMYFUNCTION("ARRAY_CONSTRAIN(
  ARRAYFORMULA(
    IF(
      'Final Report'!A341="""",
      """",
      TEXTJOIN(
        "", "" &amp; CHAR(10),
        TRUE,
        IFERROR(
          VLOOKUP(
            TRIM(
              SPLIT('Final Report'!A341, "","")
           "&amp;" ),
            'URL Details'!A:B,
            2,
            FALSE
          ),
          """"
        )
      )
    )
  ),
  1,
  1
)
"),"")</f>
        <v/>
      </c>
      <c r="C341" s="105" t="str">
        <f>IFERROR(__xludf.DUMMYFUNCTION("IFERROR(IF('Final Report'!A341="""","""", TEXTJOIN(CHAR(10), TRUE, ARRAYFORMULA( ""• ""&amp; FILTER( TRIM(FLATTEN(SPLIT( REGEXREPLACE( SUBSTITUTE(TEXTJOIN("","", TRUE, IFERROR(ARRAYFORMULA(VLOOKUP(TRIM(SPLIT('Final Report'!A341, "","")), 'URL Details'!A:D, 4,"&amp;" FALSE)),"""") ), CHAR(10), "",""), ""\s*,\s*"", "",""), "",""))), TRIM(FLATTEN(SPLIT( REGEXREPLACE( SUBSTITUTE(TEXTJOIN("","", TRUE, IFERROR(ARRAYFORMULA(VLOOKUP(TRIM(SPLIT('Final Report'!A341, "","")), 'URL Details'!A:D, 4, FALSE)),"""") ), CHAR(10), """&amp;",""), ""\s*,\s*"", "",""), "","")))&lt;&gt;"""" ) ) ) ),"""")
"),"")</f>
        <v/>
      </c>
      <c r="D341" s="105"/>
      <c r="E341" s="105"/>
      <c r="F341" s="110" t="b">
        <v>0</v>
      </c>
      <c r="G341" s="105" t="str">
        <f>IF(F341=True, IFERROR(VLOOKUP(D341, Repository!A:B, 2, 0), ""), "")</f>
        <v/>
      </c>
      <c r="H341" s="105"/>
      <c r="I341" s="105"/>
      <c r="J341" s="105" t="str">
        <f>IF(F341=True, IFERROR(VLOOKUP(D341, Repository!A:C, 3, 0), ""), "")</f>
        <v/>
      </c>
      <c r="K341" s="105"/>
      <c r="L341" s="105" t="str">
        <f>IF(F341=True, IFERROR(VLOOKUP(D341, Repository!A:E, 5, 0), ""), "")</f>
        <v/>
      </c>
      <c r="M341" s="105"/>
      <c r="N341" s="105" t="str">
        <f>IF(F341=True, IFERROR(VLOOKUP(D341, Repository!A:G, 7, 0), ""), "")</f>
        <v/>
      </c>
      <c r="O341" s="105" t="str">
        <f>IFERROR(__xludf.DUMMYFUNCTION("ARRAY_CONSTRAIN(
  ARRAYFORMULA(
    IFERROR(
      LET(
        list, N341,
        arr, TRIM(SPLIT(list, "","")),
        names, XLOOKUP(
          arr,
          'Conformance Score'!A:A,
          'Conformance Score'!B:B,
          ""Not found""
      "&amp;"  ),
        TEXTJOIN("", "", TRUE, names)
      ),
      """"
    )
  ),
  1,
  1
)
"),"")</f>
        <v/>
      </c>
      <c r="P341" s="105" t="str">
        <f>IF(F341="Yes", IFERROR(VLOOKUP(D341, Repository!A:F, 6, 0), ""), "")</f>
        <v/>
      </c>
      <c r="Q341" s="105" t="str">
        <f>IF(F341="Yes", IFERROR(VLOOKUP(D341, Repository!A:I, 8, 0), ""), "")</f>
        <v/>
      </c>
      <c r="R341" s="105" t="str">
        <f>IF(F341="Yes", IFERROR(VLOOKUP(D341, Repository!A:J, 9, 0), ""), "")</f>
        <v/>
      </c>
      <c r="S341" s="105"/>
      <c r="T341" s="105"/>
      <c r="U341" s="105"/>
      <c r="V341" s="105"/>
      <c r="W341" s="105"/>
      <c r="X341" s="105"/>
      <c r="Y341" s="105"/>
      <c r="Z341" s="105"/>
      <c r="AA341" s="105"/>
      <c r="AB341" s="105"/>
      <c r="AC341" s="91"/>
      <c r="AD341" s="105"/>
      <c r="AE341" s="105"/>
      <c r="AF341" s="91"/>
      <c r="AG341" s="105"/>
      <c r="AH341" s="105"/>
      <c r="AI341" s="105" t="str">
        <f t="shared" si="1"/>
        <v/>
      </c>
      <c r="AJ341" s="108" t="str">
        <f t="shared" si="2"/>
        <v/>
      </c>
    </row>
    <row r="342" ht="15.75" customHeight="1">
      <c r="A342" s="104"/>
      <c r="B342" s="105" t="str">
        <f>IFERROR(__xludf.DUMMYFUNCTION("ARRAY_CONSTRAIN(
  ARRAYFORMULA(
    IF(
      'Final Report'!A342="""",
      """",
      TEXTJOIN(
        "", "" &amp; CHAR(10),
        TRUE,
        IFERROR(
          VLOOKUP(
            TRIM(
              SPLIT('Final Report'!A342, "","")
           "&amp;" ),
            'URL Details'!A:B,
            2,
            FALSE
          ),
          """"
        )
      )
    )
  ),
  1,
  1
)
"),"")</f>
        <v/>
      </c>
      <c r="C342" s="105" t="str">
        <f>IFERROR(__xludf.DUMMYFUNCTION("IFERROR(IF('Final Report'!A342="""","""", TEXTJOIN(CHAR(10), TRUE, ARRAYFORMULA( ""• ""&amp; FILTER( TRIM(FLATTEN(SPLIT( REGEXREPLACE( SUBSTITUTE(TEXTJOIN("","", TRUE, IFERROR(ARRAYFORMULA(VLOOKUP(TRIM(SPLIT('Final Report'!A342, "","")), 'URL Details'!A:D, 4,"&amp;" FALSE)),"""") ), CHAR(10), "",""), ""\s*,\s*"", "",""), "",""))), TRIM(FLATTEN(SPLIT( REGEXREPLACE( SUBSTITUTE(TEXTJOIN("","", TRUE, IFERROR(ARRAYFORMULA(VLOOKUP(TRIM(SPLIT('Final Report'!A342, "","")), 'URL Details'!A:D, 4, FALSE)),"""") ), CHAR(10), """&amp;",""), ""\s*,\s*"", "",""), "","")))&lt;&gt;"""" ) ) ) ),"""")
"),"")</f>
        <v/>
      </c>
      <c r="D342" s="105"/>
      <c r="E342" s="105"/>
      <c r="F342" s="110" t="b">
        <v>0</v>
      </c>
      <c r="G342" s="105" t="str">
        <f>IF(F342=True, IFERROR(VLOOKUP(D342, Repository!A:B, 2, 0), ""), "")</f>
        <v/>
      </c>
      <c r="H342" s="105"/>
      <c r="I342" s="105"/>
      <c r="J342" s="105" t="str">
        <f>IF(F342=True, IFERROR(VLOOKUP(D342, Repository!A:C, 3, 0), ""), "")</f>
        <v/>
      </c>
      <c r="K342" s="105"/>
      <c r="L342" s="105" t="str">
        <f>IF(F342=True, IFERROR(VLOOKUP(D342, Repository!A:E, 5, 0), ""), "")</f>
        <v/>
      </c>
      <c r="M342" s="105"/>
      <c r="N342" s="105" t="str">
        <f>IF(F342=True, IFERROR(VLOOKUP(D342, Repository!A:G, 7, 0), ""), "")</f>
        <v/>
      </c>
      <c r="O342" s="105" t="str">
        <f>IFERROR(__xludf.DUMMYFUNCTION("ARRAY_CONSTRAIN(
  ARRAYFORMULA(
    IFERROR(
      LET(
        list, N342,
        arr, TRIM(SPLIT(list, "","")),
        names, XLOOKUP(
          arr,
          'Conformance Score'!A:A,
          'Conformance Score'!B:B,
          ""Not found""
      "&amp;"  ),
        TEXTJOIN("", "", TRUE, names)
      ),
      """"
    )
  ),
  1,
  1
)
"),"")</f>
        <v/>
      </c>
      <c r="P342" s="105" t="str">
        <f>IF(F342="Yes", IFERROR(VLOOKUP(D342, Repository!A:F, 6, 0), ""), "")</f>
        <v/>
      </c>
      <c r="Q342" s="105" t="str">
        <f>IF(F342="Yes", IFERROR(VLOOKUP(D342, Repository!A:I, 8, 0), ""), "")</f>
        <v/>
      </c>
      <c r="R342" s="105" t="str">
        <f>IF(F342="Yes", IFERROR(VLOOKUP(D342, Repository!A:J, 9, 0), ""), "")</f>
        <v/>
      </c>
      <c r="S342" s="105"/>
      <c r="T342" s="105"/>
      <c r="U342" s="105"/>
      <c r="V342" s="105"/>
      <c r="W342" s="105"/>
      <c r="X342" s="105"/>
      <c r="Y342" s="105"/>
      <c r="Z342" s="105"/>
      <c r="AA342" s="105"/>
      <c r="AB342" s="105"/>
      <c r="AC342" s="91"/>
      <c r="AD342" s="105"/>
      <c r="AE342" s="105"/>
      <c r="AF342" s="91"/>
      <c r="AG342" s="105"/>
      <c r="AH342" s="105"/>
      <c r="AI342" s="105" t="str">
        <f t="shared" si="1"/>
        <v/>
      </c>
      <c r="AJ342" s="108" t="str">
        <f t="shared" si="2"/>
        <v/>
      </c>
    </row>
    <row r="343" ht="15.75" customHeight="1">
      <c r="A343" s="104"/>
      <c r="B343" s="105" t="str">
        <f>IFERROR(__xludf.DUMMYFUNCTION("ARRAY_CONSTRAIN(
  ARRAYFORMULA(
    IF(
      'Final Report'!A343="""",
      """",
      TEXTJOIN(
        "", "" &amp; CHAR(10),
        TRUE,
        IFERROR(
          VLOOKUP(
            TRIM(
              SPLIT('Final Report'!A343, "","")
           "&amp;" ),
            'URL Details'!A:B,
            2,
            FALSE
          ),
          """"
        )
      )
    )
  ),
  1,
  1
)
"),"")</f>
        <v/>
      </c>
      <c r="C343" s="105" t="str">
        <f>IFERROR(__xludf.DUMMYFUNCTION("IFERROR(IF('Final Report'!A343="""","""", TEXTJOIN(CHAR(10), TRUE, ARRAYFORMULA( ""• ""&amp; FILTER( TRIM(FLATTEN(SPLIT( REGEXREPLACE( SUBSTITUTE(TEXTJOIN("","", TRUE, IFERROR(ARRAYFORMULA(VLOOKUP(TRIM(SPLIT('Final Report'!A343, "","")), 'URL Details'!A:D, 4,"&amp;" FALSE)),"""") ), CHAR(10), "",""), ""\s*,\s*"", "",""), "",""))), TRIM(FLATTEN(SPLIT( REGEXREPLACE( SUBSTITUTE(TEXTJOIN("","", TRUE, IFERROR(ARRAYFORMULA(VLOOKUP(TRIM(SPLIT('Final Report'!A343, "","")), 'URL Details'!A:D, 4, FALSE)),"""") ), CHAR(10), """&amp;",""), ""\s*,\s*"", "",""), "","")))&lt;&gt;"""" ) ) ) ),"""")
"),"")</f>
        <v/>
      </c>
      <c r="D343" s="105"/>
      <c r="E343" s="105"/>
      <c r="F343" s="110" t="b">
        <v>0</v>
      </c>
      <c r="G343" s="105" t="str">
        <f>IF(F343=True, IFERROR(VLOOKUP(D343, Repository!A:B, 2, 0), ""), "")</f>
        <v/>
      </c>
      <c r="H343" s="105"/>
      <c r="I343" s="105"/>
      <c r="J343" s="105" t="str">
        <f>IF(F343=True, IFERROR(VLOOKUP(D343, Repository!A:C, 3, 0), ""), "")</f>
        <v/>
      </c>
      <c r="K343" s="105"/>
      <c r="L343" s="105" t="str">
        <f>IF(F343=True, IFERROR(VLOOKUP(D343, Repository!A:E, 5, 0), ""), "")</f>
        <v/>
      </c>
      <c r="M343" s="105"/>
      <c r="N343" s="105" t="str">
        <f>IF(F343=True, IFERROR(VLOOKUP(D343, Repository!A:G, 7, 0), ""), "")</f>
        <v/>
      </c>
      <c r="O343" s="105" t="str">
        <f>IFERROR(__xludf.DUMMYFUNCTION("ARRAY_CONSTRAIN(
  ARRAYFORMULA(
    IFERROR(
      LET(
        list, N343,
        arr, TRIM(SPLIT(list, "","")),
        names, XLOOKUP(
          arr,
          'Conformance Score'!A:A,
          'Conformance Score'!B:B,
          ""Not found""
      "&amp;"  ),
        TEXTJOIN("", "", TRUE, names)
      ),
      """"
    )
  ),
  1,
  1
)
"),"")</f>
        <v/>
      </c>
      <c r="P343" s="105" t="str">
        <f>IF(F343="Yes", IFERROR(VLOOKUP(D343, Repository!A:F, 6, 0), ""), "")</f>
        <v/>
      </c>
      <c r="Q343" s="105" t="str">
        <f>IF(F343="Yes", IFERROR(VLOOKUP(D343, Repository!A:I, 8, 0), ""), "")</f>
        <v/>
      </c>
      <c r="R343" s="105" t="str">
        <f>IF(F343="Yes", IFERROR(VLOOKUP(D343, Repository!A:J, 9, 0), ""), "")</f>
        <v/>
      </c>
      <c r="S343" s="105"/>
      <c r="T343" s="105"/>
      <c r="U343" s="105"/>
      <c r="V343" s="105"/>
      <c r="W343" s="105"/>
      <c r="X343" s="105"/>
      <c r="Y343" s="105"/>
      <c r="Z343" s="105"/>
      <c r="AA343" s="105"/>
      <c r="AB343" s="105"/>
      <c r="AC343" s="91"/>
      <c r="AD343" s="105"/>
      <c r="AE343" s="105"/>
      <c r="AF343" s="91"/>
      <c r="AG343" s="105"/>
      <c r="AH343" s="105"/>
      <c r="AI343" s="105" t="str">
        <f t="shared" si="1"/>
        <v/>
      </c>
      <c r="AJ343" s="108" t="str">
        <f t="shared" si="2"/>
        <v/>
      </c>
    </row>
    <row r="344" ht="15.75" customHeight="1">
      <c r="A344" s="104"/>
      <c r="B344" s="105" t="str">
        <f>IFERROR(__xludf.DUMMYFUNCTION("ARRAY_CONSTRAIN(
  ARRAYFORMULA(
    IF(
      'Final Report'!A344="""",
      """",
      TEXTJOIN(
        "", "" &amp; CHAR(10),
        TRUE,
        IFERROR(
          VLOOKUP(
            TRIM(
              SPLIT('Final Report'!A344, "","")
           "&amp;" ),
            'URL Details'!A:B,
            2,
            FALSE
          ),
          """"
        )
      )
    )
  ),
  1,
  1
)
"),"")</f>
        <v/>
      </c>
      <c r="C344" s="105" t="str">
        <f>IFERROR(__xludf.DUMMYFUNCTION("IFERROR(IF('Final Report'!A344="""","""", TEXTJOIN(CHAR(10), TRUE, ARRAYFORMULA( ""• ""&amp; FILTER( TRIM(FLATTEN(SPLIT( REGEXREPLACE( SUBSTITUTE(TEXTJOIN("","", TRUE, IFERROR(ARRAYFORMULA(VLOOKUP(TRIM(SPLIT('Final Report'!A344, "","")), 'URL Details'!A:D, 4,"&amp;" FALSE)),"""") ), CHAR(10), "",""), ""\s*,\s*"", "",""), "",""))), TRIM(FLATTEN(SPLIT( REGEXREPLACE( SUBSTITUTE(TEXTJOIN("","", TRUE, IFERROR(ARRAYFORMULA(VLOOKUP(TRIM(SPLIT('Final Report'!A344, "","")), 'URL Details'!A:D, 4, FALSE)),"""") ), CHAR(10), """&amp;",""), ""\s*,\s*"", "",""), "","")))&lt;&gt;"""" ) ) ) ),"""")
"),"")</f>
        <v/>
      </c>
      <c r="D344" s="105"/>
      <c r="E344" s="105"/>
      <c r="F344" s="110" t="b">
        <v>0</v>
      </c>
      <c r="G344" s="105" t="str">
        <f>IF(F344=True, IFERROR(VLOOKUP(D344, Repository!A:B, 2, 0), ""), "")</f>
        <v/>
      </c>
      <c r="H344" s="105"/>
      <c r="I344" s="105"/>
      <c r="J344" s="105" t="str">
        <f>IF(F344=True, IFERROR(VLOOKUP(D344, Repository!A:C, 3, 0), ""), "")</f>
        <v/>
      </c>
      <c r="K344" s="105"/>
      <c r="L344" s="105" t="str">
        <f>IF(F344=True, IFERROR(VLOOKUP(D344, Repository!A:E, 5, 0), ""), "")</f>
        <v/>
      </c>
      <c r="M344" s="105"/>
      <c r="N344" s="105" t="str">
        <f>IF(F344=True, IFERROR(VLOOKUP(D344, Repository!A:G, 7, 0), ""), "")</f>
        <v/>
      </c>
      <c r="O344" s="105" t="str">
        <f>IFERROR(__xludf.DUMMYFUNCTION("ARRAY_CONSTRAIN(
  ARRAYFORMULA(
    IFERROR(
      LET(
        list, N344,
        arr, TRIM(SPLIT(list, "","")),
        names, XLOOKUP(
          arr,
          'Conformance Score'!A:A,
          'Conformance Score'!B:B,
          ""Not found""
      "&amp;"  ),
        TEXTJOIN("", "", TRUE, names)
      ),
      """"
    )
  ),
  1,
  1
)
"),"")</f>
        <v/>
      </c>
      <c r="P344" s="105" t="str">
        <f>IF(F344="Yes", IFERROR(VLOOKUP(D344, Repository!A:F, 6, 0), ""), "")</f>
        <v/>
      </c>
      <c r="Q344" s="105" t="str">
        <f>IF(F344="Yes", IFERROR(VLOOKUP(D344, Repository!A:I, 8, 0), ""), "")</f>
        <v/>
      </c>
      <c r="R344" s="105" t="str">
        <f>IF(F344="Yes", IFERROR(VLOOKUP(D344, Repository!A:J, 9, 0), ""), "")</f>
        <v/>
      </c>
      <c r="S344" s="105"/>
      <c r="T344" s="105"/>
      <c r="U344" s="105"/>
      <c r="V344" s="105"/>
      <c r="W344" s="105"/>
      <c r="X344" s="105"/>
      <c r="Y344" s="105"/>
      <c r="Z344" s="105"/>
      <c r="AA344" s="105"/>
      <c r="AB344" s="105"/>
      <c r="AC344" s="91"/>
      <c r="AD344" s="105"/>
      <c r="AE344" s="105"/>
      <c r="AF344" s="91"/>
      <c r="AG344" s="105"/>
      <c r="AH344" s="105"/>
      <c r="AI344" s="105" t="str">
        <f t="shared" si="1"/>
        <v/>
      </c>
      <c r="AJ344" s="108" t="str">
        <f t="shared" si="2"/>
        <v/>
      </c>
    </row>
    <row r="345" ht="15.75" customHeight="1">
      <c r="A345" s="104"/>
      <c r="B345" s="105" t="str">
        <f>IFERROR(__xludf.DUMMYFUNCTION("ARRAY_CONSTRAIN(
  ARRAYFORMULA(
    IF(
      'Final Report'!A345="""",
      """",
      TEXTJOIN(
        "", "" &amp; CHAR(10),
        TRUE,
        IFERROR(
          VLOOKUP(
            TRIM(
              SPLIT('Final Report'!A345, "","")
           "&amp;" ),
            'URL Details'!A:B,
            2,
            FALSE
          ),
          """"
        )
      )
    )
  ),
  1,
  1
)
"),"")</f>
        <v/>
      </c>
      <c r="C345" s="105" t="str">
        <f>IFERROR(__xludf.DUMMYFUNCTION("IFERROR(IF('Final Report'!A345="""","""", TEXTJOIN(CHAR(10), TRUE, ARRAYFORMULA( ""• ""&amp; FILTER( TRIM(FLATTEN(SPLIT( REGEXREPLACE( SUBSTITUTE(TEXTJOIN("","", TRUE, IFERROR(ARRAYFORMULA(VLOOKUP(TRIM(SPLIT('Final Report'!A345, "","")), 'URL Details'!A:D, 4,"&amp;" FALSE)),"""") ), CHAR(10), "",""), ""\s*,\s*"", "",""), "",""))), TRIM(FLATTEN(SPLIT( REGEXREPLACE( SUBSTITUTE(TEXTJOIN("","", TRUE, IFERROR(ARRAYFORMULA(VLOOKUP(TRIM(SPLIT('Final Report'!A345, "","")), 'URL Details'!A:D, 4, FALSE)),"""") ), CHAR(10), """&amp;",""), ""\s*,\s*"", "",""), "","")))&lt;&gt;"""" ) ) ) ),"""")
"),"")</f>
        <v/>
      </c>
      <c r="D345" s="105"/>
      <c r="E345" s="105"/>
      <c r="F345" s="110" t="b">
        <v>0</v>
      </c>
      <c r="G345" s="105" t="str">
        <f>IF(F345=True, IFERROR(VLOOKUP(D345, Repository!A:B, 2, 0), ""), "")</f>
        <v/>
      </c>
      <c r="H345" s="105"/>
      <c r="I345" s="105"/>
      <c r="J345" s="105" t="str">
        <f>IF(F345=True, IFERROR(VLOOKUP(D345, Repository!A:C, 3, 0), ""), "")</f>
        <v/>
      </c>
      <c r="K345" s="105"/>
      <c r="L345" s="105" t="str">
        <f>IF(F345=True, IFERROR(VLOOKUP(D345, Repository!A:E, 5, 0), ""), "")</f>
        <v/>
      </c>
      <c r="M345" s="105"/>
      <c r="N345" s="105" t="str">
        <f>IF(F345=True, IFERROR(VLOOKUP(D345, Repository!A:G, 7, 0), ""), "")</f>
        <v/>
      </c>
      <c r="O345" s="105" t="str">
        <f>IFERROR(__xludf.DUMMYFUNCTION("ARRAY_CONSTRAIN(
  ARRAYFORMULA(
    IFERROR(
      LET(
        list, N345,
        arr, TRIM(SPLIT(list, "","")),
        names, XLOOKUP(
          arr,
          'Conformance Score'!A:A,
          'Conformance Score'!B:B,
          ""Not found""
      "&amp;"  ),
        TEXTJOIN("", "", TRUE, names)
      ),
      """"
    )
  ),
  1,
  1
)
"),"")</f>
        <v/>
      </c>
      <c r="P345" s="105" t="str">
        <f>IF(F345="Yes", IFERROR(VLOOKUP(D345, Repository!A:F, 6, 0), ""), "")</f>
        <v/>
      </c>
      <c r="Q345" s="105" t="str">
        <f>IF(F345="Yes", IFERROR(VLOOKUP(D345, Repository!A:I, 8, 0), ""), "")</f>
        <v/>
      </c>
      <c r="R345" s="105" t="str">
        <f>IF(F345="Yes", IFERROR(VLOOKUP(D345, Repository!A:J, 9, 0), ""), "")</f>
        <v/>
      </c>
      <c r="S345" s="105"/>
      <c r="T345" s="105"/>
      <c r="U345" s="105"/>
      <c r="V345" s="105"/>
      <c r="W345" s="105"/>
      <c r="X345" s="105"/>
      <c r="Y345" s="105"/>
      <c r="Z345" s="105"/>
      <c r="AA345" s="105"/>
      <c r="AB345" s="105"/>
      <c r="AC345" s="91"/>
      <c r="AD345" s="105"/>
      <c r="AE345" s="105"/>
      <c r="AF345" s="91"/>
      <c r="AG345" s="105"/>
      <c r="AH345" s="105"/>
      <c r="AI345" s="105" t="str">
        <f t="shared" si="1"/>
        <v/>
      </c>
      <c r="AJ345" s="108" t="str">
        <f t="shared" si="2"/>
        <v/>
      </c>
    </row>
    <row r="346" ht="15.75" customHeight="1">
      <c r="A346" s="104"/>
      <c r="B346" s="105" t="str">
        <f>IFERROR(__xludf.DUMMYFUNCTION("ARRAY_CONSTRAIN(
  ARRAYFORMULA(
    IF(
      'Final Report'!A346="""",
      """",
      TEXTJOIN(
        "", "" &amp; CHAR(10),
        TRUE,
        IFERROR(
          VLOOKUP(
            TRIM(
              SPLIT('Final Report'!A346, "","")
           "&amp;" ),
            'URL Details'!A:B,
            2,
            FALSE
          ),
          """"
        )
      )
    )
  ),
  1,
  1
)
"),"")</f>
        <v/>
      </c>
      <c r="C346" s="105" t="str">
        <f>IFERROR(__xludf.DUMMYFUNCTION("IFERROR(IF('Final Report'!A346="""","""", TEXTJOIN(CHAR(10), TRUE, ARRAYFORMULA( ""• ""&amp; FILTER( TRIM(FLATTEN(SPLIT( REGEXREPLACE( SUBSTITUTE(TEXTJOIN("","", TRUE, IFERROR(ARRAYFORMULA(VLOOKUP(TRIM(SPLIT('Final Report'!A346, "","")), 'URL Details'!A:D, 4,"&amp;" FALSE)),"""") ), CHAR(10), "",""), ""\s*,\s*"", "",""), "",""))), TRIM(FLATTEN(SPLIT( REGEXREPLACE( SUBSTITUTE(TEXTJOIN("","", TRUE, IFERROR(ARRAYFORMULA(VLOOKUP(TRIM(SPLIT('Final Report'!A346, "","")), 'URL Details'!A:D, 4, FALSE)),"""") ), CHAR(10), """&amp;",""), ""\s*,\s*"", "",""), "","")))&lt;&gt;"""" ) ) ) ),"""")
"),"")</f>
        <v/>
      </c>
      <c r="D346" s="105"/>
      <c r="E346" s="105"/>
      <c r="F346" s="110" t="b">
        <v>0</v>
      </c>
      <c r="G346" s="105" t="str">
        <f>IF(F346=True, IFERROR(VLOOKUP(D346, Repository!A:B, 2, 0), ""), "")</f>
        <v/>
      </c>
      <c r="H346" s="105"/>
      <c r="I346" s="105"/>
      <c r="J346" s="105" t="str">
        <f>IF(F346=True, IFERROR(VLOOKUP(D346, Repository!A:C, 3, 0), ""), "")</f>
        <v/>
      </c>
      <c r="K346" s="105"/>
      <c r="L346" s="105" t="str">
        <f>IF(F346=True, IFERROR(VLOOKUP(D346, Repository!A:E, 5, 0), ""), "")</f>
        <v/>
      </c>
      <c r="M346" s="105"/>
      <c r="N346" s="105" t="str">
        <f>IF(F346=True, IFERROR(VLOOKUP(D346, Repository!A:G, 7, 0), ""), "")</f>
        <v/>
      </c>
      <c r="O346" s="105" t="str">
        <f>IFERROR(__xludf.DUMMYFUNCTION("ARRAY_CONSTRAIN(
  ARRAYFORMULA(
    IFERROR(
      LET(
        list, N346,
        arr, TRIM(SPLIT(list, "","")),
        names, XLOOKUP(
          arr,
          'Conformance Score'!A:A,
          'Conformance Score'!B:B,
          ""Not found""
      "&amp;"  ),
        TEXTJOIN("", "", TRUE, names)
      ),
      """"
    )
  ),
  1,
  1
)
"),"")</f>
        <v/>
      </c>
      <c r="P346" s="105" t="str">
        <f>IF(F346="Yes", IFERROR(VLOOKUP(D346, Repository!A:F, 6, 0), ""), "")</f>
        <v/>
      </c>
      <c r="Q346" s="105" t="str">
        <f>IF(F346="Yes", IFERROR(VLOOKUP(D346, Repository!A:I, 8, 0), ""), "")</f>
        <v/>
      </c>
      <c r="R346" s="105" t="str">
        <f>IF(F346="Yes", IFERROR(VLOOKUP(D346, Repository!A:J, 9, 0), ""), "")</f>
        <v/>
      </c>
      <c r="S346" s="105"/>
      <c r="T346" s="105"/>
      <c r="U346" s="105"/>
      <c r="V346" s="105"/>
      <c r="W346" s="105"/>
      <c r="X346" s="105"/>
      <c r="Y346" s="105"/>
      <c r="Z346" s="105"/>
      <c r="AA346" s="105"/>
      <c r="AB346" s="105"/>
      <c r="AC346" s="91"/>
      <c r="AD346" s="105"/>
      <c r="AE346" s="105"/>
      <c r="AF346" s="91"/>
      <c r="AG346" s="105"/>
      <c r="AH346" s="105"/>
      <c r="AI346" s="105" t="str">
        <f t="shared" si="1"/>
        <v/>
      </c>
      <c r="AJ346" s="108" t="str">
        <f t="shared" si="2"/>
        <v/>
      </c>
    </row>
    <row r="347" ht="15.75" customHeight="1">
      <c r="A347" s="104"/>
      <c r="B347" s="105" t="str">
        <f>IFERROR(__xludf.DUMMYFUNCTION("ARRAY_CONSTRAIN(
  ARRAYFORMULA(
    IF(
      'Final Report'!A347="""",
      """",
      TEXTJOIN(
        "", "" &amp; CHAR(10),
        TRUE,
        IFERROR(
          VLOOKUP(
            TRIM(
              SPLIT('Final Report'!A347, "","")
           "&amp;" ),
            'URL Details'!A:B,
            2,
            FALSE
          ),
          """"
        )
      )
    )
  ),
  1,
  1
)
"),"")</f>
        <v/>
      </c>
      <c r="C347" s="105" t="str">
        <f>IFERROR(__xludf.DUMMYFUNCTION("IFERROR(IF('Final Report'!A347="""","""", TEXTJOIN(CHAR(10), TRUE, ARRAYFORMULA( ""• ""&amp; FILTER( TRIM(FLATTEN(SPLIT( REGEXREPLACE( SUBSTITUTE(TEXTJOIN("","", TRUE, IFERROR(ARRAYFORMULA(VLOOKUP(TRIM(SPLIT('Final Report'!A347, "","")), 'URL Details'!A:D, 4,"&amp;" FALSE)),"""") ), CHAR(10), "",""), ""\s*,\s*"", "",""), "",""))), TRIM(FLATTEN(SPLIT( REGEXREPLACE( SUBSTITUTE(TEXTJOIN("","", TRUE, IFERROR(ARRAYFORMULA(VLOOKUP(TRIM(SPLIT('Final Report'!A347, "","")), 'URL Details'!A:D, 4, FALSE)),"""") ), CHAR(10), """&amp;",""), ""\s*,\s*"", "",""), "","")))&lt;&gt;"""" ) ) ) ),"""")
"),"")</f>
        <v/>
      </c>
      <c r="D347" s="105"/>
      <c r="E347" s="105"/>
      <c r="F347" s="110" t="b">
        <v>0</v>
      </c>
      <c r="G347" s="105" t="str">
        <f>IF(F347=True, IFERROR(VLOOKUP(D347, Repository!A:B, 2, 0), ""), "")</f>
        <v/>
      </c>
      <c r="H347" s="105"/>
      <c r="I347" s="105"/>
      <c r="J347" s="105" t="str">
        <f>IF(F347=True, IFERROR(VLOOKUP(D347, Repository!A:C, 3, 0), ""), "")</f>
        <v/>
      </c>
      <c r="K347" s="105"/>
      <c r="L347" s="105" t="str">
        <f>IF(F347=True, IFERROR(VLOOKUP(D347, Repository!A:E, 5, 0), ""), "")</f>
        <v/>
      </c>
      <c r="M347" s="105"/>
      <c r="N347" s="105" t="str">
        <f>IF(F347=True, IFERROR(VLOOKUP(D347, Repository!A:G, 7, 0), ""), "")</f>
        <v/>
      </c>
      <c r="O347" s="105" t="str">
        <f>IFERROR(__xludf.DUMMYFUNCTION("ARRAY_CONSTRAIN(
  ARRAYFORMULA(
    IFERROR(
      LET(
        list, N347,
        arr, TRIM(SPLIT(list, "","")),
        names, XLOOKUP(
          arr,
          'Conformance Score'!A:A,
          'Conformance Score'!B:B,
          ""Not found""
      "&amp;"  ),
        TEXTJOIN("", "", TRUE, names)
      ),
      """"
    )
  ),
  1,
  1
)
"),"")</f>
        <v/>
      </c>
      <c r="P347" s="105" t="str">
        <f>IF(F347="Yes", IFERROR(VLOOKUP(D347, Repository!A:F, 6, 0), ""), "")</f>
        <v/>
      </c>
      <c r="Q347" s="105" t="str">
        <f>IF(F347="Yes", IFERROR(VLOOKUP(D347, Repository!A:I, 8, 0), ""), "")</f>
        <v/>
      </c>
      <c r="R347" s="105" t="str">
        <f>IF(F347="Yes", IFERROR(VLOOKUP(D347, Repository!A:J, 9, 0), ""), "")</f>
        <v/>
      </c>
      <c r="S347" s="105"/>
      <c r="T347" s="105"/>
      <c r="U347" s="105"/>
      <c r="V347" s="105"/>
      <c r="W347" s="105"/>
      <c r="X347" s="105"/>
      <c r="Y347" s="105"/>
      <c r="Z347" s="105"/>
      <c r="AA347" s="105"/>
      <c r="AB347" s="105"/>
      <c r="AC347" s="91"/>
      <c r="AD347" s="105"/>
      <c r="AE347" s="105"/>
      <c r="AF347" s="91"/>
      <c r="AG347" s="105"/>
      <c r="AH347" s="105"/>
      <c r="AI347" s="105" t="str">
        <f t="shared" si="1"/>
        <v/>
      </c>
      <c r="AJ347" s="108" t="str">
        <f t="shared" si="2"/>
        <v/>
      </c>
    </row>
    <row r="348" ht="15.75" customHeight="1">
      <c r="A348" s="104"/>
      <c r="B348" s="105" t="str">
        <f>IFERROR(__xludf.DUMMYFUNCTION("ARRAY_CONSTRAIN(
  ARRAYFORMULA(
    IF(
      'Final Report'!A348="""",
      """",
      TEXTJOIN(
        "", "" &amp; CHAR(10),
        TRUE,
        IFERROR(
          VLOOKUP(
            TRIM(
              SPLIT('Final Report'!A348, "","")
           "&amp;" ),
            'URL Details'!A:B,
            2,
            FALSE
          ),
          """"
        )
      )
    )
  ),
  1,
  1
)
"),"")</f>
        <v/>
      </c>
      <c r="C348" s="105" t="str">
        <f>IFERROR(__xludf.DUMMYFUNCTION("IFERROR(IF('Final Report'!A348="""","""", TEXTJOIN(CHAR(10), TRUE, ARRAYFORMULA( ""• ""&amp; FILTER( TRIM(FLATTEN(SPLIT( REGEXREPLACE( SUBSTITUTE(TEXTJOIN("","", TRUE, IFERROR(ARRAYFORMULA(VLOOKUP(TRIM(SPLIT('Final Report'!A348, "","")), 'URL Details'!A:D, 4,"&amp;" FALSE)),"""") ), CHAR(10), "",""), ""\s*,\s*"", "",""), "",""))), TRIM(FLATTEN(SPLIT( REGEXREPLACE( SUBSTITUTE(TEXTJOIN("","", TRUE, IFERROR(ARRAYFORMULA(VLOOKUP(TRIM(SPLIT('Final Report'!A348, "","")), 'URL Details'!A:D, 4, FALSE)),"""") ), CHAR(10), """&amp;",""), ""\s*,\s*"", "",""), "","")))&lt;&gt;"""" ) ) ) ),"""")
"),"")</f>
        <v/>
      </c>
      <c r="D348" s="105"/>
      <c r="E348" s="105"/>
      <c r="F348" s="110" t="b">
        <v>0</v>
      </c>
      <c r="G348" s="105" t="str">
        <f>IF(F348=True, IFERROR(VLOOKUP(D348, Repository!A:B, 2, 0), ""), "")</f>
        <v/>
      </c>
      <c r="H348" s="105"/>
      <c r="I348" s="105"/>
      <c r="J348" s="105" t="str">
        <f>IF(F348=True, IFERROR(VLOOKUP(D348, Repository!A:C, 3, 0), ""), "")</f>
        <v/>
      </c>
      <c r="K348" s="105"/>
      <c r="L348" s="105" t="str">
        <f>IF(F348=True, IFERROR(VLOOKUP(D348, Repository!A:E, 5, 0), ""), "")</f>
        <v/>
      </c>
      <c r="M348" s="105"/>
      <c r="N348" s="105" t="str">
        <f>IF(F348=True, IFERROR(VLOOKUP(D348, Repository!A:G, 7, 0), ""), "")</f>
        <v/>
      </c>
      <c r="O348" s="105" t="str">
        <f>IFERROR(__xludf.DUMMYFUNCTION("ARRAY_CONSTRAIN(
  ARRAYFORMULA(
    IFERROR(
      LET(
        list, N348,
        arr, TRIM(SPLIT(list, "","")),
        names, XLOOKUP(
          arr,
          'Conformance Score'!A:A,
          'Conformance Score'!B:B,
          ""Not found""
      "&amp;"  ),
        TEXTJOIN("", "", TRUE, names)
      ),
      """"
    )
  ),
  1,
  1
)
"),"")</f>
        <v/>
      </c>
      <c r="P348" s="105" t="str">
        <f>IF(F348="Yes", IFERROR(VLOOKUP(D348, Repository!A:F, 6, 0), ""), "")</f>
        <v/>
      </c>
      <c r="Q348" s="105" t="str">
        <f>IF(F348="Yes", IFERROR(VLOOKUP(D348, Repository!A:I, 8, 0), ""), "")</f>
        <v/>
      </c>
      <c r="R348" s="105" t="str">
        <f>IF(F348="Yes", IFERROR(VLOOKUP(D348, Repository!A:J, 9, 0), ""), "")</f>
        <v/>
      </c>
      <c r="S348" s="105"/>
      <c r="T348" s="105"/>
      <c r="U348" s="105"/>
      <c r="V348" s="105"/>
      <c r="W348" s="105"/>
      <c r="X348" s="105"/>
      <c r="Y348" s="105"/>
      <c r="Z348" s="105"/>
      <c r="AA348" s="105"/>
      <c r="AB348" s="105"/>
      <c r="AC348" s="91"/>
      <c r="AD348" s="105"/>
      <c r="AE348" s="105"/>
      <c r="AF348" s="91"/>
      <c r="AG348" s="105"/>
      <c r="AH348" s="105"/>
      <c r="AI348" s="105" t="str">
        <f t="shared" si="1"/>
        <v/>
      </c>
      <c r="AJ348" s="108" t="str">
        <f t="shared" si="2"/>
        <v/>
      </c>
    </row>
    <row r="349" ht="15.75" customHeight="1">
      <c r="A349" s="104"/>
      <c r="B349" s="105" t="str">
        <f>IFERROR(__xludf.DUMMYFUNCTION("ARRAY_CONSTRAIN(
  ARRAYFORMULA(
    IF(
      'Final Report'!A349="""",
      """",
      TEXTJOIN(
        "", "" &amp; CHAR(10),
        TRUE,
        IFERROR(
          VLOOKUP(
            TRIM(
              SPLIT('Final Report'!A349, "","")
           "&amp;" ),
            'URL Details'!A:B,
            2,
            FALSE
          ),
          """"
        )
      )
    )
  ),
  1,
  1
)
"),"")</f>
        <v/>
      </c>
      <c r="C349" s="105" t="str">
        <f>IFERROR(__xludf.DUMMYFUNCTION("IFERROR(IF('Final Report'!A349="""","""", TEXTJOIN(CHAR(10), TRUE, ARRAYFORMULA( ""• ""&amp; FILTER( TRIM(FLATTEN(SPLIT( REGEXREPLACE( SUBSTITUTE(TEXTJOIN("","", TRUE, IFERROR(ARRAYFORMULA(VLOOKUP(TRIM(SPLIT('Final Report'!A349, "","")), 'URL Details'!A:D, 4,"&amp;" FALSE)),"""") ), CHAR(10), "",""), ""\s*,\s*"", "",""), "",""))), TRIM(FLATTEN(SPLIT( REGEXREPLACE( SUBSTITUTE(TEXTJOIN("","", TRUE, IFERROR(ARRAYFORMULA(VLOOKUP(TRIM(SPLIT('Final Report'!A349, "","")), 'URL Details'!A:D, 4, FALSE)),"""") ), CHAR(10), """&amp;",""), ""\s*,\s*"", "",""), "","")))&lt;&gt;"""" ) ) ) ),"""")
"),"")</f>
        <v/>
      </c>
      <c r="D349" s="105"/>
      <c r="E349" s="105"/>
      <c r="F349" s="110" t="b">
        <v>0</v>
      </c>
      <c r="G349" s="105" t="str">
        <f>IF(F349=True, IFERROR(VLOOKUP(D349, Repository!A:B, 2, 0), ""), "")</f>
        <v/>
      </c>
      <c r="H349" s="105"/>
      <c r="I349" s="105"/>
      <c r="J349" s="105" t="str">
        <f>IF(F349=True, IFERROR(VLOOKUP(D349, Repository!A:C, 3, 0), ""), "")</f>
        <v/>
      </c>
      <c r="K349" s="105"/>
      <c r="L349" s="105" t="str">
        <f>IF(F349=True, IFERROR(VLOOKUP(D349, Repository!A:E, 5, 0), ""), "")</f>
        <v/>
      </c>
      <c r="M349" s="105"/>
      <c r="N349" s="105" t="str">
        <f>IF(F349=True, IFERROR(VLOOKUP(D349, Repository!A:G, 7, 0), ""), "")</f>
        <v/>
      </c>
      <c r="O349" s="105" t="str">
        <f>IFERROR(__xludf.DUMMYFUNCTION("ARRAY_CONSTRAIN(
  ARRAYFORMULA(
    IFERROR(
      LET(
        list, N349,
        arr, TRIM(SPLIT(list, "","")),
        names, XLOOKUP(
          arr,
          'Conformance Score'!A:A,
          'Conformance Score'!B:B,
          ""Not found""
      "&amp;"  ),
        TEXTJOIN("", "", TRUE, names)
      ),
      """"
    )
  ),
  1,
  1
)
"),"")</f>
        <v/>
      </c>
      <c r="P349" s="105" t="str">
        <f>IF(F349="Yes", IFERROR(VLOOKUP(D349, Repository!A:F, 6, 0), ""), "")</f>
        <v/>
      </c>
      <c r="Q349" s="105" t="str">
        <f>IF(F349="Yes", IFERROR(VLOOKUP(D349, Repository!A:I, 8, 0), ""), "")</f>
        <v/>
      </c>
      <c r="R349" s="105" t="str">
        <f>IF(F349="Yes", IFERROR(VLOOKUP(D349, Repository!A:J, 9, 0), ""), "")</f>
        <v/>
      </c>
      <c r="S349" s="105"/>
      <c r="T349" s="105"/>
      <c r="U349" s="105"/>
      <c r="V349" s="105"/>
      <c r="W349" s="105"/>
      <c r="X349" s="105"/>
      <c r="Y349" s="105"/>
      <c r="Z349" s="105"/>
      <c r="AA349" s="105"/>
      <c r="AB349" s="105"/>
      <c r="AC349" s="91"/>
      <c r="AD349" s="105"/>
      <c r="AE349" s="105"/>
      <c r="AF349" s="91"/>
      <c r="AG349" s="105"/>
      <c r="AH349" s="105"/>
      <c r="AI349" s="105" t="str">
        <f t="shared" si="1"/>
        <v/>
      </c>
      <c r="AJ349" s="108" t="str">
        <f t="shared" si="2"/>
        <v/>
      </c>
    </row>
    <row r="350" ht="15.75" customHeight="1">
      <c r="A350" s="104"/>
      <c r="B350" s="105" t="str">
        <f>IFERROR(__xludf.DUMMYFUNCTION("ARRAY_CONSTRAIN(
  ARRAYFORMULA(
    IF(
      'Final Report'!A350="""",
      """",
      TEXTJOIN(
        "", "" &amp; CHAR(10),
        TRUE,
        IFERROR(
          VLOOKUP(
            TRIM(
              SPLIT('Final Report'!A350, "","")
           "&amp;" ),
            'URL Details'!A:B,
            2,
            FALSE
          ),
          """"
        )
      )
    )
  ),
  1,
  1
)
"),"")</f>
        <v/>
      </c>
      <c r="C350" s="105" t="str">
        <f>IFERROR(__xludf.DUMMYFUNCTION("IFERROR(IF('Final Report'!A350="""","""", TEXTJOIN(CHAR(10), TRUE, ARRAYFORMULA( ""• ""&amp; FILTER( TRIM(FLATTEN(SPLIT( REGEXREPLACE( SUBSTITUTE(TEXTJOIN("","", TRUE, IFERROR(ARRAYFORMULA(VLOOKUP(TRIM(SPLIT('Final Report'!A350, "","")), 'URL Details'!A:D, 4,"&amp;" FALSE)),"""") ), CHAR(10), "",""), ""\s*,\s*"", "",""), "",""))), TRIM(FLATTEN(SPLIT( REGEXREPLACE( SUBSTITUTE(TEXTJOIN("","", TRUE, IFERROR(ARRAYFORMULA(VLOOKUP(TRIM(SPLIT('Final Report'!A350, "","")), 'URL Details'!A:D, 4, FALSE)),"""") ), CHAR(10), """&amp;",""), ""\s*,\s*"", "",""), "","")))&lt;&gt;"""" ) ) ) ),"""")
"),"")</f>
        <v/>
      </c>
      <c r="D350" s="105"/>
      <c r="E350" s="105"/>
      <c r="F350" s="110" t="b">
        <v>0</v>
      </c>
      <c r="G350" s="105" t="str">
        <f>IF(F350=True, IFERROR(VLOOKUP(D350, Repository!A:B, 2, 0), ""), "")</f>
        <v/>
      </c>
      <c r="H350" s="105"/>
      <c r="I350" s="105"/>
      <c r="J350" s="105" t="str">
        <f>IF(F350=True, IFERROR(VLOOKUP(D350, Repository!A:C, 3, 0), ""), "")</f>
        <v/>
      </c>
      <c r="K350" s="105"/>
      <c r="L350" s="105" t="str">
        <f>IF(F350=True, IFERROR(VLOOKUP(D350, Repository!A:E, 5, 0), ""), "")</f>
        <v/>
      </c>
      <c r="M350" s="105"/>
      <c r="N350" s="105" t="str">
        <f>IF(F350=True, IFERROR(VLOOKUP(D350, Repository!A:G, 7, 0), ""), "")</f>
        <v/>
      </c>
      <c r="O350" s="105" t="str">
        <f>IFERROR(__xludf.DUMMYFUNCTION("ARRAY_CONSTRAIN(
  ARRAYFORMULA(
    IFERROR(
      LET(
        list, N350,
        arr, TRIM(SPLIT(list, "","")),
        names, XLOOKUP(
          arr,
          'Conformance Score'!A:A,
          'Conformance Score'!B:B,
          ""Not found""
      "&amp;"  ),
        TEXTJOIN("", "", TRUE, names)
      ),
      """"
    )
  ),
  1,
  1
)
"),"")</f>
        <v/>
      </c>
      <c r="P350" s="105" t="str">
        <f>IF(F350="Yes", IFERROR(VLOOKUP(D350, Repository!A:F, 6, 0), ""), "")</f>
        <v/>
      </c>
      <c r="Q350" s="105" t="str">
        <f>IF(F350="Yes", IFERROR(VLOOKUP(D350, Repository!A:I, 8, 0), ""), "")</f>
        <v/>
      </c>
      <c r="R350" s="105" t="str">
        <f>IF(F350="Yes", IFERROR(VLOOKUP(D350, Repository!A:J, 9, 0), ""), "")</f>
        <v/>
      </c>
      <c r="S350" s="105"/>
      <c r="T350" s="105"/>
      <c r="U350" s="105"/>
      <c r="V350" s="105"/>
      <c r="W350" s="105"/>
      <c r="X350" s="105"/>
      <c r="Y350" s="105"/>
      <c r="Z350" s="105"/>
      <c r="AA350" s="105"/>
      <c r="AB350" s="105"/>
      <c r="AC350" s="91"/>
      <c r="AD350" s="105"/>
      <c r="AE350" s="105"/>
      <c r="AF350" s="91"/>
      <c r="AG350" s="105"/>
      <c r="AH350" s="105"/>
      <c r="AI350" s="105" t="str">
        <f t="shared" si="1"/>
        <v/>
      </c>
      <c r="AJ350" s="108" t="str">
        <f t="shared" si="2"/>
        <v/>
      </c>
    </row>
    <row r="351" ht="15.75" customHeight="1">
      <c r="A351" s="104"/>
      <c r="B351" s="105" t="str">
        <f>IFERROR(__xludf.DUMMYFUNCTION("ARRAY_CONSTRAIN(
  ARRAYFORMULA(
    IF(
      'Final Report'!A351="""",
      """",
      TEXTJOIN(
        "", "" &amp; CHAR(10),
        TRUE,
        IFERROR(
          VLOOKUP(
            TRIM(
              SPLIT('Final Report'!A351, "","")
           "&amp;" ),
            'URL Details'!A:B,
            2,
            FALSE
          ),
          """"
        )
      )
    )
  ),
  1,
  1
)
"),"")</f>
        <v/>
      </c>
      <c r="C351" s="105" t="str">
        <f>IFERROR(__xludf.DUMMYFUNCTION("IFERROR(IF('Final Report'!A351="""","""", TEXTJOIN(CHAR(10), TRUE, ARRAYFORMULA( ""• ""&amp; FILTER( TRIM(FLATTEN(SPLIT( REGEXREPLACE( SUBSTITUTE(TEXTJOIN("","", TRUE, IFERROR(ARRAYFORMULA(VLOOKUP(TRIM(SPLIT('Final Report'!A351, "","")), 'URL Details'!A:D, 4,"&amp;" FALSE)),"""") ), CHAR(10), "",""), ""\s*,\s*"", "",""), "",""))), TRIM(FLATTEN(SPLIT( REGEXREPLACE( SUBSTITUTE(TEXTJOIN("","", TRUE, IFERROR(ARRAYFORMULA(VLOOKUP(TRIM(SPLIT('Final Report'!A351, "","")), 'URL Details'!A:D, 4, FALSE)),"""") ), CHAR(10), """&amp;",""), ""\s*,\s*"", "",""), "","")))&lt;&gt;"""" ) ) ) ),"""")
"),"")</f>
        <v/>
      </c>
      <c r="D351" s="105"/>
      <c r="E351" s="105"/>
      <c r="F351" s="110" t="b">
        <v>0</v>
      </c>
      <c r="G351" s="105" t="str">
        <f>IF(F351=True, IFERROR(VLOOKUP(D351, Repository!A:B, 2, 0), ""), "")</f>
        <v/>
      </c>
      <c r="H351" s="105"/>
      <c r="I351" s="105"/>
      <c r="J351" s="105" t="str">
        <f>IF(F351=True, IFERROR(VLOOKUP(D351, Repository!A:C, 3, 0), ""), "")</f>
        <v/>
      </c>
      <c r="K351" s="105"/>
      <c r="L351" s="105" t="str">
        <f>IF(F351=True, IFERROR(VLOOKUP(D351, Repository!A:E, 5, 0), ""), "")</f>
        <v/>
      </c>
      <c r="M351" s="105"/>
      <c r="N351" s="105" t="str">
        <f>IF(F351=True, IFERROR(VLOOKUP(D351, Repository!A:G, 7, 0), ""), "")</f>
        <v/>
      </c>
      <c r="O351" s="105" t="str">
        <f>IFERROR(__xludf.DUMMYFUNCTION("ARRAY_CONSTRAIN(
  ARRAYFORMULA(
    IFERROR(
      LET(
        list, N351,
        arr, TRIM(SPLIT(list, "","")),
        names, XLOOKUP(
          arr,
          'Conformance Score'!A:A,
          'Conformance Score'!B:B,
          ""Not found""
      "&amp;"  ),
        TEXTJOIN("", "", TRUE, names)
      ),
      """"
    )
  ),
  1,
  1
)
"),"")</f>
        <v/>
      </c>
      <c r="P351" s="105" t="str">
        <f>IF(F351="Yes", IFERROR(VLOOKUP(D351, Repository!A:F, 6, 0), ""), "")</f>
        <v/>
      </c>
      <c r="Q351" s="105" t="str">
        <f>IF(F351="Yes", IFERROR(VLOOKUP(D351, Repository!A:I, 8, 0), ""), "")</f>
        <v/>
      </c>
      <c r="R351" s="105" t="str">
        <f>IF(F351="Yes", IFERROR(VLOOKUP(D351, Repository!A:J, 9, 0), ""), "")</f>
        <v/>
      </c>
      <c r="S351" s="105"/>
      <c r="T351" s="105"/>
      <c r="U351" s="105"/>
      <c r="V351" s="105"/>
      <c r="W351" s="105"/>
      <c r="X351" s="105"/>
      <c r="Y351" s="105"/>
      <c r="Z351" s="105"/>
      <c r="AA351" s="105"/>
      <c r="AB351" s="105"/>
      <c r="AC351" s="91"/>
      <c r="AD351" s="105"/>
      <c r="AE351" s="105"/>
      <c r="AF351" s="91"/>
      <c r="AG351" s="105"/>
      <c r="AH351" s="105"/>
      <c r="AI351" s="105" t="str">
        <f t="shared" si="1"/>
        <v/>
      </c>
      <c r="AJ351" s="108" t="str">
        <f t="shared" si="2"/>
        <v/>
      </c>
    </row>
    <row r="352" ht="15.75" customHeight="1">
      <c r="A352" s="104"/>
      <c r="B352" s="105" t="str">
        <f>IFERROR(__xludf.DUMMYFUNCTION("ARRAY_CONSTRAIN(
  ARRAYFORMULA(
    IF(
      'Final Report'!A352="""",
      """",
      TEXTJOIN(
        "", "" &amp; CHAR(10),
        TRUE,
        IFERROR(
          VLOOKUP(
            TRIM(
              SPLIT('Final Report'!A352, "","")
           "&amp;" ),
            'URL Details'!A:B,
            2,
            FALSE
          ),
          """"
        )
      )
    )
  ),
  1,
  1
)
"),"")</f>
        <v/>
      </c>
      <c r="C352" s="105" t="str">
        <f>IFERROR(__xludf.DUMMYFUNCTION("IFERROR(IF('Final Report'!A352="""","""", TEXTJOIN(CHAR(10), TRUE, ARRAYFORMULA( ""• ""&amp; FILTER( TRIM(FLATTEN(SPLIT( REGEXREPLACE( SUBSTITUTE(TEXTJOIN("","", TRUE, IFERROR(ARRAYFORMULA(VLOOKUP(TRIM(SPLIT('Final Report'!A352, "","")), 'URL Details'!A:D, 4,"&amp;" FALSE)),"""") ), CHAR(10), "",""), ""\s*,\s*"", "",""), "",""))), TRIM(FLATTEN(SPLIT( REGEXREPLACE( SUBSTITUTE(TEXTJOIN("","", TRUE, IFERROR(ARRAYFORMULA(VLOOKUP(TRIM(SPLIT('Final Report'!A352, "","")), 'URL Details'!A:D, 4, FALSE)),"""") ), CHAR(10), """&amp;",""), ""\s*,\s*"", "",""), "","")))&lt;&gt;"""" ) ) ) ),"""")
"),"")</f>
        <v/>
      </c>
      <c r="D352" s="105"/>
      <c r="E352" s="105"/>
      <c r="F352" s="110" t="b">
        <v>0</v>
      </c>
      <c r="G352" s="105" t="str">
        <f>IF(F352=True, IFERROR(VLOOKUP(D352, Repository!A:B, 2, 0), ""), "")</f>
        <v/>
      </c>
      <c r="H352" s="105"/>
      <c r="I352" s="105"/>
      <c r="J352" s="105" t="str">
        <f>IF(F352=True, IFERROR(VLOOKUP(D352, Repository!A:C, 3, 0), ""), "")</f>
        <v/>
      </c>
      <c r="K352" s="105"/>
      <c r="L352" s="105" t="str">
        <f>IF(F352=True, IFERROR(VLOOKUP(D352, Repository!A:E, 5, 0), ""), "")</f>
        <v/>
      </c>
      <c r="M352" s="105"/>
      <c r="N352" s="105" t="str">
        <f>IF(F352=True, IFERROR(VLOOKUP(D352, Repository!A:G, 7, 0), ""), "")</f>
        <v/>
      </c>
      <c r="O352" s="105" t="str">
        <f>IFERROR(__xludf.DUMMYFUNCTION("ARRAY_CONSTRAIN(
  ARRAYFORMULA(
    IFERROR(
      LET(
        list, N352,
        arr, TRIM(SPLIT(list, "","")),
        names, XLOOKUP(
          arr,
          'Conformance Score'!A:A,
          'Conformance Score'!B:B,
          ""Not found""
      "&amp;"  ),
        TEXTJOIN("", "", TRUE, names)
      ),
      """"
    )
  ),
  1,
  1
)
"),"")</f>
        <v/>
      </c>
      <c r="P352" s="105" t="str">
        <f>IF(F352="Yes", IFERROR(VLOOKUP(D352, Repository!A:F, 6, 0), ""), "")</f>
        <v/>
      </c>
      <c r="Q352" s="105" t="str">
        <f>IF(F352="Yes", IFERROR(VLOOKUP(D352, Repository!A:I, 8, 0), ""), "")</f>
        <v/>
      </c>
      <c r="R352" s="105" t="str">
        <f>IF(F352="Yes", IFERROR(VLOOKUP(D352, Repository!A:J, 9, 0), ""), "")</f>
        <v/>
      </c>
      <c r="S352" s="105"/>
      <c r="T352" s="105"/>
      <c r="U352" s="105"/>
      <c r="V352" s="105"/>
      <c r="W352" s="105"/>
      <c r="X352" s="105"/>
      <c r="Y352" s="105"/>
      <c r="Z352" s="105"/>
      <c r="AA352" s="105"/>
      <c r="AB352" s="105"/>
      <c r="AC352" s="91"/>
      <c r="AD352" s="105"/>
      <c r="AE352" s="105"/>
      <c r="AF352" s="91"/>
      <c r="AG352" s="105"/>
      <c r="AH352" s="105"/>
      <c r="AI352" s="105" t="str">
        <f t="shared" si="1"/>
        <v/>
      </c>
      <c r="AJ352" s="108" t="str">
        <f t="shared" si="2"/>
        <v/>
      </c>
    </row>
    <row r="353" ht="15.75" customHeight="1">
      <c r="A353" s="104"/>
      <c r="B353" s="105" t="str">
        <f>IFERROR(__xludf.DUMMYFUNCTION("ARRAY_CONSTRAIN(
  ARRAYFORMULA(
    IF(
      'Final Report'!A353="""",
      """",
      TEXTJOIN(
        "", "" &amp; CHAR(10),
        TRUE,
        IFERROR(
          VLOOKUP(
            TRIM(
              SPLIT('Final Report'!A353, "","")
           "&amp;" ),
            'URL Details'!A:B,
            2,
            FALSE
          ),
          """"
        )
      )
    )
  ),
  1,
  1
)
"),"")</f>
        <v/>
      </c>
      <c r="C353" s="105" t="str">
        <f>IFERROR(__xludf.DUMMYFUNCTION("IFERROR(IF('Final Report'!A353="""","""", TEXTJOIN(CHAR(10), TRUE, ARRAYFORMULA( ""• ""&amp; FILTER( TRIM(FLATTEN(SPLIT( REGEXREPLACE( SUBSTITUTE(TEXTJOIN("","", TRUE, IFERROR(ARRAYFORMULA(VLOOKUP(TRIM(SPLIT('Final Report'!A353, "","")), 'URL Details'!A:D, 4,"&amp;" FALSE)),"""") ), CHAR(10), "",""), ""\s*,\s*"", "",""), "",""))), TRIM(FLATTEN(SPLIT( REGEXREPLACE( SUBSTITUTE(TEXTJOIN("","", TRUE, IFERROR(ARRAYFORMULA(VLOOKUP(TRIM(SPLIT('Final Report'!A353, "","")), 'URL Details'!A:D, 4, FALSE)),"""") ), CHAR(10), """&amp;",""), ""\s*,\s*"", "",""), "","")))&lt;&gt;"""" ) ) ) ),"""")
"),"")</f>
        <v/>
      </c>
      <c r="D353" s="105"/>
      <c r="E353" s="105"/>
      <c r="F353" s="110" t="b">
        <v>0</v>
      </c>
      <c r="G353" s="105" t="str">
        <f>IF(F353=True, IFERROR(VLOOKUP(D353, Repository!A:B, 2, 0), ""), "")</f>
        <v/>
      </c>
      <c r="H353" s="105"/>
      <c r="I353" s="105"/>
      <c r="J353" s="105" t="str">
        <f>IF(F353=True, IFERROR(VLOOKUP(D353, Repository!A:C, 3, 0), ""), "")</f>
        <v/>
      </c>
      <c r="K353" s="105"/>
      <c r="L353" s="105" t="str">
        <f>IF(F353=True, IFERROR(VLOOKUP(D353, Repository!A:E, 5, 0), ""), "")</f>
        <v/>
      </c>
      <c r="M353" s="105"/>
      <c r="N353" s="105" t="str">
        <f>IF(F353=True, IFERROR(VLOOKUP(D353, Repository!A:G, 7, 0), ""), "")</f>
        <v/>
      </c>
      <c r="O353" s="105" t="str">
        <f>IFERROR(__xludf.DUMMYFUNCTION("ARRAY_CONSTRAIN(
  ARRAYFORMULA(
    IFERROR(
      LET(
        list, N353,
        arr, TRIM(SPLIT(list, "","")),
        names, XLOOKUP(
          arr,
          'Conformance Score'!A:A,
          'Conformance Score'!B:B,
          ""Not found""
      "&amp;"  ),
        TEXTJOIN("", "", TRUE, names)
      ),
      """"
    )
  ),
  1,
  1
)
"),"")</f>
        <v/>
      </c>
      <c r="P353" s="105" t="str">
        <f>IF(F353="Yes", IFERROR(VLOOKUP(D353, Repository!A:F, 6, 0), ""), "")</f>
        <v/>
      </c>
      <c r="Q353" s="105" t="str">
        <f>IF(F353="Yes", IFERROR(VLOOKUP(D353, Repository!A:I, 8, 0), ""), "")</f>
        <v/>
      </c>
      <c r="R353" s="105" t="str">
        <f>IF(F353="Yes", IFERROR(VLOOKUP(D353, Repository!A:J, 9, 0), ""), "")</f>
        <v/>
      </c>
      <c r="S353" s="105"/>
      <c r="T353" s="105"/>
      <c r="U353" s="105"/>
      <c r="V353" s="105"/>
      <c r="W353" s="105"/>
      <c r="X353" s="105"/>
      <c r="Y353" s="105"/>
      <c r="Z353" s="105"/>
      <c r="AA353" s="105"/>
      <c r="AB353" s="105"/>
      <c r="AC353" s="91"/>
      <c r="AD353" s="105"/>
      <c r="AE353" s="105"/>
      <c r="AF353" s="91"/>
      <c r="AG353" s="105"/>
      <c r="AH353" s="105"/>
      <c r="AI353" s="105" t="str">
        <f t="shared" si="1"/>
        <v/>
      </c>
      <c r="AJ353" s="108" t="str">
        <f t="shared" si="2"/>
        <v/>
      </c>
    </row>
    <row r="354" ht="15.75" customHeight="1">
      <c r="A354" s="104"/>
      <c r="B354" s="105" t="str">
        <f>IFERROR(__xludf.DUMMYFUNCTION("ARRAY_CONSTRAIN(
  ARRAYFORMULA(
    IF(
      'Final Report'!A354="""",
      """",
      TEXTJOIN(
        "", "" &amp; CHAR(10),
        TRUE,
        IFERROR(
          VLOOKUP(
            TRIM(
              SPLIT('Final Report'!A354, "","")
           "&amp;" ),
            'URL Details'!A:B,
            2,
            FALSE
          ),
          """"
        )
      )
    )
  ),
  1,
  1
)
"),"")</f>
        <v/>
      </c>
      <c r="C354" s="105" t="str">
        <f>IFERROR(__xludf.DUMMYFUNCTION("IFERROR(IF('Final Report'!A354="""","""", TEXTJOIN(CHAR(10), TRUE, ARRAYFORMULA( ""• ""&amp; FILTER( TRIM(FLATTEN(SPLIT( REGEXREPLACE( SUBSTITUTE(TEXTJOIN("","", TRUE, IFERROR(ARRAYFORMULA(VLOOKUP(TRIM(SPLIT('Final Report'!A354, "","")), 'URL Details'!A:D, 4,"&amp;" FALSE)),"""") ), CHAR(10), "",""), ""\s*,\s*"", "",""), "",""))), TRIM(FLATTEN(SPLIT( REGEXREPLACE( SUBSTITUTE(TEXTJOIN("","", TRUE, IFERROR(ARRAYFORMULA(VLOOKUP(TRIM(SPLIT('Final Report'!A354, "","")), 'URL Details'!A:D, 4, FALSE)),"""") ), CHAR(10), """&amp;",""), ""\s*,\s*"", "",""), "","")))&lt;&gt;"""" ) ) ) ),"""")
"),"")</f>
        <v/>
      </c>
      <c r="D354" s="105"/>
      <c r="E354" s="105"/>
      <c r="F354" s="110" t="b">
        <v>0</v>
      </c>
      <c r="G354" s="105" t="str">
        <f>IF(F354=True, IFERROR(VLOOKUP(D354, Repository!A:B, 2, 0), ""), "")</f>
        <v/>
      </c>
      <c r="H354" s="105"/>
      <c r="I354" s="105"/>
      <c r="J354" s="105" t="str">
        <f>IF(F354=True, IFERROR(VLOOKUP(D354, Repository!A:C, 3, 0), ""), "")</f>
        <v/>
      </c>
      <c r="K354" s="105"/>
      <c r="L354" s="105" t="str">
        <f>IF(F354=True, IFERROR(VLOOKUP(D354, Repository!A:E, 5, 0), ""), "")</f>
        <v/>
      </c>
      <c r="M354" s="105"/>
      <c r="N354" s="105" t="str">
        <f>IF(F354=True, IFERROR(VLOOKUP(D354, Repository!A:G, 7, 0), ""), "")</f>
        <v/>
      </c>
      <c r="O354" s="105" t="str">
        <f>IFERROR(__xludf.DUMMYFUNCTION("ARRAY_CONSTRAIN(
  ARRAYFORMULA(
    IFERROR(
      LET(
        list, N354,
        arr, TRIM(SPLIT(list, "","")),
        names, XLOOKUP(
          arr,
          'Conformance Score'!A:A,
          'Conformance Score'!B:B,
          ""Not found""
      "&amp;"  ),
        TEXTJOIN("", "", TRUE, names)
      ),
      """"
    )
  ),
  1,
  1
)
"),"")</f>
        <v/>
      </c>
      <c r="P354" s="105" t="str">
        <f>IF(F354="Yes", IFERROR(VLOOKUP(D354, Repository!A:F, 6, 0), ""), "")</f>
        <v/>
      </c>
      <c r="Q354" s="105" t="str">
        <f>IF(F354="Yes", IFERROR(VLOOKUP(D354, Repository!A:I, 8, 0), ""), "")</f>
        <v/>
      </c>
      <c r="R354" s="105" t="str">
        <f>IF(F354="Yes", IFERROR(VLOOKUP(D354, Repository!A:J, 9, 0), ""), "")</f>
        <v/>
      </c>
      <c r="S354" s="105"/>
      <c r="T354" s="105"/>
      <c r="U354" s="105"/>
      <c r="V354" s="105"/>
      <c r="W354" s="105"/>
      <c r="X354" s="105"/>
      <c r="Y354" s="105"/>
      <c r="Z354" s="105"/>
      <c r="AA354" s="105"/>
      <c r="AB354" s="105"/>
      <c r="AC354" s="91"/>
      <c r="AD354" s="105"/>
      <c r="AE354" s="105"/>
      <c r="AF354" s="91"/>
      <c r="AG354" s="105"/>
      <c r="AH354" s="105"/>
      <c r="AI354" s="105" t="str">
        <f t="shared" si="1"/>
        <v/>
      </c>
      <c r="AJ354" s="108" t="str">
        <f t="shared" si="2"/>
        <v/>
      </c>
    </row>
    <row r="355" ht="15.75" customHeight="1">
      <c r="A355" s="104"/>
      <c r="B355" s="105" t="str">
        <f>IFERROR(__xludf.DUMMYFUNCTION("ARRAY_CONSTRAIN(
  ARRAYFORMULA(
    IF(
      'Final Report'!A355="""",
      """",
      TEXTJOIN(
        "", "" &amp; CHAR(10),
        TRUE,
        IFERROR(
          VLOOKUP(
            TRIM(
              SPLIT('Final Report'!A355, "","")
           "&amp;" ),
            'URL Details'!A:B,
            2,
            FALSE
          ),
          """"
        )
      )
    )
  ),
  1,
  1
)
"),"")</f>
        <v/>
      </c>
      <c r="C355" s="105" t="str">
        <f>IFERROR(__xludf.DUMMYFUNCTION("IFERROR(IF('Final Report'!A355="""","""", TEXTJOIN(CHAR(10), TRUE, ARRAYFORMULA( ""• ""&amp; FILTER( TRIM(FLATTEN(SPLIT( REGEXREPLACE( SUBSTITUTE(TEXTJOIN("","", TRUE, IFERROR(ARRAYFORMULA(VLOOKUP(TRIM(SPLIT('Final Report'!A355, "","")), 'URL Details'!A:D, 4,"&amp;" FALSE)),"""") ), CHAR(10), "",""), ""\s*,\s*"", "",""), "",""))), TRIM(FLATTEN(SPLIT( REGEXREPLACE( SUBSTITUTE(TEXTJOIN("","", TRUE, IFERROR(ARRAYFORMULA(VLOOKUP(TRIM(SPLIT('Final Report'!A355, "","")), 'URL Details'!A:D, 4, FALSE)),"""") ), CHAR(10), """&amp;",""), ""\s*,\s*"", "",""), "","")))&lt;&gt;"""" ) ) ) ),"""")
"),"")</f>
        <v/>
      </c>
      <c r="D355" s="105"/>
      <c r="E355" s="105"/>
      <c r="F355" s="110" t="b">
        <v>0</v>
      </c>
      <c r="G355" s="105" t="str">
        <f>IF(F355=True, IFERROR(VLOOKUP(D355, Repository!A:B, 2, 0), ""), "")</f>
        <v/>
      </c>
      <c r="H355" s="105"/>
      <c r="I355" s="105"/>
      <c r="J355" s="105" t="str">
        <f>IF(F355=True, IFERROR(VLOOKUP(D355, Repository!A:C, 3, 0), ""), "")</f>
        <v/>
      </c>
      <c r="K355" s="105"/>
      <c r="L355" s="105" t="str">
        <f>IF(F355=True, IFERROR(VLOOKUP(D355, Repository!A:E, 5, 0), ""), "")</f>
        <v/>
      </c>
      <c r="M355" s="105"/>
      <c r="N355" s="105" t="str">
        <f>IF(F355=True, IFERROR(VLOOKUP(D355, Repository!A:G, 7, 0), ""), "")</f>
        <v/>
      </c>
      <c r="O355" s="105" t="str">
        <f>IFERROR(__xludf.DUMMYFUNCTION("ARRAY_CONSTRAIN(
  ARRAYFORMULA(
    IFERROR(
      LET(
        list, N355,
        arr, TRIM(SPLIT(list, "","")),
        names, XLOOKUP(
          arr,
          'Conformance Score'!A:A,
          'Conformance Score'!B:B,
          ""Not found""
      "&amp;"  ),
        TEXTJOIN("", "", TRUE, names)
      ),
      """"
    )
  ),
  1,
  1
)
"),"")</f>
        <v/>
      </c>
      <c r="P355" s="105" t="str">
        <f>IF(F355="Yes", IFERROR(VLOOKUP(D355, Repository!A:F, 6, 0), ""), "")</f>
        <v/>
      </c>
      <c r="Q355" s="105" t="str">
        <f>IF(F355="Yes", IFERROR(VLOOKUP(D355, Repository!A:I, 8, 0), ""), "")</f>
        <v/>
      </c>
      <c r="R355" s="105" t="str">
        <f>IF(F355="Yes", IFERROR(VLOOKUP(D355, Repository!A:J, 9, 0), ""), "")</f>
        <v/>
      </c>
      <c r="S355" s="105"/>
      <c r="T355" s="105"/>
      <c r="U355" s="105"/>
      <c r="V355" s="105"/>
      <c r="W355" s="105"/>
      <c r="X355" s="105"/>
      <c r="Y355" s="105"/>
      <c r="Z355" s="105"/>
      <c r="AA355" s="105"/>
      <c r="AB355" s="105"/>
      <c r="AC355" s="91"/>
      <c r="AD355" s="105"/>
      <c r="AE355" s="105"/>
      <c r="AF355" s="91"/>
      <c r="AG355" s="105"/>
      <c r="AH355" s="105"/>
      <c r="AI355" s="105" t="str">
        <f t="shared" si="1"/>
        <v/>
      </c>
      <c r="AJ355" s="108" t="str">
        <f t="shared" si="2"/>
        <v/>
      </c>
    </row>
    <row r="356" ht="15.75" customHeight="1">
      <c r="A356" s="104"/>
      <c r="B356" s="105" t="str">
        <f>IFERROR(__xludf.DUMMYFUNCTION("ARRAY_CONSTRAIN(
  ARRAYFORMULA(
    IF(
      'Final Report'!A356="""",
      """",
      TEXTJOIN(
        "", "" &amp; CHAR(10),
        TRUE,
        IFERROR(
          VLOOKUP(
            TRIM(
              SPLIT('Final Report'!A356, "","")
           "&amp;" ),
            'URL Details'!A:B,
            2,
            FALSE
          ),
          """"
        )
      )
    )
  ),
  1,
  1
)
"),"")</f>
        <v/>
      </c>
      <c r="C356" s="105" t="str">
        <f>IFERROR(__xludf.DUMMYFUNCTION("IFERROR(IF('Final Report'!A356="""","""", TEXTJOIN(CHAR(10), TRUE, ARRAYFORMULA( ""• ""&amp; FILTER( TRIM(FLATTEN(SPLIT( REGEXREPLACE( SUBSTITUTE(TEXTJOIN("","", TRUE, IFERROR(ARRAYFORMULA(VLOOKUP(TRIM(SPLIT('Final Report'!A356, "","")), 'URL Details'!A:D, 4,"&amp;" FALSE)),"""") ), CHAR(10), "",""), ""\s*,\s*"", "",""), "",""))), TRIM(FLATTEN(SPLIT( REGEXREPLACE( SUBSTITUTE(TEXTJOIN("","", TRUE, IFERROR(ARRAYFORMULA(VLOOKUP(TRIM(SPLIT('Final Report'!A356, "","")), 'URL Details'!A:D, 4, FALSE)),"""") ), CHAR(10), """&amp;",""), ""\s*,\s*"", "",""), "","")))&lt;&gt;"""" ) ) ) ),"""")
"),"")</f>
        <v/>
      </c>
      <c r="D356" s="105"/>
      <c r="E356" s="105"/>
      <c r="F356" s="110" t="b">
        <v>0</v>
      </c>
      <c r="G356" s="105" t="str">
        <f>IF(F356=True, IFERROR(VLOOKUP(D356, Repository!A:B, 2, 0), ""), "")</f>
        <v/>
      </c>
      <c r="H356" s="105"/>
      <c r="I356" s="105"/>
      <c r="J356" s="105" t="str">
        <f>IF(F356=True, IFERROR(VLOOKUP(D356, Repository!A:C, 3, 0), ""), "")</f>
        <v/>
      </c>
      <c r="K356" s="105"/>
      <c r="L356" s="105" t="str">
        <f>IF(F356=True, IFERROR(VLOOKUP(D356, Repository!A:E, 5, 0), ""), "")</f>
        <v/>
      </c>
      <c r="M356" s="105"/>
      <c r="N356" s="105" t="str">
        <f>IF(F356=True, IFERROR(VLOOKUP(D356, Repository!A:G, 7, 0), ""), "")</f>
        <v/>
      </c>
      <c r="O356" s="105" t="str">
        <f>IFERROR(__xludf.DUMMYFUNCTION("ARRAY_CONSTRAIN(
  ARRAYFORMULA(
    IFERROR(
      LET(
        list, N356,
        arr, TRIM(SPLIT(list, "","")),
        names, XLOOKUP(
          arr,
          'Conformance Score'!A:A,
          'Conformance Score'!B:B,
          ""Not found""
      "&amp;"  ),
        TEXTJOIN("", "", TRUE, names)
      ),
      """"
    )
  ),
  1,
  1
)
"),"")</f>
        <v/>
      </c>
      <c r="P356" s="105" t="str">
        <f>IF(F356="Yes", IFERROR(VLOOKUP(D356, Repository!A:F, 6, 0), ""), "")</f>
        <v/>
      </c>
      <c r="Q356" s="105" t="str">
        <f>IF(F356="Yes", IFERROR(VLOOKUP(D356, Repository!A:I, 8, 0), ""), "")</f>
        <v/>
      </c>
      <c r="R356" s="105" t="str">
        <f>IF(F356="Yes", IFERROR(VLOOKUP(D356, Repository!A:J, 9, 0), ""), "")</f>
        <v/>
      </c>
      <c r="S356" s="105"/>
      <c r="T356" s="105"/>
      <c r="U356" s="105"/>
      <c r="V356" s="105"/>
      <c r="W356" s="105"/>
      <c r="X356" s="105"/>
      <c r="Y356" s="105"/>
      <c r="Z356" s="105"/>
      <c r="AA356" s="105"/>
      <c r="AB356" s="105"/>
      <c r="AC356" s="91"/>
      <c r="AD356" s="105"/>
      <c r="AE356" s="105"/>
      <c r="AF356" s="91"/>
      <c r="AG356" s="105"/>
      <c r="AH356" s="105"/>
      <c r="AI356" s="105" t="str">
        <f t="shared" si="1"/>
        <v/>
      </c>
      <c r="AJ356" s="108" t="str">
        <f t="shared" si="2"/>
        <v/>
      </c>
    </row>
    <row r="357" ht="15.75" customHeight="1">
      <c r="A357" s="104"/>
      <c r="B357" s="105" t="str">
        <f>IFERROR(__xludf.DUMMYFUNCTION("ARRAY_CONSTRAIN(
  ARRAYFORMULA(
    IF(
      'Final Report'!A357="""",
      """",
      TEXTJOIN(
        "", "" &amp; CHAR(10),
        TRUE,
        IFERROR(
          VLOOKUP(
            TRIM(
              SPLIT('Final Report'!A357, "","")
           "&amp;" ),
            'URL Details'!A:B,
            2,
            FALSE
          ),
          """"
        )
      )
    )
  ),
  1,
  1
)
"),"")</f>
        <v/>
      </c>
      <c r="C357" s="105" t="str">
        <f>IFERROR(__xludf.DUMMYFUNCTION("IFERROR(IF('Final Report'!A357="""","""", TEXTJOIN(CHAR(10), TRUE, ARRAYFORMULA( ""• ""&amp; FILTER( TRIM(FLATTEN(SPLIT( REGEXREPLACE( SUBSTITUTE(TEXTJOIN("","", TRUE, IFERROR(ARRAYFORMULA(VLOOKUP(TRIM(SPLIT('Final Report'!A357, "","")), 'URL Details'!A:D, 4,"&amp;" FALSE)),"""") ), CHAR(10), "",""), ""\s*,\s*"", "",""), "",""))), TRIM(FLATTEN(SPLIT( REGEXREPLACE( SUBSTITUTE(TEXTJOIN("","", TRUE, IFERROR(ARRAYFORMULA(VLOOKUP(TRIM(SPLIT('Final Report'!A357, "","")), 'URL Details'!A:D, 4, FALSE)),"""") ), CHAR(10), """&amp;",""), ""\s*,\s*"", "",""), "","")))&lt;&gt;"""" ) ) ) ),"""")
"),"")</f>
        <v/>
      </c>
      <c r="D357" s="105"/>
      <c r="E357" s="105"/>
      <c r="F357" s="110" t="b">
        <v>0</v>
      </c>
      <c r="G357" s="105" t="str">
        <f>IF(F357=True, IFERROR(VLOOKUP(D357, Repository!A:B, 2, 0), ""), "")</f>
        <v/>
      </c>
      <c r="H357" s="105"/>
      <c r="I357" s="105"/>
      <c r="J357" s="105" t="str">
        <f>IF(F357=True, IFERROR(VLOOKUP(D357, Repository!A:C, 3, 0), ""), "")</f>
        <v/>
      </c>
      <c r="K357" s="105"/>
      <c r="L357" s="105" t="str">
        <f>IF(F357=True, IFERROR(VLOOKUP(D357, Repository!A:E, 5, 0), ""), "")</f>
        <v/>
      </c>
      <c r="M357" s="105"/>
      <c r="N357" s="105" t="str">
        <f>IF(F357=True, IFERROR(VLOOKUP(D357, Repository!A:G, 7, 0), ""), "")</f>
        <v/>
      </c>
      <c r="O357" s="105" t="str">
        <f>IFERROR(__xludf.DUMMYFUNCTION("ARRAY_CONSTRAIN(
  ARRAYFORMULA(
    IFERROR(
      LET(
        list, N357,
        arr, TRIM(SPLIT(list, "","")),
        names, XLOOKUP(
          arr,
          'Conformance Score'!A:A,
          'Conformance Score'!B:B,
          ""Not found""
      "&amp;"  ),
        TEXTJOIN("", "", TRUE, names)
      ),
      """"
    )
  ),
  1,
  1
)
"),"")</f>
        <v/>
      </c>
      <c r="P357" s="105" t="str">
        <f>IF(F357="Yes", IFERROR(VLOOKUP(D357, Repository!A:F, 6, 0), ""), "")</f>
        <v/>
      </c>
      <c r="Q357" s="105" t="str">
        <f>IF(F357="Yes", IFERROR(VLOOKUP(D357, Repository!A:I, 8, 0), ""), "")</f>
        <v/>
      </c>
      <c r="R357" s="105" t="str">
        <f>IF(F357="Yes", IFERROR(VLOOKUP(D357, Repository!A:J, 9, 0), ""), "")</f>
        <v/>
      </c>
      <c r="S357" s="105"/>
      <c r="T357" s="105"/>
      <c r="U357" s="105"/>
      <c r="V357" s="105"/>
      <c r="W357" s="105"/>
      <c r="X357" s="105"/>
      <c r="Y357" s="105"/>
      <c r="Z357" s="105"/>
      <c r="AA357" s="105"/>
      <c r="AB357" s="105"/>
      <c r="AC357" s="91"/>
      <c r="AD357" s="105"/>
      <c r="AE357" s="105"/>
      <c r="AF357" s="91"/>
      <c r="AG357" s="105"/>
      <c r="AH357" s="105"/>
      <c r="AI357" s="105" t="str">
        <f t="shared" si="1"/>
        <v/>
      </c>
      <c r="AJ357" s="108" t="str">
        <f t="shared" si="2"/>
        <v/>
      </c>
    </row>
    <row r="358" ht="15.75" customHeight="1">
      <c r="A358" s="104"/>
      <c r="B358" s="105" t="str">
        <f>IFERROR(__xludf.DUMMYFUNCTION("ARRAY_CONSTRAIN(
  ARRAYFORMULA(
    IF(
      'Final Report'!A358="""",
      """",
      TEXTJOIN(
        "", "" &amp; CHAR(10),
        TRUE,
        IFERROR(
          VLOOKUP(
            TRIM(
              SPLIT('Final Report'!A358, "","")
           "&amp;" ),
            'URL Details'!A:B,
            2,
            FALSE
          ),
          """"
        )
      )
    )
  ),
  1,
  1
)
"),"")</f>
        <v/>
      </c>
      <c r="C358" s="105" t="str">
        <f>IFERROR(__xludf.DUMMYFUNCTION("IFERROR(IF('Final Report'!A358="""","""", TEXTJOIN(CHAR(10), TRUE, ARRAYFORMULA( ""• ""&amp; FILTER( TRIM(FLATTEN(SPLIT( REGEXREPLACE( SUBSTITUTE(TEXTJOIN("","", TRUE, IFERROR(ARRAYFORMULA(VLOOKUP(TRIM(SPLIT('Final Report'!A358, "","")), 'URL Details'!A:D, 4,"&amp;" FALSE)),"""") ), CHAR(10), "",""), ""\s*,\s*"", "",""), "",""))), TRIM(FLATTEN(SPLIT( REGEXREPLACE( SUBSTITUTE(TEXTJOIN("","", TRUE, IFERROR(ARRAYFORMULA(VLOOKUP(TRIM(SPLIT('Final Report'!A358, "","")), 'URL Details'!A:D, 4, FALSE)),"""") ), CHAR(10), """&amp;",""), ""\s*,\s*"", "",""), "","")))&lt;&gt;"""" ) ) ) ),"""")
"),"")</f>
        <v/>
      </c>
      <c r="D358" s="105"/>
      <c r="E358" s="105"/>
      <c r="F358" s="110" t="b">
        <v>0</v>
      </c>
      <c r="G358" s="105" t="str">
        <f>IF(F358=True, IFERROR(VLOOKUP(D358, Repository!A:B, 2, 0), ""), "")</f>
        <v/>
      </c>
      <c r="H358" s="105"/>
      <c r="I358" s="105"/>
      <c r="J358" s="105" t="str">
        <f>IF(F358=True, IFERROR(VLOOKUP(D358, Repository!A:C, 3, 0), ""), "")</f>
        <v/>
      </c>
      <c r="K358" s="105"/>
      <c r="L358" s="105" t="str">
        <f>IF(F358=True, IFERROR(VLOOKUP(D358, Repository!A:E, 5, 0), ""), "")</f>
        <v/>
      </c>
      <c r="M358" s="105"/>
      <c r="N358" s="105" t="str">
        <f>IF(F358=True, IFERROR(VLOOKUP(D358, Repository!A:G, 7, 0), ""), "")</f>
        <v/>
      </c>
      <c r="O358" s="105" t="str">
        <f>IFERROR(__xludf.DUMMYFUNCTION("ARRAY_CONSTRAIN(
  ARRAYFORMULA(
    IFERROR(
      LET(
        list, N358,
        arr, TRIM(SPLIT(list, "","")),
        names, XLOOKUP(
          arr,
          'Conformance Score'!A:A,
          'Conformance Score'!B:B,
          ""Not found""
      "&amp;"  ),
        TEXTJOIN("", "", TRUE, names)
      ),
      """"
    )
  ),
  1,
  1
)
"),"")</f>
        <v/>
      </c>
      <c r="P358" s="105" t="str">
        <f>IF(F358="Yes", IFERROR(VLOOKUP(D358, Repository!A:F, 6, 0), ""), "")</f>
        <v/>
      </c>
      <c r="Q358" s="105" t="str">
        <f>IF(F358="Yes", IFERROR(VLOOKUP(D358, Repository!A:I, 8, 0), ""), "")</f>
        <v/>
      </c>
      <c r="R358" s="105" t="str">
        <f>IF(F358="Yes", IFERROR(VLOOKUP(D358, Repository!A:J, 9, 0), ""), "")</f>
        <v/>
      </c>
      <c r="S358" s="105"/>
      <c r="T358" s="105"/>
      <c r="U358" s="105"/>
      <c r="V358" s="105"/>
      <c r="W358" s="105"/>
      <c r="X358" s="105"/>
      <c r="Y358" s="105"/>
      <c r="Z358" s="105"/>
      <c r="AA358" s="105"/>
      <c r="AB358" s="105"/>
      <c r="AC358" s="91"/>
      <c r="AD358" s="105"/>
      <c r="AE358" s="105"/>
      <c r="AF358" s="91"/>
      <c r="AG358" s="105"/>
      <c r="AH358" s="105"/>
      <c r="AI358" s="105" t="str">
        <f t="shared" si="1"/>
        <v/>
      </c>
      <c r="AJ358" s="108" t="str">
        <f t="shared" si="2"/>
        <v/>
      </c>
    </row>
    <row r="359" ht="15.75" customHeight="1">
      <c r="A359" s="104"/>
      <c r="B359" s="105" t="str">
        <f>IFERROR(__xludf.DUMMYFUNCTION("ARRAY_CONSTRAIN(
  ARRAYFORMULA(
    IF(
      'Final Report'!A359="""",
      """",
      TEXTJOIN(
        "", "" &amp; CHAR(10),
        TRUE,
        IFERROR(
          VLOOKUP(
            TRIM(
              SPLIT('Final Report'!A359, "","")
           "&amp;" ),
            'URL Details'!A:B,
            2,
            FALSE
          ),
          """"
        )
      )
    )
  ),
  1,
  1
)
"),"")</f>
        <v/>
      </c>
      <c r="C359" s="105" t="str">
        <f>IFERROR(__xludf.DUMMYFUNCTION("IFERROR(IF('Final Report'!A359="""","""", TEXTJOIN(CHAR(10), TRUE, ARRAYFORMULA( ""• ""&amp; FILTER( TRIM(FLATTEN(SPLIT( REGEXREPLACE( SUBSTITUTE(TEXTJOIN("","", TRUE, IFERROR(ARRAYFORMULA(VLOOKUP(TRIM(SPLIT('Final Report'!A359, "","")), 'URL Details'!A:D, 4,"&amp;" FALSE)),"""") ), CHAR(10), "",""), ""\s*,\s*"", "",""), "",""))), TRIM(FLATTEN(SPLIT( REGEXREPLACE( SUBSTITUTE(TEXTJOIN("","", TRUE, IFERROR(ARRAYFORMULA(VLOOKUP(TRIM(SPLIT('Final Report'!A359, "","")), 'URL Details'!A:D, 4, FALSE)),"""") ), CHAR(10), """&amp;",""), ""\s*,\s*"", "",""), "","")))&lt;&gt;"""" ) ) ) ),"""")
"),"")</f>
        <v/>
      </c>
      <c r="D359" s="105"/>
      <c r="E359" s="105"/>
      <c r="F359" s="110" t="b">
        <v>0</v>
      </c>
      <c r="G359" s="105" t="str">
        <f>IF(F359=True, IFERROR(VLOOKUP(D359, Repository!A:B, 2, 0), ""), "")</f>
        <v/>
      </c>
      <c r="H359" s="105"/>
      <c r="I359" s="105"/>
      <c r="J359" s="105" t="str">
        <f>IF(F359=True, IFERROR(VLOOKUP(D359, Repository!A:C, 3, 0), ""), "")</f>
        <v/>
      </c>
      <c r="K359" s="105"/>
      <c r="L359" s="105" t="str">
        <f>IF(F359=True, IFERROR(VLOOKUP(D359, Repository!A:E, 5, 0), ""), "")</f>
        <v/>
      </c>
      <c r="M359" s="105"/>
      <c r="N359" s="105" t="str">
        <f>IF(F359=True, IFERROR(VLOOKUP(D359, Repository!A:G, 7, 0), ""), "")</f>
        <v/>
      </c>
      <c r="O359" s="105" t="str">
        <f>IFERROR(__xludf.DUMMYFUNCTION("ARRAY_CONSTRAIN(
  ARRAYFORMULA(
    IFERROR(
      LET(
        list, N359,
        arr, TRIM(SPLIT(list, "","")),
        names, XLOOKUP(
          arr,
          'Conformance Score'!A:A,
          'Conformance Score'!B:B,
          ""Not found""
      "&amp;"  ),
        TEXTJOIN("", "", TRUE, names)
      ),
      """"
    )
  ),
  1,
  1
)
"),"")</f>
        <v/>
      </c>
      <c r="P359" s="105" t="str">
        <f>IF(F359="Yes", IFERROR(VLOOKUP(D359, Repository!A:F, 6, 0), ""), "")</f>
        <v/>
      </c>
      <c r="Q359" s="105" t="str">
        <f>IF(F359="Yes", IFERROR(VLOOKUP(D359, Repository!A:I, 8, 0), ""), "")</f>
        <v/>
      </c>
      <c r="R359" s="105" t="str">
        <f>IF(F359="Yes", IFERROR(VLOOKUP(D359, Repository!A:J, 9, 0), ""), "")</f>
        <v/>
      </c>
      <c r="S359" s="105"/>
      <c r="T359" s="105"/>
      <c r="U359" s="105"/>
      <c r="V359" s="105"/>
      <c r="W359" s="105"/>
      <c r="X359" s="105"/>
      <c r="Y359" s="105"/>
      <c r="Z359" s="105"/>
      <c r="AA359" s="105"/>
      <c r="AB359" s="105"/>
      <c r="AC359" s="91"/>
      <c r="AD359" s="105"/>
      <c r="AE359" s="105"/>
      <c r="AF359" s="91"/>
      <c r="AG359" s="105"/>
      <c r="AH359" s="105"/>
      <c r="AI359" s="105" t="str">
        <f t="shared" si="1"/>
        <v/>
      </c>
      <c r="AJ359" s="108" t="str">
        <f t="shared" si="2"/>
        <v/>
      </c>
    </row>
    <row r="360" ht="15.75" customHeight="1">
      <c r="A360" s="104"/>
      <c r="B360" s="105" t="str">
        <f>IFERROR(__xludf.DUMMYFUNCTION("ARRAY_CONSTRAIN(
  ARRAYFORMULA(
    IF(
      'Final Report'!A360="""",
      """",
      TEXTJOIN(
        "", "" &amp; CHAR(10),
        TRUE,
        IFERROR(
          VLOOKUP(
            TRIM(
              SPLIT('Final Report'!A360, "","")
           "&amp;" ),
            'URL Details'!A:B,
            2,
            FALSE
          ),
          """"
        )
      )
    )
  ),
  1,
  1
)
"),"")</f>
        <v/>
      </c>
      <c r="C360" s="105" t="str">
        <f>IFERROR(__xludf.DUMMYFUNCTION("IFERROR(IF('Final Report'!A360="""","""", TEXTJOIN(CHAR(10), TRUE, ARRAYFORMULA( ""• ""&amp; FILTER( TRIM(FLATTEN(SPLIT( REGEXREPLACE( SUBSTITUTE(TEXTJOIN("","", TRUE, IFERROR(ARRAYFORMULA(VLOOKUP(TRIM(SPLIT('Final Report'!A360, "","")), 'URL Details'!A:D, 4,"&amp;" FALSE)),"""") ), CHAR(10), "",""), ""\s*,\s*"", "",""), "",""))), TRIM(FLATTEN(SPLIT( REGEXREPLACE( SUBSTITUTE(TEXTJOIN("","", TRUE, IFERROR(ARRAYFORMULA(VLOOKUP(TRIM(SPLIT('Final Report'!A360, "","")), 'URL Details'!A:D, 4, FALSE)),"""") ), CHAR(10), """&amp;",""), ""\s*,\s*"", "",""), "","")))&lt;&gt;"""" ) ) ) ),"""")
"),"")</f>
        <v/>
      </c>
      <c r="D360" s="105"/>
      <c r="E360" s="105"/>
      <c r="F360" s="110" t="b">
        <v>0</v>
      </c>
      <c r="G360" s="105" t="str">
        <f>IF(F360=True, IFERROR(VLOOKUP(D360, Repository!A:B, 2, 0), ""), "")</f>
        <v/>
      </c>
      <c r="H360" s="105"/>
      <c r="I360" s="105"/>
      <c r="J360" s="105" t="str">
        <f>IF(F360=True, IFERROR(VLOOKUP(D360, Repository!A:C, 3, 0), ""), "")</f>
        <v/>
      </c>
      <c r="K360" s="105"/>
      <c r="L360" s="105" t="str">
        <f>IF(F360=True, IFERROR(VLOOKUP(D360, Repository!A:E, 5, 0), ""), "")</f>
        <v/>
      </c>
      <c r="M360" s="105"/>
      <c r="N360" s="105" t="str">
        <f>IF(F360=True, IFERROR(VLOOKUP(D360, Repository!A:G, 7, 0), ""), "")</f>
        <v/>
      </c>
      <c r="O360" s="105" t="str">
        <f>IFERROR(__xludf.DUMMYFUNCTION("ARRAY_CONSTRAIN(
  ARRAYFORMULA(
    IFERROR(
      LET(
        list, N360,
        arr, TRIM(SPLIT(list, "","")),
        names, XLOOKUP(
          arr,
          'Conformance Score'!A:A,
          'Conformance Score'!B:B,
          ""Not found""
      "&amp;"  ),
        TEXTJOIN("", "", TRUE, names)
      ),
      """"
    )
  ),
  1,
  1
)
"),"")</f>
        <v/>
      </c>
      <c r="P360" s="105" t="str">
        <f>IF(F360="Yes", IFERROR(VLOOKUP(D360, Repository!A:F, 6, 0), ""), "")</f>
        <v/>
      </c>
      <c r="Q360" s="105" t="str">
        <f>IF(F360="Yes", IFERROR(VLOOKUP(D360, Repository!A:I, 8, 0), ""), "")</f>
        <v/>
      </c>
      <c r="R360" s="105" t="str">
        <f>IF(F360="Yes", IFERROR(VLOOKUP(D360, Repository!A:J, 9, 0), ""), "")</f>
        <v/>
      </c>
      <c r="S360" s="105"/>
      <c r="T360" s="105"/>
      <c r="U360" s="105"/>
      <c r="V360" s="105"/>
      <c r="W360" s="105"/>
      <c r="X360" s="105"/>
      <c r="Y360" s="105"/>
      <c r="Z360" s="105"/>
      <c r="AA360" s="105"/>
      <c r="AB360" s="105"/>
      <c r="AC360" s="91"/>
      <c r="AD360" s="105"/>
      <c r="AE360" s="105"/>
      <c r="AF360" s="91"/>
      <c r="AG360" s="105"/>
      <c r="AH360" s="105"/>
      <c r="AI360" s="105" t="str">
        <f t="shared" si="1"/>
        <v/>
      </c>
      <c r="AJ360" s="108" t="str">
        <f t="shared" si="2"/>
        <v/>
      </c>
    </row>
    <row r="361" ht="15.75" customHeight="1">
      <c r="A361" s="104"/>
      <c r="B361" s="105" t="str">
        <f>IFERROR(__xludf.DUMMYFUNCTION("ARRAY_CONSTRAIN(
  ARRAYFORMULA(
    IF(
      'Final Report'!A361="""",
      """",
      TEXTJOIN(
        "", "" &amp; CHAR(10),
        TRUE,
        IFERROR(
          VLOOKUP(
            TRIM(
              SPLIT('Final Report'!A361, "","")
           "&amp;" ),
            'URL Details'!A:B,
            2,
            FALSE
          ),
          """"
        )
      )
    )
  ),
  1,
  1
)
"),"")</f>
        <v/>
      </c>
      <c r="C361" s="105" t="str">
        <f>IFERROR(__xludf.DUMMYFUNCTION("IFERROR(IF('Final Report'!A361="""","""", TEXTJOIN(CHAR(10), TRUE, ARRAYFORMULA( ""• ""&amp; FILTER( TRIM(FLATTEN(SPLIT( REGEXREPLACE( SUBSTITUTE(TEXTJOIN("","", TRUE, IFERROR(ARRAYFORMULA(VLOOKUP(TRIM(SPLIT('Final Report'!A361, "","")), 'URL Details'!A:D, 4,"&amp;" FALSE)),"""") ), CHAR(10), "",""), ""\s*,\s*"", "",""), "",""))), TRIM(FLATTEN(SPLIT( REGEXREPLACE( SUBSTITUTE(TEXTJOIN("","", TRUE, IFERROR(ARRAYFORMULA(VLOOKUP(TRIM(SPLIT('Final Report'!A361, "","")), 'URL Details'!A:D, 4, FALSE)),"""") ), CHAR(10), """&amp;",""), ""\s*,\s*"", "",""), "","")))&lt;&gt;"""" ) ) ) ),"""")
"),"")</f>
        <v/>
      </c>
      <c r="D361" s="105"/>
      <c r="E361" s="105"/>
      <c r="F361" s="110" t="b">
        <v>0</v>
      </c>
      <c r="G361" s="105" t="str">
        <f>IF(F361=True, IFERROR(VLOOKUP(D361, Repository!A:B, 2, 0), ""), "")</f>
        <v/>
      </c>
      <c r="H361" s="105"/>
      <c r="I361" s="105"/>
      <c r="J361" s="105" t="str">
        <f>IF(F361=True, IFERROR(VLOOKUP(D361, Repository!A:C, 3, 0), ""), "")</f>
        <v/>
      </c>
      <c r="K361" s="105"/>
      <c r="L361" s="105" t="str">
        <f>IF(F361=True, IFERROR(VLOOKUP(D361, Repository!A:E, 5, 0), ""), "")</f>
        <v/>
      </c>
      <c r="M361" s="105"/>
      <c r="N361" s="105" t="str">
        <f>IF(F361=True, IFERROR(VLOOKUP(D361, Repository!A:G, 7, 0), ""), "")</f>
        <v/>
      </c>
      <c r="O361" s="105" t="str">
        <f>IFERROR(__xludf.DUMMYFUNCTION("ARRAY_CONSTRAIN(
  ARRAYFORMULA(
    IFERROR(
      LET(
        list, N361,
        arr, TRIM(SPLIT(list, "","")),
        names, XLOOKUP(
          arr,
          'Conformance Score'!A:A,
          'Conformance Score'!B:B,
          ""Not found""
      "&amp;"  ),
        TEXTJOIN("", "", TRUE, names)
      ),
      """"
    )
  ),
  1,
  1
)
"),"")</f>
        <v/>
      </c>
      <c r="P361" s="105" t="str">
        <f>IF(F361="Yes", IFERROR(VLOOKUP(D361, Repository!A:F, 6, 0), ""), "")</f>
        <v/>
      </c>
      <c r="Q361" s="105" t="str">
        <f>IF(F361="Yes", IFERROR(VLOOKUP(D361, Repository!A:I, 8, 0), ""), "")</f>
        <v/>
      </c>
      <c r="R361" s="105" t="str">
        <f>IF(F361="Yes", IFERROR(VLOOKUP(D361, Repository!A:J, 9, 0), ""), "")</f>
        <v/>
      </c>
      <c r="S361" s="105"/>
      <c r="T361" s="105"/>
      <c r="U361" s="105"/>
      <c r="V361" s="105"/>
      <c r="W361" s="105"/>
      <c r="X361" s="105"/>
      <c r="Y361" s="105"/>
      <c r="Z361" s="105"/>
      <c r="AA361" s="105"/>
      <c r="AB361" s="105"/>
      <c r="AC361" s="91"/>
      <c r="AD361" s="105"/>
      <c r="AE361" s="105"/>
      <c r="AF361" s="91"/>
      <c r="AG361" s="105"/>
      <c r="AH361" s="105"/>
      <c r="AI361" s="105" t="str">
        <f t="shared" si="1"/>
        <v/>
      </c>
      <c r="AJ361" s="108" t="str">
        <f t="shared" si="2"/>
        <v/>
      </c>
    </row>
    <row r="362" ht="15.75" customHeight="1">
      <c r="A362" s="104"/>
      <c r="B362" s="105" t="str">
        <f>IFERROR(__xludf.DUMMYFUNCTION("ARRAY_CONSTRAIN(
  ARRAYFORMULA(
    IF(
      'Final Report'!A362="""",
      """",
      TEXTJOIN(
        "", "" &amp; CHAR(10),
        TRUE,
        IFERROR(
          VLOOKUP(
            TRIM(
              SPLIT('Final Report'!A362, "","")
           "&amp;" ),
            'URL Details'!A:B,
            2,
            FALSE
          ),
          """"
        )
      )
    )
  ),
  1,
  1
)
"),"")</f>
        <v/>
      </c>
      <c r="C362" s="105" t="str">
        <f>IFERROR(__xludf.DUMMYFUNCTION("IFERROR(IF('Final Report'!A362="""","""", TEXTJOIN(CHAR(10), TRUE, ARRAYFORMULA( ""• ""&amp; FILTER( TRIM(FLATTEN(SPLIT( REGEXREPLACE( SUBSTITUTE(TEXTJOIN("","", TRUE, IFERROR(ARRAYFORMULA(VLOOKUP(TRIM(SPLIT('Final Report'!A362, "","")), 'URL Details'!A:D, 4,"&amp;" FALSE)),"""") ), CHAR(10), "",""), ""\s*,\s*"", "",""), "",""))), TRIM(FLATTEN(SPLIT( REGEXREPLACE( SUBSTITUTE(TEXTJOIN("","", TRUE, IFERROR(ARRAYFORMULA(VLOOKUP(TRIM(SPLIT('Final Report'!A362, "","")), 'URL Details'!A:D, 4, FALSE)),"""") ), CHAR(10), """&amp;",""), ""\s*,\s*"", "",""), "","")))&lt;&gt;"""" ) ) ) ),"""")
"),"")</f>
        <v/>
      </c>
      <c r="D362" s="105"/>
      <c r="E362" s="105"/>
      <c r="F362" s="110" t="b">
        <v>0</v>
      </c>
      <c r="G362" s="105" t="str">
        <f>IF(F362=True, IFERROR(VLOOKUP(D362, Repository!A:B, 2, 0), ""), "")</f>
        <v/>
      </c>
      <c r="H362" s="105"/>
      <c r="I362" s="105"/>
      <c r="J362" s="105" t="str">
        <f>IF(F362=True, IFERROR(VLOOKUP(D362, Repository!A:C, 3, 0), ""), "")</f>
        <v/>
      </c>
      <c r="K362" s="105"/>
      <c r="L362" s="105" t="str">
        <f>IF(F362=True, IFERROR(VLOOKUP(D362, Repository!A:E, 5, 0), ""), "")</f>
        <v/>
      </c>
      <c r="M362" s="105"/>
      <c r="N362" s="105" t="str">
        <f>IF(F362=True, IFERROR(VLOOKUP(D362, Repository!A:G, 7, 0), ""), "")</f>
        <v/>
      </c>
      <c r="O362" s="105" t="str">
        <f>IFERROR(__xludf.DUMMYFUNCTION("ARRAY_CONSTRAIN(
  ARRAYFORMULA(
    IFERROR(
      LET(
        list, N362,
        arr, TRIM(SPLIT(list, "","")),
        names, XLOOKUP(
          arr,
          'Conformance Score'!A:A,
          'Conformance Score'!B:B,
          ""Not found""
      "&amp;"  ),
        TEXTJOIN("", "", TRUE, names)
      ),
      """"
    )
  ),
  1,
  1
)
"),"")</f>
        <v/>
      </c>
      <c r="P362" s="105" t="str">
        <f>IF(F362="Yes", IFERROR(VLOOKUP(D362, Repository!A:F, 6, 0), ""), "")</f>
        <v/>
      </c>
      <c r="Q362" s="105" t="str">
        <f>IF(F362="Yes", IFERROR(VLOOKUP(D362, Repository!A:I, 8, 0), ""), "")</f>
        <v/>
      </c>
      <c r="R362" s="105" t="str">
        <f>IF(F362="Yes", IFERROR(VLOOKUP(D362, Repository!A:J, 9, 0), ""), "")</f>
        <v/>
      </c>
      <c r="S362" s="105"/>
      <c r="T362" s="105"/>
      <c r="U362" s="105"/>
      <c r="V362" s="105"/>
      <c r="W362" s="105"/>
      <c r="X362" s="105"/>
      <c r="Y362" s="105"/>
      <c r="Z362" s="105"/>
      <c r="AA362" s="105"/>
      <c r="AB362" s="105"/>
      <c r="AC362" s="91"/>
      <c r="AD362" s="105"/>
      <c r="AE362" s="105"/>
      <c r="AF362" s="91"/>
      <c r="AG362" s="105"/>
      <c r="AH362" s="105"/>
      <c r="AI362" s="105" t="str">
        <f t="shared" si="1"/>
        <v/>
      </c>
      <c r="AJ362" s="108" t="str">
        <f t="shared" si="2"/>
        <v/>
      </c>
    </row>
    <row r="363" ht="15.75" customHeight="1">
      <c r="A363" s="104"/>
      <c r="B363" s="105" t="str">
        <f>IFERROR(__xludf.DUMMYFUNCTION("ARRAY_CONSTRAIN(
  ARRAYFORMULA(
    IF(
      'Final Report'!A363="""",
      """",
      TEXTJOIN(
        "", "" &amp; CHAR(10),
        TRUE,
        IFERROR(
          VLOOKUP(
            TRIM(
              SPLIT('Final Report'!A363, "","")
           "&amp;" ),
            'URL Details'!A:B,
            2,
            FALSE
          ),
          """"
        )
      )
    )
  ),
  1,
  1
)
"),"")</f>
        <v/>
      </c>
      <c r="C363" s="105" t="str">
        <f>IFERROR(__xludf.DUMMYFUNCTION("IFERROR(IF('Final Report'!A363="""","""", TEXTJOIN(CHAR(10), TRUE, ARRAYFORMULA( ""• ""&amp; FILTER( TRIM(FLATTEN(SPLIT( REGEXREPLACE( SUBSTITUTE(TEXTJOIN("","", TRUE, IFERROR(ARRAYFORMULA(VLOOKUP(TRIM(SPLIT('Final Report'!A363, "","")), 'URL Details'!A:D, 4,"&amp;" FALSE)),"""") ), CHAR(10), "",""), ""\s*,\s*"", "",""), "",""))), TRIM(FLATTEN(SPLIT( REGEXREPLACE( SUBSTITUTE(TEXTJOIN("","", TRUE, IFERROR(ARRAYFORMULA(VLOOKUP(TRIM(SPLIT('Final Report'!A363, "","")), 'URL Details'!A:D, 4, FALSE)),"""") ), CHAR(10), """&amp;",""), ""\s*,\s*"", "",""), "","")))&lt;&gt;"""" ) ) ) ),"""")
"),"")</f>
        <v/>
      </c>
      <c r="D363" s="105"/>
      <c r="E363" s="105"/>
      <c r="F363" s="110" t="b">
        <v>0</v>
      </c>
      <c r="G363" s="105" t="str">
        <f>IF(F363=True, IFERROR(VLOOKUP(D363, Repository!A:B, 2, 0), ""), "")</f>
        <v/>
      </c>
      <c r="H363" s="105"/>
      <c r="I363" s="105"/>
      <c r="J363" s="105" t="str">
        <f>IF(F363=True, IFERROR(VLOOKUP(D363, Repository!A:C, 3, 0), ""), "")</f>
        <v/>
      </c>
      <c r="K363" s="105"/>
      <c r="L363" s="105" t="str">
        <f>IF(F363=True, IFERROR(VLOOKUP(D363, Repository!A:E, 5, 0), ""), "")</f>
        <v/>
      </c>
      <c r="M363" s="105"/>
      <c r="N363" s="105" t="str">
        <f>IF(F363=True, IFERROR(VLOOKUP(D363, Repository!A:G, 7, 0), ""), "")</f>
        <v/>
      </c>
      <c r="O363" s="105" t="str">
        <f>IFERROR(__xludf.DUMMYFUNCTION("ARRAY_CONSTRAIN(
  ARRAYFORMULA(
    IFERROR(
      LET(
        list, N363,
        arr, TRIM(SPLIT(list, "","")),
        names, XLOOKUP(
          arr,
          'Conformance Score'!A:A,
          'Conformance Score'!B:B,
          ""Not found""
      "&amp;"  ),
        TEXTJOIN("", "", TRUE, names)
      ),
      """"
    )
  ),
  1,
  1
)
"),"")</f>
        <v/>
      </c>
      <c r="P363" s="105" t="str">
        <f>IF(F363="Yes", IFERROR(VLOOKUP(D363, Repository!A:F, 6, 0), ""), "")</f>
        <v/>
      </c>
      <c r="Q363" s="105" t="str">
        <f>IF(F363="Yes", IFERROR(VLOOKUP(D363, Repository!A:I, 8, 0), ""), "")</f>
        <v/>
      </c>
      <c r="R363" s="105" t="str">
        <f>IF(F363="Yes", IFERROR(VLOOKUP(D363, Repository!A:J, 9, 0), ""), "")</f>
        <v/>
      </c>
      <c r="S363" s="105"/>
      <c r="T363" s="105"/>
      <c r="U363" s="105"/>
      <c r="V363" s="105"/>
      <c r="W363" s="105"/>
      <c r="X363" s="105"/>
      <c r="Y363" s="105"/>
      <c r="Z363" s="105"/>
      <c r="AA363" s="105"/>
      <c r="AB363" s="105"/>
      <c r="AC363" s="91"/>
      <c r="AD363" s="105"/>
      <c r="AE363" s="105"/>
      <c r="AF363" s="91"/>
      <c r="AG363" s="105"/>
      <c r="AH363" s="105"/>
      <c r="AI363" s="105" t="str">
        <f t="shared" si="1"/>
        <v/>
      </c>
      <c r="AJ363" s="108" t="str">
        <f t="shared" si="2"/>
        <v/>
      </c>
    </row>
    <row r="364" ht="15.75" customHeight="1">
      <c r="A364" s="104"/>
      <c r="B364" s="105" t="str">
        <f>IFERROR(__xludf.DUMMYFUNCTION("ARRAY_CONSTRAIN(
  ARRAYFORMULA(
    IF(
      'Final Report'!A364="""",
      """",
      TEXTJOIN(
        "", "" &amp; CHAR(10),
        TRUE,
        IFERROR(
          VLOOKUP(
            TRIM(
              SPLIT('Final Report'!A364, "","")
           "&amp;" ),
            'URL Details'!A:B,
            2,
            FALSE
          ),
          """"
        )
      )
    )
  ),
  1,
  1
)
"),"")</f>
        <v/>
      </c>
      <c r="C364" s="105" t="str">
        <f>IFERROR(__xludf.DUMMYFUNCTION("IFERROR(IF('Final Report'!A364="""","""", TEXTJOIN(CHAR(10), TRUE, ARRAYFORMULA( ""• ""&amp; FILTER( TRIM(FLATTEN(SPLIT( REGEXREPLACE( SUBSTITUTE(TEXTJOIN("","", TRUE, IFERROR(ARRAYFORMULA(VLOOKUP(TRIM(SPLIT('Final Report'!A364, "","")), 'URL Details'!A:D, 4,"&amp;" FALSE)),"""") ), CHAR(10), "",""), ""\s*,\s*"", "",""), "",""))), TRIM(FLATTEN(SPLIT( REGEXREPLACE( SUBSTITUTE(TEXTJOIN("","", TRUE, IFERROR(ARRAYFORMULA(VLOOKUP(TRIM(SPLIT('Final Report'!A364, "","")), 'URL Details'!A:D, 4, FALSE)),"""") ), CHAR(10), """&amp;",""), ""\s*,\s*"", "",""), "","")))&lt;&gt;"""" ) ) ) ),"""")
"),"")</f>
        <v/>
      </c>
      <c r="D364" s="105"/>
      <c r="E364" s="105"/>
      <c r="F364" s="110" t="b">
        <v>0</v>
      </c>
      <c r="G364" s="105" t="str">
        <f>IF(F364=True, IFERROR(VLOOKUP(D364, Repository!A:B, 2, 0), ""), "")</f>
        <v/>
      </c>
      <c r="H364" s="105"/>
      <c r="I364" s="105"/>
      <c r="J364" s="105" t="str">
        <f>IF(F364=True, IFERROR(VLOOKUP(D364, Repository!A:C, 3, 0), ""), "")</f>
        <v/>
      </c>
      <c r="K364" s="105"/>
      <c r="L364" s="105" t="str">
        <f>IF(F364=True, IFERROR(VLOOKUP(D364, Repository!A:E, 5, 0), ""), "")</f>
        <v/>
      </c>
      <c r="M364" s="105"/>
      <c r="N364" s="105" t="str">
        <f>IF(F364=True, IFERROR(VLOOKUP(D364, Repository!A:G, 7, 0), ""), "")</f>
        <v/>
      </c>
      <c r="O364" s="105" t="str">
        <f>IFERROR(__xludf.DUMMYFUNCTION("ARRAY_CONSTRAIN(
  ARRAYFORMULA(
    IFERROR(
      LET(
        list, N364,
        arr, TRIM(SPLIT(list, "","")),
        names, XLOOKUP(
          arr,
          'Conformance Score'!A:A,
          'Conformance Score'!B:B,
          ""Not found""
      "&amp;"  ),
        TEXTJOIN("", "", TRUE, names)
      ),
      """"
    )
  ),
  1,
  1
)
"),"")</f>
        <v/>
      </c>
      <c r="P364" s="105" t="str">
        <f>IF(F364="Yes", IFERROR(VLOOKUP(D364, Repository!A:F, 6, 0), ""), "")</f>
        <v/>
      </c>
      <c r="Q364" s="105" t="str">
        <f>IF(F364="Yes", IFERROR(VLOOKUP(D364, Repository!A:I, 8, 0), ""), "")</f>
        <v/>
      </c>
      <c r="R364" s="105" t="str">
        <f>IF(F364="Yes", IFERROR(VLOOKUP(D364, Repository!A:J, 9, 0), ""), "")</f>
        <v/>
      </c>
      <c r="S364" s="105"/>
      <c r="T364" s="105"/>
      <c r="U364" s="105"/>
      <c r="V364" s="105"/>
      <c r="W364" s="105"/>
      <c r="X364" s="105"/>
      <c r="Y364" s="105"/>
      <c r="Z364" s="105"/>
      <c r="AA364" s="105"/>
      <c r="AB364" s="105"/>
      <c r="AC364" s="91"/>
      <c r="AD364" s="105"/>
      <c r="AE364" s="105"/>
      <c r="AF364" s="91"/>
      <c r="AG364" s="105"/>
      <c r="AH364" s="105"/>
      <c r="AI364" s="105" t="str">
        <f t="shared" si="1"/>
        <v/>
      </c>
      <c r="AJ364" s="108" t="str">
        <f t="shared" si="2"/>
        <v/>
      </c>
    </row>
    <row r="365" ht="15.75" customHeight="1">
      <c r="A365" s="104"/>
      <c r="B365" s="105" t="str">
        <f>IFERROR(__xludf.DUMMYFUNCTION("ARRAY_CONSTRAIN(
  ARRAYFORMULA(
    IF(
      'Final Report'!A365="""",
      """",
      TEXTJOIN(
        "", "" &amp; CHAR(10),
        TRUE,
        IFERROR(
          VLOOKUP(
            TRIM(
              SPLIT('Final Report'!A365, "","")
           "&amp;" ),
            'URL Details'!A:B,
            2,
            FALSE
          ),
          """"
        )
      )
    )
  ),
  1,
  1
)
"),"")</f>
        <v/>
      </c>
      <c r="C365" s="105" t="str">
        <f>IFERROR(__xludf.DUMMYFUNCTION("IFERROR(IF('Final Report'!A365="""","""", TEXTJOIN(CHAR(10), TRUE, ARRAYFORMULA( ""• ""&amp; FILTER( TRIM(FLATTEN(SPLIT( REGEXREPLACE( SUBSTITUTE(TEXTJOIN("","", TRUE, IFERROR(ARRAYFORMULA(VLOOKUP(TRIM(SPLIT('Final Report'!A365, "","")), 'URL Details'!A:D, 4,"&amp;" FALSE)),"""") ), CHAR(10), "",""), ""\s*,\s*"", "",""), "",""))), TRIM(FLATTEN(SPLIT( REGEXREPLACE( SUBSTITUTE(TEXTJOIN("","", TRUE, IFERROR(ARRAYFORMULA(VLOOKUP(TRIM(SPLIT('Final Report'!A365, "","")), 'URL Details'!A:D, 4, FALSE)),"""") ), CHAR(10), """&amp;",""), ""\s*,\s*"", "",""), "","")))&lt;&gt;"""" ) ) ) ),"""")
"),"")</f>
        <v/>
      </c>
      <c r="D365" s="105"/>
      <c r="E365" s="105"/>
      <c r="F365" s="110" t="b">
        <v>0</v>
      </c>
      <c r="G365" s="105" t="str">
        <f>IF(F365=True, IFERROR(VLOOKUP(D365, Repository!A:B, 2, 0), ""), "")</f>
        <v/>
      </c>
      <c r="H365" s="105"/>
      <c r="I365" s="105"/>
      <c r="J365" s="105" t="str">
        <f>IF(F365=True, IFERROR(VLOOKUP(D365, Repository!A:C, 3, 0), ""), "")</f>
        <v/>
      </c>
      <c r="K365" s="105"/>
      <c r="L365" s="105" t="str">
        <f>IF(F365=True, IFERROR(VLOOKUP(D365, Repository!A:E, 5, 0), ""), "")</f>
        <v/>
      </c>
      <c r="M365" s="105"/>
      <c r="N365" s="105" t="str">
        <f>IF(F365=True, IFERROR(VLOOKUP(D365, Repository!A:G, 7, 0), ""), "")</f>
        <v/>
      </c>
      <c r="O365" s="105" t="str">
        <f>IFERROR(__xludf.DUMMYFUNCTION("ARRAY_CONSTRAIN(
  ARRAYFORMULA(
    IFERROR(
      LET(
        list, N365,
        arr, TRIM(SPLIT(list, "","")),
        names, XLOOKUP(
          arr,
          'Conformance Score'!A:A,
          'Conformance Score'!B:B,
          ""Not found""
      "&amp;"  ),
        TEXTJOIN("", "", TRUE, names)
      ),
      """"
    )
  ),
  1,
  1
)
"),"")</f>
        <v/>
      </c>
      <c r="P365" s="105" t="str">
        <f>IF(F365="Yes", IFERROR(VLOOKUP(D365, Repository!A:F, 6, 0), ""), "")</f>
        <v/>
      </c>
      <c r="Q365" s="105" t="str">
        <f>IF(F365="Yes", IFERROR(VLOOKUP(D365, Repository!A:I, 8, 0), ""), "")</f>
        <v/>
      </c>
      <c r="R365" s="105" t="str">
        <f>IF(F365="Yes", IFERROR(VLOOKUP(D365, Repository!A:J, 9, 0), ""), "")</f>
        <v/>
      </c>
      <c r="S365" s="105"/>
      <c r="T365" s="105"/>
      <c r="U365" s="105"/>
      <c r="V365" s="105"/>
      <c r="W365" s="105"/>
      <c r="X365" s="105"/>
      <c r="Y365" s="105"/>
      <c r="Z365" s="105"/>
      <c r="AA365" s="105"/>
      <c r="AB365" s="105"/>
      <c r="AC365" s="91"/>
      <c r="AD365" s="105"/>
      <c r="AE365" s="105"/>
      <c r="AF365" s="91"/>
      <c r="AG365" s="105"/>
      <c r="AH365" s="105"/>
      <c r="AI365" s="105" t="str">
        <f t="shared" si="1"/>
        <v/>
      </c>
      <c r="AJ365" s="108" t="str">
        <f t="shared" si="2"/>
        <v/>
      </c>
    </row>
    <row r="366" ht="15.75" customHeight="1">
      <c r="A366" s="104"/>
      <c r="B366" s="105" t="str">
        <f>IFERROR(__xludf.DUMMYFUNCTION("ARRAY_CONSTRAIN(
  ARRAYFORMULA(
    IF(
      'Final Report'!A366="""",
      """",
      TEXTJOIN(
        "", "" &amp; CHAR(10),
        TRUE,
        IFERROR(
          VLOOKUP(
            TRIM(
              SPLIT('Final Report'!A366, "","")
           "&amp;" ),
            'URL Details'!A:B,
            2,
            FALSE
          ),
          """"
        )
      )
    )
  ),
  1,
  1
)
"),"")</f>
        <v/>
      </c>
      <c r="C366" s="105" t="str">
        <f>IFERROR(__xludf.DUMMYFUNCTION("IFERROR(IF('Final Report'!A366="""","""", TEXTJOIN(CHAR(10), TRUE, ARRAYFORMULA( ""• ""&amp; FILTER( TRIM(FLATTEN(SPLIT( REGEXREPLACE( SUBSTITUTE(TEXTJOIN("","", TRUE, IFERROR(ARRAYFORMULA(VLOOKUP(TRIM(SPLIT('Final Report'!A366, "","")), 'URL Details'!A:D, 4,"&amp;" FALSE)),"""") ), CHAR(10), "",""), ""\s*,\s*"", "",""), "",""))), TRIM(FLATTEN(SPLIT( REGEXREPLACE( SUBSTITUTE(TEXTJOIN("","", TRUE, IFERROR(ARRAYFORMULA(VLOOKUP(TRIM(SPLIT('Final Report'!A366, "","")), 'URL Details'!A:D, 4, FALSE)),"""") ), CHAR(10), """&amp;",""), ""\s*,\s*"", "",""), "","")))&lt;&gt;"""" ) ) ) ),"""")
"),"")</f>
        <v/>
      </c>
      <c r="D366" s="105"/>
      <c r="E366" s="105"/>
      <c r="F366" s="110" t="b">
        <v>0</v>
      </c>
      <c r="G366" s="105" t="str">
        <f>IF(F366=True, IFERROR(VLOOKUP(D366, Repository!A:B, 2, 0), ""), "")</f>
        <v/>
      </c>
      <c r="H366" s="105"/>
      <c r="I366" s="105"/>
      <c r="J366" s="105" t="str">
        <f>IF(F366=True, IFERROR(VLOOKUP(D366, Repository!A:C, 3, 0), ""), "")</f>
        <v/>
      </c>
      <c r="K366" s="105"/>
      <c r="L366" s="105" t="str">
        <f>IF(F366=True, IFERROR(VLOOKUP(D366, Repository!A:E, 5, 0), ""), "")</f>
        <v/>
      </c>
      <c r="M366" s="105"/>
      <c r="N366" s="105" t="str">
        <f>IF(F366=True, IFERROR(VLOOKUP(D366, Repository!A:G, 7, 0), ""), "")</f>
        <v/>
      </c>
      <c r="O366" s="105" t="str">
        <f>IFERROR(__xludf.DUMMYFUNCTION("ARRAY_CONSTRAIN(
  ARRAYFORMULA(
    IFERROR(
      LET(
        list, N366,
        arr, TRIM(SPLIT(list, "","")),
        names, XLOOKUP(
          arr,
          'Conformance Score'!A:A,
          'Conformance Score'!B:B,
          ""Not found""
      "&amp;"  ),
        TEXTJOIN("", "", TRUE, names)
      ),
      """"
    )
  ),
  1,
  1
)
"),"")</f>
        <v/>
      </c>
      <c r="P366" s="105" t="str">
        <f>IF(F366="Yes", IFERROR(VLOOKUP(D366, Repository!A:F, 6, 0), ""), "")</f>
        <v/>
      </c>
      <c r="Q366" s="105" t="str">
        <f>IF(F366="Yes", IFERROR(VLOOKUP(D366, Repository!A:I, 8, 0), ""), "")</f>
        <v/>
      </c>
      <c r="R366" s="105" t="str">
        <f>IF(F366="Yes", IFERROR(VLOOKUP(D366, Repository!A:J, 9, 0), ""), "")</f>
        <v/>
      </c>
      <c r="S366" s="105"/>
      <c r="T366" s="105"/>
      <c r="U366" s="105"/>
      <c r="V366" s="105"/>
      <c r="W366" s="105"/>
      <c r="X366" s="105"/>
      <c r="Y366" s="105"/>
      <c r="Z366" s="105"/>
      <c r="AA366" s="105"/>
      <c r="AB366" s="105"/>
      <c r="AC366" s="91"/>
      <c r="AD366" s="105"/>
      <c r="AE366" s="105"/>
      <c r="AF366" s="91"/>
      <c r="AG366" s="105"/>
      <c r="AH366" s="105"/>
      <c r="AI366" s="105" t="str">
        <f t="shared" si="1"/>
        <v/>
      </c>
      <c r="AJ366" s="108" t="str">
        <f t="shared" si="2"/>
        <v/>
      </c>
    </row>
    <row r="367" ht="15.75" customHeight="1">
      <c r="A367" s="104"/>
      <c r="B367" s="105" t="str">
        <f>IFERROR(__xludf.DUMMYFUNCTION("ARRAY_CONSTRAIN(
  ARRAYFORMULA(
    IF(
      'Final Report'!A367="""",
      """",
      TEXTJOIN(
        "", "" &amp; CHAR(10),
        TRUE,
        IFERROR(
          VLOOKUP(
            TRIM(
              SPLIT('Final Report'!A367, "","")
           "&amp;" ),
            'URL Details'!A:B,
            2,
            FALSE
          ),
          """"
        )
      )
    )
  ),
  1,
  1
)
"),"")</f>
        <v/>
      </c>
      <c r="C367" s="105" t="str">
        <f>IFERROR(__xludf.DUMMYFUNCTION("IFERROR(IF('Final Report'!A367="""","""", TEXTJOIN(CHAR(10), TRUE, ARRAYFORMULA( ""• ""&amp; FILTER( TRIM(FLATTEN(SPLIT( REGEXREPLACE( SUBSTITUTE(TEXTJOIN("","", TRUE, IFERROR(ARRAYFORMULA(VLOOKUP(TRIM(SPLIT('Final Report'!A367, "","")), 'URL Details'!A:D, 4,"&amp;" FALSE)),"""") ), CHAR(10), "",""), ""\s*,\s*"", "",""), "",""))), TRIM(FLATTEN(SPLIT( REGEXREPLACE( SUBSTITUTE(TEXTJOIN("","", TRUE, IFERROR(ARRAYFORMULA(VLOOKUP(TRIM(SPLIT('Final Report'!A367, "","")), 'URL Details'!A:D, 4, FALSE)),"""") ), CHAR(10), """&amp;",""), ""\s*,\s*"", "",""), "","")))&lt;&gt;"""" ) ) ) ),"""")
"),"")</f>
        <v/>
      </c>
      <c r="D367" s="105"/>
      <c r="E367" s="105"/>
      <c r="F367" s="110" t="b">
        <v>0</v>
      </c>
      <c r="G367" s="105" t="str">
        <f>IF(F367=True, IFERROR(VLOOKUP(D367, Repository!A:B, 2, 0), ""), "")</f>
        <v/>
      </c>
      <c r="H367" s="105"/>
      <c r="I367" s="105"/>
      <c r="J367" s="105" t="str">
        <f>IF(F367=True, IFERROR(VLOOKUP(D367, Repository!A:C, 3, 0), ""), "")</f>
        <v/>
      </c>
      <c r="K367" s="105"/>
      <c r="L367" s="105" t="str">
        <f>IF(F367=True, IFERROR(VLOOKUP(D367, Repository!A:E, 5, 0), ""), "")</f>
        <v/>
      </c>
      <c r="M367" s="105"/>
      <c r="N367" s="105" t="str">
        <f>IF(F367=True, IFERROR(VLOOKUP(D367, Repository!A:G, 7, 0), ""), "")</f>
        <v/>
      </c>
      <c r="O367" s="105" t="str">
        <f>IFERROR(__xludf.DUMMYFUNCTION("ARRAY_CONSTRAIN(
  ARRAYFORMULA(
    IFERROR(
      LET(
        list, N367,
        arr, TRIM(SPLIT(list, "","")),
        names, XLOOKUP(
          arr,
          'Conformance Score'!A:A,
          'Conformance Score'!B:B,
          ""Not found""
      "&amp;"  ),
        TEXTJOIN("", "", TRUE, names)
      ),
      """"
    )
  ),
  1,
  1
)
"),"")</f>
        <v/>
      </c>
      <c r="P367" s="105" t="str">
        <f>IF(F367="Yes", IFERROR(VLOOKUP(D367, Repository!A:F, 6, 0), ""), "")</f>
        <v/>
      </c>
      <c r="Q367" s="105" t="str">
        <f>IF(F367="Yes", IFERROR(VLOOKUP(D367, Repository!A:I, 8, 0), ""), "")</f>
        <v/>
      </c>
      <c r="R367" s="105" t="str">
        <f>IF(F367="Yes", IFERROR(VLOOKUP(D367, Repository!A:J, 9, 0), ""), "")</f>
        <v/>
      </c>
      <c r="S367" s="105"/>
      <c r="T367" s="105"/>
      <c r="U367" s="105"/>
      <c r="V367" s="105"/>
      <c r="W367" s="105"/>
      <c r="X367" s="105"/>
      <c r="Y367" s="105"/>
      <c r="Z367" s="105"/>
      <c r="AA367" s="105"/>
      <c r="AB367" s="105"/>
      <c r="AC367" s="91"/>
      <c r="AD367" s="105"/>
      <c r="AE367" s="105"/>
      <c r="AF367" s="91"/>
      <c r="AG367" s="105"/>
      <c r="AH367" s="105"/>
      <c r="AI367" s="105" t="str">
        <f t="shared" si="1"/>
        <v/>
      </c>
      <c r="AJ367" s="108" t="str">
        <f t="shared" si="2"/>
        <v/>
      </c>
    </row>
    <row r="368" ht="15.75" customHeight="1">
      <c r="A368" s="104"/>
      <c r="B368" s="105" t="str">
        <f>IFERROR(__xludf.DUMMYFUNCTION("ARRAY_CONSTRAIN(
  ARRAYFORMULA(
    IF(
      'Final Report'!A368="""",
      """",
      TEXTJOIN(
        "", "" &amp; CHAR(10),
        TRUE,
        IFERROR(
          VLOOKUP(
            TRIM(
              SPLIT('Final Report'!A368, "","")
           "&amp;" ),
            'URL Details'!A:B,
            2,
            FALSE
          ),
          """"
        )
      )
    )
  ),
  1,
  1
)
"),"")</f>
        <v/>
      </c>
      <c r="C368" s="105" t="str">
        <f>IFERROR(__xludf.DUMMYFUNCTION("IFERROR(IF('Final Report'!A368="""","""", TEXTJOIN(CHAR(10), TRUE, ARRAYFORMULA( ""• ""&amp; FILTER( TRIM(FLATTEN(SPLIT( REGEXREPLACE( SUBSTITUTE(TEXTJOIN("","", TRUE, IFERROR(ARRAYFORMULA(VLOOKUP(TRIM(SPLIT('Final Report'!A368, "","")), 'URL Details'!A:D, 4,"&amp;" FALSE)),"""") ), CHAR(10), "",""), ""\s*,\s*"", "",""), "",""))), TRIM(FLATTEN(SPLIT( REGEXREPLACE( SUBSTITUTE(TEXTJOIN("","", TRUE, IFERROR(ARRAYFORMULA(VLOOKUP(TRIM(SPLIT('Final Report'!A368, "","")), 'URL Details'!A:D, 4, FALSE)),"""") ), CHAR(10), """&amp;",""), ""\s*,\s*"", "",""), "","")))&lt;&gt;"""" ) ) ) ),"""")
"),"")</f>
        <v/>
      </c>
      <c r="D368" s="105"/>
      <c r="E368" s="105"/>
      <c r="F368" s="110" t="b">
        <v>0</v>
      </c>
      <c r="G368" s="105" t="str">
        <f>IF(F368=True, IFERROR(VLOOKUP(D368, Repository!A:B, 2, 0), ""), "")</f>
        <v/>
      </c>
      <c r="H368" s="105"/>
      <c r="I368" s="105"/>
      <c r="J368" s="105" t="str">
        <f>IF(F368=True, IFERROR(VLOOKUP(D368, Repository!A:C, 3, 0), ""), "")</f>
        <v/>
      </c>
      <c r="K368" s="105"/>
      <c r="L368" s="105" t="str">
        <f>IF(F368=True, IFERROR(VLOOKUP(D368, Repository!A:E, 5, 0), ""), "")</f>
        <v/>
      </c>
      <c r="M368" s="105"/>
      <c r="N368" s="105" t="str">
        <f>IF(F368=True, IFERROR(VLOOKUP(D368, Repository!A:G, 7, 0), ""), "")</f>
        <v/>
      </c>
      <c r="O368" s="105" t="str">
        <f>IFERROR(__xludf.DUMMYFUNCTION("ARRAY_CONSTRAIN(
  ARRAYFORMULA(
    IFERROR(
      LET(
        list, N368,
        arr, TRIM(SPLIT(list, "","")),
        names, XLOOKUP(
          arr,
          'Conformance Score'!A:A,
          'Conformance Score'!B:B,
          ""Not found""
      "&amp;"  ),
        TEXTJOIN("", "", TRUE, names)
      ),
      """"
    )
  ),
  1,
  1
)
"),"")</f>
        <v/>
      </c>
      <c r="P368" s="105" t="str">
        <f>IF(F368="Yes", IFERROR(VLOOKUP(D368, Repository!A:F, 6, 0), ""), "")</f>
        <v/>
      </c>
      <c r="Q368" s="105" t="str">
        <f>IF(F368="Yes", IFERROR(VLOOKUP(D368, Repository!A:I, 8, 0), ""), "")</f>
        <v/>
      </c>
      <c r="R368" s="105" t="str">
        <f>IF(F368="Yes", IFERROR(VLOOKUP(D368, Repository!A:J, 9, 0), ""), "")</f>
        <v/>
      </c>
      <c r="S368" s="105"/>
      <c r="T368" s="105"/>
      <c r="U368" s="105"/>
      <c r="V368" s="105"/>
      <c r="W368" s="105"/>
      <c r="X368" s="105"/>
      <c r="Y368" s="105"/>
      <c r="Z368" s="105"/>
      <c r="AA368" s="105"/>
      <c r="AB368" s="105"/>
      <c r="AC368" s="91"/>
      <c r="AD368" s="105"/>
      <c r="AE368" s="105"/>
      <c r="AF368" s="91"/>
      <c r="AG368" s="105"/>
      <c r="AH368" s="105"/>
      <c r="AI368" s="105" t="str">
        <f t="shared" si="1"/>
        <v/>
      </c>
      <c r="AJ368" s="108" t="str">
        <f t="shared" si="2"/>
        <v/>
      </c>
    </row>
    <row r="369" ht="15.75" customHeight="1">
      <c r="A369" s="104"/>
      <c r="B369" s="105" t="str">
        <f>IFERROR(__xludf.DUMMYFUNCTION("ARRAY_CONSTRAIN(
  ARRAYFORMULA(
    IF(
      'Final Report'!A369="""",
      """",
      TEXTJOIN(
        "", "" &amp; CHAR(10),
        TRUE,
        IFERROR(
          VLOOKUP(
            TRIM(
              SPLIT('Final Report'!A369, "","")
           "&amp;" ),
            'URL Details'!A:B,
            2,
            FALSE
          ),
          """"
        )
      )
    )
  ),
  1,
  1
)
"),"")</f>
        <v/>
      </c>
      <c r="C369" s="105" t="str">
        <f>IFERROR(__xludf.DUMMYFUNCTION("IFERROR(IF('Final Report'!A369="""","""", TEXTJOIN(CHAR(10), TRUE, ARRAYFORMULA( ""• ""&amp; FILTER( TRIM(FLATTEN(SPLIT( REGEXREPLACE( SUBSTITUTE(TEXTJOIN("","", TRUE, IFERROR(ARRAYFORMULA(VLOOKUP(TRIM(SPLIT('Final Report'!A369, "","")), 'URL Details'!A:D, 4,"&amp;" FALSE)),"""") ), CHAR(10), "",""), ""\s*,\s*"", "",""), "",""))), TRIM(FLATTEN(SPLIT( REGEXREPLACE( SUBSTITUTE(TEXTJOIN("","", TRUE, IFERROR(ARRAYFORMULA(VLOOKUP(TRIM(SPLIT('Final Report'!A369, "","")), 'URL Details'!A:D, 4, FALSE)),"""") ), CHAR(10), """&amp;",""), ""\s*,\s*"", "",""), "","")))&lt;&gt;"""" ) ) ) ),"""")
"),"")</f>
        <v/>
      </c>
      <c r="D369" s="105"/>
      <c r="E369" s="105"/>
      <c r="F369" s="110" t="b">
        <v>0</v>
      </c>
      <c r="G369" s="105" t="str">
        <f>IF(F369=True, IFERROR(VLOOKUP(D369, Repository!A:B, 2, 0), ""), "")</f>
        <v/>
      </c>
      <c r="H369" s="105"/>
      <c r="I369" s="105"/>
      <c r="J369" s="105" t="str">
        <f>IF(F369=True, IFERROR(VLOOKUP(D369, Repository!A:C, 3, 0), ""), "")</f>
        <v/>
      </c>
      <c r="K369" s="105"/>
      <c r="L369" s="105" t="str">
        <f>IF(F369=True, IFERROR(VLOOKUP(D369, Repository!A:E, 5, 0), ""), "")</f>
        <v/>
      </c>
      <c r="M369" s="105"/>
      <c r="N369" s="105" t="str">
        <f>IF(F369=True, IFERROR(VLOOKUP(D369, Repository!A:G, 7, 0), ""), "")</f>
        <v/>
      </c>
      <c r="O369" s="105" t="str">
        <f>IFERROR(__xludf.DUMMYFUNCTION("ARRAY_CONSTRAIN(
  ARRAYFORMULA(
    IFERROR(
      LET(
        list, N369,
        arr, TRIM(SPLIT(list, "","")),
        names, XLOOKUP(
          arr,
          'Conformance Score'!A:A,
          'Conformance Score'!B:B,
          ""Not found""
      "&amp;"  ),
        TEXTJOIN("", "", TRUE, names)
      ),
      """"
    )
  ),
  1,
  1
)
"),"")</f>
        <v/>
      </c>
      <c r="P369" s="105" t="str">
        <f>IF(F369="Yes", IFERROR(VLOOKUP(D369, Repository!A:F, 6, 0), ""), "")</f>
        <v/>
      </c>
      <c r="Q369" s="105" t="str">
        <f>IF(F369="Yes", IFERROR(VLOOKUP(D369, Repository!A:I, 8, 0), ""), "")</f>
        <v/>
      </c>
      <c r="R369" s="105" t="str">
        <f>IF(F369="Yes", IFERROR(VLOOKUP(D369, Repository!A:J, 9, 0), ""), "")</f>
        <v/>
      </c>
      <c r="S369" s="105"/>
      <c r="T369" s="105"/>
      <c r="U369" s="105"/>
      <c r="V369" s="105"/>
      <c r="W369" s="105"/>
      <c r="X369" s="105"/>
      <c r="Y369" s="105"/>
      <c r="Z369" s="105"/>
      <c r="AA369" s="105"/>
      <c r="AB369" s="105"/>
      <c r="AC369" s="91"/>
      <c r="AD369" s="105"/>
      <c r="AE369" s="105"/>
      <c r="AF369" s="91"/>
      <c r="AG369" s="105"/>
      <c r="AH369" s="105"/>
      <c r="AI369" s="105" t="str">
        <f t="shared" si="1"/>
        <v/>
      </c>
      <c r="AJ369" s="108" t="str">
        <f t="shared" si="2"/>
        <v/>
      </c>
    </row>
    <row r="370" ht="15.75" customHeight="1">
      <c r="A370" s="104"/>
      <c r="B370" s="105" t="str">
        <f>IFERROR(__xludf.DUMMYFUNCTION("ARRAY_CONSTRAIN(
  ARRAYFORMULA(
    IF(
      'Final Report'!A370="""",
      """",
      TEXTJOIN(
        "", "" &amp; CHAR(10),
        TRUE,
        IFERROR(
          VLOOKUP(
            TRIM(
              SPLIT('Final Report'!A370, "","")
           "&amp;" ),
            'URL Details'!A:B,
            2,
            FALSE
          ),
          """"
        )
      )
    )
  ),
  1,
  1
)
"),"")</f>
        <v/>
      </c>
      <c r="C370" s="105" t="str">
        <f>IFERROR(__xludf.DUMMYFUNCTION("IFERROR(IF('Final Report'!A370="""","""", TEXTJOIN(CHAR(10), TRUE, ARRAYFORMULA( ""• ""&amp; FILTER( TRIM(FLATTEN(SPLIT( REGEXREPLACE( SUBSTITUTE(TEXTJOIN("","", TRUE, IFERROR(ARRAYFORMULA(VLOOKUP(TRIM(SPLIT('Final Report'!A370, "","")), 'URL Details'!A:D, 4,"&amp;" FALSE)),"""") ), CHAR(10), "",""), ""\s*,\s*"", "",""), "",""))), TRIM(FLATTEN(SPLIT( REGEXREPLACE( SUBSTITUTE(TEXTJOIN("","", TRUE, IFERROR(ARRAYFORMULA(VLOOKUP(TRIM(SPLIT('Final Report'!A370, "","")), 'URL Details'!A:D, 4, FALSE)),"""") ), CHAR(10), """&amp;",""), ""\s*,\s*"", "",""), "","")))&lt;&gt;"""" ) ) ) ),"""")
"),"")</f>
        <v/>
      </c>
      <c r="D370" s="105"/>
      <c r="E370" s="105"/>
      <c r="F370" s="110" t="b">
        <v>0</v>
      </c>
      <c r="G370" s="105" t="str">
        <f>IF(F370=True, IFERROR(VLOOKUP(D370, Repository!A:B, 2, 0), ""), "")</f>
        <v/>
      </c>
      <c r="H370" s="105"/>
      <c r="I370" s="105"/>
      <c r="J370" s="105" t="str">
        <f>IF(F370=True, IFERROR(VLOOKUP(D370, Repository!A:C, 3, 0), ""), "")</f>
        <v/>
      </c>
      <c r="K370" s="105"/>
      <c r="L370" s="105" t="str">
        <f>IF(F370=True, IFERROR(VLOOKUP(D370, Repository!A:E, 5, 0), ""), "")</f>
        <v/>
      </c>
      <c r="M370" s="105"/>
      <c r="N370" s="105" t="str">
        <f>IF(F370=True, IFERROR(VLOOKUP(D370, Repository!A:G, 7, 0), ""), "")</f>
        <v/>
      </c>
      <c r="O370" s="105" t="str">
        <f>IFERROR(__xludf.DUMMYFUNCTION("ARRAY_CONSTRAIN(
  ARRAYFORMULA(
    IFERROR(
      LET(
        list, N370,
        arr, TRIM(SPLIT(list, "","")),
        names, XLOOKUP(
          arr,
          'Conformance Score'!A:A,
          'Conformance Score'!B:B,
          ""Not found""
      "&amp;"  ),
        TEXTJOIN("", "", TRUE, names)
      ),
      """"
    )
  ),
  1,
  1
)
"),"")</f>
        <v/>
      </c>
      <c r="P370" s="105" t="str">
        <f>IF(F370="Yes", IFERROR(VLOOKUP(D370, Repository!A:F, 6, 0), ""), "")</f>
        <v/>
      </c>
      <c r="Q370" s="105" t="str">
        <f>IF(F370="Yes", IFERROR(VLOOKUP(D370, Repository!A:I, 8, 0), ""), "")</f>
        <v/>
      </c>
      <c r="R370" s="105" t="str">
        <f>IF(F370="Yes", IFERROR(VLOOKUP(D370, Repository!A:J, 9, 0), ""), "")</f>
        <v/>
      </c>
      <c r="S370" s="105"/>
      <c r="T370" s="105"/>
      <c r="U370" s="105"/>
      <c r="V370" s="105"/>
      <c r="W370" s="105"/>
      <c r="X370" s="105"/>
      <c r="Y370" s="105"/>
      <c r="Z370" s="105"/>
      <c r="AA370" s="105"/>
      <c r="AB370" s="105"/>
      <c r="AC370" s="91"/>
      <c r="AD370" s="105"/>
      <c r="AE370" s="105"/>
      <c r="AF370" s="91"/>
      <c r="AG370" s="105"/>
      <c r="AH370" s="105"/>
      <c r="AI370" s="105" t="str">
        <f t="shared" si="1"/>
        <v/>
      </c>
      <c r="AJ370" s="108" t="str">
        <f t="shared" si="2"/>
        <v/>
      </c>
    </row>
    <row r="371" ht="15.75" customHeight="1">
      <c r="A371" s="104"/>
      <c r="B371" s="105" t="str">
        <f>IFERROR(__xludf.DUMMYFUNCTION("ARRAY_CONSTRAIN(
  ARRAYFORMULA(
    IF(
      'Final Report'!A371="""",
      """",
      TEXTJOIN(
        "", "" &amp; CHAR(10),
        TRUE,
        IFERROR(
          VLOOKUP(
            TRIM(
              SPLIT('Final Report'!A371, "","")
           "&amp;" ),
            'URL Details'!A:B,
            2,
            FALSE
          ),
          """"
        )
      )
    )
  ),
  1,
  1
)
"),"")</f>
        <v/>
      </c>
      <c r="C371" s="105" t="str">
        <f>IFERROR(__xludf.DUMMYFUNCTION("IFERROR(IF('Final Report'!A371="""","""", TEXTJOIN(CHAR(10), TRUE, ARRAYFORMULA( ""• ""&amp; FILTER( TRIM(FLATTEN(SPLIT( REGEXREPLACE( SUBSTITUTE(TEXTJOIN("","", TRUE, IFERROR(ARRAYFORMULA(VLOOKUP(TRIM(SPLIT('Final Report'!A371, "","")), 'URL Details'!A:D, 4,"&amp;" FALSE)),"""") ), CHAR(10), "",""), ""\s*,\s*"", "",""), "",""))), TRIM(FLATTEN(SPLIT( REGEXREPLACE( SUBSTITUTE(TEXTJOIN("","", TRUE, IFERROR(ARRAYFORMULA(VLOOKUP(TRIM(SPLIT('Final Report'!A371, "","")), 'URL Details'!A:D, 4, FALSE)),"""") ), CHAR(10), """&amp;",""), ""\s*,\s*"", "",""), "","")))&lt;&gt;"""" ) ) ) ),"""")
"),"")</f>
        <v/>
      </c>
      <c r="D371" s="105"/>
      <c r="E371" s="105"/>
      <c r="F371" s="110" t="b">
        <v>0</v>
      </c>
      <c r="G371" s="105" t="str">
        <f>IF(F371=True, IFERROR(VLOOKUP(D371, Repository!A:B, 2, 0), ""), "")</f>
        <v/>
      </c>
      <c r="H371" s="105"/>
      <c r="I371" s="105"/>
      <c r="J371" s="105" t="str">
        <f>IF(F371=True, IFERROR(VLOOKUP(D371, Repository!A:C, 3, 0), ""), "")</f>
        <v/>
      </c>
      <c r="K371" s="105"/>
      <c r="L371" s="105" t="str">
        <f>IF(F371=True, IFERROR(VLOOKUP(D371, Repository!A:E, 5, 0), ""), "")</f>
        <v/>
      </c>
      <c r="M371" s="105"/>
      <c r="N371" s="105" t="str">
        <f>IF(F371=True, IFERROR(VLOOKUP(D371, Repository!A:G, 7, 0), ""), "")</f>
        <v/>
      </c>
      <c r="O371" s="105" t="str">
        <f>IFERROR(__xludf.DUMMYFUNCTION("ARRAY_CONSTRAIN(
  ARRAYFORMULA(
    IFERROR(
      LET(
        list, N371,
        arr, TRIM(SPLIT(list, "","")),
        names, XLOOKUP(
          arr,
          'Conformance Score'!A:A,
          'Conformance Score'!B:B,
          ""Not found""
      "&amp;"  ),
        TEXTJOIN("", "", TRUE, names)
      ),
      """"
    )
  ),
  1,
  1
)
"),"")</f>
        <v/>
      </c>
      <c r="P371" s="105" t="str">
        <f>IF(F371="Yes", IFERROR(VLOOKUP(D371, Repository!A:F, 6, 0), ""), "")</f>
        <v/>
      </c>
      <c r="Q371" s="105" t="str">
        <f>IF(F371="Yes", IFERROR(VLOOKUP(D371, Repository!A:I, 8, 0), ""), "")</f>
        <v/>
      </c>
      <c r="R371" s="105" t="str">
        <f>IF(F371="Yes", IFERROR(VLOOKUP(D371, Repository!A:J, 9, 0), ""), "")</f>
        <v/>
      </c>
      <c r="S371" s="105"/>
      <c r="T371" s="105"/>
      <c r="U371" s="105"/>
      <c r="V371" s="105"/>
      <c r="W371" s="105"/>
      <c r="X371" s="105"/>
      <c r="Y371" s="105"/>
      <c r="Z371" s="105"/>
      <c r="AA371" s="105"/>
      <c r="AB371" s="105"/>
      <c r="AC371" s="91"/>
      <c r="AD371" s="105"/>
      <c r="AE371" s="105"/>
      <c r="AF371" s="91"/>
      <c r="AG371" s="105"/>
      <c r="AH371" s="105"/>
      <c r="AI371" s="105" t="str">
        <f t="shared" si="1"/>
        <v/>
      </c>
      <c r="AJ371" s="108" t="str">
        <f t="shared" si="2"/>
        <v/>
      </c>
    </row>
    <row r="372" ht="15.75" customHeight="1">
      <c r="A372" s="104"/>
      <c r="B372" s="105" t="str">
        <f>IFERROR(__xludf.DUMMYFUNCTION("ARRAY_CONSTRAIN(
  ARRAYFORMULA(
    IF(
      'Final Report'!A372="""",
      """",
      TEXTJOIN(
        "", "" &amp; CHAR(10),
        TRUE,
        IFERROR(
          VLOOKUP(
            TRIM(
              SPLIT('Final Report'!A372, "","")
           "&amp;" ),
            'URL Details'!A:B,
            2,
            FALSE
          ),
          """"
        )
      )
    )
  ),
  1,
  1
)
"),"")</f>
        <v/>
      </c>
      <c r="C372" s="105" t="str">
        <f>IFERROR(__xludf.DUMMYFUNCTION("IFERROR(IF('Final Report'!A372="""","""", TEXTJOIN(CHAR(10), TRUE, ARRAYFORMULA( ""• ""&amp; FILTER( TRIM(FLATTEN(SPLIT( REGEXREPLACE( SUBSTITUTE(TEXTJOIN("","", TRUE, IFERROR(ARRAYFORMULA(VLOOKUP(TRIM(SPLIT('Final Report'!A372, "","")), 'URL Details'!A:D, 4,"&amp;" FALSE)),"""") ), CHAR(10), "",""), ""\s*,\s*"", "",""), "",""))), TRIM(FLATTEN(SPLIT( REGEXREPLACE( SUBSTITUTE(TEXTJOIN("","", TRUE, IFERROR(ARRAYFORMULA(VLOOKUP(TRIM(SPLIT('Final Report'!A372, "","")), 'URL Details'!A:D, 4, FALSE)),"""") ), CHAR(10), """&amp;",""), ""\s*,\s*"", "",""), "","")))&lt;&gt;"""" ) ) ) ),"""")
"),"")</f>
        <v/>
      </c>
      <c r="D372" s="105"/>
      <c r="E372" s="105"/>
      <c r="F372" s="110" t="b">
        <v>0</v>
      </c>
      <c r="G372" s="105" t="str">
        <f>IF(F372=True, IFERROR(VLOOKUP(D372, Repository!A:B, 2, 0), ""), "")</f>
        <v/>
      </c>
      <c r="H372" s="105"/>
      <c r="I372" s="105"/>
      <c r="J372" s="105" t="str">
        <f>IF(F372=True, IFERROR(VLOOKUP(D372, Repository!A:C, 3, 0), ""), "")</f>
        <v/>
      </c>
      <c r="K372" s="105"/>
      <c r="L372" s="105" t="str">
        <f>IF(F372=True, IFERROR(VLOOKUP(D372, Repository!A:E, 5, 0), ""), "")</f>
        <v/>
      </c>
      <c r="M372" s="105"/>
      <c r="N372" s="105" t="str">
        <f>IF(F372=True, IFERROR(VLOOKUP(D372, Repository!A:G, 7, 0), ""), "")</f>
        <v/>
      </c>
      <c r="O372" s="105" t="str">
        <f>IFERROR(__xludf.DUMMYFUNCTION("ARRAY_CONSTRAIN(
  ARRAYFORMULA(
    IFERROR(
      LET(
        list, N372,
        arr, TRIM(SPLIT(list, "","")),
        names, XLOOKUP(
          arr,
          'Conformance Score'!A:A,
          'Conformance Score'!B:B,
          ""Not found""
      "&amp;"  ),
        TEXTJOIN("", "", TRUE, names)
      ),
      """"
    )
  ),
  1,
  1
)
"),"")</f>
        <v/>
      </c>
      <c r="P372" s="105" t="str">
        <f>IF(F372="Yes", IFERROR(VLOOKUP(D372, Repository!A:F, 6, 0), ""), "")</f>
        <v/>
      </c>
      <c r="Q372" s="105" t="str">
        <f>IF(F372="Yes", IFERROR(VLOOKUP(D372, Repository!A:I, 8, 0), ""), "")</f>
        <v/>
      </c>
      <c r="R372" s="105" t="str">
        <f>IF(F372="Yes", IFERROR(VLOOKUP(D372, Repository!A:J, 9, 0), ""), "")</f>
        <v/>
      </c>
      <c r="S372" s="105"/>
      <c r="T372" s="105"/>
      <c r="U372" s="105"/>
      <c r="V372" s="105"/>
      <c r="W372" s="105"/>
      <c r="X372" s="105"/>
      <c r="Y372" s="105"/>
      <c r="Z372" s="105"/>
      <c r="AA372" s="105"/>
      <c r="AB372" s="105"/>
      <c r="AC372" s="91"/>
      <c r="AD372" s="105"/>
      <c r="AE372" s="105"/>
      <c r="AF372" s="91"/>
      <c r="AG372" s="105"/>
      <c r="AH372" s="105"/>
      <c r="AI372" s="105" t="str">
        <f t="shared" si="1"/>
        <v/>
      </c>
      <c r="AJ372" s="108" t="str">
        <f t="shared" si="2"/>
        <v/>
      </c>
    </row>
    <row r="373" ht="15.75" customHeight="1">
      <c r="A373" s="104"/>
      <c r="B373" s="105" t="str">
        <f>IFERROR(__xludf.DUMMYFUNCTION("ARRAY_CONSTRAIN(
  ARRAYFORMULA(
    IF(
      'Final Report'!A373="""",
      """",
      TEXTJOIN(
        "", "" &amp; CHAR(10),
        TRUE,
        IFERROR(
          VLOOKUP(
            TRIM(
              SPLIT('Final Report'!A373, "","")
           "&amp;" ),
            'URL Details'!A:B,
            2,
            FALSE
          ),
          """"
        )
      )
    )
  ),
  1,
  1
)
"),"")</f>
        <v/>
      </c>
      <c r="C373" s="105" t="str">
        <f>IFERROR(__xludf.DUMMYFUNCTION("IFERROR(IF('Final Report'!A373="""","""", TEXTJOIN(CHAR(10), TRUE, ARRAYFORMULA( ""• ""&amp; FILTER( TRIM(FLATTEN(SPLIT( REGEXREPLACE( SUBSTITUTE(TEXTJOIN("","", TRUE, IFERROR(ARRAYFORMULA(VLOOKUP(TRIM(SPLIT('Final Report'!A373, "","")), 'URL Details'!A:D, 4,"&amp;" FALSE)),"""") ), CHAR(10), "",""), ""\s*,\s*"", "",""), "",""))), TRIM(FLATTEN(SPLIT( REGEXREPLACE( SUBSTITUTE(TEXTJOIN("","", TRUE, IFERROR(ARRAYFORMULA(VLOOKUP(TRIM(SPLIT('Final Report'!A373, "","")), 'URL Details'!A:D, 4, FALSE)),"""") ), CHAR(10), """&amp;",""), ""\s*,\s*"", "",""), "","")))&lt;&gt;"""" ) ) ) ),"""")
"),"")</f>
        <v/>
      </c>
      <c r="D373" s="105"/>
      <c r="E373" s="105"/>
      <c r="F373" s="110" t="b">
        <v>0</v>
      </c>
      <c r="G373" s="105" t="str">
        <f>IF(F373=True, IFERROR(VLOOKUP(D373, Repository!A:B, 2, 0), ""), "")</f>
        <v/>
      </c>
      <c r="H373" s="105"/>
      <c r="I373" s="105"/>
      <c r="J373" s="105" t="str">
        <f>IF(F373=True, IFERROR(VLOOKUP(D373, Repository!A:C, 3, 0), ""), "")</f>
        <v/>
      </c>
      <c r="K373" s="105"/>
      <c r="L373" s="105" t="str">
        <f>IF(F373=True, IFERROR(VLOOKUP(D373, Repository!A:E, 5, 0), ""), "")</f>
        <v/>
      </c>
      <c r="M373" s="105"/>
      <c r="N373" s="105" t="str">
        <f>IF(F373=True, IFERROR(VLOOKUP(D373, Repository!A:G, 7, 0), ""), "")</f>
        <v/>
      </c>
      <c r="O373" s="105" t="str">
        <f>IFERROR(__xludf.DUMMYFUNCTION("ARRAY_CONSTRAIN(
  ARRAYFORMULA(
    IFERROR(
      LET(
        list, N373,
        arr, TRIM(SPLIT(list, "","")),
        names, XLOOKUP(
          arr,
          'Conformance Score'!A:A,
          'Conformance Score'!B:B,
          ""Not found""
      "&amp;"  ),
        TEXTJOIN("", "", TRUE, names)
      ),
      """"
    )
  ),
  1,
  1
)
"),"")</f>
        <v/>
      </c>
      <c r="P373" s="105" t="str">
        <f>IF(F373="Yes", IFERROR(VLOOKUP(D373, Repository!A:F, 6, 0), ""), "")</f>
        <v/>
      </c>
      <c r="Q373" s="105" t="str">
        <f>IF(F373="Yes", IFERROR(VLOOKUP(D373, Repository!A:I, 8, 0), ""), "")</f>
        <v/>
      </c>
      <c r="R373" s="105" t="str">
        <f>IF(F373="Yes", IFERROR(VLOOKUP(D373, Repository!A:J, 9, 0), ""), "")</f>
        <v/>
      </c>
      <c r="S373" s="105"/>
      <c r="T373" s="105"/>
      <c r="U373" s="105"/>
      <c r="V373" s="105"/>
      <c r="W373" s="105"/>
      <c r="X373" s="105"/>
      <c r="Y373" s="105"/>
      <c r="Z373" s="105"/>
      <c r="AA373" s="105"/>
      <c r="AB373" s="105"/>
      <c r="AC373" s="91"/>
      <c r="AD373" s="105"/>
      <c r="AE373" s="105"/>
      <c r="AF373" s="91"/>
      <c r="AG373" s="105"/>
      <c r="AH373" s="105"/>
      <c r="AI373" s="105" t="str">
        <f t="shared" si="1"/>
        <v/>
      </c>
      <c r="AJ373" s="108" t="str">
        <f t="shared" si="2"/>
        <v/>
      </c>
    </row>
    <row r="374" ht="15.75" customHeight="1">
      <c r="A374" s="104"/>
      <c r="B374" s="105" t="str">
        <f>IFERROR(__xludf.DUMMYFUNCTION("ARRAY_CONSTRAIN(
  ARRAYFORMULA(
    IF(
      'Final Report'!A374="""",
      """",
      TEXTJOIN(
        "", "" &amp; CHAR(10),
        TRUE,
        IFERROR(
          VLOOKUP(
            TRIM(
              SPLIT('Final Report'!A374, "","")
           "&amp;" ),
            'URL Details'!A:B,
            2,
            FALSE
          ),
          """"
        )
      )
    )
  ),
  1,
  1
)
"),"")</f>
        <v/>
      </c>
      <c r="C374" s="105" t="str">
        <f>IFERROR(__xludf.DUMMYFUNCTION("IFERROR(IF('Final Report'!A374="""","""", TEXTJOIN(CHAR(10), TRUE, ARRAYFORMULA( ""• ""&amp; FILTER( TRIM(FLATTEN(SPLIT( REGEXREPLACE( SUBSTITUTE(TEXTJOIN("","", TRUE, IFERROR(ARRAYFORMULA(VLOOKUP(TRIM(SPLIT('Final Report'!A374, "","")), 'URL Details'!A:D, 4,"&amp;" FALSE)),"""") ), CHAR(10), "",""), ""\s*,\s*"", "",""), "",""))), TRIM(FLATTEN(SPLIT( REGEXREPLACE( SUBSTITUTE(TEXTJOIN("","", TRUE, IFERROR(ARRAYFORMULA(VLOOKUP(TRIM(SPLIT('Final Report'!A374, "","")), 'URL Details'!A:D, 4, FALSE)),"""") ), CHAR(10), """&amp;",""), ""\s*,\s*"", "",""), "","")))&lt;&gt;"""" ) ) ) ),"""")
"),"")</f>
        <v/>
      </c>
      <c r="D374" s="105"/>
      <c r="E374" s="105"/>
      <c r="F374" s="110" t="b">
        <v>0</v>
      </c>
      <c r="G374" s="105" t="str">
        <f>IF(F374=True, IFERROR(VLOOKUP(D374, Repository!A:B, 2, 0), ""), "")</f>
        <v/>
      </c>
      <c r="H374" s="105"/>
      <c r="I374" s="105"/>
      <c r="J374" s="105" t="str">
        <f>IF(F374=True, IFERROR(VLOOKUP(D374, Repository!A:C, 3, 0), ""), "")</f>
        <v/>
      </c>
      <c r="K374" s="105"/>
      <c r="L374" s="105" t="str">
        <f>IF(F374=True, IFERROR(VLOOKUP(D374, Repository!A:E, 5, 0), ""), "")</f>
        <v/>
      </c>
      <c r="M374" s="105"/>
      <c r="N374" s="105" t="str">
        <f>IF(F374=True, IFERROR(VLOOKUP(D374, Repository!A:G, 7, 0), ""), "")</f>
        <v/>
      </c>
      <c r="O374" s="105" t="str">
        <f>IFERROR(__xludf.DUMMYFUNCTION("ARRAY_CONSTRAIN(
  ARRAYFORMULA(
    IFERROR(
      LET(
        list, N374,
        arr, TRIM(SPLIT(list, "","")),
        names, XLOOKUP(
          arr,
          'Conformance Score'!A:A,
          'Conformance Score'!B:B,
          ""Not found""
      "&amp;"  ),
        TEXTJOIN("", "", TRUE, names)
      ),
      """"
    )
  ),
  1,
  1
)
"),"")</f>
        <v/>
      </c>
      <c r="P374" s="105" t="str">
        <f>IF(F374="Yes", IFERROR(VLOOKUP(D374, Repository!A:F, 6, 0), ""), "")</f>
        <v/>
      </c>
      <c r="Q374" s="105" t="str">
        <f>IF(F374="Yes", IFERROR(VLOOKUP(D374, Repository!A:I, 8, 0), ""), "")</f>
        <v/>
      </c>
      <c r="R374" s="105" t="str">
        <f>IF(F374="Yes", IFERROR(VLOOKUP(D374, Repository!A:J, 9, 0), ""), "")</f>
        <v/>
      </c>
      <c r="S374" s="105"/>
      <c r="T374" s="105"/>
      <c r="U374" s="105"/>
      <c r="V374" s="105"/>
      <c r="W374" s="105"/>
      <c r="X374" s="105"/>
      <c r="Y374" s="105"/>
      <c r="Z374" s="105"/>
      <c r="AA374" s="105"/>
      <c r="AB374" s="105"/>
      <c r="AC374" s="91"/>
      <c r="AD374" s="105"/>
      <c r="AE374" s="105"/>
      <c r="AF374" s="91"/>
      <c r="AG374" s="105"/>
      <c r="AH374" s="105"/>
      <c r="AI374" s="105" t="str">
        <f t="shared" si="1"/>
        <v/>
      </c>
      <c r="AJ374" s="108" t="str">
        <f t="shared" si="2"/>
        <v/>
      </c>
    </row>
    <row r="375" ht="15.75" customHeight="1">
      <c r="A375" s="104"/>
      <c r="B375" s="105" t="str">
        <f>IFERROR(__xludf.DUMMYFUNCTION("ARRAY_CONSTRAIN(
  ARRAYFORMULA(
    IF(
      'Final Report'!A375="""",
      """",
      TEXTJOIN(
        "", "" &amp; CHAR(10),
        TRUE,
        IFERROR(
          VLOOKUP(
            TRIM(
              SPLIT('Final Report'!A375, "","")
           "&amp;" ),
            'URL Details'!A:B,
            2,
            FALSE
          ),
          """"
        )
      )
    )
  ),
  1,
  1
)
"),"")</f>
        <v/>
      </c>
      <c r="C375" s="105" t="str">
        <f>IFERROR(__xludf.DUMMYFUNCTION("IFERROR(IF('Final Report'!A375="""","""", TEXTJOIN(CHAR(10), TRUE, ARRAYFORMULA( ""• ""&amp; FILTER( TRIM(FLATTEN(SPLIT( REGEXREPLACE( SUBSTITUTE(TEXTJOIN("","", TRUE, IFERROR(ARRAYFORMULA(VLOOKUP(TRIM(SPLIT('Final Report'!A375, "","")), 'URL Details'!A:D, 4,"&amp;" FALSE)),"""") ), CHAR(10), "",""), ""\s*,\s*"", "",""), "",""))), TRIM(FLATTEN(SPLIT( REGEXREPLACE( SUBSTITUTE(TEXTJOIN("","", TRUE, IFERROR(ARRAYFORMULA(VLOOKUP(TRIM(SPLIT('Final Report'!A375, "","")), 'URL Details'!A:D, 4, FALSE)),"""") ), CHAR(10), """&amp;",""), ""\s*,\s*"", "",""), "","")))&lt;&gt;"""" ) ) ) ),"""")
"),"")</f>
        <v/>
      </c>
      <c r="D375" s="105"/>
      <c r="E375" s="105"/>
      <c r="F375" s="110" t="b">
        <v>0</v>
      </c>
      <c r="G375" s="105" t="str">
        <f>IF(F375=True, IFERROR(VLOOKUP(D375, Repository!A:B, 2, 0), ""), "")</f>
        <v/>
      </c>
      <c r="H375" s="105"/>
      <c r="I375" s="105"/>
      <c r="J375" s="105" t="str">
        <f>IF(F375=True, IFERROR(VLOOKUP(D375, Repository!A:C, 3, 0), ""), "")</f>
        <v/>
      </c>
      <c r="K375" s="105"/>
      <c r="L375" s="105" t="str">
        <f>IF(F375=True, IFERROR(VLOOKUP(D375, Repository!A:E, 5, 0), ""), "")</f>
        <v/>
      </c>
      <c r="M375" s="105"/>
      <c r="N375" s="105" t="str">
        <f>IF(F375=True, IFERROR(VLOOKUP(D375, Repository!A:G, 7, 0), ""), "")</f>
        <v/>
      </c>
      <c r="O375" s="105" t="str">
        <f>IFERROR(__xludf.DUMMYFUNCTION("ARRAY_CONSTRAIN(
  ARRAYFORMULA(
    IFERROR(
      LET(
        list, N375,
        arr, TRIM(SPLIT(list, "","")),
        names, XLOOKUP(
          arr,
          'Conformance Score'!A:A,
          'Conformance Score'!B:B,
          ""Not found""
      "&amp;"  ),
        TEXTJOIN("", "", TRUE, names)
      ),
      """"
    )
  ),
  1,
  1
)
"),"")</f>
        <v/>
      </c>
      <c r="P375" s="105" t="str">
        <f>IF(F375="Yes", IFERROR(VLOOKUP(D375, Repository!A:F, 6, 0), ""), "")</f>
        <v/>
      </c>
      <c r="Q375" s="105" t="str">
        <f>IF(F375="Yes", IFERROR(VLOOKUP(D375, Repository!A:I, 8, 0), ""), "")</f>
        <v/>
      </c>
      <c r="R375" s="105" t="str">
        <f>IF(F375="Yes", IFERROR(VLOOKUP(D375, Repository!A:J, 9, 0), ""), "")</f>
        <v/>
      </c>
      <c r="S375" s="105"/>
      <c r="T375" s="105"/>
      <c r="U375" s="105"/>
      <c r="V375" s="105"/>
      <c r="W375" s="105"/>
      <c r="X375" s="105"/>
      <c r="Y375" s="105"/>
      <c r="Z375" s="105"/>
      <c r="AA375" s="105"/>
      <c r="AB375" s="105"/>
      <c r="AC375" s="91"/>
      <c r="AD375" s="105"/>
      <c r="AE375" s="105"/>
      <c r="AF375" s="91"/>
      <c r="AG375" s="105"/>
      <c r="AH375" s="105"/>
      <c r="AI375" s="105" t="str">
        <f t="shared" si="1"/>
        <v/>
      </c>
      <c r="AJ375" s="108" t="str">
        <f t="shared" si="2"/>
        <v/>
      </c>
    </row>
    <row r="376" ht="15.75" customHeight="1">
      <c r="A376" s="104"/>
      <c r="B376" s="105" t="str">
        <f>IFERROR(__xludf.DUMMYFUNCTION("ARRAY_CONSTRAIN(
  ARRAYFORMULA(
    IF(
      'Final Report'!A376="""",
      """",
      TEXTJOIN(
        "", "" &amp; CHAR(10),
        TRUE,
        IFERROR(
          VLOOKUP(
            TRIM(
              SPLIT('Final Report'!A376, "","")
           "&amp;" ),
            'URL Details'!A:B,
            2,
            FALSE
          ),
          """"
        )
      )
    )
  ),
  1,
  1
)
"),"")</f>
        <v/>
      </c>
      <c r="C376" s="105" t="str">
        <f>IFERROR(__xludf.DUMMYFUNCTION("IFERROR(IF('Final Report'!A376="""","""", TEXTJOIN(CHAR(10), TRUE, ARRAYFORMULA( ""• ""&amp; FILTER( TRIM(FLATTEN(SPLIT( REGEXREPLACE( SUBSTITUTE(TEXTJOIN("","", TRUE, IFERROR(ARRAYFORMULA(VLOOKUP(TRIM(SPLIT('Final Report'!A376, "","")), 'URL Details'!A:D, 4,"&amp;" FALSE)),"""") ), CHAR(10), "",""), ""\s*,\s*"", "",""), "",""))), TRIM(FLATTEN(SPLIT( REGEXREPLACE( SUBSTITUTE(TEXTJOIN("","", TRUE, IFERROR(ARRAYFORMULA(VLOOKUP(TRIM(SPLIT('Final Report'!A376, "","")), 'URL Details'!A:D, 4, FALSE)),"""") ), CHAR(10), """&amp;",""), ""\s*,\s*"", "",""), "","")))&lt;&gt;"""" ) ) ) ),"""")
"),"")</f>
        <v/>
      </c>
      <c r="D376" s="105"/>
      <c r="E376" s="105"/>
      <c r="F376" s="110" t="b">
        <v>0</v>
      </c>
      <c r="G376" s="105" t="str">
        <f>IF(F376=True, IFERROR(VLOOKUP(D376, Repository!A:B, 2, 0), ""), "")</f>
        <v/>
      </c>
      <c r="H376" s="105"/>
      <c r="I376" s="105"/>
      <c r="J376" s="105" t="str">
        <f>IF(F376=True, IFERROR(VLOOKUP(D376, Repository!A:C, 3, 0), ""), "")</f>
        <v/>
      </c>
      <c r="K376" s="105"/>
      <c r="L376" s="105" t="str">
        <f>IF(F376=True, IFERROR(VLOOKUP(D376, Repository!A:E, 5, 0), ""), "")</f>
        <v/>
      </c>
      <c r="M376" s="105"/>
      <c r="N376" s="105" t="str">
        <f>IF(F376=True, IFERROR(VLOOKUP(D376, Repository!A:G, 7, 0), ""), "")</f>
        <v/>
      </c>
      <c r="O376" s="105" t="str">
        <f>IFERROR(__xludf.DUMMYFUNCTION("ARRAY_CONSTRAIN(
  ARRAYFORMULA(
    IFERROR(
      LET(
        list, N376,
        arr, TRIM(SPLIT(list, "","")),
        names, XLOOKUP(
          arr,
          'Conformance Score'!A:A,
          'Conformance Score'!B:B,
          ""Not found""
      "&amp;"  ),
        TEXTJOIN("", "", TRUE, names)
      ),
      """"
    )
  ),
  1,
  1
)
"),"")</f>
        <v/>
      </c>
      <c r="P376" s="105" t="str">
        <f>IF(F376="Yes", IFERROR(VLOOKUP(D376, Repository!A:F, 6, 0), ""), "")</f>
        <v/>
      </c>
      <c r="Q376" s="105" t="str">
        <f>IF(F376="Yes", IFERROR(VLOOKUP(D376, Repository!A:I, 8, 0), ""), "")</f>
        <v/>
      </c>
      <c r="R376" s="105" t="str">
        <f>IF(F376="Yes", IFERROR(VLOOKUP(D376, Repository!A:J, 9, 0), ""), "")</f>
        <v/>
      </c>
      <c r="S376" s="105"/>
      <c r="T376" s="105"/>
      <c r="U376" s="105"/>
      <c r="V376" s="105"/>
      <c r="W376" s="105"/>
      <c r="X376" s="105"/>
      <c r="Y376" s="105"/>
      <c r="Z376" s="105"/>
      <c r="AA376" s="105"/>
      <c r="AB376" s="105"/>
      <c r="AC376" s="91"/>
      <c r="AD376" s="105"/>
      <c r="AE376" s="105"/>
      <c r="AF376" s="91"/>
      <c r="AG376" s="105"/>
      <c r="AH376" s="105"/>
      <c r="AI376" s="105" t="str">
        <f t="shared" si="1"/>
        <v/>
      </c>
      <c r="AJ376" s="108" t="str">
        <f t="shared" si="2"/>
        <v/>
      </c>
    </row>
    <row r="377" ht="15.75" customHeight="1">
      <c r="A377" s="104"/>
      <c r="B377" s="105" t="str">
        <f>IFERROR(__xludf.DUMMYFUNCTION("ARRAY_CONSTRAIN(
  ARRAYFORMULA(
    IF(
      'Final Report'!A377="""",
      """",
      TEXTJOIN(
        "", "" &amp; CHAR(10),
        TRUE,
        IFERROR(
          VLOOKUP(
            TRIM(
              SPLIT('Final Report'!A377, "","")
           "&amp;" ),
            'URL Details'!A:B,
            2,
            FALSE
          ),
          """"
        )
      )
    )
  ),
  1,
  1
)
"),"")</f>
        <v/>
      </c>
      <c r="C377" s="105" t="str">
        <f>IFERROR(__xludf.DUMMYFUNCTION("IFERROR(IF('Final Report'!A377="""","""", TEXTJOIN(CHAR(10), TRUE, ARRAYFORMULA( ""• ""&amp; FILTER( TRIM(FLATTEN(SPLIT( REGEXREPLACE( SUBSTITUTE(TEXTJOIN("","", TRUE, IFERROR(ARRAYFORMULA(VLOOKUP(TRIM(SPLIT('Final Report'!A377, "","")), 'URL Details'!A:D, 4,"&amp;" FALSE)),"""") ), CHAR(10), "",""), ""\s*,\s*"", "",""), "",""))), TRIM(FLATTEN(SPLIT( REGEXREPLACE( SUBSTITUTE(TEXTJOIN("","", TRUE, IFERROR(ARRAYFORMULA(VLOOKUP(TRIM(SPLIT('Final Report'!A377, "","")), 'URL Details'!A:D, 4, FALSE)),"""") ), CHAR(10), """&amp;",""), ""\s*,\s*"", "",""), "","")))&lt;&gt;"""" ) ) ) ),"""")
"),"")</f>
        <v/>
      </c>
      <c r="D377" s="105"/>
      <c r="E377" s="105"/>
      <c r="F377" s="110" t="b">
        <v>0</v>
      </c>
      <c r="G377" s="105" t="str">
        <f>IF(F377=True, IFERROR(VLOOKUP(D377, Repository!A:B, 2, 0), ""), "")</f>
        <v/>
      </c>
      <c r="H377" s="105"/>
      <c r="I377" s="105"/>
      <c r="J377" s="105" t="str">
        <f>IF(F377=True, IFERROR(VLOOKUP(D377, Repository!A:C, 3, 0), ""), "")</f>
        <v/>
      </c>
      <c r="K377" s="105"/>
      <c r="L377" s="105" t="str">
        <f>IF(F377=True, IFERROR(VLOOKUP(D377, Repository!A:E, 5, 0), ""), "")</f>
        <v/>
      </c>
      <c r="M377" s="105"/>
      <c r="N377" s="105" t="str">
        <f>IF(F377=True, IFERROR(VLOOKUP(D377, Repository!A:G, 7, 0), ""), "")</f>
        <v/>
      </c>
      <c r="O377" s="105" t="str">
        <f>IFERROR(__xludf.DUMMYFUNCTION("ARRAY_CONSTRAIN(
  ARRAYFORMULA(
    IFERROR(
      LET(
        list, N377,
        arr, TRIM(SPLIT(list, "","")),
        names, XLOOKUP(
          arr,
          'Conformance Score'!A:A,
          'Conformance Score'!B:B,
          ""Not found""
      "&amp;"  ),
        TEXTJOIN("", "", TRUE, names)
      ),
      """"
    )
  ),
  1,
  1
)
"),"")</f>
        <v/>
      </c>
      <c r="P377" s="105" t="str">
        <f>IF(F377="Yes", IFERROR(VLOOKUP(D377, Repository!A:F, 6, 0), ""), "")</f>
        <v/>
      </c>
      <c r="Q377" s="105" t="str">
        <f>IF(F377="Yes", IFERROR(VLOOKUP(D377, Repository!A:I, 8, 0), ""), "")</f>
        <v/>
      </c>
      <c r="R377" s="105" t="str">
        <f>IF(F377="Yes", IFERROR(VLOOKUP(D377, Repository!A:J, 9, 0), ""), "")</f>
        <v/>
      </c>
      <c r="S377" s="105"/>
      <c r="T377" s="105"/>
      <c r="U377" s="105"/>
      <c r="V377" s="105"/>
      <c r="W377" s="105"/>
      <c r="X377" s="105"/>
      <c r="Y377" s="105"/>
      <c r="Z377" s="105"/>
      <c r="AA377" s="105"/>
      <c r="AB377" s="105"/>
      <c r="AC377" s="91"/>
      <c r="AD377" s="105"/>
      <c r="AE377" s="105"/>
      <c r="AF377" s="91"/>
      <c r="AG377" s="105"/>
      <c r="AH377" s="105"/>
      <c r="AI377" s="105" t="str">
        <f t="shared" si="1"/>
        <v/>
      </c>
      <c r="AJ377" s="108" t="str">
        <f t="shared" si="2"/>
        <v/>
      </c>
    </row>
    <row r="378" ht="15.75" customHeight="1">
      <c r="A378" s="104"/>
      <c r="B378" s="105" t="str">
        <f>IFERROR(__xludf.DUMMYFUNCTION("ARRAY_CONSTRAIN(
  ARRAYFORMULA(
    IF(
      'Final Report'!A378="""",
      """",
      TEXTJOIN(
        "", "" &amp; CHAR(10),
        TRUE,
        IFERROR(
          VLOOKUP(
            TRIM(
              SPLIT('Final Report'!A378, "","")
           "&amp;" ),
            'URL Details'!A:B,
            2,
            FALSE
          ),
          """"
        )
      )
    )
  ),
  1,
  1
)
"),"")</f>
        <v/>
      </c>
      <c r="C378" s="105" t="str">
        <f>IFERROR(__xludf.DUMMYFUNCTION("IFERROR(IF('Final Report'!A378="""","""", TEXTJOIN(CHAR(10), TRUE, ARRAYFORMULA( ""• ""&amp; FILTER( TRIM(FLATTEN(SPLIT( REGEXREPLACE( SUBSTITUTE(TEXTJOIN("","", TRUE, IFERROR(ARRAYFORMULA(VLOOKUP(TRIM(SPLIT('Final Report'!A378, "","")), 'URL Details'!A:D, 4,"&amp;" FALSE)),"""") ), CHAR(10), "",""), ""\s*,\s*"", "",""), "",""))), TRIM(FLATTEN(SPLIT( REGEXREPLACE( SUBSTITUTE(TEXTJOIN("","", TRUE, IFERROR(ARRAYFORMULA(VLOOKUP(TRIM(SPLIT('Final Report'!A378, "","")), 'URL Details'!A:D, 4, FALSE)),"""") ), CHAR(10), """&amp;",""), ""\s*,\s*"", "",""), "","")))&lt;&gt;"""" ) ) ) ),"""")
"),"")</f>
        <v/>
      </c>
      <c r="D378" s="105"/>
      <c r="E378" s="105"/>
      <c r="F378" s="110" t="b">
        <v>0</v>
      </c>
      <c r="G378" s="105" t="str">
        <f>IF(F378=True, IFERROR(VLOOKUP(D378, Repository!A:B, 2, 0), ""), "")</f>
        <v/>
      </c>
      <c r="H378" s="105"/>
      <c r="I378" s="105"/>
      <c r="J378" s="105" t="str">
        <f>IF(F378=True, IFERROR(VLOOKUP(D378, Repository!A:C, 3, 0), ""), "")</f>
        <v/>
      </c>
      <c r="K378" s="105"/>
      <c r="L378" s="105" t="str">
        <f>IF(F378=True, IFERROR(VLOOKUP(D378, Repository!A:E, 5, 0), ""), "")</f>
        <v/>
      </c>
      <c r="M378" s="105"/>
      <c r="N378" s="105" t="str">
        <f>IF(F378=True, IFERROR(VLOOKUP(D378, Repository!A:G, 7, 0), ""), "")</f>
        <v/>
      </c>
      <c r="O378" s="105" t="str">
        <f>IFERROR(__xludf.DUMMYFUNCTION("ARRAY_CONSTRAIN(
  ARRAYFORMULA(
    IFERROR(
      LET(
        list, N378,
        arr, TRIM(SPLIT(list, "","")),
        names, XLOOKUP(
          arr,
          'Conformance Score'!A:A,
          'Conformance Score'!B:B,
          ""Not found""
      "&amp;"  ),
        TEXTJOIN("", "", TRUE, names)
      ),
      """"
    )
  ),
  1,
  1
)
"),"")</f>
        <v/>
      </c>
      <c r="P378" s="105" t="str">
        <f>IF(F378="Yes", IFERROR(VLOOKUP(D378, Repository!A:F, 6, 0), ""), "")</f>
        <v/>
      </c>
      <c r="Q378" s="105" t="str">
        <f>IF(F378="Yes", IFERROR(VLOOKUP(D378, Repository!A:I, 8, 0), ""), "")</f>
        <v/>
      </c>
      <c r="R378" s="105" t="str">
        <f>IF(F378="Yes", IFERROR(VLOOKUP(D378, Repository!A:J, 9, 0), ""), "")</f>
        <v/>
      </c>
      <c r="S378" s="105"/>
      <c r="T378" s="105"/>
      <c r="U378" s="105"/>
      <c r="V378" s="105"/>
      <c r="W378" s="105"/>
      <c r="X378" s="105"/>
      <c r="Y378" s="105"/>
      <c r="Z378" s="105"/>
      <c r="AA378" s="105"/>
      <c r="AB378" s="105"/>
      <c r="AC378" s="91"/>
      <c r="AD378" s="105"/>
      <c r="AE378" s="105"/>
      <c r="AF378" s="91"/>
      <c r="AG378" s="105"/>
      <c r="AH378" s="105"/>
      <c r="AI378" s="105" t="str">
        <f t="shared" si="1"/>
        <v/>
      </c>
      <c r="AJ378" s="108" t="str">
        <f t="shared" si="2"/>
        <v/>
      </c>
    </row>
    <row r="379" ht="15.75" customHeight="1">
      <c r="A379" s="104"/>
      <c r="B379" s="105" t="str">
        <f>IFERROR(__xludf.DUMMYFUNCTION("ARRAY_CONSTRAIN(
  ARRAYFORMULA(
    IF(
      'Final Report'!A379="""",
      """",
      TEXTJOIN(
        "", "" &amp; CHAR(10),
        TRUE,
        IFERROR(
          VLOOKUP(
            TRIM(
              SPLIT('Final Report'!A379, "","")
           "&amp;" ),
            'URL Details'!A:B,
            2,
            FALSE
          ),
          """"
        )
      )
    )
  ),
  1,
  1
)
"),"")</f>
        <v/>
      </c>
      <c r="C379" s="105" t="str">
        <f>IFERROR(__xludf.DUMMYFUNCTION("IFERROR(IF('Final Report'!A379="""","""", TEXTJOIN(CHAR(10), TRUE, ARRAYFORMULA( ""• ""&amp; FILTER( TRIM(FLATTEN(SPLIT( REGEXREPLACE( SUBSTITUTE(TEXTJOIN("","", TRUE, IFERROR(ARRAYFORMULA(VLOOKUP(TRIM(SPLIT('Final Report'!A379, "","")), 'URL Details'!A:D, 4,"&amp;" FALSE)),"""") ), CHAR(10), "",""), ""\s*,\s*"", "",""), "",""))), TRIM(FLATTEN(SPLIT( REGEXREPLACE( SUBSTITUTE(TEXTJOIN("","", TRUE, IFERROR(ARRAYFORMULA(VLOOKUP(TRIM(SPLIT('Final Report'!A379, "","")), 'URL Details'!A:D, 4, FALSE)),"""") ), CHAR(10), """&amp;",""), ""\s*,\s*"", "",""), "","")))&lt;&gt;"""" ) ) ) ),"""")
"),"")</f>
        <v/>
      </c>
      <c r="D379" s="105"/>
      <c r="E379" s="105"/>
      <c r="F379" s="110" t="b">
        <v>0</v>
      </c>
      <c r="G379" s="105" t="str">
        <f>IF(F379=True, IFERROR(VLOOKUP(D379, Repository!A:B, 2, 0), ""), "")</f>
        <v/>
      </c>
      <c r="H379" s="105"/>
      <c r="I379" s="105"/>
      <c r="J379" s="105" t="str">
        <f>IF(F379=True, IFERROR(VLOOKUP(D379, Repository!A:C, 3, 0), ""), "")</f>
        <v/>
      </c>
      <c r="K379" s="105"/>
      <c r="L379" s="105" t="str">
        <f>IF(F379=True, IFERROR(VLOOKUP(D379, Repository!A:E, 5, 0), ""), "")</f>
        <v/>
      </c>
      <c r="M379" s="105"/>
      <c r="N379" s="105" t="str">
        <f>IF(F379=True, IFERROR(VLOOKUP(D379, Repository!A:G, 7, 0), ""), "")</f>
        <v/>
      </c>
      <c r="O379" s="105" t="str">
        <f>IFERROR(__xludf.DUMMYFUNCTION("ARRAY_CONSTRAIN(
  ARRAYFORMULA(
    IFERROR(
      LET(
        list, N379,
        arr, TRIM(SPLIT(list, "","")),
        names, XLOOKUP(
          arr,
          'Conformance Score'!A:A,
          'Conformance Score'!B:B,
          ""Not found""
      "&amp;"  ),
        TEXTJOIN("", "", TRUE, names)
      ),
      """"
    )
  ),
  1,
  1
)
"),"")</f>
        <v/>
      </c>
      <c r="P379" s="105" t="str">
        <f>IF(F379="Yes", IFERROR(VLOOKUP(D379, Repository!A:F, 6, 0), ""), "")</f>
        <v/>
      </c>
      <c r="Q379" s="105" t="str">
        <f>IF(F379="Yes", IFERROR(VLOOKUP(D379, Repository!A:I, 8, 0), ""), "")</f>
        <v/>
      </c>
      <c r="R379" s="105" t="str">
        <f>IF(F379="Yes", IFERROR(VLOOKUP(D379, Repository!A:J, 9, 0), ""), "")</f>
        <v/>
      </c>
      <c r="S379" s="105"/>
      <c r="T379" s="105"/>
      <c r="U379" s="105"/>
      <c r="V379" s="105"/>
      <c r="W379" s="105"/>
      <c r="X379" s="105"/>
      <c r="Y379" s="105"/>
      <c r="Z379" s="105"/>
      <c r="AA379" s="105"/>
      <c r="AB379" s="105"/>
      <c r="AC379" s="91"/>
      <c r="AD379" s="105"/>
      <c r="AE379" s="105"/>
      <c r="AF379" s="91"/>
      <c r="AG379" s="105"/>
      <c r="AH379" s="105"/>
      <c r="AI379" s="105" t="str">
        <f t="shared" si="1"/>
        <v/>
      </c>
      <c r="AJ379" s="108" t="str">
        <f t="shared" si="2"/>
        <v/>
      </c>
    </row>
    <row r="380" ht="15.75" customHeight="1">
      <c r="A380" s="104"/>
      <c r="B380" s="105" t="str">
        <f>IFERROR(__xludf.DUMMYFUNCTION("ARRAY_CONSTRAIN(
  ARRAYFORMULA(
    IF(
      'Final Report'!A380="""",
      """",
      TEXTJOIN(
        "", "" &amp; CHAR(10),
        TRUE,
        IFERROR(
          VLOOKUP(
            TRIM(
              SPLIT('Final Report'!A380, "","")
           "&amp;" ),
            'URL Details'!A:B,
            2,
            FALSE
          ),
          """"
        )
      )
    )
  ),
  1,
  1
)
"),"")</f>
        <v/>
      </c>
      <c r="C380" s="105" t="str">
        <f>IFERROR(__xludf.DUMMYFUNCTION("IFERROR(IF('Final Report'!A380="""","""", TEXTJOIN(CHAR(10), TRUE, ARRAYFORMULA( ""• ""&amp; FILTER( TRIM(FLATTEN(SPLIT( REGEXREPLACE( SUBSTITUTE(TEXTJOIN("","", TRUE, IFERROR(ARRAYFORMULA(VLOOKUP(TRIM(SPLIT('Final Report'!A380, "","")), 'URL Details'!A:D, 4,"&amp;" FALSE)),"""") ), CHAR(10), "",""), ""\s*,\s*"", "",""), "",""))), TRIM(FLATTEN(SPLIT( REGEXREPLACE( SUBSTITUTE(TEXTJOIN("","", TRUE, IFERROR(ARRAYFORMULA(VLOOKUP(TRIM(SPLIT('Final Report'!A380, "","")), 'URL Details'!A:D, 4, FALSE)),"""") ), CHAR(10), """&amp;",""), ""\s*,\s*"", "",""), "","")))&lt;&gt;"""" ) ) ) ),"""")
"),"")</f>
        <v/>
      </c>
      <c r="D380" s="105"/>
      <c r="E380" s="105"/>
      <c r="F380" s="110" t="b">
        <v>0</v>
      </c>
      <c r="G380" s="105" t="str">
        <f>IF(F380=True, IFERROR(VLOOKUP(D380, Repository!A:B, 2, 0), ""), "")</f>
        <v/>
      </c>
      <c r="H380" s="105"/>
      <c r="I380" s="105"/>
      <c r="J380" s="105" t="str">
        <f>IF(F380=True, IFERROR(VLOOKUP(D380, Repository!A:C, 3, 0), ""), "")</f>
        <v/>
      </c>
      <c r="K380" s="105"/>
      <c r="L380" s="105" t="str">
        <f>IF(F380=True, IFERROR(VLOOKUP(D380, Repository!A:E, 5, 0), ""), "")</f>
        <v/>
      </c>
      <c r="M380" s="105"/>
      <c r="N380" s="105" t="str">
        <f>IF(F380=True, IFERROR(VLOOKUP(D380, Repository!A:G, 7, 0), ""), "")</f>
        <v/>
      </c>
      <c r="O380" s="105" t="str">
        <f>IFERROR(__xludf.DUMMYFUNCTION("ARRAY_CONSTRAIN(
  ARRAYFORMULA(
    IFERROR(
      LET(
        list, N380,
        arr, TRIM(SPLIT(list, "","")),
        names, XLOOKUP(
          arr,
          'Conformance Score'!A:A,
          'Conformance Score'!B:B,
          ""Not found""
      "&amp;"  ),
        TEXTJOIN("", "", TRUE, names)
      ),
      """"
    )
  ),
  1,
  1
)
"),"")</f>
        <v/>
      </c>
      <c r="P380" s="105" t="str">
        <f>IF(F380="Yes", IFERROR(VLOOKUP(D380, Repository!A:F, 6, 0), ""), "")</f>
        <v/>
      </c>
      <c r="Q380" s="105" t="str">
        <f>IF(F380="Yes", IFERROR(VLOOKUP(D380, Repository!A:I, 8, 0), ""), "")</f>
        <v/>
      </c>
      <c r="R380" s="105" t="str">
        <f>IF(F380="Yes", IFERROR(VLOOKUP(D380, Repository!A:J, 9, 0), ""), "")</f>
        <v/>
      </c>
      <c r="S380" s="105"/>
      <c r="T380" s="105"/>
      <c r="U380" s="105"/>
      <c r="V380" s="105"/>
      <c r="W380" s="105"/>
      <c r="X380" s="105"/>
      <c r="Y380" s="105"/>
      <c r="Z380" s="105"/>
      <c r="AA380" s="105"/>
      <c r="AB380" s="105"/>
      <c r="AC380" s="91"/>
      <c r="AD380" s="105"/>
      <c r="AE380" s="105"/>
      <c r="AF380" s="91"/>
      <c r="AG380" s="105"/>
      <c r="AH380" s="105"/>
      <c r="AI380" s="105" t="str">
        <f t="shared" si="1"/>
        <v/>
      </c>
      <c r="AJ380" s="108" t="str">
        <f t="shared" si="2"/>
        <v/>
      </c>
    </row>
    <row r="381" ht="15.75" customHeight="1">
      <c r="A381" s="104"/>
      <c r="B381" s="105" t="str">
        <f>IFERROR(__xludf.DUMMYFUNCTION("ARRAY_CONSTRAIN(
  ARRAYFORMULA(
    IF(
      'Final Report'!A381="""",
      """",
      TEXTJOIN(
        "", "" &amp; CHAR(10),
        TRUE,
        IFERROR(
          VLOOKUP(
            TRIM(
              SPLIT('Final Report'!A381, "","")
           "&amp;" ),
            'URL Details'!A:B,
            2,
            FALSE
          ),
          """"
        )
      )
    )
  ),
  1,
  1
)
"),"")</f>
        <v/>
      </c>
      <c r="C381" s="105" t="str">
        <f>IFERROR(__xludf.DUMMYFUNCTION("IFERROR(IF('Final Report'!A381="""","""", TEXTJOIN(CHAR(10), TRUE, ARRAYFORMULA( ""• ""&amp; FILTER( TRIM(FLATTEN(SPLIT( REGEXREPLACE( SUBSTITUTE(TEXTJOIN("","", TRUE, IFERROR(ARRAYFORMULA(VLOOKUP(TRIM(SPLIT('Final Report'!A381, "","")), 'URL Details'!A:D, 4,"&amp;" FALSE)),"""") ), CHAR(10), "",""), ""\s*,\s*"", "",""), "",""))), TRIM(FLATTEN(SPLIT( REGEXREPLACE( SUBSTITUTE(TEXTJOIN("","", TRUE, IFERROR(ARRAYFORMULA(VLOOKUP(TRIM(SPLIT('Final Report'!A381, "","")), 'URL Details'!A:D, 4, FALSE)),"""") ), CHAR(10), """&amp;",""), ""\s*,\s*"", "",""), "","")))&lt;&gt;"""" ) ) ) ),"""")
"),"")</f>
        <v/>
      </c>
      <c r="D381" s="105"/>
      <c r="E381" s="105"/>
      <c r="F381" s="110" t="b">
        <v>0</v>
      </c>
      <c r="G381" s="105" t="str">
        <f>IF(F381=True, IFERROR(VLOOKUP(D381, Repository!A:B, 2, 0), ""), "")</f>
        <v/>
      </c>
      <c r="H381" s="105"/>
      <c r="I381" s="105"/>
      <c r="J381" s="105" t="str">
        <f>IF(F381=True, IFERROR(VLOOKUP(D381, Repository!A:C, 3, 0), ""), "")</f>
        <v/>
      </c>
      <c r="K381" s="105"/>
      <c r="L381" s="105" t="str">
        <f>IF(F381=True, IFERROR(VLOOKUP(D381, Repository!A:E, 5, 0), ""), "")</f>
        <v/>
      </c>
      <c r="M381" s="105"/>
      <c r="N381" s="105" t="str">
        <f>IF(F381=True, IFERROR(VLOOKUP(D381, Repository!A:G, 7, 0), ""), "")</f>
        <v/>
      </c>
      <c r="O381" s="105" t="str">
        <f>IFERROR(__xludf.DUMMYFUNCTION("ARRAY_CONSTRAIN(
  ARRAYFORMULA(
    IFERROR(
      LET(
        list, N381,
        arr, TRIM(SPLIT(list, "","")),
        names, XLOOKUP(
          arr,
          'Conformance Score'!A:A,
          'Conformance Score'!B:B,
          ""Not found""
      "&amp;"  ),
        TEXTJOIN("", "", TRUE, names)
      ),
      """"
    )
  ),
  1,
  1
)
"),"")</f>
        <v/>
      </c>
      <c r="P381" s="105" t="str">
        <f>IF(F381="Yes", IFERROR(VLOOKUP(D381, Repository!A:F, 6, 0), ""), "")</f>
        <v/>
      </c>
      <c r="Q381" s="105" t="str">
        <f>IF(F381="Yes", IFERROR(VLOOKUP(D381, Repository!A:I, 8, 0), ""), "")</f>
        <v/>
      </c>
      <c r="R381" s="105" t="str">
        <f>IF(F381="Yes", IFERROR(VLOOKUP(D381, Repository!A:J, 9, 0), ""), "")</f>
        <v/>
      </c>
      <c r="S381" s="105"/>
      <c r="T381" s="105"/>
      <c r="U381" s="105"/>
      <c r="V381" s="105"/>
      <c r="W381" s="105"/>
      <c r="X381" s="105"/>
      <c r="Y381" s="105"/>
      <c r="Z381" s="105"/>
      <c r="AA381" s="105"/>
      <c r="AB381" s="105"/>
      <c r="AC381" s="91"/>
      <c r="AD381" s="105"/>
      <c r="AE381" s="105"/>
      <c r="AF381" s="91"/>
      <c r="AG381" s="105"/>
      <c r="AH381" s="105"/>
      <c r="AI381" s="105" t="str">
        <f t="shared" si="1"/>
        <v/>
      </c>
      <c r="AJ381" s="108" t="str">
        <f t="shared" si="2"/>
        <v/>
      </c>
    </row>
    <row r="382" ht="15.75" customHeight="1">
      <c r="A382" s="104"/>
      <c r="B382" s="105" t="str">
        <f>IFERROR(__xludf.DUMMYFUNCTION("ARRAY_CONSTRAIN(
  ARRAYFORMULA(
    IF(
      'Final Report'!A382="""",
      """",
      TEXTJOIN(
        "", "" &amp; CHAR(10),
        TRUE,
        IFERROR(
          VLOOKUP(
            TRIM(
              SPLIT('Final Report'!A382, "","")
           "&amp;" ),
            'URL Details'!A:B,
            2,
            FALSE
          ),
          """"
        )
      )
    )
  ),
  1,
  1
)
"),"")</f>
        <v/>
      </c>
      <c r="C382" s="105" t="str">
        <f>IFERROR(__xludf.DUMMYFUNCTION("IFERROR(IF('Final Report'!A382="""","""", TEXTJOIN(CHAR(10), TRUE, ARRAYFORMULA( ""• ""&amp; FILTER( TRIM(FLATTEN(SPLIT( REGEXREPLACE( SUBSTITUTE(TEXTJOIN("","", TRUE, IFERROR(ARRAYFORMULA(VLOOKUP(TRIM(SPLIT('Final Report'!A382, "","")), 'URL Details'!A:D, 4,"&amp;" FALSE)),"""") ), CHAR(10), "",""), ""\s*,\s*"", "",""), "",""))), TRIM(FLATTEN(SPLIT( REGEXREPLACE( SUBSTITUTE(TEXTJOIN("","", TRUE, IFERROR(ARRAYFORMULA(VLOOKUP(TRIM(SPLIT('Final Report'!A382, "","")), 'URL Details'!A:D, 4, FALSE)),"""") ), CHAR(10), """&amp;",""), ""\s*,\s*"", "",""), "","")))&lt;&gt;"""" ) ) ) ),"""")
"),"")</f>
        <v/>
      </c>
      <c r="D382" s="105"/>
      <c r="E382" s="105"/>
      <c r="F382" s="110" t="b">
        <v>0</v>
      </c>
      <c r="G382" s="105" t="str">
        <f>IF(F382=True, IFERROR(VLOOKUP(D382, Repository!A:B, 2, 0), ""), "")</f>
        <v/>
      </c>
      <c r="H382" s="105"/>
      <c r="I382" s="105"/>
      <c r="J382" s="105" t="str">
        <f>IF(F382=True, IFERROR(VLOOKUP(D382, Repository!A:C, 3, 0), ""), "")</f>
        <v/>
      </c>
      <c r="K382" s="105"/>
      <c r="L382" s="105" t="str">
        <f>IF(F382=True, IFERROR(VLOOKUP(D382, Repository!A:E, 5, 0), ""), "")</f>
        <v/>
      </c>
      <c r="M382" s="105"/>
      <c r="N382" s="105" t="str">
        <f>IF(F382=True, IFERROR(VLOOKUP(D382, Repository!A:G, 7, 0), ""), "")</f>
        <v/>
      </c>
      <c r="O382" s="105" t="str">
        <f>IFERROR(__xludf.DUMMYFUNCTION("ARRAY_CONSTRAIN(
  ARRAYFORMULA(
    IFERROR(
      LET(
        list, N382,
        arr, TRIM(SPLIT(list, "","")),
        names, XLOOKUP(
          arr,
          'Conformance Score'!A:A,
          'Conformance Score'!B:B,
          ""Not found""
      "&amp;"  ),
        TEXTJOIN("", "", TRUE, names)
      ),
      """"
    )
  ),
  1,
  1
)
"),"")</f>
        <v/>
      </c>
      <c r="P382" s="105" t="str">
        <f>IF(F382="Yes", IFERROR(VLOOKUP(D382, Repository!A:F, 6, 0), ""), "")</f>
        <v/>
      </c>
      <c r="Q382" s="105" t="str">
        <f>IF(F382="Yes", IFERROR(VLOOKUP(D382, Repository!A:I, 8, 0), ""), "")</f>
        <v/>
      </c>
      <c r="R382" s="105" t="str">
        <f>IF(F382="Yes", IFERROR(VLOOKUP(D382, Repository!A:J, 9, 0), ""), "")</f>
        <v/>
      </c>
      <c r="S382" s="105"/>
      <c r="T382" s="105"/>
      <c r="U382" s="105"/>
      <c r="V382" s="105"/>
      <c r="W382" s="105"/>
      <c r="X382" s="105"/>
      <c r="Y382" s="105"/>
      <c r="Z382" s="105"/>
      <c r="AA382" s="105"/>
      <c r="AB382" s="105"/>
      <c r="AC382" s="91"/>
      <c r="AD382" s="105"/>
      <c r="AE382" s="105"/>
      <c r="AF382" s="91"/>
      <c r="AG382" s="105"/>
      <c r="AH382" s="105"/>
      <c r="AI382" s="105" t="str">
        <f t="shared" si="1"/>
        <v/>
      </c>
      <c r="AJ382" s="108" t="str">
        <f t="shared" si="2"/>
        <v/>
      </c>
    </row>
    <row r="383" ht="15.75" customHeight="1">
      <c r="A383" s="104"/>
      <c r="B383" s="105" t="str">
        <f>IFERROR(__xludf.DUMMYFUNCTION("ARRAY_CONSTRAIN(
  ARRAYFORMULA(
    IF(
      'Final Report'!A383="""",
      """",
      TEXTJOIN(
        "", "" &amp; CHAR(10),
        TRUE,
        IFERROR(
          VLOOKUP(
            TRIM(
              SPLIT('Final Report'!A383, "","")
           "&amp;" ),
            'URL Details'!A:B,
            2,
            FALSE
          ),
          """"
        )
      )
    )
  ),
  1,
  1
)
"),"")</f>
        <v/>
      </c>
      <c r="C383" s="105" t="str">
        <f>IFERROR(__xludf.DUMMYFUNCTION("IFERROR(IF('Final Report'!A383="""","""", TEXTJOIN(CHAR(10), TRUE, ARRAYFORMULA( ""• ""&amp; FILTER( TRIM(FLATTEN(SPLIT( REGEXREPLACE( SUBSTITUTE(TEXTJOIN("","", TRUE, IFERROR(ARRAYFORMULA(VLOOKUP(TRIM(SPLIT('Final Report'!A383, "","")), 'URL Details'!A:D, 4,"&amp;" FALSE)),"""") ), CHAR(10), "",""), ""\s*,\s*"", "",""), "",""))), TRIM(FLATTEN(SPLIT( REGEXREPLACE( SUBSTITUTE(TEXTJOIN("","", TRUE, IFERROR(ARRAYFORMULA(VLOOKUP(TRIM(SPLIT('Final Report'!A383, "","")), 'URL Details'!A:D, 4, FALSE)),"""") ), CHAR(10), """&amp;",""), ""\s*,\s*"", "",""), "","")))&lt;&gt;"""" ) ) ) ),"""")
"),"")</f>
        <v/>
      </c>
      <c r="D383" s="105"/>
      <c r="E383" s="105"/>
      <c r="F383" s="110" t="b">
        <v>0</v>
      </c>
      <c r="G383" s="105" t="str">
        <f>IF(F383=True, IFERROR(VLOOKUP(D383, Repository!A:B, 2, 0), ""), "")</f>
        <v/>
      </c>
      <c r="H383" s="105"/>
      <c r="I383" s="105"/>
      <c r="J383" s="105" t="str">
        <f>IF(F383=True, IFERROR(VLOOKUP(D383, Repository!A:C, 3, 0), ""), "")</f>
        <v/>
      </c>
      <c r="K383" s="105"/>
      <c r="L383" s="105" t="str">
        <f>IF(F383=True, IFERROR(VLOOKUP(D383, Repository!A:E, 5, 0), ""), "")</f>
        <v/>
      </c>
      <c r="M383" s="105"/>
      <c r="N383" s="105" t="str">
        <f>IF(F383=True, IFERROR(VLOOKUP(D383, Repository!A:G, 7, 0), ""), "")</f>
        <v/>
      </c>
      <c r="O383" s="105" t="str">
        <f>IFERROR(__xludf.DUMMYFUNCTION("ARRAY_CONSTRAIN(
  ARRAYFORMULA(
    IFERROR(
      LET(
        list, N383,
        arr, TRIM(SPLIT(list, "","")),
        names, XLOOKUP(
          arr,
          'Conformance Score'!A:A,
          'Conformance Score'!B:B,
          ""Not found""
      "&amp;"  ),
        TEXTJOIN("", "", TRUE, names)
      ),
      """"
    )
  ),
  1,
  1
)
"),"")</f>
        <v/>
      </c>
      <c r="P383" s="105" t="str">
        <f>IF(F383="Yes", IFERROR(VLOOKUP(D383, Repository!A:F, 6, 0), ""), "")</f>
        <v/>
      </c>
      <c r="Q383" s="105" t="str">
        <f>IF(F383="Yes", IFERROR(VLOOKUP(D383, Repository!A:I, 8, 0), ""), "")</f>
        <v/>
      </c>
      <c r="R383" s="105" t="str">
        <f>IF(F383="Yes", IFERROR(VLOOKUP(D383, Repository!A:J, 9, 0), ""), "")</f>
        <v/>
      </c>
      <c r="S383" s="105"/>
      <c r="T383" s="105"/>
      <c r="U383" s="105"/>
      <c r="V383" s="105"/>
      <c r="W383" s="105"/>
      <c r="X383" s="105"/>
      <c r="Y383" s="105"/>
      <c r="Z383" s="105"/>
      <c r="AA383" s="105"/>
      <c r="AB383" s="105"/>
      <c r="AC383" s="91"/>
      <c r="AD383" s="105"/>
      <c r="AE383" s="105"/>
      <c r="AF383" s="91"/>
      <c r="AG383" s="105"/>
      <c r="AH383" s="105"/>
      <c r="AI383" s="105" t="str">
        <f t="shared" si="1"/>
        <v/>
      </c>
      <c r="AJ383" s="108" t="str">
        <f t="shared" si="2"/>
        <v/>
      </c>
    </row>
    <row r="384" ht="15.75" customHeight="1">
      <c r="A384" s="104"/>
      <c r="B384" s="105" t="str">
        <f>IFERROR(__xludf.DUMMYFUNCTION("ARRAY_CONSTRAIN(
  ARRAYFORMULA(
    IF(
      'Final Report'!A384="""",
      """",
      TEXTJOIN(
        "", "" &amp; CHAR(10),
        TRUE,
        IFERROR(
          VLOOKUP(
            TRIM(
              SPLIT('Final Report'!A384, "","")
           "&amp;" ),
            'URL Details'!A:B,
            2,
            FALSE
          ),
          """"
        )
      )
    )
  ),
  1,
  1
)
"),"")</f>
        <v/>
      </c>
      <c r="C384" s="105" t="str">
        <f>IFERROR(__xludf.DUMMYFUNCTION("IFERROR(IF('Final Report'!A384="""","""", TEXTJOIN(CHAR(10), TRUE, ARRAYFORMULA( ""• ""&amp; FILTER( TRIM(FLATTEN(SPLIT( REGEXREPLACE( SUBSTITUTE(TEXTJOIN("","", TRUE, IFERROR(ARRAYFORMULA(VLOOKUP(TRIM(SPLIT('Final Report'!A384, "","")), 'URL Details'!A:D, 4,"&amp;" FALSE)),"""") ), CHAR(10), "",""), ""\s*,\s*"", "",""), "",""))), TRIM(FLATTEN(SPLIT( REGEXREPLACE( SUBSTITUTE(TEXTJOIN("","", TRUE, IFERROR(ARRAYFORMULA(VLOOKUP(TRIM(SPLIT('Final Report'!A384, "","")), 'URL Details'!A:D, 4, FALSE)),"""") ), CHAR(10), """&amp;",""), ""\s*,\s*"", "",""), "","")))&lt;&gt;"""" ) ) ) ),"""")
"),"")</f>
        <v/>
      </c>
      <c r="D384" s="105"/>
      <c r="E384" s="105"/>
      <c r="F384" s="110" t="b">
        <v>0</v>
      </c>
      <c r="G384" s="105" t="str">
        <f>IF(F384=True, IFERROR(VLOOKUP(D384, Repository!A:B, 2, 0), ""), "")</f>
        <v/>
      </c>
      <c r="H384" s="105"/>
      <c r="I384" s="105"/>
      <c r="J384" s="105" t="str">
        <f>IF(F384=True, IFERROR(VLOOKUP(D384, Repository!A:C, 3, 0), ""), "")</f>
        <v/>
      </c>
      <c r="K384" s="105"/>
      <c r="L384" s="105" t="str">
        <f>IF(F384=True, IFERROR(VLOOKUP(D384, Repository!A:E, 5, 0), ""), "")</f>
        <v/>
      </c>
      <c r="M384" s="105"/>
      <c r="N384" s="105" t="str">
        <f>IF(F384=True, IFERROR(VLOOKUP(D384, Repository!A:G, 7, 0), ""), "")</f>
        <v/>
      </c>
      <c r="O384" s="105" t="str">
        <f>IFERROR(__xludf.DUMMYFUNCTION("ARRAY_CONSTRAIN(
  ARRAYFORMULA(
    IFERROR(
      LET(
        list, N384,
        arr, TRIM(SPLIT(list, "","")),
        names, XLOOKUP(
          arr,
          'Conformance Score'!A:A,
          'Conformance Score'!B:B,
          ""Not found""
      "&amp;"  ),
        TEXTJOIN("", "", TRUE, names)
      ),
      """"
    )
  ),
  1,
  1
)
"),"")</f>
        <v/>
      </c>
      <c r="P384" s="105" t="str">
        <f>IF(F384="Yes", IFERROR(VLOOKUP(D384, Repository!A:F, 6, 0), ""), "")</f>
        <v/>
      </c>
      <c r="Q384" s="105" t="str">
        <f>IF(F384="Yes", IFERROR(VLOOKUP(D384, Repository!A:I, 8, 0), ""), "")</f>
        <v/>
      </c>
      <c r="R384" s="105" t="str">
        <f>IF(F384="Yes", IFERROR(VLOOKUP(D384, Repository!A:J, 9, 0), ""), "")</f>
        <v/>
      </c>
      <c r="S384" s="105"/>
      <c r="T384" s="105"/>
      <c r="U384" s="105"/>
      <c r="V384" s="105"/>
      <c r="W384" s="105"/>
      <c r="X384" s="105"/>
      <c r="Y384" s="105"/>
      <c r="Z384" s="105"/>
      <c r="AA384" s="105"/>
      <c r="AB384" s="105"/>
      <c r="AC384" s="91"/>
      <c r="AD384" s="105"/>
      <c r="AE384" s="105"/>
      <c r="AF384" s="91"/>
      <c r="AG384" s="105"/>
      <c r="AH384" s="105"/>
      <c r="AI384" s="105" t="str">
        <f t="shared" si="1"/>
        <v/>
      </c>
      <c r="AJ384" s="108" t="str">
        <f t="shared" si="2"/>
        <v/>
      </c>
    </row>
    <row r="385" ht="15.75" customHeight="1">
      <c r="A385" s="104"/>
      <c r="B385" s="105" t="str">
        <f>IFERROR(__xludf.DUMMYFUNCTION("ARRAY_CONSTRAIN(
  ARRAYFORMULA(
    IF(
      'Final Report'!A385="""",
      """",
      TEXTJOIN(
        "", "" &amp; CHAR(10),
        TRUE,
        IFERROR(
          VLOOKUP(
            TRIM(
              SPLIT('Final Report'!A385, "","")
           "&amp;" ),
            'URL Details'!A:B,
            2,
            FALSE
          ),
          """"
        )
      )
    )
  ),
  1,
  1
)
"),"")</f>
        <v/>
      </c>
      <c r="C385" s="105" t="str">
        <f>IFERROR(__xludf.DUMMYFUNCTION("IFERROR(IF('Final Report'!A385="""","""", TEXTJOIN(CHAR(10), TRUE, ARRAYFORMULA( ""• ""&amp; FILTER( TRIM(FLATTEN(SPLIT( REGEXREPLACE( SUBSTITUTE(TEXTJOIN("","", TRUE, IFERROR(ARRAYFORMULA(VLOOKUP(TRIM(SPLIT('Final Report'!A385, "","")), 'URL Details'!A:D, 4,"&amp;" FALSE)),"""") ), CHAR(10), "",""), ""\s*,\s*"", "",""), "",""))), TRIM(FLATTEN(SPLIT( REGEXREPLACE( SUBSTITUTE(TEXTJOIN("","", TRUE, IFERROR(ARRAYFORMULA(VLOOKUP(TRIM(SPLIT('Final Report'!A385, "","")), 'URL Details'!A:D, 4, FALSE)),"""") ), CHAR(10), """&amp;",""), ""\s*,\s*"", "",""), "","")))&lt;&gt;"""" ) ) ) ),"""")
"),"")</f>
        <v/>
      </c>
      <c r="D385" s="105"/>
      <c r="E385" s="105"/>
      <c r="F385" s="110" t="b">
        <v>0</v>
      </c>
      <c r="G385" s="105" t="str">
        <f>IF(F385=True, IFERROR(VLOOKUP(D385, Repository!A:B, 2, 0), ""), "")</f>
        <v/>
      </c>
      <c r="H385" s="105"/>
      <c r="I385" s="105"/>
      <c r="J385" s="105" t="str">
        <f>IF(F385=True, IFERROR(VLOOKUP(D385, Repository!A:C, 3, 0), ""), "")</f>
        <v/>
      </c>
      <c r="K385" s="105"/>
      <c r="L385" s="105" t="str">
        <f>IF(F385=True, IFERROR(VLOOKUP(D385, Repository!A:E, 5, 0), ""), "")</f>
        <v/>
      </c>
      <c r="M385" s="105"/>
      <c r="N385" s="105" t="str">
        <f>IF(F385=True, IFERROR(VLOOKUP(D385, Repository!A:G, 7, 0), ""), "")</f>
        <v/>
      </c>
      <c r="O385" s="105" t="str">
        <f>IFERROR(__xludf.DUMMYFUNCTION("ARRAY_CONSTRAIN(
  ARRAYFORMULA(
    IFERROR(
      LET(
        list, N385,
        arr, TRIM(SPLIT(list, "","")),
        names, XLOOKUP(
          arr,
          'Conformance Score'!A:A,
          'Conformance Score'!B:B,
          ""Not found""
      "&amp;"  ),
        TEXTJOIN("", "", TRUE, names)
      ),
      """"
    )
  ),
  1,
  1
)
"),"")</f>
        <v/>
      </c>
      <c r="P385" s="105" t="str">
        <f>IF(F385="Yes", IFERROR(VLOOKUP(D385, Repository!A:F, 6, 0), ""), "")</f>
        <v/>
      </c>
      <c r="Q385" s="105" t="str">
        <f>IF(F385="Yes", IFERROR(VLOOKUP(D385, Repository!A:I, 8, 0), ""), "")</f>
        <v/>
      </c>
      <c r="R385" s="105" t="str">
        <f>IF(F385="Yes", IFERROR(VLOOKUP(D385, Repository!A:J, 9, 0), ""), "")</f>
        <v/>
      </c>
      <c r="S385" s="105"/>
      <c r="T385" s="105"/>
      <c r="U385" s="105"/>
      <c r="V385" s="105"/>
      <c r="W385" s="105"/>
      <c r="X385" s="105"/>
      <c r="Y385" s="105"/>
      <c r="Z385" s="105"/>
      <c r="AA385" s="105"/>
      <c r="AB385" s="105"/>
      <c r="AC385" s="91"/>
      <c r="AD385" s="105"/>
      <c r="AE385" s="105"/>
      <c r="AF385" s="91"/>
      <c r="AG385" s="105"/>
      <c r="AH385" s="105"/>
      <c r="AI385" s="105" t="str">
        <f t="shared" si="1"/>
        <v/>
      </c>
      <c r="AJ385" s="108" t="str">
        <f t="shared" si="2"/>
        <v/>
      </c>
    </row>
    <row r="386" ht="15.75" customHeight="1">
      <c r="A386" s="104"/>
      <c r="B386" s="105" t="str">
        <f>IFERROR(__xludf.DUMMYFUNCTION("ARRAY_CONSTRAIN(
  ARRAYFORMULA(
    IF(
      'Final Report'!A386="""",
      """",
      TEXTJOIN(
        "", "" &amp; CHAR(10),
        TRUE,
        IFERROR(
          VLOOKUP(
            TRIM(
              SPLIT('Final Report'!A386, "","")
           "&amp;" ),
            'URL Details'!A:B,
            2,
            FALSE
          ),
          """"
        )
      )
    )
  ),
  1,
  1
)
"),"")</f>
        <v/>
      </c>
      <c r="C386" s="105" t="str">
        <f>IFERROR(__xludf.DUMMYFUNCTION("IFERROR(IF('Final Report'!A386="""","""", TEXTJOIN(CHAR(10), TRUE, ARRAYFORMULA( ""• ""&amp; FILTER( TRIM(FLATTEN(SPLIT( REGEXREPLACE( SUBSTITUTE(TEXTJOIN("","", TRUE, IFERROR(ARRAYFORMULA(VLOOKUP(TRIM(SPLIT('Final Report'!A386, "","")), 'URL Details'!A:D, 4,"&amp;" FALSE)),"""") ), CHAR(10), "",""), ""\s*,\s*"", "",""), "",""))), TRIM(FLATTEN(SPLIT( REGEXREPLACE( SUBSTITUTE(TEXTJOIN("","", TRUE, IFERROR(ARRAYFORMULA(VLOOKUP(TRIM(SPLIT('Final Report'!A386, "","")), 'URL Details'!A:D, 4, FALSE)),"""") ), CHAR(10), """&amp;",""), ""\s*,\s*"", "",""), "","")))&lt;&gt;"""" ) ) ) ),"""")
"),"")</f>
        <v/>
      </c>
      <c r="D386" s="105"/>
      <c r="E386" s="105"/>
      <c r="F386" s="110" t="b">
        <v>0</v>
      </c>
      <c r="G386" s="105" t="str">
        <f>IF(F386=True, IFERROR(VLOOKUP(D386, Repository!A:B, 2, 0), ""), "")</f>
        <v/>
      </c>
      <c r="H386" s="105"/>
      <c r="I386" s="105"/>
      <c r="J386" s="105" t="str">
        <f>IF(F386=True, IFERROR(VLOOKUP(D386, Repository!A:C, 3, 0), ""), "")</f>
        <v/>
      </c>
      <c r="K386" s="105"/>
      <c r="L386" s="105" t="str">
        <f>IF(F386=True, IFERROR(VLOOKUP(D386, Repository!A:E, 5, 0), ""), "")</f>
        <v/>
      </c>
      <c r="M386" s="105"/>
      <c r="N386" s="105" t="str">
        <f>IF(F386=True, IFERROR(VLOOKUP(D386, Repository!A:G, 7, 0), ""), "")</f>
        <v/>
      </c>
      <c r="O386" s="105" t="str">
        <f>IFERROR(__xludf.DUMMYFUNCTION("ARRAY_CONSTRAIN(
  ARRAYFORMULA(
    IFERROR(
      LET(
        list, N386,
        arr, TRIM(SPLIT(list, "","")),
        names, XLOOKUP(
          arr,
          'Conformance Score'!A:A,
          'Conformance Score'!B:B,
          ""Not found""
      "&amp;"  ),
        TEXTJOIN("", "", TRUE, names)
      ),
      """"
    )
  ),
  1,
  1
)
"),"")</f>
        <v/>
      </c>
      <c r="P386" s="105" t="str">
        <f>IF(F386="Yes", IFERROR(VLOOKUP(D386, Repository!A:F, 6, 0), ""), "")</f>
        <v/>
      </c>
      <c r="Q386" s="105" t="str">
        <f>IF(F386="Yes", IFERROR(VLOOKUP(D386, Repository!A:I, 8, 0), ""), "")</f>
        <v/>
      </c>
      <c r="R386" s="105" t="str">
        <f>IF(F386="Yes", IFERROR(VLOOKUP(D386, Repository!A:J, 9, 0), ""), "")</f>
        <v/>
      </c>
      <c r="S386" s="105"/>
      <c r="T386" s="105"/>
      <c r="U386" s="105"/>
      <c r="V386" s="105"/>
      <c r="W386" s="105"/>
      <c r="X386" s="105"/>
      <c r="Y386" s="105"/>
      <c r="Z386" s="105"/>
      <c r="AA386" s="105"/>
      <c r="AB386" s="105"/>
      <c r="AC386" s="91"/>
      <c r="AD386" s="105"/>
      <c r="AE386" s="105"/>
      <c r="AF386" s="91"/>
      <c r="AG386" s="105"/>
      <c r="AH386" s="105"/>
      <c r="AI386" s="105" t="str">
        <f t="shared" si="1"/>
        <v/>
      </c>
      <c r="AJ386" s="108" t="str">
        <f t="shared" si="2"/>
        <v/>
      </c>
    </row>
    <row r="387" ht="15.75" customHeight="1">
      <c r="A387" s="104"/>
      <c r="B387" s="105" t="str">
        <f>IFERROR(__xludf.DUMMYFUNCTION("ARRAY_CONSTRAIN(
  ARRAYFORMULA(
    IF(
      'Final Report'!A387="""",
      """",
      TEXTJOIN(
        "", "" &amp; CHAR(10),
        TRUE,
        IFERROR(
          VLOOKUP(
            TRIM(
              SPLIT('Final Report'!A387, "","")
           "&amp;" ),
            'URL Details'!A:B,
            2,
            FALSE
          ),
          """"
        )
      )
    )
  ),
  1,
  1
)
"),"")</f>
        <v/>
      </c>
      <c r="C387" s="105" t="str">
        <f>IFERROR(__xludf.DUMMYFUNCTION("IFERROR(IF('Final Report'!A387="""","""", TEXTJOIN(CHAR(10), TRUE, ARRAYFORMULA( ""• ""&amp; FILTER( TRIM(FLATTEN(SPLIT( REGEXREPLACE( SUBSTITUTE(TEXTJOIN("","", TRUE, IFERROR(ARRAYFORMULA(VLOOKUP(TRIM(SPLIT('Final Report'!A387, "","")), 'URL Details'!A:D, 4,"&amp;" FALSE)),"""") ), CHAR(10), "",""), ""\s*,\s*"", "",""), "",""))), TRIM(FLATTEN(SPLIT( REGEXREPLACE( SUBSTITUTE(TEXTJOIN("","", TRUE, IFERROR(ARRAYFORMULA(VLOOKUP(TRIM(SPLIT('Final Report'!A387, "","")), 'URL Details'!A:D, 4, FALSE)),"""") ), CHAR(10), """&amp;",""), ""\s*,\s*"", "",""), "","")))&lt;&gt;"""" ) ) ) ),"""")
"),"")</f>
        <v/>
      </c>
      <c r="D387" s="105"/>
      <c r="E387" s="105"/>
      <c r="F387" s="110" t="b">
        <v>0</v>
      </c>
      <c r="G387" s="105" t="str">
        <f>IF(F387=True, IFERROR(VLOOKUP(D387, Repository!A:B, 2, 0), ""), "")</f>
        <v/>
      </c>
      <c r="H387" s="105"/>
      <c r="I387" s="105"/>
      <c r="J387" s="105" t="str">
        <f>IF(F387=True, IFERROR(VLOOKUP(D387, Repository!A:C, 3, 0), ""), "")</f>
        <v/>
      </c>
      <c r="K387" s="105"/>
      <c r="L387" s="105" t="str">
        <f>IF(F387=True, IFERROR(VLOOKUP(D387, Repository!A:E, 5, 0), ""), "")</f>
        <v/>
      </c>
      <c r="M387" s="105"/>
      <c r="N387" s="105" t="str">
        <f>IF(F387=True, IFERROR(VLOOKUP(D387, Repository!A:G, 7, 0), ""), "")</f>
        <v/>
      </c>
      <c r="O387" s="105" t="str">
        <f>IFERROR(__xludf.DUMMYFUNCTION("ARRAY_CONSTRAIN(
  ARRAYFORMULA(
    IFERROR(
      LET(
        list, N387,
        arr, TRIM(SPLIT(list, "","")),
        names, XLOOKUP(
          arr,
          'Conformance Score'!A:A,
          'Conformance Score'!B:B,
          ""Not found""
      "&amp;"  ),
        TEXTJOIN("", "", TRUE, names)
      ),
      """"
    )
  ),
  1,
  1
)
"),"")</f>
        <v/>
      </c>
      <c r="P387" s="105" t="str">
        <f>IF(F387="Yes", IFERROR(VLOOKUP(D387, Repository!A:F, 6, 0), ""), "")</f>
        <v/>
      </c>
      <c r="Q387" s="105" t="str">
        <f>IF(F387="Yes", IFERROR(VLOOKUP(D387, Repository!A:I, 8, 0), ""), "")</f>
        <v/>
      </c>
      <c r="R387" s="105" t="str">
        <f>IF(F387="Yes", IFERROR(VLOOKUP(D387, Repository!A:J, 9, 0), ""), "")</f>
        <v/>
      </c>
      <c r="S387" s="105"/>
      <c r="T387" s="105"/>
      <c r="U387" s="105"/>
      <c r="V387" s="105"/>
      <c r="W387" s="105"/>
      <c r="X387" s="105"/>
      <c r="Y387" s="105"/>
      <c r="Z387" s="105"/>
      <c r="AA387" s="105"/>
      <c r="AB387" s="105"/>
      <c r="AC387" s="91"/>
      <c r="AD387" s="105"/>
      <c r="AE387" s="105"/>
      <c r="AF387" s="91"/>
      <c r="AG387" s="105"/>
      <c r="AH387" s="105"/>
      <c r="AI387" s="105" t="str">
        <f t="shared" si="1"/>
        <v/>
      </c>
      <c r="AJ387" s="108" t="str">
        <f t="shared" si="2"/>
        <v/>
      </c>
    </row>
    <row r="388" ht="15.75" customHeight="1">
      <c r="A388" s="104"/>
      <c r="B388" s="105" t="str">
        <f>IFERROR(__xludf.DUMMYFUNCTION("ARRAY_CONSTRAIN(
  ARRAYFORMULA(
    IF(
      'Final Report'!A388="""",
      """",
      TEXTJOIN(
        "", "" &amp; CHAR(10),
        TRUE,
        IFERROR(
          VLOOKUP(
            TRIM(
              SPLIT('Final Report'!A388, "","")
           "&amp;" ),
            'URL Details'!A:B,
            2,
            FALSE
          ),
          """"
        )
      )
    )
  ),
  1,
  1
)
"),"")</f>
        <v/>
      </c>
      <c r="C388" s="105" t="str">
        <f>IFERROR(__xludf.DUMMYFUNCTION("IFERROR(IF('Final Report'!A388="""","""", TEXTJOIN(CHAR(10), TRUE, ARRAYFORMULA( ""• ""&amp; FILTER( TRIM(FLATTEN(SPLIT( REGEXREPLACE( SUBSTITUTE(TEXTJOIN("","", TRUE, IFERROR(ARRAYFORMULA(VLOOKUP(TRIM(SPLIT('Final Report'!A388, "","")), 'URL Details'!A:D, 4,"&amp;" FALSE)),"""") ), CHAR(10), "",""), ""\s*,\s*"", "",""), "",""))), TRIM(FLATTEN(SPLIT( REGEXREPLACE( SUBSTITUTE(TEXTJOIN("","", TRUE, IFERROR(ARRAYFORMULA(VLOOKUP(TRIM(SPLIT('Final Report'!A388, "","")), 'URL Details'!A:D, 4, FALSE)),"""") ), CHAR(10), """&amp;",""), ""\s*,\s*"", "",""), "","")))&lt;&gt;"""" ) ) ) ),"""")
"),"")</f>
        <v/>
      </c>
      <c r="D388" s="105"/>
      <c r="E388" s="105"/>
      <c r="F388" s="110" t="b">
        <v>0</v>
      </c>
      <c r="G388" s="105" t="str">
        <f>IF(F388=True, IFERROR(VLOOKUP(D388, Repository!A:B, 2, 0), ""), "")</f>
        <v/>
      </c>
      <c r="H388" s="105"/>
      <c r="I388" s="105"/>
      <c r="J388" s="105" t="str">
        <f>IF(F388=True, IFERROR(VLOOKUP(D388, Repository!A:C, 3, 0), ""), "")</f>
        <v/>
      </c>
      <c r="K388" s="105"/>
      <c r="L388" s="105" t="str">
        <f>IF(F388=True, IFERROR(VLOOKUP(D388, Repository!A:E, 5, 0), ""), "")</f>
        <v/>
      </c>
      <c r="M388" s="105"/>
      <c r="N388" s="105" t="str">
        <f>IF(F388=True, IFERROR(VLOOKUP(D388, Repository!A:G, 7, 0), ""), "")</f>
        <v/>
      </c>
      <c r="O388" s="105" t="str">
        <f>IFERROR(__xludf.DUMMYFUNCTION("ARRAY_CONSTRAIN(
  ARRAYFORMULA(
    IFERROR(
      LET(
        list, N388,
        arr, TRIM(SPLIT(list, "","")),
        names, XLOOKUP(
          arr,
          'Conformance Score'!A:A,
          'Conformance Score'!B:B,
          ""Not found""
      "&amp;"  ),
        TEXTJOIN("", "", TRUE, names)
      ),
      """"
    )
  ),
  1,
  1
)
"),"")</f>
        <v/>
      </c>
      <c r="P388" s="105" t="str">
        <f>IF(F388="Yes", IFERROR(VLOOKUP(D388, Repository!A:F, 6, 0), ""), "")</f>
        <v/>
      </c>
      <c r="Q388" s="105" t="str">
        <f>IF(F388="Yes", IFERROR(VLOOKUP(D388, Repository!A:I, 8, 0), ""), "")</f>
        <v/>
      </c>
      <c r="R388" s="105" t="str">
        <f>IF(F388="Yes", IFERROR(VLOOKUP(D388, Repository!A:J, 9, 0), ""), "")</f>
        <v/>
      </c>
      <c r="S388" s="105"/>
      <c r="T388" s="105"/>
      <c r="U388" s="105"/>
      <c r="V388" s="105"/>
      <c r="W388" s="105"/>
      <c r="X388" s="105"/>
      <c r="Y388" s="105"/>
      <c r="Z388" s="105"/>
      <c r="AA388" s="105"/>
      <c r="AB388" s="105"/>
      <c r="AC388" s="91"/>
      <c r="AD388" s="105"/>
      <c r="AE388" s="105"/>
      <c r="AF388" s="91"/>
      <c r="AG388" s="105"/>
      <c r="AH388" s="105"/>
      <c r="AI388" s="105" t="str">
        <f t="shared" si="1"/>
        <v/>
      </c>
      <c r="AJ388" s="108" t="str">
        <f t="shared" si="2"/>
        <v/>
      </c>
    </row>
    <row r="389" ht="15.75" customHeight="1">
      <c r="A389" s="104"/>
      <c r="B389" s="105" t="str">
        <f>IFERROR(__xludf.DUMMYFUNCTION("ARRAY_CONSTRAIN(
  ARRAYFORMULA(
    IF(
      'Final Report'!A389="""",
      """",
      TEXTJOIN(
        "", "" &amp; CHAR(10),
        TRUE,
        IFERROR(
          VLOOKUP(
            TRIM(
              SPLIT('Final Report'!A389, "","")
           "&amp;" ),
            'URL Details'!A:B,
            2,
            FALSE
          ),
          """"
        )
      )
    )
  ),
  1,
  1
)
"),"")</f>
        <v/>
      </c>
      <c r="C389" s="105" t="str">
        <f>IFERROR(__xludf.DUMMYFUNCTION("IFERROR(IF('Final Report'!A389="""","""", TEXTJOIN(CHAR(10), TRUE, ARRAYFORMULA( ""• ""&amp; FILTER( TRIM(FLATTEN(SPLIT( REGEXREPLACE( SUBSTITUTE(TEXTJOIN("","", TRUE, IFERROR(ARRAYFORMULA(VLOOKUP(TRIM(SPLIT('Final Report'!A389, "","")), 'URL Details'!A:D, 4,"&amp;" FALSE)),"""") ), CHAR(10), "",""), ""\s*,\s*"", "",""), "",""))), TRIM(FLATTEN(SPLIT( REGEXREPLACE( SUBSTITUTE(TEXTJOIN("","", TRUE, IFERROR(ARRAYFORMULA(VLOOKUP(TRIM(SPLIT('Final Report'!A389, "","")), 'URL Details'!A:D, 4, FALSE)),"""") ), CHAR(10), """&amp;",""), ""\s*,\s*"", "",""), "","")))&lt;&gt;"""" ) ) ) ),"""")
"),"")</f>
        <v/>
      </c>
      <c r="D389" s="105"/>
      <c r="E389" s="105"/>
      <c r="F389" s="110" t="b">
        <v>0</v>
      </c>
      <c r="G389" s="105" t="str">
        <f>IF(F389=True, IFERROR(VLOOKUP(D389, Repository!A:B, 2, 0), ""), "")</f>
        <v/>
      </c>
      <c r="H389" s="105"/>
      <c r="I389" s="105"/>
      <c r="J389" s="105" t="str">
        <f>IF(F389=True, IFERROR(VLOOKUP(D389, Repository!A:C, 3, 0), ""), "")</f>
        <v/>
      </c>
      <c r="K389" s="105"/>
      <c r="L389" s="105" t="str">
        <f>IF(F389=True, IFERROR(VLOOKUP(D389, Repository!A:E, 5, 0), ""), "")</f>
        <v/>
      </c>
      <c r="M389" s="105"/>
      <c r="N389" s="105" t="str">
        <f>IF(F389=True, IFERROR(VLOOKUP(D389, Repository!A:G, 7, 0), ""), "")</f>
        <v/>
      </c>
      <c r="O389" s="105" t="str">
        <f>IFERROR(__xludf.DUMMYFUNCTION("ARRAY_CONSTRAIN(
  ARRAYFORMULA(
    IFERROR(
      LET(
        list, N389,
        arr, TRIM(SPLIT(list, "","")),
        names, XLOOKUP(
          arr,
          'Conformance Score'!A:A,
          'Conformance Score'!B:B,
          ""Not found""
      "&amp;"  ),
        TEXTJOIN("", "", TRUE, names)
      ),
      """"
    )
  ),
  1,
  1
)
"),"")</f>
        <v/>
      </c>
      <c r="P389" s="105" t="str">
        <f>IF(F389="Yes", IFERROR(VLOOKUP(D389, Repository!A:F, 6, 0), ""), "")</f>
        <v/>
      </c>
      <c r="Q389" s="105" t="str">
        <f>IF(F389="Yes", IFERROR(VLOOKUP(D389, Repository!A:I, 8, 0), ""), "")</f>
        <v/>
      </c>
      <c r="R389" s="105" t="str">
        <f>IF(F389="Yes", IFERROR(VLOOKUP(D389, Repository!A:J, 9, 0), ""), "")</f>
        <v/>
      </c>
      <c r="S389" s="105"/>
      <c r="T389" s="105"/>
      <c r="U389" s="105"/>
      <c r="V389" s="105"/>
      <c r="W389" s="105"/>
      <c r="X389" s="105"/>
      <c r="Y389" s="105"/>
      <c r="Z389" s="105"/>
      <c r="AA389" s="105"/>
      <c r="AB389" s="105"/>
      <c r="AC389" s="91"/>
      <c r="AD389" s="105"/>
      <c r="AE389" s="105"/>
      <c r="AF389" s="91"/>
      <c r="AG389" s="105"/>
      <c r="AH389" s="105"/>
      <c r="AI389" s="105" t="str">
        <f t="shared" si="1"/>
        <v/>
      </c>
      <c r="AJ389" s="108" t="str">
        <f t="shared" si="2"/>
        <v/>
      </c>
    </row>
    <row r="390" ht="15.75" customHeight="1">
      <c r="A390" s="104"/>
      <c r="B390" s="105" t="str">
        <f>IFERROR(__xludf.DUMMYFUNCTION("ARRAY_CONSTRAIN(
  ARRAYFORMULA(
    IF(
      'Final Report'!A390="""",
      """",
      TEXTJOIN(
        "", "" &amp; CHAR(10),
        TRUE,
        IFERROR(
          VLOOKUP(
            TRIM(
              SPLIT('Final Report'!A390, "","")
           "&amp;" ),
            'URL Details'!A:B,
            2,
            FALSE
          ),
          """"
        )
      )
    )
  ),
  1,
  1
)
"),"")</f>
        <v/>
      </c>
      <c r="C390" s="105" t="str">
        <f>IFERROR(__xludf.DUMMYFUNCTION("IFERROR(IF('Final Report'!A390="""","""", TEXTJOIN(CHAR(10), TRUE, ARRAYFORMULA( ""• ""&amp; FILTER( TRIM(FLATTEN(SPLIT( REGEXREPLACE( SUBSTITUTE(TEXTJOIN("","", TRUE, IFERROR(ARRAYFORMULA(VLOOKUP(TRIM(SPLIT('Final Report'!A390, "","")), 'URL Details'!A:D, 4,"&amp;" FALSE)),"""") ), CHAR(10), "",""), ""\s*,\s*"", "",""), "",""))), TRIM(FLATTEN(SPLIT( REGEXREPLACE( SUBSTITUTE(TEXTJOIN("","", TRUE, IFERROR(ARRAYFORMULA(VLOOKUP(TRIM(SPLIT('Final Report'!A390, "","")), 'URL Details'!A:D, 4, FALSE)),"""") ), CHAR(10), """&amp;",""), ""\s*,\s*"", "",""), "","")))&lt;&gt;"""" ) ) ) ),"""")
"),"")</f>
        <v/>
      </c>
      <c r="D390" s="105"/>
      <c r="E390" s="105"/>
      <c r="F390" s="110" t="b">
        <v>0</v>
      </c>
      <c r="G390" s="105" t="str">
        <f>IF(F390=True, IFERROR(VLOOKUP(D390, Repository!A:B, 2, 0), ""), "")</f>
        <v/>
      </c>
      <c r="H390" s="105"/>
      <c r="I390" s="105"/>
      <c r="J390" s="105" t="str">
        <f>IF(F390=True, IFERROR(VLOOKUP(D390, Repository!A:C, 3, 0), ""), "")</f>
        <v/>
      </c>
      <c r="K390" s="105"/>
      <c r="L390" s="105" t="str">
        <f>IF(F390=True, IFERROR(VLOOKUP(D390, Repository!A:E, 5, 0), ""), "")</f>
        <v/>
      </c>
      <c r="M390" s="105"/>
      <c r="N390" s="105" t="str">
        <f>IF(F390=True, IFERROR(VLOOKUP(D390, Repository!A:G, 7, 0), ""), "")</f>
        <v/>
      </c>
      <c r="O390" s="105" t="str">
        <f>IFERROR(__xludf.DUMMYFUNCTION("ARRAY_CONSTRAIN(
  ARRAYFORMULA(
    IFERROR(
      LET(
        list, N390,
        arr, TRIM(SPLIT(list, "","")),
        names, XLOOKUP(
          arr,
          'Conformance Score'!A:A,
          'Conformance Score'!B:B,
          ""Not found""
      "&amp;"  ),
        TEXTJOIN("", "", TRUE, names)
      ),
      """"
    )
  ),
  1,
  1
)
"),"")</f>
        <v/>
      </c>
      <c r="P390" s="105" t="str">
        <f>IF(F390="Yes", IFERROR(VLOOKUP(D390, Repository!A:F, 6, 0), ""), "")</f>
        <v/>
      </c>
      <c r="Q390" s="105" t="str">
        <f>IF(F390="Yes", IFERROR(VLOOKUP(D390, Repository!A:I, 8, 0), ""), "")</f>
        <v/>
      </c>
      <c r="R390" s="105" t="str">
        <f>IF(F390="Yes", IFERROR(VLOOKUP(D390, Repository!A:J, 9, 0), ""), "")</f>
        <v/>
      </c>
      <c r="S390" s="105"/>
      <c r="T390" s="105"/>
      <c r="U390" s="105"/>
      <c r="V390" s="105"/>
      <c r="W390" s="105"/>
      <c r="X390" s="105"/>
      <c r="Y390" s="105"/>
      <c r="Z390" s="105"/>
      <c r="AA390" s="105"/>
      <c r="AB390" s="105"/>
      <c r="AC390" s="91"/>
      <c r="AD390" s="105"/>
      <c r="AE390" s="105"/>
      <c r="AF390" s="91"/>
      <c r="AG390" s="105"/>
      <c r="AH390" s="105"/>
      <c r="AI390" s="105" t="str">
        <f t="shared" si="1"/>
        <v/>
      </c>
      <c r="AJ390" s="108" t="str">
        <f t="shared" si="2"/>
        <v/>
      </c>
    </row>
    <row r="391" ht="15.75" customHeight="1">
      <c r="A391" s="104"/>
      <c r="B391" s="105" t="str">
        <f>IFERROR(__xludf.DUMMYFUNCTION("ARRAY_CONSTRAIN(
  ARRAYFORMULA(
    IF(
      'Final Report'!A391="""",
      """",
      TEXTJOIN(
        "", "" &amp; CHAR(10),
        TRUE,
        IFERROR(
          VLOOKUP(
            TRIM(
              SPLIT('Final Report'!A391, "","")
           "&amp;" ),
            'URL Details'!A:B,
            2,
            FALSE
          ),
          """"
        )
      )
    )
  ),
  1,
  1
)
"),"")</f>
        <v/>
      </c>
      <c r="C391" s="105" t="str">
        <f>IFERROR(__xludf.DUMMYFUNCTION("IFERROR(IF('Final Report'!A391="""","""", TEXTJOIN(CHAR(10), TRUE, ARRAYFORMULA( ""• ""&amp; FILTER( TRIM(FLATTEN(SPLIT( REGEXREPLACE( SUBSTITUTE(TEXTJOIN("","", TRUE, IFERROR(ARRAYFORMULA(VLOOKUP(TRIM(SPLIT('Final Report'!A391, "","")), 'URL Details'!A:D, 4,"&amp;" FALSE)),"""") ), CHAR(10), "",""), ""\s*,\s*"", "",""), "",""))), TRIM(FLATTEN(SPLIT( REGEXREPLACE( SUBSTITUTE(TEXTJOIN("","", TRUE, IFERROR(ARRAYFORMULA(VLOOKUP(TRIM(SPLIT('Final Report'!A391, "","")), 'URL Details'!A:D, 4, FALSE)),"""") ), CHAR(10), """&amp;",""), ""\s*,\s*"", "",""), "","")))&lt;&gt;"""" ) ) ) ),"""")
"),"")</f>
        <v/>
      </c>
      <c r="D391" s="105"/>
      <c r="E391" s="105"/>
      <c r="F391" s="110" t="b">
        <v>0</v>
      </c>
      <c r="G391" s="105" t="str">
        <f>IF(F391=True, IFERROR(VLOOKUP(D391, Repository!A:B, 2, 0), ""), "")</f>
        <v/>
      </c>
      <c r="H391" s="105"/>
      <c r="I391" s="105"/>
      <c r="J391" s="105" t="str">
        <f>IF(F391=True, IFERROR(VLOOKUP(D391, Repository!A:C, 3, 0), ""), "")</f>
        <v/>
      </c>
      <c r="K391" s="105"/>
      <c r="L391" s="105" t="str">
        <f>IF(F391=True, IFERROR(VLOOKUP(D391, Repository!A:E, 5, 0), ""), "")</f>
        <v/>
      </c>
      <c r="M391" s="105"/>
      <c r="N391" s="105" t="str">
        <f>IF(F391=True, IFERROR(VLOOKUP(D391, Repository!A:G, 7, 0), ""), "")</f>
        <v/>
      </c>
      <c r="O391" s="105" t="str">
        <f>IFERROR(__xludf.DUMMYFUNCTION("ARRAY_CONSTRAIN(
  ARRAYFORMULA(
    IFERROR(
      LET(
        list, N391,
        arr, TRIM(SPLIT(list, "","")),
        names, XLOOKUP(
          arr,
          'Conformance Score'!A:A,
          'Conformance Score'!B:B,
          ""Not found""
      "&amp;"  ),
        TEXTJOIN("", "", TRUE, names)
      ),
      """"
    )
  ),
  1,
  1
)
"),"")</f>
        <v/>
      </c>
      <c r="P391" s="105" t="str">
        <f>IF(F391="Yes", IFERROR(VLOOKUP(D391, Repository!A:F, 6, 0), ""), "")</f>
        <v/>
      </c>
      <c r="Q391" s="105" t="str">
        <f>IF(F391="Yes", IFERROR(VLOOKUP(D391, Repository!A:I, 8, 0), ""), "")</f>
        <v/>
      </c>
      <c r="R391" s="105" t="str">
        <f>IF(F391="Yes", IFERROR(VLOOKUP(D391, Repository!A:J, 9, 0), ""), "")</f>
        <v/>
      </c>
      <c r="S391" s="105"/>
      <c r="T391" s="105"/>
      <c r="U391" s="105"/>
      <c r="V391" s="105"/>
      <c r="W391" s="105"/>
      <c r="X391" s="105"/>
      <c r="Y391" s="105"/>
      <c r="Z391" s="105"/>
      <c r="AA391" s="105"/>
      <c r="AB391" s="105"/>
      <c r="AC391" s="91"/>
      <c r="AD391" s="105"/>
      <c r="AE391" s="105"/>
      <c r="AF391" s="91"/>
      <c r="AG391" s="105"/>
      <c r="AH391" s="105"/>
      <c r="AI391" s="105" t="str">
        <f t="shared" si="1"/>
        <v/>
      </c>
      <c r="AJ391" s="108" t="str">
        <f t="shared" si="2"/>
        <v/>
      </c>
    </row>
    <row r="392" ht="15.75" customHeight="1">
      <c r="A392" s="104"/>
      <c r="B392" s="105" t="str">
        <f>IFERROR(__xludf.DUMMYFUNCTION("ARRAY_CONSTRAIN(
  ARRAYFORMULA(
    IF(
      'Final Report'!A392="""",
      """",
      TEXTJOIN(
        "", "" &amp; CHAR(10),
        TRUE,
        IFERROR(
          VLOOKUP(
            TRIM(
              SPLIT('Final Report'!A392, "","")
           "&amp;" ),
            'URL Details'!A:B,
            2,
            FALSE
          ),
          """"
        )
      )
    )
  ),
  1,
  1
)
"),"")</f>
        <v/>
      </c>
      <c r="C392" s="105" t="str">
        <f>IFERROR(__xludf.DUMMYFUNCTION("IFERROR(IF('Final Report'!A392="""","""", TEXTJOIN(CHAR(10), TRUE, ARRAYFORMULA( ""• ""&amp; FILTER( TRIM(FLATTEN(SPLIT( REGEXREPLACE( SUBSTITUTE(TEXTJOIN("","", TRUE, IFERROR(ARRAYFORMULA(VLOOKUP(TRIM(SPLIT('Final Report'!A392, "","")), 'URL Details'!A:D, 4,"&amp;" FALSE)),"""") ), CHAR(10), "",""), ""\s*,\s*"", "",""), "",""))), TRIM(FLATTEN(SPLIT( REGEXREPLACE( SUBSTITUTE(TEXTJOIN("","", TRUE, IFERROR(ARRAYFORMULA(VLOOKUP(TRIM(SPLIT('Final Report'!A392, "","")), 'URL Details'!A:D, 4, FALSE)),"""") ), CHAR(10), """&amp;",""), ""\s*,\s*"", "",""), "","")))&lt;&gt;"""" ) ) ) ),"""")
"),"")</f>
        <v/>
      </c>
      <c r="D392" s="105"/>
      <c r="E392" s="105"/>
      <c r="F392" s="110" t="b">
        <v>0</v>
      </c>
      <c r="G392" s="105" t="str">
        <f>IF(F392=True, IFERROR(VLOOKUP(D392, Repository!A:B, 2, 0), ""), "")</f>
        <v/>
      </c>
      <c r="H392" s="105"/>
      <c r="I392" s="105"/>
      <c r="J392" s="105" t="str">
        <f>IF(F392=True, IFERROR(VLOOKUP(D392, Repository!A:C, 3, 0), ""), "")</f>
        <v/>
      </c>
      <c r="K392" s="105"/>
      <c r="L392" s="105" t="str">
        <f>IF(F392=True, IFERROR(VLOOKUP(D392, Repository!A:E, 5, 0), ""), "")</f>
        <v/>
      </c>
      <c r="M392" s="105"/>
      <c r="N392" s="105" t="str">
        <f>IF(F392=True, IFERROR(VLOOKUP(D392, Repository!A:G, 7, 0), ""), "")</f>
        <v/>
      </c>
      <c r="O392" s="105" t="str">
        <f>IFERROR(__xludf.DUMMYFUNCTION("ARRAY_CONSTRAIN(
  ARRAYFORMULA(
    IFERROR(
      LET(
        list, N392,
        arr, TRIM(SPLIT(list, "","")),
        names, XLOOKUP(
          arr,
          'Conformance Score'!A:A,
          'Conformance Score'!B:B,
          ""Not found""
      "&amp;"  ),
        TEXTJOIN("", "", TRUE, names)
      ),
      """"
    )
  ),
  1,
  1
)
"),"")</f>
        <v/>
      </c>
      <c r="P392" s="105" t="str">
        <f>IF(F392="Yes", IFERROR(VLOOKUP(D392, Repository!A:F, 6, 0), ""), "")</f>
        <v/>
      </c>
      <c r="Q392" s="105" t="str">
        <f>IF(F392="Yes", IFERROR(VLOOKUP(D392, Repository!A:I, 8, 0), ""), "")</f>
        <v/>
      </c>
      <c r="R392" s="105" t="str">
        <f>IF(F392="Yes", IFERROR(VLOOKUP(D392, Repository!A:J, 9, 0), ""), "")</f>
        <v/>
      </c>
      <c r="S392" s="105"/>
      <c r="T392" s="105"/>
      <c r="U392" s="105"/>
      <c r="V392" s="105"/>
      <c r="W392" s="105"/>
      <c r="X392" s="105"/>
      <c r="Y392" s="105"/>
      <c r="Z392" s="105"/>
      <c r="AA392" s="105"/>
      <c r="AB392" s="105"/>
      <c r="AC392" s="91"/>
      <c r="AD392" s="105"/>
      <c r="AE392" s="105"/>
      <c r="AF392" s="91"/>
      <c r="AG392" s="105"/>
      <c r="AH392" s="105"/>
      <c r="AI392" s="105" t="str">
        <f t="shared" si="1"/>
        <v/>
      </c>
      <c r="AJ392" s="108" t="str">
        <f t="shared" si="2"/>
        <v/>
      </c>
    </row>
    <row r="393" ht="15.75" customHeight="1">
      <c r="A393" s="104"/>
      <c r="B393" s="105" t="str">
        <f>IFERROR(__xludf.DUMMYFUNCTION("ARRAY_CONSTRAIN(
  ARRAYFORMULA(
    IF(
      'Final Report'!A393="""",
      """",
      TEXTJOIN(
        "", "" &amp; CHAR(10),
        TRUE,
        IFERROR(
          VLOOKUP(
            TRIM(
              SPLIT('Final Report'!A393, "","")
           "&amp;" ),
            'URL Details'!A:B,
            2,
            FALSE
          ),
          """"
        )
      )
    )
  ),
  1,
  1
)
"),"")</f>
        <v/>
      </c>
      <c r="C393" s="105" t="str">
        <f>IFERROR(__xludf.DUMMYFUNCTION("IFERROR(IF('Final Report'!A393="""","""", TEXTJOIN(CHAR(10), TRUE, ARRAYFORMULA( ""• ""&amp; FILTER( TRIM(FLATTEN(SPLIT( REGEXREPLACE( SUBSTITUTE(TEXTJOIN("","", TRUE, IFERROR(ARRAYFORMULA(VLOOKUP(TRIM(SPLIT('Final Report'!A393, "","")), 'URL Details'!A:D, 4,"&amp;" FALSE)),"""") ), CHAR(10), "",""), ""\s*,\s*"", "",""), "",""))), TRIM(FLATTEN(SPLIT( REGEXREPLACE( SUBSTITUTE(TEXTJOIN("","", TRUE, IFERROR(ARRAYFORMULA(VLOOKUP(TRIM(SPLIT('Final Report'!A393, "","")), 'URL Details'!A:D, 4, FALSE)),"""") ), CHAR(10), """&amp;",""), ""\s*,\s*"", "",""), "","")))&lt;&gt;"""" ) ) ) ),"""")
"),"")</f>
        <v/>
      </c>
      <c r="D393" s="105"/>
      <c r="E393" s="105"/>
      <c r="F393" s="110" t="b">
        <v>0</v>
      </c>
      <c r="G393" s="105" t="str">
        <f>IF(F393=True, IFERROR(VLOOKUP(D393, Repository!A:B, 2, 0), ""), "")</f>
        <v/>
      </c>
      <c r="H393" s="105"/>
      <c r="I393" s="105"/>
      <c r="J393" s="105" t="str">
        <f>IF(F393=True, IFERROR(VLOOKUP(D393, Repository!A:C, 3, 0), ""), "")</f>
        <v/>
      </c>
      <c r="K393" s="105"/>
      <c r="L393" s="105" t="str">
        <f>IF(F393=True, IFERROR(VLOOKUP(D393, Repository!A:E, 5, 0), ""), "")</f>
        <v/>
      </c>
      <c r="M393" s="105"/>
      <c r="N393" s="105" t="str">
        <f>IF(F393=True, IFERROR(VLOOKUP(D393, Repository!A:G, 7, 0), ""), "")</f>
        <v/>
      </c>
      <c r="O393" s="105" t="str">
        <f>IFERROR(__xludf.DUMMYFUNCTION("ARRAY_CONSTRAIN(
  ARRAYFORMULA(
    IFERROR(
      LET(
        list, N393,
        arr, TRIM(SPLIT(list, "","")),
        names, XLOOKUP(
          arr,
          'Conformance Score'!A:A,
          'Conformance Score'!B:B,
          ""Not found""
      "&amp;"  ),
        TEXTJOIN("", "", TRUE, names)
      ),
      """"
    )
  ),
  1,
  1
)
"),"")</f>
        <v/>
      </c>
      <c r="P393" s="105" t="str">
        <f>IF(F393="Yes", IFERROR(VLOOKUP(D393, Repository!A:F, 6, 0), ""), "")</f>
        <v/>
      </c>
      <c r="Q393" s="105" t="str">
        <f>IF(F393="Yes", IFERROR(VLOOKUP(D393, Repository!A:I, 8, 0), ""), "")</f>
        <v/>
      </c>
      <c r="R393" s="105" t="str">
        <f>IF(F393="Yes", IFERROR(VLOOKUP(D393, Repository!A:J, 9, 0), ""), "")</f>
        <v/>
      </c>
      <c r="S393" s="105"/>
      <c r="T393" s="105"/>
      <c r="U393" s="105"/>
      <c r="V393" s="105"/>
      <c r="W393" s="105"/>
      <c r="X393" s="105"/>
      <c r="Y393" s="105"/>
      <c r="Z393" s="105"/>
      <c r="AA393" s="105"/>
      <c r="AB393" s="105"/>
      <c r="AC393" s="91"/>
      <c r="AD393" s="105"/>
      <c r="AE393" s="105"/>
      <c r="AF393" s="91"/>
      <c r="AG393" s="105"/>
      <c r="AH393" s="105"/>
      <c r="AI393" s="105" t="str">
        <f t="shared" si="1"/>
        <v/>
      </c>
      <c r="AJ393" s="108" t="str">
        <f t="shared" si="2"/>
        <v/>
      </c>
    </row>
    <row r="394" ht="15.75" customHeight="1">
      <c r="A394" s="104"/>
      <c r="B394" s="105" t="str">
        <f>IFERROR(__xludf.DUMMYFUNCTION("ARRAY_CONSTRAIN(
  ARRAYFORMULA(
    IF(
      'Final Report'!A394="""",
      """",
      TEXTJOIN(
        "", "" &amp; CHAR(10),
        TRUE,
        IFERROR(
          VLOOKUP(
            TRIM(
              SPLIT('Final Report'!A394, "","")
           "&amp;" ),
            'URL Details'!A:B,
            2,
            FALSE
          ),
          """"
        )
      )
    )
  ),
  1,
  1
)
"),"")</f>
        <v/>
      </c>
      <c r="C394" s="105" t="str">
        <f>IFERROR(__xludf.DUMMYFUNCTION("IFERROR(IF('Final Report'!A394="""","""", TEXTJOIN(CHAR(10), TRUE, ARRAYFORMULA( ""• ""&amp; FILTER( TRIM(FLATTEN(SPLIT( REGEXREPLACE( SUBSTITUTE(TEXTJOIN("","", TRUE, IFERROR(ARRAYFORMULA(VLOOKUP(TRIM(SPLIT('Final Report'!A394, "","")), 'URL Details'!A:D, 4,"&amp;" FALSE)),"""") ), CHAR(10), "",""), ""\s*,\s*"", "",""), "",""))), TRIM(FLATTEN(SPLIT( REGEXREPLACE( SUBSTITUTE(TEXTJOIN("","", TRUE, IFERROR(ARRAYFORMULA(VLOOKUP(TRIM(SPLIT('Final Report'!A394, "","")), 'URL Details'!A:D, 4, FALSE)),"""") ), CHAR(10), """&amp;",""), ""\s*,\s*"", "",""), "","")))&lt;&gt;"""" ) ) ) ),"""")
"),"")</f>
        <v/>
      </c>
      <c r="D394" s="105"/>
      <c r="E394" s="105"/>
      <c r="F394" s="110" t="b">
        <v>0</v>
      </c>
      <c r="G394" s="105" t="str">
        <f>IF(F394=True, IFERROR(VLOOKUP(D394, Repository!A:B, 2, 0), ""), "")</f>
        <v/>
      </c>
      <c r="H394" s="105"/>
      <c r="I394" s="105"/>
      <c r="J394" s="105" t="str">
        <f>IF(F394=True, IFERROR(VLOOKUP(D394, Repository!A:C, 3, 0), ""), "")</f>
        <v/>
      </c>
      <c r="K394" s="105"/>
      <c r="L394" s="105" t="str">
        <f>IF(F394=True, IFERROR(VLOOKUP(D394, Repository!A:E, 5, 0), ""), "")</f>
        <v/>
      </c>
      <c r="M394" s="105"/>
      <c r="N394" s="105" t="str">
        <f>IF(F394=True, IFERROR(VLOOKUP(D394, Repository!A:G, 7, 0), ""), "")</f>
        <v/>
      </c>
      <c r="O394" s="105" t="str">
        <f>IFERROR(__xludf.DUMMYFUNCTION("ARRAY_CONSTRAIN(
  ARRAYFORMULA(
    IFERROR(
      LET(
        list, N394,
        arr, TRIM(SPLIT(list, "","")),
        names, XLOOKUP(
          arr,
          'Conformance Score'!A:A,
          'Conformance Score'!B:B,
          ""Not found""
      "&amp;"  ),
        TEXTJOIN("", "", TRUE, names)
      ),
      """"
    )
  ),
  1,
  1
)
"),"")</f>
        <v/>
      </c>
      <c r="P394" s="105" t="str">
        <f>IF(F394="Yes", IFERROR(VLOOKUP(D394, Repository!A:F, 6, 0), ""), "")</f>
        <v/>
      </c>
      <c r="Q394" s="105" t="str">
        <f>IF(F394="Yes", IFERROR(VLOOKUP(D394, Repository!A:I, 8, 0), ""), "")</f>
        <v/>
      </c>
      <c r="R394" s="105" t="str">
        <f>IF(F394="Yes", IFERROR(VLOOKUP(D394, Repository!A:J, 9, 0), ""), "")</f>
        <v/>
      </c>
      <c r="S394" s="105"/>
      <c r="T394" s="105"/>
      <c r="U394" s="105"/>
      <c r="V394" s="105"/>
      <c r="W394" s="105"/>
      <c r="X394" s="105"/>
      <c r="Y394" s="105"/>
      <c r="Z394" s="105"/>
      <c r="AA394" s="105"/>
      <c r="AB394" s="105"/>
      <c r="AC394" s="91"/>
      <c r="AD394" s="105"/>
      <c r="AE394" s="105"/>
      <c r="AF394" s="91"/>
      <c r="AG394" s="105"/>
      <c r="AH394" s="105"/>
      <c r="AI394" s="105" t="str">
        <f t="shared" si="1"/>
        <v/>
      </c>
      <c r="AJ394" s="108" t="str">
        <f t="shared" si="2"/>
        <v/>
      </c>
    </row>
    <row r="395" ht="15.75" customHeight="1">
      <c r="A395" s="104"/>
      <c r="B395" s="105" t="str">
        <f>IFERROR(__xludf.DUMMYFUNCTION("ARRAY_CONSTRAIN(
  ARRAYFORMULA(
    IF(
      'Final Report'!A395="""",
      """",
      TEXTJOIN(
        "", "" &amp; CHAR(10),
        TRUE,
        IFERROR(
          VLOOKUP(
            TRIM(
              SPLIT('Final Report'!A395, "","")
           "&amp;" ),
            'URL Details'!A:B,
            2,
            FALSE
          ),
          """"
        )
      )
    )
  ),
  1,
  1
)
"),"")</f>
        <v/>
      </c>
      <c r="C395" s="105" t="str">
        <f>IFERROR(__xludf.DUMMYFUNCTION("IFERROR(IF('Final Report'!A395="""","""", TEXTJOIN(CHAR(10), TRUE, ARRAYFORMULA( ""• ""&amp; FILTER( TRIM(FLATTEN(SPLIT( REGEXREPLACE( SUBSTITUTE(TEXTJOIN("","", TRUE, IFERROR(ARRAYFORMULA(VLOOKUP(TRIM(SPLIT('Final Report'!A395, "","")), 'URL Details'!A:D, 4,"&amp;" FALSE)),"""") ), CHAR(10), "",""), ""\s*,\s*"", "",""), "",""))), TRIM(FLATTEN(SPLIT( REGEXREPLACE( SUBSTITUTE(TEXTJOIN("","", TRUE, IFERROR(ARRAYFORMULA(VLOOKUP(TRIM(SPLIT('Final Report'!A395, "","")), 'URL Details'!A:D, 4, FALSE)),"""") ), CHAR(10), """&amp;",""), ""\s*,\s*"", "",""), "","")))&lt;&gt;"""" ) ) ) ),"""")
"),"")</f>
        <v/>
      </c>
      <c r="D395" s="105"/>
      <c r="E395" s="105"/>
      <c r="F395" s="110" t="b">
        <v>0</v>
      </c>
      <c r="G395" s="105" t="str">
        <f>IF(F395=True, IFERROR(VLOOKUP(D395, Repository!A:B, 2, 0), ""), "")</f>
        <v/>
      </c>
      <c r="H395" s="105"/>
      <c r="I395" s="105"/>
      <c r="J395" s="105" t="str">
        <f>IF(F395=True, IFERROR(VLOOKUP(D395, Repository!A:C, 3, 0), ""), "")</f>
        <v/>
      </c>
      <c r="K395" s="105"/>
      <c r="L395" s="105" t="str">
        <f>IF(F395=True, IFERROR(VLOOKUP(D395, Repository!A:E, 5, 0), ""), "")</f>
        <v/>
      </c>
      <c r="M395" s="105"/>
      <c r="N395" s="105" t="str">
        <f>IF(F395=True, IFERROR(VLOOKUP(D395, Repository!A:G, 7, 0), ""), "")</f>
        <v/>
      </c>
      <c r="O395" s="105" t="str">
        <f>IFERROR(__xludf.DUMMYFUNCTION("ARRAY_CONSTRAIN(
  ARRAYFORMULA(
    IFERROR(
      LET(
        list, N395,
        arr, TRIM(SPLIT(list, "","")),
        names, XLOOKUP(
          arr,
          'Conformance Score'!A:A,
          'Conformance Score'!B:B,
          ""Not found""
      "&amp;"  ),
        TEXTJOIN("", "", TRUE, names)
      ),
      """"
    )
  ),
  1,
  1
)
"),"")</f>
        <v/>
      </c>
      <c r="P395" s="105" t="str">
        <f>IF(F395="Yes", IFERROR(VLOOKUP(D395, Repository!A:F, 6, 0), ""), "")</f>
        <v/>
      </c>
      <c r="Q395" s="105" t="str">
        <f>IF(F395="Yes", IFERROR(VLOOKUP(D395, Repository!A:I, 8, 0), ""), "")</f>
        <v/>
      </c>
      <c r="R395" s="105" t="str">
        <f>IF(F395="Yes", IFERROR(VLOOKUP(D395, Repository!A:J, 9, 0), ""), "")</f>
        <v/>
      </c>
      <c r="S395" s="105"/>
      <c r="T395" s="105"/>
      <c r="U395" s="105"/>
      <c r="V395" s="105"/>
      <c r="W395" s="105"/>
      <c r="X395" s="105"/>
      <c r="Y395" s="105"/>
      <c r="Z395" s="105"/>
      <c r="AA395" s="105"/>
      <c r="AB395" s="105"/>
      <c r="AC395" s="91"/>
      <c r="AD395" s="105"/>
      <c r="AE395" s="105"/>
      <c r="AF395" s="91"/>
      <c r="AG395" s="105"/>
      <c r="AH395" s="105"/>
      <c r="AI395" s="105" t="str">
        <f t="shared" si="1"/>
        <v/>
      </c>
      <c r="AJ395" s="108" t="str">
        <f t="shared" si="2"/>
        <v/>
      </c>
    </row>
    <row r="396" ht="15.75" customHeight="1">
      <c r="A396" s="104"/>
      <c r="B396" s="105" t="str">
        <f>IFERROR(__xludf.DUMMYFUNCTION("ARRAY_CONSTRAIN(
  ARRAYFORMULA(
    IF(
      'Final Report'!A396="""",
      """",
      TEXTJOIN(
        "", "" &amp; CHAR(10),
        TRUE,
        IFERROR(
          VLOOKUP(
            TRIM(
              SPLIT('Final Report'!A396, "","")
           "&amp;" ),
            'URL Details'!A:B,
            2,
            FALSE
          ),
          """"
        )
      )
    )
  ),
  1,
  1
)
"),"")</f>
        <v/>
      </c>
      <c r="C396" s="105" t="str">
        <f>IFERROR(__xludf.DUMMYFUNCTION("IFERROR(IF('Final Report'!A396="""","""", TEXTJOIN(CHAR(10), TRUE, ARRAYFORMULA( ""• ""&amp; FILTER( TRIM(FLATTEN(SPLIT( REGEXREPLACE( SUBSTITUTE(TEXTJOIN("","", TRUE, IFERROR(ARRAYFORMULA(VLOOKUP(TRIM(SPLIT('Final Report'!A396, "","")), 'URL Details'!A:D, 4,"&amp;" FALSE)),"""") ), CHAR(10), "",""), ""\s*,\s*"", "",""), "",""))), TRIM(FLATTEN(SPLIT( REGEXREPLACE( SUBSTITUTE(TEXTJOIN("","", TRUE, IFERROR(ARRAYFORMULA(VLOOKUP(TRIM(SPLIT('Final Report'!A396, "","")), 'URL Details'!A:D, 4, FALSE)),"""") ), CHAR(10), """&amp;",""), ""\s*,\s*"", "",""), "","")))&lt;&gt;"""" ) ) ) ),"""")
"),"")</f>
        <v/>
      </c>
      <c r="D396" s="105"/>
      <c r="E396" s="105"/>
      <c r="F396" s="110" t="b">
        <v>0</v>
      </c>
      <c r="G396" s="105" t="str">
        <f>IF(F396=True, IFERROR(VLOOKUP(D396, Repository!A:B, 2, 0), ""), "")</f>
        <v/>
      </c>
      <c r="H396" s="105"/>
      <c r="I396" s="105"/>
      <c r="J396" s="105" t="str">
        <f>IF(F396=True, IFERROR(VLOOKUP(D396, Repository!A:C, 3, 0), ""), "")</f>
        <v/>
      </c>
      <c r="K396" s="105"/>
      <c r="L396" s="105" t="str">
        <f>IF(F396=True, IFERROR(VLOOKUP(D396, Repository!A:E, 5, 0), ""), "")</f>
        <v/>
      </c>
      <c r="M396" s="105"/>
      <c r="N396" s="105" t="str">
        <f>IF(F396=True, IFERROR(VLOOKUP(D396, Repository!A:G, 7, 0), ""), "")</f>
        <v/>
      </c>
      <c r="O396" s="105" t="str">
        <f>IFERROR(__xludf.DUMMYFUNCTION("ARRAY_CONSTRAIN(
  ARRAYFORMULA(
    IFERROR(
      LET(
        list, N396,
        arr, TRIM(SPLIT(list, "","")),
        names, XLOOKUP(
          arr,
          'Conformance Score'!A:A,
          'Conformance Score'!B:B,
          ""Not found""
      "&amp;"  ),
        TEXTJOIN("", "", TRUE, names)
      ),
      """"
    )
  ),
  1,
  1
)
"),"")</f>
        <v/>
      </c>
      <c r="P396" s="105" t="str">
        <f>IF(F396="Yes", IFERROR(VLOOKUP(D396, Repository!A:F, 6, 0), ""), "")</f>
        <v/>
      </c>
      <c r="Q396" s="105" t="str">
        <f>IF(F396="Yes", IFERROR(VLOOKUP(D396, Repository!A:I, 8, 0), ""), "")</f>
        <v/>
      </c>
      <c r="R396" s="105" t="str">
        <f>IF(F396="Yes", IFERROR(VLOOKUP(D396, Repository!A:J, 9, 0), ""), "")</f>
        <v/>
      </c>
      <c r="S396" s="105"/>
      <c r="T396" s="105"/>
      <c r="U396" s="105"/>
      <c r="V396" s="105"/>
      <c r="W396" s="105"/>
      <c r="X396" s="105"/>
      <c r="Y396" s="105"/>
      <c r="Z396" s="105"/>
      <c r="AA396" s="105"/>
      <c r="AB396" s="105"/>
      <c r="AC396" s="91"/>
      <c r="AD396" s="105"/>
      <c r="AE396" s="105"/>
      <c r="AF396" s="91"/>
      <c r="AG396" s="105"/>
      <c r="AH396" s="105"/>
      <c r="AI396" s="105" t="str">
        <f t="shared" si="1"/>
        <v/>
      </c>
      <c r="AJ396" s="108" t="str">
        <f t="shared" si="2"/>
        <v/>
      </c>
    </row>
    <row r="397" ht="15.75" customHeight="1">
      <c r="A397" s="104"/>
      <c r="B397" s="105" t="str">
        <f>IFERROR(__xludf.DUMMYFUNCTION("ARRAY_CONSTRAIN(
  ARRAYFORMULA(
    IF(
      'Final Report'!A397="""",
      """",
      TEXTJOIN(
        "", "" &amp; CHAR(10),
        TRUE,
        IFERROR(
          VLOOKUP(
            TRIM(
              SPLIT('Final Report'!A397, "","")
           "&amp;" ),
            'URL Details'!A:B,
            2,
            FALSE
          ),
          """"
        )
      )
    )
  ),
  1,
  1
)
"),"")</f>
        <v/>
      </c>
      <c r="C397" s="105" t="str">
        <f>IFERROR(__xludf.DUMMYFUNCTION("IFERROR(IF('Final Report'!A397="""","""", TEXTJOIN(CHAR(10), TRUE, ARRAYFORMULA( ""• ""&amp; FILTER( TRIM(FLATTEN(SPLIT( REGEXREPLACE( SUBSTITUTE(TEXTJOIN("","", TRUE, IFERROR(ARRAYFORMULA(VLOOKUP(TRIM(SPLIT('Final Report'!A397, "","")), 'URL Details'!A:D, 4,"&amp;" FALSE)),"""") ), CHAR(10), "",""), ""\s*,\s*"", "",""), "",""))), TRIM(FLATTEN(SPLIT( REGEXREPLACE( SUBSTITUTE(TEXTJOIN("","", TRUE, IFERROR(ARRAYFORMULA(VLOOKUP(TRIM(SPLIT('Final Report'!A397, "","")), 'URL Details'!A:D, 4, FALSE)),"""") ), CHAR(10), """&amp;",""), ""\s*,\s*"", "",""), "","")))&lt;&gt;"""" ) ) ) ),"""")
"),"")</f>
        <v/>
      </c>
      <c r="D397" s="105"/>
      <c r="E397" s="105"/>
      <c r="F397" s="110" t="b">
        <v>0</v>
      </c>
      <c r="G397" s="105" t="str">
        <f>IF(F397=True, IFERROR(VLOOKUP(D397, Repository!A:B, 2, 0), ""), "")</f>
        <v/>
      </c>
      <c r="H397" s="105"/>
      <c r="I397" s="105"/>
      <c r="J397" s="105" t="str">
        <f>IF(F397=True, IFERROR(VLOOKUP(D397, Repository!A:C, 3, 0), ""), "")</f>
        <v/>
      </c>
      <c r="K397" s="105"/>
      <c r="L397" s="105" t="str">
        <f>IF(F397=True, IFERROR(VLOOKUP(D397, Repository!A:E, 5, 0), ""), "")</f>
        <v/>
      </c>
      <c r="M397" s="105"/>
      <c r="N397" s="105" t="str">
        <f>IF(F397=True, IFERROR(VLOOKUP(D397, Repository!A:G, 7, 0), ""), "")</f>
        <v/>
      </c>
      <c r="O397" s="105" t="str">
        <f>IFERROR(__xludf.DUMMYFUNCTION("ARRAY_CONSTRAIN(
  ARRAYFORMULA(
    IFERROR(
      LET(
        list, N397,
        arr, TRIM(SPLIT(list, "","")),
        names, XLOOKUP(
          arr,
          'Conformance Score'!A:A,
          'Conformance Score'!B:B,
          ""Not found""
      "&amp;"  ),
        TEXTJOIN("", "", TRUE, names)
      ),
      """"
    )
  ),
  1,
  1
)
"),"")</f>
        <v/>
      </c>
      <c r="P397" s="105" t="str">
        <f>IF(F397="Yes", IFERROR(VLOOKUP(D397, Repository!A:F, 6, 0), ""), "")</f>
        <v/>
      </c>
      <c r="Q397" s="105" t="str">
        <f>IF(F397="Yes", IFERROR(VLOOKUP(D397, Repository!A:I, 8, 0), ""), "")</f>
        <v/>
      </c>
      <c r="R397" s="105" t="str">
        <f>IF(F397="Yes", IFERROR(VLOOKUP(D397, Repository!A:J, 9, 0), ""), "")</f>
        <v/>
      </c>
      <c r="S397" s="105"/>
      <c r="T397" s="105"/>
      <c r="U397" s="105"/>
      <c r="V397" s="105"/>
      <c r="W397" s="105"/>
      <c r="X397" s="105"/>
      <c r="Y397" s="105"/>
      <c r="Z397" s="105"/>
      <c r="AA397" s="105"/>
      <c r="AB397" s="105"/>
      <c r="AC397" s="91"/>
      <c r="AD397" s="105"/>
      <c r="AE397" s="105"/>
      <c r="AF397" s="91"/>
      <c r="AG397" s="105"/>
      <c r="AH397" s="105"/>
      <c r="AI397" s="105" t="str">
        <f t="shared" si="1"/>
        <v/>
      </c>
      <c r="AJ397" s="108" t="str">
        <f t="shared" si="2"/>
        <v/>
      </c>
    </row>
    <row r="398" ht="15.75" customHeight="1">
      <c r="A398" s="104"/>
      <c r="B398" s="105" t="str">
        <f>IFERROR(__xludf.DUMMYFUNCTION("ARRAY_CONSTRAIN(
  ARRAYFORMULA(
    IF(
      'Final Report'!A398="""",
      """",
      TEXTJOIN(
        "", "" &amp; CHAR(10),
        TRUE,
        IFERROR(
          VLOOKUP(
            TRIM(
              SPLIT('Final Report'!A398, "","")
           "&amp;" ),
            'URL Details'!A:B,
            2,
            FALSE
          ),
          """"
        )
      )
    )
  ),
  1,
  1
)
"),"")</f>
        <v/>
      </c>
      <c r="C398" s="105" t="str">
        <f>IFERROR(__xludf.DUMMYFUNCTION("IFERROR(IF('Final Report'!A398="""","""", TEXTJOIN(CHAR(10), TRUE, ARRAYFORMULA( ""• ""&amp; FILTER( TRIM(FLATTEN(SPLIT( REGEXREPLACE( SUBSTITUTE(TEXTJOIN("","", TRUE, IFERROR(ARRAYFORMULA(VLOOKUP(TRIM(SPLIT('Final Report'!A398, "","")), 'URL Details'!A:D, 4,"&amp;" FALSE)),"""") ), CHAR(10), "",""), ""\s*,\s*"", "",""), "",""))), TRIM(FLATTEN(SPLIT( REGEXREPLACE( SUBSTITUTE(TEXTJOIN("","", TRUE, IFERROR(ARRAYFORMULA(VLOOKUP(TRIM(SPLIT('Final Report'!A398, "","")), 'URL Details'!A:D, 4, FALSE)),"""") ), CHAR(10), """&amp;",""), ""\s*,\s*"", "",""), "","")))&lt;&gt;"""" ) ) ) ),"""")
"),"")</f>
        <v/>
      </c>
      <c r="D398" s="105"/>
      <c r="E398" s="105"/>
      <c r="F398" s="110" t="b">
        <v>0</v>
      </c>
      <c r="G398" s="105" t="str">
        <f>IF(F398=True, IFERROR(VLOOKUP(D398, Repository!A:B, 2, 0), ""), "")</f>
        <v/>
      </c>
      <c r="H398" s="105"/>
      <c r="I398" s="105"/>
      <c r="J398" s="105" t="str">
        <f>IF(F398=True, IFERROR(VLOOKUP(D398, Repository!A:C, 3, 0), ""), "")</f>
        <v/>
      </c>
      <c r="K398" s="105"/>
      <c r="L398" s="105" t="str">
        <f>IF(F398=True, IFERROR(VLOOKUP(D398, Repository!A:E, 5, 0), ""), "")</f>
        <v/>
      </c>
      <c r="M398" s="105"/>
      <c r="N398" s="105" t="str">
        <f>IF(F398=True, IFERROR(VLOOKUP(D398, Repository!A:G, 7, 0), ""), "")</f>
        <v/>
      </c>
      <c r="O398" s="105" t="str">
        <f>IFERROR(__xludf.DUMMYFUNCTION("ARRAY_CONSTRAIN(
  ARRAYFORMULA(
    IFERROR(
      LET(
        list, N398,
        arr, TRIM(SPLIT(list, "","")),
        names, XLOOKUP(
          arr,
          'Conformance Score'!A:A,
          'Conformance Score'!B:B,
          ""Not found""
      "&amp;"  ),
        TEXTJOIN("", "", TRUE, names)
      ),
      """"
    )
  ),
  1,
  1
)
"),"")</f>
        <v/>
      </c>
      <c r="P398" s="105" t="str">
        <f>IF(F398="Yes", IFERROR(VLOOKUP(D398, Repository!A:F, 6, 0), ""), "")</f>
        <v/>
      </c>
      <c r="Q398" s="105" t="str">
        <f>IF(F398="Yes", IFERROR(VLOOKUP(D398, Repository!A:I, 8, 0), ""), "")</f>
        <v/>
      </c>
      <c r="R398" s="105" t="str">
        <f>IF(F398="Yes", IFERROR(VLOOKUP(D398, Repository!A:J, 9, 0), ""), "")</f>
        <v/>
      </c>
      <c r="S398" s="105"/>
      <c r="T398" s="105"/>
      <c r="U398" s="105"/>
      <c r="V398" s="105"/>
      <c r="W398" s="105"/>
      <c r="X398" s="105"/>
      <c r="Y398" s="105"/>
      <c r="Z398" s="105"/>
      <c r="AA398" s="105"/>
      <c r="AB398" s="105"/>
      <c r="AC398" s="91"/>
      <c r="AD398" s="105"/>
      <c r="AE398" s="105"/>
      <c r="AF398" s="91"/>
      <c r="AG398" s="105"/>
      <c r="AH398" s="105"/>
      <c r="AI398" s="105" t="str">
        <f t="shared" si="1"/>
        <v/>
      </c>
      <c r="AJ398" s="108" t="str">
        <f t="shared" si="2"/>
        <v/>
      </c>
    </row>
    <row r="399" ht="15.75" customHeight="1">
      <c r="A399" s="104"/>
      <c r="B399" s="105" t="str">
        <f>IFERROR(__xludf.DUMMYFUNCTION("ARRAY_CONSTRAIN(
  ARRAYFORMULA(
    IF(
      'Final Report'!A399="""",
      """",
      TEXTJOIN(
        "", "" &amp; CHAR(10),
        TRUE,
        IFERROR(
          VLOOKUP(
            TRIM(
              SPLIT('Final Report'!A399, "","")
           "&amp;" ),
            'URL Details'!A:B,
            2,
            FALSE
          ),
          """"
        )
      )
    )
  ),
  1,
  1
)
"),"")</f>
        <v/>
      </c>
      <c r="C399" s="105" t="str">
        <f>IFERROR(__xludf.DUMMYFUNCTION("IFERROR(IF('Final Report'!A399="""","""", TEXTJOIN(CHAR(10), TRUE, ARRAYFORMULA( ""• ""&amp; FILTER( TRIM(FLATTEN(SPLIT( REGEXREPLACE( SUBSTITUTE(TEXTJOIN("","", TRUE, IFERROR(ARRAYFORMULA(VLOOKUP(TRIM(SPLIT('Final Report'!A399, "","")), 'URL Details'!A:D, 4,"&amp;" FALSE)),"""") ), CHAR(10), "",""), ""\s*,\s*"", "",""), "",""))), TRIM(FLATTEN(SPLIT( REGEXREPLACE( SUBSTITUTE(TEXTJOIN("","", TRUE, IFERROR(ARRAYFORMULA(VLOOKUP(TRIM(SPLIT('Final Report'!A399, "","")), 'URL Details'!A:D, 4, FALSE)),"""") ), CHAR(10), """&amp;",""), ""\s*,\s*"", "",""), "","")))&lt;&gt;"""" ) ) ) ),"""")
"),"")</f>
        <v/>
      </c>
      <c r="D399" s="105"/>
      <c r="E399" s="105"/>
      <c r="F399" s="110" t="b">
        <v>0</v>
      </c>
      <c r="G399" s="105" t="str">
        <f>IF(F399=True, IFERROR(VLOOKUP(D399, Repository!A:B, 2, 0), ""), "")</f>
        <v/>
      </c>
      <c r="H399" s="105"/>
      <c r="I399" s="105"/>
      <c r="J399" s="105" t="str">
        <f>IF(F399=True, IFERROR(VLOOKUP(D399, Repository!A:C, 3, 0), ""), "")</f>
        <v/>
      </c>
      <c r="K399" s="105"/>
      <c r="L399" s="105" t="str">
        <f>IF(F399=True, IFERROR(VLOOKUP(D399, Repository!A:E, 5, 0), ""), "")</f>
        <v/>
      </c>
      <c r="M399" s="105"/>
      <c r="N399" s="105" t="str">
        <f>IF(F399=True, IFERROR(VLOOKUP(D399, Repository!A:G, 7, 0), ""), "")</f>
        <v/>
      </c>
      <c r="O399" s="105" t="str">
        <f>IFERROR(__xludf.DUMMYFUNCTION("ARRAY_CONSTRAIN(
  ARRAYFORMULA(
    IFERROR(
      LET(
        list, N399,
        arr, TRIM(SPLIT(list, "","")),
        names, XLOOKUP(
          arr,
          'Conformance Score'!A:A,
          'Conformance Score'!B:B,
          ""Not found""
      "&amp;"  ),
        TEXTJOIN("", "", TRUE, names)
      ),
      """"
    )
  ),
  1,
  1
)
"),"")</f>
        <v/>
      </c>
      <c r="P399" s="105" t="str">
        <f>IF(F399="Yes", IFERROR(VLOOKUP(D399, Repository!A:F, 6, 0), ""), "")</f>
        <v/>
      </c>
      <c r="Q399" s="105" t="str">
        <f>IF(F399="Yes", IFERROR(VLOOKUP(D399, Repository!A:I, 8, 0), ""), "")</f>
        <v/>
      </c>
      <c r="R399" s="105" t="str">
        <f>IF(F399="Yes", IFERROR(VLOOKUP(D399, Repository!A:J, 9, 0), ""), "")</f>
        <v/>
      </c>
      <c r="S399" s="105"/>
      <c r="T399" s="105"/>
      <c r="U399" s="105"/>
      <c r="V399" s="105"/>
      <c r="W399" s="105"/>
      <c r="X399" s="105"/>
      <c r="Y399" s="105"/>
      <c r="Z399" s="105"/>
      <c r="AA399" s="105"/>
      <c r="AB399" s="105"/>
      <c r="AC399" s="91"/>
      <c r="AD399" s="105"/>
      <c r="AE399" s="105"/>
      <c r="AF399" s="91"/>
      <c r="AG399" s="105"/>
      <c r="AH399" s="105"/>
      <c r="AI399" s="105" t="str">
        <f t="shared" si="1"/>
        <v/>
      </c>
      <c r="AJ399" s="108" t="str">
        <f t="shared" si="2"/>
        <v/>
      </c>
    </row>
    <row r="400" ht="15.75" customHeight="1">
      <c r="A400" s="104"/>
      <c r="B400" s="105" t="str">
        <f>IFERROR(__xludf.DUMMYFUNCTION("ARRAY_CONSTRAIN(
  ARRAYFORMULA(
    IF(
      'Final Report'!A400="""",
      """",
      TEXTJOIN(
        "", "" &amp; CHAR(10),
        TRUE,
        IFERROR(
          VLOOKUP(
            TRIM(
              SPLIT('Final Report'!A400, "","")
           "&amp;" ),
            'URL Details'!A:B,
            2,
            FALSE
          ),
          """"
        )
      )
    )
  ),
  1,
  1
)
"),"")</f>
        <v/>
      </c>
      <c r="C400" s="105" t="str">
        <f>IFERROR(__xludf.DUMMYFUNCTION("IFERROR(IF('Final Report'!A400="""","""", TEXTJOIN(CHAR(10), TRUE, ARRAYFORMULA( ""• ""&amp; FILTER( TRIM(FLATTEN(SPLIT( REGEXREPLACE( SUBSTITUTE(TEXTJOIN("","", TRUE, IFERROR(ARRAYFORMULA(VLOOKUP(TRIM(SPLIT('Final Report'!A400, "","")), 'URL Details'!A:D, 4,"&amp;" FALSE)),"""") ), CHAR(10), "",""), ""\s*,\s*"", "",""), "",""))), TRIM(FLATTEN(SPLIT( REGEXREPLACE( SUBSTITUTE(TEXTJOIN("","", TRUE, IFERROR(ARRAYFORMULA(VLOOKUP(TRIM(SPLIT('Final Report'!A400, "","")), 'URL Details'!A:D, 4, FALSE)),"""") ), CHAR(10), """&amp;",""), ""\s*,\s*"", "",""), "","")))&lt;&gt;"""" ) ) ) ),"""")
"),"")</f>
        <v/>
      </c>
      <c r="D400" s="105"/>
      <c r="E400" s="105"/>
      <c r="F400" s="110" t="b">
        <v>0</v>
      </c>
      <c r="G400" s="105" t="str">
        <f>IF(F400=True, IFERROR(VLOOKUP(D400, Repository!A:B, 2, 0), ""), "")</f>
        <v/>
      </c>
      <c r="H400" s="105"/>
      <c r="I400" s="105"/>
      <c r="J400" s="105" t="str">
        <f>IF(F400=True, IFERROR(VLOOKUP(D400, Repository!A:C, 3, 0), ""), "")</f>
        <v/>
      </c>
      <c r="K400" s="105"/>
      <c r="L400" s="105" t="str">
        <f>IF(F400=True, IFERROR(VLOOKUP(D400, Repository!A:E, 5, 0), ""), "")</f>
        <v/>
      </c>
      <c r="M400" s="105"/>
      <c r="N400" s="105" t="str">
        <f>IF(F400=True, IFERROR(VLOOKUP(D400, Repository!A:G, 7, 0), ""), "")</f>
        <v/>
      </c>
      <c r="O400" s="105" t="str">
        <f>IFERROR(__xludf.DUMMYFUNCTION("ARRAY_CONSTRAIN(
  ARRAYFORMULA(
    IFERROR(
      LET(
        list, N400,
        arr, TRIM(SPLIT(list, "","")),
        names, XLOOKUP(
          arr,
          'Conformance Score'!A:A,
          'Conformance Score'!B:B,
          ""Not found""
      "&amp;"  ),
        TEXTJOIN("", "", TRUE, names)
      ),
      """"
    )
  ),
  1,
  1
)
"),"")</f>
        <v/>
      </c>
      <c r="P400" s="105" t="str">
        <f>IF(F400="Yes", IFERROR(VLOOKUP(D400, Repository!A:F, 6, 0), ""), "")</f>
        <v/>
      </c>
      <c r="Q400" s="105" t="str">
        <f>IF(F400="Yes", IFERROR(VLOOKUP(D400, Repository!A:I, 8, 0), ""), "")</f>
        <v/>
      </c>
      <c r="R400" s="105" t="str">
        <f>IF(F400="Yes", IFERROR(VLOOKUP(D400, Repository!A:J, 9, 0), ""), "")</f>
        <v/>
      </c>
      <c r="S400" s="105"/>
      <c r="T400" s="105"/>
      <c r="U400" s="105"/>
      <c r="V400" s="105"/>
      <c r="W400" s="105"/>
      <c r="X400" s="105"/>
      <c r="Y400" s="105"/>
      <c r="Z400" s="105"/>
      <c r="AA400" s="105"/>
      <c r="AB400" s="105"/>
      <c r="AC400" s="91"/>
      <c r="AD400" s="105"/>
      <c r="AE400" s="105"/>
      <c r="AF400" s="91"/>
      <c r="AG400" s="105"/>
      <c r="AH400" s="105"/>
      <c r="AI400" s="105" t="str">
        <f t="shared" si="1"/>
        <v/>
      </c>
      <c r="AJ400" s="108" t="str">
        <f t="shared" si="2"/>
        <v/>
      </c>
    </row>
    <row r="401" ht="15.75" customHeight="1">
      <c r="A401" s="104"/>
      <c r="B401" s="105" t="str">
        <f>IFERROR(__xludf.DUMMYFUNCTION("ARRAY_CONSTRAIN(
  ARRAYFORMULA(
    IF(
      'Final Report'!A401="""",
      """",
      TEXTJOIN(
        "", "" &amp; CHAR(10),
        TRUE,
        IFERROR(
          VLOOKUP(
            TRIM(
              SPLIT('Final Report'!A401, "","")
           "&amp;" ),
            'URL Details'!A:B,
            2,
            FALSE
          ),
          """"
        )
      )
    )
  ),
  1,
  1
)
"),"")</f>
        <v/>
      </c>
      <c r="C401" s="105" t="str">
        <f>IFERROR(__xludf.DUMMYFUNCTION("IFERROR(IF('Final Report'!A401="""","""", TEXTJOIN(CHAR(10), TRUE, ARRAYFORMULA( ""• ""&amp; FILTER( TRIM(FLATTEN(SPLIT( REGEXREPLACE( SUBSTITUTE(TEXTJOIN("","", TRUE, IFERROR(ARRAYFORMULA(VLOOKUP(TRIM(SPLIT('Final Report'!A401, "","")), 'URL Details'!A:D, 4,"&amp;" FALSE)),"""") ), CHAR(10), "",""), ""\s*,\s*"", "",""), "",""))), TRIM(FLATTEN(SPLIT( REGEXREPLACE( SUBSTITUTE(TEXTJOIN("","", TRUE, IFERROR(ARRAYFORMULA(VLOOKUP(TRIM(SPLIT('Final Report'!A401, "","")), 'URL Details'!A:D, 4, FALSE)),"""") ), CHAR(10), """&amp;",""), ""\s*,\s*"", "",""), "","")))&lt;&gt;"""" ) ) ) ),"""")
"),"")</f>
        <v/>
      </c>
      <c r="D401" s="105"/>
      <c r="E401" s="105"/>
      <c r="F401" s="110" t="b">
        <v>0</v>
      </c>
      <c r="G401" s="105" t="str">
        <f>IF(F401=True, IFERROR(VLOOKUP(D401, Repository!A:B, 2, 0), ""), "")</f>
        <v/>
      </c>
      <c r="H401" s="105"/>
      <c r="I401" s="105"/>
      <c r="J401" s="105" t="str">
        <f>IF(F401=True, IFERROR(VLOOKUP(D401, Repository!A:C, 3, 0), ""), "")</f>
        <v/>
      </c>
      <c r="K401" s="105"/>
      <c r="L401" s="105" t="str">
        <f>IF(F401=True, IFERROR(VLOOKUP(D401, Repository!A:E, 5, 0), ""), "")</f>
        <v/>
      </c>
      <c r="M401" s="105"/>
      <c r="N401" s="105" t="str">
        <f>IF(F401=True, IFERROR(VLOOKUP(D401, Repository!A:G, 7, 0), ""), "")</f>
        <v/>
      </c>
      <c r="O401" s="105" t="str">
        <f>IFERROR(__xludf.DUMMYFUNCTION("ARRAY_CONSTRAIN(
  ARRAYFORMULA(
    IFERROR(
      LET(
        list, N401,
        arr, TRIM(SPLIT(list, "","")),
        names, XLOOKUP(
          arr,
          'Conformance Score'!A:A,
          'Conformance Score'!B:B,
          ""Not found""
      "&amp;"  ),
        TEXTJOIN("", "", TRUE, names)
      ),
      """"
    )
  ),
  1,
  1
)
"),"")</f>
        <v/>
      </c>
      <c r="P401" s="105" t="str">
        <f>IF(F401="Yes", IFERROR(VLOOKUP(D401, Repository!A:F, 6, 0), ""), "")</f>
        <v/>
      </c>
      <c r="Q401" s="105" t="str">
        <f>IF(F401="Yes", IFERROR(VLOOKUP(D401, Repository!A:I, 8, 0), ""), "")</f>
        <v/>
      </c>
      <c r="R401" s="105" t="str">
        <f>IF(F401="Yes", IFERROR(VLOOKUP(D401, Repository!A:J, 9, 0), ""), "")</f>
        <v/>
      </c>
      <c r="S401" s="105"/>
      <c r="T401" s="105"/>
      <c r="U401" s="105"/>
      <c r="V401" s="105"/>
      <c r="W401" s="105"/>
      <c r="X401" s="105"/>
      <c r="Y401" s="105"/>
      <c r="Z401" s="105"/>
      <c r="AA401" s="105"/>
      <c r="AB401" s="105"/>
      <c r="AC401" s="91"/>
      <c r="AD401" s="105"/>
      <c r="AE401" s="105"/>
      <c r="AF401" s="91"/>
      <c r="AG401" s="105"/>
      <c r="AH401" s="105"/>
      <c r="AI401" s="105" t="str">
        <f t="shared" si="1"/>
        <v/>
      </c>
      <c r="AJ401" s="108" t="str">
        <f t="shared" si="2"/>
        <v/>
      </c>
    </row>
    <row r="402" ht="15.75" customHeight="1">
      <c r="A402" s="104"/>
      <c r="B402" s="105" t="str">
        <f>IFERROR(__xludf.DUMMYFUNCTION("ARRAY_CONSTRAIN(
  ARRAYFORMULA(
    IF(
      'Final Report'!A402="""",
      """",
      TEXTJOIN(
        "", "" &amp; CHAR(10),
        TRUE,
        IFERROR(
          VLOOKUP(
            TRIM(
              SPLIT('Final Report'!A402, "","")
           "&amp;" ),
            'URL Details'!A:B,
            2,
            FALSE
          ),
          """"
        )
      )
    )
  ),
  1,
  1
)
"),"")</f>
        <v/>
      </c>
      <c r="C402" s="105" t="str">
        <f>IFERROR(__xludf.DUMMYFUNCTION("IFERROR(IF('Final Report'!A402="""","""", TEXTJOIN(CHAR(10), TRUE, ARRAYFORMULA( ""• ""&amp; FILTER( TRIM(FLATTEN(SPLIT( REGEXREPLACE( SUBSTITUTE(TEXTJOIN("","", TRUE, IFERROR(ARRAYFORMULA(VLOOKUP(TRIM(SPLIT('Final Report'!A402, "","")), 'URL Details'!A:D, 4,"&amp;" FALSE)),"""") ), CHAR(10), "",""), ""\s*,\s*"", "",""), "",""))), TRIM(FLATTEN(SPLIT( REGEXREPLACE( SUBSTITUTE(TEXTJOIN("","", TRUE, IFERROR(ARRAYFORMULA(VLOOKUP(TRIM(SPLIT('Final Report'!A402, "","")), 'URL Details'!A:D, 4, FALSE)),"""") ), CHAR(10), """&amp;",""), ""\s*,\s*"", "",""), "","")))&lt;&gt;"""" ) ) ) ),"""")
"),"")</f>
        <v/>
      </c>
      <c r="D402" s="105"/>
      <c r="E402" s="105"/>
      <c r="F402" s="110" t="b">
        <v>0</v>
      </c>
      <c r="G402" s="105" t="str">
        <f>IF(F402=True, IFERROR(VLOOKUP(D402, Repository!A:B, 2, 0), ""), "")</f>
        <v/>
      </c>
      <c r="H402" s="105"/>
      <c r="I402" s="105"/>
      <c r="J402" s="105" t="str">
        <f>IF(F402=True, IFERROR(VLOOKUP(D402, Repository!A:C, 3, 0), ""), "")</f>
        <v/>
      </c>
      <c r="K402" s="105"/>
      <c r="L402" s="105" t="str">
        <f>IF(F402=True, IFERROR(VLOOKUP(D402, Repository!A:E, 5, 0), ""), "")</f>
        <v/>
      </c>
      <c r="M402" s="105"/>
      <c r="N402" s="105" t="str">
        <f>IF(F402=True, IFERROR(VLOOKUP(D402, Repository!A:G, 7, 0), ""), "")</f>
        <v/>
      </c>
      <c r="O402" s="105" t="str">
        <f>IFERROR(__xludf.DUMMYFUNCTION("ARRAY_CONSTRAIN(
  ARRAYFORMULA(
    IFERROR(
      LET(
        list, N402,
        arr, TRIM(SPLIT(list, "","")),
        names, XLOOKUP(
          arr,
          'Conformance Score'!A:A,
          'Conformance Score'!B:B,
          ""Not found""
      "&amp;"  ),
        TEXTJOIN("", "", TRUE, names)
      ),
      """"
    )
  ),
  1,
  1
)
"),"")</f>
        <v/>
      </c>
      <c r="P402" s="105" t="str">
        <f>IF(F402="Yes", IFERROR(VLOOKUP(D402, Repository!A:F, 6, 0), ""), "")</f>
        <v/>
      </c>
      <c r="Q402" s="105" t="str">
        <f>IF(F402="Yes", IFERROR(VLOOKUP(D402, Repository!A:I, 8, 0), ""), "")</f>
        <v/>
      </c>
      <c r="R402" s="105" t="str">
        <f>IF(F402="Yes", IFERROR(VLOOKUP(D402, Repository!A:J, 9, 0), ""), "")</f>
        <v/>
      </c>
      <c r="S402" s="105"/>
      <c r="T402" s="105"/>
      <c r="U402" s="105"/>
      <c r="V402" s="105"/>
      <c r="W402" s="105"/>
      <c r="X402" s="105"/>
      <c r="Y402" s="105"/>
      <c r="Z402" s="105"/>
      <c r="AA402" s="105"/>
      <c r="AB402" s="105"/>
      <c r="AC402" s="91"/>
      <c r="AD402" s="105"/>
      <c r="AE402" s="105"/>
      <c r="AF402" s="91"/>
      <c r="AG402" s="105"/>
      <c r="AH402" s="105"/>
      <c r="AI402" s="105" t="str">
        <f t="shared" si="1"/>
        <v/>
      </c>
      <c r="AJ402" s="108" t="str">
        <f t="shared" si="2"/>
        <v/>
      </c>
    </row>
    <row r="403" ht="15.75" customHeight="1">
      <c r="A403" s="104"/>
      <c r="B403" s="105" t="str">
        <f>IFERROR(__xludf.DUMMYFUNCTION("ARRAY_CONSTRAIN(
  ARRAYFORMULA(
    IF(
      'Final Report'!A403="""",
      """",
      TEXTJOIN(
        "", "" &amp; CHAR(10),
        TRUE,
        IFERROR(
          VLOOKUP(
            TRIM(
              SPLIT('Final Report'!A403, "","")
           "&amp;" ),
            'URL Details'!A:B,
            2,
            FALSE
          ),
          """"
        )
      )
    )
  ),
  1,
  1
)
"),"")</f>
        <v/>
      </c>
      <c r="C403" s="105" t="str">
        <f>IFERROR(__xludf.DUMMYFUNCTION("IFERROR(IF('Final Report'!A403="""","""", TEXTJOIN(CHAR(10), TRUE, ARRAYFORMULA( ""• ""&amp; FILTER( TRIM(FLATTEN(SPLIT( REGEXREPLACE( SUBSTITUTE(TEXTJOIN("","", TRUE, IFERROR(ARRAYFORMULA(VLOOKUP(TRIM(SPLIT('Final Report'!A403, "","")), 'URL Details'!A:D, 4,"&amp;" FALSE)),"""") ), CHAR(10), "",""), ""\s*,\s*"", "",""), "",""))), TRIM(FLATTEN(SPLIT( REGEXREPLACE( SUBSTITUTE(TEXTJOIN("","", TRUE, IFERROR(ARRAYFORMULA(VLOOKUP(TRIM(SPLIT('Final Report'!A403, "","")), 'URL Details'!A:D, 4, FALSE)),"""") ), CHAR(10), """&amp;",""), ""\s*,\s*"", "",""), "","")))&lt;&gt;"""" ) ) ) ),"""")
"),"")</f>
        <v/>
      </c>
      <c r="D403" s="105"/>
      <c r="E403" s="105"/>
      <c r="F403" s="110" t="b">
        <v>0</v>
      </c>
      <c r="G403" s="105" t="str">
        <f>IF(F403=True, IFERROR(VLOOKUP(D403, Repository!A:B, 2, 0), ""), "")</f>
        <v/>
      </c>
      <c r="H403" s="105"/>
      <c r="I403" s="105"/>
      <c r="J403" s="105" t="str">
        <f>IF(F403=True, IFERROR(VLOOKUP(D403, Repository!A:C, 3, 0), ""), "")</f>
        <v/>
      </c>
      <c r="K403" s="105"/>
      <c r="L403" s="105" t="str">
        <f>IF(F403=True, IFERROR(VLOOKUP(D403, Repository!A:E, 5, 0), ""), "")</f>
        <v/>
      </c>
      <c r="M403" s="105"/>
      <c r="N403" s="105" t="str">
        <f>IF(F403=True, IFERROR(VLOOKUP(D403, Repository!A:G, 7, 0), ""), "")</f>
        <v/>
      </c>
      <c r="O403" s="105" t="str">
        <f>IFERROR(__xludf.DUMMYFUNCTION("ARRAY_CONSTRAIN(
  ARRAYFORMULA(
    IFERROR(
      LET(
        list, N403,
        arr, TRIM(SPLIT(list, "","")),
        names, XLOOKUP(
          arr,
          'Conformance Score'!A:A,
          'Conformance Score'!B:B,
          ""Not found""
      "&amp;"  ),
        TEXTJOIN("", "", TRUE, names)
      ),
      """"
    )
  ),
  1,
  1
)
"),"")</f>
        <v/>
      </c>
      <c r="P403" s="105" t="str">
        <f>IF(F403="Yes", IFERROR(VLOOKUP(D403, Repository!A:F, 6, 0), ""), "")</f>
        <v/>
      </c>
      <c r="Q403" s="105" t="str">
        <f>IF(F403="Yes", IFERROR(VLOOKUP(D403, Repository!A:I, 8, 0), ""), "")</f>
        <v/>
      </c>
      <c r="R403" s="105" t="str">
        <f>IF(F403="Yes", IFERROR(VLOOKUP(D403, Repository!A:J, 9, 0), ""), "")</f>
        <v/>
      </c>
      <c r="S403" s="105"/>
      <c r="T403" s="105"/>
      <c r="U403" s="105"/>
      <c r="V403" s="105"/>
      <c r="W403" s="105"/>
      <c r="X403" s="105"/>
      <c r="Y403" s="105"/>
      <c r="Z403" s="105"/>
      <c r="AA403" s="105"/>
      <c r="AB403" s="105"/>
      <c r="AC403" s="91"/>
      <c r="AD403" s="105"/>
      <c r="AE403" s="105"/>
      <c r="AF403" s="91"/>
      <c r="AG403" s="105"/>
      <c r="AH403" s="105"/>
      <c r="AI403" s="105" t="str">
        <f t="shared" si="1"/>
        <v/>
      </c>
      <c r="AJ403" s="108" t="str">
        <f t="shared" si="2"/>
        <v/>
      </c>
    </row>
    <row r="404" ht="15.75" customHeight="1">
      <c r="A404" s="104"/>
      <c r="B404" s="105" t="str">
        <f>IFERROR(__xludf.DUMMYFUNCTION("ARRAY_CONSTRAIN(
  ARRAYFORMULA(
    IF(
      'Final Report'!A404="""",
      """",
      TEXTJOIN(
        "", "" &amp; CHAR(10),
        TRUE,
        IFERROR(
          VLOOKUP(
            TRIM(
              SPLIT('Final Report'!A404, "","")
           "&amp;" ),
            'URL Details'!A:B,
            2,
            FALSE
          ),
          """"
        )
      )
    )
  ),
  1,
  1
)
"),"")</f>
        <v/>
      </c>
      <c r="C404" s="105" t="str">
        <f>IFERROR(__xludf.DUMMYFUNCTION("IFERROR(IF('Final Report'!A404="""","""", TEXTJOIN(CHAR(10), TRUE, ARRAYFORMULA( ""• ""&amp; FILTER( TRIM(FLATTEN(SPLIT( REGEXREPLACE( SUBSTITUTE(TEXTJOIN("","", TRUE, IFERROR(ARRAYFORMULA(VLOOKUP(TRIM(SPLIT('Final Report'!A404, "","")), 'URL Details'!A:D, 4,"&amp;" FALSE)),"""") ), CHAR(10), "",""), ""\s*,\s*"", "",""), "",""))), TRIM(FLATTEN(SPLIT( REGEXREPLACE( SUBSTITUTE(TEXTJOIN("","", TRUE, IFERROR(ARRAYFORMULA(VLOOKUP(TRIM(SPLIT('Final Report'!A404, "","")), 'URL Details'!A:D, 4, FALSE)),"""") ), CHAR(10), """&amp;",""), ""\s*,\s*"", "",""), "","")))&lt;&gt;"""" ) ) ) ),"""")
"),"")</f>
        <v/>
      </c>
      <c r="D404" s="105"/>
      <c r="E404" s="105"/>
      <c r="F404" s="110" t="b">
        <v>0</v>
      </c>
      <c r="G404" s="105" t="str">
        <f>IF(F404=True, IFERROR(VLOOKUP(D404, Repository!A:B, 2, 0), ""), "")</f>
        <v/>
      </c>
      <c r="H404" s="105"/>
      <c r="I404" s="105"/>
      <c r="J404" s="105" t="str">
        <f>IF(F404=True, IFERROR(VLOOKUP(D404, Repository!A:C, 3, 0), ""), "")</f>
        <v/>
      </c>
      <c r="K404" s="105"/>
      <c r="L404" s="105" t="str">
        <f>IF(F404=True, IFERROR(VLOOKUP(D404, Repository!A:E, 5, 0), ""), "")</f>
        <v/>
      </c>
      <c r="M404" s="105"/>
      <c r="N404" s="105" t="str">
        <f>IF(F404=True, IFERROR(VLOOKUP(D404, Repository!A:G, 7, 0), ""), "")</f>
        <v/>
      </c>
      <c r="O404" s="105" t="str">
        <f>IFERROR(__xludf.DUMMYFUNCTION("ARRAY_CONSTRAIN(
  ARRAYFORMULA(
    IFERROR(
      LET(
        list, N404,
        arr, TRIM(SPLIT(list, "","")),
        names, XLOOKUP(
          arr,
          'Conformance Score'!A:A,
          'Conformance Score'!B:B,
          ""Not found""
      "&amp;"  ),
        TEXTJOIN("", "", TRUE, names)
      ),
      """"
    )
  ),
  1,
  1
)
"),"")</f>
        <v/>
      </c>
      <c r="P404" s="105" t="str">
        <f>IF(F404="Yes", IFERROR(VLOOKUP(D404, Repository!A:F, 6, 0), ""), "")</f>
        <v/>
      </c>
      <c r="Q404" s="105" t="str">
        <f>IF(F404="Yes", IFERROR(VLOOKUP(D404, Repository!A:I, 8, 0), ""), "")</f>
        <v/>
      </c>
      <c r="R404" s="105" t="str">
        <f>IF(F404="Yes", IFERROR(VLOOKUP(D404, Repository!A:J, 9, 0), ""), "")</f>
        <v/>
      </c>
      <c r="S404" s="105"/>
      <c r="T404" s="105"/>
      <c r="U404" s="105"/>
      <c r="V404" s="105"/>
      <c r="W404" s="105"/>
      <c r="X404" s="105"/>
      <c r="Y404" s="105"/>
      <c r="Z404" s="105"/>
      <c r="AA404" s="105"/>
      <c r="AB404" s="105"/>
      <c r="AC404" s="91"/>
      <c r="AD404" s="105"/>
      <c r="AE404" s="105"/>
      <c r="AF404" s="91"/>
      <c r="AG404" s="105"/>
      <c r="AH404" s="105"/>
      <c r="AI404" s="105" t="str">
        <f t="shared" si="1"/>
        <v/>
      </c>
      <c r="AJ404" s="108" t="str">
        <f t="shared" si="2"/>
        <v/>
      </c>
    </row>
    <row r="405" ht="15.75" customHeight="1">
      <c r="A405" s="104"/>
      <c r="B405" s="105" t="str">
        <f>IFERROR(__xludf.DUMMYFUNCTION("ARRAY_CONSTRAIN(
  ARRAYFORMULA(
    IF(
      'Final Report'!A405="""",
      """",
      TEXTJOIN(
        "", "" &amp; CHAR(10),
        TRUE,
        IFERROR(
          VLOOKUP(
            TRIM(
              SPLIT('Final Report'!A405, "","")
           "&amp;" ),
            'URL Details'!A:B,
            2,
            FALSE
          ),
          """"
        )
      )
    )
  ),
  1,
  1
)
"),"")</f>
        <v/>
      </c>
      <c r="C405" s="105" t="str">
        <f>IFERROR(__xludf.DUMMYFUNCTION("IFERROR(IF('Final Report'!A405="""","""", TEXTJOIN(CHAR(10), TRUE, ARRAYFORMULA( ""• ""&amp; FILTER( TRIM(FLATTEN(SPLIT( REGEXREPLACE( SUBSTITUTE(TEXTJOIN("","", TRUE, IFERROR(ARRAYFORMULA(VLOOKUP(TRIM(SPLIT('Final Report'!A405, "","")), 'URL Details'!A:D, 4,"&amp;" FALSE)),"""") ), CHAR(10), "",""), ""\s*,\s*"", "",""), "",""))), TRIM(FLATTEN(SPLIT( REGEXREPLACE( SUBSTITUTE(TEXTJOIN("","", TRUE, IFERROR(ARRAYFORMULA(VLOOKUP(TRIM(SPLIT('Final Report'!A405, "","")), 'URL Details'!A:D, 4, FALSE)),"""") ), CHAR(10), """&amp;",""), ""\s*,\s*"", "",""), "","")))&lt;&gt;"""" ) ) ) ),"""")
"),"")</f>
        <v/>
      </c>
      <c r="D405" s="105"/>
      <c r="E405" s="105"/>
      <c r="F405" s="110" t="b">
        <v>0</v>
      </c>
      <c r="G405" s="105" t="str">
        <f>IF(F405=True, IFERROR(VLOOKUP(D405, Repository!A:B, 2, 0), ""), "")</f>
        <v/>
      </c>
      <c r="H405" s="105"/>
      <c r="I405" s="105"/>
      <c r="J405" s="105" t="str">
        <f>IF(F405=True, IFERROR(VLOOKUP(D405, Repository!A:C, 3, 0), ""), "")</f>
        <v/>
      </c>
      <c r="K405" s="105"/>
      <c r="L405" s="105" t="str">
        <f>IF(F405=True, IFERROR(VLOOKUP(D405, Repository!A:E, 5, 0), ""), "")</f>
        <v/>
      </c>
      <c r="M405" s="105"/>
      <c r="N405" s="105" t="str">
        <f>IF(F405=True, IFERROR(VLOOKUP(D405, Repository!A:G, 7, 0), ""), "")</f>
        <v/>
      </c>
      <c r="O405" s="105" t="str">
        <f>IFERROR(__xludf.DUMMYFUNCTION("ARRAY_CONSTRAIN(
  ARRAYFORMULA(
    IFERROR(
      LET(
        list, N405,
        arr, TRIM(SPLIT(list, "","")),
        names, XLOOKUP(
          arr,
          'Conformance Score'!A:A,
          'Conformance Score'!B:B,
          ""Not found""
      "&amp;"  ),
        TEXTJOIN("", "", TRUE, names)
      ),
      """"
    )
  ),
  1,
  1
)
"),"")</f>
        <v/>
      </c>
      <c r="P405" s="105" t="str">
        <f>IF(F405="Yes", IFERROR(VLOOKUP(D405, Repository!A:F, 6, 0), ""), "")</f>
        <v/>
      </c>
      <c r="Q405" s="105" t="str">
        <f>IF(F405="Yes", IFERROR(VLOOKUP(D405, Repository!A:I, 8, 0), ""), "")</f>
        <v/>
      </c>
      <c r="R405" s="105" t="str">
        <f>IF(F405="Yes", IFERROR(VLOOKUP(D405, Repository!A:J, 9, 0), ""), "")</f>
        <v/>
      </c>
      <c r="S405" s="105"/>
      <c r="T405" s="105"/>
      <c r="U405" s="105"/>
      <c r="V405" s="105"/>
      <c r="W405" s="105"/>
      <c r="X405" s="105"/>
      <c r="Y405" s="105"/>
      <c r="Z405" s="105"/>
      <c r="AA405" s="105"/>
      <c r="AB405" s="105"/>
      <c r="AC405" s="91"/>
      <c r="AD405" s="105"/>
      <c r="AE405" s="105"/>
      <c r="AF405" s="91"/>
      <c r="AG405" s="105"/>
      <c r="AH405" s="105"/>
      <c r="AI405" s="105" t="str">
        <f t="shared" si="1"/>
        <v/>
      </c>
      <c r="AJ405" s="108" t="str">
        <f t="shared" si="2"/>
        <v/>
      </c>
    </row>
    <row r="406" ht="15.75" customHeight="1">
      <c r="A406" s="104"/>
      <c r="B406" s="105" t="str">
        <f>IFERROR(__xludf.DUMMYFUNCTION("ARRAY_CONSTRAIN(
  ARRAYFORMULA(
    IF(
      'Final Report'!A406="""",
      """",
      TEXTJOIN(
        "", "" &amp; CHAR(10),
        TRUE,
        IFERROR(
          VLOOKUP(
            TRIM(
              SPLIT('Final Report'!A406, "","")
           "&amp;" ),
            'URL Details'!A:B,
            2,
            FALSE
          ),
          """"
        )
      )
    )
  ),
  1,
  1
)
"),"")</f>
        <v/>
      </c>
      <c r="C406" s="105" t="str">
        <f>IFERROR(__xludf.DUMMYFUNCTION("IFERROR(IF('Final Report'!A406="""","""", TEXTJOIN(CHAR(10), TRUE, ARRAYFORMULA( ""• ""&amp; FILTER( TRIM(FLATTEN(SPLIT( REGEXREPLACE( SUBSTITUTE(TEXTJOIN("","", TRUE, IFERROR(ARRAYFORMULA(VLOOKUP(TRIM(SPLIT('Final Report'!A406, "","")), 'URL Details'!A:D, 4,"&amp;" FALSE)),"""") ), CHAR(10), "",""), ""\s*,\s*"", "",""), "",""))), TRIM(FLATTEN(SPLIT( REGEXREPLACE( SUBSTITUTE(TEXTJOIN("","", TRUE, IFERROR(ARRAYFORMULA(VLOOKUP(TRIM(SPLIT('Final Report'!A406, "","")), 'URL Details'!A:D, 4, FALSE)),"""") ), CHAR(10), """&amp;",""), ""\s*,\s*"", "",""), "","")))&lt;&gt;"""" ) ) ) ),"""")
"),"")</f>
        <v/>
      </c>
      <c r="D406" s="105"/>
      <c r="E406" s="105"/>
      <c r="F406" s="110" t="b">
        <v>0</v>
      </c>
      <c r="G406" s="105" t="str">
        <f>IF(F406=True, IFERROR(VLOOKUP(D406, Repository!A:B, 2, 0), ""), "")</f>
        <v/>
      </c>
      <c r="H406" s="105"/>
      <c r="I406" s="105"/>
      <c r="J406" s="105" t="str">
        <f>IF(F406=True, IFERROR(VLOOKUP(D406, Repository!A:C, 3, 0), ""), "")</f>
        <v/>
      </c>
      <c r="K406" s="105"/>
      <c r="L406" s="105" t="str">
        <f>IF(F406=True, IFERROR(VLOOKUP(D406, Repository!A:E, 5, 0), ""), "")</f>
        <v/>
      </c>
      <c r="M406" s="105"/>
      <c r="N406" s="105" t="str">
        <f>IF(F406=True, IFERROR(VLOOKUP(D406, Repository!A:G, 7, 0), ""), "")</f>
        <v/>
      </c>
      <c r="O406" s="105" t="str">
        <f>IFERROR(__xludf.DUMMYFUNCTION("ARRAY_CONSTRAIN(
  ARRAYFORMULA(
    IFERROR(
      LET(
        list, N406,
        arr, TRIM(SPLIT(list, "","")),
        names, XLOOKUP(
          arr,
          'Conformance Score'!A:A,
          'Conformance Score'!B:B,
          ""Not found""
      "&amp;"  ),
        TEXTJOIN("", "", TRUE, names)
      ),
      """"
    )
  ),
  1,
  1
)
"),"")</f>
        <v/>
      </c>
      <c r="P406" s="105" t="str">
        <f>IF(F406="Yes", IFERROR(VLOOKUP(D406, Repository!A:F, 6, 0), ""), "")</f>
        <v/>
      </c>
      <c r="Q406" s="105" t="str">
        <f>IF(F406="Yes", IFERROR(VLOOKUP(D406, Repository!A:I, 8, 0), ""), "")</f>
        <v/>
      </c>
      <c r="R406" s="105" t="str">
        <f>IF(F406="Yes", IFERROR(VLOOKUP(D406, Repository!A:J, 9, 0), ""), "")</f>
        <v/>
      </c>
      <c r="S406" s="105"/>
      <c r="T406" s="105"/>
      <c r="U406" s="105"/>
      <c r="V406" s="105"/>
      <c r="W406" s="105"/>
      <c r="X406" s="105"/>
      <c r="Y406" s="105"/>
      <c r="Z406" s="105"/>
      <c r="AA406" s="105"/>
      <c r="AB406" s="105"/>
      <c r="AC406" s="91"/>
      <c r="AD406" s="105"/>
      <c r="AE406" s="105"/>
      <c r="AF406" s="91"/>
      <c r="AG406" s="105"/>
      <c r="AH406" s="105"/>
      <c r="AI406" s="105" t="str">
        <f t="shared" si="1"/>
        <v/>
      </c>
      <c r="AJ406" s="108" t="str">
        <f t="shared" si="2"/>
        <v/>
      </c>
    </row>
    <row r="407" ht="15.75" customHeight="1">
      <c r="A407" s="104"/>
      <c r="B407" s="105" t="str">
        <f>IFERROR(__xludf.DUMMYFUNCTION("ARRAY_CONSTRAIN(
  ARRAYFORMULA(
    IF(
      'Final Report'!A407="""",
      """",
      TEXTJOIN(
        "", "" &amp; CHAR(10),
        TRUE,
        IFERROR(
          VLOOKUP(
            TRIM(
              SPLIT('Final Report'!A407, "","")
           "&amp;" ),
            'URL Details'!A:B,
            2,
            FALSE
          ),
          """"
        )
      )
    )
  ),
  1,
  1
)
"),"")</f>
        <v/>
      </c>
      <c r="C407" s="105" t="str">
        <f>IFERROR(__xludf.DUMMYFUNCTION("IFERROR(IF('Final Report'!A407="""","""", TEXTJOIN(CHAR(10), TRUE, ARRAYFORMULA( ""• ""&amp; FILTER( TRIM(FLATTEN(SPLIT( REGEXREPLACE( SUBSTITUTE(TEXTJOIN("","", TRUE, IFERROR(ARRAYFORMULA(VLOOKUP(TRIM(SPLIT('Final Report'!A407, "","")), 'URL Details'!A:D, 4,"&amp;" FALSE)),"""") ), CHAR(10), "",""), ""\s*,\s*"", "",""), "",""))), TRIM(FLATTEN(SPLIT( REGEXREPLACE( SUBSTITUTE(TEXTJOIN("","", TRUE, IFERROR(ARRAYFORMULA(VLOOKUP(TRIM(SPLIT('Final Report'!A407, "","")), 'URL Details'!A:D, 4, FALSE)),"""") ), CHAR(10), """&amp;",""), ""\s*,\s*"", "",""), "","")))&lt;&gt;"""" ) ) ) ),"""")
"),"")</f>
        <v/>
      </c>
      <c r="D407" s="105"/>
      <c r="E407" s="105"/>
      <c r="F407" s="110" t="b">
        <v>0</v>
      </c>
      <c r="G407" s="105" t="str">
        <f>IF(F407=True, IFERROR(VLOOKUP(D407, Repository!A:B, 2, 0), ""), "")</f>
        <v/>
      </c>
      <c r="H407" s="105"/>
      <c r="I407" s="105"/>
      <c r="J407" s="105" t="str">
        <f>IF(F407=True, IFERROR(VLOOKUP(D407, Repository!A:C, 3, 0), ""), "")</f>
        <v/>
      </c>
      <c r="K407" s="105"/>
      <c r="L407" s="105" t="str">
        <f>IF(F407=True, IFERROR(VLOOKUP(D407, Repository!A:E, 5, 0), ""), "")</f>
        <v/>
      </c>
      <c r="M407" s="105"/>
      <c r="N407" s="105" t="str">
        <f>IF(F407=True, IFERROR(VLOOKUP(D407, Repository!A:G, 7, 0), ""), "")</f>
        <v/>
      </c>
      <c r="O407" s="105" t="str">
        <f>IFERROR(__xludf.DUMMYFUNCTION("ARRAY_CONSTRAIN(
  ARRAYFORMULA(
    IFERROR(
      LET(
        list, N407,
        arr, TRIM(SPLIT(list, "","")),
        names, XLOOKUP(
          arr,
          'Conformance Score'!A:A,
          'Conformance Score'!B:B,
          ""Not found""
      "&amp;"  ),
        TEXTJOIN("", "", TRUE, names)
      ),
      """"
    )
  ),
  1,
  1
)
"),"")</f>
        <v/>
      </c>
      <c r="P407" s="105" t="str">
        <f>IF(F407="Yes", IFERROR(VLOOKUP(D407, Repository!A:F, 6, 0), ""), "")</f>
        <v/>
      </c>
      <c r="Q407" s="105" t="str">
        <f>IF(F407="Yes", IFERROR(VLOOKUP(D407, Repository!A:I, 8, 0), ""), "")</f>
        <v/>
      </c>
      <c r="R407" s="105" t="str">
        <f>IF(F407="Yes", IFERROR(VLOOKUP(D407, Repository!A:J, 9, 0), ""), "")</f>
        <v/>
      </c>
      <c r="S407" s="105"/>
      <c r="T407" s="105"/>
      <c r="U407" s="105"/>
      <c r="V407" s="105"/>
      <c r="W407" s="105"/>
      <c r="X407" s="105"/>
      <c r="Y407" s="105"/>
      <c r="Z407" s="105"/>
      <c r="AA407" s="105"/>
      <c r="AB407" s="105"/>
      <c r="AC407" s="91"/>
      <c r="AD407" s="105"/>
      <c r="AE407" s="105"/>
      <c r="AF407" s="91"/>
      <c r="AG407" s="105"/>
      <c r="AH407" s="105"/>
      <c r="AI407" s="105" t="str">
        <f t="shared" si="1"/>
        <v/>
      </c>
      <c r="AJ407" s="108" t="str">
        <f t="shared" si="2"/>
        <v/>
      </c>
    </row>
    <row r="408" ht="15.75" customHeight="1">
      <c r="A408" s="104"/>
      <c r="B408" s="105" t="str">
        <f>IFERROR(__xludf.DUMMYFUNCTION("ARRAY_CONSTRAIN(
  ARRAYFORMULA(
    IF(
      'Final Report'!A408="""",
      """",
      TEXTJOIN(
        "", "" &amp; CHAR(10),
        TRUE,
        IFERROR(
          VLOOKUP(
            TRIM(
              SPLIT('Final Report'!A408, "","")
           "&amp;" ),
            'URL Details'!A:B,
            2,
            FALSE
          ),
          """"
        )
      )
    )
  ),
  1,
  1
)
"),"")</f>
        <v/>
      </c>
      <c r="C408" s="105" t="str">
        <f>IFERROR(__xludf.DUMMYFUNCTION("IFERROR(IF('Final Report'!A408="""","""", TEXTJOIN(CHAR(10), TRUE, ARRAYFORMULA( ""• ""&amp; FILTER( TRIM(FLATTEN(SPLIT( REGEXREPLACE( SUBSTITUTE(TEXTJOIN("","", TRUE, IFERROR(ARRAYFORMULA(VLOOKUP(TRIM(SPLIT('Final Report'!A408, "","")), 'URL Details'!A:D, 4,"&amp;" FALSE)),"""") ), CHAR(10), "",""), ""\s*,\s*"", "",""), "",""))), TRIM(FLATTEN(SPLIT( REGEXREPLACE( SUBSTITUTE(TEXTJOIN("","", TRUE, IFERROR(ARRAYFORMULA(VLOOKUP(TRIM(SPLIT('Final Report'!A408, "","")), 'URL Details'!A:D, 4, FALSE)),"""") ), CHAR(10), """&amp;",""), ""\s*,\s*"", "",""), "","")))&lt;&gt;"""" ) ) ) ),"""")
"),"")</f>
        <v/>
      </c>
      <c r="D408" s="105"/>
      <c r="E408" s="105"/>
      <c r="F408" s="110" t="b">
        <v>0</v>
      </c>
      <c r="G408" s="105" t="str">
        <f>IF(F408=True, IFERROR(VLOOKUP(D408, Repository!A:B, 2, 0), ""), "")</f>
        <v/>
      </c>
      <c r="H408" s="105"/>
      <c r="I408" s="105"/>
      <c r="J408" s="105" t="str">
        <f>IF(F408=True, IFERROR(VLOOKUP(D408, Repository!A:C, 3, 0), ""), "")</f>
        <v/>
      </c>
      <c r="K408" s="105"/>
      <c r="L408" s="105" t="str">
        <f>IF(F408=True, IFERROR(VLOOKUP(D408, Repository!A:E, 5, 0), ""), "")</f>
        <v/>
      </c>
      <c r="M408" s="105"/>
      <c r="N408" s="105" t="str">
        <f>IF(F408=True, IFERROR(VLOOKUP(D408, Repository!A:G, 7, 0), ""), "")</f>
        <v/>
      </c>
      <c r="O408" s="105" t="str">
        <f>IFERROR(__xludf.DUMMYFUNCTION("ARRAY_CONSTRAIN(
  ARRAYFORMULA(
    IFERROR(
      LET(
        list, N408,
        arr, TRIM(SPLIT(list, "","")),
        names, XLOOKUP(
          arr,
          'Conformance Score'!A:A,
          'Conformance Score'!B:B,
          ""Not found""
      "&amp;"  ),
        TEXTJOIN("", "", TRUE, names)
      ),
      """"
    )
  ),
  1,
  1
)
"),"")</f>
        <v/>
      </c>
      <c r="P408" s="105" t="str">
        <f>IF(F408="Yes", IFERROR(VLOOKUP(D408, Repository!A:F, 6, 0), ""), "")</f>
        <v/>
      </c>
      <c r="Q408" s="105" t="str">
        <f>IF(F408="Yes", IFERROR(VLOOKUP(D408, Repository!A:I, 8, 0), ""), "")</f>
        <v/>
      </c>
      <c r="R408" s="105" t="str">
        <f>IF(F408="Yes", IFERROR(VLOOKUP(D408, Repository!A:J, 9, 0), ""), "")</f>
        <v/>
      </c>
      <c r="S408" s="105"/>
      <c r="T408" s="105"/>
      <c r="U408" s="105"/>
      <c r="V408" s="105"/>
      <c r="W408" s="105"/>
      <c r="X408" s="105"/>
      <c r="Y408" s="105"/>
      <c r="Z408" s="105"/>
      <c r="AA408" s="105"/>
      <c r="AB408" s="105"/>
      <c r="AC408" s="91"/>
      <c r="AD408" s="105"/>
      <c r="AE408" s="105"/>
      <c r="AF408" s="91"/>
      <c r="AG408" s="105"/>
      <c r="AH408" s="105"/>
      <c r="AI408" s="105" t="str">
        <f t="shared" si="1"/>
        <v/>
      </c>
      <c r="AJ408" s="108" t="str">
        <f t="shared" si="2"/>
        <v/>
      </c>
    </row>
    <row r="409" ht="15.75" customHeight="1">
      <c r="A409" s="104"/>
      <c r="B409" s="105" t="str">
        <f>IFERROR(__xludf.DUMMYFUNCTION("ARRAY_CONSTRAIN(
  ARRAYFORMULA(
    IF(
      'Final Report'!A409="""",
      """",
      TEXTJOIN(
        "", "" &amp; CHAR(10),
        TRUE,
        IFERROR(
          VLOOKUP(
            TRIM(
              SPLIT('Final Report'!A409, "","")
           "&amp;" ),
            'URL Details'!A:B,
            2,
            FALSE
          ),
          """"
        )
      )
    )
  ),
  1,
  1
)
"),"")</f>
        <v/>
      </c>
      <c r="C409" s="105" t="str">
        <f>IFERROR(__xludf.DUMMYFUNCTION("IFERROR(IF('Final Report'!A409="""","""", TEXTJOIN(CHAR(10), TRUE, ARRAYFORMULA( ""• ""&amp; FILTER( TRIM(FLATTEN(SPLIT( REGEXREPLACE( SUBSTITUTE(TEXTJOIN("","", TRUE, IFERROR(ARRAYFORMULA(VLOOKUP(TRIM(SPLIT('Final Report'!A409, "","")), 'URL Details'!A:D, 4,"&amp;" FALSE)),"""") ), CHAR(10), "",""), ""\s*,\s*"", "",""), "",""))), TRIM(FLATTEN(SPLIT( REGEXREPLACE( SUBSTITUTE(TEXTJOIN("","", TRUE, IFERROR(ARRAYFORMULA(VLOOKUP(TRIM(SPLIT('Final Report'!A409, "","")), 'URL Details'!A:D, 4, FALSE)),"""") ), CHAR(10), """&amp;",""), ""\s*,\s*"", "",""), "","")))&lt;&gt;"""" ) ) ) ),"""")
"),"")</f>
        <v/>
      </c>
      <c r="D409" s="105"/>
      <c r="E409" s="105"/>
      <c r="F409" s="110" t="b">
        <v>0</v>
      </c>
      <c r="G409" s="105" t="str">
        <f>IF(F409=True, IFERROR(VLOOKUP(D409, Repository!A:B, 2, 0), ""), "")</f>
        <v/>
      </c>
      <c r="H409" s="105"/>
      <c r="I409" s="105"/>
      <c r="J409" s="105" t="str">
        <f>IF(F409=True, IFERROR(VLOOKUP(D409, Repository!A:C, 3, 0), ""), "")</f>
        <v/>
      </c>
      <c r="K409" s="105"/>
      <c r="L409" s="105" t="str">
        <f>IF(F409=True, IFERROR(VLOOKUP(D409, Repository!A:E, 5, 0), ""), "")</f>
        <v/>
      </c>
      <c r="M409" s="105"/>
      <c r="N409" s="105" t="str">
        <f>IF(F409=True, IFERROR(VLOOKUP(D409, Repository!A:G, 7, 0), ""), "")</f>
        <v/>
      </c>
      <c r="O409" s="105" t="str">
        <f>IFERROR(__xludf.DUMMYFUNCTION("ARRAY_CONSTRAIN(
  ARRAYFORMULA(
    IFERROR(
      LET(
        list, N409,
        arr, TRIM(SPLIT(list, "","")),
        names, XLOOKUP(
          arr,
          'Conformance Score'!A:A,
          'Conformance Score'!B:B,
          ""Not found""
      "&amp;"  ),
        TEXTJOIN("", "", TRUE, names)
      ),
      """"
    )
  ),
  1,
  1
)
"),"")</f>
        <v/>
      </c>
      <c r="P409" s="105" t="str">
        <f>IF(F409="Yes", IFERROR(VLOOKUP(D409, Repository!A:F, 6, 0), ""), "")</f>
        <v/>
      </c>
      <c r="Q409" s="105" t="str">
        <f>IF(F409="Yes", IFERROR(VLOOKUP(D409, Repository!A:I, 8, 0), ""), "")</f>
        <v/>
      </c>
      <c r="R409" s="105" t="str">
        <f>IF(F409="Yes", IFERROR(VLOOKUP(D409, Repository!A:J, 9, 0), ""), "")</f>
        <v/>
      </c>
      <c r="S409" s="105"/>
      <c r="T409" s="105"/>
      <c r="U409" s="105"/>
      <c r="V409" s="105"/>
      <c r="W409" s="105"/>
      <c r="X409" s="105"/>
      <c r="Y409" s="105"/>
      <c r="Z409" s="105"/>
      <c r="AA409" s="105"/>
      <c r="AB409" s="105"/>
      <c r="AC409" s="91"/>
      <c r="AD409" s="105"/>
      <c r="AE409" s="105"/>
      <c r="AF409" s="91"/>
      <c r="AG409" s="105"/>
      <c r="AH409" s="105"/>
      <c r="AI409" s="105" t="str">
        <f t="shared" si="1"/>
        <v/>
      </c>
      <c r="AJ409" s="108" t="str">
        <f t="shared" si="2"/>
        <v/>
      </c>
    </row>
    <row r="410" ht="15.75" customHeight="1">
      <c r="A410" s="104"/>
      <c r="B410" s="105" t="str">
        <f>IFERROR(__xludf.DUMMYFUNCTION("ARRAY_CONSTRAIN(
  ARRAYFORMULA(
    IF(
      'Final Report'!A410="""",
      """",
      TEXTJOIN(
        "", "" &amp; CHAR(10),
        TRUE,
        IFERROR(
          VLOOKUP(
            TRIM(
              SPLIT('Final Report'!A410, "","")
           "&amp;" ),
            'URL Details'!A:B,
            2,
            FALSE
          ),
          """"
        )
      )
    )
  ),
  1,
  1
)
"),"")</f>
        <v/>
      </c>
      <c r="C410" s="105" t="str">
        <f>IFERROR(__xludf.DUMMYFUNCTION("IFERROR(IF('Final Report'!A410="""","""", TEXTJOIN(CHAR(10), TRUE, ARRAYFORMULA( ""• ""&amp; FILTER( TRIM(FLATTEN(SPLIT( REGEXREPLACE( SUBSTITUTE(TEXTJOIN("","", TRUE, IFERROR(ARRAYFORMULA(VLOOKUP(TRIM(SPLIT('Final Report'!A410, "","")), 'URL Details'!A:D, 4,"&amp;" FALSE)),"""") ), CHAR(10), "",""), ""\s*,\s*"", "",""), "",""))), TRIM(FLATTEN(SPLIT( REGEXREPLACE( SUBSTITUTE(TEXTJOIN("","", TRUE, IFERROR(ARRAYFORMULA(VLOOKUP(TRIM(SPLIT('Final Report'!A410, "","")), 'URL Details'!A:D, 4, FALSE)),"""") ), CHAR(10), """&amp;",""), ""\s*,\s*"", "",""), "","")))&lt;&gt;"""" ) ) ) ),"""")
"),"")</f>
        <v/>
      </c>
      <c r="D410" s="105"/>
      <c r="E410" s="105"/>
      <c r="F410" s="110" t="b">
        <v>0</v>
      </c>
      <c r="G410" s="105" t="str">
        <f>IF(F410=True, IFERROR(VLOOKUP(D410, Repository!A:B, 2, 0), ""), "")</f>
        <v/>
      </c>
      <c r="H410" s="105"/>
      <c r="I410" s="105"/>
      <c r="J410" s="105" t="str">
        <f>IF(F410=True, IFERROR(VLOOKUP(D410, Repository!A:C, 3, 0), ""), "")</f>
        <v/>
      </c>
      <c r="K410" s="105"/>
      <c r="L410" s="105" t="str">
        <f>IF(F410=True, IFERROR(VLOOKUP(D410, Repository!A:E, 5, 0), ""), "")</f>
        <v/>
      </c>
      <c r="M410" s="105"/>
      <c r="N410" s="105" t="str">
        <f>IF(F410=True, IFERROR(VLOOKUP(D410, Repository!A:G, 7, 0), ""), "")</f>
        <v/>
      </c>
      <c r="O410" s="105" t="str">
        <f>IFERROR(__xludf.DUMMYFUNCTION("ARRAY_CONSTRAIN(
  ARRAYFORMULA(
    IFERROR(
      LET(
        list, N410,
        arr, TRIM(SPLIT(list, "","")),
        names, XLOOKUP(
          arr,
          'Conformance Score'!A:A,
          'Conformance Score'!B:B,
          ""Not found""
      "&amp;"  ),
        TEXTJOIN("", "", TRUE, names)
      ),
      """"
    )
  ),
  1,
  1
)
"),"")</f>
        <v/>
      </c>
      <c r="P410" s="105" t="str">
        <f>IF(F410="Yes", IFERROR(VLOOKUP(D410, Repository!A:F, 6, 0), ""), "")</f>
        <v/>
      </c>
      <c r="Q410" s="105" t="str">
        <f>IF(F410="Yes", IFERROR(VLOOKUP(D410, Repository!A:I, 8, 0), ""), "")</f>
        <v/>
      </c>
      <c r="R410" s="105" t="str">
        <f>IF(F410="Yes", IFERROR(VLOOKUP(D410, Repository!A:J, 9, 0), ""), "")</f>
        <v/>
      </c>
      <c r="S410" s="105"/>
      <c r="T410" s="105"/>
      <c r="U410" s="105"/>
      <c r="V410" s="105"/>
      <c r="W410" s="105"/>
      <c r="X410" s="105"/>
      <c r="Y410" s="105"/>
      <c r="Z410" s="105"/>
      <c r="AA410" s="105"/>
      <c r="AB410" s="105"/>
      <c r="AC410" s="91"/>
      <c r="AD410" s="105"/>
      <c r="AE410" s="105"/>
      <c r="AF410" s="91"/>
      <c r="AG410" s="105"/>
      <c r="AH410" s="105"/>
      <c r="AI410" s="105" t="str">
        <f t="shared" si="1"/>
        <v/>
      </c>
      <c r="AJ410" s="108" t="str">
        <f t="shared" si="2"/>
        <v/>
      </c>
    </row>
    <row r="411" ht="15.75" customHeight="1">
      <c r="A411" s="104"/>
      <c r="B411" s="105" t="str">
        <f>IFERROR(__xludf.DUMMYFUNCTION("ARRAY_CONSTRAIN(
  ARRAYFORMULA(
    IF(
      'Final Report'!A411="""",
      """",
      TEXTJOIN(
        "", "" &amp; CHAR(10),
        TRUE,
        IFERROR(
          VLOOKUP(
            TRIM(
              SPLIT('Final Report'!A411, "","")
           "&amp;" ),
            'URL Details'!A:B,
            2,
            FALSE
          ),
          """"
        )
      )
    )
  ),
  1,
  1
)
"),"")</f>
        <v/>
      </c>
      <c r="C411" s="105" t="str">
        <f>IFERROR(__xludf.DUMMYFUNCTION("IFERROR(IF('Final Report'!A411="""","""", TEXTJOIN(CHAR(10), TRUE, ARRAYFORMULA( ""• ""&amp; FILTER( TRIM(FLATTEN(SPLIT( REGEXREPLACE( SUBSTITUTE(TEXTJOIN("","", TRUE, IFERROR(ARRAYFORMULA(VLOOKUP(TRIM(SPLIT('Final Report'!A411, "","")), 'URL Details'!A:D, 4,"&amp;" FALSE)),"""") ), CHAR(10), "",""), ""\s*,\s*"", "",""), "",""))), TRIM(FLATTEN(SPLIT( REGEXREPLACE( SUBSTITUTE(TEXTJOIN("","", TRUE, IFERROR(ARRAYFORMULA(VLOOKUP(TRIM(SPLIT('Final Report'!A411, "","")), 'URL Details'!A:D, 4, FALSE)),"""") ), CHAR(10), """&amp;",""), ""\s*,\s*"", "",""), "","")))&lt;&gt;"""" ) ) ) ),"""")
"),"")</f>
        <v/>
      </c>
      <c r="D411" s="105"/>
      <c r="E411" s="105"/>
      <c r="F411" s="110" t="b">
        <v>0</v>
      </c>
      <c r="G411" s="105" t="str">
        <f>IF(F411=True, IFERROR(VLOOKUP(D411, Repository!A:B, 2, 0), ""), "")</f>
        <v/>
      </c>
      <c r="H411" s="105"/>
      <c r="I411" s="105"/>
      <c r="J411" s="105" t="str">
        <f>IF(F411=True, IFERROR(VLOOKUP(D411, Repository!A:C, 3, 0), ""), "")</f>
        <v/>
      </c>
      <c r="K411" s="105"/>
      <c r="L411" s="105" t="str">
        <f>IF(F411=True, IFERROR(VLOOKUP(D411, Repository!A:E, 5, 0), ""), "")</f>
        <v/>
      </c>
      <c r="M411" s="105"/>
      <c r="N411" s="105" t="str">
        <f>IF(F411=True, IFERROR(VLOOKUP(D411, Repository!A:G, 7, 0), ""), "")</f>
        <v/>
      </c>
      <c r="O411" s="105" t="str">
        <f>IFERROR(__xludf.DUMMYFUNCTION("ARRAY_CONSTRAIN(
  ARRAYFORMULA(
    IFERROR(
      LET(
        list, N411,
        arr, TRIM(SPLIT(list, "","")),
        names, XLOOKUP(
          arr,
          'Conformance Score'!A:A,
          'Conformance Score'!B:B,
          ""Not found""
      "&amp;"  ),
        TEXTJOIN("", "", TRUE, names)
      ),
      """"
    )
  ),
  1,
  1
)
"),"")</f>
        <v/>
      </c>
      <c r="P411" s="105" t="str">
        <f>IF(F411="Yes", IFERROR(VLOOKUP(D411, Repository!A:F, 6, 0), ""), "")</f>
        <v/>
      </c>
      <c r="Q411" s="105" t="str">
        <f>IF(F411="Yes", IFERROR(VLOOKUP(D411, Repository!A:I, 8, 0), ""), "")</f>
        <v/>
      </c>
      <c r="R411" s="105" t="str">
        <f>IF(F411="Yes", IFERROR(VLOOKUP(D411, Repository!A:J, 9, 0), ""), "")</f>
        <v/>
      </c>
      <c r="S411" s="105"/>
      <c r="T411" s="105"/>
      <c r="U411" s="105"/>
      <c r="V411" s="105"/>
      <c r="W411" s="105"/>
      <c r="X411" s="105"/>
      <c r="Y411" s="105"/>
      <c r="Z411" s="105"/>
      <c r="AA411" s="105"/>
      <c r="AB411" s="105"/>
      <c r="AC411" s="91"/>
      <c r="AD411" s="105"/>
      <c r="AE411" s="105"/>
      <c r="AF411" s="91"/>
      <c r="AG411" s="105"/>
      <c r="AH411" s="105"/>
      <c r="AI411" s="105" t="str">
        <f t="shared" si="1"/>
        <v/>
      </c>
      <c r="AJ411" s="108" t="str">
        <f t="shared" si="2"/>
        <v/>
      </c>
    </row>
    <row r="412" ht="15.75" customHeight="1">
      <c r="A412" s="104"/>
      <c r="B412" s="105" t="str">
        <f>IFERROR(__xludf.DUMMYFUNCTION("ARRAY_CONSTRAIN(
  ARRAYFORMULA(
    IF(
      'Final Report'!A412="""",
      """",
      TEXTJOIN(
        "", "" &amp; CHAR(10),
        TRUE,
        IFERROR(
          VLOOKUP(
            TRIM(
              SPLIT('Final Report'!A412, "","")
           "&amp;" ),
            'URL Details'!A:B,
            2,
            FALSE
          ),
          """"
        )
      )
    )
  ),
  1,
  1
)
"),"")</f>
        <v/>
      </c>
      <c r="C412" s="105" t="str">
        <f>IFERROR(__xludf.DUMMYFUNCTION("IFERROR(IF('Final Report'!A412="""","""", TEXTJOIN(CHAR(10), TRUE, ARRAYFORMULA( ""• ""&amp; FILTER( TRIM(FLATTEN(SPLIT( REGEXREPLACE( SUBSTITUTE(TEXTJOIN("","", TRUE, IFERROR(ARRAYFORMULA(VLOOKUP(TRIM(SPLIT('Final Report'!A412, "","")), 'URL Details'!A:D, 4,"&amp;" FALSE)),"""") ), CHAR(10), "",""), ""\s*,\s*"", "",""), "",""))), TRIM(FLATTEN(SPLIT( REGEXREPLACE( SUBSTITUTE(TEXTJOIN("","", TRUE, IFERROR(ARRAYFORMULA(VLOOKUP(TRIM(SPLIT('Final Report'!A412, "","")), 'URL Details'!A:D, 4, FALSE)),"""") ), CHAR(10), """&amp;",""), ""\s*,\s*"", "",""), "","")))&lt;&gt;"""" ) ) ) ),"""")
"),"")</f>
        <v/>
      </c>
      <c r="D412" s="105"/>
      <c r="E412" s="105"/>
      <c r="F412" s="110" t="b">
        <v>0</v>
      </c>
      <c r="G412" s="105" t="str">
        <f>IF(F412=True, IFERROR(VLOOKUP(D412, Repository!A:B, 2, 0), ""), "")</f>
        <v/>
      </c>
      <c r="H412" s="105"/>
      <c r="I412" s="105"/>
      <c r="J412" s="105" t="str">
        <f>IF(F412=True, IFERROR(VLOOKUP(D412, Repository!A:C, 3, 0), ""), "")</f>
        <v/>
      </c>
      <c r="K412" s="105"/>
      <c r="L412" s="105" t="str">
        <f>IF(F412=True, IFERROR(VLOOKUP(D412, Repository!A:E, 5, 0), ""), "")</f>
        <v/>
      </c>
      <c r="M412" s="105"/>
      <c r="N412" s="105" t="str">
        <f>IF(F412=True, IFERROR(VLOOKUP(D412, Repository!A:G, 7, 0), ""), "")</f>
        <v/>
      </c>
      <c r="O412" s="105" t="str">
        <f>IFERROR(__xludf.DUMMYFUNCTION("ARRAY_CONSTRAIN(
  ARRAYFORMULA(
    IFERROR(
      LET(
        list, N412,
        arr, TRIM(SPLIT(list, "","")),
        names, XLOOKUP(
          arr,
          'Conformance Score'!A:A,
          'Conformance Score'!B:B,
          ""Not found""
      "&amp;"  ),
        TEXTJOIN("", "", TRUE, names)
      ),
      """"
    )
  ),
  1,
  1
)
"),"")</f>
        <v/>
      </c>
      <c r="P412" s="105" t="str">
        <f>IF(F412="Yes", IFERROR(VLOOKUP(D412, Repository!A:F, 6, 0), ""), "")</f>
        <v/>
      </c>
      <c r="Q412" s="105" t="str">
        <f>IF(F412="Yes", IFERROR(VLOOKUP(D412, Repository!A:I, 8, 0), ""), "")</f>
        <v/>
      </c>
      <c r="R412" s="105" t="str">
        <f>IF(F412="Yes", IFERROR(VLOOKUP(D412, Repository!A:J, 9, 0), ""), "")</f>
        <v/>
      </c>
      <c r="S412" s="105"/>
      <c r="T412" s="105"/>
      <c r="U412" s="105"/>
      <c r="V412" s="105"/>
      <c r="W412" s="105"/>
      <c r="X412" s="105"/>
      <c r="Y412" s="105"/>
      <c r="Z412" s="105"/>
      <c r="AA412" s="105"/>
      <c r="AB412" s="105"/>
      <c r="AC412" s="91"/>
      <c r="AD412" s="105"/>
      <c r="AE412" s="105"/>
      <c r="AF412" s="91"/>
      <c r="AG412" s="105"/>
      <c r="AH412" s="105"/>
      <c r="AI412" s="105" t="str">
        <f t="shared" si="1"/>
        <v/>
      </c>
      <c r="AJ412" s="108" t="str">
        <f t="shared" si="2"/>
        <v/>
      </c>
    </row>
    <row r="413" ht="15.75" customHeight="1">
      <c r="A413" s="104"/>
      <c r="B413" s="105" t="str">
        <f>IFERROR(__xludf.DUMMYFUNCTION("ARRAY_CONSTRAIN(
  ARRAYFORMULA(
    IF(
      'Final Report'!A413="""",
      """",
      TEXTJOIN(
        "", "" &amp; CHAR(10),
        TRUE,
        IFERROR(
          VLOOKUP(
            TRIM(
              SPLIT('Final Report'!A413, "","")
           "&amp;" ),
            'URL Details'!A:B,
            2,
            FALSE
          ),
          """"
        )
      )
    )
  ),
  1,
  1
)
"),"")</f>
        <v/>
      </c>
      <c r="C413" s="105" t="str">
        <f>IFERROR(__xludf.DUMMYFUNCTION("IFERROR(IF('Final Report'!A413="""","""", TEXTJOIN(CHAR(10), TRUE, ARRAYFORMULA( ""• ""&amp; FILTER( TRIM(FLATTEN(SPLIT( REGEXREPLACE( SUBSTITUTE(TEXTJOIN("","", TRUE, IFERROR(ARRAYFORMULA(VLOOKUP(TRIM(SPLIT('Final Report'!A413, "","")), 'URL Details'!A:D, 4,"&amp;" FALSE)),"""") ), CHAR(10), "",""), ""\s*,\s*"", "",""), "",""))), TRIM(FLATTEN(SPLIT( REGEXREPLACE( SUBSTITUTE(TEXTJOIN("","", TRUE, IFERROR(ARRAYFORMULA(VLOOKUP(TRIM(SPLIT('Final Report'!A413, "","")), 'URL Details'!A:D, 4, FALSE)),"""") ), CHAR(10), """&amp;",""), ""\s*,\s*"", "",""), "","")))&lt;&gt;"""" ) ) ) ),"""")
"),"")</f>
        <v/>
      </c>
      <c r="D413" s="105"/>
      <c r="E413" s="105"/>
      <c r="F413" s="110" t="b">
        <v>0</v>
      </c>
      <c r="G413" s="105" t="str">
        <f>IF(F413=True, IFERROR(VLOOKUP(D413, Repository!A:B, 2, 0), ""), "")</f>
        <v/>
      </c>
      <c r="H413" s="105"/>
      <c r="I413" s="105"/>
      <c r="J413" s="105" t="str">
        <f>IF(F413=True, IFERROR(VLOOKUP(D413, Repository!A:C, 3, 0), ""), "")</f>
        <v/>
      </c>
      <c r="K413" s="105"/>
      <c r="L413" s="105" t="str">
        <f>IF(F413=True, IFERROR(VLOOKUP(D413, Repository!A:E, 5, 0), ""), "")</f>
        <v/>
      </c>
      <c r="M413" s="105"/>
      <c r="N413" s="105" t="str">
        <f>IF(F413=True, IFERROR(VLOOKUP(D413, Repository!A:G, 7, 0), ""), "")</f>
        <v/>
      </c>
      <c r="O413" s="105" t="str">
        <f>IFERROR(__xludf.DUMMYFUNCTION("ARRAY_CONSTRAIN(
  ARRAYFORMULA(
    IFERROR(
      LET(
        list, N413,
        arr, TRIM(SPLIT(list, "","")),
        names, XLOOKUP(
          arr,
          'Conformance Score'!A:A,
          'Conformance Score'!B:B,
          ""Not found""
      "&amp;"  ),
        TEXTJOIN("", "", TRUE, names)
      ),
      """"
    )
  ),
  1,
  1
)
"),"")</f>
        <v/>
      </c>
      <c r="P413" s="105" t="str">
        <f>IF(F413="Yes", IFERROR(VLOOKUP(D413, Repository!A:F, 6, 0), ""), "")</f>
        <v/>
      </c>
      <c r="Q413" s="105" t="str">
        <f>IF(F413="Yes", IFERROR(VLOOKUP(D413, Repository!A:I, 8, 0), ""), "")</f>
        <v/>
      </c>
      <c r="R413" s="105" t="str">
        <f>IF(F413="Yes", IFERROR(VLOOKUP(D413, Repository!A:J, 9, 0), ""), "")</f>
        <v/>
      </c>
      <c r="S413" s="105"/>
      <c r="T413" s="105"/>
      <c r="U413" s="105"/>
      <c r="V413" s="105"/>
      <c r="W413" s="105"/>
      <c r="X413" s="105"/>
      <c r="Y413" s="105"/>
      <c r="Z413" s="105"/>
      <c r="AA413" s="105"/>
      <c r="AB413" s="105"/>
      <c r="AC413" s="91"/>
      <c r="AD413" s="105"/>
      <c r="AE413" s="105"/>
      <c r="AF413" s="91"/>
      <c r="AG413" s="105"/>
      <c r="AH413" s="105"/>
      <c r="AI413" s="105" t="str">
        <f t="shared" si="1"/>
        <v/>
      </c>
      <c r="AJ413" s="108" t="str">
        <f t="shared" si="2"/>
        <v/>
      </c>
    </row>
    <row r="414" ht="15.75" customHeight="1">
      <c r="A414" s="104"/>
      <c r="B414" s="105" t="str">
        <f>IFERROR(__xludf.DUMMYFUNCTION("ARRAY_CONSTRAIN(
  ARRAYFORMULA(
    IF(
      'Final Report'!A414="""",
      """",
      TEXTJOIN(
        "", "" &amp; CHAR(10),
        TRUE,
        IFERROR(
          VLOOKUP(
            TRIM(
              SPLIT('Final Report'!A414, "","")
           "&amp;" ),
            'URL Details'!A:B,
            2,
            FALSE
          ),
          """"
        )
      )
    )
  ),
  1,
  1
)
"),"")</f>
        <v/>
      </c>
      <c r="C414" s="105" t="str">
        <f>IFERROR(__xludf.DUMMYFUNCTION("IFERROR(IF('Final Report'!A414="""","""", TEXTJOIN(CHAR(10), TRUE, ARRAYFORMULA( ""• ""&amp; FILTER( TRIM(FLATTEN(SPLIT( REGEXREPLACE( SUBSTITUTE(TEXTJOIN("","", TRUE, IFERROR(ARRAYFORMULA(VLOOKUP(TRIM(SPLIT('Final Report'!A414, "","")), 'URL Details'!A:D, 4,"&amp;" FALSE)),"""") ), CHAR(10), "",""), ""\s*,\s*"", "",""), "",""))), TRIM(FLATTEN(SPLIT( REGEXREPLACE( SUBSTITUTE(TEXTJOIN("","", TRUE, IFERROR(ARRAYFORMULA(VLOOKUP(TRIM(SPLIT('Final Report'!A414, "","")), 'URL Details'!A:D, 4, FALSE)),"""") ), CHAR(10), """&amp;",""), ""\s*,\s*"", "",""), "","")))&lt;&gt;"""" ) ) ) ),"""")
"),"")</f>
        <v/>
      </c>
      <c r="D414" s="105"/>
      <c r="E414" s="105"/>
      <c r="F414" s="110" t="b">
        <v>0</v>
      </c>
      <c r="G414" s="105" t="str">
        <f>IF(F414=True, IFERROR(VLOOKUP(D414, Repository!A:B, 2, 0), ""), "")</f>
        <v/>
      </c>
      <c r="H414" s="105"/>
      <c r="I414" s="105"/>
      <c r="J414" s="105" t="str">
        <f>IF(F414=True, IFERROR(VLOOKUP(D414, Repository!A:C, 3, 0), ""), "")</f>
        <v/>
      </c>
      <c r="K414" s="105"/>
      <c r="L414" s="105" t="str">
        <f>IF(F414=True, IFERROR(VLOOKUP(D414, Repository!A:E, 5, 0), ""), "")</f>
        <v/>
      </c>
      <c r="M414" s="105"/>
      <c r="N414" s="105" t="str">
        <f>IF(F414=True, IFERROR(VLOOKUP(D414, Repository!A:G, 7, 0), ""), "")</f>
        <v/>
      </c>
      <c r="O414" s="105" t="str">
        <f>IFERROR(__xludf.DUMMYFUNCTION("ARRAY_CONSTRAIN(
  ARRAYFORMULA(
    IFERROR(
      LET(
        list, N414,
        arr, TRIM(SPLIT(list, "","")),
        names, XLOOKUP(
          arr,
          'Conformance Score'!A:A,
          'Conformance Score'!B:B,
          ""Not found""
      "&amp;"  ),
        TEXTJOIN("", "", TRUE, names)
      ),
      """"
    )
  ),
  1,
  1
)
"),"")</f>
        <v/>
      </c>
      <c r="P414" s="105" t="str">
        <f>IF(F414="Yes", IFERROR(VLOOKUP(D414, Repository!A:F, 6, 0), ""), "")</f>
        <v/>
      </c>
      <c r="Q414" s="105" t="str">
        <f>IF(F414="Yes", IFERROR(VLOOKUP(D414, Repository!A:I, 8, 0), ""), "")</f>
        <v/>
      </c>
      <c r="R414" s="105" t="str">
        <f>IF(F414="Yes", IFERROR(VLOOKUP(D414, Repository!A:J, 9, 0), ""), "")</f>
        <v/>
      </c>
      <c r="S414" s="105"/>
      <c r="T414" s="105"/>
      <c r="U414" s="105"/>
      <c r="V414" s="105"/>
      <c r="W414" s="105"/>
      <c r="X414" s="105"/>
      <c r="Y414" s="105"/>
      <c r="Z414" s="105"/>
      <c r="AA414" s="105"/>
      <c r="AB414" s="105"/>
      <c r="AC414" s="91"/>
      <c r="AD414" s="105"/>
      <c r="AE414" s="105"/>
      <c r="AF414" s="91"/>
      <c r="AG414" s="105"/>
      <c r="AH414" s="105"/>
      <c r="AI414" s="105" t="str">
        <f t="shared" si="1"/>
        <v/>
      </c>
      <c r="AJ414" s="108" t="str">
        <f t="shared" si="2"/>
        <v/>
      </c>
    </row>
    <row r="415" ht="15.75" customHeight="1">
      <c r="A415" s="104"/>
      <c r="B415" s="105" t="str">
        <f>IFERROR(__xludf.DUMMYFUNCTION("ARRAY_CONSTRAIN(
  ARRAYFORMULA(
    IF(
      'Final Report'!A415="""",
      """",
      TEXTJOIN(
        "", "" &amp; CHAR(10),
        TRUE,
        IFERROR(
          VLOOKUP(
            TRIM(
              SPLIT('Final Report'!A415, "","")
           "&amp;" ),
            'URL Details'!A:B,
            2,
            FALSE
          ),
          """"
        )
      )
    )
  ),
  1,
  1
)
"),"")</f>
        <v/>
      </c>
      <c r="C415" s="105" t="str">
        <f>IFERROR(__xludf.DUMMYFUNCTION("IFERROR(IF('Final Report'!A415="""","""", TEXTJOIN(CHAR(10), TRUE, ARRAYFORMULA( ""• ""&amp; FILTER( TRIM(FLATTEN(SPLIT( REGEXREPLACE( SUBSTITUTE(TEXTJOIN("","", TRUE, IFERROR(ARRAYFORMULA(VLOOKUP(TRIM(SPLIT('Final Report'!A415, "","")), 'URL Details'!A:D, 4,"&amp;" FALSE)),"""") ), CHAR(10), "",""), ""\s*,\s*"", "",""), "",""))), TRIM(FLATTEN(SPLIT( REGEXREPLACE( SUBSTITUTE(TEXTJOIN("","", TRUE, IFERROR(ARRAYFORMULA(VLOOKUP(TRIM(SPLIT('Final Report'!A415, "","")), 'URL Details'!A:D, 4, FALSE)),"""") ), CHAR(10), """&amp;",""), ""\s*,\s*"", "",""), "","")))&lt;&gt;"""" ) ) ) ),"""")
"),"")</f>
        <v/>
      </c>
      <c r="D415" s="105"/>
      <c r="E415" s="105"/>
      <c r="F415" s="110" t="b">
        <v>0</v>
      </c>
      <c r="G415" s="105" t="str">
        <f>IF(F415=True, IFERROR(VLOOKUP(D415, Repository!A:B, 2, 0), ""), "")</f>
        <v/>
      </c>
      <c r="H415" s="105"/>
      <c r="I415" s="105"/>
      <c r="J415" s="105" t="str">
        <f>IF(F415=True, IFERROR(VLOOKUP(D415, Repository!A:C, 3, 0), ""), "")</f>
        <v/>
      </c>
      <c r="K415" s="105"/>
      <c r="L415" s="105" t="str">
        <f>IF(F415=True, IFERROR(VLOOKUP(D415, Repository!A:E, 5, 0), ""), "")</f>
        <v/>
      </c>
      <c r="M415" s="105"/>
      <c r="N415" s="105" t="str">
        <f>IF(F415=True, IFERROR(VLOOKUP(D415, Repository!A:G, 7, 0), ""), "")</f>
        <v/>
      </c>
      <c r="O415" s="105" t="str">
        <f>IFERROR(__xludf.DUMMYFUNCTION("ARRAY_CONSTRAIN(
  ARRAYFORMULA(
    IFERROR(
      LET(
        list, N415,
        arr, TRIM(SPLIT(list, "","")),
        names, XLOOKUP(
          arr,
          'Conformance Score'!A:A,
          'Conformance Score'!B:B,
          ""Not found""
      "&amp;"  ),
        TEXTJOIN("", "", TRUE, names)
      ),
      """"
    )
  ),
  1,
  1
)
"),"")</f>
        <v/>
      </c>
      <c r="P415" s="105" t="str">
        <f>IF(F415="Yes", IFERROR(VLOOKUP(D415, Repository!A:F, 6, 0), ""), "")</f>
        <v/>
      </c>
      <c r="Q415" s="105" t="str">
        <f>IF(F415="Yes", IFERROR(VLOOKUP(D415, Repository!A:I, 8, 0), ""), "")</f>
        <v/>
      </c>
      <c r="R415" s="105" t="str">
        <f>IF(F415="Yes", IFERROR(VLOOKUP(D415, Repository!A:J, 9, 0), ""), "")</f>
        <v/>
      </c>
      <c r="S415" s="105"/>
      <c r="T415" s="105"/>
      <c r="U415" s="105"/>
      <c r="V415" s="105"/>
      <c r="W415" s="105"/>
      <c r="X415" s="105"/>
      <c r="Y415" s="105"/>
      <c r="Z415" s="105"/>
      <c r="AA415" s="105"/>
      <c r="AB415" s="105"/>
      <c r="AC415" s="91"/>
      <c r="AD415" s="105"/>
      <c r="AE415" s="105"/>
      <c r="AF415" s="91"/>
      <c r="AG415" s="105"/>
      <c r="AH415" s="105"/>
      <c r="AI415" s="105" t="str">
        <f t="shared" si="1"/>
        <v/>
      </c>
      <c r="AJ415" s="108" t="str">
        <f t="shared" si="2"/>
        <v/>
      </c>
    </row>
    <row r="416" ht="15.75" customHeight="1">
      <c r="A416" s="104"/>
      <c r="B416" s="105" t="str">
        <f>IFERROR(__xludf.DUMMYFUNCTION("ARRAY_CONSTRAIN(
  ARRAYFORMULA(
    IF(
      'Final Report'!A416="""",
      """",
      TEXTJOIN(
        "", "" &amp; CHAR(10),
        TRUE,
        IFERROR(
          VLOOKUP(
            TRIM(
              SPLIT('Final Report'!A416, "","")
           "&amp;" ),
            'URL Details'!A:B,
            2,
            FALSE
          ),
          """"
        )
      )
    )
  ),
  1,
  1
)
"),"")</f>
        <v/>
      </c>
      <c r="C416" s="105" t="str">
        <f>IFERROR(__xludf.DUMMYFUNCTION("IFERROR(IF('Final Report'!A416="""","""", TEXTJOIN(CHAR(10), TRUE, ARRAYFORMULA( ""• ""&amp; FILTER( TRIM(FLATTEN(SPLIT( REGEXREPLACE( SUBSTITUTE(TEXTJOIN("","", TRUE, IFERROR(ARRAYFORMULA(VLOOKUP(TRIM(SPLIT('Final Report'!A416, "","")), 'URL Details'!A:D, 4,"&amp;" FALSE)),"""") ), CHAR(10), "",""), ""\s*,\s*"", "",""), "",""))), TRIM(FLATTEN(SPLIT( REGEXREPLACE( SUBSTITUTE(TEXTJOIN("","", TRUE, IFERROR(ARRAYFORMULA(VLOOKUP(TRIM(SPLIT('Final Report'!A416, "","")), 'URL Details'!A:D, 4, FALSE)),"""") ), CHAR(10), """&amp;",""), ""\s*,\s*"", "",""), "","")))&lt;&gt;"""" ) ) ) ),"""")
"),"")</f>
        <v/>
      </c>
      <c r="D416" s="105"/>
      <c r="E416" s="105"/>
      <c r="F416" s="110" t="b">
        <v>0</v>
      </c>
      <c r="G416" s="105" t="str">
        <f>IF(F416=True, IFERROR(VLOOKUP(D416, Repository!A:B, 2, 0), ""), "")</f>
        <v/>
      </c>
      <c r="H416" s="105"/>
      <c r="I416" s="105"/>
      <c r="J416" s="105" t="str">
        <f>IF(F416=True, IFERROR(VLOOKUP(D416, Repository!A:C, 3, 0), ""), "")</f>
        <v/>
      </c>
      <c r="K416" s="105"/>
      <c r="L416" s="105" t="str">
        <f>IF(F416=True, IFERROR(VLOOKUP(D416, Repository!A:E, 5, 0), ""), "")</f>
        <v/>
      </c>
      <c r="M416" s="105"/>
      <c r="N416" s="105" t="str">
        <f>IF(F416=True, IFERROR(VLOOKUP(D416, Repository!A:G, 7, 0), ""), "")</f>
        <v/>
      </c>
      <c r="O416" s="105" t="str">
        <f>IFERROR(__xludf.DUMMYFUNCTION("ARRAY_CONSTRAIN(
  ARRAYFORMULA(
    IFERROR(
      LET(
        list, N416,
        arr, TRIM(SPLIT(list, "","")),
        names, XLOOKUP(
          arr,
          'Conformance Score'!A:A,
          'Conformance Score'!B:B,
          ""Not found""
      "&amp;"  ),
        TEXTJOIN("", "", TRUE, names)
      ),
      """"
    )
  ),
  1,
  1
)
"),"")</f>
        <v/>
      </c>
      <c r="P416" s="105" t="str">
        <f>IF(F416="Yes", IFERROR(VLOOKUP(D416, Repository!A:F, 6, 0), ""), "")</f>
        <v/>
      </c>
      <c r="Q416" s="105" t="str">
        <f>IF(F416="Yes", IFERROR(VLOOKUP(D416, Repository!A:I, 8, 0), ""), "")</f>
        <v/>
      </c>
      <c r="R416" s="105" t="str">
        <f>IF(F416="Yes", IFERROR(VLOOKUP(D416, Repository!A:J, 9, 0), ""), "")</f>
        <v/>
      </c>
      <c r="S416" s="105"/>
      <c r="T416" s="105"/>
      <c r="U416" s="105"/>
      <c r="V416" s="105"/>
      <c r="W416" s="105"/>
      <c r="X416" s="105"/>
      <c r="Y416" s="105"/>
      <c r="Z416" s="105"/>
      <c r="AA416" s="105"/>
      <c r="AB416" s="105"/>
      <c r="AC416" s="91"/>
      <c r="AD416" s="105"/>
      <c r="AE416" s="105"/>
      <c r="AF416" s="91"/>
      <c r="AG416" s="105"/>
      <c r="AH416" s="105"/>
      <c r="AI416" s="105" t="str">
        <f t="shared" si="1"/>
        <v/>
      </c>
      <c r="AJ416" s="108" t="str">
        <f t="shared" si="2"/>
        <v/>
      </c>
    </row>
    <row r="417" ht="15.75" customHeight="1">
      <c r="A417" s="104"/>
      <c r="B417" s="105" t="str">
        <f>IFERROR(__xludf.DUMMYFUNCTION("ARRAY_CONSTRAIN(
  ARRAYFORMULA(
    IF(
      'Final Report'!A417="""",
      """",
      TEXTJOIN(
        "", "" &amp; CHAR(10),
        TRUE,
        IFERROR(
          VLOOKUP(
            TRIM(
              SPLIT('Final Report'!A417, "","")
           "&amp;" ),
            'URL Details'!A:B,
            2,
            FALSE
          ),
          """"
        )
      )
    )
  ),
  1,
  1
)
"),"")</f>
        <v/>
      </c>
      <c r="C417" s="105" t="str">
        <f>IFERROR(__xludf.DUMMYFUNCTION("IFERROR(IF('Final Report'!A417="""","""", TEXTJOIN(CHAR(10), TRUE, ARRAYFORMULA( ""• ""&amp; FILTER( TRIM(FLATTEN(SPLIT( REGEXREPLACE( SUBSTITUTE(TEXTJOIN("","", TRUE, IFERROR(ARRAYFORMULA(VLOOKUP(TRIM(SPLIT('Final Report'!A417, "","")), 'URL Details'!A:D, 4,"&amp;" FALSE)),"""") ), CHAR(10), "",""), ""\s*,\s*"", "",""), "",""))), TRIM(FLATTEN(SPLIT( REGEXREPLACE( SUBSTITUTE(TEXTJOIN("","", TRUE, IFERROR(ARRAYFORMULA(VLOOKUP(TRIM(SPLIT('Final Report'!A417, "","")), 'URL Details'!A:D, 4, FALSE)),"""") ), CHAR(10), """&amp;",""), ""\s*,\s*"", "",""), "","")))&lt;&gt;"""" ) ) ) ),"""")
"),"")</f>
        <v/>
      </c>
      <c r="D417" s="105"/>
      <c r="E417" s="105"/>
      <c r="F417" s="110" t="b">
        <v>0</v>
      </c>
      <c r="G417" s="105" t="str">
        <f>IF(F417=True, IFERROR(VLOOKUP(D417, Repository!A:B, 2, 0), ""), "")</f>
        <v/>
      </c>
      <c r="H417" s="105"/>
      <c r="I417" s="105"/>
      <c r="J417" s="105" t="str">
        <f>IF(F417=True, IFERROR(VLOOKUP(D417, Repository!A:C, 3, 0), ""), "")</f>
        <v/>
      </c>
      <c r="K417" s="105"/>
      <c r="L417" s="105" t="str">
        <f>IF(F417=True, IFERROR(VLOOKUP(D417, Repository!A:E, 5, 0), ""), "")</f>
        <v/>
      </c>
      <c r="M417" s="105"/>
      <c r="N417" s="105" t="str">
        <f>IF(F417=True, IFERROR(VLOOKUP(D417, Repository!A:G, 7, 0), ""), "")</f>
        <v/>
      </c>
      <c r="O417" s="105" t="str">
        <f>IFERROR(__xludf.DUMMYFUNCTION("ARRAY_CONSTRAIN(
  ARRAYFORMULA(
    IFERROR(
      LET(
        list, N417,
        arr, TRIM(SPLIT(list, "","")),
        names, XLOOKUP(
          arr,
          'Conformance Score'!A:A,
          'Conformance Score'!B:B,
          ""Not found""
      "&amp;"  ),
        TEXTJOIN("", "", TRUE, names)
      ),
      """"
    )
  ),
  1,
  1
)
"),"")</f>
        <v/>
      </c>
      <c r="P417" s="105" t="str">
        <f>IF(F417="Yes", IFERROR(VLOOKUP(D417, Repository!A:F, 6, 0), ""), "")</f>
        <v/>
      </c>
      <c r="Q417" s="105" t="str">
        <f>IF(F417="Yes", IFERROR(VLOOKUP(D417, Repository!A:I, 8, 0), ""), "")</f>
        <v/>
      </c>
      <c r="R417" s="105" t="str">
        <f>IF(F417="Yes", IFERROR(VLOOKUP(D417, Repository!A:J, 9, 0), ""), "")</f>
        <v/>
      </c>
      <c r="S417" s="105"/>
      <c r="T417" s="105"/>
      <c r="U417" s="105"/>
      <c r="V417" s="105"/>
      <c r="W417" s="105"/>
      <c r="X417" s="105"/>
      <c r="Y417" s="105"/>
      <c r="Z417" s="105"/>
      <c r="AA417" s="105"/>
      <c r="AB417" s="105"/>
      <c r="AC417" s="91"/>
      <c r="AD417" s="105"/>
      <c r="AE417" s="105"/>
      <c r="AF417" s="91"/>
      <c r="AG417" s="105"/>
      <c r="AH417" s="105"/>
      <c r="AI417" s="105" t="str">
        <f t="shared" si="1"/>
        <v/>
      </c>
      <c r="AJ417" s="108" t="str">
        <f t="shared" si="2"/>
        <v/>
      </c>
    </row>
    <row r="418" ht="15.75" customHeight="1">
      <c r="A418" s="104"/>
      <c r="B418" s="105" t="str">
        <f>IFERROR(__xludf.DUMMYFUNCTION("ARRAY_CONSTRAIN(
  ARRAYFORMULA(
    IF(
      'Final Report'!A418="""",
      """",
      TEXTJOIN(
        "", "" &amp; CHAR(10),
        TRUE,
        IFERROR(
          VLOOKUP(
            TRIM(
              SPLIT('Final Report'!A418, "","")
           "&amp;" ),
            'URL Details'!A:B,
            2,
            FALSE
          ),
          """"
        )
      )
    )
  ),
  1,
  1
)
"),"")</f>
        <v/>
      </c>
      <c r="C418" s="105" t="str">
        <f>IFERROR(__xludf.DUMMYFUNCTION("IFERROR(IF('Final Report'!A418="""","""", TEXTJOIN(CHAR(10), TRUE, ARRAYFORMULA( ""• ""&amp; FILTER( TRIM(FLATTEN(SPLIT( REGEXREPLACE( SUBSTITUTE(TEXTJOIN("","", TRUE, IFERROR(ARRAYFORMULA(VLOOKUP(TRIM(SPLIT('Final Report'!A418, "","")), 'URL Details'!A:D, 4,"&amp;" FALSE)),"""") ), CHAR(10), "",""), ""\s*,\s*"", "",""), "",""))), TRIM(FLATTEN(SPLIT( REGEXREPLACE( SUBSTITUTE(TEXTJOIN("","", TRUE, IFERROR(ARRAYFORMULA(VLOOKUP(TRIM(SPLIT('Final Report'!A418, "","")), 'URL Details'!A:D, 4, FALSE)),"""") ), CHAR(10), """&amp;",""), ""\s*,\s*"", "",""), "","")))&lt;&gt;"""" ) ) ) ),"""")
"),"")</f>
        <v/>
      </c>
      <c r="D418" s="105"/>
      <c r="E418" s="105"/>
      <c r="F418" s="110" t="b">
        <v>0</v>
      </c>
      <c r="G418" s="105" t="str">
        <f>IF(F418=True, IFERROR(VLOOKUP(D418, Repository!A:B, 2, 0), ""), "")</f>
        <v/>
      </c>
      <c r="H418" s="105"/>
      <c r="I418" s="105"/>
      <c r="J418" s="105" t="str">
        <f>IF(F418=True, IFERROR(VLOOKUP(D418, Repository!A:C, 3, 0), ""), "")</f>
        <v/>
      </c>
      <c r="K418" s="105"/>
      <c r="L418" s="105" t="str">
        <f>IF(F418=True, IFERROR(VLOOKUP(D418, Repository!A:E, 5, 0), ""), "")</f>
        <v/>
      </c>
      <c r="M418" s="105"/>
      <c r="N418" s="105" t="str">
        <f>IF(F418=True, IFERROR(VLOOKUP(D418, Repository!A:G, 7, 0), ""), "")</f>
        <v/>
      </c>
      <c r="O418" s="105" t="str">
        <f>IFERROR(__xludf.DUMMYFUNCTION("ARRAY_CONSTRAIN(
  ARRAYFORMULA(
    IFERROR(
      LET(
        list, N418,
        arr, TRIM(SPLIT(list, "","")),
        names, XLOOKUP(
          arr,
          'Conformance Score'!A:A,
          'Conformance Score'!B:B,
          ""Not found""
      "&amp;"  ),
        TEXTJOIN("", "", TRUE, names)
      ),
      """"
    )
  ),
  1,
  1
)
"),"")</f>
        <v/>
      </c>
      <c r="P418" s="105" t="str">
        <f>IF(F418="Yes", IFERROR(VLOOKUP(D418, Repository!A:F, 6, 0), ""), "")</f>
        <v/>
      </c>
      <c r="Q418" s="105" t="str">
        <f>IF(F418="Yes", IFERROR(VLOOKUP(D418, Repository!A:I, 8, 0), ""), "")</f>
        <v/>
      </c>
      <c r="R418" s="105" t="str">
        <f>IF(F418="Yes", IFERROR(VLOOKUP(D418, Repository!A:J, 9, 0), ""), "")</f>
        <v/>
      </c>
      <c r="S418" s="105"/>
      <c r="T418" s="105"/>
      <c r="U418" s="105"/>
      <c r="V418" s="105"/>
      <c r="W418" s="105"/>
      <c r="X418" s="105"/>
      <c r="Y418" s="105"/>
      <c r="Z418" s="105"/>
      <c r="AA418" s="105"/>
      <c r="AB418" s="105"/>
      <c r="AC418" s="91"/>
      <c r="AD418" s="105"/>
      <c r="AE418" s="105"/>
      <c r="AF418" s="91"/>
      <c r="AG418" s="105"/>
      <c r="AH418" s="105"/>
      <c r="AI418" s="105" t="str">
        <f t="shared" si="1"/>
        <v/>
      </c>
      <c r="AJ418" s="108" t="str">
        <f t="shared" si="2"/>
        <v/>
      </c>
    </row>
    <row r="419" ht="15.75" customHeight="1">
      <c r="A419" s="104"/>
      <c r="B419" s="105" t="str">
        <f>IFERROR(__xludf.DUMMYFUNCTION("ARRAY_CONSTRAIN(
  ARRAYFORMULA(
    IF(
      'Final Report'!A419="""",
      """",
      TEXTJOIN(
        "", "" &amp; CHAR(10),
        TRUE,
        IFERROR(
          VLOOKUP(
            TRIM(
              SPLIT('Final Report'!A419, "","")
           "&amp;" ),
            'URL Details'!A:B,
            2,
            FALSE
          ),
          """"
        )
      )
    )
  ),
  1,
  1
)
"),"")</f>
        <v/>
      </c>
      <c r="C419" s="105" t="str">
        <f>IFERROR(__xludf.DUMMYFUNCTION("IFERROR(IF('Final Report'!A419="""","""", TEXTJOIN(CHAR(10), TRUE, ARRAYFORMULA( ""• ""&amp; FILTER( TRIM(FLATTEN(SPLIT( REGEXREPLACE( SUBSTITUTE(TEXTJOIN("","", TRUE, IFERROR(ARRAYFORMULA(VLOOKUP(TRIM(SPLIT('Final Report'!A419, "","")), 'URL Details'!A:D, 4,"&amp;" FALSE)),"""") ), CHAR(10), "",""), ""\s*,\s*"", "",""), "",""))), TRIM(FLATTEN(SPLIT( REGEXREPLACE( SUBSTITUTE(TEXTJOIN("","", TRUE, IFERROR(ARRAYFORMULA(VLOOKUP(TRIM(SPLIT('Final Report'!A419, "","")), 'URL Details'!A:D, 4, FALSE)),"""") ), CHAR(10), """&amp;",""), ""\s*,\s*"", "",""), "","")))&lt;&gt;"""" ) ) ) ),"""")
"),"")</f>
        <v/>
      </c>
      <c r="D419" s="105"/>
      <c r="E419" s="105"/>
      <c r="F419" s="110" t="b">
        <v>0</v>
      </c>
      <c r="G419" s="105" t="str">
        <f>IF(F419=True, IFERROR(VLOOKUP(D419, Repository!A:B, 2, 0), ""), "")</f>
        <v/>
      </c>
      <c r="H419" s="105"/>
      <c r="I419" s="105"/>
      <c r="J419" s="105" t="str">
        <f>IF(F419=True, IFERROR(VLOOKUP(D419, Repository!A:C, 3, 0), ""), "")</f>
        <v/>
      </c>
      <c r="K419" s="105"/>
      <c r="L419" s="105" t="str">
        <f>IF(F419=True, IFERROR(VLOOKUP(D419, Repository!A:E, 5, 0), ""), "")</f>
        <v/>
      </c>
      <c r="M419" s="105"/>
      <c r="N419" s="105" t="str">
        <f>IF(F419=True, IFERROR(VLOOKUP(D419, Repository!A:G, 7, 0), ""), "")</f>
        <v/>
      </c>
      <c r="O419" s="105" t="str">
        <f>IFERROR(__xludf.DUMMYFUNCTION("ARRAY_CONSTRAIN(
  ARRAYFORMULA(
    IFERROR(
      LET(
        list, N419,
        arr, TRIM(SPLIT(list, "","")),
        names, XLOOKUP(
          arr,
          'Conformance Score'!A:A,
          'Conformance Score'!B:B,
          ""Not found""
      "&amp;"  ),
        TEXTJOIN("", "", TRUE, names)
      ),
      """"
    )
  ),
  1,
  1
)
"),"")</f>
        <v/>
      </c>
      <c r="P419" s="105" t="str">
        <f>IF(F419="Yes", IFERROR(VLOOKUP(D419, Repository!A:F, 6, 0), ""), "")</f>
        <v/>
      </c>
      <c r="Q419" s="105" t="str">
        <f>IF(F419="Yes", IFERROR(VLOOKUP(D419, Repository!A:I, 8, 0), ""), "")</f>
        <v/>
      </c>
      <c r="R419" s="105" t="str">
        <f>IF(F419="Yes", IFERROR(VLOOKUP(D419, Repository!A:J, 9, 0), ""), "")</f>
        <v/>
      </c>
      <c r="S419" s="105"/>
      <c r="T419" s="105"/>
      <c r="U419" s="105"/>
      <c r="V419" s="105"/>
      <c r="W419" s="105"/>
      <c r="X419" s="105"/>
      <c r="Y419" s="105"/>
      <c r="Z419" s="105"/>
      <c r="AA419" s="105"/>
      <c r="AB419" s="105"/>
      <c r="AC419" s="91"/>
      <c r="AD419" s="105"/>
      <c r="AE419" s="105"/>
      <c r="AF419" s="91"/>
      <c r="AG419" s="105"/>
      <c r="AH419" s="105"/>
      <c r="AI419" s="105" t="str">
        <f t="shared" si="1"/>
        <v/>
      </c>
      <c r="AJ419" s="108" t="str">
        <f t="shared" si="2"/>
        <v/>
      </c>
    </row>
    <row r="420" ht="15.75" customHeight="1">
      <c r="A420" s="104"/>
      <c r="B420" s="105" t="str">
        <f>IFERROR(__xludf.DUMMYFUNCTION("ARRAY_CONSTRAIN(
  ARRAYFORMULA(
    IF(
      'Final Report'!A420="""",
      """",
      TEXTJOIN(
        "", "" &amp; CHAR(10),
        TRUE,
        IFERROR(
          VLOOKUP(
            TRIM(
              SPLIT('Final Report'!A420, "","")
           "&amp;" ),
            'URL Details'!A:B,
            2,
            FALSE
          ),
          """"
        )
      )
    )
  ),
  1,
  1
)
"),"")</f>
        <v/>
      </c>
      <c r="C420" s="105" t="str">
        <f>IFERROR(__xludf.DUMMYFUNCTION("IFERROR(IF('Final Report'!A420="""","""", TEXTJOIN(CHAR(10), TRUE, ARRAYFORMULA( ""• ""&amp; FILTER( TRIM(FLATTEN(SPLIT( REGEXREPLACE( SUBSTITUTE(TEXTJOIN("","", TRUE, IFERROR(ARRAYFORMULA(VLOOKUP(TRIM(SPLIT('Final Report'!A420, "","")), 'URL Details'!A:D, 4,"&amp;" FALSE)),"""") ), CHAR(10), "",""), ""\s*,\s*"", "",""), "",""))), TRIM(FLATTEN(SPLIT( REGEXREPLACE( SUBSTITUTE(TEXTJOIN("","", TRUE, IFERROR(ARRAYFORMULA(VLOOKUP(TRIM(SPLIT('Final Report'!A420, "","")), 'URL Details'!A:D, 4, FALSE)),"""") ), CHAR(10), """&amp;",""), ""\s*,\s*"", "",""), "","")))&lt;&gt;"""" ) ) ) ),"""")
"),"")</f>
        <v/>
      </c>
      <c r="D420" s="105"/>
      <c r="E420" s="105"/>
      <c r="F420" s="110" t="b">
        <v>0</v>
      </c>
      <c r="G420" s="105" t="str">
        <f>IF(F420=True, IFERROR(VLOOKUP(D420, Repository!A:B, 2, 0), ""), "")</f>
        <v/>
      </c>
      <c r="H420" s="105"/>
      <c r="I420" s="105"/>
      <c r="J420" s="105" t="str">
        <f>IF(F420=True, IFERROR(VLOOKUP(D420, Repository!A:C, 3, 0), ""), "")</f>
        <v/>
      </c>
      <c r="K420" s="105"/>
      <c r="L420" s="105" t="str">
        <f>IF(F420=True, IFERROR(VLOOKUP(D420, Repository!A:E, 5, 0), ""), "")</f>
        <v/>
      </c>
      <c r="M420" s="105"/>
      <c r="N420" s="105" t="str">
        <f>IF(F420=True, IFERROR(VLOOKUP(D420, Repository!A:G, 7, 0), ""), "")</f>
        <v/>
      </c>
      <c r="O420" s="105" t="str">
        <f>IFERROR(__xludf.DUMMYFUNCTION("ARRAY_CONSTRAIN(
  ARRAYFORMULA(
    IFERROR(
      LET(
        list, N420,
        arr, TRIM(SPLIT(list, "","")),
        names, XLOOKUP(
          arr,
          'Conformance Score'!A:A,
          'Conformance Score'!B:B,
          ""Not found""
      "&amp;"  ),
        TEXTJOIN("", "", TRUE, names)
      ),
      """"
    )
  ),
  1,
  1
)
"),"")</f>
        <v/>
      </c>
      <c r="P420" s="105" t="str">
        <f>IF(F420="Yes", IFERROR(VLOOKUP(D420, Repository!A:F, 6, 0), ""), "")</f>
        <v/>
      </c>
      <c r="Q420" s="105" t="str">
        <f>IF(F420="Yes", IFERROR(VLOOKUP(D420, Repository!A:I, 8, 0), ""), "")</f>
        <v/>
      </c>
      <c r="R420" s="105" t="str">
        <f>IF(F420="Yes", IFERROR(VLOOKUP(D420, Repository!A:J, 9, 0), ""), "")</f>
        <v/>
      </c>
      <c r="S420" s="105"/>
      <c r="T420" s="105"/>
      <c r="U420" s="105"/>
      <c r="V420" s="105"/>
      <c r="W420" s="105"/>
      <c r="X420" s="105"/>
      <c r="Y420" s="105"/>
      <c r="Z420" s="105"/>
      <c r="AA420" s="105"/>
      <c r="AB420" s="105"/>
      <c r="AC420" s="91"/>
      <c r="AD420" s="105"/>
      <c r="AE420" s="105"/>
      <c r="AF420" s="91"/>
      <c r="AG420" s="105"/>
      <c r="AH420" s="105"/>
      <c r="AI420" s="105" t="str">
        <f t="shared" si="1"/>
        <v/>
      </c>
      <c r="AJ420" s="108" t="str">
        <f t="shared" si="2"/>
        <v/>
      </c>
    </row>
    <row r="421" ht="15.75" customHeight="1">
      <c r="A421" s="104"/>
      <c r="B421" s="105" t="str">
        <f>IFERROR(__xludf.DUMMYFUNCTION("ARRAY_CONSTRAIN(
  ARRAYFORMULA(
    IF(
      'Final Report'!A421="""",
      """",
      TEXTJOIN(
        "", "" &amp; CHAR(10),
        TRUE,
        IFERROR(
          VLOOKUP(
            TRIM(
              SPLIT('Final Report'!A421, "","")
           "&amp;" ),
            'URL Details'!A:B,
            2,
            FALSE
          ),
          """"
        )
      )
    )
  ),
  1,
  1
)
"),"")</f>
        <v/>
      </c>
      <c r="C421" s="105" t="str">
        <f>IFERROR(__xludf.DUMMYFUNCTION("IFERROR(IF('Final Report'!A421="""","""", TEXTJOIN(CHAR(10), TRUE, ARRAYFORMULA( ""• ""&amp; FILTER( TRIM(FLATTEN(SPLIT( REGEXREPLACE( SUBSTITUTE(TEXTJOIN("","", TRUE, IFERROR(ARRAYFORMULA(VLOOKUP(TRIM(SPLIT('Final Report'!A421, "","")), 'URL Details'!A:D, 4,"&amp;" FALSE)),"""") ), CHAR(10), "",""), ""\s*,\s*"", "",""), "",""))), TRIM(FLATTEN(SPLIT( REGEXREPLACE( SUBSTITUTE(TEXTJOIN("","", TRUE, IFERROR(ARRAYFORMULA(VLOOKUP(TRIM(SPLIT('Final Report'!A421, "","")), 'URL Details'!A:D, 4, FALSE)),"""") ), CHAR(10), """&amp;",""), ""\s*,\s*"", "",""), "","")))&lt;&gt;"""" ) ) ) ),"""")
"),"")</f>
        <v/>
      </c>
      <c r="D421" s="105"/>
      <c r="E421" s="105"/>
      <c r="F421" s="110" t="b">
        <v>0</v>
      </c>
      <c r="G421" s="105" t="str">
        <f>IF(F421=True, IFERROR(VLOOKUP(D421, Repository!A:B, 2, 0), ""), "")</f>
        <v/>
      </c>
      <c r="H421" s="105"/>
      <c r="I421" s="105"/>
      <c r="J421" s="105" t="str">
        <f>IF(F421=True, IFERROR(VLOOKUP(D421, Repository!A:C, 3, 0), ""), "")</f>
        <v/>
      </c>
      <c r="K421" s="105"/>
      <c r="L421" s="105" t="str">
        <f>IF(F421=True, IFERROR(VLOOKUP(D421, Repository!A:E, 5, 0), ""), "")</f>
        <v/>
      </c>
      <c r="M421" s="105"/>
      <c r="N421" s="105" t="str">
        <f>IF(F421=True, IFERROR(VLOOKUP(D421, Repository!A:G, 7, 0), ""), "")</f>
        <v/>
      </c>
      <c r="O421" s="105" t="str">
        <f>IFERROR(__xludf.DUMMYFUNCTION("ARRAY_CONSTRAIN(
  ARRAYFORMULA(
    IFERROR(
      LET(
        list, N421,
        arr, TRIM(SPLIT(list, "","")),
        names, XLOOKUP(
          arr,
          'Conformance Score'!A:A,
          'Conformance Score'!B:B,
          ""Not found""
      "&amp;"  ),
        TEXTJOIN("", "", TRUE, names)
      ),
      """"
    )
  ),
  1,
  1
)
"),"")</f>
        <v/>
      </c>
      <c r="P421" s="105" t="str">
        <f>IF(F421="Yes", IFERROR(VLOOKUP(D421, Repository!A:F, 6, 0), ""), "")</f>
        <v/>
      </c>
      <c r="Q421" s="105" t="str">
        <f>IF(F421="Yes", IFERROR(VLOOKUP(D421, Repository!A:I, 8, 0), ""), "")</f>
        <v/>
      </c>
      <c r="R421" s="105" t="str">
        <f>IF(F421="Yes", IFERROR(VLOOKUP(D421, Repository!A:J, 9, 0), ""), "")</f>
        <v/>
      </c>
      <c r="S421" s="105"/>
      <c r="T421" s="105"/>
      <c r="U421" s="105"/>
      <c r="V421" s="105"/>
      <c r="W421" s="105"/>
      <c r="X421" s="105"/>
      <c r="Y421" s="105"/>
      <c r="Z421" s="105"/>
      <c r="AA421" s="105"/>
      <c r="AB421" s="105"/>
      <c r="AC421" s="91"/>
      <c r="AD421" s="105"/>
      <c r="AE421" s="105"/>
      <c r="AF421" s="91"/>
      <c r="AG421" s="105"/>
      <c r="AH421" s="105"/>
      <c r="AI421" s="105" t="str">
        <f t="shared" si="1"/>
        <v/>
      </c>
      <c r="AJ421" s="108" t="str">
        <f t="shared" si="2"/>
        <v/>
      </c>
    </row>
    <row r="422" ht="15.75" customHeight="1">
      <c r="A422" s="104"/>
      <c r="B422" s="105" t="str">
        <f>IFERROR(__xludf.DUMMYFUNCTION("ARRAY_CONSTRAIN(
  ARRAYFORMULA(
    IF(
      'Final Report'!A422="""",
      """",
      TEXTJOIN(
        "", "" &amp; CHAR(10),
        TRUE,
        IFERROR(
          VLOOKUP(
            TRIM(
              SPLIT('Final Report'!A422, "","")
           "&amp;" ),
            'URL Details'!A:B,
            2,
            FALSE
          ),
          """"
        )
      )
    )
  ),
  1,
  1
)
"),"")</f>
        <v/>
      </c>
      <c r="C422" s="105" t="str">
        <f>IFERROR(__xludf.DUMMYFUNCTION("IFERROR(IF('Final Report'!A422="""","""", TEXTJOIN(CHAR(10), TRUE, ARRAYFORMULA( ""• ""&amp; FILTER( TRIM(FLATTEN(SPLIT( REGEXREPLACE( SUBSTITUTE(TEXTJOIN("","", TRUE, IFERROR(ARRAYFORMULA(VLOOKUP(TRIM(SPLIT('Final Report'!A422, "","")), 'URL Details'!A:D, 4,"&amp;" FALSE)),"""") ), CHAR(10), "",""), ""\s*,\s*"", "",""), "",""))), TRIM(FLATTEN(SPLIT( REGEXREPLACE( SUBSTITUTE(TEXTJOIN("","", TRUE, IFERROR(ARRAYFORMULA(VLOOKUP(TRIM(SPLIT('Final Report'!A422, "","")), 'URL Details'!A:D, 4, FALSE)),"""") ), CHAR(10), """&amp;",""), ""\s*,\s*"", "",""), "","")))&lt;&gt;"""" ) ) ) ),"""")
"),"")</f>
        <v/>
      </c>
      <c r="D422" s="105"/>
      <c r="E422" s="105"/>
      <c r="F422" s="110" t="b">
        <v>0</v>
      </c>
      <c r="G422" s="105" t="str">
        <f>IF(F422=True, IFERROR(VLOOKUP(D422, Repository!A:B, 2, 0), ""), "")</f>
        <v/>
      </c>
      <c r="H422" s="105"/>
      <c r="I422" s="105"/>
      <c r="J422" s="105" t="str">
        <f>IF(F422=True, IFERROR(VLOOKUP(D422, Repository!A:C, 3, 0), ""), "")</f>
        <v/>
      </c>
      <c r="K422" s="105"/>
      <c r="L422" s="105" t="str">
        <f>IF(F422=True, IFERROR(VLOOKUP(D422, Repository!A:E, 5, 0), ""), "")</f>
        <v/>
      </c>
      <c r="M422" s="105"/>
      <c r="N422" s="105" t="str">
        <f>IF(F422=True, IFERROR(VLOOKUP(D422, Repository!A:G, 7, 0), ""), "")</f>
        <v/>
      </c>
      <c r="O422" s="105" t="str">
        <f>IFERROR(__xludf.DUMMYFUNCTION("ARRAY_CONSTRAIN(
  ARRAYFORMULA(
    IFERROR(
      LET(
        list, N422,
        arr, TRIM(SPLIT(list, "","")),
        names, XLOOKUP(
          arr,
          'Conformance Score'!A:A,
          'Conformance Score'!B:B,
          ""Not found""
      "&amp;"  ),
        TEXTJOIN("", "", TRUE, names)
      ),
      """"
    )
  ),
  1,
  1
)
"),"")</f>
        <v/>
      </c>
      <c r="P422" s="105" t="str">
        <f>IF(F422="Yes", IFERROR(VLOOKUP(D422, Repository!A:F, 6, 0), ""), "")</f>
        <v/>
      </c>
      <c r="Q422" s="105" t="str">
        <f>IF(F422="Yes", IFERROR(VLOOKUP(D422, Repository!A:I, 8, 0), ""), "")</f>
        <v/>
      </c>
      <c r="R422" s="105" t="str">
        <f>IF(F422="Yes", IFERROR(VLOOKUP(D422, Repository!A:J, 9, 0), ""), "")</f>
        <v/>
      </c>
      <c r="S422" s="105"/>
      <c r="T422" s="105"/>
      <c r="U422" s="105"/>
      <c r="V422" s="105"/>
      <c r="W422" s="105"/>
      <c r="X422" s="105"/>
      <c r="Y422" s="105"/>
      <c r="Z422" s="105"/>
      <c r="AA422" s="105"/>
      <c r="AB422" s="105"/>
      <c r="AC422" s="91"/>
      <c r="AD422" s="105"/>
      <c r="AE422" s="105"/>
      <c r="AF422" s="91"/>
      <c r="AG422" s="105"/>
      <c r="AH422" s="105"/>
      <c r="AI422" s="105" t="str">
        <f t="shared" si="1"/>
        <v/>
      </c>
      <c r="AJ422" s="108" t="str">
        <f t="shared" si="2"/>
        <v/>
      </c>
    </row>
    <row r="423" ht="15.75" customHeight="1">
      <c r="A423" s="104"/>
      <c r="B423" s="105" t="str">
        <f>IFERROR(__xludf.DUMMYFUNCTION("ARRAY_CONSTRAIN(
  ARRAYFORMULA(
    IF(
      'Final Report'!A423="""",
      """",
      TEXTJOIN(
        "", "" &amp; CHAR(10),
        TRUE,
        IFERROR(
          VLOOKUP(
            TRIM(
              SPLIT('Final Report'!A423, "","")
           "&amp;" ),
            'URL Details'!A:B,
            2,
            FALSE
          ),
          """"
        )
      )
    )
  ),
  1,
  1
)
"),"")</f>
        <v/>
      </c>
      <c r="C423" s="105" t="str">
        <f>IFERROR(__xludf.DUMMYFUNCTION("IFERROR(IF('Final Report'!A423="""","""", TEXTJOIN(CHAR(10), TRUE, ARRAYFORMULA( ""• ""&amp; FILTER( TRIM(FLATTEN(SPLIT( REGEXREPLACE( SUBSTITUTE(TEXTJOIN("","", TRUE, IFERROR(ARRAYFORMULA(VLOOKUP(TRIM(SPLIT('Final Report'!A423, "","")), 'URL Details'!A:D, 4,"&amp;" FALSE)),"""") ), CHAR(10), "",""), ""\s*,\s*"", "",""), "",""))), TRIM(FLATTEN(SPLIT( REGEXREPLACE( SUBSTITUTE(TEXTJOIN("","", TRUE, IFERROR(ARRAYFORMULA(VLOOKUP(TRIM(SPLIT('Final Report'!A423, "","")), 'URL Details'!A:D, 4, FALSE)),"""") ), CHAR(10), """&amp;",""), ""\s*,\s*"", "",""), "","")))&lt;&gt;"""" ) ) ) ),"""")
"),"")</f>
        <v/>
      </c>
      <c r="D423" s="105"/>
      <c r="E423" s="105"/>
      <c r="F423" s="110" t="b">
        <v>0</v>
      </c>
      <c r="G423" s="105" t="str">
        <f>IF(F423=True, IFERROR(VLOOKUP(D423, Repository!A:B, 2, 0), ""), "")</f>
        <v/>
      </c>
      <c r="H423" s="105"/>
      <c r="I423" s="105"/>
      <c r="J423" s="105" t="str">
        <f>IF(F423=True, IFERROR(VLOOKUP(D423, Repository!A:C, 3, 0), ""), "")</f>
        <v/>
      </c>
      <c r="K423" s="105"/>
      <c r="L423" s="105" t="str">
        <f>IF(F423=True, IFERROR(VLOOKUP(D423, Repository!A:E, 5, 0), ""), "")</f>
        <v/>
      </c>
      <c r="M423" s="105"/>
      <c r="N423" s="105" t="str">
        <f>IF(F423=True, IFERROR(VLOOKUP(D423, Repository!A:G, 7, 0), ""), "")</f>
        <v/>
      </c>
      <c r="O423" s="105" t="str">
        <f>IFERROR(__xludf.DUMMYFUNCTION("ARRAY_CONSTRAIN(
  ARRAYFORMULA(
    IFERROR(
      LET(
        list, N423,
        arr, TRIM(SPLIT(list, "","")),
        names, XLOOKUP(
          arr,
          'Conformance Score'!A:A,
          'Conformance Score'!B:B,
          ""Not found""
      "&amp;"  ),
        TEXTJOIN("", "", TRUE, names)
      ),
      """"
    )
  ),
  1,
  1
)
"),"")</f>
        <v/>
      </c>
      <c r="P423" s="105" t="str">
        <f>IF(F423="Yes", IFERROR(VLOOKUP(D423, Repository!A:F, 6, 0), ""), "")</f>
        <v/>
      </c>
      <c r="Q423" s="105" t="str">
        <f>IF(F423="Yes", IFERROR(VLOOKUP(D423, Repository!A:I, 8, 0), ""), "")</f>
        <v/>
      </c>
      <c r="R423" s="105" t="str">
        <f>IF(F423="Yes", IFERROR(VLOOKUP(D423, Repository!A:J, 9, 0), ""), "")</f>
        <v/>
      </c>
      <c r="S423" s="105"/>
      <c r="T423" s="105"/>
      <c r="U423" s="105"/>
      <c r="V423" s="105"/>
      <c r="W423" s="105"/>
      <c r="X423" s="105"/>
      <c r="Y423" s="105"/>
      <c r="Z423" s="105"/>
      <c r="AA423" s="105"/>
      <c r="AB423" s="105"/>
      <c r="AC423" s="91"/>
      <c r="AD423" s="105"/>
      <c r="AE423" s="105"/>
      <c r="AF423" s="91"/>
      <c r="AG423" s="105"/>
      <c r="AH423" s="105"/>
      <c r="AI423" s="105" t="str">
        <f t="shared" si="1"/>
        <v/>
      </c>
      <c r="AJ423" s="108" t="str">
        <f t="shared" si="2"/>
        <v/>
      </c>
    </row>
    <row r="424" ht="15.75" customHeight="1">
      <c r="A424" s="104"/>
      <c r="B424" s="105" t="str">
        <f>IFERROR(__xludf.DUMMYFUNCTION("ARRAY_CONSTRAIN(
  ARRAYFORMULA(
    IF(
      'Final Report'!A424="""",
      """",
      TEXTJOIN(
        "", "" &amp; CHAR(10),
        TRUE,
        IFERROR(
          VLOOKUP(
            TRIM(
              SPLIT('Final Report'!A424, "","")
           "&amp;" ),
            'URL Details'!A:B,
            2,
            FALSE
          ),
          """"
        )
      )
    )
  ),
  1,
  1
)
"),"")</f>
        <v/>
      </c>
      <c r="C424" s="105" t="str">
        <f>IFERROR(__xludf.DUMMYFUNCTION("IFERROR(IF('Final Report'!A424="""","""", TEXTJOIN(CHAR(10), TRUE, ARRAYFORMULA( ""• ""&amp; FILTER( TRIM(FLATTEN(SPLIT( REGEXREPLACE( SUBSTITUTE(TEXTJOIN("","", TRUE, IFERROR(ARRAYFORMULA(VLOOKUP(TRIM(SPLIT('Final Report'!A424, "","")), 'URL Details'!A:D, 4,"&amp;" FALSE)),"""") ), CHAR(10), "",""), ""\s*,\s*"", "",""), "",""))), TRIM(FLATTEN(SPLIT( REGEXREPLACE( SUBSTITUTE(TEXTJOIN("","", TRUE, IFERROR(ARRAYFORMULA(VLOOKUP(TRIM(SPLIT('Final Report'!A424, "","")), 'URL Details'!A:D, 4, FALSE)),"""") ), CHAR(10), """&amp;",""), ""\s*,\s*"", "",""), "","")))&lt;&gt;"""" ) ) ) ),"""")
"),"")</f>
        <v/>
      </c>
      <c r="D424" s="105"/>
      <c r="E424" s="105"/>
      <c r="F424" s="110" t="b">
        <v>0</v>
      </c>
      <c r="G424" s="105" t="str">
        <f>IF(F424=True, IFERROR(VLOOKUP(D424, Repository!A:B, 2, 0), ""), "")</f>
        <v/>
      </c>
      <c r="H424" s="105"/>
      <c r="I424" s="105"/>
      <c r="J424" s="105" t="str">
        <f>IF(F424=True, IFERROR(VLOOKUP(D424, Repository!A:C, 3, 0), ""), "")</f>
        <v/>
      </c>
      <c r="K424" s="105"/>
      <c r="L424" s="105" t="str">
        <f>IF(F424=True, IFERROR(VLOOKUP(D424, Repository!A:E, 5, 0), ""), "")</f>
        <v/>
      </c>
      <c r="M424" s="105"/>
      <c r="N424" s="105" t="str">
        <f>IF(F424=True, IFERROR(VLOOKUP(D424, Repository!A:G, 7, 0), ""), "")</f>
        <v/>
      </c>
      <c r="O424" s="105" t="str">
        <f>IFERROR(__xludf.DUMMYFUNCTION("ARRAY_CONSTRAIN(
  ARRAYFORMULA(
    IFERROR(
      LET(
        list, N424,
        arr, TRIM(SPLIT(list, "","")),
        names, XLOOKUP(
          arr,
          'Conformance Score'!A:A,
          'Conformance Score'!B:B,
          ""Not found""
      "&amp;"  ),
        TEXTJOIN("", "", TRUE, names)
      ),
      """"
    )
  ),
  1,
  1
)
"),"")</f>
        <v/>
      </c>
      <c r="P424" s="105" t="str">
        <f>IF(F424="Yes", IFERROR(VLOOKUP(D424, Repository!A:F, 6, 0), ""), "")</f>
        <v/>
      </c>
      <c r="Q424" s="105" t="str">
        <f>IF(F424="Yes", IFERROR(VLOOKUP(D424, Repository!A:I, 8, 0), ""), "")</f>
        <v/>
      </c>
      <c r="R424" s="105" t="str">
        <f>IF(F424="Yes", IFERROR(VLOOKUP(D424, Repository!A:J, 9, 0), ""), "")</f>
        <v/>
      </c>
      <c r="S424" s="105"/>
      <c r="T424" s="105"/>
      <c r="U424" s="105"/>
      <c r="V424" s="105"/>
      <c r="W424" s="105"/>
      <c r="X424" s="105"/>
      <c r="Y424" s="105"/>
      <c r="Z424" s="105"/>
      <c r="AA424" s="105"/>
      <c r="AB424" s="105"/>
      <c r="AC424" s="91"/>
      <c r="AD424" s="105"/>
      <c r="AE424" s="105"/>
      <c r="AF424" s="91"/>
      <c r="AG424" s="105"/>
      <c r="AH424" s="105"/>
      <c r="AI424" s="105" t="str">
        <f t="shared" si="1"/>
        <v/>
      </c>
      <c r="AJ424" s="108" t="str">
        <f t="shared" si="2"/>
        <v/>
      </c>
    </row>
    <row r="425" ht="15.75" customHeight="1">
      <c r="A425" s="104"/>
      <c r="B425" s="105" t="str">
        <f>IFERROR(__xludf.DUMMYFUNCTION("ARRAY_CONSTRAIN(
  ARRAYFORMULA(
    IF(
      'Final Report'!A425="""",
      """",
      TEXTJOIN(
        "", "" &amp; CHAR(10),
        TRUE,
        IFERROR(
          VLOOKUP(
            TRIM(
              SPLIT('Final Report'!A425, "","")
           "&amp;" ),
            'URL Details'!A:B,
            2,
            FALSE
          ),
          """"
        )
      )
    )
  ),
  1,
  1
)
"),"")</f>
        <v/>
      </c>
      <c r="C425" s="105" t="str">
        <f>IFERROR(__xludf.DUMMYFUNCTION("IFERROR(IF('Final Report'!A425="""","""", TEXTJOIN(CHAR(10), TRUE, ARRAYFORMULA( ""• ""&amp; FILTER( TRIM(FLATTEN(SPLIT( REGEXREPLACE( SUBSTITUTE(TEXTJOIN("","", TRUE, IFERROR(ARRAYFORMULA(VLOOKUP(TRIM(SPLIT('Final Report'!A425, "","")), 'URL Details'!A:D, 4,"&amp;" FALSE)),"""") ), CHAR(10), "",""), ""\s*,\s*"", "",""), "",""))), TRIM(FLATTEN(SPLIT( REGEXREPLACE( SUBSTITUTE(TEXTJOIN("","", TRUE, IFERROR(ARRAYFORMULA(VLOOKUP(TRIM(SPLIT('Final Report'!A425, "","")), 'URL Details'!A:D, 4, FALSE)),"""") ), CHAR(10), """&amp;",""), ""\s*,\s*"", "",""), "","")))&lt;&gt;"""" ) ) ) ),"""")
"),"")</f>
        <v/>
      </c>
      <c r="D425" s="105"/>
      <c r="E425" s="105"/>
      <c r="F425" s="110" t="b">
        <v>0</v>
      </c>
      <c r="G425" s="105" t="str">
        <f>IF(F425=True, IFERROR(VLOOKUP(D425, Repository!A:B, 2, 0), ""), "")</f>
        <v/>
      </c>
      <c r="H425" s="105"/>
      <c r="I425" s="105"/>
      <c r="J425" s="105" t="str">
        <f>IF(F425=True, IFERROR(VLOOKUP(D425, Repository!A:C, 3, 0), ""), "")</f>
        <v/>
      </c>
      <c r="K425" s="105"/>
      <c r="L425" s="105" t="str">
        <f>IF(F425=True, IFERROR(VLOOKUP(D425, Repository!A:E, 5, 0), ""), "")</f>
        <v/>
      </c>
      <c r="M425" s="105"/>
      <c r="N425" s="105" t="str">
        <f>IF(F425=True, IFERROR(VLOOKUP(D425, Repository!A:G, 7, 0), ""), "")</f>
        <v/>
      </c>
      <c r="O425" s="105" t="str">
        <f>IFERROR(__xludf.DUMMYFUNCTION("ARRAY_CONSTRAIN(
  ARRAYFORMULA(
    IFERROR(
      LET(
        list, N425,
        arr, TRIM(SPLIT(list, "","")),
        names, XLOOKUP(
          arr,
          'Conformance Score'!A:A,
          'Conformance Score'!B:B,
          ""Not found""
      "&amp;"  ),
        TEXTJOIN("", "", TRUE, names)
      ),
      """"
    )
  ),
  1,
  1
)
"),"")</f>
        <v/>
      </c>
      <c r="P425" s="105" t="str">
        <f>IF(F425="Yes", IFERROR(VLOOKUP(D425, Repository!A:F, 6, 0), ""), "")</f>
        <v/>
      </c>
      <c r="Q425" s="105" t="str">
        <f>IF(F425="Yes", IFERROR(VLOOKUP(D425, Repository!A:I, 8, 0), ""), "")</f>
        <v/>
      </c>
      <c r="R425" s="105" t="str">
        <f>IF(F425="Yes", IFERROR(VLOOKUP(D425, Repository!A:J, 9, 0), ""), "")</f>
        <v/>
      </c>
      <c r="S425" s="105"/>
      <c r="T425" s="105"/>
      <c r="U425" s="105"/>
      <c r="V425" s="105"/>
      <c r="W425" s="105"/>
      <c r="X425" s="105"/>
      <c r="Y425" s="105"/>
      <c r="Z425" s="105"/>
      <c r="AA425" s="105"/>
      <c r="AB425" s="105"/>
      <c r="AC425" s="91"/>
      <c r="AD425" s="105"/>
      <c r="AE425" s="105"/>
      <c r="AF425" s="91"/>
      <c r="AG425" s="105"/>
      <c r="AH425" s="105"/>
      <c r="AI425" s="105" t="str">
        <f t="shared" si="1"/>
        <v/>
      </c>
      <c r="AJ425" s="108" t="str">
        <f t="shared" si="2"/>
        <v/>
      </c>
    </row>
    <row r="426" ht="15.75" customHeight="1">
      <c r="A426" s="104"/>
      <c r="B426" s="105" t="str">
        <f>IFERROR(__xludf.DUMMYFUNCTION("ARRAY_CONSTRAIN(
  ARRAYFORMULA(
    IF(
      'Final Report'!A426="""",
      """",
      TEXTJOIN(
        "", "" &amp; CHAR(10),
        TRUE,
        IFERROR(
          VLOOKUP(
            TRIM(
              SPLIT('Final Report'!A426, "","")
           "&amp;" ),
            'URL Details'!A:B,
            2,
            FALSE
          ),
          """"
        )
      )
    )
  ),
  1,
  1
)
"),"")</f>
        <v/>
      </c>
      <c r="C426" s="105" t="str">
        <f>IFERROR(__xludf.DUMMYFUNCTION("IFERROR(IF('Final Report'!A426="""","""", TEXTJOIN(CHAR(10), TRUE, ARRAYFORMULA( ""• ""&amp; FILTER( TRIM(FLATTEN(SPLIT( REGEXREPLACE( SUBSTITUTE(TEXTJOIN("","", TRUE, IFERROR(ARRAYFORMULA(VLOOKUP(TRIM(SPLIT('Final Report'!A426, "","")), 'URL Details'!A:D, 4,"&amp;" FALSE)),"""") ), CHAR(10), "",""), ""\s*,\s*"", "",""), "",""))), TRIM(FLATTEN(SPLIT( REGEXREPLACE( SUBSTITUTE(TEXTJOIN("","", TRUE, IFERROR(ARRAYFORMULA(VLOOKUP(TRIM(SPLIT('Final Report'!A426, "","")), 'URL Details'!A:D, 4, FALSE)),"""") ), CHAR(10), """&amp;",""), ""\s*,\s*"", "",""), "","")))&lt;&gt;"""" ) ) ) ),"""")
"),"")</f>
        <v/>
      </c>
      <c r="D426" s="105"/>
      <c r="E426" s="105"/>
      <c r="F426" s="110" t="b">
        <v>0</v>
      </c>
      <c r="G426" s="105" t="str">
        <f>IF(F426=True, IFERROR(VLOOKUP(D426, Repository!A:B, 2, 0), ""), "")</f>
        <v/>
      </c>
      <c r="H426" s="105"/>
      <c r="I426" s="105"/>
      <c r="J426" s="105" t="str">
        <f>IF(F426=True, IFERROR(VLOOKUP(D426, Repository!A:C, 3, 0), ""), "")</f>
        <v/>
      </c>
      <c r="K426" s="105"/>
      <c r="L426" s="105" t="str">
        <f>IF(F426=True, IFERROR(VLOOKUP(D426, Repository!A:E, 5, 0), ""), "")</f>
        <v/>
      </c>
      <c r="M426" s="105"/>
      <c r="N426" s="105" t="str">
        <f>IF(F426=True, IFERROR(VLOOKUP(D426, Repository!A:G, 7, 0), ""), "")</f>
        <v/>
      </c>
      <c r="O426" s="105" t="str">
        <f>IFERROR(__xludf.DUMMYFUNCTION("ARRAY_CONSTRAIN(
  ARRAYFORMULA(
    IFERROR(
      LET(
        list, N426,
        arr, TRIM(SPLIT(list, "","")),
        names, XLOOKUP(
          arr,
          'Conformance Score'!A:A,
          'Conformance Score'!B:B,
          ""Not found""
      "&amp;"  ),
        TEXTJOIN("", "", TRUE, names)
      ),
      """"
    )
  ),
  1,
  1
)
"),"")</f>
        <v/>
      </c>
      <c r="P426" s="105" t="str">
        <f>IF(F426="Yes", IFERROR(VLOOKUP(D426, Repository!A:F, 6, 0), ""), "")</f>
        <v/>
      </c>
      <c r="Q426" s="105" t="str">
        <f>IF(F426="Yes", IFERROR(VLOOKUP(D426, Repository!A:I, 8, 0), ""), "")</f>
        <v/>
      </c>
      <c r="R426" s="105" t="str">
        <f>IF(F426="Yes", IFERROR(VLOOKUP(D426, Repository!A:J, 9, 0), ""), "")</f>
        <v/>
      </c>
      <c r="S426" s="105"/>
      <c r="T426" s="105"/>
      <c r="U426" s="105"/>
      <c r="V426" s="105"/>
      <c r="W426" s="105"/>
      <c r="X426" s="105"/>
      <c r="Y426" s="105"/>
      <c r="Z426" s="105"/>
      <c r="AA426" s="105"/>
      <c r="AB426" s="105"/>
      <c r="AC426" s="91"/>
      <c r="AD426" s="105"/>
      <c r="AE426" s="105"/>
      <c r="AF426" s="91"/>
      <c r="AG426" s="105"/>
      <c r="AH426" s="105"/>
      <c r="AI426" s="105" t="str">
        <f t="shared" si="1"/>
        <v/>
      </c>
      <c r="AJ426" s="108" t="str">
        <f t="shared" si="2"/>
        <v/>
      </c>
    </row>
    <row r="427" ht="15.75" customHeight="1">
      <c r="A427" s="104"/>
      <c r="B427" s="105" t="str">
        <f>IFERROR(__xludf.DUMMYFUNCTION("ARRAY_CONSTRAIN(
  ARRAYFORMULA(
    IF(
      'Final Report'!A427="""",
      """",
      TEXTJOIN(
        "", "" &amp; CHAR(10),
        TRUE,
        IFERROR(
          VLOOKUP(
            TRIM(
              SPLIT('Final Report'!A427, "","")
           "&amp;" ),
            'URL Details'!A:B,
            2,
            FALSE
          ),
          """"
        )
      )
    )
  ),
  1,
  1
)
"),"")</f>
        <v/>
      </c>
      <c r="C427" s="105" t="str">
        <f>IFERROR(__xludf.DUMMYFUNCTION("IFERROR(IF('Final Report'!A427="""","""", TEXTJOIN(CHAR(10), TRUE, ARRAYFORMULA( ""• ""&amp; FILTER( TRIM(FLATTEN(SPLIT( REGEXREPLACE( SUBSTITUTE(TEXTJOIN("","", TRUE, IFERROR(ARRAYFORMULA(VLOOKUP(TRIM(SPLIT('Final Report'!A427, "","")), 'URL Details'!A:D, 4,"&amp;" FALSE)),"""") ), CHAR(10), "",""), ""\s*,\s*"", "",""), "",""))), TRIM(FLATTEN(SPLIT( REGEXREPLACE( SUBSTITUTE(TEXTJOIN("","", TRUE, IFERROR(ARRAYFORMULA(VLOOKUP(TRIM(SPLIT('Final Report'!A427, "","")), 'URL Details'!A:D, 4, FALSE)),"""") ), CHAR(10), """&amp;",""), ""\s*,\s*"", "",""), "","")))&lt;&gt;"""" ) ) ) ),"""")
"),"")</f>
        <v/>
      </c>
      <c r="D427" s="105"/>
      <c r="E427" s="105"/>
      <c r="F427" s="110" t="b">
        <v>0</v>
      </c>
      <c r="G427" s="105" t="str">
        <f>IF(F427=True, IFERROR(VLOOKUP(D427, Repository!A:B, 2, 0), ""), "")</f>
        <v/>
      </c>
      <c r="H427" s="105"/>
      <c r="I427" s="105"/>
      <c r="J427" s="105" t="str">
        <f>IF(F427=True, IFERROR(VLOOKUP(D427, Repository!A:C, 3, 0), ""), "")</f>
        <v/>
      </c>
      <c r="K427" s="105"/>
      <c r="L427" s="105" t="str">
        <f>IF(F427=True, IFERROR(VLOOKUP(D427, Repository!A:E, 5, 0), ""), "")</f>
        <v/>
      </c>
      <c r="M427" s="105"/>
      <c r="N427" s="105" t="str">
        <f>IF(F427=True, IFERROR(VLOOKUP(D427, Repository!A:G, 7, 0), ""), "")</f>
        <v/>
      </c>
      <c r="O427" s="105" t="str">
        <f>IFERROR(__xludf.DUMMYFUNCTION("ARRAY_CONSTRAIN(
  ARRAYFORMULA(
    IFERROR(
      LET(
        list, N427,
        arr, TRIM(SPLIT(list, "","")),
        names, XLOOKUP(
          arr,
          'Conformance Score'!A:A,
          'Conformance Score'!B:B,
          ""Not found""
      "&amp;"  ),
        TEXTJOIN("", "", TRUE, names)
      ),
      """"
    )
  ),
  1,
  1
)
"),"")</f>
        <v/>
      </c>
      <c r="P427" s="105" t="str">
        <f>IF(F427="Yes", IFERROR(VLOOKUP(D427, Repository!A:F, 6, 0), ""), "")</f>
        <v/>
      </c>
      <c r="Q427" s="105" t="str">
        <f>IF(F427="Yes", IFERROR(VLOOKUP(D427, Repository!A:I, 8, 0), ""), "")</f>
        <v/>
      </c>
      <c r="R427" s="105" t="str">
        <f>IF(F427="Yes", IFERROR(VLOOKUP(D427, Repository!A:J, 9, 0), ""), "")</f>
        <v/>
      </c>
      <c r="S427" s="105"/>
      <c r="T427" s="105"/>
      <c r="U427" s="105"/>
      <c r="V427" s="105"/>
      <c r="W427" s="105"/>
      <c r="X427" s="105"/>
      <c r="Y427" s="105"/>
      <c r="Z427" s="105"/>
      <c r="AA427" s="105"/>
      <c r="AB427" s="105"/>
      <c r="AC427" s="91"/>
      <c r="AD427" s="105"/>
      <c r="AE427" s="105"/>
      <c r="AF427" s="91"/>
      <c r="AG427" s="105"/>
      <c r="AH427" s="105"/>
      <c r="AI427" s="105" t="str">
        <f t="shared" si="1"/>
        <v/>
      </c>
      <c r="AJ427" s="108" t="str">
        <f t="shared" si="2"/>
        <v/>
      </c>
    </row>
    <row r="428" ht="15.75" customHeight="1">
      <c r="A428" s="104"/>
      <c r="B428" s="105" t="str">
        <f>IFERROR(__xludf.DUMMYFUNCTION("ARRAY_CONSTRAIN(
  ARRAYFORMULA(
    IF(
      'Final Report'!A428="""",
      """",
      TEXTJOIN(
        "", "" &amp; CHAR(10),
        TRUE,
        IFERROR(
          VLOOKUP(
            TRIM(
              SPLIT('Final Report'!A428, "","")
           "&amp;" ),
            'URL Details'!A:B,
            2,
            FALSE
          ),
          """"
        )
      )
    )
  ),
  1,
  1
)
"),"")</f>
        <v/>
      </c>
      <c r="C428" s="105" t="str">
        <f>IFERROR(__xludf.DUMMYFUNCTION("IFERROR(IF('Final Report'!A428="""","""", TEXTJOIN(CHAR(10), TRUE, ARRAYFORMULA( ""• ""&amp; FILTER( TRIM(FLATTEN(SPLIT( REGEXREPLACE( SUBSTITUTE(TEXTJOIN("","", TRUE, IFERROR(ARRAYFORMULA(VLOOKUP(TRIM(SPLIT('Final Report'!A428, "","")), 'URL Details'!A:D, 4,"&amp;" FALSE)),"""") ), CHAR(10), "",""), ""\s*,\s*"", "",""), "",""))), TRIM(FLATTEN(SPLIT( REGEXREPLACE( SUBSTITUTE(TEXTJOIN("","", TRUE, IFERROR(ARRAYFORMULA(VLOOKUP(TRIM(SPLIT('Final Report'!A428, "","")), 'URL Details'!A:D, 4, FALSE)),"""") ), CHAR(10), """&amp;",""), ""\s*,\s*"", "",""), "","")))&lt;&gt;"""" ) ) ) ),"""")
"),"")</f>
        <v/>
      </c>
      <c r="D428" s="105"/>
      <c r="E428" s="105"/>
      <c r="F428" s="110" t="b">
        <v>0</v>
      </c>
      <c r="G428" s="105" t="str">
        <f>IF(F428=True, IFERROR(VLOOKUP(D428, Repository!A:B, 2, 0), ""), "")</f>
        <v/>
      </c>
      <c r="H428" s="105"/>
      <c r="I428" s="105"/>
      <c r="J428" s="105" t="str">
        <f>IF(F428=True, IFERROR(VLOOKUP(D428, Repository!A:C, 3, 0), ""), "")</f>
        <v/>
      </c>
      <c r="K428" s="105"/>
      <c r="L428" s="105" t="str">
        <f>IF(F428=True, IFERROR(VLOOKUP(D428, Repository!A:E, 5, 0), ""), "")</f>
        <v/>
      </c>
      <c r="M428" s="105"/>
      <c r="N428" s="105" t="str">
        <f>IF(F428=True, IFERROR(VLOOKUP(D428, Repository!A:G, 7, 0), ""), "")</f>
        <v/>
      </c>
      <c r="O428" s="105" t="str">
        <f>IFERROR(__xludf.DUMMYFUNCTION("ARRAY_CONSTRAIN(
  ARRAYFORMULA(
    IFERROR(
      LET(
        list, N428,
        arr, TRIM(SPLIT(list, "","")),
        names, XLOOKUP(
          arr,
          'Conformance Score'!A:A,
          'Conformance Score'!B:B,
          ""Not found""
      "&amp;"  ),
        TEXTJOIN("", "", TRUE, names)
      ),
      """"
    )
  ),
  1,
  1
)
"),"")</f>
        <v/>
      </c>
      <c r="P428" s="105" t="str">
        <f>IF(F428="Yes", IFERROR(VLOOKUP(D428, Repository!A:F, 6, 0), ""), "")</f>
        <v/>
      </c>
      <c r="Q428" s="105" t="str">
        <f>IF(F428="Yes", IFERROR(VLOOKUP(D428, Repository!A:I, 8, 0), ""), "")</f>
        <v/>
      </c>
      <c r="R428" s="105" t="str">
        <f>IF(F428="Yes", IFERROR(VLOOKUP(D428, Repository!A:J, 9, 0), ""), "")</f>
        <v/>
      </c>
      <c r="S428" s="105"/>
      <c r="T428" s="105"/>
      <c r="U428" s="105"/>
      <c r="V428" s="105"/>
      <c r="W428" s="105"/>
      <c r="X428" s="105"/>
      <c r="Y428" s="105"/>
      <c r="Z428" s="105"/>
      <c r="AA428" s="105"/>
      <c r="AB428" s="105"/>
      <c r="AC428" s="91"/>
      <c r="AD428" s="105"/>
      <c r="AE428" s="105"/>
      <c r="AF428" s="91"/>
      <c r="AG428" s="105"/>
      <c r="AH428" s="105"/>
      <c r="AI428" s="105" t="str">
        <f t="shared" si="1"/>
        <v/>
      </c>
      <c r="AJ428" s="108" t="str">
        <f t="shared" si="2"/>
        <v/>
      </c>
    </row>
    <row r="429" ht="15.75" customHeight="1">
      <c r="A429" s="104"/>
      <c r="B429" s="105" t="str">
        <f>IFERROR(__xludf.DUMMYFUNCTION("ARRAY_CONSTRAIN(
  ARRAYFORMULA(
    IF(
      'Final Report'!A429="""",
      """",
      TEXTJOIN(
        "", "" &amp; CHAR(10),
        TRUE,
        IFERROR(
          VLOOKUP(
            TRIM(
              SPLIT('Final Report'!A429, "","")
           "&amp;" ),
            'URL Details'!A:B,
            2,
            FALSE
          ),
          """"
        )
      )
    )
  ),
  1,
  1
)
"),"")</f>
        <v/>
      </c>
      <c r="C429" s="105" t="str">
        <f>IFERROR(__xludf.DUMMYFUNCTION("IFERROR(IF('Final Report'!A429="""","""", TEXTJOIN(CHAR(10), TRUE, ARRAYFORMULA( ""• ""&amp; FILTER( TRIM(FLATTEN(SPLIT( REGEXREPLACE( SUBSTITUTE(TEXTJOIN("","", TRUE, IFERROR(ARRAYFORMULA(VLOOKUP(TRIM(SPLIT('Final Report'!A429, "","")), 'URL Details'!A:D, 4,"&amp;" FALSE)),"""") ), CHAR(10), "",""), ""\s*,\s*"", "",""), "",""))), TRIM(FLATTEN(SPLIT( REGEXREPLACE( SUBSTITUTE(TEXTJOIN("","", TRUE, IFERROR(ARRAYFORMULA(VLOOKUP(TRIM(SPLIT('Final Report'!A429, "","")), 'URL Details'!A:D, 4, FALSE)),"""") ), CHAR(10), """&amp;",""), ""\s*,\s*"", "",""), "","")))&lt;&gt;"""" ) ) ) ),"""")
"),"")</f>
        <v/>
      </c>
      <c r="D429" s="105"/>
      <c r="E429" s="105"/>
      <c r="F429" s="110" t="b">
        <v>0</v>
      </c>
      <c r="G429" s="105" t="str">
        <f>IF(F429=True, IFERROR(VLOOKUP(D429, Repository!A:B, 2, 0), ""), "")</f>
        <v/>
      </c>
      <c r="H429" s="105"/>
      <c r="I429" s="105"/>
      <c r="J429" s="105" t="str">
        <f>IF(F429=True, IFERROR(VLOOKUP(D429, Repository!A:C, 3, 0), ""), "")</f>
        <v/>
      </c>
      <c r="K429" s="105"/>
      <c r="L429" s="105" t="str">
        <f>IF(F429=True, IFERROR(VLOOKUP(D429, Repository!A:E, 5, 0), ""), "")</f>
        <v/>
      </c>
      <c r="M429" s="105"/>
      <c r="N429" s="105" t="str">
        <f>IF(F429=True, IFERROR(VLOOKUP(D429, Repository!A:G, 7, 0), ""), "")</f>
        <v/>
      </c>
      <c r="O429" s="105" t="str">
        <f>IFERROR(__xludf.DUMMYFUNCTION("ARRAY_CONSTRAIN(
  ARRAYFORMULA(
    IFERROR(
      LET(
        list, N429,
        arr, TRIM(SPLIT(list, "","")),
        names, XLOOKUP(
          arr,
          'Conformance Score'!A:A,
          'Conformance Score'!B:B,
          ""Not found""
      "&amp;"  ),
        TEXTJOIN("", "", TRUE, names)
      ),
      """"
    )
  ),
  1,
  1
)
"),"")</f>
        <v/>
      </c>
      <c r="P429" s="105" t="str">
        <f>IF(F429="Yes", IFERROR(VLOOKUP(D429, Repository!A:F, 6, 0), ""), "")</f>
        <v/>
      </c>
      <c r="Q429" s="105" t="str">
        <f>IF(F429="Yes", IFERROR(VLOOKUP(D429, Repository!A:I, 8, 0), ""), "")</f>
        <v/>
      </c>
      <c r="R429" s="105" t="str">
        <f>IF(F429="Yes", IFERROR(VLOOKUP(D429, Repository!A:J, 9, 0), ""), "")</f>
        <v/>
      </c>
      <c r="S429" s="105"/>
      <c r="T429" s="105"/>
      <c r="U429" s="105"/>
      <c r="V429" s="105"/>
      <c r="W429" s="105"/>
      <c r="X429" s="105"/>
      <c r="Y429" s="105"/>
      <c r="Z429" s="105"/>
      <c r="AA429" s="105"/>
      <c r="AB429" s="105"/>
      <c r="AC429" s="91"/>
      <c r="AD429" s="105"/>
      <c r="AE429" s="105"/>
      <c r="AF429" s="91"/>
      <c r="AG429" s="105"/>
      <c r="AH429" s="105"/>
      <c r="AI429" s="105" t="str">
        <f t="shared" si="1"/>
        <v/>
      </c>
      <c r="AJ429" s="108" t="str">
        <f t="shared" si="2"/>
        <v/>
      </c>
    </row>
    <row r="430" ht="15.75" customHeight="1">
      <c r="A430" s="104"/>
      <c r="B430" s="105" t="str">
        <f>IFERROR(__xludf.DUMMYFUNCTION("ARRAY_CONSTRAIN(
  ARRAYFORMULA(
    IF(
      'Final Report'!A430="""",
      """",
      TEXTJOIN(
        "", "" &amp; CHAR(10),
        TRUE,
        IFERROR(
          VLOOKUP(
            TRIM(
              SPLIT('Final Report'!A430, "","")
           "&amp;" ),
            'URL Details'!A:B,
            2,
            FALSE
          ),
          """"
        )
      )
    )
  ),
  1,
  1
)
"),"")</f>
        <v/>
      </c>
      <c r="C430" s="105" t="str">
        <f>IFERROR(__xludf.DUMMYFUNCTION("IFERROR(IF('Final Report'!A430="""","""", TEXTJOIN(CHAR(10), TRUE, ARRAYFORMULA( ""• ""&amp; FILTER( TRIM(FLATTEN(SPLIT( REGEXREPLACE( SUBSTITUTE(TEXTJOIN("","", TRUE, IFERROR(ARRAYFORMULA(VLOOKUP(TRIM(SPLIT('Final Report'!A430, "","")), 'URL Details'!A:D, 4,"&amp;" FALSE)),"""") ), CHAR(10), "",""), ""\s*,\s*"", "",""), "",""))), TRIM(FLATTEN(SPLIT( REGEXREPLACE( SUBSTITUTE(TEXTJOIN("","", TRUE, IFERROR(ARRAYFORMULA(VLOOKUP(TRIM(SPLIT('Final Report'!A430, "","")), 'URL Details'!A:D, 4, FALSE)),"""") ), CHAR(10), """&amp;",""), ""\s*,\s*"", "",""), "","")))&lt;&gt;"""" ) ) ) ),"""")
"),"")</f>
        <v/>
      </c>
      <c r="D430" s="105"/>
      <c r="E430" s="105"/>
      <c r="F430" s="110" t="b">
        <v>0</v>
      </c>
      <c r="G430" s="105" t="str">
        <f>IF(F430=True, IFERROR(VLOOKUP(D430, Repository!A:B, 2, 0), ""), "")</f>
        <v/>
      </c>
      <c r="H430" s="105"/>
      <c r="I430" s="105"/>
      <c r="J430" s="105" t="str">
        <f>IF(F430=True, IFERROR(VLOOKUP(D430, Repository!A:C, 3, 0), ""), "")</f>
        <v/>
      </c>
      <c r="K430" s="105"/>
      <c r="L430" s="105" t="str">
        <f>IF(F430=True, IFERROR(VLOOKUP(D430, Repository!A:E, 5, 0), ""), "")</f>
        <v/>
      </c>
      <c r="M430" s="105"/>
      <c r="N430" s="105" t="str">
        <f>IF(F430=True, IFERROR(VLOOKUP(D430, Repository!A:G, 7, 0), ""), "")</f>
        <v/>
      </c>
      <c r="O430" s="105" t="str">
        <f>IFERROR(__xludf.DUMMYFUNCTION("ARRAY_CONSTRAIN(
  ARRAYFORMULA(
    IFERROR(
      LET(
        list, N430,
        arr, TRIM(SPLIT(list, "","")),
        names, XLOOKUP(
          arr,
          'Conformance Score'!A:A,
          'Conformance Score'!B:B,
          ""Not found""
      "&amp;"  ),
        TEXTJOIN("", "", TRUE, names)
      ),
      """"
    )
  ),
  1,
  1
)
"),"")</f>
        <v/>
      </c>
      <c r="P430" s="105" t="str">
        <f>IF(F430="Yes", IFERROR(VLOOKUP(D430, Repository!A:F, 6, 0), ""), "")</f>
        <v/>
      </c>
      <c r="Q430" s="105" t="str">
        <f>IF(F430="Yes", IFERROR(VLOOKUP(D430, Repository!A:I, 8, 0), ""), "")</f>
        <v/>
      </c>
      <c r="R430" s="105" t="str">
        <f>IF(F430="Yes", IFERROR(VLOOKUP(D430, Repository!A:J, 9, 0), ""), "")</f>
        <v/>
      </c>
      <c r="S430" s="105"/>
      <c r="T430" s="105"/>
      <c r="U430" s="105"/>
      <c r="V430" s="105"/>
      <c r="W430" s="105"/>
      <c r="X430" s="105"/>
      <c r="Y430" s="105"/>
      <c r="Z430" s="105"/>
      <c r="AA430" s="105"/>
      <c r="AB430" s="105"/>
      <c r="AC430" s="91"/>
      <c r="AD430" s="105"/>
      <c r="AE430" s="105"/>
      <c r="AF430" s="91"/>
      <c r="AG430" s="105"/>
      <c r="AH430" s="105"/>
      <c r="AI430" s="105" t="str">
        <f t="shared" si="1"/>
        <v/>
      </c>
      <c r="AJ430" s="108" t="str">
        <f t="shared" si="2"/>
        <v/>
      </c>
    </row>
    <row r="431" ht="15.75" customHeight="1">
      <c r="A431" s="104"/>
      <c r="B431" s="105" t="str">
        <f>IFERROR(__xludf.DUMMYFUNCTION("ARRAY_CONSTRAIN(
  ARRAYFORMULA(
    IF(
      'Final Report'!A431="""",
      """",
      TEXTJOIN(
        "", "" &amp; CHAR(10),
        TRUE,
        IFERROR(
          VLOOKUP(
            TRIM(
              SPLIT('Final Report'!A431, "","")
           "&amp;" ),
            'URL Details'!A:B,
            2,
            FALSE
          ),
          """"
        )
      )
    )
  ),
  1,
  1
)
"),"")</f>
        <v/>
      </c>
      <c r="C431" s="105" t="str">
        <f>IFERROR(__xludf.DUMMYFUNCTION("IFERROR(IF('Final Report'!A431="""","""", TEXTJOIN(CHAR(10), TRUE, ARRAYFORMULA( ""• ""&amp; FILTER( TRIM(FLATTEN(SPLIT( REGEXREPLACE( SUBSTITUTE(TEXTJOIN("","", TRUE, IFERROR(ARRAYFORMULA(VLOOKUP(TRIM(SPLIT('Final Report'!A431, "","")), 'URL Details'!A:D, 4,"&amp;" FALSE)),"""") ), CHAR(10), "",""), ""\s*,\s*"", "",""), "",""))), TRIM(FLATTEN(SPLIT( REGEXREPLACE( SUBSTITUTE(TEXTJOIN("","", TRUE, IFERROR(ARRAYFORMULA(VLOOKUP(TRIM(SPLIT('Final Report'!A431, "","")), 'URL Details'!A:D, 4, FALSE)),"""") ), CHAR(10), """&amp;",""), ""\s*,\s*"", "",""), "","")))&lt;&gt;"""" ) ) ) ),"""")
"),"")</f>
        <v/>
      </c>
      <c r="D431" s="105"/>
      <c r="E431" s="105"/>
      <c r="F431" s="110" t="b">
        <v>0</v>
      </c>
      <c r="G431" s="105" t="str">
        <f>IF(F431=True, IFERROR(VLOOKUP(D431, Repository!A:B, 2, 0), ""), "")</f>
        <v/>
      </c>
      <c r="H431" s="105"/>
      <c r="I431" s="105"/>
      <c r="J431" s="105" t="str">
        <f>IF(F431=True, IFERROR(VLOOKUP(D431, Repository!A:C, 3, 0), ""), "")</f>
        <v/>
      </c>
      <c r="K431" s="105"/>
      <c r="L431" s="105" t="str">
        <f>IF(F431=True, IFERROR(VLOOKUP(D431, Repository!A:E, 5, 0), ""), "")</f>
        <v/>
      </c>
      <c r="M431" s="105"/>
      <c r="N431" s="105" t="str">
        <f>IF(F431=True, IFERROR(VLOOKUP(D431, Repository!A:G, 7, 0), ""), "")</f>
        <v/>
      </c>
      <c r="O431" s="105" t="str">
        <f>IFERROR(__xludf.DUMMYFUNCTION("ARRAY_CONSTRAIN(
  ARRAYFORMULA(
    IFERROR(
      LET(
        list, N431,
        arr, TRIM(SPLIT(list, "","")),
        names, XLOOKUP(
          arr,
          'Conformance Score'!A:A,
          'Conformance Score'!B:B,
          ""Not found""
      "&amp;"  ),
        TEXTJOIN("", "", TRUE, names)
      ),
      """"
    )
  ),
  1,
  1
)
"),"")</f>
        <v/>
      </c>
      <c r="P431" s="105" t="str">
        <f>IF(F431="Yes", IFERROR(VLOOKUP(D431, Repository!A:F, 6, 0), ""), "")</f>
        <v/>
      </c>
      <c r="Q431" s="105" t="str">
        <f>IF(F431="Yes", IFERROR(VLOOKUP(D431, Repository!A:I, 8, 0), ""), "")</f>
        <v/>
      </c>
      <c r="R431" s="105" t="str">
        <f>IF(F431="Yes", IFERROR(VLOOKUP(D431, Repository!A:J, 9, 0), ""), "")</f>
        <v/>
      </c>
      <c r="S431" s="105"/>
      <c r="T431" s="105"/>
      <c r="U431" s="105"/>
      <c r="V431" s="105"/>
      <c r="W431" s="105"/>
      <c r="X431" s="105"/>
      <c r="Y431" s="105"/>
      <c r="Z431" s="105"/>
      <c r="AA431" s="105"/>
      <c r="AB431" s="105"/>
      <c r="AC431" s="91"/>
      <c r="AD431" s="105"/>
      <c r="AE431" s="105"/>
      <c r="AF431" s="91"/>
      <c r="AG431" s="105"/>
      <c r="AH431" s="105"/>
      <c r="AI431" s="105" t="str">
        <f t="shared" si="1"/>
        <v/>
      </c>
      <c r="AJ431" s="108" t="str">
        <f t="shared" si="2"/>
        <v/>
      </c>
    </row>
    <row r="432" ht="15.75" customHeight="1">
      <c r="A432" s="104"/>
      <c r="B432" s="105" t="str">
        <f>IFERROR(__xludf.DUMMYFUNCTION("ARRAY_CONSTRAIN(
  ARRAYFORMULA(
    IF(
      'Final Report'!A432="""",
      """",
      TEXTJOIN(
        "", "" &amp; CHAR(10),
        TRUE,
        IFERROR(
          VLOOKUP(
            TRIM(
              SPLIT('Final Report'!A432, "","")
           "&amp;" ),
            'URL Details'!A:B,
            2,
            FALSE
          ),
          """"
        )
      )
    )
  ),
  1,
  1
)
"),"")</f>
        <v/>
      </c>
      <c r="C432" s="105" t="str">
        <f>IFERROR(__xludf.DUMMYFUNCTION("IFERROR(IF('Final Report'!A432="""","""", TEXTJOIN(CHAR(10), TRUE, ARRAYFORMULA( ""• ""&amp; FILTER( TRIM(FLATTEN(SPLIT( REGEXREPLACE( SUBSTITUTE(TEXTJOIN("","", TRUE, IFERROR(ARRAYFORMULA(VLOOKUP(TRIM(SPLIT('Final Report'!A432, "","")), 'URL Details'!A:D, 4,"&amp;" FALSE)),"""") ), CHAR(10), "",""), ""\s*,\s*"", "",""), "",""))), TRIM(FLATTEN(SPLIT( REGEXREPLACE( SUBSTITUTE(TEXTJOIN("","", TRUE, IFERROR(ARRAYFORMULA(VLOOKUP(TRIM(SPLIT('Final Report'!A432, "","")), 'URL Details'!A:D, 4, FALSE)),"""") ), CHAR(10), """&amp;",""), ""\s*,\s*"", "",""), "","")))&lt;&gt;"""" ) ) ) ),"""")
"),"")</f>
        <v/>
      </c>
      <c r="D432" s="105"/>
      <c r="E432" s="105"/>
      <c r="F432" s="110" t="b">
        <v>0</v>
      </c>
      <c r="G432" s="105" t="str">
        <f>IF(F432=True, IFERROR(VLOOKUP(D432, Repository!A:B, 2, 0), ""), "")</f>
        <v/>
      </c>
      <c r="H432" s="105"/>
      <c r="I432" s="105"/>
      <c r="J432" s="105" t="str">
        <f>IF(F432=True, IFERROR(VLOOKUP(D432, Repository!A:C, 3, 0), ""), "")</f>
        <v/>
      </c>
      <c r="K432" s="105"/>
      <c r="L432" s="105" t="str">
        <f>IF(F432=True, IFERROR(VLOOKUP(D432, Repository!A:E, 5, 0), ""), "")</f>
        <v/>
      </c>
      <c r="M432" s="105"/>
      <c r="N432" s="105" t="str">
        <f>IF(F432=True, IFERROR(VLOOKUP(D432, Repository!A:G, 7, 0), ""), "")</f>
        <v/>
      </c>
      <c r="O432" s="105" t="str">
        <f>IFERROR(__xludf.DUMMYFUNCTION("ARRAY_CONSTRAIN(
  ARRAYFORMULA(
    IFERROR(
      LET(
        list, N432,
        arr, TRIM(SPLIT(list, "","")),
        names, XLOOKUP(
          arr,
          'Conformance Score'!A:A,
          'Conformance Score'!B:B,
          ""Not found""
      "&amp;"  ),
        TEXTJOIN("", "", TRUE, names)
      ),
      """"
    )
  ),
  1,
  1
)
"),"")</f>
        <v/>
      </c>
      <c r="P432" s="105" t="str">
        <f>IF(F432="Yes", IFERROR(VLOOKUP(D432, Repository!A:F, 6, 0), ""), "")</f>
        <v/>
      </c>
      <c r="Q432" s="105" t="str">
        <f>IF(F432="Yes", IFERROR(VLOOKUP(D432, Repository!A:I, 8, 0), ""), "")</f>
        <v/>
      </c>
      <c r="R432" s="105" t="str">
        <f>IF(F432="Yes", IFERROR(VLOOKUP(D432, Repository!A:J, 9, 0), ""), "")</f>
        <v/>
      </c>
      <c r="S432" s="105"/>
      <c r="T432" s="105"/>
      <c r="U432" s="105"/>
      <c r="V432" s="105"/>
      <c r="W432" s="105"/>
      <c r="X432" s="105"/>
      <c r="Y432" s="105"/>
      <c r="Z432" s="105"/>
      <c r="AA432" s="105"/>
      <c r="AB432" s="105"/>
      <c r="AC432" s="91"/>
      <c r="AD432" s="105"/>
      <c r="AE432" s="105"/>
      <c r="AF432" s="91"/>
      <c r="AG432" s="105"/>
      <c r="AH432" s="105"/>
      <c r="AI432" s="105" t="str">
        <f t="shared" si="1"/>
        <v/>
      </c>
      <c r="AJ432" s="108" t="str">
        <f t="shared" si="2"/>
        <v/>
      </c>
    </row>
    <row r="433" ht="15.75" customHeight="1">
      <c r="A433" s="104"/>
      <c r="B433" s="105" t="str">
        <f>IFERROR(__xludf.DUMMYFUNCTION("ARRAY_CONSTRAIN(
  ARRAYFORMULA(
    IF(
      'Final Report'!A433="""",
      """",
      TEXTJOIN(
        "", "" &amp; CHAR(10),
        TRUE,
        IFERROR(
          VLOOKUP(
            TRIM(
              SPLIT('Final Report'!A433, "","")
           "&amp;" ),
            'URL Details'!A:B,
            2,
            FALSE
          ),
          """"
        )
      )
    )
  ),
  1,
  1
)
"),"")</f>
        <v/>
      </c>
      <c r="C433" s="105" t="str">
        <f>IFERROR(__xludf.DUMMYFUNCTION("IFERROR(IF('Final Report'!A433="""","""", TEXTJOIN(CHAR(10), TRUE, ARRAYFORMULA( ""• ""&amp; FILTER( TRIM(FLATTEN(SPLIT( REGEXREPLACE( SUBSTITUTE(TEXTJOIN("","", TRUE, IFERROR(ARRAYFORMULA(VLOOKUP(TRIM(SPLIT('Final Report'!A433, "","")), 'URL Details'!A:D, 4,"&amp;" FALSE)),"""") ), CHAR(10), "",""), ""\s*,\s*"", "",""), "",""))), TRIM(FLATTEN(SPLIT( REGEXREPLACE( SUBSTITUTE(TEXTJOIN("","", TRUE, IFERROR(ARRAYFORMULA(VLOOKUP(TRIM(SPLIT('Final Report'!A433, "","")), 'URL Details'!A:D, 4, FALSE)),"""") ), CHAR(10), """&amp;",""), ""\s*,\s*"", "",""), "","")))&lt;&gt;"""" ) ) ) ),"""")
"),"")</f>
        <v/>
      </c>
      <c r="D433" s="105"/>
      <c r="E433" s="105"/>
      <c r="F433" s="110" t="b">
        <v>0</v>
      </c>
      <c r="G433" s="105" t="str">
        <f>IF(F433=True, IFERROR(VLOOKUP(D433, Repository!A:B, 2, 0), ""), "")</f>
        <v/>
      </c>
      <c r="H433" s="105"/>
      <c r="I433" s="105"/>
      <c r="J433" s="105" t="str">
        <f>IF(F433=True, IFERROR(VLOOKUP(D433, Repository!A:C, 3, 0), ""), "")</f>
        <v/>
      </c>
      <c r="K433" s="105"/>
      <c r="L433" s="105" t="str">
        <f>IF(F433=True, IFERROR(VLOOKUP(D433, Repository!A:E, 5, 0), ""), "")</f>
        <v/>
      </c>
      <c r="M433" s="105"/>
      <c r="N433" s="105" t="str">
        <f>IF(F433=True, IFERROR(VLOOKUP(D433, Repository!A:G, 7, 0), ""), "")</f>
        <v/>
      </c>
      <c r="O433" s="105" t="str">
        <f>IFERROR(__xludf.DUMMYFUNCTION("ARRAY_CONSTRAIN(
  ARRAYFORMULA(
    IFERROR(
      LET(
        list, N433,
        arr, TRIM(SPLIT(list, "","")),
        names, XLOOKUP(
          arr,
          'Conformance Score'!A:A,
          'Conformance Score'!B:B,
          ""Not found""
      "&amp;"  ),
        TEXTJOIN("", "", TRUE, names)
      ),
      """"
    )
  ),
  1,
  1
)
"),"")</f>
        <v/>
      </c>
      <c r="P433" s="105" t="str">
        <f>IF(F433="Yes", IFERROR(VLOOKUP(D433, Repository!A:F, 6, 0), ""), "")</f>
        <v/>
      </c>
      <c r="Q433" s="105" t="str">
        <f>IF(F433="Yes", IFERROR(VLOOKUP(D433, Repository!A:I, 8, 0), ""), "")</f>
        <v/>
      </c>
      <c r="R433" s="105" t="str">
        <f>IF(F433="Yes", IFERROR(VLOOKUP(D433, Repository!A:J, 9, 0), ""), "")</f>
        <v/>
      </c>
      <c r="S433" s="105"/>
      <c r="T433" s="105"/>
      <c r="U433" s="105"/>
      <c r="V433" s="105"/>
      <c r="W433" s="105"/>
      <c r="X433" s="105"/>
      <c r="Y433" s="105"/>
      <c r="Z433" s="105"/>
      <c r="AA433" s="105"/>
      <c r="AB433" s="105"/>
      <c r="AC433" s="91"/>
      <c r="AD433" s="105"/>
      <c r="AE433" s="105"/>
      <c r="AF433" s="91"/>
      <c r="AG433" s="105"/>
      <c r="AH433" s="105"/>
      <c r="AI433" s="105" t="str">
        <f t="shared" si="1"/>
        <v/>
      </c>
      <c r="AJ433" s="108" t="str">
        <f t="shared" si="2"/>
        <v/>
      </c>
    </row>
    <row r="434" ht="15.75" customHeight="1">
      <c r="A434" s="104"/>
      <c r="B434" s="105" t="str">
        <f>IFERROR(__xludf.DUMMYFUNCTION("ARRAY_CONSTRAIN(
  ARRAYFORMULA(
    IF(
      'Final Report'!A434="""",
      """",
      TEXTJOIN(
        "", "" &amp; CHAR(10),
        TRUE,
        IFERROR(
          VLOOKUP(
            TRIM(
              SPLIT('Final Report'!A434, "","")
           "&amp;" ),
            'URL Details'!A:B,
            2,
            FALSE
          ),
          """"
        )
      )
    )
  ),
  1,
  1
)
"),"")</f>
        <v/>
      </c>
      <c r="C434" s="105" t="str">
        <f>IFERROR(__xludf.DUMMYFUNCTION("IFERROR(IF('Final Report'!A434="""","""", TEXTJOIN(CHAR(10), TRUE, ARRAYFORMULA( ""• ""&amp; FILTER( TRIM(FLATTEN(SPLIT( REGEXREPLACE( SUBSTITUTE(TEXTJOIN("","", TRUE, IFERROR(ARRAYFORMULA(VLOOKUP(TRIM(SPLIT('Final Report'!A434, "","")), 'URL Details'!A:D, 4,"&amp;" FALSE)),"""") ), CHAR(10), "",""), ""\s*,\s*"", "",""), "",""))), TRIM(FLATTEN(SPLIT( REGEXREPLACE( SUBSTITUTE(TEXTJOIN("","", TRUE, IFERROR(ARRAYFORMULA(VLOOKUP(TRIM(SPLIT('Final Report'!A434, "","")), 'URL Details'!A:D, 4, FALSE)),"""") ), CHAR(10), """&amp;",""), ""\s*,\s*"", "",""), "","")))&lt;&gt;"""" ) ) ) ),"""")
"),"")</f>
        <v/>
      </c>
      <c r="D434" s="105"/>
      <c r="E434" s="105"/>
      <c r="F434" s="110" t="b">
        <v>0</v>
      </c>
      <c r="G434" s="105" t="str">
        <f>IF(F434=True, IFERROR(VLOOKUP(D434, Repository!A:B, 2, 0), ""), "")</f>
        <v/>
      </c>
      <c r="H434" s="105"/>
      <c r="I434" s="105"/>
      <c r="J434" s="105" t="str">
        <f>IF(F434=True, IFERROR(VLOOKUP(D434, Repository!A:C, 3, 0), ""), "")</f>
        <v/>
      </c>
      <c r="K434" s="105"/>
      <c r="L434" s="105" t="str">
        <f>IF(F434=True, IFERROR(VLOOKUP(D434, Repository!A:E, 5, 0), ""), "")</f>
        <v/>
      </c>
      <c r="M434" s="105"/>
      <c r="N434" s="105" t="str">
        <f>IF(F434=True, IFERROR(VLOOKUP(D434, Repository!A:G, 7, 0), ""), "")</f>
        <v/>
      </c>
      <c r="O434" s="105" t="str">
        <f>IFERROR(__xludf.DUMMYFUNCTION("ARRAY_CONSTRAIN(
  ARRAYFORMULA(
    IFERROR(
      LET(
        list, N434,
        arr, TRIM(SPLIT(list, "","")),
        names, XLOOKUP(
          arr,
          'Conformance Score'!A:A,
          'Conformance Score'!B:B,
          ""Not found""
      "&amp;"  ),
        TEXTJOIN("", "", TRUE, names)
      ),
      """"
    )
  ),
  1,
  1
)
"),"")</f>
        <v/>
      </c>
      <c r="P434" s="105" t="str">
        <f>IF(F434="Yes", IFERROR(VLOOKUP(D434, Repository!A:F, 6, 0), ""), "")</f>
        <v/>
      </c>
      <c r="Q434" s="105" t="str">
        <f>IF(F434="Yes", IFERROR(VLOOKUP(D434, Repository!A:I, 8, 0), ""), "")</f>
        <v/>
      </c>
      <c r="R434" s="105" t="str">
        <f>IF(F434="Yes", IFERROR(VLOOKUP(D434, Repository!A:J, 9, 0), ""), "")</f>
        <v/>
      </c>
      <c r="S434" s="105"/>
      <c r="T434" s="105"/>
      <c r="U434" s="105"/>
      <c r="V434" s="105"/>
      <c r="W434" s="105"/>
      <c r="X434" s="105"/>
      <c r="Y434" s="105"/>
      <c r="Z434" s="105"/>
      <c r="AA434" s="105"/>
      <c r="AB434" s="105"/>
      <c r="AC434" s="91"/>
      <c r="AD434" s="105"/>
      <c r="AE434" s="105"/>
      <c r="AF434" s="91"/>
      <c r="AG434" s="105"/>
      <c r="AH434" s="105"/>
      <c r="AI434" s="105" t="str">
        <f t="shared" si="1"/>
        <v/>
      </c>
      <c r="AJ434" s="108" t="str">
        <f t="shared" si="2"/>
        <v/>
      </c>
    </row>
    <row r="435" ht="15.75" customHeight="1">
      <c r="A435" s="104"/>
      <c r="B435" s="105" t="str">
        <f>IFERROR(__xludf.DUMMYFUNCTION("ARRAY_CONSTRAIN(
  ARRAYFORMULA(
    IF(
      'Final Report'!A435="""",
      """",
      TEXTJOIN(
        "", "" &amp; CHAR(10),
        TRUE,
        IFERROR(
          VLOOKUP(
            TRIM(
              SPLIT('Final Report'!A435, "","")
           "&amp;" ),
            'URL Details'!A:B,
            2,
            FALSE
          ),
          """"
        )
      )
    )
  ),
  1,
  1
)
"),"")</f>
        <v/>
      </c>
      <c r="C435" s="105" t="str">
        <f>IFERROR(__xludf.DUMMYFUNCTION("IFERROR(IF('Final Report'!A435="""","""", TEXTJOIN(CHAR(10), TRUE, ARRAYFORMULA( ""• ""&amp; FILTER( TRIM(FLATTEN(SPLIT( REGEXREPLACE( SUBSTITUTE(TEXTJOIN("","", TRUE, IFERROR(ARRAYFORMULA(VLOOKUP(TRIM(SPLIT('Final Report'!A435, "","")), 'URL Details'!A:D, 4,"&amp;" FALSE)),"""") ), CHAR(10), "",""), ""\s*,\s*"", "",""), "",""))), TRIM(FLATTEN(SPLIT( REGEXREPLACE( SUBSTITUTE(TEXTJOIN("","", TRUE, IFERROR(ARRAYFORMULA(VLOOKUP(TRIM(SPLIT('Final Report'!A435, "","")), 'URL Details'!A:D, 4, FALSE)),"""") ), CHAR(10), """&amp;",""), ""\s*,\s*"", "",""), "","")))&lt;&gt;"""" ) ) ) ),"""")
"),"")</f>
        <v/>
      </c>
      <c r="D435" s="105"/>
      <c r="E435" s="105"/>
      <c r="F435" s="110" t="b">
        <v>0</v>
      </c>
      <c r="G435" s="105" t="str">
        <f>IF(F435=True, IFERROR(VLOOKUP(D435, Repository!A:B, 2, 0), ""), "")</f>
        <v/>
      </c>
      <c r="H435" s="105"/>
      <c r="I435" s="105"/>
      <c r="J435" s="105" t="str">
        <f>IF(F435=True, IFERROR(VLOOKUP(D435, Repository!A:C, 3, 0), ""), "")</f>
        <v/>
      </c>
      <c r="K435" s="105"/>
      <c r="L435" s="105" t="str">
        <f>IF(F435=True, IFERROR(VLOOKUP(D435, Repository!A:E, 5, 0), ""), "")</f>
        <v/>
      </c>
      <c r="M435" s="105"/>
      <c r="N435" s="105" t="str">
        <f>IF(F435=True, IFERROR(VLOOKUP(D435, Repository!A:G, 7, 0), ""), "")</f>
        <v/>
      </c>
      <c r="O435" s="105" t="str">
        <f>IFERROR(__xludf.DUMMYFUNCTION("ARRAY_CONSTRAIN(
  ARRAYFORMULA(
    IFERROR(
      LET(
        list, N435,
        arr, TRIM(SPLIT(list, "","")),
        names, XLOOKUP(
          arr,
          'Conformance Score'!A:A,
          'Conformance Score'!B:B,
          ""Not found""
      "&amp;"  ),
        TEXTJOIN("", "", TRUE, names)
      ),
      """"
    )
  ),
  1,
  1
)
"),"")</f>
        <v/>
      </c>
      <c r="P435" s="105" t="str">
        <f>IF(F435="Yes", IFERROR(VLOOKUP(D435, Repository!A:F, 6, 0), ""), "")</f>
        <v/>
      </c>
      <c r="Q435" s="105" t="str">
        <f>IF(F435="Yes", IFERROR(VLOOKUP(D435, Repository!A:I, 8, 0), ""), "")</f>
        <v/>
      </c>
      <c r="R435" s="105" t="str">
        <f>IF(F435="Yes", IFERROR(VLOOKUP(D435, Repository!A:J, 9, 0), ""), "")</f>
        <v/>
      </c>
      <c r="S435" s="105"/>
      <c r="T435" s="105"/>
      <c r="U435" s="105"/>
      <c r="V435" s="105"/>
      <c r="W435" s="105"/>
      <c r="X435" s="105"/>
      <c r="Y435" s="105"/>
      <c r="Z435" s="105"/>
      <c r="AA435" s="105"/>
      <c r="AB435" s="105"/>
      <c r="AC435" s="91"/>
      <c r="AD435" s="105"/>
      <c r="AE435" s="105"/>
      <c r="AF435" s="91"/>
      <c r="AG435" s="105"/>
      <c r="AH435" s="105"/>
      <c r="AI435" s="105" t="str">
        <f t="shared" si="1"/>
        <v/>
      </c>
      <c r="AJ435" s="108" t="str">
        <f t="shared" si="2"/>
        <v/>
      </c>
    </row>
    <row r="436" ht="15.75" customHeight="1">
      <c r="A436" s="104"/>
      <c r="B436" s="105" t="str">
        <f>IFERROR(__xludf.DUMMYFUNCTION("ARRAY_CONSTRAIN(
  ARRAYFORMULA(
    IF(
      'Final Report'!A436="""",
      """",
      TEXTJOIN(
        "", "" &amp; CHAR(10),
        TRUE,
        IFERROR(
          VLOOKUP(
            TRIM(
              SPLIT('Final Report'!A436, "","")
           "&amp;" ),
            'URL Details'!A:B,
            2,
            FALSE
          ),
          """"
        )
      )
    )
  ),
  1,
  1
)
"),"")</f>
        <v/>
      </c>
      <c r="C436" s="105" t="str">
        <f>IFERROR(__xludf.DUMMYFUNCTION("IFERROR(IF('Final Report'!A436="""","""", TEXTJOIN(CHAR(10), TRUE, ARRAYFORMULA( ""• ""&amp; FILTER( TRIM(FLATTEN(SPLIT( REGEXREPLACE( SUBSTITUTE(TEXTJOIN("","", TRUE, IFERROR(ARRAYFORMULA(VLOOKUP(TRIM(SPLIT('Final Report'!A436, "","")), 'URL Details'!A:D, 4,"&amp;" FALSE)),"""") ), CHAR(10), "",""), ""\s*,\s*"", "",""), "",""))), TRIM(FLATTEN(SPLIT( REGEXREPLACE( SUBSTITUTE(TEXTJOIN("","", TRUE, IFERROR(ARRAYFORMULA(VLOOKUP(TRIM(SPLIT('Final Report'!A436, "","")), 'URL Details'!A:D, 4, FALSE)),"""") ), CHAR(10), """&amp;",""), ""\s*,\s*"", "",""), "","")))&lt;&gt;"""" ) ) ) ),"""")
"),"")</f>
        <v/>
      </c>
      <c r="D436" s="105"/>
      <c r="E436" s="105"/>
      <c r="F436" s="110" t="b">
        <v>0</v>
      </c>
      <c r="G436" s="105" t="str">
        <f>IF(F436=True, IFERROR(VLOOKUP(D436, Repository!A:B, 2, 0), ""), "")</f>
        <v/>
      </c>
      <c r="H436" s="105"/>
      <c r="I436" s="105"/>
      <c r="J436" s="105" t="str">
        <f>IF(F436=True, IFERROR(VLOOKUP(D436, Repository!A:C, 3, 0), ""), "")</f>
        <v/>
      </c>
      <c r="K436" s="105"/>
      <c r="L436" s="105" t="str">
        <f>IF(F436=True, IFERROR(VLOOKUP(D436, Repository!A:E, 5, 0), ""), "")</f>
        <v/>
      </c>
      <c r="M436" s="105"/>
      <c r="N436" s="105" t="str">
        <f>IF(F436=True, IFERROR(VLOOKUP(D436, Repository!A:G, 7, 0), ""), "")</f>
        <v/>
      </c>
      <c r="O436" s="105" t="str">
        <f>IFERROR(__xludf.DUMMYFUNCTION("ARRAY_CONSTRAIN(
  ARRAYFORMULA(
    IFERROR(
      LET(
        list, N436,
        arr, TRIM(SPLIT(list, "","")),
        names, XLOOKUP(
          arr,
          'Conformance Score'!A:A,
          'Conformance Score'!B:B,
          ""Not found""
      "&amp;"  ),
        TEXTJOIN("", "", TRUE, names)
      ),
      """"
    )
  ),
  1,
  1
)
"),"")</f>
        <v/>
      </c>
      <c r="P436" s="105" t="str">
        <f>IF(F436="Yes", IFERROR(VLOOKUP(D436, Repository!A:F, 6, 0), ""), "")</f>
        <v/>
      </c>
      <c r="Q436" s="105" t="str">
        <f>IF(F436="Yes", IFERROR(VLOOKUP(D436, Repository!A:I, 8, 0), ""), "")</f>
        <v/>
      </c>
      <c r="R436" s="105" t="str">
        <f>IF(F436="Yes", IFERROR(VLOOKUP(D436, Repository!A:J, 9, 0), ""), "")</f>
        <v/>
      </c>
      <c r="S436" s="105"/>
      <c r="T436" s="105"/>
      <c r="U436" s="105"/>
      <c r="V436" s="105"/>
      <c r="W436" s="105"/>
      <c r="X436" s="105"/>
      <c r="Y436" s="105"/>
      <c r="Z436" s="105"/>
      <c r="AA436" s="105"/>
      <c r="AB436" s="105"/>
      <c r="AC436" s="91"/>
      <c r="AD436" s="105"/>
      <c r="AE436" s="105"/>
      <c r="AF436" s="91"/>
      <c r="AG436" s="105"/>
      <c r="AH436" s="105"/>
      <c r="AI436" s="105" t="str">
        <f t="shared" si="1"/>
        <v/>
      </c>
      <c r="AJ436" s="108" t="str">
        <f t="shared" si="2"/>
        <v/>
      </c>
    </row>
    <row r="437" ht="15.75" customHeight="1">
      <c r="A437" s="104"/>
      <c r="B437" s="105" t="str">
        <f>IFERROR(__xludf.DUMMYFUNCTION("ARRAY_CONSTRAIN(
  ARRAYFORMULA(
    IF(
      'Final Report'!A437="""",
      """",
      TEXTJOIN(
        "", "" &amp; CHAR(10),
        TRUE,
        IFERROR(
          VLOOKUP(
            TRIM(
              SPLIT('Final Report'!A437, "","")
           "&amp;" ),
            'URL Details'!A:B,
            2,
            FALSE
          ),
          """"
        )
      )
    )
  ),
  1,
  1
)
"),"")</f>
        <v/>
      </c>
      <c r="C437" s="105" t="str">
        <f>IFERROR(__xludf.DUMMYFUNCTION("IFERROR(IF('Final Report'!A437="""","""", TEXTJOIN(CHAR(10), TRUE, ARRAYFORMULA( ""• ""&amp; FILTER( TRIM(FLATTEN(SPLIT( REGEXREPLACE( SUBSTITUTE(TEXTJOIN("","", TRUE, IFERROR(ARRAYFORMULA(VLOOKUP(TRIM(SPLIT('Final Report'!A437, "","")), 'URL Details'!A:D, 4,"&amp;" FALSE)),"""") ), CHAR(10), "",""), ""\s*,\s*"", "",""), "",""))), TRIM(FLATTEN(SPLIT( REGEXREPLACE( SUBSTITUTE(TEXTJOIN("","", TRUE, IFERROR(ARRAYFORMULA(VLOOKUP(TRIM(SPLIT('Final Report'!A437, "","")), 'URL Details'!A:D, 4, FALSE)),"""") ), CHAR(10), """&amp;",""), ""\s*,\s*"", "",""), "","")))&lt;&gt;"""" ) ) ) ),"""")
"),"")</f>
        <v/>
      </c>
      <c r="D437" s="105"/>
      <c r="E437" s="105"/>
      <c r="F437" s="110" t="b">
        <v>0</v>
      </c>
      <c r="G437" s="105" t="str">
        <f>IF(F437=True, IFERROR(VLOOKUP(D437, Repository!A:B, 2, 0), ""), "")</f>
        <v/>
      </c>
      <c r="H437" s="105"/>
      <c r="I437" s="105"/>
      <c r="J437" s="105" t="str">
        <f>IF(F437=True, IFERROR(VLOOKUP(D437, Repository!A:C, 3, 0), ""), "")</f>
        <v/>
      </c>
      <c r="K437" s="105"/>
      <c r="L437" s="105" t="str">
        <f>IF(F437=True, IFERROR(VLOOKUP(D437, Repository!A:E, 5, 0), ""), "")</f>
        <v/>
      </c>
      <c r="M437" s="105"/>
      <c r="N437" s="105" t="str">
        <f>IF(F437=True, IFERROR(VLOOKUP(D437, Repository!A:G, 7, 0), ""), "")</f>
        <v/>
      </c>
      <c r="O437" s="105" t="str">
        <f>IFERROR(__xludf.DUMMYFUNCTION("ARRAY_CONSTRAIN(
  ARRAYFORMULA(
    IFERROR(
      LET(
        list, N437,
        arr, TRIM(SPLIT(list, "","")),
        names, XLOOKUP(
          arr,
          'Conformance Score'!A:A,
          'Conformance Score'!B:B,
          ""Not found""
      "&amp;"  ),
        TEXTJOIN("", "", TRUE, names)
      ),
      """"
    )
  ),
  1,
  1
)
"),"")</f>
        <v/>
      </c>
      <c r="P437" s="105" t="str">
        <f>IF(F437="Yes", IFERROR(VLOOKUP(D437, Repository!A:F, 6, 0), ""), "")</f>
        <v/>
      </c>
      <c r="Q437" s="105" t="str">
        <f>IF(F437="Yes", IFERROR(VLOOKUP(D437, Repository!A:I, 8, 0), ""), "")</f>
        <v/>
      </c>
      <c r="R437" s="105" t="str">
        <f>IF(F437="Yes", IFERROR(VLOOKUP(D437, Repository!A:J, 9, 0), ""), "")</f>
        <v/>
      </c>
      <c r="S437" s="105"/>
      <c r="T437" s="105"/>
      <c r="U437" s="105"/>
      <c r="V437" s="105"/>
      <c r="W437" s="105"/>
      <c r="X437" s="105"/>
      <c r="Y437" s="105"/>
      <c r="Z437" s="105"/>
      <c r="AA437" s="105"/>
      <c r="AB437" s="105"/>
      <c r="AC437" s="91"/>
      <c r="AD437" s="105"/>
      <c r="AE437" s="105"/>
      <c r="AF437" s="91"/>
      <c r="AG437" s="105"/>
      <c r="AH437" s="105"/>
      <c r="AI437" s="105" t="str">
        <f t="shared" si="1"/>
        <v/>
      </c>
      <c r="AJ437" s="108" t="str">
        <f t="shared" si="2"/>
        <v/>
      </c>
    </row>
    <row r="438" ht="15.75" customHeight="1">
      <c r="A438" s="104"/>
      <c r="B438" s="105" t="str">
        <f>IFERROR(__xludf.DUMMYFUNCTION("ARRAY_CONSTRAIN(
  ARRAYFORMULA(
    IF(
      'Final Report'!A438="""",
      """",
      TEXTJOIN(
        "", "" &amp; CHAR(10),
        TRUE,
        IFERROR(
          VLOOKUP(
            TRIM(
              SPLIT('Final Report'!A438, "","")
           "&amp;" ),
            'URL Details'!A:B,
            2,
            FALSE
          ),
          """"
        )
      )
    )
  ),
  1,
  1
)
"),"")</f>
        <v/>
      </c>
      <c r="C438" s="105" t="str">
        <f>IFERROR(__xludf.DUMMYFUNCTION("IFERROR(IF('Final Report'!A438="""","""", TEXTJOIN(CHAR(10), TRUE, ARRAYFORMULA( ""• ""&amp; FILTER( TRIM(FLATTEN(SPLIT( REGEXREPLACE( SUBSTITUTE(TEXTJOIN("","", TRUE, IFERROR(ARRAYFORMULA(VLOOKUP(TRIM(SPLIT('Final Report'!A438, "","")), 'URL Details'!A:D, 4,"&amp;" FALSE)),"""") ), CHAR(10), "",""), ""\s*,\s*"", "",""), "",""))), TRIM(FLATTEN(SPLIT( REGEXREPLACE( SUBSTITUTE(TEXTJOIN("","", TRUE, IFERROR(ARRAYFORMULA(VLOOKUP(TRIM(SPLIT('Final Report'!A438, "","")), 'URL Details'!A:D, 4, FALSE)),"""") ), CHAR(10), """&amp;",""), ""\s*,\s*"", "",""), "","")))&lt;&gt;"""" ) ) ) ),"""")
"),"")</f>
        <v/>
      </c>
      <c r="D438" s="105"/>
      <c r="E438" s="105"/>
      <c r="F438" s="110" t="b">
        <v>0</v>
      </c>
      <c r="G438" s="105" t="str">
        <f>IF(F438=True, IFERROR(VLOOKUP(D438, Repository!A:B, 2, 0), ""), "")</f>
        <v/>
      </c>
      <c r="H438" s="105"/>
      <c r="I438" s="105"/>
      <c r="J438" s="105" t="str">
        <f>IF(F438=True, IFERROR(VLOOKUP(D438, Repository!A:C, 3, 0), ""), "")</f>
        <v/>
      </c>
      <c r="K438" s="105"/>
      <c r="L438" s="105" t="str">
        <f>IF(F438=True, IFERROR(VLOOKUP(D438, Repository!A:E, 5, 0), ""), "")</f>
        <v/>
      </c>
      <c r="M438" s="105"/>
      <c r="N438" s="105" t="str">
        <f>IF(F438=True, IFERROR(VLOOKUP(D438, Repository!A:G, 7, 0), ""), "")</f>
        <v/>
      </c>
      <c r="O438" s="105" t="str">
        <f>IFERROR(__xludf.DUMMYFUNCTION("ARRAY_CONSTRAIN(
  ARRAYFORMULA(
    IFERROR(
      LET(
        list, N438,
        arr, TRIM(SPLIT(list, "","")),
        names, XLOOKUP(
          arr,
          'Conformance Score'!A:A,
          'Conformance Score'!B:B,
          ""Not found""
      "&amp;"  ),
        TEXTJOIN("", "", TRUE, names)
      ),
      """"
    )
  ),
  1,
  1
)
"),"")</f>
        <v/>
      </c>
      <c r="P438" s="105" t="str">
        <f>IF(F438="Yes", IFERROR(VLOOKUP(D438, Repository!A:F, 6, 0), ""), "")</f>
        <v/>
      </c>
      <c r="Q438" s="105" t="str">
        <f>IF(F438="Yes", IFERROR(VLOOKUP(D438, Repository!A:I, 8, 0), ""), "")</f>
        <v/>
      </c>
      <c r="R438" s="105" t="str">
        <f>IF(F438="Yes", IFERROR(VLOOKUP(D438, Repository!A:J, 9, 0), ""), "")</f>
        <v/>
      </c>
      <c r="S438" s="105"/>
      <c r="T438" s="105"/>
      <c r="U438" s="105"/>
      <c r="V438" s="105"/>
      <c r="W438" s="105"/>
      <c r="X438" s="105"/>
      <c r="Y438" s="105"/>
      <c r="Z438" s="105"/>
      <c r="AA438" s="105"/>
      <c r="AB438" s="105"/>
      <c r="AC438" s="91"/>
      <c r="AD438" s="105"/>
      <c r="AE438" s="105"/>
      <c r="AF438" s="91"/>
      <c r="AG438" s="105"/>
      <c r="AH438" s="105"/>
      <c r="AI438" s="105" t="str">
        <f t="shared" si="1"/>
        <v/>
      </c>
      <c r="AJ438" s="108" t="str">
        <f t="shared" si="2"/>
        <v/>
      </c>
    </row>
    <row r="439" ht="15.75" customHeight="1">
      <c r="A439" s="104"/>
      <c r="B439" s="105" t="str">
        <f>IFERROR(__xludf.DUMMYFUNCTION("ARRAY_CONSTRAIN(
  ARRAYFORMULA(
    IF(
      'Final Report'!A439="""",
      """",
      TEXTJOIN(
        "", "" &amp; CHAR(10),
        TRUE,
        IFERROR(
          VLOOKUP(
            TRIM(
              SPLIT('Final Report'!A439, "","")
           "&amp;" ),
            'URL Details'!A:B,
            2,
            FALSE
          ),
          """"
        )
      )
    )
  ),
  1,
  1
)
"),"")</f>
        <v/>
      </c>
      <c r="C439" s="105" t="str">
        <f>IFERROR(__xludf.DUMMYFUNCTION("IFERROR(IF('Final Report'!A439="""","""", TEXTJOIN(CHAR(10), TRUE, ARRAYFORMULA( ""• ""&amp; FILTER( TRIM(FLATTEN(SPLIT( REGEXREPLACE( SUBSTITUTE(TEXTJOIN("","", TRUE, IFERROR(ARRAYFORMULA(VLOOKUP(TRIM(SPLIT('Final Report'!A439, "","")), 'URL Details'!A:D, 4,"&amp;" FALSE)),"""") ), CHAR(10), "",""), ""\s*,\s*"", "",""), "",""))), TRIM(FLATTEN(SPLIT( REGEXREPLACE( SUBSTITUTE(TEXTJOIN("","", TRUE, IFERROR(ARRAYFORMULA(VLOOKUP(TRIM(SPLIT('Final Report'!A439, "","")), 'URL Details'!A:D, 4, FALSE)),"""") ), CHAR(10), """&amp;",""), ""\s*,\s*"", "",""), "","")))&lt;&gt;"""" ) ) ) ),"""")
"),"")</f>
        <v/>
      </c>
      <c r="D439" s="105"/>
      <c r="E439" s="105"/>
      <c r="F439" s="110" t="b">
        <v>0</v>
      </c>
      <c r="G439" s="105" t="str">
        <f>IF(F439=True, IFERROR(VLOOKUP(D439, Repository!A:B, 2, 0), ""), "")</f>
        <v/>
      </c>
      <c r="H439" s="105"/>
      <c r="I439" s="105"/>
      <c r="J439" s="105" t="str">
        <f>IF(F439=True, IFERROR(VLOOKUP(D439, Repository!A:C, 3, 0), ""), "")</f>
        <v/>
      </c>
      <c r="K439" s="105"/>
      <c r="L439" s="105" t="str">
        <f>IF(F439=True, IFERROR(VLOOKUP(D439, Repository!A:E, 5, 0), ""), "")</f>
        <v/>
      </c>
      <c r="M439" s="105"/>
      <c r="N439" s="105" t="str">
        <f>IF(F439=True, IFERROR(VLOOKUP(D439, Repository!A:G, 7, 0), ""), "")</f>
        <v/>
      </c>
      <c r="O439" s="105" t="str">
        <f>IFERROR(__xludf.DUMMYFUNCTION("ARRAY_CONSTRAIN(
  ARRAYFORMULA(
    IFERROR(
      LET(
        list, N439,
        arr, TRIM(SPLIT(list, "","")),
        names, XLOOKUP(
          arr,
          'Conformance Score'!A:A,
          'Conformance Score'!B:B,
          ""Not found""
      "&amp;"  ),
        TEXTJOIN("", "", TRUE, names)
      ),
      """"
    )
  ),
  1,
  1
)
"),"")</f>
        <v/>
      </c>
      <c r="P439" s="105" t="str">
        <f>IF(F439="Yes", IFERROR(VLOOKUP(D439, Repository!A:F, 6, 0), ""), "")</f>
        <v/>
      </c>
      <c r="Q439" s="105" t="str">
        <f>IF(F439="Yes", IFERROR(VLOOKUP(D439, Repository!A:I, 8, 0), ""), "")</f>
        <v/>
      </c>
      <c r="R439" s="105" t="str">
        <f>IF(F439="Yes", IFERROR(VLOOKUP(D439, Repository!A:J, 9, 0), ""), "")</f>
        <v/>
      </c>
      <c r="S439" s="105"/>
      <c r="T439" s="105"/>
      <c r="U439" s="105"/>
      <c r="V439" s="105"/>
      <c r="W439" s="105"/>
      <c r="X439" s="105"/>
      <c r="Y439" s="105"/>
      <c r="Z439" s="105"/>
      <c r="AA439" s="105"/>
      <c r="AB439" s="105"/>
      <c r="AC439" s="91"/>
      <c r="AD439" s="105"/>
      <c r="AE439" s="105"/>
      <c r="AF439" s="91"/>
      <c r="AG439" s="105"/>
      <c r="AH439" s="105"/>
      <c r="AI439" s="105" t="str">
        <f t="shared" si="1"/>
        <v/>
      </c>
      <c r="AJ439" s="108" t="str">
        <f t="shared" si="2"/>
        <v/>
      </c>
    </row>
    <row r="440" ht="15.75" customHeight="1">
      <c r="A440" s="104"/>
      <c r="B440" s="105" t="str">
        <f>IFERROR(__xludf.DUMMYFUNCTION("ARRAY_CONSTRAIN(
  ARRAYFORMULA(
    IF(
      'Final Report'!A440="""",
      """",
      TEXTJOIN(
        "", "" &amp; CHAR(10),
        TRUE,
        IFERROR(
          VLOOKUP(
            TRIM(
              SPLIT('Final Report'!A440, "","")
           "&amp;" ),
            'URL Details'!A:B,
            2,
            FALSE
          ),
          """"
        )
      )
    )
  ),
  1,
  1
)
"),"")</f>
        <v/>
      </c>
      <c r="C440" s="105" t="str">
        <f>IFERROR(__xludf.DUMMYFUNCTION("IFERROR(IF('Final Report'!A440="""","""", TEXTJOIN(CHAR(10), TRUE, ARRAYFORMULA( ""• ""&amp; FILTER( TRIM(FLATTEN(SPLIT( REGEXREPLACE( SUBSTITUTE(TEXTJOIN("","", TRUE, IFERROR(ARRAYFORMULA(VLOOKUP(TRIM(SPLIT('Final Report'!A440, "","")), 'URL Details'!A:D, 4,"&amp;" FALSE)),"""") ), CHAR(10), "",""), ""\s*,\s*"", "",""), "",""))), TRIM(FLATTEN(SPLIT( REGEXREPLACE( SUBSTITUTE(TEXTJOIN("","", TRUE, IFERROR(ARRAYFORMULA(VLOOKUP(TRIM(SPLIT('Final Report'!A440, "","")), 'URL Details'!A:D, 4, FALSE)),"""") ), CHAR(10), """&amp;",""), ""\s*,\s*"", "",""), "","")))&lt;&gt;"""" ) ) ) ),"""")
"),"")</f>
        <v/>
      </c>
      <c r="D440" s="105"/>
      <c r="E440" s="105"/>
      <c r="F440" s="110" t="b">
        <v>0</v>
      </c>
      <c r="G440" s="105" t="str">
        <f>IF(F440=True, IFERROR(VLOOKUP(D440, Repository!A:B, 2, 0), ""), "")</f>
        <v/>
      </c>
      <c r="H440" s="105"/>
      <c r="I440" s="105"/>
      <c r="J440" s="105" t="str">
        <f>IF(F440=True, IFERROR(VLOOKUP(D440, Repository!A:C, 3, 0), ""), "")</f>
        <v/>
      </c>
      <c r="K440" s="105"/>
      <c r="L440" s="105" t="str">
        <f>IF(F440=True, IFERROR(VLOOKUP(D440, Repository!A:E, 5, 0), ""), "")</f>
        <v/>
      </c>
      <c r="M440" s="105"/>
      <c r="N440" s="105" t="str">
        <f>IF(F440=True, IFERROR(VLOOKUP(D440, Repository!A:G, 7, 0), ""), "")</f>
        <v/>
      </c>
      <c r="O440" s="105" t="str">
        <f>IFERROR(__xludf.DUMMYFUNCTION("ARRAY_CONSTRAIN(
  ARRAYFORMULA(
    IFERROR(
      LET(
        list, N440,
        arr, TRIM(SPLIT(list, "","")),
        names, XLOOKUP(
          arr,
          'Conformance Score'!A:A,
          'Conformance Score'!B:B,
          ""Not found""
      "&amp;"  ),
        TEXTJOIN("", "", TRUE, names)
      ),
      """"
    )
  ),
  1,
  1
)
"),"")</f>
        <v/>
      </c>
      <c r="P440" s="105" t="str">
        <f>IF(F440="Yes", IFERROR(VLOOKUP(D440, Repository!A:F, 6, 0), ""), "")</f>
        <v/>
      </c>
      <c r="Q440" s="105" t="str">
        <f>IF(F440="Yes", IFERROR(VLOOKUP(D440, Repository!A:I, 8, 0), ""), "")</f>
        <v/>
      </c>
      <c r="R440" s="105" t="str">
        <f>IF(F440="Yes", IFERROR(VLOOKUP(D440, Repository!A:J, 9, 0), ""), "")</f>
        <v/>
      </c>
      <c r="S440" s="105"/>
      <c r="T440" s="105"/>
      <c r="U440" s="105"/>
      <c r="V440" s="105"/>
      <c r="W440" s="105"/>
      <c r="X440" s="105"/>
      <c r="Y440" s="105"/>
      <c r="Z440" s="105"/>
      <c r="AA440" s="105"/>
      <c r="AB440" s="105"/>
      <c r="AC440" s="91"/>
      <c r="AD440" s="105"/>
      <c r="AE440" s="105"/>
      <c r="AF440" s="91"/>
      <c r="AG440" s="105"/>
      <c r="AH440" s="105"/>
      <c r="AI440" s="105" t="str">
        <f t="shared" si="1"/>
        <v/>
      </c>
      <c r="AJ440" s="108" t="str">
        <f t="shared" si="2"/>
        <v/>
      </c>
    </row>
    <row r="441" ht="15.75" customHeight="1">
      <c r="A441" s="104"/>
      <c r="B441" s="105" t="str">
        <f>IFERROR(__xludf.DUMMYFUNCTION("ARRAY_CONSTRAIN(
  ARRAYFORMULA(
    IF(
      'Final Report'!A441="""",
      """",
      TEXTJOIN(
        "", "" &amp; CHAR(10),
        TRUE,
        IFERROR(
          VLOOKUP(
            TRIM(
              SPLIT('Final Report'!A441, "","")
           "&amp;" ),
            'URL Details'!A:B,
            2,
            FALSE
          ),
          """"
        )
      )
    )
  ),
  1,
  1
)
"),"")</f>
        <v/>
      </c>
      <c r="C441" s="105" t="str">
        <f>IFERROR(__xludf.DUMMYFUNCTION("IFERROR(IF('Final Report'!A441="""","""", TEXTJOIN(CHAR(10), TRUE, ARRAYFORMULA( ""• ""&amp; FILTER( TRIM(FLATTEN(SPLIT( REGEXREPLACE( SUBSTITUTE(TEXTJOIN("","", TRUE, IFERROR(ARRAYFORMULA(VLOOKUP(TRIM(SPLIT('Final Report'!A441, "","")), 'URL Details'!A:D, 4,"&amp;" FALSE)),"""") ), CHAR(10), "",""), ""\s*,\s*"", "",""), "",""))), TRIM(FLATTEN(SPLIT( REGEXREPLACE( SUBSTITUTE(TEXTJOIN("","", TRUE, IFERROR(ARRAYFORMULA(VLOOKUP(TRIM(SPLIT('Final Report'!A441, "","")), 'URL Details'!A:D, 4, FALSE)),"""") ), CHAR(10), """&amp;",""), ""\s*,\s*"", "",""), "","")))&lt;&gt;"""" ) ) ) ),"""")
"),"")</f>
        <v/>
      </c>
      <c r="D441" s="105"/>
      <c r="E441" s="105"/>
      <c r="F441" s="110" t="b">
        <v>0</v>
      </c>
      <c r="G441" s="105" t="str">
        <f>IF(F441=True, IFERROR(VLOOKUP(D441, Repository!A:B, 2, 0), ""), "")</f>
        <v/>
      </c>
      <c r="H441" s="105"/>
      <c r="I441" s="105"/>
      <c r="J441" s="105" t="str">
        <f>IF(F441=True, IFERROR(VLOOKUP(D441, Repository!A:C, 3, 0), ""), "")</f>
        <v/>
      </c>
      <c r="K441" s="105"/>
      <c r="L441" s="105" t="str">
        <f>IF(F441=True, IFERROR(VLOOKUP(D441, Repository!A:E, 5, 0), ""), "")</f>
        <v/>
      </c>
      <c r="M441" s="105"/>
      <c r="N441" s="105" t="str">
        <f>IF(F441=True, IFERROR(VLOOKUP(D441, Repository!A:G, 7, 0), ""), "")</f>
        <v/>
      </c>
      <c r="O441" s="105" t="str">
        <f>IFERROR(__xludf.DUMMYFUNCTION("ARRAY_CONSTRAIN(
  ARRAYFORMULA(
    IFERROR(
      LET(
        list, N441,
        arr, TRIM(SPLIT(list, "","")),
        names, XLOOKUP(
          arr,
          'Conformance Score'!A:A,
          'Conformance Score'!B:B,
          ""Not found""
      "&amp;"  ),
        TEXTJOIN("", "", TRUE, names)
      ),
      """"
    )
  ),
  1,
  1
)
"),"")</f>
        <v/>
      </c>
      <c r="P441" s="105" t="str">
        <f>IF(F441="Yes", IFERROR(VLOOKUP(D441, Repository!A:F, 6, 0), ""), "")</f>
        <v/>
      </c>
      <c r="Q441" s="105" t="str">
        <f>IF(F441="Yes", IFERROR(VLOOKUP(D441, Repository!A:I, 8, 0), ""), "")</f>
        <v/>
      </c>
      <c r="R441" s="105" t="str">
        <f>IF(F441="Yes", IFERROR(VLOOKUP(D441, Repository!A:J, 9, 0), ""), "")</f>
        <v/>
      </c>
      <c r="S441" s="105"/>
      <c r="T441" s="105"/>
      <c r="U441" s="105"/>
      <c r="V441" s="105"/>
      <c r="W441" s="105"/>
      <c r="X441" s="105"/>
      <c r="Y441" s="105"/>
      <c r="Z441" s="105"/>
      <c r="AA441" s="105"/>
      <c r="AB441" s="105"/>
      <c r="AC441" s="91"/>
      <c r="AD441" s="105"/>
      <c r="AE441" s="105"/>
      <c r="AF441" s="91"/>
      <c r="AG441" s="105"/>
      <c r="AH441" s="105"/>
      <c r="AI441" s="105" t="str">
        <f t="shared" si="1"/>
        <v/>
      </c>
      <c r="AJ441" s="108" t="str">
        <f t="shared" si="2"/>
        <v/>
      </c>
    </row>
    <row r="442" ht="15.75" customHeight="1">
      <c r="A442" s="104"/>
      <c r="B442" s="105" t="str">
        <f>IFERROR(__xludf.DUMMYFUNCTION("ARRAY_CONSTRAIN(
  ARRAYFORMULA(
    IF(
      'Final Report'!A442="""",
      """",
      TEXTJOIN(
        "", "" &amp; CHAR(10),
        TRUE,
        IFERROR(
          VLOOKUP(
            TRIM(
              SPLIT('Final Report'!A442, "","")
           "&amp;" ),
            'URL Details'!A:B,
            2,
            FALSE
          ),
          """"
        )
      )
    )
  ),
  1,
  1
)
"),"")</f>
        <v/>
      </c>
      <c r="C442" s="105" t="str">
        <f>IFERROR(__xludf.DUMMYFUNCTION("IFERROR(IF('Final Report'!A442="""","""", TEXTJOIN(CHAR(10), TRUE, ARRAYFORMULA( ""• ""&amp; FILTER( TRIM(FLATTEN(SPLIT( REGEXREPLACE( SUBSTITUTE(TEXTJOIN("","", TRUE, IFERROR(ARRAYFORMULA(VLOOKUP(TRIM(SPLIT('Final Report'!A442, "","")), 'URL Details'!A:D, 4,"&amp;" FALSE)),"""") ), CHAR(10), "",""), ""\s*,\s*"", "",""), "",""))), TRIM(FLATTEN(SPLIT( REGEXREPLACE( SUBSTITUTE(TEXTJOIN("","", TRUE, IFERROR(ARRAYFORMULA(VLOOKUP(TRIM(SPLIT('Final Report'!A442, "","")), 'URL Details'!A:D, 4, FALSE)),"""") ), CHAR(10), """&amp;",""), ""\s*,\s*"", "",""), "","")))&lt;&gt;"""" ) ) ) ),"""")
"),"")</f>
        <v/>
      </c>
      <c r="D442" s="105"/>
      <c r="E442" s="105"/>
      <c r="F442" s="110" t="b">
        <v>0</v>
      </c>
      <c r="G442" s="105" t="str">
        <f>IF(F442=True, IFERROR(VLOOKUP(D442, Repository!A:B, 2, 0), ""), "")</f>
        <v/>
      </c>
      <c r="H442" s="105"/>
      <c r="I442" s="105"/>
      <c r="J442" s="105" t="str">
        <f>IF(F442=True, IFERROR(VLOOKUP(D442, Repository!A:C, 3, 0), ""), "")</f>
        <v/>
      </c>
      <c r="K442" s="105"/>
      <c r="L442" s="105" t="str">
        <f>IF(F442=True, IFERROR(VLOOKUP(D442, Repository!A:E, 5, 0), ""), "")</f>
        <v/>
      </c>
      <c r="M442" s="105"/>
      <c r="N442" s="105" t="str">
        <f>IF(F442=True, IFERROR(VLOOKUP(D442, Repository!A:G, 7, 0), ""), "")</f>
        <v/>
      </c>
      <c r="O442" s="105" t="str">
        <f>IFERROR(__xludf.DUMMYFUNCTION("ARRAY_CONSTRAIN(
  ARRAYFORMULA(
    IFERROR(
      LET(
        list, N442,
        arr, TRIM(SPLIT(list, "","")),
        names, XLOOKUP(
          arr,
          'Conformance Score'!A:A,
          'Conformance Score'!B:B,
          ""Not found""
      "&amp;"  ),
        TEXTJOIN("", "", TRUE, names)
      ),
      """"
    )
  ),
  1,
  1
)
"),"")</f>
        <v/>
      </c>
      <c r="P442" s="105" t="str">
        <f>IF(F442="Yes", IFERROR(VLOOKUP(D442, Repository!A:F, 6, 0), ""), "")</f>
        <v/>
      </c>
      <c r="Q442" s="105" t="str">
        <f>IF(F442="Yes", IFERROR(VLOOKUP(D442, Repository!A:I, 8, 0), ""), "")</f>
        <v/>
      </c>
      <c r="R442" s="105" t="str">
        <f>IF(F442="Yes", IFERROR(VLOOKUP(D442, Repository!A:J, 9, 0), ""), "")</f>
        <v/>
      </c>
      <c r="S442" s="105"/>
      <c r="T442" s="105"/>
      <c r="U442" s="105"/>
      <c r="V442" s="105"/>
      <c r="W442" s="105"/>
      <c r="X442" s="105"/>
      <c r="Y442" s="105"/>
      <c r="Z442" s="105"/>
      <c r="AA442" s="105"/>
      <c r="AB442" s="105"/>
      <c r="AC442" s="91"/>
      <c r="AD442" s="105"/>
      <c r="AE442" s="105"/>
      <c r="AF442" s="91"/>
      <c r="AG442" s="105"/>
      <c r="AH442" s="105"/>
      <c r="AI442" s="105" t="str">
        <f t="shared" si="1"/>
        <v/>
      </c>
      <c r="AJ442" s="108" t="str">
        <f t="shared" si="2"/>
        <v/>
      </c>
    </row>
    <row r="443" ht="15.75" customHeight="1">
      <c r="A443" s="104"/>
      <c r="B443" s="105" t="str">
        <f>IFERROR(__xludf.DUMMYFUNCTION("ARRAY_CONSTRAIN(
  ARRAYFORMULA(
    IF(
      'Final Report'!A443="""",
      """",
      TEXTJOIN(
        "", "" &amp; CHAR(10),
        TRUE,
        IFERROR(
          VLOOKUP(
            TRIM(
              SPLIT('Final Report'!A443, "","")
           "&amp;" ),
            'URL Details'!A:B,
            2,
            FALSE
          ),
          """"
        )
      )
    )
  ),
  1,
  1
)
"),"")</f>
        <v/>
      </c>
      <c r="C443" s="105" t="str">
        <f>IFERROR(__xludf.DUMMYFUNCTION("IFERROR(IF('Final Report'!A443="""","""", TEXTJOIN(CHAR(10), TRUE, ARRAYFORMULA( ""• ""&amp; FILTER( TRIM(FLATTEN(SPLIT( REGEXREPLACE( SUBSTITUTE(TEXTJOIN("","", TRUE, IFERROR(ARRAYFORMULA(VLOOKUP(TRIM(SPLIT('Final Report'!A443, "","")), 'URL Details'!A:D, 4,"&amp;" FALSE)),"""") ), CHAR(10), "",""), ""\s*,\s*"", "",""), "",""))), TRIM(FLATTEN(SPLIT( REGEXREPLACE( SUBSTITUTE(TEXTJOIN("","", TRUE, IFERROR(ARRAYFORMULA(VLOOKUP(TRIM(SPLIT('Final Report'!A443, "","")), 'URL Details'!A:D, 4, FALSE)),"""") ), CHAR(10), """&amp;",""), ""\s*,\s*"", "",""), "","")))&lt;&gt;"""" ) ) ) ),"""")
"),"")</f>
        <v/>
      </c>
      <c r="D443" s="105"/>
      <c r="E443" s="105"/>
      <c r="F443" s="110" t="b">
        <v>0</v>
      </c>
      <c r="G443" s="105" t="str">
        <f>IF(F443=True, IFERROR(VLOOKUP(D443, Repository!A:B, 2, 0), ""), "")</f>
        <v/>
      </c>
      <c r="H443" s="105"/>
      <c r="I443" s="105"/>
      <c r="J443" s="105" t="str">
        <f>IF(F443=True, IFERROR(VLOOKUP(D443, Repository!A:C, 3, 0), ""), "")</f>
        <v/>
      </c>
      <c r="K443" s="105"/>
      <c r="L443" s="105" t="str">
        <f>IF(F443=True, IFERROR(VLOOKUP(D443, Repository!A:E, 5, 0), ""), "")</f>
        <v/>
      </c>
      <c r="M443" s="105"/>
      <c r="N443" s="105" t="str">
        <f>IF(F443=True, IFERROR(VLOOKUP(D443, Repository!A:G, 7, 0), ""), "")</f>
        <v/>
      </c>
      <c r="O443" s="105" t="str">
        <f>IFERROR(__xludf.DUMMYFUNCTION("ARRAY_CONSTRAIN(
  ARRAYFORMULA(
    IFERROR(
      LET(
        list, N443,
        arr, TRIM(SPLIT(list, "","")),
        names, XLOOKUP(
          arr,
          'Conformance Score'!A:A,
          'Conformance Score'!B:B,
          ""Not found""
      "&amp;"  ),
        TEXTJOIN("", "", TRUE, names)
      ),
      """"
    )
  ),
  1,
  1
)
"),"")</f>
        <v/>
      </c>
      <c r="P443" s="105" t="str">
        <f>IF(F443="Yes", IFERROR(VLOOKUP(D443, Repository!A:F, 6, 0), ""), "")</f>
        <v/>
      </c>
      <c r="Q443" s="105" t="str">
        <f>IF(F443="Yes", IFERROR(VLOOKUP(D443, Repository!A:I, 8, 0), ""), "")</f>
        <v/>
      </c>
      <c r="R443" s="105" t="str">
        <f>IF(F443="Yes", IFERROR(VLOOKUP(D443, Repository!A:J, 9, 0), ""), "")</f>
        <v/>
      </c>
      <c r="S443" s="105"/>
      <c r="T443" s="105"/>
      <c r="U443" s="105"/>
      <c r="V443" s="105"/>
      <c r="W443" s="105"/>
      <c r="X443" s="105"/>
      <c r="Y443" s="105"/>
      <c r="Z443" s="105"/>
      <c r="AA443" s="105"/>
      <c r="AB443" s="105"/>
      <c r="AC443" s="91"/>
      <c r="AD443" s="105"/>
      <c r="AE443" s="105"/>
      <c r="AF443" s="91"/>
      <c r="AG443" s="105"/>
      <c r="AH443" s="105"/>
      <c r="AI443" s="105" t="str">
        <f t="shared" si="1"/>
        <v/>
      </c>
      <c r="AJ443" s="108" t="str">
        <f t="shared" si="2"/>
        <v/>
      </c>
    </row>
    <row r="444" ht="15.75" customHeight="1">
      <c r="A444" s="104"/>
      <c r="B444" s="105" t="str">
        <f>IFERROR(__xludf.DUMMYFUNCTION("ARRAY_CONSTRAIN(
  ARRAYFORMULA(
    IF(
      'Final Report'!A444="""",
      """",
      TEXTJOIN(
        "", "" &amp; CHAR(10),
        TRUE,
        IFERROR(
          VLOOKUP(
            TRIM(
              SPLIT('Final Report'!A444, "","")
           "&amp;" ),
            'URL Details'!A:B,
            2,
            FALSE
          ),
          """"
        )
      )
    )
  ),
  1,
  1
)
"),"")</f>
        <v/>
      </c>
      <c r="C444" s="105" t="str">
        <f>IFERROR(__xludf.DUMMYFUNCTION("IFERROR(IF('Final Report'!A444="""","""", TEXTJOIN(CHAR(10), TRUE, ARRAYFORMULA( ""• ""&amp; FILTER( TRIM(FLATTEN(SPLIT( REGEXREPLACE( SUBSTITUTE(TEXTJOIN("","", TRUE, IFERROR(ARRAYFORMULA(VLOOKUP(TRIM(SPLIT('Final Report'!A444, "","")), 'URL Details'!A:D, 4,"&amp;" FALSE)),"""") ), CHAR(10), "",""), ""\s*,\s*"", "",""), "",""))), TRIM(FLATTEN(SPLIT( REGEXREPLACE( SUBSTITUTE(TEXTJOIN("","", TRUE, IFERROR(ARRAYFORMULA(VLOOKUP(TRIM(SPLIT('Final Report'!A444, "","")), 'URL Details'!A:D, 4, FALSE)),"""") ), CHAR(10), """&amp;",""), ""\s*,\s*"", "",""), "","")))&lt;&gt;"""" ) ) ) ),"""")
"),"")</f>
        <v/>
      </c>
      <c r="D444" s="105"/>
      <c r="E444" s="105"/>
      <c r="F444" s="110" t="b">
        <v>0</v>
      </c>
      <c r="G444" s="105" t="str">
        <f>IF(F444=True, IFERROR(VLOOKUP(D444, Repository!A:B, 2, 0), ""), "")</f>
        <v/>
      </c>
      <c r="H444" s="105"/>
      <c r="I444" s="105"/>
      <c r="J444" s="105" t="str">
        <f>IF(F444=True, IFERROR(VLOOKUP(D444, Repository!A:C, 3, 0), ""), "")</f>
        <v/>
      </c>
      <c r="K444" s="105"/>
      <c r="L444" s="105" t="str">
        <f>IF(F444=True, IFERROR(VLOOKUP(D444, Repository!A:E, 5, 0), ""), "")</f>
        <v/>
      </c>
      <c r="M444" s="105"/>
      <c r="N444" s="105" t="str">
        <f>IF(F444=True, IFERROR(VLOOKUP(D444, Repository!A:G, 7, 0), ""), "")</f>
        <v/>
      </c>
      <c r="O444" s="105" t="str">
        <f>IFERROR(__xludf.DUMMYFUNCTION("ARRAY_CONSTRAIN(
  ARRAYFORMULA(
    IFERROR(
      LET(
        list, N444,
        arr, TRIM(SPLIT(list, "","")),
        names, XLOOKUP(
          arr,
          'Conformance Score'!A:A,
          'Conformance Score'!B:B,
          ""Not found""
      "&amp;"  ),
        TEXTJOIN("", "", TRUE, names)
      ),
      """"
    )
  ),
  1,
  1
)
"),"")</f>
        <v/>
      </c>
      <c r="P444" s="105" t="str">
        <f>IF(F444="Yes", IFERROR(VLOOKUP(D444, Repository!A:F, 6, 0), ""), "")</f>
        <v/>
      </c>
      <c r="Q444" s="105" t="str">
        <f>IF(F444="Yes", IFERROR(VLOOKUP(D444, Repository!A:I, 8, 0), ""), "")</f>
        <v/>
      </c>
      <c r="R444" s="105" t="str">
        <f>IF(F444="Yes", IFERROR(VLOOKUP(D444, Repository!A:J, 9, 0), ""), "")</f>
        <v/>
      </c>
      <c r="S444" s="105"/>
      <c r="T444" s="105"/>
      <c r="U444" s="105"/>
      <c r="V444" s="105"/>
      <c r="W444" s="105"/>
      <c r="X444" s="105"/>
      <c r="Y444" s="105"/>
      <c r="Z444" s="105"/>
      <c r="AA444" s="105"/>
      <c r="AB444" s="105"/>
      <c r="AC444" s="91"/>
      <c r="AD444" s="105"/>
      <c r="AE444" s="105"/>
      <c r="AF444" s="91"/>
      <c r="AG444" s="105"/>
      <c r="AH444" s="105"/>
      <c r="AI444" s="105" t="str">
        <f t="shared" si="1"/>
        <v/>
      </c>
      <c r="AJ444" s="108" t="str">
        <f t="shared" si="2"/>
        <v/>
      </c>
    </row>
    <row r="445" ht="15.75" customHeight="1">
      <c r="A445" s="104"/>
      <c r="B445" s="105" t="str">
        <f>IFERROR(__xludf.DUMMYFUNCTION("ARRAY_CONSTRAIN(
  ARRAYFORMULA(
    IF(
      'Final Report'!A445="""",
      """",
      TEXTJOIN(
        "", "" &amp; CHAR(10),
        TRUE,
        IFERROR(
          VLOOKUP(
            TRIM(
              SPLIT('Final Report'!A445, "","")
           "&amp;" ),
            'URL Details'!A:B,
            2,
            FALSE
          ),
          """"
        )
      )
    )
  ),
  1,
  1
)
"),"")</f>
        <v/>
      </c>
      <c r="C445" s="105" t="str">
        <f>IFERROR(__xludf.DUMMYFUNCTION("IFERROR(IF('Final Report'!A445="""","""", TEXTJOIN(CHAR(10), TRUE, ARRAYFORMULA( ""• ""&amp; FILTER( TRIM(FLATTEN(SPLIT( REGEXREPLACE( SUBSTITUTE(TEXTJOIN("","", TRUE, IFERROR(ARRAYFORMULA(VLOOKUP(TRIM(SPLIT('Final Report'!A445, "","")), 'URL Details'!A:D, 4,"&amp;" FALSE)),"""") ), CHAR(10), "",""), ""\s*,\s*"", "",""), "",""))), TRIM(FLATTEN(SPLIT( REGEXREPLACE( SUBSTITUTE(TEXTJOIN("","", TRUE, IFERROR(ARRAYFORMULA(VLOOKUP(TRIM(SPLIT('Final Report'!A445, "","")), 'URL Details'!A:D, 4, FALSE)),"""") ), CHAR(10), """&amp;",""), ""\s*,\s*"", "",""), "","")))&lt;&gt;"""" ) ) ) ),"""")
"),"")</f>
        <v/>
      </c>
      <c r="D445" s="105"/>
      <c r="E445" s="105"/>
      <c r="F445" s="110" t="b">
        <v>0</v>
      </c>
      <c r="G445" s="105" t="str">
        <f>IF(F445=True, IFERROR(VLOOKUP(D445, Repository!A:B, 2, 0), ""), "")</f>
        <v/>
      </c>
      <c r="H445" s="105"/>
      <c r="I445" s="105"/>
      <c r="J445" s="105" t="str">
        <f>IF(F445=True, IFERROR(VLOOKUP(D445, Repository!A:C, 3, 0), ""), "")</f>
        <v/>
      </c>
      <c r="K445" s="105"/>
      <c r="L445" s="105" t="str">
        <f>IF(F445=True, IFERROR(VLOOKUP(D445, Repository!A:E, 5, 0), ""), "")</f>
        <v/>
      </c>
      <c r="M445" s="105"/>
      <c r="N445" s="105" t="str">
        <f>IF(F445=True, IFERROR(VLOOKUP(D445, Repository!A:G, 7, 0), ""), "")</f>
        <v/>
      </c>
      <c r="O445" s="105" t="str">
        <f>IFERROR(__xludf.DUMMYFUNCTION("ARRAY_CONSTRAIN(
  ARRAYFORMULA(
    IFERROR(
      LET(
        list, N445,
        arr, TRIM(SPLIT(list, "","")),
        names, XLOOKUP(
          arr,
          'Conformance Score'!A:A,
          'Conformance Score'!B:B,
          ""Not found""
      "&amp;"  ),
        TEXTJOIN("", "", TRUE, names)
      ),
      """"
    )
  ),
  1,
  1
)
"),"")</f>
        <v/>
      </c>
      <c r="P445" s="105" t="str">
        <f>IF(F445="Yes", IFERROR(VLOOKUP(D445, Repository!A:F, 6, 0), ""), "")</f>
        <v/>
      </c>
      <c r="Q445" s="105" t="str">
        <f>IF(F445="Yes", IFERROR(VLOOKUP(D445, Repository!A:I, 8, 0), ""), "")</f>
        <v/>
      </c>
      <c r="R445" s="105" t="str">
        <f>IF(F445="Yes", IFERROR(VLOOKUP(D445, Repository!A:J, 9, 0), ""), "")</f>
        <v/>
      </c>
      <c r="S445" s="105"/>
      <c r="T445" s="105"/>
      <c r="U445" s="105"/>
      <c r="V445" s="105"/>
      <c r="W445" s="105"/>
      <c r="X445" s="105"/>
      <c r="Y445" s="105"/>
      <c r="Z445" s="105"/>
      <c r="AA445" s="105"/>
      <c r="AB445" s="105"/>
      <c r="AC445" s="91"/>
      <c r="AD445" s="105"/>
      <c r="AE445" s="105"/>
      <c r="AF445" s="91"/>
      <c r="AG445" s="105"/>
      <c r="AH445" s="105"/>
      <c r="AI445" s="105" t="str">
        <f t="shared" si="1"/>
        <v/>
      </c>
      <c r="AJ445" s="108" t="str">
        <f t="shared" si="2"/>
        <v/>
      </c>
    </row>
    <row r="446" ht="15.75" customHeight="1">
      <c r="A446" s="104"/>
      <c r="B446" s="105" t="str">
        <f>IFERROR(__xludf.DUMMYFUNCTION("ARRAY_CONSTRAIN(
  ARRAYFORMULA(
    IF(
      'Final Report'!A446="""",
      """",
      TEXTJOIN(
        "", "" &amp; CHAR(10),
        TRUE,
        IFERROR(
          VLOOKUP(
            TRIM(
              SPLIT('Final Report'!A446, "","")
           "&amp;" ),
            'URL Details'!A:B,
            2,
            FALSE
          ),
          """"
        )
      )
    )
  ),
  1,
  1
)
"),"")</f>
        <v/>
      </c>
      <c r="C446" s="105" t="str">
        <f>IFERROR(__xludf.DUMMYFUNCTION("IFERROR(IF('Final Report'!A446="""","""", TEXTJOIN(CHAR(10), TRUE, ARRAYFORMULA( ""• ""&amp; FILTER( TRIM(FLATTEN(SPLIT( REGEXREPLACE( SUBSTITUTE(TEXTJOIN("","", TRUE, IFERROR(ARRAYFORMULA(VLOOKUP(TRIM(SPLIT('Final Report'!A446, "","")), 'URL Details'!A:D, 4,"&amp;" FALSE)),"""") ), CHAR(10), "",""), ""\s*,\s*"", "",""), "",""))), TRIM(FLATTEN(SPLIT( REGEXREPLACE( SUBSTITUTE(TEXTJOIN("","", TRUE, IFERROR(ARRAYFORMULA(VLOOKUP(TRIM(SPLIT('Final Report'!A446, "","")), 'URL Details'!A:D, 4, FALSE)),"""") ), CHAR(10), """&amp;",""), ""\s*,\s*"", "",""), "","")))&lt;&gt;"""" ) ) ) ),"""")
"),"")</f>
        <v/>
      </c>
      <c r="D446" s="105"/>
      <c r="E446" s="105"/>
      <c r="F446" s="110" t="b">
        <v>0</v>
      </c>
      <c r="G446" s="105" t="str">
        <f>IF(F446=True, IFERROR(VLOOKUP(D446, Repository!A:B, 2, 0), ""), "")</f>
        <v/>
      </c>
      <c r="H446" s="105"/>
      <c r="I446" s="105"/>
      <c r="J446" s="105" t="str">
        <f>IF(F446=True, IFERROR(VLOOKUP(D446, Repository!A:C, 3, 0), ""), "")</f>
        <v/>
      </c>
      <c r="K446" s="105"/>
      <c r="L446" s="105" t="str">
        <f>IF(F446=True, IFERROR(VLOOKUP(D446, Repository!A:E, 5, 0), ""), "")</f>
        <v/>
      </c>
      <c r="M446" s="105"/>
      <c r="N446" s="105" t="str">
        <f>IF(F446=True, IFERROR(VLOOKUP(D446, Repository!A:G, 7, 0), ""), "")</f>
        <v/>
      </c>
      <c r="O446" s="105" t="str">
        <f>IFERROR(__xludf.DUMMYFUNCTION("ARRAY_CONSTRAIN(
  ARRAYFORMULA(
    IFERROR(
      LET(
        list, N446,
        arr, TRIM(SPLIT(list, "","")),
        names, XLOOKUP(
          arr,
          'Conformance Score'!A:A,
          'Conformance Score'!B:B,
          ""Not found""
      "&amp;"  ),
        TEXTJOIN("", "", TRUE, names)
      ),
      """"
    )
  ),
  1,
  1
)
"),"")</f>
        <v/>
      </c>
      <c r="P446" s="105" t="str">
        <f>IF(F446="Yes", IFERROR(VLOOKUP(D446, Repository!A:F, 6, 0), ""), "")</f>
        <v/>
      </c>
      <c r="Q446" s="105" t="str">
        <f>IF(F446="Yes", IFERROR(VLOOKUP(D446, Repository!A:I, 8, 0), ""), "")</f>
        <v/>
      </c>
      <c r="R446" s="105" t="str">
        <f>IF(F446="Yes", IFERROR(VLOOKUP(D446, Repository!A:J, 9, 0), ""), "")</f>
        <v/>
      </c>
      <c r="S446" s="105"/>
      <c r="T446" s="105"/>
      <c r="U446" s="105"/>
      <c r="V446" s="105"/>
      <c r="W446" s="105"/>
      <c r="X446" s="105"/>
      <c r="Y446" s="105"/>
      <c r="Z446" s="105"/>
      <c r="AA446" s="105"/>
      <c r="AB446" s="105"/>
      <c r="AC446" s="91"/>
      <c r="AD446" s="105"/>
      <c r="AE446" s="105"/>
      <c r="AF446" s="91"/>
      <c r="AG446" s="105"/>
      <c r="AH446" s="105"/>
      <c r="AI446" s="105" t="str">
        <f t="shared" si="1"/>
        <v/>
      </c>
      <c r="AJ446" s="108" t="str">
        <f t="shared" si="2"/>
        <v/>
      </c>
    </row>
    <row r="447" ht="15.75" customHeight="1">
      <c r="A447" s="104"/>
      <c r="B447" s="105" t="str">
        <f>IFERROR(__xludf.DUMMYFUNCTION("ARRAY_CONSTRAIN(
  ARRAYFORMULA(
    IF(
      'Final Report'!A447="""",
      """",
      TEXTJOIN(
        "", "" &amp; CHAR(10),
        TRUE,
        IFERROR(
          VLOOKUP(
            TRIM(
              SPLIT('Final Report'!A447, "","")
           "&amp;" ),
            'URL Details'!A:B,
            2,
            FALSE
          ),
          """"
        )
      )
    )
  ),
  1,
  1
)
"),"")</f>
        <v/>
      </c>
      <c r="C447" s="105" t="str">
        <f>IFERROR(__xludf.DUMMYFUNCTION("IFERROR(IF('Final Report'!A447="""","""", TEXTJOIN(CHAR(10), TRUE, ARRAYFORMULA( ""• ""&amp; FILTER( TRIM(FLATTEN(SPLIT( REGEXREPLACE( SUBSTITUTE(TEXTJOIN("","", TRUE, IFERROR(ARRAYFORMULA(VLOOKUP(TRIM(SPLIT('Final Report'!A447, "","")), 'URL Details'!A:D, 4,"&amp;" FALSE)),"""") ), CHAR(10), "",""), ""\s*,\s*"", "",""), "",""))), TRIM(FLATTEN(SPLIT( REGEXREPLACE( SUBSTITUTE(TEXTJOIN("","", TRUE, IFERROR(ARRAYFORMULA(VLOOKUP(TRIM(SPLIT('Final Report'!A447, "","")), 'URL Details'!A:D, 4, FALSE)),"""") ), CHAR(10), """&amp;",""), ""\s*,\s*"", "",""), "","")))&lt;&gt;"""" ) ) ) ),"""")
"),"")</f>
        <v/>
      </c>
      <c r="D447" s="105"/>
      <c r="E447" s="105"/>
      <c r="F447" s="110" t="b">
        <v>0</v>
      </c>
      <c r="G447" s="105" t="str">
        <f>IF(F447=True, IFERROR(VLOOKUP(D447, Repository!A:B, 2, 0), ""), "")</f>
        <v/>
      </c>
      <c r="H447" s="105"/>
      <c r="I447" s="105"/>
      <c r="J447" s="105" t="str">
        <f>IF(F447=True, IFERROR(VLOOKUP(D447, Repository!A:C, 3, 0), ""), "")</f>
        <v/>
      </c>
      <c r="K447" s="105"/>
      <c r="L447" s="105" t="str">
        <f>IF(F447=True, IFERROR(VLOOKUP(D447, Repository!A:E, 5, 0), ""), "")</f>
        <v/>
      </c>
      <c r="M447" s="105"/>
      <c r="N447" s="105" t="str">
        <f>IF(F447=True, IFERROR(VLOOKUP(D447, Repository!A:G, 7, 0), ""), "")</f>
        <v/>
      </c>
      <c r="O447" s="105" t="str">
        <f>IFERROR(__xludf.DUMMYFUNCTION("ARRAY_CONSTRAIN(
  ARRAYFORMULA(
    IFERROR(
      LET(
        list, N447,
        arr, TRIM(SPLIT(list, "","")),
        names, XLOOKUP(
          arr,
          'Conformance Score'!A:A,
          'Conformance Score'!B:B,
          ""Not found""
      "&amp;"  ),
        TEXTJOIN("", "", TRUE, names)
      ),
      """"
    )
  ),
  1,
  1
)
"),"")</f>
        <v/>
      </c>
      <c r="P447" s="105" t="str">
        <f>IF(F447="Yes", IFERROR(VLOOKUP(D447, Repository!A:F, 6, 0), ""), "")</f>
        <v/>
      </c>
      <c r="Q447" s="105" t="str">
        <f>IF(F447="Yes", IFERROR(VLOOKUP(D447, Repository!A:I, 8, 0), ""), "")</f>
        <v/>
      </c>
      <c r="R447" s="105" t="str">
        <f>IF(F447="Yes", IFERROR(VLOOKUP(D447, Repository!A:J, 9, 0), ""), "")</f>
        <v/>
      </c>
      <c r="S447" s="105"/>
      <c r="T447" s="105"/>
      <c r="U447" s="105"/>
      <c r="V447" s="105"/>
      <c r="W447" s="105"/>
      <c r="X447" s="105"/>
      <c r="Y447" s="105"/>
      <c r="Z447" s="105"/>
      <c r="AA447" s="105"/>
      <c r="AB447" s="105"/>
      <c r="AC447" s="91"/>
      <c r="AD447" s="105"/>
      <c r="AE447" s="105"/>
      <c r="AF447" s="91"/>
      <c r="AG447" s="105"/>
      <c r="AH447" s="105"/>
      <c r="AI447" s="105" t="str">
        <f t="shared" si="1"/>
        <v/>
      </c>
      <c r="AJ447" s="108" t="str">
        <f t="shared" si="2"/>
        <v/>
      </c>
    </row>
    <row r="448" ht="15.75" customHeight="1">
      <c r="A448" s="104"/>
      <c r="B448" s="105" t="str">
        <f>IFERROR(__xludf.DUMMYFUNCTION("ARRAY_CONSTRAIN(
  ARRAYFORMULA(
    IF(
      'Final Report'!A448="""",
      """",
      TEXTJOIN(
        "", "" &amp; CHAR(10),
        TRUE,
        IFERROR(
          VLOOKUP(
            TRIM(
              SPLIT('Final Report'!A448, "","")
           "&amp;" ),
            'URL Details'!A:B,
            2,
            FALSE
          ),
          """"
        )
      )
    )
  ),
  1,
  1
)
"),"")</f>
        <v/>
      </c>
      <c r="C448" s="105" t="str">
        <f>IFERROR(__xludf.DUMMYFUNCTION("IFERROR(IF('Final Report'!A448="""","""", TEXTJOIN(CHAR(10), TRUE, ARRAYFORMULA( ""• ""&amp; FILTER( TRIM(FLATTEN(SPLIT( REGEXREPLACE( SUBSTITUTE(TEXTJOIN("","", TRUE, IFERROR(ARRAYFORMULA(VLOOKUP(TRIM(SPLIT('Final Report'!A448, "","")), 'URL Details'!A:D, 4,"&amp;" FALSE)),"""") ), CHAR(10), "",""), ""\s*,\s*"", "",""), "",""))), TRIM(FLATTEN(SPLIT( REGEXREPLACE( SUBSTITUTE(TEXTJOIN("","", TRUE, IFERROR(ARRAYFORMULA(VLOOKUP(TRIM(SPLIT('Final Report'!A448, "","")), 'URL Details'!A:D, 4, FALSE)),"""") ), CHAR(10), """&amp;",""), ""\s*,\s*"", "",""), "","")))&lt;&gt;"""" ) ) ) ),"""")
"),"")</f>
        <v/>
      </c>
      <c r="D448" s="105"/>
      <c r="E448" s="105"/>
      <c r="F448" s="110" t="b">
        <v>0</v>
      </c>
      <c r="G448" s="105" t="str">
        <f>IF(F448=True, IFERROR(VLOOKUP(D448, Repository!A:B, 2, 0), ""), "")</f>
        <v/>
      </c>
      <c r="H448" s="105"/>
      <c r="I448" s="105"/>
      <c r="J448" s="105" t="str">
        <f>IF(F448=True, IFERROR(VLOOKUP(D448, Repository!A:C, 3, 0), ""), "")</f>
        <v/>
      </c>
      <c r="K448" s="105"/>
      <c r="L448" s="105" t="str">
        <f>IF(F448=True, IFERROR(VLOOKUP(D448, Repository!A:E, 5, 0), ""), "")</f>
        <v/>
      </c>
      <c r="M448" s="105"/>
      <c r="N448" s="105" t="str">
        <f>IF(F448=True, IFERROR(VLOOKUP(D448, Repository!A:G, 7, 0), ""), "")</f>
        <v/>
      </c>
      <c r="O448" s="105" t="str">
        <f>IFERROR(__xludf.DUMMYFUNCTION("ARRAY_CONSTRAIN(
  ARRAYFORMULA(
    IFERROR(
      LET(
        list, N448,
        arr, TRIM(SPLIT(list, "","")),
        names, XLOOKUP(
          arr,
          'Conformance Score'!A:A,
          'Conformance Score'!B:B,
          ""Not found""
      "&amp;"  ),
        TEXTJOIN("", "", TRUE, names)
      ),
      """"
    )
  ),
  1,
  1
)
"),"")</f>
        <v/>
      </c>
      <c r="P448" s="105" t="str">
        <f>IF(F448="Yes", IFERROR(VLOOKUP(D448, Repository!A:F, 6, 0), ""), "")</f>
        <v/>
      </c>
      <c r="Q448" s="105" t="str">
        <f>IF(F448="Yes", IFERROR(VLOOKUP(D448, Repository!A:I, 8, 0), ""), "")</f>
        <v/>
      </c>
      <c r="R448" s="105" t="str">
        <f>IF(F448="Yes", IFERROR(VLOOKUP(D448, Repository!A:J, 9, 0), ""), "")</f>
        <v/>
      </c>
      <c r="S448" s="105"/>
      <c r="T448" s="105"/>
      <c r="U448" s="105"/>
      <c r="V448" s="105"/>
      <c r="W448" s="105"/>
      <c r="X448" s="105"/>
      <c r="Y448" s="105"/>
      <c r="Z448" s="105"/>
      <c r="AA448" s="105"/>
      <c r="AB448" s="105"/>
      <c r="AC448" s="91"/>
      <c r="AD448" s="105"/>
      <c r="AE448" s="105"/>
      <c r="AF448" s="91"/>
      <c r="AG448" s="105"/>
      <c r="AH448" s="105"/>
      <c r="AI448" s="105" t="str">
        <f t="shared" si="1"/>
        <v/>
      </c>
      <c r="AJ448" s="108" t="str">
        <f t="shared" si="2"/>
        <v/>
      </c>
    </row>
    <row r="449" ht="15.75" customHeight="1">
      <c r="A449" s="104"/>
      <c r="B449" s="105" t="str">
        <f>IFERROR(__xludf.DUMMYFUNCTION("ARRAY_CONSTRAIN(
  ARRAYFORMULA(
    IF(
      'Final Report'!A449="""",
      """",
      TEXTJOIN(
        "", "" &amp; CHAR(10),
        TRUE,
        IFERROR(
          VLOOKUP(
            TRIM(
              SPLIT('Final Report'!A449, "","")
           "&amp;" ),
            'URL Details'!A:B,
            2,
            FALSE
          ),
          """"
        )
      )
    )
  ),
  1,
  1
)
"),"")</f>
        <v/>
      </c>
      <c r="C449" s="105" t="str">
        <f>IFERROR(__xludf.DUMMYFUNCTION("IFERROR(IF('Final Report'!A449="""","""", TEXTJOIN(CHAR(10), TRUE, ARRAYFORMULA( ""• ""&amp; FILTER( TRIM(FLATTEN(SPLIT( REGEXREPLACE( SUBSTITUTE(TEXTJOIN("","", TRUE, IFERROR(ARRAYFORMULA(VLOOKUP(TRIM(SPLIT('Final Report'!A449, "","")), 'URL Details'!A:D, 4,"&amp;" FALSE)),"""") ), CHAR(10), "",""), ""\s*,\s*"", "",""), "",""))), TRIM(FLATTEN(SPLIT( REGEXREPLACE( SUBSTITUTE(TEXTJOIN("","", TRUE, IFERROR(ARRAYFORMULA(VLOOKUP(TRIM(SPLIT('Final Report'!A449, "","")), 'URL Details'!A:D, 4, FALSE)),"""") ), CHAR(10), """&amp;",""), ""\s*,\s*"", "",""), "","")))&lt;&gt;"""" ) ) ) ),"""")
"),"")</f>
        <v/>
      </c>
      <c r="D449" s="105"/>
      <c r="E449" s="105"/>
      <c r="F449" s="110" t="b">
        <v>0</v>
      </c>
      <c r="G449" s="105" t="str">
        <f>IF(F449=True, IFERROR(VLOOKUP(D449, Repository!A:B, 2, 0), ""), "")</f>
        <v/>
      </c>
      <c r="H449" s="105"/>
      <c r="I449" s="105"/>
      <c r="J449" s="105" t="str">
        <f>IF(F449=True, IFERROR(VLOOKUP(D449, Repository!A:C, 3, 0), ""), "")</f>
        <v/>
      </c>
      <c r="K449" s="105"/>
      <c r="L449" s="105" t="str">
        <f>IF(F449=True, IFERROR(VLOOKUP(D449, Repository!A:E, 5, 0), ""), "")</f>
        <v/>
      </c>
      <c r="M449" s="105"/>
      <c r="N449" s="105" t="str">
        <f>IF(F449=True, IFERROR(VLOOKUP(D449, Repository!A:G, 7, 0), ""), "")</f>
        <v/>
      </c>
      <c r="O449" s="105" t="str">
        <f>IFERROR(__xludf.DUMMYFUNCTION("ARRAY_CONSTRAIN(
  ARRAYFORMULA(
    IFERROR(
      LET(
        list, N449,
        arr, TRIM(SPLIT(list, "","")),
        names, XLOOKUP(
          arr,
          'Conformance Score'!A:A,
          'Conformance Score'!B:B,
          ""Not found""
      "&amp;"  ),
        TEXTJOIN("", "", TRUE, names)
      ),
      """"
    )
  ),
  1,
  1
)
"),"")</f>
        <v/>
      </c>
      <c r="P449" s="105" t="str">
        <f>IF(F449="Yes", IFERROR(VLOOKUP(D449, Repository!A:F, 6, 0), ""), "")</f>
        <v/>
      </c>
      <c r="Q449" s="105" t="str">
        <f>IF(F449="Yes", IFERROR(VLOOKUP(D449, Repository!A:I, 8, 0), ""), "")</f>
        <v/>
      </c>
      <c r="R449" s="105" t="str">
        <f>IF(F449="Yes", IFERROR(VLOOKUP(D449, Repository!A:J, 9, 0), ""), "")</f>
        <v/>
      </c>
      <c r="S449" s="105"/>
      <c r="T449" s="105"/>
      <c r="U449" s="105"/>
      <c r="V449" s="105"/>
      <c r="W449" s="105"/>
      <c r="X449" s="105"/>
      <c r="Y449" s="105"/>
      <c r="Z449" s="105"/>
      <c r="AA449" s="105"/>
      <c r="AB449" s="105"/>
      <c r="AC449" s="91"/>
      <c r="AD449" s="105"/>
      <c r="AE449" s="105"/>
      <c r="AF449" s="91"/>
      <c r="AG449" s="105"/>
      <c r="AH449" s="105"/>
      <c r="AI449" s="105" t="str">
        <f t="shared" si="1"/>
        <v/>
      </c>
      <c r="AJ449" s="108" t="str">
        <f t="shared" si="2"/>
        <v/>
      </c>
    </row>
    <row r="450" ht="15.75" customHeight="1">
      <c r="A450" s="104"/>
      <c r="B450" s="105" t="str">
        <f>IFERROR(__xludf.DUMMYFUNCTION("ARRAY_CONSTRAIN(
  ARRAYFORMULA(
    IF(
      'Final Report'!A450="""",
      """",
      TEXTJOIN(
        "", "" &amp; CHAR(10),
        TRUE,
        IFERROR(
          VLOOKUP(
            TRIM(
              SPLIT('Final Report'!A450, "","")
           "&amp;" ),
            'URL Details'!A:B,
            2,
            FALSE
          ),
          """"
        )
      )
    )
  ),
  1,
  1
)
"),"")</f>
        <v/>
      </c>
      <c r="C450" s="105" t="str">
        <f>IFERROR(__xludf.DUMMYFUNCTION("IFERROR(IF('Final Report'!A450="""","""", TEXTJOIN(CHAR(10), TRUE, ARRAYFORMULA( ""• ""&amp; FILTER( TRIM(FLATTEN(SPLIT( REGEXREPLACE( SUBSTITUTE(TEXTJOIN("","", TRUE, IFERROR(ARRAYFORMULA(VLOOKUP(TRIM(SPLIT('Final Report'!A450, "","")), 'URL Details'!A:D, 4,"&amp;" FALSE)),"""") ), CHAR(10), "",""), ""\s*,\s*"", "",""), "",""))), TRIM(FLATTEN(SPLIT( REGEXREPLACE( SUBSTITUTE(TEXTJOIN("","", TRUE, IFERROR(ARRAYFORMULA(VLOOKUP(TRIM(SPLIT('Final Report'!A450, "","")), 'URL Details'!A:D, 4, FALSE)),"""") ), CHAR(10), """&amp;",""), ""\s*,\s*"", "",""), "","")))&lt;&gt;"""" ) ) ) ),"""")
"),"")</f>
        <v/>
      </c>
      <c r="D450" s="105"/>
      <c r="E450" s="105"/>
      <c r="F450" s="110" t="b">
        <v>0</v>
      </c>
      <c r="G450" s="105" t="str">
        <f>IF(F450=True, IFERROR(VLOOKUP(D450, Repository!A:B, 2, 0), ""), "")</f>
        <v/>
      </c>
      <c r="H450" s="105"/>
      <c r="I450" s="105"/>
      <c r="J450" s="105" t="str">
        <f>IF(F450=True, IFERROR(VLOOKUP(D450, Repository!A:C, 3, 0), ""), "")</f>
        <v/>
      </c>
      <c r="K450" s="105"/>
      <c r="L450" s="105" t="str">
        <f>IF(F450=True, IFERROR(VLOOKUP(D450, Repository!A:E, 5, 0), ""), "")</f>
        <v/>
      </c>
      <c r="M450" s="105"/>
      <c r="N450" s="105" t="str">
        <f>IF(F450=True, IFERROR(VLOOKUP(D450, Repository!A:G, 7, 0), ""), "")</f>
        <v/>
      </c>
      <c r="O450" s="105" t="str">
        <f>IFERROR(__xludf.DUMMYFUNCTION("ARRAY_CONSTRAIN(
  ARRAYFORMULA(
    IFERROR(
      LET(
        list, N450,
        arr, TRIM(SPLIT(list, "","")),
        names, XLOOKUP(
          arr,
          'Conformance Score'!A:A,
          'Conformance Score'!B:B,
          ""Not found""
      "&amp;"  ),
        TEXTJOIN("", "", TRUE, names)
      ),
      """"
    )
  ),
  1,
  1
)
"),"")</f>
        <v/>
      </c>
      <c r="P450" s="105" t="str">
        <f>IF(F450="Yes", IFERROR(VLOOKUP(D450, Repository!A:F, 6, 0), ""), "")</f>
        <v/>
      </c>
      <c r="Q450" s="105" t="str">
        <f>IF(F450="Yes", IFERROR(VLOOKUP(D450, Repository!A:I, 8, 0), ""), "")</f>
        <v/>
      </c>
      <c r="R450" s="105" t="str">
        <f>IF(F450="Yes", IFERROR(VLOOKUP(D450, Repository!A:J, 9, 0), ""), "")</f>
        <v/>
      </c>
      <c r="S450" s="105"/>
      <c r="T450" s="105"/>
      <c r="U450" s="105"/>
      <c r="V450" s="105"/>
      <c r="W450" s="105"/>
      <c r="X450" s="105"/>
      <c r="Y450" s="105"/>
      <c r="Z450" s="105"/>
      <c r="AA450" s="105"/>
      <c r="AB450" s="105"/>
      <c r="AC450" s="91"/>
      <c r="AD450" s="105"/>
      <c r="AE450" s="105"/>
      <c r="AF450" s="91"/>
      <c r="AG450" s="105"/>
      <c r="AH450" s="105"/>
      <c r="AI450" s="105" t="str">
        <f t="shared" si="1"/>
        <v/>
      </c>
      <c r="AJ450" s="108" t="str">
        <f t="shared" si="2"/>
        <v/>
      </c>
    </row>
    <row r="451" ht="15.75" customHeight="1">
      <c r="A451" s="104"/>
      <c r="B451" s="105" t="str">
        <f>IFERROR(__xludf.DUMMYFUNCTION("ARRAY_CONSTRAIN(
  ARRAYFORMULA(
    IF(
      'Final Report'!A451="""",
      """",
      TEXTJOIN(
        "", "" &amp; CHAR(10),
        TRUE,
        IFERROR(
          VLOOKUP(
            TRIM(
              SPLIT('Final Report'!A451, "","")
           "&amp;" ),
            'URL Details'!A:B,
            2,
            FALSE
          ),
          """"
        )
      )
    )
  ),
  1,
  1
)
"),"")</f>
        <v/>
      </c>
      <c r="C451" s="105" t="str">
        <f>IFERROR(__xludf.DUMMYFUNCTION("IFERROR(IF('Final Report'!A451="""","""", TEXTJOIN(CHAR(10), TRUE, ARRAYFORMULA( ""• ""&amp; FILTER( TRIM(FLATTEN(SPLIT( REGEXREPLACE( SUBSTITUTE(TEXTJOIN("","", TRUE, IFERROR(ARRAYFORMULA(VLOOKUP(TRIM(SPLIT('Final Report'!A451, "","")), 'URL Details'!A:D, 4,"&amp;" FALSE)),"""") ), CHAR(10), "",""), ""\s*,\s*"", "",""), "",""))), TRIM(FLATTEN(SPLIT( REGEXREPLACE( SUBSTITUTE(TEXTJOIN("","", TRUE, IFERROR(ARRAYFORMULA(VLOOKUP(TRIM(SPLIT('Final Report'!A451, "","")), 'URL Details'!A:D, 4, FALSE)),"""") ), CHAR(10), """&amp;",""), ""\s*,\s*"", "",""), "","")))&lt;&gt;"""" ) ) ) ),"""")
"),"")</f>
        <v/>
      </c>
      <c r="D451" s="105"/>
      <c r="E451" s="105"/>
      <c r="F451" s="110" t="b">
        <v>0</v>
      </c>
      <c r="G451" s="105" t="str">
        <f>IF(F451=True, IFERROR(VLOOKUP(D451, Repository!A:B, 2, 0), ""), "")</f>
        <v/>
      </c>
      <c r="H451" s="105"/>
      <c r="I451" s="105"/>
      <c r="J451" s="105" t="str">
        <f>IF(F451=True, IFERROR(VLOOKUP(D451, Repository!A:C, 3, 0), ""), "")</f>
        <v/>
      </c>
      <c r="K451" s="105"/>
      <c r="L451" s="105" t="str">
        <f>IF(F451=True, IFERROR(VLOOKUP(D451, Repository!A:E, 5, 0), ""), "")</f>
        <v/>
      </c>
      <c r="M451" s="105"/>
      <c r="N451" s="105" t="str">
        <f>IF(F451=True, IFERROR(VLOOKUP(D451, Repository!A:G, 7, 0), ""), "")</f>
        <v/>
      </c>
      <c r="O451" s="105" t="str">
        <f>IFERROR(__xludf.DUMMYFUNCTION("ARRAY_CONSTRAIN(
  ARRAYFORMULA(
    IFERROR(
      LET(
        list, N451,
        arr, TRIM(SPLIT(list, "","")),
        names, XLOOKUP(
          arr,
          'Conformance Score'!A:A,
          'Conformance Score'!B:B,
          ""Not found""
      "&amp;"  ),
        TEXTJOIN("", "", TRUE, names)
      ),
      """"
    )
  ),
  1,
  1
)
"),"")</f>
        <v/>
      </c>
      <c r="P451" s="105" t="str">
        <f>IF(F451="Yes", IFERROR(VLOOKUP(D451, Repository!A:F, 6, 0), ""), "")</f>
        <v/>
      </c>
      <c r="Q451" s="105" t="str">
        <f>IF(F451="Yes", IFERROR(VLOOKUP(D451, Repository!A:I, 8, 0), ""), "")</f>
        <v/>
      </c>
      <c r="R451" s="105" t="str">
        <f>IF(F451="Yes", IFERROR(VLOOKUP(D451, Repository!A:J, 9, 0), ""), "")</f>
        <v/>
      </c>
      <c r="S451" s="105"/>
      <c r="T451" s="105"/>
      <c r="U451" s="105"/>
      <c r="V451" s="105"/>
      <c r="W451" s="105"/>
      <c r="X451" s="105"/>
      <c r="Y451" s="105"/>
      <c r="Z451" s="105"/>
      <c r="AA451" s="105"/>
      <c r="AB451" s="105"/>
      <c r="AC451" s="91"/>
      <c r="AD451" s="105"/>
      <c r="AE451" s="105"/>
      <c r="AF451" s="91"/>
      <c r="AG451" s="105"/>
      <c r="AH451" s="105"/>
      <c r="AI451" s="105" t="str">
        <f t="shared" si="1"/>
        <v/>
      </c>
      <c r="AJ451" s="108" t="str">
        <f t="shared" si="2"/>
        <v/>
      </c>
    </row>
    <row r="452" ht="15.75" customHeight="1">
      <c r="A452" s="104"/>
      <c r="B452" s="105" t="str">
        <f>IFERROR(__xludf.DUMMYFUNCTION("ARRAY_CONSTRAIN(
  ARRAYFORMULA(
    IF(
      'Final Report'!A452="""",
      """",
      TEXTJOIN(
        "", "" &amp; CHAR(10),
        TRUE,
        IFERROR(
          VLOOKUP(
            TRIM(
              SPLIT('Final Report'!A452, "","")
           "&amp;" ),
            'URL Details'!A:B,
            2,
            FALSE
          ),
          """"
        )
      )
    )
  ),
  1,
  1
)
"),"")</f>
        <v/>
      </c>
      <c r="C452" s="105" t="str">
        <f>IFERROR(__xludf.DUMMYFUNCTION("IFERROR(IF('Final Report'!A452="""","""", TEXTJOIN(CHAR(10), TRUE, ARRAYFORMULA( ""• ""&amp; FILTER( TRIM(FLATTEN(SPLIT( REGEXREPLACE( SUBSTITUTE(TEXTJOIN("","", TRUE, IFERROR(ARRAYFORMULA(VLOOKUP(TRIM(SPLIT('Final Report'!A452, "","")), 'URL Details'!A:D, 4,"&amp;" FALSE)),"""") ), CHAR(10), "",""), ""\s*,\s*"", "",""), "",""))), TRIM(FLATTEN(SPLIT( REGEXREPLACE( SUBSTITUTE(TEXTJOIN("","", TRUE, IFERROR(ARRAYFORMULA(VLOOKUP(TRIM(SPLIT('Final Report'!A452, "","")), 'URL Details'!A:D, 4, FALSE)),"""") ), CHAR(10), """&amp;",""), ""\s*,\s*"", "",""), "","")))&lt;&gt;"""" ) ) ) ),"""")
"),"")</f>
        <v/>
      </c>
      <c r="D452" s="105"/>
      <c r="E452" s="105"/>
      <c r="F452" s="110" t="b">
        <v>0</v>
      </c>
      <c r="G452" s="105" t="str">
        <f>IF(F452=True, IFERROR(VLOOKUP(D452, Repository!A:B, 2, 0), ""), "")</f>
        <v/>
      </c>
      <c r="H452" s="105"/>
      <c r="I452" s="105"/>
      <c r="J452" s="105" t="str">
        <f>IF(F452=True, IFERROR(VLOOKUP(D452, Repository!A:C, 3, 0), ""), "")</f>
        <v/>
      </c>
      <c r="K452" s="105"/>
      <c r="L452" s="105" t="str">
        <f>IF(F452=True, IFERROR(VLOOKUP(D452, Repository!A:E, 5, 0), ""), "")</f>
        <v/>
      </c>
      <c r="M452" s="105"/>
      <c r="N452" s="105" t="str">
        <f>IF(F452=True, IFERROR(VLOOKUP(D452, Repository!A:G, 7, 0), ""), "")</f>
        <v/>
      </c>
      <c r="O452" s="105" t="str">
        <f>IFERROR(__xludf.DUMMYFUNCTION("ARRAY_CONSTRAIN(
  ARRAYFORMULA(
    IFERROR(
      LET(
        list, N452,
        arr, TRIM(SPLIT(list, "","")),
        names, XLOOKUP(
          arr,
          'Conformance Score'!A:A,
          'Conformance Score'!B:B,
          ""Not found""
      "&amp;"  ),
        TEXTJOIN("", "", TRUE, names)
      ),
      """"
    )
  ),
  1,
  1
)
"),"")</f>
        <v/>
      </c>
      <c r="P452" s="105" t="str">
        <f>IF(F452="Yes", IFERROR(VLOOKUP(D452, Repository!A:F, 6, 0), ""), "")</f>
        <v/>
      </c>
      <c r="Q452" s="105" t="str">
        <f>IF(F452="Yes", IFERROR(VLOOKUP(D452, Repository!A:I, 8, 0), ""), "")</f>
        <v/>
      </c>
      <c r="R452" s="105" t="str">
        <f>IF(F452="Yes", IFERROR(VLOOKUP(D452, Repository!A:J, 9, 0), ""), "")</f>
        <v/>
      </c>
      <c r="S452" s="105"/>
      <c r="T452" s="105"/>
      <c r="U452" s="105"/>
      <c r="V452" s="105"/>
      <c r="W452" s="105"/>
      <c r="X452" s="105"/>
      <c r="Y452" s="105"/>
      <c r="Z452" s="105"/>
      <c r="AA452" s="105"/>
      <c r="AB452" s="105"/>
      <c r="AC452" s="91"/>
      <c r="AD452" s="105"/>
      <c r="AE452" s="105"/>
      <c r="AF452" s="91"/>
      <c r="AG452" s="105"/>
      <c r="AH452" s="105"/>
      <c r="AI452" s="105" t="str">
        <f t="shared" si="1"/>
        <v/>
      </c>
      <c r="AJ452" s="108" t="str">
        <f t="shared" si="2"/>
        <v/>
      </c>
    </row>
    <row r="453" ht="15.75" customHeight="1">
      <c r="A453" s="104"/>
      <c r="B453" s="105" t="str">
        <f>IFERROR(__xludf.DUMMYFUNCTION("ARRAY_CONSTRAIN(
  ARRAYFORMULA(
    IF(
      'Final Report'!A453="""",
      """",
      TEXTJOIN(
        "", "" &amp; CHAR(10),
        TRUE,
        IFERROR(
          VLOOKUP(
            TRIM(
              SPLIT('Final Report'!A453, "","")
           "&amp;" ),
            'URL Details'!A:B,
            2,
            FALSE
          ),
          """"
        )
      )
    )
  ),
  1,
  1
)
"),"")</f>
        <v/>
      </c>
      <c r="C453" s="105" t="str">
        <f>IFERROR(__xludf.DUMMYFUNCTION("IFERROR(IF('Final Report'!A453="""","""", TEXTJOIN(CHAR(10), TRUE, ARRAYFORMULA( ""• ""&amp; FILTER( TRIM(FLATTEN(SPLIT( REGEXREPLACE( SUBSTITUTE(TEXTJOIN("","", TRUE, IFERROR(ARRAYFORMULA(VLOOKUP(TRIM(SPLIT('Final Report'!A453, "","")), 'URL Details'!A:D, 4,"&amp;" FALSE)),"""") ), CHAR(10), "",""), ""\s*,\s*"", "",""), "",""))), TRIM(FLATTEN(SPLIT( REGEXREPLACE( SUBSTITUTE(TEXTJOIN("","", TRUE, IFERROR(ARRAYFORMULA(VLOOKUP(TRIM(SPLIT('Final Report'!A453, "","")), 'URL Details'!A:D, 4, FALSE)),"""") ), CHAR(10), """&amp;",""), ""\s*,\s*"", "",""), "","")))&lt;&gt;"""" ) ) ) ),"""")
"),"")</f>
        <v/>
      </c>
      <c r="D453" s="105"/>
      <c r="E453" s="105"/>
      <c r="F453" s="110" t="b">
        <v>0</v>
      </c>
      <c r="G453" s="105" t="str">
        <f>IF(F453=True, IFERROR(VLOOKUP(D453, Repository!A:B, 2, 0), ""), "")</f>
        <v/>
      </c>
      <c r="H453" s="105"/>
      <c r="I453" s="105"/>
      <c r="J453" s="105" t="str">
        <f>IF(F453=True, IFERROR(VLOOKUP(D453, Repository!A:C, 3, 0), ""), "")</f>
        <v/>
      </c>
      <c r="K453" s="105"/>
      <c r="L453" s="105" t="str">
        <f>IF(F453=True, IFERROR(VLOOKUP(D453, Repository!A:E, 5, 0), ""), "")</f>
        <v/>
      </c>
      <c r="M453" s="105"/>
      <c r="N453" s="105" t="str">
        <f>IF(F453=True, IFERROR(VLOOKUP(D453, Repository!A:G, 7, 0), ""), "")</f>
        <v/>
      </c>
      <c r="O453" s="105" t="str">
        <f>IFERROR(__xludf.DUMMYFUNCTION("ARRAY_CONSTRAIN(
  ARRAYFORMULA(
    IFERROR(
      LET(
        list, N453,
        arr, TRIM(SPLIT(list, "","")),
        names, XLOOKUP(
          arr,
          'Conformance Score'!A:A,
          'Conformance Score'!B:B,
          ""Not found""
      "&amp;"  ),
        TEXTJOIN("", "", TRUE, names)
      ),
      """"
    )
  ),
  1,
  1
)
"),"")</f>
        <v/>
      </c>
      <c r="P453" s="105" t="str">
        <f>IF(F453="Yes", IFERROR(VLOOKUP(D453, Repository!A:F, 6, 0), ""), "")</f>
        <v/>
      </c>
      <c r="Q453" s="105" t="str">
        <f>IF(F453="Yes", IFERROR(VLOOKUP(D453, Repository!A:I, 8, 0), ""), "")</f>
        <v/>
      </c>
      <c r="R453" s="105" t="str">
        <f>IF(F453="Yes", IFERROR(VLOOKUP(D453, Repository!A:J, 9, 0), ""), "")</f>
        <v/>
      </c>
      <c r="S453" s="105"/>
      <c r="T453" s="105"/>
      <c r="U453" s="105"/>
      <c r="V453" s="105"/>
      <c r="W453" s="105"/>
      <c r="X453" s="105"/>
      <c r="Y453" s="105"/>
      <c r="Z453" s="105"/>
      <c r="AA453" s="105"/>
      <c r="AB453" s="105"/>
      <c r="AC453" s="91"/>
      <c r="AD453" s="105"/>
      <c r="AE453" s="105"/>
      <c r="AF453" s="91"/>
      <c r="AG453" s="105"/>
      <c r="AH453" s="105"/>
      <c r="AI453" s="105" t="str">
        <f t="shared" si="1"/>
        <v/>
      </c>
      <c r="AJ453" s="108" t="str">
        <f t="shared" si="2"/>
        <v/>
      </c>
    </row>
    <row r="454" ht="15.75" customHeight="1">
      <c r="A454" s="104"/>
      <c r="B454" s="105" t="str">
        <f>IFERROR(__xludf.DUMMYFUNCTION("ARRAY_CONSTRAIN(
  ARRAYFORMULA(
    IF(
      'Final Report'!A454="""",
      """",
      TEXTJOIN(
        "", "" &amp; CHAR(10),
        TRUE,
        IFERROR(
          VLOOKUP(
            TRIM(
              SPLIT('Final Report'!A454, "","")
           "&amp;" ),
            'URL Details'!A:B,
            2,
            FALSE
          ),
          """"
        )
      )
    )
  ),
  1,
  1
)
"),"")</f>
        <v/>
      </c>
      <c r="C454" s="105" t="str">
        <f>IFERROR(__xludf.DUMMYFUNCTION("IFERROR(IF('Final Report'!A454="""","""", TEXTJOIN(CHAR(10), TRUE, ARRAYFORMULA( ""• ""&amp; FILTER( TRIM(FLATTEN(SPLIT( REGEXREPLACE( SUBSTITUTE(TEXTJOIN("","", TRUE, IFERROR(ARRAYFORMULA(VLOOKUP(TRIM(SPLIT('Final Report'!A454, "","")), 'URL Details'!A:D, 4,"&amp;" FALSE)),"""") ), CHAR(10), "",""), ""\s*,\s*"", "",""), "",""))), TRIM(FLATTEN(SPLIT( REGEXREPLACE( SUBSTITUTE(TEXTJOIN("","", TRUE, IFERROR(ARRAYFORMULA(VLOOKUP(TRIM(SPLIT('Final Report'!A454, "","")), 'URL Details'!A:D, 4, FALSE)),"""") ), CHAR(10), """&amp;",""), ""\s*,\s*"", "",""), "","")))&lt;&gt;"""" ) ) ) ),"""")
"),"")</f>
        <v/>
      </c>
      <c r="D454" s="105"/>
      <c r="E454" s="105"/>
      <c r="F454" s="110" t="b">
        <v>0</v>
      </c>
      <c r="G454" s="105" t="str">
        <f>IF(F454=True, IFERROR(VLOOKUP(D454, Repository!A:B, 2, 0), ""), "")</f>
        <v/>
      </c>
      <c r="H454" s="105"/>
      <c r="I454" s="105"/>
      <c r="J454" s="105" t="str">
        <f>IF(F454=True, IFERROR(VLOOKUP(D454, Repository!A:C, 3, 0), ""), "")</f>
        <v/>
      </c>
      <c r="K454" s="105"/>
      <c r="L454" s="105" t="str">
        <f>IF(F454=True, IFERROR(VLOOKUP(D454, Repository!A:E, 5, 0), ""), "")</f>
        <v/>
      </c>
      <c r="M454" s="105"/>
      <c r="N454" s="105" t="str">
        <f>IF(F454=True, IFERROR(VLOOKUP(D454, Repository!A:G, 7, 0), ""), "")</f>
        <v/>
      </c>
      <c r="O454" s="105" t="str">
        <f>IFERROR(__xludf.DUMMYFUNCTION("ARRAY_CONSTRAIN(
  ARRAYFORMULA(
    IFERROR(
      LET(
        list, N454,
        arr, TRIM(SPLIT(list, "","")),
        names, XLOOKUP(
          arr,
          'Conformance Score'!A:A,
          'Conformance Score'!B:B,
          ""Not found""
      "&amp;"  ),
        TEXTJOIN("", "", TRUE, names)
      ),
      """"
    )
  ),
  1,
  1
)
"),"")</f>
        <v/>
      </c>
      <c r="P454" s="105" t="str">
        <f>IF(F454="Yes", IFERROR(VLOOKUP(D454, Repository!A:F, 6, 0), ""), "")</f>
        <v/>
      </c>
      <c r="Q454" s="105" t="str">
        <f>IF(F454="Yes", IFERROR(VLOOKUP(D454, Repository!A:I, 8, 0), ""), "")</f>
        <v/>
      </c>
      <c r="R454" s="105" t="str">
        <f>IF(F454="Yes", IFERROR(VLOOKUP(D454, Repository!A:J, 9, 0), ""), "")</f>
        <v/>
      </c>
      <c r="S454" s="105"/>
      <c r="T454" s="105"/>
      <c r="U454" s="105"/>
      <c r="V454" s="105"/>
      <c r="W454" s="105"/>
      <c r="X454" s="105"/>
      <c r="Y454" s="105"/>
      <c r="Z454" s="105"/>
      <c r="AA454" s="105"/>
      <c r="AB454" s="105"/>
      <c r="AC454" s="91"/>
      <c r="AD454" s="105"/>
      <c r="AE454" s="105"/>
      <c r="AF454" s="91"/>
      <c r="AG454" s="105"/>
      <c r="AH454" s="105"/>
      <c r="AI454" s="105" t="str">
        <f t="shared" si="1"/>
        <v/>
      </c>
      <c r="AJ454" s="108" t="str">
        <f t="shared" si="2"/>
        <v/>
      </c>
    </row>
    <row r="455" ht="15.75" customHeight="1">
      <c r="A455" s="104"/>
      <c r="B455" s="105" t="str">
        <f>IFERROR(__xludf.DUMMYFUNCTION("ARRAY_CONSTRAIN(
  ARRAYFORMULA(
    IF(
      'Final Report'!A455="""",
      """",
      TEXTJOIN(
        "", "" &amp; CHAR(10),
        TRUE,
        IFERROR(
          VLOOKUP(
            TRIM(
              SPLIT('Final Report'!A455, "","")
           "&amp;" ),
            'URL Details'!A:B,
            2,
            FALSE
          ),
          """"
        )
      )
    )
  ),
  1,
  1
)
"),"")</f>
        <v/>
      </c>
      <c r="C455" s="105" t="str">
        <f>IFERROR(__xludf.DUMMYFUNCTION("IFERROR(IF('Final Report'!A455="""","""", TEXTJOIN(CHAR(10), TRUE, ARRAYFORMULA( ""• ""&amp; FILTER( TRIM(FLATTEN(SPLIT( REGEXREPLACE( SUBSTITUTE(TEXTJOIN("","", TRUE, IFERROR(ARRAYFORMULA(VLOOKUP(TRIM(SPLIT('Final Report'!A455, "","")), 'URL Details'!A:D, 4,"&amp;" FALSE)),"""") ), CHAR(10), "",""), ""\s*,\s*"", "",""), "",""))), TRIM(FLATTEN(SPLIT( REGEXREPLACE( SUBSTITUTE(TEXTJOIN("","", TRUE, IFERROR(ARRAYFORMULA(VLOOKUP(TRIM(SPLIT('Final Report'!A455, "","")), 'URL Details'!A:D, 4, FALSE)),"""") ), CHAR(10), """&amp;",""), ""\s*,\s*"", "",""), "","")))&lt;&gt;"""" ) ) ) ),"""")
"),"")</f>
        <v/>
      </c>
      <c r="D455" s="105"/>
      <c r="E455" s="105"/>
      <c r="F455" s="110" t="b">
        <v>0</v>
      </c>
      <c r="G455" s="105" t="str">
        <f>IF(F455=True, IFERROR(VLOOKUP(D455, Repository!A:B, 2, 0), ""), "")</f>
        <v/>
      </c>
      <c r="H455" s="105"/>
      <c r="I455" s="105"/>
      <c r="J455" s="105" t="str">
        <f>IF(F455=True, IFERROR(VLOOKUP(D455, Repository!A:C, 3, 0), ""), "")</f>
        <v/>
      </c>
      <c r="K455" s="105"/>
      <c r="L455" s="105" t="str">
        <f>IF(F455=True, IFERROR(VLOOKUP(D455, Repository!A:E, 5, 0), ""), "")</f>
        <v/>
      </c>
      <c r="M455" s="105"/>
      <c r="N455" s="105" t="str">
        <f>IF(F455=True, IFERROR(VLOOKUP(D455, Repository!A:G, 7, 0), ""), "")</f>
        <v/>
      </c>
      <c r="O455" s="105" t="str">
        <f>IFERROR(__xludf.DUMMYFUNCTION("ARRAY_CONSTRAIN(
  ARRAYFORMULA(
    IFERROR(
      LET(
        list, N455,
        arr, TRIM(SPLIT(list, "","")),
        names, XLOOKUP(
          arr,
          'Conformance Score'!A:A,
          'Conformance Score'!B:B,
          ""Not found""
      "&amp;"  ),
        TEXTJOIN("", "", TRUE, names)
      ),
      """"
    )
  ),
  1,
  1
)
"),"")</f>
        <v/>
      </c>
      <c r="P455" s="105" t="str">
        <f>IF(F455="Yes", IFERROR(VLOOKUP(D455, Repository!A:F, 6, 0), ""), "")</f>
        <v/>
      </c>
      <c r="Q455" s="105" t="str">
        <f>IF(F455="Yes", IFERROR(VLOOKUP(D455, Repository!A:I, 8, 0), ""), "")</f>
        <v/>
      </c>
      <c r="R455" s="105" t="str">
        <f>IF(F455="Yes", IFERROR(VLOOKUP(D455, Repository!A:J, 9, 0), ""), "")</f>
        <v/>
      </c>
      <c r="S455" s="105"/>
      <c r="T455" s="105"/>
      <c r="U455" s="105"/>
      <c r="V455" s="105"/>
      <c r="W455" s="105"/>
      <c r="X455" s="105"/>
      <c r="Y455" s="105"/>
      <c r="Z455" s="105"/>
      <c r="AA455" s="105"/>
      <c r="AB455" s="105"/>
      <c r="AC455" s="91"/>
      <c r="AD455" s="105"/>
      <c r="AE455" s="105"/>
      <c r="AF455" s="91"/>
      <c r="AG455" s="105"/>
      <c r="AH455" s="105"/>
      <c r="AI455" s="105" t="str">
        <f t="shared" si="1"/>
        <v/>
      </c>
      <c r="AJ455" s="108" t="str">
        <f t="shared" si="2"/>
        <v/>
      </c>
    </row>
    <row r="456" ht="15.75" customHeight="1">
      <c r="A456" s="104"/>
      <c r="B456" s="105" t="str">
        <f>IFERROR(__xludf.DUMMYFUNCTION("ARRAY_CONSTRAIN(
  ARRAYFORMULA(
    IF(
      'Final Report'!A456="""",
      """",
      TEXTJOIN(
        "", "" &amp; CHAR(10),
        TRUE,
        IFERROR(
          VLOOKUP(
            TRIM(
              SPLIT('Final Report'!A456, "","")
           "&amp;" ),
            'URL Details'!A:B,
            2,
            FALSE
          ),
          """"
        )
      )
    )
  ),
  1,
  1
)
"),"")</f>
        <v/>
      </c>
      <c r="C456" s="105" t="str">
        <f>IFERROR(__xludf.DUMMYFUNCTION("IFERROR(IF('Final Report'!A456="""","""", TEXTJOIN(CHAR(10), TRUE, ARRAYFORMULA( ""• ""&amp; FILTER( TRIM(FLATTEN(SPLIT( REGEXREPLACE( SUBSTITUTE(TEXTJOIN("","", TRUE, IFERROR(ARRAYFORMULA(VLOOKUP(TRIM(SPLIT('Final Report'!A456, "","")), 'URL Details'!A:D, 4,"&amp;" FALSE)),"""") ), CHAR(10), "",""), ""\s*,\s*"", "",""), "",""))), TRIM(FLATTEN(SPLIT( REGEXREPLACE( SUBSTITUTE(TEXTJOIN("","", TRUE, IFERROR(ARRAYFORMULA(VLOOKUP(TRIM(SPLIT('Final Report'!A456, "","")), 'URL Details'!A:D, 4, FALSE)),"""") ), CHAR(10), """&amp;",""), ""\s*,\s*"", "",""), "","")))&lt;&gt;"""" ) ) ) ),"""")
"),"")</f>
        <v/>
      </c>
      <c r="D456" s="105"/>
      <c r="E456" s="105"/>
      <c r="F456" s="110" t="b">
        <v>0</v>
      </c>
      <c r="G456" s="105" t="str">
        <f>IF(F456=True, IFERROR(VLOOKUP(D456, Repository!A:B, 2, 0), ""), "")</f>
        <v/>
      </c>
      <c r="H456" s="105"/>
      <c r="I456" s="105"/>
      <c r="J456" s="105" t="str">
        <f>IF(F456=True, IFERROR(VLOOKUP(D456, Repository!A:C, 3, 0), ""), "")</f>
        <v/>
      </c>
      <c r="K456" s="105"/>
      <c r="L456" s="105" t="str">
        <f>IF(F456=True, IFERROR(VLOOKUP(D456, Repository!A:E, 5, 0), ""), "")</f>
        <v/>
      </c>
      <c r="M456" s="105"/>
      <c r="N456" s="105" t="str">
        <f>IF(F456=True, IFERROR(VLOOKUP(D456, Repository!A:G, 7, 0), ""), "")</f>
        <v/>
      </c>
      <c r="O456" s="105" t="str">
        <f>IFERROR(__xludf.DUMMYFUNCTION("ARRAY_CONSTRAIN(
  ARRAYFORMULA(
    IFERROR(
      LET(
        list, N456,
        arr, TRIM(SPLIT(list, "","")),
        names, XLOOKUP(
          arr,
          'Conformance Score'!A:A,
          'Conformance Score'!B:B,
          ""Not found""
      "&amp;"  ),
        TEXTJOIN("", "", TRUE, names)
      ),
      """"
    )
  ),
  1,
  1
)
"),"")</f>
        <v/>
      </c>
      <c r="P456" s="105" t="str">
        <f>IF(F456="Yes", IFERROR(VLOOKUP(D456, Repository!A:F, 6, 0), ""), "")</f>
        <v/>
      </c>
      <c r="Q456" s="105" t="str">
        <f>IF(F456="Yes", IFERROR(VLOOKUP(D456, Repository!A:I, 8, 0), ""), "")</f>
        <v/>
      </c>
      <c r="R456" s="105" t="str">
        <f>IF(F456="Yes", IFERROR(VLOOKUP(D456, Repository!A:J, 9, 0), ""), "")</f>
        <v/>
      </c>
      <c r="S456" s="105"/>
      <c r="T456" s="105"/>
      <c r="U456" s="105"/>
      <c r="V456" s="105"/>
      <c r="W456" s="105"/>
      <c r="X456" s="105"/>
      <c r="Y456" s="105"/>
      <c r="Z456" s="105"/>
      <c r="AA456" s="105"/>
      <c r="AB456" s="105"/>
      <c r="AC456" s="91"/>
      <c r="AD456" s="105"/>
      <c r="AE456" s="105"/>
      <c r="AF456" s="91"/>
      <c r="AG456" s="105"/>
      <c r="AH456" s="105"/>
      <c r="AI456" s="105" t="str">
        <f t="shared" si="1"/>
        <v/>
      </c>
      <c r="AJ456" s="108" t="str">
        <f t="shared" si="2"/>
        <v/>
      </c>
    </row>
    <row r="457" ht="15.75" customHeight="1">
      <c r="A457" s="104"/>
      <c r="B457" s="105" t="str">
        <f>IFERROR(__xludf.DUMMYFUNCTION("ARRAY_CONSTRAIN(
  ARRAYFORMULA(
    IF(
      'Final Report'!A457="""",
      """",
      TEXTJOIN(
        "", "" &amp; CHAR(10),
        TRUE,
        IFERROR(
          VLOOKUP(
            TRIM(
              SPLIT('Final Report'!A457, "","")
           "&amp;" ),
            'URL Details'!A:B,
            2,
            FALSE
          ),
          """"
        )
      )
    )
  ),
  1,
  1
)
"),"")</f>
        <v/>
      </c>
      <c r="C457" s="105" t="str">
        <f>IFERROR(__xludf.DUMMYFUNCTION("IFERROR(IF('Final Report'!A457="""","""", TEXTJOIN(CHAR(10), TRUE, ARRAYFORMULA( ""• ""&amp; FILTER( TRIM(FLATTEN(SPLIT( REGEXREPLACE( SUBSTITUTE(TEXTJOIN("","", TRUE, IFERROR(ARRAYFORMULA(VLOOKUP(TRIM(SPLIT('Final Report'!A457, "","")), 'URL Details'!A:D, 4,"&amp;" FALSE)),"""") ), CHAR(10), "",""), ""\s*,\s*"", "",""), "",""))), TRIM(FLATTEN(SPLIT( REGEXREPLACE( SUBSTITUTE(TEXTJOIN("","", TRUE, IFERROR(ARRAYFORMULA(VLOOKUP(TRIM(SPLIT('Final Report'!A457, "","")), 'URL Details'!A:D, 4, FALSE)),"""") ), CHAR(10), """&amp;",""), ""\s*,\s*"", "",""), "","")))&lt;&gt;"""" ) ) ) ),"""")
"),"")</f>
        <v/>
      </c>
      <c r="D457" s="105"/>
      <c r="E457" s="105"/>
      <c r="F457" s="110" t="b">
        <v>0</v>
      </c>
      <c r="G457" s="105" t="str">
        <f>IF(F457=True, IFERROR(VLOOKUP(D457, Repository!A:B, 2, 0), ""), "")</f>
        <v/>
      </c>
      <c r="H457" s="105"/>
      <c r="I457" s="105"/>
      <c r="J457" s="105" t="str">
        <f>IF(F457=True, IFERROR(VLOOKUP(D457, Repository!A:C, 3, 0), ""), "")</f>
        <v/>
      </c>
      <c r="K457" s="105"/>
      <c r="L457" s="105" t="str">
        <f>IF(F457=True, IFERROR(VLOOKUP(D457, Repository!A:E, 5, 0), ""), "")</f>
        <v/>
      </c>
      <c r="M457" s="105"/>
      <c r="N457" s="105" t="str">
        <f>IF(F457=True, IFERROR(VLOOKUP(D457, Repository!A:G, 7, 0), ""), "")</f>
        <v/>
      </c>
      <c r="O457" s="105" t="str">
        <f>IFERROR(__xludf.DUMMYFUNCTION("ARRAY_CONSTRAIN(
  ARRAYFORMULA(
    IFERROR(
      LET(
        list, N457,
        arr, TRIM(SPLIT(list, "","")),
        names, XLOOKUP(
          arr,
          'Conformance Score'!A:A,
          'Conformance Score'!B:B,
          ""Not found""
      "&amp;"  ),
        TEXTJOIN("", "", TRUE, names)
      ),
      """"
    )
  ),
  1,
  1
)
"),"")</f>
        <v/>
      </c>
      <c r="P457" s="105" t="str">
        <f>IF(F457="Yes", IFERROR(VLOOKUP(D457, Repository!A:F, 6, 0), ""), "")</f>
        <v/>
      </c>
      <c r="Q457" s="105" t="str">
        <f>IF(F457="Yes", IFERROR(VLOOKUP(D457, Repository!A:I, 8, 0), ""), "")</f>
        <v/>
      </c>
      <c r="R457" s="105" t="str">
        <f>IF(F457="Yes", IFERROR(VLOOKUP(D457, Repository!A:J, 9, 0), ""), "")</f>
        <v/>
      </c>
      <c r="S457" s="105"/>
      <c r="T457" s="105"/>
      <c r="U457" s="105"/>
      <c r="V457" s="105"/>
      <c r="W457" s="105"/>
      <c r="X457" s="105"/>
      <c r="Y457" s="105"/>
      <c r="Z457" s="105"/>
      <c r="AA457" s="105"/>
      <c r="AB457" s="105"/>
      <c r="AC457" s="91"/>
      <c r="AD457" s="105"/>
      <c r="AE457" s="105"/>
      <c r="AF457" s="91"/>
      <c r="AG457" s="105"/>
      <c r="AH457" s="105"/>
      <c r="AI457" s="105" t="str">
        <f t="shared" si="1"/>
        <v/>
      </c>
      <c r="AJ457" s="108" t="str">
        <f t="shared" si="2"/>
        <v/>
      </c>
    </row>
    <row r="458" ht="15.75" customHeight="1">
      <c r="A458" s="104"/>
      <c r="B458" s="105" t="str">
        <f>IFERROR(__xludf.DUMMYFUNCTION("ARRAY_CONSTRAIN(
  ARRAYFORMULA(
    IF(
      'Final Report'!A458="""",
      """",
      TEXTJOIN(
        "", "" &amp; CHAR(10),
        TRUE,
        IFERROR(
          VLOOKUP(
            TRIM(
              SPLIT('Final Report'!A458, "","")
           "&amp;" ),
            'URL Details'!A:B,
            2,
            FALSE
          ),
          """"
        )
      )
    )
  ),
  1,
  1
)
"),"")</f>
        <v/>
      </c>
      <c r="C458" s="105" t="str">
        <f>IFERROR(__xludf.DUMMYFUNCTION("IFERROR(IF('Final Report'!A458="""","""", TEXTJOIN(CHAR(10), TRUE, ARRAYFORMULA( ""• ""&amp; FILTER( TRIM(FLATTEN(SPLIT( REGEXREPLACE( SUBSTITUTE(TEXTJOIN("","", TRUE, IFERROR(ARRAYFORMULA(VLOOKUP(TRIM(SPLIT('Final Report'!A458, "","")), 'URL Details'!A:D, 4,"&amp;" FALSE)),"""") ), CHAR(10), "",""), ""\s*,\s*"", "",""), "",""))), TRIM(FLATTEN(SPLIT( REGEXREPLACE( SUBSTITUTE(TEXTJOIN("","", TRUE, IFERROR(ARRAYFORMULA(VLOOKUP(TRIM(SPLIT('Final Report'!A458, "","")), 'URL Details'!A:D, 4, FALSE)),"""") ), CHAR(10), """&amp;",""), ""\s*,\s*"", "",""), "","")))&lt;&gt;"""" ) ) ) ),"""")
"),"")</f>
        <v/>
      </c>
      <c r="D458" s="105"/>
      <c r="E458" s="105"/>
      <c r="F458" s="110" t="b">
        <v>0</v>
      </c>
      <c r="G458" s="105" t="str">
        <f>IF(F458=True, IFERROR(VLOOKUP(D458, Repository!A:B, 2, 0), ""), "")</f>
        <v/>
      </c>
      <c r="H458" s="105"/>
      <c r="I458" s="105"/>
      <c r="J458" s="105" t="str">
        <f>IF(F458=True, IFERROR(VLOOKUP(D458, Repository!A:C, 3, 0), ""), "")</f>
        <v/>
      </c>
      <c r="K458" s="105"/>
      <c r="L458" s="105" t="str">
        <f>IF(F458=True, IFERROR(VLOOKUP(D458, Repository!A:E, 5, 0), ""), "")</f>
        <v/>
      </c>
      <c r="M458" s="105"/>
      <c r="N458" s="105" t="str">
        <f>IF(F458=True, IFERROR(VLOOKUP(D458, Repository!A:G, 7, 0), ""), "")</f>
        <v/>
      </c>
      <c r="O458" s="105" t="str">
        <f>IFERROR(__xludf.DUMMYFUNCTION("ARRAY_CONSTRAIN(
  ARRAYFORMULA(
    IFERROR(
      LET(
        list, N458,
        arr, TRIM(SPLIT(list, "","")),
        names, XLOOKUP(
          arr,
          'Conformance Score'!A:A,
          'Conformance Score'!B:B,
          ""Not found""
      "&amp;"  ),
        TEXTJOIN("", "", TRUE, names)
      ),
      """"
    )
  ),
  1,
  1
)
"),"")</f>
        <v/>
      </c>
      <c r="P458" s="105" t="str">
        <f>IF(F458="Yes", IFERROR(VLOOKUP(D458, Repository!A:F, 6, 0), ""), "")</f>
        <v/>
      </c>
      <c r="Q458" s="105" t="str">
        <f>IF(F458="Yes", IFERROR(VLOOKUP(D458, Repository!A:I, 8, 0), ""), "")</f>
        <v/>
      </c>
      <c r="R458" s="105" t="str">
        <f>IF(F458="Yes", IFERROR(VLOOKUP(D458, Repository!A:J, 9, 0), ""), "")</f>
        <v/>
      </c>
      <c r="S458" s="105"/>
      <c r="T458" s="105"/>
      <c r="U458" s="105"/>
      <c r="V458" s="105"/>
      <c r="W458" s="105"/>
      <c r="X458" s="105"/>
      <c r="Y458" s="105"/>
      <c r="Z458" s="105"/>
      <c r="AA458" s="105"/>
      <c r="AB458" s="105"/>
      <c r="AC458" s="91"/>
      <c r="AD458" s="105"/>
      <c r="AE458" s="105"/>
      <c r="AF458" s="91"/>
      <c r="AG458" s="105"/>
      <c r="AH458" s="105"/>
      <c r="AI458" s="105" t="str">
        <f t="shared" si="1"/>
        <v/>
      </c>
      <c r="AJ458" s="108" t="str">
        <f t="shared" si="2"/>
        <v/>
      </c>
    </row>
    <row r="459" ht="15.75" customHeight="1">
      <c r="A459" s="104"/>
      <c r="B459" s="105" t="str">
        <f>IFERROR(__xludf.DUMMYFUNCTION("ARRAY_CONSTRAIN(
  ARRAYFORMULA(
    IF(
      'Final Report'!A459="""",
      """",
      TEXTJOIN(
        "", "" &amp; CHAR(10),
        TRUE,
        IFERROR(
          VLOOKUP(
            TRIM(
              SPLIT('Final Report'!A459, "","")
           "&amp;" ),
            'URL Details'!A:B,
            2,
            FALSE
          ),
          """"
        )
      )
    )
  ),
  1,
  1
)
"),"")</f>
        <v/>
      </c>
      <c r="C459" s="105" t="str">
        <f>IFERROR(__xludf.DUMMYFUNCTION("IFERROR(IF('Final Report'!A459="""","""", TEXTJOIN(CHAR(10), TRUE, ARRAYFORMULA( ""• ""&amp; FILTER( TRIM(FLATTEN(SPLIT( REGEXREPLACE( SUBSTITUTE(TEXTJOIN("","", TRUE, IFERROR(ARRAYFORMULA(VLOOKUP(TRIM(SPLIT('Final Report'!A459, "","")), 'URL Details'!A:D, 4,"&amp;" FALSE)),"""") ), CHAR(10), "",""), ""\s*,\s*"", "",""), "",""))), TRIM(FLATTEN(SPLIT( REGEXREPLACE( SUBSTITUTE(TEXTJOIN("","", TRUE, IFERROR(ARRAYFORMULA(VLOOKUP(TRIM(SPLIT('Final Report'!A459, "","")), 'URL Details'!A:D, 4, FALSE)),"""") ), CHAR(10), """&amp;",""), ""\s*,\s*"", "",""), "","")))&lt;&gt;"""" ) ) ) ),"""")
"),"")</f>
        <v/>
      </c>
      <c r="D459" s="105"/>
      <c r="E459" s="105"/>
      <c r="F459" s="110" t="b">
        <v>0</v>
      </c>
      <c r="G459" s="105" t="str">
        <f>IF(F459=True, IFERROR(VLOOKUP(D459, Repository!A:B, 2, 0), ""), "")</f>
        <v/>
      </c>
      <c r="H459" s="105"/>
      <c r="I459" s="105"/>
      <c r="J459" s="105" t="str">
        <f>IF(F459=True, IFERROR(VLOOKUP(D459, Repository!A:C, 3, 0), ""), "")</f>
        <v/>
      </c>
      <c r="K459" s="105"/>
      <c r="L459" s="105" t="str">
        <f>IF(F459=True, IFERROR(VLOOKUP(D459, Repository!A:E, 5, 0), ""), "")</f>
        <v/>
      </c>
      <c r="M459" s="105"/>
      <c r="N459" s="105" t="str">
        <f>IF(F459=True, IFERROR(VLOOKUP(D459, Repository!A:G, 7, 0), ""), "")</f>
        <v/>
      </c>
      <c r="O459" s="105" t="str">
        <f>IFERROR(__xludf.DUMMYFUNCTION("ARRAY_CONSTRAIN(
  ARRAYFORMULA(
    IFERROR(
      LET(
        list, N459,
        arr, TRIM(SPLIT(list, "","")),
        names, XLOOKUP(
          arr,
          'Conformance Score'!A:A,
          'Conformance Score'!B:B,
          ""Not found""
      "&amp;"  ),
        TEXTJOIN("", "", TRUE, names)
      ),
      """"
    )
  ),
  1,
  1
)
"),"")</f>
        <v/>
      </c>
      <c r="P459" s="105" t="str">
        <f>IF(F459="Yes", IFERROR(VLOOKUP(D459, Repository!A:F, 6, 0), ""), "")</f>
        <v/>
      </c>
      <c r="Q459" s="105" t="str">
        <f>IF(F459="Yes", IFERROR(VLOOKUP(D459, Repository!A:I, 8, 0), ""), "")</f>
        <v/>
      </c>
      <c r="R459" s="105" t="str">
        <f>IF(F459="Yes", IFERROR(VLOOKUP(D459, Repository!A:J, 9, 0), ""), "")</f>
        <v/>
      </c>
      <c r="S459" s="105"/>
      <c r="T459" s="105"/>
      <c r="U459" s="105"/>
      <c r="V459" s="105"/>
      <c r="W459" s="105"/>
      <c r="X459" s="105"/>
      <c r="Y459" s="105"/>
      <c r="Z459" s="105"/>
      <c r="AA459" s="105"/>
      <c r="AB459" s="105"/>
      <c r="AC459" s="91"/>
      <c r="AD459" s="105"/>
      <c r="AE459" s="105"/>
      <c r="AF459" s="91"/>
      <c r="AG459" s="105"/>
      <c r="AH459" s="105"/>
      <c r="AI459" s="105" t="str">
        <f t="shared" si="1"/>
        <v/>
      </c>
      <c r="AJ459" s="108" t="str">
        <f t="shared" si="2"/>
        <v/>
      </c>
    </row>
    <row r="460" ht="15.75" customHeight="1">
      <c r="A460" s="104"/>
      <c r="B460" s="105" t="str">
        <f>IFERROR(__xludf.DUMMYFUNCTION("ARRAY_CONSTRAIN(
  ARRAYFORMULA(
    IF(
      'Final Report'!A460="""",
      """",
      TEXTJOIN(
        "", "" &amp; CHAR(10),
        TRUE,
        IFERROR(
          VLOOKUP(
            TRIM(
              SPLIT('Final Report'!A460, "","")
           "&amp;" ),
            'URL Details'!A:B,
            2,
            FALSE
          ),
          """"
        )
      )
    )
  ),
  1,
  1
)
"),"")</f>
        <v/>
      </c>
      <c r="C460" s="105" t="str">
        <f>IFERROR(__xludf.DUMMYFUNCTION("IFERROR(IF('Final Report'!A460="""","""", TEXTJOIN(CHAR(10), TRUE, ARRAYFORMULA( ""• ""&amp; FILTER( TRIM(FLATTEN(SPLIT( REGEXREPLACE( SUBSTITUTE(TEXTJOIN("","", TRUE, IFERROR(ARRAYFORMULA(VLOOKUP(TRIM(SPLIT('Final Report'!A460, "","")), 'URL Details'!A:D, 4,"&amp;" FALSE)),"""") ), CHAR(10), "",""), ""\s*,\s*"", "",""), "",""))), TRIM(FLATTEN(SPLIT( REGEXREPLACE( SUBSTITUTE(TEXTJOIN("","", TRUE, IFERROR(ARRAYFORMULA(VLOOKUP(TRIM(SPLIT('Final Report'!A460, "","")), 'URL Details'!A:D, 4, FALSE)),"""") ), CHAR(10), """&amp;",""), ""\s*,\s*"", "",""), "","")))&lt;&gt;"""" ) ) ) ),"""")
"),"")</f>
        <v/>
      </c>
      <c r="D460" s="105"/>
      <c r="E460" s="105"/>
      <c r="F460" s="110" t="b">
        <v>0</v>
      </c>
      <c r="G460" s="105" t="str">
        <f>IF(F460=True, IFERROR(VLOOKUP(D460, Repository!A:B, 2, 0), ""), "")</f>
        <v/>
      </c>
      <c r="H460" s="105"/>
      <c r="I460" s="105"/>
      <c r="J460" s="105" t="str">
        <f>IF(F460=True, IFERROR(VLOOKUP(D460, Repository!A:C, 3, 0), ""), "")</f>
        <v/>
      </c>
      <c r="K460" s="105"/>
      <c r="L460" s="105" t="str">
        <f>IF(F460=True, IFERROR(VLOOKUP(D460, Repository!A:E, 5, 0), ""), "")</f>
        <v/>
      </c>
      <c r="M460" s="105"/>
      <c r="N460" s="105" t="str">
        <f>IF(F460=True, IFERROR(VLOOKUP(D460, Repository!A:G, 7, 0), ""), "")</f>
        <v/>
      </c>
      <c r="O460" s="105" t="str">
        <f>IFERROR(__xludf.DUMMYFUNCTION("ARRAY_CONSTRAIN(
  ARRAYFORMULA(
    IFERROR(
      LET(
        list, N460,
        arr, TRIM(SPLIT(list, "","")),
        names, XLOOKUP(
          arr,
          'Conformance Score'!A:A,
          'Conformance Score'!B:B,
          ""Not found""
      "&amp;"  ),
        TEXTJOIN("", "", TRUE, names)
      ),
      """"
    )
  ),
  1,
  1
)
"),"")</f>
        <v/>
      </c>
      <c r="P460" s="105" t="str">
        <f>IF(F460="Yes", IFERROR(VLOOKUP(D460, Repository!A:F, 6, 0), ""), "")</f>
        <v/>
      </c>
      <c r="Q460" s="105" t="str">
        <f>IF(F460="Yes", IFERROR(VLOOKUP(D460, Repository!A:I, 8, 0), ""), "")</f>
        <v/>
      </c>
      <c r="R460" s="105" t="str">
        <f>IF(F460="Yes", IFERROR(VLOOKUP(D460, Repository!A:J, 9, 0), ""), "")</f>
        <v/>
      </c>
      <c r="S460" s="105"/>
      <c r="T460" s="105"/>
      <c r="U460" s="105"/>
      <c r="V460" s="105"/>
      <c r="W460" s="105"/>
      <c r="X460" s="105"/>
      <c r="Y460" s="105"/>
      <c r="Z460" s="105"/>
      <c r="AA460" s="105"/>
      <c r="AB460" s="105"/>
      <c r="AC460" s="91"/>
      <c r="AD460" s="105"/>
      <c r="AE460" s="105"/>
      <c r="AF460" s="91"/>
      <c r="AG460" s="105"/>
      <c r="AH460" s="105"/>
      <c r="AI460" s="105" t="str">
        <f t="shared" si="1"/>
        <v/>
      </c>
      <c r="AJ460" s="108" t="str">
        <f t="shared" si="2"/>
        <v/>
      </c>
    </row>
    <row r="461" ht="15.75" customHeight="1">
      <c r="A461" s="104"/>
      <c r="B461" s="105" t="str">
        <f>IFERROR(__xludf.DUMMYFUNCTION("ARRAY_CONSTRAIN(
  ARRAYFORMULA(
    IF(
      'Final Report'!A461="""",
      """",
      TEXTJOIN(
        "", "" &amp; CHAR(10),
        TRUE,
        IFERROR(
          VLOOKUP(
            TRIM(
              SPLIT('Final Report'!A461, "","")
           "&amp;" ),
            'URL Details'!A:B,
            2,
            FALSE
          ),
          """"
        )
      )
    )
  ),
  1,
  1
)
"),"")</f>
        <v/>
      </c>
      <c r="C461" s="105" t="str">
        <f>IFERROR(__xludf.DUMMYFUNCTION("IFERROR(IF('Final Report'!A461="""","""", TEXTJOIN(CHAR(10), TRUE, ARRAYFORMULA( ""• ""&amp; FILTER( TRIM(FLATTEN(SPLIT( REGEXREPLACE( SUBSTITUTE(TEXTJOIN("","", TRUE, IFERROR(ARRAYFORMULA(VLOOKUP(TRIM(SPLIT('Final Report'!A461, "","")), 'URL Details'!A:D, 4,"&amp;" FALSE)),"""") ), CHAR(10), "",""), ""\s*,\s*"", "",""), "",""))), TRIM(FLATTEN(SPLIT( REGEXREPLACE( SUBSTITUTE(TEXTJOIN("","", TRUE, IFERROR(ARRAYFORMULA(VLOOKUP(TRIM(SPLIT('Final Report'!A461, "","")), 'URL Details'!A:D, 4, FALSE)),"""") ), CHAR(10), """&amp;",""), ""\s*,\s*"", "",""), "","")))&lt;&gt;"""" ) ) ) ),"""")
"),"")</f>
        <v/>
      </c>
      <c r="D461" s="105"/>
      <c r="E461" s="105"/>
      <c r="F461" s="110" t="b">
        <v>0</v>
      </c>
      <c r="G461" s="105" t="str">
        <f>IF(F461=True, IFERROR(VLOOKUP(D461, Repository!A:B, 2, 0), ""), "")</f>
        <v/>
      </c>
      <c r="H461" s="105"/>
      <c r="I461" s="105"/>
      <c r="J461" s="105" t="str">
        <f>IF(F461=True, IFERROR(VLOOKUP(D461, Repository!A:C, 3, 0), ""), "")</f>
        <v/>
      </c>
      <c r="K461" s="105"/>
      <c r="L461" s="105" t="str">
        <f>IF(F461=True, IFERROR(VLOOKUP(D461, Repository!A:E, 5, 0), ""), "")</f>
        <v/>
      </c>
      <c r="M461" s="105"/>
      <c r="N461" s="105" t="str">
        <f>IF(F461=True, IFERROR(VLOOKUP(D461, Repository!A:G, 7, 0), ""), "")</f>
        <v/>
      </c>
      <c r="O461" s="105" t="str">
        <f>IFERROR(__xludf.DUMMYFUNCTION("ARRAY_CONSTRAIN(
  ARRAYFORMULA(
    IFERROR(
      LET(
        list, N461,
        arr, TRIM(SPLIT(list, "","")),
        names, XLOOKUP(
          arr,
          'Conformance Score'!A:A,
          'Conformance Score'!B:B,
          ""Not found""
      "&amp;"  ),
        TEXTJOIN("", "", TRUE, names)
      ),
      """"
    )
  ),
  1,
  1
)
"),"")</f>
        <v/>
      </c>
      <c r="P461" s="105" t="str">
        <f>IF(F461="Yes", IFERROR(VLOOKUP(D461, Repository!A:F, 6, 0), ""), "")</f>
        <v/>
      </c>
      <c r="Q461" s="105" t="str">
        <f>IF(F461="Yes", IFERROR(VLOOKUP(D461, Repository!A:I, 8, 0), ""), "")</f>
        <v/>
      </c>
      <c r="R461" s="105" t="str">
        <f>IF(F461="Yes", IFERROR(VLOOKUP(D461, Repository!A:J, 9, 0), ""), "")</f>
        <v/>
      </c>
      <c r="S461" s="105"/>
      <c r="T461" s="105"/>
      <c r="U461" s="105"/>
      <c r="V461" s="105"/>
      <c r="W461" s="105"/>
      <c r="X461" s="105"/>
      <c r="Y461" s="105"/>
      <c r="Z461" s="105"/>
      <c r="AA461" s="105"/>
      <c r="AB461" s="105"/>
      <c r="AC461" s="91"/>
      <c r="AD461" s="105"/>
      <c r="AE461" s="105"/>
      <c r="AF461" s="91"/>
      <c r="AG461" s="105"/>
      <c r="AH461" s="105"/>
      <c r="AI461" s="105" t="str">
        <f t="shared" si="1"/>
        <v/>
      </c>
      <c r="AJ461" s="108" t="str">
        <f t="shared" si="2"/>
        <v/>
      </c>
    </row>
    <row r="462" ht="15.75" customHeight="1">
      <c r="A462" s="104"/>
      <c r="B462" s="105" t="str">
        <f>IFERROR(__xludf.DUMMYFUNCTION("ARRAY_CONSTRAIN(
  ARRAYFORMULA(
    IF(
      'Final Report'!A462="""",
      """",
      TEXTJOIN(
        "", "" &amp; CHAR(10),
        TRUE,
        IFERROR(
          VLOOKUP(
            TRIM(
              SPLIT('Final Report'!A462, "","")
           "&amp;" ),
            'URL Details'!A:B,
            2,
            FALSE
          ),
          """"
        )
      )
    )
  ),
  1,
  1
)
"),"")</f>
        <v/>
      </c>
      <c r="C462" s="105" t="str">
        <f>IFERROR(__xludf.DUMMYFUNCTION("IFERROR(IF('Final Report'!A462="""","""", TEXTJOIN(CHAR(10), TRUE, ARRAYFORMULA( ""• ""&amp; FILTER( TRIM(FLATTEN(SPLIT( REGEXREPLACE( SUBSTITUTE(TEXTJOIN("","", TRUE, IFERROR(ARRAYFORMULA(VLOOKUP(TRIM(SPLIT('Final Report'!A462, "","")), 'URL Details'!A:D, 4,"&amp;" FALSE)),"""") ), CHAR(10), "",""), ""\s*,\s*"", "",""), "",""))), TRIM(FLATTEN(SPLIT( REGEXREPLACE( SUBSTITUTE(TEXTJOIN("","", TRUE, IFERROR(ARRAYFORMULA(VLOOKUP(TRIM(SPLIT('Final Report'!A462, "","")), 'URL Details'!A:D, 4, FALSE)),"""") ), CHAR(10), """&amp;",""), ""\s*,\s*"", "",""), "","")))&lt;&gt;"""" ) ) ) ),"""")
"),"")</f>
        <v/>
      </c>
      <c r="D462" s="105"/>
      <c r="E462" s="105"/>
      <c r="F462" s="110" t="b">
        <v>0</v>
      </c>
      <c r="G462" s="105" t="str">
        <f>IF(F462=True, IFERROR(VLOOKUP(D462, Repository!A:B, 2, 0), ""), "")</f>
        <v/>
      </c>
      <c r="H462" s="105"/>
      <c r="I462" s="105"/>
      <c r="J462" s="105" t="str">
        <f>IF(F462=True, IFERROR(VLOOKUP(D462, Repository!A:C, 3, 0), ""), "")</f>
        <v/>
      </c>
      <c r="K462" s="105"/>
      <c r="L462" s="105" t="str">
        <f>IF(F462=True, IFERROR(VLOOKUP(D462, Repository!A:E, 5, 0), ""), "")</f>
        <v/>
      </c>
      <c r="M462" s="105"/>
      <c r="N462" s="105" t="str">
        <f>IF(F462=True, IFERROR(VLOOKUP(D462, Repository!A:G, 7, 0), ""), "")</f>
        <v/>
      </c>
      <c r="O462" s="105" t="str">
        <f>IFERROR(__xludf.DUMMYFUNCTION("ARRAY_CONSTRAIN(
  ARRAYFORMULA(
    IFERROR(
      LET(
        list, N462,
        arr, TRIM(SPLIT(list, "","")),
        names, XLOOKUP(
          arr,
          'Conformance Score'!A:A,
          'Conformance Score'!B:B,
          ""Not found""
      "&amp;"  ),
        TEXTJOIN("", "", TRUE, names)
      ),
      """"
    )
  ),
  1,
  1
)
"),"")</f>
        <v/>
      </c>
      <c r="P462" s="105" t="str">
        <f>IF(F462="Yes", IFERROR(VLOOKUP(D462, Repository!A:F, 6, 0), ""), "")</f>
        <v/>
      </c>
      <c r="Q462" s="105" t="str">
        <f>IF(F462="Yes", IFERROR(VLOOKUP(D462, Repository!A:I, 8, 0), ""), "")</f>
        <v/>
      </c>
      <c r="R462" s="105" t="str">
        <f>IF(F462="Yes", IFERROR(VLOOKUP(D462, Repository!A:J, 9, 0), ""), "")</f>
        <v/>
      </c>
      <c r="S462" s="105"/>
      <c r="T462" s="105"/>
      <c r="U462" s="105"/>
      <c r="V462" s="105"/>
      <c r="W462" s="105"/>
      <c r="X462" s="105"/>
      <c r="Y462" s="105"/>
      <c r="Z462" s="105"/>
      <c r="AA462" s="105"/>
      <c r="AB462" s="105"/>
      <c r="AC462" s="91"/>
      <c r="AD462" s="105"/>
      <c r="AE462" s="105"/>
      <c r="AF462" s="91"/>
      <c r="AG462" s="105"/>
      <c r="AH462" s="105"/>
      <c r="AI462" s="105" t="str">
        <f t="shared" si="1"/>
        <v/>
      </c>
      <c r="AJ462" s="108" t="str">
        <f t="shared" si="2"/>
        <v/>
      </c>
    </row>
    <row r="463" ht="15.75" customHeight="1">
      <c r="A463" s="104"/>
      <c r="B463" s="105" t="str">
        <f>IFERROR(__xludf.DUMMYFUNCTION("ARRAY_CONSTRAIN(
  ARRAYFORMULA(
    IF(
      'Final Report'!A463="""",
      """",
      TEXTJOIN(
        "", "" &amp; CHAR(10),
        TRUE,
        IFERROR(
          VLOOKUP(
            TRIM(
              SPLIT('Final Report'!A463, "","")
           "&amp;" ),
            'URL Details'!A:B,
            2,
            FALSE
          ),
          """"
        )
      )
    )
  ),
  1,
  1
)
"),"")</f>
        <v/>
      </c>
      <c r="C463" s="105" t="str">
        <f>IFERROR(__xludf.DUMMYFUNCTION("IFERROR(IF('Final Report'!A463="""","""", TEXTJOIN(CHAR(10), TRUE, ARRAYFORMULA( ""• ""&amp; FILTER( TRIM(FLATTEN(SPLIT( REGEXREPLACE( SUBSTITUTE(TEXTJOIN("","", TRUE, IFERROR(ARRAYFORMULA(VLOOKUP(TRIM(SPLIT('Final Report'!A463, "","")), 'URL Details'!A:D, 4,"&amp;" FALSE)),"""") ), CHAR(10), "",""), ""\s*,\s*"", "",""), "",""))), TRIM(FLATTEN(SPLIT( REGEXREPLACE( SUBSTITUTE(TEXTJOIN("","", TRUE, IFERROR(ARRAYFORMULA(VLOOKUP(TRIM(SPLIT('Final Report'!A463, "","")), 'URL Details'!A:D, 4, FALSE)),"""") ), CHAR(10), """&amp;",""), ""\s*,\s*"", "",""), "","")))&lt;&gt;"""" ) ) ) ),"""")
"),"")</f>
        <v/>
      </c>
      <c r="D463" s="105"/>
      <c r="E463" s="105"/>
      <c r="F463" s="110" t="b">
        <v>0</v>
      </c>
      <c r="G463" s="105" t="str">
        <f>IF(F463=True, IFERROR(VLOOKUP(D463, Repository!A:B, 2, 0), ""), "")</f>
        <v/>
      </c>
      <c r="H463" s="105"/>
      <c r="I463" s="105"/>
      <c r="J463" s="105" t="str">
        <f>IF(F463=True, IFERROR(VLOOKUP(D463, Repository!A:C, 3, 0), ""), "")</f>
        <v/>
      </c>
      <c r="K463" s="105"/>
      <c r="L463" s="105" t="str">
        <f>IF(F463=True, IFERROR(VLOOKUP(D463, Repository!A:E, 5, 0), ""), "")</f>
        <v/>
      </c>
      <c r="M463" s="105"/>
      <c r="N463" s="105" t="str">
        <f>IF(F463=True, IFERROR(VLOOKUP(D463, Repository!A:G, 7, 0), ""), "")</f>
        <v/>
      </c>
      <c r="O463" s="105" t="str">
        <f>IFERROR(__xludf.DUMMYFUNCTION("ARRAY_CONSTRAIN(
  ARRAYFORMULA(
    IFERROR(
      LET(
        list, N463,
        arr, TRIM(SPLIT(list, "","")),
        names, XLOOKUP(
          arr,
          'Conformance Score'!A:A,
          'Conformance Score'!B:B,
          ""Not found""
      "&amp;"  ),
        TEXTJOIN("", "", TRUE, names)
      ),
      """"
    )
  ),
  1,
  1
)
"),"")</f>
        <v/>
      </c>
      <c r="P463" s="105" t="str">
        <f>IF(F463="Yes", IFERROR(VLOOKUP(D463, Repository!A:F, 6, 0), ""), "")</f>
        <v/>
      </c>
      <c r="Q463" s="105" t="str">
        <f>IF(F463="Yes", IFERROR(VLOOKUP(D463, Repository!A:I, 8, 0), ""), "")</f>
        <v/>
      </c>
      <c r="R463" s="105" t="str">
        <f>IF(F463="Yes", IFERROR(VLOOKUP(D463, Repository!A:J, 9, 0), ""), "")</f>
        <v/>
      </c>
      <c r="S463" s="105"/>
      <c r="T463" s="105"/>
      <c r="U463" s="105"/>
      <c r="V463" s="105"/>
      <c r="W463" s="105"/>
      <c r="X463" s="105"/>
      <c r="Y463" s="105"/>
      <c r="Z463" s="105"/>
      <c r="AA463" s="105"/>
      <c r="AB463" s="105"/>
      <c r="AC463" s="91"/>
      <c r="AD463" s="105"/>
      <c r="AE463" s="105"/>
      <c r="AF463" s="91"/>
      <c r="AG463" s="105"/>
      <c r="AH463" s="105"/>
      <c r="AI463" s="105" t="str">
        <f t="shared" si="1"/>
        <v/>
      </c>
      <c r="AJ463" s="108" t="str">
        <f t="shared" si="2"/>
        <v/>
      </c>
    </row>
    <row r="464" ht="15.75" customHeight="1">
      <c r="A464" s="104"/>
      <c r="B464" s="105" t="str">
        <f>IFERROR(__xludf.DUMMYFUNCTION("ARRAY_CONSTRAIN(
  ARRAYFORMULA(
    IF(
      'Final Report'!A464="""",
      """",
      TEXTJOIN(
        "", "" &amp; CHAR(10),
        TRUE,
        IFERROR(
          VLOOKUP(
            TRIM(
              SPLIT('Final Report'!A464, "","")
           "&amp;" ),
            'URL Details'!A:B,
            2,
            FALSE
          ),
          """"
        )
      )
    )
  ),
  1,
  1
)
"),"")</f>
        <v/>
      </c>
      <c r="C464" s="105" t="str">
        <f>IFERROR(__xludf.DUMMYFUNCTION("IFERROR(IF('Final Report'!A464="""","""", TEXTJOIN(CHAR(10), TRUE, ARRAYFORMULA( ""• ""&amp; FILTER( TRIM(FLATTEN(SPLIT( REGEXREPLACE( SUBSTITUTE(TEXTJOIN("","", TRUE, IFERROR(ARRAYFORMULA(VLOOKUP(TRIM(SPLIT('Final Report'!A464, "","")), 'URL Details'!A:D, 4,"&amp;" FALSE)),"""") ), CHAR(10), "",""), ""\s*,\s*"", "",""), "",""))), TRIM(FLATTEN(SPLIT( REGEXREPLACE( SUBSTITUTE(TEXTJOIN("","", TRUE, IFERROR(ARRAYFORMULA(VLOOKUP(TRIM(SPLIT('Final Report'!A464, "","")), 'URL Details'!A:D, 4, FALSE)),"""") ), CHAR(10), """&amp;",""), ""\s*,\s*"", "",""), "","")))&lt;&gt;"""" ) ) ) ),"""")
"),"")</f>
        <v/>
      </c>
      <c r="D464" s="105"/>
      <c r="E464" s="105"/>
      <c r="F464" s="110" t="b">
        <v>0</v>
      </c>
      <c r="G464" s="105" t="str">
        <f>IF(F464=True, IFERROR(VLOOKUP(D464, Repository!A:B, 2, 0), ""), "")</f>
        <v/>
      </c>
      <c r="H464" s="105"/>
      <c r="I464" s="105"/>
      <c r="J464" s="105" t="str">
        <f>IF(F464=True, IFERROR(VLOOKUP(D464, Repository!A:C, 3, 0), ""), "")</f>
        <v/>
      </c>
      <c r="K464" s="105"/>
      <c r="L464" s="105" t="str">
        <f>IF(F464=True, IFERROR(VLOOKUP(D464, Repository!A:E, 5, 0), ""), "")</f>
        <v/>
      </c>
      <c r="M464" s="105"/>
      <c r="N464" s="105" t="str">
        <f>IF(F464=True, IFERROR(VLOOKUP(D464, Repository!A:G, 7, 0), ""), "")</f>
        <v/>
      </c>
      <c r="O464" s="105" t="str">
        <f>IFERROR(__xludf.DUMMYFUNCTION("ARRAY_CONSTRAIN(
  ARRAYFORMULA(
    IFERROR(
      LET(
        list, N464,
        arr, TRIM(SPLIT(list, "","")),
        names, XLOOKUP(
          arr,
          'Conformance Score'!A:A,
          'Conformance Score'!B:B,
          ""Not found""
      "&amp;"  ),
        TEXTJOIN("", "", TRUE, names)
      ),
      """"
    )
  ),
  1,
  1
)
"),"")</f>
        <v/>
      </c>
      <c r="P464" s="105" t="str">
        <f>IF(F464="Yes", IFERROR(VLOOKUP(D464, Repository!A:F, 6, 0), ""), "")</f>
        <v/>
      </c>
      <c r="Q464" s="105" t="str">
        <f>IF(F464="Yes", IFERROR(VLOOKUP(D464, Repository!A:I, 8, 0), ""), "")</f>
        <v/>
      </c>
      <c r="R464" s="105" t="str">
        <f>IF(F464="Yes", IFERROR(VLOOKUP(D464, Repository!A:J, 9, 0), ""), "")</f>
        <v/>
      </c>
      <c r="S464" s="105"/>
      <c r="T464" s="105"/>
      <c r="U464" s="105"/>
      <c r="V464" s="105"/>
      <c r="W464" s="105"/>
      <c r="X464" s="105"/>
      <c r="Y464" s="105"/>
      <c r="Z464" s="105"/>
      <c r="AA464" s="105"/>
      <c r="AB464" s="105"/>
      <c r="AC464" s="91"/>
      <c r="AD464" s="105"/>
      <c r="AE464" s="105"/>
      <c r="AF464" s="91"/>
      <c r="AG464" s="105"/>
      <c r="AH464" s="105"/>
      <c r="AI464" s="105" t="str">
        <f t="shared" si="1"/>
        <v/>
      </c>
      <c r="AJ464" s="108" t="str">
        <f t="shared" si="2"/>
        <v/>
      </c>
    </row>
    <row r="465" ht="15.75" customHeight="1">
      <c r="A465" s="104"/>
      <c r="B465" s="105" t="str">
        <f>IFERROR(__xludf.DUMMYFUNCTION("ARRAY_CONSTRAIN(
  ARRAYFORMULA(
    IF(
      'Final Report'!A465="""",
      """",
      TEXTJOIN(
        "", "" &amp; CHAR(10),
        TRUE,
        IFERROR(
          VLOOKUP(
            TRIM(
              SPLIT('Final Report'!A465, "","")
           "&amp;" ),
            'URL Details'!A:B,
            2,
            FALSE
          ),
          """"
        )
      )
    )
  ),
  1,
  1
)
"),"")</f>
        <v/>
      </c>
      <c r="C465" s="105" t="str">
        <f>IFERROR(__xludf.DUMMYFUNCTION("IFERROR(IF('Final Report'!A465="""","""", TEXTJOIN(CHAR(10), TRUE, ARRAYFORMULA( ""• ""&amp; FILTER( TRIM(FLATTEN(SPLIT( REGEXREPLACE( SUBSTITUTE(TEXTJOIN("","", TRUE, IFERROR(ARRAYFORMULA(VLOOKUP(TRIM(SPLIT('Final Report'!A465, "","")), 'URL Details'!A:D, 4,"&amp;" FALSE)),"""") ), CHAR(10), "",""), ""\s*,\s*"", "",""), "",""))), TRIM(FLATTEN(SPLIT( REGEXREPLACE( SUBSTITUTE(TEXTJOIN("","", TRUE, IFERROR(ARRAYFORMULA(VLOOKUP(TRIM(SPLIT('Final Report'!A465, "","")), 'URL Details'!A:D, 4, FALSE)),"""") ), CHAR(10), """&amp;",""), ""\s*,\s*"", "",""), "","")))&lt;&gt;"""" ) ) ) ),"""")
"),"")</f>
        <v/>
      </c>
      <c r="D465" s="105"/>
      <c r="E465" s="105"/>
      <c r="F465" s="110" t="b">
        <v>0</v>
      </c>
      <c r="G465" s="105" t="str">
        <f>IF(F465=True, IFERROR(VLOOKUP(D465, Repository!A:B, 2, 0), ""), "")</f>
        <v/>
      </c>
      <c r="H465" s="105"/>
      <c r="I465" s="105"/>
      <c r="J465" s="105" t="str">
        <f>IF(F465=True, IFERROR(VLOOKUP(D465, Repository!A:C, 3, 0), ""), "")</f>
        <v/>
      </c>
      <c r="K465" s="105"/>
      <c r="L465" s="105" t="str">
        <f>IF(F465=True, IFERROR(VLOOKUP(D465, Repository!A:E, 5, 0), ""), "")</f>
        <v/>
      </c>
      <c r="M465" s="105"/>
      <c r="N465" s="105" t="str">
        <f>IF(F465=True, IFERROR(VLOOKUP(D465, Repository!A:G, 7, 0), ""), "")</f>
        <v/>
      </c>
      <c r="O465" s="105" t="str">
        <f>IFERROR(__xludf.DUMMYFUNCTION("ARRAY_CONSTRAIN(
  ARRAYFORMULA(
    IFERROR(
      LET(
        list, N465,
        arr, TRIM(SPLIT(list, "","")),
        names, XLOOKUP(
          arr,
          'Conformance Score'!A:A,
          'Conformance Score'!B:B,
          ""Not found""
      "&amp;"  ),
        TEXTJOIN("", "", TRUE, names)
      ),
      """"
    )
  ),
  1,
  1
)
"),"")</f>
        <v/>
      </c>
      <c r="P465" s="105" t="str">
        <f>IF(F465="Yes", IFERROR(VLOOKUP(D465, Repository!A:F, 6, 0), ""), "")</f>
        <v/>
      </c>
      <c r="Q465" s="105" t="str">
        <f>IF(F465="Yes", IFERROR(VLOOKUP(D465, Repository!A:I, 8, 0), ""), "")</f>
        <v/>
      </c>
      <c r="R465" s="105" t="str">
        <f>IF(F465="Yes", IFERROR(VLOOKUP(D465, Repository!A:J, 9, 0), ""), "")</f>
        <v/>
      </c>
      <c r="S465" s="105"/>
      <c r="T465" s="105"/>
      <c r="U465" s="105"/>
      <c r="V465" s="105"/>
      <c r="W465" s="105"/>
      <c r="X465" s="105"/>
      <c r="Y465" s="105"/>
      <c r="Z465" s="105"/>
      <c r="AA465" s="105"/>
      <c r="AB465" s="105"/>
      <c r="AC465" s="91"/>
      <c r="AD465" s="105"/>
      <c r="AE465" s="105"/>
      <c r="AF465" s="91"/>
      <c r="AG465" s="105"/>
      <c r="AH465" s="105"/>
      <c r="AI465" s="105" t="str">
        <f t="shared" si="1"/>
        <v/>
      </c>
      <c r="AJ465" s="108" t="str">
        <f t="shared" si="2"/>
        <v/>
      </c>
    </row>
    <row r="466" ht="15.75" customHeight="1">
      <c r="A466" s="104"/>
      <c r="B466" s="105" t="str">
        <f>IFERROR(__xludf.DUMMYFUNCTION("ARRAY_CONSTRAIN(
  ARRAYFORMULA(
    IF(
      'Final Report'!A466="""",
      """",
      TEXTJOIN(
        "", "" &amp; CHAR(10),
        TRUE,
        IFERROR(
          VLOOKUP(
            TRIM(
              SPLIT('Final Report'!A466, "","")
           "&amp;" ),
            'URL Details'!A:B,
            2,
            FALSE
          ),
          """"
        )
      )
    )
  ),
  1,
  1
)
"),"")</f>
        <v/>
      </c>
      <c r="C466" s="105" t="str">
        <f>IFERROR(__xludf.DUMMYFUNCTION("IFERROR(IF('Final Report'!A466="""","""", TEXTJOIN(CHAR(10), TRUE, ARRAYFORMULA( ""• ""&amp; FILTER( TRIM(FLATTEN(SPLIT( REGEXREPLACE( SUBSTITUTE(TEXTJOIN("","", TRUE, IFERROR(ARRAYFORMULA(VLOOKUP(TRIM(SPLIT('Final Report'!A466, "","")), 'URL Details'!A:D, 4,"&amp;" FALSE)),"""") ), CHAR(10), "",""), ""\s*,\s*"", "",""), "",""))), TRIM(FLATTEN(SPLIT( REGEXREPLACE( SUBSTITUTE(TEXTJOIN("","", TRUE, IFERROR(ARRAYFORMULA(VLOOKUP(TRIM(SPLIT('Final Report'!A466, "","")), 'URL Details'!A:D, 4, FALSE)),"""") ), CHAR(10), """&amp;",""), ""\s*,\s*"", "",""), "","")))&lt;&gt;"""" ) ) ) ),"""")
"),"")</f>
        <v/>
      </c>
      <c r="D466" s="105"/>
      <c r="E466" s="105"/>
      <c r="F466" s="110" t="b">
        <v>0</v>
      </c>
      <c r="G466" s="105" t="str">
        <f>IF(F466=True, IFERROR(VLOOKUP(D466, Repository!A:B, 2, 0), ""), "")</f>
        <v/>
      </c>
      <c r="H466" s="105"/>
      <c r="I466" s="105"/>
      <c r="J466" s="105" t="str">
        <f>IF(F466=True, IFERROR(VLOOKUP(D466, Repository!A:C, 3, 0), ""), "")</f>
        <v/>
      </c>
      <c r="K466" s="105"/>
      <c r="L466" s="105" t="str">
        <f>IF(F466=True, IFERROR(VLOOKUP(D466, Repository!A:E, 5, 0), ""), "")</f>
        <v/>
      </c>
      <c r="M466" s="105"/>
      <c r="N466" s="105" t="str">
        <f>IF(F466=True, IFERROR(VLOOKUP(D466, Repository!A:G, 7, 0), ""), "")</f>
        <v/>
      </c>
      <c r="O466" s="105" t="str">
        <f>IFERROR(__xludf.DUMMYFUNCTION("ARRAY_CONSTRAIN(
  ARRAYFORMULA(
    IFERROR(
      LET(
        list, N466,
        arr, TRIM(SPLIT(list, "","")),
        names, XLOOKUP(
          arr,
          'Conformance Score'!A:A,
          'Conformance Score'!B:B,
          ""Not found""
      "&amp;"  ),
        TEXTJOIN("", "", TRUE, names)
      ),
      """"
    )
  ),
  1,
  1
)
"),"")</f>
        <v/>
      </c>
      <c r="P466" s="105" t="str">
        <f>IF(F466="Yes", IFERROR(VLOOKUP(D466, Repository!A:F, 6, 0), ""), "")</f>
        <v/>
      </c>
      <c r="Q466" s="105" t="str">
        <f>IF(F466="Yes", IFERROR(VLOOKUP(D466, Repository!A:I, 8, 0), ""), "")</f>
        <v/>
      </c>
      <c r="R466" s="105" t="str">
        <f>IF(F466="Yes", IFERROR(VLOOKUP(D466, Repository!A:J, 9, 0), ""), "")</f>
        <v/>
      </c>
      <c r="S466" s="105"/>
      <c r="T466" s="105"/>
      <c r="U466" s="105"/>
      <c r="V466" s="105"/>
      <c r="W466" s="105"/>
      <c r="X466" s="105"/>
      <c r="Y466" s="105"/>
      <c r="Z466" s="105"/>
      <c r="AA466" s="105"/>
      <c r="AB466" s="105"/>
      <c r="AC466" s="91"/>
      <c r="AD466" s="105"/>
      <c r="AE466" s="105"/>
      <c r="AF466" s="91"/>
      <c r="AG466" s="105"/>
      <c r="AH466" s="105"/>
      <c r="AI466" s="105" t="str">
        <f t="shared" si="1"/>
        <v/>
      </c>
      <c r="AJ466" s="108" t="str">
        <f t="shared" si="2"/>
        <v/>
      </c>
    </row>
    <row r="467" ht="15.75" customHeight="1">
      <c r="A467" s="104"/>
      <c r="B467" s="105" t="str">
        <f>IFERROR(__xludf.DUMMYFUNCTION("ARRAY_CONSTRAIN(
  ARRAYFORMULA(
    IF(
      'Final Report'!A467="""",
      """",
      TEXTJOIN(
        "", "" &amp; CHAR(10),
        TRUE,
        IFERROR(
          VLOOKUP(
            TRIM(
              SPLIT('Final Report'!A467, "","")
           "&amp;" ),
            'URL Details'!A:B,
            2,
            FALSE
          ),
          """"
        )
      )
    )
  ),
  1,
  1
)
"),"")</f>
        <v/>
      </c>
      <c r="C467" s="105" t="str">
        <f>IFERROR(__xludf.DUMMYFUNCTION("IFERROR(IF('Final Report'!A467="""","""", TEXTJOIN(CHAR(10), TRUE, ARRAYFORMULA( ""• ""&amp; FILTER( TRIM(FLATTEN(SPLIT( REGEXREPLACE( SUBSTITUTE(TEXTJOIN("","", TRUE, IFERROR(ARRAYFORMULA(VLOOKUP(TRIM(SPLIT('Final Report'!A467, "","")), 'URL Details'!A:D, 4,"&amp;" FALSE)),"""") ), CHAR(10), "",""), ""\s*,\s*"", "",""), "",""))), TRIM(FLATTEN(SPLIT( REGEXREPLACE( SUBSTITUTE(TEXTJOIN("","", TRUE, IFERROR(ARRAYFORMULA(VLOOKUP(TRIM(SPLIT('Final Report'!A467, "","")), 'URL Details'!A:D, 4, FALSE)),"""") ), CHAR(10), """&amp;",""), ""\s*,\s*"", "",""), "","")))&lt;&gt;"""" ) ) ) ),"""")
"),"")</f>
        <v/>
      </c>
      <c r="D467" s="105"/>
      <c r="E467" s="105"/>
      <c r="F467" s="110" t="b">
        <v>0</v>
      </c>
      <c r="G467" s="105" t="str">
        <f>IF(F467=True, IFERROR(VLOOKUP(D467, Repository!A:B, 2, 0), ""), "")</f>
        <v/>
      </c>
      <c r="H467" s="105"/>
      <c r="I467" s="105"/>
      <c r="J467" s="105" t="str">
        <f>IF(F467=True, IFERROR(VLOOKUP(D467, Repository!A:C, 3, 0), ""), "")</f>
        <v/>
      </c>
      <c r="K467" s="105"/>
      <c r="L467" s="105" t="str">
        <f>IF(F467=True, IFERROR(VLOOKUP(D467, Repository!A:E, 5, 0), ""), "")</f>
        <v/>
      </c>
      <c r="M467" s="105"/>
      <c r="N467" s="105" t="str">
        <f>IF(F467=True, IFERROR(VLOOKUP(D467, Repository!A:G, 7, 0), ""), "")</f>
        <v/>
      </c>
      <c r="O467" s="105" t="str">
        <f>IFERROR(__xludf.DUMMYFUNCTION("ARRAY_CONSTRAIN(
  ARRAYFORMULA(
    IFERROR(
      LET(
        list, N467,
        arr, TRIM(SPLIT(list, "","")),
        names, XLOOKUP(
          arr,
          'Conformance Score'!A:A,
          'Conformance Score'!B:B,
          ""Not found""
      "&amp;"  ),
        TEXTJOIN("", "", TRUE, names)
      ),
      """"
    )
  ),
  1,
  1
)
"),"")</f>
        <v/>
      </c>
      <c r="P467" s="105" t="str">
        <f>IF(F467="Yes", IFERROR(VLOOKUP(D467, Repository!A:F, 6, 0), ""), "")</f>
        <v/>
      </c>
      <c r="Q467" s="105" t="str">
        <f>IF(F467="Yes", IFERROR(VLOOKUP(D467, Repository!A:I, 8, 0), ""), "")</f>
        <v/>
      </c>
      <c r="R467" s="105" t="str">
        <f>IF(F467="Yes", IFERROR(VLOOKUP(D467, Repository!A:J, 9, 0), ""), "")</f>
        <v/>
      </c>
      <c r="S467" s="105"/>
      <c r="T467" s="105"/>
      <c r="U467" s="105"/>
      <c r="V467" s="105"/>
      <c r="W467" s="105"/>
      <c r="X467" s="105"/>
      <c r="Y467" s="105"/>
      <c r="Z467" s="105"/>
      <c r="AA467" s="105"/>
      <c r="AB467" s="105"/>
      <c r="AC467" s="91"/>
      <c r="AD467" s="105"/>
      <c r="AE467" s="105"/>
      <c r="AF467" s="91"/>
      <c r="AG467" s="105"/>
      <c r="AH467" s="105"/>
      <c r="AI467" s="105" t="str">
        <f t="shared" si="1"/>
        <v/>
      </c>
      <c r="AJ467" s="108" t="str">
        <f t="shared" si="2"/>
        <v/>
      </c>
    </row>
    <row r="468" ht="15.75" customHeight="1">
      <c r="A468" s="104"/>
      <c r="B468" s="105" t="str">
        <f>IFERROR(__xludf.DUMMYFUNCTION("ARRAY_CONSTRAIN(
  ARRAYFORMULA(
    IF(
      'Final Report'!A468="""",
      """",
      TEXTJOIN(
        "", "" &amp; CHAR(10),
        TRUE,
        IFERROR(
          VLOOKUP(
            TRIM(
              SPLIT('Final Report'!A468, "","")
           "&amp;" ),
            'URL Details'!A:B,
            2,
            FALSE
          ),
          """"
        )
      )
    )
  ),
  1,
  1
)
"),"")</f>
        <v/>
      </c>
      <c r="C468" s="105" t="str">
        <f>IFERROR(__xludf.DUMMYFUNCTION("IFERROR(IF('Final Report'!A468="""","""", TEXTJOIN(CHAR(10), TRUE, ARRAYFORMULA( ""• ""&amp; FILTER( TRIM(FLATTEN(SPLIT( REGEXREPLACE( SUBSTITUTE(TEXTJOIN("","", TRUE, IFERROR(ARRAYFORMULA(VLOOKUP(TRIM(SPLIT('Final Report'!A468, "","")), 'URL Details'!A:D, 4,"&amp;" FALSE)),"""") ), CHAR(10), "",""), ""\s*,\s*"", "",""), "",""))), TRIM(FLATTEN(SPLIT( REGEXREPLACE( SUBSTITUTE(TEXTJOIN("","", TRUE, IFERROR(ARRAYFORMULA(VLOOKUP(TRIM(SPLIT('Final Report'!A468, "","")), 'URL Details'!A:D, 4, FALSE)),"""") ), CHAR(10), """&amp;",""), ""\s*,\s*"", "",""), "","")))&lt;&gt;"""" ) ) ) ),"""")
"),"")</f>
        <v/>
      </c>
      <c r="D468" s="105"/>
      <c r="E468" s="105"/>
      <c r="F468" s="110" t="b">
        <v>0</v>
      </c>
      <c r="G468" s="105" t="str">
        <f>IF(F468=True, IFERROR(VLOOKUP(D468, Repository!A:B, 2, 0), ""), "")</f>
        <v/>
      </c>
      <c r="H468" s="105"/>
      <c r="I468" s="105"/>
      <c r="J468" s="105" t="str">
        <f>IF(F468=True, IFERROR(VLOOKUP(D468, Repository!A:C, 3, 0), ""), "")</f>
        <v/>
      </c>
      <c r="K468" s="105"/>
      <c r="L468" s="105" t="str">
        <f>IF(F468=True, IFERROR(VLOOKUP(D468, Repository!A:E, 5, 0), ""), "")</f>
        <v/>
      </c>
      <c r="M468" s="105"/>
      <c r="N468" s="105" t="str">
        <f>IF(F468=True, IFERROR(VLOOKUP(D468, Repository!A:G, 7, 0), ""), "")</f>
        <v/>
      </c>
      <c r="O468" s="105" t="str">
        <f>IFERROR(__xludf.DUMMYFUNCTION("ARRAY_CONSTRAIN(
  ARRAYFORMULA(
    IFERROR(
      LET(
        list, N468,
        arr, TRIM(SPLIT(list, "","")),
        names, XLOOKUP(
          arr,
          'Conformance Score'!A:A,
          'Conformance Score'!B:B,
          ""Not found""
      "&amp;"  ),
        TEXTJOIN("", "", TRUE, names)
      ),
      """"
    )
  ),
  1,
  1
)
"),"")</f>
        <v/>
      </c>
      <c r="P468" s="105" t="str">
        <f>IF(F468="Yes", IFERROR(VLOOKUP(D468, Repository!A:F, 6, 0), ""), "")</f>
        <v/>
      </c>
      <c r="Q468" s="105" t="str">
        <f>IF(F468="Yes", IFERROR(VLOOKUP(D468, Repository!A:I, 8, 0), ""), "")</f>
        <v/>
      </c>
      <c r="R468" s="105" t="str">
        <f>IF(F468="Yes", IFERROR(VLOOKUP(D468, Repository!A:J, 9, 0), ""), "")</f>
        <v/>
      </c>
      <c r="S468" s="105"/>
      <c r="T468" s="105"/>
      <c r="U468" s="105"/>
      <c r="V468" s="105"/>
      <c r="W468" s="105"/>
      <c r="X468" s="105"/>
      <c r="Y468" s="105"/>
      <c r="Z468" s="105"/>
      <c r="AA468" s="105"/>
      <c r="AB468" s="105"/>
      <c r="AC468" s="91"/>
      <c r="AD468" s="105"/>
      <c r="AE468" s="105"/>
      <c r="AF468" s="91"/>
      <c r="AG468" s="105"/>
      <c r="AH468" s="105"/>
      <c r="AI468" s="105" t="str">
        <f t="shared" si="1"/>
        <v/>
      </c>
      <c r="AJ468" s="108" t="str">
        <f t="shared" si="2"/>
        <v/>
      </c>
    </row>
    <row r="469" ht="15.75" customHeight="1">
      <c r="A469" s="104"/>
      <c r="B469" s="105" t="str">
        <f>IFERROR(__xludf.DUMMYFUNCTION("ARRAY_CONSTRAIN(
  ARRAYFORMULA(
    IF(
      'Final Report'!A469="""",
      """",
      TEXTJOIN(
        "", "" &amp; CHAR(10),
        TRUE,
        IFERROR(
          VLOOKUP(
            TRIM(
              SPLIT('Final Report'!A469, "","")
           "&amp;" ),
            'URL Details'!A:B,
            2,
            FALSE
          ),
          """"
        )
      )
    )
  ),
  1,
  1
)
"),"")</f>
        <v/>
      </c>
      <c r="C469" s="105" t="str">
        <f>IFERROR(__xludf.DUMMYFUNCTION("IFERROR(IF('Final Report'!A469="""","""", TEXTJOIN(CHAR(10), TRUE, ARRAYFORMULA( ""• ""&amp; FILTER( TRIM(FLATTEN(SPLIT( REGEXREPLACE( SUBSTITUTE(TEXTJOIN("","", TRUE, IFERROR(ARRAYFORMULA(VLOOKUP(TRIM(SPLIT('Final Report'!A469, "","")), 'URL Details'!A:D, 4,"&amp;" FALSE)),"""") ), CHAR(10), "",""), ""\s*,\s*"", "",""), "",""))), TRIM(FLATTEN(SPLIT( REGEXREPLACE( SUBSTITUTE(TEXTJOIN("","", TRUE, IFERROR(ARRAYFORMULA(VLOOKUP(TRIM(SPLIT('Final Report'!A469, "","")), 'URL Details'!A:D, 4, FALSE)),"""") ), CHAR(10), """&amp;",""), ""\s*,\s*"", "",""), "","")))&lt;&gt;"""" ) ) ) ),"""")
"),"")</f>
        <v/>
      </c>
      <c r="D469" s="105"/>
      <c r="E469" s="105"/>
      <c r="F469" s="110" t="b">
        <v>0</v>
      </c>
      <c r="G469" s="105" t="str">
        <f>IF(F469=True, IFERROR(VLOOKUP(D469, Repository!A:B, 2, 0), ""), "")</f>
        <v/>
      </c>
      <c r="H469" s="105"/>
      <c r="I469" s="105"/>
      <c r="J469" s="105" t="str">
        <f>IF(F469=True, IFERROR(VLOOKUP(D469, Repository!A:C, 3, 0), ""), "")</f>
        <v/>
      </c>
      <c r="K469" s="105"/>
      <c r="L469" s="105" t="str">
        <f>IF(F469=True, IFERROR(VLOOKUP(D469, Repository!A:E, 5, 0), ""), "")</f>
        <v/>
      </c>
      <c r="M469" s="105"/>
      <c r="N469" s="105" t="str">
        <f>IF(F469=True, IFERROR(VLOOKUP(D469, Repository!A:G, 7, 0), ""), "")</f>
        <v/>
      </c>
      <c r="O469" s="105" t="str">
        <f>IFERROR(__xludf.DUMMYFUNCTION("ARRAY_CONSTRAIN(
  ARRAYFORMULA(
    IFERROR(
      LET(
        list, N469,
        arr, TRIM(SPLIT(list, "","")),
        names, XLOOKUP(
          arr,
          'Conformance Score'!A:A,
          'Conformance Score'!B:B,
          ""Not found""
      "&amp;"  ),
        TEXTJOIN("", "", TRUE, names)
      ),
      """"
    )
  ),
  1,
  1
)
"),"")</f>
        <v/>
      </c>
      <c r="P469" s="105" t="str">
        <f>IF(F469="Yes", IFERROR(VLOOKUP(D469, Repository!A:F, 6, 0), ""), "")</f>
        <v/>
      </c>
      <c r="Q469" s="105" t="str">
        <f>IF(F469="Yes", IFERROR(VLOOKUP(D469, Repository!A:I, 8, 0), ""), "")</f>
        <v/>
      </c>
      <c r="R469" s="105" t="str">
        <f>IF(F469="Yes", IFERROR(VLOOKUP(D469, Repository!A:J, 9, 0), ""), "")</f>
        <v/>
      </c>
      <c r="S469" s="105"/>
      <c r="T469" s="105"/>
      <c r="U469" s="105"/>
      <c r="V469" s="105"/>
      <c r="W469" s="105"/>
      <c r="X469" s="105"/>
      <c r="Y469" s="105"/>
      <c r="Z469" s="105"/>
      <c r="AA469" s="105"/>
      <c r="AB469" s="105"/>
      <c r="AC469" s="91"/>
      <c r="AD469" s="105"/>
      <c r="AE469" s="105"/>
      <c r="AF469" s="91"/>
      <c r="AG469" s="105"/>
      <c r="AH469" s="105"/>
      <c r="AI469" s="105" t="str">
        <f t="shared" si="1"/>
        <v/>
      </c>
      <c r="AJ469" s="108" t="str">
        <f t="shared" si="2"/>
        <v/>
      </c>
    </row>
    <row r="470" ht="15.75" customHeight="1">
      <c r="A470" s="104"/>
      <c r="B470" s="105" t="str">
        <f>IFERROR(__xludf.DUMMYFUNCTION("ARRAY_CONSTRAIN(
  ARRAYFORMULA(
    IF(
      'Final Report'!A470="""",
      """",
      TEXTJOIN(
        "", "" &amp; CHAR(10),
        TRUE,
        IFERROR(
          VLOOKUP(
            TRIM(
              SPLIT('Final Report'!A470, "","")
           "&amp;" ),
            'URL Details'!A:B,
            2,
            FALSE
          ),
          """"
        )
      )
    )
  ),
  1,
  1
)
"),"")</f>
        <v/>
      </c>
      <c r="C470" s="105" t="str">
        <f>IFERROR(__xludf.DUMMYFUNCTION("IFERROR(IF('Final Report'!A470="""","""", TEXTJOIN(CHAR(10), TRUE, ARRAYFORMULA( ""• ""&amp; FILTER( TRIM(FLATTEN(SPLIT( REGEXREPLACE( SUBSTITUTE(TEXTJOIN("","", TRUE, IFERROR(ARRAYFORMULA(VLOOKUP(TRIM(SPLIT('Final Report'!A470, "","")), 'URL Details'!A:D, 4,"&amp;" FALSE)),"""") ), CHAR(10), "",""), ""\s*,\s*"", "",""), "",""))), TRIM(FLATTEN(SPLIT( REGEXREPLACE( SUBSTITUTE(TEXTJOIN("","", TRUE, IFERROR(ARRAYFORMULA(VLOOKUP(TRIM(SPLIT('Final Report'!A470, "","")), 'URL Details'!A:D, 4, FALSE)),"""") ), CHAR(10), """&amp;",""), ""\s*,\s*"", "",""), "","")))&lt;&gt;"""" ) ) ) ),"""")
"),"")</f>
        <v/>
      </c>
      <c r="D470" s="105"/>
      <c r="E470" s="105"/>
      <c r="F470" s="110" t="b">
        <v>0</v>
      </c>
      <c r="G470" s="105" t="str">
        <f>IF(F470=True, IFERROR(VLOOKUP(D470, Repository!A:B, 2, 0), ""), "")</f>
        <v/>
      </c>
      <c r="H470" s="105"/>
      <c r="I470" s="105"/>
      <c r="J470" s="105" t="str">
        <f>IF(F470=True, IFERROR(VLOOKUP(D470, Repository!A:C, 3, 0), ""), "")</f>
        <v/>
      </c>
      <c r="K470" s="105"/>
      <c r="L470" s="105" t="str">
        <f>IF(F470=True, IFERROR(VLOOKUP(D470, Repository!A:E, 5, 0), ""), "")</f>
        <v/>
      </c>
      <c r="M470" s="105"/>
      <c r="N470" s="105" t="str">
        <f>IF(F470=True, IFERROR(VLOOKUP(D470, Repository!A:G, 7, 0), ""), "")</f>
        <v/>
      </c>
      <c r="O470" s="105" t="str">
        <f>IFERROR(__xludf.DUMMYFUNCTION("ARRAY_CONSTRAIN(
  ARRAYFORMULA(
    IFERROR(
      LET(
        list, N470,
        arr, TRIM(SPLIT(list, "","")),
        names, XLOOKUP(
          arr,
          'Conformance Score'!A:A,
          'Conformance Score'!B:B,
          ""Not found""
      "&amp;"  ),
        TEXTJOIN("", "", TRUE, names)
      ),
      """"
    )
  ),
  1,
  1
)
"),"")</f>
        <v/>
      </c>
      <c r="P470" s="105" t="str">
        <f>IF(F470="Yes", IFERROR(VLOOKUP(D470, Repository!A:F, 6, 0), ""), "")</f>
        <v/>
      </c>
      <c r="Q470" s="105" t="str">
        <f>IF(F470="Yes", IFERROR(VLOOKUP(D470, Repository!A:I, 8, 0), ""), "")</f>
        <v/>
      </c>
      <c r="R470" s="105" t="str">
        <f>IF(F470="Yes", IFERROR(VLOOKUP(D470, Repository!A:J, 9, 0), ""), "")</f>
        <v/>
      </c>
      <c r="S470" s="105"/>
      <c r="T470" s="105"/>
      <c r="U470" s="105"/>
      <c r="V470" s="105"/>
      <c r="W470" s="105"/>
      <c r="X470" s="105"/>
      <c r="Y470" s="105"/>
      <c r="Z470" s="105"/>
      <c r="AA470" s="105"/>
      <c r="AB470" s="105"/>
      <c r="AC470" s="91"/>
      <c r="AD470" s="105"/>
      <c r="AE470" s="105"/>
      <c r="AF470" s="91"/>
      <c r="AG470" s="105"/>
      <c r="AH470" s="105"/>
      <c r="AI470" s="105" t="str">
        <f t="shared" si="1"/>
        <v/>
      </c>
      <c r="AJ470" s="108" t="str">
        <f t="shared" si="2"/>
        <v/>
      </c>
    </row>
    <row r="471" ht="15.75" customHeight="1">
      <c r="A471" s="104"/>
      <c r="B471" s="105" t="str">
        <f>IFERROR(__xludf.DUMMYFUNCTION("ARRAY_CONSTRAIN(
  ARRAYFORMULA(
    IF(
      'Final Report'!A471="""",
      """",
      TEXTJOIN(
        "", "" &amp; CHAR(10),
        TRUE,
        IFERROR(
          VLOOKUP(
            TRIM(
              SPLIT('Final Report'!A471, "","")
           "&amp;" ),
            'URL Details'!A:B,
            2,
            FALSE
          ),
          """"
        )
      )
    )
  ),
  1,
  1
)
"),"")</f>
        <v/>
      </c>
      <c r="C471" s="105" t="str">
        <f>IFERROR(__xludf.DUMMYFUNCTION("IFERROR(IF('Final Report'!A471="""","""", TEXTJOIN(CHAR(10), TRUE, ARRAYFORMULA( ""• ""&amp; FILTER( TRIM(FLATTEN(SPLIT( REGEXREPLACE( SUBSTITUTE(TEXTJOIN("","", TRUE, IFERROR(ARRAYFORMULA(VLOOKUP(TRIM(SPLIT('Final Report'!A471, "","")), 'URL Details'!A:D, 4,"&amp;" FALSE)),"""") ), CHAR(10), "",""), ""\s*,\s*"", "",""), "",""))), TRIM(FLATTEN(SPLIT( REGEXREPLACE( SUBSTITUTE(TEXTJOIN("","", TRUE, IFERROR(ARRAYFORMULA(VLOOKUP(TRIM(SPLIT('Final Report'!A471, "","")), 'URL Details'!A:D, 4, FALSE)),"""") ), CHAR(10), """&amp;",""), ""\s*,\s*"", "",""), "","")))&lt;&gt;"""" ) ) ) ),"""")
"),"")</f>
        <v/>
      </c>
      <c r="D471" s="105"/>
      <c r="E471" s="105"/>
      <c r="F471" s="110" t="b">
        <v>0</v>
      </c>
      <c r="G471" s="105" t="str">
        <f>IF(F471=True, IFERROR(VLOOKUP(D471, Repository!A:B, 2, 0), ""), "")</f>
        <v/>
      </c>
      <c r="H471" s="105"/>
      <c r="I471" s="105"/>
      <c r="J471" s="105" t="str">
        <f>IF(F471=True, IFERROR(VLOOKUP(D471, Repository!A:C, 3, 0), ""), "")</f>
        <v/>
      </c>
      <c r="K471" s="105"/>
      <c r="L471" s="105" t="str">
        <f>IF(F471=True, IFERROR(VLOOKUP(D471, Repository!A:E, 5, 0), ""), "")</f>
        <v/>
      </c>
      <c r="M471" s="105"/>
      <c r="N471" s="105" t="str">
        <f>IF(F471=True, IFERROR(VLOOKUP(D471, Repository!A:G, 7, 0), ""), "")</f>
        <v/>
      </c>
      <c r="O471" s="105" t="str">
        <f>IFERROR(__xludf.DUMMYFUNCTION("ARRAY_CONSTRAIN(
  ARRAYFORMULA(
    IFERROR(
      LET(
        list, N471,
        arr, TRIM(SPLIT(list, "","")),
        names, XLOOKUP(
          arr,
          'Conformance Score'!A:A,
          'Conformance Score'!B:B,
          ""Not found""
      "&amp;"  ),
        TEXTJOIN("", "", TRUE, names)
      ),
      """"
    )
  ),
  1,
  1
)
"),"")</f>
        <v/>
      </c>
      <c r="P471" s="105" t="str">
        <f>IF(F471="Yes", IFERROR(VLOOKUP(D471, Repository!A:F, 6, 0), ""), "")</f>
        <v/>
      </c>
      <c r="Q471" s="105" t="str">
        <f>IF(F471="Yes", IFERROR(VLOOKUP(D471, Repository!A:I, 8, 0), ""), "")</f>
        <v/>
      </c>
      <c r="R471" s="105" t="str">
        <f>IF(F471="Yes", IFERROR(VLOOKUP(D471, Repository!A:J, 9, 0), ""), "")</f>
        <v/>
      </c>
      <c r="S471" s="105"/>
      <c r="T471" s="105"/>
      <c r="U471" s="105"/>
      <c r="V471" s="105"/>
      <c r="W471" s="105"/>
      <c r="X471" s="105"/>
      <c r="Y471" s="105"/>
      <c r="Z471" s="105"/>
      <c r="AA471" s="105"/>
      <c r="AB471" s="105"/>
      <c r="AC471" s="91"/>
      <c r="AD471" s="105"/>
      <c r="AE471" s="105"/>
      <c r="AF471" s="91"/>
      <c r="AG471" s="105"/>
      <c r="AH471" s="105"/>
      <c r="AI471" s="105" t="str">
        <f t="shared" si="1"/>
        <v/>
      </c>
      <c r="AJ471" s="108" t="str">
        <f t="shared" si="2"/>
        <v/>
      </c>
    </row>
    <row r="472" ht="15.75" customHeight="1">
      <c r="A472" s="104"/>
      <c r="B472" s="105" t="str">
        <f>IFERROR(__xludf.DUMMYFUNCTION("ARRAY_CONSTRAIN(
  ARRAYFORMULA(
    IF(
      'Final Report'!A472="""",
      """",
      TEXTJOIN(
        "", "" &amp; CHAR(10),
        TRUE,
        IFERROR(
          VLOOKUP(
            TRIM(
              SPLIT('Final Report'!A472, "","")
           "&amp;" ),
            'URL Details'!A:B,
            2,
            FALSE
          ),
          """"
        )
      )
    )
  ),
  1,
  1
)
"),"")</f>
        <v/>
      </c>
      <c r="C472" s="105" t="str">
        <f>IFERROR(__xludf.DUMMYFUNCTION("IFERROR(IF('Final Report'!A472="""","""", TEXTJOIN(CHAR(10), TRUE, ARRAYFORMULA( ""• ""&amp; FILTER( TRIM(FLATTEN(SPLIT( REGEXREPLACE( SUBSTITUTE(TEXTJOIN("","", TRUE, IFERROR(ARRAYFORMULA(VLOOKUP(TRIM(SPLIT('Final Report'!A472, "","")), 'URL Details'!A:D, 4,"&amp;" FALSE)),"""") ), CHAR(10), "",""), ""\s*,\s*"", "",""), "",""))), TRIM(FLATTEN(SPLIT( REGEXREPLACE( SUBSTITUTE(TEXTJOIN("","", TRUE, IFERROR(ARRAYFORMULA(VLOOKUP(TRIM(SPLIT('Final Report'!A472, "","")), 'URL Details'!A:D, 4, FALSE)),"""") ), CHAR(10), """&amp;",""), ""\s*,\s*"", "",""), "","")))&lt;&gt;"""" ) ) ) ),"""")
"),"")</f>
        <v/>
      </c>
      <c r="D472" s="105"/>
      <c r="E472" s="105"/>
      <c r="F472" s="110" t="b">
        <v>0</v>
      </c>
      <c r="G472" s="105" t="str">
        <f>IF(F472=True, IFERROR(VLOOKUP(D472, Repository!A:B, 2, 0), ""), "")</f>
        <v/>
      </c>
      <c r="H472" s="105"/>
      <c r="I472" s="105"/>
      <c r="J472" s="105" t="str">
        <f>IF(F472=True, IFERROR(VLOOKUP(D472, Repository!A:C, 3, 0), ""), "")</f>
        <v/>
      </c>
      <c r="K472" s="105"/>
      <c r="L472" s="105" t="str">
        <f>IF(F472=True, IFERROR(VLOOKUP(D472, Repository!A:E, 5, 0), ""), "")</f>
        <v/>
      </c>
      <c r="M472" s="105"/>
      <c r="N472" s="105" t="str">
        <f>IF(F472=True, IFERROR(VLOOKUP(D472, Repository!A:G, 7, 0), ""), "")</f>
        <v/>
      </c>
      <c r="O472" s="105" t="str">
        <f>IFERROR(__xludf.DUMMYFUNCTION("ARRAY_CONSTRAIN(
  ARRAYFORMULA(
    IFERROR(
      LET(
        list, N472,
        arr, TRIM(SPLIT(list, "","")),
        names, XLOOKUP(
          arr,
          'Conformance Score'!A:A,
          'Conformance Score'!B:B,
          ""Not found""
      "&amp;"  ),
        TEXTJOIN("", "", TRUE, names)
      ),
      """"
    )
  ),
  1,
  1
)
"),"")</f>
        <v/>
      </c>
      <c r="P472" s="105" t="str">
        <f>IF(F472="Yes", IFERROR(VLOOKUP(D472, Repository!A:F, 6, 0), ""), "")</f>
        <v/>
      </c>
      <c r="Q472" s="105" t="str">
        <f>IF(F472="Yes", IFERROR(VLOOKUP(D472, Repository!A:I, 8, 0), ""), "")</f>
        <v/>
      </c>
      <c r="R472" s="105" t="str">
        <f>IF(F472="Yes", IFERROR(VLOOKUP(D472, Repository!A:J, 9, 0), ""), "")</f>
        <v/>
      </c>
      <c r="S472" s="105"/>
      <c r="T472" s="105"/>
      <c r="U472" s="105"/>
      <c r="V472" s="105"/>
      <c r="W472" s="105"/>
      <c r="X472" s="105"/>
      <c r="Y472" s="105"/>
      <c r="Z472" s="105"/>
      <c r="AA472" s="105"/>
      <c r="AB472" s="105"/>
      <c r="AC472" s="91"/>
      <c r="AD472" s="105"/>
      <c r="AE472" s="105"/>
      <c r="AF472" s="91"/>
      <c r="AG472" s="105"/>
      <c r="AH472" s="105"/>
      <c r="AI472" s="105" t="str">
        <f t="shared" si="1"/>
        <v/>
      </c>
      <c r="AJ472" s="108" t="str">
        <f t="shared" si="2"/>
        <v/>
      </c>
    </row>
    <row r="473" ht="15.75" customHeight="1">
      <c r="A473" s="104"/>
      <c r="B473" s="105" t="str">
        <f>IFERROR(__xludf.DUMMYFUNCTION("ARRAY_CONSTRAIN(
  ARRAYFORMULA(
    IF(
      'Final Report'!A473="""",
      """",
      TEXTJOIN(
        "", "" &amp; CHAR(10),
        TRUE,
        IFERROR(
          VLOOKUP(
            TRIM(
              SPLIT('Final Report'!A473, "","")
           "&amp;" ),
            'URL Details'!A:B,
            2,
            FALSE
          ),
          """"
        )
      )
    )
  ),
  1,
  1
)
"),"")</f>
        <v/>
      </c>
      <c r="C473" s="105" t="str">
        <f>IFERROR(__xludf.DUMMYFUNCTION("IFERROR(IF('Final Report'!A473="""","""", TEXTJOIN(CHAR(10), TRUE, ARRAYFORMULA( ""• ""&amp; FILTER( TRIM(FLATTEN(SPLIT( REGEXREPLACE( SUBSTITUTE(TEXTJOIN("","", TRUE, IFERROR(ARRAYFORMULA(VLOOKUP(TRIM(SPLIT('Final Report'!A473, "","")), 'URL Details'!A:D, 4,"&amp;" FALSE)),"""") ), CHAR(10), "",""), ""\s*,\s*"", "",""), "",""))), TRIM(FLATTEN(SPLIT( REGEXREPLACE( SUBSTITUTE(TEXTJOIN("","", TRUE, IFERROR(ARRAYFORMULA(VLOOKUP(TRIM(SPLIT('Final Report'!A473, "","")), 'URL Details'!A:D, 4, FALSE)),"""") ), CHAR(10), """&amp;",""), ""\s*,\s*"", "",""), "","")))&lt;&gt;"""" ) ) ) ),"""")
"),"")</f>
        <v/>
      </c>
      <c r="D473" s="105"/>
      <c r="E473" s="105"/>
      <c r="F473" s="110" t="b">
        <v>0</v>
      </c>
      <c r="G473" s="105" t="str">
        <f>IF(F473=True, IFERROR(VLOOKUP(D473, Repository!A:B, 2, 0), ""), "")</f>
        <v/>
      </c>
      <c r="H473" s="105"/>
      <c r="I473" s="105"/>
      <c r="J473" s="105" t="str">
        <f>IF(F473=True, IFERROR(VLOOKUP(D473, Repository!A:C, 3, 0), ""), "")</f>
        <v/>
      </c>
      <c r="K473" s="105"/>
      <c r="L473" s="105" t="str">
        <f>IF(F473=True, IFERROR(VLOOKUP(D473, Repository!A:E, 5, 0), ""), "")</f>
        <v/>
      </c>
      <c r="M473" s="105"/>
      <c r="N473" s="105" t="str">
        <f>IF(F473=True, IFERROR(VLOOKUP(D473, Repository!A:G, 7, 0), ""), "")</f>
        <v/>
      </c>
      <c r="O473" s="105" t="str">
        <f>IFERROR(__xludf.DUMMYFUNCTION("ARRAY_CONSTRAIN(
  ARRAYFORMULA(
    IFERROR(
      LET(
        list, N473,
        arr, TRIM(SPLIT(list, "","")),
        names, XLOOKUP(
          arr,
          'Conformance Score'!A:A,
          'Conformance Score'!B:B,
          ""Not found""
      "&amp;"  ),
        TEXTJOIN("", "", TRUE, names)
      ),
      """"
    )
  ),
  1,
  1
)
"),"")</f>
        <v/>
      </c>
      <c r="P473" s="105" t="str">
        <f>IF(F473="Yes", IFERROR(VLOOKUP(D473, Repository!A:F, 6, 0), ""), "")</f>
        <v/>
      </c>
      <c r="Q473" s="105" t="str">
        <f>IF(F473="Yes", IFERROR(VLOOKUP(D473, Repository!A:I, 8, 0), ""), "")</f>
        <v/>
      </c>
      <c r="R473" s="105" t="str">
        <f>IF(F473="Yes", IFERROR(VLOOKUP(D473, Repository!A:J, 9, 0), ""), "")</f>
        <v/>
      </c>
      <c r="S473" s="105"/>
      <c r="T473" s="105"/>
      <c r="U473" s="105"/>
      <c r="V473" s="105"/>
      <c r="W473" s="105"/>
      <c r="X473" s="105"/>
      <c r="Y473" s="105"/>
      <c r="Z473" s="105"/>
      <c r="AA473" s="105"/>
      <c r="AB473" s="105"/>
      <c r="AC473" s="91"/>
      <c r="AD473" s="105"/>
      <c r="AE473" s="105"/>
      <c r="AF473" s="91"/>
      <c r="AG473" s="105"/>
      <c r="AH473" s="105"/>
      <c r="AI473" s="105" t="str">
        <f t="shared" si="1"/>
        <v/>
      </c>
      <c r="AJ473" s="108" t="str">
        <f t="shared" si="2"/>
        <v/>
      </c>
    </row>
    <row r="474" ht="15.75" customHeight="1">
      <c r="A474" s="104"/>
      <c r="B474" s="105" t="str">
        <f>IFERROR(__xludf.DUMMYFUNCTION("ARRAY_CONSTRAIN(
  ARRAYFORMULA(
    IF(
      'Final Report'!A474="""",
      """",
      TEXTJOIN(
        "", "" &amp; CHAR(10),
        TRUE,
        IFERROR(
          VLOOKUP(
            TRIM(
              SPLIT('Final Report'!A474, "","")
           "&amp;" ),
            'URL Details'!A:B,
            2,
            FALSE
          ),
          """"
        )
      )
    )
  ),
  1,
  1
)
"),"")</f>
        <v/>
      </c>
      <c r="C474" s="105" t="str">
        <f>IFERROR(__xludf.DUMMYFUNCTION("IFERROR(IF('Final Report'!A474="""","""", TEXTJOIN(CHAR(10), TRUE, ARRAYFORMULA( ""• ""&amp; FILTER( TRIM(FLATTEN(SPLIT( REGEXREPLACE( SUBSTITUTE(TEXTJOIN("","", TRUE, IFERROR(ARRAYFORMULA(VLOOKUP(TRIM(SPLIT('Final Report'!A474, "","")), 'URL Details'!A:D, 4,"&amp;" FALSE)),"""") ), CHAR(10), "",""), ""\s*,\s*"", "",""), "",""))), TRIM(FLATTEN(SPLIT( REGEXREPLACE( SUBSTITUTE(TEXTJOIN("","", TRUE, IFERROR(ARRAYFORMULA(VLOOKUP(TRIM(SPLIT('Final Report'!A474, "","")), 'URL Details'!A:D, 4, FALSE)),"""") ), CHAR(10), """&amp;",""), ""\s*,\s*"", "",""), "","")))&lt;&gt;"""" ) ) ) ),"""")
"),"")</f>
        <v/>
      </c>
      <c r="D474" s="105"/>
      <c r="E474" s="105"/>
      <c r="F474" s="110" t="b">
        <v>0</v>
      </c>
      <c r="G474" s="105" t="str">
        <f>IF(F474=True, IFERROR(VLOOKUP(D474, Repository!A:B, 2, 0), ""), "")</f>
        <v/>
      </c>
      <c r="H474" s="105"/>
      <c r="I474" s="105"/>
      <c r="J474" s="105" t="str">
        <f>IF(F474=True, IFERROR(VLOOKUP(D474, Repository!A:C, 3, 0), ""), "")</f>
        <v/>
      </c>
      <c r="K474" s="105"/>
      <c r="L474" s="105" t="str">
        <f>IF(F474=True, IFERROR(VLOOKUP(D474, Repository!A:E, 5, 0), ""), "")</f>
        <v/>
      </c>
      <c r="M474" s="105"/>
      <c r="N474" s="105" t="str">
        <f>IF(F474=True, IFERROR(VLOOKUP(D474, Repository!A:G, 7, 0), ""), "")</f>
        <v/>
      </c>
      <c r="O474" s="105" t="str">
        <f>IFERROR(__xludf.DUMMYFUNCTION("ARRAY_CONSTRAIN(
  ARRAYFORMULA(
    IFERROR(
      LET(
        list, N474,
        arr, TRIM(SPLIT(list, "","")),
        names, XLOOKUP(
          arr,
          'Conformance Score'!A:A,
          'Conformance Score'!B:B,
          ""Not found""
      "&amp;"  ),
        TEXTJOIN("", "", TRUE, names)
      ),
      """"
    )
  ),
  1,
  1
)
"),"")</f>
        <v/>
      </c>
      <c r="P474" s="105" t="str">
        <f>IF(F474="Yes", IFERROR(VLOOKUP(D474, Repository!A:F, 6, 0), ""), "")</f>
        <v/>
      </c>
      <c r="Q474" s="105" t="str">
        <f>IF(F474="Yes", IFERROR(VLOOKUP(D474, Repository!A:I, 8, 0), ""), "")</f>
        <v/>
      </c>
      <c r="R474" s="105" t="str">
        <f>IF(F474="Yes", IFERROR(VLOOKUP(D474, Repository!A:J, 9, 0), ""), "")</f>
        <v/>
      </c>
      <c r="S474" s="105"/>
      <c r="T474" s="105"/>
      <c r="U474" s="105"/>
      <c r="V474" s="105"/>
      <c r="W474" s="105"/>
      <c r="X474" s="105"/>
      <c r="Y474" s="105"/>
      <c r="Z474" s="105"/>
      <c r="AA474" s="105"/>
      <c r="AB474" s="105"/>
      <c r="AC474" s="91"/>
      <c r="AD474" s="105"/>
      <c r="AE474" s="105"/>
      <c r="AF474" s="91"/>
      <c r="AG474" s="105"/>
      <c r="AH474" s="105"/>
      <c r="AI474" s="105" t="str">
        <f t="shared" si="1"/>
        <v/>
      </c>
      <c r="AJ474" s="108" t="str">
        <f t="shared" si="2"/>
        <v/>
      </c>
    </row>
    <row r="475" ht="15.75" customHeight="1">
      <c r="A475" s="104"/>
      <c r="B475" s="105" t="str">
        <f>IFERROR(__xludf.DUMMYFUNCTION("ARRAY_CONSTRAIN(
  ARRAYFORMULA(
    IF(
      'Final Report'!A475="""",
      """",
      TEXTJOIN(
        "", "" &amp; CHAR(10),
        TRUE,
        IFERROR(
          VLOOKUP(
            TRIM(
              SPLIT('Final Report'!A475, "","")
           "&amp;" ),
            'URL Details'!A:B,
            2,
            FALSE
          ),
          """"
        )
      )
    )
  ),
  1,
  1
)
"),"")</f>
        <v/>
      </c>
      <c r="C475" s="105" t="str">
        <f>IFERROR(__xludf.DUMMYFUNCTION("IFERROR(IF('Final Report'!A475="""","""", TEXTJOIN(CHAR(10), TRUE, ARRAYFORMULA( ""• ""&amp; FILTER( TRIM(FLATTEN(SPLIT( REGEXREPLACE( SUBSTITUTE(TEXTJOIN("","", TRUE, IFERROR(ARRAYFORMULA(VLOOKUP(TRIM(SPLIT('Final Report'!A475, "","")), 'URL Details'!A:D, 4,"&amp;" FALSE)),"""") ), CHAR(10), "",""), ""\s*,\s*"", "",""), "",""))), TRIM(FLATTEN(SPLIT( REGEXREPLACE( SUBSTITUTE(TEXTJOIN("","", TRUE, IFERROR(ARRAYFORMULA(VLOOKUP(TRIM(SPLIT('Final Report'!A475, "","")), 'URL Details'!A:D, 4, FALSE)),"""") ), CHAR(10), """&amp;",""), ""\s*,\s*"", "",""), "","")))&lt;&gt;"""" ) ) ) ),"""")
"),"")</f>
        <v/>
      </c>
      <c r="D475" s="105"/>
      <c r="E475" s="105"/>
      <c r="F475" s="110" t="b">
        <v>0</v>
      </c>
      <c r="G475" s="105" t="str">
        <f>IF(F475=True, IFERROR(VLOOKUP(D475, Repository!A:B, 2, 0), ""), "")</f>
        <v/>
      </c>
      <c r="H475" s="105"/>
      <c r="I475" s="105"/>
      <c r="J475" s="105" t="str">
        <f>IF(F475=True, IFERROR(VLOOKUP(D475, Repository!A:C, 3, 0), ""), "")</f>
        <v/>
      </c>
      <c r="K475" s="105"/>
      <c r="L475" s="105" t="str">
        <f>IF(F475=True, IFERROR(VLOOKUP(D475, Repository!A:E, 5, 0), ""), "")</f>
        <v/>
      </c>
      <c r="M475" s="105"/>
      <c r="N475" s="105" t="str">
        <f>IF(F475=True, IFERROR(VLOOKUP(D475, Repository!A:G, 7, 0), ""), "")</f>
        <v/>
      </c>
      <c r="O475" s="105" t="str">
        <f>IFERROR(__xludf.DUMMYFUNCTION("ARRAY_CONSTRAIN(
  ARRAYFORMULA(
    IFERROR(
      LET(
        list, N475,
        arr, TRIM(SPLIT(list, "","")),
        names, XLOOKUP(
          arr,
          'Conformance Score'!A:A,
          'Conformance Score'!B:B,
          ""Not found""
      "&amp;"  ),
        TEXTJOIN("", "", TRUE, names)
      ),
      """"
    )
  ),
  1,
  1
)
"),"")</f>
        <v/>
      </c>
      <c r="P475" s="105" t="str">
        <f>IF(F475="Yes", IFERROR(VLOOKUP(D475, Repository!A:F, 6, 0), ""), "")</f>
        <v/>
      </c>
      <c r="Q475" s="105" t="str">
        <f>IF(F475="Yes", IFERROR(VLOOKUP(D475, Repository!A:I, 8, 0), ""), "")</f>
        <v/>
      </c>
      <c r="R475" s="105" t="str">
        <f>IF(F475="Yes", IFERROR(VLOOKUP(D475, Repository!A:J, 9, 0), ""), "")</f>
        <v/>
      </c>
      <c r="S475" s="105"/>
      <c r="T475" s="105"/>
      <c r="U475" s="105"/>
      <c r="V475" s="105"/>
      <c r="W475" s="105"/>
      <c r="X475" s="105"/>
      <c r="Y475" s="105"/>
      <c r="Z475" s="105"/>
      <c r="AA475" s="105"/>
      <c r="AB475" s="105"/>
      <c r="AC475" s="91"/>
      <c r="AD475" s="105"/>
      <c r="AE475" s="105"/>
      <c r="AF475" s="91"/>
      <c r="AG475" s="105"/>
      <c r="AH475" s="105"/>
      <c r="AI475" s="105" t="str">
        <f t="shared" si="1"/>
        <v/>
      </c>
      <c r="AJ475" s="108" t="str">
        <f t="shared" si="2"/>
        <v/>
      </c>
    </row>
    <row r="476" ht="15.75" customHeight="1">
      <c r="A476" s="104"/>
      <c r="B476" s="105" t="str">
        <f>IFERROR(__xludf.DUMMYFUNCTION("ARRAY_CONSTRAIN(
  ARRAYFORMULA(
    IF(
      'Final Report'!A476="""",
      """",
      TEXTJOIN(
        "", "" &amp; CHAR(10),
        TRUE,
        IFERROR(
          VLOOKUP(
            TRIM(
              SPLIT('Final Report'!A476, "","")
           "&amp;" ),
            'URL Details'!A:B,
            2,
            FALSE
          ),
          """"
        )
      )
    )
  ),
  1,
  1
)
"),"")</f>
        <v/>
      </c>
      <c r="C476" s="105" t="str">
        <f>IFERROR(__xludf.DUMMYFUNCTION("IFERROR(IF('Final Report'!A476="""","""", TEXTJOIN(CHAR(10), TRUE, ARRAYFORMULA( ""• ""&amp; FILTER( TRIM(FLATTEN(SPLIT( REGEXREPLACE( SUBSTITUTE(TEXTJOIN("","", TRUE, IFERROR(ARRAYFORMULA(VLOOKUP(TRIM(SPLIT('Final Report'!A476, "","")), 'URL Details'!A:D, 4,"&amp;" FALSE)),"""") ), CHAR(10), "",""), ""\s*,\s*"", "",""), "",""))), TRIM(FLATTEN(SPLIT( REGEXREPLACE( SUBSTITUTE(TEXTJOIN("","", TRUE, IFERROR(ARRAYFORMULA(VLOOKUP(TRIM(SPLIT('Final Report'!A476, "","")), 'URL Details'!A:D, 4, FALSE)),"""") ), CHAR(10), """&amp;",""), ""\s*,\s*"", "",""), "","")))&lt;&gt;"""" ) ) ) ),"""")
"),"")</f>
        <v/>
      </c>
      <c r="D476" s="105"/>
      <c r="E476" s="105"/>
      <c r="F476" s="110" t="b">
        <v>0</v>
      </c>
      <c r="G476" s="105" t="str">
        <f>IF(F476=True, IFERROR(VLOOKUP(D476, Repository!A:B, 2, 0), ""), "")</f>
        <v/>
      </c>
      <c r="H476" s="105"/>
      <c r="I476" s="105"/>
      <c r="J476" s="105" t="str">
        <f>IF(F476=True, IFERROR(VLOOKUP(D476, Repository!A:C, 3, 0), ""), "")</f>
        <v/>
      </c>
      <c r="K476" s="105"/>
      <c r="L476" s="105" t="str">
        <f>IF(F476=True, IFERROR(VLOOKUP(D476, Repository!A:E, 5, 0), ""), "")</f>
        <v/>
      </c>
      <c r="M476" s="105"/>
      <c r="N476" s="105" t="str">
        <f>IF(F476=True, IFERROR(VLOOKUP(D476, Repository!A:G, 7, 0), ""), "")</f>
        <v/>
      </c>
      <c r="O476" s="105" t="str">
        <f>IFERROR(__xludf.DUMMYFUNCTION("ARRAY_CONSTRAIN(
  ARRAYFORMULA(
    IFERROR(
      LET(
        list, N476,
        arr, TRIM(SPLIT(list, "","")),
        names, XLOOKUP(
          arr,
          'Conformance Score'!A:A,
          'Conformance Score'!B:B,
          ""Not found""
      "&amp;"  ),
        TEXTJOIN("", "", TRUE, names)
      ),
      """"
    )
  ),
  1,
  1
)
"),"")</f>
        <v/>
      </c>
      <c r="P476" s="105" t="str">
        <f>IF(F476="Yes", IFERROR(VLOOKUP(D476, Repository!A:F, 6, 0), ""), "")</f>
        <v/>
      </c>
      <c r="Q476" s="105" t="str">
        <f>IF(F476="Yes", IFERROR(VLOOKUP(D476, Repository!A:I, 8, 0), ""), "")</f>
        <v/>
      </c>
      <c r="R476" s="105" t="str">
        <f>IF(F476="Yes", IFERROR(VLOOKUP(D476, Repository!A:J, 9, 0), ""), "")</f>
        <v/>
      </c>
      <c r="S476" s="105"/>
      <c r="T476" s="105"/>
      <c r="U476" s="105"/>
      <c r="V476" s="105"/>
      <c r="W476" s="105"/>
      <c r="X476" s="105"/>
      <c r="Y476" s="105"/>
      <c r="Z476" s="105"/>
      <c r="AA476" s="105"/>
      <c r="AB476" s="105"/>
      <c r="AC476" s="91"/>
      <c r="AD476" s="105"/>
      <c r="AE476" s="105"/>
      <c r="AF476" s="91"/>
      <c r="AG476" s="105"/>
      <c r="AH476" s="105"/>
      <c r="AI476" s="105" t="str">
        <f t="shared" si="1"/>
        <v/>
      </c>
      <c r="AJ476" s="108" t="str">
        <f t="shared" si="2"/>
        <v/>
      </c>
    </row>
    <row r="477" ht="15.75" customHeight="1">
      <c r="A477" s="104"/>
      <c r="B477" s="105" t="str">
        <f>IFERROR(__xludf.DUMMYFUNCTION("ARRAY_CONSTRAIN(
  ARRAYFORMULA(
    IF(
      'Final Report'!A477="""",
      """",
      TEXTJOIN(
        "", "" &amp; CHAR(10),
        TRUE,
        IFERROR(
          VLOOKUP(
            TRIM(
              SPLIT('Final Report'!A477, "","")
           "&amp;" ),
            'URL Details'!A:B,
            2,
            FALSE
          ),
          """"
        )
      )
    )
  ),
  1,
  1
)
"),"")</f>
        <v/>
      </c>
      <c r="C477" s="105" t="str">
        <f>IFERROR(__xludf.DUMMYFUNCTION("IFERROR(IF('Final Report'!A477="""","""", TEXTJOIN(CHAR(10), TRUE, ARRAYFORMULA( ""• ""&amp; FILTER( TRIM(FLATTEN(SPLIT( REGEXREPLACE( SUBSTITUTE(TEXTJOIN("","", TRUE, IFERROR(ARRAYFORMULA(VLOOKUP(TRIM(SPLIT('Final Report'!A477, "","")), 'URL Details'!A:D, 4,"&amp;" FALSE)),"""") ), CHAR(10), "",""), ""\s*,\s*"", "",""), "",""))), TRIM(FLATTEN(SPLIT( REGEXREPLACE( SUBSTITUTE(TEXTJOIN("","", TRUE, IFERROR(ARRAYFORMULA(VLOOKUP(TRIM(SPLIT('Final Report'!A477, "","")), 'URL Details'!A:D, 4, FALSE)),"""") ), CHAR(10), """&amp;",""), ""\s*,\s*"", "",""), "","")))&lt;&gt;"""" ) ) ) ),"""")
"),"")</f>
        <v/>
      </c>
      <c r="D477" s="105"/>
      <c r="E477" s="105"/>
      <c r="F477" s="110" t="b">
        <v>0</v>
      </c>
      <c r="G477" s="105" t="str">
        <f>IF(F477=True, IFERROR(VLOOKUP(D477, Repository!A:B, 2, 0), ""), "")</f>
        <v/>
      </c>
      <c r="H477" s="105"/>
      <c r="I477" s="105"/>
      <c r="J477" s="105" t="str">
        <f>IF(F477=True, IFERROR(VLOOKUP(D477, Repository!A:C, 3, 0), ""), "")</f>
        <v/>
      </c>
      <c r="K477" s="105"/>
      <c r="L477" s="105" t="str">
        <f>IF(F477=True, IFERROR(VLOOKUP(D477, Repository!A:E, 5, 0), ""), "")</f>
        <v/>
      </c>
      <c r="M477" s="105"/>
      <c r="N477" s="105" t="str">
        <f>IF(F477=True, IFERROR(VLOOKUP(D477, Repository!A:G, 7, 0), ""), "")</f>
        <v/>
      </c>
      <c r="O477" s="105" t="str">
        <f>IFERROR(__xludf.DUMMYFUNCTION("ARRAY_CONSTRAIN(
  ARRAYFORMULA(
    IFERROR(
      LET(
        list, N477,
        arr, TRIM(SPLIT(list, "","")),
        names, XLOOKUP(
          arr,
          'Conformance Score'!A:A,
          'Conformance Score'!B:B,
          ""Not found""
      "&amp;"  ),
        TEXTJOIN("", "", TRUE, names)
      ),
      """"
    )
  ),
  1,
  1
)
"),"")</f>
        <v/>
      </c>
      <c r="P477" s="105" t="str">
        <f>IF(F477="Yes", IFERROR(VLOOKUP(D477, Repository!A:F, 6, 0), ""), "")</f>
        <v/>
      </c>
      <c r="Q477" s="105" t="str">
        <f>IF(F477="Yes", IFERROR(VLOOKUP(D477, Repository!A:I, 8, 0), ""), "")</f>
        <v/>
      </c>
      <c r="R477" s="105" t="str">
        <f>IF(F477="Yes", IFERROR(VLOOKUP(D477, Repository!A:J, 9, 0), ""), "")</f>
        <v/>
      </c>
      <c r="S477" s="105"/>
      <c r="T477" s="105"/>
      <c r="U477" s="105"/>
      <c r="V477" s="105"/>
      <c r="W477" s="105"/>
      <c r="X477" s="105"/>
      <c r="Y477" s="105"/>
      <c r="Z477" s="105"/>
      <c r="AA477" s="105"/>
      <c r="AB477" s="105"/>
      <c r="AC477" s="91"/>
      <c r="AD477" s="105"/>
      <c r="AE477" s="105"/>
      <c r="AF477" s="91"/>
      <c r="AG477" s="105"/>
      <c r="AH477" s="105"/>
      <c r="AI477" s="105" t="str">
        <f t="shared" si="1"/>
        <v/>
      </c>
      <c r="AJ477" s="108" t="str">
        <f t="shared" si="2"/>
        <v/>
      </c>
    </row>
    <row r="478" ht="15.75" customHeight="1">
      <c r="A478" s="104"/>
      <c r="B478" s="105" t="str">
        <f>IFERROR(__xludf.DUMMYFUNCTION("ARRAY_CONSTRAIN(
  ARRAYFORMULA(
    IF(
      'Final Report'!A478="""",
      """",
      TEXTJOIN(
        "", "" &amp; CHAR(10),
        TRUE,
        IFERROR(
          VLOOKUP(
            TRIM(
              SPLIT('Final Report'!A478, "","")
           "&amp;" ),
            'URL Details'!A:B,
            2,
            FALSE
          ),
          """"
        )
      )
    )
  ),
  1,
  1
)
"),"")</f>
        <v/>
      </c>
      <c r="C478" s="105" t="str">
        <f>IFERROR(__xludf.DUMMYFUNCTION("IFERROR(IF('Final Report'!A478="""","""", TEXTJOIN(CHAR(10), TRUE, ARRAYFORMULA( ""• ""&amp; FILTER( TRIM(FLATTEN(SPLIT( REGEXREPLACE( SUBSTITUTE(TEXTJOIN("","", TRUE, IFERROR(ARRAYFORMULA(VLOOKUP(TRIM(SPLIT('Final Report'!A478, "","")), 'URL Details'!A:D, 4,"&amp;" FALSE)),"""") ), CHAR(10), "",""), ""\s*,\s*"", "",""), "",""))), TRIM(FLATTEN(SPLIT( REGEXREPLACE( SUBSTITUTE(TEXTJOIN("","", TRUE, IFERROR(ARRAYFORMULA(VLOOKUP(TRIM(SPLIT('Final Report'!A478, "","")), 'URL Details'!A:D, 4, FALSE)),"""") ), CHAR(10), """&amp;",""), ""\s*,\s*"", "",""), "","")))&lt;&gt;"""" ) ) ) ),"""")
"),"")</f>
        <v/>
      </c>
      <c r="D478" s="105"/>
      <c r="E478" s="105"/>
      <c r="F478" s="110" t="b">
        <v>0</v>
      </c>
      <c r="G478" s="105" t="str">
        <f>IF(F478=True, IFERROR(VLOOKUP(D478, Repository!A:B, 2, 0), ""), "")</f>
        <v/>
      </c>
      <c r="H478" s="105"/>
      <c r="I478" s="105"/>
      <c r="J478" s="105" t="str">
        <f>IF(F478=True, IFERROR(VLOOKUP(D478, Repository!A:C, 3, 0), ""), "")</f>
        <v/>
      </c>
      <c r="K478" s="105"/>
      <c r="L478" s="105" t="str">
        <f>IF(F478=True, IFERROR(VLOOKUP(D478, Repository!A:E, 5, 0), ""), "")</f>
        <v/>
      </c>
      <c r="M478" s="105"/>
      <c r="N478" s="105" t="str">
        <f>IF(F478=True, IFERROR(VLOOKUP(D478, Repository!A:G, 7, 0), ""), "")</f>
        <v/>
      </c>
      <c r="O478" s="105" t="str">
        <f>IFERROR(__xludf.DUMMYFUNCTION("ARRAY_CONSTRAIN(
  ARRAYFORMULA(
    IFERROR(
      LET(
        list, N478,
        arr, TRIM(SPLIT(list, "","")),
        names, XLOOKUP(
          arr,
          'Conformance Score'!A:A,
          'Conformance Score'!B:B,
          ""Not found""
      "&amp;"  ),
        TEXTJOIN("", "", TRUE, names)
      ),
      """"
    )
  ),
  1,
  1
)
"),"")</f>
        <v/>
      </c>
      <c r="P478" s="105" t="str">
        <f>IF(F478="Yes", IFERROR(VLOOKUP(D478, Repository!A:F, 6, 0), ""), "")</f>
        <v/>
      </c>
      <c r="Q478" s="105" t="str">
        <f>IF(F478="Yes", IFERROR(VLOOKUP(D478, Repository!A:I, 8, 0), ""), "")</f>
        <v/>
      </c>
      <c r="R478" s="105" t="str">
        <f>IF(F478="Yes", IFERROR(VLOOKUP(D478, Repository!A:J, 9, 0), ""), "")</f>
        <v/>
      </c>
      <c r="S478" s="105"/>
      <c r="T478" s="105"/>
      <c r="U478" s="105"/>
      <c r="V478" s="105"/>
      <c r="W478" s="105"/>
      <c r="X478" s="105"/>
      <c r="Y478" s="105"/>
      <c r="Z478" s="105"/>
      <c r="AA478" s="105"/>
      <c r="AB478" s="105"/>
      <c r="AC478" s="91"/>
      <c r="AD478" s="105"/>
      <c r="AE478" s="105"/>
      <c r="AF478" s="91"/>
      <c r="AG478" s="105"/>
      <c r="AH478" s="105"/>
      <c r="AI478" s="105" t="str">
        <f t="shared" si="1"/>
        <v/>
      </c>
      <c r="AJ478" s="108" t="str">
        <f t="shared" si="2"/>
        <v/>
      </c>
    </row>
    <row r="479" ht="15.75" customHeight="1">
      <c r="A479" s="104"/>
      <c r="B479" s="105" t="str">
        <f>IFERROR(__xludf.DUMMYFUNCTION("ARRAY_CONSTRAIN(
  ARRAYFORMULA(
    IF(
      'Final Report'!A479="""",
      """",
      TEXTJOIN(
        "", "" &amp; CHAR(10),
        TRUE,
        IFERROR(
          VLOOKUP(
            TRIM(
              SPLIT('Final Report'!A479, "","")
           "&amp;" ),
            'URL Details'!A:B,
            2,
            FALSE
          ),
          """"
        )
      )
    )
  ),
  1,
  1
)
"),"")</f>
        <v/>
      </c>
      <c r="C479" s="105" t="str">
        <f>IFERROR(__xludf.DUMMYFUNCTION("IFERROR(IF('Final Report'!A479="""","""", TEXTJOIN(CHAR(10), TRUE, ARRAYFORMULA( ""• ""&amp; FILTER( TRIM(FLATTEN(SPLIT( REGEXREPLACE( SUBSTITUTE(TEXTJOIN("","", TRUE, IFERROR(ARRAYFORMULA(VLOOKUP(TRIM(SPLIT('Final Report'!A479, "","")), 'URL Details'!A:D, 4,"&amp;" FALSE)),"""") ), CHAR(10), "",""), ""\s*,\s*"", "",""), "",""))), TRIM(FLATTEN(SPLIT( REGEXREPLACE( SUBSTITUTE(TEXTJOIN("","", TRUE, IFERROR(ARRAYFORMULA(VLOOKUP(TRIM(SPLIT('Final Report'!A479, "","")), 'URL Details'!A:D, 4, FALSE)),"""") ), CHAR(10), """&amp;",""), ""\s*,\s*"", "",""), "","")))&lt;&gt;"""" ) ) ) ),"""")
"),"")</f>
        <v/>
      </c>
      <c r="D479" s="105"/>
      <c r="E479" s="105"/>
      <c r="F479" s="110" t="b">
        <v>0</v>
      </c>
      <c r="G479" s="105" t="str">
        <f>IF(F479=True, IFERROR(VLOOKUP(D479, Repository!A:B, 2, 0), ""), "")</f>
        <v/>
      </c>
      <c r="H479" s="105"/>
      <c r="I479" s="105"/>
      <c r="J479" s="105" t="str">
        <f>IF(F479=True, IFERROR(VLOOKUP(D479, Repository!A:C, 3, 0), ""), "")</f>
        <v/>
      </c>
      <c r="K479" s="105"/>
      <c r="L479" s="105" t="str">
        <f>IF(F479=True, IFERROR(VLOOKUP(D479, Repository!A:E, 5, 0), ""), "")</f>
        <v/>
      </c>
      <c r="M479" s="105"/>
      <c r="N479" s="105" t="str">
        <f>IF(F479=True, IFERROR(VLOOKUP(D479, Repository!A:G, 7, 0), ""), "")</f>
        <v/>
      </c>
      <c r="O479" s="105" t="str">
        <f>IFERROR(__xludf.DUMMYFUNCTION("ARRAY_CONSTRAIN(
  ARRAYFORMULA(
    IFERROR(
      LET(
        list, N479,
        arr, TRIM(SPLIT(list, "","")),
        names, XLOOKUP(
          arr,
          'Conformance Score'!A:A,
          'Conformance Score'!B:B,
          ""Not found""
      "&amp;"  ),
        TEXTJOIN("", "", TRUE, names)
      ),
      """"
    )
  ),
  1,
  1
)
"),"")</f>
        <v/>
      </c>
      <c r="P479" s="105" t="str">
        <f>IF(F479="Yes", IFERROR(VLOOKUP(D479, Repository!A:F, 6, 0), ""), "")</f>
        <v/>
      </c>
      <c r="Q479" s="105" t="str">
        <f>IF(F479="Yes", IFERROR(VLOOKUP(D479, Repository!A:I, 8, 0), ""), "")</f>
        <v/>
      </c>
      <c r="R479" s="105" t="str">
        <f>IF(F479="Yes", IFERROR(VLOOKUP(D479, Repository!A:J, 9, 0), ""), "")</f>
        <v/>
      </c>
      <c r="S479" s="105"/>
      <c r="T479" s="105"/>
      <c r="U479" s="105"/>
      <c r="V479" s="105"/>
      <c r="W479" s="105"/>
      <c r="X479" s="105"/>
      <c r="Y479" s="105"/>
      <c r="Z479" s="105"/>
      <c r="AA479" s="105"/>
      <c r="AB479" s="105"/>
      <c r="AC479" s="91"/>
      <c r="AD479" s="105"/>
      <c r="AE479" s="105"/>
      <c r="AF479" s="91"/>
      <c r="AG479" s="105"/>
      <c r="AH479" s="105"/>
      <c r="AI479" s="105" t="str">
        <f t="shared" si="1"/>
        <v/>
      </c>
      <c r="AJ479" s="108" t="str">
        <f t="shared" si="2"/>
        <v/>
      </c>
    </row>
    <row r="480" ht="15.75" customHeight="1">
      <c r="A480" s="104"/>
      <c r="B480" s="105" t="str">
        <f>IFERROR(__xludf.DUMMYFUNCTION("ARRAY_CONSTRAIN(
  ARRAYFORMULA(
    IF(
      'Final Report'!A480="""",
      """",
      TEXTJOIN(
        "", "" &amp; CHAR(10),
        TRUE,
        IFERROR(
          VLOOKUP(
            TRIM(
              SPLIT('Final Report'!A480, "","")
           "&amp;" ),
            'URL Details'!A:B,
            2,
            FALSE
          ),
          """"
        )
      )
    )
  ),
  1,
  1
)
"),"")</f>
        <v/>
      </c>
      <c r="C480" s="105" t="str">
        <f>IFERROR(__xludf.DUMMYFUNCTION("IFERROR(IF('Final Report'!A480="""","""", TEXTJOIN(CHAR(10), TRUE, ARRAYFORMULA( ""• ""&amp; FILTER( TRIM(FLATTEN(SPLIT( REGEXREPLACE( SUBSTITUTE(TEXTJOIN("","", TRUE, IFERROR(ARRAYFORMULA(VLOOKUP(TRIM(SPLIT('Final Report'!A480, "","")), 'URL Details'!A:D, 4,"&amp;" FALSE)),"""") ), CHAR(10), "",""), ""\s*,\s*"", "",""), "",""))), TRIM(FLATTEN(SPLIT( REGEXREPLACE( SUBSTITUTE(TEXTJOIN("","", TRUE, IFERROR(ARRAYFORMULA(VLOOKUP(TRIM(SPLIT('Final Report'!A480, "","")), 'URL Details'!A:D, 4, FALSE)),"""") ), CHAR(10), """&amp;",""), ""\s*,\s*"", "",""), "","")))&lt;&gt;"""" ) ) ) ),"""")
"),"")</f>
        <v/>
      </c>
      <c r="D480" s="105"/>
      <c r="E480" s="105"/>
      <c r="F480" s="110" t="b">
        <v>0</v>
      </c>
      <c r="G480" s="105" t="str">
        <f>IF(F480=True, IFERROR(VLOOKUP(D480, Repository!A:B, 2, 0), ""), "")</f>
        <v/>
      </c>
      <c r="H480" s="105"/>
      <c r="I480" s="105"/>
      <c r="J480" s="105" t="str">
        <f>IF(F480=True, IFERROR(VLOOKUP(D480, Repository!A:C, 3, 0), ""), "")</f>
        <v/>
      </c>
      <c r="K480" s="105"/>
      <c r="L480" s="105" t="str">
        <f>IF(F480=True, IFERROR(VLOOKUP(D480, Repository!A:E, 5, 0), ""), "")</f>
        <v/>
      </c>
      <c r="M480" s="105"/>
      <c r="N480" s="105" t="str">
        <f>IF(F480=True, IFERROR(VLOOKUP(D480, Repository!A:G, 7, 0), ""), "")</f>
        <v/>
      </c>
      <c r="O480" s="105" t="str">
        <f>IFERROR(__xludf.DUMMYFUNCTION("ARRAY_CONSTRAIN(
  ARRAYFORMULA(
    IFERROR(
      LET(
        list, N480,
        arr, TRIM(SPLIT(list, "","")),
        names, XLOOKUP(
          arr,
          'Conformance Score'!A:A,
          'Conformance Score'!B:B,
          ""Not found""
      "&amp;"  ),
        TEXTJOIN("", "", TRUE, names)
      ),
      """"
    )
  ),
  1,
  1
)
"),"")</f>
        <v/>
      </c>
      <c r="P480" s="105" t="str">
        <f>IF(F480="Yes", IFERROR(VLOOKUP(D480, Repository!A:F, 6, 0), ""), "")</f>
        <v/>
      </c>
      <c r="Q480" s="105" t="str">
        <f>IF(F480="Yes", IFERROR(VLOOKUP(D480, Repository!A:I, 8, 0), ""), "")</f>
        <v/>
      </c>
      <c r="R480" s="105" t="str">
        <f>IF(F480="Yes", IFERROR(VLOOKUP(D480, Repository!A:J, 9, 0), ""), "")</f>
        <v/>
      </c>
      <c r="S480" s="105"/>
      <c r="T480" s="105"/>
      <c r="U480" s="105"/>
      <c r="V480" s="105"/>
      <c r="W480" s="105"/>
      <c r="X480" s="105"/>
      <c r="Y480" s="105"/>
      <c r="Z480" s="105"/>
      <c r="AA480" s="105"/>
      <c r="AB480" s="105"/>
      <c r="AC480" s="91"/>
      <c r="AD480" s="105"/>
      <c r="AE480" s="105"/>
      <c r="AF480" s="91"/>
      <c r="AG480" s="105"/>
      <c r="AH480" s="105"/>
      <c r="AI480" s="105" t="str">
        <f t="shared" si="1"/>
        <v/>
      </c>
      <c r="AJ480" s="108" t="str">
        <f t="shared" si="2"/>
        <v/>
      </c>
    </row>
    <row r="481" ht="15.75" customHeight="1">
      <c r="A481" s="104"/>
      <c r="B481" s="105" t="str">
        <f>IFERROR(__xludf.DUMMYFUNCTION("ARRAY_CONSTRAIN(
  ARRAYFORMULA(
    IF(
      'Final Report'!A481="""",
      """",
      TEXTJOIN(
        "", "" &amp; CHAR(10),
        TRUE,
        IFERROR(
          VLOOKUP(
            TRIM(
              SPLIT('Final Report'!A481, "","")
           "&amp;" ),
            'URL Details'!A:B,
            2,
            FALSE
          ),
          """"
        )
      )
    )
  ),
  1,
  1
)
"),"")</f>
        <v/>
      </c>
      <c r="C481" s="105" t="str">
        <f>IFERROR(__xludf.DUMMYFUNCTION("IFERROR(IF('Final Report'!A481="""","""", TEXTJOIN(CHAR(10), TRUE, ARRAYFORMULA( ""• ""&amp; FILTER( TRIM(FLATTEN(SPLIT( REGEXREPLACE( SUBSTITUTE(TEXTJOIN("","", TRUE, IFERROR(ARRAYFORMULA(VLOOKUP(TRIM(SPLIT('Final Report'!A481, "","")), 'URL Details'!A:D, 4,"&amp;" FALSE)),"""") ), CHAR(10), "",""), ""\s*,\s*"", "",""), "",""))), TRIM(FLATTEN(SPLIT( REGEXREPLACE( SUBSTITUTE(TEXTJOIN("","", TRUE, IFERROR(ARRAYFORMULA(VLOOKUP(TRIM(SPLIT('Final Report'!A481, "","")), 'URL Details'!A:D, 4, FALSE)),"""") ), CHAR(10), """&amp;",""), ""\s*,\s*"", "",""), "","")))&lt;&gt;"""" ) ) ) ),"""")
"),"")</f>
        <v/>
      </c>
      <c r="D481" s="105"/>
      <c r="E481" s="105"/>
      <c r="F481" s="110" t="b">
        <v>0</v>
      </c>
      <c r="G481" s="105" t="str">
        <f>IF(F481=True, IFERROR(VLOOKUP(D481, Repository!A:B, 2, 0), ""), "")</f>
        <v/>
      </c>
      <c r="H481" s="105"/>
      <c r="I481" s="105"/>
      <c r="J481" s="105" t="str">
        <f>IF(F481=True, IFERROR(VLOOKUP(D481, Repository!A:C, 3, 0), ""), "")</f>
        <v/>
      </c>
      <c r="K481" s="105"/>
      <c r="L481" s="105" t="str">
        <f>IF(F481=True, IFERROR(VLOOKUP(D481, Repository!A:E, 5, 0), ""), "")</f>
        <v/>
      </c>
      <c r="M481" s="105"/>
      <c r="N481" s="105" t="str">
        <f>IF(F481=True, IFERROR(VLOOKUP(D481, Repository!A:G, 7, 0), ""), "")</f>
        <v/>
      </c>
      <c r="O481" s="105" t="str">
        <f>IFERROR(__xludf.DUMMYFUNCTION("ARRAY_CONSTRAIN(
  ARRAYFORMULA(
    IFERROR(
      LET(
        list, N481,
        arr, TRIM(SPLIT(list, "","")),
        names, XLOOKUP(
          arr,
          'Conformance Score'!A:A,
          'Conformance Score'!B:B,
          ""Not found""
      "&amp;"  ),
        TEXTJOIN("", "", TRUE, names)
      ),
      """"
    )
  ),
  1,
  1
)
"),"")</f>
        <v/>
      </c>
      <c r="P481" s="105" t="str">
        <f>IF(F481="Yes", IFERROR(VLOOKUP(D481, Repository!A:F, 6, 0), ""), "")</f>
        <v/>
      </c>
      <c r="Q481" s="105" t="str">
        <f>IF(F481="Yes", IFERROR(VLOOKUP(D481, Repository!A:I, 8, 0), ""), "")</f>
        <v/>
      </c>
      <c r="R481" s="105" t="str">
        <f>IF(F481="Yes", IFERROR(VLOOKUP(D481, Repository!A:J, 9, 0), ""), "")</f>
        <v/>
      </c>
      <c r="S481" s="105"/>
      <c r="T481" s="105"/>
      <c r="U481" s="105"/>
      <c r="V481" s="105"/>
      <c r="W481" s="105"/>
      <c r="X481" s="105"/>
      <c r="Y481" s="105"/>
      <c r="Z481" s="105"/>
      <c r="AA481" s="105"/>
      <c r="AB481" s="105"/>
      <c r="AC481" s="91"/>
      <c r="AD481" s="105"/>
      <c r="AE481" s="105"/>
      <c r="AF481" s="91"/>
      <c r="AG481" s="105"/>
      <c r="AH481" s="105"/>
      <c r="AI481" s="105" t="str">
        <f t="shared" si="1"/>
        <v/>
      </c>
      <c r="AJ481" s="108" t="str">
        <f t="shared" si="2"/>
        <v/>
      </c>
    </row>
    <row r="482" ht="15.75" customHeight="1">
      <c r="A482" s="104"/>
      <c r="B482" s="105" t="str">
        <f>IFERROR(__xludf.DUMMYFUNCTION("ARRAY_CONSTRAIN(
  ARRAYFORMULA(
    IF(
      'Final Report'!A482="""",
      """",
      TEXTJOIN(
        "", "" &amp; CHAR(10),
        TRUE,
        IFERROR(
          VLOOKUP(
            TRIM(
              SPLIT('Final Report'!A482, "","")
           "&amp;" ),
            'URL Details'!A:B,
            2,
            FALSE
          ),
          """"
        )
      )
    )
  ),
  1,
  1
)
"),"")</f>
        <v/>
      </c>
      <c r="C482" s="105" t="str">
        <f>IFERROR(__xludf.DUMMYFUNCTION("IFERROR(IF('Final Report'!A482="""","""", TEXTJOIN(CHAR(10), TRUE, ARRAYFORMULA( ""• ""&amp; FILTER( TRIM(FLATTEN(SPLIT( REGEXREPLACE( SUBSTITUTE(TEXTJOIN("","", TRUE, IFERROR(ARRAYFORMULA(VLOOKUP(TRIM(SPLIT('Final Report'!A482, "","")), 'URL Details'!A:D, 4,"&amp;" FALSE)),"""") ), CHAR(10), "",""), ""\s*,\s*"", "",""), "",""))), TRIM(FLATTEN(SPLIT( REGEXREPLACE( SUBSTITUTE(TEXTJOIN("","", TRUE, IFERROR(ARRAYFORMULA(VLOOKUP(TRIM(SPLIT('Final Report'!A482, "","")), 'URL Details'!A:D, 4, FALSE)),"""") ), CHAR(10), """&amp;",""), ""\s*,\s*"", "",""), "","")))&lt;&gt;"""" ) ) ) ),"""")
"),"")</f>
        <v/>
      </c>
      <c r="D482" s="105"/>
      <c r="E482" s="105"/>
      <c r="F482" s="110" t="b">
        <v>0</v>
      </c>
      <c r="G482" s="105" t="str">
        <f>IF(F482=True, IFERROR(VLOOKUP(D482, Repository!A:B, 2, 0), ""), "")</f>
        <v/>
      </c>
      <c r="H482" s="105"/>
      <c r="I482" s="105"/>
      <c r="J482" s="105" t="str">
        <f>IF(F482=True, IFERROR(VLOOKUP(D482, Repository!A:C, 3, 0), ""), "")</f>
        <v/>
      </c>
      <c r="K482" s="105"/>
      <c r="L482" s="105" t="str">
        <f>IF(F482=True, IFERROR(VLOOKUP(D482, Repository!A:E, 5, 0), ""), "")</f>
        <v/>
      </c>
      <c r="M482" s="105"/>
      <c r="N482" s="105" t="str">
        <f>IF(F482=True, IFERROR(VLOOKUP(D482, Repository!A:G, 7, 0), ""), "")</f>
        <v/>
      </c>
      <c r="O482" s="105" t="str">
        <f>IFERROR(__xludf.DUMMYFUNCTION("ARRAY_CONSTRAIN(
  ARRAYFORMULA(
    IFERROR(
      LET(
        list, N482,
        arr, TRIM(SPLIT(list, "","")),
        names, XLOOKUP(
          arr,
          'Conformance Score'!A:A,
          'Conformance Score'!B:B,
          ""Not found""
      "&amp;"  ),
        TEXTJOIN("", "", TRUE, names)
      ),
      """"
    )
  ),
  1,
  1
)
"),"")</f>
        <v/>
      </c>
      <c r="P482" s="105" t="str">
        <f>IF(F482="Yes", IFERROR(VLOOKUP(D482, Repository!A:F, 6, 0), ""), "")</f>
        <v/>
      </c>
      <c r="Q482" s="105" t="str">
        <f>IF(F482="Yes", IFERROR(VLOOKUP(D482, Repository!A:I, 8, 0), ""), "")</f>
        <v/>
      </c>
      <c r="R482" s="105" t="str">
        <f>IF(F482="Yes", IFERROR(VLOOKUP(D482, Repository!A:J, 9, 0), ""), "")</f>
        <v/>
      </c>
      <c r="S482" s="105"/>
      <c r="T482" s="105"/>
      <c r="U482" s="105"/>
      <c r="V482" s="105"/>
      <c r="W482" s="105"/>
      <c r="X482" s="105"/>
      <c r="Y482" s="105"/>
      <c r="Z482" s="105"/>
      <c r="AA482" s="105"/>
      <c r="AB482" s="105"/>
      <c r="AC482" s="91"/>
      <c r="AD482" s="105"/>
      <c r="AE482" s="105"/>
      <c r="AF482" s="91"/>
      <c r="AG482" s="105"/>
      <c r="AH482" s="105"/>
      <c r="AI482" s="105" t="str">
        <f t="shared" si="1"/>
        <v/>
      </c>
      <c r="AJ482" s="108" t="str">
        <f t="shared" si="2"/>
        <v/>
      </c>
    </row>
    <row r="483" ht="15.75" customHeight="1">
      <c r="A483" s="104"/>
      <c r="B483" s="105" t="str">
        <f>IFERROR(__xludf.DUMMYFUNCTION("ARRAY_CONSTRAIN(
  ARRAYFORMULA(
    IF(
      'Final Report'!A483="""",
      """",
      TEXTJOIN(
        "", "" &amp; CHAR(10),
        TRUE,
        IFERROR(
          VLOOKUP(
            TRIM(
              SPLIT('Final Report'!A483, "","")
           "&amp;" ),
            'URL Details'!A:B,
            2,
            FALSE
          ),
          """"
        )
      )
    )
  ),
  1,
  1
)
"),"")</f>
        <v/>
      </c>
      <c r="C483" s="105" t="str">
        <f>IFERROR(__xludf.DUMMYFUNCTION("IFERROR(IF('Final Report'!A483="""","""", TEXTJOIN(CHAR(10), TRUE, ARRAYFORMULA( ""• ""&amp; FILTER( TRIM(FLATTEN(SPLIT( REGEXREPLACE( SUBSTITUTE(TEXTJOIN("","", TRUE, IFERROR(ARRAYFORMULA(VLOOKUP(TRIM(SPLIT('Final Report'!A483, "","")), 'URL Details'!A:D, 4,"&amp;" FALSE)),"""") ), CHAR(10), "",""), ""\s*,\s*"", "",""), "",""))), TRIM(FLATTEN(SPLIT( REGEXREPLACE( SUBSTITUTE(TEXTJOIN("","", TRUE, IFERROR(ARRAYFORMULA(VLOOKUP(TRIM(SPLIT('Final Report'!A483, "","")), 'URL Details'!A:D, 4, FALSE)),"""") ), CHAR(10), """&amp;",""), ""\s*,\s*"", "",""), "","")))&lt;&gt;"""" ) ) ) ),"""")
"),"")</f>
        <v/>
      </c>
      <c r="D483" s="105"/>
      <c r="E483" s="105"/>
      <c r="F483" s="110" t="b">
        <v>0</v>
      </c>
      <c r="G483" s="105" t="str">
        <f>IF(F483=True, IFERROR(VLOOKUP(D483, Repository!A:B, 2, 0), ""), "")</f>
        <v/>
      </c>
      <c r="H483" s="105"/>
      <c r="I483" s="105"/>
      <c r="J483" s="105" t="str">
        <f>IF(F483=True, IFERROR(VLOOKUP(D483, Repository!A:C, 3, 0), ""), "")</f>
        <v/>
      </c>
      <c r="K483" s="105"/>
      <c r="L483" s="105" t="str">
        <f>IF(F483=True, IFERROR(VLOOKUP(D483, Repository!A:E, 5, 0), ""), "")</f>
        <v/>
      </c>
      <c r="M483" s="105"/>
      <c r="N483" s="105" t="str">
        <f>IF(F483=True, IFERROR(VLOOKUP(D483, Repository!A:G, 7, 0), ""), "")</f>
        <v/>
      </c>
      <c r="O483" s="105" t="str">
        <f>IFERROR(__xludf.DUMMYFUNCTION("ARRAY_CONSTRAIN(
  ARRAYFORMULA(
    IFERROR(
      LET(
        list, N483,
        arr, TRIM(SPLIT(list, "","")),
        names, XLOOKUP(
          arr,
          'Conformance Score'!A:A,
          'Conformance Score'!B:B,
          ""Not found""
      "&amp;"  ),
        TEXTJOIN("", "", TRUE, names)
      ),
      """"
    )
  ),
  1,
  1
)
"),"")</f>
        <v/>
      </c>
      <c r="P483" s="105" t="str">
        <f>IF(F483="Yes", IFERROR(VLOOKUP(D483, Repository!A:F, 6, 0), ""), "")</f>
        <v/>
      </c>
      <c r="Q483" s="105" t="str">
        <f>IF(F483="Yes", IFERROR(VLOOKUP(D483, Repository!A:I, 8, 0), ""), "")</f>
        <v/>
      </c>
      <c r="R483" s="105" t="str">
        <f>IF(F483="Yes", IFERROR(VLOOKUP(D483, Repository!A:J, 9, 0), ""), "")</f>
        <v/>
      </c>
      <c r="S483" s="105"/>
      <c r="T483" s="105"/>
      <c r="U483" s="105"/>
      <c r="V483" s="105"/>
      <c r="W483" s="105"/>
      <c r="X483" s="105"/>
      <c r="Y483" s="105"/>
      <c r="Z483" s="105"/>
      <c r="AA483" s="105"/>
      <c r="AB483" s="105"/>
      <c r="AC483" s="91"/>
      <c r="AD483" s="105"/>
      <c r="AE483" s="105"/>
      <c r="AF483" s="91"/>
      <c r="AG483" s="105"/>
      <c r="AH483" s="105"/>
      <c r="AI483" s="105" t="str">
        <f t="shared" si="1"/>
        <v/>
      </c>
      <c r="AJ483" s="108" t="str">
        <f t="shared" si="2"/>
        <v/>
      </c>
    </row>
    <row r="484" ht="15.75" customHeight="1">
      <c r="A484" s="104"/>
      <c r="B484" s="105" t="str">
        <f>IFERROR(__xludf.DUMMYFUNCTION("ARRAY_CONSTRAIN(
  ARRAYFORMULA(
    IF(
      'Final Report'!A484="""",
      """",
      TEXTJOIN(
        "", "" &amp; CHAR(10),
        TRUE,
        IFERROR(
          VLOOKUP(
            TRIM(
              SPLIT('Final Report'!A484, "","")
           "&amp;" ),
            'URL Details'!A:B,
            2,
            FALSE
          ),
          """"
        )
      )
    )
  ),
  1,
  1
)
"),"")</f>
        <v/>
      </c>
      <c r="C484" s="105" t="str">
        <f>IFERROR(__xludf.DUMMYFUNCTION("IFERROR(IF('Final Report'!A484="""","""", TEXTJOIN(CHAR(10), TRUE, ARRAYFORMULA( ""• ""&amp; FILTER( TRIM(FLATTEN(SPLIT( REGEXREPLACE( SUBSTITUTE(TEXTJOIN("","", TRUE, IFERROR(ARRAYFORMULA(VLOOKUP(TRIM(SPLIT('Final Report'!A484, "","")), 'URL Details'!A:D, 4,"&amp;" FALSE)),"""") ), CHAR(10), "",""), ""\s*,\s*"", "",""), "",""))), TRIM(FLATTEN(SPLIT( REGEXREPLACE( SUBSTITUTE(TEXTJOIN("","", TRUE, IFERROR(ARRAYFORMULA(VLOOKUP(TRIM(SPLIT('Final Report'!A484, "","")), 'URL Details'!A:D, 4, FALSE)),"""") ), CHAR(10), """&amp;",""), ""\s*,\s*"", "",""), "","")))&lt;&gt;"""" ) ) ) ),"""")
"),"")</f>
        <v/>
      </c>
      <c r="D484" s="105"/>
      <c r="E484" s="105"/>
      <c r="F484" s="110" t="b">
        <v>0</v>
      </c>
      <c r="G484" s="105" t="str">
        <f>IF(F484=True, IFERROR(VLOOKUP(D484, Repository!A:B, 2, 0), ""), "")</f>
        <v/>
      </c>
      <c r="H484" s="105"/>
      <c r="I484" s="105"/>
      <c r="J484" s="105" t="str">
        <f>IF(F484=True, IFERROR(VLOOKUP(D484, Repository!A:C, 3, 0), ""), "")</f>
        <v/>
      </c>
      <c r="K484" s="105"/>
      <c r="L484" s="105" t="str">
        <f>IF(F484=True, IFERROR(VLOOKUP(D484, Repository!A:E, 5, 0), ""), "")</f>
        <v/>
      </c>
      <c r="M484" s="105"/>
      <c r="N484" s="105" t="str">
        <f>IF(F484=True, IFERROR(VLOOKUP(D484, Repository!A:G, 7, 0), ""), "")</f>
        <v/>
      </c>
      <c r="O484" s="105" t="str">
        <f>IFERROR(__xludf.DUMMYFUNCTION("ARRAY_CONSTRAIN(
  ARRAYFORMULA(
    IFERROR(
      LET(
        list, N484,
        arr, TRIM(SPLIT(list, "","")),
        names, XLOOKUP(
          arr,
          'Conformance Score'!A:A,
          'Conformance Score'!B:B,
          ""Not found""
      "&amp;"  ),
        TEXTJOIN("", "", TRUE, names)
      ),
      """"
    )
  ),
  1,
  1
)
"),"")</f>
        <v/>
      </c>
      <c r="P484" s="105" t="str">
        <f>IF(F484="Yes", IFERROR(VLOOKUP(D484, Repository!A:F, 6, 0), ""), "")</f>
        <v/>
      </c>
      <c r="Q484" s="105" t="str">
        <f>IF(F484="Yes", IFERROR(VLOOKUP(D484, Repository!A:I, 8, 0), ""), "")</f>
        <v/>
      </c>
      <c r="R484" s="105" t="str">
        <f>IF(F484="Yes", IFERROR(VLOOKUP(D484, Repository!A:J, 9, 0), ""), "")</f>
        <v/>
      </c>
      <c r="S484" s="105"/>
      <c r="T484" s="105"/>
      <c r="U484" s="105"/>
      <c r="V484" s="105"/>
      <c r="W484" s="105"/>
      <c r="X484" s="105"/>
      <c r="Y484" s="105"/>
      <c r="Z484" s="105"/>
      <c r="AA484" s="105"/>
      <c r="AB484" s="105"/>
      <c r="AC484" s="91"/>
      <c r="AD484" s="105"/>
      <c r="AE484" s="105"/>
      <c r="AF484" s="91"/>
      <c r="AG484" s="105"/>
      <c r="AH484" s="105"/>
      <c r="AI484" s="105" t="str">
        <f t="shared" si="1"/>
        <v/>
      </c>
      <c r="AJ484" s="108" t="str">
        <f t="shared" si="2"/>
        <v/>
      </c>
    </row>
    <row r="485" ht="15.75" customHeight="1">
      <c r="A485" s="104"/>
      <c r="B485" s="105" t="str">
        <f>IFERROR(__xludf.DUMMYFUNCTION("ARRAY_CONSTRAIN(
  ARRAYFORMULA(
    IF(
      'Final Report'!A485="""",
      """",
      TEXTJOIN(
        "", "" &amp; CHAR(10),
        TRUE,
        IFERROR(
          VLOOKUP(
            TRIM(
              SPLIT('Final Report'!A485, "","")
           "&amp;" ),
            'URL Details'!A:B,
            2,
            FALSE
          ),
          """"
        )
      )
    )
  ),
  1,
  1
)
"),"")</f>
        <v/>
      </c>
      <c r="C485" s="105" t="str">
        <f>IFERROR(__xludf.DUMMYFUNCTION("IFERROR(IF('Final Report'!A485="""","""", TEXTJOIN(CHAR(10), TRUE, ARRAYFORMULA( ""• ""&amp; FILTER( TRIM(FLATTEN(SPLIT( REGEXREPLACE( SUBSTITUTE(TEXTJOIN("","", TRUE, IFERROR(ARRAYFORMULA(VLOOKUP(TRIM(SPLIT('Final Report'!A485, "","")), 'URL Details'!A:D, 4,"&amp;" FALSE)),"""") ), CHAR(10), "",""), ""\s*,\s*"", "",""), "",""))), TRIM(FLATTEN(SPLIT( REGEXREPLACE( SUBSTITUTE(TEXTJOIN("","", TRUE, IFERROR(ARRAYFORMULA(VLOOKUP(TRIM(SPLIT('Final Report'!A485, "","")), 'URL Details'!A:D, 4, FALSE)),"""") ), CHAR(10), """&amp;",""), ""\s*,\s*"", "",""), "","")))&lt;&gt;"""" ) ) ) ),"""")
"),"")</f>
        <v/>
      </c>
      <c r="D485" s="105"/>
      <c r="E485" s="105"/>
      <c r="F485" s="110" t="b">
        <v>0</v>
      </c>
      <c r="G485" s="105" t="str">
        <f>IF(F485=True, IFERROR(VLOOKUP(D485, Repository!A:B, 2, 0), ""), "")</f>
        <v/>
      </c>
      <c r="H485" s="105"/>
      <c r="I485" s="105"/>
      <c r="J485" s="105" t="str">
        <f>IF(F485=True, IFERROR(VLOOKUP(D485, Repository!A:C, 3, 0), ""), "")</f>
        <v/>
      </c>
      <c r="K485" s="105"/>
      <c r="L485" s="105" t="str">
        <f>IF(F485=True, IFERROR(VLOOKUP(D485, Repository!A:E, 5, 0), ""), "")</f>
        <v/>
      </c>
      <c r="M485" s="105"/>
      <c r="N485" s="105" t="str">
        <f>IF(F485=True, IFERROR(VLOOKUP(D485, Repository!A:G, 7, 0), ""), "")</f>
        <v/>
      </c>
      <c r="O485" s="105" t="str">
        <f>IFERROR(__xludf.DUMMYFUNCTION("ARRAY_CONSTRAIN(
  ARRAYFORMULA(
    IFERROR(
      LET(
        list, N485,
        arr, TRIM(SPLIT(list, "","")),
        names, XLOOKUP(
          arr,
          'Conformance Score'!A:A,
          'Conformance Score'!B:B,
          ""Not found""
      "&amp;"  ),
        TEXTJOIN("", "", TRUE, names)
      ),
      """"
    )
  ),
  1,
  1
)
"),"")</f>
        <v/>
      </c>
      <c r="P485" s="105" t="str">
        <f>IF(F485="Yes", IFERROR(VLOOKUP(D485, Repository!A:F, 6, 0), ""), "")</f>
        <v/>
      </c>
      <c r="Q485" s="105" t="str">
        <f>IF(F485="Yes", IFERROR(VLOOKUP(D485, Repository!A:I, 8, 0), ""), "")</f>
        <v/>
      </c>
      <c r="R485" s="105" t="str">
        <f>IF(F485="Yes", IFERROR(VLOOKUP(D485, Repository!A:J, 9, 0), ""), "")</f>
        <v/>
      </c>
      <c r="S485" s="105"/>
      <c r="T485" s="105"/>
      <c r="U485" s="105"/>
      <c r="V485" s="105"/>
      <c r="W485" s="105"/>
      <c r="X485" s="105"/>
      <c r="Y485" s="105"/>
      <c r="Z485" s="105"/>
      <c r="AA485" s="105"/>
      <c r="AB485" s="105"/>
      <c r="AC485" s="91"/>
      <c r="AD485" s="105"/>
      <c r="AE485" s="105"/>
      <c r="AF485" s="91"/>
      <c r="AG485" s="105"/>
      <c r="AH485" s="105"/>
      <c r="AI485" s="105" t="str">
        <f t="shared" si="1"/>
        <v/>
      </c>
      <c r="AJ485" s="108" t="str">
        <f t="shared" si="2"/>
        <v/>
      </c>
    </row>
    <row r="486" ht="15.75" customHeight="1">
      <c r="A486" s="104"/>
      <c r="B486" s="105" t="str">
        <f>IFERROR(__xludf.DUMMYFUNCTION("ARRAY_CONSTRAIN(
  ARRAYFORMULA(
    IF(
      'Final Report'!A486="""",
      """",
      TEXTJOIN(
        "", "" &amp; CHAR(10),
        TRUE,
        IFERROR(
          VLOOKUP(
            TRIM(
              SPLIT('Final Report'!A486, "","")
           "&amp;" ),
            'URL Details'!A:B,
            2,
            FALSE
          ),
          """"
        )
      )
    )
  ),
  1,
  1
)
"),"")</f>
        <v/>
      </c>
      <c r="C486" s="105" t="str">
        <f>IFERROR(__xludf.DUMMYFUNCTION("IFERROR(IF('Final Report'!A486="""","""", TEXTJOIN(CHAR(10), TRUE, ARRAYFORMULA( ""• ""&amp; FILTER( TRIM(FLATTEN(SPLIT( REGEXREPLACE( SUBSTITUTE(TEXTJOIN("","", TRUE, IFERROR(ARRAYFORMULA(VLOOKUP(TRIM(SPLIT('Final Report'!A486, "","")), 'URL Details'!A:D, 4,"&amp;" FALSE)),"""") ), CHAR(10), "",""), ""\s*,\s*"", "",""), "",""))), TRIM(FLATTEN(SPLIT( REGEXREPLACE( SUBSTITUTE(TEXTJOIN("","", TRUE, IFERROR(ARRAYFORMULA(VLOOKUP(TRIM(SPLIT('Final Report'!A486, "","")), 'URL Details'!A:D, 4, FALSE)),"""") ), CHAR(10), """&amp;",""), ""\s*,\s*"", "",""), "","")))&lt;&gt;"""" ) ) ) ),"""")
"),"")</f>
        <v/>
      </c>
      <c r="D486" s="105"/>
      <c r="E486" s="105"/>
      <c r="F486" s="110" t="b">
        <v>0</v>
      </c>
      <c r="G486" s="105" t="str">
        <f>IF(F486=True, IFERROR(VLOOKUP(D486, Repository!A:B, 2, 0), ""), "")</f>
        <v/>
      </c>
      <c r="H486" s="105"/>
      <c r="I486" s="105"/>
      <c r="J486" s="105" t="str">
        <f>IF(F486=True, IFERROR(VLOOKUP(D486, Repository!A:C, 3, 0), ""), "")</f>
        <v/>
      </c>
      <c r="K486" s="105"/>
      <c r="L486" s="105" t="str">
        <f>IF(F486=True, IFERROR(VLOOKUP(D486, Repository!A:E, 5, 0), ""), "")</f>
        <v/>
      </c>
      <c r="M486" s="105"/>
      <c r="N486" s="105" t="str">
        <f>IF(F486=True, IFERROR(VLOOKUP(D486, Repository!A:G, 7, 0), ""), "")</f>
        <v/>
      </c>
      <c r="O486" s="105" t="str">
        <f>IFERROR(__xludf.DUMMYFUNCTION("ARRAY_CONSTRAIN(
  ARRAYFORMULA(
    IFERROR(
      LET(
        list, N486,
        arr, TRIM(SPLIT(list, "","")),
        names, XLOOKUP(
          arr,
          'Conformance Score'!A:A,
          'Conformance Score'!B:B,
          ""Not found""
      "&amp;"  ),
        TEXTJOIN("", "", TRUE, names)
      ),
      """"
    )
  ),
  1,
  1
)
"),"")</f>
        <v/>
      </c>
      <c r="P486" s="105" t="str">
        <f>IF(F486="Yes", IFERROR(VLOOKUP(D486, Repository!A:F, 6, 0), ""), "")</f>
        <v/>
      </c>
      <c r="Q486" s="105" t="str">
        <f>IF(F486="Yes", IFERROR(VLOOKUP(D486, Repository!A:I, 8, 0), ""), "")</f>
        <v/>
      </c>
      <c r="R486" s="105" t="str">
        <f>IF(F486="Yes", IFERROR(VLOOKUP(D486, Repository!A:J, 9, 0), ""), "")</f>
        <v/>
      </c>
      <c r="S486" s="105"/>
      <c r="T486" s="105"/>
      <c r="U486" s="105"/>
      <c r="V486" s="105"/>
      <c r="W486" s="105"/>
      <c r="X486" s="105"/>
      <c r="Y486" s="105"/>
      <c r="Z486" s="105"/>
      <c r="AA486" s="105"/>
      <c r="AB486" s="105"/>
      <c r="AC486" s="91"/>
      <c r="AD486" s="105"/>
      <c r="AE486" s="105"/>
      <c r="AF486" s="91"/>
      <c r="AG486" s="105"/>
      <c r="AH486" s="105"/>
      <c r="AI486" s="105" t="str">
        <f t="shared" si="1"/>
        <v/>
      </c>
      <c r="AJ486" s="108" t="str">
        <f t="shared" si="2"/>
        <v/>
      </c>
    </row>
    <row r="487" ht="15.75" customHeight="1">
      <c r="A487" s="104"/>
      <c r="B487" s="105" t="str">
        <f>IFERROR(__xludf.DUMMYFUNCTION("ARRAY_CONSTRAIN(
  ARRAYFORMULA(
    IF(
      'Final Report'!A487="""",
      """",
      TEXTJOIN(
        "", "" &amp; CHAR(10),
        TRUE,
        IFERROR(
          VLOOKUP(
            TRIM(
              SPLIT('Final Report'!A487, "","")
           "&amp;" ),
            'URL Details'!A:B,
            2,
            FALSE
          ),
          """"
        )
      )
    )
  ),
  1,
  1
)
"),"")</f>
        <v/>
      </c>
      <c r="C487" s="105" t="str">
        <f>IFERROR(__xludf.DUMMYFUNCTION("IFERROR(IF('Final Report'!A487="""","""", TEXTJOIN(CHAR(10), TRUE, ARRAYFORMULA( ""• ""&amp; FILTER( TRIM(FLATTEN(SPLIT( REGEXREPLACE( SUBSTITUTE(TEXTJOIN("","", TRUE, IFERROR(ARRAYFORMULA(VLOOKUP(TRIM(SPLIT('Final Report'!A487, "","")), 'URL Details'!A:D, 4,"&amp;" FALSE)),"""") ), CHAR(10), "",""), ""\s*,\s*"", "",""), "",""))), TRIM(FLATTEN(SPLIT( REGEXREPLACE( SUBSTITUTE(TEXTJOIN("","", TRUE, IFERROR(ARRAYFORMULA(VLOOKUP(TRIM(SPLIT('Final Report'!A487, "","")), 'URL Details'!A:D, 4, FALSE)),"""") ), CHAR(10), """&amp;",""), ""\s*,\s*"", "",""), "","")))&lt;&gt;"""" ) ) ) ),"""")
"),"")</f>
        <v/>
      </c>
      <c r="D487" s="105"/>
      <c r="E487" s="105"/>
      <c r="F487" s="110" t="b">
        <v>0</v>
      </c>
      <c r="G487" s="105" t="str">
        <f>IF(F487=True, IFERROR(VLOOKUP(D487, Repository!A:B, 2, 0), ""), "")</f>
        <v/>
      </c>
      <c r="H487" s="105"/>
      <c r="I487" s="105"/>
      <c r="J487" s="105" t="str">
        <f>IF(F487=True, IFERROR(VLOOKUP(D487, Repository!A:C, 3, 0), ""), "")</f>
        <v/>
      </c>
      <c r="K487" s="105"/>
      <c r="L487" s="105" t="str">
        <f>IF(F487=True, IFERROR(VLOOKUP(D487, Repository!A:E, 5, 0), ""), "")</f>
        <v/>
      </c>
      <c r="M487" s="105"/>
      <c r="N487" s="105" t="str">
        <f>IF(F487=True, IFERROR(VLOOKUP(D487, Repository!A:G, 7, 0), ""), "")</f>
        <v/>
      </c>
      <c r="O487" s="105" t="str">
        <f>IFERROR(__xludf.DUMMYFUNCTION("ARRAY_CONSTRAIN(
  ARRAYFORMULA(
    IFERROR(
      LET(
        list, N487,
        arr, TRIM(SPLIT(list, "","")),
        names, XLOOKUP(
          arr,
          'Conformance Score'!A:A,
          'Conformance Score'!B:B,
          ""Not found""
      "&amp;"  ),
        TEXTJOIN("", "", TRUE, names)
      ),
      """"
    )
  ),
  1,
  1
)
"),"")</f>
        <v/>
      </c>
      <c r="P487" s="105" t="str">
        <f>IF(F487="Yes", IFERROR(VLOOKUP(D487, Repository!A:F, 6, 0), ""), "")</f>
        <v/>
      </c>
      <c r="Q487" s="105" t="str">
        <f>IF(F487="Yes", IFERROR(VLOOKUP(D487, Repository!A:I, 8, 0), ""), "")</f>
        <v/>
      </c>
      <c r="R487" s="105" t="str">
        <f>IF(F487="Yes", IFERROR(VLOOKUP(D487, Repository!A:J, 9, 0), ""), "")</f>
        <v/>
      </c>
      <c r="S487" s="105"/>
      <c r="T487" s="105"/>
      <c r="U487" s="105"/>
      <c r="V487" s="105"/>
      <c r="W487" s="105"/>
      <c r="X487" s="105"/>
      <c r="Y487" s="105"/>
      <c r="Z487" s="105"/>
      <c r="AA487" s="105"/>
      <c r="AB487" s="105"/>
      <c r="AC487" s="91"/>
      <c r="AD487" s="105"/>
      <c r="AE487" s="105"/>
      <c r="AF487" s="91"/>
      <c r="AG487" s="105"/>
      <c r="AH487" s="105"/>
      <c r="AI487" s="105" t="str">
        <f t="shared" si="1"/>
        <v/>
      </c>
      <c r="AJ487" s="108" t="str">
        <f t="shared" si="2"/>
        <v/>
      </c>
    </row>
    <row r="488" ht="15.75" customHeight="1">
      <c r="A488" s="104"/>
      <c r="B488" s="105" t="str">
        <f>IFERROR(__xludf.DUMMYFUNCTION("ARRAY_CONSTRAIN(
  ARRAYFORMULA(
    IF(
      'Final Report'!A488="""",
      """",
      TEXTJOIN(
        "", "" &amp; CHAR(10),
        TRUE,
        IFERROR(
          VLOOKUP(
            TRIM(
              SPLIT('Final Report'!A488, "","")
           "&amp;" ),
            'URL Details'!A:B,
            2,
            FALSE
          ),
          """"
        )
      )
    )
  ),
  1,
  1
)
"),"")</f>
        <v/>
      </c>
      <c r="C488" s="105" t="str">
        <f>IFERROR(__xludf.DUMMYFUNCTION("IFERROR(IF('Final Report'!A488="""","""", TEXTJOIN(CHAR(10), TRUE, ARRAYFORMULA( ""• ""&amp; FILTER( TRIM(FLATTEN(SPLIT( REGEXREPLACE( SUBSTITUTE(TEXTJOIN("","", TRUE, IFERROR(ARRAYFORMULA(VLOOKUP(TRIM(SPLIT('Final Report'!A488, "","")), 'URL Details'!A:D, 4,"&amp;" FALSE)),"""") ), CHAR(10), "",""), ""\s*,\s*"", "",""), "",""))), TRIM(FLATTEN(SPLIT( REGEXREPLACE( SUBSTITUTE(TEXTJOIN("","", TRUE, IFERROR(ARRAYFORMULA(VLOOKUP(TRIM(SPLIT('Final Report'!A488, "","")), 'URL Details'!A:D, 4, FALSE)),"""") ), CHAR(10), """&amp;",""), ""\s*,\s*"", "",""), "","")))&lt;&gt;"""" ) ) ) ),"""")
"),"")</f>
        <v/>
      </c>
      <c r="D488" s="105"/>
      <c r="E488" s="105"/>
      <c r="F488" s="110" t="b">
        <v>0</v>
      </c>
      <c r="G488" s="105" t="str">
        <f>IF(F488=True, IFERROR(VLOOKUP(D488, Repository!A:B, 2, 0), ""), "")</f>
        <v/>
      </c>
      <c r="H488" s="105"/>
      <c r="I488" s="105"/>
      <c r="J488" s="105" t="str">
        <f>IF(F488=True, IFERROR(VLOOKUP(D488, Repository!A:C, 3, 0), ""), "")</f>
        <v/>
      </c>
      <c r="K488" s="105"/>
      <c r="L488" s="105" t="str">
        <f>IF(F488=True, IFERROR(VLOOKUP(D488, Repository!A:E, 5, 0), ""), "")</f>
        <v/>
      </c>
      <c r="M488" s="105"/>
      <c r="N488" s="105" t="str">
        <f>IF(F488=True, IFERROR(VLOOKUP(D488, Repository!A:G, 7, 0), ""), "")</f>
        <v/>
      </c>
      <c r="O488" s="105" t="str">
        <f>IFERROR(__xludf.DUMMYFUNCTION("ARRAY_CONSTRAIN(
  ARRAYFORMULA(
    IFERROR(
      LET(
        list, N488,
        arr, TRIM(SPLIT(list, "","")),
        names, XLOOKUP(
          arr,
          'Conformance Score'!A:A,
          'Conformance Score'!B:B,
          ""Not found""
      "&amp;"  ),
        TEXTJOIN("", "", TRUE, names)
      ),
      """"
    )
  ),
  1,
  1
)
"),"")</f>
        <v/>
      </c>
      <c r="P488" s="105" t="str">
        <f>IF(F488="Yes", IFERROR(VLOOKUP(D488, Repository!A:F, 6, 0), ""), "")</f>
        <v/>
      </c>
      <c r="Q488" s="105" t="str">
        <f>IF(F488="Yes", IFERROR(VLOOKUP(D488, Repository!A:I, 8, 0), ""), "")</f>
        <v/>
      </c>
      <c r="R488" s="105" t="str">
        <f>IF(F488="Yes", IFERROR(VLOOKUP(D488, Repository!A:J, 9, 0), ""), "")</f>
        <v/>
      </c>
      <c r="S488" s="105"/>
      <c r="T488" s="105"/>
      <c r="U488" s="105"/>
      <c r="V488" s="105"/>
      <c r="W488" s="105"/>
      <c r="X488" s="105"/>
      <c r="Y488" s="105"/>
      <c r="Z488" s="105"/>
      <c r="AA488" s="105"/>
      <c r="AB488" s="105"/>
      <c r="AC488" s="91"/>
      <c r="AD488" s="105"/>
      <c r="AE488" s="105"/>
      <c r="AF488" s="91"/>
      <c r="AG488" s="105"/>
      <c r="AH488" s="105"/>
      <c r="AI488" s="105" t="str">
        <f t="shared" si="1"/>
        <v/>
      </c>
      <c r="AJ488" s="108" t="str">
        <f t="shared" si="2"/>
        <v/>
      </c>
    </row>
    <row r="489" ht="15.75" customHeight="1">
      <c r="A489" s="104"/>
      <c r="B489" s="105" t="str">
        <f>IFERROR(__xludf.DUMMYFUNCTION("ARRAY_CONSTRAIN(
  ARRAYFORMULA(
    IF(
      'Final Report'!A489="""",
      """",
      TEXTJOIN(
        "", "" &amp; CHAR(10),
        TRUE,
        IFERROR(
          VLOOKUP(
            TRIM(
              SPLIT('Final Report'!A489, "","")
           "&amp;" ),
            'URL Details'!A:B,
            2,
            FALSE
          ),
          """"
        )
      )
    )
  ),
  1,
  1
)
"),"")</f>
        <v/>
      </c>
      <c r="C489" s="105" t="str">
        <f>IFERROR(__xludf.DUMMYFUNCTION("IFERROR(IF('Final Report'!A489="""","""", TEXTJOIN(CHAR(10), TRUE, ARRAYFORMULA( ""• ""&amp; FILTER( TRIM(FLATTEN(SPLIT( REGEXREPLACE( SUBSTITUTE(TEXTJOIN("","", TRUE, IFERROR(ARRAYFORMULA(VLOOKUP(TRIM(SPLIT('Final Report'!A489, "","")), 'URL Details'!A:D, 4,"&amp;" FALSE)),"""") ), CHAR(10), "",""), ""\s*,\s*"", "",""), "",""))), TRIM(FLATTEN(SPLIT( REGEXREPLACE( SUBSTITUTE(TEXTJOIN("","", TRUE, IFERROR(ARRAYFORMULA(VLOOKUP(TRIM(SPLIT('Final Report'!A489, "","")), 'URL Details'!A:D, 4, FALSE)),"""") ), CHAR(10), """&amp;",""), ""\s*,\s*"", "",""), "","")))&lt;&gt;"""" ) ) ) ),"""")
"),"")</f>
        <v/>
      </c>
      <c r="D489" s="105"/>
      <c r="E489" s="105"/>
      <c r="F489" s="110" t="b">
        <v>0</v>
      </c>
      <c r="G489" s="105" t="str">
        <f>IF(F489=True, IFERROR(VLOOKUP(D489, Repository!A:B, 2, 0), ""), "")</f>
        <v/>
      </c>
      <c r="H489" s="105"/>
      <c r="I489" s="105"/>
      <c r="J489" s="105" t="str">
        <f>IF(F489=True, IFERROR(VLOOKUP(D489, Repository!A:C, 3, 0), ""), "")</f>
        <v/>
      </c>
      <c r="K489" s="105"/>
      <c r="L489" s="105" t="str">
        <f>IF(F489=True, IFERROR(VLOOKUP(D489, Repository!A:E, 5, 0), ""), "")</f>
        <v/>
      </c>
      <c r="M489" s="105"/>
      <c r="N489" s="105" t="str">
        <f>IF(F489=True, IFERROR(VLOOKUP(D489, Repository!A:G, 7, 0), ""), "")</f>
        <v/>
      </c>
      <c r="O489" s="105" t="str">
        <f>IFERROR(__xludf.DUMMYFUNCTION("ARRAY_CONSTRAIN(
  ARRAYFORMULA(
    IFERROR(
      LET(
        list, N489,
        arr, TRIM(SPLIT(list, "","")),
        names, XLOOKUP(
          arr,
          'Conformance Score'!A:A,
          'Conformance Score'!B:B,
          ""Not found""
      "&amp;"  ),
        TEXTJOIN("", "", TRUE, names)
      ),
      """"
    )
  ),
  1,
  1
)
"),"")</f>
        <v/>
      </c>
      <c r="P489" s="105" t="str">
        <f>IF(F489="Yes", IFERROR(VLOOKUP(D489, Repository!A:F, 6, 0), ""), "")</f>
        <v/>
      </c>
      <c r="Q489" s="105" t="str">
        <f>IF(F489="Yes", IFERROR(VLOOKUP(D489, Repository!A:I, 8, 0), ""), "")</f>
        <v/>
      </c>
      <c r="R489" s="105" t="str">
        <f>IF(F489="Yes", IFERROR(VLOOKUP(D489, Repository!A:J, 9, 0), ""), "")</f>
        <v/>
      </c>
      <c r="S489" s="105"/>
      <c r="T489" s="105"/>
      <c r="U489" s="105"/>
      <c r="V489" s="105"/>
      <c r="W489" s="105"/>
      <c r="X489" s="105"/>
      <c r="Y489" s="105"/>
      <c r="Z489" s="105"/>
      <c r="AA489" s="105"/>
      <c r="AB489" s="105"/>
      <c r="AC489" s="91"/>
      <c r="AD489" s="105"/>
      <c r="AE489" s="105"/>
      <c r="AF489" s="91"/>
      <c r="AG489" s="105"/>
      <c r="AH489" s="105"/>
      <c r="AI489" s="105" t="str">
        <f t="shared" si="1"/>
        <v/>
      </c>
      <c r="AJ489" s="108" t="str">
        <f t="shared" si="2"/>
        <v/>
      </c>
    </row>
    <row r="490" ht="15.75" customHeight="1">
      <c r="A490" s="104"/>
      <c r="B490" s="105" t="str">
        <f>IFERROR(__xludf.DUMMYFUNCTION("ARRAY_CONSTRAIN(
  ARRAYFORMULA(
    IF(
      'Final Report'!A490="""",
      """",
      TEXTJOIN(
        "", "" &amp; CHAR(10),
        TRUE,
        IFERROR(
          VLOOKUP(
            TRIM(
              SPLIT('Final Report'!A490, "","")
           "&amp;" ),
            'URL Details'!A:B,
            2,
            FALSE
          ),
          """"
        )
      )
    )
  ),
  1,
  1
)
"),"")</f>
        <v/>
      </c>
      <c r="C490" s="105" t="str">
        <f>IFERROR(__xludf.DUMMYFUNCTION("IFERROR(IF('Final Report'!A490="""","""", TEXTJOIN(CHAR(10), TRUE, ARRAYFORMULA( ""• ""&amp; FILTER( TRIM(FLATTEN(SPLIT( REGEXREPLACE( SUBSTITUTE(TEXTJOIN("","", TRUE, IFERROR(ARRAYFORMULA(VLOOKUP(TRIM(SPLIT('Final Report'!A490, "","")), 'URL Details'!A:D, 4,"&amp;" FALSE)),"""") ), CHAR(10), "",""), ""\s*,\s*"", "",""), "",""))), TRIM(FLATTEN(SPLIT( REGEXREPLACE( SUBSTITUTE(TEXTJOIN("","", TRUE, IFERROR(ARRAYFORMULA(VLOOKUP(TRIM(SPLIT('Final Report'!A490, "","")), 'URL Details'!A:D, 4, FALSE)),"""") ), CHAR(10), """&amp;",""), ""\s*,\s*"", "",""), "","")))&lt;&gt;"""" ) ) ) ),"""")
"),"")</f>
        <v/>
      </c>
      <c r="D490" s="105"/>
      <c r="E490" s="105"/>
      <c r="F490" s="110" t="b">
        <v>0</v>
      </c>
      <c r="G490" s="105" t="str">
        <f>IF(F490=True, IFERROR(VLOOKUP(D490, Repository!A:B, 2, 0), ""), "")</f>
        <v/>
      </c>
      <c r="H490" s="105"/>
      <c r="I490" s="105"/>
      <c r="J490" s="105" t="str">
        <f>IF(F490=True, IFERROR(VLOOKUP(D490, Repository!A:C, 3, 0), ""), "")</f>
        <v/>
      </c>
      <c r="K490" s="105"/>
      <c r="L490" s="105" t="str">
        <f>IF(F490=True, IFERROR(VLOOKUP(D490, Repository!A:E, 5, 0), ""), "")</f>
        <v/>
      </c>
      <c r="M490" s="105"/>
      <c r="N490" s="105" t="str">
        <f>IF(F490=True, IFERROR(VLOOKUP(D490, Repository!A:G, 7, 0), ""), "")</f>
        <v/>
      </c>
      <c r="O490" s="105" t="str">
        <f>IFERROR(__xludf.DUMMYFUNCTION("ARRAY_CONSTRAIN(
  ARRAYFORMULA(
    IFERROR(
      LET(
        list, N490,
        arr, TRIM(SPLIT(list, "","")),
        names, XLOOKUP(
          arr,
          'Conformance Score'!A:A,
          'Conformance Score'!B:B,
          ""Not found""
      "&amp;"  ),
        TEXTJOIN("", "", TRUE, names)
      ),
      """"
    )
  ),
  1,
  1
)
"),"")</f>
        <v/>
      </c>
      <c r="P490" s="105" t="str">
        <f>IF(F490="Yes", IFERROR(VLOOKUP(D490, Repository!A:F, 6, 0), ""), "")</f>
        <v/>
      </c>
      <c r="Q490" s="105" t="str">
        <f>IF(F490="Yes", IFERROR(VLOOKUP(D490, Repository!A:I, 8, 0), ""), "")</f>
        <v/>
      </c>
      <c r="R490" s="105" t="str">
        <f>IF(F490="Yes", IFERROR(VLOOKUP(D490, Repository!A:J, 9, 0), ""), "")</f>
        <v/>
      </c>
      <c r="S490" s="105"/>
      <c r="T490" s="105"/>
      <c r="U490" s="105"/>
      <c r="V490" s="105"/>
      <c r="W490" s="105"/>
      <c r="X490" s="105"/>
      <c r="Y490" s="105"/>
      <c r="Z490" s="105"/>
      <c r="AA490" s="105"/>
      <c r="AB490" s="105"/>
      <c r="AC490" s="91"/>
      <c r="AD490" s="105"/>
      <c r="AE490" s="105"/>
      <c r="AF490" s="91"/>
      <c r="AG490" s="105"/>
      <c r="AH490" s="105"/>
      <c r="AI490" s="105" t="str">
        <f t="shared" si="1"/>
        <v/>
      </c>
      <c r="AJ490" s="108" t="str">
        <f t="shared" si="2"/>
        <v/>
      </c>
    </row>
    <row r="491" ht="15.75" customHeight="1">
      <c r="A491" s="104"/>
      <c r="B491" s="105" t="str">
        <f>IFERROR(__xludf.DUMMYFUNCTION("ARRAY_CONSTRAIN(
  ARRAYFORMULA(
    IF(
      'Final Report'!A491="""",
      """",
      TEXTJOIN(
        "", "" &amp; CHAR(10),
        TRUE,
        IFERROR(
          VLOOKUP(
            TRIM(
              SPLIT('Final Report'!A491, "","")
           "&amp;" ),
            'URL Details'!A:B,
            2,
            FALSE
          ),
          """"
        )
      )
    )
  ),
  1,
  1
)
"),"")</f>
        <v/>
      </c>
      <c r="C491" s="105" t="str">
        <f>IFERROR(__xludf.DUMMYFUNCTION("IFERROR(IF('Final Report'!A491="""","""", TEXTJOIN(CHAR(10), TRUE, ARRAYFORMULA( ""• ""&amp; FILTER( TRIM(FLATTEN(SPLIT( REGEXREPLACE( SUBSTITUTE(TEXTJOIN("","", TRUE, IFERROR(ARRAYFORMULA(VLOOKUP(TRIM(SPLIT('Final Report'!A491, "","")), 'URL Details'!A:D, 4,"&amp;" FALSE)),"""") ), CHAR(10), "",""), ""\s*,\s*"", "",""), "",""))), TRIM(FLATTEN(SPLIT( REGEXREPLACE( SUBSTITUTE(TEXTJOIN("","", TRUE, IFERROR(ARRAYFORMULA(VLOOKUP(TRIM(SPLIT('Final Report'!A491, "","")), 'URL Details'!A:D, 4, FALSE)),"""") ), CHAR(10), """&amp;",""), ""\s*,\s*"", "",""), "","")))&lt;&gt;"""" ) ) ) ),"""")
"),"")</f>
        <v/>
      </c>
      <c r="D491" s="105"/>
      <c r="E491" s="105"/>
      <c r="F491" s="110" t="b">
        <v>0</v>
      </c>
      <c r="G491" s="105" t="str">
        <f>IF(F491=True, IFERROR(VLOOKUP(D491, Repository!A:B, 2, 0), ""), "")</f>
        <v/>
      </c>
      <c r="H491" s="105"/>
      <c r="I491" s="105"/>
      <c r="J491" s="105" t="str">
        <f>IF(F491=True, IFERROR(VLOOKUP(D491, Repository!A:C, 3, 0), ""), "")</f>
        <v/>
      </c>
      <c r="K491" s="105"/>
      <c r="L491" s="105" t="str">
        <f>IF(F491=True, IFERROR(VLOOKUP(D491, Repository!A:E, 5, 0), ""), "")</f>
        <v/>
      </c>
      <c r="M491" s="105"/>
      <c r="N491" s="105" t="str">
        <f>IF(F491=True, IFERROR(VLOOKUP(D491, Repository!A:G, 7, 0), ""), "")</f>
        <v/>
      </c>
      <c r="O491" s="105" t="str">
        <f>IFERROR(__xludf.DUMMYFUNCTION("ARRAY_CONSTRAIN(
  ARRAYFORMULA(
    IFERROR(
      LET(
        list, N491,
        arr, TRIM(SPLIT(list, "","")),
        names, XLOOKUP(
          arr,
          'Conformance Score'!A:A,
          'Conformance Score'!B:B,
          ""Not found""
      "&amp;"  ),
        TEXTJOIN("", "", TRUE, names)
      ),
      """"
    )
  ),
  1,
  1
)
"),"")</f>
        <v/>
      </c>
      <c r="P491" s="105" t="str">
        <f>IF(F491="Yes", IFERROR(VLOOKUP(D491, Repository!A:F, 6, 0), ""), "")</f>
        <v/>
      </c>
      <c r="Q491" s="105" t="str">
        <f>IF(F491="Yes", IFERROR(VLOOKUP(D491, Repository!A:I, 8, 0), ""), "")</f>
        <v/>
      </c>
      <c r="R491" s="105" t="str">
        <f>IF(F491="Yes", IFERROR(VLOOKUP(D491, Repository!A:J, 9, 0), ""), "")</f>
        <v/>
      </c>
      <c r="S491" s="105"/>
      <c r="T491" s="105"/>
      <c r="U491" s="105"/>
      <c r="V491" s="105"/>
      <c r="W491" s="105"/>
      <c r="X491" s="105"/>
      <c r="Y491" s="105"/>
      <c r="Z491" s="105"/>
      <c r="AA491" s="105"/>
      <c r="AB491" s="105"/>
      <c r="AC491" s="91"/>
      <c r="AD491" s="105"/>
      <c r="AE491" s="105"/>
      <c r="AF491" s="91"/>
      <c r="AG491" s="105"/>
      <c r="AH491" s="105"/>
      <c r="AI491" s="105" t="str">
        <f t="shared" si="1"/>
        <v/>
      </c>
      <c r="AJ491" s="108" t="str">
        <f t="shared" si="2"/>
        <v/>
      </c>
    </row>
    <row r="492" ht="15.75" customHeight="1">
      <c r="A492" s="104"/>
      <c r="B492" s="105" t="str">
        <f>IFERROR(__xludf.DUMMYFUNCTION("ARRAY_CONSTRAIN(
  ARRAYFORMULA(
    IF(
      'Final Report'!A492="""",
      """",
      TEXTJOIN(
        "", "" &amp; CHAR(10),
        TRUE,
        IFERROR(
          VLOOKUP(
            TRIM(
              SPLIT('Final Report'!A492, "","")
           "&amp;" ),
            'URL Details'!A:B,
            2,
            FALSE
          ),
          """"
        )
      )
    )
  ),
  1,
  1
)
"),"")</f>
        <v/>
      </c>
      <c r="C492" s="105" t="str">
        <f>IFERROR(__xludf.DUMMYFUNCTION("IFERROR(IF('Final Report'!A492="""","""", TEXTJOIN(CHAR(10), TRUE, ARRAYFORMULA( ""• ""&amp; FILTER( TRIM(FLATTEN(SPLIT( REGEXREPLACE( SUBSTITUTE(TEXTJOIN("","", TRUE, IFERROR(ARRAYFORMULA(VLOOKUP(TRIM(SPLIT('Final Report'!A492, "","")), 'URL Details'!A:D, 4,"&amp;" FALSE)),"""") ), CHAR(10), "",""), ""\s*,\s*"", "",""), "",""))), TRIM(FLATTEN(SPLIT( REGEXREPLACE( SUBSTITUTE(TEXTJOIN("","", TRUE, IFERROR(ARRAYFORMULA(VLOOKUP(TRIM(SPLIT('Final Report'!A492, "","")), 'URL Details'!A:D, 4, FALSE)),"""") ), CHAR(10), """&amp;",""), ""\s*,\s*"", "",""), "","")))&lt;&gt;"""" ) ) ) ),"""")
"),"")</f>
        <v/>
      </c>
      <c r="D492" s="105"/>
      <c r="E492" s="105"/>
      <c r="F492" s="110" t="b">
        <v>0</v>
      </c>
      <c r="G492" s="105" t="str">
        <f>IF(F492=True, IFERROR(VLOOKUP(D492, Repository!A:B, 2, 0), ""), "")</f>
        <v/>
      </c>
      <c r="H492" s="105"/>
      <c r="I492" s="105"/>
      <c r="J492" s="105" t="str">
        <f>IF(F492=True, IFERROR(VLOOKUP(D492, Repository!A:C, 3, 0), ""), "")</f>
        <v/>
      </c>
      <c r="K492" s="105"/>
      <c r="L492" s="105" t="str">
        <f>IF(F492=True, IFERROR(VLOOKUP(D492, Repository!A:E, 5, 0), ""), "")</f>
        <v/>
      </c>
      <c r="M492" s="105"/>
      <c r="N492" s="105" t="str">
        <f>IF(F492=True, IFERROR(VLOOKUP(D492, Repository!A:G, 7, 0), ""), "")</f>
        <v/>
      </c>
      <c r="O492" s="105" t="str">
        <f>IFERROR(__xludf.DUMMYFUNCTION("ARRAY_CONSTRAIN(
  ARRAYFORMULA(
    IFERROR(
      LET(
        list, N492,
        arr, TRIM(SPLIT(list, "","")),
        names, XLOOKUP(
          arr,
          'Conformance Score'!A:A,
          'Conformance Score'!B:B,
          ""Not found""
      "&amp;"  ),
        TEXTJOIN("", "", TRUE, names)
      ),
      """"
    )
  ),
  1,
  1
)
"),"")</f>
        <v/>
      </c>
      <c r="P492" s="105" t="str">
        <f>IF(F492="Yes", IFERROR(VLOOKUP(D492, Repository!A:F, 6, 0), ""), "")</f>
        <v/>
      </c>
      <c r="Q492" s="105" t="str">
        <f>IF(F492="Yes", IFERROR(VLOOKUP(D492, Repository!A:I, 8, 0), ""), "")</f>
        <v/>
      </c>
      <c r="R492" s="105" t="str">
        <f>IF(F492="Yes", IFERROR(VLOOKUP(D492, Repository!A:J, 9, 0), ""), "")</f>
        <v/>
      </c>
      <c r="S492" s="105"/>
      <c r="T492" s="105"/>
      <c r="U492" s="105"/>
      <c r="V492" s="105"/>
      <c r="W492" s="105"/>
      <c r="X492" s="105"/>
      <c r="Y492" s="105"/>
      <c r="Z492" s="105"/>
      <c r="AA492" s="105"/>
      <c r="AB492" s="105"/>
      <c r="AC492" s="91"/>
      <c r="AD492" s="105"/>
      <c r="AE492" s="105"/>
      <c r="AF492" s="91"/>
      <c r="AG492" s="105"/>
      <c r="AH492" s="105"/>
      <c r="AI492" s="105" t="str">
        <f t="shared" si="1"/>
        <v/>
      </c>
      <c r="AJ492" s="108" t="str">
        <f t="shared" si="2"/>
        <v/>
      </c>
    </row>
    <row r="493" ht="15.75" customHeight="1">
      <c r="A493" s="104"/>
      <c r="B493" s="105" t="str">
        <f>IFERROR(__xludf.DUMMYFUNCTION("ARRAY_CONSTRAIN(
  ARRAYFORMULA(
    IF(
      'Final Report'!A493="""",
      """",
      TEXTJOIN(
        "", "" &amp; CHAR(10),
        TRUE,
        IFERROR(
          VLOOKUP(
            TRIM(
              SPLIT('Final Report'!A493, "","")
           "&amp;" ),
            'URL Details'!A:B,
            2,
            FALSE
          ),
          """"
        )
      )
    )
  ),
  1,
  1
)
"),"")</f>
        <v/>
      </c>
      <c r="C493" s="105" t="str">
        <f>IFERROR(__xludf.DUMMYFUNCTION("IFERROR(IF('Final Report'!A493="""","""", TEXTJOIN(CHAR(10), TRUE, ARRAYFORMULA( ""• ""&amp; FILTER( TRIM(FLATTEN(SPLIT( REGEXREPLACE( SUBSTITUTE(TEXTJOIN("","", TRUE, IFERROR(ARRAYFORMULA(VLOOKUP(TRIM(SPLIT('Final Report'!A493, "","")), 'URL Details'!A:D, 4,"&amp;" FALSE)),"""") ), CHAR(10), "",""), ""\s*,\s*"", "",""), "",""))), TRIM(FLATTEN(SPLIT( REGEXREPLACE( SUBSTITUTE(TEXTJOIN("","", TRUE, IFERROR(ARRAYFORMULA(VLOOKUP(TRIM(SPLIT('Final Report'!A493, "","")), 'URL Details'!A:D, 4, FALSE)),"""") ), CHAR(10), """&amp;",""), ""\s*,\s*"", "",""), "","")))&lt;&gt;"""" ) ) ) ),"""")
"),"")</f>
        <v/>
      </c>
      <c r="D493" s="105"/>
      <c r="E493" s="105"/>
      <c r="F493" s="110" t="b">
        <v>0</v>
      </c>
      <c r="G493" s="105" t="str">
        <f>IF(F493=True, IFERROR(VLOOKUP(D493, Repository!A:B, 2, 0), ""), "")</f>
        <v/>
      </c>
      <c r="H493" s="105"/>
      <c r="I493" s="105"/>
      <c r="J493" s="105" t="str">
        <f>IF(F493=True, IFERROR(VLOOKUP(D493, Repository!A:C, 3, 0), ""), "")</f>
        <v/>
      </c>
      <c r="K493" s="105"/>
      <c r="L493" s="105" t="str">
        <f>IF(F493=True, IFERROR(VLOOKUP(D493, Repository!A:E, 5, 0), ""), "")</f>
        <v/>
      </c>
      <c r="M493" s="105"/>
      <c r="N493" s="105" t="str">
        <f>IF(F493=True, IFERROR(VLOOKUP(D493, Repository!A:G, 7, 0), ""), "")</f>
        <v/>
      </c>
      <c r="O493" s="105" t="str">
        <f>IFERROR(__xludf.DUMMYFUNCTION("ARRAY_CONSTRAIN(
  ARRAYFORMULA(
    IFERROR(
      LET(
        list, N493,
        arr, TRIM(SPLIT(list, "","")),
        names, XLOOKUP(
          arr,
          'Conformance Score'!A:A,
          'Conformance Score'!B:B,
          ""Not found""
      "&amp;"  ),
        TEXTJOIN("", "", TRUE, names)
      ),
      """"
    )
  ),
  1,
  1
)
"),"")</f>
        <v/>
      </c>
      <c r="P493" s="105" t="str">
        <f>IF(F493="Yes", IFERROR(VLOOKUP(D493, Repository!A:F, 6, 0), ""), "")</f>
        <v/>
      </c>
      <c r="Q493" s="105" t="str">
        <f>IF(F493="Yes", IFERROR(VLOOKUP(D493, Repository!A:I, 8, 0), ""), "")</f>
        <v/>
      </c>
      <c r="R493" s="105" t="str">
        <f>IF(F493="Yes", IFERROR(VLOOKUP(D493, Repository!A:J, 9, 0), ""), "")</f>
        <v/>
      </c>
      <c r="S493" s="105"/>
      <c r="T493" s="105"/>
      <c r="U493" s="105"/>
      <c r="V493" s="105"/>
      <c r="W493" s="105"/>
      <c r="X493" s="105"/>
      <c r="Y493" s="105"/>
      <c r="Z493" s="105"/>
      <c r="AA493" s="105"/>
      <c r="AB493" s="105"/>
      <c r="AC493" s="91"/>
      <c r="AD493" s="105"/>
      <c r="AE493" s="105"/>
      <c r="AF493" s="91"/>
      <c r="AG493" s="105"/>
      <c r="AH493" s="105"/>
      <c r="AI493" s="105" t="str">
        <f t="shared" si="1"/>
        <v/>
      </c>
      <c r="AJ493" s="108" t="str">
        <f t="shared" si="2"/>
        <v/>
      </c>
    </row>
    <row r="494" ht="15.75" customHeight="1">
      <c r="A494" s="104"/>
      <c r="B494" s="105" t="str">
        <f>IFERROR(__xludf.DUMMYFUNCTION("ARRAY_CONSTRAIN(
  ARRAYFORMULA(
    IF(
      'Final Report'!A494="""",
      """",
      TEXTJOIN(
        "", "" &amp; CHAR(10),
        TRUE,
        IFERROR(
          VLOOKUP(
            TRIM(
              SPLIT('Final Report'!A494, "","")
           "&amp;" ),
            'URL Details'!A:B,
            2,
            FALSE
          ),
          """"
        )
      )
    )
  ),
  1,
  1
)
"),"")</f>
        <v/>
      </c>
      <c r="C494" s="105" t="str">
        <f>IFERROR(__xludf.DUMMYFUNCTION("IFERROR(IF('Final Report'!A494="""","""", TEXTJOIN(CHAR(10), TRUE, ARRAYFORMULA( ""• ""&amp; FILTER( TRIM(FLATTEN(SPLIT( REGEXREPLACE( SUBSTITUTE(TEXTJOIN("","", TRUE, IFERROR(ARRAYFORMULA(VLOOKUP(TRIM(SPLIT('Final Report'!A494, "","")), 'URL Details'!A:D, 4,"&amp;" FALSE)),"""") ), CHAR(10), "",""), ""\s*,\s*"", "",""), "",""))), TRIM(FLATTEN(SPLIT( REGEXREPLACE( SUBSTITUTE(TEXTJOIN("","", TRUE, IFERROR(ARRAYFORMULA(VLOOKUP(TRIM(SPLIT('Final Report'!A494, "","")), 'URL Details'!A:D, 4, FALSE)),"""") ), CHAR(10), """&amp;",""), ""\s*,\s*"", "",""), "","")))&lt;&gt;"""" ) ) ) ),"""")
"),"")</f>
        <v/>
      </c>
      <c r="D494" s="105"/>
      <c r="E494" s="105"/>
      <c r="F494" s="110" t="b">
        <v>0</v>
      </c>
      <c r="G494" s="105" t="str">
        <f>IF(F494=True, IFERROR(VLOOKUP(D494, Repository!A:B, 2, 0), ""), "")</f>
        <v/>
      </c>
      <c r="H494" s="105"/>
      <c r="I494" s="105"/>
      <c r="J494" s="105" t="str">
        <f>IF(F494=True, IFERROR(VLOOKUP(D494, Repository!A:C, 3, 0), ""), "")</f>
        <v/>
      </c>
      <c r="K494" s="105"/>
      <c r="L494" s="105" t="str">
        <f>IF(F494=True, IFERROR(VLOOKUP(D494, Repository!A:E, 5, 0), ""), "")</f>
        <v/>
      </c>
      <c r="M494" s="105"/>
      <c r="N494" s="105" t="str">
        <f>IF(F494=True, IFERROR(VLOOKUP(D494, Repository!A:G, 7, 0), ""), "")</f>
        <v/>
      </c>
      <c r="O494" s="105" t="str">
        <f>IFERROR(__xludf.DUMMYFUNCTION("ARRAY_CONSTRAIN(
  ARRAYFORMULA(
    IFERROR(
      LET(
        list, N494,
        arr, TRIM(SPLIT(list, "","")),
        names, XLOOKUP(
          arr,
          'Conformance Score'!A:A,
          'Conformance Score'!B:B,
          ""Not found""
      "&amp;"  ),
        TEXTJOIN("", "", TRUE, names)
      ),
      """"
    )
  ),
  1,
  1
)
"),"")</f>
        <v/>
      </c>
      <c r="P494" s="105" t="str">
        <f>IF(F494="Yes", IFERROR(VLOOKUP(D494, Repository!A:F, 6, 0), ""), "")</f>
        <v/>
      </c>
      <c r="Q494" s="105" t="str">
        <f>IF(F494="Yes", IFERROR(VLOOKUP(D494, Repository!A:I, 8, 0), ""), "")</f>
        <v/>
      </c>
      <c r="R494" s="105" t="str">
        <f>IF(F494="Yes", IFERROR(VLOOKUP(D494, Repository!A:J, 9, 0), ""), "")</f>
        <v/>
      </c>
      <c r="S494" s="105"/>
      <c r="T494" s="105"/>
      <c r="U494" s="105"/>
      <c r="V494" s="105"/>
      <c r="W494" s="105"/>
      <c r="X494" s="105"/>
      <c r="Y494" s="105"/>
      <c r="Z494" s="105"/>
      <c r="AA494" s="105"/>
      <c r="AB494" s="105"/>
      <c r="AC494" s="91"/>
      <c r="AD494" s="105"/>
      <c r="AE494" s="105"/>
      <c r="AF494" s="91"/>
      <c r="AG494" s="105"/>
      <c r="AH494" s="105"/>
      <c r="AI494" s="105" t="str">
        <f t="shared" si="1"/>
        <v/>
      </c>
      <c r="AJ494" s="108" t="str">
        <f t="shared" si="2"/>
        <v/>
      </c>
    </row>
    <row r="495" ht="15.75" customHeight="1">
      <c r="A495" s="104"/>
      <c r="B495" s="105" t="str">
        <f>IFERROR(__xludf.DUMMYFUNCTION("ARRAY_CONSTRAIN(
  ARRAYFORMULA(
    IF(
      'Final Report'!A495="""",
      """",
      TEXTJOIN(
        "", "" &amp; CHAR(10),
        TRUE,
        IFERROR(
          VLOOKUP(
            TRIM(
              SPLIT('Final Report'!A495, "","")
           "&amp;" ),
            'URL Details'!A:B,
            2,
            FALSE
          ),
          """"
        )
      )
    )
  ),
  1,
  1
)
"),"")</f>
        <v/>
      </c>
      <c r="C495" s="105" t="str">
        <f>IFERROR(__xludf.DUMMYFUNCTION("IFERROR(IF('Final Report'!A495="""","""", TEXTJOIN(CHAR(10), TRUE, ARRAYFORMULA( ""• ""&amp; FILTER( TRIM(FLATTEN(SPLIT( REGEXREPLACE( SUBSTITUTE(TEXTJOIN("","", TRUE, IFERROR(ARRAYFORMULA(VLOOKUP(TRIM(SPLIT('Final Report'!A495, "","")), 'URL Details'!A:D, 4,"&amp;" FALSE)),"""") ), CHAR(10), "",""), ""\s*,\s*"", "",""), "",""))), TRIM(FLATTEN(SPLIT( REGEXREPLACE( SUBSTITUTE(TEXTJOIN("","", TRUE, IFERROR(ARRAYFORMULA(VLOOKUP(TRIM(SPLIT('Final Report'!A495, "","")), 'URL Details'!A:D, 4, FALSE)),"""") ), CHAR(10), """&amp;",""), ""\s*,\s*"", "",""), "","")))&lt;&gt;"""" ) ) ) ),"""")
"),"")</f>
        <v/>
      </c>
      <c r="D495" s="105"/>
      <c r="E495" s="105"/>
      <c r="F495" s="110" t="b">
        <v>0</v>
      </c>
      <c r="G495" s="105" t="str">
        <f>IF(F495=True, IFERROR(VLOOKUP(D495, Repository!A:B, 2, 0), ""), "")</f>
        <v/>
      </c>
      <c r="H495" s="105"/>
      <c r="I495" s="105"/>
      <c r="J495" s="105" t="str">
        <f>IF(F495=True, IFERROR(VLOOKUP(D495, Repository!A:C, 3, 0), ""), "")</f>
        <v/>
      </c>
      <c r="K495" s="105"/>
      <c r="L495" s="105" t="str">
        <f>IF(F495=True, IFERROR(VLOOKUP(D495, Repository!A:E, 5, 0), ""), "")</f>
        <v/>
      </c>
      <c r="M495" s="105"/>
      <c r="N495" s="105" t="str">
        <f>IF(F495=True, IFERROR(VLOOKUP(D495, Repository!A:G, 7, 0), ""), "")</f>
        <v/>
      </c>
      <c r="O495" s="105" t="str">
        <f>IFERROR(__xludf.DUMMYFUNCTION("ARRAY_CONSTRAIN(
  ARRAYFORMULA(
    IFERROR(
      LET(
        list, N495,
        arr, TRIM(SPLIT(list, "","")),
        names, XLOOKUP(
          arr,
          'Conformance Score'!A:A,
          'Conformance Score'!B:B,
          ""Not found""
      "&amp;"  ),
        TEXTJOIN("", "", TRUE, names)
      ),
      """"
    )
  ),
  1,
  1
)
"),"")</f>
        <v/>
      </c>
      <c r="P495" s="105" t="str">
        <f>IF(F495="Yes", IFERROR(VLOOKUP(D495, Repository!A:F, 6, 0), ""), "")</f>
        <v/>
      </c>
      <c r="Q495" s="105" t="str">
        <f>IF(F495="Yes", IFERROR(VLOOKUP(D495, Repository!A:I, 8, 0), ""), "")</f>
        <v/>
      </c>
      <c r="R495" s="105" t="str">
        <f>IF(F495="Yes", IFERROR(VLOOKUP(D495, Repository!A:J, 9, 0), ""), "")</f>
        <v/>
      </c>
      <c r="S495" s="105"/>
      <c r="T495" s="105"/>
      <c r="U495" s="105"/>
      <c r="V495" s="105"/>
      <c r="W495" s="105"/>
      <c r="X495" s="105"/>
      <c r="Y495" s="105"/>
      <c r="Z495" s="105"/>
      <c r="AA495" s="105"/>
      <c r="AB495" s="105"/>
      <c r="AC495" s="91"/>
      <c r="AD495" s="105"/>
      <c r="AE495" s="105"/>
      <c r="AF495" s="91"/>
      <c r="AG495" s="105"/>
      <c r="AH495" s="105"/>
      <c r="AI495" s="105" t="str">
        <f t="shared" si="1"/>
        <v/>
      </c>
      <c r="AJ495" s="108" t="str">
        <f t="shared" si="2"/>
        <v/>
      </c>
    </row>
    <row r="496" ht="15.75" customHeight="1">
      <c r="A496" s="104"/>
      <c r="B496" s="105" t="str">
        <f>IFERROR(__xludf.DUMMYFUNCTION("ARRAY_CONSTRAIN(
  ARRAYFORMULA(
    IF(
      'Final Report'!A496="""",
      """",
      TEXTJOIN(
        "", "" &amp; CHAR(10),
        TRUE,
        IFERROR(
          VLOOKUP(
            TRIM(
              SPLIT('Final Report'!A496, "","")
           "&amp;" ),
            'URL Details'!A:B,
            2,
            FALSE
          ),
          """"
        )
      )
    )
  ),
  1,
  1
)
"),"")</f>
        <v/>
      </c>
      <c r="C496" s="105" t="str">
        <f>IFERROR(__xludf.DUMMYFUNCTION("IFERROR(IF('Final Report'!A496="""","""", TEXTJOIN(CHAR(10), TRUE, ARRAYFORMULA( ""• ""&amp; FILTER( TRIM(FLATTEN(SPLIT( REGEXREPLACE( SUBSTITUTE(TEXTJOIN("","", TRUE, IFERROR(ARRAYFORMULA(VLOOKUP(TRIM(SPLIT('Final Report'!A496, "","")), 'URL Details'!A:D, 4,"&amp;" FALSE)),"""") ), CHAR(10), "",""), ""\s*,\s*"", "",""), "",""))), TRIM(FLATTEN(SPLIT( REGEXREPLACE( SUBSTITUTE(TEXTJOIN("","", TRUE, IFERROR(ARRAYFORMULA(VLOOKUP(TRIM(SPLIT('Final Report'!A496, "","")), 'URL Details'!A:D, 4, FALSE)),"""") ), CHAR(10), """&amp;",""), ""\s*,\s*"", "",""), "","")))&lt;&gt;"""" ) ) ) ),"""")
"),"")</f>
        <v/>
      </c>
      <c r="D496" s="105"/>
      <c r="E496" s="105"/>
      <c r="F496" s="110" t="b">
        <v>0</v>
      </c>
      <c r="G496" s="105" t="str">
        <f>IF(F496=True, IFERROR(VLOOKUP(D496, Repository!A:B, 2, 0), ""), "")</f>
        <v/>
      </c>
      <c r="H496" s="105"/>
      <c r="I496" s="105"/>
      <c r="J496" s="105" t="str">
        <f>IF(F496=True, IFERROR(VLOOKUP(D496, Repository!A:C, 3, 0), ""), "")</f>
        <v/>
      </c>
      <c r="K496" s="105"/>
      <c r="L496" s="105" t="str">
        <f>IF(F496=True, IFERROR(VLOOKUP(D496, Repository!A:E, 5, 0), ""), "")</f>
        <v/>
      </c>
      <c r="M496" s="105"/>
      <c r="N496" s="105" t="str">
        <f>IF(F496=True, IFERROR(VLOOKUP(D496, Repository!A:G, 7, 0), ""), "")</f>
        <v/>
      </c>
      <c r="O496" s="105" t="str">
        <f>IFERROR(__xludf.DUMMYFUNCTION("ARRAY_CONSTRAIN(
  ARRAYFORMULA(
    IFERROR(
      LET(
        list, N496,
        arr, TRIM(SPLIT(list, "","")),
        names, XLOOKUP(
          arr,
          'Conformance Score'!A:A,
          'Conformance Score'!B:B,
          ""Not found""
      "&amp;"  ),
        TEXTJOIN("", "", TRUE, names)
      ),
      """"
    )
  ),
  1,
  1
)
"),"")</f>
        <v/>
      </c>
      <c r="P496" s="105" t="str">
        <f>IF(F496="Yes", IFERROR(VLOOKUP(D496, Repository!A:F, 6, 0), ""), "")</f>
        <v/>
      </c>
      <c r="Q496" s="105" t="str">
        <f>IF(F496="Yes", IFERROR(VLOOKUP(D496, Repository!A:I, 8, 0), ""), "")</f>
        <v/>
      </c>
      <c r="R496" s="105" t="str">
        <f>IF(F496="Yes", IFERROR(VLOOKUP(D496, Repository!A:J, 9, 0), ""), "")</f>
        <v/>
      </c>
      <c r="S496" s="105"/>
      <c r="T496" s="105"/>
      <c r="U496" s="105"/>
      <c r="V496" s="105"/>
      <c r="W496" s="105"/>
      <c r="X496" s="105"/>
      <c r="Y496" s="105"/>
      <c r="Z496" s="105"/>
      <c r="AA496" s="105"/>
      <c r="AB496" s="105"/>
      <c r="AC496" s="91"/>
      <c r="AD496" s="105"/>
      <c r="AE496" s="105"/>
      <c r="AF496" s="91"/>
      <c r="AG496" s="105"/>
      <c r="AH496" s="105"/>
      <c r="AI496" s="105" t="str">
        <f t="shared" si="1"/>
        <v/>
      </c>
      <c r="AJ496" s="108" t="str">
        <f t="shared" si="2"/>
        <v/>
      </c>
    </row>
    <row r="497" ht="15.75" customHeight="1">
      <c r="A497" s="104"/>
      <c r="B497" s="105" t="str">
        <f>IFERROR(__xludf.DUMMYFUNCTION("ARRAY_CONSTRAIN(
  ARRAYFORMULA(
    IF(
      'Final Report'!A497="""",
      """",
      TEXTJOIN(
        "", "" &amp; CHAR(10),
        TRUE,
        IFERROR(
          VLOOKUP(
            TRIM(
              SPLIT('Final Report'!A497, "","")
           "&amp;" ),
            'URL Details'!A:B,
            2,
            FALSE
          ),
          """"
        )
      )
    )
  ),
  1,
  1
)
"),"")</f>
        <v/>
      </c>
      <c r="C497" s="105" t="str">
        <f>IFERROR(__xludf.DUMMYFUNCTION("IFERROR(IF('Final Report'!A497="""","""", TEXTJOIN(CHAR(10), TRUE, ARRAYFORMULA( ""• ""&amp; FILTER( TRIM(FLATTEN(SPLIT( REGEXREPLACE( SUBSTITUTE(TEXTJOIN("","", TRUE, IFERROR(ARRAYFORMULA(VLOOKUP(TRIM(SPLIT('Final Report'!A497, "","")), 'URL Details'!A:D, 4,"&amp;" FALSE)),"""") ), CHAR(10), "",""), ""\s*,\s*"", "",""), "",""))), TRIM(FLATTEN(SPLIT( REGEXREPLACE( SUBSTITUTE(TEXTJOIN("","", TRUE, IFERROR(ARRAYFORMULA(VLOOKUP(TRIM(SPLIT('Final Report'!A497, "","")), 'URL Details'!A:D, 4, FALSE)),"""") ), CHAR(10), """&amp;",""), ""\s*,\s*"", "",""), "","")))&lt;&gt;"""" ) ) ) ),"""")
"),"")</f>
        <v/>
      </c>
      <c r="D497" s="105"/>
      <c r="E497" s="105"/>
      <c r="F497" s="110" t="b">
        <v>0</v>
      </c>
      <c r="G497" s="105" t="str">
        <f>IF(F497=True, IFERROR(VLOOKUP(D497, Repository!A:B, 2, 0), ""), "")</f>
        <v/>
      </c>
      <c r="H497" s="105"/>
      <c r="I497" s="105"/>
      <c r="J497" s="105" t="str">
        <f>IF(F497=True, IFERROR(VLOOKUP(D497, Repository!A:C, 3, 0), ""), "")</f>
        <v/>
      </c>
      <c r="K497" s="105"/>
      <c r="L497" s="105" t="str">
        <f>IF(F497=True, IFERROR(VLOOKUP(D497, Repository!A:E, 5, 0), ""), "")</f>
        <v/>
      </c>
      <c r="M497" s="105"/>
      <c r="N497" s="105" t="str">
        <f>IF(F497=True, IFERROR(VLOOKUP(D497, Repository!A:G, 7, 0), ""), "")</f>
        <v/>
      </c>
      <c r="O497" s="105" t="str">
        <f>IFERROR(__xludf.DUMMYFUNCTION("ARRAY_CONSTRAIN(
  ARRAYFORMULA(
    IFERROR(
      LET(
        list, N497,
        arr, TRIM(SPLIT(list, "","")),
        names, XLOOKUP(
          arr,
          'Conformance Score'!A:A,
          'Conformance Score'!B:B,
          ""Not found""
      "&amp;"  ),
        TEXTJOIN("", "", TRUE, names)
      ),
      """"
    )
  ),
  1,
  1
)
"),"")</f>
        <v/>
      </c>
      <c r="P497" s="105" t="str">
        <f>IF(F497="Yes", IFERROR(VLOOKUP(D497, Repository!A:F, 6, 0), ""), "")</f>
        <v/>
      </c>
      <c r="Q497" s="105" t="str">
        <f>IF(F497="Yes", IFERROR(VLOOKUP(D497, Repository!A:I, 8, 0), ""), "")</f>
        <v/>
      </c>
      <c r="R497" s="105" t="str">
        <f>IF(F497="Yes", IFERROR(VLOOKUP(D497, Repository!A:J, 9, 0), ""), "")</f>
        <v/>
      </c>
      <c r="S497" s="105"/>
      <c r="T497" s="105"/>
      <c r="U497" s="105"/>
      <c r="V497" s="105"/>
      <c r="W497" s="105"/>
      <c r="X497" s="105"/>
      <c r="Y497" s="105"/>
      <c r="Z497" s="105"/>
      <c r="AA497" s="105"/>
      <c r="AB497" s="105"/>
      <c r="AC497" s="91"/>
      <c r="AD497" s="105"/>
      <c r="AE497" s="105"/>
      <c r="AF497" s="91"/>
      <c r="AG497" s="105"/>
      <c r="AH497" s="105"/>
      <c r="AI497" s="105" t="str">
        <f t="shared" si="1"/>
        <v/>
      </c>
      <c r="AJ497" s="108" t="str">
        <f t="shared" si="2"/>
        <v/>
      </c>
    </row>
    <row r="498" ht="15.75" customHeight="1">
      <c r="A498" s="104"/>
      <c r="B498" s="105" t="str">
        <f>IFERROR(__xludf.DUMMYFUNCTION("ARRAY_CONSTRAIN(
  ARRAYFORMULA(
    IF(
      'Final Report'!A498="""",
      """",
      TEXTJOIN(
        "", "" &amp; CHAR(10),
        TRUE,
        IFERROR(
          VLOOKUP(
            TRIM(
              SPLIT('Final Report'!A498, "","")
           "&amp;" ),
            'URL Details'!A:B,
            2,
            FALSE
          ),
          """"
        )
      )
    )
  ),
  1,
  1
)
"),"")</f>
        <v/>
      </c>
      <c r="C498" s="105" t="str">
        <f>IFERROR(__xludf.DUMMYFUNCTION("IFERROR(IF('Final Report'!A498="""","""", TEXTJOIN(CHAR(10), TRUE, ARRAYFORMULA( ""• ""&amp; FILTER( TRIM(FLATTEN(SPLIT( REGEXREPLACE( SUBSTITUTE(TEXTJOIN("","", TRUE, IFERROR(ARRAYFORMULA(VLOOKUP(TRIM(SPLIT('Final Report'!A498, "","")), 'URL Details'!A:D, 4,"&amp;" FALSE)),"""") ), CHAR(10), "",""), ""\s*,\s*"", "",""), "",""))), TRIM(FLATTEN(SPLIT( REGEXREPLACE( SUBSTITUTE(TEXTJOIN("","", TRUE, IFERROR(ARRAYFORMULA(VLOOKUP(TRIM(SPLIT('Final Report'!A498, "","")), 'URL Details'!A:D, 4, FALSE)),"""") ), CHAR(10), """&amp;",""), ""\s*,\s*"", "",""), "","")))&lt;&gt;"""" ) ) ) ),"""")
"),"")</f>
        <v/>
      </c>
      <c r="D498" s="105"/>
      <c r="E498" s="105"/>
      <c r="F498" s="110" t="b">
        <v>0</v>
      </c>
      <c r="G498" s="105" t="str">
        <f>IF(F498=True, IFERROR(VLOOKUP(D498, Repository!A:B, 2, 0), ""), "")</f>
        <v/>
      </c>
      <c r="H498" s="105"/>
      <c r="I498" s="105"/>
      <c r="J498" s="105" t="str">
        <f>IF(F498=True, IFERROR(VLOOKUP(D498, Repository!A:C, 3, 0), ""), "")</f>
        <v/>
      </c>
      <c r="K498" s="105"/>
      <c r="L498" s="105" t="str">
        <f>IF(F498=True, IFERROR(VLOOKUP(D498, Repository!A:E, 5, 0), ""), "")</f>
        <v/>
      </c>
      <c r="M498" s="105"/>
      <c r="N498" s="105" t="str">
        <f>IF(F498=True, IFERROR(VLOOKUP(D498, Repository!A:G, 7, 0), ""), "")</f>
        <v/>
      </c>
      <c r="O498" s="105" t="str">
        <f>IFERROR(__xludf.DUMMYFUNCTION("ARRAY_CONSTRAIN(
  ARRAYFORMULA(
    IFERROR(
      LET(
        list, N498,
        arr, TRIM(SPLIT(list, "","")),
        names, XLOOKUP(
          arr,
          'Conformance Score'!A:A,
          'Conformance Score'!B:B,
          ""Not found""
      "&amp;"  ),
        TEXTJOIN("", "", TRUE, names)
      ),
      """"
    )
  ),
  1,
  1
)
"),"")</f>
        <v/>
      </c>
      <c r="P498" s="105" t="str">
        <f>IF(F498="Yes", IFERROR(VLOOKUP(D498, Repository!A:F, 6, 0), ""), "")</f>
        <v/>
      </c>
      <c r="Q498" s="105" t="str">
        <f>IF(F498="Yes", IFERROR(VLOOKUP(D498, Repository!A:I, 8, 0), ""), "")</f>
        <v/>
      </c>
      <c r="R498" s="105" t="str">
        <f>IF(F498="Yes", IFERROR(VLOOKUP(D498, Repository!A:J, 9, 0), ""), "")</f>
        <v/>
      </c>
      <c r="S498" s="105"/>
      <c r="T498" s="105"/>
      <c r="U498" s="105"/>
      <c r="V498" s="105"/>
      <c r="W498" s="105"/>
      <c r="X498" s="105"/>
      <c r="Y498" s="105"/>
      <c r="Z498" s="105"/>
      <c r="AA498" s="105"/>
      <c r="AB498" s="105"/>
      <c r="AC498" s="91"/>
      <c r="AD498" s="105"/>
      <c r="AE498" s="105"/>
      <c r="AF498" s="91"/>
      <c r="AG498" s="105"/>
      <c r="AH498" s="105"/>
      <c r="AI498" s="105" t="str">
        <f t="shared" si="1"/>
        <v/>
      </c>
      <c r="AJ498" s="108" t="str">
        <f t="shared" si="2"/>
        <v/>
      </c>
    </row>
    <row r="499" ht="15.75" customHeight="1">
      <c r="A499" s="104"/>
      <c r="B499" s="105" t="str">
        <f>IFERROR(__xludf.DUMMYFUNCTION("ARRAY_CONSTRAIN(
  ARRAYFORMULA(
    IF(
      'Final Report'!A499="""",
      """",
      TEXTJOIN(
        "", "" &amp; CHAR(10),
        TRUE,
        IFERROR(
          VLOOKUP(
            TRIM(
              SPLIT('Final Report'!A499, "","")
           "&amp;" ),
            'URL Details'!A:B,
            2,
            FALSE
          ),
          """"
        )
      )
    )
  ),
  1,
  1
)
"),"")</f>
        <v/>
      </c>
      <c r="C499" s="105" t="str">
        <f>IFERROR(__xludf.DUMMYFUNCTION("IFERROR(IF('Final Report'!A499="""","""", TEXTJOIN(CHAR(10), TRUE, ARRAYFORMULA( ""• ""&amp; FILTER( TRIM(FLATTEN(SPLIT( REGEXREPLACE( SUBSTITUTE(TEXTJOIN("","", TRUE, IFERROR(ARRAYFORMULA(VLOOKUP(TRIM(SPLIT('Final Report'!A499, "","")), 'URL Details'!A:D, 4,"&amp;" FALSE)),"""") ), CHAR(10), "",""), ""\s*,\s*"", "",""), "",""))), TRIM(FLATTEN(SPLIT( REGEXREPLACE( SUBSTITUTE(TEXTJOIN("","", TRUE, IFERROR(ARRAYFORMULA(VLOOKUP(TRIM(SPLIT('Final Report'!A499, "","")), 'URL Details'!A:D, 4, FALSE)),"""") ), CHAR(10), """&amp;",""), ""\s*,\s*"", "",""), "","")))&lt;&gt;"""" ) ) ) ),"""")
"),"")</f>
        <v/>
      </c>
      <c r="D499" s="105"/>
      <c r="E499" s="105"/>
      <c r="F499" s="110" t="b">
        <v>0</v>
      </c>
      <c r="G499" s="105" t="str">
        <f>IF(F499=True, IFERROR(VLOOKUP(D499, Repository!A:B, 2, 0), ""), "")</f>
        <v/>
      </c>
      <c r="H499" s="105"/>
      <c r="I499" s="105"/>
      <c r="J499" s="105" t="str">
        <f>IF(F499=True, IFERROR(VLOOKUP(D499, Repository!A:C, 3, 0), ""), "")</f>
        <v/>
      </c>
      <c r="K499" s="105"/>
      <c r="L499" s="105" t="str">
        <f>IF(F499=True, IFERROR(VLOOKUP(D499, Repository!A:E, 5, 0), ""), "")</f>
        <v/>
      </c>
      <c r="M499" s="105"/>
      <c r="N499" s="105" t="str">
        <f>IF(F499=True, IFERROR(VLOOKUP(D499, Repository!A:G, 7, 0), ""), "")</f>
        <v/>
      </c>
      <c r="O499" s="105" t="str">
        <f>IFERROR(__xludf.DUMMYFUNCTION("ARRAY_CONSTRAIN(
  ARRAYFORMULA(
    IFERROR(
      LET(
        list, N499,
        arr, TRIM(SPLIT(list, "","")),
        names, XLOOKUP(
          arr,
          'Conformance Score'!A:A,
          'Conformance Score'!B:B,
          ""Not found""
      "&amp;"  ),
        TEXTJOIN("", "", TRUE, names)
      ),
      """"
    )
  ),
  1,
  1
)
"),"")</f>
        <v/>
      </c>
      <c r="P499" s="105" t="str">
        <f>IF(F499="Yes", IFERROR(VLOOKUP(D499, Repository!A:F, 6, 0), ""), "")</f>
        <v/>
      </c>
      <c r="Q499" s="105" t="str">
        <f>IF(F499="Yes", IFERROR(VLOOKUP(D499, Repository!A:I, 8, 0), ""), "")</f>
        <v/>
      </c>
      <c r="R499" s="105" t="str">
        <f>IF(F499="Yes", IFERROR(VLOOKUP(D499, Repository!A:J, 9, 0), ""), "")</f>
        <v/>
      </c>
      <c r="S499" s="105"/>
      <c r="T499" s="105"/>
      <c r="U499" s="105"/>
      <c r="V499" s="105"/>
      <c r="W499" s="105"/>
      <c r="X499" s="105"/>
      <c r="Y499" s="105"/>
      <c r="Z499" s="105"/>
      <c r="AA499" s="105"/>
      <c r="AB499" s="105"/>
      <c r="AC499" s="91"/>
      <c r="AD499" s="105"/>
      <c r="AE499" s="105"/>
      <c r="AF499" s="91"/>
      <c r="AG499" s="105"/>
      <c r="AH499" s="105"/>
      <c r="AI499" s="105" t="str">
        <f t="shared" si="1"/>
        <v/>
      </c>
      <c r="AJ499" s="108" t="str">
        <f t="shared" si="2"/>
        <v/>
      </c>
    </row>
    <row r="500" ht="15.75" customHeight="1">
      <c r="A500" s="104"/>
      <c r="B500" s="105" t="str">
        <f>IFERROR(__xludf.DUMMYFUNCTION("ARRAY_CONSTRAIN(
  ARRAYFORMULA(
    IF(
      'Final Report'!A500="""",
      """",
      TEXTJOIN(
        "", "" &amp; CHAR(10),
        TRUE,
        IFERROR(
          VLOOKUP(
            TRIM(
              SPLIT('Final Report'!A500, "","")
           "&amp;" ),
            'URL Details'!A:B,
            2,
            FALSE
          ),
          """"
        )
      )
    )
  ),
  1,
  1
)
"),"")</f>
        <v/>
      </c>
      <c r="C500" s="105" t="str">
        <f>IFERROR(__xludf.DUMMYFUNCTION("IFERROR(IF('Final Report'!A500="""","""", TEXTJOIN(CHAR(10), TRUE, ARRAYFORMULA( ""• ""&amp; FILTER( TRIM(FLATTEN(SPLIT( REGEXREPLACE( SUBSTITUTE(TEXTJOIN("","", TRUE, IFERROR(ARRAYFORMULA(VLOOKUP(TRIM(SPLIT('Final Report'!A500, "","")), 'URL Details'!A:D, 4,"&amp;" FALSE)),"""") ), CHAR(10), "",""), ""\s*,\s*"", "",""), "",""))), TRIM(FLATTEN(SPLIT( REGEXREPLACE( SUBSTITUTE(TEXTJOIN("","", TRUE, IFERROR(ARRAYFORMULA(VLOOKUP(TRIM(SPLIT('Final Report'!A500, "","")), 'URL Details'!A:D, 4, FALSE)),"""") ), CHAR(10), """&amp;",""), ""\s*,\s*"", "",""), "","")))&lt;&gt;"""" ) ) ) ),"""")
"),"")</f>
        <v/>
      </c>
      <c r="D500" s="105"/>
      <c r="E500" s="105"/>
      <c r="F500" s="110" t="b">
        <v>0</v>
      </c>
      <c r="G500" s="105" t="str">
        <f>IF(F500=True, IFERROR(VLOOKUP(D500, Repository!A:B, 2, 0), ""), "")</f>
        <v/>
      </c>
      <c r="H500" s="105"/>
      <c r="I500" s="105"/>
      <c r="J500" s="105" t="str">
        <f>IF(F500=True, IFERROR(VLOOKUP(D500, Repository!A:C, 3, 0), ""), "")</f>
        <v/>
      </c>
      <c r="K500" s="105"/>
      <c r="L500" s="105" t="str">
        <f>IF(F500=True, IFERROR(VLOOKUP(D500, Repository!A:E, 5, 0), ""), "")</f>
        <v/>
      </c>
      <c r="M500" s="105"/>
      <c r="N500" s="105" t="str">
        <f>IF(F500=True, IFERROR(VLOOKUP(D500, Repository!A:G, 7, 0), ""), "")</f>
        <v/>
      </c>
      <c r="O500" s="105" t="str">
        <f>IFERROR(__xludf.DUMMYFUNCTION("ARRAY_CONSTRAIN(
  ARRAYFORMULA(
    IFERROR(
      LET(
        list, N500,
        arr, TRIM(SPLIT(list, "","")),
        names, XLOOKUP(
          arr,
          'Conformance Score'!A:A,
          'Conformance Score'!B:B,
          ""Not found""
      "&amp;"  ),
        TEXTJOIN("", "", TRUE, names)
      ),
      """"
    )
  ),
  1,
  1
)
"),"")</f>
        <v/>
      </c>
      <c r="P500" s="105" t="str">
        <f>IF(F500="Yes", IFERROR(VLOOKUP(D500, Repository!A:F, 6, 0), ""), "")</f>
        <v/>
      </c>
      <c r="Q500" s="105" t="str">
        <f>IF(F500="Yes", IFERROR(VLOOKUP(D500, Repository!A:I, 8, 0), ""), "")</f>
        <v/>
      </c>
      <c r="R500" s="105" t="str">
        <f>IF(F500="Yes", IFERROR(VLOOKUP(D500, Repository!A:J, 9, 0), ""), "")</f>
        <v/>
      </c>
      <c r="S500" s="105"/>
      <c r="T500" s="105"/>
      <c r="U500" s="105"/>
      <c r="V500" s="105"/>
      <c r="W500" s="105"/>
      <c r="X500" s="105"/>
      <c r="Y500" s="105"/>
      <c r="Z500" s="105"/>
      <c r="AA500" s="105"/>
      <c r="AB500" s="105"/>
      <c r="AC500" s="91"/>
      <c r="AD500" s="105"/>
      <c r="AE500" s="105"/>
      <c r="AF500" s="91"/>
      <c r="AG500" s="105"/>
      <c r="AH500" s="105"/>
      <c r="AI500" s="105" t="str">
        <f t="shared" si="1"/>
        <v/>
      </c>
      <c r="AJ500" s="108" t="str">
        <f t="shared" si="2"/>
        <v/>
      </c>
    </row>
    <row r="501" ht="15.75" customHeight="1">
      <c r="A501" s="104"/>
      <c r="B501" s="105" t="str">
        <f>IFERROR(__xludf.DUMMYFUNCTION("ARRAY_CONSTRAIN(
  ARRAYFORMULA(
    IF(
      'Final Report'!A501="""",
      """",
      TEXTJOIN(
        "", "" &amp; CHAR(10),
        TRUE,
        IFERROR(
          VLOOKUP(
            TRIM(
              SPLIT('Final Report'!A501, "","")
           "&amp;" ),
            'URL Details'!A:B,
            2,
            FALSE
          ),
          """"
        )
      )
    )
  ),
  1,
  1
)
"),"")</f>
        <v/>
      </c>
      <c r="C501" s="105" t="str">
        <f>IFERROR(__xludf.DUMMYFUNCTION("IFERROR(IF('Final Report'!A501="""","""", TEXTJOIN(CHAR(10), TRUE, ARRAYFORMULA( ""• ""&amp; FILTER( TRIM(FLATTEN(SPLIT( REGEXREPLACE( SUBSTITUTE(TEXTJOIN("","", TRUE, IFERROR(ARRAYFORMULA(VLOOKUP(TRIM(SPLIT('Final Report'!A501, "","")), 'URL Details'!A:D, 4,"&amp;" FALSE)),"""") ), CHAR(10), "",""), ""\s*,\s*"", "",""), "",""))), TRIM(FLATTEN(SPLIT( REGEXREPLACE( SUBSTITUTE(TEXTJOIN("","", TRUE, IFERROR(ARRAYFORMULA(VLOOKUP(TRIM(SPLIT('Final Report'!A501, "","")), 'URL Details'!A:D, 4, FALSE)),"""") ), CHAR(10), """&amp;",""), ""\s*,\s*"", "",""), "","")))&lt;&gt;"""" ) ) ) ),"""")
"),"")</f>
        <v/>
      </c>
      <c r="D501" s="105"/>
      <c r="E501" s="105"/>
      <c r="F501" s="110" t="b">
        <v>0</v>
      </c>
      <c r="G501" s="105" t="str">
        <f>IF(F501=True, IFERROR(VLOOKUP(D501, Repository!A:B, 2, 0), ""), "")</f>
        <v/>
      </c>
      <c r="H501" s="105"/>
      <c r="I501" s="105"/>
      <c r="J501" s="105" t="str">
        <f>IF(F501=True, IFERROR(VLOOKUP(D501, Repository!A:C, 3, 0), ""), "")</f>
        <v/>
      </c>
      <c r="K501" s="105"/>
      <c r="L501" s="105" t="str">
        <f>IF(F501=True, IFERROR(VLOOKUP(D501, Repository!A:E, 5, 0), ""), "")</f>
        <v/>
      </c>
      <c r="M501" s="105"/>
      <c r="N501" s="105" t="str">
        <f>IF(F501=True, IFERROR(VLOOKUP(D501, Repository!A:G, 7, 0), ""), "")</f>
        <v/>
      </c>
      <c r="O501" s="105" t="str">
        <f>IFERROR(__xludf.DUMMYFUNCTION("ARRAY_CONSTRAIN(
  ARRAYFORMULA(
    IFERROR(
      LET(
        list, N501,
        arr, TRIM(SPLIT(list, "","")),
        names, XLOOKUP(
          arr,
          'Conformance Score'!A:A,
          'Conformance Score'!B:B,
          ""Not found""
      "&amp;"  ),
        TEXTJOIN("", "", TRUE, names)
      ),
      """"
    )
  ),
  1,
  1
)
"),"")</f>
        <v/>
      </c>
      <c r="P501" s="105" t="str">
        <f>IF(F501="Yes", IFERROR(VLOOKUP(D501, Repository!A:F, 6, 0), ""), "")</f>
        <v/>
      </c>
      <c r="Q501" s="105" t="str">
        <f>IF(F501="Yes", IFERROR(VLOOKUP(D501, Repository!A:I, 8, 0), ""), "")</f>
        <v/>
      </c>
      <c r="R501" s="105" t="str">
        <f>IF(F501="Yes", IFERROR(VLOOKUP(D501, Repository!A:J, 9, 0), ""), "")</f>
        <v/>
      </c>
      <c r="S501" s="105"/>
      <c r="T501" s="105"/>
      <c r="U501" s="105"/>
      <c r="V501" s="105"/>
      <c r="W501" s="105"/>
      <c r="X501" s="105"/>
      <c r="Y501" s="105"/>
      <c r="Z501" s="105"/>
      <c r="AA501" s="105"/>
      <c r="AB501" s="105"/>
      <c r="AC501" s="91"/>
      <c r="AD501" s="105"/>
      <c r="AE501" s="105"/>
      <c r="AF501" s="91"/>
      <c r="AG501" s="105"/>
      <c r="AH501" s="105"/>
      <c r="AI501" s="105" t="str">
        <f t="shared" si="1"/>
        <v/>
      </c>
      <c r="AJ501" s="108" t="str">
        <f t="shared" si="2"/>
        <v/>
      </c>
    </row>
    <row r="502" ht="15.75" customHeight="1">
      <c r="A502" s="104"/>
      <c r="B502" s="105" t="str">
        <f>IFERROR(__xludf.DUMMYFUNCTION("ARRAY_CONSTRAIN(
  ARRAYFORMULA(
    IF(
      'Final Report'!A502="""",
      """",
      TEXTJOIN(
        "", "" &amp; CHAR(10),
        TRUE,
        IFERROR(
          VLOOKUP(
            TRIM(
              SPLIT('Final Report'!A502, "","")
           "&amp;" ),
            'URL Details'!A:B,
            2,
            FALSE
          ),
          """"
        )
      )
    )
  ),
  1,
  1
)
"),"")</f>
        <v/>
      </c>
      <c r="C502" s="105" t="str">
        <f>IFERROR(__xludf.DUMMYFUNCTION("IFERROR(IF('Final Report'!A502="""","""", TEXTJOIN(CHAR(10), TRUE, ARRAYFORMULA( ""• ""&amp; FILTER( TRIM(FLATTEN(SPLIT( REGEXREPLACE( SUBSTITUTE(TEXTJOIN("","", TRUE, IFERROR(ARRAYFORMULA(VLOOKUP(TRIM(SPLIT('Final Report'!A502, "","")), 'URL Details'!A:D, 4,"&amp;" FALSE)),"""") ), CHAR(10), "",""), ""\s*,\s*"", "",""), "",""))), TRIM(FLATTEN(SPLIT( REGEXREPLACE( SUBSTITUTE(TEXTJOIN("","", TRUE, IFERROR(ARRAYFORMULA(VLOOKUP(TRIM(SPLIT('Final Report'!A502, "","")), 'URL Details'!A:D, 4, FALSE)),"""") ), CHAR(10), """&amp;",""), ""\s*,\s*"", "",""), "","")))&lt;&gt;"""" ) ) ) ),"""")
"),"")</f>
        <v/>
      </c>
      <c r="D502" s="105"/>
      <c r="E502" s="105"/>
      <c r="F502" s="110" t="b">
        <v>0</v>
      </c>
      <c r="G502" s="105" t="str">
        <f>IF(F502=True, IFERROR(VLOOKUP(D502, Repository!A:B, 2, 0), ""), "")</f>
        <v/>
      </c>
      <c r="H502" s="105"/>
      <c r="I502" s="105"/>
      <c r="J502" s="105" t="str">
        <f>IF(F502=True, IFERROR(VLOOKUP(D502, Repository!A:C, 3, 0), ""), "")</f>
        <v/>
      </c>
      <c r="K502" s="105"/>
      <c r="L502" s="105" t="str">
        <f>IF(F502=True, IFERROR(VLOOKUP(D502, Repository!A:E, 5, 0), ""), "")</f>
        <v/>
      </c>
      <c r="M502" s="105"/>
      <c r="N502" s="105" t="str">
        <f>IF(F502=True, IFERROR(VLOOKUP(D502, Repository!A:G, 7, 0), ""), "")</f>
        <v/>
      </c>
      <c r="O502" s="105" t="str">
        <f>IFERROR(__xludf.DUMMYFUNCTION("ARRAY_CONSTRAIN(
  ARRAYFORMULA(
    IFERROR(
      LET(
        list, N502,
        arr, TRIM(SPLIT(list, "","")),
        names, XLOOKUP(
          arr,
          'Conformance Score'!A:A,
          'Conformance Score'!B:B,
          ""Not found""
      "&amp;"  ),
        TEXTJOIN("", "", TRUE, names)
      ),
      """"
    )
  ),
  1,
  1
)
"),"")</f>
        <v/>
      </c>
      <c r="P502" s="105" t="str">
        <f>IF(F502="Yes", IFERROR(VLOOKUP(D502, Repository!A:F, 6, 0), ""), "")</f>
        <v/>
      </c>
      <c r="Q502" s="105" t="str">
        <f>IF(F502="Yes", IFERROR(VLOOKUP(D502, Repository!A:I, 8, 0), ""), "")</f>
        <v/>
      </c>
      <c r="R502" s="105" t="str">
        <f>IF(F502="Yes", IFERROR(VLOOKUP(D502, Repository!A:J, 9, 0), ""), "")</f>
        <v/>
      </c>
      <c r="S502" s="105"/>
      <c r="T502" s="105"/>
      <c r="U502" s="105"/>
      <c r="V502" s="105"/>
      <c r="W502" s="105"/>
      <c r="X502" s="105"/>
      <c r="Y502" s="105"/>
      <c r="Z502" s="105"/>
      <c r="AA502" s="105"/>
      <c r="AB502" s="105"/>
      <c r="AC502" s="91"/>
      <c r="AD502" s="105"/>
      <c r="AE502" s="105"/>
      <c r="AF502" s="91"/>
      <c r="AG502" s="105"/>
      <c r="AH502" s="105"/>
      <c r="AI502" s="105" t="str">
        <f t="shared" si="1"/>
        <v/>
      </c>
      <c r="AJ502" s="108" t="str">
        <f t="shared" si="2"/>
        <v/>
      </c>
    </row>
    <row r="503" ht="15.75" customHeight="1">
      <c r="A503" s="104"/>
      <c r="B503" s="105" t="str">
        <f>IFERROR(__xludf.DUMMYFUNCTION("ARRAY_CONSTRAIN(
  ARRAYFORMULA(
    IF(
      'Final Report'!A503="""",
      """",
      TEXTJOIN(
        "", "" &amp; CHAR(10),
        TRUE,
        IFERROR(
          VLOOKUP(
            TRIM(
              SPLIT('Final Report'!A503, "","")
           "&amp;" ),
            'URL Details'!A:B,
            2,
            FALSE
          ),
          """"
        )
      )
    )
  ),
  1,
  1
)
"),"")</f>
        <v/>
      </c>
      <c r="C503" s="105" t="str">
        <f>IFERROR(__xludf.DUMMYFUNCTION("IFERROR(IF('Final Report'!A503="""","""", TEXTJOIN(CHAR(10), TRUE, ARRAYFORMULA( ""• ""&amp; FILTER( TRIM(FLATTEN(SPLIT( REGEXREPLACE( SUBSTITUTE(TEXTJOIN("","", TRUE, IFERROR(ARRAYFORMULA(VLOOKUP(TRIM(SPLIT('Final Report'!A503, "","")), 'URL Details'!A:D, 4,"&amp;" FALSE)),"""") ), CHAR(10), "",""), ""\s*,\s*"", "",""), "",""))), TRIM(FLATTEN(SPLIT( REGEXREPLACE( SUBSTITUTE(TEXTJOIN("","", TRUE, IFERROR(ARRAYFORMULA(VLOOKUP(TRIM(SPLIT('Final Report'!A503, "","")), 'URL Details'!A:D, 4, FALSE)),"""") ), CHAR(10), """&amp;",""), ""\s*,\s*"", "",""), "","")))&lt;&gt;"""" ) ) ) ),"""")
"),"")</f>
        <v/>
      </c>
      <c r="D503" s="105"/>
      <c r="E503" s="105"/>
      <c r="F503" s="110" t="b">
        <v>0</v>
      </c>
      <c r="G503" s="105" t="str">
        <f>IF(F503=True, IFERROR(VLOOKUP(D503, Repository!A:B, 2, 0), ""), "")</f>
        <v/>
      </c>
      <c r="H503" s="105"/>
      <c r="I503" s="105"/>
      <c r="J503" s="105" t="str">
        <f>IF(F503=True, IFERROR(VLOOKUP(D503, Repository!A:C, 3, 0), ""), "")</f>
        <v/>
      </c>
      <c r="K503" s="105"/>
      <c r="L503" s="105" t="str">
        <f>IF(F503=True, IFERROR(VLOOKUP(D503, Repository!A:E, 5, 0), ""), "")</f>
        <v/>
      </c>
      <c r="M503" s="105"/>
      <c r="N503" s="105" t="str">
        <f>IF(F503=True, IFERROR(VLOOKUP(D503, Repository!A:G, 7, 0), ""), "")</f>
        <v/>
      </c>
      <c r="O503" s="105" t="str">
        <f>IFERROR(__xludf.DUMMYFUNCTION("ARRAY_CONSTRAIN(
  ARRAYFORMULA(
    IFERROR(
      LET(
        list, N503,
        arr, TRIM(SPLIT(list, "","")),
        names, XLOOKUP(
          arr,
          'Conformance Score'!A:A,
          'Conformance Score'!B:B,
          ""Not found""
      "&amp;"  ),
        TEXTJOIN("", "", TRUE, names)
      ),
      """"
    )
  ),
  1,
  1
)
"),"")</f>
        <v/>
      </c>
      <c r="P503" s="105" t="str">
        <f>IF(F503="Yes", IFERROR(VLOOKUP(D503, Repository!A:F, 6, 0), ""), "")</f>
        <v/>
      </c>
      <c r="Q503" s="105" t="str">
        <f>IF(F503="Yes", IFERROR(VLOOKUP(D503, Repository!A:I, 8, 0), ""), "")</f>
        <v/>
      </c>
      <c r="R503" s="105" t="str">
        <f>IF(F503="Yes", IFERROR(VLOOKUP(D503, Repository!A:J, 9, 0), ""), "")</f>
        <v/>
      </c>
      <c r="S503" s="105"/>
      <c r="T503" s="105"/>
      <c r="U503" s="105"/>
      <c r="V503" s="105"/>
      <c r="W503" s="105"/>
      <c r="X503" s="105"/>
      <c r="Y503" s="105"/>
      <c r="Z503" s="105"/>
      <c r="AA503" s="105"/>
      <c r="AB503" s="105"/>
      <c r="AC503" s="91"/>
      <c r="AD503" s="105"/>
      <c r="AE503" s="105"/>
      <c r="AF503" s="91"/>
      <c r="AG503" s="105"/>
      <c r="AH503" s="105"/>
      <c r="AI503" s="105" t="str">
        <f t="shared" si="1"/>
        <v/>
      </c>
      <c r="AJ503" s="108" t="str">
        <f t="shared" si="2"/>
        <v/>
      </c>
    </row>
    <row r="504" ht="15.75" customHeight="1">
      <c r="A504" s="104"/>
      <c r="B504" s="105" t="str">
        <f>IFERROR(__xludf.DUMMYFUNCTION("ARRAY_CONSTRAIN(
  ARRAYFORMULA(
    IF(
      'Final Report'!A504="""",
      """",
      TEXTJOIN(
        "", "" &amp; CHAR(10),
        TRUE,
        IFERROR(
          VLOOKUP(
            TRIM(
              SPLIT('Final Report'!A504, "","")
           "&amp;" ),
            'URL Details'!A:B,
            2,
            FALSE
          ),
          """"
        )
      )
    )
  ),
  1,
  1
)
"),"")</f>
        <v/>
      </c>
      <c r="C504" s="105" t="str">
        <f>IFERROR(__xludf.DUMMYFUNCTION("IFERROR(IF('Final Report'!A504="""","""", TEXTJOIN(CHAR(10), TRUE, ARRAYFORMULA( ""• ""&amp; FILTER( TRIM(FLATTEN(SPLIT( REGEXREPLACE( SUBSTITUTE(TEXTJOIN("","", TRUE, IFERROR(ARRAYFORMULA(VLOOKUP(TRIM(SPLIT('Final Report'!A504, "","")), 'URL Details'!A:D, 4,"&amp;" FALSE)),"""") ), CHAR(10), "",""), ""\s*,\s*"", "",""), "",""))), TRIM(FLATTEN(SPLIT( REGEXREPLACE( SUBSTITUTE(TEXTJOIN("","", TRUE, IFERROR(ARRAYFORMULA(VLOOKUP(TRIM(SPLIT('Final Report'!A504, "","")), 'URL Details'!A:D, 4, FALSE)),"""") ), CHAR(10), """&amp;",""), ""\s*,\s*"", "",""), "","")))&lt;&gt;"""" ) ) ) ),"""")
"),"")</f>
        <v/>
      </c>
      <c r="D504" s="105"/>
      <c r="E504" s="105"/>
      <c r="F504" s="110" t="b">
        <v>0</v>
      </c>
      <c r="G504" s="105" t="str">
        <f>IF(F504=True, IFERROR(VLOOKUP(D504, Repository!A:B, 2, 0), ""), "")</f>
        <v/>
      </c>
      <c r="H504" s="105"/>
      <c r="I504" s="105"/>
      <c r="J504" s="105" t="str">
        <f>IF(F504=True, IFERROR(VLOOKUP(D504, Repository!A:C, 3, 0), ""), "")</f>
        <v/>
      </c>
      <c r="K504" s="105"/>
      <c r="L504" s="105" t="str">
        <f>IF(F504=True, IFERROR(VLOOKUP(D504, Repository!A:E, 5, 0), ""), "")</f>
        <v/>
      </c>
      <c r="M504" s="105"/>
      <c r="N504" s="105" t="str">
        <f>IF(F504=True, IFERROR(VLOOKUP(D504, Repository!A:G, 7, 0), ""), "")</f>
        <v/>
      </c>
      <c r="O504" s="105" t="str">
        <f>IFERROR(__xludf.DUMMYFUNCTION("ARRAY_CONSTRAIN(
  ARRAYFORMULA(
    IFERROR(
      LET(
        list, N504,
        arr, TRIM(SPLIT(list, "","")),
        names, XLOOKUP(
          arr,
          'Conformance Score'!A:A,
          'Conformance Score'!B:B,
          ""Not found""
      "&amp;"  ),
        TEXTJOIN("", "", TRUE, names)
      ),
      """"
    )
  ),
  1,
  1
)
"),"")</f>
        <v/>
      </c>
      <c r="P504" s="105" t="str">
        <f>IF(F504="Yes", IFERROR(VLOOKUP(D504, Repository!A:F, 6, 0), ""), "")</f>
        <v/>
      </c>
      <c r="Q504" s="105" t="str">
        <f>IF(F504="Yes", IFERROR(VLOOKUP(D504, Repository!A:I, 8, 0), ""), "")</f>
        <v/>
      </c>
      <c r="R504" s="105" t="str">
        <f>IF(F504="Yes", IFERROR(VLOOKUP(D504, Repository!A:J, 9, 0), ""), "")</f>
        <v/>
      </c>
      <c r="S504" s="105"/>
      <c r="T504" s="105"/>
      <c r="U504" s="105"/>
      <c r="V504" s="105"/>
      <c r="W504" s="105"/>
      <c r="X504" s="105"/>
      <c r="Y504" s="105"/>
      <c r="Z504" s="105"/>
      <c r="AA504" s="105"/>
      <c r="AB504" s="105"/>
      <c r="AC504" s="91"/>
      <c r="AD504" s="105"/>
      <c r="AE504" s="105"/>
      <c r="AF504" s="91"/>
      <c r="AG504" s="105"/>
      <c r="AH504" s="105"/>
      <c r="AI504" s="105" t="str">
        <f t="shared" si="1"/>
        <v/>
      </c>
      <c r="AJ504" s="108" t="str">
        <f t="shared" si="2"/>
        <v/>
      </c>
    </row>
    <row r="505" ht="15.75" customHeight="1">
      <c r="A505" s="104"/>
      <c r="B505" s="105" t="str">
        <f>IFERROR(__xludf.DUMMYFUNCTION("ARRAY_CONSTRAIN(
  ARRAYFORMULA(
    IF(
      'Final Report'!A505="""",
      """",
      TEXTJOIN(
        "", "" &amp; CHAR(10),
        TRUE,
        IFERROR(
          VLOOKUP(
            TRIM(
              SPLIT('Final Report'!A505, "","")
           "&amp;" ),
            'URL Details'!A:B,
            2,
            FALSE
          ),
          """"
        )
      )
    )
  ),
  1,
  1
)
"),"")</f>
        <v/>
      </c>
      <c r="C505" s="105" t="str">
        <f>IFERROR(__xludf.DUMMYFUNCTION("IFERROR(IF('Final Report'!A505="""","""", TEXTJOIN(CHAR(10), TRUE, ARRAYFORMULA( ""• ""&amp; FILTER( TRIM(FLATTEN(SPLIT( REGEXREPLACE( SUBSTITUTE(TEXTJOIN("","", TRUE, IFERROR(ARRAYFORMULA(VLOOKUP(TRIM(SPLIT('Final Report'!A505, "","")), 'URL Details'!A:D, 4,"&amp;" FALSE)),"""") ), CHAR(10), "",""), ""\s*,\s*"", "",""), "",""))), TRIM(FLATTEN(SPLIT( REGEXREPLACE( SUBSTITUTE(TEXTJOIN("","", TRUE, IFERROR(ARRAYFORMULA(VLOOKUP(TRIM(SPLIT('Final Report'!A505, "","")), 'URL Details'!A:D, 4, FALSE)),"""") ), CHAR(10), """&amp;",""), ""\s*,\s*"", "",""), "","")))&lt;&gt;"""" ) ) ) ),"""")
"),"")</f>
        <v/>
      </c>
      <c r="D505" s="105"/>
      <c r="E505" s="105"/>
      <c r="F505" s="110" t="b">
        <v>0</v>
      </c>
      <c r="G505" s="105" t="str">
        <f>IF(F505=True, IFERROR(VLOOKUP(D505, Repository!A:B, 2, 0), ""), "")</f>
        <v/>
      </c>
      <c r="H505" s="105"/>
      <c r="I505" s="105"/>
      <c r="J505" s="105" t="str">
        <f>IF(F505=True, IFERROR(VLOOKUP(D505, Repository!A:C, 3, 0), ""), "")</f>
        <v/>
      </c>
      <c r="K505" s="105"/>
      <c r="L505" s="105" t="str">
        <f>IF(F505=True, IFERROR(VLOOKUP(D505, Repository!A:E, 5, 0), ""), "")</f>
        <v/>
      </c>
      <c r="M505" s="105"/>
      <c r="N505" s="105" t="str">
        <f>IF(F505=True, IFERROR(VLOOKUP(D505, Repository!A:G, 7, 0), ""), "")</f>
        <v/>
      </c>
      <c r="O505" s="105" t="str">
        <f>IFERROR(__xludf.DUMMYFUNCTION("ARRAY_CONSTRAIN(
  ARRAYFORMULA(
    IFERROR(
      LET(
        list, N505,
        arr, TRIM(SPLIT(list, "","")),
        names, XLOOKUP(
          arr,
          'Conformance Score'!A:A,
          'Conformance Score'!B:B,
          ""Not found""
      "&amp;"  ),
        TEXTJOIN("", "", TRUE, names)
      ),
      """"
    )
  ),
  1,
  1
)
"),"")</f>
        <v/>
      </c>
      <c r="P505" s="105" t="str">
        <f>IF(F505="Yes", IFERROR(VLOOKUP(D505, Repository!A:F, 6, 0), ""), "")</f>
        <v/>
      </c>
      <c r="Q505" s="105" t="str">
        <f>IF(F505="Yes", IFERROR(VLOOKUP(D505, Repository!A:I, 8, 0), ""), "")</f>
        <v/>
      </c>
      <c r="R505" s="105" t="str">
        <f>IF(F505="Yes", IFERROR(VLOOKUP(D505, Repository!A:J, 9, 0), ""), "")</f>
        <v/>
      </c>
      <c r="S505" s="105"/>
      <c r="T505" s="105"/>
      <c r="U505" s="105"/>
      <c r="V505" s="105"/>
      <c r="W505" s="105"/>
      <c r="X505" s="105"/>
      <c r="Y505" s="105"/>
      <c r="Z505" s="105"/>
      <c r="AA505" s="105"/>
      <c r="AB505" s="105"/>
      <c r="AC505" s="91"/>
      <c r="AD505" s="105"/>
      <c r="AE505" s="105"/>
      <c r="AF505" s="91"/>
      <c r="AG505" s="105"/>
      <c r="AH505" s="105"/>
      <c r="AI505" s="105" t="str">
        <f t="shared" si="1"/>
        <v/>
      </c>
      <c r="AJ505" s="108" t="str">
        <f t="shared" si="2"/>
        <v/>
      </c>
    </row>
    <row r="506" ht="15.75" customHeight="1">
      <c r="A506" s="104"/>
      <c r="B506" s="105" t="str">
        <f>IFERROR(__xludf.DUMMYFUNCTION("ARRAY_CONSTRAIN(
  ARRAYFORMULA(
    IF(
      'Final Report'!A506="""",
      """",
      TEXTJOIN(
        "", "" &amp; CHAR(10),
        TRUE,
        IFERROR(
          VLOOKUP(
            TRIM(
              SPLIT('Final Report'!A506, "","")
           "&amp;" ),
            'URL Details'!A:B,
            2,
            FALSE
          ),
          """"
        )
      )
    )
  ),
  1,
  1
)
"),"")</f>
        <v/>
      </c>
      <c r="C506" s="105" t="str">
        <f>IFERROR(__xludf.DUMMYFUNCTION("IFERROR(IF('Final Report'!A506="""","""", TEXTJOIN(CHAR(10), TRUE, ARRAYFORMULA( ""• ""&amp; FILTER( TRIM(FLATTEN(SPLIT( REGEXREPLACE( SUBSTITUTE(TEXTJOIN("","", TRUE, IFERROR(ARRAYFORMULA(VLOOKUP(TRIM(SPLIT('Final Report'!A506, "","")), 'URL Details'!A:D, 4,"&amp;" FALSE)),"""") ), CHAR(10), "",""), ""\s*,\s*"", "",""), "",""))), TRIM(FLATTEN(SPLIT( REGEXREPLACE( SUBSTITUTE(TEXTJOIN("","", TRUE, IFERROR(ARRAYFORMULA(VLOOKUP(TRIM(SPLIT('Final Report'!A506, "","")), 'URL Details'!A:D, 4, FALSE)),"""") ), CHAR(10), """&amp;",""), ""\s*,\s*"", "",""), "","")))&lt;&gt;"""" ) ) ) ),"""")
"),"")</f>
        <v/>
      </c>
      <c r="D506" s="105"/>
      <c r="E506" s="105"/>
      <c r="F506" s="110" t="b">
        <v>0</v>
      </c>
      <c r="G506" s="105" t="str">
        <f>IF(F506=True, IFERROR(VLOOKUP(D506, Repository!A:B, 2, 0), ""), "")</f>
        <v/>
      </c>
      <c r="H506" s="105"/>
      <c r="I506" s="105"/>
      <c r="J506" s="105" t="str">
        <f>IF(F506=True, IFERROR(VLOOKUP(D506, Repository!A:C, 3, 0), ""), "")</f>
        <v/>
      </c>
      <c r="K506" s="105"/>
      <c r="L506" s="105" t="str">
        <f>IF(F506=True, IFERROR(VLOOKUP(D506, Repository!A:E, 5, 0), ""), "")</f>
        <v/>
      </c>
      <c r="M506" s="105"/>
      <c r="N506" s="105" t="str">
        <f>IF(F506=True, IFERROR(VLOOKUP(D506, Repository!A:G, 7, 0), ""), "")</f>
        <v/>
      </c>
      <c r="O506" s="105" t="str">
        <f>IFERROR(__xludf.DUMMYFUNCTION("ARRAY_CONSTRAIN(
  ARRAYFORMULA(
    IFERROR(
      LET(
        list, N506,
        arr, TRIM(SPLIT(list, "","")),
        names, XLOOKUP(
          arr,
          'Conformance Score'!A:A,
          'Conformance Score'!B:B,
          ""Not found""
      "&amp;"  ),
        TEXTJOIN("", "", TRUE, names)
      ),
      """"
    )
  ),
  1,
  1
)
"),"")</f>
        <v/>
      </c>
      <c r="P506" s="105" t="str">
        <f>IF(F506="Yes", IFERROR(VLOOKUP(D506, Repository!A:F, 6, 0), ""), "")</f>
        <v/>
      </c>
      <c r="Q506" s="105" t="str">
        <f>IF(F506="Yes", IFERROR(VLOOKUP(D506, Repository!A:I, 8, 0), ""), "")</f>
        <v/>
      </c>
      <c r="R506" s="105" t="str">
        <f>IF(F506="Yes", IFERROR(VLOOKUP(D506, Repository!A:J, 9, 0), ""), "")</f>
        <v/>
      </c>
      <c r="S506" s="105"/>
      <c r="T506" s="105"/>
      <c r="U506" s="105"/>
      <c r="V506" s="105"/>
      <c r="W506" s="105"/>
      <c r="X506" s="105"/>
      <c r="Y506" s="105"/>
      <c r="Z506" s="105"/>
      <c r="AA506" s="105"/>
      <c r="AB506" s="105"/>
      <c r="AC506" s="91"/>
      <c r="AD506" s="105"/>
      <c r="AE506" s="105"/>
      <c r="AF506" s="91"/>
      <c r="AG506" s="105"/>
      <c r="AH506" s="105"/>
      <c r="AI506" s="105" t="str">
        <f t="shared" si="1"/>
        <v/>
      </c>
      <c r="AJ506" s="108" t="str">
        <f t="shared" si="2"/>
        <v/>
      </c>
    </row>
    <row r="507" ht="15.75" customHeight="1">
      <c r="A507" s="104"/>
      <c r="B507" s="105" t="str">
        <f>IFERROR(__xludf.DUMMYFUNCTION("ARRAY_CONSTRAIN(
  ARRAYFORMULA(
    IF(
      'Final Report'!A507="""",
      """",
      TEXTJOIN(
        "", "" &amp; CHAR(10),
        TRUE,
        IFERROR(
          VLOOKUP(
            TRIM(
              SPLIT('Final Report'!A507, "","")
           "&amp;" ),
            'URL Details'!A:B,
            2,
            FALSE
          ),
          """"
        )
      )
    )
  ),
  1,
  1
)
"),"")</f>
        <v/>
      </c>
      <c r="C507" s="105" t="str">
        <f>IFERROR(__xludf.DUMMYFUNCTION("IFERROR(IF('Final Report'!A507="""","""", TEXTJOIN(CHAR(10), TRUE, ARRAYFORMULA( ""• ""&amp; FILTER( TRIM(FLATTEN(SPLIT( REGEXREPLACE( SUBSTITUTE(TEXTJOIN("","", TRUE, IFERROR(ARRAYFORMULA(VLOOKUP(TRIM(SPLIT('Final Report'!A507, "","")), 'URL Details'!A:D, 4,"&amp;" FALSE)),"""") ), CHAR(10), "",""), ""\s*,\s*"", "",""), "",""))), TRIM(FLATTEN(SPLIT( REGEXREPLACE( SUBSTITUTE(TEXTJOIN("","", TRUE, IFERROR(ARRAYFORMULA(VLOOKUP(TRIM(SPLIT('Final Report'!A507, "","")), 'URL Details'!A:D, 4, FALSE)),"""") ), CHAR(10), """&amp;",""), ""\s*,\s*"", "",""), "","")))&lt;&gt;"""" ) ) ) ),"""")
"),"")</f>
        <v/>
      </c>
      <c r="D507" s="105"/>
      <c r="E507" s="105"/>
      <c r="F507" s="110" t="b">
        <v>0</v>
      </c>
      <c r="G507" s="105" t="str">
        <f>IF(F507=True, IFERROR(VLOOKUP(D507, Repository!A:B, 2, 0), ""), "")</f>
        <v/>
      </c>
      <c r="H507" s="105"/>
      <c r="I507" s="105"/>
      <c r="J507" s="105" t="str">
        <f>IF(F507=True, IFERROR(VLOOKUP(D507, Repository!A:C, 3, 0), ""), "")</f>
        <v/>
      </c>
      <c r="K507" s="105"/>
      <c r="L507" s="105" t="str">
        <f>IF(F507=True, IFERROR(VLOOKUP(D507, Repository!A:E, 5, 0), ""), "")</f>
        <v/>
      </c>
      <c r="M507" s="105"/>
      <c r="N507" s="105" t="str">
        <f>IF(F507=True, IFERROR(VLOOKUP(D507, Repository!A:G, 7, 0), ""), "")</f>
        <v/>
      </c>
      <c r="O507" s="105" t="str">
        <f>IFERROR(__xludf.DUMMYFUNCTION("ARRAY_CONSTRAIN(
  ARRAYFORMULA(
    IFERROR(
      LET(
        list, N507,
        arr, TRIM(SPLIT(list, "","")),
        names, XLOOKUP(
          arr,
          'Conformance Score'!A:A,
          'Conformance Score'!B:B,
          ""Not found""
      "&amp;"  ),
        TEXTJOIN("", "", TRUE, names)
      ),
      """"
    )
  ),
  1,
  1
)
"),"")</f>
        <v/>
      </c>
      <c r="P507" s="105" t="str">
        <f>IF(F507="Yes", IFERROR(VLOOKUP(D507, Repository!A:F, 6, 0), ""), "")</f>
        <v/>
      </c>
      <c r="Q507" s="105" t="str">
        <f>IF(F507="Yes", IFERROR(VLOOKUP(D507, Repository!A:I, 8, 0), ""), "")</f>
        <v/>
      </c>
      <c r="R507" s="105" t="str">
        <f>IF(F507="Yes", IFERROR(VLOOKUP(D507, Repository!A:J, 9, 0), ""), "")</f>
        <v/>
      </c>
      <c r="S507" s="105"/>
      <c r="T507" s="105"/>
      <c r="U507" s="105"/>
      <c r="V507" s="105"/>
      <c r="W507" s="105"/>
      <c r="X507" s="105"/>
      <c r="Y507" s="105"/>
      <c r="Z507" s="105"/>
      <c r="AA507" s="105"/>
      <c r="AB507" s="105"/>
      <c r="AC507" s="91"/>
      <c r="AD507" s="105"/>
      <c r="AE507" s="105"/>
      <c r="AF507" s="91"/>
      <c r="AG507" s="105"/>
      <c r="AH507" s="105"/>
      <c r="AI507" s="105" t="str">
        <f t="shared" si="1"/>
        <v/>
      </c>
      <c r="AJ507" s="108" t="str">
        <f t="shared" si="2"/>
        <v/>
      </c>
    </row>
    <row r="508" ht="15.75" customHeight="1">
      <c r="A508" s="104"/>
      <c r="B508" s="105" t="str">
        <f>IFERROR(__xludf.DUMMYFUNCTION("ARRAY_CONSTRAIN(
  ARRAYFORMULA(
    IF(
      'Final Report'!A508="""",
      """",
      TEXTJOIN(
        "", "" &amp; CHAR(10),
        TRUE,
        IFERROR(
          VLOOKUP(
            TRIM(
              SPLIT('Final Report'!A508, "","")
           "&amp;" ),
            'URL Details'!A:B,
            2,
            FALSE
          ),
          """"
        )
      )
    )
  ),
  1,
  1
)
"),"")</f>
        <v/>
      </c>
      <c r="C508" s="105" t="str">
        <f>IFERROR(__xludf.DUMMYFUNCTION("IFERROR(IF('Final Report'!A508="""","""", TEXTJOIN(CHAR(10), TRUE, ARRAYFORMULA( ""• ""&amp; FILTER( TRIM(FLATTEN(SPLIT( REGEXREPLACE( SUBSTITUTE(TEXTJOIN("","", TRUE, IFERROR(ARRAYFORMULA(VLOOKUP(TRIM(SPLIT('Final Report'!A508, "","")), 'URL Details'!A:D, 4,"&amp;" FALSE)),"""") ), CHAR(10), "",""), ""\s*,\s*"", "",""), "",""))), TRIM(FLATTEN(SPLIT( REGEXREPLACE( SUBSTITUTE(TEXTJOIN("","", TRUE, IFERROR(ARRAYFORMULA(VLOOKUP(TRIM(SPLIT('Final Report'!A508, "","")), 'URL Details'!A:D, 4, FALSE)),"""") ), CHAR(10), """&amp;",""), ""\s*,\s*"", "",""), "","")))&lt;&gt;"""" ) ) ) ),"""")
"),"")</f>
        <v/>
      </c>
      <c r="D508" s="105"/>
      <c r="E508" s="105"/>
      <c r="F508" s="110" t="b">
        <v>0</v>
      </c>
      <c r="G508" s="105" t="str">
        <f>IF(F508=True, IFERROR(VLOOKUP(D508, Repository!A:B, 2, 0), ""), "")</f>
        <v/>
      </c>
      <c r="H508" s="105"/>
      <c r="I508" s="105"/>
      <c r="J508" s="105" t="str">
        <f>IF(F508=True, IFERROR(VLOOKUP(D508, Repository!A:C, 3, 0), ""), "")</f>
        <v/>
      </c>
      <c r="K508" s="105"/>
      <c r="L508" s="105" t="str">
        <f>IF(F508=True, IFERROR(VLOOKUP(D508, Repository!A:E, 5, 0), ""), "")</f>
        <v/>
      </c>
      <c r="M508" s="105"/>
      <c r="N508" s="105" t="str">
        <f>IF(F508=True, IFERROR(VLOOKUP(D508, Repository!A:G, 7, 0), ""), "")</f>
        <v/>
      </c>
      <c r="O508" s="105" t="str">
        <f>IFERROR(__xludf.DUMMYFUNCTION("ARRAY_CONSTRAIN(
  ARRAYFORMULA(
    IFERROR(
      LET(
        list, N508,
        arr, TRIM(SPLIT(list, "","")),
        names, XLOOKUP(
          arr,
          'Conformance Score'!A:A,
          'Conformance Score'!B:B,
          ""Not found""
      "&amp;"  ),
        TEXTJOIN("", "", TRUE, names)
      ),
      """"
    )
  ),
  1,
  1
)
"),"")</f>
        <v/>
      </c>
      <c r="P508" s="105" t="str">
        <f>IF(F508="Yes", IFERROR(VLOOKUP(D508, Repository!A:F, 6, 0), ""), "")</f>
        <v/>
      </c>
      <c r="Q508" s="105" t="str">
        <f>IF(F508="Yes", IFERROR(VLOOKUP(D508, Repository!A:I, 8, 0), ""), "")</f>
        <v/>
      </c>
      <c r="R508" s="105" t="str">
        <f>IF(F508="Yes", IFERROR(VLOOKUP(D508, Repository!A:J, 9, 0), ""), "")</f>
        <v/>
      </c>
      <c r="S508" s="105"/>
      <c r="T508" s="105"/>
      <c r="U508" s="105"/>
      <c r="V508" s="105"/>
      <c r="W508" s="105"/>
      <c r="X508" s="105"/>
      <c r="Y508" s="105"/>
      <c r="Z508" s="105"/>
      <c r="AA508" s="105"/>
      <c r="AB508" s="105"/>
      <c r="AC508" s="91"/>
      <c r="AD508" s="105"/>
      <c r="AE508" s="105"/>
      <c r="AF508" s="91"/>
      <c r="AG508" s="105"/>
      <c r="AH508" s="105"/>
      <c r="AI508" s="105" t="str">
        <f t="shared" si="1"/>
        <v/>
      </c>
      <c r="AJ508" s="108" t="str">
        <f t="shared" si="2"/>
        <v/>
      </c>
    </row>
    <row r="509" ht="15.75" customHeight="1">
      <c r="A509" s="104"/>
      <c r="B509" s="105" t="str">
        <f>IFERROR(__xludf.DUMMYFUNCTION("ARRAY_CONSTRAIN(
  ARRAYFORMULA(
    IF(
      'Final Report'!A509="""",
      """",
      TEXTJOIN(
        "", "" &amp; CHAR(10),
        TRUE,
        IFERROR(
          VLOOKUP(
            TRIM(
              SPLIT('Final Report'!A509, "","")
           "&amp;" ),
            'URL Details'!A:B,
            2,
            FALSE
          ),
          """"
        )
      )
    )
  ),
  1,
  1
)
"),"")</f>
        <v/>
      </c>
      <c r="C509" s="105" t="str">
        <f>IFERROR(__xludf.DUMMYFUNCTION("IFERROR(IF('Final Report'!A509="""","""", TEXTJOIN(CHAR(10), TRUE, ARRAYFORMULA( ""• ""&amp; FILTER( TRIM(FLATTEN(SPLIT( REGEXREPLACE( SUBSTITUTE(TEXTJOIN("","", TRUE, IFERROR(ARRAYFORMULA(VLOOKUP(TRIM(SPLIT('Final Report'!A509, "","")), 'URL Details'!A:D, 4,"&amp;" FALSE)),"""") ), CHAR(10), "",""), ""\s*,\s*"", "",""), "",""))), TRIM(FLATTEN(SPLIT( REGEXREPLACE( SUBSTITUTE(TEXTJOIN("","", TRUE, IFERROR(ARRAYFORMULA(VLOOKUP(TRIM(SPLIT('Final Report'!A509, "","")), 'URL Details'!A:D, 4, FALSE)),"""") ), CHAR(10), """&amp;",""), ""\s*,\s*"", "",""), "","")))&lt;&gt;"""" ) ) ) ),"""")
"),"")</f>
        <v/>
      </c>
      <c r="D509" s="105"/>
      <c r="E509" s="105"/>
      <c r="F509" s="110" t="b">
        <v>0</v>
      </c>
      <c r="G509" s="105" t="str">
        <f>IF(F509=True, IFERROR(VLOOKUP(D509, Repository!A:B, 2, 0), ""), "")</f>
        <v/>
      </c>
      <c r="H509" s="105"/>
      <c r="I509" s="105"/>
      <c r="J509" s="105" t="str">
        <f>IF(F509=True, IFERROR(VLOOKUP(D509, Repository!A:C, 3, 0), ""), "")</f>
        <v/>
      </c>
      <c r="K509" s="105"/>
      <c r="L509" s="105" t="str">
        <f>IF(F509=True, IFERROR(VLOOKUP(D509, Repository!A:E, 5, 0), ""), "")</f>
        <v/>
      </c>
      <c r="M509" s="105"/>
      <c r="N509" s="105" t="str">
        <f>IF(F509=True, IFERROR(VLOOKUP(D509, Repository!A:G, 7, 0), ""), "")</f>
        <v/>
      </c>
      <c r="O509" s="105" t="str">
        <f>IFERROR(__xludf.DUMMYFUNCTION("ARRAY_CONSTRAIN(
  ARRAYFORMULA(
    IFERROR(
      LET(
        list, N509,
        arr, TRIM(SPLIT(list, "","")),
        names, XLOOKUP(
          arr,
          'Conformance Score'!A:A,
          'Conformance Score'!B:B,
          ""Not found""
      "&amp;"  ),
        TEXTJOIN("", "", TRUE, names)
      ),
      """"
    )
  ),
  1,
  1
)
"),"")</f>
        <v/>
      </c>
      <c r="P509" s="105" t="str">
        <f>IF(F509="Yes", IFERROR(VLOOKUP(D509, Repository!A:F, 6, 0), ""), "")</f>
        <v/>
      </c>
      <c r="Q509" s="105" t="str">
        <f>IF(F509="Yes", IFERROR(VLOOKUP(D509, Repository!A:I, 8, 0), ""), "")</f>
        <v/>
      </c>
      <c r="R509" s="105" t="str">
        <f>IF(F509="Yes", IFERROR(VLOOKUP(D509, Repository!A:J, 9, 0), ""), "")</f>
        <v/>
      </c>
      <c r="S509" s="105"/>
      <c r="T509" s="105"/>
      <c r="U509" s="105"/>
      <c r="V509" s="105"/>
      <c r="W509" s="105"/>
      <c r="X509" s="105"/>
      <c r="Y509" s="105"/>
      <c r="Z509" s="105"/>
      <c r="AA509" s="105"/>
      <c r="AB509" s="105"/>
      <c r="AC509" s="91"/>
      <c r="AD509" s="105"/>
      <c r="AE509" s="105"/>
      <c r="AF509" s="91"/>
      <c r="AG509" s="105"/>
      <c r="AH509" s="105"/>
      <c r="AI509" s="105" t="str">
        <f t="shared" si="1"/>
        <v/>
      </c>
      <c r="AJ509" s="108" t="str">
        <f t="shared" si="2"/>
        <v/>
      </c>
    </row>
    <row r="510" ht="15.75" customHeight="1">
      <c r="A510" s="104"/>
      <c r="B510" s="105" t="str">
        <f>IFERROR(__xludf.DUMMYFUNCTION("ARRAY_CONSTRAIN(
  ARRAYFORMULA(
    IF(
      'Final Report'!A510="""",
      """",
      TEXTJOIN(
        "", "" &amp; CHAR(10),
        TRUE,
        IFERROR(
          VLOOKUP(
            TRIM(
              SPLIT('Final Report'!A510, "","")
           "&amp;" ),
            'URL Details'!A:B,
            2,
            FALSE
          ),
          """"
        )
      )
    )
  ),
  1,
  1
)
"),"")</f>
        <v/>
      </c>
      <c r="C510" s="105" t="str">
        <f>IFERROR(__xludf.DUMMYFUNCTION("IFERROR(IF('Final Report'!A510="""","""", TEXTJOIN(CHAR(10), TRUE, ARRAYFORMULA( ""• ""&amp; FILTER( TRIM(FLATTEN(SPLIT( REGEXREPLACE( SUBSTITUTE(TEXTJOIN("","", TRUE, IFERROR(ARRAYFORMULA(VLOOKUP(TRIM(SPLIT('Final Report'!A510, "","")), 'URL Details'!A:D, 4,"&amp;" FALSE)),"""") ), CHAR(10), "",""), ""\s*,\s*"", "",""), "",""))), TRIM(FLATTEN(SPLIT( REGEXREPLACE( SUBSTITUTE(TEXTJOIN("","", TRUE, IFERROR(ARRAYFORMULA(VLOOKUP(TRIM(SPLIT('Final Report'!A510, "","")), 'URL Details'!A:D, 4, FALSE)),"""") ), CHAR(10), """&amp;",""), ""\s*,\s*"", "",""), "","")))&lt;&gt;"""" ) ) ) ),"""")
"),"")</f>
        <v/>
      </c>
      <c r="D510" s="105"/>
      <c r="E510" s="105"/>
      <c r="F510" s="110" t="b">
        <v>0</v>
      </c>
      <c r="G510" s="105" t="str">
        <f>IF(F510=True, IFERROR(VLOOKUP(D510, Repository!A:B, 2, 0), ""), "")</f>
        <v/>
      </c>
      <c r="H510" s="105"/>
      <c r="I510" s="105"/>
      <c r="J510" s="105" t="str">
        <f>IF(F510=True, IFERROR(VLOOKUP(D510, Repository!A:C, 3, 0), ""), "")</f>
        <v/>
      </c>
      <c r="K510" s="105"/>
      <c r="L510" s="105" t="str">
        <f>IF(F510=True, IFERROR(VLOOKUP(D510, Repository!A:E, 5, 0), ""), "")</f>
        <v/>
      </c>
      <c r="M510" s="105"/>
      <c r="N510" s="105" t="str">
        <f>IF(F510=True, IFERROR(VLOOKUP(D510, Repository!A:G, 7, 0), ""), "")</f>
        <v/>
      </c>
      <c r="O510" s="105" t="str">
        <f>IFERROR(__xludf.DUMMYFUNCTION("ARRAY_CONSTRAIN(
  ARRAYFORMULA(
    IFERROR(
      LET(
        list, N510,
        arr, TRIM(SPLIT(list, "","")),
        names, XLOOKUP(
          arr,
          'Conformance Score'!A:A,
          'Conformance Score'!B:B,
          ""Not found""
      "&amp;"  ),
        TEXTJOIN("", "", TRUE, names)
      ),
      """"
    )
  ),
  1,
  1
)
"),"")</f>
        <v/>
      </c>
      <c r="P510" s="105" t="str">
        <f>IF(F510="Yes", IFERROR(VLOOKUP(D510, Repository!A:F, 6, 0), ""), "")</f>
        <v/>
      </c>
      <c r="Q510" s="105" t="str">
        <f>IF(F510="Yes", IFERROR(VLOOKUP(D510, Repository!A:I, 8, 0), ""), "")</f>
        <v/>
      </c>
      <c r="R510" s="105" t="str">
        <f>IF(F510="Yes", IFERROR(VLOOKUP(D510, Repository!A:J, 9, 0), ""), "")</f>
        <v/>
      </c>
      <c r="S510" s="105"/>
      <c r="T510" s="105"/>
      <c r="U510" s="105"/>
      <c r="V510" s="105"/>
      <c r="W510" s="105"/>
      <c r="X510" s="105"/>
      <c r="Y510" s="105"/>
      <c r="Z510" s="105"/>
      <c r="AA510" s="105"/>
      <c r="AB510" s="105"/>
      <c r="AC510" s="91"/>
      <c r="AD510" s="105"/>
      <c r="AE510" s="105"/>
      <c r="AF510" s="91"/>
      <c r="AG510" s="105"/>
      <c r="AH510" s="105"/>
      <c r="AI510" s="105" t="str">
        <f t="shared" si="1"/>
        <v/>
      </c>
      <c r="AJ510" s="108" t="str">
        <f t="shared" si="2"/>
        <v/>
      </c>
    </row>
    <row r="511" ht="15.75" customHeight="1">
      <c r="A511" s="104"/>
      <c r="B511" s="105" t="str">
        <f>IFERROR(__xludf.DUMMYFUNCTION("ARRAY_CONSTRAIN(
  ARRAYFORMULA(
    IF(
      'Final Report'!A511="""",
      """",
      TEXTJOIN(
        "", "" &amp; CHAR(10),
        TRUE,
        IFERROR(
          VLOOKUP(
            TRIM(
              SPLIT('Final Report'!A511, "","")
           "&amp;" ),
            'URL Details'!A:B,
            2,
            FALSE
          ),
          """"
        )
      )
    )
  ),
  1,
  1
)
"),"")</f>
        <v/>
      </c>
      <c r="C511" s="105" t="str">
        <f>IFERROR(__xludf.DUMMYFUNCTION("IFERROR(IF('Final Report'!A511="""","""", TEXTJOIN(CHAR(10), TRUE, ARRAYFORMULA( ""• ""&amp; FILTER( TRIM(FLATTEN(SPLIT( REGEXREPLACE( SUBSTITUTE(TEXTJOIN("","", TRUE, IFERROR(ARRAYFORMULA(VLOOKUP(TRIM(SPLIT('Final Report'!A511, "","")), 'URL Details'!A:D, 4,"&amp;" FALSE)),"""") ), CHAR(10), "",""), ""\s*,\s*"", "",""), "",""))), TRIM(FLATTEN(SPLIT( REGEXREPLACE( SUBSTITUTE(TEXTJOIN("","", TRUE, IFERROR(ARRAYFORMULA(VLOOKUP(TRIM(SPLIT('Final Report'!A511, "","")), 'URL Details'!A:D, 4, FALSE)),"""") ), CHAR(10), """&amp;",""), ""\s*,\s*"", "",""), "","")))&lt;&gt;"""" ) ) ) ),"""")
"),"")</f>
        <v/>
      </c>
      <c r="D511" s="105"/>
      <c r="E511" s="105"/>
      <c r="F511" s="110" t="b">
        <v>0</v>
      </c>
      <c r="G511" s="105" t="str">
        <f>IF(F511=True, IFERROR(VLOOKUP(D511, Repository!A:B, 2, 0), ""), "")</f>
        <v/>
      </c>
      <c r="H511" s="105"/>
      <c r="I511" s="105"/>
      <c r="J511" s="105" t="str">
        <f>IF(F511=True, IFERROR(VLOOKUP(D511, Repository!A:C, 3, 0), ""), "")</f>
        <v/>
      </c>
      <c r="K511" s="105"/>
      <c r="L511" s="105" t="str">
        <f>IF(F511=True, IFERROR(VLOOKUP(D511, Repository!A:E, 5, 0), ""), "")</f>
        <v/>
      </c>
      <c r="M511" s="105"/>
      <c r="N511" s="105" t="str">
        <f>IF(F511=True, IFERROR(VLOOKUP(D511, Repository!A:G, 7, 0), ""), "")</f>
        <v/>
      </c>
      <c r="O511" s="105" t="str">
        <f>IFERROR(__xludf.DUMMYFUNCTION("ARRAY_CONSTRAIN(
  ARRAYFORMULA(
    IFERROR(
      LET(
        list, N511,
        arr, TRIM(SPLIT(list, "","")),
        names, XLOOKUP(
          arr,
          'Conformance Score'!A:A,
          'Conformance Score'!B:B,
          ""Not found""
      "&amp;"  ),
        TEXTJOIN("", "", TRUE, names)
      ),
      """"
    )
  ),
  1,
  1
)
"),"")</f>
        <v/>
      </c>
      <c r="P511" s="105" t="str">
        <f>IF(F511="Yes", IFERROR(VLOOKUP(D511, Repository!A:F, 6, 0), ""), "")</f>
        <v/>
      </c>
      <c r="Q511" s="105" t="str">
        <f>IF(F511="Yes", IFERROR(VLOOKUP(D511, Repository!A:I, 8, 0), ""), "")</f>
        <v/>
      </c>
      <c r="R511" s="105" t="str">
        <f>IF(F511="Yes", IFERROR(VLOOKUP(D511, Repository!A:J, 9, 0), ""), "")</f>
        <v/>
      </c>
      <c r="S511" s="105"/>
      <c r="T511" s="105"/>
      <c r="U511" s="105"/>
      <c r="V511" s="105"/>
      <c r="W511" s="105"/>
      <c r="X511" s="105"/>
      <c r="Y511" s="105"/>
      <c r="Z511" s="105"/>
      <c r="AA511" s="105"/>
      <c r="AB511" s="105"/>
      <c r="AC511" s="91"/>
      <c r="AD511" s="105"/>
      <c r="AE511" s="105"/>
      <c r="AF511" s="91"/>
      <c r="AG511" s="105"/>
      <c r="AH511" s="105"/>
      <c r="AI511" s="105" t="str">
        <f t="shared" si="1"/>
        <v/>
      </c>
      <c r="AJ511" s="108" t="str">
        <f t="shared" si="2"/>
        <v/>
      </c>
    </row>
    <row r="512" ht="15.75" customHeight="1">
      <c r="A512" s="104"/>
      <c r="B512" s="105" t="str">
        <f>IFERROR(__xludf.DUMMYFUNCTION("ARRAY_CONSTRAIN(
  ARRAYFORMULA(
    IF(
      'Final Report'!A512="""",
      """",
      TEXTJOIN(
        "", "" &amp; CHAR(10),
        TRUE,
        IFERROR(
          VLOOKUP(
            TRIM(
              SPLIT('Final Report'!A512, "","")
           "&amp;" ),
            'URL Details'!A:B,
            2,
            FALSE
          ),
          """"
        )
      )
    )
  ),
  1,
  1
)
"),"")</f>
        <v/>
      </c>
      <c r="C512" s="105" t="str">
        <f>IFERROR(__xludf.DUMMYFUNCTION("IFERROR(IF('Final Report'!A512="""","""", TEXTJOIN(CHAR(10), TRUE, ARRAYFORMULA( ""• ""&amp; FILTER( TRIM(FLATTEN(SPLIT( REGEXREPLACE( SUBSTITUTE(TEXTJOIN("","", TRUE, IFERROR(ARRAYFORMULA(VLOOKUP(TRIM(SPLIT('Final Report'!A512, "","")), 'URL Details'!A:D, 4,"&amp;" FALSE)),"""") ), CHAR(10), "",""), ""\s*,\s*"", "",""), "",""))), TRIM(FLATTEN(SPLIT( REGEXREPLACE( SUBSTITUTE(TEXTJOIN("","", TRUE, IFERROR(ARRAYFORMULA(VLOOKUP(TRIM(SPLIT('Final Report'!A512, "","")), 'URL Details'!A:D, 4, FALSE)),"""") ), CHAR(10), """&amp;",""), ""\s*,\s*"", "",""), "","")))&lt;&gt;"""" ) ) ) ),"""")
"),"")</f>
        <v/>
      </c>
      <c r="D512" s="105"/>
      <c r="E512" s="105"/>
      <c r="F512" s="110" t="b">
        <v>0</v>
      </c>
      <c r="G512" s="105" t="str">
        <f>IF(F512=True, IFERROR(VLOOKUP(D512, Repository!A:B, 2, 0), ""), "")</f>
        <v/>
      </c>
      <c r="H512" s="105"/>
      <c r="I512" s="105"/>
      <c r="J512" s="105" t="str">
        <f>IF(F512=True, IFERROR(VLOOKUP(D512, Repository!A:C, 3, 0), ""), "")</f>
        <v/>
      </c>
      <c r="K512" s="105"/>
      <c r="L512" s="105" t="str">
        <f>IF(F512=True, IFERROR(VLOOKUP(D512, Repository!A:E, 5, 0), ""), "")</f>
        <v/>
      </c>
      <c r="M512" s="105"/>
      <c r="N512" s="105" t="str">
        <f>IF(F512=True, IFERROR(VLOOKUP(D512, Repository!A:G, 7, 0), ""), "")</f>
        <v/>
      </c>
      <c r="O512" s="105" t="str">
        <f>IFERROR(__xludf.DUMMYFUNCTION("ARRAY_CONSTRAIN(
  ARRAYFORMULA(
    IFERROR(
      LET(
        list, N512,
        arr, TRIM(SPLIT(list, "","")),
        names, XLOOKUP(
          arr,
          'Conformance Score'!A:A,
          'Conformance Score'!B:B,
          ""Not found""
      "&amp;"  ),
        TEXTJOIN("", "", TRUE, names)
      ),
      """"
    )
  ),
  1,
  1
)
"),"")</f>
        <v/>
      </c>
      <c r="P512" s="105" t="str">
        <f>IF(F512="Yes", IFERROR(VLOOKUP(D512, Repository!A:F, 6, 0), ""), "")</f>
        <v/>
      </c>
      <c r="Q512" s="105" t="str">
        <f>IF(F512="Yes", IFERROR(VLOOKUP(D512, Repository!A:I, 8, 0), ""), "")</f>
        <v/>
      </c>
      <c r="R512" s="105" t="str">
        <f>IF(F512="Yes", IFERROR(VLOOKUP(D512, Repository!A:J, 9, 0), ""), "")</f>
        <v/>
      </c>
      <c r="S512" s="105"/>
      <c r="T512" s="105"/>
      <c r="U512" s="105"/>
      <c r="V512" s="105"/>
      <c r="W512" s="105"/>
      <c r="X512" s="105"/>
      <c r="Y512" s="105"/>
      <c r="Z512" s="105"/>
      <c r="AA512" s="105"/>
      <c r="AB512" s="105"/>
      <c r="AC512" s="91"/>
      <c r="AD512" s="105"/>
      <c r="AE512" s="105"/>
      <c r="AF512" s="91"/>
      <c r="AG512" s="105"/>
      <c r="AH512" s="105"/>
      <c r="AI512" s="105" t="str">
        <f t="shared" si="1"/>
        <v/>
      </c>
      <c r="AJ512" s="108" t="str">
        <f t="shared" si="2"/>
        <v/>
      </c>
    </row>
    <row r="513" ht="15.75" customHeight="1">
      <c r="A513" s="104"/>
      <c r="B513" s="105" t="str">
        <f>IFERROR(__xludf.DUMMYFUNCTION("ARRAY_CONSTRAIN(
  ARRAYFORMULA(
    IF(
      'Final Report'!A513="""",
      """",
      TEXTJOIN(
        "", "" &amp; CHAR(10),
        TRUE,
        IFERROR(
          VLOOKUP(
            TRIM(
              SPLIT('Final Report'!A513, "","")
           "&amp;" ),
            'URL Details'!A:B,
            2,
            FALSE
          ),
          """"
        )
      )
    )
  ),
  1,
  1
)
"),"")</f>
        <v/>
      </c>
      <c r="C513" s="105" t="str">
        <f>IFERROR(__xludf.DUMMYFUNCTION("IFERROR(IF('Final Report'!A513="""","""", TEXTJOIN(CHAR(10), TRUE, ARRAYFORMULA( ""• ""&amp; FILTER( TRIM(FLATTEN(SPLIT( REGEXREPLACE( SUBSTITUTE(TEXTJOIN("","", TRUE, IFERROR(ARRAYFORMULA(VLOOKUP(TRIM(SPLIT('Final Report'!A513, "","")), 'URL Details'!A:D, 4,"&amp;" FALSE)),"""") ), CHAR(10), "",""), ""\s*,\s*"", "",""), "",""))), TRIM(FLATTEN(SPLIT( REGEXREPLACE( SUBSTITUTE(TEXTJOIN("","", TRUE, IFERROR(ARRAYFORMULA(VLOOKUP(TRIM(SPLIT('Final Report'!A513, "","")), 'URL Details'!A:D, 4, FALSE)),"""") ), CHAR(10), """&amp;",""), ""\s*,\s*"", "",""), "","")))&lt;&gt;"""" ) ) ) ),"""")
"),"")</f>
        <v/>
      </c>
      <c r="D513" s="105"/>
      <c r="E513" s="105"/>
      <c r="F513" s="110" t="b">
        <v>0</v>
      </c>
      <c r="G513" s="105" t="str">
        <f>IF(F513=True, IFERROR(VLOOKUP(D513, Repository!A:B, 2, 0), ""), "")</f>
        <v/>
      </c>
      <c r="H513" s="105"/>
      <c r="I513" s="105"/>
      <c r="J513" s="105" t="str">
        <f>IF(F513=True, IFERROR(VLOOKUP(D513, Repository!A:C, 3, 0), ""), "")</f>
        <v/>
      </c>
      <c r="K513" s="105"/>
      <c r="L513" s="105" t="str">
        <f>IF(F513=True, IFERROR(VLOOKUP(D513, Repository!A:E, 5, 0), ""), "")</f>
        <v/>
      </c>
      <c r="M513" s="105"/>
      <c r="N513" s="105" t="str">
        <f>IF(F513=True, IFERROR(VLOOKUP(D513, Repository!A:G, 7, 0), ""), "")</f>
        <v/>
      </c>
      <c r="O513" s="105" t="str">
        <f>IFERROR(__xludf.DUMMYFUNCTION("ARRAY_CONSTRAIN(
  ARRAYFORMULA(
    IFERROR(
      LET(
        list, N513,
        arr, TRIM(SPLIT(list, "","")),
        names, XLOOKUP(
          arr,
          'Conformance Score'!A:A,
          'Conformance Score'!B:B,
          ""Not found""
      "&amp;"  ),
        TEXTJOIN("", "", TRUE, names)
      ),
      """"
    )
  ),
  1,
  1
)
"),"")</f>
        <v/>
      </c>
      <c r="P513" s="105" t="str">
        <f>IF(F513="Yes", IFERROR(VLOOKUP(D513, Repository!A:F, 6, 0), ""), "")</f>
        <v/>
      </c>
      <c r="Q513" s="105" t="str">
        <f>IF(F513="Yes", IFERROR(VLOOKUP(D513, Repository!A:I, 8, 0), ""), "")</f>
        <v/>
      </c>
      <c r="R513" s="105" t="str">
        <f>IF(F513="Yes", IFERROR(VLOOKUP(D513, Repository!A:J, 9, 0), ""), "")</f>
        <v/>
      </c>
      <c r="S513" s="105"/>
      <c r="T513" s="105"/>
      <c r="U513" s="105"/>
      <c r="V513" s="105"/>
      <c r="W513" s="105"/>
      <c r="X513" s="105"/>
      <c r="Y513" s="105"/>
      <c r="Z513" s="105"/>
      <c r="AA513" s="105"/>
      <c r="AB513" s="105"/>
      <c r="AC513" s="91"/>
      <c r="AD513" s="105"/>
      <c r="AE513" s="105"/>
      <c r="AF513" s="91"/>
      <c r="AG513" s="105"/>
      <c r="AH513" s="105"/>
      <c r="AI513" s="105" t="str">
        <f t="shared" si="1"/>
        <v/>
      </c>
      <c r="AJ513" s="108" t="str">
        <f t="shared" si="2"/>
        <v/>
      </c>
    </row>
    <row r="514" ht="15.75" customHeight="1">
      <c r="A514" s="104"/>
      <c r="B514" s="105" t="str">
        <f>IFERROR(__xludf.DUMMYFUNCTION("ARRAY_CONSTRAIN(
  ARRAYFORMULA(
    IF(
      'Final Report'!A514="""",
      """",
      TEXTJOIN(
        "", "" &amp; CHAR(10),
        TRUE,
        IFERROR(
          VLOOKUP(
            TRIM(
              SPLIT('Final Report'!A514, "","")
           "&amp;" ),
            'URL Details'!A:B,
            2,
            FALSE
          ),
          """"
        )
      )
    )
  ),
  1,
  1
)
"),"")</f>
        <v/>
      </c>
      <c r="C514" s="105" t="str">
        <f>IFERROR(__xludf.DUMMYFUNCTION("IFERROR(IF('Final Report'!A514="""","""", TEXTJOIN(CHAR(10), TRUE, ARRAYFORMULA( ""• ""&amp; FILTER( TRIM(FLATTEN(SPLIT( REGEXREPLACE( SUBSTITUTE(TEXTJOIN("","", TRUE, IFERROR(ARRAYFORMULA(VLOOKUP(TRIM(SPLIT('Final Report'!A514, "","")), 'URL Details'!A:D, 4,"&amp;" FALSE)),"""") ), CHAR(10), "",""), ""\s*,\s*"", "",""), "",""))), TRIM(FLATTEN(SPLIT( REGEXREPLACE( SUBSTITUTE(TEXTJOIN("","", TRUE, IFERROR(ARRAYFORMULA(VLOOKUP(TRIM(SPLIT('Final Report'!A514, "","")), 'URL Details'!A:D, 4, FALSE)),"""") ), CHAR(10), """&amp;",""), ""\s*,\s*"", "",""), "","")))&lt;&gt;"""" ) ) ) ),"""")
"),"")</f>
        <v/>
      </c>
      <c r="D514" s="105"/>
      <c r="E514" s="105"/>
      <c r="F514" s="110" t="b">
        <v>0</v>
      </c>
      <c r="G514" s="105" t="str">
        <f>IF(F514=True, IFERROR(VLOOKUP(D514, Repository!A:B, 2, 0), ""), "")</f>
        <v/>
      </c>
      <c r="H514" s="105"/>
      <c r="I514" s="105"/>
      <c r="J514" s="105" t="str">
        <f>IF(F514=True, IFERROR(VLOOKUP(D514, Repository!A:C, 3, 0), ""), "")</f>
        <v/>
      </c>
      <c r="K514" s="105"/>
      <c r="L514" s="105" t="str">
        <f>IF(F514=True, IFERROR(VLOOKUP(D514, Repository!A:E, 5, 0), ""), "")</f>
        <v/>
      </c>
      <c r="M514" s="105"/>
      <c r="N514" s="105" t="str">
        <f>IF(F514=True, IFERROR(VLOOKUP(D514, Repository!A:G, 7, 0), ""), "")</f>
        <v/>
      </c>
      <c r="O514" s="105" t="str">
        <f>IFERROR(__xludf.DUMMYFUNCTION("ARRAY_CONSTRAIN(
  ARRAYFORMULA(
    IFERROR(
      LET(
        list, N514,
        arr, TRIM(SPLIT(list, "","")),
        names, XLOOKUP(
          arr,
          'Conformance Score'!A:A,
          'Conformance Score'!B:B,
          ""Not found""
      "&amp;"  ),
        TEXTJOIN("", "", TRUE, names)
      ),
      """"
    )
  ),
  1,
  1
)
"),"")</f>
        <v/>
      </c>
      <c r="P514" s="105" t="str">
        <f>IF(F514="Yes", IFERROR(VLOOKUP(D514, Repository!A:F, 6, 0), ""), "")</f>
        <v/>
      </c>
      <c r="Q514" s="105" t="str">
        <f>IF(F514="Yes", IFERROR(VLOOKUP(D514, Repository!A:I, 8, 0), ""), "")</f>
        <v/>
      </c>
      <c r="R514" s="105" t="str">
        <f>IF(F514="Yes", IFERROR(VLOOKUP(D514, Repository!A:J, 9, 0), ""), "")</f>
        <v/>
      </c>
      <c r="S514" s="105"/>
      <c r="T514" s="105"/>
      <c r="U514" s="105"/>
      <c r="V514" s="105"/>
      <c r="W514" s="105"/>
      <c r="X514" s="105"/>
      <c r="Y514" s="105"/>
      <c r="Z514" s="105"/>
      <c r="AA514" s="105"/>
      <c r="AB514" s="105"/>
      <c r="AC514" s="91"/>
      <c r="AD514" s="105"/>
      <c r="AE514" s="105"/>
      <c r="AF514" s="91"/>
      <c r="AG514" s="105"/>
      <c r="AH514" s="105"/>
      <c r="AI514" s="105" t="str">
        <f t="shared" si="1"/>
        <v/>
      </c>
      <c r="AJ514" s="108" t="str">
        <f t="shared" si="2"/>
        <v/>
      </c>
    </row>
    <row r="515" ht="15.75" customHeight="1">
      <c r="A515" s="104"/>
      <c r="B515" s="105" t="str">
        <f>IFERROR(__xludf.DUMMYFUNCTION("ARRAY_CONSTRAIN(
  ARRAYFORMULA(
    IF(
      'Final Report'!A515="""",
      """",
      TEXTJOIN(
        "", "" &amp; CHAR(10),
        TRUE,
        IFERROR(
          VLOOKUP(
            TRIM(
              SPLIT('Final Report'!A515, "","")
           "&amp;" ),
            'URL Details'!A:B,
            2,
            FALSE
          ),
          """"
        )
      )
    )
  ),
  1,
  1
)
"),"")</f>
        <v/>
      </c>
      <c r="C515" s="105" t="str">
        <f>IFERROR(__xludf.DUMMYFUNCTION("IFERROR(IF('Final Report'!A515="""","""", TEXTJOIN(CHAR(10), TRUE, ARRAYFORMULA( ""• ""&amp; FILTER( TRIM(FLATTEN(SPLIT( REGEXREPLACE( SUBSTITUTE(TEXTJOIN("","", TRUE, IFERROR(ARRAYFORMULA(VLOOKUP(TRIM(SPLIT('Final Report'!A515, "","")), 'URL Details'!A:D, 4,"&amp;" FALSE)),"""") ), CHAR(10), "",""), ""\s*,\s*"", "",""), "",""))), TRIM(FLATTEN(SPLIT( REGEXREPLACE( SUBSTITUTE(TEXTJOIN("","", TRUE, IFERROR(ARRAYFORMULA(VLOOKUP(TRIM(SPLIT('Final Report'!A515, "","")), 'URL Details'!A:D, 4, FALSE)),"""") ), CHAR(10), """&amp;",""), ""\s*,\s*"", "",""), "","")))&lt;&gt;"""" ) ) ) ),"""")
"),"")</f>
        <v/>
      </c>
      <c r="D515" s="105"/>
      <c r="E515" s="105"/>
      <c r="F515" s="110" t="b">
        <v>0</v>
      </c>
      <c r="G515" s="105" t="str">
        <f>IF(F515=True, IFERROR(VLOOKUP(D515, Repository!A:B, 2, 0), ""), "")</f>
        <v/>
      </c>
      <c r="H515" s="105"/>
      <c r="I515" s="105"/>
      <c r="J515" s="105" t="str">
        <f>IF(F515=True, IFERROR(VLOOKUP(D515, Repository!A:C, 3, 0), ""), "")</f>
        <v/>
      </c>
      <c r="K515" s="105"/>
      <c r="L515" s="105" t="str">
        <f>IF(F515=True, IFERROR(VLOOKUP(D515, Repository!A:E, 5, 0), ""), "")</f>
        <v/>
      </c>
      <c r="M515" s="105"/>
      <c r="N515" s="105" t="str">
        <f>IF(F515=True, IFERROR(VLOOKUP(D515, Repository!A:G, 7, 0), ""), "")</f>
        <v/>
      </c>
      <c r="O515" s="105" t="str">
        <f>IFERROR(__xludf.DUMMYFUNCTION("ARRAY_CONSTRAIN(
  ARRAYFORMULA(
    IFERROR(
      LET(
        list, N515,
        arr, TRIM(SPLIT(list, "","")),
        names, XLOOKUP(
          arr,
          'Conformance Score'!A:A,
          'Conformance Score'!B:B,
          ""Not found""
      "&amp;"  ),
        TEXTJOIN("", "", TRUE, names)
      ),
      """"
    )
  ),
  1,
  1
)
"),"")</f>
        <v/>
      </c>
      <c r="P515" s="105" t="str">
        <f>IF(F515="Yes", IFERROR(VLOOKUP(D515, Repository!A:F, 6, 0), ""), "")</f>
        <v/>
      </c>
      <c r="Q515" s="105" t="str">
        <f>IF(F515="Yes", IFERROR(VLOOKUP(D515, Repository!A:I, 8, 0), ""), "")</f>
        <v/>
      </c>
      <c r="R515" s="105" t="str">
        <f>IF(F515="Yes", IFERROR(VLOOKUP(D515, Repository!A:J, 9, 0), ""), "")</f>
        <v/>
      </c>
      <c r="S515" s="105"/>
      <c r="T515" s="105"/>
      <c r="U515" s="105"/>
      <c r="V515" s="105"/>
      <c r="W515" s="105"/>
      <c r="X515" s="105"/>
      <c r="Y515" s="105"/>
      <c r="Z515" s="105"/>
      <c r="AA515" s="105"/>
      <c r="AB515" s="105"/>
      <c r="AC515" s="91"/>
      <c r="AD515" s="105"/>
      <c r="AE515" s="105"/>
      <c r="AF515" s="91"/>
      <c r="AG515" s="105"/>
      <c r="AH515" s="105"/>
      <c r="AI515" s="105" t="str">
        <f t="shared" si="1"/>
        <v/>
      </c>
      <c r="AJ515" s="108" t="str">
        <f t="shared" si="2"/>
        <v/>
      </c>
    </row>
    <row r="516" ht="15.75" customHeight="1">
      <c r="A516" s="104"/>
      <c r="B516" s="105" t="str">
        <f>IFERROR(__xludf.DUMMYFUNCTION("ARRAY_CONSTRAIN(
  ARRAYFORMULA(
    IF(
      'Final Report'!A516="""",
      """",
      TEXTJOIN(
        "", "" &amp; CHAR(10),
        TRUE,
        IFERROR(
          VLOOKUP(
            TRIM(
              SPLIT('Final Report'!A516, "","")
           "&amp;" ),
            'URL Details'!A:B,
            2,
            FALSE
          ),
          """"
        )
      )
    )
  ),
  1,
  1
)
"),"")</f>
        <v/>
      </c>
      <c r="C516" s="105" t="str">
        <f>IFERROR(__xludf.DUMMYFUNCTION("IFERROR(IF('Final Report'!A516="""","""", TEXTJOIN(CHAR(10), TRUE, ARRAYFORMULA( ""• ""&amp; FILTER( TRIM(FLATTEN(SPLIT( REGEXREPLACE( SUBSTITUTE(TEXTJOIN("","", TRUE, IFERROR(ARRAYFORMULA(VLOOKUP(TRIM(SPLIT('Final Report'!A516, "","")), 'URL Details'!A:D, 4,"&amp;" FALSE)),"""") ), CHAR(10), "",""), ""\s*,\s*"", "",""), "",""))), TRIM(FLATTEN(SPLIT( REGEXREPLACE( SUBSTITUTE(TEXTJOIN("","", TRUE, IFERROR(ARRAYFORMULA(VLOOKUP(TRIM(SPLIT('Final Report'!A516, "","")), 'URL Details'!A:D, 4, FALSE)),"""") ), CHAR(10), """&amp;",""), ""\s*,\s*"", "",""), "","")))&lt;&gt;"""" ) ) ) ),"""")
"),"")</f>
        <v/>
      </c>
      <c r="D516" s="105"/>
      <c r="E516" s="105"/>
      <c r="F516" s="110" t="b">
        <v>0</v>
      </c>
      <c r="G516" s="105" t="str">
        <f>IF(F516=True, IFERROR(VLOOKUP(D516, Repository!A:B, 2, 0), ""), "")</f>
        <v/>
      </c>
      <c r="H516" s="105"/>
      <c r="I516" s="105"/>
      <c r="J516" s="105" t="str">
        <f>IF(F516=True, IFERROR(VLOOKUP(D516, Repository!A:C, 3, 0), ""), "")</f>
        <v/>
      </c>
      <c r="K516" s="105"/>
      <c r="L516" s="105" t="str">
        <f>IF(F516=True, IFERROR(VLOOKUP(D516, Repository!A:E, 5, 0), ""), "")</f>
        <v/>
      </c>
      <c r="M516" s="105"/>
      <c r="N516" s="105" t="str">
        <f>IF(F516=True, IFERROR(VLOOKUP(D516, Repository!A:G, 7, 0), ""), "")</f>
        <v/>
      </c>
      <c r="O516" s="105" t="str">
        <f>IFERROR(__xludf.DUMMYFUNCTION("ARRAY_CONSTRAIN(
  ARRAYFORMULA(
    IFERROR(
      LET(
        list, N516,
        arr, TRIM(SPLIT(list, "","")),
        names, XLOOKUP(
          arr,
          'Conformance Score'!A:A,
          'Conformance Score'!B:B,
          ""Not found""
      "&amp;"  ),
        TEXTJOIN("", "", TRUE, names)
      ),
      """"
    )
  ),
  1,
  1
)
"),"")</f>
        <v/>
      </c>
      <c r="P516" s="105" t="str">
        <f>IF(F516="Yes", IFERROR(VLOOKUP(D516, Repository!A:F, 6, 0), ""), "")</f>
        <v/>
      </c>
      <c r="Q516" s="105" t="str">
        <f>IF(F516="Yes", IFERROR(VLOOKUP(D516, Repository!A:I, 8, 0), ""), "")</f>
        <v/>
      </c>
      <c r="R516" s="105" t="str">
        <f>IF(F516="Yes", IFERROR(VLOOKUP(D516, Repository!A:J, 9, 0), ""), "")</f>
        <v/>
      </c>
      <c r="S516" s="105"/>
      <c r="T516" s="105"/>
      <c r="U516" s="105"/>
      <c r="V516" s="105"/>
      <c r="W516" s="105"/>
      <c r="X516" s="105"/>
      <c r="Y516" s="105"/>
      <c r="Z516" s="105"/>
      <c r="AA516" s="105"/>
      <c r="AB516" s="105"/>
      <c r="AC516" s="91"/>
      <c r="AD516" s="105"/>
      <c r="AE516" s="105"/>
      <c r="AF516" s="91"/>
      <c r="AG516" s="105"/>
      <c r="AH516" s="105"/>
      <c r="AI516" s="105" t="str">
        <f t="shared" si="1"/>
        <v/>
      </c>
      <c r="AJ516" s="108" t="str">
        <f t="shared" si="2"/>
        <v/>
      </c>
    </row>
    <row r="517" ht="15.75" customHeight="1">
      <c r="A517" s="104"/>
      <c r="B517" s="105" t="str">
        <f>IFERROR(__xludf.DUMMYFUNCTION("ARRAY_CONSTRAIN(
  ARRAYFORMULA(
    IF(
      'Final Report'!A517="""",
      """",
      TEXTJOIN(
        "", "" &amp; CHAR(10),
        TRUE,
        IFERROR(
          VLOOKUP(
            TRIM(
              SPLIT('Final Report'!A517, "","")
           "&amp;" ),
            'URL Details'!A:B,
            2,
            FALSE
          ),
          """"
        )
      )
    )
  ),
  1,
  1
)
"),"")</f>
        <v/>
      </c>
      <c r="C517" s="105" t="str">
        <f>IFERROR(__xludf.DUMMYFUNCTION("IFERROR(IF('Final Report'!A517="""","""", TEXTJOIN(CHAR(10), TRUE, ARRAYFORMULA( ""• ""&amp; FILTER( TRIM(FLATTEN(SPLIT( REGEXREPLACE( SUBSTITUTE(TEXTJOIN("","", TRUE, IFERROR(ARRAYFORMULA(VLOOKUP(TRIM(SPLIT('Final Report'!A517, "","")), 'URL Details'!A:D, 4,"&amp;" FALSE)),"""") ), CHAR(10), "",""), ""\s*,\s*"", "",""), "",""))), TRIM(FLATTEN(SPLIT( REGEXREPLACE( SUBSTITUTE(TEXTJOIN("","", TRUE, IFERROR(ARRAYFORMULA(VLOOKUP(TRIM(SPLIT('Final Report'!A517, "","")), 'URL Details'!A:D, 4, FALSE)),"""") ), CHAR(10), """&amp;",""), ""\s*,\s*"", "",""), "","")))&lt;&gt;"""" ) ) ) ),"""")
"),"")</f>
        <v/>
      </c>
      <c r="D517" s="105"/>
      <c r="E517" s="105"/>
      <c r="F517" s="110" t="b">
        <v>0</v>
      </c>
      <c r="G517" s="105" t="str">
        <f>IF(F517=True, IFERROR(VLOOKUP(D517, Repository!A:B, 2, 0), ""), "")</f>
        <v/>
      </c>
      <c r="H517" s="105"/>
      <c r="I517" s="105"/>
      <c r="J517" s="105" t="str">
        <f>IF(F517=True, IFERROR(VLOOKUP(D517, Repository!A:C, 3, 0), ""), "")</f>
        <v/>
      </c>
      <c r="K517" s="105"/>
      <c r="L517" s="105" t="str">
        <f>IF(F517=True, IFERROR(VLOOKUP(D517, Repository!A:E, 5, 0), ""), "")</f>
        <v/>
      </c>
      <c r="M517" s="105"/>
      <c r="N517" s="105" t="str">
        <f>IF(F517=True, IFERROR(VLOOKUP(D517, Repository!A:G, 7, 0), ""), "")</f>
        <v/>
      </c>
      <c r="O517" s="105" t="str">
        <f>IFERROR(__xludf.DUMMYFUNCTION("ARRAY_CONSTRAIN(
  ARRAYFORMULA(
    IFERROR(
      LET(
        list, N517,
        arr, TRIM(SPLIT(list, "","")),
        names, XLOOKUP(
          arr,
          'Conformance Score'!A:A,
          'Conformance Score'!B:B,
          ""Not found""
      "&amp;"  ),
        TEXTJOIN("", "", TRUE, names)
      ),
      """"
    )
  ),
  1,
  1
)
"),"")</f>
        <v/>
      </c>
      <c r="P517" s="105" t="str">
        <f>IF(F517="Yes", IFERROR(VLOOKUP(D517, Repository!A:F, 6, 0), ""), "")</f>
        <v/>
      </c>
      <c r="Q517" s="105" t="str">
        <f>IF(F517="Yes", IFERROR(VLOOKUP(D517, Repository!A:I, 8, 0), ""), "")</f>
        <v/>
      </c>
      <c r="R517" s="105" t="str">
        <f>IF(F517="Yes", IFERROR(VLOOKUP(D517, Repository!A:J, 9, 0), ""), "")</f>
        <v/>
      </c>
      <c r="S517" s="105"/>
      <c r="T517" s="105"/>
      <c r="U517" s="105"/>
      <c r="V517" s="105"/>
      <c r="W517" s="105"/>
      <c r="X517" s="105"/>
      <c r="Y517" s="105"/>
      <c r="Z517" s="105"/>
      <c r="AA517" s="105"/>
      <c r="AB517" s="105"/>
      <c r="AC517" s="91"/>
      <c r="AD517" s="105"/>
      <c r="AE517" s="105"/>
      <c r="AF517" s="91"/>
      <c r="AG517" s="105"/>
      <c r="AH517" s="105"/>
      <c r="AI517" s="105" t="str">
        <f t="shared" si="1"/>
        <v/>
      </c>
      <c r="AJ517" s="108" t="str">
        <f t="shared" si="2"/>
        <v/>
      </c>
    </row>
    <row r="518" ht="15.75" customHeight="1">
      <c r="A518" s="104"/>
      <c r="B518" s="105" t="str">
        <f>IFERROR(__xludf.DUMMYFUNCTION("ARRAY_CONSTRAIN(
  ARRAYFORMULA(
    IF(
      'Final Report'!A518="""",
      """",
      TEXTJOIN(
        "", "" &amp; CHAR(10),
        TRUE,
        IFERROR(
          VLOOKUP(
            TRIM(
              SPLIT('Final Report'!A518, "","")
           "&amp;" ),
            'URL Details'!A:B,
            2,
            FALSE
          ),
          """"
        )
      )
    )
  ),
  1,
  1
)
"),"")</f>
        <v/>
      </c>
      <c r="C518" s="105" t="str">
        <f>IFERROR(__xludf.DUMMYFUNCTION("IFERROR(IF('Final Report'!A518="""","""", TEXTJOIN(CHAR(10), TRUE, ARRAYFORMULA( ""• ""&amp; FILTER( TRIM(FLATTEN(SPLIT( REGEXREPLACE( SUBSTITUTE(TEXTJOIN("","", TRUE, IFERROR(ARRAYFORMULA(VLOOKUP(TRIM(SPLIT('Final Report'!A518, "","")), 'URL Details'!A:D, 4,"&amp;" FALSE)),"""") ), CHAR(10), "",""), ""\s*,\s*"", "",""), "",""))), TRIM(FLATTEN(SPLIT( REGEXREPLACE( SUBSTITUTE(TEXTJOIN("","", TRUE, IFERROR(ARRAYFORMULA(VLOOKUP(TRIM(SPLIT('Final Report'!A518, "","")), 'URL Details'!A:D, 4, FALSE)),"""") ), CHAR(10), """&amp;",""), ""\s*,\s*"", "",""), "","")))&lt;&gt;"""" ) ) ) ),"""")
"),"")</f>
        <v/>
      </c>
      <c r="D518" s="105"/>
      <c r="E518" s="105"/>
      <c r="F518" s="110" t="b">
        <v>0</v>
      </c>
      <c r="G518" s="105" t="str">
        <f>IF(F518=True, IFERROR(VLOOKUP(D518, Repository!A:B, 2, 0), ""), "")</f>
        <v/>
      </c>
      <c r="H518" s="105"/>
      <c r="I518" s="105"/>
      <c r="J518" s="105" t="str">
        <f>IF(F518=True, IFERROR(VLOOKUP(D518, Repository!A:C, 3, 0), ""), "")</f>
        <v/>
      </c>
      <c r="K518" s="105"/>
      <c r="L518" s="105" t="str">
        <f>IF(F518=True, IFERROR(VLOOKUP(D518, Repository!A:E, 5, 0), ""), "")</f>
        <v/>
      </c>
      <c r="M518" s="105"/>
      <c r="N518" s="105" t="str">
        <f>IF(F518=True, IFERROR(VLOOKUP(D518, Repository!A:G, 7, 0), ""), "")</f>
        <v/>
      </c>
      <c r="O518" s="105" t="str">
        <f>IFERROR(__xludf.DUMMYFUNCTION("ARRAY_CONSTRAIN(
  ARRAYFORMULA(
    IFERROR(
      LET(
        list, N518,
        arr, TRIM(SPLIT(list, "","")),
        names, XLOOKUP(
          arr,
          'Conformance Score'!A:A,
          'Conformance Score'!B:B,
          ""Not found""
      "&amp;"  ),
        TEXTJOIN("", "", TRUE, names)
      ),
      """"
    )
  ),
  1,
  1
)
"),"")</f>
        <v/>
      </c>
      <c r="P518" s="105" t="str">
        <f>IF(F518="Yes", IFERROR(VLOOKUP(D518, Repository!A:F, 6, 0), ""), "")</f>
        <v/>
      </c>
      <c r="Q518" s="105" t="str">
        <f>IF(F518="Yes", IFERROR(VLOOKUP(D518, Repository!A:I, 8, 0), ""), "")</f>
        <v/>
      </c>
      <c r="R518" s="105" t="str">
        <f>IF(F518="Yes", IFERROR(VLOOKUP(D518, Repository!A:J, 9, 0), ""), "")</f>
        <v/>
      </c>
      <c r="S518" s="105"/>
      <c r="T518" s="105"/>
      <c r="U518" s="105"/>
      <c r="V518" s="105"/>
      <c r="W518" s="105"/>
      <c r="X518" s="105"/>
      <c r="Y518" s="105"/>
      <c r="Z518" s="105"/>
      <c r="AA518" s="105"/>
      <c r="AB518" s="105"/>
      <c r="AC518" s="91"/>
      <c r="AD518" s="105"/>
      <c r="AE518" s="105"/>
      <c r="AF518" s="91"/>
      <c r="AG518" s="105"/>
      <c r="AH518" s="105"/>
      <c r="AI518" s="105" t="str">
        <f t="shared" si="1"/>
        <v/>
      </c>
      <c r="AJ518" s="108" t="str">
        <f t="shared" si="2"/>
        <v/>
      </c>
    </row>
    <row r="519" ht="15.75" customHeight="1">
      <c r="A519" s="104"/>
      <c r="B519" s="105" t="str">
        <f>IFERROR(__xludf.DUMMYFUNCTION("ARRAY_CONSTRAIN(
  ARRAYFORMULA(
    IF(
      'Final Report'!A519="""",
      """",
      TEXTJOIN(
        "", "" &amp; CHAR(10),
        TRUE,
        IFERROR(
          VLOOKUP(
            TRIM(
              SPLIT('Final Report'!A519, "","")
           "&amp;" ),
            'URL Details'!A:B,
            2,
            FALSE
          ),
          """"
        )
      )
    )
  ),
  1,
  1
)
"),"")</f>
        <v/>
      </c>
      <c r="C519" s="105" t="str">
        <f>IFERROR(__xludf.DUMMYFUNCTION("IFERROR(IF('Final Report'!A519="""","""", TEXTJOIN(CHAR(10), TRUE, ARRAYFORMULA( ""• ""&amp; FILTER( TRIM(FLATTEN(SPLIT( REGEXREPLACE( SUBSTITUTE(TEXTJOIN("","", TRUE, IFERROR(ARRAYFORMULA(VLOOKUP(TRIM(SPLIT('Final Report'!A519, "","")), 'URL Details'!A:D, 4,"&amp;" FALSE)),"""") ), CHAR(10), "",""), ""\s*,\s*"", "",""), "",""))), TRIM(FLATTEN(SPLIT( REGEXREPLACE( SUBSTITUTE(TEXTJOIN("","", TRUE, IFERROR(ARRAYFORMULA(VLOOKUP(TRIM(SPLIT('Final Report'!A519, "","")), 'URL Details'!A:D, 4, FALSE)),"""") ), CHAR(10), """&amp;",""), ""\s*,\s*"", "",""), "","")))&lt;&gt;"""" ) ) ) ),"""")
"),"")</f>
        <v/>
      </c>
      <c r="D519" s="105"/>
      <c r="E519" s="105"/>
      <c r="F519" s="110" t="b">
        <v>0</v>
      </c>
      <c r="G519" s="105" t="str">
        <f>IF(F519=True, IFERROR(VLOOKUP(D519, Repository!A:B, 2, 0), ""), "")</f>
        <v/>
      </c>
      <c r="H519" s="105"/>
      <c r="I519" s="105"/>
      <c r="J519" s="105" t="str">
        <f>IF(F519=True, IFERROR(VLOOKUP(D519, Repository!A:C, 3, 0), ""), "")</f>
        <v/>
      </c>
      <c r="K519" s="105"/>
      <c r="L519" s="105" t="str">
        <f>IF(F519=True, IFERROR(VLOOKUP(D519, Repository!A:E, 5, 0), ""), "")</f>
        <v/>
      </c>
      <c r="M519" s="105"/>
      <c r="N519" s="105" t="str">
        <f>IF(F519=True, IFERROR(VLOOKUP(D519, Repository!A:G, 7, 0), ""), "")</f>
        <v/>
      </c>
      <c r="O519" s="105" t="str">
        <f>IFERROR(__xludf.DUMMYFUNCTION("ARRAY_CONSTRAIN(
  ARRAYFORMULA(
    IFERROR(
      LET(
        list, N519,
        arr, TRIM(SPLIT(list, "","")),
        names, XLOOKUP(
          arr,
          'Conformance Score'!A:A,
          'Conformance Score'!B:B,
          ""Not found""
      "&amp;"  ),
        TEXTJOIN("", "", TRUE, names)
      ),
      """"
    )
  ),
  1,
  1
)
"),"")</f>
        <v/>
      </c>
      <c r="P519" s="105" t="str">
        <f>IF(F519="Yes", IFERROR(VLOOKUP(D519, Repository!A:F, 6, 0), ""), "")</f>
        <v/>
      </c>
      <c r="Q519" s="105" t="str">
        <f>IF(F519="Yes", IFERROR(VLOOKUP(D519, Repository!A:I, 8, 0), ""), "")</f>
        <v/>
      </c>
      <c r="R519" s="105" t="str">
        <f>IF(F519="Yes", IFERROR(VLOOKUP(D519, Repository!A:J, 9, 0), ""), "")</f>
        <v/>
      </c>
      <c r="S519" s="105"/>
      <c r="T519" s="105"/>
      <c r="U519" s="105"/>
      <c r="V519" s="105"/>
      <c r="W519" s="105"/>
      <c r="X519" s="105"/>
      <c r="Y519" s="105"/>
      <c r="Z519" s="105"/>
      <c r="AA519" s="105"/>
      <c r="AB519" s="105"/>
      <c r="AC519" s="91"/>
      <c r="AD519" s="105"/>
      <c r="AE519" s="105"/>
      <c r="AF519" s="91"/>
      <c r="AG519" s="105"/>
      <c r="AH519" s="105"/>
      <c r="AI519" s="105" t="str">
        <f t="shared" si="1"/>
        <v/>
      </c>
      <c r="AJ519" s="108" t="str">
        <f t="shared" si="2"/>
        <v/>
      </c>
    </row>
    <row r="520" ht="15.75" customHeight="1">
      <c r="A520" s="104"/>
      <c r="B520" s="105" t="str">
        <f>IFERROR(__xludf.DUMMYFUNCTION("ARRAY_CONSTRAIN(
  ARRAYFORMULA(
    IF(
      'Final Report'!A520="""",
      """",
      TEXTJOIN(
        "", "" &amp; CHAR(10),
        TRUE,
        IFERROR(
          VLOOKUP(
            TRIM(
              SPLIT('Final Report'!A520, "","")
           "&amp;" ),
            'URL Details'!A:B,
            2,
            FALSE
          ),
          """"
        )
      )
    )
  ),
  1,
  1
)
"),"")</f>
        <v/>
      </c>
      <c r="C520" s="105" t="str">
        <f>IFERROR(__xludf.DUMMYFUNCTION("IFERROR(IF('Final Report'!A520="""","""", TEXTJOIN(CHAR(10), TRUE, ARRAYFORMULA( ""• ""&amp; FILTER( TRIM(FLATTEN(SPLIT( REGEXREPLACE( SUBSTITUTE(TEXTJOIN("","", TRUE, IFERROR(ARRAYFORMULA(VLOOKUP(TRIM(SPLIT('Final Report'!A520, "","")), 'URL Details'!A:D, 4,"&amp;" FALSE)),"""") ), CHAR(10), "",""), ""\s*,\s*"", "",""), "",""))), TRIM(FLATTEN(SPLIT( REGEXREPLACE( SUBSTITUTE(TEXTJOIN("","", TRUE, IFERROR(ARRAYFORMULA(VLOOKUP(TRIM(SPLIT('Final Report'!A520, "","")), 'URL Details'!A:D, 4, FALSE)),"""") ), CHAR(10), """&amp;",""), ""\s*,\s*"", "",""), "","")))&lt;&gt;"""" ) ) ) ),"""")
"),"")</f>
        <v/>
      </c>
      <c r="D520" s="105"/>
      <c r="E520" s="105"/>
      <c r="F520" s="110" t="b">
        <v>0</v>
      </c>
      <c r="G520" s="105" t="str">
        <f>IF(F520=True, IFERROR(VLOOKUP(D520, Repository!A:B, 2, 0), ""), "")</f>
        <v/>
      </c>
      <c r="H520" s="105"/>
      <c r="I520" s="105"/>
      <c r="J520" s="105" t="str">
        <f>IF(F520=True, IFERROR(VLOOKUP(D520, Repository!A:C, 3, 0), ""), "")</f>
        <v/>
      </c>
      <c r="K520" s="105"/>
      <c r="L520" s="105" t="str">
        <f>IF(F520=True, IFERROR(VLOOKUP(D520, Repository!A:E, 5, 0), ""), "")</f>
        <v/>
      </c>
      <c r="M520" s="105"/>
      <c r="N520" s="105" t="str">
        <f>IF(F520=True, IFERROR(VLOOKUP(D520, Repository!A:G, 7, 0), ""), "")</f>
        <v/>
      </c>
      <c r="O520" s="105" t="str">
        <f>IFERROR(__xludf.DUMMYFUNCTION("ARRAY_CONSTRAIN(
  ARRAYFORMULA(
    IFERROR(
      LET(
        list, N520,
        arr, TRIM(SPLIT(list, "","")),
        names, XLOOKUP(
          arr,
          'Conformance Score'!A:A,
          'Conformance Score'!B:B,
          ""Not found""
      "&amp;"  ),
        TEXTJOIN("", "", TRUE, names)
      ),
      """"
    )
  ),
  1,
  1
)
"),"")</f>
        <v/>
      </c>
      <c r="P520" s="105" t="str">
        <f>IF(F520="Yes", IFERROR(VLOOKUP(D520, Repository!A:F, 6, 0), ""), "")</f>
        <v/>
      </c>
      <c r="Q520" s="105" t="str">
        <f>IF(F520="Yes", IFERROR(VLOOKUP(D520, Repository!A:I, 8, 0), ""), "")</f>
        <v/>
      </c>
      <c r="R520" s="105" t="str">
        <f>IF(F520="Yes", IFERROR(VLOOKUP(D520, Repository!A:J, 9, 0), ""), "")</f>
        <v/>
      </c>
      <c r="S520" s="105"/>
      <c r="T520" s="105"/>
      <c r="U520" s="105"/>
      <c r="V520" s="105"/>
      <c r="W520" s="105"/>
      <c r="X520" s="105"/>
      <c r="Y520" s="105"/>
      <c r="Z520" s="105"/>
      <c r="AA520" s="105"/>
      <c r="AB520" s="105"/>
      <c r="AC520" s="91"/>
      <c r="AD520" s="105"/>
      <c r="AE520" s="105"/>
      <c r="AF520" s="91"/>
      <c r="AG520" s="105"/>
      <c r="AH520" s="105"/>
      <c r="AI520" s="105" t="str">
        <f t="shared" si="1"/>
        <v/>
      </c>
      <c r="AJ520" s="108" t="str">
        <f t="shared" si="2"/>
        <v/>
      </c>
    </row>
    <row r="521" ht="15.75" customHeight="1">
      <c r="A521" s="104"/>
      <c r="B521" s="105" t="str">
        <f>IFERROR(__xludf.DUMMYFUNCTION("ARRAY_CONSTRAIN(
  ARRAYFORMULA(
    IF(
      'Final Report'!A521="""",
      """",
      TEXTJOIN(
        "", "" &amp; CHAR(10),
        TRUE,
        IFERROR(
          VLOOKUP(
            TRIM(
              SPLIT('Final Report'!A521, "","")
           "&amp;" ),
            'URL Details'!A:B,
            2,
            FALSE
          ),
          """"
        )
      )
    )
  ),
  1,
  1
)
"),"")</f>
        <v/>
      </c>
      <c r="C521" s="105" t="str">
        <f>IFERROR(__xludf.DUMMYFUNCTION("IFERROR(IF('Final Report'!A521="""","""", TEXTJOIN(CHAR(10), TRUE, ARRAYFORMULA( ""• ""&amp; FILTER( TRIM(FLATTEN(SPLIT( REGEXREPLACE( SUBSTITUTE(TEXTJOIN("","", TRUE, IFERROR(ARRAYFORMULA(VLOOKUP(TRIM(SPLIT('Final Report'!A521, "","")), 'URL Details'!A:D, 4,"&amp;" FALSE)),"""") ), CHAR(10), "",""), ""\s*,\s*"", "",""), "",""))), TRIM(FLATTEN(SPLIT( REGEXREPLACE( SUBSTITUTE(TEXTJOIN("","", TRUE, IFERROR(ARRAYFORMULA(VLOOKUP(TRIM(SPLIT('Final Report'!A521, "","")), 'URL Details'!A:D, 4, FALSE)),"""") ), CHAR(10), """&amp;",""), ""\s*,\s*"", "",""), "","")))&lt;&gt;"""" ) ) ) ),"""")
"),"")</f>
        <v/>
      </c>
      <c r="D521" s="105"/>
      <c r="E521" s="105"/>
      <c r="F521" s="110" t="b">
        <v>0</v>
      </c>
      <c r="G521" s="105" t="str">
        <f>IF(F521=True, IFERROR(VLOOKUP(D521, Repository!A:B, 2, 0), ""), "")</f>
        <v/>
      </c>
      <c r="H521" s="105"/>
      <c r="I521" s="105"/>
      <c r="J521" s="105" t="str">
        <f>IF(F521=True, IFERROR(VLOOKUP(D521, Repository!A:C, 3, 0), ""), "")</f>
        <v/>
      </c>
      <c r="K521" s="105"/>
      <c r="L521" s="105" t="str">
        <f>IF(F521=True, IFERROR(VLOOKUP(D521, Repository!A:E, 5, 0), ""), "")</f>
        <v/>
      </c>
      <c r="M521" s="105"/>
      <c r="N521" s="105" t="str">
        <f>IF(F521=True, IFERROR(VLOOKUP(D521, Repository!A:G, 7, 0), ""), "")</f>
        <v/>
      </c>
      <c r="O521" s="105" t="str">
        <f>IFERROR(__xludf.DUMMYFUNCTION("ARRAY_CONSTRAIN(
  ARRAYFORMULA(
    IFERROR(
      LET(
        list, N521,
        arr, TRIM(SPLIT(list, "","")),
        names, XLOOKUP(
          arr,
          'Conformance Score'!A:A,
          'Conformance Score'!B:B,
          ""Not found""
      "&amp;"  ),
        TEXTJOIN("", "", TRUE, names)
      ),
      """"
    )
  ),
  1,
  1
)
"),"")</f>
        <v/>
      </c>
      <c r="P521" s="105" t="str">
        <f>IF(F521="Yes", IFERROR(VLOOKUP(D521, Repository!A:F, 6, 0), ""), "")</f>
        <v/>
      </c>
      <c r="Q521" s="105" t="str">
        <f>IF(F521="Yes", IFERROR(VLOOKUP(D521, Repository!A:I, 8, 0), ""), "")</f>
        <v/>
      </c>
      <c r="R521" s="105" t="str">
        <f>IF(F521="Yes", IFERROR(VLOOKUP(D521, Repository!A:J, 9, 0), ""), "")</f>
        <v/>
      </c>
      <c r="S521" s="105"/>
      <c r="T521" s="105"/>
      <c r="U521" s="105"/>
      <c r="V521" s="105"/>
      <c r="W521" s="105"/>
      <c r="X521" s="105"/>
      <c r="Y521" s="105"/>
      <c r="Z521" s="105"/>
      <c r="AA521" s="105"/>
      <c r="AB521" s="105"/>
      <c r="AC521" s="91"/>
      <c r="AD521" s="105"/>
      <c r="AE521" s="105"/>
      <c r="AF521" s="91"/>
      <c r="AG521" s="105"/>
      <c r="AH521" s="105"/>
      <c r="AI521" s="105" t="str">
        <f t="shared" si="1"/>
        <v/>
      </c>
      <c r="AJ521" s="108" t="str">
        <f t="shared" si="2"/>
        <v/>
      </c>
    </row>
    <row r="522" ht="15.75" customHeight="1">
      <c r="A522" s="104"/>
      <c r="B522" s="105" t="str">
        <f>IFERROR(__xludf.DUMMYFUNCTION("ARRAY_CONSTRAIN(
  ARRAYFORMULA(
    IF(
      'Final Report'!A522="""",
      """",
      TEXTJOIN(
        "", "" &amp; CHAR(10),
        TRUE,
        IFERROR(
          VLOOKUP(
            TRIM(
              SPLIT('Final Report'!A522, "","")
           "&amp;" ),
            'URL Details'!A:B,
            2,
            FALSE
          ),
          """"
        )
      )
    )
  ),
  1,
  1
)
"),"")</f>
        <v/>
      </c>
      <c r="C522" s="105" t="str">
        <f>IFERROR(__xludf.DUMMYFUNCTION("IFERROR(IF('Final Report'!A522="""","""", TEXTJOIN(CHAR(10), TRUE, ARRAYFORMULA( ""• ""&amp; FILTER( TRIM(FLATTEN(SPLIT( REGEXREPLACE( SUBSTITUTE(TEXTJOIN("","", TRUE, IFERROR(ARRAYFORMULA(VLOOKUP(TRIM(SPLIT('Final Report'!A522, "","")), 'URL Details'!A:D, 4,"&amp;" FALSE)),"""") ), CHAR(10), "",""), ""\s*,\s*"", "",""), "",""))), TRIM(FLATTEN(SPLIT( REGEXREPLACE( SUBSTITUTE(TEXTJOIN("","", TRUE, IFERROR(ARRAYFORMULA(VLOOKUP(TRIM(SPLIT('Final Report'!A522, "","")), 'URL Details'!A:D, 4, FALSE)),"""") ), CHAR(10), """&amp;",""), ""\s*,\s*"", "",""), "","")))&lt;&gt;"""" ) ) ) ),"""")
"),"")</f>
        <v/>
      </c>
      <c r="D522" s="105"/>
      <c r="E522" s="105"/>
      <c r="F522" s="110" t="b">
        <v>0</v>
      </c>
      <c r="G522" s="105" t="str">
        <f>IF(F522=True, IFERROR(VLOOKUP(D522, Repository!A:B, 2, 0), ""), "")</f>
        <v/>
      </c>
      <c r="H522" s="105"/>
      <c r="I522" s="105"/>
      <c r="J522" s="105" t="str">
        <f>IF(F522=True, IFERROR(VLOOKUP(D522, Repository!A:C, 3, 0), ""), "")</f>
        <v/>
      </c>
      <c r="K522" s="105"/>
      <c r="L522" s="105" t="str">
        <f>IF(F522=True, IFERROR(VLOOKUP(D522, Repository!A:E, 5, 0), ""), "")</f>
        <v/>
      </c>
      <c r="M522" s="105"/>
      <c r="N522" s="105" t="str">
        <f>IF(F522=True, IFERROR(VLOOKUP(D522, Repository!A:G, 7, 0), ""), "")</f>
        <v/>
      </c>
      <c r="O522" s="105" t="str">
        <f>IFERROR(__xludf.DUMMYFUNCTION("ARRAY_CONSTRAIN(
  ARRAYFORMULA(
    IFERROR(
      LET(
        list, N522,
        arr, TRIM(SPLIT(list, "","")),
        names, XLOOKUP(
          arr,
          'Conformance Score'!A:A,
          'Conformance Score'!B:B,
          ""Not found""
      "&amp;"  ),
        TEXTJOIN("", "", TRUE, names)
      ),
      """"
    )
  ),
  1,
  1
)
"),"")</f>
        <v/>
      </c>
      <c r="P522" s="105" t="str">
        <f>IF(F522="Yes", IFERROR(VLOOKUP(D522, Repository!A:F, 6, 0), ""), "")</f>
        <v/>
      </c>
      <c r="Q522" s="105" t="str">
        <f>IF(F522="Yes", IFERROR(VLOOKUP(D522, Repository!A:I, 8, 0), ""), "")</f>
        <v/>
      </c>
      <c r="R522" s="105" t="str">
        <f>IF(F522="Yes", IFERROR(VLOOKUP(D522, Repository!A:J, 9, 0), ""), "")</f>
        <v/>
      </c>
      <c r="S522" s="105"/>
      <c r="T522" s="105"/>
      <c r="U522" s="105"/>
      <c r="V522" s="105"/>
      <c r="W522" s="105"/>
      <c r="X522" s="105"/>
      <c r="Y522" s="105"/>
      <c r="Z522" s="105"/>
      <c r="AA522" s="105"/>
      <c r="AB522" s="105"/>
      <c r="AC522" s="91"/>
      <c r="AD522" s="105"/>
      <c r="AE522" s="105"/>
      <c r="AF522" s="91"/>
      <c r="AG522" s="105"/>
      <c r="AH522" s="105"/>
      <c r="AI522" s="105" t="str">
        <f t="shared" si="1"/>
        <v/>
      </c>
      <c r="AJ522" s="108" t="str">
        <f t="shared" si="2"/>
        <v/>
      </c>
    </row>
    <row r="523" ht="15.75" customHeight="1">
      <c r="A523" s="104"/>
      <c r="B523" s="105" t="str">
        <f>IFERROR(__xludf.DUMMYFUNCTION("ARRAY_CONSTRAIN(
  ARRAYFORMULA(
    IF(
      'Final Report'!A523="""",
      """",
      TEXTJOIN(
        "", "" &amp; CHAR(10),
        TRUE,
        IFERROR(
          VLOOKUP(
            TRIM(
              SPLIT('Final Report'!A523, "","")
           "&amp;" ),
            'URL Details'!A:B,
            2,
            FALSE
          ),
          """"
        )
      )
    )
  ),
  1,
  1
)
"),"")</f>
        <v/>
      </c>
      <c r="C523" s="105" t="str">
        <f>IFERROR(__xludf.DUMMYFUNCTION("IFERROR(IF('Final Report'!A523="""","""", TEXTJOIN(CHAR(10), TRUE, ARRAYFORMULA( ""• ""&amp; FILTER( TRIM(FLATTEN(SPLIT( REGEXREPLACE( SUBSTITUTE(TEXTJOIN("","", TRUE, IFERROR(ARRAYFORMULA(VLOOKUP(TRIM(SPLIT('Final Report'!A523, "","")), 'URL Details'!A:D, 4,"&amp;" FALSE)),"""") ), CHAR(10), "",""), ""\s*,\s*"", "",""), "",""))), TRIM(FLATTEN(SPLIT( REGEXREPLACE( SUBSTITUTE(TEXTJOIN("","", TRUE, IFERROR(ARRAYFORMULA(VLOOKUP(TRIM(SPLIT('Final Report'!A523, "","")), 'URL Details'!A:D, 4, FALSE)),"""") ), CHAR(10), """&amp;",""), ""\s*,\s*"", "",""), "","")))&lt;&gt;"""" ) ) ) ),"""")
"),"")</f>
        <v/>
      </c>
      <c r="D523" s="105"/>
      <c r="E523" s="105"/>
      <c r="F523" s="110" t="b">
        <v>0</v>
      </c>
      <c r="G523" s="105" t="str">
        <f>IF(F523=True, IFERROR(VLOOKUP(D523, Repository!A:B, 2, 0), ""), "")</f>
        <v/>
      </c>
      <c r="H523" s="105"/>
      <c r="I523" s="105"/>
      <c r="J523" s="105" t="str">
        <f>IF(F523=True, IFERROR(VLOOKUP(D523, Repository!A:C, 3, 0), ""), "")</f>
        <v/>
      </c>
      <c r="K523" s="105"/>
      <c r="L523" s="105" t="str">
        <f>IF(F523=True, IFERROR(VLOOKUP(D523, Repository!A:E, 5, 0), ""), "")</f>
        <v/>
      </c>
      <c r="M523" s="105"/>
      <c r="N523" s="105" t="str">
        <f>IF(F523=True, IFERROR(VLOOKUP(D523, Repository!A:G, 7, 0), ""), "")</f>
        <v/>
      </c>
      <c r="O523" s="105" t="str">
        <f>IFERROR(__xludf.DUMMYFUNCTION("ARRAY_CONSTRAIN(
  ARRAYFORMULA(
    IFERROR(
      LET(
        list, N523,
        arr, TRIM(SPLIT(list, "","")),
        names, XLOOKUP(
          arr,
          'Conformance Score'!A:A,
          'Conformance Score'!B:B,
          ""Not found""
      "&amp;"  ),
        TEXTJOIN("", "", TRUE, names)
      ),
      """"
    )
  ),
  1,
  1
)
"),"")</f>
        <v/>
      </c>
      <c r="P523" s="105" t="str">
        <f>IF(F523="Yes", IFERROR(VLOOKUP(D523, Repository!A:F, 6, 0), ""), "")</f>
        <v/>
      </c>
      <c r="Q523" s="105" t="str">
        <f>IF(F523="Yes", IFERROR(VLOOKUP(D523, Repository!A:I, 8, 0), ""), "")</f>
        <v/>
      </c>
      <c r="R523" s="105" t="str">
        <f>IF(F523="Yes", IFERROR(VLOOKUP(D523, Repository!A:J, 9, 0), ""), "")</f>
        <v/>
      </c>
      <c r="S523" s="105"/>
      <c r="T523" s="105"/>
      <c r="U523" s="105"/>
      <c r="V523" s="105"/>
      <c r="W523" s="105"/>
      <c r="X523" s="105"/>
      <c r="Y523" s="105"/>
      <c r="Z523" s="105"/>
      <c r="AA523" s="105"/>
      <c r="AB523" s="105"/>
      <c r="AC523" s="91"/>
      <c r="AD523" s="105"/>
      <c r="AE523" s="105"/>
      <c r="AF523" s="91"/>
      <c r="AG523" s="105"/>
      <c r="AH523" s="105"/>
      <c r="AI523" s="105" t="str">
        <f t="shared" si="1"/>
        <v/>
      </c>
      <c r="AJ523" s="108" t="str">
        <f t="shared" si="2"/>
        <v/>
      </c>
    </row>
    <row r="524" ht="15.75" customHeight="1">
      <c r="A524" s="104"/>
      <c r="B524" s="105" t="str">
        <f>IFERROR(__xludf.DUMMYFUNCTION("ARRAY_CONSTRAIN(
  ARRAYFORMULA(
    IF(
      'Final Report'!A524="""",
      """",
      TEXTJOIN(
        "", "" &amp; CHAR(10),
        TRUE,
        IFERROR(
          VLOOKUP(
            TRIM(
              SPLIT('Final Report'!A524, "","")
           "&amp;" ),
            'URL Details'!A:B,
            2,
            FALSE
          ),
          """"
        )
      )
    )
  ),
  1,
  1
)
"),"")</f>
        <v/>
      </c>
      <c r="C524" s="105" t="str">
        <f>IFERROR(__xludf.DUMMYFUNCTION("IFERROR(IF('Final Report'!A524="""","""", TEXTJOIN(CHAR(10), TRUE, ARRAYFORMULA( ""• ""&amp; FILTER( TRIM(FLATTEN(SPLIT( REGEXREPLACE( SUBSTITUTE(TEXTJOIN("","", TRUE, IFERROR(ARRAYFORMULA(VLOOKUP(TRIM(SPLIT('Final Report'!A524, "","")), 'URL Details'!A:D, 4,"&amp;" FALSE)),"""") ), CHAR(10), "",""), ""\s*,\s*"", "",""), "",""))), TRIM(FLATTEN(SPLIT( REGEXREPLACE( SUBSTITUTE(TEXTJOIN("","", TRUE, IFERROR(ARRAYFORMULA(VLOOKUP(TRIM(SPLIT('Final Report'!A524, "","")), 'URL Details'!A:D, 4, FALSE)),"""") ), CHAR(10), """&amp;",""), ""\s*,\s*"", "",""), "","")))&lt;&gt;"""" ) ) ) ),"""")
"),"")</f>
        <v/>
      </c>
      <c r="D524" s="105"/>
      <c r="E524" s="105"/>
      <c r="F524" s="110" t="b">
        <v>0</v>
      </c>
      <c r="G524" s="105" t="str">
        <f>IF(F524=True, IFERROR(VLOOKUP(D524, Repository!A:B, 2, 0), ""), "")</f>
        <v/>
      </c>
      <c r="H524" s="105"/>
      <c r="I524" s="105"/>
      <c r="J524" s="105" t="str">
        <f>IF(F524=True, IFERROR(VLOOKUP(D524, Repository!A:C, 3, 0), ""), "")</f>
        <v/>
      </c>
      <c r="K524" s="105"/>
      <c r="L524" s="105" t="str">
        <f>IF(F524=True, IFERROR(VLOOKUP(D524, Repository!A:E, 5, 0), ""), "")</f>
        <v/>
      </c>
      <c r="M524" s="105"/>
      <c r="N524" s="105" t="str">
        <f>IF(F524=True, IFERROR(VLOOKUP(D524, Repository!A:G, 7, 0), ""), "")</f>
        <v/>
      </c>
      <c r="O524" s="105" t="str">
        <f>IFERROR(__xludf.DUMMYFUNCTION("ARRAY_CONSTRAIN(
  ARRAYFORMULA(
    IFERROR(
      LET(
        list, N524,
        arr, TRIM(SPLIT(list, "","")),
        names, XLOOKUP(
          arr,
          'Conformance Score'!A:A,
          'Conformance Score'!B:B,
          ""Not found""
      "&amp;"  ),
        TEXTJOIN("", "", TRUE, names)
      ),
      """"
    )
  ),
  1,
  1
)
"),"")</f>
        <v/>
      </c>
      <c r="P524" s="105" t="str">
        <f>IF(F524="Yes", IFERROR(VLOOKUP(D524, Repository!A:F, 6, 0), ""), "")</f>
        <v/>
      </c>
      <c r="Q524" s="105" t="str">
        <f>IF(F524="Yes", IFERROR(VLOOKUP(D524, Repository!A:I, 8, 0), ""), "")</f>
        <v/>
      </c>
      <c r="R524" s="105" t="str">
        <f>IF(F524="Yes", IFERROR(VLOOKUP(D524, Repository!A:J, 9, 0), ""), "")</f>
        <v/>
      </c>
      <c r="S524" s="105"/>
      <c r="T524" s="105"/>
      <c r="U524" s="105"/>
      <c r="V524" s="105"/>
      <c r="W524" s="105"/>
      <c r="X524" s="105"/>
      <c r="Y524" s="105"/>
      <c r="Z524" s="105"/>
      <c r="AA524" s="105"/>
      <c r="AB524" s="105"/>
      <c r="AC524" s="91"/>
      <c r="AD524" s="105"/>
      <c r="AE524" s="105"/>
      <c r="AF524" s="91"/>
      <c r="AG524" s="105"/>
      <c r="AH524" s="105"/>
      <c r="AI524" s="105" t="str">
        <f t="shared" si="1"/>
        <v/>
      </c>
      <c r="AJ524" s="108" t="str">
        <f t="shared" si="2"/>
        <v/>
      </c>
    </row>
    <row r="525" ht="15.75" customHeight="1">
      <c r="A525" s="104"/>
      <c r="B525" s="105" t="str">
        <f>IFERROR(__xludf.DUMMYFUNCTION("ARRAY_CONSTRAIN(
  ARRAYFORMULA(
    IF(
      'Final Report'!A525="""",
      """",
      TEXTJOIN(
        "", "" &amp; CHAR(10),
        TRUE,
        IFERROR(
          VLOOKUP(
            TRIM(
              SPLIT('Final Report'!A525, "","")
           "&amp;" ),
            'URL Details'!A:B,
            2,
            FALSE
          ),
          """"
        )
      )
    )
  ),
  1,
  1
)
"),"")</f>
        <v/>
      </c>
      <c r="C525" s="105" t="str">
        <f>IFERROR(__xludf.DUMMYFUNCTION("IFERROR(IF('Final Report'!A525="""","""", TEXTJOIN(CHAR(10), TRUE, ARRAYFORMULA( ""• ""&amp; FILTER( TRIM(FLATTEN(SPLIT( REGEXREPLACE( SUBSTITUTE(TEXTJOIN("","", TRUE, IFERROR(ARRAYFORMULA(VLOOKUP(TRIM(SPLIT('Final Report'!A525, "","")), 'URL Details'!A:D, 4,"&amp;" FALSE)),"""") ), CHAR(10), "",""), ""\s*,\s*"", "",""), "",""))), TRIM(FLATTEN(SPLIT( REGEXREPLACE( SUBSTITUTE(TEXTJOIN("","", TRUE, IFERROR(ARRAYFORMULA(VLOOKUP(TRIM(SPLIT('Final Report'!A525, "","")), 'URL Details'!A:D, 4, FALSE)),"""") ), CHAR(10), """&amp;",""), ""\s*,\s*"", "",""), "","")))&lt;&gt;"""" ) ) ) ),"""")
"),"")</f>
        <v/>
      </c>
      <c r="D525" s="105"/>
      <c r="E525" s="105"/>
      <c r="F525" s="110" t="b">
        <v>0</v>
      </c>
      <c r="G525" s="105" t="str">
        <f>IF(F525=True, IFERROR(VLOOKUP(D525, Repository!A:B, 2, 0), ""), "")</f>
        <v/>
      </c>
      <c r="H525" s="105"/>
      <c r="I525" s="105"/>
      <c r="J525" s="105" t="str">
        <f>IF(F525=True, IFERROR(VLOOKUP(D525, Repository!A:C, 3, 0), ""), "")</f>
        <v/>
      </c>
      <c r="K525" s="105"/>
      <c r="L525" s="105" t="str">
        <f>IF(F525=True, IFERROR(VLOOKUP(D525, Repository!A:E, 5, 0), ""), "")</f>
        <v/>
      </c>
      <c r="M525" s="105"/>
      <c r="N525" s="105" t="str">
        <f>IF(F525=True, IFERROR(VLOOKUP(D525, Repository!A:G, 7, 0), ""), "")</f>
        <v/>
      </c>
      <c r="O525" s="105" t="str">
        <f>IFERROR(__xludf.DUMMYFUNCTION("ARRAY_CONSTRAIN(
  ARRAYFORMULA(
    IFERROR(
      LET(
        list, N525,
        arr, TRIM(SPLIT(list, "","")),
        names, XLOOKUP(
          arr,
          'Conformance Score'!A:A,
          'Conformance Score'!B:B,
          ""Not found""
      "&amp;"  ),
        TEXTJOIN("", "", TRUE, names)
      ),
      """"
    )
  ),
  1,
  1
)
"),"")</f>
        <v/>
      </c>
      <c r="P525" s="105" t="str">
        <f>IF(F525="Yes", IFERROR(VLOOKUP(D525, Repository!A:F, 6, 0), ""), "")</f>
        <v/>
      </c>
      <c r="Q525" s="105" t="str">
        <f>IF(F525="Yes", IFERROR(VLOOKUP(D525, Repository!A:I, 8, 0), ""), "")</f>
        <v/>
      </c>
      <c r="R525" s="105" t="str">
        <f>IF(F525="Yes", IFERROR(VLOOKUP(D525, Repository!A:J, 9, 0), ""), "")</f>
        <v/>
      </c>
      <c r="S525" s="105"/>
      <c r="T525" s="105"/>
      <c r="U525" s="105"/>
      <c r="V525" s="105"/>
      <c r="W525" s="105"/>
      <c r="X525" s="105"/>
      <c r="Y525" s="105"/>
      <c r="Z525" s="105"/>
      <c r="AA525" s="105"/>
      <c r="AB525" s="105"/>
      <c r="AC525" s="91"/>
      <c r="AD525" s="105"/>
      <c r="AE525" s="105"/>
      <c r="AF525" s="91"/>
      <c r="AG525" s="105"/>
      <c r="AH525" s="105"/>
      <c r="AI525" s="105" t="str">
        <f t="shared" si="1"/>
        <v/>
      </c>
      <c r="AJ525" s="108" t="str">
        <f t="shared" si="2"/>
        <v/>
      </c>
    </row>
    <row r="526" ht="15.75" customHeight="1">
      <c r="A526" s="104"/>
      <c r="B526" s="105" t="str">
        <f>IFERROR(__xludf.DUMMYFUNCTION("ARRAY_CONSTRAIN(
  ARRAYFORMULA(
    IF(
      'Final Report'!A526="""",
      """",
      TEXTJOIN(
        "", "" &amp; CHAR(10),
        TRUE,
        IFERROR(
          VLOOKUP(
            TRIM(
              SPLIT('Final Report'!A526, "","")
           "&amp;" ),
            'URL Details'!A:B,
            2,
            FALSE
          ),
          """"
        )
      )
    )
  ),
  1,
  1
)
"),"")</f>
        <v/>
      </c>
      <c r="C526" s="105" t="str">
        <f>IFERROR(__xludf.DUMMYFUNCTION("IFERROR(IF('Final Report'!A526="""","""", TEXTJOIN(CHAR(10), TRUE, ARRAYFORMULA( ""• ""&amp; FILTER( TRIM(FLATTEN(SPLIT( REGEXREPLACE( SUBSTITUTE(TEXTJOIN("","", TRUE, IFERROR(ARRAYFORMULA(VLOOKUP(TRIM(SPLIT('Final Report'!A526, "","")), 'URL Details'!A:D, 4,"&amp;" FALSE)),"""") ), CHAR(10), "",""), ""\s*,\s*"", "",""), "",""))), TRIM(FLATTEN(SPLIT( REGEXREPLACE( SUBSTITUTE(TEXTJOIN("","", TRUE, IFERROR(ARRAYFORMULA(VLOOKUP(TRIM(SPLIT('Final Report'!A526, "","")), 'URL Details'!A:D, 4, FALSE)),"""") ), CHAR(10), """&amp;",""), ""\s*,\s*"", "",""), "","")))&lt;&gt;"""" ) ) ) ),"""")
"),"")</f>
        <v/>
      </c>
      <c r="D526" s="105"/>
      <c r="E526" s="105"/>
      <c r="F526" s="110" t="b">
        <v>0</v>
      </c>
      <c r="G526" s="105" t="str">
        <f>IF(F526=True, IFERROR(VLOOKUP(D526, Repository!A:B, 2, 0), ""), "")</f>
        <v/>
      </c>
      <c r="H526" s="105"/>
      <c r="I526" s="105"/>
      <c r="J526" s="105" t="str">
        <f>IF(F526=True, IFERROR(VLOOKUP(D526, Repository!A:C, 3, 0), ""), "")</f>
        <v/>
      </c>
      <c r="K526" s="105"/>
      <c r="L526" s="105" t="str">
        <f>IF(F526=True, IFERROR(VLOOKUP(D526, Repository!A:E, 5, 0), ""), "")</f>
        <v/>
      </c>
      <c r="M526" s="105"/>
      <c r="N526" s="105" t="str">
        <f>IF(F526=True, IFERROR(VLOOKUP(D526, Repository!A:G, 7, 0), ""), "")</f>
        <v/>
      </c>
      <c r="O526" s="105" t="str">
        <f>IFERROR(__xludf.DUMMYFUNCTION("ARRAY_CONSTRAIN(
  ARRAYFORMULA(
    IFERROR(
      LET(
        list, N526,
        arr, TRIM(SPLIT(list, "","")),
        names, XLOOKUP(
          arr,
          'Conformance Score'!A:A,
          'Conformance Score'!B:B,
          ""Not found""
      "&amp;"  ),
        TEXTJOIN("", "", TRUE, names)
      ),
      """"
    )
  ),
  1,
  1
)
"),"")</f>
        <v/>
      </c>
      <c r="P526" s="105" t="str">
        <f>IF(F526="Yes", IFERROR(VLOOKUP(D526, Repository!A:F, 6, 0), ""), "")</f>
        <v/>
      </c>
      <c r="Q526" s="105" t="str">
        <f>IF(F526="Yes", IFERROR(VLOOKUP(D526, Repository!A:I, 8, 0), ""), "")</f>
        <v/>
      </c>
      <c r="R526" s="105" t="str">
        <f>IF(F526="Yes", IFERROR(VLOOKUP(D526, Repository!A:J, 9, 0), ""), "")</f>
        <v/>
      </c>
      <c r="S526" s="105"/>
      <c r="T526" s="105"/>
      <c r="U526" s="105"/>
      <c r="V526" s="105"/>
      <c r="W526" s="105"/>
      <c r="X526" s="105"/>
      <c r="Y526" s="105"/>
      <c r="Z526" s="105"/>
      <c r="AA526" s="105"/>
      <c r="AB526" s="105"/>
      <c r="AC526" s="91"/>
      <c r="AD526" s="105"/>
      <c r="AE526" s="105"/>
      <c r="AF526" s="91"/>
      <c r="AG526" s="105"/>
      <c r="AH526" s="105"/>
      <c r="AI526" s="105" t="str">
        <f t="shared" si="1"/>
        <v/>
      </c>
      <c r="AJ526" s="108" t="str">
        <f t="shared" si="2"/>
        <v/>
      </c>
    </row>
    <row r="527" ht="15.75" customHeight="1">
      <c r="A527" s="104"/>
      <c r="B527" s="105" t="str">
        <f>IFERROR(__xludf.DUMMYFUNCTION("ARRAY_CONSTRAIN(
  ARRAYFORMULA(
    IF(
      'Final Report'!A527="""",
      """",
      TEXTJOIN(
        "", "" &amp; CHAR(10),
        TRUE,
        IFERROR(
          VLOOKUP(
            TRIM(
              SPLIT('Final Report'!A527, "","")
           "&amp;" ),
            'URL Details'!A:B,
            2,
            FALSE
          ),
          """"
        )
      )
    )
  ),
  1,
  1
)
"),"")</f>
        <v/>
      </c>
      <c r="C527" s="105" t="str">
        <f>IFERROR(__xludf.DUMMYFUNCTION("IFERROR(IF('Final Report'!A527="""","""", TEXTJOIN(CHAR(10), TRUE, ARRAYFORMULA( ""• ""&amp; FILTER( TRIM(FLATTEN(SPLIT( REGEXREPLACE( SUBSTITUTE(TEXTJOIN("","", TRUE, IFERROR(ARRAYFORMULA(VLOOKUP(TRIM(SPLIT('Final Report'!A527, "","")), 'URL Details'!A:D, 4,"&amp;" FALSE)),"""") ), CHAR(10), "",""), ""\s*,\s*"", "",""), "",""))), TRIM(FLATTEN(SPLIT( REGEXREPLACE( SUBSTITUTE(TEXTJOIN("","", TRUE, IFERROR(ARRAYFORMULA(VLOOKUP(TRIM(SPLIT('Final Report'!A527, "","")), 'URL Details'!A:D, 4, FALSE)),"""") ), CHAR(10), """&amp;",""), ""\s*,\s*"", "",""), "","")))&lt;&gt;"""" ) ) ) ),"""")
"),"")</f>
        <v/>
      </c>
      <c r="D527" s="105"/>
      <c r="E527" s="105"/>
      <c r="F527" s="110" t="b">
        <v>0</v>
      </c>
      <c r="G527" s="105" t="str">
        <f>IF(F527=True, IFERROR(VLOOKUP(D527, Repository!A:B, 2, 0), ""), "")</f>
        <v/>
      </c>
      <c r="H527" s="105"/>
      <c r="I527" s="105"/>
      <c r="J527" s="105" t="str">
        <f>IF(F527=True, IFERROR(VLOOKUP(D527, Repository!A:C, 3, 0), ""), "")</f>
        <v/>
      </c>
      <c r="K527" s="105"/>
      <c r="L527" s="105" t="str">
        <f>IF(F527=True, IFERROR(VLOOKUP(D527, Repository!A:E, 5, 0), ""), "")</f>
        <v/>
      </c>
      <c r="M527" s="105"/>
      <c r="N527" s="105" t="str">
        <f>IF(F527=True, IFERROR(VLOOKUP(D527, Repository!A:G, 7, 0), ""), "")</f>
        <v/>
      </c>
      <c r="O527" s="105" t="str">
        <f>IFERROR(__xludf.DUMMYFUNCTION("ARRAY_CONSTRAIN(
  ARRAYFORMULA(
    IFERROR(
      LET(
        list, N527,
        arr, TRIM(SPLIT(list, "","")),
        names, XLOOKUP(
          arr,
          'Conformance Score'!A:A,
          'Conformance Score'!B:B,
          ""Not found""
      "&amp;"  ),
        TEXTJOIN("", "", TRUE, names)
      ),
      """"
    )
  ),
  1,
  1
)
"),"")</f>
        <v/>
      </c>
      <c r="P527" s="105" t="str">
        <f>IF(F527="Yes", IFERROR(VLOOKUP(D527, Repository!A:F, 6, 0), ""), "")</f>
        <v/>
      </c>
      <c r="Q527" s="105" t="str">
        <f>IF(F527="Yes", IFERROR(VLOOKUP(D527, Repository!A:I, 8, 0), ""), "")</f>
        <v/>
      </c>
      <c r="R527" s="105" t="str">
        <f>IF(F527="Yes", IFERROR(VLOOKUP(D527, Repository!A:J, 9, 0), ""), "")</f>
        <v/>
      </c>
      <c r="S527" s="105"/>
      <c r="T527" s="105"/>
      <c r="U527" s="105"/>
      <c r="V527" s="105"/>
      <c r="W527" s="105"/>
      <c r="X527" s="105"/>
      <c r="Y527" s="105"/>
      <c r="Z527" s="105"/>
      <c r="AA527" s="105"/>
      <c r="AB527" s="105"/>
      <c r="AC527" s="91"/>
      <c r="AD527" s="105"/>
      <c r="AE527" s="105"/>
      <c r="AF527" s="91"/>
      <c r="AG527" s="105"/>
      <c r="AH527" s="105"/>
      <c r="AI527" s="105" t="str">
        <f t="shared" si="1"/>
        <v/>
      </c>
      <c r="AJ527" s="108" t="str">
        <f t="shared" si="2"/>
        <v/>
      </c>
    </row>
    <row r="528" ht="15.75" customHeight="1">
      <c r="A528" s="104"/>
      <c r="B528" s="105" t="str">
        <f>IFERROR(__xludf.DUMMYFUNCTION("ARRAY_CONSTRAIN(
  ARRAYFORMULA(
    IF(
      'Final Report'!A528="""",
      """",
      TEXTJOIN(
        "", "" &amp; CHAR(10),
        TRUE,
        IFERROR(
          VLOOKUP(
            TRIM(
              SPLIT('Final Report'!A528, "","")
           "&amp;" ),
            'URL Details'!A:B,
            2,
            FALSE
          ),
          """"
        )
      )
    )
  ),
  1,
  1
)
"),"")</f>
        <v/>
      </c>
      <c r="C528" s="105" t="str">
        <f>IFERROR(__xludf.DUMMYFUNCTION("IFERROR(IF('Final Report'!A528="""","""", TEXTJOIN(CHAR(10), TRUE, ARRAYFORMULA( ""• ""&amp; FILTER( TRIM(FLATTEN(SPLIT( REGEXREPLACE( SUBSTITUTE(TEXTJOIN("","", TRUE, IFERROR(ARRAYFORMULA(VLOOKUP(TRIM(SPLIT('Final Report'!A528, "","")), 'URL Details'!A:D, 4,"&amp;" FALSE)),"""") ), CHAR(10), "",""), ""\s*,\s*"", "",""), "",""))), TRIM(FLATTEN(SPLIT( REGEXREPLACE( SUBSTITUTE(TEXTJOIN("","", TRUE, IFERROR(ARRAYFORMULA(VLOOKUP(TRIM(SPLIT('Final Report'!A528, "","")), 'URL Details'!A:D, 4, FALSE)),"""") ), CHAR(10), """&amp;",""), ""\s*,\s*"", "",""), "","")))&lt;&gt;"""" ) ) ) ),"""")
"),"")</f>
        <v/>
      </c>
      <c r="D528" s="105"/>
      <c r="E528" s="105"/>
      <c r="F528" s="110" t="b">
        <v>0</v>
      </c>
      <c r="G528" s="105" t="str">
        <f>IF(F528=True, IFERROR(VLOOKUP(D528, Repository!A:B, 2, 0), ""), "")</f>
        <v/>
      </c>
      <c r="H528" s="105"/>
      <c r="I528" s="105"/>
      <c r="J528" s="105" t="str">
        <f>IF(F528=True, IFERROR(VLOOKUP(D528, Repository!A:C, 3, 0), ""), "")</f>
        <v/>
      </c>
      <c r="K528" s="105"/>
      <c r="L528" s="105" t="str">
        <f>IF(F528=True, IFERROR(VLOOKUP(D528, Repository!A:E, 5, 0), ""), "")</f>
        <v/>
      </c>
      <c r="M528" s="105"/>
      <c r="N528" s="105" t="str">
        <f>IF(F528=True, IFERROR(VLOOKUP(D528, Repository!A:G, 7, 0), ""), "")</f>
        <v/>
      </c>
      <c r="O528" s="105" t="str">
        <f>IFERROR(__xludf.DUMMYFUNCTION("ARRAY_CONSTRAIN(
  ARRAYFORMULA(
    IFERROR(
      LET(
        list, N528,
        arr, TRIM(SPLIT(list, "","")),
        names, XLOOKUP(
          arr,
          'Conformance Score'!A:A,
          'Conformance Score'!B:B,
          ""Not found""
      "&amp;"  ),
        TEXTJOIN("", "", TRUE, names)
      ),
      """"
    )
  ),
  1,
  1
)
"),"")</f>
        <v/>
      </c>
      <c r="P528" s="105" t="str">
        <f>IF(F528="Yes", IFERROR(VLOOKUP(D528, Repository!A:F, 6, 0), ""), "")</f>
        <v/>
      </c>
      <c r="Q528" s="105" t="str">
        <f>IF(F528="Yes", IFERROR(VLOOKUP(D528, Repository!A:I, 8, 0), ""), "")</f>
        <v/>
      </c>
      <c r="R528" s="105" t="str">
        <f>IF(F528="Yes", IFERROR(VLOOKUP(D528, Repository!A:J, 9, 0), ""), "")</f>
        <v/>
      </c>
      <c r="S528" s="105"/>
      <c r="T528" s="105"/>
      <c r="U528" s="105"/>
      <c r="V528" s="105"/>
      <c r="W528" s="105"/>
      <c r="X528" s="105"/>
      <c r="Y528" s="105"/>
      <c r="Z528" s="105"/>
      <c r="AA528" s="105"/>
      <c r="AB528" s="105"/>
      <c r="AC528" s="91"/>
      <c r="AD528" s="105"/>
      <c r="AE528" s="105"/>
      <c r="AF528" s="91"/>
      <c r="AG528" s="105"/>
      <c r="AH528" s="105"/>
      <c r="AI528" s="105" t="str">
        <f t="shared" si="1"/>
        <v/>
      </c>
      <c r="AJ528" s="108" t="str">
        <f t="shared" si="2"/>
        <v/>
      </c>
    </row>
    <row r="529" ht="15.75" customHeight="1">
      <c r="A529" s="104"/>
      <c r="B529" s="105" t="str">
        <f>IFERROR(__xludf.DUMMYFUNCTION("ARRAY_CONSTRAIN(
  ARRAYFORMULA(
    IF(
      'Final Report'!A529="""",
      """",
      TEXTJOIN(
        "", "" &amp; CHAR(10),
        TRUE,
        IFERROR(
          VLOOKUP(
            TRIM(
              SPLIT('Final Report'!A529, "","")
           "&amp;" ),
            'URL Details'!A:B,
            2,
            FALSE
          ),
          """"
        )
      )
    )
  ),
  1,
  1
)
"),"")</f>
        <v/>
      </c>
      <c r="C529" s="105" t="str">
        <f>IFERROR(__xludf.DUMMYFUNCTION("IFERROR(IF('Final Report'!A529="""","""", TEXTJOIN(CHAR(10), TRUE, ARRAYFORMULA( ""• ""&amp; FILTER( TRIM(FLATTEN(SPLIT( REGEXREPLACE( SUBSTITUTE(TEXTJOIN("","", TRUE, IFERROR(ARRAYFORMULA(VLOOKUP(TRIM(SPLIT('Final Report'!A529, "","")), 'URL Details'!A:D, 4,"&amp;" FALSE)),"""") ), CHAR(10), "",""), ""\s*,\s*"", "",""), "",""))), TRIM(FLATTEN(SPLIT( REGEXREPLACE( SUBSTITUTE(TEXTJOIN("","", TRUE, IFERROR(ARRAYFORMULA(VLOOKUP(TRIM(SPLIT('Final Report'!A529, "","")), 'URL Details'!A:D, 4, FALSE)),"""") ), CHAR(10), """&amp;",""), ""\s*,\s*"", "",""), "","")))&lt;&gt;"""" ) ) ) ),"""")
"),"")</f>
        <v/>
      </c>
      <c r="D529" s="105"/>
      <c r="E529" s="105"/>
      <c r="F529" s="110" t="b">
        <v>0</v>
      </c>
      <c r="G529" s="105" t="str">
        <f>IF(F529=True, IFERROR(VLOOKUP(D529, Repository!A:B, 2, 0), ""), "")</f>
        <v/>
      </c>
      <c r="H529" s="105"/>
      <c r="I529" s="105"/>
      <c r="J529" s="105" t="str">
        <f>IF(F529=True, IFERROR(VLOOKUP(D529, Repository!A:C, 3, 0), ""), "")</f>
        <v/>
      </c>
      <c r="K529" s="105"/>
      <c r="L529" s="105" t="str">
        <f>IF(F529=True, IFERROR(VLOOKUP(D529, Repository!A:E, 5, 0), ""), "")</f>
        <v/>
      </c>
      <c r="M529" s="105"/>
      <c r="N529" s="105" t="str">
        <f>IF(F529=True, IFERROR(VLOOKUP(D529, Repository!A:G, 7, 0), ""), "")</f>
        <v/>
      </c>
      <c r="O529" s="105" t="str">
        <f>IFERROR(__xludf.DUMMYFUNCTION("ARRAY_CONSTRAIN(
  ARRAYFORMULA(
    IFERROR(
      LET(
        list, N529,
        arr, TRIM(SPLIT(list, "","")),
        names, XLOOKUP(
          arr,
          'Conformance Score'!A:A,
          'Conformance Score'!B:B,
          ""Not found""
      "&amp;"  ),
        TEXTJOIN("", "", TRUE, names)
      ),
      """"
    )
  ),
  1,
  1
)
"),"")</f>
        <v/>
      </c>
      <c r="P529" s="105" t="str">
        <f>IF(F529="Yes", IFERROR(VLOOKUP(D529, Repository!A:F, 6, 0), ""), "")</f>
        <v/>
      </c>
      <c r="Q529" s="105" t="str">
        <f>IF(F529="Yes", IFERROR(VLOOKUP(D529, Repository!A:I, 8, 0), ""), "")</f>
        <v/>
      </c>
      <c r="R529" s="105" t="str">
        <f>IF(F529="Yes", IFERROR(VLOOKUP(D529, Repository!A:J, 9, 0), ""), "")</f>
        <v/>
      </c>
      <c r="S529" s="105"/>
      <c r="T529" s="105"/>
      <c r="U529" s="105"/>
      <c r="V529" s="105"/>
      <c r="W529" s="105"/>
      <c r="X529" s="105"/>
      <c r="Y529" s="105"/>
      <c r="Z529" s="105"/>
      <c r="AA529" s="105"/>
      <c r="AB529" s="105"/>
      <c r="AC529" s="91"/>
      <c r="AD529" s="105"/>
      <c r="AE529" s="105"/>
      <c r="AF529" s="91"/>
      <c r="AG529" s="105"/>
      <c r="AH529" s="105"/>
      <c r="AI529" s="105" t="str">
        <f t="shared" si="1"/>
        <v/>
      </c>
      <c r="AJ529" s="108" t="str">
        <f t="shared" si="2"/>
        <v/>
      </c>
    </row>
    <row r="530" ht="15.75" customHeight="1">
      <c r="A530" s="104"/>
      <c r="B530" s="105" t="str">
        <f>IFERROR(__xludf.DUMMYFUNCTION("ARRAY_CONSTRAIN(
  ARRAYFORMULA(
    IF(
      'Final Report'!A530="""",
      """",
      TEXTJOIN(
        "", "" &amp; CHAR(10),
        TRUE,
        IFERROR(
          VLOOKUP(
            TRIM(
              SPLIT('Final Report'!A530, "","")
           "&amp;" ),
            'URL Details'!A:B,
            2,
            FALSE
          ),
          """"
        )
      )
    )
  ),
  1,
  1
)
"),"")</f>
        <v/>
      </c>
      <c r="C530" s="105" t="str">
        <f>IFERROR(__xludf.DUMMYFUNCTION("IFERROR(IF('Final Report'!A530="""","""", TEXTJOIN(CHAR(10), TRUE, ARRAYFORMULA( ""• ""&amp; FILTER( TRIM(FLATTEN(SPLIT( REGEXREPLACE( SUBSTITUTE(TEXTJOIN("","", TRUE, IFERROR(ARRAYFORMULA(VLOOKUP(TRIM(SPLIT('Final Report'!A530, "","")), 'URL Details'!A:D, 4,"&amp;" FALSE)),"""") ), CHAR(10), "",""), ""\s*,\s*"", "",""), "",""))), TRIM(FLATTEN(SPLIT( REGEXREPLACE( SUBSTITUTE(TEXTJOIN("","", TRUE, IFERROR(ARRAYFORMULA(VLOOKUP(TRIM(SPLIT('Final Report'!A530, "","")), 'URL Details'!A:D, 4, FALSE)),"""") ), CHAR(10), """&amp;",""), ""\s*,\s*"", "",""), "","")))&lt;&gt;"""" ) ) ) ),"""")
"),"")</f>
        <v/>
      </c>
      <c r="D530" s="105"/>
      <c r="E530" s="105"/>
      <c r="F530" s="110" t="b">
        <v>0</v>
      </c>
      <c r="G530" s="105" t="str">
        <f>IF(F530=True, IFERROR(VLOOKUP(D530, Repository!A:B, 2, 0), ""), "")</f>
        <v/>
      </c>
      <c r="H530" s="105"/>
      <c r="I530" s="105"/>
      <c r="J530" s="105" t="str">
        <f>IF(F530=True, IFERROR(VLOOKUP(D530, Repository!A:C, 3, 0), ""), "")</f>
        <v/>
      </c>
      <c r="K530" s="105"/>
      <c r="L530" s="105" t="str">
        <f>IF(F530=True, IFERROR(VLOOKUP(D530, Repository!A:E, 5, 0), ""), "")</f>
        <v/>
      </c>
      <c r="M530" s="105"/>
      <c r="N530" s="105" t="str">
        <f>IF(F530=True, IFERROR(VLOOKUP(D530, Repository!A:G, 7, 0), ""), "")</f>
        <v/>
      </c>
      <c r="O530" s="105" t="str">
        <f>IFERROR(__xludf.DUMMYFUNCTION("ARRAY_CONSTRAIN(
  ARRAYFORMULA(
    IFERROR(
      LET(
        list, N530,
        arr, TRIM(SPLIT(list, "","")),
        names, XLOOKUP(
          arr,
          'Conformance Score'!A:A,
          'Conformance Score'!B:B,
          ""Not found""
      "&amp;"  ),
        TEXTJOIN("", "", TRUE, names)
      ),
      """"
    )
  ),
  1,
  1
)
"),"")</f>
        <v/>
      </c>
      <c r="P530" s="105" t="str">
        <f>IF(F530="Yes", IFERROR(VLOOKUP(D530, Repository!A:F, 6, 0), ""), "")</f>
        <v/>
      </c>
      <c r="Q530" s="105" t="str">
        <f>IF(F530="Yes", IFERROR(VLOOKUP(D530, Repository!A:I, 8, 0), ""), "")</f>
        <v/>
      </c>
      <c r="R530" s="105" t="str">
        <f>IF(F530="Yes", IFERROR(VLOOKUP(D530, Repository!A:J, 9, 0), ""), "")</f>
        <v/>
      </c>
      <c r="S530" s="105"/>
      <c r="T530" s="105"/>
      <c r="U530" s="105"/>
      <c r="V530" s="105"/>
      <c r="W530" s="105"/>
      <c r="X530" s="105"/>
      <c r="Y530" s="105"/>
      <c r="Z530" s="105"/>
      <c r="AA530" s="105"/>
      <c r="AB530" s="105"/>
      <c r="AC530" s="91"/>
      <c r="AD530" s="105"/>
      <c r="AE530" s="105"/>
      <c r="AF530" s="91"/>
      <c r="AG530" s="105"/>
      <c r="AH530" s="105"/>
      <c r="AI530" s="105" t="str">
        <f t="shared" si="1"/>
        <v/>
      </c>
      <c r="AJ530" s="108" t="str">
        <f t="shared" si="2"/>
        <v/>
      </c>
    </row>
    <row r="531" ht="15.75" customHeight="1">
      <c r="A531" s="104"/>
      <c r="B531" s="105" t="str">
        <f>IFERROR(__xludf.DUMMYFUNCTION("ARRAY_CONSTRAIN(
  ARRAYFORMULA(
    IF(
      'Final Report'!A531="""",
      """",
      TEXTJOIN(
        "", "" &amp; CHAR(10),
        TRUE,
        IFERROR(
          VLOOKUP(
            TRIM(
              SPLIT('Final Report'!A531, "","")
           "&amp;" ),
            'URL Details'!A:B,
            2,
            FALSE
          ),
          """"
        )
      )
    )
  ),
  1,
  1
)
"),"")</f>
        <v/>
      </c>
      <c r="C531" s="105" t="str">
        <f>IFERROR(__xludf.DUMMYFUNCTION("IFERROR(IF('Final Report'!A531="""","""", TEXTJOIN(CHAR(10), TRUE, ARRAYFORMULA( ""• ""&amp; FILTER( TRIM(FLATTEN(SPLIT( REGEXREPLACE( SUBSTITUTE(TEXTJOIN("","", TRUE, IFERROR(ARRAYFORMULA(VLOOKUP(TRIM(SPLIT('Final Report'!A531, "","")), 'URL Details'!A:D, 4,"&amp;" FALSE)),"""") ), CHAR(10), "",""), ""\s*,\s*"", "",""), "",""))), TRIM(FLATTEN(SPLIT( REGEXREPLACE( SUBSTITUTE(TEXTJOIN("","", TRUE, IFERROR(ARRAYFORMULA(VLOOKUP(TRIM(SPLIT('Final Report'!A531, "","")), 'URL Details'!A:D, 4, FALSE)),"""") ), CHAR(10), """&amp;",""), ""\s*,\s*"", "",""), "","")))&lt;&gt;"""" ) ) ) ),"""")
"),"")</f>
        <v/>
      </c>
      <c r="D531" s="105"/>
      <c r="E531" s="105"/>
      <c r="F531" s="110" t="b">
        <v>0</v>
      </c>
      <c r="G531" s="105" t="str">
        <f>IF(F531=True, IFERROR(VLOOKUP(D531, Repository!A:B, 2, 0), ""), "")</f>
        <v/>
      </c>
      <c r="H531" s="105"/>
      <c r="I531" s="105"/>
      <c r="J531" s="105" t="str">
        <f>IF(F531=True, IFERROR(VLOOKUP(D531, Repository!A:C, 3, 0), ""), "")</f>
        <v/>
      </c>
      <c r="K531" s="105"/>
      <c r="L531" s="105" t="str">
        <f>IF(F531=True, IFERROR(VLOOKUP(D531, Repository!A:E, 5, 0), ""), "")</f>
        <v/>
      </c>
      <c r="M531" s="105"/>
      <c r="N531" s="105" t="str">
        <f>IF(F531=True, IFERROR(VLOOKUP(D531, Repository!A:G, 7, 0), ""), "")</f>
        <v/>
      </c>
      <c r="O531" s="105" t="str">
        <f>IFERROR(__xludf.DUMMYFUNCTION("ARRAY_CONSTRAIN(
  ARRAYFORMULA(
    IFERROR(
      LET(
        list, N531,
        arr, TRIM(SPLIT(list, "","")),
        names, XLOOKUP(
          arr,
          'Conformance Score'!A:A,
          'Conformance Score'!B:B,
          ""Not found""
      "&amp;"  ),
        TEXTJOIN("", "", TRUE, names)
      ),
      """"
    )
  ),
  1,
  1
)
"),"")</f>
        <v/>
      </c>
      <c r="P531" s="105" t="str">
        <f>IF(F531="Yes", IFERROR(VLOOKUP(D531, Repository!A:F, 6, 0), ""), "")</f>
        <v/>
      </c>
      <c r="Q531" s="105" t="str">
        <f>IF(F531="Yes", IFERROR(VLOOKUP(D531, Repository!A:I, 8, 0), ""), "")</f>
        <v/>
      </c>
      <c r="R531" s="105" t="str">
        <f>IF(F531="Yes", IFERROR(VLOOKUP(D531, Repository!A:J, 9, 0), ""), "")</f>
        <v/>
      </c>
      <c r="S531" s="105"/>
      <c r="T531" s="105"/>
      <c r="U531" s="105"/>
      <c r="V531" s="105"/>
      <c r="W531" s="105"/>
      <c r="X531" s="105"/>
      <c r="Y531" s="105"/>
      <c r="Z531" s="105"/>
      <c r="AA531" s="105"/>
      <c r="AB531" s="105"/>
      <c r="AC531" s="91"/>
      <c r="AD531" s="105"/>
      <c r="AE531" s="105"/>
      <c r="AF531" s="91"/>
      <c r="AG531" s="105"/>
      <c r="AH531" s="105"/>
      <c r="AI531" s="105" t="str">
        <f t="shared" si="1"/>
        <v/>
      </c>
      <c r="AJ531" s="108" t="str">
        <f t="shared" si="2"/>
        <v/>
      </c>
    </row>
    <row r="532" ht="15.75" customHeight="1">
      <c r="A532" s="104"/>
      <c r="B532" s="105" t="str">
        <f>IFERROR(__xludf.DUMMYFUNCTION("ARRAY_CONSTRAIN(
  ARRAYFORMULA(
    IF(
      'Final Report'!A532="""",
      """",
      TEXTJOIN(
        "", "" &amp; CHAR(10),
        TRUE,
        IFERROR(
          VLOOKUP(
            TRIM(
              SPLIT('Final Report'!A532, "","")
           "&amp;" ),
            'URL Details'!A:B,
            2,
            FALSE
          ),
          """"
        )
      )
    )
  ),
  1,
  1
)
"),"")</f>
        <v/>
      </c>
      <c r="C532" s="105" t="str">
        <f>IFERROR(__xludf.DUMMYFUNCTION("IFERROR(IF('Final Report'!A532="""","""", TEXTJOIN(CHAR(10), TRUE, ARRAYFORMULA( ""• ""&amp; FILTER( TRIM(FLATTEN(SPLIT( REGEXREPLACE( SUBSTITUTE(TEXTJOIN("","", TRUE, IFERROR(ARRAYFORMULA(VLOOKUP(TRIM(SPLIT('Final Report'!A532, "","")), 'URL Details'!A:D, 4,"&amp;" FALSE)),"""") ), CHAR(10), "",""), ""\s*,\s*"", "",""), "",""))), TRIM(FLATTEN(SPLIT( REGEXREPLACE( SUBSTITUTE(TEXTJOIN("","", TRUE, IFERROR(ARRAYFORMULA(VLOOKUP(TRIM(SPLIT('Final Report'!A532, "","")), 'URL Details'!A:D, 4, FALSE)),"""") ), CHAR(10), """&amp;",""), ""\s*,\s*"", "",""), "","")))&lt;&gt;"""" ) ) ) ),"""")
"),"")</f>
        <v/>
      </c>
      <c r="D532" s="105"/>
      <c r="E532" s="105"/>
      <c r="F532" s="110" t="b">
        <v>0</v>
      </c>
      <c r="G532" s="105" t="str">
        <f>IF(F532=True, IFERROR(VLOOKUP(D532, Repository!A:B, 2, 0), ""), "")</f>
        <v/>
      </c>
      <c r="H532" s="105"/>
      <c r="I532" s="105"/>
      <c r="J532" s="105" t="str">
        <f>IF(F532=True, IFERROR(VLOOKUP(D532, Repository!A:C, 3, 0), ""), "")</f>
        <v/>
      </c>
      <c r="K532" s="105"/>
      <c r="L532" s="105" t="str">
        <f>IF(F532=True, IFERROR(VLOOKUP(D532, Repository!A:E, 5, 0), ""), "")</f>
        <v/>
      </c>
      <c r="M532" s="105"/>
      <c r="N532" s="105" t="str">
        <f>IF(F532=True, IFERROR(VLOOKUP(D532, Repository!A:G, 7, 0), ""), "")</f>
        <v/>
      </c>
      <c r="O532" s="105" t="str">
        <f>IFERROR(__xludf.DUMMYFUNCTION("ARRAY_CONSTRAIN(
  ARRAYFORMULA(
    IFERROR(
      LET(
        list, N532,
        arr, TRIM(SPLIT(list, "","")),
        names, XLOOKUP(
          arr,
          'Conformance Score'!A:A,
          'Conformance Score'!B:B,
          ""Not found""
      "&amp;"  ),
        TEXTJOIN("", "", TRUE, names)
      ),
      """"
    )
  ),
  1,
  1
)
"),"")</f>
        <v/>
      </c>
      <c r="P532" s="105" t="str">
        <f>IF(F532="Yes", IFERROR(VLOOKUP(D532, Repository!A:F, 6, 0), ""), "")</f>
        <v/>
      </c>
      <c r="Q532" s="105" t="str">
        <f>IF(F532="Yes", IFERROR(VLOOKUP(D532, Repository!A:I, 8, 0), ""), "")</f>
        <v/>
      </c>
      <c r="R532" s="105" t="str">
        <f>IF(F532="Yes", IFERROR(VLOOKUP(D532, Repository!A:J, 9, 0), ""), "")</f>
        <v/>
      </c>
      <c r="S532" s="105"/>
      <c r="T532" s="105"/>
      <c r="U532" s="105"/>
      <c r="V532" s="105"/>
      <c r="W532" s="105"/>
      <c r="X532" s="105"/>
      <c r="Y532" s="105"/>
      <c r="Z532" s="105"/>
      <c r="AA532" s="105"/>
      <c r="AB532" s="105"/>
      <c r="AC532" s="91"/>
      <c r="AD532" s="105"/>
      <c r="AE532" s="105"/>
      <c r="AF532" s="91"/>
      <c r="AG532" s="105"/>
      <c r="AH532" s="105"/>
      <c r="AI532" s="105" t="str">
        <f t="shared" si="1"/>
        <v/>
      </c>
      <c r="AJ532" s="108" t="str">
        <f t="shared" si="2"/>
        <v/>
      </c>
    </row>
    <row r="533" ht="15.75" customHeight="1">
      <c r="A533" s="104"/>
      <c r="B533" s="105" t="str">
        <f>IFERROR(__xludf.DUMMYFUNCTION("ARRAY_CONSTRAIN(
  ARRAYFORMULA(
    IF(
      'Final Report'!A533="""",
      """",
      TEXTJOIN(
        "", "" &amp; CHAR(10),
        TRUE,
        IFERROR(
          VLOOKUP(
            TRIM(
              SPLIT('Final Report'!A533, "","")
           "&amp;" ),
            'URL Details'!A:B,
            2,
            FALSE
          ),
          """"
        )
      )
    )
  ),
  1,
  1
)
"),"")</f>
        <v/>
      </c>
      <c r="C533" s="105" t="str">
        <f>IFERROR(__xludf.DUMMYFUNCTION("IFERROR(IF('Final Report'!A533="""","""", TEXTJOIN(CHAR(10), TRUE, ARRAYFORMULA( ""• ""&amp; FILTER( TRIM(FLATTEN(SPLIT( REGEXREPLACE( SUBSTITUTE(TEXTJOIN("","", TRUE, IFERROR(ARRAYFORMULA(VLOOKUP(TRIM(SPLIT('Final Report'!A533, "","")), 'URL Details'!A:D, 4,"&amp;" FALSE)),"""") ), CHAR(10), "",""), ""\s*,\s*"", "",""), "",""))), TRIM(FLATTEN(SPLIT( REGEXREPLACE( SUBSTITUTE(TEXTJOIN("","", TRUE, IFERROR(ARRAYFORMULA(VLOOKUP(TRIM(SPLIT('Final Report'!A533, "","")), 'URL Details'!A:D, 4, FALSE)),"""") ), CHAR(10), """&amp;",""), ""\s*,\s*"", "",""), "","")))&lt;&gt;"""" ) ) ) ),"""")
"),"")</f>
        <v/>
      </c>
      <c r="D533" s="105"/>
      <c r="E533" s="105"/>
      <c r="F533" s="110" t="b">
        <v>0</v>
      </c>
      <c r="G533" s="105" t="str">
        <f>IF(F533=True, IFERROR(VLOOKUP(D533, Repository!A:B, 2, 0), ""), "")</f>
        <v/>
      </c>
      <c r="H533" s="105"/>
      <c r="I533" s="105"/>
      <c r="J533" s="105" t="str">
        <f>IF(F533=True, IFERROR(VLOOKUP(D533, Repository!A:C, 3, 0), ""), "")</f>
        <v/>
      </c>
      <c r="K533" s="105"/>
      <c r="L533" s="105" t="str">
        <f>IF(F533=True, IFERROR(VLOOKUP(D533, Repository!A:E, 5, 0), ""), "")</f>
        <v/>
      </c>
      <c r="M533" s="105"/>
      <c r="N533" s="105" t="str">
        <f>IF(F533=True, IFERROR(VLOOKUP(D533, Repository!A:G, 7, 0), ""), "")</f>
        <v/>
      </c>
      <c r="O533" s="105" t="str">
        <f>IFERROR(__xludf.DUMMYFUNCTION("ARRAY_CONSTRAIN(
  ARRAYFORMULA(
    IFERROR(
      LET(
        list, N533,
        arr, TRIM(SPLIT(list, "","")),
        names, XLOOKUP(
          arr,
          'Conformance Score'!A:A,
          'Conformance Score'!B:B,
          ""Not found""
      "&amp;"  ),
        TEXTJOIN("", "", TRUE, names)
      ),
      """"
    )
  ),
  1,
  1
)
"),"")</f>
        <v/>
      </c>
      <c r="P533" s="105" t="str">
        <f>IF(F533="Yes", IFERROR(VLOOKUP(D533, Repository!A:F, 6, 0), ""), "")</f>
        <v/>
      </c>
      <c r="Q533" s="105" t="str">
        <f>IF(F533="Yes", IFERROR(VLOOKUP(D533, Repository!A:I, 8, 0), ""), "")</f>
        <v/>
      </c>
      <c r="R533" s="105" t="str">
        <f>IF(F533="Yes", IFERROR(VLOOKUP(D533, Repository!A:J, 9, 0), ""), "")</f>
        <v/>
      </c>
      <c r="S533" s="105"/>
      <c r="T533" s="105"/>
      <c r="U533" s="105"/>
      <c r="V533" s="105"/>
      <c r="W533" s="105"/>
      <c r="X533" s="105"/>
      <c r="Y533" s="105"/>
      <c r="Z533" s="105"/>
      <c r="AA533" s="105"/>
      <c r="AB533" s="105"/>
      <c r="AC533" s="91"/>
      <c r="AD533" s="105"/>
      <c r="AE533" s="105"/>
      <c r="AF533" s="91"/>
      <c r="AG533" s="105"/>
      <c r="AH533" s="105"/>
      <c r="AI533" s="105" t="str">
        <f t="shared" si="1"/>
        <v/>
      </c>
      <c r="AJ533" s="108" t="str">
        <f t="shared" si="2"/>
        <v/>
      </c>
    </row>
    <row r="534" ht="15.75" customHeight="1">
      <c r="A534" s="104"/>
      <c r="B534" s="105" t="str">
        <f>IFERROR(__xludf.DUMMYFUNCTION("ARRAY_CONSTRAIN(
  ARRAYFORMULA(
    IF(
      'Final Report'!A534="""",
      """",
      TEXTJOIN(
        "", "" &amp; CHAR(10),
        TRUE,
        IFERROR(
          VLOOKUP(
            TRIM(
              SPLIT('Final Report'!A534, "","")
           "&amp;" ),
            'URL Details'!A:B,
            2,
            FALSE
          ),
          """"
        )
      )
    )
  ),
  1,
  1
)
"),"")</f>
        <v/>
      </c>
      <c r="C534" s="105" t="str">
        <f>IFERROR(__xludf.DUMMYFUNCTION("IFERROR(IF('Final Report'!A534="""","""", TEXTJOIN(CHAR(10), TRUE, ARRAYFORMULA( ""• ""&amp; FILTER( TRIM(FLATTEN(SPLIT( REGEXREPLACE( SUBSTITUTE(TEXTJOIN("","", TRUE, IFERROR(ARRAYFORMULA(VLOOKUP(TRIM(SPLIT('Final Report'!A534, "","")), 'URL Details'!A:D, 4,"&amp;" FALSE)),"""") ), CHAR(10), "",""), ""\s*,\s*"", "",""), "",""))), TRIM(FLATTEN(SPLIT( REGEXREPLACE( SUBSTITUTE(TEXTJOIN("","", TRUE, IFERROR(ARRAYFORMULA(VLOOKUP(TRIM(SPLIT('Final Report'!A534, "","")), 'URL Details'!A:D, 4, FALSE)),"""") ), CHAR(10), """&amp;",""), ""\s*,\s*"", "",""), "","")))&lt;&gt;"""" ) ) ) ),"""")
"),"")</f>
        <v/>
      </c>
      <c r="D534" s="105"/>
      <c r="E534" s="105"/>
      <c r="F534" s="110" t="b">
        <v>0</v>
      </c>
      <c r="G534" s="105" t="str">
        <f>IF(F534=True, IFERROR(VLOOKUP(D534, Repository!A:B, 2, 0), ""), "")</f>
        <v/>
      </c>
      <c r="H534" s="105"/>
      <c r="I534" s="105"/>
      <c r="J534" s="105" t="str">
        <f>IF(F534=True, IFERROR(VLOOKUP(D534, Repository!A:C, 3, 0), ""), "")</f>
        <v/>
      </c>
      <c r="K534" s="105"/>
      <c r="L534" s="105" t="str">
        <f>IF(F534=True, IFERROR(VLOOKUP(D534, Repository!A:E, 5, 0), ""), "")</f>
        <v/>
      </c>
      <c r="M534" s="105"/>
      <c r="N534" s="105" t="str">
        <f>IF(F534=True, IFERROR(VLOOKUP(D534, Repository!A:G, 7, 0), ""), "")</f>
        <v/>
      </c>
      <c r="O534" s="105" t="str">
        <f>IFERROR(__xludf.DUMMYFUNCTION("ARRAY_CONSTRAIN(
  ARRAYFORMULA(
    IFERROR(
      LET(
        list, N534,
        arr, TRIM(SPLIT(list, "","")),
        names, XLOOKUP(
          arr,
          'Conformance Score'!A:A,
          'Conformance Score'!B:B,
          ""Not found""
      "&amp;"  ),
        TEXTJOIN("", "", TRUE, names)
      ),
      """"
    )
  ),
  1,
  1
)
"),"")</f>
        <v/>
      </c>
      <c r="P534" s="105" t="str">
        <f>IF(F534="Yes", IFERROR(VLOOKUP(D534, Repository!A:F, 6, 0), ""), "")</f>
        <v/>
      </c>
      <c r="Q534" s="105" t="str">
        <f>IF(F534="Yes", IFERROR(VLOOKUP(D534, Repository!A:I, 8, 0), ""), "")</f>
        <v/>
      </c>
      <c r="R534" s="105" t="str">
        <f>IF(F534="Yes", IFERROR(VLOOKUP(D534, Repository!A:J, 9, 0), ""), "")</f>
        <v/>
      </c>
      <c r="S534" s="105"/>
      <c r="T534" s="105"/>
      <c r="U534" s="105"/>
      <c r="V534" s="105"/>
      <c r="W534" s="105"/>
      <c r="X534" s="105"/>
      <c r="Y534" s="105"/>
      <c r="Z534" s="105"/>
      <c r="AA534" s="105"/>
      <c r="AB534" s="105"/>
      <c r="AC534" s="91"/>
      <c r="AD534" s="105"/>
      <c r="AE534" s="105"/>
      <c r="AF534" s="91"/>
      <c r="AG534" s="105"/>
      <c r="AH534" s="105"/>
      <c r="AI534" s="105" t="str">
        <f t="shared" si="1"/>
        <v/>
      </c>
      <c r="AJ534" s="108" t="str">
        <f t="shared" si="2"/>
        <v/>
      </c>
    </row>
    <row r="535" ht="15.75" customHeight="1">
      <c r="A535" s="104"/>
      <c r="B535" s="105" t="str">
        <f>IFERROR(__xludf.DUMMYFUNCTION("ARRAY_CONSTRAIN(
  ARRAYFORMULA(
    IF(
      'Final Report'!A535="""",
      """",
      TEXTJOIN(
        "", "" &amp; CHAR(10),
        TRUE,
        IFERROR(
          VLOOKUP(
            TRIM(
              SPLIT('Final Report'!A535, "","")
           "&amp;" ),
            'URL Details'!A:B,
            2,
            FALSE
          ),
          """"
        )
      )
    )
  ),
  1,
  1
)
"),"")</f>
        <v/>
      </c>
      <c r="C535" s="105" t="str">
        <f>IFERROR(__xludf.DUMMYFUNCTION("IFERROR(IF('Final Report'!A535="""","""", TEXTJOIN(CHAR(10), TRUE, ARRAYFORMULA( ""• ""&amp; FILTER( TRIM(FLATTEN(SPLIT( REGEXREPLACE( SUBSTITUTE(TEXTJOIN("","", TRUE, IFERROR(ARRAYFORMULA(VLOOKUP(TRIM(SPLIT('Final Report'!A535, "","")), 'URL Details'!A:D, 4,"&amp;" FALSE)),"""") ), CHAR(10), "",""), ""\s*,\s*"", "",""), "",""))), TRIM(FLATTEN(SPLIT( REGEXREPLACE( SUBSTITUTE(TEXTJOIN("","", TRUE, IFERROR(ARRAYFORMULA(VLOOKUP(TRIM(SPLIT('Final Report'!A535, "","")), 'URL Details'!A:D, 4, FALSE)),"""") ), CHAR(10), """&amp;",""), ""\s*,\s*"", "",""), "","")))&lt;&gt;"""" ) ) ) ),"""")
"),"")</f>
        <v/>
      </c>
      <c r="D535" s="105"/>
      <c r="E535" s="105"/>
      <c r="F535" s="110" t="b">
        <v>0</v>
      </c>
      <c r="G535" s="105" t="str">
        <f>IF(F535=True, IFERROR(VLOOKUP(D535, Repository!A:B, 2, 0), ""), "")</f>
        <v/>
      </c>
      <c r="H535" s="105"/>
      <c r="I535" s="105"/>
      <c r="J535" s="105" t="str">
        <f>IF(F535=True, IFERROR(VLOOKUP(D535, Repository!A:C, 3, 0), ""), "")</f>
        <v/>
      </c>
      <c r="K535" s="105"/>
      <c r="L535" s="105" t="str">
        <f>IF(F535=True, IFERROR(VLOOKUP(D535, Repository!A:E, 5, 0), ""), "")</f>
        <v/>
      </c>
      <c r="M535" s="105"/>
      <c r="N535" s="105" t="str">
        <f>IF(F535=True, IFERROR(VLOOKUP(D535, Repository!A:G, 7, 0), ""), "")</f>
        <v/>
      </c>
      <c r="O535" s="105" t="str">
        <f>IFERROR(__xludf.DUMMYFUNCTION("ARRAY_CONSTRAIN(
  ARRAYFORMULA(
    IFERROR(
      LET(
        list, N535,
        arr, TRIM(SPLIT(list, "","")),
        names, XLOOKUP(
          arr,
          'Conformance Score'!A:A,
          'Conformance Score'!B:B,
          ""Not found""
      "&amp;"  ),
        TEXTJOIN("", "", TRUE, names)
      ),
      """"
    )
  ),
  1,
  1
)
"),"")</f>
        <v/>
      </c>
      <c r="P535" s="105" t="str">
        <f>IF(F535="Yes", IFERROR(VLOOKUP(D535, Repository!A:F, 6, 0), ""), "")</f>
        <v/>
      </c>
      <c r="Q535" s="105" t="str">
        <f>IF(F535="Yes", IFERROR(VLOOKUP(D535, Repository!A:I, 8, 0), ""), "")</f>
        <v/>
      </c>
      <c r="R535" s="105" t="str">
        <f>IF(F535="Yes", IFERROR(VLOOKUP(D535, Repository!A:J, 9, 0), ""), "")</f>
        <v/>
      </c>
      <c r="S535" s="105"/>
      <c r="T535" s="105"/>
      <c r="U535" s="105"/>
      <c r="V535" s="105"/>
      <c r="W535" s="105"/>
      <c r="X535" s="105"/>
      <c r="Y535" s="105"/>
      <c r="Z535" s="105"/>
      <c r="AA535" s="105"/>
      <c r="AB535" s="105"/>
      <c r="AC535" s="91"/>
      <c r="AD535" s="105"/>
      <c r="AE535" s="105"/>
      <c r="AF535" s="91"/>
      <c r="AG535" s="105"/>
      <c r="AH535" s="105"/>
      <c r="AI535" s="105" t="str">
        <f t="shared" si="1"/>
        <v/>
      </c>
      <c r="AJ535" s="108" t="str">
        <f t="shared" si="2"/>
        <v/>
      </c>
    </row>
    <row r="536" ht="15.75" customHeight="1">
      <c r="A536" s="104"/>
      <c r="B536" s="105" t="str">
        <f>IFERROR(__xludf.DUMMYFUNCTION("ARRAY_CONSTRAIN(
  ARRAYFORMULA(
    IF(
      'Final Report'!A536="""",
      """",
      TEXTJOIN(
        "", "" &amp; CHAR(10),
        TRUE,
        IFERROR(
          VLOOKUP(
            TRIM(
              SPLIT('Final Report'!A536, "","")
           "&amp;" ),
            'URL Details'!A:B,
            2,
            FALSE
          ),
          """"
        )
      )
    )
  ),
  1,
  1
)
"),"")</f>
        <v/>
      </c>
      <c r="C536" s="105" t="str">
        <f>IFERROR(__xludf.DUMMYFUNCTION("IFERROR(IF('Final Report'!A536="""","""", TEXTJOIN(CHAR(10), TRUE, ARRAYFORMULA( ""• ""&amp; FILTER( TRIM(FLATTEN(SPLIT( REGEXREPLACE( SUBSTITUTE(TEXTJOIN("","", TRUE, IFERROR(ARRAYFORMULA(VLOOKUP(TRIM(SPLIT('Final Report'!A536, "","")), 'URL Details'!A:D, 4,"&amp;" FALSE)),"""") ), CHAR(10), "",""), ""\s*,\s*"", "",""), "",""))), TRIM(FLATTEN(SPLIT( REGEXREPLACE( SUBSTITUTE(TEXTJOIN("","", TRUE, IFERROR(ARRAYFORMULA(VLOOKUP(TRIM(SPLIT('Final Report'!A536, "","")), 'URL Details'!A:D, 4, FALSE)),"""") ), CHAR(10), """&amp;",""), ""\s*,\s*"", "",""), "","")))&lt;&gt;"""" ) ) ) ),"""")
"),"")</f>
        <v/>
      </c>
      <c r="D536" s="105"/>
      <c r="E536" s="105"/>
      <c r="F536" s="110" t="b">
        <v>0</v>
      </c>
      <c r="G536" s="105" t="str">
        <f>IF(F536=True, IFERROR(VLOOKUP(D536, Repository!A:B, 2, 0), ""), "")</f>
        <v/>
      </c>
      <c r="H536" s="105"/>
      <c r="I536" s="105"/>
      <c r="J536" s="105" t="str">
        <f>IF(F536=True, IFERROR(VLOOKUP(D536, Repository!A:C, 3, 0), ""), "")</f>
        <v/>
      </c>
      <c r="K536" s="105"/>
      <c r="L536" s="105" t="str">
        <f>IF(F536=True, IFERROR(VLOOKUP(D536, Repository!A:E, 5, 0), ""), "")</f>
        <v/>
      </c>
      <c r="M536" s="105"/>
      <c r="N536" s="105" t="str">
        <f>IF(F536=True, IFERROR(VLOOKUP(D536, Repository!A:G, 7, 0), ""), "")</f>
        <v/>
      </c>
      <c r="O536" s="105" t="str">
        <f>IFERROR(__xludf.DUMMYFUNCTION("ARRAY_CONSTRAIN(
  ARRAYFORMULA(
    IFERROR(
      LET(
        list, N536,
        arr, TRIM(SPLIT(list, "","")),
        names, XLOOKUP(
          arr,
          'Conformance Score'!A:A,
          'Conformance Score'!B:B,
          ""Not found""
      "&amp;"  ),
        TEXTJOIN("", "", TRUE, names)
      ),
      """"
    )
  ),
  1,
  1
)
"),"")</f>
        <v/>
      </c>
      <c r="P536" s="105" t="str">
        <f>IF(F536="Yes", IFERROR(VLOOKUP(D536, Repository!A:F, 6, 0), ""), "")</f>
        <v/>
      </c>
      <c r="Q536" s="105" t="str">
        <f>IF(F536="Yes", IFERROR(VLOOKUP(D536, Repository!A:I, 8, 0), ""), "")</f>
        <v/>
      </c>
      <c r="R536" s="105" t="str">
        <f>IF(F536="Yes", IFERROR(VLOOKUP(D536, Repository!A:J, 9, 0), ""), "")</f>
        <v/>
      </c>
      <c r="S536" s="105"/>
      <c r="T536" s="105"/>
      <c r="U536" s="105"/>
      <c r="V536" s="105"/>
      <c r="W536" s="105"/>
      <c r="X536" s="105"/>
      <c r="Y536" s="105"/>
      <c r="Z536" s="105"/>
      <c r="AA536" s="105"/>
      <c r="AB536" s="105"/>
      <c r="AC536" s="91"/>
      <c r="AD536" s="105"/>
      <c r="AE536" s="105"/>
      <c r="AF536" s="91"/>
      <c r="AG536" s="105"/>
      <c r="AH536" s="105"/>
      <c r="AI536" s="105" t="str">
        <f t="shared" si="1"/>
        <v/>
      </c>
      <c r="AJ536" s="108" t="str">
        <f t="shared" si="2"/>
        <v/>
      </c>
    </row>
    <row r="537" ht="15.75" customHeight="1">
      <c r="A537" s="104"/>
      <c r="B537" s="105" t="str">
        <f>IFERROR(__xludf.DUMMYFUNCTION("ARRAY_CONSTRAIN(
  ARRAYFORMULA(
    IF(
      'Final Report'!A537="""",
      """",
      TEXTJOIN(
        "", "" &amp; CHAR(10),
        TRUE,
        IFERROR(
          VLOOKUP(
            TRIM(
              SPLIT('Final Report'!A537, "","")
           "&amp;" ),
            'URL Details'!A:B,
            2,
            FALSE
          ),
          """"
        )
      )
    )
  ),
  1,
  1
)
"),"")</f>
        <v/>
      </c>
      <c r="C537" s="105" t="str">
        <f>IFERROR(__xludf.DUMMYFUNCTION("IFERROR(IF('Final Report'!A537="""","""", TEXTJOIN(CHAR(10), TRUE, ARRAYFORMULA( ""• ""&amp; FILTER( TRIM(FLATTEN(SPLIT( REGEXREPLACE( SUBSTITUTE(TEXTJOIN("","", TRUE, IFERROR(ARRAYFORMULA(VLOOKUP(TRIM(SPLIT('Final Report'!A537, "","")), 'URL Details'!A:D, 4,"&amp;" FALSE)),"""") ), CHAR(10), "",""), ""\s*,\s*"", "",""), "",""))), TRIM(FLATTEN(SPLIT( REGEXREPLACE( SUBSTITUTE(TEXTJOIN("","", TRUE, IFERROR(ARRAYFORMULA(VLOOKUP(TRIM(SPLIT('Final Report'!A537, "","")), 'URL Details'!A:D, 4, FALSE)),"""") ), CHAR(10), """&amp;",""), ""\s*,\s*"", "",""), "","")))&lt;&gt;"""" ) ) ) ),"""")
"),"")</f>
        <v/>
      </c>
      <c r="D537" s="105"/>
      <c r="E537" s="105"/>
      <c r="F537" s="110" t="b">
        <v>0</v>
      </c>
      <c r="G537" s="105" t="str">
        <f>IF(F537=True, IFERROR(VLOOKUP(D537, Repository!A:B, 2, 0), ""), "")</f>
        <v/>
      </c>
      <c r="H537" s="105"/>
      <c r="I537" s="105"/>
      <c r="J537" s="105" t="str">
        <f>IF(F537=True, IFERROR(VLOOKUP(D537, Repository!A:C, 3, 0), ""), "")</f>
        <v/>
      </c>
      <c r="K537" s="105"/>
      <c r="L537" s="105" t="str">
        <f>IF(F537=True, IFERROR(VLOOKUP(D537, Repository!A:E, 5, 0), ""), "")</f>
        <v/>
      </c>
      <c r="M537" s="105"/>
      <c r="N537" s="105" t="str">
        <f>IF(F537=True, IFERROR(VLOOKUP(D537, Repository!A:G, 7, 0), ""), "")</f>
        <v/>
      </c>
      <c r="O537" s="105" t="str">
        <f>IFERROR(__xludf.DUMMYFUNCTION("ARRAY_CONSTRAIN(
  ARRAYFORMULA(
    IFERROR(
      LET(
        list, N537,
        arr, TRIM(SPLIT(list, "","")),
        names, XLOOKUP(
          arr,
          'Conformance Score'!A:A,
          'Conformance Score'!B:B,
          ""Not found""
      "&amp;"  ),
        TEXTJOIN("", "", TRUE, names)
      ),
      """"
    )
  ),
  1,
  1
)
"),"")</f>
        <v/>
      </c>
      <c r="P537" s="105" t="str">
        <f>IF(F537="Yes", IFERROR(VLOOKUP(D537, Repository!A:F, 6, 0), ""), "")</f>
        <v/>
      </c>
      <c r="Q537" s="105" t="str">
        <f>IF(F537="Yes", IFERROR(VLOOKUP(D537, Repository!A:I, 8, 0), ""), "")</f>
        <v/>
      </c>
      <c r="R537" s="105" t="str">
        <f>IF(F537="Yes", IFERROR(VLOOKUP(D537, Repository!A:J, 9, 0), ""), "")</f>
        <v/>
      </c>
      <c r="S537" s="105"/>
      <c r="T537" s="105"/>
      <c r="U537" s="105"/>
      <c r="V537" s="105"/>
      <c r="W537" s="105"/>
      <c r="X537" s="105"/>
      <c r="Y537" s="105"/>
      <c r="Z537" s="105"/>
      <c r="AA537" s="105"/>
      <c r="AB537" s="105"/>
      <c r="AC537" s="91"/>
      <c r="AD537" s="105"/>
      <c r="AE537" s="105"/>
      <c r="AF537" s="91"/>
      <c r="AG537" s="105"/>
      <c r="AH537" s="105"/>
      <c r="AI537" s="105" t="str">
        <f t="shared" si="1"/>
        <v/>
      </c>
      <c r="AJ537" s="108" t="str">
        <f t="shared" si="2"/>
        <v/>
      </c>
    </row>
    <row r="538" ht="15.75" customHeight="1">
      <c r="A538" s="104"/>
      <c r="B538" s="105" t="str">
        <f>IFERROR(__xludf.DUMMYFUNCTION("ARRAY_CONSTRAIN(
  ARRAYFORMULA(
    IF(
      'Final Report'!A538="""",
      """",
      TEXTJOIN(
        "", "" &amp; CHAR(10),
        TRUE,
        IFERROR(
          VLOOKUP(
            TRIM(
              SPLIT('Final Report'!A538, "","")
           "&amp;" ),
            'URL Details'!A:B,
            2,
            FALSE
          ),
          """"
        )
      )
    )
  ),
  1,
  1
)
"),"")</f>
        <v/>
      </c>
      <c r="C538" s="105" t="str">
        <f>IFERROR(__xludf.DUMMYFUNCTION("IFERROR(IF('Final Report'!A538="""","""", TEXTJOIN(CHAR(10), TRUE, ARRAYFORMULA( ""• ""&amp; FILTER( TRIM(FLATTEN(SPLIT( REGEXREPLACE( SUBSTITUTE(TEXTJOIN("","", TRUE, IFERROR(ARRAYFORMULA(VLOOKUP(TRIM(SPLIT('Final Report'!A538, "","")), 'URL Details'!A:D, 4,"&amp;" FALSE)),"""") ), CHAR(10), "",""), ""\s*,\s*"", "",""), "",""))), TRIM(FLATTEN(SPLIT( REGEXREPLACE( SUBSTITUTE(TEXTJOIN("","", TRUE, IFERROR(ARRAYFORMULA(VLOOKUP(TRIM(SPLIT('Final Report'!A538, "","")), 'URL Details'!A:D, 4, FALSE)),"""") ), CHAR(10), """&amp;",""), ""\s*,\s*"", "",""), "","")))&lt;&gt;"""" ) ) ) ),"""")
"),"")</f>
        <v/>
      </c>
      <c r="D538" s="105"/>
      <c r="E538" s="105"/>
      <c r="F538" s="110" t="b">
        <v>0</v>
      </c>
      <c r="G538" s="105" t="str">
        <f>IF(F538=True, IFERROR(VLOOKUP(D538, Repository!A:B, 2, 0), ""), "")</f>
        <v/>
      </c>
      <c r="H538" s="105"/>
      <c r="I538" s="105"/>
      <c r="J538" s="105" t="str">
        <f>IF(F538=True, IFERROR(VLOOKUP(D538, Repository!A:C, 3, 0), ""), "")</f>
        <v/>
      </c>
      <c r="K538" s="105"/>
      <c r="L538" s="105" t="str">
        <f>IF(F538=True, IFERROR(VLOOKUP(D538, Repository!A:E, 5, 0), ""), "")</f>
        <v/>
      </c>
      <c r="M538" s="105"/>
      <c r="N538" s="105" t="str">
        <f>IF(F538=True, IFERROR(VLOOKUP(D538, Repository!A:G, 7, 0), ""), "")</f>
        <v/>
      </c>
      <c r="O538" s="105" t="str">
        <f>IFERROR(__xludf.DUMMYFUNCTION("ARRAY_CONSTRAIN(
  ARRAYFORMULA(
    IFERROR(
      LET(
        list, N538,
        arr, TRIM(SPLIT(list, "","")),
        names, XLOOKUP(
          arr,
          'Conformance Score'!A:A,
          'Conformance Score'!B:B,
          ""Not found""
      "&amp;"  ),
        TEXTJOIN("", "", TRUE, names)
      ),
      """"
    )
  ),
  1,
  1
)
"),"")</f>
        <v/>
      </c>
      <c r="P538" s="105" t="str">
        <f>IF(F538="Yes", IFERROR(VLOOKUP(D538, Repository!A:F, 6, 0), ""), "")</f>
        <v/>
      </c>
      <c r="Q538" s="105" t="str">
        <f>IF(F538="Yes", IFERROR(VLOOKUP(D538, Repository!A:I, 8, 0), ""), "")</f>
        <v/>
      </c>
      <c r="R538" s="105" t="str">
        <f>IF(F538="Yes", IFERROR(VLOOKUP(D538, Repository!A:J, 9, 0), ""), "")</f>
        <v/>
      </c>
      <c r="S538" s="105"/>
      <c r="T538" s="105"/>
      <c r="U538" s="105"/>
      <c r="V538" s="105"/>
      <c r="W538" s="105"/>
      <c r="X538" s="105"/>
      <c r="Y538" s="105"/>
      <c r="Z538" s="105"/>
      <c r="AA538" s="105"/>
      <c r="AB538" s="105"/>
      <c r="AC538" s="91"/>
      <c r="AD538" s="105"/>
      <c r="AE538" s="105"/>
      <c r="AF538" s="91"/>
      <c r="AG538" s="105"/>
      <c r="AH538" s="105"/>
      <c r="AI538" s="105" t="str">
        <f t="shared" si="1"/>
        <v/>
      </c>
      <c r="AJ538" s="108" t="str">
        <f t="shared" si="2"/>
        <v/>
      </c>
    </row>
    <row r="539" ht="15.75" customHeight="1">
      <c r="A539" s="104"/>
      <c r="B539" s="105" t="str">
        <f>IFERROR(__xludf.DUMMYFUNCTION("ARRAY_CONSTRAIN(
  ARRAYFORMULA(
    IF(
      'Final Report'!A539="""",
      """",
      TEXTJOIN(
        "", "" &amp; CHAR(10),
        TRUE,
        IFERROR(
          VLOOKUP(
            TRIM(
              SPLIT('Final Report'!A539, "","")
           "&amp;" ),
            'URL Details'!A:B,
            2,
            FALSE
          ),
          """"
        )
      )
    )
  ),
  1,
  1
)
"),"")</f>
        <v/>
      </c>
      <c r="C539" s="105" t="str">
        <f>IFERROR(__xludf.DUMMYFUNCTION("IFERROR(IF('Final Report'!A539="""","""", TEXTJOIN(CHAR(10), TRUE, ARRAYFORMULA( ""• ""&amp; FILTER( TRIM(FLATTEN(SPLIT( REGEXREPLACE( SUBSTITUTE(TEXTJOIN("","", TRUE, IFERROR(ARRAYFORMULA(VLOOKUP(TRIM(SPLIT('Final Report'!A539, "","")), 'URL Details'!A:D, 4,"&amp;" FALSE)),"""") ), CHAR(10), "",""), ""\s*,\s*"", "",""), "",""))), TRIM(FLATTEN(SPLIT( REGEXREPLACE( SUBSTITUTE(TEXTJOIN("","", TRUE, IFERROR(ARRAYFORMULA(VLOOKUP(TRIM(SPLIT('Final Report'!A539, "","")), 'URL Details'!A:D, 4, FALSE)),"""") ), CHAR(10), """&amp;",""), ""\s*,\s*"", "",""), "","")))&lt;&gt;"""" ) ) ) ),"""")
"),"")</f>
        <v/>
      </c>
      <c r="D539" s="105"/>
      <c r="E539" s="105"/>
      <c r="F539" s="110" t="b">
        <v>0</v>
      </c>
      <c r="G539" s="105" t="str">
        <f>IF(F539=True, IFERROR(VLOOKUP(D539, Repository!A:B, 2, 0), ""), "")</f>
        <v/>
      </c>
      <c r="H539" s="105"/>
      <c r="I539" s="105"/>
      <c r="J539" s="105" t="str">
        <f>IF(F539=True, IFERROR(VLOOKUP(D539, Repository!A:C, 3, 0), ""), "")</f>
        <v/>
      </c>
      <c r="K539" s="105"/>
      <c r="L539" s="105" t="str">
        <f>IF(F539=True, IFERROR(VLOOKUP(D539, Repository!A:E, 5, 0), ""), "")</f>
        <v/>
      </c>
      <c r="M539" s="105"/>
      <c r="N539" s="105" t="str">
        <f>IF(F539=True, IFERROR(VLOOKUP(D539, Repository!A:G, 7, 0), ""), "")</f>
        <v/>
      </c>
      <c r="O539" s="105" t="str">
        <f>IFERROR(__xludf.DUMMYFUNCTION("ARRAY_CONSTRAIN(
  ARRAYFORMULA(
    IFERROR(
      LET(
        list, N539,
        arr, TRIM(SPLIT(list, "","")),
        names, XLOOKUP(
          arr,
          'Conformance Score'!A:A,
          'Conformance Score'!B:B,
          ""Not found""
      "&amp;"  ),
        TEXTJOIN("", "", TRUE, names)
      ),
      """"
    )
  ),
  1,
  1
)
"),"")</f>
        <v/>
      </c>
      <c r="P539" s="105" t="str">
        <f>IF(F539="Yes", IFERROR(VLOOKUP(D539, Repository!A:F, 6, 0), ""), "")</f>
        <v/>
      </c>
      <c r="Q539" s="105" t="str">
        <f>IF(F539="Yes", IFERROR(VLOOKUP(D539, Repository!A:I, 8, 0), ""), "")</f>
        <v/>
      </c>
      <c r="R539" s="105" t="str">
        <f>IF(F539="Yes", IFERROR(VLOOKUP(D539, Repository!A:J, 9, 0), ""), "")</f>
        <v/>
      </c>
      <c r="S539" s="105"/>
      <c r="T539" s="105"/>
      <c r="U539" s="105"/>
      <c r="V539" s="105"/>
      <c r="W539" s="105"/>
      <c r="X539" s="105"/>
      <c r="Y539" s="105"/>
      <c r="Z539" s="105"/>
      <c r="AA539" s="105"/>
      <c r="AB539" s="105"/>
      <c r="AC539" s="91"/>
      <c r="AD539" s="105"/>
      <c r="AE539" s="105"/>
      <c r="AF539" s="91"/>
      <c r="AG539" s="105"/>
      <c r="AH539" s="105"/>
      <c r="AI539" s="105" t="str">
        <f t="shared" si="1"/>
        <v/>
      </c>
      <c r="AJ539" s="108" t="str">
        <f t="shared" si="2"/>
        <v/>
      </c>
    </row>
    <row r="540" ht="15.75" customHeight="1">
      <c r="A540" s="104"/>
      <c r="B540" s="105" t="str">
        <f>IFERROR(__xludf.DUMMYFUNCTION("ARRAY_CONSTRAIN(
  ARRAYFORMULA(
    IF(
      'Final Report'!A540="""",
      """",
      TEXTJOIN(
        "", "" &amp; CHAR(10),
        TRUE,
        IFERROR(
          VLOOKUP(
            TRIM(
              SPLIT('Final Report'!A540, "","")
           "&amp;" ),
            'URL Details'!A:B,
            2,
            FALSE
          ),
          """"
        )
      )
    )
  ),
  1,
  1
)
"),"")</f>
        <v/>
      </c>
      <c r="C540" s="105" t="str">
        <f>IFERROR(__xludf.DUMMYFUNCTION("IFERROR(IF('Final Report'!A540="""","""", TEXTJOIN(CHAR(10), TRUE, ARRAYFORMULA( ""• ""&amp; FILTER( TRIM(FLATTEN(SPLIT( REGEXREPLACE( SUBSTITUTE(TEXTJOIN("","", TRUE, IFERROR(ARRAYFORMULA(VLOOKUP(TRIM(SPLIT('Final Report'!A540, "","")), 'URL Details'!A:D, 4,"&amp;" FALSE)),"""") ), CHAR(10), "",""), ""\s*,\s*"", "",""), "",""))), TRIM(FLATTEN(SPLIT( REGEXREPLACE( SUBSTITUTE(TEXTJOIN("","", TRUE, IFERROR(ARRAYFORMULA(VLOOKUP(TRIM(SPLIT('Final Report'!A540, "","")), 'URL Details'!A:D, 4, FALSE)),"""") ), CHAR(10), """&amp;",""), ""\s*,\s*"", "",""), "","")))&lt;&gt;"""" ) ) ) ),"""")
"),"")</f>
        <v/>
      </c>
      <c r="D540" s="105"/>
      <c r="E540" s="105"/>
      <c r="F540" s="110" t="b">
        <v>0</v>
      </c>
      <c r="G540" s="105" t="str">
        <f>IF(F540=True, IFERROR(VLOOKUP(D540, Repository!A:B, 2, 0), ""), "")</f>
        <v/>
      </c>
      <c r="H540" s="105"/>
      <c r="I540" s="105"/>
      <c r="J540" s="105" t="str">
        <f>IF(F540=True, IFERROR(VLOOKUP(D540, Repository!A:C, 3, 0), ""), "")</f>
        <v/>
      </c>
      <c r="K540" s="105"/>
      <c r="L540" s="105" t="str">
        <f>IF(F540=True, IFERROR(VLOOKUP(D540, Repository!A:E, 5, 0), ""), "")</f>
        <v/>
      </c>
      <c r="M540" s="105"/>
      <c r="N540" s="105" t="str">
        <f>IF(F540=True, IFERROR(VLOOKUP(D540, Repository!A:G, 7, 0), ""), "")</f>
        <v/>
      </c>
      <c r="O540" s="105" t="str">
        <f>IFERROR(__xludf.DUMMYFUNCTION("ARRAY_CONSTRAIN(
  ARRAYFORMULA(
    IFERROR(
      LET(
        list, N540,
        arr, TRIM(SPLIT(list, "","")),
        names, XLOOKUP(
          arr,
          'Conformance Score'!A:A,
          'Conformance Score'!B:B,
          ""Not found""
      "&amp;"  ),
        TEXTJOIN("", "", TRUE, names)
      ),
      """"
    )
  ),
  1,
  1
)
"),"")</f>
        <v/>
      </c>
      <c r="P540" s="105" t="str">
        <f>IF(F540="Yes", IFERROR(VLOOKUP(D540, Repository!A:F, 6, 0), ""), "")</f>
        <v/>
      </c>
      <c r="Q540" s="105" t="str">
        <f>IF(F540="Yes", IFERROR(VLOOKUP(D540, Repository!A:I, 8, 0), ""), "")</f>
        <v/>
      </c>
      <c r="R540" s="105" t="str">
        <f>IF(F540="Yes", IFERROR(VLOOKUP(D540, Repository!A:J, 9, 0), ""), "")</f>
        <v/>
      </c>
      <c r="S540" s="105"/>
      <c r="T540" s="105"/>
      <c r="U540" s="105"/>
      <c r="V540" s="105"/>
      <c r="W540" s="105"/>
      <c r="X540" s="105"/>
      <c r="Y540" s="105"/>
      <c r="Z540" s="105"/>
      <c r="AA540" s="105"/>
      <c r="AB540" s="105"/>
      <c r="AC540" s="91"/>
      <c r="AD540" s="105"/>
      <c r="AE540" s="105"/>
      <c r="AF540" s="91"/>
      <c r="AG540" s="105"/>
      <c r="AH540" s="105"/>
      <c r="AI540" s="105" t="str">
        <f t="shared" si="1"/>
        <v/>
      </c>
      <c r="AJ540" s="108" t="str">
        <f t="shared" si="2"/>
        <v/>
      </c>
    </row>
    <row r="541" ht="15.75" customHeight="1">
      <c r="A541" s="104"/>
      <c r="B541" s="105" t="str">
        <f>IFERROR(__xludf.DUMMYFUNCTION("ARRAY_CONSTRAIN(
  ARRAYFORMULA(
    IF(
      'Final Report'!A541="""",
      """",
      TEXTJOIN(
        "", "" &amp; CHAR(10),
        TRUE,
        IFERROR(
          VLOOKUP(
            TRIM(
              SPLIT('Final Report'!A541, "","")
           "&amp;" ),
            'URL Details'!A:B,
            2,
            FALSE
          ),
          """"
        )
      )
    )
  ),
  1,
  1
)
"),"")</f>
        <v/>
      </c>
      <c r="C541" s="105" t="str">
        <f>IFERROR(__xludf.DUMMYFUNCTION("IFERROR(IF('Final Report'!A541="""","""", TEXTJOIN(CHAR(10), TRUE, ARRAYFORMULA( ""• ""&amp; FILTER( TRIM(FLATTEN(SPLIT( REGEXREPLACE( SUBSTITUTE(TEXTJOIN("","", TRUE, IFERROR(ARRAYFORMULA(VLOOKUP(TRIM(SPLIT('Final Report'!A541, "","")), 'URL Details'!A:D, 4,"&amp;" FALSE)),"""") ), CHAR(10), "",""), ""\s*,\s*"", "",""), "",""))), TRIM(FLATTEN(SPLIT( REGEXREPLACE( SUBSTITUTE(TEXTJOIN("","", TRUE, IFERROR(ARRAYFORMULA(VLOOKUP(TRIM(SPLIT('Final Report'!A541, "","")), 'URL Details'!A:D, 4, FALSE)),"""") ), CHAR(10), """&amp;",""), ""\s*,\s*"", "",""), "","")))&lt;&gt;"""" ) ) ) ),"""")
"),"")</f>
        <v/>
      </c>
      <c r="D541" s="105"/>
      <c r="E541" s="105"/>
      <c r="F541" s="110" t="b">
        <v>0</v>
      </c>
      <c r="G541" s="105" t="str">
        <f>IF(F541=True, IFERROR(VLOOKUP(D541, Repository!A:B, 2, 0), ""), "")</f>
        <v/>
      </c>
      <c r="H541" s="105"/>
      <c r="I541" s="105"/>
      <c r="J541" s="105" t="str">
        <f>IF(F541=True, IFERROR(VLOOKUP(D541, Repository!A:C, 3, 0), ""), "")</f>
        <v/>
      </c>
      <c r="K541" s="105"/>
      <c r="L541" s="105" t="str">
        <f>IF(F541=True, IFERROR(VLOOKUP(D541, Repository!A:E, 5, 0), ""), "")</f>
        <v/>
      </c>
      <c r="M541" s="105"/>
      <c r="N541" s="105" t="str">
        <f>IF(F541=True, IFERROR(VLOOKUP(D541, Repository!A:G, 7, 0), ""), "")</f>
        <v/>
      </c>
      <c r="O541" s="105" t="str">
        <f>IFERROR(__xludf.DUMMYFUNCTION("ARRAY_CONSTRAIN(
  ARRAYFORMULA(
    IFERROR(
      LET(
        list, N541,
        arr, TRIM(SPLIT(list, "","")),
        names, XLOOKUP(
          arr,
          'Conformance Score'!A:A,
          'Conformance Score'!B:B,
          ""Not found""
      "&amp;"  ),
        TEXTJOIN("", "", TRUE, names)
      ),
      """"
    )
  ),
  1,
  1
)
"),"")</f>
        <v/>
      </c>
      <c r="P541" s="105" t="str">
        <f>IF(F541="Yes", IFERROR(VLOOKUP(D541, Repository!A:F, 6, 0), ""), "")</f>
        <v/>
      </c>
      <c r="Q541" s="105" t="str">
        <f>IF(F541="Yes", IFERROR(VLOOKUP(D541, Repository!A:I, 8, 0), ""), "")</f>
        <v/>
      </c>
      <c r="R541" s="105" t="str">
        <f>IF(F541="Yes", IFERROR(VLOOKUP(D541, Repository!A:J, 9, 0), ""), "")</f>
        <v/>
      </c>
      <c r="S541" s="105"/>
      <c r="T541" s="105"/>
      <c r="U541" s="105"/>
      <c r="V541" s="105"/>
      <c r="W541" s="105"/>
      <c r="X541" s="105"/>
      <c r="Y541" s="105"/>
      <c r="Z541" s="105"/>
      <c r="AA541" s="105"/>
      <c r="AB541" s="105"/>
      <c r="AC541" s="91"/>
      <c r="AD541" s="105"/>
      <c r="AE541" s="105"/>
      <c r="AF541" s="91"/>
      <c r="AG541" s="105"/>
      <c r="AH541" s="105"/>
      <c r="AI541" s="105" t="str">
        <f t="shared" si="1"/>
        <v/>
      </c>
      <c r="AJ541" s="108" t="str">
        <f t="shared" si="2"/>
        <v/>
      </c>
    </row>
    <row r="542" ht="15.75" customHeight="1">
      <c r="A542" s="104"/>
      <c r="B542" s="105" t="str">
        <f>IFERROR(__xludf.DUMMYFUNCTION("ARRAY_CONSTRAIN(
  ARRAYFORMULA(
    IF(
      'Final Report'!A542="""",
      """",
      TEXTJOIN(
        "", "" &amp; CHAR(10),
        TRUE,
        IFERROR(
          VLOOKUP(
            TRIM(
              SPLIT('Final Report'!A542, "","")
           "&amp;" ),
            'URL Details'!A:B,
            2,
            FALSE
          ),
          """"
        )
      )
    )
  ),
  1,
  1
)
"),"")</f>
        <v/>
      </c>
      <c r="C542" s="105" t="str">
        <f>IFERROR(__xludf.DUMMYFUNCTION("IFERROR(IF('Final Report'!A542="""","""", TEXTJOIN(CHAR(10), TRUE, ARRAYFORMULA( ""• ""&amp; FILTER( TRIM(FLATTEN(SPLIT( REGEXREPLACE( SUBSTITUTE(TEXTJOIN("","", TRUE, IFERROR(ARRAYFORMULA(VLOOKUP(TRIM(SPLIT('Final Report'!A542, "","")), 'URL Details'!A:D, 4,"&amp;" FALSE)),"""") ), CHAR(10), "",""), ""\s*,\s*"", "",""), "",""))), TRIM(FLATTEN(SPLIT( REGEXREPLACE( SUBSTITUTE(TEXTJOIN("","", TRUE, IFERROR(ARRAYFORMULA(VLOOKUP(TRIM(SPLIT('Final Report'!A542, "","")), 'URL Details'!A:D, 4, FALSE)),"""") ), CHAR(10), """&amp;",""), ""\s*,\s*"", "",""), "","")))&lt;&gt;"""" ) ) ) ),"""")
"),"")</f>
        <v/>
      </c>
      <c r="D542" s="105"/>
      <c r="E542" s="105"/>
      <c r="F542" s="110" t="b">
        <v>0</v>
      </c>
      <c r="G542" s="105" t="str">
        <f>IF(F542=True, IFERROR(VLOOKUP(D542, Repository!A:B, 2, 0), ""), "")</f>
        <v/>
      </c>
      <c r="H542" s="105"/>
      <c r="I542" s="105"/>
      <c r="J542" s="105" t="str">
        <f>IF(F542=True, IFERROR(VLOOKUP(D542, Repository!A:C, 3, 0), ""), "")</f>
        <v/>
      </c>
      <c r="K542" s="105"/>
      <c r="L542" s="105" t="str">
        <f>IF(F542=True, IFERROR(VLOOKUP(D542, Repository!A:E, 5, 0), ""), "")</f>
        <v/>
      </c>
      <c r="M542" s="105"/>
      <c r="N542" s="105" t="str">
        <f>IF(F542=True, IFERROR(VLOOKUP(D542, Repository!A:G, 7, 0), ""), "")</f>
        <v/>
      </c>
      <c r="O542" s="105" t="str">
        <f>IFERROR(__xludf.DUMMYFUNCTION("ARRAY_CONSTRAIN(
  ARRAYFORMULA(
    IFERROR(
      LET(
        list, N542,
        arr, TRIM(SPLIT(list, "","")),
        names, XLOOKUP(
          arr,
          'Conformance Score'!A:A,
          'Conformance Score'!B:B,
          ""Not found""
      "&amp;"  ),
        TEXTJOIN("", "", TRUE, names)
      ),
      """"
    )
  ),
  1,
  1
)
"),"")</f>
        <v/>
      </c>
      <c r="P542" s="105" t="str">
        <f>IF(F542="Yes", IFERROR(VLOOKUP(D542, Repository!A:F, 6, 0), ""), "")</f>
        <v/>
      </c>
      <c r="Q542" s="105" t="str">
        <f>IF(F542="Yes", IFERROR(VLOOKUP(D542, Repository!A:I, 8, 0), ""), "")</f>
        <v/>
      </c>
      <c r="R542" s="105" t="str">
        <f>IF(F542="Yes", IFERROR(VLOOKUP(D542, Repository!A:J, 9, 0), ""), "")</f>
        <v/>
      </c>
      <c r="S542" s="105"/>
      <c r="T542" s="105"/>
      <c r="U542" s="105"/>
      <c r="V542" s="105"/>
      <c r="W542" s="105"/>
      <c r="X542" s="105"/>
      <c r="Y542" s="105"/>
      <c r="Z542" s="105"/>
      <c r="AA542" s="105"/>
      <c r="AB542" s="105"/>
      <c r="AC542" s="91"/>
      <c r="AD542" s="105"/>
      <c r="AE542" s="105"/>
      <c r="AF542" s="91"/>
      <c r="AG542" s="105"/>
      <c r="AH542" s="105"/>
      <c r="AI542" s="105" t="str">
        <f t="shared" si="1"/>
        <v/>
      </c>
      <c r="AJ542" s="108" t="str">
        <f t="shared" si="2"/>
        <v/>
      </c>
    </row>
    <row r="543" ht="15.75" customHeight="1">
      <c r="A543" s="104"/>
      <c r="B543" s="105" t="str">
        <f>IFERROR(__xludf.DUMMYFUNCTION("ARRAY_CONSTRAIN(
  ARRAYFORMULA(
    IF(
      'Final Report'!A543="""",
      """",
      TEXTJOIN(
        "", "" &amp; CHAR(10),
        TRUE,
        IFERROR(
          VLOOKUP(
            TRIM(
              SPLIT('Final Report'!A543, "","")
           "&amp;" ),
            'URL Details'!A:B,
            2,
            FALSE
          ),
          """"
        )
      )
    )
  ),
  1,
  1
)
"),"")</f>
        <v/>
      </c>
      <c r="C543" s="105" t="str">
        <f>IFERROR(__xludf.DUMMYFUNCTION("IFERROR(IF('Final Report'!A543="""","""", TEXTJOIN(CHAR(10), TRUE, ARRAYFORMULA( ""• ""&amp; FILTER( TRIM(FLATTEN(SPLIT( REGEXREPLACE( SUBSTITUTE(TEXTJOIN("","", TRUE, IFERROR(ARRAYFORMULA(VLOOKUP(TRIM(SPLIT('Final Report'!A543, "","")), 'URL Details'!A:D, 4,"&amp;" FALSE)),"""") ), CHAR(10), "",""), ""\s*,\s*"", "",""), "",""))), TRIM(FLATTEN(SPLIT( REGEXREPLACE( SUBSTITUTE(TEXTJOIN("","", TRUE, IFERROR(ARRAYFORMULA(VLOOKUP(TRIM(SPLIT('Final Report'!A543, "","")), 'URL Details'!A:D, 4, FALSE)),"""") ), CHAR(10), """&amp;",""), ""\s*,\s*"", "",""), "","")))&lt;&gt;"""" ) ) ) ),"""")
"),"")</f>
        <v/>
      </c>
      <c r="D543" s="105"/>
      <c r="E543" s="105"/>
      <c r="F543" s="110" t="b">
        <v>0</v>
      </c>
      <c r="G543" s="105" t="str">
        <f>IF(F543=True, IFERROR(VLOOKUP(D543, Repository!A:B, 2, 0), ""), "")</f>
        <v/>
      </c>
      <c r="H543" s="105"/>
      <c r="I543" s="105"/>
      <c r="J543" s="105" t="str">
        <f>IF(F543=True, IFERROR(VLOOKUP(D543, Repository!A:C, 3, 0), ""), "")</f>
        <v/>
      </c>
      <c r="K543" s="105"/>
      <c r="L543" s="105" t="str">
        <f>IF(F543=True, IFERROR(VLOOKUP(D543, Repository!A:E, 5, 0), ""), "")</f>
        <v/>
      </c>
      <c r="M543" s="105"/>
      <c r="N543" s="105" t="str">
        <f>IF(F543=True, IFERROR(VLOOKUP(D543, Repository!A:G, 7, 0), ""), "")</f>
        <v/>
      </c>
      <c r="O543" s="105" t="str">
        <f>IFERROR(__xludf.DUMMYFUNCTION("ARRAY_CONSTRAIN(
  ARRAYFORMULA(
    IFERROR(
      LET(
        list, N543,
        arr, TRIM(SPLIT(list, "","")),
        names, XLOOKUP(
          arr,
          'Conformance Score'!A:A,
          'Conformance Score'!B:B,
          ""Not found""
      "&amp;"  ),
        TEXTJOIN("", "", TRUE, names)
      ),
      """"
    )
  ),
  1,
  1
)
"),"")</f>
        <v/>
      </c>
      <c r="P543" s="105" t="str">
        <f>IF(F543="Yes", IFERROR(VLOOKUP(D543, Repository!A:F, 6, 0), ""), "")</f>
        <v/>
      </c>
      <c r="Q543" s="105" t="str">
        <f>IF(F543="Yes", IFERROR(VLOOKUP(D543, Repository!A:I, 8, 0), ""), "")</f>
        <v/>
      </c>
      <c r="R543" s="105" t="str">
        <f>IF(F543="Yes", IFERROR(VLOOKUP(D543, Repository!A:J, 9, 0), ""), "")</f>
        <v/>
      </c>
      <c r="S543" s="105"/>
      <c r="T543" s="105"/>
      <c r="U543" s="105"/>
      <c r="V543" s="105"/>
      <c r="W543" s="105"/>
      <c r="X543" s="105"/>
      <c r="Y543" s="105"/>
      <c r="Z543" s="105"/>
      <c r="AA543" s="105"/>
      <c r="AB543" s="105"/>
      <c r="AC543" s="91"/>
      <c r="AD543" s="105"/>
      <c r="AE543" s="105"/>
      <c r="AF543" s="91"/>
      <c r="AG543" s="105"/>
      <c r="AH543" s="105"/>
      <c r="AI543" s="105" t="str">
        <f t="shared" si="1"/>
        <v/>
      </c>
      <c r="AJ543" s="108" t="str">
        <f t="shared" si="2"/>
        <v/>
      </c>
    </row>
    <row r="544" ht="15.75" customHeight="1">
      <c r="A544" s="104"/>
      <c r="B544" s="105" t="str">
        <f>IFERROR(__xludf.DUMMYFUNCTION("ARRAY_CONSTRAIN(
  ARRAYFORMULA(
    IF(
      'Final Report'!A544="""",
      """",
      TEXTJOIN(
        "", "" &amp; CHAR(10),
        TRUE,
        IFERROR(
          VLOOKUP(
            TRIM(
              SPLIT('Final Report'!A544, "","")
           "&amp;" ),
            'URL Details'!A:B,
            2,
            FALSE
          ),
          """"
        )
      )
    )
  ),
  1,
  1
)
"),"")</f>
        <v/>
      </c>
      <c r="C544" s="105" t="str">
        <f>IFERROR(__xludf.DUMMYFUNCTION("IFERROR(IF('Final Report'!A544="""","""", TEXTJOIN(CHAR(10), TRUE, ARRAYFORMULA( ""• ""&amp; FILTER( TRIM(FLATTEN(SPLIT( REGEXREPLACE( SUBSTITUTE(TEXTJOIN("","", TRUE, IFERROR(ARRAYFORMULA(VLOOKUP(TRIM(SPLIT('Final Report'!A544, "","")), 'URL Details'!A:D, 4,"&amp;" FALSE)),"""") ), CHAR(10), "",""), ""\s*,\s*"", "",""), "",""))), TRIM(FLATTEN(SPLIT( REGEXREPLACE( SUBSTITUTE(TEXTJOIN("","", TRUE, IFERROR(ARRAYFORMULA(VLOOKUP(TRIM(SPLIT('Final Report'!A544, "","")), 'URL Details'!A:D, 4, FALSE)),"""") ), CHAR(10), """&amp;",""), ""\s*,\s*"", "",""), "","")))&lt;&gt;"""" ) ) ) ),"""")
"),"")</f>
        <v/>
      </c>
      <c r="D544" s="105"/>
      <c r="E544" s="105"/>
      <c r="F544" s="110" t="b">
        <v>0</v>
      </c>
      <c r="G544" s="105" t="str">
        <f>IF(F544=True, IFERROR(VLOOKUP(D544, Repository!A:B, 2, 0), ""), "")</f>
        <v/>
      </c>
      <c r="H544" s="105"/>
      <c r="I544" s="105"/>
      <c r="J544" s="105" t="str">
        <f>IF(F544=True, IFERROR(VLOOKUP(D544, Repository!A:C, 3, 0), ""), "")</f>
        <v/>
      </c>
      <c r="K544" s="105"/>
      <c r="L544" s="105" t="str">
        <f>IF(F544=True, IFERROR(VLOOKUP(D544, Repository!A:E, 5, 0), ""), "")</f>
        <v/>
      </c>
      <c r="M544" s="105"/>
      <c r="N544" s="105" t="str">
        <f>IF(F544=True, IFERROR(VLOOKUP(D544, Repository!A:G, 7, 0), ""), "")</f>
        <v/>
      </c>
      <c r="O544" s="105" t="str">
        <f>IFERROR(__xludf.DUMMYFUNCTION("ARRAY_CONSTRAIN(
  ARRAYFORMULA(
    IFERROR(
      LET(
        list, N544,
        arr, TRIM(SPLIT(list, "","")),
        names, XLOOKUP(
          arr,
          'Conformance Score'!A:A,
          'Conformance Score'!B:B,
          ""Not found""
      "&amp;"  ),
        TEXTJOIN("", "", TRUE, names)
      ),
      """"
    )
  ),
  1,
  1
)
"),"")</f>
        <v/>
      </c>
      <c r="P544" s="105" t="str">
        <f>IF(F544="Yes", IFERROR(VLOOKUP(D544, Repository!A:F, 6, 0), ""), "")</f>
        <v/>
      </c>
      <c r="Q544" s="105" t="str">
        <f>IF(F544="Yes", IFERROR(VLOOKUP(D544, Repository!A:I, 8, 0), ""), "")</f>
        <v/>
      </c>
      <c r="R544" s="105" t="str">
        <f>IF(F544="Yes", IFERROR(VLOOKUP(D544, Repository!A:J, 9, 0), ""), "")</f>
        <v/>
      </c>
      <c r="S544" s="105"/>
      <c r="T544" s="105"/>
      <c r="U544" s="105"/>
      <c r="V544" s="105"/>
      <c r="W544" s="105"/>
      <c r="X544" s="105"/>
      <c r="Y544" s="105"/>
      <c r="Z544" s="105"/>
      <c r="AA544" s="105"/>
      <c r="AB544" s="105"/>
      <c r="AC544" s="91"/>
      <c r="AD544" s="105"/>
      <c r="AE544" s="105"/>
      <c r="AF544" s="91"/>
      <c r="AG544" s="105"/>
      <c r="AH544" s="105"/>
      <c r="AI544" s="105" t="str">
        <f t="shared" si="1"/>
        <v/>
      </c>
      <c r="AJ544" s="108" t="str">
        <f t="shared" si="2"/>
        <v/>
      </c>
    </row>
    <row r="545" ht="15.75" customHeight="1">
      <c r="A545" s="104"/>
      <c r="B545" s="105" t="str">
        <f>IFERROR(__xludf.DUMMYFUNCTION("ARRAY_CONSTRAIN(
  ARRAYFORMULA(
    IF(
      'Final Report'!A545="""",
      """",
      TEXTJOIN(
        "", "" &amp; CHAR(10),
        TRUE,
        IFERROR(
          VLOOKUP(
            TRIM(
              SPLIT('Final Report'!A545, "","")
           "&amp;" ),
            'URL Details'!A:B,
            2,
            FALSE
          ),
          """"
        )
      )
    )
  ),
  1,
  1
)
"),"")</f>
        <v/>
      </c>
      <c r="C545" s="105" t="str">
        <f>IFERROR(__xludf.DUMMYFUNCTION("IFERROR(IF('Final Report'!A545="""","""", TEXTJOIN(CHAR(10), TRUE, ARRAYFORMULA( ""• ""&amp; FILTER( TRIM(FLATTEN(SPLIT( REGEXREPLACE( SUBSTITUTE(TEXTJOIN("","", TRUE, IFERROR(ARRAYFORMULA(VLOOKUP(TRIM(SPLIT('Final Report'!A545, "","")), 'URL Details'!A:D, 4,"&amp;" FALSE)),"""") ), CHAR(10), "",""), ""\s*,\s*"", "",""), "",""))), TRIM(FLATTEN(SPLIT( REGEXREPLACE( SUBSTITUTE(TEXTJOIN("","", TRUE, IFERROR(ARRAYFORMULA(VLOOKUP(TRIM(SPLIT('Final Report'!A545, "","")), 'URL Details'!A:D, 4, FALSE)),"""") ), CHAR(10), """&amp;",""), ""\s*,\s*"", "",""), "","")))&lt;&gt;"""" ) ) ) ),"""")
"),"")</f>
        <v/>
      </c>
      <c r="D545" s="105"/>
      <c r="E545" s="105"/>
      <c r="F545" s="110" t="b">
        <v>0</v>
      </c>
      <c r="G545" s="105" t="str">
        <f>IF(F545=True, IFERROR(VLOOKUP(D545, Repository!A:B, 2, 0), ""), "")</f>
        <v/>
      </c>
      <c r="H545" s="105"/>
      <c r="I545" s="105"/>
      <c r="J545" s="105" t="str">
        <f>IF(F545=True, IFERROR(VLOOKUP(D545, Repository!A:C, 3, 0), ""), "")</f>
        <v/>
      </c>
      <c r="K545" s="105"/>
      <c r="L545" s="105" t="str">
        <f>IF(F545=True, IFERROR(VLOOKUP(D545, Repository!A:E, 5, 0), ""), "")</f>
        <v/>
      </c>
      <c r="M545" s="105"/>
      <c r="N545" s="105" t="str">
        <f>IF(F545=True, IFERROR(VLOOKUP(D545, Repository!A:G, 7, 0), ""), "")</f>
        <v/>
      </c>
      <c r="O545" s="105" t="str">
        <f>IFERROR(__xludf.DUMMYFUNCTION("ARRAY_CONSTRAIN(
  ARRAYFORMULA(
    IFERROR(
      LET(
        list, N545,
        arr, TRIM(SPLIT(list, "","")),
        names, XLOOKUP(
          arr,
          'Conformance Score'!A:A,
          'Conformance Score'!B:B,
          ""Not found""
      "&amp;"  ),
        TEXTJOIN("", "", TRUE, names)
      ),
      """"
    )
  ),
  1,
  1
)
"),"")</f>
        <v/>
      </c>
      <c r="P545" s="105" t="str">
        <f>IF(F545="Yes", IFERROR(VLOOKUP(D545, Repository!A:F, 6, 0), ""), "")</f>
        <v/>
      </c>
      <c r="Q545" s="105" t="str">
        <f>IF(F545="Yes", IFERROR(VLOOKUP(D545, Repository!A:I, 8, 0), ""), "")</f>
        <v/>
      </c>
      <c r="R545" s="105" t="str">
        <f>IF(F545="Yes", IFERROR(VLOOKUP(D545, Repository!A:J, 9, 0), ""), "")</f>
        <v/>
      </c>
      <c r="S545" s="105"/>
      <c r="T545" s="105"/>
      <c r="U545" s="105"/>
      <c r="V545" s="105"/>
      <c r="W545" s="105"/>
      <c r="X545" s="105"/>
      <c r="Y545" s="105"/>
      <c r="Z545" s="105"/>
      <c r="AA545" s="105"/>
      <c r="AB545" s="105"/>
      <c r="AC545" s="91"/>
      <c r="AD545" s="105"/>
      <c r="AE545" s="105"/>
      <c r="AF545" s="91"/>
      <c r="AG545" s="105"/>
      <c r="AH545" s="105"/>
      <c r="AI545" s="105" t="str">
        <f t="shared" si="1"/>
        <v/>
      </c>
      <c r="AJ545" s="108" t="str">
        <f t="shared" si="2"/>
        <v/>
      </c>
    </row>
    <row r="546" ht="15.75" customHeight="1">
      <c r="A546" s="104"/>
      <c r="B546" s="105" t="str">
        <f>IFERROR(__xludf.DUMMYFUNCTION("ARRAY_CONSTRAIN(
  ARRAYFORMULA(
    IF(
      'Final Report'!A546="""",
      """",
      TEXTJOIN(
        "", "" &amp; CHAR(10),
        TRUE,
        IFERROR(
          VLOOKUP(
            TRIM(
              SPLIT('Final Report'!A546, "","")
           "&amp;" ),
            'URL Details'!A:B,
            2,
            FALSE
          ),
          """"
        )
      )
    )
  ),
  1,
  1
)
"),"")</f>
        <v/>
      </c>
      <c r="C546" s="105" t="str">
        <f>IFERROR(__xludf.DUMMYFUNCTION("IFERROR(IF('Final Report'!A546="""","""", TEXTJOIN(CHAR(10), TRUE, ARRAYFORMULA( ""• ""&amp; FILTER( TRIM(FLATTEN(SPLIT( REGEXREPLACE( SUBSTITUTE(TEXTJOIN("","", TRUE, IFERROR(ARRAYFORMULA(VLOOKUP(TRIM(SPLIT('Final Report'!A546, "","")), 'URL Details'!A:D, 4,"&amp;" FALSE)),"""") ), CHAR(10), "",""), ""\s*,\s*"", "",""), "",""))), TRIM(FLATTEN(SPLIT( REGEXREPLACE( SUBSTITUTE(TEXTJOIN("","", TRUE, IFERROR(ARRAYFORMULA(VLOOKUP(TRIM(SPLIT('Final Report'!A546, "","")), 'URL Details'!A:D, 4, FALSE)),"""") ), CHAR(10), """&amp;",""), ""\s*,\s*"", "",""), "","")))&lt;&gt;"""" ) ) ) ),"""")
"),"")</f>
        <v/>
      </c>
      <c r="D546" s="105"/>
      <c r="E546" s="105"/>
      <c r="F546" s="110" t="b">
        <v>0</v>
      </c>
      <c r="G546" s="105" t="str">
        <f>IF(F546=True, IFERROR(VLOOKUP(D546, Repository!A:B, 2, 0), ""), "")</f>
        <v/>
      </c>
      <c r="H546" s="105"/>
      <c r="I546" s="105"/>
      <c r="J546" s="105" t="str">
        <f>IF(F546=True, IFERROR(VLOOKUP(D546, Repository!A:C, 3, 0), ""), "")</f>
        <v/>
      </c>
      <c r="K546" s="105"/>
      <c r="L546" s="105" t="str">
        <f>IF(F546=True, IFERROR(VLOOKUP(D546, Repository!A:E, 5, 0), ""), "")</f>
        <v/>
      </c>
      <c r="M546" s="105"/>
      <c r="N546" s="105" t="str">
        <f>IF(F546=True, IFERROR(VLOOKUP(D546, Repository!A:G, 7, 0), ""), "")</f>
        <v/>
      </c>
      <c r="O546" s="105" t="str">
        <f>IFERROR(__xludf.DUMMYFUNCTION("ARRAY_CONSTRAIN(
  ARRAYFORMULA(
    IFERROR(
      LET(
        list, N546,
        arr, TRIM(SPLIT(list, "","")),
        names, XLOOKUP(
          arr,
          'Conformance Score'!A:A,
          'Conformance Score'!B:B,
          ""Not found""
      "&amp;"  ),
        TEXTJOIN("", "", TRUE, names)
      ),
      """"
    )
  ),
  1,
  1
)
"),"")</f>
        <v/>
      </c>
      <c r="P546" s="105" t="str">
        <f>IF(F546="Yes", IFERROR(VLOOKUP(D546, Repository!A:F, 6, 0), ""), "")</f>
        <v/>
      </c>
      <c r="Q546" s="105" t="str">
        <f>IF(F546="Yes", IFERROR(VLOOKUP(D546, Repository!A:I, 8, 0), ""), "")</f>
        <v/>
      </c>
      <c r="R546" s="105" t="str">
        <f>IF(F546="Yes", IFERROR(VLOOKUP(D546, Repository!A:J, 9, 0), ""), "")</f>
        <v/>
      </c>
      <c r="S546" s="105"/>
      <c r="T546" s="105"/>
      <c r="U546" s="105"/>
      <c r="V546" s="105"/>
      <c r="W546" s="105"/>
      <c r="X546" s="105"/>
      <c r="Y546" s="105"/>
      <c r="Z546" s="105"/>
      <c r="AA546" s="105"/>
      <c r="AB546" s="105"/>
      <c r="AC546" s="91"/>
      <c r="AD546" s="105"/>
      <c r="AE546" s="105"/>
      <c r="AF546" s="91"/>
      <c r="AG546" s="105"/>
      <c r="AH546" s="105"/>
      <c r="AI546" s="105" t="str">
        <f t="shared" si="1"/>
        <v/>
      </c>
      <c r="AJ546" s="108" t="str">
        <f t="shared" si="2"/>
        <v/>
      </c>
    </row>
    <row r="547" ht="15.75" customHeight="1">
      <c r="A547" s="104"/>
      <c r="B547" s="105" t="str">
        <f>IFERROR(__xludf.DUMMYFUNCTION("ARRAY_CONSTRAIN(
  ARRAYFORMULA(
    IF(
      'Final Report'!A547="""",
      """",
      TEXTJOIN(
        "", "" &amp; CHAR(10),
        TRUE,
        IFERROR(
          VLOOKUP(
            TRIM(
              SPLIT('Final Report'!A547, "","")
           "&amp;" ),
            'URL Details'!A:B,
            2,
            FALSE
          ),
          """"
        )
      )
    )
  ),
  1,
  1
)
"),"")</f>
        <v/>
      </c>
      <c r="C547" s="105" t="str">
        <f>IFERROR(__xludf.DUMMYFUNCTION("IFERROR(IF('Final Report'!A547="""","""", TEXTJOIN(CHAR(10), TRUE, ARRAYFORMULA( ""• ""&amp; FILTER( TRIM(FLATTEN(SPLIT( REGEXREPLACE( SUBSTITUTE(TEXTJOIN("","", TRUE, IFERROR(ARRAYFORMULA(VLOOKUP(TRIM(SPLIT('Final Report'!A547, "","")), 'URL Details'!A:D, 4,"&amp;" FALSE)),"""") ), CHAR(10), "",""), ""\s*,\s*"", "",""), "",""))), TRIM(FLATTEN(SPLIT( REGEXREPLACE( SUBSTITUTE(TEXTJOIN("","", TRUE, IFERROR(ARRAYFORMULA(VLOOKUP(TRIM(SPLIT('Final Report'!A547, "","")), 'URL Details'!A:D, 4, FALSE)),"""") ), CHAR(10), """&amp;",""), ""\s*,\s*"", "",""), "","")))&lt;&gt;"""" ) ) ) ),"""")
"),"")</f>
        <v/>
      </c>
      <c r="D547" s="105"/>
      <c r="E547" s="105"/>
      <c r="F547" s="110" t="b">
        <v>0</v>
      </c>
      <c r="G547" s="105" t="str">
        <f>IF(F547=True, IFERROR(VLOOKUP(D547, Repository!A:B, 2, 0), ""), "")</f>
        <v/>
      </c>
      <c r="H547" s="105"/>
      <c r="I547" s="105"/>
      <c r="J547" s="105" t="str">
        <f>IF(F547=True, IFERROR(VLOOKUP(D547, Repository!A:C, 3, 0), ""), "")</f>
        <v/>
      </c>
      <c r="K547" s="105"/>
      <c r="L547" s="105" t="str">
        <f>IF(F547=True, IFERROR(VLOOKUP(D547, Repository!A:E, 5, 0), ""), "")</f>
        <v/>
      </c>
      <c r="M547" s="105"/>
      <c r="N547" s="105" t="str">
        <f>IF(F547=True, IFERROR(VLOOKUP(D547, Repository!A:G, 7, 0), ""), "")</f>
        <v/>
      </c>
      <c r="O547" s="105" t="str">
        <f>IFERROR(__xludf.DUMMYFUNCTION("ARRAY_CONSTRAIN(
  ARRAYFORMULA(
    IFERROR(
      LET(
        list, N547,
        arr, TRIM(SPLIT(list, "","")),
        names, XLOOKUP(
          arr,
          'Conformance Score'!A:A,
          'Conformance Score'!B:B,
          ""Not found""
      "&amp;"  ),
        TEXTJOIN("", "", TRUE, names)
      ),
      """"
    )
  ),
  1,
  1
)
"),"")</f>
        <v/>
      </c>
      <c r="P547" s="105" t="str">
        <f>IF(F547="Yes", IFERROR(VLOOKUP(D547, Repository!A:F, 6, 0), ""), "")</f>
        <v/>
      </c>
      <c r="Q547" s="105" t="str">
        <f>IF(F547="Yes", IFERROR(VLOOKUP(D547, Repository!A:I, 8, 0), ""), "")</f>
        <v/>
      </c>
      <c r="R547" s="105" t="str">
        <f>IF(F547="Yes", IFERROR(VLOOKUP(D547, Repository!A:J, 9, 0), ""), "")</f>
        <v/>
      </c>
      <c r="S547" s="105"/>
      <c r="T547" s="105"/>
      <c r="U547" s="105"/>
      <c r="V547" s="105"/>
      <c r="W547" s="105"/>
      <c r="X547" s="105"/>
      <c r="Y547" s="105"/>
      <c r="Z547" s="105"/>
      <c r="AA547" s="105"/>
      <c r="AB547" s="105"/>
      <c r="AC547" s="91"/>
      <c r="AD547" s="105"/>
      <c r="AE547" s="105"/>
      <c r="AF547" s="91"/>
      <c r="AG547" s="105"/>
      <c r="AH547" s="105"/>
      <c r="AI547" s="105" t="str">
        <f t="shared" si="1"/>
        <v/>
      </c>
      <c r="AJ547" s="108" t="str">
        <f t="shared" si="2"/>
        <v/>
      </c>
    </row>
    <row r="548" ht="15.75" customHeight="1">
      <c r="A548" s="104"/>
      <c r="B548" s="105" t="str">
        <f>IFERROR(__xludf.DUMMYFUNCTION("ARRAY_CONSTRAIN(
  ARRAYFORMULA(
    IF(
      'Final Report'!A548="""",
      """",
      TEXTJOIN(
        "", "" &amp; CHAR(10),
        TRUE,
        IFERROR(
          VLOOKUP(
            TRIM(
              SPLIT('Final Report'!A548, "","")
           "&amp;" ),
            'URL Details'!A:B,
            2,
            FALSE
          ),
          """"
        )
      )
    )
  ),
  1,
  1
)
"),"")</f>
        <v/>
      </c>
      <c r="C548" s="105" t="str">
        <f>IFERROR(__xludf.DUMMYFUNCTION("IFERROR(IF('Final Report'!A548="""","""", TEXTJOIN(CHAR(10), TRUE, ARRAYFORMULA( ""• ""&amp; FILTER( TRIM(FLATTEN(SPLIT( REGEXREPLACE( SUBSTITUTE(TEXTJOIN("","", TRUE, IFERROR(ARRAYFORMULA(VLOOKUP(TRIM(SPLIT('Final Report'!A548, "","")), 'URL Details'!A:D, 4,"&amp;" FALSE)),"""") ), CHAR(10), "",""), ""\s*,\s*"", "",""), "",""))), TRIM(FLATTEN(SPLIT( REGEXREPLACE( SUBSTITUTE(TEXTJOIN("","", TRUE, IFERROR(ARRAYFORMULA(VLOOKUP(TRIM(SPLIT('Final Report'!A548, "","")), 'URL Details'!A:D, 4, FALSE)),"""") ), CHAR(10), """&amp;",""), ""\s*,\s*"", "",""), "","")))&lt;&gt;"""" ) ) ) ),"""")
"),"")</f>
        <v/>
      </c>
      <c r="D548" s="105"/>
      <c r="E548" s="105"/>
      <c r="F548" s="110" t="b">
        <v>0</v>
      </c>
      <c r="G548" s="105" t="str">
        <f>IF(F548=True, IFERROR(VLOOKUP(D548, Repository!A:B, 2, 0), ""), "")</f>
        <v/>
      </c>
      <c r="H548" s="105"/>
      <c r="I548" s="105"/>
      <c r="J548" s="105" t="str">
        <f>IF(F548=True, IFERROR(VLOOKUP(D548, Repository!A:C, 3, 0), ""), "")</f>
        <v/>
      </c>
      <c r="K548" s="105"/>
      <c r="L548" s="105" t="str">
        <f>IF(F548=True, IFERROR(VLOOKUP(D548, Repository!A:E, 5, 0), ""), "")</f>
        <v/>
      </c>
      <c r="M548" s="105"/>
      <c r="N548" s="105" t="str">
        <f>IF(F548=True, IFERROR(VLOOKUP(D548, Repository!A:G, 7, 0), ""), "")</f>
        <v/>
      </c>
      <c r="O548" s="105" t="str">
        <f>IFERROR(__xludf.DUMMYFUNCTION("ARRAY_CONSTRAIN(
  ARRAYFORMULA(
    IFERROR(
      LET(
        list, N548,
        arr, TRIM(SPLIT(list, "","")),
        names, XLOOKUP(
          arr,
          'Conformance Score'!A:A,
          'Conformance Score'!B:B,
          ""Not found""
      "&amp;"  ),
        TEXTJOIN("", "", TRUE, names)
      ),
      """"
    )
  ),
  1,
  1
)
"),"")</f>
        <v/>
      </c>
      <c r="P548" s="105" t="str">
        <f>IF(F548="Yes", IFERROR(VLOOKUP(D548, Repository!A:F, 6, 0), ""), "")</f>
        <v/>
      </c>
      <c r="Q548" s="105" t="str">
        <f>IF(F548="Yes", IFERROR(VLOOKUP(D548, Repository!A:I, 8, 0), ""), "")</f>
        <v/>
      </c>
      <c r="R548" s="105" t="str">
        <f>IF(F548="Yes", IFERROR(VLOOKUP(D548, Repository!A:J, 9, 0), ""), "")</f>
        <v/>
      </c>
      <c r="S548" s="105"/>
      <c r="T548" s="105"/>
      <c r="U548" s="105"/>
      <c r="V548" s="105"/>
      <c r="W548" s="105"/>
      <c r="X548" s="105"/>
      <c r="Y548" s="105"/>
      <c r="Z548" s="105"/>
      <c r="AA548" s="105"/>
      <c r="AB548" s="105"/>
      <c r="AC548" s="91"/>
      <c r="AD548" s="105"/>
      <c r="AE548" s="105"/>
      <c r="AF548" s="91"/>
      <c r="AG548" s="105"/>
      <c r="AH548" s="105"/>
      <c r="AI548" s="105" t="str">
        <f t="shared" si="1"/>
        <v/>
      </c>
      <c r="AJ548" s="108" t="str">
        <f t="shared" si="2"/>
        <v/>
      </c>
    </row>
    <row r="549" ht="15.75" customHeight="1">
      <c r="A549" s="104"/>
      <c r="B549" s="105" t="str">
        <f>IFERROR(__xludf.DUMMYFUNCTION("ARRAY_CONSTRAIN(
  ARRAYFORMULA(
    IF(
      'Final Report'!A549="""",
      """",
      TEXTJOIN(
        "", "" &amp; CHAR(10),
        TRUE,
        IFERROR(
          VLOOKUP(
            TRIM(
              SPLIT('Final Report'!A549, "","")
           "&amp;" ),
            'URL Details'!A:B,
            2,
            FALSE
          ),
          """"
        )
      )
    )
  ),
  1,
  1
)
"),"")</f>
        <v/>
      </c>
      <c r="C549" s="105" t="str">
        <f>IFERROR(__xludf.DUMMYFUNCTION("IFERROR(IF('Final Report'!A549="""","""", TEXTJOIN(CHAR(10), TRUE, ARRAYFORMULA( ""• ""&amp; FILTER( TRIM(FLATTEN(SPLIT( REGEXREPLACE( SUBSTITUTE(TEXTJOIN("","", TRUE, IFERROR(ARRAYFORMULA(VLOOKUP(TRIM(SPLIT('Final Report'!A549, "","")), 'URL Details'!A:D, 4,"&amp;" FALSE)),"""") ), CHAR(10), "",""), ""\s*,\s*"", "",""), "",""))), TRIM(FLATTEN(SPLIT( REGEXREPLACE( SUBSTITUTE(TEXTJOIN("","", TRUE, IFERROR(ARRAYFORMULA(VLOOKUP(TRIM(SPLIT('Final Report'!A549, "","")), 'URL Details'!A:D, 4, FALSE)),"""") ), CHAR(10), """&amp;",""), ""\s*,\s*"", "",""), "","")))&lt;&gt;"""" ) ) ) ),"""")
"),"")</f>
        <v/>
      </c>
      <c r="D549" s="105"/>
      <c r="E549" s="105"/>
      <c r="F549" s="110" t="b">
        <v>0</v>
      </c>
      <c r="G549" s="105" t="str">
        <f>IF(F549=True, IFERROR(VLOOKUP(D549, Repository!A:B, 2, 0), ""), "")</f>
        <v/>
      </c>
      <c r="H549" s="105"/>
      <c r="I549" s="105"/>
      <c r="J549" s="105" t="str">
        <f>IF(F549=True, IFERROR(VLOOKUP(D549, Repository!A:C, 3, 0), ""), "")</f>
        <v/>
      </c>
      <c r="K549" s="105"/>
      <c r="L549" s="105" t="str">
        <f>IF(F549=True, IFERROR(VLOOKUP(D549, Repository!A:E, 5, 0), ""), "")</f>
        <v/>
      </c>
      <c r="M549" s="105"/>
      <c r="N549" s="105" t="str">
        <f>IF(F549=True, IFERROR(VLOOKUP(D549, Repository!A:G, 7, 0), ""), "")</f>
        <v/>
      </c>
      <c r="O549" s="105" t="str">
        <f>IFERROR(__xludf.DUMMYFUNCTION("ARRAY_CONSTRAIN(
  ARRAYFORMULA(
    IFERROR(
      LET(
        list, N549,
        arr, TRIM(SPLIT(list, "","")),
        names, XLOOKUP(
          arr,
          'Conformance Score'!A:A,
          'Conformance Score'!B:B,
          ""Not found""
      "&amp;"  ),
        TEXTJOIN("", "", TRUE, names)
      ),
      """"
    )
  ),
  1,
  1
)
"),"")</f>
        <v/>
      </c>
      <c r="P549" s="105" t="str">
        <f>IF(F549="Yes", IFERROR(VLOOKUP(D549, Repository!A:F, 6, 0), ""), "")</f>
        <v/>
      </c>
      <c r="Q549" s="105" t="str">
        <f>IF(F549="Yes", IFERROR(VLOOKUP(D549, Repository!A:I, 8, 0), ""), "")</f>
        <v/>
      </c>
      <c r="R549" s="105" t="str">
        <f>IF(F549="Yes", IFERROR(VLOOKUP(D549, Repository!A:J, 9, 0), ""), "")</f>
        <v/>
      </c>
      <c r="S549" s="105"/>
      <c r="T549" s="105"/>
      <c r="U549" s="105"/>
      <c r="V549" s="105"/>
      <c r="W549" s="105"/>
      <c r="X549" s="105"/>
      <c r="Y549" s="105"/>
      <c r="Z549" s="105"/>
      <c r="AA549" s="105"/>
      <c r="AB549" s="105"/>
      <c r="AC549" s="91"/>
      <c r="AD549" s="105"/>
      <c r="AE549" s="105"/>
      <c r="AF549" s="91"/>
      <c r="AG549" s="105"/>
      <c r="AH549" s="105"/>
      <c r="AI549" s="105" t="str">
        <f t="shared" si="1"/>
        <v/>
      </c>
      <c r="AJ549" s="108" t="str">
        <f t="shared" si="2"/>
        <v/>
      </c>
    </row>
    <row r="550" ht="15.75" customHeight="1">
      <c r="A550" s="104"/>
      <c r="B550" s="105" t="str">
        <f>IFERROR(__xludf.DUMMYFUNCTION("ARRAY_CONSTRAIN(
  ARRAYFORMULA(
    IF(
      'Final Report'!A550="""",
      """",
      TEXTJOIN(
        "", "" &amp; CHAR(10),
        TRUE,
        IFERROR(
          VLOOKUP(
            TRIM(
              SPLIT('Final Report'!A550, "","")
           "&amp;" ),
            'URL Details'!A:B,
            2,
            FALSE
          ),
          """"
        )
      )
    )
  ),
  1,
  1
)
"),"")</f>
        <v/>
      </c>
      <c r="C550" s="105" t="str">
        <f>IFERROR(__xludf.DUMMYFUNCTION("IFERROR(IF('Final Report'!A550="""","""", TEXTJOIN(CHAR(10), TRUE, ARRAYFORMULA( ""• ""&amp; FILTER( TRIM(FLATTEN(SPLIT( REGEXREPLACE( SUBSTITUTE(TEXTJOIN("","", TRUE, IFERROR(ARRAYFORMULA(VLOOKUP(TRIM(SPLIT('Final Report'!A550, "","")), 'URL Details'!A:D, 4,"&amp;" FALSE)),"""") ), CHAR(10), "",""), ""\s*,\s*"", "",""), "",""))), TRIM(FLATTEN(SPLIT( REGEXREPLACE( SUBSTITUTE(TEXTJOIN("","", TRUE, IFERROR(ARRAYFORMULA(VLOOKUP(TRIM(SPLIT('Final Report'!A550, "","")), 'URL Details'!A:D, 4, FALSE)),"""") ), CHAR(10), """&amp;",""), ""\s*,\s*"", "",""), "","")))&lt;&gt;"""" ) ) ) ),"""")
"),"")</f>
        <v/>
      </c>
      <c r="D550" s="105"/>
      <c r="E550" s="105"/>
      <c r="F550" s="110" t="b">
        <v>0</v>
      </c>
      <c r="G550" s="105" t="str">
        <f>IF(F550=True, IFERROR(VLOOKUP(D550, Repository!A:B, 2, 0), ""), "")</f>
        <v/>
      </c>
      <c r="H550" s="105"/>
      <c r="I550" s="105"/>
      <c r="J550" s="105" t="str">
        <f>IF(F550=True, IFERROR(VLOOKUP(D550, Repository!A:C, 3, 0), ""), "")</f>
        <v/>
      </c>
      <c r="K550" s="105"/>
      <c r="L550" s="105" t="str">
        <f>IF(F550=True, IFERROR(VLOOKUP(D550, Repository!A:E, 5, 0), ""), "")</f>
        <v/>
      </c>
      <c r="M550" s="105"/>
      <c r="N550" s="105" t="str">
        <f>IF(F550=True, IFERROR(VLOOKUP(D550, Repository!A:G, 7, 0), ""), "")</f>
        <v/>
      </c>
      <c r="O550" s="105" t="str">
        <f>IFERROR(__xludf.DUMMYFUNCTION("ARRAY_CONSTRAIN(
  ARRAYFORMULA(
    IFERROR(
      LET(
        list, N550,
        arr, TRIM(SPLIT(list, "","")),
        names, XLOOKUP(
          arr,
          'Conformance Score'!A:A,
          'Conformance Score'!B:B,
          ""Not found""
      "&amp;"  ),
        TEXTJOIN("", "", TRUE, names)
      ),
      """"
    )
  ),
  1,
  1
)
"),"")</f>
        <v/>
      </c>
      <c r="P550" s="105" t="str">
        <f>IF(F550="Yes", IFERROR(VLOOKUP(D550, Repository!A:F, 6, 0), ""), "")</f>
        <v/>
      </c>
      <c r="Q550" s="105" t="str">
        <f>IF(F550="Yes", IFERROR(VLOOKUP(D550, Repository!A:I, 8, 0), ""), "")</f>
        <v/>
      </c>
      <c r="R550" s="105" t="str">
        <f>IF(F550="Yes", IFERROR(VLOOKUP(D550, Repository!A:J, 9, 0), ""), "")</f>
        <v/>
      </c>
      <c r="S550" s="105"/>
      <c r="T550" s="105"/>
      <c r="U550" s="105"/>
      <c r="V550" s="105"/>
      <c r="W550" s="105"/>
      <c r="X550" s="105"/>
      <c r="Y550" s="105"/>
      <c r="Z550" s="105"/>
      <c r="AA550" s="105"/>
      <c r="AB550" s="105"/>
      <c r="AC550" s="91"/>
      <c r="AD550" s="105"/>
      <c r="AE550" s="105"/>
      <c r="AF550" s="91"/>
      <c r="AG550" s="105"/>
      <c r="AH550" s="105"/>
      <c r="AI550" s="105" t="str">
        <f t="shared" si="1"/>
        <v/>
      </c>
      <c r="AJ550" s="108" t="str">
        <f t="shared" si="2"/>
        <v/>
      </c>
    </row>
    <row r="551" ht="15.75" customHeight="1">
      <c r="A551" s="104"/>
      <c r="B551" s="105" t="str">
        <f>IFERROR(__xludf.DUMMYFUNCTION("ARRAY_CONSTRAIN(
  ARRAYFORMULA(
    IF(
      'Final Report'!A551="""",
      """",
      TEXTJOIN(
        "", "" &amp; CHAR(10),
        TRUE,
        IFERROR(
          VLOOKUP(
            TRIM(
              SPLIT('Final Report'!A551, "","")
           "&amp;" ),
            'URL Details'!A:B,
            2,
            FALSE
          ),
          """"
        )
      )
    )
  ),
  1,
  1
)
"),"")</f>
        <v/>
      </c>
      <c r="C551" s="105" t="str">
        <f>IFERROR(__xludf.DUMMYFUNCTION("IFERROR(IF('Final Report'!A551="""","""", TEXTJOIN(CHAR(10), TRUE, ARRAYFORMULA( ""• ""&amp; FILTER( TRIM(FLATTEN(SPLIT( REGEXREPLACE( SUBSTITUTE(TEXTJOIN("","", TRUE, IFERROR(ARRAYFORMULA(VLOOKUP(TRIM(SPLIT('Final Report'!A551, "","")), 'URL Details'!A:D, 4,"&amp;" FALSE)),"""") ), CHAR(10), "",""), ""\s*,\s*"", "",""), "",""))), TRIM(FLATTEN(SPLIT( REGEXREPLACE( SUBSTITUTE(TEXTJOIN("","", TRUE, IFERROR(ARRAYFORMULA(VLOOKUP(TRIM(SPLIT('Final Report'!A551, "","")), 'URL Details'!A:D, 4, FALSE)),"""") ), CHAR(10), """&amp;",""), ""\s*,\s*"", "",""), "","")))&lt;&gt;"""" ) ) ) ),"""")
"),"")</f>
        <v/>
      </c>
      <c r="D551" s="105"/>
      <c r="E551" s="105"/>
      <c r="F551" s="110" t="b">
        <v>0</v>
      </c>
      <c r="G551" s="105" t="str">
        <f>IF(F551=True, IFERROR(VLOOKUP(D551, Repository!A:B, 2, 0), ""), "")</f>
        <v/>
      </c>
      <c r="H551" s="105"/>
      <c r="I551" s="105"/>
      <c r="J551" s="105" t="str">
        <f>IF(F551=True, IFERROR(VLOOKUP(D551, Repository!A:C, 3, 0), ""), "")</f>
        <v/>
      </c>
      <c r="K551" s="105"/>
      <c r="L551" s="105" t="str">
        <f>IF(F551=True, IFERROR(VLOOKUP(D551, Repository!A:E, 5, 0), ""), "")</f>
        <v/>
      </c>
      <c r="M551" s="105"/>
      <c r="N551" s="105" t="str">
        <f>IF(F551=True, IFERROR(VLOOKUP(D551, Repository!A:G, 7, 0), ""), "")</f>
        <v/>
      </c>
      <c r="O551" s="105" t="str">
        <f>IFERROR(__xludf.DUMMYFUNCTION("ARRAY_CONSTRAIN(
  ARRAYFORMULA(
    IFERROR(
      LET(
        list, N551,
        arr, TRIM(SPLIT(list, "","")),
        names, XLOOKUP(
          arr,
          'Conformance Score'!A:A,
          'Conformance Score'!B:B,
          ""Not found""
      "&amp;"  ),
        TEXTJOIN("", "", TRUE, names)
      ),
      """"
    )
  ),
  1,
  1
)
"),"")</f>
        <v/>
      </c>
      <c r="P551" s="105" t="str">
        <f>IF(F551="Yes", IFERROR(VLOOKUP(D551, Repository!A:F, 6, 0), ""), "")</f>
        <v/>
      </c>
      <c r="Q551" s="105" t="str">
        <f>IF(F551="Yes", IFERROR(VLOOKUP(D551, Repository!A:I, 8, 0), ""), "")</f>
        <v/>
      </c>
      <c r="R551" s="105" t="str">
        <f>IF(F551="Yes", IFERROR(VLOOKUP(D551, Repository!A:J, 9, 0), ""), "")</f>
        <v/>
      </c>
      <c r="S551" s="105"/>
      <c r="T551" s="105"/>
      <c r="U551" s="105"/>
      <c r="V551" s="105"/>
      <c r="W551" s="105"/>
      <c r="X551" s="105"/>
      <c r="Y551" s="105"/>
      <c r="Z551" s="105"/>
      <c r="AA551" s="105"/>
      <c r="AB551" s="105"/>
      <c r="AC551" s="91"/>
      <c r="AD551" s="105"/>
      <c r="AE551" s="105"/>
      <c r="AF551" s="91"/>
      <c r="AG551" s="105"/>
      <c r="AH551" s="105"/>
      <c r="AI551" s="105" t="str">
        <f t="shared" si="1"/>
        <v/>
      </c>
      <c r="AJ551" s="108" t="str">
        <f t="shared" si="2"/>
        <v/>
      </c>
    </row>
    <row r="552" ht="15.75" customHeight="1">
      <c r="A552" s="104"/>
      <c r="B552" s="105" t="str">
        <f>IFERROR(__xludf.DUMMYFUNCTION("ARRAY_CONSTRAIN(
  ARRAYFORMULA(
    IF(
      'Final Report'!A552="""",
      """",
      TEXTJOIN(
        "", "" &amp; CHAR(10),
        TRUE,
        IFERROR(
          VLOOKUP(
            TRIM(
              SPLIT('Final Report'!A552, "","")
           "&amp;" ),
            'URL Details'!A:B,
            2,
            FALSE
          ),
          """"
        )
      )
    )
  ),
  1,
  1
)
"),"")</f>
        <v/>
      </c>
      <c r="C552" s="105" t="str">
        <f>IFERROR(__xludf.DUMMYFUNCTION("IFERROR(IF('Final Report'!A552="""","""", TEXTJOIN(CHAR(10), TRUE, ARRAYFORMULA( ""• ""&amp; FILTER( TRIM(FLATTEN(SPLIT( REGEXREPLACE( SUBSTITUTE(TEXTJOIN("","", TRUE, IFERROR(ARRAYFORMULA(VLOOKUP(TRIM(SPLIT('Final Report'!A552, "","")), 'URL Details'!A:D, 4,"&amp;" FALSE)),"""") ), CHAR(10), "",""), ""\s*,\s*"", "",""), "",""))), TRIM(FLATTEN(SPLIT( REGEXREPLACE( SUBSTITUTE(TEXTJOIN("","", TRUE, IFERROR(ARRAYFORMULA(VLOOKUP(TRIM(SPLIT('Final Report'!A552, "","")), 'URL Details'!A:D, 4, FALSE)),"""") ), CHAR(10), """&amp;",""), ""\s*,\s*"", "",""), "","")))&lt;&gt;"""" ) ) ) ),"""")
"),"")</f>
        <v/>
      </c>
      <c r="D552" s="105"/>
      <c r="E552" s="105"/>
      <c r="F552" s="110" t="b">
        <v>0</v>
      </c>
      <c r="G552" s="105" t="str">
        <f>IF(F552=True, IFERROR(VLOOKUP(D552, Repository!A:B, 2, 0), ""), "")</f>
        <v/>
      </c>
      <c r="H552" s="105"/>
      <c r="I552" s="105"/>
      <c r="J552" s="105" t="str">
        <f>IF(F552=True, IFERROR(VLOOKUP(D552, Repository!A:C, 3, 0), ""), "")</f>
        <v/>
      </c>
      <c r="K552" s="105"/>
      <c r="L552" s="105" t="str">
        <f>IF(F552=True, IFERROR(VLOOKUP(D552, Repository!A:E, 5, 0), ""), "")</f>
        <v/>
      </c>
      <c r="M552" s="105"/>
      <c r="N552" s="105" t="str">
        <f>IF(F552=True, IFERROR(VLOOKUP(D552, Repository!A:G, 7, 0), ""), "")</f>
        <v/>
      </c>
      <c r="O552" s="105" t="str">
        <f>IFERROR(__xludf.DUMMYFUNCTION("ARRAY_CONSTRAIN(
  ARRAYFORMULA(
    IFERROR(
      LET(
        list, N552,
        arr, TRIM(SPLIT(list, "","")),
        names, XLOOKUP(
          arr,
          'Conformance Score'!A:A,
          'Conformance Score'!B:B,
          ""Not found""
      "&amp;"  ),
        TEXTJOIN("", "", TRUE, names)
      ),
      """"
    )
  ),
  1,
  1
)
"),"")</f>
        <v/>
      </c>
      <c r="P552" s="105" t="str">
        <f>IF(F552="Yes", IFERROR(VLOOKUP(D552, Repository!A:F, 6, 0), ""), "")</f>
        <v/>
      </c>
      <c r="Q552" s="105" t="str">
        <f>IF(F552="Yes", IFERROR(VLOOKUP(D552, Repository!A:I, 8, 0), ""), "")</f>
        <v/>
      </c>
      <c r="R552" s="105" t="str">
        <f>IF(F552="Yes", IFERROR(VLOOKUP(D552, Repository!A:J, 9, 0), ""), "")</f>
        <v/>
      </c>
      <c r="S552" s="105"/>
      <c r="T552" s="105"/>
      <c r="U552" s="105"/>
      <c r="V552" s="105"/>
      <c r="W552" s="105"/>
      <c r="X552" s="105"/>
      <c r="Y552" s="105"/>
      <c r="Z552" s="105"/>
      <c r="AA552" s="105"/>
      <c r="AB552" s="105"/>
      <c r="AC552" s="91"/>
      <c r="AD552" s="105"/>
      <c r="AE552" s="105"/>
      <c r="AF552" s="91"/>
      <c r="AG552" s="105"/>
      <c r="AH552" s="105"/>
      <c r="AI552" s="105" t="str">
        <f t="shared" si="1"/>
        <v/>
      </c>
      <c r="AJ552" s="108" t="str">
        <f t="shared" si="2"/>
        <v/>
      </c>
    </row>
    <row r="553" ht="15.75" customHeight="1">
      <c r="A553" s="104"/>
      <c r="B553" s="105" t="str">
        <f>IFERROR(__xludf.DUMMYFUNCTION("ARRAY_CONSTRAIN(
  ARRAYFORMULA(
    IF(
      'Final Report'!A553="""",
      """",
      TEXTJOIN(
        "", "" &amp; CHAR(10),
        TRUE,
        IFERROR(
          VLOOKUP(
            TRIM(
              SPLIT('Final Report'!A553, "","")
           "&amp;" ),
            'URL Details'!A:B,
            2,
            FALSE
          ),
          """"
        )
      )
    )
  ),
  1,
  1
)
"),"")</f>
        <v/>
      </c>
      <c r="C553" s="105" t="str">
        <f>IFERROR(__xludf.DUMMYFUNCTION("IFERROR(IF('Final Report'!A553="""","""", TEXTJOIN(CHAR(10), TRUE, ARRAYFORMULA( ""• ""&amp; FILTER( TRIM(FLATTEN(SPLIT( REGEXREPLACE( SUBSTITUTE(TEXTJOIN("","", TRUE, IFERROR(ARRAYFORMULA(VLOOKUP(TRIM(SPLIT('Final Report'!A553, "","")), 'URL Details'!A:D, 4,"&amp;" FALSE)),"""") ), CHAR(10), "",""), ""\s*,\s*"", "",""), "",""))), TRIM(FLATTEN(SPLIT( REGEXREPLACE( SUBSTITUTE(TEXTJOIN("","", TRUE, IFERROR(ARRAYFORMULA(VLOOKUP(TRIM(SPLIT('Final Report'!A553, "","")), 'URL Details'!A:D, 4, FALSE)),"""") ), CHAR(10), """&amp;",""), ""\s*,\s*"", "",""), "","")))&lt;&gt;"""" ) ) ) ),"""")
"),"")</f>
        <v/>
      </c>
      <c r="D553" s="105"/>
      <c r="E553" s="105"/>
      <c r="F553" s="110" t="b">
        <v>0</v>
      </c>
      <c r="G553" s="105" t="str">
        <f>IF(F553=True, IFERROR(VLOOKUP(D553, Repository!A:B, 2, 0), ""), "")</f>
        <v/>
      </c>
      <c r="H553" s="105"/>
      <c r="I553" s="105"/>
      <c r="J553" s="105" t="str">
        <f>IF(F553=True, IFERROR(VLOOKUP(D553, Repository!A:C, 3, 0), ""), "")</f>
        <v/>
      </c>
      <c r="K553" s="105"/>
      <c r="L553" s="105" t="str">
        <f>IF(F553=True, IFERROR(VLOOKUP(D553, Repository!A:E, 5, 0), ""), "")</f>
        <v/>
      </c>
      <c r="M553" s="105"/>
      <c r="N553" s="105" t="str">
        <f>IF(F553=True, IFERROR(VLOOKUP(D553, Repository!A:G, 7, 0), ""), "")</f>
        <v/>
      </c>
      <c r="O553" s="105" t="str">
        <f>IFERROR(__xludf.DUMMYFUNCTION("ARRAY_CONSTRAIN(
  ARRAYFORMULA(
    IFERROR(
      LET(
        list, N553,
        arr, TRIM(SPLIT(list, "","")),
        names, XLOOKUP(
          arr,
          'Conformance Score'!A:A,
          'Conformance Score'!B:B,
          ""Not found""
      "&amp;"  ),
        TEXTJOIN("", "", TRUE, names)
      ),
      """"
    )
  ),
  1,
  1
)
"),"")</f>
        <v/>
      </c>
      <c r="P553" s="105" t="str">
        <f>IF(F553="Yes", IFERROR(VLOOKUP(D553, Repository!A:F, 6, 0), ""), "")</f>
        <v/>
      </c>
      <c r="Q553" s="105" t="str">
        <f>IF(F553="Yes", IFERROR(VLOOKUP(D553, Repository!A:I, 8, 0), ""), "")</f>
        <v/>
      </c>
      <c r="R553" s="105" t="str">
        <f>IF(F553="Yes", IFERROR(VLOOKUP(D553, Repository!A:J, 9, 0), ""), "")</f>
        <v/>
      </c>
      <c r="S553" s="105"/>
      <c r="T553" s="105"/>
      <c r="U553" s="105"/>
      <c r="V553" s="105"/>
      <c r="W553" s="105"/>
      <c r="X553" s="105"/>
      <c r="Y553" s="105"/>
      <c r="Z553" s="105"/>
      <c r="AA553" s="105"/>
      <c r="AB553" s="105"/>
      <c r="AC553" s="91"/>
      <c r="AD553" s="105"/>
      <c r="AE553" s="105"/>
      <c r="AF553" s="91"/>
      <c r="AG553" s="105"/>
      <c r="AH553" s="105"/>
      <c r="AI553" s="105" t="str">
        <f t="shared" si="1"/>
        <v/>
      </c>
      <c r="AJ553" s="108" t="str">
        <f t="shared" si="2"/>
        <v/>
      </c>
    </row>
    <row r="554" ht="15.75" customHeight="1">
      <c r="A554" s="104"/>
      <c r="B554" s="105" t="str">
        <f>IFERROR(__xludf.DUMMYFUNCTION("ARRAY_CONSTRAIN(
  ARRAYFORMULA(
    IF(
      'Final Report'!A554="""",
      """",
      TEXTJOIN(
        "", "" &amp; CHAR(10),
        TRUE,
        IFERROR(
          VLOOKUP(
            TRIM(
              SPLIT('Final Report'!A554, "","")
           "&amp;" ),
            'URL Details'!A:B,
            2,
            FALSE
          ),
          """"
        )
      )
    )
  ),
  1,
  1
)
"),"")</f>
        <v/>
      </c>
      <c r="C554" s="105" t="str">
        <f>IFERROR(__xludf.DUMMYFUNCTION("IFERROR(IF('Final Report'!A554="""","""", TEXTJOIN(CHAR(10), TRUE, ARRAYFORMULA( ""• ""&amp; FILTER( TRIM(FLATTEN(SPLIT( REGEXREPLACE( SUBSTITUTE(TEXTJOIN("","", TRUE, IFERROR(ARRAYFORMULA(VLOOKUP(TRIM(SPLIT('Final Report'!A554, "","")), 'URL Details'!A:D, 4,"&amp;" FALSE)),"""") ), CHAR(10), "",""), ""\s*,\s*"", "",""), "",""))), TRIM(FLATTEN(SPLIT( REGEXREPLACE( SUBSTITUTE(TEXTJOIN("","", TRUE, IFERROR(ARRAYFORMULA(VLOOKUP(TRIM(SPLIT('Final Report'!A554, "","")), 'URL Details'!A:D, 4, FALSE)),"""") ), CHAR(10), """&amp;",""), ""\s*,\s*"", "",""), "","")))&lt;&gt;"""" ) ) ) ),"""")
"),"")</f>
        <v/>
      </c>
      <c r="D554" s="105"/>
      <c r="E554" s="105"/>
      <c r="F554" s="110" t="b">
        <v>0</v>
      </c>
      <c r="G554" s="105" t="str">
        <f>IF(F554=True, IFERROR(VLOOKUP(D554, Repository!A:B, 2, 0), ""), "")</f>
        <v/>
      </c>
      <c r="H554" s="105"/>
      <c r="I554" s="105"/>
      <c r="J554" s="105" t="str">
        <f>IF(F554=True, IFERROR(VLOOKUP(D554, Repository!A:C, 3, 0), ""), "")</f>
        <v/>
      </c>
      <c r="K554" s="105"/>
      <c r="L554" s="105" t="str">
        <f>IF(F554=True, IFERROR(VLOOKUP(D554, Repository!A:E, 5, 0), ""), "")</f>
        <v/>
      </c>
      <c r="M554" s="105"/>
      <c r="N554" s="105" t="str">
        <f>IF(F554=True, IFERROR(VLOOKUP(D554, Repository!A:G, 7, 0), ""), "")</f>
        <v/>
      </c>
      <c r="O554" s="105" t="str">
        <f>IFERROR(__xludf.DUMMYFUNCTION("ARRAY_CONSTRAIN(
  ARRAYFORMULA(
    IFERROR(
      LET(
        list, N554,
        arr, TRIM(SPLIT(list, "","")),
        names, XLOOKUP(
          arr,
          'Conformance Score'!A:A,
          'Conformance Score'!B:B,
          ""Not found""
      "&amp;"  ),
        TEXTJOIN("", "", TRUE, names)
      ),
      """"
    )
  ),
  1,
  1
)
"),"")</f>
        <v/>
      </c>
      <c r="P554" s="105" t="str">
        <f>IF(F554="Yes", IFERROR(VLOOKUP(D554, Repository!A:F, 6, 0), ""), "")</f>
        <v/>
      </c>
      <c r="Q554" s="105" t="str">
        <f>IF(F554="Yes", IFERROR(VLOOKUP(D554, Repository!A:I, 8, 0), ""), "")</f>
        <v/>
      </c>
      <c r="R554" s="105" t="str">
        <f>IF(F554="Yes", IFERROR(VLOOKUP(D554, Repository!A:J, 9, 0), ""), "")</f>
        <v/>
      </c>
      <c r="S554" s="105"/>
      <c r="T554" s="105"/>
      <c r="U554" s="105"/>
      <c r="V554" s="105"/>
      <c r="W554" s="105"/>
      <c r="X554" s="105"/>
      <c r="Y554" s="105"/>
      <c r="Z554" s="105"/>
      <c r="AA554" s="105"/>
      <c r="AB554" s="105"/>
      <c r="AC554" s="91"/>
      <c r="AD554" s="105"/>
      <c r="AE554" s="105"/>
      <c r="AF554" s="91"/>
      <c r="AG554" s="105"/>
      <c r="AH554" s="105"/>
      <c r="AI554" s="105" t="str">
        <f t="shared" si="1"/>
        <v/>
      </c>
      <c r="AJ554" s="108" t="str">
        <f t="shared" si="2"/>
        <v/>
      </c>
    </row>
    <row r="555" ht="15.75" customHeight="1">
      <c r="A555" s="104"/>
      <c r="B555" s="105" t="str">
        <f>IFERROR(__xludf.DUMMYFUNCTION("ARRAY_CONSTRAIN(
  ARRAYFORMULA(
    IF(
      'Final Report'!A555="""",
      """",
      TEXTJOIN(
        "", "" &amp; CHAR(10),
        TRUE,
        IFERROR(
          VLOOKUP(
            TRIM(
              SPLIT('Final Report'!A555, "","")
           "&amp;" ),
            'URL Details'!A:B,
            2,
            FALSE
          ),
          """"
        )
      )
    )
  ),
  1,
  1
)
"),"")</f>
        <v/>
      </c>
      <c r="C555" s="105" t="str">
        <f>IFERROR(__xludf.DUMMYFUNCTION("IFERROR(IF('Final Report'!A555="""","""", TEXTJOIN(CHAR(10), TRUE, ARRAYFORMULA( ""• ""&amp; FILTER( TRIM(FLATTEN(SPLIT( REGEXREPLACE( SUBSTITUTE(TEXTJOIN("","", TRUE, IFERROR(ARRAYFORMULA(VLOOKUP(TRIM(SPLIT('Final Report'!A555, "","")), 'URL Details'!A:D, 4,"&amp;" FALSE)),"""") ), CHAR(10), "",""), ""\s*,\s*"", "",""), "",""))), TRIM(FLATTEN(SPLIT( REGEXREPLACE( SUBSTITUTE(TEXTJOIN("","", TRUE, IFERROR(ARRAYFORMULA(VLOOKUP(TRIM(SPLIT('Final Report'!A555, "","")), 'URL Details'!A:D, 4, FALSE)),"""") ), CHAR(10), """&amp;",""), ""\s*,\s*"", "",""), "","")))&lt;&gt;"""" ) ) ) ),"""")
"),"")</f>
        <v/>
      </c>
      <c r="D555" s="105"/>
      <c r="E555" s="105"/>
      <c r="F555" s="110" t="b">
        <v>0</v>
      </c>
      <c r="G555" s="105" t="str">
        <f>IF(F555=True, IFERROR(VLOOKUP(D555, Repository!A:B, 2, 0), ""), "")</f>
        <v/>
      </c>
      <c r="H555" s="105"/>
      <c r="I555" s="105"/>
      <c r="J555" s="105" t="str">
        <f>IF(F555=True, IFERROR(VLOOKUP(D555, Repository!A:C, 3, 0), ""), "")</f>
        <v/>
      </c>
      <c r="K555" s="105"/>
      <c r="L555" s="105" t="str">
        <f>IF(F555=True, IFERROR(VLOOKUP(D555, Repository!A:E, 5, 0), ""), "")</f>
        <v/>
      </c>
      <c r="M555" s="105"/>
      <c r="N555" s="105" t="str">
        <f>IF(F555=True, IFERROR(VLOOKUP(D555, Repository!A:G, 7, 0), ""), "")</f>
        <v/>
      </c>
      <c r="O555" s="105" t="str">
        <f>IFERROR(__xludf.DUMMYFUNCTION("ARRAY_CONSTRAIN(
  ARRAYFORMULA(
    IFERROR(
      LET(
        list, N555,
        arr, TRIM(SPLIT(list, "","")),
        names, XLOOKUP(
          arr,
          'Conformance Score'!A:A,
          'Conformance Score'!B:B,
          ""Not found""
      "&amp;"  ),
        TEXTJOIN("", "", TRUE, names)
      ),
      """"
    )
  ),
  1,
  1
)
"),"")</f>
        <v/>
      </c>
      <c r="P555" s="105" t="str">
        <f>IF(F555="Yes", IFERROR(VLOOKUP(D555, Repository!A:F, 6, 0), ""), "")</f>
        <v/>
      </c>
      <c r="Q555" s="105" t="str">
        <f>IF(F555="Yes", IFERROR(VLOOKUP(D555, Repository!A:I, 8, 0), ""), "")</f>
        <v/>
      </c>
      <c r="R555" s="105" t="str">
        <f>IF(F555="Yes", IFERROR(VLOOKUP(D555, Repository!A:J, 9, 0), ""), "")</f>
        <v/>
      </c>
      <c r="S555" s="105"/>
      <c r="T555" s="105"/>
      <c r="U555" s="105"/>
      <c r="V555" s="105"/>
      <c r="W555" s="105"/>
      <c r="X555" s="105"/>
      <c r="Y555" s="105"/>
      <c r="Z555" s="105"/>
      <c r="AA555" s="105"/>
      <c r="AB555" s="105"/>
      <c r="AC555" s="91"/>
      <c r="AD555" s="105"/>
      <c r="AE555" s="105"/>
      <c r="AF555" s="91"/>
      <c r="AG555" s="105"/>
      <c r="AH555" s="105"/>
      <c r="AI555" s="105" t="str">
        <f t="shared" si="1"/>
        <v/>
      </c>
      <c r="AJ555" s="108" t="str">
        <f t="shared" si="2"/>
        <v/>
      </c>
    </row>
    <row r="556" ht="15.75" customHeight="1">
      <c r="A556" s="104"/>
      <c r="B556" s="105" t="str">
        <f>IFERROR(__xludf.DUMMYFUNCTION("ARRAY_CONSTRAIN(
  ARRAYFORMULA(
    IF(
      'Final Report'!A556="""",
      """",
      TEXTJOIN(
        "", "" &amp; CHAR(10),
        TRUE,
        IFERROR(
          VLOOKUP(
            TRIM(
              SPLIT('Final Report'!A556, "","")
           "&amp;" ),
            'URL Details'!A:B,
            2,
            FALSE
          ),
          """"
        )
      )
    )
  ),
  1,
  1
)
"),"")</f>
        <v/>
      </c>
      <c r="C556" s="105" t="str">
        <f>IFERROR(__xludf.DUMMYFUNCTION("IFERROR(IF('Final Report'!A556="""","""", TEXTJOIN(CHAR(10), TRUE, ARRAYFORMULA( ""• ""&amp; FILTER( TRIM(FLATTEN(SPLIT( REGEXREPLACE( SUBSTITUTE(TEXTJOIN("","", TRUE, IFERROR(ARRAYFORMULA(VLOOKUP(TRIM(SPLIT('Final Report'!A556, "","")), 'URL Details'!A:D, 4,"&amp;" FALSE)),"""") ), CHAR(10), "",""), ""\s*,\s*"", "",""), "",""))), TRIM(FLATTEN(SPLIT( REGEXREPLACE( SUBSTITUTE(TEXTJOIN("","", TRUE, IFERROR(ARRAYFORMULA(VLOOKUP(TRIM(SPLIT('Final Report'!A556, "","")), 'URL Details'!A:D, 4, FALSE)),"""") ), CHAR(10), """&amp;",""), ""\s*,\s*"", "",""), "","")))&lt;&gt;"""" ) ) ) ),"""")
"),"")</f>
        <v/>
      </c>
      <c r="D556" s="105"/>
      <c r="E556" s="105"/>
      <c r="F556" s="110" t="b">
        <v>0</v>
      </c>
      <c r="G556" s="105" t="str">
        <f>IF(F556=True, IFERROR(VLOOKUP(D556, Repository!A:B, 2, 0), ""), "")</f>
        <v/>
      </c>
      <c r="H556" s="105"/>
      <c r="I556" s="105"/>
      <c r="J556" s="105" t="str">
        <f>IF(F556=True, IFERROR(VLOOKUP(D556, Repository!A:C, 3, 0), ""), "")</f>
        <v/>
      </c>
      <c r="K556" s="105"/>
      <c r="L556" s="105" t="str">
        <f>IF(F556=True, IFERROR(VLOOKUP(D556, Repository!A:E, 5, 0), ""), "")</f>
        <v/>
      </c>
      <c r="M556" s="105"/>
      <c r="N556" s="105" t="str">
        <f>IF(F556=True, IFERROR(VLOOKUP(D556, Repository!A:G, 7, 0), ""), "")</f>
        <v/>
      </c>
      <c r="O556" s="105" t="str">
        <f>IFERROR(__xludf.DUMMYFUNCTION("ARRAY_CONSTRAIN(
  ARRAYFORMULA(
    IFERROR(
      LET(
        list, N556,
        arr, TRIM(SPLIT(list, "","")),
        names, XLOOKUP(
          arr,
          'Conformance Score'!A:A,
          'Conformance Score'!B:B,
          ""Not found""
      "&amp;"  ),
        TEXTJOIN("", "", TRUE, names)
      ),
      """"
    )
  ),
  1,
  1
)
"),"")</f>
        <v/>
      </c>
      <c r="P556" s="105" t="str">
        <f>IF(F556="Yes", IFERROR(VLOOKUP(D556, Repository!A:F, 6, 0), ""), "")</f>
        <v/>
      </c>
      <c r="Q556" s="105" t="str">
        <f>IF(F556="Yes", IFERROR(VLOOKUP(D556, Repository!A:I, 8, 0), ""), "")</f>
        <v/>
      </c>
      <c r="R556" s="105" t="str">
        <f>IF(F556="Yes", IFERROR(VLOOKUP(D556, Repository!A:J, 9, 0), ""), "")</f>
        <v/>
      </c>
      <c r="S556" s="105"/>
      <c r="T556" s="105"/>
      <c r="U556" s="105"/>
      <c r="V556" s="105"/>
      <c r="W556" s="105"/>
      <c r="X556" s="105"/>
      <c r="Y556" s="105"/>
      <c r="Z556" s="105"/>
      <c r="AA556" s="105"/>
      <c r="AB556" s="105"/>
      <c r="AC556" s="91"/>
      <c r="AD556" s="105"/>
      <c r="AE556" s="105"/>
      <c r="AF556" s="91"/>
      <c r="AG556" s="105"/>
      <c r="AH556" s="105"/>
      <c r="AI556" s="105" t="str">
        <f t="shared" si="1"/>
        <v/>
      </c>
      <c r="AJ556" s="108" t="str">
        <f t="shared" si="2"/>
        <v/>
      </c>
    </row>
    <row r="557" ht="15.75" customHeight="1">
      <c r="A557" s="104"/>
      <c r="B557" s="105" t="str">
        <f>IFERROR(__xludf.DUMMYFUNCTION("ARRAY_CONSTRAIN(
  ARRAYFORMULA(
    IF(
      'Final Report'!A557="""",
      """",
      TEXTJOIN(
        "", "" &amp; CHAR(10),
        TRUE,
        IFERROR(
          VLOOKUP(
            TRIM(
              SPLIT('Final Report'!A557, "","")
           "&amp;" ),
            'URL Details'!A:B,
            2,
            FALSE
          ),
          """"
        )
      )
    )
  ),
  1,
  1
)
"),"")</f>
        <v/>
      </c>
      <c r="C557" s="105" t="str">
        <f>IFERROR(__xludf.DUMMYFUNCTION("IFERROR(IF('Final Report'!A557="""","""", TEXTJOIN(CHAR(10), TRUE, ARRAYFORMULA( ""• ""&amp; FILTER( TRIM(FLATTEN(SPLIT( REGEXREPLACE( SUBSTITUTE(TEXTJOIN("","", TRUE, IFERROR(ARRAYFORMULA(VLOOKUP(TRIM(SPLIT('Final Report'!A557, "","")), 'URL Details'!A:D, 4,"&amp;" FALSE)),"""") ), CHAR(10), "",""), ""\s*,\s*"", "",""), "",""))), TRIM(FLATTEN(SPLIT( REGEXREPLACE( SUBSTITUTE(TEXTJOIN("","", TRUE, IFERROR(ARRAYFORMULA(VLOOKUP(TRIM(SPLIT('Final Report'!A557, "","")), 'URL Details'!A:D, 4, FALSE)),"""") ), CHAR(10), """&amp;",""), ""\s*,\s*"", "",""), "","")))&lt;&gt;"""" ) ) ) ),"""")
"),"")</f>
        <v/>
      </c>
      <c r="D557" s="105"/>
      <c r="E557" s="105"/>
      <c r="F557" s="110" t="b">
        <v>0</v>
      </c>
      <c r="G557" s="105" t="str">
        <f>IF(F557=True, IFERROR(VLOOKUP(D557, Repository!A:B, 2, 0), ""), "")</f>
        <v/>
      </c>
      <c r="H557" s="105"/>
      <c r="I557" s="105"/>
      <c r="J557" s="105" t="str">
        <f>IF(F557=True, IFERROR(VLOOKUP(D557, Repository!A:C, 3, 0), ""), "")</f>
        <v/>
      </c>
      <c r="K557" s="105"/>
      <c r="L557" s="105" t="str">
        <f>IF(F557=True, IFERROR(VLOOKUP(D557, Repository!A:E, 5, 0), ""), "")</f>
        <v/>
      </c>
      <c r="M557" s="105"/>
      <c r="N557" s="105" t="str">
        <f>IF(F557=True, IFERROR(VLOOKUP(D557, Repository!A:G, 7, 0), ""), "")</f>
        <v/>
      </c>
      <c r="O557" s="105" t="str">
        <f>IFERROR(__xludf.DUMMYFUNCTION("ARRAY_CONSTRAIN(
  ARRAYFORMULA(
    IFERROR(
      LET(
        list, N557,
        arr, TRIM(SPLIT(list, "","")),
        names, XLOOKUP(
          arr,
          'Conformance Score'!A:A,
          'Conformance Score'!B:B,
          ""Not found""
      "&amp;"  ),
        TEXTJOIN("", "", TRUE, names)
      ),
      """"
    )
  ),
  1,
  1
)
"),"")</f>
        <v/>
      </c>
      <c r="P557" s="105" t="str">
        <f>IF(F557="Yes", IFERROR(VLOOKUP(D557, Repository!A:F, 6, 0), ""), "")</f>
        <v/>
      </c>
      <c r="Q557" s="105" t="str">
        <f>IF(F557="Yes", IFERROR(VLOOKUP(D557, Repository!A:I, 8, 0), ""), "")</f>
        <v/>
      </c>
      <c r="R557" s="105" t="str">
        <f>IF(F557="Yes", IFERROR(VLOOKUP(D557, Repository!A:J, 9, 0), ""), "")</f>
        <v/>
      </c>
      <c r="S557" s="105"/>
      <c r="T557" s="105"/>
      <c r="U557" s="105"/>
      <c r="V557" s="105"/>
      <c r="W557" s="105"/>
      <c r="X557" s="105"/>
      <c r="Y557" s="105"/>
      <c r="Z557" s="105"/>
      <c r="AA557" s="105"/>
      <c r="AB557" s="105"/>
      <c r="AC557" s="91"/>
      <c r="AD557" s="105"/>
      <c r="AE557" s="105"/>
      <c r="AF557" s="91"/>
      <c r="AG557" s="105"/>
      <c r="AH557" s="105"/>
      <c r="AI557" s="105" t="str">
        <f t="shared" si="1"/>
        <v/>
      </c>
      <c r="AJ557" s="108" t="str">
        <f t="shared" si="2"/>
        <v/>
      </c>
    </row>
    <row r="558" ht="15.75" customHeight="1">
      <c r="A558" s="104"/>
      <c r="B558" s="105" t="str">
        <f>IFERROR(__xludf.DUMMYFUNCTION("ARRAY_CONSTRAIN(
  ARRAYFORMULA(
    IF(
      'Final Report'!A558="""",
      """",
      TEXTJOIN(
        "", "" &amp; CHAR(10),
        TRUE,
        IFERROR(
          VLOOKUP(
            TRIM(
              SPLIT('Final Report'!A558, "","")
           "&amp;" ),
            'URL Details'!A:B,
            2,
            FALSE
          ),
          """"
        )
      )
    )
  ),
  1,
  1
)
"),"")</f>
        <v/>
      </c>
      <c r="C558" s="105" t="str">
        <f>IFERROR(__xludf.DUMMYFUNCTION("IFERROR(IF('Final Report'!A558="""","""", TEXTJOIN(CHAR(10), TRUE, ARRAYFORMULA( ""• ""&amp; FILTER( TRIM(FLATTEN(SPLIT( REGEXREPLACE( SUBSTITUTE(TEXTJOIN("","", TRUE, IFERROR(ARRAYFORMULA(VLOOKUP(TRIM(SPLIT('Final Report'!A558, "","")), 'URL Details'!A:D, 4,"&amp;" FALSE)),"""") ), CHAR(10), "",""), ""\s*,\s*"", "",""), "",""))), TRIM(FLATTEN(SPLIT( REGEXREPLACE( SUBSTITUTE(TEXTJOIN("","", TRUE, IFERROR(ARRAYFORMULA(VLOOKUP(TRIM(SPLIT('Final Report'!A558, "","")), 'URL Details'!A:D, 4, FALSE)),"""") ), CHAR(10), """&amp;",""), ""\s*,\s*"", "",""), "","")))&lt;&gt;"""" ) ) ) ),"""")
"),"")</f>
        <v/>
      </c>
      <c r="D558" s="105"/>
      <c r="E558" s="105"/>
      <c r="F558" s="110" t="b">
        <v>0</v>
      </c>
      <c r="G558" s="105" t="str">
        <f>IF(F558=True, IFERROR(VLOOKUP(D558, Repository!A:B, 2, 0), ""), "")</f>
        <v/>
      </c>
      <c r="H558" s="105"/>
      <c r="I558" s="105"/>
      <c r="J558" s="105" t="str">
        <f>IF(F558=True, IFERROR(VLOOKUP(D558, Repository!A:C, 3, 0), ""), "")</f>
        <v/>
      </c>
      <c r="K558" s="105"/>
      <c r="L558" s="105" t="str">
        <f>IF(F558=True, IFERROR(VLOOKUP(D558, Repository!A:E, 5, 0), ""), "")</f>
        <v/>
      </c>
      <c r="M558" s="105"/>
      <c r="N558" s="105" t="str">
        <f>IF(F558=True, IFERROR(VLOOKUP(D558, Repository!A:G, 7, 0), ""), "")</f>
        <v/>
      </c>
      <c r="O558" s="105" t="str">
        <f>IFERROR(__xludf.DUMMYFUNCTION("ARRAY_CONSTRAIN(
  ARRAYFORMULA(
    IFERROR(
      LET(
        list, N558,
        arr, TRIM(SPLIT(list, "","")),
        names, XLOOKUP(
          arr,
          'Conformance Score'!A:A,
          'Conformance Score'!B:B,
          ""Not found""
      "&amp;"  ),
        TEXTJOIN("", "", TRUE, names)
      ),
      """"
    )
  ),
  1,
  1
)
"),"")</f>
        <v/>
      </c>
      <c r="P558" s="105" t="str">
        <f>IF(F558="Yes", IFERROR(VLOOKUP(D558, Repository!A:F, 6, 0), ""), "")</f>
        <v/>
      </c>
      <c r="Q558" s="105" t="str">
        <f>IF(F558="Yes", IFERROR(VLOOKUP(D558, Repository!A:I, 8, 0), ""), "")</f>
        <v/>
      </c>
      <c r="R558" s="105" t="str">
        <f>IF(F558="Yes", IFERROR(VLOOKUP(D558, Repository!A:J, 9, 0), ""), "")</f>
        <v/>
      </c>
      <c r="S558" s="105"/>
      <c r="T558" s="105"/>
      <c r="U558" s="105"/>
      <c r="V558" s="105"/>
      <c r="W558" s="105"/>
      <c r="X558" s="105"/>
      <c r="Y558" s="105"/>
      <c r="Z558" s="105"/>
      <c r="AA558" s="105"/>
      <c r="AB558" s="105"/>
      <c r="AC558" s="91"/>
      <c r="AD558" s="105"/>
      <c r="AE558" s="105"/>
      <c r="AF558" s="91"/>
      <c r="AG558" s="105"/>
      <c r="AH558" s="105"/>
      <c r="AI558" s="105" t="str">
        <f t="shared" si="1"/>
        <v/>
      </c>
      <c r="AJ558" s="108" t="str">
        <f t="shared" si="2"/>
        <v/>
      </c>
    </row>
    <row r="559" ht="15.75" customHeight="1">
      <c r="A559" s="104"/>
      <c r="B559" s="105" t="str">
        <f>IFERROR(__xludf.DUMMYFUNCTION("ARRAY_CONSTRAIN(
  ARRAYFORMULA(
    IF(
      'Final Report'!A559="""",
      """",
      TEXTJOIN(
        "", "" &amp; CHAR(10),
        TRUE,
        IFERROR(
          VLOOKUP(
            TRIM(
              SPLIT('Final Report'!A559, "","")
           "&amp;" ),
            'URL Details'!A:B,
            2,
            FALSE
          ),
          """"
        )
      )
    )
  ),
  1,
  1
)
"),"")</f>
        <v/>
      </c>
      <c r="C559" s="105" t="str">
        <f>IFERROR(__xludf.DUMMYFUNCTION("IFERROR(IF('Final Report'!A559="""","""", TEXTJOIN(CHAR(10), TRUE, ARRAYFORMULA( ""• ""&amp; FILTER( TRIM(FLATTEN(SPLIT( REGEXREPLACE( SUBSTITUTE(TEXTJOIN("","", TRUE, IFERROR(ARRAYFORMULA(VLOOKUP(TRIM(SPLIT('Final Report'!A559, "","")), 'URL Details'!A:D, 4,"&amp;" FALSE)),"""") ), CHAR(10), "",""), ""\s*,\s*"", "",""), "",""))), TRIM(FLATTEN(SPLIT( REGEXREPLACE( SUBSTITUTE(TEXTJOIN("","", TRUE, IFERROR(ARRAYFORMULA(VLOOKUP(TRIM(SPLIT('Final Report'!A559, "","")), 'URL Details'!A:D, 4, FALSE)),"""") ), CHAR(10), """&amp;",""), ""\s*,\s*"", "",""), "","")))&lt;&gt;"""" ) ) ) ),"""")
"),"")</f>
        <v/>
      </c>
      <c r="D559" s="105"/>
      <c r="E559" s="105"/>
      <c r="F559" s="110" t="b">
        <v>0</v>
      </c>
      <c r="G559" s="105" t="str">
        <f>IF(F559=True, IFERROR(VLOOKUP(D559, Repository!A:B, 2, 0), ""), "")</f>
        <v/>
      </c>
      <c r="H559" s="105"/>
      <c r="I559" s="105"/>
      <c r="J559" s="105" t="str">
        <f>IF(F559=True, IFERROR(VLOOKUP(D559, Repository!A:C, 3, 0), ""), "")</f>
        <v/>
      </c>
      <c r="K559" s="105"/>
      <c r="L559" s="105" t="str">
        <f>IF(F559=True, IFERROR(VLOOKUP(D559, Repository!A:E, 5, 0), ""), "")</f>
        <v/>
      </c>
      <c r="M559" s="105"/>
      <c r="N559" s="105" t="str">
        <f>IF(F559=True, IFERROR(VLOOKUP(D559, Repository!A:G, 7, 0), ""), "")</f>
        <v/>
      </c>
      <c r="O559" s="105" t="str">
        <f>IFERROR(__xludf.DUMMYFUNCTION("ARRAY_CONSTRAIN(
  ARRAYFORMULA(
    IFERROR(
      LET(
        list, N559,
        arr, TRIM(SPLIT(list, "","")),
        names, XLOOKUP(
          arr,
          'Conformance Score'!A:A,
          'Conformance Score'!B:B,
          ""Not found""
      "&amp;"  ),
        TEXTJOIN("", "", TRUE, names)
      ),
      """"
    )
  ),
  1,
  1
)
"),"")</f>
        <v/>
      </c>
      <c r="P559" s="105" t="str">
        <f>IF(F559="Yes", IFERROR(VLOOKUP(D559, Repository!A:F, 6, 0), ""), "")</f>
        <v/>
      </c>
      <c r="Q559" s="105" t="str">
        <f>IF(F559="Yes", IFERROR(VLOOKUP(D559, Repository!A:I, 8, 0), ""), "")</f>
        <v/>
      </c>
      <c r="R559" s="105" t="str">
        <f>IF(F559="Yes", IFERROR(VLOOKUP(D559, Repository!A:J, 9, 0), ""), "")</f>
        <v/>
      </c>
      <c r="S559" s="105"/>
      <c r="T559" s="105"/>
      <c r="U559" s="105"/>
      <c r="V559" s="105"/>
      <c r="W559" s="105"/>
      <c r="X559" s="105"/>
      <c r="Y559" s="105"/>
      <c r="Z559" s="105"/>
      <c r="AA559" s="105"/>
      <c r="AB559" s="105"/>
      <c r="AC559" s="91"/>
      <c r="AD559" s="105"/>
      <c r="AE559" s="105"/>
      <c r="AF559" s="91"/>
      <c r="AG559" s="105"/>
      <c r="AH559" s="105"/>
      <c r="AI559" s="105" t="str">
        <f t="shared" si="1"/>
        <v/>
      </c>
      <c r="AJ559" s="108" t="str">
        <f t="shared" si="2"/>
        <v/>
      </c>
    </row>
    <row r="560" ht="15.75" customHeight="1">
      <c r="A560" s="104"/>
      <c r="B560" s="105" t="str">
        <f>IFERROR(__xludf.DUMMYFUNCTION("ARRAY_CONSTRAIN(
  ARRAYFORMULA(
    IF(
      'Final Report'!A560="""",
      """",
      TEXTJOIN(
        "", "" &amp; CHAR(10),
        TRUE,
        IFERROR(
          VLOOKUP(
            TRIM(
              SPLIT('Final Report'!A560, "","")
           "&amp;" ),
            'URL Details'!A:B,
            2,
            FALSE
          ),
          """"
        )
      )
    )
  ),
  1,
  1
)
"),"")</f>
        <v/>
      </c>
      <c r="C560" s="105" t="str">
        <f>IFERROR(__xludf.DUMMYFUNCTION("IFERROR(IF('Final Report'!A560="""","""", TEXTJOIN(CHAR(10), TRUE, ARRAYFORMULA( ""• ""&amp; FILTER( TRIM(FLATTEN(SPLIT( REGEXREPLACE( SUBSTITUTE(TEXTJOIN("","", TRUE, IFERROR(ARRAYFORMULA(VLOOKUP(TRIM(SPLIT('Final Report'!A560, "","")), 'URL Details'!A:D, 4,"&amp;" FALSE)),"""") ), CHAR(10), "",""), ""\s*,\s*"", "",""), "",""))), TRIM(FLATTEN(SPLIT( REGEXREPLACE( SUBSTITUTE(TEXTJOIN("","", TRUE, IFERROR(ARRAYFORMULA(VLOOKUP(TRIM(SPLIT('Final Report'!A560, "","")), 'URL Details'!A:D, 4, FALSE)),"""") ), CHAR(10), """&amp;",""), ""\s*,\s*"", "",""), "","")))&lt;&gt;"""" ) ) ) ),"""")
"),"")</f>
        <v/>
      </c>
      <c r="D560" s="105"/>
      <c r="E560" s="105"/>
      <c r="F560" s="110" t="b">
        <v>0</v>
      </c>
      <c r="G560" s="105" t="str">
        <f>IF(F560=True, IFERROR(VLOOKUP(D560, Repository!A:B, 2, 0), ""), "")</f>
        <v/>
      </c>
      <c r="H560" s="105"/>
      <c r="I560" s="105"/>
      <c r="J560" s="105" t="str">
        <f>IF(F560=True, IFERROR(VLOOKUP(D560, Repository!A:C, 3, 0), ""), "")</f>
        <v/>
      </c>
      <c r="K560" s="105"/>
      <c r="L560" s="105" t="str">
        <f>IF(F560=True, IFERROR(VLOOKUP(D560, Repository!A:E, 5, 0), ""), "")</f>
        <v/>
      </c>
      <c r="M560" s="105"/>
      <c r="N560" s="105" t="str">
        <f>IF(F560=True, IFERROR(VLOOKUP(D560, Repository!A:G, 7, 0), ""), "")</f>
        <v/>
      </c>
      <c r="O560" s="105" t="str">
        <f>IFERROR(__xludf.DUMMYFUNCTION("ARRAY_CONSTRAIN(
  ARRAYFORMULA(
    IFERROR(
      LET(
        list, N560,
        arr, TRIM(SPLIT(list, "","")),
        names, XLOOKUP(
          arr,
          'Conformance Score'!A:A,
          'Conformance Score'!B:B,
          ""Not found""
      "&amp;"  ),
        TEXTJOIN("", "", TRUE, names)
      ),
      """"
    )
  ),
  1,
  1
)
"),"")</f>
        <v/>
      </c>
      <c r="P560" s="105" t="str">
        <f>IF(F560="Yes", IFERROR(VLOOKUP(D560, Repository!A:F, 6, 0), ""), "")</f>
        <v/>
      </c>
      <c r="Q560" s="105" t="str">
        <f>IF(F560="Yes", IFERROR(VLOOKUP(D560, Repository!A:I, 8, 0), ""), "")</f>
        <v/>
      </c>
      <c r="R560" s="105" t="str">
        <f>IF(F560="Yes", IFERROR(VLOOKUP(D560, Repository!A:J, 9, 0), ""), "")</f>
        <v/>
      </c>
      <c r="S560" s="105"/>
      <c r="T560" s="105"/>
      <c r="U560" s="105"/>
      <c r="V560" s="105"/>
      <c r="W560" s="105"/>
      <c r="X560" s="105"/>
      <c r="Y560" s="105"/>
      <c r="Z560" s="105"/>
      <c r="AA560" s="105"/>
      <c r="AB560" s="105"/>
      <c r="AC560" s="91"/>
      <c r="AD560" s="105"/>
      <c r="AE560" s="105"/>
      <c r="AF560" s="91"/>
      <c r="AG560" s="105"/>
      <c r="AH560" s="105"/>
      <c r="AI560" s="105" t="str">
        <f t="shared" si="1"/>
        <v/>
      </c>
      <c r="AJ560" s="108" t="str">
        <f t="shared" si="2"/>
        <v/>
      </c>
    </row>
    <row r="561" ht="15.75" customHeight="1">
      <c r="A561" s="104"/>
      <c r="B561" s="105" t="str">
        <f>IFERROR(__xludf.DUMMYFUNCTION("ARRAY_CONSTRAIN(
  ARRAYFORMULA(
    IF(
      'Final Report'!A561="""",
      """",
      TEXTJOIN(
        "", "" &amp; CHAR(10),
        TRUE,
        IFERROR(
          VLOOKUP(
            TRIM(
              SPLIT('Final Report'!A561, "","")
           "&amp;" ),
            'URL Details'!A:B,
            2,
            FALSE
          ),
          """"
        )
      )
    )
  ),
  1,
  1
)
"),"")</f>
        <v/>
      </c>
      <c r="C561" s="105" t="str">
        <f>IFERROR(__xludf.DUMMYFUNCTION("IFERROR(IF('Final Report'!A561="""","""", TEXTJOIN(CHAR(10), TRUE, ARRAYFORMULA( ""• ""&amp; FILTER( TRIM(FLATTEN(SPLIT( REGEXREPLACE( SUBSTITUTE(TEXTJOIN("","", TRUE, IFERROR(ARRAYFORMULA(VLOOKUP(TRIM(SPLIT('Final Report'!A561, "","")), 'URL Details'!A:D, 4,"&amp;" FALSE)),"""") ), CHAR(10), "",""), ""\s*,\s*"", "",""), "",""))), TRIM(FLATTEN(SPLIT( REGEXREPLACE( SUBSTITUTE(TEXTJOIN("","", TRUE, IFERROR(ARRAYFORMULA(VLOOKUP(TRIM(SPLIT('Final Report'!A561, "","")), 'URL Details'!A:D, 4, FALSE)),"""") ), CHAR(10), """&amp;",""), ""\s*,\s*"", "",""), "","")))&lt;&gt;"""" ) ) ) ),"""")
"),"")</f>
        <v/>
      </c>
      <c r="D561" s="105"/>
      <c r="E561" s="105"/>
      <c r="F561" s="110" t="b">
        <v>0</v>
      </c>
      <c r="G561" s="105" t="str">
        <f>IF(F561=True, IFERROR(VLOOKUP(D561, Repository!A:B, 2, 0), ""), "")</f>
        <v/>
      </c>
      <c r="H561" s="105"/>
      <c r="I561" s="105"/>
      <c r="J561" s="105" t="str">
        <f>IF(F561=True, IFERROR(VLOOKUP(D561, Repository!A:C, 3, 0), ""), "")</f>
        <v/>
      </c>
      <c r="K561" s="105"/>
      <c r="L561" s="105" t="str">
        <f>IF(F561=True, IFERROR(VLOOKUP(D561, Repository!A:E, 5, 0), ""), "")</f>
        <v/>
      </c>
      <c r="M561" s="105"/>
      <c r="N561" s="105" t="str">
        <f>IF(F561=True, IFERROR(VLOOKUP(D561, Repository!A:G, 7, 0), ""), "")</f>
        <v/>
      </c>
      <c r="O561" s="105" t="str">
        <f>IFERROR(__xludf.DUMMYFUNCTION("ARRAY_CONSTRAIN(
  ARRAYFORMULA(
    IFERROR(
      LET(
        list, N561,
        arr, TRIM(SPLIT(list, "","")),
        names, XLOOKUP(
          arr,
          'Conformance Score'!A:A,
          'Conformance Score'!B:B,
          ""Not found""
      "&amp;"  ),
        TEXTJOIN("", "", TRUE, names)
      ),
      """"
    )
  ),
  1,
  1
)
"),"")</f>
        <v/>
      </c>
      <c r="P561" s="105" t="str">
        <f>IF(F561="Yes", IFERROR(VLOOKUP(D561, Repository!A:F, 6, 0), ""), "")</f>
        <v/>
      </c>
      <c r="Q561" s="105" t="str">
        <f>IF(F561="Yes", IFERROR(VLOOKUP(D561, Repository!A:I, 8, 0), ""), "")</f>
        <v/>
      </c>
      <c r="R561" s="105" t="str">
        <f>IF(F561="Yes", IFERROR(VLOOKUP(D561, Repository!A:J, 9, 0), ""), "")</f>
        <v/>
      </c>
      <c r="S561" s="105"/>
      <c r="T561" s="105"/>
      <c r="U561" s="105"/>
      <c r="V561" s="105"/>
      <c r="W561" s="105"/>
      <c r="X561" s="105"/>
      <c r="Y561" s="105"/>
      <c r="Z561" s="105"/>
      <c r="AA561" s="105"/>
      <c r="AB561" s="105"/>
      <c r="AC561" s="91"/>
      <c r="AD561" s="105"/>
      <c r="AE561" s="105"/>
      <c r="AF561" s="91"/>
      <c r="AG561" s="105"/>
      <c r="AH561" s="105"/>
      <c r="AI561" s="105" t="str">
        <f t="shared" si="1"/>
        <v/>
      </c>
      <c r="AJ561" s="108" t="str">
        <f t="shared" si="2"/>
        <v/>
      </c>
    </row>
    <row r="562" ht="15.75" customHeight="1">
      <c r="A562" s="104"/>
      <c r="B562" s="105" t="str">
        <f>IFERROR(__xludf.DUMMYFUNCTION("ARRAY_CONSTRAIN(
  ARRAYFORMULA(
    IF(
      'Final Report'!A562="""",
      """",
      TEXTJOIN(
        "", "" &amp; CHAR(10),
        TRUE,
        IFERROR(
          VLOOKUP(
            TRIM(
              SPLIT('Final Report'!A562, "","")
           "&amp;" ),
            'URL Details'!A:B,
            2,
            FALSE
          ),
          """"
        )
      )
    )
  ),
  1,
  1
)
"),"")</f>
        <v/>
      </c>
      <c r="C562" s="105" t="str">
        <f>IFERROR(__xludf.DUMMYFUNCTION("IFERROR(IF('Final Report'!A562="""","""", TEXTJOIN(CHAR(10), TRUE, ARRAYFORMULA( ""• ""&amp; FILTER( TRIM(FLATTEN(SPLIT( REGEXREPLACE( SUBSTITUTE(TEXTJOIN("","", TRUE, IFERROR(ARRAYFORMULA(VLOOKUP(TRIM(SPLIT('Final Report'!A562, "","")), 'URL Details'!A:D, 4,"&amp;" FALSE)),"""") ), CHAR(10), "",""), ""\s*,\s*"", "",""), "",""))), TRIM(FLATTEN(SPLIT( REGEXREPLACE( SUBSTITUTE(TEXTJOIN("","", TRUE, IFERROR(ARRAYFORMULA(VLOOKUP(TRIM(SPLIT('Final Report'!A562, "","")), 'URL Details'!A:D, 4, FALSE)),"""") ), CHAR(10), """&amp;",""), ""\s*,\s*"", "",""), "","")))&lt;&gt;"""" ) ) ) ),"""")
"),"")</f>
        <v/>
      </c>
      <c r="D562" s="105"/>
      <c r="E562" s="105"/>
      <c r="F562" s="110" t="b">
        <v>0</v>
      </c>
      <c r="G562" s="105" t="str">
        <f>IF(F562=True, IFERROR(VLOOKUP(D562, Repository!A:B, 2, 0), ""), "")</f>
        <v/>
      </c>
      <c r="H562" s="105"/>
      <c r="I562" s="105"/>
      <c r="J562" s="105" t="str">
        <f>IF(F562=True, IFERROR(VLOOKUP(D562, Repository!A:C, 3, 0), ""), "")</f>
        <v/>
      </c>
      <c r="K562" s="105"/>
      <c r="L562" s="105" t="str">
        <f>IF(F562=True, IFERROR(VLOOKUP(D562, Repository!A:E, 5, 0), ""), "")</f>
        <v/>
      </c>
      <c r="M562" s="105"/>
      <c r="N562" s="105" t="str">
        <f>IF(F562=True, IFERROR(VLOOKUP(D562, Repository!A:G, 7, 0), ""), "")</f>
        <v/>
      </c>
      <c r="O562" s="105" t="str">
        <f>IFERROR(__xludf.DUMMYFUNCTION("ARRAY_CONSTRAIN(
  ARRAYFORMULA(
    IFERROR(
      LET(
        list, N562,
        arr, TRIM(SPLIT(list, "","")),
        names, XLOOKUP(
          arr,
          'Conformance Score'!A:A,
          'Conformance Score'!B:B,
          ""Not found""
      "&amp;"  ),
        TEXTJOIN("", "", TRUE, names)
      ),
      """"
    )
  ),
  1,
  1
)
"),"")</f>
        <v/>
      </c>
      <c r="P562" s="105" t="str">
        <f>IF(F562="Yes", IFERROR(VLOOKUP(D562, Repository!A:F, 6, 0), ""), "")</f>
        <v/>
      </c>
      <c r="Q562" s="105" t="str">
        <f>IF(F562="Yes", IFERROR(VLOOKUP(D562, Repository!A:I, 8, 0), ""), "")</f>
        <v/>
      </c>
      <c r="R562" s="105" t="str">
        <f>IF(F562="Yes", IFERROR(VLOOKUP(D562, Repository!A:J, 9, 0), ""), "")</f>
        <v/>
      </c>
      <c r="S562" s="105"/>
      <c r="T562" s="105"/>
      <c r="U562" s="105"/>
      <c r="V562" s="105"/>
      <c r="W562" s="105"/>
      <c r="X562" s="105"/>
      <c r="Y562" s="105"/>
      <c r="Z562" s="105"/>
      <c r="AA562" s="105"/>
      <c r="AB562" s="105"/>
      <c r="AC562" s="91"/>
      <c r="AD562" s="105"/>
      <c r="AE562" s="105"/>
      <c r="AF562" s="91"/>
      <c r="AG562" s="105"/>
      <c r="AH562" s="105"/>
      <c r="AI562" s="105" t="str">
        <f t="shared" si="1"/>
        <v/>
      </c>
      <c r="AJ562" s="108" t="str">
        <f t="shared" si="2"/>
        <v/>
      </c>
    </row>
    <row r="563" ht="15.75" customHeight="1">
      <c r="A563" s="104"/>
      <c r="B563" s="105" t="str">
        <f>IFERROR(__xludf.DUMMYFUNCTION("ARRAY_CONSTRAIN(
  ARRAYFORMULA(
    IF(
      'Final Report'!A563="""",
      """",
      TEXTJOIN(
        "", "" &amp; CHAR(10),
        TRUE,
        IFERROR(
          VLOOKUP(
            TRIM(
              SPLIT('Final Report'!A563, "","")
           "&amp;" ),
            'URL Details'!A:B,
            2,
            FALSE
          ),
          """"
        )
      )
    )
  ),
  1,
  1
)
"),"")</f>
        <v/>
      </c>
      <c r="C563" s="105" t="str">
        <f>IFERROR(__xludf.DUMMYFUNCTION("IFERROR(IF('Final Report'!A563="""","""", TEXTJOIN(CHAR(10), TRUE, ARRAYFORMULA( ""• ""&amp; FILTER( TRIM(FLATTEN(SPLIT( REGEXREPLACE( SUBSTITUTE(TEXTJOIN("","", TRUE, IFERROR(ARRAYFORMULA(VLOOKUP(TRIM(SPLIT('Final Report'!A563, "","")), 'URL Details'!A:D, 4,"&amp;" FALSE)),"""") ), CHAR(10), "",""), ""\s*,\s*"", "",""), "",""))), TRIM(FLATTEN(SPLIT( REGEXREPLACE( SUBSTITUTE(TEXTJOIN("","", TRUE, IFERROR(ARRAYFORMULA(VLOOKUP(TRIM(SPLIT('Final Report'!A563, "","")), 'URL Details'!A:D, 4, FALSE)),"""") ), CHAR(10), """&amp;",""), ""\s*,\s*"", "",""), "","")))&lt;&gt;"""" ) ) ) ),"""")
"),"")</f>
        <v/>
      </c>
      <c r="D563" s="105"/>
      <c r="E563" s="105"/>
      <c r="F563" s="110" t="b">
        <v>0</v>
      </c>
      <c r="G563" s="105" t="str">
        <f>IF(F563=True, IFERROR(VLOOKUP(D563, Repository!A:B, 2, 0), ""), "")</f>
        <v/>
      </c>
      <c r="H563" s="105"/>
      <c r="I563" s="105"/>
      <c r="J563" s="105" t="str">
        <f>IF(F563=True, IFERROR(VLOOKUP(D563, Repository!A:C, 3, 0), ""), "")</f>
        <v/>
      </c>
      <c r="K563" s="105"/>
      <c r="L563" s="105" t="str">
        <f>IF(F563=True, IFERROR(VLOOKUP(D563, Repository!A:E, 5, 0), ""), "")</f>
        <v/>
      </c>
      <c r="M563" s="105"/>
      <c r="N563" s="105" t="str">
        <f>IF(F563=True, IFERROR(VLOOKUP(D563, Repository!A:G, 7, 0), ""), "")</f>
        <v/>
      </c>
      <c r="O563" s="105" t="str">
        <f>IFERROR(__xludf.DUMMYFUNCTION("ARRAY_CONSTRAIN(
  ARRAYFORMULA(
    IFERROR(
      LET(
        list, N563,
        arr, TRIM(SPLIT(list, "","")),
        names, XLOOKUP(
          arr,
          'Conformance Score'!A:A,
          'Conformance Score'!B:B,
          ""Not found""
      "&amp;"  ),
        TEXTJOIN("", "", TRUE, names)
      ),
      """"
    )
  ),
  1,
  1
)
"),"")</f>
        <v/>
      </c>
      <c r="P563" s="105" t="str">
        <f>IF(F563="Yes", IFERROR(VLOOKUP(D563, Repository!A:F, 6, 0), ""), "")</f>
        <v/>
      </c>
      <c r="Q563" s="105" t="str">
        <f>IF(F563="Yes", IFERROR(VLOOKUP(D563, Repository!A:I, 8, 0), ""), "")</f>
        <v/>
      </c>
      <c r="R563" s="105" t="str">
        <f>IF(F563="Yes", IFERROR(VLOOKUP(D563, Repository!A:J, 9, 0), ""), "")</f>
        <v/>
      </c>
      <c r="S563" s="105"/>
      <c r="T563" s="105"/>
      <c r="U563" s="105"/>
      <c r="V563" s="105"/>
      <c r="W563" s="105"/>
      <c r="X563" s="105"/>
      <c r="Y563" s="105"/>
      <c r="Z563" s="105"/>
      <c r="AA563" s="105"/>
      <c r="AB563" s="105"/>
      <c r="AC563" s="91"/>
      <c r="AD563" s="105"/>
      <c r="AE563" s="105"/>
      <c r="AF563" s="91"/>
      <c r="AG563" s="105"/>
      <c r="AH563" s="105"/>
      <c r="AI563" s="105" t="str">
        <f t="shared" si="1"/>
        <v/>
      </c>
      <c r="AJ563" s="108" t="str">
        <f t="shared" si="2"/>
        <v/>
      </c>
    </row>
    <row r="564" ht="15.75" customHeight="1">
      <c r="A564" s="104"/>
      <c r="B564" s="105" t="str">
        <f>IFERROR(__xludf.DUMMYFUNCTION("ARRAY_CONSTRAIN(
  ARRAYFORMULA(
    IF(
      'Final Report'!A564="""",
      """",
      TEXTJOIN(
        "", "" &amp; CHAR(10),
        TRUE,
        IFERROR(
          VLOOKUP(
            TRIM(
              SPLIT('Final Report'!A564, "","")
           "&amp;" ),
            'URL Details'!A:B,
            2,
            FALSE
          ),
          """"
        )
      )
    )
  ),
  1,
  1
)
"),"")</f>
        <v/>
      </c>
      <c r="C564" s="105" t="str">
        <f>IFERROR(__xludf.DUMMYFUNCTION("IFERROR(IF('Final Report'!A564="""","""", TEXTJOIN(CHAR(10), TRUE, ARRAYFORMULA( ""• ""&amp; FILTER( TRIM(FLATTEN(SPLIT( REGEXREPLACE( SUBSTITUTE(TEXTJOIN("","", TRUE, IFERROR(ARRAYFORMULA(VLOOKUP(TRIM(SPLIT('Final Report'!A564, "","")), 'URL Details'!A:D, 4,"&amp;" FALSE)),"""") ), CHAR(10), "",""), ""\s*,\s*"", "",""), "",""))), TRIM(FLATTEN(SPLIT( REGEXREPLACE( SUBSTITUTE(TEXTJOIN("","", TRUE, IFERROR(ARRAYFORMULA(VLOOKUP(TRIM(SPLIT('Final Report'!A564, "","")), 'URL Details'!A:D, 4, FALSE)),"""") ), CHAR(10), """&amp;",""), ""\s*,\s*"", "",""), "","")))&lt;&gt;"""" ) ) ) ),"""")
"),"")</f>
        <v/>
      </c>
      <c r="D564" s="105"/>
      <c r="E564" s="105"/>
      <c r="F564" s="110" t="b">
        <v>0</v>
      </c>
      <c r="G564" s="105" t="str">
        <f>IF(F564=True, IFERROR(VLOOKUP(D564, Repository!A:B, 2, 0), ""), "")</f>
        <v/>
      </c>
      <c r="H564" s="105"/>
      <c r="I564" s="105"/>
      <c r="J564" s="105" t="str">
        <f>IF(F564=True, IFERROR(VLOOKUP(D564, Repository!A:C, 3, 0), ""), "")</f>
        <v/>
      </c>
      <c r="K564" s="105"/>
      <c r="L564" s="105" t="str">
        <f>IF(F564=True, IFERROR(VLOOKUP(D564, Repository!A:E, 5, 0), ""), "")</f>
        <v/>
      </c>
      <c r="M564" s="105"/>
      <c r="N564" s="105" t="str">
        <f>IF(F564=True, IFERROR(VLOOKUP(D564, Repository!A:G, 7, 0), ""), "")</f>
        <v/>
      </c>
      <c r="O564" s="105" t="str">
        <f>IFERROR(__xludf.DUMMYFUNCTION("ARRAY_CONSTRAIN(
  ARRAYFORMULA(
    IFERROR(
      LET(
        list, N564,
        arr, TRIM(SPLIT(list, "","")),
        names, XLOOKUP(
          arr,
          'Conformance Score'!A:A,
          'Conformance Score'!B:B,
          ""Not found""
      "&amp;"  ),
        TEXTJOIN("", "", TRUE, names)
      ),
      """"
    )
  ),
  1,
  1
)
"),"")</f>
        <v/>
      </c>
      <c r="P564" s="105" t="str">
        <f>IF(F564="Yes", IFERROR(VLOOKUP(D564, Repository!A:F, 6, 0), ""), "")</f>
        <v/>
      </c>
      <c r="Q564" s="105" t="str">
        <f>IF(F564="Yes", IFERROR(VLOOKUP(D564, Repository!A:I, 8, 0), ""), "")</f>
        <v/>
      </c>
      <c r="R564" s="105" t="str">
        <f>IF(F564="Yes", IFERROR(VLOOKUP(D564, Repository!A:J, 9, 0), ""), "")</f>
        <v/>
      </c>
      <c r="S564" s="105"/>
      <c r="T564" s="105"/>
      <c r="U564" s="105"/>
      <c r="V564" s="105"/>
      <c r="W564" s="105"/>
      <c r="X564" s="105"/>
      <c r="Y564" s="105"/>
      <c r="Z564" s="105"/>
      <c r="AA564" s="105"/>
      <c r="AB564" s="105"/>
      <c r="AC564" s="91"/>
      <c r="AD564" s="105"/>
      <c r="AE564" s="105"/>
      <c r="AF564" s="91"/>
      <c r="AG564" s="105"/>
      <c r="AH564" s="105"/>
      <c r="AI564" s="105" t="str">
        <f t="shared" si="1"/>
        <v/>
      </c>
      <c r="AJ564" s="108" t="str">
        <f t="shared" si="2"/>
        <v/>
      </c>
    </row>
    <row r="565" ht="15.75" customHeight="1">
      <c r="A565" s="104"/>
      <c r="B565" s="105" t="str">
        <f>IFERROR(__xludf.DUMMYFUNCTION("ARRAY_CONSTRAIN(
  ARRAYFORMULA(
    IF(
      'Final Report'!A565="""",
      """",
      TEXTJOIN(
        "", "" &amp; CHAR(10),
        TRUE,
        IFERROR(
          VLOOKUP(
            TRIM(
              SPLIT('Final Report'!A565, "","")
           "&amp;" ),
            'URL Details'!A:B,
            2,
            FALSE
          ),
          """"
        )
      )
    )
  ),
  1,
  1
)
"),"")</f>
        <v/>
      </c>
      <c r="C565" s="105" t="str">
        <f>IFERROR(__xludf.DUMMYFUNCTION("IFERROR(IF('Final Report'!A565="""","""", TEXTJOIN(CHAR(10), TRUE, ARRAYFORMULA( ""• ""&amp; FILTER( TRIM(FLATTEN(SPLIT( REGEXREPLACE( SUBSTITUTE(TEXTJOIN("","", TRUE, IFERROR(ARRAYFORMULA(VLOOKUP(TRIM(SPLIT('Final Report'!A565, "","")), 'URL Details'!A:D, 4,"&amp;" FALSE)),"""") ), CHAR(10), "",""), ""\s*,\s*"", "",""), "",""))), TRIM(FLATTEN(SPLIT( REGEXREPLACE( SUBSTITUTE(TEXTJOIN("","", TRUE, IFERROR(ARRAYFORMULA(VLOOKUP(TRIM(SPLIT('Final Report'!A565, "","")), 'URL Details'!A:D, 4, FALSE)),"""") ), CHAR(10), """&amp;",""), ""\s*,\s*"", "",""), "","")))&lt;&gt;"""" ) ) ) ),"""")
"),"")</f>
        <v/>
      </c>
      <c r="D565" s="105"/>
      <c r="E565" s="105"/>
      <c r="F565" s="110" t="b">
        <v>0</v>
      </c>
      <c r="G565" s="105" t="str">
        <f>IF(F565=True, IFERROR(VLOOKUP(D565, Repository!A:B, 2, 0), ""), "")</f>
        <v/>
      </c>
      <c r="H565" s="105"/>
      <c r="I565" s="105"/>
      <c r="J565" s="105" t="str">
        <f>IF(F565=True, IFERROR(VLOOKUP(D565, Repository!A:C, 3, 0), ""), "")</f>
        <v/>
      </c>
      <c r="K565" s="105"/>
      <c r="L565" s="105" t="str">
        <f>IF(F565=True, IFERROR(VLOOKUP(D565, Repository!A:E, 5, 0), ""), "")</f>
        <v/>
      </c>
      <c r="M565" s="105"/>
      <c r="N565" s="105" t="str">
        <f>IF(F565=True, IFERROR(VLOOKUP(D565, Repository!A:G, 7, 0), ""), "")</f>
        <v/>
      </c>
      <c r="O565" s="105" t="str">
        <f>IFERROR(__xludf.DUMMYFUNCTION("ARRAY_CONSTRAIN(
  ARRAYFORMULA(
    IFERROR(
      LET(
        list, N565,
        arr, TRIM(SPLIT(list, "","")),
        names, XLOOKUP(
          arr,
          'Conformance Score'!A:A,
          'Conformance Score'!B:B,
          ""Not found""
      "&amp;"  ),
        TEXTJOIN("", "", TRUE, names)
      ),
      """"
    )
  ),
  1,
  1
)
"),"")</f>
        <v/>
      </c>
      <c r="P565" s="105" t="str">
        <f>IF(F565="Yes", IFERROR(VLOOKUP(D565, Repository!A:F, 6, 0), ""), "")</f>
        <v/>
      </c>
      <c r="Q565" s="105" t="str">
        <f>IF(F565="Yes", IFERROR(VLOOKUP(D565, Repository!A:I, 8, 0), ""), "")</f>
        <v/>
      </c>
      <c r="R565" s="105" t="str">
        <f>IF(F565="Yes", IFERROR(VLOOKUP(D565, Repository!A:J, 9, 0), ""), "")</f>
        <v/>
      </c>
      <c r="S565" s="105"/>
      <c r="T565" s="105"/>
      <c r="U565" s="105"/>
      <c r="V565" s="105"/>
      <c r="W565" s="105"/>
      <c r="X565" s="105"/>
      <c r="Y565" s="105"/>
      <c r="Z565" s="105"/>
      <c r="AA565" s="105"/>
      <c r="AB565" s="105"/>
      <c r="AC565" s="91"/>
      <c r="AD565" s="105"/>
      <c r="AE565" s="105"/>
      <c r="AF565" s="91"/>
      <c r="AG565" s="105"/>
      <c r="AH565" s="105"/>
      <c r="AI565" s="105" t="str">
        <f t="shared" si="1"/>
        <v/>
      </c>
      <c r="AJ565" s="108" t="str">
        <f t="shared" si="2"/>
        <v/>
      </c>
    </row>
    <row r="566" ht="15.75" customHeight="1">
      <c r="A566" s="104"/>
      <c r="B566" s="105" t="str">
        <f>IFERROR(__xludf.DUMMYFUNCTION("ARRAY_CONSTRAIN(
  ARRAYFORMULA(
    IF(
      'Final Report'!A566="""",
      """",
      TEXTJOIN(
        "", "" &amp; CHAR(10),
        TRUE,
        IFERROR(
          VLOOKUP(
            TRIM(
              SPLIT('Final Report'!A566, "","")
           "&amp;" ),
            'URL Details'!A:B,
            2,
            FALSE
          ),
          """"
        )
      )
    )
  ),
  1,
  1
)
"),"")</f>
        <v/>
      </c>
      <c r="C566" s="105" t="str">
        <f>IFERROR(__xludf.DUMMYFUNCTION("IFERROR(IF('Final Report'!A566="""","""", TEXTJOIN(CHAR(10), TRUE, ARRAYFORMULA( ""• ""&amp; FILTER( TRIM(FLATTEN(SPLIT( REGEXREPLACE( SUBSTITUTE(TEXTJOIN("","", TRUE, IFERROR(ARRAYFORMULA(VLOOKUP(TRIM(SPLIT('Final Report'!A566, "","")), 'URL Details'!A:D, 4,"&amp;" FALSE)),"""") ), CHAR(10), "",""), ""\s*,\s*"", "",""), "",""))), TRIM(FLATTEN(SPLIT( REGEXREPLACE( SUBSTITUTE(TEXTJOIN("","", TRUE, IFERROR(ARRAYFORMULA(VLOOKUP(TRIM(SPLIT('Final Report'!A566, "","")), 'URL Details'!A:D, 4, FALSE)),"""") ), CHAR(10), """&amp;",""), ""\s*,\s*"", "",""), "","")))&lt;&gt;"""" ) ) ) ),"""")
"),"")</f>
        <v/>
      </c>
      <c r="D566" s="105"/>
      <c r="E566" s="105"/>
      <c r="F566" s="110" t="b">
        <v>0</v>
      </c>
      <c r="G566" s="105" t="str">
        <f>IF(F566=True, IFERROR(VLOOKUP(D566, Repository!A:B, 2, 0), ""), "")</f>
        <v/>
      </c>
      <c r="H566" s="105"/>
      <c r="I566" s="105"/>
      <c r="J566" s="105" t="str">
        <f>IF(F566=True, IFERROR(VLOOKUP(D566, Repository!A:C, 3, 0), ""), "")</f>
        <v/>
      </c>
      <c r="K566" s="105"/>
      <c r="L566" s="105" t="str">
        <f>IF(F566=True, IFERROR(VLOOKUP(D566, Repository!A:E, 5, 0), ""), "")</f>
        <v/>
      </c>
      <c r="M566" s="105"/>
      <c r="N566" s="105" t="str">
        <f>IF(F566=True, IFERROR(VLOOKUP(D566, Repository!A:G, 7, 0), ""), "")</f>
        <v/>
      </c>
      <c r="O566" s="105" t="str">
        <f>IFERROR(__xludf.DUMMYFUNCTION("ARRAY_CONSTRAIN(
  ARRAYFORMULA(
    IFERROR(
      LET(
        list, N566,
        arr, TRIM(SPLIT(list, "","")),
        names, XLOOKUP(
          arr,
          'Conformance Score'!A:A,
          'Conformance Score'!B:B,
          ""Not found""
      "&amp;"  ),
        TEXTJOIN("", "", TRUE, names)
      ),
      """"
    )
  ),
  1,
  1
)
"),"")</f>
        <v/>
      </c>
      <c r="P566" s="105" t="str">
        <f>IF(F566="Yes", IFERROR(VLOOKUP(D566, Repository!A:F, 6, 0), ""), "")</f>
        <v/>
      </c>
      <c r="Q566" s="105" t="str">
        <f>IF(F566="Yes", IFERROR(VLOOKUP(D566, Repository!A:I, 8, 0), ""), "")</f>
        <v/>
      </c>
      <c r="R566" s="105" t="str">
        <f>IF(F566="Yes", IFERROR(VLOOKUP(D566, Repository!A:J, 9, 0), ""), "")</f>
        <v/>
      </c>
      <c r="S566" s="105"/>
      <c r="T566" s="105"/>
      <c r="U566" s="105"/>
      <c r="V566" s="105"/>
      <c r="W566" s="105"/>
      <c r="X566" s="105"/>
      <c r="Y566" s="105"/>
      <c r="Z566" s="105"/>
      <c r="AA566" s="105"/>
      <c r="AB566" s="105"/>
      <c r="AC566" s="91"/>
      <c r="AD566" s="105"/>
      <c r="AE566" s="105"/>
      <c r="AF566" s="91"/>
      <c r="AG566" s="105"/>
      <c r="AH566" s="105"/>
      <c r="AI566" s="105" t="str">
        <f t="shared" si="1"/>
        <v/>
      </c>
      <c r="AJ566" s="108" t="str">
        <f t="shared" si="2"/>
        <v/>
      </c>
    </row>
    <row r="567" ht="15.75" customHeight="1">
      <c r="A567" s="104"/>
      <c r="B567" s="105" t="str">
        <f>IFERROR(__xludf.DUMMYFUNCTION("ARRAY_CONSTRAIN(
  ARRAYFORMULA(
    IF(
      'Final Report'!A567="""",
      """",
      TEXTJOIN(
        "", "" &amp; CHAR(10),
        TRUE,
        IFERROR(
          VLOOKUP(
            TRIM(
              SPLIT('Final Report'!A567, "","")
           "&amp;" ),
            'URL Details'!A:B,
            2,
            FALSE
          ),
          """"
        )
      )
    )
  ),
  1,
  1
)
"),"")</f>
        <v/>
      </c>
      <c r="C567" s="105" t="str">
        <f>IFERROR(__xludf.DUMMYFUNCTION("IFERROR(IF('Final Report'!A567="""","""", TEXTJOIN(CHAR(10), TRUE, ARRAYFORMULA( ""• ""&amp; FILTER( TRIM(FLATTEN(SPLIT( REGEXREPLACE( SUBSTITUTE(TEXTJOIN("","", TRUE, IFERROR(ARRAYFORMULA(VLOOKUP(TRIM(SPLIT('Final Report'!A567, "","")), 'URL Details'!A:D, 4,"&amp;" FALSE)),"""") ), CHAR(10), "",""), ""\s*,\s*"", "",""), "",""))), TRIM(FLATTEN(SPLIT( REGEXREPLACE( SUBSTITUTE(TEXTJOIN("","", TRUE, IFERROR(ARRAYFORMULA(VLOOKUP(TRIM(SPLIT('Final Report'!A567, "","")), 'URL Details'!A:D, 4, FALSE)),"""") ), CHAR(10), """&amp;",""), ""\s*,\s*"", "",""), "","")))&lt;&gt;"""" ) ) ) ),"""")
"),"")</f>
        <v/>
      </c>
      <c r="D567" s="105"/>
      <c r="E567" s="105"/>
      <c r="F567" s="110" t="b">
        <v>0</v>
      </c>
      <c r="G567" s="105" t="str">
        <f>IF(F567=True, IFERROR(VLOOKUP(D567, Repository!A:B, 2, 0), ""), "")</f>
        <v/>
      </c>
      <c r="H567" s="105"/>
      <c r="I567" s="105"/>
      <c r="J567" s="105" t="str">
        <f>IF(F567=True, IFERROR(VLOOKUP(D567, Repository!A:C, 3, 0), ""), "")</f>
        <v/>
      </c>
      <c r="K567" s="105"/>
      <c r="L567" s="105" t="str">
        <f>IF(F567=True, IFERROR(VLOOKUP(D567, Repository!A:E, 5, 0), ""), "")</f>
        <v/>
      </c>
      <c r="M567" s="105"/>
      <c r="N567" s="105" t="str">
        <f>IF(F567=True, IFERROR(VLOOKUP(D567, Repository!A:G, 7, 0), ""), "")</f>
        <v/>
      </c>
      <c r="O567" s="105" t="str">
        <f>IFERROR(__xludf.DUMMYFUNCTION("ARRAY_CONSTRAIN(
  ARRAYFORMULA(
    IFERROR(
      LET(
        list, N567,
        arr, TRIM(SPLIT(list, "","")),
        names, XLOOKUP(
          arr,
          'Conformance Score'!A:A,
          'Conformance Score'!B:B,
          ""Not found""
      "&amp;"  ),
        TEXTJOIN("", "", TRUE, names)
      ),
      """"
    )
  ),
  1,
  1
)
"),"")</f>
        <v/>
      </c>
      <c r="P567" s="105" t="str">
        <f>IF(F567="Yes", IFERROR(VLOOKUP(D567, Repository!A:F, 6, 0), ""), "")</f>
        <v/>
      </c>
      <c r="Q567" s="105" t="str">
        <f>IF(F567="Yes", IFERROR(VLOOKUP(D567, Repository!A:I, 8, 0), ""), "")</f>
        <v/>
      </c>
      <c r="R567" s="105" t="str">
        <f>IF(F567="Yes", IFERROR(VLOOKUP(D567, Repository!A:J, 9, 0), ""), "")</f>
        <v/>
      </c>
      <c r="S567" s="105"/>
      <c r="T567" s="105"/>
      <c r="U567" s="105"/>
      <c r="V567" s="105"/>
      <c r="W567" s="105"/>
      <c r="X567" s="105"/>
      <c r="Y567" s="105"/>
      <c r="Z567" s="105"/>
      <c r="AA567" s="105"/>
      <c r="AB567" s="105"/>
      <c r="AC567" s="91"/>
      <c r="AD567" s="105"/>
      <c r="AE567" s="105"/>
      <c r="AF567" s="91"/>
      <c r="AG567" s="105"/>
      <c r="AH567" s="105"/>
      <c r="AI567" s="105" t="str">
        <f t="shared" si="1"/>
        <v/>
      </c>
      <c r="AJ567" s="108" t="str">
        <f t="shared" si="2"/>
        <v/>
      </c>
    </row>
    <row r="568" ht="15.75" customHeight="1">
      <c r="A568" s="104"/>
      <c r="B568" s="105" t="str">
        <f>IFERROR(__xludf.DUMMYFUNCTION("ARRAY_CONSTRAIN(
  ARRAYFORMULA(
    IF(
      'Final Report'!A568="""",
      """",
      TEXTJOIN(
        "", "" &amp; CHAR(10),
        TRUE,
        IFERROR(
          VLOOKUP(
            TRIM(
              SPLIT('Final Report'!A568, "","")
           "&amp;" ),
            'URL Details'!A:B,
            2,
            FALSE
          ),
          """"
        )
      )
    )
  ),
  1,
  1
)
"),"")</f>
        <v/>
      </c>
      <c r="C568" s="105" t="str">
        <f>IFERROR(__xludf.DUMMYFUNCTION("IFERROR(IF('Final Report'!A568="""","""", TEXTJOIN(CHAR(10), TRUE, ARRAYFORMULA( ""• ""&amp; FILTER( TRIM(FLATTEN(SPLIT( REGEXREPLACE( SUBSTITUTE(TEXTJOIN("","", TRUE, IFERROR(ARRAYFORMULA(VLOOKUP(TRIM(SPLIT('Final Report'!A568, "","")), 'URL Details'!A:D, 4,"&amp;" FALSE)),"""") ), CHAR(10), "",""), ""\s*,\s*"", "",""), "",""))), TRIM(FLATTEN(SPLIT( REGEXREPLACE( SUBSTITUTE(TEXTJOIN("","", TRUE, IFERROR(ARRAYFORMULA(VLOOKUP(TRIM(SPLIT('Final Report'!A568, "","")), 'URL Details'!A:D, 4, FALSE)),"""") ), CHAR(10), """&amp;",""), ""\s*,\s*"", "",""), "","")))&lt;&gt;"""" ) ) ) ),"""")
"),"")</f>
        <v/>
      </c>
      <c r="D568" s="105"/>
      <c r="E568" s="105"/>
      <c r="F568" s="110" t="b">
        <v>0</v>
      </c>
      <c r="G568" s="105" t="str">
        <f>IF(F568=True, IFERROR(VLOOKUP(D568, Repository!A:B, 2, 0), ""), "")</f>
        <v/>
      </c>
      <c r="H568" s="105"/>
      <c r="I568" s="105"/>
      <c r="J568" s="105" t="str">
        <f>IF(F568=True, IFERROR(VLOOKUP(D568, Repository!A:C, 3, 0), ""), "")</f>
        <v/>
      </c>
      <c r="K568" s="105"/>
      <c r="L568" s="105" t="str">
        <f>IF(F568=True, IFERROR(VLOOKUP(D568, Repository!A:E, 5, 0), ""), "")</f>
        <v/>
      </c>
      <c r="M568" s="105"/>
      <c r="N568" s="105" t="str">
        <f>IF(F568=True, IFERROR(VLOOKUP(D568, Repository!A:G, 7, 0), ""), "")</f>
        <v/>
      </c>
      <c r="O568" s="105" t="str">
        <f>IFERROR(__xludf.DUMMYFUNCTION("ARRAY_CONSTRAIN(
  ARRAYFORMULA(
    IFERROR(
      LET(
        list, N568,
        arr, TRIM(SPLIT(list, "","")),
        names, XLOOKUP(
          arr,
          'Conformance Score'!A:A,
          'Conformance Score'!B:B,
          ""Not found""
      "&amp;"  ),
        TEXTJOIN("", "", TRUE, names)
      ),
      """"
    )
  ),
  1,
  1
)
"),"")</f>
        <v/>
      </c>
      <c r="P568" s="105" t="str">
        <f>IF(F568="Yes", IFERROR(VLOOKUP(D568, Repository!A:F, 6, 0), ""), "")</f>
        <v/>
      </c>
      <c r="Q568" s="105" t="str">
        <f>IF(F568="Yes", IFERROR(VLOOKUP(D568, Repository!A:I, 8, 0), ""), "")</f>
        <v/>
      </c>
      <c r="R568" s="105" t="str">
        <f>IF(F568="Yes", IFERROR(VLOOKUP(D568, Repository!A:J, 9, 0), ""), "")</f>
        <v/>
      </c>
      <c r="S568" s="105"/>
      <c r="T568" s="105"/>
      <c r="U568" s="105"/>
      <c r="V568" s="105"/>
      <c r="W568" s="105"/>
      <c r="X568" s="105"/>
      <c r="Y568" s="105"/>
      <c r="Z568" s="105"/>
      <c r="AA568" s="105"/>
      <c r="AB568" s="105"/>
      <c r="AC568" s="91"/>
      <c r="AD568" s="105"/>
      <c r="AE568" s="105"/>
      <c r="AF568" s="91"/>
      <c r="AG568" s="105"/>
      <c r="AH568" s="105"/>
      <c r="AI568" s="105" t="str">
        <f t="shared" si="1"/>
        <v/>
      </c>
      <c r="AJ568" s="108" t="str">
        <f t="shared" si="2"/>
        <v/>
      </c>
    </row>
    <row r="569" ht="15.75" customHeight="1">
      <c r="A569" s="104"/>
      <c r="B569" s="105" t="str">
        <f>IFERROR(__xludf.DUMMYFUNCTION("ARRAY_CONSTRAIN(
  ARRAYFORMULA(
    IF(
      'Final Report'!A569="""",
      """",
      TEXTJOIN(
        "", "" &amp; CHAR(10),
        TRUE,
        IFERROR(
          VLOOKUP(
            TRIM(
              SPLIT('Final Report'!A569, "","")
           "&amp;" ),
            'URL Details'!A:B,
            2,
            FALSE
          ),
          """"
        )
      )
    )
  ),
  1,
  1
)
"),"")</f>
        <v/>
      </c>
      <c r="C569" s="105" t="str">
        <f>IFERROR(__xludf.DUMMYFUNCTION("IFERROR(IF('Final Report'!A569="""","""", TEXTJOIN(CHAR(10), TRUE, ARRAYFORMULA( ""• ""&amp; FILTER( TRIM(FLATTEN(SPLIT( REGEXREPLACE( SUBSTITUTE(TEXTJOIN("","", TRUE, IFERROR(ARRAYFORMULA(VLOOKUP(TRIM(SPLIT('Final Report'!A569, "","")), 'URL Details'!A:D, 4,"&amp;" FALSE)),"""") ), CHAR(10), "",""), ""\s*,\s*"", "",""), "",""))), TRIM(FLATTEN(SPLIT( REGEXREPLACE( SUBSTITUTE(TEXTJOIN("","", TRUE, IFERROR(ARRAYFORMULA(VLOOKUP(TRIM(SPLIT('Final Report'!A569, "","")), 'URL Details'!A:D, 4, FALSE)),"""") ), CHAR(10), """&amp;",""), ""\s*,\s*"", "",""), "","")))&lt;&gt;"""" ) ) ) ),"""")
"),"")</f>
        <v/>
      </c>
      <c r="D569" s="105"/>
      <c r="E569" s="105"/>
      <c r="F569" s="110" t="b">
        <v>0</v>
      </c>
      <c r="G569" s="105" t="str">
        <f>IF(F569=True, IFERROR(VLOOKUP(D569, Repository!A:B, 2, 0), ""), "")</f>
        <v/>
      </c>
      <c r="H569" s="105"/>
      <c r="I569" s="105"/>
      <c r="J569" s="105" t="str">
        <f>IF(F569=True, IFERROR(VLOOKUP(D569, Repository!A:C, 3, 0), ""), "")</f>
        <v/>
      </c>
      <c r="K569" s="105"/>
      <c r="L569" s="105" t="str">
        <f>IF(F569=True, IFERROR(VLOOKUP(D569, Repository!A:E, 5, 0), ""), "")</f>
        <v/>
      </c>
      <c r="M569" s="105"/>
      <c r="N569" s="105" t="str">
        <f>IF(F569=True, IFERROR(VLOOKUP(D569, Repository!A:G, 7, 0), ""), "")</f>
        <v/>
      </c>
      <c r="O569" s="105" t="str">
        <f>IFERROR(__xludf.DUMMYFUNCTION("ARRAY_CONSTRAIN(
  ARRAYFORMULA(
    IFERROR(
      LET(
        list, N569,
        arr, TRIM(SPLIT(list, "","")),
        names, XLOOKUP(
          arr,
          'Conformance Score'!A:A,
          'Conformance Score'!B:B,
          ""Not found""
      "&amp;"  ),
        TEXTJOIN("", "", TRUE, names)
      ),
      """"
    )
  ),
  1,
  1
)
"),"")</f>
        <v/>
      </c>
      <c r="P569" s="105" t="str">
        <f>IF(F569="Yes", IFERROR(VLOOKUP(D569, Repository!A:F, 6, 0), ""), "")</f>
        <v/>
      </c>
      <c r="Q569" s="105" t="str">
        <f>IF(F569="Yes", IFERROR(VLOOKUP(D569, Repository!A:I, 8, 0), ""), "")</f>
        <v/>
      </c>
      <c r="R569" s="105" t="str">
        <f>IF(F569="Yes", IFERROR(VLOOKUP(D569, Repository!A:J, 9, 0), ""), "")</f>
        <v/>
      </c>
      <c r="S569" s="105"/>
      <c r="T569" s="105"/>
      <c r="U569" s="105"/>
      <c r="V569" s="105"/>
      <c r="W569" s="105"/>
      <c r="X569" s="105"/>
      <c r="Y569" s="105"/>
      <c r="Z569" s="105"/>
      <c r="AA569" s="105"/>
      <c r="AB569" s="105"/>
      <c r="AC569" s="91"/>
      <c r="AD569" s="105"/>
      <c r="AE569" s="105"/>
      <c r="AF569" s="91"/>
      <c r="AG569" s="105"/>
      <c r="AH569" s="105"/>
      <c r="AI569" s="105" t="str">
        <f t="shared" si="1"/>
        <v/>
      </c>
      <c r="AJ569" s="108" t="str">
        <f t="shared" si="2"/>
        <v/>
      </c>
    </row>
    <row r="570" ht="15.75" customHeight="1">
      <c r="A570" s="104"/>
      <c r="B570" s="105" t="str">
        <f>IFERROR(__xludf.DUMMYFUNCTION("ARRAY_CONSTRAIN(
  ARRAYFORMULA(
    IF(
      'Final Report'!A570="""",
      """",
      TEXTJOIN(
        "", "" &amp; CHAR(10),
        TRUE,
        IFERROR(
          VLOOKUP(
            TRIM(
              SPLIT('Final Report'!A570, "","")
           "&amp;" ),
            'URL Details'!A:B,
            2,
            FALSE
          ),
          """"
        )
      )
    )
  ),
  1,
  1
)
"),"")</f>
        <v/>
      </c>
      <c r="C570" s="105" t="str">
        <f>IFERROR(__xludf.DUMMYFUNCTION("IFERROR(IF('Final Report'!A570="""","""", TEXTJOIN(CHAR(10), TRUE, ARRAYFORMULA( ""• ""&amp; FILTER( TRIM(FLATTEN(SPLIT( REGEXREPLACE( SUBSTITUTE(TEXTJOIN("","", TRUE, IFERROR(ARRAYFORMULA(VLOOKUP(TRIM(SPLIT('Final Report'!A570, "","")), 'URL Details'!A:D, 4,"&amp;" FALSE)),"""") ), CHAR(10), "",""), ""\s*,\s*"", "",""), "",""))), TRIM(FLATTEN(SPLIT( REGEXREPLACE( SUBSTITUTE(TEXTJOIN("","", TRUE, IFERROR(ARRAYFORMULA(VLOOKUP(TRIM(SPLIT('Final Report'!A570, "","")), 'URL Details'!A:D, 4, FALSE)),"""") ), CHAR(10), """&amp;",""), ""\s*,\s*"", "",""), "","")))&lt;&gt;"""" ) ) ) ),"""")
"),"")</f>
        <v/>
      </c>
      <c r="D570" s="105"/>
      <c r="E570" s="105"/>
      <c r="F570" s="110" t="b">
        <v>0</v>
      </c>
      <c r="G570" s="105" t="str">
        <f>IF(F570=True, IFERROR(VLOOKUP(D570, Repository!A:B, 2, 0), ""), "")</f>
        <v/>
      </c>
      <c r="H570" s="105"/>
      <c r="I570" s="105"/>
      <c r="J570" s="105" t="str">
        <f>IF(F570=True, IFERROR(VLOOKUP(D570, Repository!A:C, 3, 0), ""), "")</f>
        <v/>
      </c>
      <c r="K570" s="105"/>
      <c r="L570" s="105" t="str">
        <f>IF(F570=True, IFERROR(VLOOKUP(D570, Repository!A:E, 5, 0), ""), "")</f>
        <v/>
      </c>
      <c r="M570" s="105"/>
      <c r="N570" s="105" t="str">
        <f>IF(F570=True, IFERROR(VLOOKUP(D570, Repository!A:G, 7, 0), ""), "")</f>
        <v/>
      </c>
      <c r="O570" s="105" t="str">
        <f>IFERROR(__xludf.DUMMYFUNCTION("ARRAY_CONSTRAIN(
  ARRAYFORMULA(
    IFERROR(
      LET(
        list, N570,
        arr, TRIM(SPLIT(list, "","")),
        names, XLOOKUP(
          arr,
          'Conformance Score'!A:A,
          'Conformance Score'!B:B,
          ""Not found""
      "&amp;"  ),
        TEXTJOIN("", "", TRUE, names)
      ),
      """"
    )
  ),
  1,
  1
)
"),"")</f>
        <v/>
      </c>
      <c r="P570" s="105" t="str">
        <f>IF(F570="Yes", IFERROR(VLOOKUP(D570, Repository!A:F, 6, 0), ""), "")</f>
        <v/>
      </c>
      <c r="Q570" s="105" t="str">
        <f>IF(F570="Yes", IFERROR(VLOOKUP(D570, Repository!A:I, 8, 0), ""), "")</f>
        <v/>
      </c>
      <c r="R570" s="105" t="str">
        <f>IF(F570="Yes", IFERROR(VLOOKUP(D570, Repository!A:J, 9, 0), ""), "")</f>
        <v/>
      </c>
      <c r="S570" s="105"/>
      <c r="T570" s="105"/>
      <c r="U570" s="105"/>
      <c r="V570" s="105"/>
      <c r="W570" s="105"/>
      <c r="X570" s="105"/>
      <c r="Y570" s="105"/>
      <c r="Z570" s="105"/>
      <c r="AA570" s="105"/>
      <c r="AB570" s="105"/>
      <c r="AC570" s="91"/>
      <c r="AD570" s="105"/>
      <c r="AE570" s="105"/>
      <c r="AF570" s="91"/>
      <c r="AG570" s="105"/>
      <c r="AH570" s="105"/>
      <c r="AI570" s="105" t="str">
        <f t="shared" si="1"/>
        <v/>
      </c>
      <c r="AJ570" s="108" t="str">
        <f t="shared" si="2"/>
        <v/>
      </c>
    </row>
    <row r="571" ht="15.75" customHeight="1">
      <c r="A571" s="104"/>
      <c r="B571" s="105" t="str">
        <f>IFERROR(__xludf.DUMMYFUNCTION("ARRAY_CONSTRAIN(
  ARRAYFORMULA(
    IF(
      'Final Report'!A571="""",
      """",
      TEXTJOIN(
        "", "" &amp; CHAR(10),
        TRUE,
        IFERROR(
          VLOOKUP(
            TRIM(
              SPLIT('Final Report'!A571, "","")
           "&amp;" ),
            'URL Details'!A:B,
            2,
            FALSE
          ),
          """"
        )
      )
    )
  ),
  1,
  1
)
"),"")</f>
        <v/>
      </c>
      <c r="C571" s="105" t="str">
        <f>IFERROR(__xludf.DUMMYFUNCTION("IFERROR(IF('Final Report'!A571="""","""", TEXTJOIN(CHAR(10), TRUE, ARRAYFORMULA( ""• ""&amp; FILTER( TRIM(FLATTEN(SPLIT( REGEXREPLACE( SUBSTITUTE(TEXTJOIN("","", TRUE, IFERROR(ARRAYFORMULA(VLOOKUP(TRIM(SPLIT('Final Report'!A571, "","")), 'URL Details'!A:D, 4,"&amp;" FALSE)),"""") ), CHAR(10), "",""), ""\s*,\s*"", "",""), "",""))), TRIM(FLATTEN(SPLIT( REGEXREPLACE( SUBSTITUTE(TEXTJOIN("","", TRUE, IFERROR(ARRAYFORMULA(VLOOKUP(TRIM(SPLIT('Final Report'!A571, "","")), 'URL Details'!A:D, 4, FALSE)),"""") ), CHAR(10), """&amp;",""), ""\s*,\s*"", "",""), "","")))&lt;&gt;"""" ) ) ) ),"""")
"),"")</f>
        <v/>
      </c>
      <c r="D571" s="105"/>
      <c r="E571" s="105"/>
      <c r="F571" s="110" t="b">
        <v>0</v>
      </c>
      <c r="G571" s="105" t="str">
        <f>IF(F571=True, IFERROR(VLOOKUP(D571, Repository!A:B, 2, 0), ""), "")</f>
        <v/>
      </c>
      <c r="H571" s="105"/>
      <c r="I571" s="105"/>
      <c r="J571" s="105" t="str">
        <f>IF(F571=True, IFERROR(VLOOKUP(D571, Repository!A:C, 3, 0), ""), "")</f>
        <v/>
      </c>
      <c r="K571" s="105"/>
      <c r="L571" s="105" t="str">
        <f>IF(F571=True, IFERROR(VLOOKUP(D571, Repository!A:E, 5, 0), ""), "")</f>
        <v/>
      </c>
      <c r="M571" s="105"/>
      <c r="N571" s="105" t="str">
        <f>IF(F571=True, IFERROR(VLOOKUP(D571, Repository!A:G, 7, 0), ""), "")</f>
        <v/>
      </c>
      <c r="O571" s="105" t="str">
        <f>IFERROR(__xludf.DUMMYFUNCTION("ARRAY_CONSTRAIN(
  ARRAYFORMULA(
    IFERROR(
      LET(
        list, N571,
        arr, TRIM(SPLIT(list, "","")),
        names, XLOOKUP(
          arr,
          'Conformance Score'!A:A,
          'Conformance Score'!B:B,
          ""Not found""
      "&amp;"  ),
        TEXTJOIN("", "", TRUE, names)
      ),
      """"
    )
  ),
  1,
  1
)
"),"")</f>
        <v/>
      </c>
      <c r="P571" s="105" t="str">
        <f>IF(F571="Yes", IFERROR(VLOOKUP(D571, Repository!A:F, 6, 0), ""), "")</f>
        <v/>
      </c>
      <c r="Q571" s="105" t="str">
        <f>IF(F571="Yes", IFERROR(VLOOKUP(D571, Repository!A:I, 8, 0), ""), "")</f>
        <v/>
      </c>
      <c r="R571" s="105" t="str">
        <f>IF(F571="Yes", IFERROR(VLOOKUP(D571, Repository!A:J, 9, 0), ""), "")</f>
        <v/>
      </c>
      <c r="S571" s="105"/>
      <c r="T571" s="105"/>
      <c r="U571" s="105"/>
      <c r="V571" s="105"/>
      <c r="W571" s="105"/>
      <c r="X571" s="105"/>
      <c r="Y571" s="105"/>
      <c r="Z571" s="105"/>
      <c r="AA571" s="105"/>
      <c r="AB571" s="105"/>
      <c r="AC571" s="91"/>
      <c r="AD571" s="105"/>
      <c r="AE571" s="105"/>
      <c r="AF571" s="91"/>
      <c r="AG571" s="105"/>
      <c r="AH571" s="105"/>
      <c r="AI571" s="105" t="str">
        <f t="shared" si="1"/>
        <v/>
      </c>
      <c r="AJ571" s="108" t="str">
        <f t="shared" si="2"/>
        <v/>
      </c>
    </row>
    <row r="572" ht="15.75" customHeight="1">
      <c r="A572" s="104"/>
      <c r="B572" s="105" t="str">
        <f>IFERROR(__xludf.DUMMYFUNCTION("ARRAY_CONSTRAIN(
  ARRAYFORMULA(
    IF(
      'Final Report'!A572="""",
      """",
      TEXTJOIN(
        "", "" &amp; CHAR(10),
        TRUE,
        IFERROR(
          VLOOKUP(
            TRIM(
              SPLIT('Final Report'!A572, "","")
           "&amp;" ),
            'URL Details'!A:B,
            2,
            FALSE
          ),
          """"
        )
      )
    )
  ),
  1,
  1
)
"),"")</f>
        <v/>
      </c>
      <c r="C572" s="105" t="str">
        <f>IFERROR(__xludf.DUMMYFUNCTION("IFERROR(IF('Final Report'!A572="""","""", TEXTJOIN(CHAR(10), TRUE, ARRAYFORMULA( ""• ""&amp; FILTER( TRIM(FLATTEN(SPLIT( REGEXREPLACE( SUBSTITUTE(TEXTJOIN("","", TRUE, IFERROR(ARRAYFORMULA(VLOOKUP(TRIM(SPLIT('Final Report'!A572, "","")), 'URL Details'!A:D, 4,"&amp;" FALSE)),"""") ), CHAR(10), "",""), ""\s*,\s*"", "",""), "",""))), TRIM(FLATTEN(SPLIT( REGEXREPLACE( SUBSTITUTE(TEXTJOIN("","", TRUE, IFERROR(ARRAYFORMULA(VLOOKUP(TRIM(SPLIT('Final Report'!A572, "","")), 'URL Details'!A:D, 4, FALSE)),"""") ), CHAR(10), """&amp;",""), ""\s*,\s*"", "",""), "","")))&lt;&gt;"""" ) ) ) ),"""")
"),"")</f>
        <v/>
      </c>
      <c r="D572" s="105"/>
      <c r="E572" s="105"/>
      <c r="F572" s="110" t="b">
        <v>0</v>
      </c>
      <c r="G572" s="105" t="str">
        <f>IF(F572=True, IFERROR(VLOOKUP(D572, Repository!A:B, 2, 0), ""), "")</f>
        <v/>
      </c>
      <c r="H572" s="105"/>
      <c r="I572" s="105"/>
      <c r="J572" s="105" t="str">
        <f>IF(F572=True, IFERROR(VLOOKUP(D572, Repository!A:C, 3, 0), ""), "")</f>
        <v/>
      </c>
      <c r="K572" s="105"/>
      <c r="L572" s="105" t="str">
        <f>IF(F572=True, IFERROR(VLOOKUP(D572, Repository!A:E, 5, 0), ""), "")</f>
        <v/>
      </c>
      <c r="M572" s="105"/>
      <c r="N572" s="105" t="str">
        <f>IF(F572=True, IFERROR(VLOOKUP(D572, Repository!A:G, 7, 0), ""), "")</f>
        <v/>
      </c>
      <c r="O572" s="105" t="str">
        <f>IFERROR(__xludf.DUMMYFUNCTION("ARRAY_CONSTRAIN(
  ARRAYFORMULA(
    IFERROR(
      LET(
        list, N572,
        arr, TRIM(SPLIT(list, "","")),
        names, XLOOKUP(
          arr,
          'Conformance Score'!A:A,
          'Conformance Score'!B:B,
          ""Not found""
      "&amp;"  ),
        TEXTJOIN("", "", TRUE, names)
      ),
      """"
    )
  ),
  1,
  1
)
"),"")</f>
        <v/>
      </c>
      <c r="P572" s="105" t="str">
        <f>IF(F572="Yes", IFERROR(VLOOKUP(D572, Repository!A:F, 6, 0), ""), "")</f>
        <v/>
      </c>
      <c r="Q572" s="105" t="str">
        <f>IF(F572="Yes", IFERROR(VLOOKUP(D572, Repository!A:I, 8, 0), ""), "")</f>
        <v/>
      </c>
      <c r="R572" s="105" t="str">
        <f>IF(F572="Yes", IFERROR(VLOOKUP(D572, Repository!A:J, 9, 0), ""), "")</f>
        <v/>
      </c>
      <c r="S572" s="105"/>
      <c r="T572" s="105"/>
      <c r="U572" s="105"/>
      <c r="V572" s="105"/>
      <c r="W572" s="105"/>
      <c r="X572" s="105"/>
      <c r="Y572" s="105"/>
      <c r="Z572" s="105"/>
      <c r="AA572" s="105"/>
      <c r="AB572" s="105"/>
      <c r="AC572" s="91"/>
      <c r="AD572" s="105"/>
      <c r="AE572" s="105"/>
      <c r="AF572" s="91"/>
      <c r="AG572" s="105"/>
      <c r="AH572" s="105"/>
      <c r="AI572" s="105" t="str">
        <f t="shared" si="1"/>
        <v/>
      </c>
      <c r="AJ572" s="108" t="str">
        <f t="shared" si="2"/>
        <v/>
      </c>
    </row>
    <row r="573" ht="15.75" customHeight="1">
      <c r="A573" s="104"/>
      <c r="B573" s="105" t="str">
        <f>IFERROR(__xludf.DUMMYFUNCTION("ARRAY_CONSTRAIN(
  ARRAYFORMULA(
    IF(
      'Final Report'!A573="""",
      """",
      TEXTJOIN(
        "", "" &amp; CHAR(10),
        TRUE,
        IFERROR(
          VLOOKUP(
            TRIM(
              SPLIT('Final Report'!A573, "","")
           "&amp;" ),
            'URL Details'!A:B,
            2,
            FALSE
          ),
          """"
        )
      )
    )
  ),
  1,
  1
)
"),"")</f>
        <v/>
      </c>
      <c r="C573" s="105" t="str">
        <f>IFERROR(__xludf.DUMMYFUNCTION("IFERROR(IF('Final Report'!A573="""","""", TEXTJOIN(CHAR(10), TRUE, ARRAYFORMULA( ""• ""&amp; FILTER( TRIM(FLATTEN(SPLIT( REGEXREPLACE( SUBSTITUTE(TEXTJOIN("","", TRUE, IFERROR(ARRAYFORMULA(VLOOKUP(TRIM(SPLIT('Final Report'!A573, "","")), 'URL Details'!A:D, 4,"&amp;" FALSE)),"""") ), CHAR(10), "",""), ""\s*,\s*"", "",""), "",""))), TRIM(FLATTEN(SPLIT( REGEXREPLACE( SUBSTITUTE(TEXTJOIN("","", TRUE, IFERROR(ARRAYFORMULA(VLOOKUP(TRIM(SPLIT('Final Report'!A573, "","")), 'URL Details'!A:D, 4, FALSE)),"""") ), CHAR(10), """&amp;",""), ""\s*,\s*"", "",""), "","")))&lt;&gt;"""" ) ) ) ),"""")
"),"")</f>
        <v/>
      </c>
      <c r="D573" s="105"/>
      <c r="E573" s="105"/>
      <c r="F573" s="110" t="b">
        <v>0</v>
      </c>
      <c r="G573" s="105" t="str">
        <f>IF(F573=True, IFERROR(VLOOKUP(D573, Repository!A:B, 2, 0), ""), "")</f>
        <v/>
      </c>
      <c r="H573" s="105"/>
      <c r="I573" s="105"/>
      <c r="J573" s="105" t="str">
        <f>IF(F573=True, IFERROR(VLOOKUP(D573, Repository!A:C, 3, 0), ""), "")</f>
        <v/>
      </c>
      <c r="K573" s="105"/>
      <c r="L573" s="105" t="str">
        <f>IF(F573=True, IFERROR(VLOOKUP(D573, Repository!A:E, 5, 0), ""), "")</f>
        <v/>
      </c>
      <c r="M573" s="105"/>
      <c r="N573" s="105" t="str">
        <f>IF(F573=True, IFERROR(VLOOKUP(D573, Repository!A:G, 7, 0), ""), "")</f>
        <v/>
      </c>
      <c r="O573" s="105" t="str">
        <f>IFERROR(__xludf.DUMMYFUNCTION("ARRAY_CONSTRAIN(
  ARRAYFORMULA(
    IFERROR(
      LET(
        list, N573,
        arr, TRIM(SPLIT(list, "","")),
        names, XLOOKUP(
          arr,
          'Conformance Score'!A:A,
          'Conformance Score'!B:B,
          ""Not found""
      "&amp;"  ),
        TEXTJOIN("", "", TRUE, names)
      ),
      """"
    )
  ),
  1,
  1
)
"),"")</f>
        <v/>
      </c>
      <c r="P573" s="105" t="str">
        <f>IF(F573="Yes", IFERROR(VLOOKUP(D573, Repository!A:F, 6, 0), ""), "")</f>
        <v/>
      </c>
      <c r="Q573" s="105" t="str">
        <f>IF(F573="Yes", IFERROR(VLOOKUP(D573, Repository!A:I, 8, 0), ""), "")</f>
        <v/>
      </c>
      <c r="R573" s="105" t="str">
        <f>IF(F573="Yes", IFERROR(VLOOKUP(D573, Repository!A:J, 9, 0), ""), "")</f>
        <v/>
      </c>
      <c r="S573" s="105"/>
      <c r="T573" s="105"/>
      <c r="U573" s="105"/>
      <c r="V573" s="105"/>
      <c r="W573" s="105"/>
      <c r="X573" s="105"/>
      <c r="Y573" s="105"/>
      <c r="Z573" s="105"/>
      <c r="AA573" s="105"/>
      <c r="AB573" s="105"/>
      <c r="AC573" s="91"/>
      <c r="AD573" s="105"/>
      <c r="AE573" s="105"/>
      <c r="AF573" s="91"/>
      <c r="AG573" s="105"/>
      <c r="AH573" s="105"/>
      <c r="AI573" s="105" t="str">
        <f t="shared" si="1"/>
        <v/>
      </c>
      <c r="AJ573" s="108" t="str">
        <f t="shared" si="2"/>
        <v/>
      </c>
    </row>
    <row r="574" ht="15.75" customHeight="1">
      <c r="A574" s="104"/>
      <c r="B574" s="105" t="str">
        <f>IFERROR(__xludf.DUMMYFUNCTION("ARRAY_CONSTRAIN(
  ARRAYFORMULA(
    IF(
      'Final Report'!A574="""",
      """",
      TEXTJOIN(
        "", "" &amp; CHAR(10),
        TRUE,
        IFERROR(
          VLOOKUP(
            TRIM(
              SPLIT('Final Report'!A574, "","")
           "&amp;" ),
            'URL Details'!A:B,
            2,
            FALSE
          ),
          """"
        )
      )
    )
  ),
  1,
  1
)
"),"")</f>
        <v/>
      </c>
      <c r="C574" s="105" t="str">
        <f>IFERROR(__xludf.DUMMYFUNCTION("IFERROR(IF('Final Report'!A574="""","""", TEXTJOIN(CHAR(10), TRUE, ARRAYFORMULA( ""• ""&amp; FILTER( TRIM(FLATTEN(SPLIT( REGEXREPLACE( SUBSTITUTE(TEXTJOIN("","", TRUE, IFERROR(ARRAYFORMULA(VLOOKUP(TRIM(SPLIT('Final Report'!A574, "","")), 'URL Details'!A:D, 4,"&amp;" FALSE)),"""") ), CHAR(10), "",""), ""\s*,\s*"", "",""), "",""))), TRIM(FLATTEN(SPLIT( REGEXREPLACE( SUBSTITUTE(TEXTJOIN("","", TRUE, IFERROR(ARRAYFORMULA(VLOOKUP(TRIM(SPLIT('Final Report'!A574, "","")), 'URL Details'!A:D, 4, FALSE)),"""") ), CHAR(10), """&amp;",""), ""\s*,\s*"", "",""), "","")))&lt;&gt;"""" ) ) ) ),"""")
"),"")</f>
        <v/>
      </c>
      <c r="D574" s="105"/>
      <c r="E574" s="105"/>
      <c r="F574" s="110" t="b">
        <v>0</v>
      </c>
      <c r="G574" s="105" t="str">
        <f>IF(F574=True, IFERROR(VLOOKUP(D574, Repository!A:B, 2, 0), ""), "")</f>
        <v/>
      </c>
      <c r="H574" s="105"/>
      <c r="I574" s="105"/>
      <c r="J574" s="105" t="str">
        <f>IF(F574=True, IFERROR(VLOOKUP(D574, Repository!A:C, 3, 0), ""), "")</f>
        <v/>
      </c>
      <c r="K574" s="105"/>
      <c r="L574" s="105" t="str">
        <f>IF(F574=True, IFERROR(VLOOKUP(D574, Repository!A:E, 5, 0), ""), "")</f>
        <v/>
      </c>
      <c r="M574" s="105"/>
      <c r="N574" s="105" t="str">
        <f>IF(F574=True, IFERROR(VLOOKUP(D574, Repository!A:G, 7, 0), ""), "")</f>
        <v/>
      </c>
      <c r="O574" s="105" t="str">
        <f>IFERROR(__xludf.DUMMYFUNCTION("ARRAY_CONSTRAIN(
  ARRAYFORMULA(
    IFERROR(
      LET(
        list, N574,
        arr, TRIM(SPLIT(list, "","")),
        names, XLOOKUP(
          arr,
          'Conformance Score'!A:A,
          'Conformance Score'!B:B,
          ""Not found""
      "&amp;"  ),
        TEXTJOIN("", "", TRUE, names)
      ),
      """"
    )
  ),
  1,
  1
)
"),"")</f>
        <v/>
      </c>
      <c r="P574" s="105" t="str">
        <f>IF(F574="Yes", IFERROR(VLOOKUP(D574, Repository!A:F, 6, 0), ""), "")</f>
        <v/>
      </c>
      <c r="Q574" s="105" t="str">
        <f>IF(F574="Yes", IFERROR(VLOOKUP(D574, Repository!A:I, 8, 0), ""), "")</f>
        <v/>
      </c>
      <c r="R574" s="105" t="str">
        <f>IF(F574="Yes", IFERROR(VLOOKUP(D574, Repository!A:J, 9, 0), ""), "")</f>
        <v/>
      </c>
      <c r="S574" s="105"/>
      <c r="T574" s="105"/>
      <c r="U574" s="105"/>
      <c r="V574" s="105"/>
      <c r="W574" s="105"/>
      <c r="X574" s="105"/>
      <c r="Y574" s="105"/>
      <c r="Z574" s="105"/>
      <c r="AA574" s="105"/>
      <c r="AB574" s="105"/>
      <c r="AC574" s="91"/>
      <c r="AD574" s="105"/>
      <c r="AE574" s="105"/>
      <c r="AF574" s="91"/>
      <c r="AG574" s="105"/>
      <c r="AH574" s="105"/>
      <c r="AI574" s="105" t="str">
        <f t="shared" si="1"/>
        <v/>
      </c>
      <c r="AJ574" s="108" t="str">
        <f t="shared" si="2"/>
        <v/>
      </c>
    </row>
    <row r="575" ht="15.75" customHeight="1">
      <c r="A575" s="104"/>
      <c r="B575" s="105" t="str">
        <f>IFERROR(__xludf.DUMMYFUNCTION("ARRAY_CONSTRAIN(
  ARRAYFORMULA(
    IF(
      'Final Report'!A575="""",
      """",
      TEXTJOIN(
        "", "" &amp; CHAR(10),
        TRUE,
        IFERROR(
          VLOOKUP(
            TRIM(
              SPLIT('Final Report'!A575, "","")
           "&amp;" ),
            'URL Details'!A:B,
            2,
            FALSE
          ),
          """"
        )
      )
    )
  ),
  1,
  1
)
"),"")</f>
        <v/>
      </c>
      <c r="C575" s="105" t="str">
        <f>IFERROR(__xludf.DUMMYFUNCTION("IFERROR(IF('Final Report'!A575="""","""", TEXTJOIN(CHAR(10), TRUE, ARRAYFORMULA( ""• ""&amp; FILTER( TRIM(FLATTEN(SPLIT( REGEXREPLACE( SUBSTITUTE(TEXTJOIN("","", TRUE, IFERROR(ARRAYFORMULA(VLOOKUP(TRIM(SPLIT('Final Report'!A575, "","")), 'URL Details'!A:D, 4,"&amp;" FALSE)),"""") ), CHAR(10), "",""), ""\s*,\s*"", "",""), "",""))), TRIM(FLATTEN(SPLIT( REGEXREPLACE( SUBSTITUTE(TEXTJOIN("","", TRUE, IFERROR(ARRAYFORMULA(VLOOKUP(TRIM(SPLIT('Final Report'!A575, "","")), 'URL Details'!A:D, 4, FALSE)),"""") ), CHAR(10), """&amp;",""), ""\s*,\s*"", "",""), "","")))&lt;&gt;"""" ) ) ) ),"""")
"),"")</f>
        <v/>
      </c>
      <c r="D575" s="105"/>
      <c r="E575" s="105"/>
      <c r="F575" s="110" t="b">
        <v>0</v>
      </c>
      <c r="G575" s="105" t="str">
        <f>IF(F575=True, IFERROR(VLOOKUP(D575, Repository!A:B, 2, 0), ""), "")</f>
        <v/>
      </c>
      <c r="H575" s="105"/>
      <c r="I575" s="105"/>
      <c r="J575" s="105" t="str">
        <f>IF(F575=True, IFERROR(VLOOKUP(D575, Repository!A:C, 3, 0), ""), "")</f>
        <v/>
      </c>
      <c r="K575" s="105"/>
      <c r="L575" s="105" t="str">
        <f>IF(F575=True, IFERROR(VLOOKUP(D575, Repository!A:E, 5, 0), ""), "")</f>
        <v/>
      </c>
      <c r="M575" s="105"/>
      <c r="N575" s="105" t="str">
        <f>IF(F575=True, IFERROR(VLOOKUP(D575, Repository!A:G, 7, 0), ""), "")</f>
        <v/>
      </c>
      <c r="O575" s="105" t="str">
        <f>IFERROR(__xludf.DUMMYFUNCTION("ARRAY_CONSTRAIN(
  ARRAYFORMULA(
    IFERROR(
      LET(
        list, N575,
        arr, TRIM(SPLIT(list, "","")),
        names, XLOOKUP(
          arr,
          'Conformance Score'!A:A,
          'Conformance Score'!B:B,
          ""Not found""
      "&amp;"  ),
        TEXTJOIN("", "", TRUE, names)
      ),
      """"
    )
  ),
  1,
  1
)
"),"")</f>
        <v/>
      </c>
      <c r="P575" s="105" t="str">
        <f>IF(F575="Yes", IFERROR(VLOOKUP(D575, Repository!A:F, 6, 0), ""), "")</f>
        <v/>
      </c>
      <c r="Q575" s="105" t="str">
        <f>IF(F575="Yes", IFERROR(VLOOKUP(D575, Repository!A:I, 8, 0), ""), "")</f>
        <v/>
      </c>
      <c r="R575" s="105" t="str">
        <f>IF(F575="Yes", IFERROR(VLOOKUP(D575, Repository!A:J, 9, 0), ""), "")</f>
        <v/>
      </c>
      <c r="S575" s="105"/>
      <c r="T575" s="105"/>
      <c r="U575" s="105"/>
      <c r="V575" s="105"/>
      <c r="W575" s="105"/>
      <c r="X575" s="105"/>
      <c r="Y575" s="105"/>
      <c r="Z575" s="105"/>
      <c r="AA575" s="105"/>
      <c r="AB575" s="105"/>
      <c r="AC575" s="91"/>
      <c r="AD575" s="105"/>
      <c r="AE575" s="105"/>
      <c r="AF575" s="91"/>
      <c r="AG575" s="105"/>
      <c r="AH575" s="105"/>
      <c r="AI575" s="105" t="str">
        <f t="shared" si="1"/>
        <v/>
      </c>
      <c r="AJ575" s="108" t="str">
        <f t="shared" si="2"/>
        <v/>
      </c>
    </row>
    <row r="576" ht="15.75" customHeight="1">
      <c r="A576" s="104"/>
      <c r="B576" s="105" t="str">
        <f>IFERROR(__xludf.DUMMYFUNCTION("ARRAY_CONSTRAIN(
  ARRAYFORMULA(
    IF(
      'Final Report'!A576="""",
      """",
      TEXTJOIN(
        "", "" &amp; CHAR(10),
        TRUE,
        IFERROR(
          VLOOKUP(
            TRIM(
              SPLIT('Final Report'!A576, "","")
           "&amp;" ),
            'URL Details'!A:B,
            2,
            FALSE
          ),
          """"
        )
      )
    )
  ),
  1,
  1
)
"),"")</f>
        <v/>
      </c>
      <c r="C576" s="105" t="str">
        <f>IFERROR(__xludf.DUMMYFUNCTION("IFERROR(IF('Final Report'!A576="""","""", TEXTJOIN(CHAR(10), TRUE, ARRAYFORMULA( ""• ""&amp; FILTER( TRIM(FLATTEN(SPLIT( REGEXREPLACE( SUBSTITUTE(TEXTJOIN("","", TRUE, IFERROR(ARRAYFORMULA(VLOOKUP(TRIM(SPLIT('Final Report'!A576, "","")), 'URL Details'!A:D, 4,"&amp;" FALSE)),"""") ), CHAR(10), "",""), ""\s*,\s*"", "",""), "",""))), TRIM(FLATTEN(SPLIT( REGEXREPLACE( SUBSTITUTE(TEXTJOIN("","", TRUE, IFERROR(ARRAYFORMULA(VLOOKUP(TRIM(SPLIT('Final Report'!A576, "","")), 'URL Details'!A:D, 4, FALSE)),"""") ), CHAR(10), """&amp;",""), ""\s*,\s*"", "",""), "","")))&lt;&gt;"""" ) ) ) ),"""")
"),"")</f>
        <v/>
      </c>
      <c r="D576" s="105"/>
      <c r="E576" s="105"/>
      <c r="F576" s="110" t="b">
        <v>0</v>
      </c>
      <c r="G576" s="105" t="str">
        <f>IF(F576=True, IFERROR(VLOOKUP(D576, Repository!A:B, 2, 0), ""), "")</f>
        <v/>
      </c>
      <c r="H576" s="105"/>
      <c r="I576" s="105"/>
      <c r="J576" s="105" t="str">
        <f>IF(F576=True, IFERROR(VLOOKUP(D576, Repository!A:C, 3, 0), ""), "")</f>
        <v/>
      </c>
      <c r="K576" s="105"/>
      <c r="L576" s="105" t="str">
        <f>IF(F576=True, IFERROR(VLOOKUP(D576, Repository!A:E, 5, 0), ""), "")</f>
        <v/>
      </c>
      <c r="M576" s="105"/>
      <c r="N576" s="105" t="str">
        <f>IF(F576=True, IFERROR(VLOOKUP(D576, Repository!A:G, 7, 0), ""), "")</f>
        <v/>
      </c>
      <c r="O576" s="105" t="str">
        <f>IFERROR(__xludf.DUMMYFUNCTION("ARRAY_CONSTRAIN(
  ARRAYFORMULA(
    IFERROR(
      LET(
        list, N576,
        arr, TRIM(SPLIT(list, "","")),
        names, XLOOKUP(
          arr,
          'Conformance Score'!A:A,
          'Conformance Score'!B:B,
          ""Not found""
      "&amp;"  ),
        TEXTJOIN("", "", TRUE, names)
      ),
      """"
    )
  ),
  1,
  1
)
"),"")</f>
        <v/>
      </c>
      <c r="P576" s="105" t="str">
        <f>IF(F576="Yes", IFERROR(VLOOKUP(D576, Repository!A:F, 6, 0), ""), "")</f>
        <v/>
      </c>
      <c r="Q576" s="105" t="str">
        <f>IF(F576="Yes", IFERROR(VLOOKUP(D576, Repository!A:I, 8, 0), ""), "")</f>
        <v/>
      </c>
      <c r="R576" s="105" t="str">
        <f>IF(F576="Yes", IFERROR(VLOOKUP(D576, Repository!A:J, 9, 0), ""), "")</f>
        <v/>
      </c>
      <c r="S576" s="105"/>
      <c r="T576" s="105"/>
      <c r="U576" s="105"/>
      <c r="V576" s="105"/>
      <c r="W576" s="105"/>
      <c r="X576" s="105"/>
      <c r="Y576" s="105"/>
      <c r="Z576" s="105"/>
      <c r="AA576" s="105"/>
      <c r="AB576" s="105"/>
      <c r="AC576" s="91"/>
      <c r="AD576" s="105"/>
      <c r="AE576" s="105"/>
      <c r="AF576" s="91"/>
      <c r="AG576" s="105"/>
      <c r="AH576" s="105"/>
      <c r="AI576" s="105" t="str">
        <f t="shared" si="1"/>
        <v/>
      </c>
      <c r="AJ576" s="108" t="str">
        <f t="shared" si="2"/>
        <v/>
      </c>
    </row>
    <row r="577" ht="15.75" customHeight="1">
      <c r="A577" s="104"/>
      <c r="B577" s="105" t="str">
        <f>IFERROR(__xludf.DUMMYFUNCTION("ARRAY_CONSTRAIN(
  ARRAYFORMULA(
    IF(
      'Final Report'!A577="""",
      """",
      TEXTJOIN(
        "", "" &amp; CHAR(10),
        TRUE,
        IFERROR(
          VLOOKUP(
            TRIM(
              SPLIT('Final Report'!A577, "","")
           "&amp;" ),
            'URL Details'!A:B,
            2,
            FALSE
          ),
          """"
        )
      )
    )
  ),
  1,
  1
)
"),"")</f>
        <v/>
      </c>
      <c r="C577" s="105" t="str">
        <f>IFERROR(__xludf.DUMMYFUNCTION("IFERROR(IF('Final Report'!A577="""","""", TEXTJOIN(CHAR(10), TRUE, ARRAYFORMULA( ""• ""&amp; FILTER( TRIM(FLATTEN(SPLIT( REGEXREPLACE( SUBSTITUTE(TEXTJOIN("","", TRUE, IFERROR(ARRAYFORMULA(VLOOKUP(TRIM(SPLIT('Final Report'!A577, "","")), 'URL Details'!A:D, 4,"&amp;" FALSE)),"""") ), CHAR(10), "",""), ""\s*,\s*"", "",""), "",""))), TRIM(FLATTEN(SPLIT( REGEXREPLACE( SUBSTITUTE(TEXTJOIN("","", TRUE, IFERROR(ARRAYFORMULA(VLOOKUP(TRIM(SPLIT('Final Report'!A577, "","")), 'URL Details'!A:D, 4, FALSE)),"""") ), CHAR(10), """&amp;",""), ""\s*,\s*"", "",""), "","")))&lt;&gt;"""" ) ) ) ),"""")
"),"")</f>
        <v/>
      </c>
      <c r="D577" s="105"/>
      <c r="E577" s="105"/>
      <c r="F577" s="110" t="b">
        <v>0</v>
      </c>
      <c r="G577" s="105" t="str">
        <f>IF(F577=True, IFERROR(VLOOKUP(D577, Repository!A:B, 2, 0), ""), "")</f>
        <v/>
      </c>
      <c r="H577" s="105"/>
      <c r="I577" s="105"/>
      <c r="J577" s="105" t="str">
        <f>IF(F577=True, IFERROR(VLOOKUP(D577, Repository!A:C, 3, 0), ""), "")</f>
        <v/>
      </c>
      <c r="K577" s="105"/>
      <c r="L577" s="105" t="str">
        <f>IF(F577=True, IFERROR(VLOOKUP(D577, Repository!A:E, 5, 0), ""), "")</f>
        <v/>
      </c>
      <c r="M577" s="105"/>
      <c r="N577" s="105" t="str">
        <f>IF(F577=True, IFERROR(VLOOKUP(D577, Repository!A:G, 7, 0), ""), "")</f>
        <v/>
      </c>
      <c r="O577" s="105" t="str">
        <f>IFERROR(__xludf.DUMMYFUNCTION("ARRAY_CONSTRAIN(
  ARRAYFORMULA(
    IFERROR(
      LET(
        list, N577,
        arr, TRIM(SPLIT(list, "","")),
        names, XLOOKUP(
          arr,
          'Conformance Score'!A:A,
          'Conformance Score'!B:B,
          ""Not found""
      "&amp;"  ),
        TEXTJOIN("", "", TRUE, names)
      ),
      """"
    )
  ),
  1,
  1
)
"),"")</f>
        <v/>
      </c>
      <c r="P577" s="105" t="str">
        <f>IF(F577="Yes", IFERROR(VLOOKUP(D577, Repository!A:F, 6, 0), ""), "")</f>
        <v/>
      </c>
      <c r="Q577" s="105" t="str">
        <f>IF(F577="Yes", IFERROR(VLOOKUP(D577, Repository!A:I, 8, 0), ""), "")</f>
        <v/>
      </c>
      <c r="R577" s="105" t="str">
        <f>IF(F577="Yes", IFERROR(VLOOKUP(D577, Repository!A:J, 9, 0), ""), "")</f>
        <v/>
      </c>
      <c r="S577" s="105"/>
      <c r="T577" s="105"/>
      <c r="U577" s="105"/>
      <c r="V577" s="105"/>
      <c r="W577" s="105"/>
      <c r="X577" s="105"/>
      <c r="Y577" s="105"/>
      <c r="Z577" s="105"/>
      <c r="AA577" s="105"/>
      <c r="AB577" s="105"/>
      <c r="AC577" s="91"/>
      <c r="AD577" s="105"/>
      <c r="AE577" s="105"/>
      <c r="AF577" s="91"/>
      <c r="AG577" s="105"/>
      <c r="AH577" s="105"/>
      <c r="AI577" s="105" t="str">
        <f t="shared" si="1"/>
        <v/>
      </c>
      <c r="AJ577" s="108" t="str">
        <f t="shared" si="2"/>
        <v/>
      </c>
    </row>
    <row r="578" ht="15.75" customHeight="1">
      <c r="A578" s="104"/>
      <c r="B578" s="105" t="str">
        <f>IFERROR(__xludf.DUMMYFUNCTION("ARRAY_CONSTRAIN(
  ARRAYFORMULA(
    IF(
      'Final Report'!A578="""",
      """",
      TEXTJOIN(
        "", "" &amp; CHAR(10),
        TRUE,
        IFERROR(
          VLOOKUP(
            TRIM(
              SPLIT('Final Report'!A578, "","")
           "&amp;" ),
            'URL Details'!A:B,
            2,
            FALSE
          ),
          """"
        )
      )
    )
  ),
  1,
  1
)
"),"")</f>
        <v/>
      </c>
      <c r="C578" s="105" t="str">
        <f>IFERROR(__xludf.DUMMYFUNCTION("IFERROR(IF('Final Report'!A578="""","""", TEXTJOIN(CHAR(10), TRUE, ARRAYFORMULA( ""• ""&amp; FILTER( TRIM(FLATTEN(SPLIT( REGEXREPLACE( SUBSTITUTE(TEXTJOIN("","", TRUE, IFERROR(ARRAYFORMULA(VLOOKUP(TRIM(SPLIT('Final Report'!A578, "","")), 'URL Details'!A:D, 4,"&amp;" FALSE)),"""") ), CHAR(10), "",""), ""\s*,\s*"", "",""), "",""))), TRIM(FLATTEN(SPLIT( REGEXREPLACE( SUBSTITUTE(TEXTJOIN("","", TRUE, IFERROR(ARRAYFORMULA(VLOOKUP(TRIM(SPLIT('Final Report'!A578, "","")), 'URL Details'!A:D, 4, FALSE)),"""") ), CHAR(10), """&amp;",""), ""\s*,\s*"", "",""), "","")))&lt;&gt;"""" ) ) ) ),"""")
"),"")</f>
        <v/>
      </c>
      <c r="D578" s="105"/>
      <c r="E578" s="105"/>
      <c r="F578" s="110" t="b">
        <v>0</v>
      </c>
      <c r="G578" s="105" t="str">
        <f>IF(F578=True, IFERROR(VLOOKUP(D578, Repository!A:B, 2, 0), ""), "")</f>
        <v/>
      </c>
      <c r="H578" s="105"/>
      <c r="I578" s="105"/>
      <c r="J578" s="105" t="str">
        <f>IF(F578=True, IFERROR(VLOOKUP(D578, Repository!A:C, 3, 0), ""), "")</f>
        <v/>
      </c>
      <c r="K578" s="105"/>
      <c r="L578" s="105" t="str">
        <f>IF(F578=True, IFERROR(VLOOKUP(D578, Repository!A:E, 5, 0), ""), "")</f>
        <v/>
      </c>
      <c r="M578" s="105"/>
      <c r="N578" s="105" t="str">
        <f>IF(F578=True, IFERROR(VLOOKUP(D578, Repository!A:G, 7, 0), ""), "")</f>
        <v/>
      </c>
      <c r="O578" s="105" t="str">
        <f>IFERROR(__xludf.DUMMYFUNCTION("ARRAY_CONSTRAIN(
  ARRAYFORMULA(
    IFERROR(
      LET(
        list, N578,
        arr, TRIM(SPLIT(list, "","")),
        names, XLOOKUP(
          arr,
          'Conformance Score'!A:A,
          'Conformance Score'!B:B,
          ""Not found""
      "&amp;"  ),
        TEXTJOIN("", "", TRUE, names)
      ),
      """"
    )
  ),
  1,
  1
)
"),"")</f>
        <v/>
      </c>
      <c r="P578" s="105" t="str">
        <f>IF(F578="Yes", IFERROR(VLOOKUP(D578, Repository!A:F, 6, 0), ""), "")</f>
        <v/>
      </c>
      <c r="Q578" s="105" t="str">
        <f>IF(F578="Yes", IFERROR(VLOOKUP(D578, Repository!A:I, 8, 0), ""), "")</f>
        <v/>
      </c>
      <c r="R578" s="105" t="str">
        <f>IF(F578="Yes", IFERROR(VLOOKUP(D578, Repository!A:J, 9, 0), ""), "")</f>
        <v/>
      </c>
      <c r="S578" s="105"/>
      <c r="T578" s="105"/>
      <c r="U578" s="105"/>
      <c r="V578" s="105"/>
      <c r="W578" s="105"/>
      <c r="X578" s="105"/>
      <c r="Y578" s="105"/>
      <c r="Z578" s="105"/>
      <c r="AA578" s="105"/>
      <c r="AB578" s="105"/>
      <c r="AC578" s="91"/>
      <c r="AD578" s="105"/>
      <c r="AE578" s="105"/>
      <c r="AF578" s="91"/>
      <c r="AG578" s="105"/>
      <c r="AH578" s="105"/>
      <c r="AI578" s="105" t="str">
        <f t="shared" si="1"/>
        <v/>
      </c>
      <c r="AJ578" s="108" t="str">
        <f t="shared" si="2"/>
        <v/>
      </c>
    </row>
    <row r="579" ht="15.75" customHeight="1">
      <c r="A579" s="104"/>
      <c r="B579" s="105" t="str">
        <f>IFERROR(__xludf.DUMMYFUNCTION("ARRAY_CONSTRAIN(
  ARRAYFORMULA(
    IF(
      'Final Report'!A579="""",
      """",
      TEXTJOIN(
        "", "" &amp; CHAR(10),
        TRUE,
        IFERROR(
          VLOOKUP(
            TRIM(
              SPLIT('Final Report'!A579, "","")
           "&amp;" ),
            'URL Details'!A:B,
            2,
            FALSE
          ),
          """"
        )
      )
    )
  ),
  1,
  1
)
"),"")</f>
        <v/>
      </c>
      <c r="C579" s="105" t="str">
        <f>IFERROR(__xludf.DUMMYFUNCTION("IFERROR(IF('Final Report'!A579="""","""", TEXTJOIN(CHAR(10), TRUE, ARRAYFORMULA( ""• ""&amp; FILTER( TRIM(FLATTEN(SPLIT( REGEXREPLACE( SUBSTITUTE(TEXTJOIN("","", TRUE, IFERROR(ARRAYFORMULA(VLOOKUP(TRIM(SPLIT('Final Report'!A579, "","")), 'URL Details'!A:D, 4,"&amp;" FALSE)),"""") ), CHAR(10), "",""), ""\s*,\s*"", "",""), "",""))), TRIM(FLATTEN(SPLIT( REGEXREPLACE( SUBSTITUTE(TEXTJOIN("","", TRUE, IFERROR(ARRAYFORMULA(VLOOKUP(TRIM(SPLIT('Final Report'!A579, "","")), 'URL Details'!A:D, 4, FALSE)),"""") ), CHAR(10), """&amp;",""), ""\s*,\s*"", "",""), "","")))&lt;&gt;"""" ) ) ) ),"""")
"),"")</f>
        <v/>
      </c>
      <c r="D579" s="105"/>
      <c r="E579" s="105"/>
      <c r="F579" s="110" t="b">
        <v>0</v>
      </c>
      <c r="G579" s="105" t="str">
        <f>IF(F579=True, IFERROR(VLOOKUP(D579, Repository!A:B, 2, 0), ""), "")</f>
        <v/>
      </c>
      <c r="H579" s="105"/>
      <c r="I579" s="105"/>
      <c r="J579" s="105" t="str">
        <f>IF(F579=True, IFERROR(VLOOKUP(D579, Repository!A:C, 3, 0), ""), "")</f>
        <v/>
      </c>
      <c r="K579" s="105"/>
      <c r="L579" s="105" t="str">
        <f>IF(F579=True, IFERROR(VLOOKUP(D579, Repository!A:E, 5, 0), ""), "")</f>
        <v/>
      </c>
      <c r="M579" s="105"/>
      <c r="N579" s="105" t="str">
        <f>IF(F579=True, IFERROR(VLOOKUP(D579, Repository!A:G, 7, 0), ""), "")</f>
        <v/>
      </c>
      <c r="O579" s="105" t="str">
        <f>IFERROR(__xludf.DUMMYFUNCTION("ARRAY_CONSTRAIN(
  ARRAYFORMULA(
    IFERROR(
      LET(
        list, N579,
        arr, TRIM(SPLIT(list, "","")),
        names, XLOOKUP(
          arr,
          'Conformance Score'!A:A,
          'Conformance Score'!B:B,
          ""Not found""
      "&amp;"  ),
        TEXTJOIN("", "", TRUE, names)
      ),
      """"
    )
  ),
  1,
  1
)
"),"")</f>
        <v/>
      </c>
      <c r="P579" s="105" t="str">
        <f>IF(F579="Yes", IFERROR(VLOOKUP(D579, Repository!A:F, 6, 0), ""), "")</f>
        <v/>
      </c>
      <c r="Q579" s="105" t="str">
        <f>IF(F579="Yes", IFERROR(VLOOKUP(D579, Repository!A:I, 8, 0), ""), "")</f>
        <v/>
      </c>
      <c r="R579" s="105" t="str">
        <f>IF(F579="Yes", IFERROR(VLOOKUP(D579, Repository!A:J, 9, 0), ""), "")</f>
        <v/>
      </c>
      <c r="S579" s="105"/>
      <c r="T579" s="105"/>
      <c r="U579" s="105"/>
      <c r="V579" s="105"/>
      <c r="W579" s="105"/>
      <c r="X579" s="105"/>
      <c r="Y579" s="105"/>
      <c r="Z579" s="105"/>
      <c r="AA579" s="105"/>
      <c r="AB579" s="105"/>
      <c r="AC579" s="91"/>
      <c r="AD579" s="105"/>
      <c r="AE579" s="105"/>
      <c r="AF579" s="91"/>
      <c r="AG579" s="105"/>
      <c r="AH579" s="105"/>
      <c r="AI579" s="105" t="str">
        <f t="shared" si="1"/>
        <v/>
      </c>
      <c r="AJ579" s="108" t="str">
        <f t="shared" si="2"/>
        <v/>
      </c>
    </row>
    <row r="580" ht="15.75" customHeight="1">
      <c r="A580" s="104"/>
      <c r="B580" s="105" t="str">
        <f>IFERROR(__xludf.DUMMYFUNCTION("ARRAY_CONSTRAIN(
  ARRAYFORMULA(
    IF(
      'Final Report'!A580="""",
      """",
      TEXTJOIN(
        "", "" &amp; CHAR(10),
        TRUE,
        IFERROR(
          VLOOKUP(
            TRIM(
              SPLIT('Final Report'!A580, "","")
           "&amp;" ),
            'URL Details'!A:B,
            2,
            FALSE
          ),
          """"
        )
      )
    )
  ),
  1,
  1
)
"),"")</f>
        <v/>
      </c>
      <c r="C580" s="105" t="str">
        <f>IFERROR(__xludf.DUMMYFUNCTION("IFERROR(IF('Final Report'!A580="""","""", TEXTJOIN(CHAR(10), TRUE, ARRAYFORMULA( ""• ""&amp; FILTER( TRIM(FLATTEN(SPLIT( REGEXREPLACE( SUBSTITUTE(TEXTJOIN("","", TRUE, IFERROR(ARRAYFORMULA(VLOOKUP(TRIM(SPLIT('Final Report'!A580, "","")), 'URL Details'!A:D, 4,"&amp;" FALSE)),"""") ), CHAR(10), "",""), ""\s*,\s*"", "",""), "",""))), TRIM(FLATTEN(SPLIT( REGEXREPLACE( SUBSTITUTE(TEXTJOIN("","", TRUE, IFERROR(ARRAYFORMULA(VLOOKUP(TRIM(SPLIT('Final Report'!A580, "","")), 'URL Details'!A:D, 4, FALSE)),"""") ), CHAR(10), """&amp;",""), ""\s*,\s*"", "",""), "","")))&lt;&gt;"""" ) ) ) ),"""")
"),"")</f>
        <v/>
      </c>
      <c r="D580" s="105"/>
      <c r="E580" s="105"/>
      <c r="F580" s="110" t="b">
        <v>0</v>
      </c>
      <c r="G580" s="105" t="str">
        <f>IF(F580=True, IFERROR(VLOOKUP(D580, Repository!A:B, 2, 0), ""), "")</f>
        <v/>
      </c>
      <c r="H580" s="105"/>
      <c r="I580" s="105"/>
      <c r="J580" s="105" t="str">
        <f>IF(F580=True, IFERROR(VLOOKUP(D580, Repository!A:C, 3, 0), ""), "")</f>
        <v/>
      </c>
      <c r="K580" s="105"/>
      <c r="L580" s="105" t="str">
        <f>IF(F580=True, IFERROR(VLOOKUP(D580, Repository!A:E, 5, 0), ""), "")</f>
        <v/>
      </c>
      <c r="M580" s="105"/>
      <c r="N580" s="105" t="str">
        <f>IF(F580=True, IFERROR(VLOOKUP(D580, Repository!A:G, 7, 0), ""), "")</f>
        <v/>
      </c>
      <c r="O580" s="105" t="str">
        <f>IFERROR(__xludf.DUMMYFUNCTION("ARRAY_CONSTRAIN(
  ARRAYFORMULA(
    IFERROR(
      LET(
        list, N580,
        arr, TRIM(SPLIT(list, "","")),
        names, XLOOKUP(
          arr,
          'Conformance Score'!A:A,
          'Conformance Score'!B:B,
          ""Not found""
      "&amp;"  ),
        TEXTJOIN("", "", TRUE, names)
      ),
      """"
    )
  ),
  1,
  1
)
"),"")</f>
        <v/>
      </c>
      <c r="P580" s="105" t="str">
        <f>IF(F580="Yes", IFERROR(VLOOKUP(D580, Repository!A:F, 6, 0), ""), "")</f>
        <v/>
      </c>
      <c r="Q580" s="105" t="str">
        <f>IF(F580="Yes", IFERROR(VLOOKUP(D580, Repository!A:I, 8, 0), ""), "")</f>
        <v/>
      </c>
      <c r="R580" s="105" t="str">
        <f>IF(F580="Yes", IFERROR(VLOOKUP(D580, Repository!A:J, 9, 0), ""), "")</f>
        <v/>
      </c>
      <c r="S580" s="105"/>
      <c r="T580" s="105"/>
      <c r="U580" s="105"/>
      <c r="V580" s="105"/>
      <c r="W580" s="105"/>
      <c r="X580" s="105"/>
      <c r="Y580" s="105"/>
      <c r="Z580" s="105"/>
      <c r="AA580" s="105"/>
      <c r="AB580" s="105"/>
      <c r="AC580" s="91"/>
      <c r="AD580" s="105"/>
      <c r="AE580" s="105"/>
      <c r="AF580" s="91"/>
      <c r="AG580" s="105"/>
      <c r="AH580" s="105"/>
      <c r="AI580" s="105" t="str">
        <f t="shared" si="1"/>
        <v/>
      </c>
      <c r="AJ580" s="108" t="str">
        <f t="shared" si="2"/>
        <v/>
      </c>
    </row>
    <row r="581" ht="15.75" customHeight="1">
      <c r="A581" s="104"/>
      <c r="B581" s="105" t="str">
        <f>IFERROR(__xludf.DUMMYFUNCTION("ARRAY_CONSTRAIN(
  ARRAYFORMULA(
    IF(
      'Final Report'!A581="""",
      """",
      TEXTJOIN(
        "", "" &amp; CHAR(10),
        TRUE,
        IFERROR(
          VLOOKUP(
            TRIM(
              SPLIT('Final Report'!A581, "","")
           "&amp;" ),
            'URL Details'!A:B,
            2,
            FALSE
          ),
          """"
        )
      )
    )
  ),
  1,
  1
)
"),"")</f>
        <v/>
      </c>
      <c r="C581" s="105" t="str">
        <f>IFERROR(__xludf.DUMMYFUNCTION("IFERROR(IF('Final Report'!A581="""","""", TEXTJOIN(CHAR(10), TRUE, ARRAYFORMULA( ""• ""&amp; FILTER( TRIM(FLATTEN(SPLIT( REGEXREPLACE( SUBSTITUTE(TEXTJOIN("","", TRUE, IFERROR(ARRAYFORMULA(VLOOKUP(TRIM(SPLIT('Final Report'!A581, "","")), 'URL Details'!A:D, 4,"&amp;" FALSE)),"""") ), CHAR(10), "",""), ""\s*,\s*"", "",""), "",""))), TRIM(FLATTEN(SPLIT( REGEXREPLACE( SUBSTITUTE(TEXTJOIN("","", TRUE, IFERROR(ARRAYFORMULA(VLOOKUP(TRIM(SPLIT('Final Report'!A581, "","")), 'URL Details'!A:D, 4, FALSE)),"""") ), CHAR(10), """&amp;",""), ""\s*,\s*"", "",""), "","")))&lt;&gt;"""" ) ) ) ),"""")
"),"")</f>
        <v/>
      </c>
      <c r="D581" s="105"/>
      <c r="E581" s="105"/>
      <c r="F581" s="110" t="b">
        <v>0</v>
      </c>
      <c r="G581" s="105" t="str">
        <f>IF(F581=True, IFERROR(VLOOKUP(D581, Repository!A:B, 2, 0), ""), "")</f>
        <v/>
      </c>
      <c r="H581" s="105"/>
      <c r="I581" s="105"/>
      <c r="J581" s="105" t="str">
        <f>IF(F581=True, IFERROR(VLOOKUP(D581, Repository!A:C, 3, 0), ""), "")</f>
        <v/>
      </c>
      <c r="K581" s="105"/>
      <c r="L581" s="105" t="str">
        <f>IF(F581=True, IFERROR(VLOOKUP(D581, Repository!A:E, 5, 0), ""), "")</f>
        <v/>
      </c>
      <c r="M581" s="105"/>
      <c r="N581" s="105" t="str">
        <f>IF(F581=True, IFERROR(VLOOKUP(D581, Repository!A:G, 7, 0), ""), "")</f>
        <v/>
      </c>
      <c r="O581" s="105" t="str">
        <f>IFERROR(__xludf.DUMMYFUNCTION("ARRAY_CONSTRAIN(
  ARRAYFORMULA(
    IFERROR(
      LET(
        list, N581,
        arr, TRIM(SPLIT(list, "","")),
        names, XLOOKUP(
          arr,
          'Conformance Score'!A:A,
          'Conformance Score'!B:B,
          ""Not found""
      "&amp;"  ),
        TEXTJOIN("", "", TRUE, names)
      ),
      """"
    )
  ),
  1,
  1
)
"),"")</f>
        <v/>
      </c>
      <c r="P581" s="105" t="str">
        <f>IF(F581="Yes", IFERROR(VLOOKUP(D581, Repository!A:F, 6, 0), ""), "")</f>
        <v/>
      </c>
      <c r="Q581" s="105" t="str">
        <f>IF(F581="Yes", IFERROR(VLOOKUP(D581, Repository!A:I, 8, 0), ""), "")</f>
        <v/>
      </c>
      <c r="R581" s="105" t="str">
        <f>IF(F581="Yes", IFERROR(VLOOKUP(D581, Repository!A:J, 9, 0), ""), "")</f>
        <v/>
      </c>
      <c r="S581" s="105"/>
      <c r="T581" s="105"/>
      <c r="U581" s="105"/>
      <c r="V581" s="105"/>
      <c r="W581" s="105"/>
      <c r="X581" s="105"/>
      <c r="Y581" s="105"/>
      <c r="Z581" s="105"/>
      <c r="AA581" s="105"/>
      <c r="AB581" s="105"/>
      <c r="AC581" s="91"/>
      <c r="AD581" s="105"/>
      <c r="AE581" s="105"/>
      <c r="AF581" s="91"/>
      <c r="AG581" s="105"/>
      <c r="AH581" s="105"/>
      <c r="AI581" s="105" t="str">
        <f t="shared" si="1"/>
        <v/>
      </c>
      <c r="AJ581" s="108" t="str">
        <f t="shared" si="2"/>
        <v/>
      </c>
    </row>
    <row r="582" ht="15.75" customHeight="1">
      <c r="A582" s="104"/>
      <c r="B582" s="105" t="str">
        <f>IFERROR(__xludf.DUMMYFUNCTION("ARRAY_CONSTRAIN(
  ARRAYFORMULA(
    IF(
      'Final Report'!A582="""",
      """",
      TEXTJOIN(
        "", "" &amp; CHAR(10),
        TRUE,
        IFERROR(
          VLOOKUP(
            TRIM(
              SPLIT('Final Report'!A582, "","")
           "&amp;" ),
            'URL Details'!A:B,
            2,
            FALSE
          ),
          """"
        )
      )
    )
  ),
  1,
  1
)
"),"")</f>
        <v/>
      </c>
      <c r="C582" s="105" t="str">
        <f>IFERROR(__xludf.DUMMYFUNCTION("IFERROR(IF('Final Report'!A582="""","""", TEXTJOIN(CHAR(10), TRUE, ARRAYFORMULA( ""• ""&amp; FILTER( TRIM(FLATTEN(SPLIT( REGEXREPLACE( SUBSTITUTE(TEXTJOIN("","", TRUE, IFERROR(ARRAYFORMULA(VLOOKUP(TRIM(SPLIT('Final Report'!A582, "","")), 'URL Details'!A:D, 4,"&amp;" FALSE)),"""") ), CHAR(10), "",""), ""\s*,\s*"", "",""), "",""))), TRIM(FLATTEN(SPLIT( REGEXREPLACE( SUBSTITUTE(TEXTJOIN("","", TRUE, IFERROR(ARRAYFORMULA(VLOOKUP(TRIM(SPLIT('Final Report'!A582, "","")), 'URL Details'!A:D, 4, FALSE)),"""") ), CHAR(10), """&amp;",""), ""\s*,\s*"", "",""), "","")))&lt;&gt;"""" ) ) ) ),"""")
"),"")</f>
        <v/>
      </c>
      <c r="D582" s="105"/>
      <c r="E582" s="105"/>
      <c r="F582" s="110" t="b">
        <v>0</v>
      </c>
      <c r="G582" s="105" t="str">
        <f>IF(F582=True, IFERROR(VLOOKUP(D582, Repository!A:B, 2, 0), ""), "")</f>
        <v/>
      </c>
      <c r="H582" s="105"/>
      <c r="I582" s="105"/>
      <c r="J582" s="105" t="str">
        <f>IF(F582=True, IFERROR(VLOOKUP(D582, Repository!A:C, 3, 0), ""), "")</f>
        <v/>
      </c>
      <c r="K582" s="105"/>
      <c r="L582" s="105" t="str">
        <f>IF(F582=True, IFERROR(VLOOKUP(D582, Repository!A:E, 5, 0), ""), "")</f>
        <v/>
      </c>
      <c r="M582" s="105"/>
      <c r="N582" s="105" t="str">
        <f>IF(F582=True, IFERROR(VLOOKUP(D582, Repository!A:G, 7, 0), ""), "")</f>
        <v/>
      </c>
      <c r="O582" s="105" t="str">
        <f>IFERROR(__xludf.DUMMYFUNCTION("ARRAY_CONSTRAIN(
  ARRAYFORMULA(
    IFERROR(
      LET(
        list, N582,
        arr, TRIM(SPLIT(list, "","")),
        names, XLOOKUP(
          arr,
          'Conformance Score'!A:A,
          'Conformance Score'!B:B,
          ""Not found""
      "&amp;"  ),
        TEXTJOIN("", "", TRUE, names)
      ),
      """"
    )
  ),
  1,
  1
)
"),"")</f>
        <v/>
      </c>
      <c r="P582" s="105" t="str">
        <f>IF(F582="Yes", IFERROR(VLOOKUP(D582, Repository!A:F, 6, 0), ""), "")</f>
        <v/>
      </c>
      <c r="Q582" s="105" t="str">
        <f>IF(F582="Yes", IFERROR(VLOOKUP(D582, Repository!A:I, 8, 0), ""), "")</f>
        <v/>
      </c>
      <c r="R582" s="105" t="str">
        <f>IF(F582="Yes", IFERROR(VLOOKUP(D582, Repository!A:J, 9, 0), ""), "")</f>
        <v/>
      </c>
      <c r="S582" s="105"/>
      <c r="T582" s="105"/>
      <c r="U582" s="105"/>
      <c r="V582" s="105"/>
      <c r="W582" s="105"/>
      <c r="X582" s="105"/>
      <c r="Y582" s="105"/>
      <c r="Z582" s="105"/>
      <c r="AA582" s="105"/>
      <c r="AB582" s="105"/>
      <c r="AC582" s="91"/>
      <c r="AD582" s="105"/>
      <c r="AE582" s="105"/>
      <c r="AF582" s="91"/>
      <c r="AG582" s="105"/>
      <c r="AH582" s="105"/>
      <c r="AI582" s="105" t="str">
        <f t="shared" si="1"/>
        <v/>
      </c>
      <c r="AJ582" s="108" t="str">
        <f t="shared" si="2"/>
        <v/>
      </c>
    </row>
    <row r="583" ht="15.75" customHeight="1">
      <c r="A583" s="104"/>
      <c r="B583" s="105" t="str">
        <f>IFERROR(__xludf.DUMMYFUNCTION("ARRAY_CONSTRAIN(
  ARRAYFORMULA(
    IF(
      'Final Report'!A583="""",
      """",
      TEXTJOIN(
        "", "" &amp; CHAR(10),
        TRUE,
        IFERROR(
          VLOOKUP(
            TRIM(
              SPLIT('Final Report'!A583, "","")
           "&amp;" ),
            'URL Details'!A:B,
            2,
            FALSE
          ),
          """"
        )
      )
    )
  ),
  1,
  1
)
"),"")</f>
        <v/>
      </c>
      <c r="C583" s="105" t="str">
        <f>IFERROR(__xludf.DUMMYFUNCTION("IFERROR(IF('Final Report'!A583="""","""", TEXTJOIN(CHAR(10), TRUE, ARRAYFORMULA( ""• ""&amp; FILTER( TRIM(FLATTEN(SPLIT( REGEXREPLACE( SUBSTITUTE(TEXTJOIN("","", TRUE, IFERROR(ARRAYFORMULA(VLOOKUP(TRIM(SPLIT('Final Report'!A583, "","")), 'URL Details'!A:D, 4,"&amp;" FALSE)),"""") ), CHAR(10), "",""), ""\s*,\s*"", "",""), "",""))), TRIM(FLATTEN(SPLIT( REGEXREPLACE( SUBSTITUTE(TEXTJOIN("","", TRUE, IFERROR(ARRAYFORMULA(VLOOKUP(TRIM(SPLIT('Final Report'!A583, "","")), 'URL Details'!A:D, 4, FALSE)),"""") ), CHAR(10), """&amp;",""), ""\s*,\s*"", "",""), "","")))&lt;&gt;"""" ) ) ) ),"""")
"),"")</f>
        <v/>
      </c>
      <c r="D583" s="105"/>
      <c r="E583" s="105"/>
      <c r="F583" s="110" t="b">
        <v>0</v>
      </c>
      <c r="G583" s="105" t="str">
        <f>IF(F583=True, IFERROR(VLOOKUP(D583, Repository!A:B, 2, 0), ""), "")</f>
        <v/>
      </c>
      <c r="H583" s="105"/>
      <c r="I583" s="105"/>
      <c r="J583" s="105" t="str">
        <f>IF(F583=True, IFERROR(VLOOKUP(D583, Repository!A:C, 3, 0), ""), "")</f>
        <v/>
      </c>
      <c r="K583" s="105"/>
      <c r="L583" s="105" t="str">
        <f>IF(F583=True, IFERROR(VLOOKUP(D583, Repository!A:E, 5, 0), ""), "")</f>
        <v/>
      </c>
      <c r="M583" s="105"/>
      <c r="N583" s="105" t="str">
        <f>IF(F583=True, IFERROR(VLOOKUP(D583, Repository!A:G, 7, 0), ""), "")</f>
        <v/>
      </c>
      <c r="O583" s="105" t="str">
        <f>IFERROR(__xludf.DUMMYFUNCTION("ARRAY_CONSTRAIN(
  ARRAYFORMULA(
    IFERROR(
      LET(
        list, N583,
        arr, TRIM(SPLIT(list, "","")),
        names, XLOOKUP(
          arr,
          'Conformance Score'!A:A,
          'Conformance Score'!B:B,
          ""Not found""
      "&amp;"  ),
        TEXTJOIN("", "", TRUE, names)
      ),
      """"
    )
  ),
  1,
  1
)
"),"")</f>
        <v/>
      </c>
      <c r="P583" s="105" t="str">
        <f>IF(F583="Yes", IFERROR(VLOOKUP(D583, Repository!A:F, 6, 0), ""), "")</f>
        <v/>
      </c>
      <c r="Q583" s="105" t="str">
        <f>IF(F583="Yes", IFERROR(VLOOKUP(D583, Repository!A:I, 8, 0), ""), "")</f>
        <v/>
      </c>
      <c r="R583" s="105" t="str">
        <f>IF(F583="Yes", IFERROR(VLOOKUP(D583, Repository!A:J, 9, 0), ""), "")</f>
        <v/>
      </c>
      <c r="S583" s="105"/>
      <c r="T583" s="105"/>
      <c r="U583" s="105"/>
      <c r="V583" s="105"/>
      <c r="W583" s="105"/>
      <c r="X583" s="105"/>
      <c r="Y583" s="105"/>
      <c r="Z583" s="105"/>
      <c r="AA583" s="105"/>
      <c r="AB583" s="105"/>
      <c r="AC583" s="91"/>
      <c r="AD583" s="105"/>
      <c r="AE583" s="105"/>
      <c r="AF583" s="91"/>
      <c r="AG583" s="105"/>
      <c r="AH583" s="105"/>
      <c r="AI583" s="105" t="str">
        <f t="shared" si="1"/>
        <v/>
      </c>
      <c r="AJ583" s="108" t="str">
        <f t="shared" si="2"/>
        <v/>
      </c>
    </row>
    <row r="584" ht="15.75" customHeight="1">
      <c r="A584" s="104"/>
      <c r="B584" s="105" t="str">
        <f>IFERROR(__xludf.DUMMYFUNCTION("ARRAY_CONSTRAIN(
  ARRAYFORMULA(
    IF(
      'Final Report'!A584="""",
      """",
      TEXTJOIN(
        "", "" &amp; CHAR(10),
        TRUE,
        IFERROR(
          VLOOKUP(
            TRIM(
              SPLIT('Final Report'!A584, "","")
           "&amp;" ),
            'URL Details'!A:B,
            2,
            FALSE
          ),
          """"
        )
      )
    )
  ),
  1,
  1
)
"),"")</f>
        <v/>
      </c>
      <c r="C584" s="105" t="str">
        <f>IFERROR(__xludf.DUMMYFUNCTION("IFERROR(IF('Final Report'!A584="""","""", TEXTJOIN(CHAR(10), TRUE, ARRAYFORMULA( ""• ""&amp; FILTER( TRIM(FLATTEN(SPLIT( REGEXREPLACE( SUBSTITUTE(TEXTJOIN("","", TRUE, IFERROR(ARRAYFORMULA(VLOOKUP(TRIM(SPLIT('Final Report'!A584, "","")), 'URL Details'!A:D, 4,"&amp;" FALSE)),"""") ), CHAR(10), "",""), ""\s*,\s*"", "",""), "",""))), TRIM(FLATTEN(SPLIT( REGEXREPLACE( SUBSTITUTE(TEXTJOIN("","", TRUE, IFERROR(ARRAYFORMULA(VLOOKUP(TRIM(SPLIT('Final Report'!A584, "","")), 'URL Details'!A:D, 4, FALSE)),"""") ), CHAR(10), """&amp;",""), ""\s*,\s*"", "",""), "","")))&lt;&gt;"""" ) ) ) ),"""")
"),"")</f>
        <v/>
      </c>
      <c r="D584" s="105"/>
      <c r="E584" s="105"/>
      <c r="F584" s="110" t="b">
        <v>0</v>
      </c>
      <c r="G584" s="105" t="str">
        <f>IF(F584=True, IFERROR(VLOOKUP(D584, Repository!A:B, 2, 0), ""), "")</f>
        <v/>
      </c>
      <c r="H584" s="105"/>
      <c r="I584" s="105"/>
      <c r="J584" s="105" t="str">
        <f>IF(F584=True, IFERROR(VLOOKUP(D584, Repository!A:C, 3, 0), ""), "")</f>
        <v/>
      </c>
      <c r="K584" s="105"/>
      <c r="L584" s="105" t="str">
        <f>IF(F584=True, IFERROR(VLOOKUP(D584, Repository!A:E, 5, 0), ""), "")</f>
        <v/>
      </c>
      <c r="M584" s="105"/>
      <c r="N584" s="105" t="str">
        <f>IF(F584=True, IFERROR(VLOOKUP(D584, Repository!A:G, 7, 0), ""), "")</f>
        <v/>
      </c>
      <c r="O584" s="105" t="str">
        <f>IFERROR(__xludf.DUMMYFUNCTION("ARRAY_CONSTRAIN(
  ARRAYFORMULA(
    IFERROR(
      LET(
        list, N584,
        arr, TRIM(SPLIT(list, "","")),
        names, XLOOKUP(
          arr,
          'Conformance Score'!A:A,
          'Conformance Score'!B:B,
          ""Not found""
      "&amp;"  ),
        TEXTJOIN("", "", TRUE, names)
      ),
      """"
    )
  ),
  1,
  1
)
"),"")</f>
        <v/>
      </c>
      <c r="P584" s="105" t="str">
        <f>IF(F584="Yes", IFERROR(VLOOKUP(D584, Repository!A:F, 6, 0), ""), "")</f>
        <v/>
      </c>
      <c r="Q584" s="105" t="str">
        <f>IF(F584="Yes", IFERROR(VLOOKUP(D584, Repository!A:I, 8, 0), ""), "")</f>
        <v/>
      </c>
      <c r="R584" s="105" t="str">
        <f>IF(F584="Yes", IFERROR(VLOOKUP(D584, Repository!A:J, 9, 0), ""), "")</f>
        <v/>
      </c>
      <c r="S584" s="105"/>
      <c r="T584" s="105"/>
      <c r="U584" s="105"/>
      <c r="V584" s="105"/>
      <c r="W584" s="105"/>
      <c r="X584" s="105"/>
      <c r="Y584" s="105"/>
      <c r="Z584" s="105"/>
      <c r="AA584" s="105"/>
      <c r="AB584" s="105"/>
      <c r="AC584" s="91"/>
      <c r="AD584" s="105"/>
      <c r="AE584" s="105"/>
      <c r="AF584" s="91"/>
      <c r="AG584" s="105"/>
      <c r="AH584" s="105"/>
      <c r="AI584" s="105" t="str">
        <f t="shared" si="1"/>
        <v/>
      </c>
      <c r="AJ584" s="108" t="str">
        <f t="shared" si="2"/>
        <v/>
      </c>
    </row>
    <row r="585" ht="15.75" customHeight="1">
      <c r="A585" s="104"/>
      <c r="B585" s="105" t="str">
        <f>IFERROR(__xludf.DUMMYFUNCTION("ARRAY_CONSTRAIN(
  ARRAYFORMULA(
    IF(
      'Final Report'!A585="""",
      """",
      TEXTJOIN(
        "", "" &amp; CHAR(10),
        TRUE,
        IFERROR(
          VLOOKUP(
            TRIM(
              SPLIT('Final Report'!A585, "","")
           "&amp;" ),
            'URL Details'!A:B,
            2,
            FALSE
          ),
          """"
        )
      )
    )
  ),
  1,
  1
)
"),"")</f>
        <v/>
      </c>
      <c r="C585" s="105" t="str">
        <f>IFERROR(__xludf.DUMMYFUNCTION("IFERROR(IF('Final Report'!A585="""","""", TEXTJOIN(CHAR(10), TRUE, ARRAYFORMULA( ""• ""&amp; FILTER( TRIM(FLATTEN(SPLIT( REGEXREPLACE( SUBSTITUTE(TEXTJOIN("","", TRUE, IFERROR(ARRAYFORMULA(VLOOKUP(TRIM(SPLIT('Final Report'!A585, "","")), 'URL Details'!A:D, 4,"&amp;" FALSE)),"""") ), CHAR(10), "",""), ""\s*,\s*"", "",""), "",""))), TRIM(FLATTEN(SPLIT( REGEXREPLACE( SUBSTITUTE(TEXTJOIN("","", TRUE, IFERROR(ARRAYFORMULA(VLOOKUP(TRIM(SPLIT('Final Report'!A585, "","")), 'URL Details'!A:D, 4, FALSE)),"""") ), CHAR(10), """&amp;",""), ""\s*,\s*"", "",""), "","")))&lt;&gt;"""" ) ) ) ),"""")
"),"")</f>
        <v/>
      </c>
      <c r="D585" s="105"/>
      <c r="E585" s="105"/>
      <c r="F585" s="110" t="b">
        <v>0</v>
      </c>
      <c r="G585" s="105" t="str">
        <f>IF(F585=True, IFERROR(VLOOKUP(D585, Repository!A:B, 2, 0), ""), "")</f>
        <v/>
      </c>
      <c r="H585" s="105"/>
      <c r="I585" s="105"/>
      <c r="J585" s="105" t="str">
        <f>IF(F585=True, IFERROR(VLOOKUP(D585, Repository!A:C, 3, 0), ""), "")</f>
        <v/>
      </c>
      <c r="K585" s="105"/>
      <c r="L585" s="105" t="str">
        <f>IF(F585=True, IFERROR(VLOOKUP(D585, Repository!A:E, 5, 0), ""), "")</f>
        <v/>
      </c>
      <c r="M585" s="105"/>
      <c r="N585" s="105" t="str">
        <f>IF(F585=True, IFERROR(VLOOKUP(D585, Repository!A:G, 7, 0), ""), "")</f>
        <v/>
      </c>
      <c r="O585" s="105" t="str">
        <f>IFERROR(__xludf.DUMMYFUNCTION("ARRAY_CONSTRAIN(
  ARRAYFORMULA(
    IFERROR(
      LET(
        list, N585,
        arr, TRIM(SPLIT(list, "","")),
        names, XLOOKUP(
          arr,
          'Conformance Score'!A:A,
          'Conformance Score'!B:B,
          ""Not found""
      "&amp;"  ),
        TEXTJOIN("", "", TRUE, names)
      ),
      """"
    )
  ),
  1,
  1
)
"),"")</f>
        <v/>
      </c>
      <c r="P585" s="105" t="str">
        <f>IF(F585="Yes", IFERROR(VLOOKUP(D585, Repository!A:F, 6, 0), ""), "")</f>
        <v/>
      </c>
      <c r="Q585" s="105" t="str">
        <f>IF(F585="Yes", IFERROR(VLOOKUP(D585, Repository!A:I, 8, 0), ""), "")</f>
        <v/>
      </c>
      <c r="R585" s="105" t="str">
        <f>IF(F585="Yes", IFERROR(VLOOKUP(D585, Repository!A:J, 9, 0), ""), "")</f>
        <v/>
      </c>
      <c r="S585" s="105"/>
      <c r="T585" s="105"/>
      <c r="U585" s="105"/>
      <c r="V585" s="105"/>
      <c r="W585" s="105"/>
      <c r="X585" s="105"/>
      <c r="Y585" s="105"/>
      <c r="Z585" s="105"/>
      <c r="AA585" s="105"/>
      <c r="AB585" s="105"/>
      <c r="AC585" s="91"/>
      <c r="AD585" s="105"/>
      <c r="AE585" s="105"/>
      <c r="AF585" s="91"/>
      <c r="AG585" s="105"/>
      <c r="AH585" s="105"/>
      <c r="AI585" s="105" t="str">
        <f t="shared" si="1"/>
        <v/>
      </c>
      <c r="AJ585" s="108" t="str">
        <f t="shared" si="2"/>
        <v/>
      </c>
    </row>
    <row r="586" ht="15.75" customHeight="1">
      <c r="A586" s="104"/>
      <c r="B586" s="105" t="str">
        <f>IFERROR(__xludf.DUMMYFUNCTION("ARRAY_CONSTRAIN(
  ARRAYFORMULA(
    IF(
      'Final Report'!A586="""",
      """",
      TEXTJOIN(
        "", "" &amp; CHAR(10),
        TRUE,
        IFERROR(
          VLOOKUP(
            TRIM(
              SPLIT('Final Report'!A586, "","")
           "&amp;" ),
            'URL Details'!A:B,
            2,
            FALSE
          ),
          """"
        )
      )
    )
  ),
  1,
  1
)
"),"")</f>
        <v/>
      </c>
      <c r="C586" s="105" t="str">
        <f>IFERROR(__xludf.DUMMYFUNCTION("IFERROR(IF('Final Report'!A586="""","""", TEXTJOIN(CHAR(10), TRUE, ARRAYFORMULA( ""• ""&amp; FILTER( TRIM(FLATTEN(SPLIT( REGEXREPLACE( SUBSTITUTE(TEXTJOIN("","", TRUE, IFERROR(ARRAYFORMULA(VLOOKUP(TRIM(SPLIT('Final Report'!A586, "","")), 'URL Details'!A:D, 4,"&amp;" FALSE)),"""") ), CHAR(10), "",""), ""\s*,\s*"", "",""), "",""))), TRIM(FLATTEN(SPLIT( REGEXREPLACE( SUBSTITUTE(TEXTJOIN("","", TRUE, IFERROR(ARRAYFORMULA(VLOOKUP(TRIM(SPLIT('Final Report'!A586, "","")), 'URL Details'!A:D, 4, FALSE)),"""") ), CHAR(10), """&amp;",""), ""\s*,\s*"", "",""), "","")))&lt;&gt;"""" ) ) ) ),"""")
"),"")</f>
        <v/>
      </c>
      <c r="D586" s="105"/>
      <c r="E586" s="105"/>
      <c r="F586" s="110" t="b">
        <v>0</v>
      </c>
      <c r="G586" s="105" t="str">
        <f>IF(F586=True, IFERROR(VLOOKUP(D586, Repository!A:B, 2, 0), ""), "")</f>
        <v/>
      </c>
      <c r="H586" s="105"/>
      <c r="I586" s="105"/>
      <c r="J586" s="105" t="str">
        <f>IF(F586=True, IFERROR(VLOOKUP(D586, Repository!A:C, 3, 0), ""), "")</f>
        <v/>
      </c>
      <c r="K586" s="105"/>
      <c r="L586" s="105" t="str">
        <f>IF(F586=True, IFERROR(VLOOKUP(D586, Repository!A:E, 5, 0), ""), "")</f>
        <v/>
      </c>
      <c r="M586" s="105"/>
      <c r="N586" s="105" t="str">
        <f>IF(F586=True, IFERROR(VLOOKUP(D586, Repository!A:G, 7, 0), ""), "")</f>
        <v/>
      </c>
      <c r="O586" s="105" t="str">
        <f>IFERROR(__xludf.DUMMYFUNCTION("ARRAY_CONSTRAIN(
  ARRAYFORMULA(
    IFERROR(
      LET(
        list, N586,
        arr, TRIM(SPLIT(list, "","")),
        names, XLOOKUP(
          arr,
          'Conformance Score'!A:A,
          'Conformance Score'!B:B,
          ""Not found""
      "&amp;"  ),
        TEXTJOIN("", "", TRUE, names)
      ),
      """"
    )
  ),
  1,
  1
)
"),"")</f>
        <v/>
      </c>
      <c r="P586" s="105" t="str">
        <f>IF(F586="Yes", IFERROR(VLOOKUP(D586, Repository!A:F, 6, 0), ""), "")</f>
        <v/>
      </c>
      <c r="Q586" s="105" t="str">
        <f>IF(F586="Yes", IFERROR(VLOOKUP(D586, Repository!A:I, 8, 0), ""), "")</f>
        <v/>
      </c>
      <c r="R586" s="105" t="str">
        <f>IF(F586="Yes", IFERROR(VLOOKUP(D586, Repository!A:J, 9, 0), ""), "")</f>
        <v/>
      </c>
      <c r="S586" s="105"/>
      <c r="T586" s="105"/>
      <c r="U586" s="105"/>
      <c r="V586" s="105"/>
      <c r="W586" s="105"/>
      <c r="X586" s="105"/>
      <c r="Y586" s="105"/>
      <c r="Z586" s="105"/>
      <c r="AA586" s="105"/>
      <c r="AB586" s="105"/>
      <c r="AC586" s="91"/>
      <c r="AD586" s="105"/>
      <c r="AE586" s="105"/>
      <c r="AF586" s="91"/>
      <c r="AG586" s="105"/>
      <c r="AH586" s="105"/>
      <c r="AI586" s="105" t="str">
        <f t="shared" si="1"/>
        <v/>
      </c>
      <c r="AJ586" s="108" t="str">
        <f t="shared" si="2"/>
        <v/>
      </c>
    </row>
    <row r="587" ht="15.75" customHeight="1">
      <c r="A587" s="104"/>
      <c r="B587" s="105" t="str">
        <f>IFERROR(__xludf.DUMMYFUNCTION("ARRAY_CONSTRAIN(
  ARRAYFORMULA(
    IF(
      'Final Report'!A587="""",
      """",
      TEXTJOIN(
        "", "" &amp; CHAR(10),
        TRUE,
        IFERROR(
          VLOOKUP(
            TRIM(
              SPLIT('Final Report'!A587, "","")
           "&amp;" ),
            'URL Details'!A:B,
            2,
            FALSE
          ),
          """"
        )
      )
    )
  ),
  1,
  1
)
"),"")</f>
        <v/>
      </c>
      <c r="C587" s="105" t="str">
        <f>IFERROR(__xludf.DUMMYFUNCTION("IFERROR(IF('Final Report'!A587="""","""", TEXTJOIN(CHAR(10), TRUE, ARRAYFORMULA( ""• ""&amp; FILTER( TRIM(FLATTEN(SPLIT( REGEXREPLACE( SUBSTITUTE(TEXTJOIN("","", TRUE, IFERROR(ARRAYFORMULA(VLOOKUP(TRIM(SPLIT('Final Report'!A587, "","")), 'URL Details'!A:D, 4,"&amp;" FALSE)),"""") ), CHAR(10), "",""), ""\s*,\s*"", "",""), "",""))), TRIM(FLATTEN(SPLIT( REGEXREPLACE( SUBSTITUTE(TEXTJOIN("","", TRUE, IFERROR(ARRAYFORMULA(VLOOKUP(TRIM(SPLIT('Final Report'!A587, "","")), 'URL Details'!A:D, 4, FALSE)),"""") ), CHAR(10), """&amp;",""), ""\s*,\s*"", "",""), "","")))&lt;&gt;"""" ) ) ) ),"""")
"),"")</f>
        <v/>
      </c>
      <c r="D587" s="105"/>
      <c r="E587" s="105"/>
      <c r="F587" s="110" t="b">
        <v>0</v>
      </c>
      <c r="G587" s="105" t="str">
        <f>IF(F587=True, IFERROR(VLOOKUP(D587, Repository!A:B, 2, 0), ""), "")</f>
        <v/>
      </c>
      <c r="H587" s="105"/>
      <c r="I587" s="105"/>
      <c r="J587" s="105" t="str">
        <f>IF(F587=True, IFERROR(VLOOKUP(D587, Repository!A:C, 3, 0), ""), "")</f>
        <v/>
      </c>
      <c r="K587" s="105"/>
      <c r="L587" s="105" t="str">
        <f>IF(F587=True, IFERROR(VLOOKUP(D587, Repository!A:E, 5, 0), ""), "")</f>
        <v/>
      </c>
      <c r="M587" s="105"/>
      <c r="N587" s="105" t="str">
        <f>IF(F587=True, IFERROR(VLOOKUP(D587, Repository!A:G, 7, 0), ""), "")</f>
        <v/>
      </c>
      <c r="O587" s="105" t="str">
        <f>IFERROR(__xludf.DUMMYFUNCTION("ARRAY_CONSTRAIN(
  ARRAYFORMULA(
    IFERROR(
      LET(
        list, N587,
        arr, TRIM(SPLIT(list, "","")),
        names, XLOOKUP(
          arr,
          'Conformance Score'!A:A,
          'Conformance Score'!B:B,
          ""Not found""
      "&amp;"  ),
        TEXTJOIN("", "", TRUE, names)
      ),
      """"
    )
  ),
  1,
  1
)
"),"")</f>
        <v/>
      </c>
      <c r="P587" s="105" t="str">
        <f>IF(F587="Yes", IFERROR(VLOOKUP(D587, Repository!A:F, 6, 0), ""), "")</f>
        <v/>
      </c>
      <c r="Q587" s="105" t="str">
        <f>IF(F587="Yes", IFERROR(VLOOKUP(D587, Repository!A:I, 8, 0), ""), "")</f>
        <v/>
      </c>
      <c r="R587" s="105" t="str">
        <f>IF(F587="Yes", IFERROR(VLOOKUP(D587, Repository!A:J, 9, 0), ""), "")</f>
        <v/>
      </c>
      <c r="S587" s="105"/>
      <c r="T587" s="105"/>
      <c r="U587" s="105"/>
      <c r="V587" s="105"/>
      <c r="W587" s="105"/>
      <c r="X587" s="105"/>
      <c r="Y587" s="105"/>
      <c r="Z587" s="105"/>
      <c r="AA587" s="105"/>
      <c r="AB587" s="105"/>
      <c r="AC587" s="91"/>
      <c r="AD587" s="105"/>
      <c r="AE587" s="105"/>
      <c r="AF587" s="91"/>
      <c r="AG587" s="105"/>
      <c r="AH587" s="105"/>
      <c r="AI587" s="105" t="str">
        <f t="shared" si="1"/>
        <v/>
      </c>
      <c r="AJ587" s="108" t="str">
        <f t="shared" si="2"/>
        <v/>
      </c>
    </row>
    <row r="588" ht="15.75" customHeight="1">
      <c r="A588" s="104"/>
      <c r="B588" s="105" t="str">
        <f>IFERROR(__xludf.DUMMYFUNCTION("ARRAY_CONSTRAIN(
  ARRAYFORMULA(
    IF(
      'Final Report'!A588="""",
      """",
      TEXTJOIN(
        "", "" &amp; CHAR(10),
        TRUE,
        IFERROR(
          VLOOKUP(
            TRIM(
              SPLIT('Final Report'!A588, "","")
           "&amp;" ),
            'URL Details'!A:B,
            2,
            FALSE
          ),
          """"
        )
      )
    )
  ),
  1,
  1
)
"),"")</f>
        <v/>
      </c>
      <c r="C588" s="105" t="str">
        <f>IFERROR(__xludf.DUMMYFUNCTION("IFERROR(IF('Final Report'!A588="""","""", TEXTJOIN(CHAR(10), TRUE, ARRAYFORMULA( ""• ""&amp; FILTER( TRIM(FLATTEN(SPLIT( REGEXREPLACE( SUBSTITUTE(TEXTJOIN("","", TRUE, IFERROR(ARRAYFORMULA(VLOOKUP(TRIM(SPLIT('Final Report'!A588, "","")), 'URL Details'!A:D, 4,"&amp;" FALSE)),"""") ), CHAR(10), "",""), ""\s*,\s*"", "",""), "",""))), TRIM(FLATTEN(SPLIT( REGEXREPLACE( SUBSTITUTE(TEXTJOIN("","", TRUE, IFERROR(ARRAYFORMULA(VLOOKUP(TRIM(SPLIT('Final Report'!A588, "","")), 'URL Details'!A:D, 4, FALSE)),"""") ), CHAR(10), """&amp;",""), ""\s*,\s*"", "",""), "","")))&lt;&gt;"""" ) ) ) ),"""")
"),"")</f>
        <v/>
      </c>
      <c r="D588" s="105"/>
      <c r="E588" s="105"/>
      <c r="F588" s="110" t="b">
        <v>0</v>
      </c>
      <c r="G588" s="105" t="str">
        <f>IF(F588=True, IFERROR(VLOOKUP(D588, Repository!A:B, 2, 0), ""), "")</f>
        <v/>
      </c>
      <c r="H588" s="105"/>
      <c r="I588" s="105"/>
      <c r="J588" s="105" t="str">
        <f>IF(F588=True, IFERROR(VLOOKUP(D588, Repository!A:C, 3, 0), ""), "")</f>
        <v/>
      </c>
      <c r="K588" s="105"/>
      <c r="L588" s="105" t="str">
        <f>IF(F588=True, IFERROR(VLOOKUP(D588, Repository!A:E, 5, 0), ""), "")</f>
        <v/>
      </c>
      <c r="M588" s="105"/>
      <c r="N588" s="105" t="str">
        <f>IF(F588=True, IFERROR(VLOOKUP(D588, Repository!A:G, 7, 0), ""), "")</f>
        <v/>
      </c>
      <c r="O588" s="105" t="str">
        <f>IFERROR(__xludf.DUMMYFUNCTION("ARRAY_CONSTRAIN(
  ARRAYFORMULA(
    IFERROR(
      LET(
        list, N588,
        arr, TRIM(SPLIT(list, "","")),
        names, XLOOKUP(
          arr,
          'Conformance Score'!A:A,
          'Conformance Score'!B:B,
          ""Not found""
      "&amp;"  ),
        TEXTJOIN("", "", TRUE, names)
      ),
      """"
    )
  ),
  1,
  1
)
"),"")</f>
        <v/>
      </c>
      <c r="P588" s="105" t="str">
        <f>IF(F588="Yes", IFERROR(VLOOKUP(D588, Repository!A:F, 6, 0), ""), "")</f>
        <v/>
      </c>
      <c r="Q588" s="105" t="str">
        <f>IF(F588="Yes", IFERROR(VLOOKUP(D588, Repository!A:I, 8, 0), ""), "")</f>
        <v/>
      </c>
      <c r="R588" s="105" t="str">
        <f>IF(F588="Yes", IFERROR(VLOOKUP(D588, Repository!A:J, 9, 0), ""), "")</f>
        <v/>
      </c>
      <c r="S588" s="105"/>
      <c r="T588" s="105"/>
      <c r="U588" s="105"/>
      <c r="V588" s="105"/>
      <c r="W588" s="105"/>
      <c r="X588" s="105"/>
      <c r="Y588" s="105"/>
      <c r="Z588" s="105"/>
      <c r="AA588" s="105"/>
      <c r="AB588" s="105"/>
      <c r="AC588" s="91"/>
      <c r="AD588" s="105"/>
      <c r="AE588" s="105"/>
      <c r="AF588" s="91"/>
      <c r="AG588" s="105"/>
      <c r="AH588" s="105"/>
      <c r="AI588" s="105" t="str">
        <f t="shared" si="1"/>
        <v/>
      </c>
      <c r="AJ588" s="108" t="str">
        <f t="shared" si="2"/>
        <v/>
      </c>
    </row>
    <row r="589" ht="15.75" customHeight="1">
      <c r="A589" s="104"/>
      <c r="B589" s="105" t="str">
        <f>IFERROR(__xludf.DUMMYFUNCTION("ARRAY_CONSTRAIN(
  ARRAYFORMULA(
    IF(
      'Final Report'!A589="""",
      """",
      TEXTJOIN(
        "", "" &amp; CHAR(10),
        TRUE,
        IFERROR(
          VLOOKUP(
            TRIM(
              SPLIT('Final Report'!A589, "","")
           "&amp;" ),
            'URL Details'!A:B,
            2,
            FALSE
          ),
          """"
        )
      )
    )
  ),
  1,
  1
)
"),"")</f>
        <v/>
      </c>
      <c r="C589" s="105" t="str">
        <f>IFERROR(__xludf.DUMMYFUNCTION("IFERROR(IF('Final Report'!A589="""","""", TEXTJOIN(CHAR(10), TRUE, ARRAYFORMULA( ""• ""&amp; FILTER( TRIM(FLATTEN(SPLIT( REGEXREPLACE( SUBSTITUTE(TEXTJOIN("","", TRUE, IFERROR(ARRAYFORMULA(VLOOKUP(TRIM(SPLIT('Final Report'!A589, "","")), 'URL Details'!A:D, 4,"&amp;" FALSE)),"""") ), CHAR(10), "",""), ""\s*,\s*"", "",""), "",""))), TRIM(FLATTEN(SPLIT( REGEXREPLACE( SUBSTITUTE(TEXTJOIN("","", TRUE, IFERROR(ARRAYFORMULA(VLOOKUP(TRIM(SPLIT('Final Report'!A589, "","")), 'URL Details'!A:D, 4, FALSE)),"""") ), CHAR(10), """&amp;",""), ""\s*,\s*"", "",""), "","")))&lt;&gt;"""" ) ) ) ),"""")
"),"")</f>
        <v/>
      </c>
      <c r="D589" s="105"/>
      <c r="E589" s="105"/>
      <c r="F589" s="110" t="b">
        <v>0</v>
      </c>
      <c r="G589" s="105" t="str">
        <f>IF(F589=True, IFERROR(VLOOKUP(D589, Repository!A:B, 2, 0), ""), "")</f>
        <v/>
      </c>
      <c r="H589" s="105"/>
      <c r="I589" s="105"/>
      <c r="J589" s="105" t="str">
        <f>IF(F589=True, IFERROR(VLOOKUP(D589, Repository!A:C, 3, 0), ""), "")</f>
        <v/>
      </c>
      <c r="K589" s="105"/>
      <c r="L589" s="105" t="str">
        <f>IF(F589=True, IFERROR(VLOOKUP(D589, Repository!A:E, 5, 0), ""), "")</f>
        <v/>
      </c>
      <c r="M589" s="105"/>
      <c r="N589" s="105" t="str">
        <f>IF(F589=True, IFERROR(VLOOKUP(D589, Repository!A:G, 7, 0), ""), "")</f>
        <v/>
      </c>
      <c r="O589" s="105" t="str">
        <f>IFERROR(__xludf.DUMMYFUNCTION("ARRAY_CONSTRAIN(
  ARRAYFORMULA(
    IFERROR(
      LET(
        list, N589,
        arr, TRIM(SPLIT(list, "","")),
        names, XLOOKUP(
          arr,
          'Conformance Score'!A:A,
          'Conformance Score'!B:B,
          ""Not found""
      "&amp;"  ),
        TEXTJOIN("", "", TRUE, names)
      ),
      """"
    )
  ),
  1,
  1
)
"),"")</f>
        <v/>
      </c>
      <c r="P589" s="105" t="str">
        <f>IF(F589="Yes", IFERROR(VLOOKUP(D589, Repository!A:F, 6, 0), ""), "")</f>
        <v/>
      </c>
      <c r="Q589" s="105" t="str">
        <f>IF(F589="Yes", IFERROR(VLOOKUP(D589, Repository!A:I, 8, 0), ""), "")</f>
        <v/>
      </c>
      <c r="R589" s="105" t="str">
        <f>IF(F589="Yes", IFERROR(VLOOKUP(D589, Repository!A:J, 9, 0), ""), "")</f>
        <v/>
      </c>
      <c r="S589" s="105"/>
      <c r="T589" s="105"/>
      <c r="U589" s="105"/>
      <c r="V589" s="105"/>
      <c r="W589" s="105"/>
      <c r="X589" s="105"/>
      <c r="Y589" s="105"/>
      <c r="Z589" s="105"/>
      <c r="AA589" s="105"/>
      <c r="AB589" s="105"/>
      <c r="AC589" s="91"/>
      <c r="AD589" s="105"/>
      <c r="AE589" s="105"/>
      <c r="AF589" s="91"/>
      <c r="AG589" s="105"/>
      <c r="AH589" s="105"/>
      <c r="AI589" s="105" t="str">
        <f t="shared" si="1"/>
        <v/>
      </c>
      <c r="AJ589" s="108" t="str">
        <f t="shared" si="2"/>
        <v/>
      </c>
    </row>
    <row r="590" ht="15.75" customHeight="1">
      <c r="A590" s="104"/>
      <c r="B590" s="105" t="str">
        <f>IFERROR(__xludf.DUMMYFUNCTION("ARRAY_CONSTRAIN(
  ARRAYFORMULA(
    IF(
      'Final Report'!A590="""",
      """",
      TEXTJOIN(
        "", "" &amp; CHAR(10),
        TRUE,
        IFERROR(
          VLOOKUP(
            TRIM(
              SPLIT('Final Report'!A590, "","")
           "&amp;" ),
            'URL Details'!A:B,
            2,
            FALSE
          ),
          """"
        )
      )
    )
  ),
  1,
  1
)
"),"")</f>
        <v/>
      </c>
      <c r="C590" s="105" t="str">
        <f>IFERROR(__xludf.DUMMYFUNCTION("IFERROR(IF('Final Report'!A590="""","""", TEXTJOIN(CHAR(10), TRUE, ARRAYFORMULA( ""• ""&amp; FILTER( TRIM(FLATTEN(SPLIT( REGEXREPLACE( SUBSTITUTE(TEXTJOIN("","", TRUE, IFERROR(ARRAYFORMULA(VLOOKUP(TRIM(SPLIT('Final Report'!A590, "","")), 'URL Details'!A:D, 4,"&amp;" FALSE)),"""") ), CHAR(10), "",""), ""\s*,\s*"", "",""), "",""))), TRIM(FLATTEN(SPLIT( REGEXREPLACE( SUBSTITUTE(TEXTJOIN("","", TRUE, IFERROR(ARRAYFORMULA(VLOOKUP(TRIM(SPLIT('Final Report'!A590, "","")), 'URL Details'!A:D, 4, FALSE)),"""") ), CHAR(10), """&amp;",""), ""\s*,\s*"", "",""), "","")))&lt;&gt;"""" ) ) ) ),"""")
"),"")</f>
        <v/>
      </c>
      <c r="D590" s="105"/>
      <c r="E590" s="105"/>
      <c r="F590" s="110" t="b">
        <v>0</v>
      </c>
      <c r="G590" s="105" t="str">
        <f>IF(F590=True, IFERROR(VLOOKUP(D590, Repository!A:B, 2, 0), ""), "")</f>
        <v/>
      </c>
      <c r="H590" s="105"/>
      <c r="I590" s="105"/>
      <c r="J590" s="105" t="str">
        <f>IF(F590=True, IFERROR(VLOOKUP(D590, Repository!A:C, 3, 0), ""), "")</f>
        <v/>
      </c>
      <c r="K590" s="105"/>
      <c r="L590" s="105" t="str">
        <f>IF(F590=True, IFERROR(VLOOKUP(D590, Repository!A:E, 5, 0), ""), "")</f>
        <v/>
      </c>
      <c r="M590" s="105"/>
      <c r="N590" s="105" t="str">
        <f>IF(F590=True, IFERROR(VLOOKUP(D590, Repository!A:G, 7, 0), ""), "")</f>
        <v/>
      </c>
      <c r="O590" s="105" t="str">
        <f>IFERROR(__xludf.DUMMYFUNCTION("ARRAY_CONSTRAIN(
  ARRAYFORMULA(
    IFERROR(
      LET(
        list, N590,
        arr, TRIM(SPLIT(list, "","")),
        names, XLOOKUP(
          arr,
          'Conformance Score'!A:A,
          'Conformance Score'!B:B,
          ""Not found""
      "&amp;"  ),
        TEXTJOIN("", "", TRUE, names)
      ),
      """"
    )
  ),
  1,
  1
)
"),"")</f>
        <v/>
      </c>
      <c r="P590" s="105" t="str">
        <f>IF(F590="Yes", IFERROR(VLOOKUP(D590, Repository!A:F, 6, 0), ""), "")</f>
        <v/>
      </c>
      <c r="Q590" s="105" t="str">
        <f>IF(F590="Yes", IFERROR(VLOOKUP(D590, Repository!A:I, 8, 0), ""), "")</f>
        <v/>
      </c>
      <c r="R590" s="105" t="str">
        <f>IF(F590="Yes", IFERROR(VLOOKUP(D590, Repository!A:J, 9, 0), ""), "")</f>
        <v/>
      </c>
      <c r="S590" s="105"/>
      <c r="T590" s="105"/>
      <c r="U590" s="105"/>
      <c r="V590" s="105"/>
      <c r="W590" s="105"/>
      <c r="X590" s="105"/>
      <c r="Y590" s="105"/>
      <c r="Z590" s="105"/>
      <c r="AA590" s="105"/>
      <c r="AB590" s="105"/>
      <c r="AC590" s="91"/>
      <c r="AD590" s="105"/>
      <c r="AE590" s="105"/>
      <c r="AF590" s="91"/>
      <c r="AG590" s="105"/>
      <c r="AH590" s="105"/>
      <c r="AI590" s="105" t="str">
        <f t="shared" si="1"/>
        <v/>
      </c>
      <c r="AJ590" s="108" t="str">
        <f t="shared" si="2"/>
        <v/>
      </c>
    </row>
    <row r="591" ht="15.75" customHeight="1">
      <c r="A591" s="104"/>
      <c r="B591" s="105" t="str">
        <f>IFERROR(__xludf.DUMMYFUNCTION("ARRAY_CONSTRAIN(
  ARRAYFORMULA(
    IF(
      'Final Report'!A591="""",
      """",
      TEXTJOIN(
        "", "" &amp; CHAR(10),
        TRUE,
        IFERROR(
          VLOOKUP(
            TRIM(
              SPLIT('Final Report'!A591, "","")
           "&amp;" ),
            'URL Details'!A:B,
            2,
            FALSE
          ),
          """"
        )
      )
    )
  ),
  1,
  1
)
"),"")</f>
        <v/>
      </c>
      <c r="C591" s="105" t="str">
        <f>IFERROR(__xludf.DUMMYFUNCTION("IFERROR(IF('Final Report'!A591="""","""", TEXTJOIN(CHAR(10), TRUE, ARRAYFORMULA( ""• ""&amp; FILTER( TRIM(FLATTEN(SPLIT( REGEXREPLACE( SUBSTITUTE(TEXTJOIN("","", TRUE, IFERROR(ARRAYFORMULA(VLOOKUP(TRIM(SPLIT('Final Report'!A591, "","")), 'URL Details'!A:D, 4,"&amp;" FALSE)),"""") ), CHAR(10), "",""), ""\s*,\s*"", "",""), "",""))), TRIM(FLATTEN(SPLIT( REGEXREPLACE( SUBSTITUTE(TEXTJOIN("","", TRUE, IFERROR(ARRAYFORMULA(VLOOKUP(TRIM(SPLIT('Final Report'!A591, "","")), 'URL Details'!A:D, 4, FALSE)),"""") ), CHAR(10), """&amp;",""), ""\s*,\s*"", "",""), "","")))&lt;&gt;"""" ) ) ) ),"""")
"),"")</f>
        <v/>
      </c>
      <c r="D591" s="105"/>
      <c r="E591" s="105"/>
      <c r="F591" s="110" t="b">
        <v>0</v>
      </c>
      <c r="G591" s="105" t="str">
        <f>IF(F591=True, IFERROR(VLOOKUP(D591, Repository!A:B, 2, 0), ""), "")</f>
        <v/>
      </c>
      <c r="H591" s="105"/>
      <c r="I591" s="105"/>
      <c r="J591" s="105" t="str">
        <f>IF(F591=True, IFERROR(VLOOKUP(D591, Repository!A:C, 3, 0), ""), "")</f>
        <v/>
      </c>
      <c r="K591" s="105"/>
      <c r="L591" s="105" t="str">
        <f>IF(F591=True, IFERROR(VLOOKUP(D591, Repository!A:E, 5, 0), ""), "")</f>
        <v/>
      </c>
      <c r="M591" s="105"/>
      <c r="N591" s="105" t="str">
        <f>IF(F591=True, IFERROR(VLOOKUP(D591, Repository!A:G, 7, 0), ""), "")</f>
        <v/>
      </c>
      <c r="O591" s="105" t="str">
        <f>IFERROR(__xludf.DUMMYFUNCTION("ARRAY_CONSTRAIN(
  ARRAYFORMULA(
    IFERROR(
      LET(
        list, N591,
        arr, TRIM(SPLIT(list, "","")),
        names, XLOOKUP(
          arr,
          'Conformance Score'!A:A,
          'Conformance Score'!B:B,
          ""Not found""
      "&amp;"  ),
        TEXTJOIN("", "", TRUE, names)
      ),
      """"
    )
  ),
  1,
  1
)
"),"")</f>
        <v/>
      </c>
      <c r="P591" s="105" t="str">
        <f>IF(F591="Yes", IFERROR(VLOOKUP(D591, Repository!A:F, 6, 0), ""), "")</f>
        <v/>
      </c>
      <c r="Q591" s="105" t="str">
        <f>IF(F591="Yes", IFERROR(VLOOKUP(D591, Repository!A:I, 8, 0), ""), "")</f>
        <v/>
      </c>
      <c r="R591" s="105" t="str">
        <f>IF(F591="Yes", IFERROR(VLOOKUP(D591, Repository!A:J, 9, 0), ""), "")</f>
        <v/>
      </c>
      <c r="S591" s="105"/>
      <c r="T591" s="105"/>
      <c r="U591" s="105"/>
      <c r="V591" s="105"/>
      <c r="W591" s="105"/>
      <c r="X591" s="105"/>
      <c r="Y591" s="105"/>
      <c r="Z591" s="105"/>
      <c r="AA591" s="105"/>
      <c r="AB591" s="105"/>
      <c r="AC591" s="91"/>
      <c r="AD591" s="105"/>
      <c r="AE591" s="105"/>
      <c r="AF591" s="91"/>
      <c r="AG591" s="105"/>
      <c r="AH591" s="105"/>
      <c r="AI591" s="105" t="str">
        <f t="shared" si="1"/>
        <v/>
      </c>
      <c r="AJ591" s="108" t="str">
        <f t="shared" si="2"/>
        <v/>
      </c>
    </row>
    <row r="592" ht="15.75" customHeight="1">
      <c r="A592" s="104"/>
      <c r="B592" s="105" t="str">
        <f>IFERROR(__xludf.DUMMYFUNCTION("ARRAY_CONSTRAIN(
  ARRAYFORMULA(
    IF(
      'Final Report'!A592="""",
      """",
      TEXTJOIN(
        "", "" &amp; CHAR(10),
        TRUE,
        IFERROR(
          VLOOKUP(
            TRIM(
              SPLIT('Final Report'!A592, "","")
           "&amp;" ),
            'URL Details'!A:B,
            2,
            FALSE
          ),
          """"
        )
      )
    )
  ),
  1,
  1
)
"),"")</f>
        <v/>
      </c>
      <c r="C592" s="105" t="str">
        <f>IFERROR(__xludf.DUMMYFUNCTION("IFERROR(IF('Final Report'!A592="""","""", TEXTJOIN(CHAR(10), TRUE, ARRAYFORMULA( ""• ""&amp; FILTER( TRIM(FLATTEN(SPLIT( REGEXREPLACE( SUBSTITUTE(TEXTJOIN("","", TRUE, IFERROR(ARRAYFORMULA(VLOOKUP(TRIM(SPLIT('Final Report'!A592, "","")), 'URL Details'!A:D, 4,"&amp;" FALSE)),"""") ), CHAR(10), "",""), ""\s*,\s*"", "",""), "",""))), TRIM(FLATTEN(SPLIT( REGEXREPLACE( SUBSTITUTE(TEXTJOIN("","", TRUE, IFERROR(ARRAYFORMULA(VLOOKUP(TRIM(SPLIT('Final Report'!A592, "","")), 'URL Details'!A:D, 4, FALSE)),"""") ), CHAR(10), """&amp;",""), ""\s*,\s*"", "",""), "","")))&lt;&gt;"""" ) ) ) ),"""")
"),"")</f>
        <v/>
      </c>
      <c r="D592" s="105"/>
      <c r="E592" s="105"/>
      <c r="F592" s="110" t="b">
        <v>0</v>
      </c>
      <c r="G592" s="105" t="str">
        <f>IF(F592=True, IFERROR(VLOOKUP(D592, Repository!A:B, 2, 0), ""), "")</f>
        <v/>
      </c>
      <c r="H592" s="105"/>
      <c r="I592" s="105"/>
      <c r="J592" s="105" t="str">
        <f>IF(F592=True, IFERROR(VLOOKUP(D592, Repository!A:C, 3, 0), ""), "")</f>
        <v/>
      </c>
      <c r="K592" s="105"/>
      <c r="L592" s="105" t="str">
        <f>IF(F592=True, IFERROR(VLOOKUP(D592, Repository!A:E, 5, 0), ""), "")</f>
        <v/>
      </c>
      <c r="M592" s="105"/>
      <c r="N592" s="105" t="str">
        <f>IF(F592=True, IFERROR(VLOOKUP(D592, Repository!A:G, 7, 0), ""), "")</f>
        <v/>
      </c>
      <c r="O592" s="105" t="str">
        <f>IFERROR(__xludf.DUMMYFUNCTION("ARRAY_CONSTRAIN(
  ARRAYFORMULA(
    IFERROR(
      LET(
        list, N592,
        arr, TRIM(SPLIT(list, "","")),
        names, XLOOKUP(
          arr,
          'Conformance Score'!A:A,
          'Conformance Score'!B:B,
          ""Not found""
      "&amp;"  ),
        TEXTJOIN("", "", TRUE, names)
      ),
      """"
    )
  ),
  1,
  1
)
"),"")</f>
        <v/>
      </c>
      <c r="P592" s="105" t="str">
        <f>IF(F592="Yes", IFERROR(VLOOKUP(D592, Repository!A:F, 6, 0), ""), "")</f>
        <v/>
      </c>
      <c r="Q592" s="105" t="str">
        <f>IF(F592="Yes", IFERROR(VLOOKUP(D592, Repository!A:I, 8, 0), ""), "")</f>
        <v/>
      </c>
      <c r="R592" s="105" t="str">
        <f>IF(F592="Yes", IFERROR(VLOOKUP(D592, Repository!A:J, 9, 0), ""), "")</f>
        <v/>
      </c>
      <c r="S592" s="105"/>
      <c r="T592" s="105"/>
      <c r="U592" s="105"/>
      <c r="V592" s="105"/>
      <c r="W592" s="105"/>
      <c r="X592" s="105"/>
      <c r="Y592" s="105"/>
      <c r="Z592" s="105"/>
      <c r="AA592" s="105"/>
      <c r="AB592" s="105"/>
      <c r="AC592" s="91"/>
      <c r="AD592" s="105"/>
      <c r="AE592" s="105"/>
      <c r="AF592" s="91"/>
      <c r="AG592" s="105"/>
      <c r="AH592" s="105"/>
      <c r="AI592" s="105" t="str">
        <f t="shared" si="1"/>
        <v/>
      </c>
      <c r="AJ592" s="108" t="str">
        <f t="shared" si="2"/>
        <v/>
      </c>
    </row>
    <row r="593" ht="15.75" customHeight="1">
      <c r="A593" s="104"/>
      <c r="B593" s="105" t="str">
        <f>IFERROR(__xludf.DUMMYFUNCTION("ARRAY_CONSTRAIN(
  ARRAYFORMULA(
    IF(
      'Final Report'!A593="""",
      """",
      TEXTJOIN(
        "", "" &amp; CHAR(10),
        TRUE,
        IFERROR(
          VLOOKUP(
            TRIM(
              SPLIT('Final Report'!A593, "","")
           "&amp;" ),
            'URL Details'!A:B,
            2,
            FALSE
          ),
          """"
        )
      )
    )
  ),
  1,
  1
)
"),"")</f>
        <v/>
      </c>
      <c r="C593" s="105" t="str">
        <f>IFERROR(__xludf.DUMMYFUNCTION("IFERROR(IF('Final Report'!A593="""","""", TEXTJOIN(CHAR(10), TRUE, ARRAYFORMULA( ""• ""&amp; FILTER( TRIM(FLATTEN(SPLIT( REGEXREPLACE( SUBSTITUTE(TEXTJOIN("","", TRUE, IFERROR(ARRAYFORMULA(VLOOKUP(TRIM(SPLIT('Final Report'!A593, "","")), 'URL Details'!A:D, 4,"&amp;" FALSE)),"""") ), CHAR(10), "",""), ""\s*,\s*"", "",""), "",""))), TRIM(FLATTEN(SPLIT( REGEXREPLACE( SUBSTITUTE(TEXTJOIN("","", TRUE, IFERROR(ARRAYFORMULA(VLOOKUP(TRIM(SPLIT('Final Report'!A593, "","")), 'URL Details'!A:D, 4, FALSE)),"""") ), CHAR(10), """&amp;",""), ""\s*,\s*"", "",""), "","")))&lt;&gt;"""" ) ) ) ),"""")
"),"")</f>
        <v/>
      </c>
      <c r="D593" s="105"/>
      <c r="E593" s="105"/>
      <c r="F593" s="110" t="b">
        <v>0</v>
      </c>
      <c r="G593" s="105" t="str">
        <f>IF(F593=True, IFERROR(VLOOKUP(D593, Repository!A:B, 2, 0), ""), "")</f>
        <v/>
      </c>
      <c r="H593" s="105"/>
      <c r="I593" s="105"/>
      <c r="J593" s="105" t="str">
        <f>IF(F593=True, IFERROR(VLOOKUP(D593, Repository!A:C, 3, 0), ""), "")</f>
        <v/>
      </c>
      <c r="K593" s="105"/>
      <c r="L593" s="105" t="str">
        <f>IF(F593=True, IFERROR(VLOOKUP(D593, Repository!A:E, 5, 0), ""), "")</f>
        <v/>
      </c>
      <c r="M593" s="105"/>
      <c r="N593" s="105" t="str">
        <f>IF(F593=True, IFERROR(VLOOKUP(D593, Repository!A:G, 7, 0), ""), "")</f>
        <v/>
      </c>
      <c r="O593" s="105" t="str">
        <f>IFERROR(__xludf.DUMMYFUNCTION("ARRAY_CONSTRAIN(
  ARRAYFORMULA(
    IFERROR(
      LET(
        list, N593,
        arr, TRIM(SPLIT(list, "","")),
        names, XLOOKUP(
          arr,
          'Conformance Score'!A:A,
          'Conformance Score'!B:B,
          ""Not found""
      "&amp;"  ),
        TEXTJOIN("", "", TRUE, names)
      ),
      """"
    )
  ),
  1,
  1
)
"),"")</f>
        <v/>
      </c>
      <c r="P593" s="105" t="str">
        <f>IF(F593="Yes", IFERROR(VLOOKUP(D593, Repository!A:F, 6, 0), ""), "")</f>
        <v/>
      </c>
      <c r="Q593" s="105" t="str">
        <f>IF(F593="Yes", IFERROR(VLOOKUP(D593, Repository!A:I, 8, 0), ""), "")</f>
        <v/>
      </c>
      <c r="R593" s="105" t="str">
        <f>IF(F593="Yes", IFERROR(VLOOKUP(D593, Repository!A:J, 9, 0), ""), "")</f>
        <v/>
      </c>
      <c r="S593" s="105"/>
      <c r="T593" s="105"/>
      <c r="U593" s="105"/>
      <c r="V593" s="105"/>
      <c r="W593" s="105"/>
      <c r="X593" s="105"/>
      <c r="Y593" s="105"/>
      <c r="Z593" s="105"/>
      <c r="AA593" s="105"/>
      <c r="AB593" s="105"/>
      <c r="AC593" s="91"/>
      <c r="AD593" s="105"/>
      <c r="AE593" s="105"/>
      <c r="AF593" s="91"/>
      <c r="AG593" s="105"/>
      <c r="AH593" s="105"/>
      <c r="AI593" s="105" t="str">
        <f t="shared" si="1"/>
        <v/>
      </c>
      <c r="AJ593" s="108" t="str">
        <f t="shared" si="2"/>
        <v/>
      </c>
    </row>
    <row r="594" ht="15.75" customHeight="1">
      <c r="A594" s="104"/>
      <c r="B594" s="105" t="str">
        <f>IFERROR(__xludf.DUMMYFUNCTION("ARRAY_CONSTRAIN(
  ARRAYFORMULA(
    IF(
      'Final Report'!A594="""",
      """",
      TEXTJOIN(
        "", "" &amp; CHAR(10),
        TRUE,
        IFERROR(
          VLOOKUP(
            TRIM(
              SPLIT('Final Report'!A594, "","")
           "&amp;" ),
            'URL Details'!A:B,
            2,
            FALSE
          ),
          """"
        )
      )
    )
  ),
  1,
  1
)
"),"")</f>
        <v/>
      </c>
      <c r="C594" s="105" t="str">
        <f>IFERROR(__xludf.DUMMYFUNCTION("IFERROR(IF('Final Report'!A594="""","""", TEXTJOIN(CHAR(10), TRUE, ARRAYFORMULA( ""• ""&amp; FILTER( TRIM(FLATTEN(SPLIT( REGEXREPLACE( SUBSTITUTE(TEXTJOIN("","", TRUE, IFERROR(ARRAYFORMULA(VLOOKUP(TRIM(SPLIT('Final Report'!A594, "","")), 'URL Details'!A:D, 4,"&amp;" FALSE)),"""") ), CHAR(10), "",""), ""\s*,\s*"", "",""), "",""))), TRIM(FLATTEN(SPLIT( REGEXREPLACE( SUBSTITUTE(TEXTJOIN("","", TRUE, IFERROR(ARRAYFORMULA(VLOOKUP(TRIM(SPLIT('Final Report'!A594, "","")), 'URL Details'!A:D, 4, FALSE)),"""") ), CHAR(10), """&amp;",""), ""\s*,\s*"", "",""), "","")))&lt;&gt;"""" ) ) ) ),"""")
"),"")</f>
        <v/>
      </c>
      <c r="D594" s="105"/>
      <c r="E594" s="105"/>
      <c r="F594" s="110" t="b">
        <v>0</v>
      </c>
      <c r="G594" s="105" t="str">
        <f>IF(F594=True, IFERROR(VLOOKUP(D594, Repository!A:B, 2, 0), ""), "")</f>
        <v/>
      </c>
      <c r="H594" s="105"/>
      <c r="I594" s="105"/>
      <c r="J594" s="105" t="str">
        <f>IF(F594=True, IFERROR(VLOOKUP(D594, Repository!A:C, 3, 0), ""), "")</f>
        <v/>
      </c>
      <c r="K594" s="105"/>
      <c r="L594" s="105" t="str">
        <f>IF(F594=True, IFERROR(VLOOKUP(D594, Repository!A:E, 5, 0), ""), "")</f>
        <v/>
      </c>
      <c r="M594" s="105"/>
      <c r="N594" s="105" t="str">
        <f>IF(F594=True, IFERROR(VLOOKUP(D594, Repository!A:G, 7, 0), ""), "")</f>
        <v/>
      </c>
      <c r="O594" s="105" t="str">
        <f>IFERROR(__xludf.DUMMYFUNCTION("ARRAY_CONSTRAIN(
  ARRAYFORMULA(
    IFERROR(
      LET(
        list, N594,
        arr, TRIM(SPLIT(list, "","")),
        names, XLOOKUP(
          arr,
          'Conformance Score'!A:A,
          'Conformance Score'!B:B,
          ""Not found""
      "&amp;"  ),
        TEXTJOIN("", "", TRUE, names)
      ),
      """"
    )
  ),
  1,
  1
)
"),"")</f>
        <v/>
      </c>
      <c r="P594" s="105" t="str">
        <f>IF(F594="Yes", IFERROR(VLOOKUP(D594, Repository!A:F, 6, 0), ""), "")</f>
        <v/>
      </c>
      <c r="Q594" s="105" t="str">
        <f>IF(F594="Yes", IFERROR(VLOOKUP(D594, Repository!A:I, 8, 0), ""), "")</f>
        <v/>
      </c>
      <c r="R594" s="105" t="str">
        <f>IF(F594="Yes", IFERROR(VLOOKUP(D594, Repository!A:J, 9, 0), ""), "")</f>
        <v/>
      </c>
      <c r="S594" s="105"/>
      <c r="T594" s="105"/>
      <c r="U594" s="105"/>
      <c r="V594" s="105"/>
      <c r="W594" s="105"/>
      <c r="X594" s="105"/>
      <c r="Y594" s="105"/>
      <c r="Z594" s="105"/>
      <c r="AA594" s="105"/>
      <c r="AB594" s="105"/>
      <c r="AC594" s="91"/>
      <c r="AD594" s="105"/>
      <c r="AE594" s="105"/>
      <c r="AF594" s="91"/>
      <c r="AG594" s="105"/>
      <c r="AH594" s="105"/>
      <c r="AI594" s="105" t="str">
        <f t="shared" si="1"/>
        <v/>
      </c>
      <c r="AJ594" s="108" t="str">
        <f t="shared" si="2"/>
        <v/>
      </c>
    </row>
    <row r="595" ht="15.75" customHeight="1">
      <c r="A595" s="104"/>
      <c r="B595" s="105" t="str">
        <f>IFERROR(__xludf.DUMMYFUNCTION("ARRAY_CONSTRAIN(
  ARRAYFORMULA(
    IF(
      'Final Report'!A595="""",
      """",
      TEXTJOIN(
        "", "" &amp; CHAR(10),
        TRUE,
        IFERROR(
          VLOOKUP(
            TRIM(
              SPLIT('Final Report'!A595, "","")
           "&amp;" ),
            'URL Details'!A:B,
            2,
            FALSE
          ),
          """"
        )
      )
    )
  ),
  1,
  1
)
"),"")</f>
        <v/>
      </c>
      <c r="C595" s="105" t="str">
        <f>IFERROR(__xludf.DUMMYFUNCTION("IFERROR(IF('Final Report'!A595="""","""", TEXTJOIN(CHAR(10), TRUE, ARRAYFORMULA( ""• ""&amp; FILTER( TRIM(FLATTEN(SPLIT( REGEXREPLACE( SUBSTITUTE(TEXTJOIN("","", TRUE, IFERROR(ARRAYFORMULA(VLOOKUP(TRIM(SPLIT('Final Report'!A595, "","")), 'URL Details'!A:D, 4,"&amp;" FALSE)),"""") ), CHAR(10), "",""), ""\s*,\s*"", "",""), "",""))), TRIM(FLATTEN(SPLIT( REGEXREPLACE( SUBSTITUTE(TEXTJOIN("","", TRUE, IFERROR(ARRAYFORMULA(VLOOKUP(TRIM(SPLIT('Final Report'!A595, "","")), 'URL Details'!A:D, 4, FALSE)),"""") ), CHAR(10), """&amp;",""), ""\s*,\s*"", "",""), "","")))&lt;&gt;"""" ) ) ) ),"""")
"),"")</f>
        <v/>
      </c>
      <c r="D595" s="105"/>
      <c r="E595" s="105"/>
      <c r="F595" s="110" t="b">
        <v>0</v>
      </c>
      <c r="G595" s="105" t="str">
        <f>IF(F595=True, IFERROR(VLOOKUP(D595, Repository!A:B, 2, 0), ""), "")</f>
        <v/>
      </c>
      <c r="H595" s="105"/>
      <c r="I595" s="105"/>
      <c r="J595" s="105" t="str">
        <f>IF(F595=True, IFERROR(VLOOKUP(D595, Repository!A:C, 3, 0), ""), "")</f>
        <v/>
      </c>
      <c r="K595" s="105"/>
      <c r="L595" s="105" t="str">
        <f>IF(F595=True, IFERROR(VLOOKUP(D595, Repository!A:E, 5, 0), ""), "")</f>
        <v/>
      </c>
      <c r="M595" s="105"/>
      <c r="N595" s="105" t="str">
        <f>IF(F595=True, IFERROR(VLOOKUP(D595, Repository!A:G, 7, 0), ""), "")</f>
        <v/>
      </c>
      <c r="O595" s="105" t="str">
        <f>IFERROR(__xludf.DUMMYFUNCTION("ARRAY_CONSTRAIN(
  ARRAYFORMULA(
    IFERROR(
      LET(
        list, N595,
        arr, TRIM(SPLIT(list, "","")),
        names, XLOOKUP(
          arr,
          'Conformance Score'!A:A,
          'Conformance Score'!B:B,
          ""Not found""
      "&amp;"  ),
        TEXTJOIN("", "", TRUE, names)
      ),
      """"
    )
  ),
  1,
  1
)
"),"")</f>
        <v/>
      </c>
      <c r="P595" s="105" t="str">
        <f>IF(F595="Yes", IFERROR(VLOOKUP(D595, Repository!A:F, 6, 0), ""), "")</f>
        <v/>
      </c>
      <c r="Q595" s="105" t="str">
        <f>IF(F595="Yes", IFERROR(VLOOKUP(D595, Repository!A:I, 8, 0), ""), "")</f>
        <v/>
      </c>
      <c r="R595" s="105" t="str">
        <f>IF(F595="Yes", IFERROR(VLOOKUP(D595, Repository!A:J, 9, 0), ""), "")</f>
        <v/>
      </c>
      <c r="S595" s="105"/>
      <c r="T595" s="105"/>
      <c r="U595" s="105"/>
      <c r="V595" s="105"/>
      <c r="W595" s="105"/>
      <c r="X595" s="105"/>
      <c r="Y595" s="105"/>
      <c r="Z595" s="105"/>
      <c r="AA595" s="105"/>
      <c r="AB595" s="105"/>
      <c r="AC595" s="91"/>
      <c r="AD595" s="105"/>
      <c r="AE595" s="105"/>
      <c r="AF595" s="91"/>
      <c r="AG595" s="105"/>
      <c r="AH595" s="105"/>
      <c r="AI595" s="105" t="str">
        <f t="shared" si="1"/>
        <v/>
      </c>
      <c r="AJ595" s="108" t="str">
        <f t="shared" si="2"/>
        <v/>
      </c>
    </row>
    <row r="596" ht="15.75" customHeight="1">
      <c r="A596" s="104"/>
      <c r="B596" s="105" t="str">
        <f>IFERROR(__xludf.DUMMYFUNCTION("ARRAY_CONSTRAIN(
  ARRAYFORMULA(
    IF(
      'Final Report'!A596="""",
      """",
      TEXTJOIN(
        "", "" &amp; CHAR(10),
        TRUE,
        IFERROR(
          VLOOKUP(
            TRIM(
              SPLIT('Final Report'!A596, "","")
           "&amp;" ),
            'URL Details'!A:B,
            2,
            FALSE
          ),
          """"
        )
      )
    )
  ),
  1,
  1
)
"),"")</f>
        <v/>
      </c>
      <c r="C596" s="105" t="str">
        <f>IFERROR(__xludf.DUMMYFUNCTION("IFERROR(IF('Final Report'!A596="""","""", TEXTJOIN(CHAR(10), TRUE, ARRAYFORMULA( ""• ""&amp; FILTER( TRIM(FLATTEN(SPLIT( REGEXREPLACE( SUBSTITUTE(TEXTJOIN("","", TRUE, IFERROR(ARRAYFORMULA(VLOOKUP(TRIM(SPLIT('Final Report'!A596, "","")), 'URL Details'!A:D, 4,"&amp;" FALSE)),"""") ), CHAR(10), "",""), ""\s*,\s*"", "",""), "",""))), TRIM(FLATTEN(SPLIT( REGEXREPLACE( SUBSTITUTE(TEXTJOIN("","", TRUE, IFERROR(ARRAYFORMULA(VLOOKUP(TRIM(SPLIT('Final Report'!A596, "","")), 'URL Details'!A:D, 4, FALSE)),"""") ), CHAR(10), """&amp;",""), ""\s*,\s*"", "",""), "","")))&lt;&gt;"""" ) ) ) ),"""")
"),"")</f>
        <v/>
      </c>
      <c r="D596" s="105"/>
      <c r="E596" s="105"/>
      <c r="F596" s="110" t="b">
        <v>0</v>
      </c>
      <c r="G596" s="105" t="str">
        <f>IF(F596=True, IFERROR(VLOOKUP(D596, Repository!A:B, 2, 0), ""), "")</f>
        <v/>
      </c>
      <c r="H596" s="105"/>
      <c r="I596" s="105"/>
      <c r="J596" s="105" t="str">
        <f>IF(F596=True, IFERROR(VLOOKUP(D596, Repository!A:C, 3, 0), ""), "")</f>
        <v/>
      </c>
      <c r="K596" s="105"/>
      <c r="L596" s="105" t="str">
        <f>IF(F596=True, IFERROR(VLOOKUP(D596, Repository!A:E, 5, 0), ""), "")</f>
        <v/>
      </c>
      <c r="M596" s="105"/>
      <c r="N596" s="105" t="str">
        <f>IF(F596=True, IFERROR(VLOOKUP(D596, Repository!A:G, 7, 0), ""), "")</f>
        <v/>
      </c>
      <c r="O596" s="105" t="str">
        <f>IFERROR(__xludf.DUMMYFUNCTION("ARRAY_CONSTRAIN(
  ARRAYFORMULA(
    IFERROR(
      LET(
        list, N596,
        arr, TRIM(SPLIT(list, "","")),
        names, XLOOKUP(
          arr,
          'Conformance Score'!A:A,
          'Conformance Score'!B:B,
          ""Not found""
      "&amp;"  ),
        TEXTJOIN("", "", TRUE, names)
      ),
      """"
    )
  ),
  1,
  1
)
"),"")</f>
        <v/>
      </c>
      <c r="P596" s="105" t="str">
        <f>IF(F596="Yes", IFERROR(VLOOKUP(D596, Repository!A:F, 6, 0), ""), "")</f>
        <v/>
      </c>
      <c r="Q596" s="105" t="str">
        <f>IF(F596="Yes", IFERROR(VLOOKUP(D596, Repository!A:I, 8, 0), ""), "")</f>
        <v/>
      </c>
      <c r="R596" s="105" t="str">
        <f>IF(F596="Yes", IFERROR(VLOOKUP(D596, Repository!A:J, 9, 0), ""), "")</f>
        <v/>
      </c>
      <c r="S596" s="105"/>
      <c r="T596" s="105"/>
      <c r="U596" s="105"/>
      <c r="V596" s="105"/>
      <c r="W596" s="105"/>
      <c r="X596" s="105"/>
      <c r="Y596" s="105"/>
      <c r="Z596" s="105"/>
      <c r="AA596" s="105"/>
      <c r="AB596" s="105"/>
      <c r="AC596" s="91"/>
      <c r="AD596" s="105"/>
      <c r="AE596" s="105"/>
      <c r="AF596" s="91"/>
      <c r="AG596" s="105"/>
      <c r="AH596" s="105"/>
      <c r="AI596" s="105" t="str">
        <f t="shared" si="1"/>
        <v/>
      </c>
      <c r="AJ596" s="108" t="str">
        <f t="shared" si="2"/>
        <v/>
      </c>
    </row>
    <row r="597" ht="15.75" customHeight="1">
      <c r="A597" s="104"/>
      <c r="B597" s="105" t="str">
        <f>IFERROR(__xludf.DUMMYFUNCTION("ARRAY_CONSTRAIN(
  ARRAYFORMULA(
    IF(
      'Final Report'!A597="""",
      """",
      TEXTJOIN(
        "", "" &amp; CHAR(10),
        TRUE,
        IFERROR(
          VLOOKUP(
            TRIM(
              SPLIT('Final Report'!A597, "","")
           "&amp;" ),
            'URL Details'!A:B,
            2,
            FALSE
          ),
          """"
        )
      )
    )
  ),
  1,
  1
)
"),"")</f>
        <v/>
      </c>
      <c r="C597" s="105" t="str">
        <f>IFERROR(__xludf.DUMMYFUNCTION("IFERROR(IF('Final Report'!A597="""","""", TEXTJOIN(CHAR(10), TRUE, ARRAYFORMULA( ""• ""&amp; FILTER( TRIM(FLATTEN(SPLIT( REGEXREPLACE( SUBSTITUTE(TEXTJOIN("","", TRUE, IFERROR(ARRAYFORMULA(VLOOKUP(TRIM(SPLIT('Final Report'!A597, "","")), 'URL Details'!A:D, 4,"&amp;" FALSE)),"""") ), CHAR(10), "",""), ""\s*,\s*"", "",""), "",""))), TRIM(FLATTEN(SPLIT( REGEXREPLACE( SUBSTITUTE(TEXTJOIN("","", TRUE, IFERROR(ARRAYFORMULA(VLOOKUP(TRIM(SPLIT('Final Report'!A597, "","")), 'URL Details'!A:D, 4, FALSE)),"""") ), CHAR(10), """&amp;",""), ""\s*,\s*"", "",""), "","")))&lt;&gt;"""" ) ) ) ),"""")
"),"")</f>
        <v/>
      </c>
      <c r="D597" s="105"/>
      <c r="E597" s="105"/>
      <c r="F597" s="110" t="b">
        <v>0</v>
      </c>
      <c r="G597" s="105" t="str">
        <f>IF(F597=True, IFERROR(VLOOKUP(D597, Repository!A:B, 2, 0), ""), "")</f>
        <v/>
      </c>
      <c r="H597" s="105"/>
      <c r="I597" s="105"/>
      <c r="J597" s="105" t="str">
        <f>IF(F597=True, IFERROR(VLOOKUP(D597, Repository!A:C, 3, 0), ""), "")</f>
        <v/>
      </c>
      <c r="K597" s="105"/>
      <c r="L597" s="105" t="str">
        <f>IF(F597=True, IFERROR(VLOOKUP(D597, Repository!A:E, 5, 0), ""), "")</f>
        <v/>
      </c>
      <c r="M597" s="105"/>
      <c r="N597" s="105" t="str">
        <f>IF(F597=True, IFERROR(VLOOKUP(D597, Repository!A:G, 7, 0), ""), "")</f>
        <v/>
      </c>
      <c r="O597" s="105" t="str">
        <f>IFERROR(__xludf.DUMMYFUNCTION("ARRAY_CONSTRAIN(
  ARRAYFORMULA(
    IFERROR(
      LET(
        list, N597,
        arr, TRIM(SPLIT(list, "","")),
        names, XLOOKUP(
          arr,
          'Conformance Score'!A:A,
          'Conformance Score'!B:B,
          ""Not found""
      "&amp;"  ),
        TEXTJOIN("", "", TRUE, names)
      ),
      """"
    )
  ),
  1,
  1
)
"),"")</f>
        <v/>
      </c>
      <c r="P597" s="105" t="str">
        <f>IF(F597="Yes", IFERROR(VLOOKUP(D597, Repository!A:F, 6, 0), ""), "")</f>
        <v/>
      </c>
      <c r="Q597" s="105" t="str">
        <f>IF(F597="Yes", IFERROR(VLOOKUP(D597, Repository!A:I, 8, 0), ""), "")</f>
        <v/>
      </c>
      <c r="R597" s="105" t="str">
        <f>IF(F597="Yes", IFERROR(VLOOKUP(D597, Repository!A:J, 9, 0), ""), "")</f>
        <v/>
      </c>
      <c r="S597" s="105"/>
      <c r="T597" s="105"/>
      <c r="U597" s="105"/>
      <c r="V597" s="105"/>
      <c r="W597" s="105"/>
      <c r="X597" s="105"/>
      <c r="Y597" s="105"/>
      <c r="Z597" s="105"/>
      <c r="AA597" s="105"/>
      <c r="AB597" s="105"/>
      <c r="AC597" s="91"/>
      <c r="AD597" s="105"/>
      <c r="AE597" s="105"/>
      <c r="AF597" s="91"/>
      <c r="AG597" s="105"/>
      <c r="AH597" s="105"/>
      <c r="AI597" s="105" t="str">
        <f t="shared" si="1"/>
        <v/>
      </c>
      <c r="AJ597" s="108" t="str">
        <f t="shared" si="2"/>
        <v/>
      </c>
    </row>
    <row r="598" ht="15.75" customHeight="1">
      <c r="A598" s="104"/>
      <c r="B598" s="105" t="str">
        <f>IFERROR(__xludf.DUMMYFUNCTION("ARRAY_CONSTRAIN(
  ARRAYFORMULA(
    IF(
      'Final Report'!A598="""",
      """",
      TEXTJOIN(
        "", "" &amp; CHAR(10),
        TRUE,
        IFERROR(
          VLOOKUP(
            TRIM(
              SPLIT('Final Report'!A598, "","")
           "&amp;" ),
            'URL Details'!A:B,
            2,
            FALSE
          ),
          """"
        )
      )
    )
  ),
  1,
  1
)
"),"")</f>
        <v/>
      </c>
      <c r="C598" s="105" t="str">
        <f>IFERROR(__xludf.DUMMYFUNCTION("IFERROR(IF('Final Report'!A598="""","""", TEXTJOIN(CHAR(10), TRUE, ARRAYFORMULA( ""• ""&amp; FILTER( TRIM(FLATTEN(SPLIT( REGEXREPLACE( SUBSTITUTE(TEXTJOIN("","", TRUE, IFERROR(ARRAYFORMULA(VLOOKUP(TRIM(SPLIT('Final Report'!A598, "","")), 'URL Details'!A:D, 4,"&amp;" FALSE)),"""") ), CHAR(10), "",""), ""\s*,\s*"", "",""), "",""))), TRIM(FLATTEN(SPLIT( REGEXREPLACE( SUBSTITUTE(TEXTJOIN("","", TRUE, IFERROR(ARRAYFORMULA(VLOOKUP(TRIM(SPLIT('Final Report'!A598, "","")), 'URL Details'!A:D, 4, FALSE)),"""") ), CHAR(10), """&amp;",""), ""\s*,\s*"", "",""), "","")))&lt;&gt;"""" ) ) ) ),"""")
"),"")</f>
        <v/>
      </c>
      <c r="D598" s="105"/>
      <c r="E598" s="105"/>
      <c r="F598" s="110" t="b">
        <v>0</v>
      </c>
      <c r="G598" s="105" t="str">
        <f>IF(F598=True, IFERROR(VLOOKUP(D598, Repository!A:B, 2, 0), ""), "")</f>
        <v/>
      </c>
      <c r="H598" s="105"/>
      <c r="I598" s="105"/>
      <c r="J598" s="105" t="str">
        <f>IF(F598=True, IFERROR(VLOOKUP(D598, Repository!A:C, 3, 0), ""), "")</f>
        <v/>
      </c>
      <c r="K598" s="105"/>
      <c r="L598" s="105" t="str">
        <f>IF(F598=True, IFERROR(VLOOKUP(D598, Repository!A:E, 5, 0), ""), "")</f>
        <v/>
      </c>
      <c r="M598" s="105"/>
      <c r="N598" s="105" t="str">
        <f>IF(F598=True, IFERROR(VLOOKUP(D598, Repository!A:G, 7, 0), ""), "")</f>
        <v/>
      </c>
      <c r="O598" s="105" t="str">
        <f>IFERROR(__xludf.DUMMYFUNCTION("ARRAY_CONSTRAIN(
  ARRAYFORMULA(
    IFERROR(
      LET(
        list, N598,
        arr, TRIM(SPLIT(list, "","")),
        names, XLOOKUP(
          arr,
          'Conformance Score'!A:A,
          'Conformance Score'!B:B,
          ""Not found""
      "&amp;"  ),
        TEXTJOIN("", "", TRUE, names)
      ),
      """"
    )
  ),
  1,
  1
)
"),"")</f>
        <v/>
      </c>
      <c r="P598" s="105" t="str">
        <f>IF(F598="Yes", IFERROR(VLOOKUP(D598, Repository!A:F, 6, 0), ""), "")</f>
        <v/>
      </c>
      <c r="Q598" s="105" t="str">
        <f>IF(F598="Yes", IFERROR(VLOOKUP(D598, Repository!A:I, 8, 0), ""), "")</f>
        <v/>
      </c>
      <c r="R598" s="105" t="str">
        <f>IF(F598="Yes", IFERROR(VLOOKUP(D598, Repository!A:J, 9, 0), ""), "")</f>
        <v/>
      </c>
      <c r="S598" s="105"/>
      <c r="T598" s="105"/>
      <c r="U598" s="105"/>
      <c r="V598" s="105"/>
      <c r="W598" s="105"/>
      <c r="X598" s="105"/>
      <c r="Y598" s="105"/>
      <c r="Z598" s="105"/>
      <c r="AA598" s="105"/>
      <c r="AB598" s="105"/>
      <c r="AC598" s="91"/>
      <c r="AD598" s="105"/>
      <c r="AE598" s="105"/>
      <c r="AF598" s="91"/>
      <c r="AG598" s="105"/>
      <c r="AH598" s="105"/>
      <c r="AI598" s="105" t="str">
        <f t="shared" si="1"/>
        <v/>
      </c>
      <c r="AJ598" s="108" t="str">
        <f t="shared" si="2"/>
        <v/>
      </c>
    </row>
    <row r="599" ht="15.75" customHeight="1">
      <c r="A599" s="104"/>
      <c r="B599" s="105" t="str">
        <f>IFERROR(__xludf.DUMMYFUNCTION("ARRAY_CONSTRAIN(
  ARRAYFORMULA(
    IF(
      'Final Report'!A599="""",
      """",
      TEXTJOIN(
        "", "" &amp; CHAR(10),
        TRUE,
        IFERROR(
          VLOOKUP(
            TRIM(
              SPLIT('Final Report'!A599, "","")
           "&amp;" ),
            'URL Details'!A:B,
            2,
            FALSE
          ),
          """"
        )
      )
    )
  ),
  1,
  1
)
"),"")</f>
        <v/>
      </c>
      <c r="C599" s="105" t="str">
        <f>IFERROR(__xludf.DUMMYFUNCTION("IFERROR(IF('Final Report'!A599="""","""", TEXTJOIN(CHAR(10), TRUE, ARRAYFORMULA( ""• ""&amp; FILTER( TRIM(FLATTEN(SPLIT( REGEXREPLACE( SUBSTITUTE(TEXTJOIN("","", TRUE, IFERROR(ARRAYFORMULA(VLOOKUP(TRIM(SPLIT('Final Report'!A599, "","")), 'URL Details'!A:D, 4,"&amp;" FALSE)),"""") ), CHAR(10), "",""), ""\s*,\s*"", "",""), "",""))), TRIM(FLATTEN(SPLIT( REGEXREPLACE( SUBSTITUTE(TEXTJOIN("","", TRUE, IFERROR(ARRAYFORMULA(VLOOKUP(TRIM(SPLIT('Final Report'!A599, "","")), 'URL Details'!A:D, 4, FALSE)),"""") ), CHAR(10), """&amp;",""), ""\s*,\s*"", "",""), "","")))&lt;&gt;"""" ) ) ) ),"""")
"),"")</f>
        <v/>
      </c>
      <c r="D599" s="105"/>
      <c r="E599" s="105"/>
      <c r="F599" s="110" t="b">
        <v>0</v>
      </c>
      <c r="G599" s="105" t="str">
        <f>IF(F599=True, IFERROR(VLOOKUP(D599, Repository!A:B, 2, 0), ""), "")</f>
        <v/>
      </c>
      <c r="H599" s="105"/>
      <c r="I599" s="105"/>
      <c r="J599" s="105" t="str">
        <f>IF(F599=True, IFERROR(VLOOKUP(D599, Repository!A:C, 3, 0), ""), "")</f>
        <v/>
      </c>
      <c r="K599" s="105"/>
      <c r="L599" s="105" t="str">
        <f>IF(F599=True, IFERROR(VLOOKUP(D599, Repository!A:E, 5, 0), ""), "")</f>
        <v/>
      </c>
      <c r="M599" s="105"/>
      <c r="N599" s="105" t="str">
        <f>IF(F599=True, IFERROR(VLOOKUP(D599, Repository!A:G, 7, 0), ""), "")</f>
        <v/>
      </c>
      <c r="O599" s="105" t="str">
        <f>IFERROR(__xludf.DUMMYFUNCTION("ARRAY_CONSTRAIN(
  ARRAYFORMULA(
    IFERROR(
      LET(
        list, N599,
        arr, TRIM(SPLIT(list, "","")),
        names, XLOOKUP(
          arr,
          'Conformance Score'!A:A,
          'Conformance Score'!B:B,
          ""Not found""
      "&amp;"  ),
        TEXTJOIN("", "", TRUE, names)
      ),
      """"
    )
  ),
  1,
  1
)
"),"")</f>
        <v/>
      </c>
      <c r="P599" s="105" t="str">
        <f>IF(F599="Yes", IFERROR(VLOOKUP(D599, Repository!A:F, 6, 0), ""), "")</f>
        <v/>
      </c>
      <c r="Q599" s="105" t="str">
        <f>IF(F599="Yes", IFERROR(VLOOKUP(D599, Repository!A:I, 8, 0), ""), "")</f>
        <v/>
      </c>
      <c r="R599" s="105" t="str">
        <f>IF(F599="Yes", IFERROR(VLOOKUP(D599, Repository!A:J, 9, 0), ""), "")</f>
        <v/>
      </c>
      <c r="S599" s="105"/>
      <c r="T599" s="105"/>
      <c r="U599" s="105"/>
      <c r="V599" s="105"/>
      <c r="W599" s="105"/>
      <c r="X599" s="105"/>
      <c r="Y599" s="105"/>
      <c r="Z599" s="105"/>
      <c r="AA599" s="105"/>
      <c r="AB599" s="105"/>
      <c r="AC599" s="91"/>
      <c r="AD599" s="105"/>
      <c r="AE599" s="105"/>
      <c r="AF599" s="91"/>
      <c r="AG599" s="105"/>
      <c r="AH599" s="105"/>
      <c r="AI599" s="105" t="str">
        <f t="shared" si="1"/>
        <v/>
      </c>
      <c r="AJ599" s="108" t="str">
        <f t="shared" si="2"/>
        <v/>
      </c>
    </row>
    <row r="600" ht="15.75" customHeight="1">
      <c r="A600" s="104"/>
      <c r="B600" s="105" t="str">
        <f>IFERROR(__xludf.DUMMYFUNCTION("ARRAY_CONSTRAIN(
  ARRAYFORMULA(
    IF(
      'Final Report'!A600="""",
      """",
      TEXTJOIN(
        "", "" &amp; CHAR(10),
        TRUE,
        IFERROR(
          VLOOKUP(
            TRIM(
              SPLIT('Final Report'!A600, "","")
           "&amp;" ),
            'URL Details'!A:B,
            2,
            FALSE
          ),
          """"
        )
      )
    )
  ),
  1,
  1
)
"),"")</f>
        <v/>
      </c>
      <c r="C600" s="105" t="str">
        <f>IFERROR(__xludf.DUMMYFUNCTION("IFERROR(IF('Final Report'!A600="""","""", TEXTJOIN(CHAR(10), TRUE, ARRAYFORMULA( ""• ""&amp; FILTER( TRIM(FLATTEN(SPLIT( REGEXREPLACE( SUBSTITUTE(TEXTJOIN("","", TRUE, IFERROR(ARRAYFORMULA(VLOOKUP(TRIM(SPLIT('Final Report'!A600, "","")), 'URL Details'!A:D, 4,"&amp;" FALSE)),"""") ), CHAR(10), "",""), ""\s*,\s*"", "",""), "",""))), TRIM(FLATTEN(SPLIT( REGEXREPLACE( SUBSTITUTE(TEXTJOIN("","", TRUE, IFERROR(ARRAYFORMULA(VLOOKUP(TRIM(SPLIT('Final Report'!A600, "","")), 'URL Details'!A:D, 4, FALSE)),"""") ), CHAR(10), """&amp;",""), ""\s*,\s*"", "",""), "","")))&lt;&gt;"""" ) ) ) ),"""")
"),"")</f>
        <v/>
      </c>
      <c r="D600" s="105"/>
      <c r="E600" s="105"/>
      <c r="F600" s="110" t="b">
        <v>0</v>
      </c>
      <c r="G600" s="105" t="str">
        <f>IF(F600=True, IFERROR(VLOOKUP(D600, Repository!A:B, 2, 0), ""), "")</f>
        <v/>
      </c>
      <c r="H600" s="105"/>
      <c r="I600" s="105"/>
      <c r="J600" s="105" t="str">
        <f>IF(F600=True, IFERROR(VLOOKUP(D600, Repository!A:C, 3, 0), ""), "")</f>
        <v/>
      </c>
      <c r="K600" s="105"/>
      <c r="L600" s="105" t="str">
        <f>IF(F600=True, IFERROR(VLOOKUP(D600, Repository!A:E, 5, 0), ""), "")</f>
        <v/>
      </c>
      <c r="M600" s="105"/>
      <c r="N600" s="105" t="str">
        <f>IF(F600=True, IFERROR(VLOOKUP(D600, Repository!A:G, 7, 0), ""), "")</f>
        <v/>
      </c>
      <c r="O600" s="105" t="str">
        <f>IFERROR(__xludf.DUMMYFUNCTION("ARRAY_CONSTRAIN(
  ARRAYFORMULA(
    IFERROR(
      LET(
        list, N600,
        arr, TRIM(SPLIT(list, "","")),
        names, XLOOKUP(
          arr,
          'Conformance Score'!A:A,
          'Conformance Score'!B:B,
          ""Not found""
      "&amp;"  ),
        TEXTJOIN("", "", TRUE, names)
      ),
      """"
    )
  ),
  1,
  1
)
"),"")</f>
        <v/>
      </c>
      <c r="P600" s="105" t="str">
        <f>IF(F600="Yes", IFERROR(VLOOKUP(D600, Repository!A:F, 6, 0), ""), "")</f>
        <v/>
      </c>
      <c r="Q600" s="105" t="str">
        <f>IF(F600="Yes", IFERROR(VLOOKUP(D600, Repository!A:I, 8, 0), ""), "")</f>
        <v/>
      </c>
      <c r="R600" s="105" t="str">
        <f>IF(F600="Yes", IFERROR(VLOOKUP(D600, Repository!A:J, 9, 0), ""), "")</f>
        <v/>
      </c>
      <c r="S600" s="105"/>
      <c r="T600" s="105"/>
      <c r="U600" s="105"/>
      <c r="V600" s="105"/>
      <c r="W600" s="105"/>
      <c r="X600" s="105"/>
      <c r="Y600" s="105"/>
      <c r="Z600" s="105"/>
      <c r="AA600" s="105"/>
      <c r="AB600" s="105"/>
      <c r="AC600" s="91"/>
      <c r="AD600" s="105"/>
      <c r="AE600" s="105"/>
      <c r="AF600" s="91"/>
      <c r="AG600" s="105"/>
      <c r="AH600" s="105"/>
      <c r="AI600" s="105" t="str">
        <f t="shared" si="1"/>
        <v/>
      </c>
      <c r="AJ600" s="108" t="str">
        <f t="shared" si="2"/>
        <v/>
      </c>
    </row>
    <row r="601" ht="15.75" customHeight="1">
      <c r="A601" s="104"/>
      <c r="B601" s="105" t="str">
        <f>IFERROR(__xludf.DUMMYFUNCTION("ARRAY_CONSTRAIN(
  ARRAYFORMULA(
    IF(
      'Final Report'!A601="""",
      """",
      TEXTJOIN(
        "", "" &amp; CHAR(10),
        TRUE,
        IFERROR(
          VLOOKUP(
            TRIM(
              SPLIT('Final Report'!A601, "","")
           "&amp;" ),
            'URL Details'!A:B,
            2,
            FALSE
          ),
          """"
        )
      )
    )
  ),
  1,
  1
)
"),"")</f>
        <v/>
      </c>
      <c r="C601" s="105" t="str">
        <f>IFERROR(__xludf.DUMMYFUNCTION("IFERROR(IF('Final Report'!A601="""","""", TEXTJOIN(CHAR(10), TRUE, ARRAYFORMULA( ""• ""&amp; FILTER( TRIM(FLATTEN(SPLIT( REGEXREPLACE( SUBSTITUTE(TEXTJOIN("","", TRUE, IFERROR(ARRAYFORMULA(VLOOKUP(TRIM(SPLIT('Final Report'!A601, "","")), 'URL Details'!A:D, 4,"&amp;" FALSE)),"""") ), CHAR(10), "",""), ""\s*,\s*"", "",""), "",""))), TRIM(FLATTEN(SPLIT( REGEXREPLACE( SUBSTITUTE(TEXTJOIN("","", TRUE, IFERROR(ARRAYFORMULA(VLOOKUP(TRIM(SPLIT('Final Report'!A601, "","")), 'URL Details'!A:D, 4, FALSE)),"""") ), CHAR(10), """&amp;",""), ""\s*,\s*"", "",""), "","")))&lt;&gt;"""" ) ) ) ),"""")
"),"")</f>
        <v/>
      </c>
      <c r="D601" s="105"/>
      <c r="E601" s="105"/>
      <c r="F601" s="110" t="b">
        <v>0</v>
      </c>
      <c r="G601" s="105" t="str">
        <f>IF(F601=True, IFERROR(VLOOKUP(D601, Repository!A:B, 2, 0), ""), "")</f>
        <v/>
      </c>
      <c r="H601" s="105"/>
      <c r="I601" s="105"/>
      <c r="J601" s="105" t="str">
        <f>IF(F601=True, IFERROR(VLOOKUP(D601, Repository!A:C, 3, 0), ""), "")</f>
        <v/>
      </c>
      <c r="K601" s="105"/>
      <c r="L601" s="105" t="str">
        <f>IF(F601=True, IFERROR(VLOOKUP(D601, Repository!A:E, 5, 0), ""), "")</f>
        <v/>
      </c>
      <c r="M601" s="105"/>
      <c r="N601" s="105" t="str">
        <f>IF(F601=True, IFERROR(VLOOKUP(D601, Repository!A:G, 7, 0), ""), "")</f>
        <v/>
      </c>
      <c r="O601" s="105" t="str">
        <f>IFERROR(__xludf.DUMMYFUNCTION("ARRAY_CONSTRAIN(
  ARRAYFORMULA(
    IFERROR(
      LET(
        list, N601,
        arr, TRIM(SPLIT(list, "","")),
        names, XLOOKUP(
          arr,
          'Conformance Score'!A:A,
          'Conformance Score'!B:B,
          ""Not found""
      "&amp;"  ),
        TEXTJOIN("", "", TRUE, names)
      ),
      """"
    )
  ),
  1,
  1
)
"),"")</f>
        <v/>
      </c>
      <c r="P601" s="105" t="str">
        <f>IF(F601="Yes", IFERROR(VLOOKUP(D601, Repository!A:F, 6, 0), ""), "")</f>
        <v/>
      </c>
      <c r="Q601" s="105" t="str">
        <f>IF(F601="Yes", IFERROR(VLOOKUP(D601, Repository!A:I, 8, 0), ""), "")</f>
        <v/>
      </c>
      <c r="R601" s="105" t="str">
        <f>IF(F601="Yes", IFERROR(VLOOKUP(D601, Repository!A:J, 9, 0), ""), "")</f>
        <v/>
      </c>
      <c r="S601" s="105"/>
      <c r="T601" s="105"/>
      <c r="U601" s="105"/>
      <c r="V601" s="105"/>
      <c r="W601" s="105"/>
      <c r="X601" s="105"/>
      <c r="Y601" s="105"/>
      <c r="Z601" s="105"/>
      <c r="AA601" s="105"/>
      <c r="AB601" s="105"/>
      <c r="AC601" s="91"/>
      <c r="AD601" s="105"/>
      <c r="AE601" s="105"/>
      <c r="AF601" s="91"/>
      <c r="AG601" s="105"/>
      <c r="AH601" s="105"/>
      <c r="AI601" s="105" t="str">
        <f t="shared" si="1"/>
        <v/>
      </c>
      <c r="AJ601" s="108" t="str">
        <f t="shared" si="2"/>
        <v/>
      </c>
    </row>
    <row r="602" ht="15.75" customHeight="1">
      <c r="A602" s="104"/>
      <c r="B602" s="105" t="str">
        <f>IFERROR(__xludf.DUMMYFUNCTION("ARRAY_CONSTRAIN(
  ARRAYFORMULA(
    IF(
      'Final Report'!A602="""",
      """",
      TEXTJOIN(
        "", "" &amp; CHAR(10),
        TRUE,
        IFERROR(
          VLOOKUP(
            TRIM(
              SPLIT('Final Report'!A602, "","")
           "&amp;" ),
            'URL Details'!A:B,
            2,
            FALSE
          ),
          """"
        )
      )
    )
  ),
  1,
  1
)
"),"")</f>
        <v/>
      </c>
      <c r="C602" s="105" t="str">
        <f>IFERROR(__xludf.DUMMYFUNCTION("IFERROR(IF('Final Report'!A602="""","""", TEXTJOIN(CHAR(10), TRUE, ARRAYFORMULA( ""• ""&amp; FILTER( TRIM(FLATTEN(SPLIT( REGEXREPLACE( SUBSTITUTE(TEXTJOIN("","", TRUE, IFERROR(ARRAYFORMULA(VLOOKUP(TRIM(SPLIT('Final Report'!A602, "","")), 'URL Details'!A:D, 4,"&amp;" FALSE)),"""") ), CHAR(10), "",""), ""\s*,\s*"", "",""), "",""))), TRIM(FLATTEN(SPLIT( REGEXREPLACE( SUBSTITUTE(TEXTJOIN("","", TRUE, IFERROR(ARRAYFORMULA(VLOOKUP(TRIM(SPLIT('Final Report'!A602, "","")), 'URL Details'!A:D, 4, FALSE)),"""") ), CHAR(10), """&amp;",""), ""\s*,\s*"", "",""), "","")))&lt;&gt;"""" ) ) ) ),"""")
"),"")</f>
        <v/>
      </c>
      <c r="D602" s="105"/>
      <c r="E602" s="105"/>
      <c r="F602" s="110" t="b">
        <v>0</v>
      </c>
      <c r="G602" s="105" t="str">
        <f>IF(F602=True, IFERROR(VLOOKUP(D602, Repository!A:B, 2, 0), ""), "")</f>
        <v/>
      </c>
      <c r="H602" s="105"/>
      <c r="I602" s="105"/>
      <c r="J602" s="105" t="str">
        <f>IF(F602=True, IFERROR(VLOOKUP(D602, Repository!A:C, 3, 0), ""), "")</f>
        <v/>
      </c>
      <c r="K602" s="105"/>
      <c r="L602" s="105" t="str">
        <f>IF(F602=True, IFERROR(VLOOKUP(D602, Repository!A:E, 5, 0), ""), "")</f>
        <v/>
      </c>
      <c r="M602" s="105"/>
      <c r="N602" s="105" t="str">
        <f>IF(F602=True, IFERROR(VLOOKUP(D602, Repository!A:G, 7, 0), ""), "")</f>
        <v/>
      </c>
      <c r="O602" s="105" t="str">
        <f>IFERROR(__xludf.DUMMYFUNCTION("ARRAY_CONSTRAIN(
  ARRAYFORMULA(
    IFERROR(
      LET(
        list, N602,
        arr, TRIM(SPLIT(list, "","")),
        names, XLOOKUP(
          arr,
          'Conformance Score'!A:A,
          'Conformance Score'!B:B,
          ""Not found""
      "&amp;"  ),
        TEXTJOIN("", "", TRUE, names)
      ),
      """"
    )
  ),
  1,
  1
)
"),"")</f>
        <v/>
      </c>
      <c r="P602" s="105" t="str">
        <f>IF(F602="Yes", IFERROR(VLOOKUP(D602, Repository!A:F, 6, 0), ""), "")</f>
        <v/>
      </c>
      <c r="Q602" s="105" t="str">
        <f>IF(F602="Yes", IFERROR(VLOOKUP(D602, Repository!A:I, 8, 0), ""), "")</f>
        <v/>
      </c>
      <c r="R602" s="105" t="str">
        <f>IF(F602="Yes", IFERROR(VLOOKUP(D602, Repository!A:J, 9, 0), ""), "")</f>
        <v/>
      </c>
      <c r="S602" s="105"/>
      <c r="T602" s="105"/>
      <c r="U602" s="105"/>
      <c r="V602" s="105"/>
      <c r="W602" s="105"/>
      <c r="X602" s="105"/>
      <c r="Y602" s="105"/>
      <c r="Z602" s="105"/>
      <c r="AA602" s="105"/>
      <c r="AB602" s="105"/>
      <c r="AC602" s="91"/>
      <c r="AD602" s="105"/>
      <c r="AE602" s="105"/>
      <c r="AF602" s="91"/>
      <c r="AG602" s="105"/>
      <c r="AH602" s="105"/>
      <c r="AI602" s="105" t="str">
        <f t="shared" si="1"/>
        <v/>
      </c>
      <c r="AJ602" s="108" t="str">
        <f t="shared" si="2"/>
        <v/>
      </c>
    </row>
    <row r="603" ht="15.75" customHeight="1">
      <c r="A603" s="104"/>
      <c r="B603" s="105" t="str">
        <f>IFERROR(__xludf.DUMMYFUNCTION("ARRAY_CONSTRAIN(
  ARRAYFORMULA(
    IF(
      'Final Report'!A603="""",
      """",
      TEXTJOIN(
        "", "" &amp; CHAR(10),
        TRUE,
        IFERROR(
          VLOOKUP(
            TRIM(
              SPLIT('Final Report'!A603, "","")
           "&amp;" ),
            'URL Details'!A:B,
            2,
            FALSE
          ),
          """"
        )
      )
    )
  ),
  1,
  1
)
"),"")</f>
        <v/>
      </c>
      <c r="C603" s="105" t="str">
        <f>IFERROR(__xludf.DUMMYFUNCTION("IFERROR(IF('Final Report'!A603="""","""", TEXTJOIN(CHAR(10), TRUE, ARRAYFORMULA( ""• ""&amp; FILTER( TRIM(FLATTEN(SPLIT( REGEXREPLACE( SUBSTITUTE(TEXTJOIN("","", TRUE, IFERROR(ARRAYFORMULA(VLOOKUP(TRIM(SPLIT('Final Report'!A603, "","")), 'URL Details'!A:D, 4,"&amp;" FALSE)),"""") ), CHAR(10), "",""), ""\s*,\s*"", "",""), "",""))), TRIM(FLATTEN(SPLIT( REGEXREPLACE( SUBSTITUTE(TEXTJOIN("","", TRUE, IFERROR(ARRAYFORMULA(VLOOKUP(TRIM(SPLIT('Final Report'!A603, "","")), 'URL Details'!A:D, 4, FALSE)),"""") ), CHAR(10), """&amp;",""), ""\s*,\s*"", "",""), "","")))&lt;&gt;"""" ) ) ) ),"""")
"),"")</f>
        <v/>
      </c>
      <c r="D603" s="105"/>
      <c r="E603" s="105"/>
      <c r="F603" s="110" t="b">
        <v>0</v>
      </c>
      <c r="G603" s="105" t="str">
        <f>IF(F603=True, IFERROR(VLOOKUP(D603, Repository!A:B, 2, 0), ""), "")</f>
        <v/>
      </c>
      <c r="H603" s="105"/>
      <c r="I603" s="105"/>
      <c r="J603" s="105" t="str">
        <f>IF(F603=True, IFERROR(VLOOKUP(D603, Repository!A:C, 3, 0), ""), "")</f>
        <v/>
      </c>
      <c r="K603" s="105"/>
      <c r="L603" s="105" t="str">
        <f>IF(F603=True, IFERROR(VLOOKUP(D603, Repository!A:E, 5, 0), ""), "")</f>
        <v/>
      </c>
      <c r="M603" s="105"/>
      <c r="N603" s="105" t="str">
        <f>IF(F603=True, IFERROR(VLOOKUP(D603, Repository!A:G, 7, 0), ""), "")</f>
        <v/>
      </c>
      <c r="O603" s="105" t="str">
        <f>IFERROR(__xludf.DUMMYFUNCTION("ARRAY_CONSTRAIN(
  ARRAYFORMULA(
    IFERROR(
      LET(
        list, N603,
        arr, TRIM(SPLIT(list, "","")),
        names, XLOOKUP(
          arr,
          'Conformance Score'!A:A,
          'Conformance Score'!B:B,
          ""Not found""
      "&amp;"  ),
        TEXTJOIN("", "", TRUE, names)
      ),
      """"
    )
  ),
  1,
  1
)
"),"")</f>
        <v/>
      </c>
      <c r="P603" s="105" t="str">
        <f>IF(F603="Yes", IFERROR(VLOOKUP(D603, Repository!A:F, 6, 0), ""), "")</f>
        <v/>
      </c>
      <c r="Q603" s="105" t="str">
        <f>IF(F603="Yes", IFERROR(VLOOKUP(D603, Repository!A:I, 8, 0), ""), "")</f>
        <v/>
      </c>
      <c r="R603" s="105" t="str">
        <f>IF(F603="Yes", IFERROR(VLOOKUP(D603, Repository!A:J, 9, 0), ""), "")</f>
        <v/>
      </c>
      <c r="S603" s="105"/>
      <c r="T603" s="105"/>
      <c r="U603" s="105"/>
      <c r="V603" s="105"/>
      <c r="W603" s="105"/>
      <c r="X603" s="105"/>
      <c r="Y603" s="105"/>
      <c r="Z603" s="105"/>
      <c r="AA603" s="105"/>
      <c r="AB603" s="105"/>
      <c r="AC603" s="91"/>
      <c r="AD603" s="105"/>
      <c r="AE603" s="105"/>
      <c r="AF603" s="91"/>
      <c r="AG603" s="105"/>
      <c r="AH603" s="105"/>
      <c r="AI603" s="105" t="str">
        <f t="shared" si="1"/>
        <v/>
      </c>
      <c r="AJ603" s="108" t="str">
        <f t="shared" si="2"/>
        <v/>
      </c>
    </row>
    <row r="604" ht="15.75" customHeight="1">
      <c r="A604" s="104"/>
      <c r="B604" s="105" t="str">
        <f>IFERROR(__xludf.DUMMYFUNCTION("ARRAY_CONSTRAIN(
  ARRAYFORMULA(
    IF(
      'Final Report'!A604="""",
      """",
      TEXTJOIN(
        "", "" &amp; CHAR(10),
        TRUE,
        IFERROR(
          VLOOKUP(
            TRIM(
              SPLIT('Final Report'!A604, "","")
           "&amp;" ),
            'URL Details'!A:B,
            2,
            FALSE
          ),
          """"
        )
      )
    )
  ),
  1,
  1
)
"),"")</f>
        <v/>
      </c>
      <c r="C604" s="105" t="str">
        <f>IFERROR(__xludf.DUMMYFUNCTION("IFERROR(IF('Final Report'!A604="""","""", TEXTJOIN(CHAR(10), TRUE, ARRAYFORMULA( ""• ""&amp; FILTER( TRIM(FLATTEN(SPLIT( REGEXREPLACE( SUBSTITUTE(TEXTJOIN("","", TRUE, IFERROR(ARRAYFORMULA(VLOOKUP(TRIM(SPLIT('Final Report'!A604, "","")), 'URL Details'!A:D, 4,"&amp;" FALSE)),"""") ), CHAR(10), "",""), ""\s*,\s*"", "",""), "",""))), TRIM(FLATTEN(SPLIT( REGEXREPLACE( SUBSTITUTE(TEXTJOIN("","", TRUE, IFERROR(ARRAYFORMULA(VLOOKUP(TRIM(SPLIT('Final Report'!A604, "","")), 'URL Details'!A:D, 4, FALSE)),"""") ), CHAR(10), """&amp;",""), ""\s*,\s*"", "",""), "","")))&lt;&gt;"""" ) ) ) ),"""")
"),"")</f>
        <v/>
      </c>
      <c r="D604" s="105"/>
      <c r="E604" s="105"/>
      <c r="F604" s="110" t="b">
        <v>0</v>
      </c>
      <c r="G604" s="105" t="str">
        <f>IF(F604=True, IFERROR(VLOOKUP(D604, Repository!A:B, 2, 0), ""), "")</f>
        <v/>
      </c>
      <c r="H604" s="105"/>
      <c r="I604" s="105"/>
      <c r="J604" s="105" t="str">
        <f>IF(F604=True, IFERROR(VLOOKUP(D604, Repository!A:C, 3, 0), ""), "")</f>
        <v/>
      </c>
      <c r="K604" s="105"/>
      <c r="L604" s="105" t="str">
        <f>IF(F604=True, IFERROR(VLOOKUP(D604, Repository!A:E, 5, 0), ""), "")</f>
        <v/>
      </c>
      <c r="M604" s="105"/>
      <c r="N604" s="105" t="str">
        <f>IF(F604=True, IFERROR(VLOOKUP(D604, Repository!A:G, 7, 0), ""), "")</f>
        <v/>
      </c>
      <c r="O604" s="105" t="str">
        <f>IFERROR(__xludf.DUMMYFUNCTION("ARRAY_CONSTRAIN(
  ARRAYFORMULA(
    IFERROR(
      LET(
        list, N604,
        arr, TRIM(SPLIT(list, "","")),
        names, XLOOKUP(
          arr,
          'Conformance Score'!A:A,
          'Conformance Score'!B:B,
          ""Not found""
      "&amp;"  ),
        TEXTJOIN("", "", TRUE, names)
      ),
      """"
    )
  ),
  1,
  1
)
"),"")</f>
        <v/>
      </c>
      <c r="P604" s="105" t="str">
        <f>IF(F604="Yes", IFERROR(VLOOKUP(D604, Repository!A:F, 6, 0), ""), "")</f>
        <v/>
      </c>
      <c r="Q604" s="105" t="str">
        <f>IF(F604="Yes", IFERROR(VLOOKUP(D604, Repository!A:I, 8, 0), ""), "")</f>
        <v/>
      </c>
      <c r="R604" s="105" t="str">
        <f>IF(F604="Yes", IFERROR(VLOOKUP(D604, Repository!A:J, 9, 0), ""), "")</f>
        <v/>
      </c>
      <c r="S604" s="105"/>
      <c r="T604" s="105"/>
      <c r="U604" s="105"/>
      <c r="V604" s="105"/>
      <c r="W604" s="105"/>
      <c r="X604" s="105"/>
      <c r="Y604" s="105"/>
      <c r="Z604" s="105"/>
      <c r="AA604" s="105"/>
      <c r="AB604" s="105"/>
      <c r="AC604" s="91"/>
      <c r="AD604" s="105"/>
      <c r="AE604" s="105"/>
      <c r="AF604" s="91"/>
      <c r="AG604" s="105"/>
      <c r="AH604" s="105"/>
      <c r="AI604" s="105" t="str">
        <f t="shared" si="1"/>
        <v/>
      </c>
      <c r="AJ604" s="108" t="str">
        <f t="shared" si="2"/>
        <v/>
      </c>
    </row>
    <row r="605" ht="15.75" customHeight="1">
      <c r="A605" s="104"/>
      <c r="B605" s="105" t="str">
        <f>IFERROR(__xludf.DUMMYFUNCTION("ARRAY_CONSTRAIN(
  ARRAYFORMULA(
    IF(
      'Final Report'!A605="""",
      """",
      TEXTJOIN(
        "", "" &amp; CHAR(10),
        TRUE,
        IFERROR(
          VLOOKUP(
            TRIM(
              SPLIT('Final Report'!A605, "","")
           "&amp;" ),
            'URL Details'!A:B,
            2,
            FALSE
          ),
          """"
        )
      )
    )
  ),
  1,
  1
)
"),"")</f>
        <v/>
      </c>
      <c r="C605" s="105" t="str">
        <f>IFERROR(__xludf.DUMMYFUNCTION("IFERROR(IF('Final Report'!A605="""","""", TEXTJOIN(CHAR(10), TRUE, ARRAYFORMULA( ""• ""&amp; FILTER( TRIM(FLATTEN(SPLIT( REGEXREPLACE( SUBSTITUTE(TEXTJOIN("","", TRUE, IFERROR(ARRAYFORMULA(VLOOKUP(TRIM(SPLIT('Final Report'!A605, "","")), 'URL Details'!A:D, 4,"&amp;" FALSE)),"""") ), CHAR(10), "",""), ""\s*,\s*"", "",""), "",""))), TRIM(FLATTEN(SPLIT( REGEXREPLACE( SUBSTITUTE(TEXTJOIN("","", TRUE, IFERROR(ARRAYFORMULA(VLOOKUP(TRIM(SPLIT('Final Report'!A605, "","")), 'URL Details'!A:D, 4, FALSE)),"""") ), CHAR(10), """&amp;",""), ""\s*,\s*"", "",""), "","")))&lt;&gt;"""" ) ) ) ),"""")
"),"")</f>
        <v/>
      </c>
      <c r="D605" s="105"/>
      <c r="E605" s="105"/>
      <c r="F605" s="110" t="b">
        <v>0</v>
      </c>
      <c r="G605" s="105" t="str">
        <f>IF(F605=True, IFERROR(VLOOKUP(D605, Repository!A:B, 2, 0), ""), "")</f>
        <v/>
      </c>
      <c r="H605" s="105"/>
      <c r="I605" s="105"/>
      <c r="J605" s="105" t="str">
        <f>IF(F605=True, IFERROR(VLOOKUP(D605, Repository!A:C, 3, 0), ""), "")</f>
        <v/>
      </c>
      <c r="K605" s="105"/>
      <c r="L605" s="105" t="str">
        <f>IF(F605=True, IFERROR(VLOOKUP(D605, Repository!A:E, 5, 0), ""), "")</f>
        <v/>
      </c>
      <c r="M605" s="105"/>
      <c r="N605" s="105" t="str">
        <f>IF(F605=True, IFERROR(VLOOKUP(D605, Repository!A:G, 7, 0), ""), "")</f>
        <v/>
      </c>
      <c r="O605" s="105" t="str">
        <f>IFERROR(__xludf.DUMMYFUNCTION("ARRAY_CONSTRAIN(
  ARRAYFORMULA(
    IFERROR(
      LET(
        list, N605,
        arr, TRIM(SPLIT(list, "","")),
        names, XLOOKUP(
          arr,
          'Conformance Score'!A:A,
          'Conformance Score'!B:B,
          ""Not found""
      "&amp;"  ),
        TEXTJOIN("", "", TRUE, names)
      ),
      """"
    )
  ),
  1,
  1
)
"),"")</f>
        <v/>
      </c>
      <c r="P605" s="105" t="str">
        <f>IF(F605="Yes", IFERROR(VLOOKUP(D605, Repository!A:F, 6, 0), ""), "")</f>
        <v/>
      </c>
      <c r="Q605" s="105" t="str">
        <f>IF(F605="Yes", IFERROR(VLOOKUP(D605, Repository!A:I, 8, 0), ""), "")</f>
        <v/>
      </c>
      <c r="R605" s="105" t="str">
        <f>IF(F605="Yes", IFERROR(VLOOKUP(D605, Repository!A:J, 9, 0), ""), "")</f>
        <v/>
      </c>
      <c r="S605" s="105"/>
      <c r="T605" s="105"/>
      <c r="U605" s="105"/>
      <c r="V605" s="105"/>
      <c r="W605" s="105"/>
      <c r="X605" s="105"/>
      <c r="Y605" s="105"/>
      <c r="Z605" s="105"/>
      <c r="AA605" s="105"/>
      <c r="AB605" s="105"/>
      <c r="AC605" s="91"/>
      <c r="AD605" s="105"/>
      <c r="AE605" s="105"/>
      <c r="AF605" s="91"/>
      <c r="AG605" s="105"/>
      <c r="AH605" s="105"/>
      <c r="AI605" s="105" t="str">
        <f t="shared" si="1"/>
        <v/>
      </c>
      <c r="AJ605" s="108" t="str">
        <f t="shared" si="2"/>
        <v/>
      </c>
    </row>
    <row r="606" ht="15.75" customHeight="1">
      <c r="A606" s="104"/>
      <c r="B606" s="105" t="str">
        <f>IFERROR(__xludf.DUMMYFUNCTION("ARRAY_CONSTRAIN(
  ARRAYFORMULA(
    IF(
      'Final Report'!A606="""",
      """",
      TEXTJOIN(
        "", "" &amp; CHAR(10),
        TRUE,
        IFERROR(
          VLOOKUP(
            TRIM(
              SPLIT('Final Report'!A606, "","")
           "&amp;" ),
            'URL Details'!A:B,
            2,
            FALSE
          ),
          """"
        )
      )
    )
  ),
  1,
  1
)
"),"")</f>
        <v/>
      </c>
      <c r="C606" s="105" t="str">
        <f>IFERROR(__xludf.DUMMYFUNCTION("IFERROR(IF('Final Report'!A606="""","""", TEXTJOIN(CHAR(10), TRUE, ARRAYFORMULA( ""• ""&amp; FILTER( TRIM(FLATTEN(SPLIT( REGEXREPLACE( SUBSTITUTE(TEXTJOIN("","", TRUE, IFERROR(ARRAYFORMULA(VLOOKUP(TRIM(SPLIT('Final Report'!A606, "","")), 'URL Details'!A:D, 4,"&amp;" FALSE)),"""") ), CHAR(10), "",""), ""\s*,\s*"", "",""), "",""))), TRIM(FLATTEN(SPLIT( REGEXREPLACE( SUBSTITUTE(TEXTJOIN("","", TRUE, IFERROR(ARRAYFORMULA(VLOOKUP(TRIM(SPLIT('Final Report'!A606, "","")), 'URL Details'!A:D, 4, FALSE)),"""") ), CHAR(10), """&amp;",""), ""\s*,\s*"", "",""), "","")))&lt;&gt;"""" ) ) ) ),"""")
"),"")</f>
        <v/>
      </c>
      <c r="D606" s="105"/>
      <c r="E606" s="105"/>
      <c r="F606" s="110" t="b">
        <v>0</v>
      </c>
      <c r="G606" s="105" t="str">
        <f>IF(F606=True, IFERROR(VLOOKUP(D606, Repository!A:B, 2, 0), ""), "")</f>
        <v/>
      </c>
      <c r="H606" s="105"/>
      <c r="I606" s="105"/>
      <c r="J606" s="105" t="str">
        <f>IF(F606=True, IFERROR(VLOOKUP(D606, Repository!A:C, 3, 0), ""), "")</f>
        <v/>
      </c>
      <c r="K606" s="105"/>
      <c r="L606" s="105" t="str">
        <f>IF(F606=True, IFERROR(VLOOKUP(D606, Repository!A:E, 5, 0), ""), "")</f>
        <v/>
      </c>
      <c r="M606" s="105"/>
      <c r="N606" s="105" t="str">
        <f>IF(F606=True, IFERROR(VLOOKUP(D606, Repository!A:G, 7, 0), ""), "")</f>
        <v/>
      </c>
      <c r="O606" s="105" t="str">
        <f>IFERROR(__xludf.DUMMYFUNCTION("ARRAY_CONSTRAIN(
  ARRAYFORMULA(
    IFERROR(
      LET(
        list, N606,
        arr, TRIM(SPLIT(list, "","")),
        names, XLOOKUP(
          arr,
          'Conformance Score'!A:A,
          'Conformance Score'!B:B,
          ""Not found""
      "&amp;"  ),
        TEXTJOIN("", "", TRUE, names)
      ),
      """"
    )
  ),
  1,
  1
)
"),"")</f>
        <v/>
      </c>
      <c r="P606" s="105" t="str">
        <f>IF(F606="Yes", IFERROR(VLOOKUP(D606, Repository!A:F, 6, 0), ""), "")</f>
        <v/>
      </c>
      <c r="Q606" s="105" t="str">
        <f>IF(F606="Yes", IFERROR(VLOOKUP(D606, Repository!A:I, 8, 0), ""), "")</f>
        <v/>
      </c>
      <c r="R606" s="105" t="str">
        <f>IF(F606="Yes", IFERROR(VLOOKUP(D606, Repository!A:J, 9, 0), ""), "")</f>
        <v/>
      </c>
      <c r="S606" s="105"/>
      <c r="T606" s="105"/>
      <c r="U606" s="105"/>
      <c r="V606" s="105"/>
      <c r="W606" s="105"/>
      <c r="X606" s="105"/>
      <c r="Y606" s="105"/>
      <c r="Z606" s="105"/>
      <c r="AA606" s="105"/>
      <c r="AB606" s="105"/>
      <c r="AC606" s="91"/>
      <c r="AD606" s="105"/>
      <c r="AE606" s="105"/>
      <c r="AF606" s="91"/>
      <c r="AG606" s="105"/>
      <c r="AH606" s="105"/>
      <c r="AI606" s="105" t="str">
        <f t="shared" si="1"/>
        <v/>
      </c>
      <c r="AJ606" s="108" t="str">
        <f t="shared" si="2"/>
        <v/>
      </c>
    </row>
    <row r="607" ht="15.75" customHeight="1">
      <c r="A607" s="104"/>
      <c r="B607" s="105" t="str">
        <f>IFERROR(__xludf.DUMMYFUNCTION("ARRAY_CONSTRAIN(
  ARRAYFORMULA(
    IF(
      'Final Report'!A607="""",
      """",
      TEXTJOIN(
        "", "" &amp; CHAR(10),
        TRUE,
        IFERROR(
          VLOOKUP(
            TRIM(
              SPLIT('Final Report'!A607, "","")
           "&amp;" ),
            'URL Details'!A:B,
            2,
            FALSE
          ),
          """"
        )
      )
    )
  ),
  1,
  1
)
"),"")</f>
        <v/>
      </c>
      <c r="C607" s="105" t="str">
        <f>IFERROR(__xludf.DUMMYFUNCTION("IFERROR(IF('Final Report'!A607="""","""", TEXTJOIN(CHAR(10), TRUE, ARRAYFORMULA( ""• ""&amp; FILTER( TRIM(FLATTEN(SPLIT( REGEXREPLACE( SUBSTITUTE(TEXTJOIN("","", TRUE, IFERROR(ARRAYFORMULA(VLOOKUP(TRIM(SPLIT('Final Report'!A607, "","")), 'URL Details'!A:D, 4,"&amp;" FALSE)),"""") ), CHAR(10), "",""), ""\s*,\s*"", "",""), "",""))), TRIM(FLATTEN(SPLIT( REGEXREPLACE( SUBSTITUTE(TEXTJOIN("","", TRUE, IFERROR(ARRAYFORMULA(VLOOKUP(TRIM(SPLIT('Final Report'!A607, "","")), 'URL Details'!A:D, 4, FALSE)),"""") ), CHAR(10), """&amp;",""), ""\s*,\s*"", "",""), "","")))&lt;&gt;"""" ) ) ) ),"""")
"),"")</f>
        <v/>
      </c>
      <c r="D607" s="105"/>
      <c r="E607" s="105"/>
      <c r="F607" s="110" t="b">
        <v>0</v>
      </c>
      <c r="G607" s="105" t="str">
        <f>IF(F607=True, IFERROR(VLOOKUP(D607, Repository!A:B, 2, 0), ""), "")</f>
        <v/>
      </c>
      <c r="H607" s="105"/>
      <c r="I607" s="105"/>
      <c r="J607" s="105" t="str">
        <f>IF(F607=True, IFERROR(VLOOKUP(D607, Repository!A:C, 3, 0), ""), "")</f>
        <v/>
      </c>
      <c r="K607" s="105"/>
      <c r="L607" s="105" t="str">
        <f>IF(F607=True, IFERROR(VLOOKUP(D607, Repository!A:E, 5, 0), ""), "")</f>
        <v/>
      </c>
      <c r="M607" s="105"/>
      <c r="N607" s="105" t="str">
        <f>IF(F607=True, IFERROR(VLOOKUP(D607, Repository!A:G, 7, 0), ""), "")</f>
        <v/>
      </c>
      <c r="O607" s="105" t="str">
        <f>IFERROR(__xludf.DUMMYFUNCTION("ARRAY_CONSTRAIN(
  ARRAYFORMULA(
    IFERROR(
      LET(
        list, N607,
        arr, TRIM(SPLIT(list, "","")),
        names, XLOOKUP(
          arr,
          'Conformance Score'!A:A,
          'Conformance Score'!B:B,
          ""Not found""
      "&amp;"  ),
        TEXTJOIN("", "", TRUE, names)
      ),
      """"
    )
  ),
  1,
  1
)
"),"")</f>
        <v/>
      </c>
      <c r="P607" s="105" t="str">
        <f>IF(F607="Yes", IFERROR(VLOOKUP(D607, Repository!A:F, 6, 0), ""), "")</f>
        <v/>
      </c>
      <c r="Q607" s="105" t="str">
        <f>IF(F607="Yes", IFERROR(VLOOKUP(D607, Repository!A:I, 8, 0), ""), "")</f>
        <v/>
      </c>
      <c r="R607" s="105" t="str">
        <f>IF(F607="Yes", IFERROR(VLOOKUP(D607, Repository!A:J, 9, 0), ""), "")</f>
        <v/>
      </c>
      <c r="S607" s="105"/>
      <c r="T607" s="105"/>
      <c r="U607" s="105"/>
      <c r="V607" s="105"/>
      <c r="W607" s="105"/>
      <c r="X607" s="105"/>
      <c r="Y607" s="105"/>
      <c r="Z607" s="105"/>
      <c r="AA607" s="105"/>
      <c r="AB607" s="105"/>
      <c r="AC607" s="91"/>
      <c r="AD607" s="105"/>
      <c r="AE607" s="105"/>
      <c r="AF607" s="91"/>
      <c r="AG607" s="105"/>
      <c r="AH607" s="105"/>
      <c r="AI607" s="105" t="str">
        <f t="shared" si="1"/>
        <v/>
      </c>
      <c r="AJ607" s="108" t="str">
        <f t="shared" si="2"/>
        <v/>
      </c>
    </row>
    <row r="608" ht="15.75" customHeight="1">
      <c r="A608" s="104"/>
      <c r="B608" s="105" t="str">
        <f>IFERROR(__xludf.DUMMYFUNCTION("ARRAY_CONSTRAIN(
  ARRAYFORMULA(
    IF(
      'Final Report'!A608="""",
      """",
      TEXTJOIN(
        "", "" &amp; CHAR(10),
        TRUE,
        IFERROR(
          VLOOKUP(
            TRIM(
              SPLIT('Final Report'!A608, "","")
           "&amp;" ),
            'URL Details'!A:B,
            2,
            FALSE
          ),
          """"
        )
      )
    )
  ),
  1,
  1
)
"),"")</f>
        <v/>
      </c>
      <c r="C608" s="105" t="str">
        <f>IFERROR(__xludf.DUMMYFUNCTION("IFERROR(IF('Final Report'!A608="""","""", TEXTJOIN(CHAR(10), TRUE, ARRAYFORMULA( ""• ""&amp; FILTER( TRIM(FLATTEN(SPLIT( REGEXREPLACE( SUBSTITUTE(TEXTJOIN("","", TRUE, IFERROR(ARRAYFORMULA(VLOOKUP(TRIM(SPLIT('Final Report'!A608, "","")), 'URL Details'!A:D, 4,"&amp;" FALSE)),"""") ), CHAR(10), "",""), ""\s*,\s*"", "",""), "",""))), TRIM(FLATTEN(SPLIT( REGEXREPLACE( SUBSTITUTE(TEXTJOIN("","", TRUE, IFERROR(ARRAYFORMULA(VLOOKUP(TRIM(SPLIT('Final Report'!A608, "","")), 'URL Details'!A:D, 4, FALSE)),"""") ), CHAR(10), """&amp;",""), ""\s*,\s*"", "",""), "","")))&lt;&gt;"""" ) ) ) ),"""")
"),"")</f>
        <v/>
      </c>
      <c r="D608" s="105"/>
      <c r="E608" s="105"/>
      <c r="F608" s="110" t="b">
        <v>0</v>
      </c>
      <c r="G608" s="105" t="str">
        <f>IF(F608=True, IFERROR(VLOOKUP(D608, Repository!A:B, 2, 0), ""), "")</f>
        <v/>
      </c>
      <c r="H608" s="105"/>
      <c r="I608" s="105"/>
      <c r="J608" s="105" t="str">
        <f>IF(F608=True, IFERROR(VLOOKUP(D608, Repository!A:C, 3, 0), ""), "")</f>
        <v/>
      </c>
      <c r="K608" s="105"/>
      <c r="L608" s="105" t="str">
        <f>IF(F608=True, IFERROR(VLOOKUP(D608, Repository!A:E, 5, 0), ""), "")</f>
        <v/>
      </c>
      <c r="M608" s="105"/>
      <c r="N608" s="105" t="str">
        <f>IF(F608=True, IFERROR(VLOOKUP(D608, Repository!A:G, 7, 0), ""), "")</f>
        <v/>
      </c>
      <c r="O608" s="105" t="str">
        <f>IFERROR(__xludf.DUMMYFUNCTION("ARRAY_CONSTRAIN(
  ARRAYFORMULA(
    IFERROR(
      LET(
        list, N608,
        arr, TRIM(SPLIT(list, "","")),
        names, XLOOKUP(
          arr,
          'Conformance Score'!A:A,
          'Conformance Score'!B:B,
          ""Not found""
      "&amp;"  ),
        TEXTJOIN("", "", TRUE, names)
      ),
      """"
    )
  ),
  1,
  1
)
"),"")</f>
        <v/>
      </c>
      <c r="P608" s="105" t="str">
        <f>IF(F608="Yes", IFERROR(VLOOKUP(D608, Repository!A:F, 6, 0), ""), "")</f>
        <v/>
      </c>
      <c r="Q608" s="105" t="str">
        <f>IF(F608="Yes", IFERROR(VLOOKUP(D608, Repository!A:I, 8, 0), ""), "")</f>
        <v/>
      </c>
      <c r="R608" s="105" t="str">
        <f>IF(F608="Yes", IFERROR(VLOOKUP(D608, Repository!A:J, 9, 0), ""), "")</f>
        <v/>
      </c>
      <c r="S608" s="105"/>
      <c r="T608" s="105"/>
      <c r="U608" s="105"/>
      <c r="V608" s="105"/>
      <c r="W608" s="105"/>
      <c r="X608" s="105"/>
      <c r="Y608" s="105"/>
      <c r="Z608" s="105"/>
      <c r="AA608" s="105"/>
      <c r="AB608" s="105"/>
      <c r="AC608" s="91"/>
      <c r="AD608" s="105"/>
      <c r="AE608" s="105"/>
      <c r="AF608" s="91"/>
      <c r="AG608" s="105"/>
      <c r="AH608" s="105"/>
      <c r="AI608" s="105" t="str">
        <f t="shared" si="1"/>
        <v/>
      </c>
      <c r="AJ608" s="108" t="str">
        <f t="shared" si="2"/>
        <v/>
      </c>
    </row>
    <row r="609" ht="15.75" customHeight="1">
      <c r="A609" s="104"/>
      <c r="B609" s="105" t="str">
        <f>IFERROR(__xludf.DUMMYFUNCTION("ARRAY_CONSTRAIN(
  ARRAYFORMULA(
    IF(
      'Final Report'!A609="""",
      """",
      TEXTJOIN(
        "", "" &amp; CHAR(10),
        TRUE,
        IFERROR(
          VLOOKUP(
            TRIM(
              SPLIT('Final Report'!A609, "","")
           "&amp;" ),
            'URL Details'!A:B,
            2,
            FALSE
          ),
          """"
        )
      )
    )
  ),
  1,
  1
)
"),"")</f>
        <v/>
      </c>
      <c r="C609" s="105" t="str">
        <f>IFERROR(__xludf.DUMMYFUNCTION("IFERROR(IF('Final Report'!A609="""","""", TEXTJOIN(CHAR(10), TRUE, ARRAYFORMULA( ""• ""&amp; FILTER( TRIM(FLATTEN(SPLIT( REGEXREPLACE( SUBSTITUTE(TEXTJOIN("","", TRUE, IFERROR(ARRAYFORMULA(VLOOKUP(TRIM(SPLIT('Final Report'!A609, "","")), 'URL Details'!A:D, 4,"&amp;" FALSE)),"""") ), CHAR(10), "",""), ""\s*,\s*"", "",""), "",""))), TRIM(FLATTEN(SPLIT( REGEXREPLACE( SUBSTITUTE(TEXTJOIN("","", TRUE, IFERROR(ARRAYFORMULA(VLOOKUP(TRIM(SPLIT('Final Report'!A609, "","")), 'URL Details'!A:D, 4, FALSE)),"""") ), CHAR(10), """&amp;",""), ""\s*,\s*"", "",""), "","")))&lt;&gt;"""" ) ) ) ),"""")
"),"")</f>
        <v/>
      </c>
      <c r="D609" s="105"/>
      <c r="E609" s="105"/>
      <c r="F609" s="110" t="b">
        <v>0</v>
      </c>
      <c r="G609" s="105" t="str">
        <f>IF(F609=True, IFERROR(VLOOKUP(D609, Repository!A:B, 2, 0), ""), "")</f>
        <v/>
      </c>
      <c r="H609" s="105"/>
      <c r="I609" s="105"/>
      <c r="J609" s="105" t="str">
        <f>IF(F609=True, IFERROR(VLOOKUP(D609, Repository!A:C, 3, 0), ""), "")</f>
        <v/>
      </c>
      <c r="K609" s="105"/>
      <c r="L609" s="105" t="str">
        <f>IF(F609=True, IFERROR(VLOOKUP(D609, Repository!A:E, 5, 0), ""), "")</f>
        <v/>
      </c>
      <c r="M609" s="105"/>
      <c r="N609" s="105" t="str">
        <f>IF(F609=True, IFERROR(VLOOKUP(D609, Repository!A:G, 7, 0), ""), "")</f>
        <v/>
      </c>
      <c r="O609" s="105" t="str">
        <f>IFERROR(__xludf.DUMMYFUNCTION("ARRAY_CONSTRAIN(
  ARRAYFORMULA(
    IFERROR(
      LET(
        list, N609,
        arr, TRIM(SPLIT(list, "","")),
        names, XLOOKUP(
          arr,
          'Conformance Score'!A:A,
          'Conformance Score'!B:B,
          ""Not found""
      "&amp;"  ),
        TEXTJOIN("", "", TRUE, names)
      ),
      """"
    )
  ),
  1,
  1
)
"),"")</f>
        <v/>
      </c>
      <c r="P609" s="105" t="str">
        <f>IF(F609="Yes", IFERROR(VLOOKUP(D609, Repository!A:F, 6, 0), ""), "")</f>
        <v/>
      </c>
      <c r="Q609" s="105" t="str">
        <f>IF(F609="Yes", IFERROR(VLOOKUP(D609, Repository!A:I, 8, 0), ""), "")</f>
        <v/>
      </c>
      <c r="R609" s="105" t="str">
        <f>IF(F609="Yes", IFERROR(VLOOKUP(D609, Repository!A:J, 9, 0), ""), "")</f>
        <v/>
      </c>
      <c r="S609" s="105"/>
      <c r="T609" s="105"/>
      <c r="U609" s="105"/>
      <c r="V609" s="105"/>
      <c r="W609" s="105"/>
      <c r="X609" s="105"/>
      <c r="Y609" s="105"/>
      <c r="Z609" s="105"/>
      <c r="AA609" s="105"/>
      <c r="AB609" s="105"/>
      <c r="AC609" s="91"/>
      <c r="AD609" s="105"/>
      <c r="AE609" s="105"/>
      <c r="AF609" s="91"/>
      <c r="AG609" s="105"/>
      <c r="AH609" s="105"/>
      <c r="AI609" s="105" t="str">
        <f t="shared" si="1"/>
        <v/>
      </c>
      <c r="AJ609" s="108" t="str">
        <f t="shared" si="2"/>
        <v/>
      </c>
    </row>
    <row r="610" ht="15.75" customHeight="1">
      <c r="A610" s="104"/>
      <c r="B610" s="105" t="str">
        <f>IFERROR(__xludf.DUMMYFUNCTION("ARRAY_CONSTRAIN(
  ARRAYFORMULA(
    IF(
      'Final Report'!A610="""",
      """",
      TEXTJOIN(
        "", "" &amp; CHAR(10),
        TRUE,
        IFERROR(
          VLOOKUP(
            TRIM(
              SPLIT('Final Report'!A610, "","")
           "&amp;" ),
            'URL Details'!A:B,
            2,
            FALSE
          ),
          """"
        )
      )
    )
  ),
  1,
  1
)
"),"")</f>
        <v/>
      </c>
      <c r="C610" s="105" t="str">
        <f>IFERROR(__xludf.DUMMYFUNCTION("IFERROR(IF('Final Report'!A610="""","""", TEXTJOIN(CHAR(10), TRUE, ARRAYFORMULA( ""• ""&amp; FILTER( TRIM(FLATTEN(SPLIT( REGEXREPLACE( SUBSTITUTE(TEXTJOIN("","", TRUE, IFERROR(ARRAYFORMULA(VLOOKUP(TRIM(SPLIT('Final Report'!A610, "","")), 'URL Details'!A:D, 4,"&amp;" FALSE)),"""") ), CHAR(10), "",""), ""\s*,\s*"", "",""), "",""))), TRIM(FLATTEN(SPLIT( REGEXREPLACE( SUBSTITUTE(TEXTJOIN("","", TRUE, IFERROR(ARRAYFORMULA(VLOOKUP(TRIM(SPLIT('Final Report'!A610, "","")), 'URL Details'!A:D, 4, FALSE)),"""") ), CHAR(10), """&amp;",""), ""\s*,\s*"", "",""), "","")))&lt;&gt;"""" ) ) ) ),"""")
"),"")</f>
        <v/>
      </c>
      <c r="D610" s="105"/>
      <c r="E610" s="105"/>
      <c r="F610" s="110" t="b">
        <v>0</v>
      </c>
      <c r="G610" s="105" t="str">
        <f>IF(F610=True, IFERROR(VLOOKUP(D610, Repository!A:B, 2, 0), ""), "")</f>
        <v/>
      </c>
      <c r="H610" s="105"/>
      <c r="I610" s="105"/>
      <c r="J610" s="105" t="str">
        <f>IF(F610=True, IFERROR(VLOOKUP(D610, Repository!A:C, 3, 0), ""), "")</f>
        <v/>
      </c>
      <c r="K610" s="105"/>
      <c r="L610" s="105" t="str">
        <f>IF(F610=True, IFERROR(VLOOKUP(D610, Repository!A:E, 5, 0), ""), "")</f>
        <v/>
      </c>
      <c r="M610" s="105"/>
      <c r="N610" s="105" t="str">
        <f>IF(F610=True, IFERROR(VLOOKUP(D610, Repository!A:G, 7, 0), ""), "")</f>
        <v/>
      </c>
      <c r="O610" s="105" t="str">
        <f>IFERROR(__xludf.DUMMYFUNCTION("ARRAY_CONSTRAIN(
  ARRAYFORMULA(
    IFERROR(
      LET(
        list, N610,
        arr, TRIM(SPLIT(list, "","")),
        names, XLOOKUP(
          arr,
          'Conformance Score'!A:A,
          'Conformance Score'!B:B,
          ""Not found""
      "&amp;"  ),
        TEXTJOIN("", "", TRUE, names)
      ),
      """"
    )
  ),
  1,
  1
)
"),"")</f>
        <v/>
      </c>
      <c r="P610" s="105" t="str">
        <f>IF(F610="Yes", IFERROR(VLOOKUP(D610, Repository!A:F, 6, 0), ""), "")</f>
        <v/>
      </c>
      <c r="Q610" s="105" t="str">
        <f>IF(F610="Yes", IFERROR(VLOOKUP(D610, Repository!A:I, 8, 0), ""), "")</f>
        <v/>
      </c>
      <c r="R610" s="105" t="str">
        <f>IF(F610="Yes", IFERROR(VLOOKUP(D610, Repository!A:J, 9, 0), ""), "")</f>
        <v/>
      </c>
      <c r="S610" s="105"/>
      <c r="T610" s="105"/>
      <c r="U610" s="105"/>
      <c r="V610" s="105"/>
      <c r="W610" s="105"/>
      <c r="X610" s="105"/>
      <c r="Y610" s="105"/>
      <c r="Z610" s="105"/>
      <c r="AA610" s="105"/>
      <c r="AB610" s="105"/>
      <c r="AC610" s="91"/>
      <c r="AD610" s="105"/>
      <c r="AE610" s="105"/>
      <c r="AF610" s="91"/>
      <c r="AG610" s="105"/>
      <c r="AH610" s="105"/>
      <c r="AI610" s="105" t="str">
        <f t="shared" si="1"/>
        <v/>
      </c>
      <c r="AJ610" s="108" t="str">
        <f t="shared" si="2"/>
        <v/>
      </c>
    </row>
    <row r="611" ht="15.75" customHeight="1">
      <c r="A611" s="104"/>
      <c r="B611" s="105" t="str">
        <f>IFERROR(__xludf.DUMMYFUNCTION("ARRAY_CONSTRAIN(
  ARRAYFORMULA(
    IF(
      'Final Report'!A611="""",
      """",
      TEXTJOIN(
        "", "" &amp; CHAR(10),
        TRUE,
        IFERROR(
          VLOOKUP(
            TRIM(
              SPLIT('Final Report'!A611, "","")
           "&amp;" ),
            'URL Details'!A:B,
            2,
            FALSE
          ),
          """"
        )
      )
    )
  ),
  1,
  1
)
"),"")</f>
        <v/>
      </c>
      <c r="C611" s="105" t="str">
        <f>IFERROR(__xludf.DUMMYFUNCTION("IFERROR(IF('Final Report'!A611="""","""", TEXTJOIN(CHAR(10), TRUE, ARRAYFORMULA( ""• ""&amp; FILTER( TRIM(FLATTEN(SPLIT( REGEXREPLACE( SUBSTITUTE(TEXTJOIN("","", TRUE, IFERROR(ARRAYFORMULA(VLOOKUP(TRIM(SPLIT('Final Report'!A611, "","")), 'URL Details'!A:D, 4,"&amp;" FALSE)),"""") ), CHAR(10), "",""), ""\s*,\s*"", "",""), "",""))), TRIM(FLATTEN(SPLIT( REGEXREPLACE( SUBSTITUTE(TEXTJOIN("","", TRUE, IFERROR(ARRAYFORMULA(VLOOKUP(TRIM(SPLIT('Final Report'!A611, "","")), 'URL Details'!A:D, 4, FALSE)),"""") ), CHAR(10), """&amp;",""), ""\s*,\s*"", "",""), "","")))&lt;&gt;"""" ) ) ) ),"""")
"),"")</f>
        <v/>
      </c>
      <c r="D611" s="105"/>
      <c r="E611" s="105"/>
      <c r="F611" s="110" t="b">
        <v>0</v>
      </c>
      <c r="G611" s="105" t="str">
        <f>IF(F611=True, IFERROR(VLOOKUP(D611, Repository!A:B, 2, 0), ""), "")</f>
        <v/>
      </c>
      <c r="H611" s="105"/>
      <c r="I611" s="105"/>
      <c r="J611" s="105" t="str">
        <f>IF(F611=True, IFERROR(VLOOKUP(D611, Repository!A:C, 3, 0), ""), "")</f>
        <v/>
      </c>
      <c r="K611" s="105"/>
      <c r="L611" s="105" t="str">
        <f>IF(F611=True, IFERROR(VLOOKUP(D611, Repository!A:E, 5, 0), ""), "")</f>
        <v/>
      </c>
      <c r="M611" s="105"/>
      <c r="N611" s="105" t="str">
        <f>IF(F611=True, IFERROR(VLOOKUP(D611, Repository!A:G, 7, 0), ""), "")</f>
        <v/>
      </c>
      <c r="O611" s="105" t="str">
        <f>IFERROR(__xludf.DUMMYFUNCTION("ARRAY_CONSTRAIN(
  ARRAYFORMULA(
    IFERROR(
      LET(
        list, N611,
        arr, TRIM(SPLIT(list, "","")),
        names, XLOOKUP(
          arr,
          'Conformance Score'!A:A,
          'Conformance Score'!B:B,
          ""Not found""
      "&amp;"  ),
        TEXTJOIN("", "", TRUE, names)
      ),
      """"
    )
  ),
  1,
  1
)
"),"")</f>
        <v/>
      </c>
      <c r="P611" s="105" t="str">
        <f>IF(F611="Yes", IFERROR(VLOOKUP(D611, Repository!A:F, 6, 0), ""), "")</f>
        <v/>
      </c>
      <c r="Q611" s="105" t="str">
        <f>IF(F611="Yes", IFERROR(VLOOKUP(D611, Repository!A:I, 8, 0), ""), "")</f>
        <v/>
      </c>
      <c r="R611" s="105" t="str">
        <f>IF(F611="Yes", IFERROR(VLOOKUP(D611, Repository!A:J, 9, 0), ""), "")</f>
        <v/>
      </c>
      <c r="S611" s="105"/>
      <c r="T611" s="105"/>
      <c r="U611" s="105"/>
      <c r="V611" s="105"/>
      <c r="W611" s="105"/>
      <c r="X611" s="105"/>
      <c r="Y611" s="105"/>
      <c r="Z611" s="105"/>
      <c r="AA611" s="105"/>
      <c r="AB611" s="105"/>
      <c r="AC611" s="91"/>
      <c r="AD611" s="105"/>
      <c r="AE611" s="105"/>
      <c r="AF611" s="91"/>
      <c r="AG611" s="105"/>
      <c r="AH611" s="105"/>
      <c r="AI611" s="105" t="str">
        <f t="shared" si="1"/>
        <v/>
      </c>
      <c r="AJ611" s="108" t="str">
        <f t="shared" si="2"/>
        <v/>
      </c>
    </row>
    <row r="612" ht="15.75" customHeight="1">
      <c r="A612" s="104"/>
      <c r="B612" s="105" t="str">
        <f>IFERROR(__xludf.DUMMYFUNCTION("ARRAY_CONSTRAIN(
  ARRAYFORMULA(
    IF(
      'Final Report'!A612="""",
      """",
      TEXTJOIN(
        "", "" &amp; CHAR(10),
        TRUE,
        IFERROR(
          VLOOKUP(
            TRIM(
              SPLIT('Final Report'!A612, "","")
           "&amp;" ),
            'URL Details'!A:B,
            2,
            FALSE
          ),
          """"
        )
      )
    )
  ),
  1,
  1
)
"),"")</f>
        <v/>
      </c>
      <c r="C612" s="105" t="str">
        <f>IFERROR(__xludf.DUMMYFUNCTION("IFERROR(IF('Final Report'!A612="""","""", TEXTJOIN(CHAR(10), TRUE, ARRAYFORMULA( ""• ""&amp; FILTER( TRIM(FLATTEN(SPLIT( REGEXREPLACE( SUBSTITUTE(TEXTJOIN("","", TRUE, IFERROR(ARRAYFORMULA(VLOOKUP(TRIM(SPLIT('Final Report'!A612, "","")), 'URL Details'!A:D, 4,"&amp;" FALSE)),"""") ), CHAR(10), "",""), ""\s*,\s*"", "",""), "",""))), TRIM(FLATTEN(SPLIT( REGEXREPLACE( SUBSTITUTE(TEXTJOIN("","", TRUE, IFERROR(ARRAYFORMULA(VLOOKUP(TRIM(SPLIT('Final Report'!A612, "","")), 'URL Details'!A:D, 4, FALSE)),"""") ), CHAR(10), """&amp;",""), ""\s*,\s*"", "",""), "","")))&lt;&gt;"""" ) ) ) ),"""")
"),"")</f>
        <v/>
      </c>
      <c r="D612" s="105"/>
      <c r="E612" s="105"/>
      <c r="F612" s="110" t="b">
        <v>0</v>
      </c>
      <c r="G612" s="105" t="str">
        <f>IF(F612=True, IFERROR(VLOOKUP(D612, Repository!A:B, 2, 0), ""), "")</f>
        <v/>
      </c>
      <c r="H612" s="105"/>
      <c r="I612" s="105"/>
      <c r="J612" s="105" t="str">
        <f>IF(F612=True, IFERROR(VLOOKUP(D612, Repository!A:C, 3, 0), ""), "")</f>
        <v/>
      </c>
      <c r="K612" s="105"/>
      <c r="L612" s="105" t="str">
        <f>IF(F612=True, IFERROR(VLOOKUP(D612, Repository!A:E, 5, 0), ""), "")</f>
        <v/>
      </c>
      <c r="M612" s="105"/>
      <c r="N612" s="105" t="str">
        <f>IF(F612=True, IFERROR(VLOOKUP(D612, Repository!A:G, 7, 0), ""), "")</f>
        <v/>
      </c>
      <c r="O612" s="105" t="str">
        <f>IFERROR(__xludf.DUMMYFUNCTION("ARRAY_CONSTRAIN(
  ARRAYFORMULA(
    IFERROR(
      LET(
        list, N612,
        arr, TRIM(SPLIT(list, "","")),
        names, XLOOKUP(
          arr,
          'Conformance Score'!A:A,
          'Conformance Score'!B:B,
          ""Not found""
      "&amp;"  ),
        TEXTJOIN("", "", TRUE, names)
      ),
      """"
    )
  ),
  1,
  1
)
"),"")</f>
        <v/>
      </c>
      <c r="P612" s="105" t="str">
        <f>IF(F612="Yes", IFERROR(VLOOKUP(D612, Repository!A:F, 6, 0), ""), "")</f>
        <v/>
      </c>
      <c r="Q612" s="105" t="str">
        <f>IF(F612="Yes", IFERROR(VLOOKUP(D612, Repository!A:I, 8, 0), ""), "")</f>
        <v/>
      </c>
      <c r="R612" s="105" t="str">
        <f>IF(F612="Yes", IFERROR(VLOOKUP(D612, Repository!A:J, 9, 0), ""), "")</f>
        <v/>
      </c>
      <c r="S612" s="105"/>
      <c r="T612" s="105"/>
      <c r="U612" s="105"/>
      <c r="V612" s="105"/>
      <c r="W612" s="105"/>
      <c r="X612" s="105"/>
      <c r="Y612" s="105"/>
      <c r="Z612" s="105"/>
      <c r="AA612" s="105"/>
      <c r="AB612" s="105"/>
      <c r="AC612" s="91"/>
      <c r="AD612" s="105"/>
      <c r="AE612" s="105"/>
      <c r="AF612" s="91"/>
      <c r="AG612" s="105"/>
      <c r="AH612" s="105"/>
      <c r="AI612" s="105" t="str">
        <f t="shared" si="1"/>
        <v/>
      </c>
      <c r="AJ612" s="108" t="str">
        <f t="shared" si="2"/>
        <v/>
      </c>
    </row>
    <row r="613" ht="15.75" customHeight="1">
      <c r="A613" s="104"/>
      <c r="B613" s="105" t="str">
        <f>IFERROR(__xludf.DUMMYFUNCTION("ARRAY_CONSTRAIN(
  ARRAYFORMULA(
    IF(
      'Final Report'!A613="""",
      """",
      TEXTJOIN(
        "", "" &amp; CHAR(10),
        TRUE,
        IFERROR(
          VLOOKUP(
            TRIM(
              SPLIT('Final Report'!A613, "","")
           "&amp;" ),
            'URL Details'!A:B,
            2,
            FALSE
          ),
          """"
        )
      )
    )
  ),
  1,
  1
)
"),"")</f>
        <v/>
      </c>
      <c r="C613" s="105" t="str">
        <f>IFERROR(__xludf.DUMMYFUNCTION("IFERROR(IF('Final Report'!A613="""","""", TEXTJOIN(CHAR(10), TRUE, ARRAYFORMULA( ""• ""&amp; FILTER( TRIM(FLATTEN(SPLIT( REGEXREPLACE( SUBSTITUTE(TEXTJOIN("","", TRUE, IFERROR(ARRAYFORMULA(VLOOKUP(TRIM(SPLIT('Final Report'!A613, "","")), 'URL Details'!A:D, 4,"&amp;" FALSE)),"""") ), CHAR(10), "",""), ""\s*,\s*"", "",""), "",""))), TRIM(FLATTEN(SPLIT( REGEXREPLACE( SUBSTITUTE(TEXTJOIN("","", TRUE, IFERROR(ARRAYFORMULA(VLOOKUP(TRIM(SPLIT('Final Report'!A613, "","")), 'URL Details'!A:D, 4, FALSE)),"""") ), CHAR(10), """&amp;",""), ""\s*,\s*"", "",""), "","")))&lt;&gt;"""" ) ) ) ),"""")
"),"")</f>
        <v/>
      </c>
      <c r="D613" s="105"/>
      <c r="E613" s="105"/>
      <c r="F613" s="110" t="b">
        <v>0</v>
      </c>
      <c r="G613" s="105" t="str">
        <f>IF(F613=True, IFERROR(VLOOKUP(D613, Repository!A:B, 2, 0), ""), "")</f>
        <v/>
      </c>
      <c r="H613" s="105"/>
      <c r="I613" s="105"/>
      <c r="J613" s="105" t="str">
        <f>IF(F613=True, IFERROR(VLOOKUP(D613, Repository!A:C, 3, 0), ""), "")</f>
        <v/>
      </c>
      <c r="K613" s="105"/>
      <c r="L613" s="105" t="str">
        <f>IF(F613=True, IFERROR(VLOOKUP(D613, Repository!A:E, 5, 0), ""), "")</f>
        <v/>
      </c>
      <c r="M613" s="105"/>
      <c r="N613" s="105" t="str">
        <f>IF(F613=True, IFERROR(VLOOKUP(D613, Repository!A:G, 7, 0), ""), "")</f>
        <v/>
      </c>
      <c r="O613" s="105" t="str">
        <f>IFERROR(__xludf.DUMMYFUNCTION("ARRAY_CONSTRAIN(
  ARRAYFORMULA(
    IFERROR(
      LET(
        list, N613,
        arr, TRIM(SPLIT(list, "","")),
        names, XLOOKUP(
          arr,
          'Conformance Score'!A:A,
          'Conformance Score'!B:B,
          ""Not found""
      "&amp;"  ),
        TEXTJOIN("", "", TRUE, names)
      ),
      """"
    )
  ),
  1,
  1
)
"),"")</f>
        <v/>
      </c>
      <c r="P613" s="105" t="str">
        <f>IF(F613="Yes", IFERROR(VLOOKUP(D613, Repository!A:F, 6, 0), ""), "")</f>
        <v/>
      </c>
      <c r="Q613" s="105" t="str">
        <f>IF(F613="Yes", IFERROR(VLOOKUP(D613, Repository!A:I, 8, 0), ""), "")</f>
        <v/>
      </c>
      <c r="R613" s="105" t="str">
        <f>IF(F613="Yes", IFERROR(VLOOKUP(D613, Repository!A:J, 9, 0), ""), "")</f>
        <v/>
      </c>
      <c r="S613" s="105"/>
      <c r="T613" s="105"/>
      <c r="U613" s="105"/>
      <c r="V613" s="105"/>
      <c r="W613" s="105"/>
      <c r="X613" s="105"/>
      <c r="Y613" s="105"/>
      <c r="Z613" s="105"/>
      <c r="AA613" s="105"/>
      <c r="AB613" s="105"/>
      <c r="AC613" s="91"/>
      <c r="AD613" s="105"/>
      <c r="AE613" s="105"/>
      <c r="AF613" s="91"/>
      <c r="AG613" s="105"/>
      <c r="AH613" s="105"/>
      <c r="AI613" s="105" t="str">
        <f t="shared" si="1"/>
        <v/>
      </c>
      <c r="AJ613" s="108" t="str">
        <f t="shared" si="2"/>
        <v/>
      </c>
    </row>
    <row r="614" ht="15.75" customHeight="1">
      <c r="A614" s="104"/>
      <c r="B614" s="105" t="str">
        <f>IFERROR(__xludf.DUMMYFUNCTION("ARRAY_CONSTRAIN(
  ARRAYFORMULA(
    IF(
      'Final Report'!A614="""",
      """",
      TEXTJOIN(
        "", "" &amp; CHAR(10),
        TRUE,
        IFERROR(
          VLOOKUP(
            TRIM(
              SPLIT('Final Report'!A614, "","")
           "&amp;" ),
            'URL Details'!A:B,
            2,
            FALSE
          ),
          """"
        )
      )
    )
  ),
  1,
  1
)
"),"")</f>
        <v/>
      </c>
      <c r="C614" s="105" t="str">
        <f>IFERROR(__xludf.DUMMYFUNCTION("IFERROR(IF('Final Report'!A614="""","""", TEXTJOIN(CHAR(10), TRUE, ARRAYFORMULA( ""• ""&amp; FILTER( TRIM(FLATTEN(SPLIT( REGEXREPLACE( SUBSTITUTE(TEXTJOIN("","", TRUE, IFERROR(ARRAYFORMULA(VLOOKUP(TRIM(SPLIT('Final Report'!A614, "","")), 'URL Details'!A:D, 4,"&amp;" FALSE)),"""") ), CHAR(10), "",""), ""\s*,\s*"", "",""), "",""))), TRIM(FLATTEN(SPLIT( REGEXREPLACE( SUBSTITUTE(TEXTJOIN("","", TRUE, IFERROR(ARRAYFORMULA(VLOOKUP(TRIM(SPLIT('Final Report'!A614, "","")), 'URL Details'!A:D, 4, FALSE)),"""") ), CHAR(10), """&amp;",""), ""\s*,\s*"", "",""), "","")))&lt;&gt;"""" ) ) ) ),"""")
"),"")</f>
        <v/>
      </c>
      <c r="D614" s="105"/>
      <c r="E614" s="105"/>
      <c r="F614" s="110" t="b">
        <v>0</v>
      </c>
      <c r="G614" s="105" t="str">
        <f>IF(F614=True, IFERROR(VLOOKUP(D614, Repository!A:B, 2, 0), ""), "")</f>
        <v/>
      </c>
      <c r="H614" s="105"/>
      <c r="I614" s="105"/>
      <c r="J614" s="105" t="str">
        <f>IF(F614=True, IFERROR(VLOOKUP(D614, Repository!A:C, 3, 0), ""), "")</f>
        <v/>
      </c>
      <c r="K614" s="105"/>
      <c r="L614" s="105" t="str">
        <f>IF(F614=True, IFERROR(VLOOKUP(D614, Repository!A:E, 5, 0), ""), "")</f>
        <v/>
      </c>
      <c r="M614" s="105"/>
      <c r="N614" s="105" t="str">
        <f>IF(F614=True, IFERROR(VLOOKUP(D614, Repository!A:G, 7, 0), ""), "")</f>
        <v/>
      </c>
      <c r="O614" s="105" t="str">
        <f>IFERROR(__xludf.DUMMYFUNCTION("ARRAY_CONSTRAIN(
  ARRAYFORMULA(
    IFERROR(
      LET(
        list, N614,
        arr, TRIM(SPLIT(list, "","")),
        names, XLOOKUP(
          arr,
          'Conformance Score'!A:A,
          'Conformance Score'!B:B,
          ""Not found""
      "&amp;"  ),
        TEXTJOIN("", "", TRUE, names)
      ),
      """"
    )
  ),
  1,
  1
)
"),"")</f>
        <v/>
      </c>
      <c r="P614" s="105" t="str">
        <f>IF(F614="Yes", IFERROR(VLOOKUP(D614, Repository!A:F, 6, 0), ""), "")</f>
        <v/>
      </c>
      <c r="Q614" s="105" t="str">
        <f>IF(F614="Yes", IFERROR(VLOOKUP(D614, Repository!A:I, 8, 0), ""), "")</f>
        <v/>
      </c>
      <c r="R614" s="105" t="str">
        <f>IF(F614="Yes", IFERROR(VLOOKUP(D614, Repository!A:J, 9, 0), ""), "")</f>
        <v/>
      </c>
      <c r="S614" s="105"/>
      <c r="T614" s="105"/>
      <c r="U614" s="105"/>
      <c r="V614" s="105"/>
      <c r="W614" s="105"/>
      <c r="X614" s="105"/>
      <c r="Y614" s="105"/>
      <c r="Z614" s="105"/>
      <c r="AA614" s="105"/>
      <c r="AB614" s="105"/>
      <c r="AC614" s="91"/>
      <c r="AD614" s="105"/>
      <c r="AE614" s="105"/>
      <c r="AF614" s="91"/>
      <c r="AG614" s="105"/>
      <c r="AH614" s="105"/>
      <c r="AI614" s="105" t="str">
        <f t="shared" si="1"/>
        <v/>
      </c>
      <c r="AJ614" s="108" t="str">
        <f t="shared" si="2"/>
        <v/>
      </c>
    </row>
    <row r="615" ht="15.75" customHeight="1">
      <c r="A615" s="104"/>
      <c r="B615" s="105" t="str">
        <f>IFERROR(__xludf.DUMMYFUNCTION("ARRAY_CONSTRAIN(
  ARRAYFORMULA(
    IF(
      'Final Report'!A615="""",
      """",
      TEXTJOIN(
        "", "" &amp; CHAR(10),
        TRUE,
        IFERROR(
          VLOOKUP(
            TRIM(
              SPLIT('Final Report'!A615, "","")
           "&amp;" ),
            'URL Details'!A:B,
            2,
            FALSE
          ),
          """"
        )
      )
    )
  ),
  1,
  1
)
"),"")</f>
        <v/>
      </c>
      <c r="C615" s="105" t="str">
        <f>IFERROR(__xludf.DUMMYFUNCTION("IFERROR(IF('Final Report'!A615="""","""", TEXTJOIN(CHAR(10), TRUE, ARRAYFORMULA( ""• ""&amp; FILTER( TRIM(FLATTEN(SPLIT( REGEXREPLACE( SUBSTITUTE(TEXTJOIN("","", TRUE, IFERROR(ARRAYFORMULA(VLOOKUP(TRIM(SPLIT('Final Report'!A615, "","")), 'URL Details'!A:D, 4,"&amp;" FALSE)),"""") ), CHAR(10), "",""), ""\s*,\s*"", "",""), "",""))), TRIM(FLATTEN(SPLIT( REGEXREPLACE( SUBSTITUTE(TEXTJOIN("","", TRUE, IFERROR(ARRAYFORMULA(VLOOKUP(TRIM(SPLIT('Final Report'!A615, "","")), 'URL Details'!A:D, 4, FALSE)),"""") ), CHAR(10), """&amp;",""), ""\s*,\s*"", "",""), "","")))&lt;&gt;"""" ) ) ) ),"""")
"),"")</f>
        <v/>
      </c>
      <c r="D615" s="105"/>
      <c r="E615" s="105"/>
      <c r="F615" s="110" t="b">
        <v>0</v>
      </c>
      <c r="G615" s="105" t="str">
        <f>IF(F615=True, IFERROR(VLOOKUP(D615, Repository!A:B, 2, 0), ""), "")</f>
        <v/>
      </c>
      <c r="H615" s="105"/>
      <c r="I615" s="105"/>
      <c r="J615" s="105" t="str">
        <f>IF(F615=True, IFERROR(VLOOKUP(D615, Repository!A:C, 3, 0), ""), "")</f>
        <v/>
      </c>
      <c r="K615" s="105"/>
      <c r="L615" s="105" t="str">
        <f>IF(F615=True, IFERROR(VLOOKUP(D615, Repository!A:E, 5, 0), ""), "")</f>
        <v/>
      </c>
      <c r="M615" s="105"/>
      <c r="N615" s="105" t="str">
        <f>IF(F615=True, IFERROR(VLOOKUP(D615, Repository!A:G, 7, 0), ""), "")</f>
        <v/>
      </c>
      <c r="O615" s="105" t="str">
        <f>IFERROR(__xludf.DUMMYFUNCTION("ARRAY_CONSTRAIN(
  ARRAYFORMULA(
    IFERROR(
      LET(
        list, N615,
        arr, TRIM(SPLIT(list, "","")),
        names, XLOOKUP(
          arr,
          'Conformance Score'!A:A,
          'Conformance Score'!B:B,
          ""Not found""
      "&amp;"  ),
        TEXTJOIN("", "", TRUE, names)
      ),
      """"
    )
  ),
  1,
  1
)
"),"")</f>
        <v/>
      </c>
      <c r="P615" s="105" t="str">
        <f>IF(F615="Yes", IFERROR(VLOOKUP(D615, Repository!A:F, 6, 0), ""), "")</f>
        <v/>
      </c>
      <c r="Q615" s="105" t="str">
        <f>IF(F615="Yes", IFERROR(VLOOKUP(D615, Repository!A:I, 8, 0), ""), "")</f>
        <v/>
      </c>
      <c r="R615" s="105" t="str">
        <f>IF(F615="Yes", IFERROR(VLOOKUP(D615, Repository!A:J, 9, 0), ""), "")</f>
        <v/>
      </c>
      <c r="S615" s="105"/>
      <c r="T615" s="105"/>
      <c r="U615" s="105"/>
      <c r="V615" s="105"/>
      <c r="W615" s="105"/>
      <c r="X615" s="105"/>
      <c r="Y615" s="105"/>
      <c r="Z615" s="105"/>
      <c r="AA615" s="105"/>
      <c r="AB615" s="105"/>
      <c r="AC615" s="91"/>
      <c r="AD615" s="105"/>
      <c r="AE615" s="105"/>
      <c r="AF615" s="91"/>
      <c r="AG615" s="105"/>
      <c r="AH615" s="105"/>
      <c r="AI615" s="105" t="str">
        <f t="shared" si="1"/>
        <v/>
      </c>
      <c r="AJ615" s="108" t="str">
        <f t="shared" si="2"/>
        <v/>
      </c>
    </row>
    <row r="616" ht="15.75" customHeight="1">
      <c r="A616" s="104"/>
      <c r="B616" s="105" t="str">
        <f>IFERROR(__xludf.DUMMYFUNCTION("ARRAY_CONSTRAIN(
  ARRAYFORMULA(
    IF(
      'Final Report'!A616="""",
      """",
      TEXTJOIN(
        "", "" &amp; CHAR(10),
        TRUE,
        IFERROR(
          VLOOKUP(
            TRIM(
              SPLIT('Final Report'!A616, "","")
           "&amp;" ),
            'URL Details'!A:B,
            2,
            FALSE
          ),
          """"
        )
      )
    )
  ),
  1,
  1
)
"),"")</f>
        <v/>
      </c>
      <c r="C616" s="105" t="str">
        <f>IFERROR(__xludf.DUMMYFUNCTION("IFERROR(IF('Final Report'!A616="""","""", TEXTJOIN(CHAR(10), TRUE, ARRAYFORMULA( ""• ""&amp; FILTER( TRIM(FLATTEN(SPLIT( REGEXREPLACE( SUBSTITUTE(TEXTJOIN("","", TRUE, IFERROR(ARRAYFORMULA(VLOOKUP(TRIM(SPLIT('Final Report'!A616, "","")), 'URL Details'!A:D, 4,"&amp;" FALSE)),"""") ), CHAR(10), "",""), ""\s*,\s*"", "",""), "",""))), TRIM(FLATTEN(SPLIT( REGEXREPLACE( SUBSTITUTE(TEXTJOIN("","", TRUE, IFERROR(ARRAYFORMULA(VLOOKUP(TRIM(SPLIT('Final Report'!A616, "","")), 'URL Details'!A:D, 4, FALSE)),"""") ), CHAR(10), """&amp;",""), ""\s*,\s*"", "",""), "","")))&lt;&gt;"""" ) ) ) ),"""")
"),"")</f>
        <v/>
      </c>
      <c r="D616" s="105"/>
      <c r="E616" s="105"/>
      <c r="F616" s="110" t="b">
        <v>0</v>
      </c>
      <c r="G616" s="105" t="str">
        <f>IF(F616=True, IFERROR(VLOOKUP(D616, Repository!A:B, 2, 0), ""), "")</f>
        <v/>
      </c>
      <c r="H616" s="105"/>
      <c r="I616" s="105"/>
      <c r="J616" s="105" t="str">
        <f>IF(F616=True, IFERROR(VLOOKUP(D616, Repository!A:C, 3, 0), ""), "")</f>
        <v/>
      </c>
      <c r="K616" s="105"/>
      <c r="L616" s="105" t="str">
        <f>IF(F616=True, IFERROR(VLOOKUP(D616, Repository!A:E, 5, 0), ""), "")</f>
        <v/>
      </c>
      <c r="M616" s="105"/>
      <c r="N616" s="105" t="str">
        <f>IF(F616=True, IFERROR(VLOOKUP(D616, Repository!A:G, 7, 0), ""), "")</f>
        <v/>
      </c>
      <c r="O616" s="105" t="str">
        <f>IFERROR(__xludf.DUMMYFUNCTION("ARRAY_CONSTRAIN(
  ARRAYFORMULA(
    IFERROR(
      LET(
        list, N616,
        arr, TRIM(SPLIT(list, "","")),
        names, XLOOKUP(
          arr,
          'Conformance Score'!A:A,
          'Conformance Score'!B:B,
          ""Not found""
      "&amp;"  ),
        TEXTJOIN("", "", TRUE, names)
      ),
      """"
    )
  ),
  1,
  1
)
"),"")</f>
        <v/>
      </c>
      <c r="P616" s="105" t="str">
        <f>IF(F616="Yes", IFERROR(VLOOKUP(D616, Repository!A:F, 6, 0), ""), "")</f>
        <v/>
      </c>
      <c r="Q616" s="105" t="str">
        <f>IF(F616="Yes", IFERROR(VLOOKUP(D616, Repository!A:I, 8, 0), ""), "")</f>
        <v/>
      </c>
      <c r="R616" s="105" t="str">
        <f>IF(F616="Yes", IFERROR(VLOOKUP(D616, Repository!A:J, 9, 0), ""), "")</f>
        <v/>
      </c>
      <c r="S616" s="105"/>
      <c r="T616" s="105"/>
      <c r="U616" s="105"/>
      <c r="V616" s="105"/>
      <c r="W616" s="105"/>
      <c r="X616" s="105"/>
      <c r="Y616" s="105"/>
      <c r="Z616" s="105"/>
      <c r="AA616" s="105"/>
      <c r="AB616" s="105"/>
      <c r="AC616" s="91"/>
      <c r="AD616" s="105"/>
      <c r="AE616" s="105"/>
      <c r="AF616" s="91"/>
      <c r="AG616" s="105"/>
      <c r="AH616" s="105"/>
      <c r="AI616" s="105" t="str">
        <f t="shared" si="1"/>
        <v/>
      </c>
      <c r="AJ616" s="108" t="str">
        <f t="shared" si="2"/>
        <v/>
      </c>
    </row>
    <row r="617" ht="15.75" customHeight="1">
      <c r="A617" s="104"/>
      <c r="B617" s="105" t="str">
        <f>IFERROR(__xludf.DUMMYFUNCTION("ARRAY_CONSTRAIN(
  ARRAYFORMULA(
    IF(
      'Final Report'!A617="""",
      """",
      TEXTJOIN(
        "", "" &amp; CHAR(10),
        TRUE,
        IFERROR(
          VLOOKUP(
            TRIM(
              SPLIT('Final Report'!A617, "","")
           "&amp;" ),
            'URL Details'!A:B,
            2,
            FALSE
          ),
          """"
        )
      )
    )
  ),
  1,
  1
)
"),"")</f>
        <v/>
      </c>
      <c r="C617" s="105" t="str">
        <f>IFERROR(__xludf.DUMMYFUNCTION("IFERROR(IF('Final Report'!A617="""","""", TEXTJOIN(CHAR(10), TRUE, ARRAYFORMULA( ""• ""&amp; FILTER( TRIM(FLATTEN(SPLIT( REGEXREPLACE( SUBSTITUTE(TEXTJOIN("","", TRUE, IFERROR(ARRAYFORMULA(VLOOKUP(TRIM(SPLIT('Final Report'!A617, "","")), 'URL Details'!A:D, 4,"&amp;" FALSE)),"""") ), CHAR(10), "",""), ""\s*,\s*"", "",""), "",""))), TRIM(FLATTEN(SPLIT( REGEXREPLACE( SUBSTITUTE(TEXTJOIN("","", TRUE, IFERROR(ARRAYFORMULA(VLOOKUP(TRIM(SPLIT('Final Report'!A617, "","")), 'URL Details'!A:D, 4, FALSE)),"""") ), CHAR(10), """&amp;",""), ""\s*,\s*"", "",""), "","")))&lt;&gt;"""" ) ) ) ),"""")
"),"")</f>
        <v/>
      </c>
      <c r="D617" s="105"/>
      <c r="E617" s="105"/>
      <c r="F617" s="110" t="b">
        <v>0</v>
      </c>
      <c r="G617" s="105" t="str">
        <f>IF(F617=True, IFERROR(VLOOKUP(D617, Repository!A:B, 2, 0), ""), "")</f>
        <v/>
      </c>
      <c r="H617" s="105"/>
      <c r="I617" s="105"/>
      <c r="J617" s="105" t="str">
        <f>IF(F617=True, IFERROR(VLOOKUP(D617, Repository!A:C, 3, 0), ""), "")</f>
        <v/>
      </c>
      <c r="K617" s="105"/>
      <c r="L617" s="105" t="str">
        <f>IF(F617=True, IFERROR(VLOOKUP(D617, Repository!A:E, 5, 0), ""), "")</f>
        <v/>
      </c>
      <c r="M617" s="105"/>
      <c r="N617" s="105" t="str">
        <f>IF(F617=True, IFERROR(VLOOKUP(D617, Repository!A:G, 7, 0), ""), "")</f>
        <v/>
      </c>
      <c r="O617" s="105" t="str">
        <f>IFERROR(__xludf.DUMMYFUNCTION("ARRAY_CONSTRAIN(
  ARRAYFORMULA(
    IFERROR(
      LET(
        list, N617,
        arr, TRIM(SPLIT(list, "","")),
        names, XLOOKUP(
          arr,
          'Conformance Score'!A:A,
          'Conformance Score'!B:B,
          ""Not found""
      "&amp;"  ),
        TEXTJOIN("", "", TRUE, names)
      ),
      """"
    )
  ),
  1,
  1
)
"),"")</f>
        <v/>
      </c>
      <c r="P617" s="105" t="str">
        <f>IF(F617="Yes", IFERROR(VLOOKUP(D617, Repository!A:F, 6, 0), ""), "")</f>
        <v/>
      </c>
      <c r="Q617" s="105" t="str">
        <f>IF(F617="Yes", IFERROR(VLOOKUP(D617, Repository!A:I, 8, 0), ""), "")</f>
        <v/>
      </c>
      <c r="R617" s="105" t="str">
        <f>IF(F617="Yes", IFERROR(VLOOKUP(D617, Repository!A:J, 9, 0), ""), "")</f>
        <v/>
      </c>
      <c r="S617" s="105"/>
      <c r="T617" s="105"/>
      <c r="U617" s="105"/>
      <c r="V617" s="105"/>
      <c r="W617" s="105"/>
      <c r="X617" s="105"/>
      <c r="Y617" s="105"/>
      <c r="Z617" s="105"/>
      <c r="AA617" s="105"/>
      <c r="AB617" s="105"/>
      <c r="AC617" s="91"/>
      <c r="AD617" s="105"/>
      <c r="AE617" s="105"/>
      <c r="AF617" s="91"/>
      <c r="AG617" s="105"/>
      <c r="AH617" s="105"/>
      <c r="AI617" s="105" t="str">
        <f t="shared" si="1"/>
        <v/>
      </c>
      <c r="AJ617" s="108" t="str">
        <f t="shared" si="2"/>
        <v/>
      </c>
    </row>
    <row r="618" ht="15.75" customHeight="1">
      <c r="A618" s="104"/>
      <c r="B618" s="105" t="str">
        <f>IFERROR(__xludf.DUMMYFUNCTION("ARRAY_CONSTRAIN(
  ARRAYFORMULA(
    IF(
      'Final Report'!A618="""",
      """",
      TEXTJOIN(
        "", "" &amp; CHAR(10),
        TRUE,
        IFERROR(
          VLOOKUP(
            TRIM(
              SPLIT('Final Report'!A618, "","")
           "&amp;" ),
            'URL Details'!A:B,
            2,
            FALSE
          ),
          """"
        )
      )
    )
  ),
  1,
  1
)
"),"")</f>
        <v/>
      </c>
      <c r="C618" s="105" t="str">
        <f>IFERROR(__xludf.DUMMYFUNCTION("IFERROR(IF('Final Report'!A618="""","""", TEXTJOIN(CHAR(10), TRUE, ARRAYFORMULA( ""• ""&amp; FILTER( TRIM(FLATTEN(SPLIT( REGEXREPLACE( SUBSTITUTE(TEXTJOIN("","", TRUE, IFERROR(ARRAYFORMULA(VLOOKUP(TRIM(SPLIT('Final Report'!A618, "","")), 'URL Details'!A:D, 4,"&amp;" FALSE)),"""") ), CHAR(10), "",""), ""\s*,\s*"", "",""), "",""))), TRIM(FLATTEN(SPLIT( REGEXREPLACE( SUBSTITUTE(TEXTJOIN("","", TRUE, IFERROR(ARRAYFORMULA(VLOOKUP(TRIM(SPLIT('Final Report'!A618, "","")), 'URL Details'!A:D, 4, FALSE)),"""") ), CHAR(10), """&amp;",""), ""\s*,\s*"", "",""), "","")))&lt;&gt;"""" ) ) ) ),"""")
"),"")</f>
        <v/>
      </c>
      <c r="D618" s="105"/>
      <c r="E618" s="105"/>
      <c r="F618" s="110" t="b">
        <v>0</v>
      </c>
      <c r="G618" s="105" t="str">
        <f>IF(F618=True, IFERROR(VLOOKUP(D618, Repository!A:B, 2, 0), ""), "")</f>
        <v/>
      </c>
      <c r="H618" s="105"/>
      <c r="I618" s="105"/>
      <c r="J618" s="105" t="str">
        <f>IF(F618=True, IFERROR(VLOOKUP(D618, Repository!A:C, 3, 0), ""), "")</f>
        <v/>
      </c>
      <c r="K618" s="105"/>
      <c r="L618" s="105" t="str">
        <f>IF(F618=True, IFERROR(VLOOKUP(D618, Repository!A:E, 5, 0), ""), "")</f>
        <v/>
      </c>
      <c r="M618" s="105"/>
      <c r="N618" s="105" t="str">
        <f>IF(F618=True, IFERROR(VLOOKUP(D618, Repository!A:G, 7, 0), ""), "")</f>
        <v/>
      </c>
      <c r="O618" s="105" t="str">
        <f>IFERROR(__xludf.DUMMYFUNCTION("ARRAY_CONSTRAIN(
  ARRAYFORMULA(
    IFERROR(
      LET(
        list, N618,
        arr, TRIM(SPLIT(list, "","")),
        names, XLOOKUP(
          arr,
          'Conformance Score'!A:A,
          'Conformance Score'!B:B,
          ""Not found""
      "&amp;"  ),
        TEXTJOIN("", "", TRUE, names)
      ),
      """"
    )
  ),
  1,
  1
)
"),"")</f>
        <v/>
      </c>
      <c r="P618" s="105" t="str">
        <f>IF(F618="Yes", IFERROR(VLOOKUP(D618, Repository!A:F, 6, 0), ""), "")</f>
        <v/>
      </c>
      <c r="Q618" s="105" t="str">
        <f>IF(F618="Yes", IFERROR(VLOOKUP(D618, Repository!A:I, 8, 0), ""), "")</f>
        <v/>
      </c>
      <c r="R618" s="105" t="str">
        <f>IF(F618="Yes", IFERROR(VLOOKUP(D618, Repository!A:J, 9, 0), ""), "")</f>
        <v/>
      </c>
      <c r="S618" s="105"/>
      <c r="T618" s="105"/>
      <c r="U618" s="105"/>
      <c r="V618" s="105"/>
      <c r="W618" s="105"/>
      <c r="X618" s="105"/>
      <c r="Y618" s="105"/>
      <c r="Z618" s="105"/>
      <c r="AA618" s="105"/>
      <c r="AB618" s="105"/>
      <c r="AC618" s="91"/>
      <c r="AD618" s="105"/>
      <c r="AE618" s="105"/>
      <c r="AF618" s="91"/>
      <c r="AG618" s="105"/>
      <c r="AH618" s="105"/>
      <c r="AI618" s="105" t="str">
        <f t="shared" si="1"/>
        <v/>
      </c>
      <c r="AJ618" s="108" t="str">
        <f t="shared" si="2"/>
        <v/>
      </c>
    </row>
    <row r="619" ht="15.75" customHeight="1">
      <c r="A619" s="104"/>
      <c r="B619" s="105" t="str">
        <f>IFERROR(__xludf.DUMMYFUNCTION("ARRAY_CONSTRAIN(
  ARRAYFORMULA(
    IF(
      'Final Report'!A619="""",
      """",
      TEXTJOIN(
        "", "" &amp; CHAR(10),
        TRUE,
        IFERROR(
          VLOOKUP(
            TRIM(
              SPLIT('Final Report'!A619, "","")
           "&amp;" ),
            'URL Details'!A:B,
            2,
            FALSE
          ),
          """"
        )
      )
    )
  ),
  1,
  1
)
"),"")</f>
        <v/>
      </c>
      <c r="C619" s="105" t="str">
        <f>IFERROR(__xludf.DUMMYFUNCTION("IFERROR(IF('Final Report'!A619="""","""", TEXTJOIN(CHAR(10), TRUE, ARRAYFORMULA( ""• ""&amp; FILTER( TRIM(FLATTEN(SPLIT( REGEXREPLACE( SUBSTITUTE(TEXTJOIN("","", TRUE, IFERROR(ARRAYFORMULA(VLOOKUP(TRIM(SPLIT('Final Report'!A619, "","")), 'URL Details'!A:D, 4,"&amp;" FALSE)),"""") ), CHAR(10), "",""), ""\s*,\s*"", "",""), "",""))), TRIM(FLATTEN(SPLIT( REGEXREPLACE( SUBSTITUTE(TEXTJOIN("","", TRUE, IFERROR(ARRAYFORMULA(VLOOKUP(TRIM(SPLIT('Final Report'!A619, "","")), 'URL Details'!A:D, 4, FALSE)),"""") ), CHAR(10), """&amp;",""), ""\s*,\s*"", "",""), "","")))&lt;&gt;"""" ) ) ) ),"""")
"),"")</f>
        <v/>
      </c>
      <c r="D619" s="105"/>
      <c r="E619" s="105"/>
      <c r="F619" s="110" t="b">
        <v>0</v>
      </c>
      <c r="G619" s="105" t="str">
        <f>IF(F619=True, IFERROR(VLOOKUP(D619, Repository!A:B, 2, 0), ""), "")</f>
        <v/>
      </c>
      <c r="H619" s="105"/>
      <c r="I619" s="105"/>
      <c r="J619" s="105" t="str">
        <f>IF(F619=True, IFERROR(VLOOKUP(D619, Repository!A:C, 3, 0), ""), "")</f>
        <v/>
      </c>
      <c r="K619" s="105"/>
      <c r="L619" s="105" t="str">
        <f>IF(F619=True, IFERROR(VLOOKUP(D619, Repository!A:E, 5, 0), ""), "")</f>
        <v/>
      </c>
      <c r="M619" s="105"/>
      <c r="N619" s="105" t="str">
        <f>IF(F619=True, IFERROR(VLOOKUP(D619, Repository!A:G, 7, 0), ""), "")</f>
        <v/>
      </c>
      <c r="O619" s="105" t="str">
        <f>IFERROR(__xludf.DUMMYFUNCTION("ARRAY_CONSTRAIN(
  ARRAYFORMULA(
    IFERROR(
      LET(
        list, N619,
        arr, TRIM(SPLIT(list, "","")),
        names, XLOOKUP(
          arr,
          'Conformance Score'!A:A,
          'Conformance Score'!B:B,
          ""Not found""
      "&amp;"  ),
        TEXTJOIN("", "", TRUE, names)
      ),
      """"
    )
  ),
  1,
  1
)
"),"")</f>
        <v/>
      </c>
      <c r="P619" s="105" t="str">
        <f>IF(F619="Yes", IFERROR(VLOOKUP(D619, Repository!A:F, 6, 0), ""), "")</f>
        <v/>
      </c>
      <c r="Q619" s="105" t="str">
        <f>IF(F619="Yes", IFERROR(VLOOKUP(D619, Repository!A:I, 8, 0), ""), "")</f>
        <v/>
      </c>
      <c r="R619" s="105" t="str">
        <f>IF(F619="Yes", IFERROR(VLOOKUP(D619, Repository!A:J, 9, 0), ""), "")</f>
        <v/>
      </c>
      <c r="S619" s="105"/>
      <c r="T619" s="105"/>
      <c r="U619" s="105"/>
      <c r="V619" s="105"/>
      <c r="W619" s="105"/>
      <c r="X619" s="105"/>
      <c r="Y619" s="105"/>
      <c r="Z619" s="105"/>
      <c r="AA619" s="105"/>
      <c r="AB619" s="105"/>
      <c r="AC619" s="91"/>
      <c r="AD619" s="105"/>
      <c r="AE619" s="105"/>
      <c r="AF619" s="91"/>
      <c r="AG619" s="105"/>
      <c r="AH619" s="105"/>
      <c r="AI619" s="105" t="str">
        <f t="shared" si="1"/>
        <v/>
      </c>
      <c r="AJ619" s="108" t="str">
        <f t="shared" si="2"/>
        <v/>
      </c>
    </row>
    <row r="620" ht="15.75" customHeight="1">
      <c r="A620" s="104"/>
      <c r="B620" s="105" t="str">
        <f>IFERROR(__xludf.DUMMYFUNCTION("ARRAY_CONSTRAIN(
  ARRAYFORMULA(
    IF(
      'Final Report'!A620="""",
      """",
      TEXTJOIN(
        "", "" &amp; CHAR(10),
        TRUE,
        IFERROR(
          VLOOKUP(
            TRIM(
              SPLIT('Final Report'!A620, "","")
           "&amp;" ),
            'URL Details'!A:B,
            2,
            FALSE
          ),
          """"
        )
      )
    )
  ),
  1,
  1
)
"),"")</f>
        <v/>
      </c>
      <c r="C620" s="105" t="str">
        <f>IFERROR(__xludf.DUMMYFUNCTION("IFERROR(IF('Final Report'!A620="""","""", TEXTJOIN(CHAR(10), TRUE, ARRAYFORMULA( ""• ""&amp; FILTER( TRIM(FLATTEN(SPLIT( REGEXREPLACE( SUBSTITUTE(TEXTJOIN("","", TRUE, IFERROR(ARRAYFORMULA(VLOOKUP(TRIM(SPLIT('Final Report'!A620, "","")), 'URL Details'!A:D, 4,"&amp;" FALSE)),"""") ), CHAR(10), "",""), ""\s*,\s*"", "",""), "",""))), TRIM(FLATTEN(SPLIT( REGEXREPLACE( SUBSTITUTE(TEXTJOIN("","", TRUE, IFERROR(ARRAYFORMULA(VLOOKUP(TRIM(SPLIT('Final Report'!A620, "","")), 'URL Details'!A:D, 4, FALSE)),"""") ), CHAR(10), """&amp;",""), ""\s*,\s*"", "",""), "","")))&lt;&gt;"""" ) ) ) ),"""")
"),"")</f>
        <v/>
      </c>
      <c r="D620" s="105"/>
      <c r="E620" s="105"/>
      <c r="F620" s="110" t="b">
        <v>0</v>
      </c>
      <c r="G620" s="105" t="str">
        <f>IF(F620=True, IFERROR(VLOOKUP(D620, Repository!A:B, 2, 0), ""), "")</f>
        <v/>
      </c>
      <c r="H620" s="105"/>
      <c r="I620" s="105"/>
      <c r="J620" s="105" t="str">
        <f>IF(F620=True, IFERROR(VLOOKUP(D620, Repository!A:C, 3, 0), ""), "")</f>
        <v/>
      </c>
      <c r="K620" s="105"/>
      <c r="L620" s="105" t="str">
        <f>IF(F620=True, IFERROR(VLOOKUP(D620, Repository!A:E, 5, 0), ""), "")</f>
        <v/>
      </c>
      <c r="M620" s="105"/>
      <c r="N620" s="105" t="str">
        <f>IF(F620=True, IFERROR(VLOOKUP(D620, Repository!A:G, 7, 0), ""), "")</f>
        <v/>
      </c>
      <c r="O620" s="105" t="str">
        <f>IFERROR(__xludf.DUMMYFUNCTION("ARRAY_CONSTRAIN(
  ARRAYFORMULA(
    IFERROR(
      LET(
        list, N620,
        arr, TRIM(SPLIT(list, "","")),
        names, XLOOKUP(
          arr,
          'Conformance Score'!A:A,
          'Conformance Score'!B:B,
          ""Not found""
      "&amp;"  ),
        TEXTJOIN("", "", TRUE, names)
      ),
      """"
    )
  ),
  1,
  1
)
"),"")</f>
        <v/>
      </c>
      <c r="P620" s="105" t="str">
        <f>IF(F620="Yes", IFERROR(VLOOKUP(D620, Repository!A:F, 6, 0), ""), "")</f>
        <v/>
      </c>
      <c r="Q620" s="105" t="str">
        <f>IF(F620="Yes", IFERROR(VLOOKUP(D620, Repository!A:I, 8, 0), ""), "")</f>
        <v/>
      </c>
      <c r="R620" s="105" t="str">
        <f>IF(F620="Yes", IFERROR(VLOOKUP(D620, Repository!A:J, 9, 0), ""), "")</f>
        <v/>
      </c>
      <c r="S620" s="105"/>
      <c r="T620" s="105"/>
      <c r="U620" s="105"/>
      <c r="V620" s="105"/>
      <c r="W620" s="105"/>
      <c r="X620" s="105"/>
      <c r="Y620" s="105"/>
      <c r="Z620" s="105"/>
      <c r="AA620" s="105"/>
      <c r="AB620" s="105"/>
      <c r="AC620" s="91"/>
      <c r="AD620" s="105"/>
      <c r="AE620" s="105"/>
      <c r="AF620" s="91"/>
      <c r="AG620" s="105"/>
      <c r="AH620" s="105"/>
      <c r="AI620" s="105" t="str">
        <f t="shared" si="1"/>
        <v/>
      </c>
      <c r="AJ620" s="108" t="str">
        <f t="shared" si="2"/>
        <v/>
      </c>
    </row>
    <row r="621" ht="15.75" customHeight="1">
      <c r="A621" s="104"/>
      <c r="B621" s="105" t="str">
        <f>IFERROR(__xludf.DUMMYFUNCTION("ARRAY_CONSTRAIN(
  ARRAYFORMULA(
    IF(
      'Final Report'!A621="""",
      """",
      TEXTJOIN(
        "", "" &amp; CHAR(10),
        TRUE,
        IFERROR(
          VLOOKUP(
            TRIM(
              SPLIT('Final Report'!A621, "","")
           "&amp;" ),
            'URL Details'!A:B,
            2,
            FALSE
          ),
          """"
        )
      )
    )
  ),
  1,
  1
)
"),"")</f>
        <v/>
      </c>
      <c r="C621" s="105" t="str">
        <f>IFERROR(__xludf.DUMMYFUNCTION("IFERROR(IF('Final Report'!A621="""","""", TEXTJOIN(CHAR(10), TRUE, ARRAYFORMULA( ""• ""&amp; FILTER( TRIM(FLATTEN(SPLIT( REGEXREPLACE( SUBSTITUTE(TEXTJOIN("","", TRUE, IFERROR(ARRAYFORMULA(VLOOKUP(TRIM(SPLIT('Final Report'!A621, "","")), 'URL Details'!A:D, 4,"&amp;" FALSE)),"""") ), CHAR(10), "",""), ""\s*,\s*"", "",""), "",""))), TRIM(FLATTEN(SPLIT( REGEXREPLACE( SUBSTITUTE(TEXTJOIN("","", TRUE, IFERROR(ARRAYFORMULA(VLOOKUP(TRIM(SPLIT('Final Report'!A621, "","")), 'URL Details'!A:D, 4, FALSE)),"""") ), CHAR(10), """&amp;",""), ""\s*,\s*"", "",""), "","")))&lt;&gt;"""" ) ) ) ),"""")
"),"")</f>
        <v/>
      </c>
      <c r="D621" s="105"/>
      <c r="E621" s="105"/>
      <c r="F621" s="110" t="b">
        <v>0</v>
      </c>
      <c r="G621" s="105" t="str">
        <f>IF(F621=True, IFERROR(VLOOKUP(D621, Repository!A:B, 2, 0), ""), "")</f>
        <v/>
      </c>
      <c r="H621" s="105"/>
      <c r="I621" s="105"/>
      <c r="J621" s="105" t="str">
        <f>IF(F621=True, IFERROR(VLOOKUP(D621, Repository!A:C, 3, 0), ""), "")</f>
        <v/>
      </c>
      <c r="K621" s="105"/>
      <c r="L621" s="105" t="str">
        <f>IF(F621=True, IFERROR(VLOOKUP(D621, Repository!A:E, 5, 0), ""), "")</f>
        <v/>
      </c>
      <c r="M621" s="105"/>
      <c r="N621" s="105" t="str">
        <f>IF(F621=True, IFERROR(VLOOKUP(D621, Repository!A:G, 7, 0), ""), "")</f>
        <v/>
      </c>
      <c r="O621" s="105" t="str">
        <f>IFERROR(__xludf.DUMMYFUNCTION("ARRAY_CONSTRAIN(
  ARRAYFORMULA(
    IFERROR(
      LET(
        list, N621,
        arr, TRIM(SPLIT(list, "","")),
        names, XLOOKUP(
          arr,
          'Conformance Score'!A:A,
          'Conformance Score'!B:B,
          ""Not found""
      "&amp;"  ),
        TEXTJOIN("", "", TRUE, names)
      ),
      """"
    )
  ),
  1,
  1
)
"),"")</f>
        <v/>
      </c>
      <c r="P621" s="105" t="str">
        <f>IF(F621="Yes", IFERROR(VLOOKUP(D621, Repository!A:F, 6, 0), ""), "")</f>
        <v/>
      </c>
      <c r="Q621" s="105" t="str">
        <f>IF(F621="Yes", IFERROR(VLOOKUP(D621, Repository!A:I, 8, 0), ""), "")</f>
        <v/>
      </c>
      <c r="R621" s="105" t="str">
        <f>IF(F621="Yes", IFERROR(VLOOKUP(D621, Repository!A:J, 9, 0), ""), "")</f>
        <v/>
      </c>
      <c r="S621" s="105"/>
      <c r="T621" s="105"/>
      <c r="U621" s="105"/>
      <c r="V621" s="105"/>
      <c r="W621" s="105"/>
      <c r="X621" s="105"/>
      <c r="Y621" s="105"/>
      <c r="Z621" s="105"/>
      <c r="AA621" s="105"/>
      <c r="AB621" s="105"/>
      <c r="AC621" s="91"/>
      <c r="AD621" s="105"/>
      <c r="AE621" s="105"/>
      <c r="AF621" s="91"/>
      <c r="AG621" s="105"/>
      <c r="AH621" s="105"/>
      <c r="AI621" s="105" t="str">
        <f t="shared" si="1"/>
        <v/>
      </c>
      <c r="AJ621" s="108" t="str">
        <f t="shared" si="2"/>
        <v/>
      </c>
    </row>
    <row r="622" ht="15.75" customHeight="1">
      <c r="A622" s="104"/>
      <c r="B622" s="105" t="str">
        <f>IFERROR(__xludf.DUMMYFUNCTION("ARRAY_CONSTRAIN(
  ARRAYFORMULA(
    IF(
      'Final Report'!A622="""",
      """",
      TEXTJOIN(
        "", "" &amp; CHAR(10),
        TRUE,
        IFERROR(
          VLOOKUP(
            TRIM(
              SPLIT('Final Report'!A622, "","")
           "&amp;" ),
            'URL Details'!A:B,
            2,
            FALSE
          ),
          """"
        )
      )
    )
  ),
  1,
  1
)
"),"")</f>
        <v/>
      </c>
      <c r="C622" s="105" t="str">
        <f>IFERROR(__xludf.DUMMYFUNCTION("IFERROR(IF('Final Report'!A622="""","""", TEXTJOIN(CHAR(10), TRUE, ARRAYFORMULA( ""• ""&amp; FILTER( TRIM(FLATTEN(SPLIT( REGEXREPLACE( SUBSTITUTE(TEXTJOIN("","", TRUE, IFERROR(ARRAYFORMULA(VLOOKUP(TRIM(SPLIT('Final Report'!A622, "","")), 'URL Details'!A:D, 4,"&amp;" FALSE)),"""") ), CHAR(10), "",""), ""\s*,\s*"", "",""), "",""))), TRIM(FLATTEN(SPLIT( REGEXREPLACE( SUBSTITUTE(TEXTJOIN("","", TRUE, IFERROR(ARRAYFORMULA(VLOOKUP(TRIM(SPLIT('Final Report'!A622, "","")), 'URL Details'!A:D, 4, FALSE)),"""") ), CHAR(10), """&amp;",""), ""\s*,\s*"", "",""), "","")))&lt;&gt;"""" ) ) ) ),"""")
"),"")</f>
        <v/>
      </c>
      <c r="D622" s="105"/>
      <c r="E622" s="105"/>
      <c r="F622" s="110" t="b">
        <v>0</v>
      </c>
      <c r="G622" s="105" t="str">
        <f>IF(F622=True, IFERROR(VLOOKUP(D622, Repository!A:B, 2, 0), ""), "")</f>
        <v/>
      </c>
      <c r="H622" s="105"/>
      <c r="I622" s="105"/>
      <c r="J622" s="105" t="str">
        <f>IF(F622=True, IFERROR(VLOOKUP(D622, Repository!A:C, 3, 0), ""), "")</f>
        <v/>
      </c>
      <c r="K622" s="105"/>
      <c r="L622" s="105" t="str">
        <f>IF(F622=True, IFERROR(VLOOKUP(D622, Repository!A:E, 5, 0), ""), "")</f>
        <v/>
      </c>
      <c r="M622" s="105"/>
      <c r="N622" s="105" t="str">
        <f>IF(F622=True, IFERROR(VLOOKUP(D622, Repository!A:G, 7, 0), ""), "")</f>
        <v/>
      </c>
      <c r="O622" s="105" t="str">
        <f>IFERROR(__xludf.DUMMYFUNCTION("ARRAY_CONSTRAIN(
  ARRAYFORMULA(
    IFERROR(
      LET(
        list, N622,
        arr, TRIM(SPLIT(list, "","")),
        names, XLOOKUP(
          arr,
          'Conformance Score'!A:A,
          'Conformance Score'!B:B,
          ""Not found""
      "&amp;"  ),
        TEXTJOIN("", "", TRUE, names)
      ),
      """"
    )
  ),
  1,
  1
)
"),"")</f>
        <v/>
      </c>
      <c r="P622" s="105" t="str">
        <f>IF(F622="Yes", IFERROR(VLOOKUP(D622, Repository!A:F, 6, 0), ""), "")</f>
        <v/>
      </c>
      <c r="Q622" s="105" t="str">
        <f>IF(F622="Yes", IFERROR(VLOOKUP(D622, Repository!A:I, 8, 0), ""), "")</f>
        <v/>
      </c>
      <c r="R622" s="105" t="str">
        <f>IF(F622="Yes", IFERROR(VLOOKUP(D622, Repository!A:J, 9, 0), ""), "")</f>
        <v/>
      </c>
      <c r="S622" s="105"/>
      <c r="T622" s="105"/>
      <c r="U622" s="105"/>
      <c r="V622" s="105"/>
      <c r="W622" s="105"/>
      <c r="X622" s="105"/>
      <c r="Y622" s="105"/>
      <c r="Z622" s="105"/>
      <c r="AA622" s="105"/>
      <c r="AB622" s="105"/>
      <c r="AC622" s="91"/>
      <c r="AD622" s="105"/>
      <c r="AE622" s="105"/>
      <c r="AF622" s="91"/>
      <c r="AG622" s="105"/>
      <c r="AH622" s="105"/>
      <c r="AI622" s="105" t="str">
        <f t="shared" si="1"/>
        <v/>
      </c>
      <c r="AJ622" s="108" t="str">
        <f t="shared" si="2"/>
        <v/>
      </c>
    </row>
    <row r="623" ht="15.75" customHeight="1">
      <c r="A623" s="104"/>
      <c r="B623" s="105" t="str">
        <f>IFERROR(__xludf.DUMMYFUNCTION("ARRAY_CONSTRAIN(
  ARRAYFORMULA(
    IF(
      'Final Report'!A623="""",
      """",
      TEXTJOIN(
        "", "" &amp; CHAR(10),
        TRUE,
        IFERROR(
          VLOOKUP(
            TRIM(
              SPLIT('Final Report'!A623, "","")
           "&amp;" ),
            'URL Details'!A:B,
            2,
            FALSE
          ),
          """"
        )
      )
    )
  ),
  1,
  1
)
"),"")</f>
        <v/>
      </c>
      <c r="C623" s="105" t="str">
        <f>IFERROR(__xludf.DUMMYFUNCTION("IFERROR(IF('Final Report'!A623="""","""", TEXTJOIN(CHAR(10), TRUE, ARRAYFORMULA( ""• ""&amp; FILTER( TRIM(FLATTEN(SPLIT( REGEXREPLACE( SUBSTITUTE(TEXTJOIN("","", TRUE, IFERROR(ARRAYFORMULA(VLOOKUP(TRIM(SPLIT('Final Report'!A623, "","")), 'URL Details'!A:D, 4,"&amp;" FALSE)),"""") ), CHAR(10), "",""), ""\s*,\s*"", "",""), "",""))), TRIM(FLATTEN(SPLIT( REGEXREPLACE( SUBSTITUTE(TEXTJOIN("","", TRUE, IFERROR(ARRAYFORMULA(VLOOKUP(TRIM(SPLIT('Final Report'!A623, "","")), 'URL Details'!A:D, 4, FALSE)),"""") ), CHAR(10), """&amp;",""), ""\s*,\s*"", "",""), "","")))&lt;&gt;"""" ) ) ) ),"""")
"),"")</f>
        <v/>
      </c>
      <c r="D623" s="105"/>
      <c r="E623" s="105"/>
      <c r="F623" s="110" t="b">
        <v>0</v>
      </c>
      <c r="G623" s="105" t="str">
        <f>IF(F623=True, IFERROR(VLOOKUP(D623, Repository!A:B, 2, 0), ""), "")</f>
        <v/>
      </c>
      <c r="H623" s="105"/>
      <c r="I623" s="105"/>
      <c r="J623" s="105" t="str">
        <f>IF(F623=True, IFERROR(VLOOKUP(D623, Repository!A:C, 3, 0), ""), "")</f>
        <v/>
      </c>
      <c r="K623" s="105"/>
      <c r="L623" s="105" t="str">
        <f>IF(F623=True, IFERROR(VLOOKUP(D623, Repository!A:E, 5, 0), ""), "")</f>
        <v/>
      </c>
      <c r="M623" s="105"/>
      <c r="N623" s="105" t="str">
        <f>IF(F623=True, IFERROR(VLOOKUP(D623, Repository!A:G, 7, 0), ""), "")</f>
        <v/>
      </c>
      <c r="O623" s="105" t="str">
        <f>IFERROR(__xludf.DUMMYFUNCTION("ARRAY_CONSTRAIN(
  ARRAYFORMULA(
    IFERROR(
      LET(
        list, N623,
        arr, TRIM(SPLIT(list, "","")),
        names, XLOOKUP(
          arr,
          'Conformance Score'!A:A,
          'Conformance Score'!B:B,
          ""Not found""
      "&amp;"  ),
        TEXTJOIN("", "", TRUE, names)
      ),
      """"
    )
  ),
  1,
  1
)
"),"")</f>
        <v/>
      </c>
      <c r="P623" s="105" t="str">
        <f>IF(F623="Yes", IFERROR(VLOOKUP(D623, Repository!A:F, 6, 0), ""), "")</f>
        <v/>
      </c>
      <c r="Q623" s="105" t="str">
        <f>IF(F623="Yes", IFERROR(VLOOKUP(D623, Repository!A:I, 8, 0), ""), "")</f>
        <v/>
      </c>
      <c r="R623" s="105" t="str">
        <f>IF(F623="Yes", IFERROR(VLOOKUP(D623, Repository!A:J, 9, 0), ""), "")</f>
        <v/>
      </c>
      <c r="S623" s="105"/>
      <c r="T623" s="105"/>
      <c r="U623" s="105"/>
      <c r="V623" s="105"/>
      <c r="W623" s="105"/>
      <c r="X623" s="105"/>
      <c r="Y623" s="105"/>
      <c r="Z623" s="105"/>
      <c r="AA623" s="105"/>
      <c r="AB623" s="105"/>
      <c r="AC623" s="91"/>
      <c r="AD623" s="105"/>
      <c r="AE623" s="105"/>
      <c r="AF623" s="91"/>
      <c r="AG623" s="105"/>
      <c r="AH623" s="105"/>
      <c r="AI623" s="105" t="str">
        <f t="shared" si="1"/>
        <v/>
      </c>
      <c r="AJ623" s="108" t="str">
        <f t="shared" si="2"/>
        <v/>
      </c>
    </row>
    <row r="624" ht="15.75" customHeight="1">
      <c r="A624" s="104"/>
      <c r="B624" s="105" t="str">
        <f>IFERROR(__xludf.DUMMYFUNCTION("ARRAY_CONSTRAIN(
  ARRAYFORMULA(
    IF(
      'Final Report'!A624="""",
      """",
      TEXTJOIN(
        "", "" &amp; CHAR(10),
        TRUE,
        IFERROR(
          VLOOKUP(
            TRIM(
              SPLIT('Final Report'!A624, "","")
           "&amp;" ),
            'URL Details'!A:B,
            2,
            FALSE
          ),
          """"
        )
      )
    )
  ),
  1,
  1
)
"),"")</f>
        <v/>
      </c>
      <c r="C624" s="105" t="str">
        <f>IFERROR(__xludf.DUMMYFUNCTION("IFERROR(IF('Final Report'!A624="""","""", TEXTJOIN(CHAR(10), TRUE, ARRAYFORMULA( ""• ""&amp; FILTER( TRIM(FLATTEN(SPLIT( REGEXREPLACE( SUBSTITUTE(TEXTJOIN("","", TRUE, IFERROR(ARRAYFORMULA(VLOOKUP(TRIM(SPLIT('Final Report'!A624, "","")), 'URL Details'!A:D, 4,"&amp;" FALSE)),"""") ), CHAR(10), "",""), ""\s*,\s*"", "",""), "",""))), TRIM(FLATTEN(SPLIT( REGEXREPLACE( SUBSTITUTE(TEXTJOIN("","", TRUE, IFERROR(ARRAYFORMULA(VLOOKUP(TRIM(SPLIT('Final Report'!A624, "","")), 'URL Details'!A:D, 4, FALSE)),"""") ), CHAR(10), """&amp;",""), ""\s*,\s*"", "",""), "","")))&lt;&gt;"""" ) ) ) ),"""")
"),"")</f>
        <v/>
      </c>
      <c r="D624" s="105"/>
      <c r="E624" s="105"/>
      <c r="F624" s="110" t="b">
        <v>0</v>
      </c>
      <c r="G624" s="105" t="str">
        <f>IF(F624=True, IFERROR(VLOOKUP(D624, Repository!A:B, 2, 0), ""), "")</f>
        <v/>
      </c>
      <c r="H624" s="105"/>
      <c r="I624" s="105"/>
      <c r="J624" s="105" t="str">
        <f>IF(F624=True, IFERROR(VLOOKUP(D624, Repository!A:C, 3, 0), ""), "")</f>
        <v/>
      </c>
      <c r="K624" s="105"/>
      <c r="L624" s="105" t="str">
        <f>IF(F624=True, IFERROR(VLOOKUP(D624, Repository!A:E, 5, 0), ""), "")</f>
        <v/>
      </c>
      <c r="M624" s="105"/>
      <c r="N624" s="105" t="str">
        <f>IF(F624=True, IFERROR(VLOOKUP(D624, Repository!A:G, 7, 0), ""), "")</f>
        <v/>
      </c>
      <c r="O624" s="105" t="str">
        <f>IFERROR(__xludf.DUMMYFUNCTION("ARRAY_CONSTRAIN(
  ARRAYFORMULA(
    IFERROR(
      LET(
        list, N624,
        arr, TRIM(SPLIT(list, "","")),
        names, XLOOKUP(
          arr,
          'Conformance Score'!A:A,
          'Conformance Score'!B:B,
          ""Not found""
      "&amp;"  ),
        TEXTJOIN("", "", TRUE, names)
      ),
      """"
    )
  ),
  1,
  1
)
"),"")</f>
        <v/>
      </c>
      <c r="P624" s="105" t="str">
        <f>IF(F624="Yes", IFERROR(VLOOKUP(D624, Repository!A:F, 6, 0), ""), "")</f>
        <v/>
      </c>
      <c r="Q624" s="105" t="str">
        <f>IF(F624="Yes", IFERROR(VLOOKUP(D624, Repository!A:I, 8, 0), ""), "")</f>
        <v/>
      </c>
      <c r="R624" s="105" t="str">
        <f>IF(F624="Yes", IFERROR(VLOOKUP(D624, Repository!A:J, 9, 0), ""), "")</f>
        <v/>
      </c>
      <c r="S624" s="105"/>
      <c r="T624" s="105"/>
      <c r="U624" s="105"/>
      <c r="V624" s="105"/>
      <c r="W624" s="105"/>
      <c r="X624" s="105"/>
      <c r="Y624" s="105"/>
      <c r="Z624" s="105"/>
      <c r="AA624" s="105"/>
      <c r="AB624" s="105"/>
      <c r="AC624" s="91"/>
      <c r="AD624" s="105"/>
      <c r="AE624" s="105"/>
      <c r="AF624" s="91"/>
      <c r="AG624" s="105"/>
      <c r="AH624" s="105"/>
      <c r="AI624" s="105" t="str">
        <f t="shared" si="1"/>
        <v/>
      </c>
      <c r="AJ624" s="108" t="str">
        <f t="shared" si="2"/>
        <v/>
      </c>
    </row>
    <row r="625" ht="15.75" customHeight="1">
      <c r="A625" s="104"/>
      <c r="B625" s="105" t="str">
        <f>IFERROR(__xludf.DUMMYFUNCTION("ARRAY_CONSTRAIN(
  ARRAYFORMULA(
    IF(
      'Final Report'!A625="""",
      """",
      TEXTJOIN(
        "", "" &amp; CHAR(10),
        TRUE,
        IFERROR(
          VLOOKUP(
            TRIM(
              SPLIT('Final Report'!A625, "","")
           "&amp;" ),
            'URL Details'!A:B,
            2,
            FALSE
          ),
          """"
        )
      )
    )
  ),
  1,
  1
)
"),"")</f>
        <v/>
      </c>
      <c r="C625" s="105" t="str">
        <f>IFERROR(__xludf.DUMMYFUNCTION("IFERROR(IF('Final Report'!A625="""","""", TEXTJOIN(CHAR(10), TRUE, ARRAYFORMULA( ""• ""&amp; FILTER( TRIM(FLATTEN(SPLIT( REGEXREPLACE( SUBSTITUTE(TEXTJOIN("","", TRUE, IFERROR(ARRAYFORMULA(VLOOKUP(TRIM(SPLIT('Final Report'!A625, "","")), 'URL Details'!A:D, 4,"&amp;" FALSE)),"""") ), CHAR(10), "",""), ""\s*,\s*"", "",""), "",""))), TRIM(FLATTEN(SPLIT( REGEXREPLACE( SUBSTITUTE(TEXTJOIN("","", TRUE, IFERROR(ARRAYFORMULA(VLOOKUP(TRIM(SPLIT('Final Report'!A625, "","")), 'URL Details'!A:D, 4, FALSE)),"""") ), CHAR(10), """&amp;",""), ""\s*,\s*"", "",""), "","")))&lt;&gt;"""" ) ) ) ),"""")
"),"")</f>
        <v/>
      </c>
      <c r="D625" s="105"/>
      <c r="E625" s="105"/>
      <c r="F625" s="110" t="b">
        <v>0</v>
      </c>
      <c r="G625" s="105" t="str">
        <f>IF(F625=True, IFERROR(VLOOKUP(D625, Repository!A:B, 2, 0), ""), "")</f>
        <v/>
      </c>
      <c r="H625" s="105"/>
      <c r="I625" s="105"/>
      <c r="J625" s="105" t="str">
        <f>IF(F625=True, IFERROR(VLOOKUP(D625, Repository!A:C, 3, 0), ""), "")</f>
        <v/>
      </c>
      <c r="K625" s="105"/>
      <c r="L625" s="105" t="str">
        <f>IF(F625=True, IFERROR(VLOOKUP(D625, Repository!A:E, 5, 0), ""), "")</f>
        <v/>
      </c>
      <c r="M625" s="105"/>
      <c r="N625" s="105" t="str">
        <f>IF(F625=True, IFERROR(VLOOKUP(D625, Repository!A:G, 7, 0), ""), "")</f>
        <v/>
      </c>
      <c r="O625" s="105" t="str">
        <f>IFERROR(__xludf.DUMMYFUNCTION("ARRAY_CONSTRAIN(
  ARRAYFORMULA(
    IFERROR(
      LET(
        list, N625,
        arr, TRIM(SPLIT(list, "","")),
        names, XLOOKUP(
          arr,
          'Conformance Score'!A:A,
          'Conformance Score'!B:B,
          ""Not found""
      "&amp;"  ),
        TEXTJOIN("", "", TRUE, names)
      ),
      """"
    )
  ),
  1,
  1
)
"),"")</f>
        <v/>
      </c>
      <c r="P625" s="105" t="str">
        <f>IF(F625="Yes", IFERROR(VLOOKUP(D625, Repository!A:F, 6, 0), ""), "")</f>
        <v/>
      </c>
      <c r="Q625" s="105" t="str">
        <f>IF(F625="Yes", IFERROR(VLOOKUP(D625, Repository!A:I, 8, 0), ""), "")</f>
        <v/>
      </c>
      <c r="R625" s="105" t="str">
        <f>IF(F625="Yes", IFERROR(VLOOKUP(D625, Repository!A:J, 9, 0), ""), "")</f>
        <v/>
      </c>
      <c r="S625" s="105"/>
      <c r="T625" s="105"/>
      <c r="U625" s="105"/>
      <c r="V625" s="105"/>
      <c r="W625" s="105"/>
      <c r="X625" s="105"/>
      <c r="Y625" s="105"/>
      <c r="Z625" s="105"/>
      <c r="AA625" s="105"/>
      <c r="AB625" s="105"/>
      <c r="AC625" s="91"/>
      <c r="AD625" s="105"/>
      <c r="AE625" s="105"/>
      <c r="AF625" s="91"/>
      <c r="AG625" s="105"/>
      <c r="AH625" s="105"/>
      <c r="AI625" s="105" t="str">
        <f t="shared" si="1"/>
        <v/>
      </c>
      <c r="AJ625" s="108" t="str">
        <f t="shared" si="2"/>
        <v/>
      </c>
    </row>
    <row r="626" ht="15.75" customHeight="1">
      <c r="A626" s="104"/>
      <c r="B626" s="105" t="str">
        <f>IFERROR(__xludf.DUMMYFUNCTION("ARRAY_CONSTRAIN(
  ARRAYFORMULA(
    IF(
      'Final Report'!A626="""",
      """",
      TEXTJOIN(
        "", "" &amp; CHAR(10),
        TRUE,
        IFERROR(
          VLOOKUP(
            TRIM(
              SPLIT('Final Report'!A626, "","")
           "&amp;" ),
            'URL Details'!A:B,
            2,
            FALSE
          ),
          """"
        )
      )
    )
  ),
  1,
  1
)
"),"")</f>
        <v/>
      </c>
      <c r="C626" s="105" t="str">
        <f>IFERROR(__xludf.DUMMYFUNCTION("IFERROR(IF('Final Report'!A626="""","""", TEXTJOIN(CHAR(10), TRUE, ARRAYFORMULA( ""• ""&amp; FILTER( TRIM(FLATTEN(SPLIT( REGEXREPLACE( SUBSTITUTE(TEXTJOIN("","", TRUE, IFERROR(ARRAYFORMULA(VLOOKUP(TRIM(SPLIT('Final Report'!A626, "","")), 'URL Details'!A:D, 4,"&amp;" FALSE)),"""") ), CHAR(10), "",""), ""\s*,\s*"", "",""), "",""))), TRIM(FLATTEN(SPLIT( REGEXREPLACE( SUBSTITUTE(TEXTJOIN("","", TRUE, IFERROR(ARRAYFORMULA(VLOOKUP(TRIM(SPLIT('Final Report'!A626, "","")), 'URL Details'!A:D, 4, FALSE)),"""") ), CHAR(10), """&amp;",""), ""\s*,\s*"", "",""), "","")))&lt;&gt;"""" ) ) ) ),"""")
"),"")</f>
        <v/>
      </c>
      <c r="D626" s="105"/>
      <c r="E626" s="105"/>
      <c r="F626" s="110" t="b">
        <v>0</v>
      </c>
      <c r="G626" s="105" t="str">
        <f>IF(F626=True, IFERROR(VLOOKUP(D626, Repository!A:B, 2, 0), ""), "")</f>
        <v/>
      </c>
      <c r="H626" s="105"/>
      <c r="I626" s="105"/>
      <c r="J626" s="105" t="str">
        <f>IF(F626=True, IFERROR(VLOOKUP(D626, Repository!A:C, 3, 0), ""), "")</f>
        <v/>
      </c>
      <c r="K626" s="105"/>
      <c r="L626" s="105" t="str">
        <f>IF(F626=True, IFERROR(VLOOKUP(D626, Repository!A:E, 5, 0), ""), "")</f>
        <v/>
      </c>
      <c r="M626" s="105"/>
      <c r="N626" s="105" t="str">
        <f>IF(F626=True, IFERROR(VLOOKUP(D626, Repository!A:G, 7, 0), ""), "")</f>
        <v/>
      </c>
      <c r="O626" s="105" t="str">
        <f>IFERROR(__xludf.DUMMYFUNCTION("ARRAY_CONSTRAIN(
  ARRAYFORMULA(
    IFERROR(
      LET(
        list, N626,
        arr, TRIM(SPLIT(list, "","")),
        names, XLOOKUP(
          arr,
          'Conformance Score'!A:A,
          'Conformance Score'!B:B,
          ""Not found""
      "&amp;"  ),
        TEXTJOIN("", "", TRUE, names)
      ),
      """"
    )
  ),
  1,
  1
)
"),"")</f>
        <v/>
      </c>
      <c r="P626" s="105" t="str">
        <f>IF(F626="Yes", IFERROR(VLOOKUP(D626, Repository!A:F, 6, 0), ""), "")</f>
        <v/>
      </c>
      <c r="Q626" s="105" t="str">
        <f>IF(F626="Yes", IFERROR(VLOOKUP(D626, Repository!A:I, 8, 0), ""), "")</f>
        <v/>
      </c>
      <c r="R626" s="105" t="str">
        <f>IF(F626="Yes", IFERROR(VLOOKUP(D626, Repository!A:J, 9, 0), ""), "")</f>
        <v/>
      </c>
      <c r="S626" s="105"/>
      <c r="T626" s="105"/>
      <c r="U626" s="105"/>
      <c r="V626" s="105"/>
      <c r="W626" s="105"/>
      <c r="X626" s="105"/>
      <c r="Y626" s="105"/>
      <c r="Z626" s="105"/>
      <c r="AA626" s="105"/>
      <c r="AB626" s="105"/>
      <c r="AC626" s="91"/>
      <c r="AD626" s="105"/>
      <c r="AE626" s="105"/>
      <c r="AF626" s="91"/>
      <c r="AG626" s="105"/>
      <c r="AH626" s="105"/>
      <c r="AI626" s="105" t="str">
        <f t="shared" si="1"/>
        <v/>
      </c>
      <c r="AJ626" s="108" t="str">
        <f t="shared" si="2"/>
        <v/>
      </c>
    </row>
    <row r="627" ht="15.75" customHeight="1">
      <c r="A627" s="104"/>
      <c r="B627" s="105" t="str">
        <f>IFERROR(__xludf.DUMMYFUNCTION("ARRAY_CONSTRAIN(
  ARRAYFORMULA(
    IF(
      'Final Report'!A627="""",
      """",
      TEXTJOIN(
        "", "" &amp; CHAR(10),
        TRUE,
        IFERROR(
          VLOOKUP(
            TRIM(
              SPLIT('Final Report'!A627, "","")
           "&amp;" ),
            'URL Details'!A:B,
            2,
            FALSE
          ),
          """"
        )
      )
    )
  ),
  1,
  1
)
"),"")</f>
        <v/>
      </c>
      <c r="C627" s="105" t="str">
        <f>IFERROR(__xludf.DUMMYFUNCTION("IFERROR(IF('Final Report'!A627="""","""", TEXTJOIN(CHAR(10), TRUE, ARRAYFORMULA( ""• ""&amp; FILTER( TRIM(FLATTEN(SPLIT( REGEXREPLACE( SUBSTITUTE(TEXTJOIN("","", TRUE, IFERROR(ARRAYFORMULA(VLOOKUP(TRIM(SPLIT('Final Report'!A627, "","")), 'URL Details'!A:D, 4,"&amp;" FALSE)),"""") ), CHAR(10), "",""), ""\s*,\s*"", "",""), "",""))), TRIM(FLATTEN(SPLIT( REGEXREPLACE( SUBSTITUTE(TEXTJOIN("","", TRUE, IFERROR(ARRAYFORMULA(VLOOKUP(TRIM(SPLIT('Final Report'!A627, "","")), 'URL Details'!A:D, 4, FALSE)),"""") ), CHAR(10), """&amp;",""), ""\s*,\s*"", "",""), "","")))&lt;&gt;"""" ) ) ) ),"""")
"),"")</f>
        <v/>
      </c>
      <c r="D627" s="105"/>
      <c r="E627" s="105"/>
      <c r="F627" s="110" t="b">
        <v>0</v>
      </c>
      <c r="G627" s="105" t="str">
        <f>IF(F627=True, IFERROR(VLOOKUP(D627, Repository!A:B, 2, 0), ""), "")</f>
        <v/>
      </c>
      <c r="H627" s="105"/>
      <c r="I627" s="105"/>
      <c r="J627" s="105" t="str">
        <f>IF(F627=True, IFERROR(VLOOKUP(D627, Repository!A:C, 3, 0), ""), "")</f>
        <v/>
      </c>
      <c r="K627" s="105"/>
      <c r="L627" s="105" t="str">
        <f>IF(F627=True, IFERROR(VLOOKUP(D627, Repository!A:E, 5, 0), ""), "")</f>
        <v/>
      </c>
      <c r="M627" s="105"/>
      <c r="N627" s="105" t="str">
        <f>IF(F627=True, IFERROR(VLOOKUP(D627, Repository!A:G, 7, 0), ""), "")</f>
        <v/>
      </c>
      <c r="O627" s="105" t="str">
        <f>IFERROR(__xludf.DUMMYFUNCTION("ARRAY_CONSTRAIN(
  ARRAYFORMULA(
    IFERROR(
      LET(
        list, N627,
        arr, TRIM(SPLIT(list, "","")),
        names, XLOOKUP(
          arr,
          'Conformance Score'!A:A,
          'Conformance Score'!B:B,
          ""Not found""
      "&amp;"  ),
        TEXTJOIN("", "", TRUE, names)
      ),
      """"
    )
  ),
  1,
  1
)
"),"")</f>
        <v/>
      </c>
      <c r="P627" s="105" t="str">
        <f>IF(F627="Yes", IFERROR(VLOOKUP(D627, Repository!A:F, 6, 0), ""), "")</f>
        <v/>
      </c>
      <c r="Q627" s="105" t="str">
        <f>IF(F627="Yes", IFERROR(VLOOKUP(D627, Repository!A:I, 8, 0), ""), "")</f>
        <v/>
      </c>
      <c r="R627" s="105" t="str">
        <f>IF(F627="Yes", IFERROR(VLOOKUP(D627, Repository!A:J, 9, 0), ""), "")</f>
        <v/>
      </c>
      <c r="S627" s="105"/>
      <c r="T627" s="105"/>
      <c r="U627" s="105"/>
      <c r="V627" s="105"/>
      <c r="W627" s="105"/>
      <c r="X627" s="105"/>
      <c r="Y627" s="105"/>
      <c r="Z627" s="105"/>
      <c r="AA627" s="105"/>
      <c r="AB627" s="105"/>
      <c r="AC627" s="91"/>
      <c r="AD627" s="105"/>
      <c r="AE627" s="105"/>
      <c r="AF627" s="91"/>
      <c r="AG627" s="105"/>
      <c r="AH627" s="105"/>
      <c r="AI627" s="105" t="str">
        <f t="shared" si="1"/>
        <v/>
      </c>
      <c r="AJ627" s="108" t="str">
        <f t="shared" si="2"/>
        <v/>
      </c>
    </row>
    <row r="628" ht="15.75" customHeight="1">
      <c r="A628" s="104"/>
      <c r="B628" s="105" t="str">
        <f>IFERROR(__xludf.DUMMYFUNCTION("ARRAY_CONSTRAIN(
  ARRAYFORMULA(
    IF(
      'Final Report'!A628="""",
      """",
      TEXTJOIN(
        "", "" &amp; CHAR(10),
        TRUE,
        IFERROR(
          VLOOKUP(
            TRIM(
              SPLIT('Final Report'!A628, "","")
           "&amp;" ),
            'URL Details'!A:B,
            2,
            FALSE
          ),
          """"
        )
      )
    )
  ),
  1,
  1
)
"),"")</f>
        <v/>
      </c>
      <c r="C628" s="105" t="str">
        <f>IFERROR(__xludf.DUMMYFUNCTION("IFERROR(IF('Final Report'!A628="""","""", TEXTJOIN(CHAR(10), TRUE, ARRAYFORMULA( ""• ""&amp; FILTER( TRIM(FLATTEN(SPLIT( REGEXREPLACE( SUBSTITUTE(TEXTJOIN("","", TRUE, IFERROR(ARRAYFORMULA(VLOOKUP(TRIM(SPLIT('Final Report'!A628, "","")), 'URL Details'!A:D, 4,"&amp;" FALSE)),"""") ), CHAR(10), "",""), ""\s*,\s*"", "",""), "",""))), TRIM(FLATTEN(SPLIT( REGEXREPLACE( SUBSTITUTE(TEXTJOIN("","", TRUE, IFERROR(ARRAYFORMULA(VLOOKUP(TRIM(SPLIT('Final Report'!A628, "","")), 'URL Details'!A:D, 4, FALSE)),"""") ), CHAR(10), """&amp;",""), ""\s*,\s*"", "",""), "","")))&lt;&gt;"""" ) ) ) ),"""")
"),"")</f>
        <v/>
      </c>
      <c r="D628" s="105"/>
      <c r="E628" s="105"/>
      <c r="F628" s="110" t="b">
        <v>0</v>
      </c>
      <c r="G628" s="105" t="str">
        <f>IF(F628=True, IFERROR(VLOOKUP(D628, Repository!A:B, 2, 0), ""), "")</f>
        <v/>
      </c>
      <c r="H628" s="105"/>
      <c r="I628" s="105"/>
      <c r="J628" s="105" t="str">
        <f>IF(F628=True, IFERROR(VLOOKUP(D628, Repository!A:C, 3, 0), ""), "")</f>
        <v/>
      </c>
      <c r="K628" s="105"/>
      <c r="L628" s="105" t="str">
        <f>IF(F628=True, IFERROR(VLOOKUP(D628, Repository!A:E, 5, 0), ""), "")</f>
        <v/>
      </c>
      <c r="M628" s="105"/>
      <c r="N628" s="105" t="str">
        <f>IF(F628=True, IFERROR(VLOOKUP(D628, Repository!A:G, 7, 0), ""), "")</f>
        <v/>
      </c>
      <c r="O628" s="105" t="str">
        <f>IFERROR(__xludf.DUMMYFUNCTION("ARRAY_CONSTRAIN(
  ARRAYFORMULA(
    IFERROR(
      LET(
        list, N628,
        arr, TRIM(SPLIT(list, "","")),
        names, XLOOKUP(
          arr,
          'Conformance Score'!A:A,
          'Conformance Score'!B:B,
          ""Not found""
      "&amp;"  ),
        TEXTJOIN("", "", TRUE, names)
      ),
      """"
    )
  ),
  1,
  1
)
"),"")</f>
        <v/>
      </c>
      <c r="P628" s="105" t="str">
        <f>IF(F628="Yes", IFERROR(VLOOKUP(D628, Repository!A:F, 6, 0), ""), "")</f>
        <v/>
      </c>
      <c r="Q628" s="105" t="str">
        <f>IF(F628="Yes", IFERROR(VLOOKUP(D628, Repository!A:I, 8, 0), ""), "")</f>
        <v/>
      </c>
      <c r="R628" s="105" t="str">
        <f>IF(F628="Yes", IFERROR(VLOOKUP(D628, Repository!A:J, 9, 0), ""), "")</f>
        <v/>
      </c>
      <c r="S628" s="105"/>
      <c r="T628" s="105"/>
      <c r="U628" s="105"/>
      <c r="V628" s="105"/>
      <c r="W628" s="105"/>
      <c r="X628" s="105"/>
      <c r="Y628" s="105"/>
      <c r="Z628" s="105"/>
      <c r="AA628" s="105"/>
      <c r="AB628" s="105"/>
      <c r="AC628" s="91"/>
      <c r="AD628" s="105"/>
      <c r="AE628" s="105"/>
      <c r="AF628" s="91"/>
      <c r="AG628" s="105"/>
      <c r="AH628" s="105"/>
      <c r="AI628" s="105" t="str">
        <f t="shared" si="1"/>
        <v/>
      </c>
      <c r="AJ628" s="108" t="str">
        <f t="shared" si="2"/>
        <v/>
      </c>
    </row>
    <row r="629" ht="15.75" customHeight="1">
      <c r="A629" s="104"/>
      <c r="B629" s="105" t="str">
        <f>IFERROR(__xludf.DUMMYFUNCTION("ARRAY_CONSTRAIN(
  ARRAYFORMULA(
    IF(
      'Final Report'!A629="""",
      """",
      TEXTJOIN(
        "", "" &amp; CHAR(10),
        TRUE,
        IFERROR(
          VLOOKUP(
            TRIM(
              SPLIT('Final Report'!A629, "","")
           "&amp;" ),
            'URL Details'!A:B,
            2,
            FALSE
          ),
          """"
        )
      )
    )
  ),
  1,
  1
)
"),"")</f>
        <v/>
      </c>
      <c r="C629" s="105" t="str">
        <f>IFERROR(__xludf.DUMMYFUNCTION("IFERROR(IF('Final Report'!A629="""","""", TEXTJOIN(CHAR(10), TRUE, ARRAYFORMULA( ""• ""&amp; FILTER( TRIM(FLATTEN(SPLIT( REGEXREPLACE( SUBSTITUTE(TEXTJOIN("","", TRUE, IFERROR(ARRAYFORMULA(VLOOKUP(TRIM(SPLIT('Final Report'!A629, "","")), 'URL Details'!A:D, 4,"&amp;" FALSE)),"""") ), CHAR(10), "",""), ""\s*,\s*"", "",""), "",""))), TRIM(FLATTEN(SPLIT( REGEXREPLACE( SUBSTITUTE(TEXTJOIN("","", TRUE, IFERROR(ARRAYFORMULA(VLOOKUP(TRIM(SPLIT('Final Report'!A629, "","")), 'URL Details'!A:D, 4, FALSE)),"""") ), CHAR(10), """&amp;",""), ""\s*,\s*"", "",""), "","")))&lt;&gt;"""" ) ) ) ),"""")
"),"")</f>
        <v/>
      </c>
      <c r="D629" s="105"/>
      <c r="E629" s="105"/>
      <c r="F629" s="110" t="b">
        <v>0</v>
      </c>
      <c r="G629" s="105" t="str">
        <f>IF(F629=True, IFERROR(VLOOKUP(D629, Repository!A:B, 2, 0), ""), "")</f>
        <v/>
      </c>
      <c r="H629" s="105"/>
      <c r="I629" s="105"/>
      <c r="J629" s="105" t="str">
        <f>IF(F629=True, IFERROR(VLOOKUP(D629, Repository!A:C, 3, 0), ""), "")</f>
        <v/>
      </c>
      <c r="K629" s="105"/>
      <c r="L629" s="105" t="str">
        <f>IF(F629=True, IFERROR(VLOOKUP(D629, Repository!A:E, 5, 0), ""), "")</f>
        <v/>
      </c>
      <c r="M629" s="105"/>
      <c r="N629" s="105" t="str">
        <f>IF(F629=True, IFERROR(VLOOKUP(D629, Repository!A:G, 7, 0), ""), "")</f>
        <v/>
      </c>
      <c r="O629" s="105" t="str">
        <f>IFERROR(__xludf.DUMMYFUNCTION("ARRAY_CONSTRAIN(
  ARRAYFORMULA(
    IFERROR(
      LET(
        list, N629,
        arr, TRIM(SPLIT(list, "","")),
        names, XLOOKUP(
          arr,
          'Conformance Score'!A:A,
          'Conformance Score'!B:B,
          ""Not found""
      "&amp;"  ),
        TEXTJOIN("", "", TRUE, names)
      ),
      """"
    )
  ),
  1,
  1
)
"),"")</f>
        <v/>
      </c>
      <c r="P629" s="105" t="str">
        <f>IF(F629="Yes", IFERROR(VLOOKUP(D629, Repository!A:F, 6, 0), ""), "")</f>
        <v/>
      </c>
      <c r="Q629" s="105" t="str">
        <f>IF(F629="Yes", IFERROR(VLOOKUP(D629, Repository!A:I, 8, 0), ""), "")</f>
        <v/>
      </c>
      <c r="R629" s="105" t="str">
        <f>IF(F629="Yes", IFERROR(VLOOKUP(D629, Repository!A:J, 9, 0), ""), "")</f>
        <v/>
      </c>
      <c r="S629" s="105"/>
      <c r="T629" s="105"/>
      <c r="U629" s="105"/>
      <c r="V629" s="105"/>
      <c r="W629" s="105"/>
      <c r="X629" s="105"/>
      <c r="Y629" s="105"/>
      <c r="Z629" s="105"/>
      <c r="AA629" s="105"/>
      <c r="AB629" s="105"/>
      <c r="AC629" s="91"/>
      <c r="AD629" s="105"/>
      <c r="AE629" s="105"/>
      <c r="AF629" s="91"/>
      <c r="AG629" s="105"/>
      <c r="AH629" s="105"/>
      <c r="AI629" s="105" t="str">
        <f t="shared" si="1"/>
        <v/>
      </c>
      <c r="AJ629" s="108" t="str">
        <f t="shared" si="2"/>
        <v/>
      </c>
    </row>
    <row r="630" ht="15.75" customHeight="1">
      <c r="A630" s="104"/>
      <c r="B630" s="105" t="str">
        <f>IFERROR(__xludf.DUMMYFUNCTION("ARRAY_CONSTRAIN(
  ARRAYFORMULA(
    IF(
      'Final Report'!A630="""",
      """",
      TEXTJOIN(
        "", "" &amp; CHAR(10),
        TRUE,
        IFERROR(
          VLOOKUP(
            TRIM(
              SPLIT('Final Report'!A630, "","")
           "&amp;" ),
            'URL Details'!A:B,
            2,
            FALSE
          ),
          """"
        )
      )
    )
  ),
  1,
  1
)
"),"")</f>
        <v/>
      </c>
      <c r="C630" s="105" t="str">
        <f>IFERROR(__xludf.DUMMYFUNCTION("IFERROR(IF('Final Report'!A630="""","""", TEXTJOIN(CHAR(10), TRUE, ARRAYFORMULA( ""• ""&amp; FILTER( TRIM(FLATTEN(SPLIT( REGEXREPLACE( SUBSTITUTE(TEXTJOIN("","", TRUE, IFERROR(ARRAYFORMULA(VLOOKUP(TRIM(SPLIT('Final Report'!A630, "","")), 'URL Details'!A:D, 4,"&amp;" FALSE)),"""") ), CHAR(10), "",""), ""\s*,\s*"", "",""), "",""))), TRIM(FLATTEN(SPLIT( REGEXREPLACE( SUBSTITUTE(TEXTJOIN("","", TRUE, IFERROR(ARRAYFORMULA(VLOOKUP(TRIM(SPLIT('Final Report'!A630, "","")), 'URL Details'!A:D, 4, FALSE)),"""") ), CHAR(10), """&amp;",""), ""\s*,\s*"", "",""), "","")))&lt;&gt;"""" ) ) ) ),"""")
"),"")</f>
        <v/>
      </c>
      <c r="D630" s="105"/>
      <c r="E630" s="105"/>
      <c r="F630" s="110" t="b">
        <v>0</v>
      </c>
      <c r="G630" s="105" t="str">
        <f>IF(F630=True, IFERROR(VLOOKUP(D630, Repository!A:B, 2, 0), ""), "")</f>
        <v/>
      </c>
      <c r="H630" s="105"/>
      <c r="I630" s="105"/>
      <c r="J630" s="105" t="str">
        <f>IF(F630=True, IFERROR(VLOOKUP(D630, Repository!A:C, 3, 0), ""), "")</f>
        <v/>
      </c>
      <c r="K630" s="105"/>
      <c r="L630" s="105" t="str">
        <f>IF(F630=True, IFERROR(VLOOKUP(D630, Repository!A:E, 5, 0), ""), "")</f>
        <v/>
      </c>
      <c r="M630" s="105"/>
      <c r="N630" s="105" t="str">
        <f>IF(F630=True, IFERROR(VLOOKUP(D630, Repository!A:G, 7, 0), ""), "")</f>
        <v/>
      </c>
      <c r="O630" s="105" t="str">
        <f>IFERROR(__xludf.DUMMYFUNCTION("ARRAY_CONSTRAIN(
  ARRAYFORMULA(
    IFERROR(
      LET(
        list, N630,
        arr, TRIM(SPLIT(list, "","")),
        names, XLOOKUP(
          arr,
          'Conformance Score'!A:A,
          'Conformance Score'!B:B,
          ""Not found""
      "&amp;"  ),
        TEXTJOIN("", "", TRUE, names)
      ),
      """"
    )
  ),
  1,
  1
)
"),"")</f>
        <v/>
      </c>
      <c r="P630" s="105" t="str">
        <f>IF(F630="Yes", IFERROR(VLOOKUP(D630, Repository!A:F, 6, 0), ""), "")</f>
        <v/>
      </c>
      <c r="Q630" s="105" t="str">
        <f>IF(F630="Yes", IFERROR(VLOOKUP(D630, Repository!A:I, 8, 0), ""), "")</f>
        <v/>
      </c>
      <c r="R630" s="105" t="str">
        <f>IF(F630="Yes", IFERROR(VLOOKUP(D630, Repository!A:J, 9, 0), ""), "")</f>
        <v/>
      </c>
      <c r="S630" s="105"/>
      <c r="T630" s="105"/>
      <c r="U630" s="105"/>
      <c r="V630" s="105"/>
      <c r="W630" s="105"/>
      <c r="X630" s="105"/>
      <c r="Y630" s="105"/>
      <c r="Z630" s="105"/>
      <c r="AA630" s="105"/>
      <c r="AB630" s="105"/>
      <c r="AC630" s="91"/>
      <c r="AD630" s="105"/>
      <c r="AE630" s="105"/>
      <c r="AF630" s="91"/>
      <c r="AG630" s="105"/>
      <c r="AH630" s="105"/>
      <c r="AI630" s="105" t="str">
        <f t="shared" si="1"/>
        <v/>
      </c>
      <c r="AJ630" s="108" t="str">
        <f t="shared" si="2"/>
        <v/>
      </c>
    </row>
    <row r="631" ht="15.75" customHeight="1">
      <c r="A631" s="104"/>
      <c r="B631" s="105" t="str">
        <f>IFERROR(__xludf.DUMMYFUNCTION("ARRAY_CONSTRAIN(
  ARRAYFORMULA(
    IF(
      'Final Report'!A631="""",
      """",
      TEXTJOIN(
        "", "" &amp; CHAR(10),
        TRUE,
        IFERROR(
          VLOOKUP(
            TRIM(
              SPLIT('Final Report'!A631, "","")
           "&amp;" ),
            'URL Details'!A:B,
            2,
            FALSE
          ),
          """"
        )
      )
    )
  ),
  1,
  1
)
"),"")</f>
        <v/>
      </c>
      <c r="C631" s="105" t="str">
        <f>IFERROR(__xludf.DUMMYFUNCTION("IFERROR(IF('Final Report'!A631="""","""", TEXTJOIN(CHAR(10), TRUE, ARRAYFORMULA( ""• ""&amp; FILTER( TRIM(FLATTEN(SPLIT( REGEXREPLACE( SUBSTITUTE(TEXTJOIN("","", TRUE, IFERROR(ARRAYFORMULA(VLOOKUP(TRIM(SPLIT('Final Report'!A631, "","")), 'URL Details'!A:D, 4,"&amp;" FALSE)),"""") ), CHAR(10), "",""), ""\s*,\s*"", "",""), "",""))), TRIM(FLATTEN(SPLIT( REGEXREPLACE( SUBSTITUTE(TEXTJOIN("","", TRUE, IFERROR(ARRAYFORMULA(VLOOKUP(TRIM(SPLIT('Final Report'!A631, "","")), 'URL Details'!A:D, 4, FALSE)),"""") ), CHAR(10), """&amp;",""), ""\s*,\s*"", "",""), "","")))&lt;&gt;"""" ) ) ) ),"""")
"),"")</f>
        <v/>
      </c>
      <c r="D631" s="105"/>
      <c r="E631" s="105"/>
      <c r="F631" s="110" t="b">
        <v>0</v>
      </c>
      <c r="G631" s="105" t="str">
        <f>IF(F631=True, IFERROR(VLOOKUP(D631, Repository!A:B, 2, 0), ""), "")</f>
        <v/>
      </c>
      <c r="H631" s="105"/>
      <c r="I631" s="105"/>
      <c r="J631" s="105" t="str">
        <f>IF(F631=True, IFERROR(VLOOKUP(D631, Repository!A:C, 3, 0), ""), "")</f>
        <v/>
      </c>
      <c r="K631" s="105"/>
      <c r="L631" s="105" t="str">
        <f>IF(F631=True, IFERROR(VLOOKUP(D631, Repository!A:E, 5, 0), ""), "")</f>
        <v/>
      </c>
      <c r="M631" s="105"/>
      <c r="N631" s="105" t="str">
        <f>IF(F631=True, IFERROR(VLOOKUP(D631, Repository!A:G, 7, 0), ""), "")</f>
        <v/>
      </c>
      <c r="O631" s="105" t="str">
        <f>IFERROR(__xludf.DUMMYFUNCTION("ARRAY_CONSTRAIN(
  ARRAYFORMULA(
    IFERROR(
      LET(
        list, N631,
        arr, TRIM(SPLIT(list, "","")),
        names, XLOOKUP(
          arr,
          'Conformance Score'!A:A,
          'Conformance Score'!B:B,
          ""Not found""
      "&amp;"  ),
        TEXTJOIN("", "", TRUE, names)
      ),
      """"
    )
  ),
  1,
  1
)
"),"")</f>
        <v/>
      </c>
      <c r="P631" s="105" t="str">
        <f>IF(F631="Yes", IFERROR(VLOOKUP(D631, Repository!A:F, 6, 0), ""), "")</f>
        <v/>
      </c>
      <c r="Q631" s="105" t="str">
        <f>IF(F631="Yes", IFERROR(VLOOKUP(D631, Repository!A:I, 8, 0), ""), "")</f>
        <v/>
      </c>
      <c r="R631" s="105" t="str">
        <f>IF(F631="Yes", IFERROR(VLOOKUP(D631, Repository!A:J, 9, 0), ""), "")</f>
        <v/>
      </c>
      <c r="S631" s="105"/>
      <c r="T631" s="105"/>
      <c r="U631" s="105"/>
      <c r="V631" s="105"/>
      <c r="W631" s="105"/>
      <c r="X631" s="105"/>
      <c r="Y631" s="105"/>
      <c r="Z631" s="105"/>
      <c r="AA631" s="105"/>
      <c r="AB631" s="105"/>
      <c r="AC631" s="91"/>
      <c r="AD631" s="105"/>
      <c r="AE631" s="105"/>
      <c r="AF631" s="91"/>
      <c r="AG631" s="105"/>
      <c r="AH631" s="105"/>
      <c r="AI631" s="105" t="str">
        <f t="shared" si="1"/>
        <v/>
      </c>
      <c r="AJ631" s="108" t="str">
        <f t="shared" si="2"/>
        <v/>
      </c>
    </row>
    <row r="632" ht="15.75" customHeight="1">
      <c r="A632" s="104"/>
      <c r="B632" s="105" t="str">
        <f>IFERROR(__xludf.DUMMYFUNCTION("ARRAY_CONSTRAIN(
  ARRAYFORMULA(
    IF(
      'Final Report'!A632="""",
      """",
      TEXTJOIN(
        "", "" &amp; CHAR(10),
        TRUE,
        IFERROR(
          VLOOKUP(
            TRIM(
              SPLIT('Final Report'!A632, "","")
           "&amp;" ),
            'URL Details'!A:B,
            2,
            FALSE
          ),
          """"
        )
      )
    )
  ),
  1,
  1
)
"),"")</f>
        <v/>
      </c>
      <c r="C632" s="105" t="str">
        <f>IFERROR(__xludf.DUMMYFUNCTION("IFERROR(IF('Final Report'!A632="""","""", TEXTJOIN(CHAR(10), TRUE, ARRAYFORMULA( ""• ""&amp; FILTER( TRIM(FLATTEN(SPLIT( REGEXREPLACE( SUBSTITUTE(TEXTJOIN("","", TRUE, IFERROR(ARRAYFORMULA(VLOOKUP(TRIM(SPLIT('Final Report'!A632, "","")), 'URL Details'!A:D, 4,"&amp;" FALSE)),"""") ), CHAR(10), "",""), ""\s*,\s*"", "",""), "",""))), TRIM(FLATTEN(SPLIT( REGEXREPLACE( SUBSTITUTE(TEXTJOIN("","", TRUE, IFERROR(ARRAYFORMULA(VLOOKUP(TRIM(SPLIT('Final Report'!A632, "","")), 'URL Details'!A:D, 4, FALSE)),"""") ), CHAR(10), """&amp;",""), ""\s*,\s*"", "",""), "","")))&lt;&gt;"""" ) ) ) ),"""")
"),"")</f>
        <v/>
      </c>
      <c r="D632" s="105"/>
      <c r="E632" s="105"/>
      <c r="F632" s="110" t="b">
        <v>0</v>
      </c>
      <c r="G632" s="105" t="str">
        <f>IF(F632=True, IFERROR(VLOOKUP(D632, Repository!A:B, 2, 0), ""), "")</f>
        <v/>
      </c>
      <c r="H632" s="105"/>
      <c r="I632" s="105"/>
      <c r="J632" s="105" t="str">
        <f>IF(F632=True, IFERROR(VLOOKUP(D632, Repository!A:C, 3, 0), ""), "")</f>
        <v/>
      </c>
      <c r="K632" s="105"/>
      <c r="L632" s="105" t="str">
        <f>IF(F632=True, IFERROR(VLOOKUP(D632, Repository!A:E, 5, 0), ""), "")</f>
        <v/>
      </c>
      <c r="M632" s="105"/>
      <c r="N632" s="105" t="str">
        <f>IF(F632=True, IFERROR(VLOOKUP(D632, Repository!A:G, 7, 0), ""), "")</f>
        <v/>
      </c>
      <c r="O632" s="105" t="str">
        <f>IFERROR(__xludf.DUMMYFUNCTION("ARRAY_CONSTRAIN(
  ARRAYFORMULA(
    IFERROR(
      LET(
        list, N632,
        arr, TRIM(SPLIT(list, "","")),
        names, XLOOKUP(
          arr,
          'Conformance Score'!A:A,
          'Conformance Score'!B:B,
          ""Not found""
      "&amp;"  ),
        TEXTJOIN("", "", TRUE, names)
      ),
      """"
    )
  ),
  1,
  1
)
"),"")</f>
        <v/>
      </c>
      <c r="P632" s="105" t="str">
        <f>IF(F632="Yes", IFERROR(VLOOKUP(D632, Repository!A:F, 6, 0), ""), "")</f>
        <v/>
      </c>
      <c r="Q632" s="105" t="str">
        <f>IF(F632="Yes", IFERROR(VLOOKUP(D632, Repository!A:I, 8, 0), ""), "")</f>
        <v/>
      </c>
      <c r="R632" s="105" t="str">
        <f>IF(F632="Yes", IFERROR(VLOOKUP(D632, Repository!A:J, 9, 0), ""), "")</f>
        <v/>
      </c>
      <c r="S632" s="105"/>
      <c r="T632" s="105"/>
      <c r="U632" s="105"/>
      <c r="V632" s="105"/>
      <c r="W632" s="105"/>
      <c r="X632" s="105"/>
      <c r="Y632" s="105"/>
      <c r="Z632" s="105"/>
      <c r="AA632" s="105"/>
      <c r="AB632" s="105"/>
      <c r="AC632" s="91"/>
      <c r="AD632" s="105"/>
      <c r="AE632" s="105"/>
      <c r="AF632" s="91"/>
      <c r="AG632" s="105"/>
      <c r="AH632" s="105"/>
      <c r="AI632" s="105" t="str">
        <f t="shared" si="1"/>
        <v/>
      </c>
      <c r="AJ632" s="108" t="str">
        <f t="shared" si="2"/>
        <v/>
      </c>
    </row>
    <row r="633" ht="15.75" customHeight="1">
      <c r="A633" s="104"/>
      <c r="B633" s="105" t="str">
        <f>IFERROR(__xludf.DUMMYFUNCTION("ARRAY_CONSTRAIN(
  ARRAYFORMULA(
    IF(
      'Final Report'!A633="""",
      """",
      TEXTJOIN(
        "", "" &amp; CHAR(10),
        TRUE,
        IFERROR(
          VLOOKUP(
            TRIM(
              SPLIT('Final Report'!A633, "","")
           "&amp;" ),
            'URL Details'!A:B,
            2,
            FALSE
          ),
          """"
        )
      )
    )
  ),
  1,
  1
)
"),"")</f>
        <v/>
      </c>
      <c r="C633" s="105" t="str">
        <f>IFERROR(__xludf.DUMMYFUNCTION("IFERROR(IF('Final Report'!A633="""","""", TEXTJOIN(CHAR(10), TRUE, ARRAYFORMULA( ""• ""&amp; FILTER( TRIM(FLATTEN(SPLIT( REGEXREPLACE( SUBSTITUTE(TEXTJOIN("","", TRUE, IFERROR(ARRAYFORMULA(VLOOKUP(TRIM(SPLIT('Final Report'!A633, "","")), 'URL Details'!A:D, 4,"&amp;" FALSE)),"""") ), CHAR(10), "",""), ""\s*,\s*"", "",""), "",""))), TRIM(FLATTEN(SPLIT( REGEXREPLACE( SUBSTITUTE(TEXTJOIN("","", TRUE, IFERROR(ARRAYFORMULA(VLOOKUP(TRIM(SPLIT('Final Report'!A633, "","")), 'URL Details'!A:D, 4, FALSE)),"""") ), CHAR(10), """&amp;",""), ""\s*,\s*"", "",""), "","")))&lt;&gt;"""" ) ) ) ),"""")
"),"")</f>
        <v/>
      </c>
      <c r="D633" s="105"/>
      <c r="E633" s="105"/>
      <c r="F633" s="110" t="b">
        <v>0</v>
      </c>
      <c r="G633" s="105" t="str">
        <f>IF(F633=True, IFERROR(VLOOKUP(D633, Repository!A:B, 2, 0), ""), "")</f>
        <v/>
      </c>
      <c r="H633" s="105"/>
      <c r="I633" s="105"/>
      <c r="J633" s="105" t="str">
        <f>IF(F633=True, IFERROR(VLOOKUP(D633, Repository!A:C, 3, 0), ""), "")</f>
        <v/>
      </c>
      <c r="K633" s="105"/>
      <c r="L633" s="105" t="str">
        <f>IF(F633=True, IFERROR(VLOOKUP(D633, Repository!A:E, 5, 0), ""), "")</f>
        <v/>
      </c>
      <c r="M633" s="105"/>
      <c r="N633" s="105" t="str">
        <f>IF(F633=True, IFERROR(VLOOKUP(D633, Repository!A:G, 7, 0), ""), "")</f>
        <v/>
      </c>
      <c r="O633" s="105" t="str">
        <f>IFERROR(__xludf.DUMMYFUNCTION("ARRAY_CONSTRAIN(
  ARRAYFORMULA(
    IFERROR(
      LET(
        list, N633,
        arr, TRIM(SPLIT(list, "","")),
        names, XLOOKUP(
          arr,
          'Conformance Score'!A:A,
          'Conformance Score'!B:B,
          ""Not found""
      "&amp;"  ),
        TEXTJOIN("", "", TRUE, names)
      ),
      """"
    )
  ),
  1,
  1
)
"),"")</f>
        <v/>
      </c>
      <c r="P633" s="105" t="str">
        <f>IF(F633="Yes", IFERROR(VLOOKUP(D633, Repository!A:F, 6, 0), ""), "")</f>
        <v/>
      </c>
      <c r="Q633" s="105" t="str">
        <f>IF(F633="Yes", IFERROR(VLOOKUP(D633, Repository!A:I, 8, 0), ""), "")</f>
        <v/>
      </c>
      <c r="R633" s="105" t="str">
        <f>IF(F633="Yes", IFERROR(VLOOKUP(D633, Repository!A:J, 9, 0), ""), "")</f>
        <v/>
      </c>
      <c r="S633" s="105"/>
      <c r="T633" s="105"/>
      <c r="U633" s="105"/>
      <c r="V633" s="105"/>
      <c r="W633" s="105"/>
      <c r="X633" s="105"/>
      <c r="Y633" s="105"/>
      <c r="Z633" s="105"/>
      <c r="AA633" s="105"/>
      <c r="AB633" s="105"/>
      <c r="AC633" s="91"/>
      <c r="AD633" s="105"/>
      <c r="AE633" s="105"/>
      <c r="AF633" s="91"/>
      <c r="AG633" s="105"/>
      <c r="AH633" s="105"/>
      <c r="AI633" s="105" t="str">
        <f t="shared" si="1"/>
        <v/>
      </c>
      <c r="AJ633" s="108" t="str">
        <f t="shared" si="2"/>
        <v/>
      </c>
    </row>
    <row r="634" ht="15.75" customHeight="1">
      <c r="A634" s="104"/>
      <c r="B634" s="105" t="str">
        <f>IFERROR(__xludf.DUMMYFUNCTION("ARRAY_CONSTRAIN(
  ARRAYFORMULA(
    IF(
      'Final Report'!A634="""",
      """",
      TEXTJOIN(
        "", "" &amp; CHAR(10),
        TRUE,
        IFERROR(
          VLOOKUP(
            TRIM(
              SPLIT('Final Report'!A634, "","")
           "&amp;" ),
            'URL Details'!A:B,
            2,
            FALSE
          ),
          """"
        )
      )
    )
  ),
  1,
  1
)
"),"")</f>
        <v/>
      </c>
      <c r="C634" s="105" t="str">
        <f>IFERROR(__xludf.DUMMYFUNCTION("IFERROR(IF('Final Report'!A634="""","""", TEXTJOIN(CHAR(10), TRUE, ARRAYFORMULA( ""• ""&amp; FILTER( TRIM(FLATTEN(SPLIT( REGEXREPLACE( SUBSTITUTE(TEXTJOIN("","", TRUE, IFERROR(ARRAYFORMULA(VLOOKUP(TRIM(SPLIT('Final Report'!A634, "","")), 'URL Details'!A:D, 4,"&amp;" FALSE)),"""") ), CHAR(10), "",""), ""\s*,\s*"", "",""), "",""))), TRIM(FLATTEN(SPLIT( REGEXREPLACE( SUBSTITUTE(TEXTJOIN("","", TRUE, IFERROR(ARRAYFORMULA(VLOOKUP(TRIM(SPLIT('Final Report'!A634, "","")), 'URL Details'!A:D, 4, FALSE)),"""") ), CHAR(10), """&amp;",""), ""\s*,\s*"", "",""), "","")))&lt;&gt;"""" ) ) ) ),"""")
"),"")</f>
        <v/>
      </c>
      <c r="D634" s="105"/>
      <c r="E634" s="105"/>
      <c r="F634" s="110" t="b">
        <v>0</v>
      </c>
      <c r="G634" s="105" t="str">
        <f>IF(F634=True, IFERROR(VLOOKUP(D634, Repository!A:B, 2, 0), ""), "")</f>
        <v/>
      </c>
      <c r="H634" s="105"/>
      <c r="I634" s="105"/>
      <c r="J634" s="105" t="str">
        <f>IF(F634=True, IFERROR(VLOOKUP(D634, Repository!A:C, 3, 0), ""), "")</f>
        <v/>
      </c>
      <c r="K634" s="105"/>
      <c r="L634" s="105" t="str">
        <f>IF(F634=True, IFERROR(VLOOKUP(D634, Repository!A:E, 5, 0), ""), "")</f>
        <v/>
      </c>
      <c r="M634" s="105"/>
      <c r="N634" s="105" t="str">
        <f>IF(F634=True, IFERROR(VLOOKUP(D634, Repository!A:G, 7, 0), ""), "")</f>
        <v/>
      </c>
      <c r="O634" s="105" t="str">
        <f>IFERROR(__xludf.DUMMYFUNCTION("ARRAY_CONSTRAIN(
  ARRAYFORMULA(
    IFERROR(
      LET(
        list, N634,
        arr, TRIM(SPLIT(list, "","")),
        names, XLOOKUP(
          arr,
          'Conformance Score'!A:A,
          'Conformance Score'!B:B,
          ""Not found""
      "&amp;"  ),
        TEXTJOIN("", "", TRUE, names)
      ),
      """"
    )
  ),
  1,
  1
)
"),"")</f>
        <v/>
      </c>
      <c r="P634" s="105" t="str">
        <f>IF(F634="Yes", IFERROR(VLOOKUP(D634, Repository!A:F, 6, 0), ""), "")</f>
        <v/>
      </c>
      <c r="Q634" s="105" t="str">
        <f>IF(F634="Yes", IFERROR(VLOOKUP(D634, Repository!A:I, 8, 0), ""), "")</f>
        <v/>
      </c>
      <c r="R634" s="105" t="str">
        <f>IF(F634="Yes", IFERROR(VLOOKUP(D634, Repository!A:J, 9, 0), ""), "")</f>
        <v/>
      </c>
      <c r="S634" s="105"/>
      <c r="T634" s="105"/>
      <c r="U634" s="105"/>
      <c r="V634" s="105"/>
      <c r="W634" s="105"/>
      <c r="X634" s="105"/>
      <c r="Y634" s="105"/>
      <c r="Z634" s="105"/>
      <c r="AA634" s="105"/>
      <c r="AB634" s="105"/>
      <c r="AC634" s="91"/>
      <c r="AD634" s="105"/>
      <c r="AE634" s="105"/>
      <c r="AF634" s="91"/>
      <c r="AG634" s="105"/>
      <c r="AH634" s="105"/>
      <c r="AI634" s="105" t="str">
        <f t="shared" si="1"/>
        <v/>
      </c>
      <c r="AJ634" s="108" t="str">
        <f t="shared" si="2"/>
        <v/>
      </c>
    </row>
    <row r="635" ht="15.75" customHeight="1">
      <c r="A635" s="104"/>
      <c r="B635" s="105" t="str">
        <f>IFERROR(__xludf.DUMMYFUNCTION("ARRAY_CONSTRAIN(
  ARRAYFORMULA(
    IF(
      'Final Report'!A635="""",
      """",
      TEXTJOIN(
        "", "" &amp; CHAR(10),
        TRUE,
        IFERROR(
          VLOOKUP(
            TRIM(
              SPLIT('Final Report'!A635, "","")
           "&amp;" ),
            'URL Details'!A:B,
            2,
            FALSE
          ),
          """"
        )
      )
    )
  ),
  1,
  1
)
"),"")</f>
        <v/>
      </c>
      <c r="C635" s="105" t="str">
        <f>IFERROR(__xludf.DUMMYFUNCTION("IFERROR(IF('Final Report'!A635="""","""", TEXTJOIN(CHAR(10), TRUE, ARRAYFORMULA( ""• ""&amp; FILTER( TRIM(FLATTEN(SPLIT( REGEXREPLACE( SUBSTITUTE(TEXTJOIN("","", TRUE, IFERROR(ARRAYFORMULA(VLOOKUP(TRIM(SPLIT('Final Report'!A635, "","")), 'URL Details'!A:D, 4,"&amp;" FALSE)),"""") ), CHAR(10), "",""), ""\s*,\s*"", "",""), "",""))), TRIM(FLATTEN(SPLIT( REGEXREPLACE( SUBSTITUTE(TEXTJOIN("","", TRUE, IFERROR(ARRAYFORMULA(VLOOKUP(TRIM(SPLIT('Final Report'!A635, "","")), 'URL Details'!A:D, 4, FALSE)),"""") ), CHAR(10), """&amp;",""), ""\s*,\s*"", "",""), "","")))&lt;&gt;"""" ) ) ) ),"""")
"),"")</f>
        <v/>
      </c>
      <c r="D635" s="105"/>
      <c r="E635" s="105"/>
      <c r="F635" s="110" t="b">
        <v>0</v>
      </c>
      <c r="G635" s="105" t="str">
        <f>IF(F635=True, IFERROR(VLOOKUP(D635, Repository!A:B, 2, 0), ""), "")</f>
        <v/>
      </c>
      <c r="H635" s="105"/>
      <c r="I635" s="105"/>
      <c r="J635" s="105" t="str">
        <f>IF(F635=True, IFERROR(VLOOKUP(D635, Repository!A:C, 3, 0), ""), "")</f>
        <v/>
      </c>
      <c r="K635" s="105"/>
      <c r="L635" s="105" t="str">
        <f>IF(F635=True, IFERROR(VLOOKUP(D635, Repository!A:E, 5, 0), ""), "")</f>
        <v/>
      </c>
      <c r="M635" s="105"/>
      <c r="N635" s="105" t="str">
        <f>IF(F635=True, IFERROR(VLOOKUP(D635, Repository!A:G, 7, 0), ""), "")</f>
        <v/>
      </c>
      <c r="O635" s="105" t="str">
        <f>IFERROR(__xludf.DUMMYFUNCTION("ARRAY_CONSTRAIN(
  ARRAYFORMULA(
    IFERROR(
      LET(
        list, N635,
        arr, TRIM(SPLIT(list, "","")),
        names, XLOOKUP(
          arr,
          'Conformance Score'!A:A,
          'Conformance Score'!B:B,
          ""Not found""
      "&amp;"  ),
        TEXTJOIN("", "", TRUE, names)
      ),
      """"
    )
  ),
  1,
  1
)
"),"")</f>
        <v/>
      </c>
      <c r="P635" s="105" t="str">
        <f>IF(F635="Yes", IFERROR(VLOOKUP(D635, Repository!A:F, 6, 0), ""), "")</f>
        <v/>
      </c>
      <c r="Q635" s="105" t="str">
        <f>IF(F635="Yes", IFERROR(VLOOKUP(D635, Repository!A:I, 8, 0), ""), "")</f>
        <v/>
      </c>
      <c r="R635" s="105" t="str">
        <f>IF(F635="Yes", IFERROR(VLOOKUP(D635, Repository!A:J, 9, 0), ""), "")</f>
        <v/>
      </c>
      <c r="S635" s="105"/>
      <c r="T635" s="105"/>
      <c r="U635" s="105"/>
      <c r="V635" s="105"/>
      <c r="W635" s="105"/>
      <c r="X635" s="105"/>
      <c r="Y635" s="105"/>
      <c r="Z635" s="105"/>
      <c r="AA635" s="105"/>
      <c r="AB635" s="105"/>
      <c r="AC635" s="91"/>
      <c r="AD635" s="105"/>
      <c r="AE635" s="105"/>
      <c r="AF635" s="91"/>
      <c r="AG635" s="105"/>
      <c r="AH635" s="105"/>
      <c r="AI635" s="105" t="str">
        <f t="shared" si="1"/>
        <v/>
      </c>
      <c r="AJ635" s="108" t="str">
        <f t="shared" si="2"/>
        <v/>
      </c>
    </row>
    <row r="636" ht="15.75" customHeight="1">
      <c r="A636" s="104"/>
      <c r="B636" s="105" t="str">
        <f>IFERROR(__xludf.DUMMYFUNCTION("ARRAY_CONSTRAIN(
  ARRAYFORMULA(
    IF(
      'Final Report'!A636="""",
      """",
      TEXTJOIN(
        "", "" &amp; CHAR(10),
        TRUE,
        IFERROR(
          VLOOKUP(
            TRIM(
              SPLIT('Final Report'!A636, "","")
           "&amp;" ),
            'URL Details'!A:B,
            2,
            FALSE
          ),
          """"
        )
      )
    )
  ),
  1,
  1
)
"),"")</f>
        <v/>
      </c>
      <c r="C636" s="105" t="str">
        <f>IFERROR(__xludf.DUMMYFUNCTION("IFERROR(IF('Final Report'!A636="""","""", TEXTJOIN(CHAR(10), TRUE, ARRAYFORMULA( ""• ""&amp; FILTER( TRIM(FLATTEN(SPLIT( REGEXREPLACE( SUBSTITUTE(TEXTJOIN("","", TRUE, IFERROR(ARRAYFORMULA(VLOOKUP(TRIM(SPLIT('Final Report'!A636, "","")), 'URL Details'!A:D, 4,"&amp;" FALSE)),"""") ), CHAR(10), "",""), ""\s*,\s*"", "",""), "",""))), TRIM(FLATTEN(SPLIT( REGEXREPLACE( SUBSTITUTE(TEXTJOIN("","", TRUE, IFERROR(ARRAYFORMULA(VLOOKUP(TRIM(SPLIT('Final Report'!A636, "","")), 'URL Details'!A:D, 4, FALSE)),"""") ), CHAR(10), """&amp;",""), ""\s*,\s*"", "",""), "","")))&lt;&gt;"""" ) ) ) ),"""")
"),"")</f>
        <v/>
      </c>
      <c r="D636" s="105"/>
      <c r="E636" s="105"/>
      <c r="F636" s="110" t="b">
        <v>0</v>
      </c>
      <c r="G636" s="105" t="str">
        <f>IF(F636=True, IFERROR(VLOOKUP(D636, Repository!A:B, 2, 0), ""), "")</f>
        <v/>
      </c>
      <c r="H636" s="105"/>
      <c r="I636" s="105"/>
      <c r="J636" s="105" t="str">
        <f>IF(F636=True, IFERROR(VLOOKUP(D636, Repository!A:C, 3, 0), ""), "")</f>
        <v/>
      </c>
      <c r="K636" s="105"/>
      <c r="L636" s="105" t="str">
        <f>IF(F636=True, IFERROR(VLOOKUP(D636, Repository!A:E, 5, 0), ""), "")</f>
        <v/>
      </c>
      <c r="M636" s="105"/>
      <c r="N636" s="105" t="str">
        <f>IF(F636=True, IFERROR(VLOOKUP(D636, Repository!A:G, 7, 0), ""), "")</f>
        <v/>
      </c>
      <c r="O636" s="105" t="str">
        <f>IFERROR(__xludf.DUMMYFUNCTION("ARRAY_CONSTRAIN(
  ARRAYFORMULA(
    IFERROR(
      LET(
        list, N636,
        arr, TRIM(SPLIT(list, "","")),
        names, XLOOKUP(
          arr,
          'Conformance Score'!A:A,
          'Conformance Score'!B:B,
          ""Not found""
      "&amp;"  ),
        TEXTJOIN("", "", TRUE, names)
      ),
      """"
    )
  ),
  1,
  1
)
"),"")</f>
        <v/>
      </c>
      <c r="P636" s="105" t="str">
        <f>IF(F636="Yes", IFERROR(VLOOKUP(D636, Repository!A:F, 6, 0), ""), "")</f>
        <v/>
      </c>
      <c r="Q636" s="105" t="str">
        <f>IF(F636="Yes", IFERROR(VLOOKUP(D636, Repository!A:I, 8, 0), ""), "")</f>
        <v/>
      </c>
      <c r="R636" s="105" t="str">
        <f>IF(F636="Yes", IFERROR(VLOOKUP(D636, Repository!A:J, 9, 0), ""), "")</f>
        <v/>
      </c>
      <c r="S636" s="105"/>
      <c r="T636" s="105"/>
      <c r="U636" s="105"/>
      <c r="V636" s="105"/>
      <c r="W636" s="105"/>
      <c r="X636" s="105"/>
      <c r="Y636" s="105"/>
      <c r="Z636" s="105"/>
      <c r="AA636" s="105"/>
      <c r="AB636" s="105"/>
      <c r="AC636" s="91"/>
      <c r="AD636" s="105"/>
      <c r="AE636" s="105"/>
      <c r="AF636" s="91"/>
      <c r="AG636" s="105"/>
      <c r="AH636" s="105"/>
      <c r="AI636" s="105" t="str">
        <f t="shared" si="1"/>
        <v/>
      </c>
      <c r="AJ636" s="108" t="str">
        <f t="shared" si="2"/>
        <v/>
      </c>
    </row>
    <row r="637" ht="15.75" customHeight="1">
      <c r="A637" s="104"/>
      <c r="B637" s="105" t="str">
        <f>IFERROR(__xludf.DUMMYFUNCTION("ARRAY_CONSTRAIN(
  ARRAYFORMULA(
    IF(
      'Final Report'!A637="""",
      """",
      TEXTJOIN(
        "", "" &amp; CHAR(10),
        TRUE,
        IFERROR(
          VLOOKUP(
            TRIM(
              SPLIT('Final Report'!A637, "","")
           "&amp;" ),
            'URL Details'!A:B,
            2,
            FALSE
          ),
          """"
        )
      )
    )
  ),
  1,
  1
)
"),"")</f>
        <v/>
      </c>
      <c r="C637" s="105" t="str">
        <f>IFERROR(__xludf.DUMMYFUNCTION("IFERROR(IF('Final Report'!A637="""","""", TEXTJOIN(CHAR(10), TRUE, ARRAYFORMULA( ""• ""&amp; FILTER( TRIM(FLATTEN(SPLIT( REGEXREPLACE( SUBSTITUTE(TEXTJOIN("","", TRUE, IFERROR(ARRAYFORMULA(VLOOKUP(TRIM(SPLIT('Final Report'!A637, "","")), 'URL Details'!A:D, 4,"&amp;" FALSE)),"""") ), CHAR(10), "",""), ""\s*,\s*"", "",""), "",""))), TRIM(FLATTEN(SPLIT( REGEXREPLACE( SUBSTITUTE(TEXTJOIN("","", TRUE, IFERROR(ARRAYFORMULA(VLOOKUP(TRIM(SPLIT('Final Report'!A637, "","")), 'URL Details'!A:D, 4, FALSE)),"""") ), CHAR(10), """&amp;",""), ""\s*,\s*"", "",""), "","")))&lt;&gt;"""" ) ) ) ),"""")
"),"")</f>
        <v/>
      </c>
      <c r="D637" s="105"/>
      <c r="E637" s="105"/>
      <c r="F637" s="110" t="b">
        <v>0</v>
      </c>
      <c r="G637" s="105" t="str">
        <f>IF(F637=True, IFERROR(VLOOKUP(D637, Repository!A:B, 2, 0), ""), "")</f>
        <v/>
      </c>
      <c r="H637" s="105"/>
      <c r="I637" s="105"/>
      <c r="J637" s="105" t="str">
        <f>IF(F637=True, IFERROR(VLOOKUP(D637, Repository!A:C, 3, 0), ""), "")</f>
        <v/>
      </c>
      <c r="K637" s="105"/>
      <c r="L637" s="105" t="str">
        <f>IF(F637=True, IFERROR(VLOOKUP(D637, Repository!A:E, 5, 0), ""), "")</f>
        <v/>
      </c>
      <c r="M637" s="105"/>
      <c r="N637" s="105" t="str">
        <f>IF(F637=True, IFERROR(VLOOKUP(D637, Repository!A:G, 7, 0), ""), "")</f>
        <v/>
      </c>
      <c r="O637" s="105" t="str">
        <f>IFERROR(__xludf.DUMMYFUNCTION("ARRAY_CONSTRAIN(
  ARRAYFORMULA(
    IFERROR(
      LET(
        list, N637,
        arr, TRIM(SPLIT(list, "","")),
        names, XLOOKUP(
          arr,
          'Conformance Score'!A:A,
          'Conformance Score'!B:B,
          ""Not found""
      "&amp;"  ),
        TEXTJOIN("", "", TRUE, names)
      ),
      """"
    )
  ),
  1,
  1
)
"),"")</f>
        <v/>
      </c>
      <c r="P637" s="105" t="str">
        <f>IF(F637="Yes", IFERROR(VLOOKUP(D637, Repository!A:F, 6, 0), ""), "")</f>
        <v/>
      </c>
      <c r="Q637" s="105" t="str">
        <f>IF(F637="Yes", IFERROR(VLOOKUP(D637, Repository!A:I, 8, 0), ""), "")</f>
        <v/>
      </c>
      <c r="R637" s="105" t="str">
        <f>IF(F637="Yes", IFERROR(VLOOKUP(D637, Repository!A:J, 9, 0), ""), "")</f>
        <v/>
      </c>
      <c r="S637" s="105"/>
      <c r="T637" s="105"/>
      <c r="U637" s="105"/>
      <c r="V637" s="105"/>
      <c r="W637" s="105"/>
      <c r="X637" s="105"/>
      <c r="Y637" s="105"/>
      <c r="Z637" s="105"/>
      <c r="AA637" s="105"/>
      <c r="AB637" s="105"/>
      <c r="AC637" s="91"/>
      <c r="AD637" s="105"/>
      <c r="AE637" s="105"/>
      <c r="AF637" s="91"/>
      <c r="AG637" s="105"/>
      <c r="AH637" s="105"/>
      <c r="AI637" s="105" t="str">
        <f t="shared" si="1"/>
        <v/>
      </c>
      <c r="AJ637" s="108" t="str">
        <f t="shared" si="2"/>
        <v/>
      </c>
    </row>
    <row r="638" ht="15.75" customHeight="1">
      <c r="A638" s="104"/>
      <c r="B638" s="105" t="str">
        <f>IFERROR(__xludf.DUMMYFUNCTION("ARRAY_CONSTRAIN(
  ARRAYFORMULA(
    IF(
      'Final Report'!A638="""",
      """",
      TEXTJOIN(
        "", "" &amp; CHAR(10),
        TRUE,
        IFERROR(
          VLOOKUP(
            TRIM(
              SPLIT('Final Report'!A638, "","")
           "&amp;" ),
            'URL Details'!A:B,
            2,
            FALSE
          ),
          """"
        )
      )
    )
  ),
  1,
  1
)
"),"")</f>
        <v/>
      </c>
      <c r="C638" s="105" t="str">
        <f>IFERROR(__xludf.DUMMYFUNCTION("IFERROR(IF('Final Report'!A638="""","""", TEXTJOIN(CHAR(10), TRUE, ARRAYFORMULA( ""• ""&amp; FILTER( TRIM(FLATTEN(SPLIT( REGEXREPLACE( SUBSTITUTE(TEXTJOIN("","", TRUE, IFERROR(ARRAYFORMULA(VLOOKUP(TRIM(SPLIT('Final Report'!A638, "","")), 'URL Details'!A:D, 4,"&amp;" FALSE)),"""") ), CHAR(10), "",""), ""\s*,\s*"", "",""), "",""))), TRIM(FLATTEN(SPLIT( REGEXREPLACE( SUBSTITUTE(TEXTJOIN("","", TRUE, IFERROR(ARRAYFORMULA(VLOOKUP(TRIM(SPLIT('Final Report'!A638, "","")), 'URL Details'!A:D, 4, FALSE)),"""") ), CHAR(10), """&amp;",""), ""\s*,\s*"", "",""), "","")))&lt;&gt;"""" ) ) ) ),"""")
"),"")</f>
        <v/>
      </c>
      <c r="D638" s="105"/>
      <c r="E638" s="105"/>
      <c r="F638" s="110" t="b">
        <v>0</v>
      </c>
      <c r="G638" s="105" t="str">
        <f>IF(F638=True, IFERROR(VLOOKUP(D638, Repository!A:B, 2, 0), ""), "")</f>
        <v/>
      </c>
      <c r="H638" s="105"/>
      <c r="I638" s="105"/>
      <c r="J638" s="105" t="str">
        <f>IF(F638=True, IFERROR(VLOOKUP(D638, Repository!A:C, 3, 0), ""), "")</f>
        <v/>
      </c>
      <c r="K638" s="105"/>
      <c r="L638" s="105" t="str">
        <f>IF(F638=True, IFERROR(VLOOKUP(D638, Repository!A:E, 5, 0), ""), "")</f>
        <v/>
      </c>
      <c r="M638" s="105"/>
      <c r="N638" s="105" t="str">
        <f>IF(F638=True, IFERROR(VLOOKUP(D638, Repository!A:G, 7, 0), ""), "")</f>
        <v/>
      </c>
      <c r="O638" s="105" t="str">
        <f>IFERROR(__xludf.DUMMYFUNCTION("ARRAY_CONSTRAIN(
  ARRAYFORMULA(
    IFERROR(
      LET(
        list, N638,
        arr, TRIM(SPLIT(list, "","")),
        names, XLOOKUP(
          arr,
          'Conformance Score'!A:A,
          'Conformance Score'!B:B,
          ""Not found""
      "&amp;"  ),
        TEXTJOIN("", "", TRUE, names)
      ),
      """"
    )
  ),
  1,
  1
)
"),"")</f>
        <v/>
      </c>
      <c r="P638" s="105" t="str">
        <f>IF(F638="Yes", IFERROR(VLOOKUP(D638, Repository!A:F, 6, 0), ""), "")</f>
        <v/>
      </c>
      <c r="Q638" s="105" t="str">
        <f>IF(F638="Yes", IFERROR(VLOOKUP(D638, Repository!A:I, 8, 0), ""), "")</f>
        <v/>
      </c>
      <c r="R638" s="105" t="str">
        <f>IF(F638="Yes", IFERROR(VLOOKUP(D638, Repository!A:J, 9, 0), ""), "")</f>
        <v/>
      </c>
      <c r="S638" s="105"/>
      <c r="T638" s="105"/>
      <c r="U638" s="105"/>
      <c r="V638" s="105"/>
      <c r="W638" s="105"/>
      <c r="X638" s="105"/>
      <c r="Y638" s="105"/>
      <c r="Z638" s="105"/>
      <c r="AA638" s="105"/>
      <c r="AB638" s="105"/>
      <c r="AC638" s="91"/>
      <c r="AD638" s="105"/>
      <c r="AE638" s="105"/>
      <c r="AF638" s="91"/>
      <c r="AG638" s="105"/>
      <c r="AH638" s="105"/>
      <c r="AI638" s="105" t="str">
        <f t="shared" si="1"/>
        <v/>
      </c>
      <c r="AJ638" s="108" t="str">
        <f t="shared" si="2"/>
        <v/>
      </c>
    </row>
    <row r="639" ht="15.75" customHeight="1">
      <c r="A639" s="104"/>
      <c r="B639" s="105" t="str">
        <f>IFERROR(__xludf.DUMMYFUNCTION("ARRAY_CONSTRAIN(
  ARRAYFORMULA(
    IF(
      'Final Report'!A639="""",
      """",
      TEXTJOIN(
        "", "" &amp; CHAR(10),
        TRUE,
        IFERROR(
          VLOOKUP(
            TRIM(
              SPLIT('Final Report'!A639, "","")
           "&amp;" ),
            'URL Details'!A:B,
            2,
            FALSE
          ),
          """"
        )
      )
    )
  ),
  1,
  1
)
"),"")</f>
        <v/>
      </c>
      <c r="C639" s="105" t="str">
        <f>IFERROR(__xludf.DUMMYFUNCTION("IFERROR(IF('Final Report'!A639="""","""", TEXTJOIN(CHAR(10), TRUE, ARRAYFORMULA( ""• ""&amp; FILTER( TRIM(FLATTEN(SPLIT( REGEXREPLACE( SUBSTITUTE(TEXTJOIN("","", TRUE, IFERROR(ARRAYFORMULA(VLOOKUP(TRIM(SPLIT('Final Report'!A639, "","")), 'URL Details'!A:D, 4,"&amp;" FALSE)),"""") ), CHAR(10), "",""), ""\s*,\s*"", "",""), "",""))), TRIM(FLATTEN(SPLIT( REGEXREPLACE( SUBSTITUTE(TEXTJOIN("","", TRUE, IFERROR(ARRAYFORMULA(VLOOKUP(TRIM(SPLIT('Final Report'!A639, "","")), 'URL Details'!A:D, 4, FALSE)),"""") ), CHAR(10), """&amp;",""), ""\s*,\s*"", "",""), "","")))&lt;&gt;"""" ) ) ) ),"""")
"),"")</f>
        <v/>
      </c>
      <c r="D639" s="105"/>
      <c r="E639" s="105"/>
      <c r="F639" s="110" t="b">
        <v>0</v>
      </c>
      <c r="G639" s="105" t="str">
        <f>IF(F639=True, IFERROR(VLOOKUP(D639, Repository!A:B, 2, 0), ""), "")</f>
        <v/>
      </c>
      <c r="H639" s="105"/>
      <c r="I639" s="105"/>
      <c r="J639" s="105" t="str">
        <f>IF(F639=True, IFERROR(VLOOKUP(D639, Repository!A:C, 3, 0), ""), "")</f>
        <v/>
      </c>
      <c r="K639" s="105"/>
      <c r="L639" s="105" t="str">
        <f>IF(F639=True, IFERROR(VLOOKUP(D639, Repository!A:E, 5, 0), ""), "")</f>
        <v/>
      </c>
      <c r="M639" s="105"/>
      <c r="N639" s="105" t="str">
        <f>IF(F639=True, IFERROR(VLOOKUP(D639, Repository!A:G, 7, 0), ""), "")</f>
        <v/>
      </c>
      <c r="O639" s="105" t="str">
        <f>IFERROR(__xludf.DUMMYFUNCTION("ARRAY_CONSTRAIN(
  ARRAYFORMULA(
    IFERROR(
      LET(
        list, N639,
        arr, TRIM(SPLIT(list, "","")),
        names, XLOOKUP(
          arr,
          'Conformance Score'!A:A,
          'Conformance Score'!B:B,
          ""Not found""
      "&amp;"  ),
        TEXTJOIN("", "", TRUE, names)
      ),
      """"
    )
  ),
  1,
  1
)
"),"")</f>
        <v/>
      </c>
      <c r="P639" s="105" t="str">
        <f>IF(F639="Yes", IFERROR(VLOOKUP(D639, Repository!A:F, 6, 0), ""), "")</f>
        <v/>
      </c>
      <c r="Q639" s="105" t="str">
        <f>IF(F639="Yes", IFERROR(VLOOKUP(D639, Repository!A:I, 8, 0), ""), "")</f>
        <v/>
      </c>
      <c r="R639" s="105" t="str">
        <f>IF(F639="Yes", IFERROR(VLOOKUP(D639, Repository!A:J, 9, 0), ""), "")</f>
        <v/>
      </c>
      <c r="S639" s="105"/>
      <c r="T639" s="105"/>
      <c r="U639" s="105"/>
      <c r="V639" s="105"/>
      <c r="W639" s="105"/>
      <c r="X639" s="105"/>
      <c r="Y639" s="105"/>
      <c r="Z639" s="105"/>
      <c r="AA639" s="105"/>
      <c r="AB639" s="105"/>
      <c r="AC639" s="91"/>
      <c r="AD639" s="105"/>
      <c r="AE639" s="105"/>
      <c r="AF639" s="91"/>
      <c r="AG639" s="105"/>
      <c r="AH639" s="105"/>
      <c r="AI639" s="105" t="str">
        <f t="shared" si="1"/>
        <v/>
      </c>
      <c r="AJ639" s="108" t="str">
        <f t="shared" si="2"/>
        <v/>
      </c>
    </row>
    <row r="640" ht="15.75" customHeight="1">
      <c r="A640" s="104"/>
      <c r="B640" s="105" t="str">
        <f>IFERROR(__xludf.DUMMYFUNCTION("ARRAY_CONSTRAIN(
  ARRAYFORMULA(
    IF(
      'Final Report'!A640="""",
      """",
      TEXTJOIN(
        "", "" &amp; CHAR(10),
        TRUE,
        IFERROR(
          VLOOKUP(
            TRIM(
              SPLIT('Final Report'!A640, "","")
           "&amp;" ),
            'URL Details'!A:B,
            2,
            FALSE
          ),
          """"
        )
      )
    )
  ),
  1,
  1
)
"),"")</f>
        <v/>
      </c>
      <c r="C640" s="105" t="str">
        <f>IFERROR(__xludf.DUMMYFUNCTION("IFERROR(IF('Final Report'!A640="""","""", TEXTJOIN(CHAR(10), TRUE, ARRAYFORMULA( ""• ""&amp; FILTER( TRIM(FLATTEN(SPLIT( REGEXREPLACE( SUBSTITUTE(TEXTJOIN("","", TRUE, IFERROR(ARRAYFORMULA(VLOOKUP(TRIM(SPLIT('Final Report'!A640, "","")), 'URL Details'!A:D, 4,"&amp;" FALSE)),"""") ), CHAR(10), "",""), ""\s*,\s*"", "",""), "",""))), TRIM(FLATTEN(SPLIT( REGEXREPLACE( SUBSTITUTE(TEXTJOIN("","", TRUE, IFERROR(ARRAYFORMULA(VLOOKUP(TRIM(SPLIT('Final Report'!A640, "","")), 'URL Details'!A:D, 4, FALSE)),"""") ), CHAR(10), """&amp;",""), ""\s*,\s*"", "",""), "","")))&lt;&gt;"""" ) ) ) ),"""")
"),"")</f>
        <v/>
      </c>
      <c r="D640" s="105"/>
      <c r="E640" s="105"/>
      <c r="F640" s="110" t="b">
        <v>0</v>
      </c>
      <c r="G640" s="105" t="str">
        <f>IF(F640=True, IFERROR(VLOOKUP(D640, Repository!A:B, 2, 0), ""), "")</f>
        <v/>
      </c>
      <c r="H640" s="105"/>
      <c r="I640" s="105"/>
      <c r="J640" s="105" t="str">
        <f>IF(F640=True, IFERROR(VLOOKUP(D640, Repository!A:C, 3, 0), ""), "")</f>
        <v/>
      </c>
      <c r="K640" s="105"/>
      <c r="L640" s="105" t="str">
        <f>IF(F640=True, IFERROR(VLOOKUP(D640, Repository!A:E, 5, 0), ""), "")</f>
        <v/>
      </c>
      <c r="M640" s="105"/>
      <c r="N640" s="105" t="str">
        <f>IF(F640=True, IFERROR(VLOOKUP(D640, Repository!A:G, 7, 0), ""), "")</f>
        <v/>
      </c>
      <c r="O640" s="105" t="str">
        <f>IFERROR(__xludf.DUMMYFUNCTION("ARRAY_CONSTRAIN(
  ARRAYFORMULA(
    IFERROR(
      LET(
        list, N640,
        arr, TRIM(SPLIT(list, "","")),
        names, XLOOKUP(
          arr,
          'Conformance Score'!A:A,
          'Conformance Score'!B:B,
          ""Not found""
      "&amp;"  ),
        TEXTJOIN("", "", TRUE, names)
      ),
      """"
    )
  ),
  1,
  1
)
"),"")</f>
        <v/>
      </c>
      <c r="P640" s="105" t="str">
        <f>IF(F640="Yes", IFERROR(VLOOKUP(D640, Repository!A:F, 6, 0), ""), "")</f>
        <v/>
      </c>
      <c r="Q640" s="105" t="str">
        <f>IF(F640="Yes", IFERROR(VLOOKUP(D640, Repository!A:I, 8, 0), ""), "")</f>
        <v/>
      </c>
      <c r="R640" s="105" t="str">
        <f>IF(F640="Yes", IFERROR(VLOOKUP(D640, Repository!A:J, 9, 0), ""), "")</f>
        <v/>
      </c>
      <c r="S640" s="105"/>
      <c r="T640" s="105"/>
      <c r="U640" s="105"/>
      <c r="V640" s="105"/>
      <c r="W640" s="105"/>
      <c r="X640" s="105"/>
      <c r="Y640" s="105"/>
      <c r="Z640" s="105"/>
      <c r="AA640" s="105"/>
      <c r="AB640" s="105"/>
      <c r="AC640" s="91"/>
      <c r="AD640" s="105"/>
      <c r="AE640" s="105"/>
      <c r="AF640" s="91"/>
      <c r="AG640" s="105"/>
      <c r="AH640" s="105"/>
      <c r="AI640" s="105" t="str">
        <f t="shared" si="1"/>
        <v/>
      </c>
      <c r="AJ640" s="108" t="str">
        <f t="shared" si="2"/>
        <v/>
      </c>
    </row>
    <row r="641" ht="15.75" customHeight="1">
      <c r="A641" s="104"/>
      <c r="B641" s="105" t="str">
        <f>IFERROR(__xludf.DUMMYFUNCTION("ARRAY_CONSTRAIN(
  ARRAYFORMULA(
    IF(
      'Final Report'!A641="""",
      """",
      TEXTJOIN(
        "", "" &amp; CHAR(10),
        TRUE,
        IFERROR(
          VLOOKUP(
            TRIM(
              SPLIT('Final Report'!A641, "","")
           "&amp;" ),
            'URL Details'!A:B,
            2,
            FALSE
          ),
          """"
        )
      )
    )
  ),
  1,
  1
)
"),"")</f>
        <v/>
      </c>
      <c r="C641" s="105" t="str">
        <f>IFERROR(__xludf.DUMMYFUNCTION("IFERROR(IF('Final Report'!A641="""","""", TEXTJOIN(CHAR(10), TRUE, ARRAYFORMULA( ""• ""&amp; FILTER( TRIM(FLATTEN(SPLIT( REGEXREPLACE( SUBSTITUTE(TEXTJOIN("","", TRUE, IFERROR(ARRAYFORMULA(VLOOKUP(TRIM(SPLIT('Final Report'!A641, "","")), 'URL Details'!A:D, 4,"&amp;" FALSE)),"""") ), CHAR(10), "",""), ""\s*,\s*"", "",""), "",""))), TRIM(FLATTEN(SPLIT( REGEXREPLACE( SUBSTITUTE(TEXTJOIN("","", TRUE, IFERROR(ARRAYFORMULA(VLOOKUP(TRIM(SPLIT('Final Report'!A641, "","")), 'URL Details'!A:D, 4, FALSE)),"""") ), CHAR(10), """&amp;",""), ""\s*,\s*"", "",""), "","")))&lt;&gt;"""" ) ) ) ),"""")
"),"")</f>
        <v/>
      </c>
      <c r="D641" s="105"/>
      <c r="E641" s="105"/>
      <c r="F641" s="110" t="b">
        <v>0</v>
      </c>
      <c r="G641" s="105" t="str">
        <f>IF(F641=True, IFERROR(VLOOKUP(D641, Repository!A:B, 2, 0), ""), "")</f>
        <v/>
      </c>
      <c r="H641" s="105"/>
      <c r="I641" s="105"/>
      <c r="J641" s="105" t="str">
        <f>IF(F641=True, IFERROR(VLOOKUP(D641, Repository!A:C, 3, 0), ""), "")</f>
        <v/>
      </c>
      <c r="K641" s="105"/>
      <c r="L641" s="105" t="str">
        <f>IF(F641=True, IFERROR(VLOOKUP(D641, Repository!A:E, 5, 0), ""), "")</f>
        <v/>
      </c>
      <c r="M641" s="105"/>
      <c r="N641" s="105" t="str">
        <f>IF(F641=True, IFERROR(VLOOKUP(D641, Repository!A:G, 7, 0), ""), "")</f>
        <v/>
      </c>
      <c r="O641" s="105" t="str">
        <f>IFERROR(__xludf.DUMMYFUNCTION("ARRAY_CONSTRAIN(
  ARRAYFORMULA(
    IFERROR(
      LET(
        list, N641,
        arr, TRIM(SPLIT(list, "","")),
        names, XLOOKUP(
          arr,
          'Conformance Score'!A:A,
          'Conformance Score'!B:B,
          ""Not found""
      "&amp;"  ),
        TEXTJOIN("", "", TRUE, names)
      ),
      """"
    )
  ),
  1,
  1
)
"),"")</f>
        <v/>
      </c>
      <c r="P641" s="105" t="str">
        <f>IF(F641="Yes", IFERROR(VLOOKUP(D641, Repository!A:F, 6, 0), ""), "")</f>
        <v/>
      </c>
      <c r="Q641" s="105" t="str">
        <f>IF(F641="Yes", IFERROR(VLOOKUP(D641, Repository!A:I, 8, 0), ""), "")</f>
        <v/>
      </c>
      <c r="R641" s="105" t="str">
        <f>IF(F641="Yes", IFERROR(VLOOKUP(D641, Repository!A:J, 9, 0), ""), "")</f>
        <v/>
      </c>
      <c r="S641" s="105"/>
      <c r="T641" s="105"/>
      <c r="U641" s="105"/>
      <c r="V641" s="105"/>
      <c r="W641" s="105"/>
      <c r="X641" s="105"/>
      <c r="Y641" s="105"/>
      <c r="Z641" s="105"/>
      <c r="AA641" s="105"/>
      <c r="AB641" s="105"/>
      <c r="AC641" s="91"/>
      <c r="AD641" s="105"/>
      <c r="AE641" s="105"/>
      <c r="AF641" s="91"/>
      <c r="AG641" s="105"/>
      <c r="AH641" s="105"/>
      <c r="AI641" s="105" t="str">
        <f t="shared" si="1"/>
        <v/>
      </c>
      <c r="AJ641" s="108" t="str">
        <f t="shared" si="2"/>
        <v/>
      </c>
    </row>
    <row r="642" ht="15.75" customHeight="1">
      <c r="A642" s="104"/>
      <c r="B642" s="105" t="str">
        <f>IFERROR(__xludf.DUMMYFUNCTION("ARRAY_CONSTRAIN(
  ARRAYFORMULA(
    IF(
      'Final Report'!A642="""",
      """",
      TEXTJOIN(
        "", "" &amp; CHAR(10),
        TRUE,
        IFERROR(
          VLOOKUP(
            TRIM(
              SPLIT('Final Report'!A642, "","")
           "&amp;" ),
            'URL Details'!A:B,
            2,
            FALSE
          ),
          """"
        )
      )
    )
  ),
  1,
  1
)
"),"")</f>
        <v/>
      </c>
      <c r="C642" s="105" t="str">
        <f>IFERROR(__xludf.DUMMYFUNCTION("IFERROR(IF('Final Report'!A642="""","""", TEXTJOIN(CHAR(10), TRUE, ARRAYFORMULA( ""• ""&amp; FILTER( TRIM(FLATTEN(SPLIT( REGEXREPLACE( SUBSTITUTE(TEXTJOIN("","", TRUE, IFERROR(ARRAYFORMULA(VLOOKUP(TRIM(SPLIT('Final Report'!A642, "","")), 'URL Details'!A:D, 4,"&amp;" FALSE)),"""") ), CHAR(10), "",""), ""\s*,\s*"", "",""), "",""))), TRIM(FLATTEN(SPLIT( REGEXREPLACE( SUBSTITUTE(TEXTJOIN("","", TRUE, IFERROR(ARRAYFORMULA(VLOOKUP(TRIM(SPLIT('Final Report'!A642, "","")), 'URL Details'!A:D, 4, FALSE)),"""") ), CHAR(10), """&amp;",""), ""\s*,\s*"", "",""), "","")))&lt;&gt;"""" ) ) ) ),"""")
"),"")</f>
        <v/>
      </c>
      <c r="D642" s="105"/>
      <c r="E642" s="105"/>
      <c r="F642" s="110" t="b">
        <v>0</v>
      </c>
      <c r="G642" s="105" t="str">
        <f>IF(F642=True, IFERROR(VLOOKUP(D642, Repository!A:B, 2, 0), ""), "")</f>
        <v/>
      </c>
      <c r="H642" s="105"/>
      <c r="I642" s="105"/>
      <c r="J642" s="105" t="str">
        <f>IF(F642=True, IFERROR(VLOOKUP(D642, Repository!A:C, 3, 0), ""), "")</f>
        <v/>
      </c>
      <c r="K642" s="105"/>
      <c r="L642" s="105" t="str">
        <f>IF(F642=True, IFERROR(VLOOKUP(D642, Repository!A:E, 5, 0), ""), "")</f>
        <v/>
      </c>
      <c r="M642" s="105"/>
      <c r="N642" s="105" t="str">
        <f>IF(F642=True, IFERROR(VLOOKUP(D642, Repository!A:G, 7, 0), ""), "")</f>
        <v/>
      </c>
      <c r="O642" s="105" t="str">
        <f>IFERROR(__xludf.DUMMYFUNCTION("ARRAY_CONSTRAIN(
  ARRAYFORMULA(
    IFERROR(
      LET(
        list, N642,
        arr, TRIM(SPLIT(list, "","")),
        names, XLOOKUP(
          arr,
          'Conformance Score'!A:A,
          'Conformance Score'!B:B,
          ""Not found""
      "&amp;"  ),
        TEXTJOIN("", "", TRUE, names)
      ),
      """"
    )
  ),
  1,
  1
)
"),"")</f>
        <v/>
      </c>
      <c r="P642" s="105" t="str">
        <f>IF(F642="Yes", IFERROR(VLOOKUP(D642, Repository!A:F, 6, 0), ""), "")</f>
        <v/>
      </c>
      <c r="Q642" s="105" t="str">
        <f>IF(F642="Yes", IFERROR(VLOOKUP(D642, Repository!A:I, 8, 0), ""), "")</f>
        <v/>
      </c>
      <c r="R642" s="105" t="str">
        <f>IF(F642="Yes", IFERROR(VLOOKUP(D642, Repository!A:J, 9, 0), ""), "")</f>
        <v/>
      </c>
      <c r="S642" s="105"/>
      <c r="T642" s="105"/>
      <c r="U642" s="105"/>
      <c r="V642" s="105"/>
      <c r="W642" s="105"/>
      <c r="X642" s="105"/>
      <c r="Y642" s="105"/>
      <c r="Z642" s="105"/>
      <c r="AA642" s="105"/>
      <c r="AB642" s="105"/>
      <c r="AC642" s="91"/>
      <c r="AD642" s="105"/>
      <c r="AE642" s="105"/>
      <c r="AF642" s="91"/>
      <c r="AG642" s="105"/>
      <c r="AH642" s="105"/>
      <c r="AI642" s="105" t="str">
        <f t="shared" si="1"/>
        <v/>
      </c>
      <c r="AJ642" s="108" t="str">
        <f t="shared" si="2"/>
        <v/>
      </c>
    </row>
    <row r="643" ht="15.75" customHeight="1">
      <c r="A643" s="104"/>
      <c r="B643" s="105" t="str">
        <f>IFERROR(__xludf.DUMMYFUNCTION("ARRAY_CONSTRAIN(
  ARRAYFORMULA(
    IF(
      'Final Report'!A643="""",
      """",
      TEXTJOIN(
        "", "" &amp; CHAR(10),
        TRUE,
        IFERROR(
          VLOOKUP(
            TRIM(
              SPLIT('Final Report'!A643, "","")
           "&amp;" ),
            'URL Details'!A:B,
            2,
            FALSE
          ),
          """"
        )
      )
    )
  ),
  1,
  1
)
"),"")</f>
        <v/>
      </c>
      <c r="C643" s="105" t="str">
        <f>IFERROR(__xludf.DUMMYFUNCTION("IFERROR(IF('Final Report'!A643="""","""", TEXTJOIN(CHAR(10), TRUE, ARRAYFORMULA( ""• ""&amp; FILTER( TRIM(FLATTEN(SPLIT( REGEXREPLACE( SUBSTITUTE(TEXTJOIN("","", TRUE, IFERROR(ARRAYFORMULA(VLOOKUP(TRIM(SPLIT('Final Report'!A643, "","")), 'URL Details'!A:D, 4,"&amp;" FALSE)),"""") ), CHAR(10), "",""), ""\s*,\s*"", "",""), "",""))), TRIM(FLATTEN(SPLIT( REGEXREPLACE( SUBSTITUTE(TEXTJOIN("","", TRUE, IFERROR(ARRAYFORMULA(VLOOKUP(TRIM(SPLIT('Final Report'!A643, "","")), 'URL Details'!A:D, 4, FALSE)),"""") ), CHAR(10), """&amp;",""), ""\s*,\s*"", "",""), "","")))&lt;&gt;"""" ) ) ) ),"""")
"),"")</f>
        <v/>
      </c>
      <c r="D643" s="105"/>
      <c r="E643" s="105"/>
      <c r="F643" s="110" t="b">
        <v>0</v>
      </c>
      <c r="G643" s="105" t="str">
        <f>IF(F643=True, IFERROR(VLOOKUP(D643, Repository!A:B, 2, 0), ""), "")</f>
        <v/>
      </c>
      <c r="H643" s="105"/>
      <c r="I643" s="105"/>
      <c r="J643" s="105" t="str">
        <f>IF(F643=True, IFERROR(VLOOKUP(D643, Repository!A:C, 3, 0), ""), "")</f>
        <v/>
      </c>
      <c r="K643" s="105"/>
      <c r="L643" s="105" t="str">
        <f>IF(F643=True, IFERROR(VLOOKUP(D643, Repository!A:E, 5, 0), ""), "")</f>
        <v/>
      </c>
      <c r="M643" s="105"/>
      <c r="N643" s="105" t="str">
        <f>IF(F643=True, IFERROR(VLOOKUP(D643, Repository!A:G, 7, 0), ""), "")</f>
        <v/>
      </c>
      <c r="O643" s="105" t="str">
        <f>IFERROR(__xludf.DUMMYFUNCTION("ARRAY_CONSTRAIN(
  ARRAYFORMULA(
    IFERROR(
      LET(
        list, N643,
        arr, TRIM(SPLIT(list, "","")),
        names, XLOOKUP(
          arr,
          'Conformance Score'!A:A,
          'Conformance Score'!B:B,
          ""Not found""
      "&amp;"  ),
        TEXTJOIN("", "", TRUE, names)
      ),
      """"
    )
  ),
  1,
  1
)
"),"")</f>
        <v/>
      </c>
      <c r="P643" s="105" t="str">
        <f>IF(F643="Yes", IFERROR(VLOOKUP(D643, Repository!A:F, 6, 0), ""), "")</f>
        <v/>
      </c>
      <c r="Q643" s="105" t="str">
        <f>IF(F643="Yes", IFERROR(VLOOKUP(D643, Repository!A:I, 8, 0), ""), "")</f>
        <v/>
      </c>
      <c r="R643" s="105" t="str">
        <f>IF(F643="Yes", IFERROR(VLOOKUP(D643, Repository!A:J, 9, 0), ""), "")</f>
        <v/>
      </c>
      <c r="S643" s="105"/>
      <c r="T643" s="105"/>
      <c r="U643" s="105"/>
      <c r="V643" s="105"/>
      <c r="W643" s="105"/>
      <c r="X643" s="105"/>
      <c r="Y643" s="105"/>
      <c r="Z643" s="105"/>
      <c r="AA643" s="105"/>
      <c r="AB643" s="105"/>
      <c r="AC643" s="91"/>
      <c r="AD643" s="105"/>
      <c r="AE643" s="105"/>
      <c r="AF643" s="91"/>
      <c r="AG643" s="105"/>
      <c r="AH643" s="105"/>
      <c r="AI643" s="105" t="str">
        <f t="shared" si="1"/>
        <v/>
      </c>
      <c r="AJ643" s="108" t="str">
        <f t="shared" si="2"/>
        <v/>
      </c>
    </row>
    <row r="644" ht="15.75" customHeight="1">
      <c r="A644" s="104"/>
      <c r="B644" s="105" t="str">
        <f>IFERROR(__xludf.DUMMYFUNCTION("ARRAY_CONSTRAIN(
  ARRAYFORMULA(
    IF(
      'Final Report'!A644="""",
      """",
      TEXTJOIN(
        "", "" &amp; CHAR(10),
        TRUE,
        IFERROR(
          VLOOKUP(
            TRIM(
              SPLIT('Final Report'!A644, "","")
           "&amp;" ),
            'URL Details'!A:B,
            2,
            FALSE
          ),
          """"
        )
      )
    )
  ),
  1,
  1
)
"),"")</f>
        <v/>
      </c>
      <c r="C644" s="105" t="str">
        <f>IFERROR(__xludf.DUMMYFUNCTION("IFERROR(IF('Final Report'!A644="""","""", TEXTJOIN(CHAR(10), TRUE, ARRAYFORMULA( ""• ""&amp; FILTER( TRIM(FLATTEN(SPLIT( REGEXREPLACE( SUBSTITUTE(TEXTJOIN("","", TRUE, IFERROR(ARRAYFORMULA(VLOOKUP(TRIM(SPLIT('Final Report'!A644, "","")), 'URL Details'!A:D, 4,"&amp;" FALSE)),"""") ), CHAR(10), "",""), ""\s*,\s*"", "",""), "",""))), TRIM(FLATTEN(SPLIT( REGEXREPLACE( SUBSTITUTE(TEXTJOIN("","", TRUE, IFERROR(ARRAYFORMULA(VLOOKUP(TRIM(SPLIT('Final Report'!A644, "","")), 'URL Details'!A:D, 4, FALSE)),"""") ), CHAR(10), """&amp;",""), ""\s*,\s*"", "",""), "","")))&lt;&gt;"""" ) ) ) ),"""")
"),"")</f>
        <v/>
      </c>
      <c r="D644" s="105"/>
      <c r="E644" s="105"/>
      <c r="F644" s="110" t="b">
        <v>0</v>
      </c>
      <c r="G644" s="105" t="str">
        <f>IF(F644=True, IFERROR(VLOOKUP(D644, Repository!A:B, 2, 0), ""), "")</f>
        <v/>
      </c>
      <c r="H644" s="105"/>
      <c r="I644" s="105"/>
      <c r="J644" s="105" t="str">
        <f>IF(F644=True, IFERROR(VLOOKUP(D644, Repository!A:C, 3, 0), ""), "")</f>
        <v/>
      </c>
      <c r="K644" s="105"/>
      <c r="L644" s="105" t="str">
        <f>IF(F644=True, IFERROR(VLOOKUP(D644, Repository!A:E, 5, 0), ""), "")</f>
        <v/>
      </c>
      <c r="M644" s="105"/>
      <c r="N644" s="105" t="str">
        <f>IF(F644=True, IFERROR(VLOOKUP(D644, Repository!A:G, 7, 0), ""), "")</f>
        <v/>
      </c>
      <c r="O644" s="105" t="str">
        <f>IFERROR(__xludf.DUMMYFUNCTION("ARRAY_CONSTRAIN(
  ARRAYFORMULA(
    IFERROR(
      LET(
        list, N644,
        arr, TRIM(SPLIT(list, "","")),
        names, XLOOKUP(
          arr,
          'Conformance Score'!A:A,
          'Conformance Score'!B:B,
          ""Not found""
      "&amp;"  ),
        TEXTJOIN("", "", TRUE, names)
      ),
      """"
    )
  ),
  1,
  1
)
"),"")</f>
        <v/>
      </c>
      <c r="P644" s="105" t="str">
        <f>IF(F644="Yes", IFERROR(VLOOKUP(D644, Repository!A:F, 6, 0), ""), "")</f>
        <v/>
      </c>
      <c r="Q644" s="105" t="str">
        <f>IF(F644="Yes", IFERROR(VLOOKUP(D644, Repository!A:I, 8, 0), ""), "")</f>
        <v/>
      </c>
      <c r="R644" s="105" t="str">
        <f>IF(F644="Yes", IFERROR(VLOOKUP(D644, Repository!A:J, 9, 0), ""), "")</f>
        <v/>
      </c>
      <c r="S644" s="105"/>
      <c r="T644" s="105"/>
      <c r="U644" s="105"/>
      <c r="V644" s="105"/>
      <c r="W644" s="105"/>
      <c r="X644" s="105"/>
      <c r="Y644" s="105"/>
      <c r="Z644" s="105"/>
      <c r="AA644" s="105"/>
      <c r="AB644" s="105"/>
      <c r="AC644" s="91"/>
      <c r="AD644" s="105"/>
      <c r="AE644" s="105"/>
      <c r="AF644" s="91"/>
      <c r="AG644" s="105"/>
      <c r="AH644" s="105"/>
      <c r="AI644" s="105" t="str">
        <f t="shared" si="1"/>
        <v/>
      </c>
      <c r="AJ644" s="108" t="str">
        <f t="shared" si="2"/>
        <v/>
      </c>
    </row>
    <row r="645" ht="15.75" customHeight="1">
      <c r="A645" s="104"/>
      <c r="B645" s="105" t="str">
        <f>IFERROR(__xludf.DUMMYFUNCTION("ARRAY_CONSTRAIN(
  ARRAYFORMULA(
    IF(
      'Final Report'!A645="""",
      """",
      TEXTJOIN(
        "", "" &amp; CHAR(10),
        TRUE,
        IFERROR(
          VLOOKUP(
            TRIM(
              SPLIT('Final Report'!A645, "","")
           "&amp;" ),
            'URL Details'!A:B,
            2,
            FALSE
          ),
          """"
        )
      )
    )
  ),
  1,
  1
)
"),"")</f>
        <v/>
      </c>
      <c r="C645" s="105" t="str">
        <f>IFERROR(__xludf.DUMMYFUNCTION("IFERROR(IF('Final Report'!A645="""","""", TEXTJOIN(CHAR(10), TRUE, ARRAYFORMULA( ""• ""&amp; FILTER( TRIM(FLATTEN(SPLIT( REGEXREPLACE( SUBSTITUTE(TEXTJOIN("","", TRUE, IFERROR(ARRAYFORMULA(VLOOKUP(TRIM(SPLIT('Final Report'!A645, "","")), 'URL Details'!A:D, 4,"&amp;" FALSE)),"""") ), CHAR(10), "",""), ""\s*,\s*"", "",""), "",""))), TRIM(FLATTEN(SPLIT( REGEXREPLACE( SUBSTITUTE(TEXTJOIN("","", TRUE, IFERROR(ARRAYFORMULA(VLOOKUP(TRIM(SPLIT('Final Report'!A645, "","")), 'URL Details'!A:D, 4, FALSE)),"""") ), CHAR(10), """&amp;",""), ""\s*,\s*"", "",""), "","")))&lt;&gt;"""" ) ) ) ),"""")
"),"")</f>
        <v/>
      </c>
      <c r="D645" s="105"/>
      <c r="E645" s="105"/>
      <c r="F645" s="110" t="b">
        <v>0</v>
      </c>
      <c r="G645" s="105" t="str">
        <f>IF(F645=True, IFERROR(VLOOKUP(D645, Repository!A:B, 2, 0), ""), "")</f>
        <v/>
      </c>
      <c r="H645" s="105"/>
      <c r="I645" s="105"/>
      <c r="J645" s="105" t="str">
        <f>IF(F645=True, IFERROR(VLOOKUP(D645, Repository!A:C, 3, 0), ""), "")</f>
        <v/>
      </c>
      <c r="K645" s="105"/>
      <c r="L645" s="105" t="str">
        <f>IF(F645=True, IFERROR(VLOOKUP(D645, Repository!A:E, 5, 0), ""), "")</f>
        <v/>
      </c>
      <c r="M645" s="105"/>
      <c r="N645" s="105" t="str">
        <f>IF(F645=True, IFERROR(VLOOKUP(D645, Repository!A:G, 7, 0), ""), "")</f>
        <v/>
      </c>
      <c r="O645" s="105" t="str">
        <f>IFERROR(__xludf.DUMMYFUNCTION("ARRAY_CONSTRAIN(
  ARRAYFORMULA(
    IFERROR(
      LET(
        list, N645,
        arr, TRIM(SPLIT(list, "","")),
        names, XLOOKUP(
          arr,
          'Conformance Score'!A:A,
          'Conformance Score'!B:B,
          ""Not found""
      "&amp;"  ),
        TEXTJOIN("", "", TRUE, names)
      ),
      """"
    )
  ),
  1,
  1
)
"),"")</f>
        <v/>
      </c>
      <c r="P645" s="105" t="str">
        <f>IF(F645="Yes", IFERROR(VLOOKUP(D645, Repository!A:F, 6, 0), ""), "")</f>
        <v/>
      </c>
      <c r="Q645" s="105" t="str">
        <f>IF(F645="Yes", IFERROR(VLOOKUP(D645, Repository!A:I, 8, 0), ""), "")</f>
        <v/>
      </c>
      <c r="R645" s="105" t="str">
        <f>IF(F645="Yes", IFERROR(VLOOKUP(D645, Repository!A:J, 9, 0), ""), "")</f>
        <v/>
      </c>
      <c r="S645" s="105"/>
      <c r="T645" s="105"/>
      <c r="U645" s="105"/>
      <c r="V645" s="105"/>
      <c r="W645" s="105"/>
      <c r="X645" s="105"/>
      <c r="Y645" s="105"/>
      <c r="Z645" s="105"/>
      <c r="AA645" s="105"/>
      <c r="AB645" s="105"/>
      <c r="AC645" s="91"/>
      <c r="AD645" s="105"/>
      <c r="AE645" s="105"/>
      <c r="AF645" s="91"/>
      <c r="AG645" s="105"/>
      <c r="AH645" s="105"/>
      <c r="AI645" s="105" t="str">
        <f t="shared" si="1"/>
        <v/>
      </c>
      <c r="AJ645" s="108" t="str">
        <f t="shared" si="2"/>
        <v/>
      </c>
    </row>
    <row r="646" ht="15.75" customHeight="1">
      <c r="A646" s="104"/>
      <c r="B646" s="105" t="str">
        <f>IFERROR(__xludf.DUMMYFUNCTION("ARRAY_CONSTRAIN(
  ARRAYFORMULA(
    IF(
      'Final Report'!A646="""",
      """",
      TEXTJOIN(
        "", "" &amp; CHAR(10),
        TRUE,
        IFERROR(
          VLOOKUP(
            TRIM(
              SPLIT('Final Report'!A646, "","")
           "&amp;" ),
            'URL Details'!A:B,
            2,
            FALSE
          ),
          """"
        )
      )
    )
  ),
  1,
  1
)
"),"")</f>
        <v/>
      </c>
      <c r="C646" s="105" t="str">
        <f>IFERROR(__xludf.DUMMYFUNCTION("IFERROR(IF('Final Report'!A646="""","""", TEXTJOIN(CHAR(10), TRUE, ARRAYFORMULA( ""• ""&amp; FILTER( TRIM(FLATTEN(SPLIT( REGEXREPLACE( SUBSTITUTE(TEXTJOIN("","", TRUE, IFERROR(ARRAYFORMULA(VLOOKUP(TRIM(SPLIT('Final Report'!A646, "","")), 'URL Details'!A:D, 4,"&amp;" FALSE)),"""") ), CHAR(10), "",""), ""\s*,\s*"", "",""), "",""))), TRIM(FLATTEN(SPLIT( REGEXREPLACE( SUBSTITUTE(TEXTJOIN("","", TRUE, IFERROR(ARRAYFORMULA(VLOOKUP(TRIM(SPLIT('Final Report'!A646, "","")), 'URL Details'!A:D, 4, FALSE)),"""") ), CHAR(10), """&amp;",""), ""\s*,\s*"", "",""), "","")))&lt;&gt;"""" ) ) ) ),"""")
"),"")</f>
        <v/>
      </c>
      <c r="D646" s="105"/>
      <c r="E646" s="105"/>
      <c r="F646" s="110" t="b">
        <v>0</v>
      </c>
      <c r="G646" s="105" t="str">
        <f>IF(F646=True, IFERROR(VLOOKUP(D646, Repository!A:B, 2, 0), ""), "")</f>
        <v/>
      </c>
      <c r="H646" s="105"/>
      <c r="I646" s="105"/>
      <c r="J646" s="105" t="str">
        <f>IF(F646=True, IFERROR(VLOOKUP(D646, Repository!A:C, 3, 0), ""), "")</f>
        <v/>
      </c>
      <c r="K646" s="105"/>
      <c r="L646" s="105" t="str">
        <f>IF(F646=True, IFERROR(VLOOKUP(D646, Repository!A:E, 5, 0), ""), "")</f>
        <v/>
      </c>
      <c r="M646" s="105"/>
      <c r="N646" s="105" t="str">
        <f>IF(F646=True, IFERROR(VLOOKUP(D646, Repository!A:G, 7, 0), ""), "")</f>
        <v/>
      </c>
      <c r="O646" s="105" t="str">
        <f>IFERROR(__xludf.DUMMYFUNCTION("ARRAY_CONSTRAIN(
  ARRAYFORMULA(
    IFERROR(
      LET(
        list, N646,
        arr, TRIM(SPLIT(list, "","")),
        names, XLOOKUP(
          arr,
          'Conformance Score'!A:A,
          'Conformance Score'!B:B,
          ""Not found""
      "&amp;"  ),
        TEXTJOIN("", "", TRUE, names)
      ),
      """"
    )
  ),
  1,
  1
)
"),"")</f>
        <v/>
      </c>
      <c r="P646" s="105" t="str">
        <f>IF(F646="Yes", IFERROR(VLOOKUP(D646, Repository!A:F, 6, 0), ""), "")</f>
        <v/>
      </c>
      <c r="Q646" s="105" t="str">
        <f>IF(F646="Yes", IFERROR(VLOOKUP(D646, Repository!A:I, 8, 0), ""), "")</f>
        <v/>
      </c>
      <c r="R646" s="105" t="str">
        <f>IF(F646="Yes", IFERROR(VLOOKUP(D646, Repository!A:J, 9, 0), ""), "")</f>
        <v/>
      </c>
      <c r="S646" s="105"/>
      <c r="T646" s="105"/>
      <c r="U646" s="105"/>
      <c r="V646" s="105"/>
      <c r="W646" s="105"/>
      <c r="X646" s="105"/>
      <c r="Y646" s="105"/>
      <c r="Z646" s="105"/>
      <c r="AA646" s="105"/>
      <c r="AB646" s="105"/>
      <c r="AC646" s="91"/>
      <c r="AD646" s="105"/>
      <c r="AE646" s="105"/>
      <c r="AF646" s="91"/>
      <c r="AG646" s="105"/>
      <c r="AH646" s="105"/>
      <c r="AI646" s="105" t="str">
        <f t="shared" si="1"/>
        <v/>
      </c>
      <c r="AJ646" s="108" t="str">
        <f t="shared" si="2"/>
        <v/>
      </c>
    </row>
    <row r="647" ht="15.75" customHeight="1">
      <c r="A647" s="104"/>
      <c r="B647" s="105" t="str">
        <f>IFERROR(__xludf.DUMMYFUNCTION("ARRAY_CONSTRAIN(
  ARRAYFORMULA(
    IF(
      'Final Report'!A647="""",
      """",
      TEXTJOIN(
        "", "" &amp; CHAR(10),
        TRUE,
        IFERROR(
          VLOOKUP(
            TRIM(
              SPLIT('Final Report'!A647, "","")
           "&amp;" ),
            'URL Details'!A:B,
            2,
            FALSE
          ),
          """"
        )
      )
    )
  ),
  1,
  1
)
"),"")</f>
        <v/>
      </c>
      <c r="C647" s="105" t="str">
        <f>IFERROR(__xludf.DUMMYFUNCTION("IFERROR(IF('Final Report'!A647="""","""", TEXTJOIN(CHAR(10), TRUE, ARRAYFORMULA( ""• ""&amp; FILTER( TRIM(FLATTEN(SPLIT( REGEXREPLACE( SUBSTITUTE(TEXTJOIN("","", TRUE, IFERROR(ARRAYFORMULA(VLOOKUP(TRIM(SPLIT('Final Report'!A647, "","")), 'URL Details'!A:D, 4,"&amp;" FALSE)),"""") ), CHAR(10), "",""), ""\s*,\s*"", "",""), "",""))), TRIM(FLATTEN(SPLIT( REGEXREPLACE( SUBSTITUTE(TEXTJOIN("","", TRUE, IFERROR(ARRAYFORMULA(VLOOKUP(TRIM(SPLIT('Final Report'!A647, "","")), 'URL Details'!A:D, 4, FALSE)),"""") ), CHAR(10), """&amp;",""), ""\s*,\s*"", "",""), "","")))&lt;&gt;"""" ) ) ) ),"""")
"),"")</f>
        <v/>
      </c>
      <c r="D647" s="105"/>
      <c r="E647" s="105"/>
      <c r="F647" s="110" t="b">
        <v>0</v>
      </c>
      <c r="G647" s="105" t="str">
        <f>IF(F647=True, IFERROR(VLOOKUP(D647, Repository!A:B, 2, 0), ""), "")</f>
        <v/>
      </c>
      <c r="H647" s="105"/>
      <c r="I647" s="105"/>
      <c r="J647" s="105" t="str">
        <f>IF(F647=True, IFERROR(VLOOKUP(D647, Repository!A:C, 3, 0), ""), "")</f>
        <v/>
      </c>
      <c r="K647" s="105"/>
      <c r="L647" s="105" t="str">
        <f>IF(F647=True, IFERROR(VLOOKUP(D647, Repository!A:E, 5, 0), ""), "")</f>
        <v/>
      </c>
      <c r="M647" s="105"/>
      <c r="N647" s="105" t="str">
        <f>IF(F647=True, IFERROR(VLOOKUP(D647, Repository!A:G, 7, 0), ""), "")</f>
        <v/>
      </c>
      <c r="O647" s="105" t="str">
        <f>IFERROR(__xludf.DUMMYFUNCTION("ARRAY_CONSTRAIN(
  ARRAYFORMULA(
    IFERROR(
      LET(
        list, N647,
        arr, TRIM(SPLIT(list, "","")),
        names, XLOOKUP(
          arr,
          'Conformance Score'!A:A,
          'Conformance Score'!B:B,
          ""Not found""
      "&amp;"  ),
        TEXTJOIN("", "", TRUE, names)
      ),
      """"
    )
  ),
  1,
  1
)
"),"")</f>
        <v/>
      </c>
      <c r="P647" s="105" t="str">
        <f>IF(F647="Yes", IFERROR(VLOOKUP(D647, Repository!A:F, 6, 0), ""), "")</f>
        <v/>
      </c>
      <c r="Q647" s="105" t="str">
        <f>IF(F647="Yes", IFERROR(VLOOKUP(D647, Repository!A:I, 8, 0), ""), "")</f>
        <v/>
      </c>
      <c r="R647" s="105" t="str">
        <f>IF(F647="Yes", IFERROR(VLOOKUP(D647, Repository!A:J, 9, 0), ""), "")</f>
        <v/>
      </c>
      <c r="S647" s="105"/>
      <c r="T647" s="105"/>
      <c r="U647" s="105"/>
      <c r="V647" s="105"/>
      <c r="W647" s="105"/>
      <c r="X647" s="105"/>
      <c r="Y647" s="105"/>
      <c r="Z647" s="105"/>
      <c r="AA647" s="105"/>
      <c r="AB647" s="105"/>
      <c r="AC647" s="91"/>
      <c r="AD647" s="105"/>
      <c r="AE647" s="105"/>
      <c r="AF647" s="91"/>
      <c r="AG647" s="105"/>
      <c r="AH647" s="105"/>
      <c r="AI647" s="105" t="str">
        <f t="shared" si="1"/>
        <v/>
      </c>
      <c r="AJ647" s="108" t="str">
        <f t="shared" si="2"/>
        <v/>
      </c>
    </row>
    <row r="648" ht="15.75" customHeight="1">
      <c r="A648" s="104"/>
      <c r="B648" s="105" t="str">
        <f>IFERROR(__xludf.DUMMYFUNCTION("ARRAY_CONSTRAIN(
  ARRAYFORMULA(
    IF(
      'Final Report'!A648="""",
      """",
      TEXTJOIN(
        "", "" &amp; CHAR(10),
        TRUE,
        IFERROR(
          VLOOKUP(
            TRIM(
              SPLIT('Final Report'!A648, "","")
           "&amp;" ),
            'URL Details'!A:B,
            2,
            FALSE
          ),
          """"
        )
      )
    )
  ),
  1,
  1
)
"),"")</f>
        <v/>
      </c>
      <c r="C648" s="105" t="str">
        <f>IFERROR(__xludf.DUMMYFUNCTION("IFERROR(IF('Final Report'!A648="""","""", TEXTJOIN(CHAR(10), TRUE, ARRAYFORMULA( ""• ""&amp; FILTER( TRIM(FLATTEN(SPLIT( REGEXREPLACE( SUBSTITUTE(TEXTJOIN("","", TRUE, IFERROR(ARRAYFORMULA(VLOOKUP(TRIM(SPLIT('Final Report'!A648, "","")), 'URL Details'!A:D, 4,"&amp;" FALSE)),"""") ), CHAR(10), "",""), ""\s*,\s*"", "",""), "",""))), TRIM(FLATTEN(SPLIT( REGEXREPLACE( SUBSTITUTE(TEXTJOIN("","", TRUE, IFERROR(ARRAYFORMULA(VLOOKUP(TRIM(SPLIT('Final Report'!A648, "","")), 'URL Details'!A:D, 4, FALSE)),"""") ), CHAR(10), """&amp;",""), ""\s*,\s*"", "",""), "","")))&lt;&gt;"""" ) ) ) ),"""")
"),"")</f>
        <v/>
      </c>
      <c r="D648" s="105"/>
      <c r="E648" s="105"/>
      <c r="F648" s="110" t="b">
        <v>0</v>
      </c>
      <c r="G648" s="105" t="str">
        <f>IF(F648=True, IFERROR(VLOOKUP(D648, Repository!A:B, 2, 0), ""), "")</f>
        <v/>
      </c>
      <c r="H648" s="105"/>
      <c r="I648" s="105"/>
      <c r="J648" s="105" t="str">
        <f>IF(F648=True, IFERROR(VLOOKUP(D648, Repository!A:C, 3, 0), ""), "")</f>
        <v/>
      </c>
      <c r="K648" s="105"/>
      <c r="L648" s="105" t="str">
        <f>IF(F648=True, IFERROR(VLOOKUP(D648, Repository!A:E, 5, 0), ""), "")</f>
        <v/>
      </c>
      <c r="M648" s="105"/>
      <c r="N648" s="105" t="str">
        <f>IF(F648=True, IFERROR(VLOOKUP(D648, Repository!A:G, 7, 0), ""), "")</f>
        <v/>
      </c>
      <c r="O648" s="105" t="str">
        <f>IFERROR(__xludf.DUMMYFUNCTION("ARRAY_CONSTRAIN(
  ARRAYFORMULA(
    IFERROR(
      LET(
        list, N648,
        arr, TRIM(SPLIT(list, "","")),
        names, XLOOKUP(
          arr,
          'Conformance Score'!A:A,
          'Conformance Score'!B:B,
          ""Not found""
      "&amp;"  ),
        TEXTJOIN("", "", TRUE, names)
      ),
      """"
    )
  ),
  1,
  1
)
"),"")</f>
        <v/>
      </c>
      <c r="P648" s="105" t="str">
        <f>IF(F648="Yes", IFERROR(VLOOKUP(D648, Repository!A:F, 6, 0), ""), "")</f>
        <v/>
      </c>
      <c r="Q648" s="105" t="str">
        <f>IF(F648="Yes", IFERROR(VLOOKUP(D648, Repository!A:I, 8, 0), ""), "")</f>
        <v/>
      </c>
      <c r="R648" s="105" t="str">
        <f>IF(F648="Yes", IFERROR(VLOOKUP(D648, Repository!A:J, 9, 0), ""), "")</f>
        <v/>
      </c>
      <c r="S648" s="105"/>
      <c r="T648" s="105"/>
      <c r="U648" s="105"/>
      <c r="V648" s="105"/>
      <c r="W648" s="105"/>
      <c r="X648" s="105"/>
      <c r="Y648" s="105"/>
      <c r="Z648" s="105"/>
      <c r="AA648" s="105"/>
      <c r="AB648" s="105"/>
      <c r="AC648" s="91"/>
      <c r="AD648" s="105"/>
      <c r="AE648" s="105"/>
      <c r="AF648" s="91"/>
      <c r="AG648" s="105"/>
      <c r="AH648" s="105"/>
      <c r="AI648" s="105" t="str">
        <f t="shared" si="1"/>
        <v/>
      </c>
      <c r="AJ648" s="108" t="str">
        <f t="shared" si="2"/>
        <v/>
      </c>
    </row>
    <row r="649" ht="15.75" customHeight="1">
      <c r="A649" s="104"/>
      <c r="B649" s="105" t="str">
        <f>IFERROR(__xludf.DUMMYFUNCTION("ARRAY_CONSTRAIN(
  ARRAYFORMULA(
    IF(
      'Final Report'!A649="""",
      """",
      TEXTJOIN(
        "", "" &amp; CHAR(10),
        TRUE,
        IFERROR(
          VLOOKUP(
            TRIM(
              SPLIT('Final Report'!A649, "","")
           "&amp;" ),
            'URL Details'!A:B,
            2,
            FALSE
          ),
          """"
        )
      )
    )
  ),
  1,
  1
)
"),"")</f>
        <v/>
      </c>
      <c r="C649" s="105" t="str">
        <f>IFERROR(__xludf.DUMMYFUNCTION("IFERROR(IF('Final Report'!A649="""","""", TEXTJOIN(CHAR(10), TRUE, ARRAYFORMULA( ""• ""&amp; FILTER( TRIM(FLATTEN(SPLIT( REGEXREPLACE( SUBSTITUTE(TEXTJOIN("","", TRUE, IFERROR(ARRAYFORMULA(VLOOKUP(TRIM(SPLIT('Final Report'!A649, "","")), 'URL Details'!A:D, 4,"&amp;" FALSE)),"""") ), CHAR(10), "",""), ""\s*,\s*"", "",""), "",""))), TRIM(FLATTEN(SPLIT( REGEXREPLACE( SUBSTITUTE(TEXTJOIN("","", TRUE, IFERROR(ARRAYFORMULA(VLOOKUP(TRIM(SPLIT('Final Report'!A649, "","")), 'URL Details'!A:D, 4, FALSE)),"""") ), CHAR(10), """&amp;",""), ""\s*,\s*"", "",""), "","")))&lt;&gt;"""" ) ) ) ),"""")
"),"")</f>
        <v/>
      </c>
      <c r="D649" s="105"/>
      <c r="E649" s="105"/>
      <c r="F649" s="110" t="b">
        <v>0</v>
      </c>
      <c r="G649" s="105" t="str">
        <f>IF(F649=True, IFERROR(VLOOKUP(D649, Repository!A:B, 2, 0), ""), "")</f>
        <v/>
      </c>
      <c r="H649" s="105"/>
      <c r="I649" s="105"/>
      <c r="J649" s="105" t="str">
        <f>IF(F649=True, IFERROR(VLOOKUP(D649, Repository!A:C, 3, 0), ""), "")</f>
        <v/>
      </c>
      <c r="K649" s="105"/>
      <c r="L649" s="105" t="str">
        <f>IF(F649=True, IFERROR(VLOOKUP(D649, Repository!A:E, 5, 0), ""), "")</f>
        <v/>
      </c>
      <c r="M649" s="105"/>
      <c r="N649" s="105" t="str">
        <f>IF(F649=True, IFERROR(VLOOKUP(D649, Repository!A:G, 7, 0), ""), "")</f>
        <v/>
      </c>
      <c r="O649" s="105" t="str">
        <f>IFERROR(__xludf.DUMMYFUNCTION("ARRAY_CONSTRAIN(
  ARRAYFORMULA(
    IFERROR(
      LET(
        list, N649,
        arr, TRIM(SPLIT(list, "","")),
        names, XLOOKUP(
          arr,
          'Conformance Score'!A:A,
          'Conformance Score'!B:B,
          ""Not found""
      "&amp;"  ),
        TEXTJOIN("", "", TRUE, names)
      ),
      """"
    )
  ),
  1,
  1
)
"),"")</f>
        <v/>
      </c>
      <c r="P649" s="105" t="str">
        <f>IF(F649="Yes", IFERROR(VLOOKUP(D649, Repository!A:F, 6, 0), ""), "")</f>
        <v/>
      </c>
      <c r="Q649" s="105" t="str">
        <f>IF(F649="Yes", IFERROR(VLOOKUP(D649, Repository!A:I, 8, 0), ""), "")</f>
        <v/>
      </c>
      <c r="R649" s="105" t="str">
        <f>IF(F649="Yes", IFERROR(VLOOKUP(D649, Repository!A:J, 9, 0), ""), "")</f>
        <v/>
      </c>
      <c r="S649" s="105"/>
      <c r="T649" s="105"/>
      <c r="U649" s="105"/>
      <c r="V649" s="105"/>
      <c r="W649" s="105"/>
      <c r="X649" s="105"/>
      <c r="Y649" s="105"/>
      <c r="Z649" s="105"/>
      <c r="AA649" s="105"/>
      <c r="AB649" s="105"/>
      <c r="AC649" s="91"/>
      <c r="AD649" s="105"/>
      <c r="AE649" s="105"/>
      <c r="AF649" s="91"/>
      <c r="AG649" s="105"/>
      <c r="AH649" s="105"/>
      <c r="AI649" s="105" t="str">
        <f t="shared" si="1"/>
        <v/>
      </c>
      <c r="AJ649" s="108" t="str">
        <f t="shared" si="2"/>
        <v/>
      </c>
    </row>
    <row r="650" ht="15.75" customHeight="1">
      <c r="A650" s="104"/>
      <c r="B650" s="105" t="str">
        <f>IFERROR(__xludf.DUMMYFUNCTION("ARRAY_CONSTRAIN(
  ARRAYFORMULA(
    IF(
      'Final Report'!A650="""",
      """",
      TEXTJOIN(
        "", "" &amp; CHAR(10),
        TRUE,
        IFERROR(
          VLOOKUP(
            TRIM(
              SPLIT('Final Report'!A650, "","")
           "&amp;" ),
            'URL Details'!A:B,
            2,
            FALSE
          ),
          """"
        )
      )
    )
  ),
  1,
  1
)
"),"")</f>
        <v/>
      </c>
      <c r="C650" s="105" t="str">
        <f>IFERROR(__xludf.DUMMYFUNCTION("IFERROR(IF('Final Report'!A650="""","""", TEXTJOIN(CHAR(10), TRUE, ARRAYFORMULA( ""• ""&amp; FILTER( TRIM(FLATTEN(SPLIT( REGEXREPLACE( SUBSTITUTE(TEXTJOIN("","", TRUE, IFERROR(ARRAYFORMULA(VLOOKUP(TRIM(SPLIT('Final Report'!A650, "","")), 'URL Details'!A:D, 4,"&amp;" FALSE)),"""") ), CHAR(10), "",""), ""\s*,\s*"", "",""), "",""))), TRIM(FLATTEN(SPLIT( REGEXREPLACE( SUBSTITUTE(TEXTJOIN("","", TRUE, IFERROR(ARRAYFORMULA(VLOOKUP(TRIM(SPLIT('Final Report'!A650, "","")), 'URL Details'!A:D, 4, FALSE)),"""") ), CHAR(10), """&amp;",""), ""\s*,\s*"", "",""), "","")))&lt;&gt;"""" ) ) ) ),"""")
"),"")</f>
        <v/>
      </c>
      <c r="D650" s="105"/>
      <c r="E650" s="105"/>
      <c r="F650" s="110" t="b">
        <v>0</v>
      </c>
      <c r="G650" s="105" t="str">
        <f>IF(F650=True, IFERROR(VLOOKUP(D650, Repository!A:B, 2, 0), ""), "")</f>
        <v/>
      </c>
      <c r="H650" s="105"/>
      <c r="I650" s="105"/>
      <c r="J650" s="105" t="str">
        <f>IF(F650=True, IFERROR(VLOOKUP(D650, Repository!A:C, 3, 0), ""), "")</f>
        <v/>
      </c>
      <c r="K650" s="105"/>
      <c r="L650" s="105" t="str">
        <f>IF(F650=True, IFERROR(VLOOKUP(D650, Repository!A:E, 5, 0), ""), "")</f>
        <v/>
      </c>
      <c r="M650" s="105"/>
      <c r="N650" s="105" t="str">
        <f>IF(F650=True, IFERROR(VLOOKUP(D650, Repository!A:G, 7, 0), ""), "")</f>
        <v/>
      </c>
      <c r="O650" s="105" t="str">
        <f>IFERROR(__xludf.DUMMYFUNCTION("ARRAY_CONSTRAIN(
  ARRAYFORMULA(
    IFERROR(
      LET(
        list, N650,
        arr, TRIM(SPLIT(list, "","")),
        names, XLOOKUP(
          arr,
          'Conformance Score'!A:A,
          'Conformance Score'!B:B,
          ""Not found""
      "&amp;"  ),
        TEXTJOIN("", "", TRUE, names)
      ),
      """"
    )
  ),
  1,
  1
)
"),"")</f>
        <v/>
      </c>
      <c r="P650" s="105" t="str">
        <f>IF(F650="Yes", IFERROR(VLOOKUP(D650, Repository!A:F, 6, 0), ""), "")</f>
        <v/>
      </c>
      <c r="Q650" s="105" t="str">
        <f>IF(F650="Yes", IFERROR(VLOOKUP(D650, Repository!A:I, 8, 0), ""), "")</f>
        <v/>
      </c>
      <c r="R650" s="105" t="str">
        <f>IF(F650="Yes", IFERROR(VLOOKUP(D650, Repository!A:J, 9, 0), ""), "")</f>
        <v/>
      </c>
      <c r="S650" s="105"/>
      <c r="T650" s="105"/>
      <c r="U650" s="105"/>
      <c r="V650" s="105"/>
      <c r="W650" s="105"/>
      <c r="X650" s="105"/>
      <c r="Y650" s="105"/>
      <c r="Z650" s="105"/>
      <c r="AA650" s="105"/>
      <c r="AB650" s="105"/>
      <c r="AC650" s="91"/>
      <c r="AD650" s="105"/>
      <c r="AE650" s="105"/>
      <c r="AF650" s="91"/>
      <c r="AG650" s="105"/>
      <c r="AH650" s="105"/>
      <c r="AI650" s="105" t="str">
        <f t="shared" si="1"/>
        <v/>
      </c>
      <c r="AJ650" s="108" t="str">
        <f t="shared" si="2"/>
        <v/>
      </c>
    </row>
    <row r="651" ht="15.75" customHeight="1">
      <c r="A651" s="104"/>
      <c r="B651" s="105" t="str">
        <f>IFERROR(__xludf.DUMMYFUNCTION("ARRAY_CONSTRAIN(
  ARRAYFORMULA(
    IF(
      'Final Report'!A651="""",
      """",
      TEXTJOIN(
        "", "" &amp; CHAR(10),
        TRUE,
        IFERROR(
          VLOOKUP(
            TRIM(
              SPLIT('Final Report'!A651, "","")
           "&amp;" ),
            'URL Details'!A:B,
            2,
            FALSE
          ),
          """"
        )
      )
    )
  ),
  1,
  1
)
"),"")</f>
        <v/>
      </c>
      <c r="C651" s="105" t="str">
        <f>IFERROR(__xludf.DUMMYFUNCTION("IFERROR(IF('Final Report'!A651="""","""", TEXTJOIN(CHAR(10), TRUE, ARRAYFORMULA( ""• ""&amp; FILTER( TRIM(FLATTEN(SPLIT( REGEXREPLACE( SUBSTITUTE(TEXTJOIN("","", TRUE, IFERROR(ARRAYFORMULA(VLOOKUP(TRIM(SPLIT('Final Report'!A651, "","")), 'URL Details'!A:D, 4,"&amp;" FALSE)),"""") ), CHAR(10), "",""), ""\s*,\s*"", "",""), "",""))), TRIM(FLATTEN(SPLIT( REGEXREPLACE( SUBSTITUTE(TEXTJOIN("","", TRUE, IFERROR(ARRAYFORMULA(VLOOKUP(TRIM(SPLIT('Final Report'!A651, "","")), 'URL Details'!A:D, 4, FALSE)),"""") ), CHAR(10), """&amp;",""), ""\s*,\s*"", "",""), "","")))&lt;&gt;"""" ) ) ) ),"""")
"),"")</f>
        <v/>
      </c>
      <c r="D651" s="105"/>
      <c r="E651" s="105"/>
      <c r="F651" s="110" t="b">
        <v>0</v>
      </c>
      <c r="G651" s="105" t="str">
        <f>IF(F651=True, IFERROR(VLOOKUP(D651, Repository!A:B, 2, 0), ""), "")</f>
        <v/>
      </c>
      <c r="H651" s="105"/>
      <c r="I651" s="105"/>
      <c r="J651" s="105" t="str">
        <f>IF(F651=True, IFERROR(VLOOKUP(D651, Repository!A:C, 3, 0), ""), "")</f>
        <v/>
      </c>
      <c r="K651" s="105"/>
      <c r="L651" s="105" t="str">
        <f>IF(F651=True, IFERROR(VLOOKUP(D651, Repository!A:E, 5, 0), ""), "")</f>
        <v/>
      </c>
      <c r="M651" s="105"/>
      <c r="N651" s="105" t="str">
        <f>IF(F651=True, IFERROR(VLOOKUP(D651, Repository!A:G, 7, 0), ""), "")</f>
        <v/>
      </c>
      <c r="O651" s="105" t="str">
        <f>IFERROR(__xludf.DUMMYFUNCTION("ARRAY_CONSTRAIN(
  ARRAYFORMULA(
    IFERROR(
      LET(
        list, N651,
        arr, TRIM(SPLIT(list, "","")),
        names, XLOOKUP(
          arr,
          'Conformance Score'!A:A,
          'Conformance Score'!B:B,
          ""Not found""
      "&amp;"  ),
        TEXTJOIN("", "", TRUE, names)
      ),
      """"
    )
  ),
  1,
  1
)
"),"")</f>
        <v/>
      </c>
      <c r="P651" s="105" t="str">
        <f>IF(F651="Yes", IFERROR(VLOOKUP(D651, Repository!A:F, 6, 0), ""), "")</f>
        <v/>
      </c>
      <c r="Q651" s="105" t="str">
        <f>IF(F651="Yes", IFERROR(VLOOKUP(D651, Repository!A:I, 8, 0), ""), "")</f>
        <v/>
      </c>
      <c r="R651" s="105" t="str">
        <f>IF(F651="Yes", IFERROR(VLOOKUP(D651, Repository!A:J, 9, 0), ""), "")</f>
        <v/>
      </c>
      <c r="S651" s="105"/>
      <c r="T651" s="105"/>
      <c r="U651" s="105"/>
      <c r="V651" s="105"/>
      <c r="W651" s="105"/>
      <c r="X651" s="105"/>
      <c r="Y651" s="105"/>
      <c r="Z651" s="105"/>
      <c r="AA651" s="105"/>
      <c r="AB651" s="105"/>
      <c r="AC651" s="91"/>
      <c r="AD651" s="105"/>
      <c r="AE651" s="105"/>
      <c r="AF651" s="91"/>
      <c r="AG651" s="105"/>
      <c r="AH651" s="105"/>
      <c r="AI651" s="105" t="str">
        <f t="shared" si="1"/>
        <v/>
      </c>
      <c r="AJ651" s="108" t="str">
        <f t="shared" si="2"/>
        <v/>
      </c>
    </row>
    <row r="652" ht="15.75" customHeight="1">
      <c r="A652" s="104"/>
      <c r="B652" s="105" t="str">
        <f>IFERROR(__xludf.DUMMYFUNCTION("ARRAY_CONSTRAIN(
  ARRAYFORMULA(
    IF(
      'Final Report'!A652="""",
      """",
      TEXTJOIN(
        "", "" &amp; CHAR(10),
        TRUE,
        IFERROR(
          VLOOKUP(
            TRIM(
              SPLIT('Final Report'!A652, "","")
           "&amp;" ),
            'URL Details'!A:B,
            2,
            FALSE
          ),
          """"
        )
      )
    )
  ),
  1,
  1
)
"),"")</f>
        <v/>
      </c>
      <c r="C652" s="105" t="str">
        <f>IFERROR(__xludf.DUMMYFUNCTION("IFERROR(IF('Final Report'!A652="""","""", TEXTJOIN(CHAR(10), TRUE, ARRAYFORMULA( ""• ""&amp; FILTER( TRIM(FLATTEN(SPLIT( REGEXREPLACE( SUBSTITUTE(TEXTJOIN("","", TRUE, IFERROR(ARRAYFORMULA(VLOOKUP(TRIM(SPLIT('Final Report'!A652, "","")), 'URL Details'!A:D, 4,"&amp;" FALSE)),"""") ), CHAR(10), "",""), ""\s*,\s*"", "",""), "",""))), TRIM(FLATTEN(SPLIT( REGEXREPLACE( SUBSTITUTE(TEXTJOIN("","", TRUE, IFERROR(ARRAYFORMULA(VLOOKUP(TRIM(SPLIT('Final Report'!A652, "","")), 'URL Details'!A:D, 4, FALSE)),"""") ), CHAR(10), """&amp;",""), ""\s*,\s*"", "",""), "","")))&lt;&gt;"""" ) ) ) ),"""")
"),"")</f>
        <v/>
      </c>
      <c r="D652" s="105"/>
      <c r="E652" s="105"/>
      <c r="F652" s="110" t="b">
        <v>0</v>
      </c>
      <c r="G652" s="105" t="str">
        <f>IF(F652=True, IFERROR(VLOOKUP(D652, Repository!A:B, 2, 0), ""), "")</f>
        <v/>
      </c>
      <c r="H652" s="105"/>
      <c r="I652" s="105"/>
      <c r="J652" s="105" t="str">
        <f>IF(F652=True, IFERROR(VLOOKUP(D652, Repository!A:C, 3, 0), ""), "")</f>
        <v/>
      </c>
      <c r="K652" s="105"/>
      <c r="L652" s="105" t="str">
        <f>IF(F652=True, IFERROR(VLOOKUP(D652, Repository!A:E, 5, 0), ""), "")</f>
        <v/>
      </c>
      <c r="M652" s="105"/>
      <c r="N652" s="105" t="str">
        <f>IF(F652=True, IFERROR(VLOOKUP(D652, Repository!A:G, 7, 0), ""), "")</f>
        <v/>
      </c>
      <c r="O652" s="105" t="str">
        <f>IFERROR(__xludf.DUMMYFUNCTION("ARRAY_CONSTRAIN(
  ARRAYFORMULA(
    IFERROR(
      LET(
        list, N652,
        arr, TRIM(SPLIT(list, "","")),
        names, XLOOKUP(
          arr,
          'Conformance Score'!A:A,
          'Conformance Score'!B:B,
          ""Not found""
      "&amp;"  ),
        TEXTJOIN("", "", TRUE, names)
      ),
      """"
    )
  ),
  1,
  1
)
"),"")</f>
        <v/>
      </c>
      <c r="P652" s="105" t="str">
        <f>IF(F652="Yes", IFERROR(VLOOKUP(D652, Repository!A:F, 6, 0), ""), "")</f>
        <v/>
      </c>
      <c r="Q652" s="105" t="str">
        <f>IF(F652="Yes", IFERROR(VLOOKUP(D652, Repository!A:I, 8, 0), ""), "")</f>
        <v/>
      </c>
      <c r="R652" s="105" t="str">
        <f>IF(F652="Yes", IFERROR(VLOOKUP(D652, Repository!A:J, 9, 0), ""), "")</f>
        <v/>
      </c>
      <c r="S652" s="105"/>
      <c r="T652" s="105"/>
      <c r="U652" s="105"/>
      <c r="V652" s="105"/>
      <c r="W652" s="105"/>
      <c r="X652" s="105"/>
      <c r="Y652" s="105"/>
      <c r="Z652" s="105"/>
      <c r="AA652" s="105"/>
      <c r="AB652" s="105"/>
      <c r="AC652" s="91"/>
      <c r="AD652" s="105"/>
      <c r="AE652" s="105"/>
      <c r="AF652" s="91"/>
      <c r="AG652" s="105"/>
      <c r="AH652" s="105"/>
      <c r="AI652" s="105" t="str">
        <f t="shared" si="1"/>
        <v/>
      </c>
      <c r="AJ652" s="108" t="str">
        <f t="shared" si="2"/>
        <v/>
      </c>
    </row>
    <row r="653" ht="15.75" customHeight="1">
      <c r="A653" s="104"/>
      <c r="B653" s="105" t="str">
        <f>IFERROR(__xludf.DUMMYFUNCTION("ARRAY_CONSTRAIN(
  ARRAYFORMULA(
    IF(
      'Final Report'!A653="""",
      """",
      TEXTJOIN(
        "", "" &amp; CHAR(10),
        TRUE,
        IFERROR(
          VLOOKUP(
            TRIM(
              SPLIT('Final Report'!A653, "","")
           "&amp;" ),
            'URL Details'!A:B,
            2,
            FALSE
          ),
          """"
        )
      )
    )
  ),
  1,
  1
)
"),"")</f>
        <v/>
      </c>
      <c r="C653" s="105" t="str">
        <f>IFERROR(__xludf.DUMMYFUNCTION("IFERROR(IF('Final Report'!A653="""","""", TEXTJOIN(CHAR(10), TRUE, ARRAYFORMULA( ""• ""&amp; FILTER( TRIM(FLATTEN(SPLIT( REGEXREPLACE( SUBSTITUTE(TEXTJOIN("","", TRUE, IFERROR(ARRAYFORMULA(VLOOKUP(TRIM(SPLIT('Final Report'!A653, "","")), 'URL Details'!A:D, 4,"&amp;" FALSE)),"""") ), CHAR(10), "",""), ""\s*,\s*"", "",""), "",""))), TRIM(FLATTEN(SPLIT( REGEXREPLACE( SUBSTITUTE(TEXTJOIN("","", TRUE, IFERROR(ARRAYFORMULA(VLOOKUP(TRIM(SPLIT('Final Report'!A653, "","")), 'URL Details'!A:D, 4, FALSE)),"""") ), CHAR(10), """&amp;",""), ""\s*,\s*"", "",""), "","")))&lt;&gt;"""" ) ) ) ),"""")
"),"")</f>
        <v/>
      </c>
      <c r="D653" s="105"/>
      <c r="E653" s="105"/>
      <c r="F653" s="110" t="b">
        <v>0</v>
      </c>
      <c r="G653" s="105" t="str">
        <f>IF(F653=True, IFERROR(VLOOKUP(D653, Repository!A:B, 2, 0), ""), "")</f>
        <v/>
      </c>
      <c r="H653" s="105"/>
      <c r="I653" s="105"/>
      <c r="J653" s="105" t="str">
        <f>IF(F653=True, IFERROR(VLOOKUP(D653, Repository!A:C, 3, 0), ""), "")</f>
        <v/>
      </c>
      <c r="K653" s="105"/>
      <c r="L653" s="105" t="str">
        <f>IF(F653=True, IFERROR(VLOOKUP(D653, Repository!A:E, 5, 0), ""), "")</f>
        <v/>
      </c>
      <c r="M653" s="105"/>
      <c r="N653" s="105" t="str">
        <f>IF(F653=True, IFERROR(VLOOKUP(D653, Repository!A:G, 7, 0), ""), "")</f>
        <v/>
      </c>
      <c r="O653" s="105" t="str">
        <f>IFERROR(__xludf.DUMMYFUNCTION("ARRAY_CONSTRAIN(
  ARRAYFORMULA(
    IFERROR(
      LET(
        list, N653,
        arr, TRIM(SPLIT(list, "","")),
        names, XLOOKUP(
          arr,
          'Conformance Score'!A:A,
          'Conformance Score'!B:B,
          ""Not found""
      "&amp;"  ),
        TEXTJOIN("", "", TRUE, names)
      ),
      """"
    )
  ),
  1,
  1
)
"),"")</f>
        <v/>
      </c>
      <c r="P653" s="105" t="str">
        <f>IF(F653="Yes", IFERROR(VLOOKUP(D653, Repository!A:F, 6, 0), ""), "")</f>
        <v/>
      </c>
      <c r="Q653" s="105" t="str">
        <f>IF(F653="Yes", IFERROR(VLOOKUP(D653, Repository!A:I, 8, 0), ""), "")</f>
        <v/>
      </c>
      <c r="R653" s="105" t="str">
        <f>IF(F653="Yes", IFERROR(VLOOKUP(D653, Repository!A:J, 9, 0), ""), "")</f>
        <v/>
      </c>
      <c r="S653" s="105"/>
      <c r="T653" s="105"/>
      <c r="U653" s="105"/>
      <c r="V653" s="105"/>
      <c r="W653" s="105"/>
      <c r="X653" s="105"/>
      <c r="Y653" s="105"/>
      <c r="Z653" s="105"/>
      <c r="AA653" s="105"/>
      <c r="AB653" s="105"/>
      <c r="AC653" s="91"/>
      <c r="AD653" s="105"/>
      <c r="AE653" s="105"/>
      <c r="AF653" s="91"/>
      <c r="AG653" s="105"/>
      <c r="AH653" s="105"/>
      <c r="AI653" s="105" t="str">
        <f t="shared" si="1"/>
        <v/>
      </c>
      <c r="AJ653" s="108" t="str">
        <f t="shared" si="2"/>
        <v/>
      </c>
    </row>
    <row r="654" ht="15.75" customHeight="1">
      <c r="A654" s="104"/>
      <c r="B654" s="105" t="str">
        <f>IFERROR(__xludf.DUMMYFUNCTION("ARRAY_CONSTRAIN(
  ARRAYFORMULA(
    IF(
      'Final Report'!A654="""",
      """",
      TEXTJOIN(
        "", "" &amp; CHAR(10),
        TRUE,
        IFERROR(
          VLOOKUP(
            TRIM(
              SPLIT('Final Report'!A654, "","")
           "&amp;" ),
            'URL Details'!A:B,
            2,
            FALSE
          ),
          """"
        )
      )
    )
  ),
  1,
  1
)
"),"")</f>
        <v/>
      </c>
      <c r="C654" s="105" t="str">
        <f>IFERROR(__xludf.DUMMYFUNCTION("IFERROR(IF('Final Report'!A654="""","""", TEXTJOIN(CHAR(10), TRUE, ARRAYFORMULA( ""• ""&amp; FILTER( TRIM(FLATTEN(SPLIT( REGEXREPLACE( SUBSTITUTE(TEXTJOIN("","", TRUE, IFERROR(ARRAYFORMULA(VLOOKUP(TRIM(SPLIT('Final Report'!A654, "","")), 'URL Details'!A:D, 4,"&amp;" FALSE)),"""") ), CHAR(10), "",""), ""\s*,\s*"", "",""), "",""))), TRIM(FLATTEN(SPLIT( REGEXREPLACE( SUBSTITUTE(TEXTJOIN("","", TRUE, IFERROR(ARRAYFORMULA(VLOOKUP(TRIM(SPLIT('Final Report'!A654, "","")), 'URL Details'!A:D, 4, FALSE)),"""") ), CHAR(10), """&amp;",""), ""\s*,\s*"", "",""), "","")))&lt;&gt;"""" ) ) ) ),"""")
"),"")</f>
        <v/>
      </c>
      <c r="D654" s="105"/>
      <c r="E654" s="105"/>
      <c r="F654" s="110" t="b">
        <v>0</v>
      </c>
      <c r="G654" s="105" t="str">
        <f>IF(F654=True, IFERROR(VLOOKUP(D654, Repository!A:B, 2, 0), ""), "")</f>
        <v/>
      </c>
      <c r="H654" s="105"/>
      <c r="I654" s="105"/>
      <c r="J654" s="105" t="str">
        <f>IF(F654=True, IFERROR(VLOOKUP(D654, Repository!A:C, 3, 0), ""), "")</f>
        <v/>
      </c>
      <c r="K654" s="105"/>
      <c r="L654" s="105" t="str">
        <f>IF(F654=True, IFERROR(VLOOKUP(D654, Repository!A:E, 5, 0), ""), "")</f>
        <v/>
      </c>
      <c r="M654" s="105"/>
      <c r="N654" s="105" t="str">
        <f>IF(F654=True, IFERROR(VLOOKUP(D654, Repository!A:G, 7, 0), ""), "")</f>
        <v/>
      </c>
      <c r="O654" s="105" t="str">
        <f>IFERROR(__xludf.DUMMYFUNCTION("ARRAY_CONSTRAIN(
  ARRAYFORMULA(
    IFERROR(
      LET(
        list, N654,
        arr, TRIM(SPLIT(list, "","")),
        names, XLOOKUP(
          arr,
          'Conformance Score'!A:A,
          'Conformance Score'!B:B,
          ""Not found""
      "&amp;"  ),
        TEXTJOIN("", "", TRUE, names)
      ),
      """"
    )
  ),
  1,
  1
)
"),"")</f>
        <v/>
      </c>
      <c r="P654" s="105" t="str">
        <f>IF(F654="Yes", IFERROR(VLOOKUP(D654, Repository!A:F, 6, 0), ""), "")</f>
        <v/>
      </c>
      <c r="Q654" s="105" t="str">
        <f>IF(F654="Yes", IFERROR(VLOOKUP(D654, Repository!A:I, 8, 0), ""), "")</f>
        <v/>
      </c>
      <c r="R654" s="105" t="str">
        <f>IF(F654="Yes", IFERROR(VLOOKUP(D654, Repository!A:J, 9, 0), ""), "")</f>
        <v/>
      </c>
      <c r="S654" s="105"/>
      <c r="T654" s="105"/>
      <c r="U654" s="105"/>
      <c r="V654" s="105"/>
      <c r="W654" s="105"/>
      <c r="X654" s="105"/>
      <c r="Y654" s="105"/>
      <c r="Z654" s="105"/>
      <c r="AA654" s="105"/>
      <c r="AB654" s="105"/>
      <c r="AC654" s="91"/>
      <c r="AD654" s="105"/>
      <c r="AE654" s="105"/>
      <c r="AF654" s="91"/>
      <c r="AG654" s="105"/>
      <c r="AH654" s="105"/>
      <c r="AI654" s="105" t="str">
        <f t="shared" si="1"/>
        <v/>
      </c>
      <c r="AJ654" s="108" t="str">
        <f t="shared" si="2"/>
        <v/>
      </c>
    </row>
    <row r="655" ht="15.75" customHeight="1">
      <c r="A655" s="104"/>
      <c r="B655" s="105" t="str">
        <f>IFERROR(__xludf.DUMMYFUNCTION("ARRAY_CONSTRAIN(
  ARRAYFORMULA(
    IF(
      'Final Report'!A655="""",
      """",
      TEXTJOIN(
        "", "" &amp; CHAR(10),
        TRUE,
        IFERROR(
          VLOOKUP(
            TRIM(
              SPLIT('Final Report'!A655, "","")
           "&amp;" ),
            'URL Details'!A:B,
            2,
            FALSE
          ),
          """"
        )
      )
    )
  ),
  1,
  1
)
"),"")</f>
        <v/>
      </c>
      <c r="C655" s="105" t="str">
        <f>IFERROR(__xludf.DUMMYFUNCTION("IFERROR(IF('Final Report'!A655="""","""", TEXTJOIN(CHAR(10), TRUE, ARRAYFORMULA( ""• ""&amp; FILTER( TRIM(FLATTEN(SPLIT( REGEXREPLACE( SUBSTITUTE(TEXTJOIN("","", TRUE, IFERROR(ARRAYFORMULA(VLOOKUP(TRIM(SPLIT('Final Report'!A655, "","")), 'URL Details'!A:D, 4,"&amp;" FALSE)),"""") ), CHAR(10), "",""), ""\s*,\s*"", "",""), "",""))), TRIM(FLATTEN(SPLIT( REGEXREPLACE( SUBSTITUTE(TEXTJOIN("","", TRUE, IFERROR(ARRAYFORMULA(VLOOKUP(TRIM(SPLIT('Final Report'!A655, "","")), 'URL Details'!A:D, 4, FALSE)),"""") ), CHAR(10), """&amp;",""), ""\s*,\s*"", "",""), "","")))&lt;&gt;"""" ) ) ) ),"""")
"),"")</f>
        <v/>
      </c>
      <c r="D655" s="105"/>
      <c r="E655" s="105"/>
      <c r="F655" s="110" t="b">
        <v>0</v>
      </c>
      <c r="G655" s="105" t="str">
        <f>IF(F655=True, IFERROR(VLOOKUP(D655, Repository!A:B, 2, 0), ""), "")</f>
        <v/>
      </c>
      <c r="H655" s="105"/>
      <c r="I655" s="105"/>
      <c r="J655" s="105" t="str">
        <f>IF(F655=True, IFERROR(VLOOKUP(D655, Repository!A:C, 3, 0), ""), "")</f>
        <v/>
      </c>
      <c r="K655" s="105"/>
      <c r="L655" s="105" t="str">
        <f>IF(F655=True, IFERROR(VLOOKUP(D655, Repository!A:E, 5, 0), ""), "")</f>
        <v/>
      </c>
      <c r="M655" s="105"/>
      <c r="N655" s="105" t="str">
        <f>IF(F655=True, IFERROR(VLOOKUP(D655, Repository!A:G, 7, 0), ""), "")</f>
        <v/>
      </c>
      <c r="O655" s="105" t="str">
        <f>IFERROR(__xludf.DUMMYFUNCTION("ARRAY_CONSTRAIN(
  ARRAYFORMULA(
    IFERROR(
      LET(
        list, N655,
        arr, TRIM(SPLIT(list, "","")),
        names, XLOOKUP(
          arr,
          'Conformance Score'!A:A,
          'Conformance Score'!B:B,
          ""Not found""
      "&amp;"  ),
        TEXTJOIN("", "", TRUE, names)
      ),
      """"
    )
  ),
  1,
  1
)
"),"")</f>
        <v/>
      </c>
      <c r="P655" s="105" t="str">
        <f>IF(F655="Yes", IFERROR(VLOOKUP(D655, Repository!A:F, 6, 0), ""), "")</f>
        <v/>
      </c>
      <c r="Q655" s="105" t="str">
        <f>IF(F655="Yes", IFERROR(VLOOKUP(D655, Repository!A:I, 8, 0), ""), "")</f>
        <v/>
      </c>
      <c r="R655" s="105" t="str">
        <f>IF(F655="Yes", IFERROR(VLOOKUP(D655, Repository!A:J, 9, 0), ""), "")</f>
        <v/>
      </c>
      <c r="S655" s="105"/>
      <c r="T655" s="105"/>
      <c r="U655" s="105"/>
      <c r="V655" s="105"/>
      <c r="W655" s="105"/>
      <c r="X655" s="105"/>
      <c r="Y655" s="105"/>
      <c r="Z655" s="105"/>
      <c r="AA655" s="105"/>
      <c r="AB655" s="105"/>
      <c r="AC655" s="91"/>
      <c r="AD655" s="105"/>
      <c r="AE655" s="105"/>
      <c r="AF655" s="91"/>
      <c r="AG655" s="105"/>
      <c r="AH655" s="105"/>
      <c r="AI655" s="105" t="str">
        <f t="shared" si="1"/>
        <v/>
      </c>
      <c r="AJ655" s="108" t="str">
        <f t="shared" si="2"/>
        <v/>
      </c>
    </row>
    <row r="656" ht="15.75" customHeight="1">
      <c r="A656" s="104"/>
      <c r="B656" s="105" t="str">
        <f>IFERROR(__xludf.DUMMYFUNCTION("ARRAY_CONSTRAIN(
  ARRAYFORMULA(
    IF(
      'Final Report'!A656="""",
      """",
      TEXTJOIN(
        "", "" &amp; CHAR(10),
        TRUE,
        IFERROR(
          VLOOKUP(
            TRIM(
              SPLIT('Final Report'!A656, "","")
           "&amp;" ),
            'URL Details'!A:B,
            2,
            FALSE
          ),
          """"
        )
      )
    )
  ),
  1,
  1
)
"),"")</f>
        <v/>
      </c>
      <c r="C656" s="105" t="str">
        <f>IFERROR(__xludf.DUMMYFUNCTION("IFERROR(IF('Final Report'!A656="""","""", TEXTJOIN(CHAR(10), TRUE, ARRAYFORMULA( ""• ""&amp; FILTER( TRIM(FLATTEN(SPLIT( REGEXREPLACE( SUBSTITUTE(TEXTJOIN("","", TRUE, IFERROR(ARRAYFORMULA(VLOOKUP(TRIM(SPLIT('Final Report'!A656, "","")), 'URL Details'!A:D, 4,"&amp;" FALSE)),"""") ), CHAR(10), "",""), ""\s*,\s*"", "",""), "",""))), TRIM(FLATTEN(SPLIT( REGEXREPLACE( SUBSTITUTE(TEXTJOIN("","", TRUE, IFERROR(ARRAYFORMULA(VLOOKUP(TRIM(SPLIT('Final Report'!A656, "","")), 'URL Details'!A:D, 4, FALSE)),"""") ), CHAR(10), """&amp;",""), ""\s*,\s*"", "",""), "","")))&lt;&gt;"""" ) ) ) ),"""")
"),"")</f>
        <v/>
      </c>
      <c r="D656" s="105"/>
      <c r="E656" s="105"/>
      <c r="F656" s="110" t="b">
        <v>0</v>
      </c>
      <c r="G656" s="105" t="str">
        <f>IF(F656=True, IFERROR(VLOOKUP(D656, Repository!A:B, 2, 0), ""), "")</f>
        <v/>
      </c>
      <c r="H656" s="105"/>
      <c r="I656" s="105"/>
      <c r="J656" s="105" t="str">
        <f>IF(F656=True, IFERROR(VLOOKUP(D656, Repository!A:C, 3, 0), ""), "")</f>
        <v/>
      </c>
      <c r="K656" s="105"/>
      <c r="L656" s="105" t="str">
        <f>IF(F656=True, IFERROR(VLOOKUP(D656, Repository!A:E, 5, 0), ""), "")</f>
        <v/>
      </c>
      <c r="M656" s="105"/>
      <c r="N656" s="105" t="str">
        <f>IF(F656=True, IFERROR(VLOOKUP(D656, Repository!A:G, 7, 0), ""), "")</f>
        <v/>
      </c>
      <c r="O656" s="105" t="str">
        <f>IFERROR(__xludf.DUMMYFUNCTION("ARRAY_CONSTRAIN(
  ARRAYFORMULA(
    IFERROR(
      LET(
        list, N656,
        arr, TRIM(SPLIT(list, "","")),
        names, XLOOKUP(
          arr,
          'Conformance Score'!A:A,
          'Conformance Score'!B:B,
          ""Not found""
      "&amp;"  ),
        TEXTJOIN("", "", TRUE, names)
      ),
      """"
    )
  ),
  1,
  1
)
"),"")</f>
        <v/>
      </c>
      <c r="P656" s="105" t="str">
        <f>IF(F656="Yes", IFERROR(VLOOKUP(D656, Repository!A:F, 6, 0), ""), "")</f>
        <v/>
      </c>
      <c r="Q656" s="105" t="str">
        <f>IF(F656="Yes", IFERROR(VLOOKUP(D656, Repository!A:I, 8, 0), ""), "")</f>
        <v/>
      </c>
      <c r="R656" s="105" t="str">
        <f>IF(F656="Yes", IFERROR(VLOOKUP(D656, Repository!A:J, 9, 0), ""), "")</f>
        <v/>
      </c>
      <c r="S656" s="105"/>
      <c r="T656" s="105"/>
      <c r="U656" s="105"/>
      <c r="V656" s="105"/>
      <c r="W656" s="105"/>
      <c r="X656" s="105"/>
      <c r="Y656" s="105"/>
      <c r="Z656" s="105"/>
      <c r="AA656" s="105"/>
      <c r="AB656" s="105"/>
      <c r="AC656" s="91"/>
      <c r="AD656" s="105"/>
      <c r="AE656" s="105"/>
      <c r="AF656" s="91"/>
      <c r="AG656" s="105"/>
      <c r="AH656" s="105"/>
      <c r="AI656" s="105" t="str">
        <f t="shared" si="1"/>
        <v/>
      </c>
      <c r="AJ656" s="108" t="str">
        <f t="shared" si="2"/>
        <v/>
      </c>
    </row>
    <row r="657" ht="15.75" customHeight="1">
      <c r="A657" s="104"/>
      <c r="B657" s="105" t="str">
        <f>IFERROR(__xludf.DUMMYFUNCTION("ARRAY_CONSTRAIN(
  ARRAYFORMULA(
    IF(
      'Final Report'!A657="""",
      """",
      TEXTJOIN(
        "", "" &amp; CHAR(10),
        TRUE,
        IFERROR(
          VLOOKUP(
            TRIM(
              SPLIT('Final Report'!A657, "","")
           "&amp;" ),
            'URL Details'!A:B,
            2,
            FALSE
          ),
          """"
        )
      )
    )
  ),
  1,
  1
)
"),"")</f>
        <v/>
      </c>
      <c r="C657" s="105" t="str">
        <f>IFERROR(__xludf.DUMMYFUNCTION("IFERROR(IF('Final Report'!A657="""","""", TEXTJOIN(CHAR(10), TRUE, ARRAYFORMULA( ""• ""&amp; FILTER( TRIM(FLATTEN(SPLIT( REGEXREPLACE( SUBSTITUTE(TEXTJOIN("","", TRUE, IFERROR(ARRAYFORMULA(VLOOKUP(TRIM(SPLIT('Final Report'!A657, "","")), 'URL Details'!A:D, 4,"&amp;" FALSE)),"""") ), CHAR(10), "",""), ""\s*,\s*"", "",""), "",""))), TRIM(FLATTEN(SPLIT( REGEXREPLACE( SUBSTITUTE(TEXTJOIN("","", TRUE, IFERROR(ARRAYFORMULA(VLOOKUP(TRIM(SPLIT('Final Report'!A657, "","")), 'URL Details'!A:D, 4, FALSE)),"""") ), CHAR(10), """&amp;",""), ""\s*,\s*"", "",""), "","")))&lt;&gt;"""" ) ) ) ),"""")
"),"")</f>
        <v/>
      </c>
      <c r="D657" s="105"/>
      <c r="E657" s="105"/>
      <c r="F657" s="110" t="b">
        <v>0</v>
      </c>
      <c r="G657" s="105" t="str">
        <f>IF(F657=True, IFERROR(VLOOKUP(D657, Repository!A:B, 2, 0), ""), "")</f>
        <v/>
      </c>
      <c r="H657" s="105"/>
      <c r="I657" s="105"/>
      <c r="J657" s="105" t="str">
        <f>IF(F657=True, IFERROR(VLOOKUP(D657, Repository!A:C, 3, 0), ""), "")</f>
        <v/>
      </c>
      <c r="K657" s="105"/>
      <c r="L657" s="105" t="str">
        <f>IF(F657=True, IFERROR(VLOOKUP(D657, Repository!A:E, 5, 0), ""), "")</f>
        <v/>
      </c>
      <c r="M657" s="105"/>
      <c r="N657" s="105" t="str">
        <f>IF(F657=True, IFERROR(VLOOKUP(D657, Repository!A:G, 7, 0), ""), "")</f>
        <v/>
      </c>
      <c r="O657" s="105" t="str">
        <f>IFERROR(__xludf.DUMMYFUNCTION("ARRAY_CONSTRAIN(
  ARRAYFORMULA(
    IFERROR(
      LET(
        list, N657,
        arr, TRIM(SPLIT(list, "","")),
        names, XLOOKUP(
          arr,
          'Conformance Score'!A:A,
          'Conformance Score'!B:B,
          ""Not found""
      "&amp;"  ),
        TEXTJOIN("", "", TRUE, names)
      ),
      """"
    )
  ),
  1,
  1
)
"),"")</f>
        <v/>
      </c>
      <c r="P657" s="105" t="str">
        <f>IF(F657="Yes", IFERROR(VLOOKUP(D657, Repository!A:F, 6, 0), ""), "")</f>
        <v/>
      </c>
      <c r="Q657" s="105" t="str">
        <f>IF(F657="Yes", IFERROR(VLOOKUP(D657, Repository!A:I, 8, 0), ""), "")</f>
        <v/>
      </c>
      <c r="R657" s="105" t="str">
        <f>IF(F657="Yes", IFERROR(VLOOKUP(D657, Repository!A:J, 9, 0), ""), "")</f>
        <v/>
      </c>
      <c r="S657" s="105"/>
      <c r="T657" s="105"/>
      <c r="U657" s="105"/>
      <c r="V657" s="105"/>
      <c r="W657" s="105"/>
      <c r="X657" s="105"/>
      <c r="Y657" s="105"/>
      <c r="Z657" s="105"/>
      <c r="AA657" s="105"/>
      <c r="AB657" s="105"/>
      <c r="AC657" s="91"/>
      <c r="AD657" s="105"/>
      <c r="AE657" s="105"/>
      <c r="AF657" s="91"/>
      <c r="AG657" s="105"/>
      <c r="AH657" s="105"/>
      <c r="AI657" s="105" t="str">
        <f t="shared" si="1"/>
        <v/>
      </c>
      <c r="AJ657" s="108" t="str">
        <f t="shared" si="2"/>
        <v/>
      </c>
    </row>
    <row r="658" ht="15.75" customHeight="1">
      <c r="A658" s="104"/>
      <c r="B658" s="105" t="str">
        <f>IFERROR(__xludf.DUMMYFUNCTION("ARRAY_CONSTRAIN(
  ARRAYFORMULA(
    IF(
      'Final Report'!A658="""",
      """",
      TEXTJOIN(
        "", "" &amp; CHAR(10),
        TRUE,
        IFERROR(
          VLOOKUP(
            TRIM(
              SPLIT('Final Report'!A658, "","")
           "&amp;" ),
            'URL Details'!A:B,
            2,
            FALSE
          ),
          """"
        )
      )
    )
  ),
  1,
  1
)
"),"")</f>
        <v/>
      </c>
      <c r="C658" s="105" t="str">
        <f>IFERROR(__xludf.DUMMYFUNCTION("IFERROR(IF('Final Report'!A658="""","""", TEXTJOIN(CHAR(10), TRUE, ARRAYFORMULA( ""• ""&amp; FILTER( TRIM(FLATTEN(SPLIT( REGEXREPLACE( SUBSTITUTE(TEXTJOIN("","", TRUE, IFERROR(ARRAYFORMULA(VLOOKUP(TRIM(SPLIT('Final Report'!A658, "","")), 'URL Details'!A:D, 4,"&amp;" FALSE)),"""") ), CHAR(10), "",""), ""\s*,\s*"", "",""), "",""))), TRIM(FLATTEN(SPLIT( REGEXREPLACE( SUBSTITUTE(TEXTJOIN("","", TRUE, IFERROR(ARRAYFORMULA(VLOOKUP(TRIM(SPLIT('Final Report'!A658, "","")), 'URL Details'!A:D, 4, FALSE)),"""") ), CHAR(10), """&amp;",""), ""\s*,\s*"", "",""), "","")))&lt;&gt;"""" ) ) ) ),"""")
"),"")</f>
        <v/>
      </c>
      <c r="D658" s="105"/>
      <c r="E658" s="105"/>
      <c r="F658" s="110" t="b">
        <v>0</v>
      </c>
      <c r="G658" s="105" t="str">
        <f>IF(F658=True, IFERROR(VLOOKUP(D658, Repository!A:B, 2, 0), ""), "")</f>
        <v/>
      </c>
      <c r="H658" s="105"/>
      <c r="I658" s="105"/>
      <c r="J658" s="105" t="str">
        <f>IF(F658=True, IFERROR(VLOOKUP(D658, Repository!A:C, 3, 0), ""), "")</f>
        <v/>
      </c>
      <c r="K658" s="105"/>
      <c r="L658" s="105" t="str">
        <f>IF(F658=True, IFERROR(VLOOKUP(D658, Repository!A:E, 5, 0), ""), "")</f>
        <v/>
      </c>
      <c r="M658" s="105"/>
      <c r="N658" s="105" t="str">
        <f>IF(F658=True, IFERROR(VLOOKUP(D658, Repository!A:G, 7, 0), ""), "")</f>
        <v/>
      </c>
      <c r="O658" s="105" t="str">
        <f>IFERROR(__xludf.DUMMYFUNCTION("ARRAY_CONSTRAIN(
  ARRAYFORMULA(
    IFERROR(
      LET(
        list, N658,
        arr, TRIM(SPLIT(list, "","")),
        names, XLOOKUP(
          arr,
          'Conformance Score'!A:A,
          'Conformance Score'!B:B,
          ""Not found""
      "&amp;"  ),
        TEXTJOIN("", "", TRUE, names)
      ),
      """"
    )
  ),
  1,
  1
)
"),"")</f>
        <v/>
      </c>
      <c r="P658" s="105" t="str">
        <f>IF(F658="Yes", IFERROR(VLOOKUP(D658, Repository!A:F, 6, 0), ""), "")</f>
        <v/>
      </c>
      <c r="Q658" s="105" t="str">
        <f>IF(F658="Yes", IFERROR(VLOOKUP(D658, Repository!A:I, 8, 0), ""), "")</f>
        <v/>
      </c>
      <c r="R658" s="105" t="str">
        <f>IF(F658="Yes", IFERROR(VLOOKUP(D658, Repository!A:J, 9, 0), ""), "")</f>
        <v/>
      </c>
      <c r="S658" s="105"/>
      <c r="T658" s="105"/>
      <c r="U658" s="105"/>
      <c r="V658" s="105"/>
      <c r="W658" s="105"/>
      <c r="X658" s="105"/>
      <c r="Y658" s="105"/>
      <c r="Z658" s="105"/>
      <c r="AA658" s="105"/>
      <c r="AB658" s="105"/>
      <c r="AC658" s="91"/>
      <c r="AD658" s="105"/>
      <c r="AE658" s="105"/>
      <c r="AF658" s="91"/>
      <c r="AG658" s="105"/>
      <c r="AH658" s="105"/>
      <c r="AI658" s="105" t="str">
        <f t="shared" si="1"/>
        <v/>
      </c>
      <c r="AJ658" s="108" t="str">
        <f t="shared" si="2"/>
        <v/>
      </c>
    </row>
    <row r="659" ht="15.75" customHeight="1">
      <c r="A659" s="104"/>
      <c r="B659" s="105" t="str">
        <f>IFERROR(__xludf.DUMMYFUNCTION("ARRAY_CONSTRAIN(
  ARRAYFORMULA(
    IF(
      'Final Report'!A659="""",
      """",
      TEXTJOIN(
        "", "" &amp; CHAR(10),
        TRUE,
        IFERROR(
          VLOOKUP(
            TRIM(
              SPLIT('Final Report'!A659, "","")
           "&amp;" ),
            'URL Details'!A:B,
            2,
            FALSE
          ),
          """"
        )
      )
    )
  ),
  1,
  1
)
"),"")</f>
        <v/>
      </c>
      <c r="C659" s="105" t="str">
        <f>IFERROR(__xludf.DUMMYFUNCTION("IFERROR(IF('Final Report'!A659="""","""", TEXTJOIN(CHAR(10), TRUE, ARRAYFORMULA( ""• ""&amp; FILTER( TRIM(FLATTEN(SPLIT( REGEXREPLACE( SUBSTITUTE(TEXTJOIN("","", TRUE, IFERROR(ARRAYFORMULA(VLOOKUP(TRIM(SPLIT('Final Report'!A659, "","")), 'URL Details'!A:D, 4,"&amp;" FALSE)),"""") ), CHAR(10), "",""), ""\s*,\s*"", "",""), "",""))), TRIM(FLATTEN(SPLIT( REGEXREPLACE( SUBSTITUTE(TEXTJOIN("","", TRUE, IFERROR(ARRAYFORMULA(VLOOKUP(TRIM(SPLIT('Final Report'!A659, "","")), 'URL Details'!A:D, 4, FALSE)),"""") ), CHAR(10), """&amp;",""), ""\s*,\s*"", "",""), "","")))&lt;&gt;"""" ) ) ) ),"""")
"),"")</f>
        <v/>
      </c>
      <c r="D659" s="105"/>
      <c r="E659" s="105"/>
      <c r="F659" s="110" t="b">
        <v>0</v>
      </c>
      <c r="G659" s="105" t="str">
        <f>IF(F659=True, IFERROR(VLOOKUP(D659, Repository!A:B, 2, 0), ""), "")</f>
        <v/>
      </c>
      <c r="H659" s="105"/>
      <c r="I659" s="105"/>
      <c r="J659" s="105" t="str">
        <f>IF(F659=True, IFERROR(VLOOKUP(D659, Repository!A:C, 3, 0), ""), "")</f>
        <v/>
      </c>
      <c r="K659" s="105"/>
      <c r="L659" s="105" t="str">
        <f>IF(F659=True, IFERROR(VLOOKUP(D659, Repository!A:E, 5, 0), ""), "")</f>
        <v/>
      </c>
      <c r="M659" s="105"/>
      <c r="N659" s="105" t="str">
        <f>IF(F659=True, IFERROR(VLOOKUP(D659, Repository!A:G, 7, 0), ""), "")</f>
        <v/>
      </c>
      <c r="O659" s="105" t="str">
        <f>IFERROR(__xludf.DUMMYFUNCTION("ARRAY_CONSTRAIN(
  ARRAYFORMULA(
    IFERROR(
      LET(
        list, N659,
        arr, TRIM(SPLIT(list, "","")),
        names, XLOOKUP(
          arr,
          'Conformance Score'!A:A,
          'Conformance Score'!B:B,
          ""Not found""
      "&amp;"  ),
        TEXTJOIN("", "", TRUE, names)
      ),
      """"
    )
  ),
  1,
  1
)
"),"")</f>
        <v/>
      </c>
      <c r="P659" s="105" t="str">
        <f>IF(F659="Yes", IFERROR(VLOOKUP(D659, Repository!A:F, 6, 0), ""), "")</f>
        <v/>
      </c>
      <c r="Q659" s="105" t="str">
        <f>IF(F659="Yes", IFERROR(VLOOKUP(D659, Repository!A:I, 8, 0), ""), "")</f>
        <v/>
      </c>
      <c r="R659" s="105" t="str">
        <f>IF(F659="Yes", IFERROR(VLOOKUP(D659, Repository!A:J, 9, 0), ""), "")</f>
        <v/>
      </c>
      <c r="S659" s="105"/>
      <c r="T659" s="105"/>
      <c r="U659" s="105"/>
      <c r="V659" s="105"/>
      <c r="W659" s="105"/>
      <c r="X659" s="105"/>
      <c r="Y659" s="105"/>
      <c r="Z659" s="105"/>
      <c r="AA659" s="105"/>
      <c r="AB659" s="105"/>
      <c r="AC659" s="91"/>
      <c r="AD659" s="105"/>
      <c r="AE659" s="105"/>
      <c r="AF659" s="91"/>
      <c r="AG659" s="105"/>
      <c r="AH659" s="105"/>
      <c r="AI659" s="105" t="str">
        <f t="shared" si="1"/>
        <v/>
      </c>
      <c r="AJ659" s="108" t="str">
        <f t="shared" si="2"/>
        <v/>
      </c>
    </row>
    <row r="660" ht="15.75" customHeight="1">
      <c r="A660" s="104"/>
      <c r="B660" s="105" t="str">
        <f>IFERROR(__xludf.DUMMYFUNCTION("ARRAY_CONSTRAIN(
  ARRAYFORMULA(
    IF(
      'Final Report'!A660="""",
      """",
      TEXTJOIN(
        "", "" &amp; CHAR(10),
        TRUE,
        IFERROR(
          VLOOKUP(
            TRIM(
              SPLIT('Final Report'!A660, "","")
           "&amp;" ),
            'URL Details'!A:B,
            2,
            FALSE
          ),
          """"
        )
      )
    )
  ),
  1,
  1
)
"),"")</f>
        <v/>
      </c>
      <c r="C660" s="105" t="str">
        <f>IFERROR(__xludf.DUMMYFUNCTION("IFERROR(IF('Final Report'!A660="""","""", TEXTJOIN(CHAR(10), TRUE, ARRAYFORMULA( ""• ""&amp; FILTER( TRIM(FLATTEN(SPLIT( REGEXREPLACE( SUBSTITUTE(TEXTJOIN("","", TRUE, IFERROR(ARRAYFORMULA(VLOOKUP(TRIM(SPLIT('Final Report'!A660, "","")), 'URL Details'!A:D, 4,"&amp;" FALSE)),"""") ), CHAR(10), "",""), ""\s*,\s*"", "",""), "",""))), TRIM(FLATTEN(SPLIT( REGEXREPLACE( SUBSTITUTE(TEXTJOIN("","", TRUE, IFERROR(ARRAYFORMULA(VLOOKUP(TRIM(SPLIT('Final Report'!A660, "","")), 'URL Details'!A:D, 4, FALSE)),"""") ), CHAR(10), """&amp;",""), ""\s*,\s*"", "",""), "","")))&lt;&gt;"""" ) ) ) ),"""")
"),"")</f>
        <v/>
      </c>
      <c r="D660" s="105"/>
      <c r="E660" s="105"/>
      <c r="F660" s="110" t="b">
        <v>0</v>
      </c>
      <c r="G660" s="105" t="str">
        <f>IF(F660=True, IFERROR(VLOOKUP(D660, Repository!A:B, 2, 0), ""), "")</f>
        <v/>
      </c>
      <c r="H660" s="105"/>
      <c r="I660" s="105"/>
      <c r="J660" s="105" t="str">
        <f>IF(F660=True, IFERROR(VLOOKUP(D660, Repository!A:C, 3, 0), ""), "")</f>
        <v/>
      </c>
      <c r="K660" s="105"/>
      <c r="L660" s="105" t="str">
        <f>IF(F660=True, IFERROR(VLOOKUP(D660, Repository!A:E, 5, 0), ""), "")</f>
        <v/>
      </c>
      <c r="M660" s="105"/>
      <c r="N660" s="105" t="str">
        <f>IF(F660=True, IFERROR(VLOOKUP(D660, Repository!A:G, 7, 0), ""), "")</f>
        <v/>
      </c>
      <c r="O660" s="105" t="str">
        <f>IFERROR(__xludf.DUMMYFUNCTION("ARRAY_CONSTRAIN(
  ARRAYFORMULA(
    IFERROR(
      LET(
        list, N660,
        arr, TRIM(SPLIT(list, "","")),
        names, XLOOKUP(
          arr,
          'Conformance Score'!A:A,
          'Conformance Score'!B:B,
          ""Not found""
      "&amp;"  ),
        TEXTJOIN("", "", TRUE, names)
      ),
      """"
    )
  ),
  1,
  1
)
"),"")</f>
        <v/>
      </c>
      <c r="P660" s="105" t="str">
        <f>IF(F660="Yes", IFERROR(VLOOKUP(D660, Repository!A:F, 6, 0), ""), "")</f>
        <v/>
      </c>
      <c r="Q660" s="105" t="str">
        <f>IF(F660="Yes", IFERROR(VLOOKUP(D660, Repository!A:I, 8, 0), ""), "")</f>
        <v/>
      </c>
      <c r="R660" s="105" t="str">
        <f>IF(F660="Yes", IFERROR(VLOOKUP(D660, Repository!A:J, 9, 0), ""), "")</f>
        <v/>
      </c>
      <c r="S660" s="105"/>
      <c r="T660" s="105"/>
      <c r="U660" s="105"/>
      <c r="V660" s="105"/>
      <c r="W660" s="105"/>
      <c r="X660" s="105"/>
      <c r="Y660" s="105"/>
      <c r="Z660" s="105"/>
      <c r="AA660" s="105"/>
      <c r="AB660" s="105"/>
      <c r="AC660" s="91"/>
      <c r="AD660" s="105"/>
      <c r="AE660" s="105"/>
      <c r="AF660" s="91"/>
      <c r="AG660" s="105"/>
      <c r="AH660" s="105"/>
      <c r="AI660" s="105" t="str">
        <f t="shared" si="1"/>
        <v/>
      </c>
      <c r="AJ660" s="108" t="str">
        <f t="shared" si="2"/>
        <v/>
      </c>
    </row>
    <row r="661" ht="15.75" customHeight="1">
      <c r="A661" s="104"/>
      <c r="B661" s="105" t="str">
        <f>IFERROR(__xludf.DUMMYFUNCTION("ARRAY_CONSTRAIN(
  ARRAYFORMULA(
    IF(
      'Final Report'!A661="""",
      """",
      TEXTJOIN(
        "", "" &amp; CHAR(10),
        TRUE,
        IFERROR(
          VLOOKUP(
            TRIM(
              SPLIT('Final Report'!A661, "","")
           "&amp;" ),
            'URL Details'!A:B,
            2,
            FALSE
          ),
          """"
        )
      )
    )
  ),
  1,
  1
)
"),"")</f>
        <v/>
      </c>
      <c r="C661" s="105" t="str">
        <f>IFERROR(__xludf.DUMMYFUNCTION("IFERROR(IF('Final Report'!A661="""","""", TEXTJOIN(CHAR(10), TRUE, ARRAYFORMULA( ""• ""&amp; FILTER( TRIM(FLATTEN(SPLIT( REGEXREPLACE( SUBSTITUTE(TEXTJOIN("","", TRUE, IFERROR(ARRAYFORMULA(VLOOKUP(TRIM(SPLIT('Final Report'!A661, "","")), 'URL Details'!A:D, 4,"&amp;" FALSE)),"""") ), CHAR(10), "",""), ""\s*,\s*"", "",""), "",""))), TRIM(FLATTEN(SPLIT( REGEXREPLACE( SUBSTITUTE(TEXTJOIN("","", TRUE, IFERROR(ARRAYFORMULA(VLOOKUP(TRIM(SPLIT('Final Report'!A661, "","")), 'URL Details'!A:D, 4, FALSE)),"""") ), CHAR(10), """&amp;",""), ""\s*,\s*"", "",""), "","")))&lt;&gt;"""" ) ) ) ),"""")
"),"")</f>
        <v/>
      </c>
      <c r="D661" s="105"/>
      <c r="E661" s="105"/>
      <c r="F661" s="110" t="b">
        <v>0</v>
      </c>
      <c r="G661" s="105" t="str">
        <f>IF(F661=True, IFERROR(VLOOKUP(D661, Repository!A:B, 2, 0), ""), "")</f>
        <v/>
      </c>
      <c r="H661" s="105"/>
      <c r="I661" s="105"/>
      <c r="J661" s="105" t="str">
        <f>IF(F661=True, IFERROR(VLOOKUP(D661, Repository!A:C, 3, 0), ""), "")</f>
        <v/>
      </c>
      <c r="K661" s="105"/>
      <c r="L661" s="105" t="str">
        <f>IF(F661=True, IFERROR(VLOOKUP(D661, Repository!A:E, 5, 0), ""), "")</f>
        <v/>
      </c>
      <c r="M661" s="105"/>
      <c r="N661" s="105" t="str">
        <f>IF(F661=True, IFERROR(VLOOKUP(D661, Repository!A:G, 7, 0), ""), "")</f>
        <v/>
      </c>
      <c r="O661" s="105" t="str">
        <f>IFERROR(__xludf.DUMMYFUNCTION("ARRAY_CONSTRAIN(
  ARRAYFORMULA(
    IFERROR(
      LET(
        list, N661,
        arr, TRIM(SPLIT(list, "","")),
        names, XLOOKUP(
          arr,
          'Conformance Score'!A:A,
          'Conformance Score'!B:B,
          ""Not found""
      "&amp;"  ),
        TEXTJOIN("", "", TRUE, names)
      ),
      """"
    )
  ),
  1,
  1
)
"),"")</f>
        <v/>
      </c>
      <c r="P661" s="105" t="str">
        <f>IF(F661="Yes", IFERROR(VLOOKUP(D661, Repository!A:F, 6, 0), ""), "")</f>
        <v/>
      </c>
      <c r="Q661" s="105" t="str">
        <f>IF(F661="Yes", IFERROR(VLOOKUP(D661, Repository!A:I, 8, 0), ""), "")</f>
        <v/>
      </c>
      <c r="R661" s="105" t="str">
        <f>IF(F661="Yes", IFERROR(VLOOKUP(D661, Repository!A:J, 9, 0), ""), "")</f>
        <v/>
      </c>
      <c r="S661" s="105"/>
      <c r="T661" s="105"/>
      <c r="U661" s="105"/>
      <c r="V661" s="105"/>
      <c r="W661" s="105"/>
      <c r="X661" s="105"/>
      <c r="Y661" s="105"/>
      <c r="Z661" s="105"/>
      <c r="AA661" s="105"/>
      <c r="AB661" s="105"/>
      <c r="AC661" s="91"/>
      <c r="AD661" s="105"/>
      <c r="AE661" s="105"/>
      <c r="AF661" s="91"/>
      <c r="AG661" s="105"/>
      <c r="AH661" s="105"/>
      <c r="AI661" s="105" t="str">
        <f t="shared" si="1"/>
        <v/>
      </c>
      <c r="AJ661" s="108" t="str">
        <f t="shared" si="2"/>
        <v/>
      </c>
    </row>
    <row r="662" ht="15.75" customHeight="1">
      <c r="A662" s="104"/>
      <c r="B662" s="105" t="str">
        <f>IFERROR(__xludf.DUMMYFUNCTION("ARRAY_CONSTRAIN(
  ARRAYFORMULA(
    IF(
      'Final Report'!A662="""",
      """",
      TEXTJOIN(
        "", "" &amp; CHAR(10),
        TRUE,
        IFERROR(
          VLOOKUP(
            TRIM(
              SPLIT('Final Report'!A662, "","")
           "&amp;" ),
            'URL Details'!A:B,
            2,
            FALSE
          ),
          """"
        )
      )
    )
  ),
  1,
  1
)
"),"")</f>
        <v/>
      </c>
      <c r="C662" s="105" t="str">
        <f>IFERROR(__xludf.DUMMYFUNCTION("IFERROR(IF('Final Report'!A662="""","""", TEXTJOIN(CHAR(10), TRUE, ARRAYFORMULA( ""• ""&amp; FILTER( TRIM(FLATTEN(SPLIT( REGEXREPLACE( SUBSTITUTE(TEXTJOIN("","", TRUE, IFERROR(ARRAYFORMULA(VLOOKUP(TRIM(SPLIT('Final Report'!A662, "","")), 'URL Details'!A:D, 4,"&amp;" FALSE)),"""") ), CHAR(10), "",""), ""\s*,\s*"", "",""), "",""))), TRIM(FLATTEN(SPLIT( REGEXREPLACE( SUBSTITUTE(TEXTJOIN("","", TRUE, IFERROR(ARRAYFORMULA(VLOOKUP(TRIM(SPLIT('Final Report'!A662, "","")), 'URL Details'!A:D, 4, FALSE)),"""") ), CHAR(10), """&amp;",""), ""\s*,\s*"", "",""), "","")))&lt;&gt;"""" ) ) ) ),"""")
"),"")</f>
        <v/>
      </c>
      <c r="D662" s="105"/>
      <c r="E662" s="105"/>
      <c r="F662" s="110" t="b">
        <v>0</v>
      </c>
      <c r="G662" s="105" t="str">
        <f>IF(F662=True, IFERROR(VLOOKUP(D662, Repository!A:B, 2, 0), ""), "")</f>
        <v/>
      </c>
      <c r="H662" s="105"/>
      <c r="I662" s="105"/>
      <c r="J662" s="105" t="str">
        <f>IF(F662=True, IFERROR(VLOOKUP(D662, Repository!A:C, 3, 0), ""), "")</f>
        <v/>
      </c>
      <c r="K662" s="105"/>
      <c r="L662" s="105" t="str">
        <f>IF(F662=True, IFERROR(VLOOKUP(D662, Repository!A:E, 5, 0), ""), "")</f>
        <v/>
      </c>
      <c r="M662" s="105"/>
      <c r="N662" s="105" t="str">
        <f>IF(F662=True, IFERROR(VLOOKUP(D662, Repository!A:G, 7, 0), ""), "")</f>
        <v/>
      </c>
      <c r="O662" s="105" t="str">
        <f>IFERROR(__xludf.DUMMYFUNCTION("ARRAY_CONSTRAIN(
  ARRAYFORMULA(
    IFERROR(
      LET(
        list, N662,
        arr, TRIM(SPLIT(list, "","")),
        names, XLOOKUP(
          arr,
          'Conformance Score'!A:A,
          'Conformance Score'!B:B,
          ""Not found""
      "&amp;"  ),
        TEXTJOIN("", "", TRUE, names)
      ),
      """"
    )
  ),
  1,
  1
)
"),"")</f>
        <v/>
      </c>
      <c r="P662" s="105" t="str">
        <f>IF(F662="Yes", IFERROR(VLOOKUP(D662, Repository!A:F, 6, 0), ""), "")</f>
        <v/>
      </c>
      <c r="Q662" s="105" t="str">
        <f>IF(F662="Yes", IFERROR(VLOOKUP(D662, Repository!A:I, 8, 0), ""), "")</f>
        <v/>
      </c>
      <c r="R662" s="105" t="str">
        <f>IF(F662="Yes", IFERROR(VLOOKUP(D662, Repository!A:J, 9, 0), ""), "")</f>
        <v/>
      </c>
      <c r="S662" s="105"/>
      <c r="T662" s="105"/>
      <c r="U662" s="105"/>
      <c r="V662" s="105"/>
      <c r="W662" s="105"/>
      <c r="X662" s="105"/>
      <c r="Y662" s="105"/>
      <c r="Z662" s="105"/>
      <c r="AA662" s="105"/>
      <c r="AB662" s="105"/>
      <c r="AC662" s="91"/>
      <c r="AD662" s="105"/>
      <c r="AE662" s="105"/>
      <c r="AF662" s="91"/>
      <c r="AG662" s="105"/>
      <c r="AH662" s="105"/>
      <c r="AI662" s="105" t="str">
        <f t="shared" si="1"/>
        <v/>
      </c>
      <c r="AJ662" s="108" t="str">
        <f t="shared" si="2"/>
        <v/>
      </c>
    </row>
    <row r="663" ht="15.75" customHeight="1">
      <c r="A663" s="104"/>
      <c r="B663" s="105" t="str">
        <f>IFERROR(__xludf.DUMMYFUNCTION("ARRAY_CONSTRAIN(
  ARRAYFORMULA(
    IF(
      'Final Report'!A663="""",
      """",
      TEXTJOIN(
        "", "" &amp; CHAR(10),
        TRUE,
        IFERROR(
          VLOOKUP(
            TRIM(
              SPLIT('Final Report'!A663, "","")
           "&amp;" ),
            'URL Details'!A:B,
            2,
            FALSE
          ),
          """"
        )
      )
    )
  ),
  1,
  1
)
"),"")</f>
        <v/>
      </c>
      <c r="C663" s="105" t="str">
        <f>IFERROR(__xludf.DUMMYFUNCTION("IFERROR(IF('Final Report'!A663="""","""", TEXTJOIN(CHAR(10), TRUE, ARRAYFORMULA( ""• ""&amp; FILTER( TRIM(FLATTEN(SPLIT( REGEXREPLACE( SUBSTITUTE(TEXTJOIN("","", TRUE, IFERROR(ARRAYFORMULA(VLOOKUP(TRIM(SPLIT('Final Report'!A663, "","")), 'URL Details'!A:D, 4,"&amp;" FALSE)),"""") ), CHAR(10), "",""), ""\s*,\s*"", "",""), "",""))), TRIM(FLATTEN(SPLIT( REGEXREPLACE( SUBSTITUTE(TEXTJOIN("","", TRUE, IFERROR(ARRAYFORMULA(VLOOKUP(TRIM(SPLIT('Final Report'!A663, "","")), 'URL Details'!A:D, 4, FALSE)),"""") ), CHAR(10), """&amp;",""), ""\s*,\s*"", "",""), "","")))&lt;&gt;"""" ) ) ) ),"""")
"),"")</f>
        <v/>
      </c>
      <c r="D663" s="105"/>
      <c r="E663" s="105"/>
      <c r="F663" s="110" t="b">
        <v>0</v>
      </c>
      <c r="G663" s="105" t="str">
        <f>IF(F663=True, IFERROR(VLOOKUP(D663, Repository!A:B, 2, 0), ""), "")</f>
        <v/>
      </c>
      <c r="H663" s="105"/>
      <c r="I663" s="105"/>
      <c r="J663" s="105" t="str">
        <f>IF(F663=True, IFERROR(VLOOKUP(D663, Repository!A:C, 3, 0), ""), "")</f>
        <v/>
      </c>
      <c r="K663" s="105"/>
      <c r="L663" s="105" t="str">
        <f>IF(F663=True, IFERROR(VLOOKUP(D663, Repository!A:E, 5, 0), ""), "")</f>
        <v/>
      </c>
      <c r="M663" s="105"/>
      <c r="N663" s="105" t="str">
        <f>IF(F663=True, IFERROR(VLOOKUP(D663, Repository!A:G, 7, 0), ""), "")</f>
        <v/>
      </c>
      <c r="O663" s="105" t="str">
        <f>IFERROR(__xludf.DUMMYFUNCTION("ARRAY_CONSTRAIN(
  ARRAYFORMULA(
    IFERROR(
      LET(
        list, N663,
        arr, TRIM(SPLIT(list, "","")),
        names, XLOOKUP(
          arr,
          'Conformance Score'!A:A,
          'Conformance Score'!B:B,
          ""Not found""
      "&amp;"  ),
        TEXTJOIN("", "", TRUE, names)
      ),
      """"
    )
  ),
  1,
  1
)
"),"")</f>
        <v/>
      </c>
      <c r="P663" s="105" t="str">
        <f>IF(F663="Yes", IFERROR(VLOOKUP(D663, Repository!A:F, 6, 0), ""), "")</f>
        <v/>
      </c>
      <c r="Q663" s="105" t="str">
        <f>IF(F663="Yes", IFERROR(VLOOKUP(D663, Repository!A:I, 8, 0), ""), "")</f>
        <v/>
      </c>
      <c r="R663" s="105" t="str">
        <f>IF(F663="Yes", IFERROR(VLOOKUP(D663, Repository!A:J, 9, 0), ""), "")</f>
        <v/>
      </c>
      <c r="S663" s="105"/>
      <c r="T663" s="105"/>
      <c r="U663" s="105"/>
      <c r="V663" s="105"/>
      <c r="W663" s="105"/>
      <c r="X663" s="105"/>
      <c r="Y663" s="105"/>
      <c r="Z663" s="105"/>
      <c r="AA663" s="105"/>
      <c r="AB663" s="105"/>
      <c r="AC663" s="91"/>
      <c r="AD663" s="105"/>
      <c r="AE663" s="105"/>
      <c r="AF663" s="91"/>
      <c r="AG663" s="105"/>
      <c r="AH663" s="105"/>
      <c r="AI663" s="105" t="str">
        <f t="shared" si="1"/>
        <v/>
      </c>
      <c r="AJ663" s="108" t="str">
        <f t="shared" si="2"/>
        <v/>
      </c>
    </row>
    <row r="664" ht="15.75" customHeight="1">
      <c r="A664" s="104"/>
      <c r="B664" s="105" t="str">
        <f>IFERROR(__xludf.DUMMYFUNCTION("ARRAY_CONSTRAIN(
  ARRAYFORMULA(
    IF(
      'Final Report'!A664="""",
      """",
      TEXTJOIN(
        "", "" &amp; CHAR(10),
        TRUE,
        IFERROR(
          VLOOKUP(
            TRIM(
              SPLIT('Final Report'!A664, "","")
           "&amp;" ),
            'URL Details'!A:B,
            2,
            FALSE
          ),
          """"
        )
      )
    )
  ),
  1,
  1
)
"),"")</f>
        <v/>
      </c>
      <c r="C664" s="105" t="str">
        <f>IFERROR(__xludf.DUMMYFUNCTION("IFERROR(IF('Final Report'!A664="""","""", TEXTJOIN(CHAR(10), TRUE, ARRAYFORMULA( ""• ""&amp; FILTER( TRIM(FLATTEN(SPLIT( REGEXREPLACE( SUBSTITUTE(TEXTJOIN("","", TRUE, IFERROR(ARRAYFORMULA(VLOOKUP(TRIM(SPLIT('Final Report'!A664, "","")), 'URL Details'!A:D, 4,"&amp;" FALSE)),"""") ), CHAR(10), "",""), ""\s*,\s*"", "",""), "",""))), TRIM(FLATTEN(SPLIT( REGEXREPLACE( SUBSTITUTE(TEXTJOIN("","", TRUE, IFERROR(ARRAYFORMULA(VLOOKUP(TRIM(SPLIT('Final Report'!A664, "","")), 'URL Details'!A:D, 4, FALSE)),"""") ), CHAR(10), """&amp;",""), ""\s*,\s*"", "",""), "","")))&lt;&gt;"""" ) ) ) ),"""")
"),"")</f>
        <v/>
      </c>
      <c r="D664" s="105"/>
      <c r="E664" s="105"/>
      <c r="F664" s="110" t="b">
        <v>0</v>
      </c>
      <c r="G664" s="105" t="str">
        <f>IF(F664=True, IFERROR(VLOOKUP(D664, Repository!A:B, 2, 0), ""), "")</f>
        <v/>
      </c>
      <c r="H664" s="105"/>
      <c r="I664" s="105"/>
      <c r="J664" s="105" t="str">
        <f>IF(F664=True, IFERROR(VLOOKUP(D664, Repository!A:C, 3, 0), ""), "")</f>
        <v/>
      </c>
      <c r="K664" s="105"/>
      <c r="L664" s="105" t="str">
        <f>IF(F664=True, IFERROR(VLOOKUP(D664, Repository!A:E, 5, 0), ""), "")</f>
        <v/>
      </c>
      <c r="M664" s="105"/>
      <c r="N664" s="105" t="str">
        <f>IF(F664=True, IFERROR(VLOOKUP(D664, Repository!A:G, 7, 0), ""), "")</f>
        <v/>
      </c>
      <c r="O664" s="105" t="str">
        <f>IFERROR(__xludf.DUMMYFUNCTION("ARRAY_CONSTRAIN(
  ARRAYFORMULA(
    IFERROR(
      LET(
        list, N664,
        arr, TRIM(SPLIT(list, "","")),
        names, XLOOKUP(
          arr,
          'Conformance Score'!A:A,
          'Conformance Score'!B:B,
          ""Not found""
      "&amp;"  ),
        TEXTJOIN("", "", TRUE, names)
      ),
      """"
    )
  ),
  1,
  1
)
"),"")</f>
        <v/>
      </c>
      <c r="P664" s="105" t="str">
        <f>IF(F664="Yes", IFERROR(VLOOKUP(D664, Repository!A:F, 6, 0), ""), "")</f>
        <v/>
      </c>
      <c r="Q664" s="105" t="str">
        <f>IF(F664="Yes", IFERROR(VLOOKUP(D664, Repository!A:I, 8, 0), ""), "")</f>
        <v/>
      </c>
      <c r="R664" s="105" t="str">
        <f>IF(F664="Yes", IFERROR(VLOOKUP(D664, Repository!A:J, 9, 0), ""), "")</f>
        <v/>
      </c>
      <c r="S664" s="105"/>
      <c r="T664" s="105"/>
      <c r="U664" s="105"/>
      <c r="V664" s="105"/>
      <c r="W664" s="105"/>
      <c r="X664" s="105"/>
      <c r="Y664" s="105"/>
      <c r="Z664" s="105"/>
      <c r="AA664" s="105"/>
      <c r="AB664" s="105"/>
      <c r="AC664" s="91"/>
      <c r="AD664" s="105"/>
      <c r="AE664" s="105"/>
      <c r="AF664" s="91"/>
      <c r="AG664" s="105"/>
      <c r="AH664" s="105"/>
      <c r="AI664" s="105" t="str">
        <f t="shared" si="1"/>
        <v/>
      </c>
      <c r="AJ664" s="108" t="str">
        <f t="shared" si="2"/>
        <v/>
      </c>
    </row>
    <row r="665" ht="15.75" customHeight="1">
      <c r="A665" s="104"/>
      <c r="B665" s="105" t="str">
        <f>IFERROR(__xludf.DUMMYFUNCTION("ARRAY_CONSTRAIN(
  ARRAYFORMULA(
    IF(
      'Final Report'!A665="""",
      """",
      TEXTJOIN(
        "", "" &amp; CHAR(10),
        TRUE,
        IFERROR(
          VLOOKUP(
            TRIM(
              SPLIT('Final Report'!A665, "","")
           "&amp;" ),
            'URL Details'!A:B,
            2,
            FALSE
          ),
          """"
        )
      )
    )
  ),
  1,
  1
)
"),"")</f>
        <v/>
      </c>
      <c r="C665" s="105" t="str">
        <f>IFERROR(__xludf.DUMMYFUNCTION("IFERROR(IF('Final Report'!A665="""","""", TEXTJOIN(CHAR(10), TRUE, ARRAYFORMULA( ""• ""&amp; FILTER( TRIM(FLATTEN(SPLIT( REGEXREPLACE( SUBSTITUTE(TEXTJOIN("","", TRUE, IFERROR(ARRAYFORMULA(VLOOKUP(TRIM(SPLIT('Final Report'!A665, "","")), 'URL Details'!A:D, 4,"&amp;" FALSE)),"""") ), CHAR(10), "",""), ""\s*,\s*"", "",""), "",""))), TRIM(FLATTEN(SPLIT( REGEXREPLACE( SUBSTITUTE(TEXTJOIN("","", TRUE, IFERROR(ARRAYFORMULA(VLOOKUP(TRIM(SPLIT('Final Report'!A665, "","")), 'URL Details'!A:D, 4, FALSE)),"""") ), CHAR(10), """&amp;",""), ""\s*,\s*"", "",""), "","")))&lt;&gt;"""" ) ) ) ),"""")
"),"")</f>
        <v/>
      </c>
      <c r="D665" s="105"/>
      <c r="E665" s="105"/>
      <c r="F665" s="110" t="b">
        <v>0</v>
      </c>
      <c r="G665" s="105" t="str">
        <f>IF(F665=True, IFERROR(VLOOKUP(D665, Repository!A:B, 2, 0), ""), "")</f>
        <v/>
      </c>
      <c r="H665" s="105"/>
      <c r="I665" s="105"/>
      <c r="J665" s="105" t="str">
        <f>IF(F665=True, IFERROR(VLOOKUP(D665, Repository!A:C, 3, 0), ""), "")</f>
        <v/>
      </c>
      <c r="K665" s="105"/>
      <c r="L665" s="105" t="str">
        <f>IF(F665=True, IFERROR(VLOOKUP(D665, Repository!A:E, 5, 0), ""), "")</f>
        <v/>
      </c>
      <c r="M665" s="105"/>
      <c r="N665" s="105" t="str">
        <f>IF(F665=True, IFERROR(VLOOKUP(D665, Repository!A:G, 7, 0), ""), "")</f>
        <v/>
      </c>
      <c r="O665" s="105" t="str">
        <f>IFERROR(__xludf.DUMMYFUNCTION("ARRAY_CONSTRAIN(
  ARRAYFORMULA(
    IFERROR(
      LET(
        list, N665,
        arr, TRIM(SPLIT(list, "","")),
        names, XLOOKUP(
          arr,
          'Conformance Score'!A:A,
          'Conformance Score'!B:B,
          ""Not found""
      "&amp;"  ),
        TEXTJOIN("", "", TRUE, names)
      ),
      """"
    )
  ),
  1,
  1
)
"),"")</f>
        <v/>
      </c>
      <c r="P665" s="105" t="str">
        <f>IF(F665="Yes", IFERROR(VLOOKUP(D665, Repository!A:F, 6, 0), ""), "")</f>
        <v/>
      </c>
      <c r="Q665" s="105" t="str">
        <f>IF(F665="Yes", IFERROR(VLOOKUP(D665, Repository!A:I, 8, 0), ""), "")</f>
        <v/>
      </c>
      <c r="R665" s="105" t="str">
        <f>IF(F665="Yes", IFERROR(VLOOKUP(D665, Repository!A:J, 9, 0), ""), "")</f>
        <v/>
      </c>
      <c r="S665" s="105"/>
      <c r="T665" s="105"/>
      <c r="U665" s="105"/>
      <c r="V665" s="105"/>
      <c r="W665" s="105"/>
      <c r="X665" s="105"/>
      <c r="Y665" s="105"/>
      <c r="Z665" s="105"/>
      <c r="AA665" s="105"/>
      <c r="AB665" s="105"/>
      <c r="AC665" s="91"/>
      <c r="AD665" s="105"/>
      <c r="AE665" s="105"/>
      <c r="AF665" s="91"/>
      <c r="AG665" s="105"/>
      <c r="AH665" s="105"/>
      <c r="AI665" s="105" t="str">
        <f t="shared" si="1"/>
        <v/>
      </c>
      <c r="AJ665" s="108" t="str">
        <f t="shared" si="2"/>
        <v/>
      </c>
    </row>
    <row r="666" ht="15.75" customHeight="1">
      <c r="A666" s="104"/>
      <c r="B666" s="105" t="str">
        <f>IFERROR(__xludf.DUMMYFUNCTION("ARRAY_CONSTRAIN(
  ARRAYFORMULA(
    IF(
      'Final Report'!A666="""",
      """",
      TEXTJOIN(
        "", "" &amp; CHAR(10),
        TRUE,
        IFERROR(
          VLOOKUP(
            TRIM(
              SPLIT('Final Report'!A666, "","")
           "&amp;" ),
            'URL Details'!A:B,
            2,
            FALSE
          ),
          """"
        )
      )
    )
  ),
  1,
  1
)
"),"")</f>
        <v/>
      </c>
      <c r="C666" s="105" t="str">
        <f>IFERROR(__xludf.DUMMYFUNCTION("IFERROR(IF('Final Report'!A666="""","""", TEXTJOIN(CHAR(10), TRUE, ARRAYFORMULA( ""• ""&amp; FILTER( TRIM(FLATTEN(SPLIT( REGEXREPLACE( SUBSTITUTE(TEXTJOIN("","", TRUE, IFERROR(ARRAYFORMULA(VLOOKUP(TRIM(SPLIT('Final Report'!A666, "","")), 'URL Details'!A:D, 4,"&amp;" FALSE)),"""") ), CHAR(10), "",""), ""\s*,\s*"", "",""), "",""))), TRIM(FLATTEN(SPLIT( REGEXREPLACE( SUBSTITUTE(TEXTJOIN("","", TRUE, IFERROR(ARRAYFORMULA(VLOOKUP(TRIM(SPLIT('Final Report'!A666, "","")), 'URL Details'!A:D, 4, FALSE)),"""") ), CHAR(10), """&amp;",""), ""\s*,\s*"", "",""), "","")))&lt;&gt;"""" ) ) ) ),"""")
"),"")</f>
        <v/>
      </c>
      <c r="D666" s="105"/>
      <c r="E666" s="105"/>
      <c r="F666" s="110" t="b">
        <v>0</v>
      </c>
      <c r="G666" s="105" t="str">
        <f>IF(F666=True, IFERROR(VLOOKUP(D666, Repository!A:B, 2, 0), ""), "")</f>
        <v/>
      </c>
      <c r="H666" s="105"/>
      <c r="I666" s="105"/>
      <c r="J666" s="105" t="str">
        <f>IF(F666=True, IFERROR(VLOOKUP(D666, Repository!A:C, 3, 0), ""), "")</f>
        <v/>
      </c>
      <c r="K666" s="105"/>
      <c r="L666" s="105" t="str">
        <f>IF(F666=True, IFERROR(VLOOKUP(D666, Repository!A:E, 5, 0), ""), "")</f>
        <v/>
      </c>
      <c r="M666" s="105"/>
      <c r="N666" s="105" t="str">
        <f>IF(F666=True, IFERROR(VLOOKUP(D666, Repository!A:G, 7, 0), ""), "")</f>
        <v/>
      </c>
      <c r="O666" s="105" t="str">
        <f>IFERROR(__xludf.DUMMYFUNCTION("ARRAY_CONSTRAIN(
  ARRAYFORMULA(
    IFERROR(
      LET(
        list, N666,
        arr, TRIM(SPLIT(list, "","")),
        names, XLOOKUP(
          arr,
          'Conformance Score'!A:A,
          'Conformance Score'!B:B,
          ""Not found""
      "&amp;"  ),
        TEXTJOIN("", "", TRUE, names)
      ),
      """"
    )
  ),
  1,
  1
)
"),"")</f>
        <v/>
      </c>
      <c r="P666" s="105" t="str">
        <f>IF(F666="Yes", IFERROR(VLOOKUP(D666, Repository!A:F, 6, 0), ""), "")</f>
        <v/>
      </c>
      <c r="Q666" s="105" t="str">
        <f>IF(F666="Yes", IFERROR(VLOOKUP(D666, Repository!A:I, 8, 0), ""), "")</f>
        <v/>
      </c>
      <c r="R666" s="105" t="str">
        <f>IF(F666="Yes", IFERROR(VLOOKUP(D666, Repository!A:J, 9, 0), ""), "")</f>
        <v/>
      </c>
      <c r="S666" s="105"/>
      <c r="T666" s="105"/>
      <c r="U666" s="105"/>
      <c r="V666" s="105"/>
      <c r="W666" s="105"/>
      <c r="X666" s="105"/>
      <c r="Y666" s="105"/>
      <c r="Z666" s="105"/>
      <c r="AA666" s="105"/>
      <c r="AB666" s="105"/>
      <c r="AC666" s="91"/>
      <c r="AD666" s="105"/>
      <c r="AE666" s="105"/>
      <c r="AF666" s="91"/>
      <c r="AG666" s="105"/>
      <c r="AH666" s="105"/>
      <c r="AI666" s="105" t="str">
        <f t="shared" si="1"/>
        <v/>
      </c>
      <c r="AJ666" s="108" t="str">
        <f t="shared" si="2"/>
        <v/>
      </c>
    </row>
    <row r="667" ht="15.75" customHeight="1">
      <c r="A667" s="104"/>
      <c r="B667" s="105" t="str">
        <f>IFERROR(__xludf.DUMMYFUNCTION("ARRAY_CONSTRAIN(
  ARRAYFORMULA(
    IF(
      'Final Report'!A667="""",
      """",
      TEXTJOIN(
        "", "" &amp; CHAR(10),
        TRUE,
        IFERROR(
          VLOOKUP(
            TRIM(
              SPLIT('Final Report'!A667, "","")
           "&amp;" ),
            'URL Details'!A:B,
            2,
            FALSE
          ),
          """"
        )
      )
    )
  ),
  1,
  1
)
"),"")</f>
        <v/>
      </c>
      <c r="C667" s="105" t="str">
        <f>IFERROR(__xludf.DUMMYFUNCTION("IFERROR(IF('Final Report'!A667="""","""", TEXTJOIN(CHAR(10), TRUE, ARRAYFORMULA( ""• ""&amp; FILTER( TRIM(FLATTEN(SPLIT( REGEXREPLACE( SUBSTITUTE(TEXTJOIN("","", TRUE, IFERROR(ARRAYFORMULA(VLOOKUP(TRIM(SPLIT('Final Report'!A667, "","")), 'URL Details'!A:D, 4,"&amp;" FALSE)),"""") ), CHAR(10), "",""), ""\s*,\s*"", "",""), "",""))), TRIM(FLATTEN(SPLIT( REGEXREPLACE( SUBSTITUTE(TEXTJOIN("","", TRUE, IFERROR(ARRAYFORMULA(VLOOKUP(TRIM(SPLIT('Final Report'!A667, "","")), 'URL Details'!A:D, 4, FALSE)),"""") ), CHAR(10), """&amp;",""), ""\s*,\s*"", "",""), "","")))&lt;&gt;"""" ) ) ) ),"""")
"),"")</f>
        <v/>
      </c>
      <c r="D667" s="105"/>
      <c r="E667" s="105"/>
      <c r="F667" s="110" t="b">
        <v>0</v>
      </c>
      <c r="G667" s="105" t="str">
        <f>IF(F667=True, IFERROR(VLOOKUP(D667, Repository!A:B, 2, 0), ""), "")</f>
        <v/>
      </c>
      <c r="H667" s="105"/>
      <c r="I667" s="105"/>
      <c r="J667" s="105" t="str">
        <f>IF(F667=True, IFERROR(VLOOKUP(D667, Repository!A:C, 3, 0), ""), "")</f>
        <v/>
      </c>
      <c r="K667" s="105"/>
      <c r="L667" s="105" t="str">
        <f>IF(F667=True, IFERROR(VLOOKUP(D667, Repository!A:E, 5, 0), ""), "")</f>
        <v/>
      </c>
      <c r="M667" s="105"/>
      <c r="N667" s="105" t="str">
        <f>IF(F667=True, IFERROR(VLOOKUP(D667, Repository!A:G, 7, 0), ""), "")</f>
        <v/>
      </c>
      <c r="O667" s="105" t="str">
        <f>IFERROR(__xludf.DUMMYFUNCTION("ARRAY_CONSTRAIN(
  ARRAYFORMULA(
    IFERROR(
      LET(
        list, N667,
        arr, TRIM(SPLIT(list, "","")),
        names, XLOOKUP(
          arr,
          'Conformance Score'!A:A,
          'Conformance Score'!B:B,
          ""Not found""
      "&amp;"  ),
        TEXTJOIN("", "", TRUE, names)
      ),
      """"
    )
  ),
  1,
  1
)
"),"")</f>
        <v/>
      </c>
      <c r="P667" s="105" t="str">
        <f>IF(F667="Yes", IFERROR(VLOOKUP(D667, Repository!A:F, 6, 0), ""), "")</f>
        <v/>
      </c>
      <c r="Q667" s="105" t="str">
        <f>IF(F667="Yes", IFERROR(VLOOKUP(D667, Repository!A:I, 8, 0), ""), "")</f>
        <v/>
      </c>
      <c r="R667" s="105" t="str">
        <f>IF(F667="Yes", IFERROR(VLOOKUP(D667, Repository!A:J, 9, 0), ""), "")</f>
        <v/>
      </c>
      <c r="S667" s="105"/>
      <c r="T667" s="105"/>
      <c r="U667" s="105"/>
      <c r="V667" s="105"/>
      <c r="W667" s="105"/>
      <c r="X667" s="105"/>
      <c r="Y667" s="105"/>
      <c r="Z667" s="105"/>
      <c r="AA667" s="105"/>
      <c r="AB667" s="105"/>
      <c r="AC667" s="91"/>
      <c r="AD667" s="105"/>
      <c r="AE667" s="105"/>
      <c r="AF667" s="91"/>
      <c r="AG667" s="105"/>
      <c r="AH667" s="105"/>
      <c r="AI667" s="105" t="str">
        <f t="shared" si="1"/>
        <v/>
      </c>
      <c r="AJ667" s="108" t="str">
        <f t="shared" si="2"/>
        <v/>
      </c>
    </row>
    <row r="668" ht="15.75" customHeight="1">
      <c r="A668" s="104"/>
      <c r="B668" s="105" t="str">
        <f>IFERROR(__xludf.DUMMYFUNCTION("ARRAY_CONSTRAIN(
  ARRAYFORMULA(
    IF(
      'Final Report'!A668="""",
      """",
      TEXTJOIN(
        "", "" &amp; CHAR(10),
        TRUE,
        IFERROR(
          VLOOKUP(
            TRIM(
              SPLIT('Final Report'!A668, "","")
           "&amp;" ),
            'URL Details'!A:B,
            2,
            FALSE
          ),
          """"
        )
      )
    )
  ),
  1,
  1
)
"),"")</f>
        <v/>
      </c>
      <c r="C668" s="105" t="str">
        <f>IFERROR(__xludf.DUMMYFUNCTION("IFERROR(IF('Final Report'!A668="""","""", TEXTJOIN(CHAR(10), TRUE, ARRAYFORMULA( ""• ""&amp; FILTER( TRIM(FLATTEN(SPLIT( REGEXREPLACE( SUBSTITUTE(TEXTJOIN("","", TRUE, IFERROR(ARRAYFORMULA(VLOOKUP(TRIM(SPLIT('Final Report'!A668, "","")), 'URL Details'!A:D, 4,"&amp;" FALSE)),"""") ), CHAR(10), "",""), ""\s*,\s*"", "",""), "",""))), TRIM(FLATTEN(SPLIT( REGEXREPLACE( SUBSTITUTE(TEXTJOIN("","", TRUE, IFERROR(ARRAYFORMULA(VLOOKUP(TRIM(SPLIT('Final Report'!A668, "","")), 'URL Details'!A:D, 4, FALSE)),"""") ), CHAR(10), """&amp;",""), ""\s*,\s*"", "",""), "","")))&lt;&gt;"""" ) ) ) ),"""")
"),"")</f>
        <v/>
      </c>
      <c r="D668" s="105"/>
      <c r="E668" s="105"/>
      <c r="F668" s="110" t="b">
        <v>0</v>
      </c>
      <c r="G668" s="105" t="str">
        <f>IF(F668=True, IFERROR(VLOOKUP(D668, Repository!A:B, 2, 0), ""), "")</f>
        <v/>
      </c>
      <c r="H668" s="105"/>
      <c r="I668" s="105"/>
      <c r="J668" s="105" t="str">
        <f>IF(F668=True, IFERROR(VLOOKUP(D668, Repository!A:C, 3, 0), ""), "")</f>
        <v/>
      </c>
      <c r="K668" s="105"/>
      <c r="L668" s="105" t="str">
        <f>IF(F668=True, IFERROR(VLOOKUP(D668, Repository!A:E, 5, 0), ""), "")</f>
        <v/>
      </c>
      <c r="M668" s="105"/>
      <c r="N668" s="105" t="str">
        <f>IF(F668=True, IFERROR(VLOOKUP(D668, Repository!A:G, 7, 0), ""), "")</f>
        <v/>
      </c>
      <c r="O668" s="105" t="str">
        <f>IFERROR(__xludf.DUMMYFUNCTION("ARRAY_CONSTRAIN(
  ARRAYFORMULA(
    IFERROR(
      LET(
        list, N668,
        arr, TRIM(SPLIT(list, "","")),
        names, XLOOKUP(
          arr,
          'Conformance Score'!A:A,
          'Conformance Score'!B:B,
          ""Not found""
      "&amp;"  ),
        TEXTJOIN("", "", TRUE, names)
      ),
      """"
    )
  ),
  1,
  1
)
"),"")</f>
        <v/>
      </c>
      <c r="P668" s="105" t="str">
        <f>IF(F668="Yes", IFERROR(VLOOKUP(D668, Repository!A:F, 6, 0), ""), "")</f>
        <v/>
      </c>
      <c r="Q668" s="105" t="str">
        <f>IF(F668="Yes", IFERROR(VLOOKUP(D668, Repository!A:I, 8, 0), ""), "")</f>
        <v/>
      </c>
      <c r="R668" s="105" t="str">
        <f>IF(F668="Yes", IFERROR(VLOOKUP(D668, Repository!A:J, 9, 0), ""), "")</f>
        <v/>
      </c>
      <c r="S668" s="105"/>
      <c r="T668" s="105"/>
      <c r="U668" s="105"/>
      <c r="V668" s="105"/>
      <c r="W668" s="105"/>
      <c r="X668" s="105"/>
      <c r="Y668" s="105"/>
      <c r="Z668" s="105"/>
      <c r="AA668" s="105"/>
      <c r="AB668" s="105"/>
      <c r="AC668" s="91"/>
      <c r="AD668" s="105"/>
      <c r="AE668" s="105"/>
      <c r="AF668" s="91"/>
      <c r="AG668" s="105"/>
      <c r="AH668" s="105"/>
      <c r="AI668" s="105" t="str">
        <f t="shared" si="1"/>
        <v/>
      </c>
      <c r="AJ668" s="108" t="str">
        <f t="shared" si="2"/>
        <v/>
      </c>
    </row>
    <row r="669" ht="15.75" customHeight="1">
      <c r="A669" s="104"/>
      <c r="B669" s="105" t="str">
        <f>IFERROR(__xludf.DUMMYFUNCTION("ARRAY_CONSTRAIN(
  ARRAYFORMULA(
    IF(
      'Final Report'!A669="""",
      """",
      TEXTJOIN(
        "", "" &amp; CHAR(10),
        TRUE,
        IFERROR(
          VLOOKUP(
            TRIM(
              SPLIT('Final Report'!A669, "","")
           "&amp;" ),
            'URL Details'!A:B,
            2,
            FALSE
          ),
          """"
        )
      )
    )
  ),
  1,
  1
)
"),"")</f>
        <v/>
      </c>
      <c r="C669" s="105" t="str">
        <f>IFERROR(__xludf.DUMMYFUNCTION("IFERROR(IF('Final Report'!A669="""","""", TEXTJOIN(CHAR(10), TRUE, ARRAYFORMULA( ""• ""&amp; FILTER( TRIM(FLATTEN(SPLIT( REGEXREPLACE( SUBSTITUTE(TEXTJOIN("","", TRUE, IFERROR(ARRAYFORMULA(VLOOKUP(TRIM(SPLIT('Final Report'!A669, "","")), 'URL Details'!A:D, 4,"&amp;" FALSE)),"""") ), CHAR(10), "",""), ""\s*,\s*"", "",""), "",""))), TRIM(FLATTEN(SPLIT( REGEXREPLACE( SUBSTITUTE(TEXTJOIN("","", TRUE, IFERROR(ARRAYFORMULA(VLOOKUP(TRIM(SPLIT('Final Report'!A669, "","")), 'URL Details'!A:D, 4, FALSE)),"""") ), CHAR(10), """&amp;",""), ""\s*,\s*"", "",""), "","")))&lt;&gt;"""" ) ) ) ),"""")
"),"")</f>
        <v/>
      </c>
      <c r="D669" s="105"/>
      <c r="E669" s="105"/>
      <c r="F669" s="110" t="b">
        <v>0</v>
      </c>
      <c r="G669" s="105" t="str">
        <f>IF(F669=True, IFERROR(VLOOKUP(D669, Repository!A:B, 2, 0), ""), "")</f>
        <v/>
      </c>
      <c r="H669" s="105"/>
      <c r="I669" s="105"/>
      <c r="J669" s="105" t="str">
        <f>IF(F669=True, IFERROR(VLOOKUP(D669, Repository!A:C, 3, 0), ""), "")</f>
        <v/>
      </c>
      <c r="K669" s="105"/>
      <c r="L669" s="105" t="str">
        <f>IF(F669=True, IFERROR(VLOOKUP(D669, Repository!A:E, 5, 0), ""), "")</f>
        <v/>
      </c>
      <c r="M669" s="105"/>
      <c r="N669" s="105" t="str">
        <f>IF(F669=True, IFERROR(VLOOKUP(D669, Repository!A:G, 7, 0), ""), "")</f>
        <v/>
      </c>
      <c r="O669" s="105" t="str">
        <f>IFERROR(__xludf.DUMMYFUNCTION("ARRAY_CONSTRAIN(
  ARRAYFORMULA(
    IFERROR(
      LET(
        list, N669,
        arr, TRIM(SPLIT(list, "","")),
        names, XLOOKUP(
          arr,
          'Conformance Score'!A:A,
          'Conformance Score'!B:B,
          ""Not found""
      "&amp;"  ),
        TEXTJOIN("", "", TRUE, names)
      ),
      """"
    )
  ),
  1,
  1
)
"),"")</f>
        <v/>
      </c>
      <c r="P669" s="105" t="str">
        <f>IF(F669="Yes", IFERROR(VLOOKUP(D669, Repository!A:F, 6, 0), ""), "")</f>
        <v/>
      </c>
      <c r="Q669" s="105" t="str">
        <f>IF(F669="Yes", IFERROR(VLOOKUP(D669, Repository!A:I, 8, 0), ""), "")</f>
        <v/>
      </c>
      <c r="R669" s="105" t="str">
        <f>IF(F669="Yes", IFERROR(VLOOKUP(D669, Repository!A:J, 9, 0), ""), "")</f>
        <v/>
      </c>
      <c r="S669" s="105"/>
      <c r="T669" s="105"/>
      <c r="U669" s="105"/>
      <c r="V669" s="105"/>
      <c r="W669" s="105"/>
      <c r="X669" s="105"/>
      <c r="Y669" s="105"/>
      <c r="Z669" s="105"/>
      <c r="AA669" s="105"/>
      <c r="AB669" s="105"/>
      <c r="AC669" s="91"/>
      <c r="AD669" s="105"/>
      <c r="AE669" s="105"/>
      <c r="AF669" s="91"/>
      <c r="AG669" s="105"/>
      <c r="AH669" s="105"/>
      <c r="AI669" s="105" t="str">
        <f t="shared" si="1"/>
        <v/>
      </c>
      <c r="AJ669" s="108" t="str">
        <f t="shared" si="2"/>
        <v/>
      </c>
    </row>
    <row r="670" ht="15.75" customHeight="1">
      <c r="A670" s="104"/>
      <c r="B670" s="105" t="str">
        <f>IFERROR(__xludf.DUMMYFUNCTION("ARRAY_CONSTRAIN(
  ARRAYFORMULA(
    IF(
      'Final Report'!A670="""",
      """",
      TEXTJOIN(
        "", "" &amp; CHAR(10),
        TRUE,
        IFERROR(
          VLOOKUP(
            TRIM(
              SPLIT('Final Report'!A670, "","")
           "&amp;" ),
            'URL Details'!A:B,
            2,
            FALSE
          ),
          """"
        )
      )
    )
  ),
  1,
  1
)
"),"")</f>
        <v/>
      </c>
      <c r="C670" s="105" t="str">
        <f>IFERROR(__xludf.DUMMYFUNCTION("IFERROR(IF('Final Report'!A670="""","""", TEXTJOIN(CHAR(10), TRUE, ARRAYFORMULA( ""• ""&amp; FILTER( TRIM(FLATTEN(SPLIT( REGEXREPLACE( SUBSTITUTE(TEXTJOIN("","", TRUE, IFERROR(ARRAYFORMULA(VLOOKUP(TRIM(SPLIT('Final Report'!A670, "","")), 'URL Details'!A:D, 4,"&amp;" FALSE)),"""") ), CHAR(10), "",""), ""\s*,\s*"", "",""), "",""))), TRIM(FLATTEN(SPLIT( REGEXREPLACE( SUBSTITUTE(TEXTJOIN("","", TRUE, IFERROR(ARRAYFORMULA(VLOOKUP(TRIM(SPLIT('Final Report'!A670, "","")), 'URL Details'!A:D, 4, FALSE)),"""") ), CHAR(10), """&amp;",""), ""\s*,\s*"", "",""), "","")))&lt;&gt;"""" ) ) ) ),"""")
"),"")</f>
        <v/>
      </c>
      <c r="D670" s="105"/>
      <c r="E670" s="105"/>
      <c r="F670" s="110" t="b">
        <v>0</v>
      </c>
      <c r="G670" s="105" t="str">
        <f>IF(F670=True, IFERROR(VLOOKUP(D670, Repository!A:B, 2, 0), ""), "")</f>
        <v/>
      </c>
      <c r="H670" s="105"/>
      <c r="I670" s="105"/>
      <c r="J670" s="105" t="str">
        <f>IF(F670=True, IFERROR(VLOOKUP(D670, Repository!A:C, 3, 0), ""), "")</f>
        <v/>
      </c>
      <c r="K670" s="105"/>
      <c r="L670" s="105" t="str">
        <f>IF(F670=True, IFERROR(VLOOKUP(D670, Repository!A:E, 5, 0), ""), "")</f>
        <v/>
      </c>
      <c r="M670" s="105"/>
      <c r="N670" s="105" t="str">
        <f>IF(F670=True, IFERROR(VLOOKUP(D670, Repository!A:G, 7, 0), ""), "")</f>
        <v/>
      </c>
      <c r="O670" s="105" t="str">
        <f>IFERROR(__xludf.DUMMYFUNCTION("ARRAY_CONSTRAIN(
  ARRAYFORMULA(
    IFERROR(
      LET(
        list, N670,
        arr, TRIM(SPLIT(list, "","")),
        names, XLOOKUP(
          arr,
          'Conformance Score'!A:A,
          'Conformance Score'!B:B,
          ""Not found""
      "&amp;"  ),
        TEXTJOIN("", "", TRUE, names)
      ),
      """"
    )
  ),
  1,
  1
)
"),"")</f>
        <v/>
      </c>
      <c r="P670" s="105" t="str">
        <f>IF(F670="Yes", IFERROR(VLOOKUP(D670, Repository!A:F, 6, 0), ""), "")</f>
        <v/>
      </c>
      <c r="Q670" s="105" t="str">
        <f>IF(F670="Yes", IFERROR(VLOOKUP(D670, Repository!A:I, 8, 0), ""), "")</f>
        <v/>
      </c>
      <c r="R670" s="105" t="str">
        <f>IF(F670="Yes", IFERROR(VLOOKUP(D670, Repository!A:J, 9, 0), ""), "")</f>
        <v/>
      </c>
      <c r="S670" s="105"/>
      <c r="T670" s="105"/>
      <c r="U670" s="105"/>
      <c r="V670" s="105"/>
      <c r="W670" s="105"/>
      <c r="X670" s="105"/>
      <c r="Y670" s="105"/>
      <c r="Z670" s="105"/>
      <c r="AA670" s="105"/>
      <c r="AB670" s="105"/>
      <c r="AC670" s="91"/>
      <c r="AD670" s="105"/>
      <c r="AE670" s="105"/>
      <c r="AF670" s="91"/>
      <c r="AG670" s="105"/>
      <c r="AH670" s="105"/>
      <c r="AI670" s="105" t="str">
        <f t="shared" si="1"/>
        <v/>
      </c>
      <c r="AJ670" s="108" t="str">
        <f t="shared" si="2"/>
        <v/>
      </c>
    </row>
    <row r="671" ht="15.75" customHeight="1">
      <c r="A671" s="104"/>
      <c r="B671" s="105" t="str">
        <f>IFERROR(__xludf.DUMMYFUNCTION("ARRAY_CONSTRAIN(
  ARRAYFORMULA(
    IF(
      'Final Report'!A671="""",
      """",
      TEXTJOIN(
        "", "" &amp; CHAR(10),
        TRUE,
        IFERROR(
          VLOOKUP(
            TRIM(
              SPLIT('Final Report'!A671, "","")
           "&amp;" ),
            'URL Details'!A:B,
            2,
            FALSE
          ),
          """"
        )
      )
    )
  ),
  1,
  1
)
"),"")</f>
        <v/>
      </c>
      <c r="C671" s="105" t="str">
        <f>IFERROR(__xludf.DUMMYFUNCTION("IFERROR(IF('Final Report'!A671="""","""", TEXTJOIN(CHAR(10), TRUE, ARRAYFORMULA( ""• ""&amp; FILTER( TRIM(FLATTEN(SPLIT( REGEXREPLACE( SUBSTITUTE(TEXTJOIN("","", TRUE, IFERROR(ARRAYFORMULA(VLOOKUP(TRIM(SPLIT('Final Report'!A671, "","")), 'URL Details'!A:D, 4,"&amp;" FALSE)),"""") ), CHAR(10), "",""), ""\s*,\s*"", "",""), "",""))), TRIM(FLATTEN(SPLIT( REGEXREPLACE( SUBSTITUTE(TEXTJOIN("","", TRUE, IFERROR(ARRAYFORMULA(VLOOKUP(TRIM(SPLIT('Final Report'!A671, "","")), 'URL Details'!A:D, 4, FALSE)),"""") ), CHAR(10), """&amp;",""), ""\s*,\s*"", "",""), "","")))&lt;&gt;"""" ) ) ) ),"""")
"),"")</f>
        <v/>
      </c>
      <c r="D671" s="105"/>
      <c r="E671" s="105"/>
      <c r="F671" s="110" t="b">
        <v>0</v>
      </c>
      <c r="G671" s="105" t="str">
        <f>IF(F671=True, IFERROR(VLOOKUP(D671, Repository!A:B, 2, 0), ""), "")</f>
        <v/>
      </c>
      <c r="H671" s="105"/>
      <c r="I671" s="105"/>
      <c r="J671" s="105" t="str">
        <f>IF(F671=True, IFERROR(VLOOKUP(D671, Repository!A:C, 3, 0), ""), "")</f>
        <v/>
      </c>
      <c r="K671" s="105"/>
      <c r="L671" s="105" t="str">
        <f>IF(F671=True, IFERROR(VLOOKUP(D671, Repository!A:E, 5, 0), ""), "")</f>
        <v/>
      </c>
      <c r="M671" s="105"/>
      <c r="N671" s="105" t="str">
        <f>IF(F671=True, IFERROR(VLOOKUP(D671, Repository!A:G, 7, 0), ""), "")</f>
        <v/>
      </c>
      <c r="O671" s="105" t="str">
        <f>IFERROR(__xludf.DUMMYFUNCTION("ARRAY_CONSTRAIN(
  ARRAYFORMULA(
    IFERROR(
      LET(
        list, N671,
        arr, TRIM(SPLIT(list, "","")),
        names, XLOOKUP(
          arr,
          'Conformance Score'!A:A,
          'Conformance Score'!B:B,
          ""Not found""
      "&amp;"  ),
        TEXTJOIN("", "", TRUE, names)
      ),
      """"
    )
  ),
  1,
  1
)
"),"")</f>
        <v/>
      </c>
      <c r="P671" s="105" t="str">
        <f>IF(F671="Yes", IFERROR(VLOOKUP(D671, Repository!A:F, 6, 0), ""), "")</f>
        <v/>
      </c>
      <c r="Q671" s="105" t="str">
        <f>IF(F671="Yes", IFERROR(VLOOKUP(D671, Repository!A:I, 8, 0), ""), "")</f>
        <v/>
      </c>
      <c r="R671" s="105" t="str">
        <f>IF(F671="Yes", IFERROR(VLOOKUP(D671, Repository!A:J, 9, 0), ""), "")</f>
        <v/>
      </c>
      <c r="S671" s="105"/>
      <c r="T671" s="105"/>
      <c r="U671" s="105"/>
      <c r="V671" s="105"/>
      <c r="W671" s="105"/>
      <c r="X671" s="105"/>
      <c r="Y671" s="105"/>
      <c r="Z671" s="105"/>
      <c r="AA671" s="105"/>
      <c r="AB671" s="105"/>
      <c r="AC671" s="91"/>
      <c r="AD671" s="105"/>
      <c r="AE671" s="105"/>
      <c r="AF671" s="91"/>
      <c r="AG671" s="105"/>
      <c r="AH671" s="105"/>
      <c r="AI671" s="105" t="str">
        <f t="shared" si="1"/>
        <v/>
      </c>
      <c r="AJ671" s="108" t="str">
        <f t="shared" si="2"/>
        <v/>
      </c>
    </row>
    <row r="672" ht="15.75" customHeight="1">
      <c r="A672" s="104"/>
      <c r="B672" s="105" t="str">
        <f>IFERROR(__xludf.DUMMYFUNCTION("ARRAY_CONSTRAIN(
  ARRAYFORMULA(
    IF(
      'Final Report'!A672="""",
      """",
      TEXTJOIN(
        "", "" &amp; CHAR(10),
        TRUE,
        IFERROR(
          VLOOKUP(
            TRIM(
              SPLIT('Final Report'!A672, "","")
           "&amp;" ),
            'URL Details'!A:B,
            2,
            FALSE
          ),
          """"
        )
      )
    )
  ),
  1,
  1
)
"),"")</f>
        <v/>
      </c>
      <c r="C672" s="105" t="str">
        <f>IFERROR(__xludf.DUMMYFUNCTION("IFERROR(IF('Final Report'!A672="""","""", TEXTJOIN(CHAR(10), TRUE, ARRAYFORMULA( ""• ""&amp; FILTER( TRIM(FLATTEN(SPLIT( REGEXREPLACE( SUBSTITUTE(TEXTJOIN("","", TRUE, IFERROR(ARRAYFORMULA(VLOOKUP(TRIM(SPLIT('Final Report'!A672, "","")), 'URL Details'!A:D, 4,"&amp;" FALSE)),"""") ), CHAR(10), "",""), ""\s*,\s*"", "",""), "",""))), TRIM(FLATTEN(SPLIT( REGEXREPLACE( SUBSTITUTE(TEXTJOIN("","", TRUE, IFERROR(ARRAYFORMULA(VLOOKUP(TRIM(SPLIT('Final Report'!A672, "","")), 'URL Details'!A:D, 4, FALSE)),"""") ), CHAR(10), """&amp;",""), ""\s*,\s*"", "",""), "","")))&lt;&gt;"""" ) ) ) ),"""")
"),"")</f>
        <v/>
      </c>
      <c r="D672" s="105"/>
      <c r="E672" s="105"/>
      <c r="F672" s="110" t="b">
        <v>0</v>
      </c>
      <c r="G672" s="105" t="str">
        <f>IF(F672=True, IFERROR(VLOOKUP(D672, Repository!A:B, 2, 0), ""), "")</f>
        <v/>
      </c>
      <c r="H672" s="105"/>
      <c r="I672" s="105"/>
      <c r="J672" s="105" t="str">
        <f>IF(F672=True, IFERROR(VLOOKUP(D672, Repository!A:C, 3, 0), ""), "")</f>
        <v/>
      </c>
      <c r="K672" s="105"/>
      <c r="L672" s="105" t="str">
        <f>IF(F672=True, IFERROR(VLOOKUP(D672, Repository!A:E, 5, 0), ""), "")</f>
        <v/>
      </c>
      <c r="M672" s="105"/>
      <c r="N672" s="105" t="str">
        <f>IF(F672=True, IFERROR(VLOOKUP(D672, Repository!A:G, 7, 0), ""), "")</f>
        <v/>
      </c>
      <c r="O672" s="105" t="str">
        <f>IFERROR(__xludf.DUMMYFUNCTION("ARRAY_CONSTRAIN(
  ARRAYFORMULA(
    IFERROR(
      LET(
        list, N672,
        arr, TRIM(SPLIT(list, "","")),
        names, XLOOKUP(
          arr,
          'Conformance Score'!A:A,
          'Conformance Score'!B:B,
          ""Not found""
      "&amp;"  ),
        TEXTJOIN("", "", TRUE, names)
      ),
      """"
    )
  ),
  1,
  1
)
"),"")</f>
        <v/>
      </c>
      <c r="P672" s="105" t="str">
        <f>IF(F672="Yes", IFERROR(VLOOKUP(D672, Repository!A:F, 6, 0), ""), "")</f>
        <v/>
      </c>
      <c r="Q672" s="105" t="str">
        <f>IF(F672="Yes", IFERROR(VLOOKUP(D672, Repository!A:I, 8, 0), ""), "")</f>
        <v/>
      </c>
      <c r="R672" s="105" t="str">
        <f>IF(F672="Yes", IFERROR(VLOOKUP(D672, Repository!A:J, 9, 0), ""), "")</f>
        <v/>
      </c>
      <c r="S672" s="105"/>
      <c r="T672" s="105"/>
      <c r="U672" s="105"/>
      <c r="V672" s="105"/>
      <c r="W672" s="105"/>
      <c r="X672" s="105"/>
      <c r="Y672" s="105"/>
      <c r="Z672" s="105"/>
      <c r="AA672" s="105"/>
      <c r="AB672" s="105"/>
      <c r="AC672" s="91"/>
      <c r="AD672" s="105"/>
      <c r="AE672" s="105"/>
      <c r="AF672" s="91"/>
      <c r="AG672" s="105"/>
      <c r="AH672" s="105"/>
      <c r="AI672" s="105" t="str">
        <f t="shared" si="1"/>
        <v/>
      </c>
      <c r="AJ672" s="108" t="str">
        <f t="shared" si="2"/>
        <v/>
      </c>
    </row>
    <row r="673" ht="15.75" customHeight="1">
      <c r="A673" s="104"/>
      <c r="B673" s="105" t="str">
        <f>IFERROR(__xludf.DUMMYFUNCTION("ARRAY_CONSTRAIN(
  ARRAYFORMULA(
    IF(
      'Final Report'!A673="""",
      """",
      TEXTJOIN(
        "", "" &amp; CHAR(10),
        TRUE,
        IFERROR(
          VLOOKUP(
            TRIM(
              SPLIT('Final Report'!A673, "","")
           "&amp;" ),
            'URL Details'!A:B,
            2,
            FALSE
          ),
          """"
        )
      )
    )
  ),
  1,
  1
)
"),"")</f>
        <v/>
      </c>
      <c r="C673" s="105" t="str">
        <f>IFERROR(__xludf.DUMMYFUNCTION("IFERROR(IF('Final Report'!A673="""","""", TEXTJOIN(CHAR(10), TRUE, ARRAYFORMULA( ""• ""&amp; FILTER( TRIM(FLATTEN(SPLIT( REGEXREPLACE( SUBSTITUTE(TEXTJOIN("","", TRUE, IFERROR(ARRAYFORMULA(VLOOKUP(TRIM(SPLIT('Final Report'!A673, "","")), 'URL Details'!A:D, 4,"&amp;" FALSE)),"""") ), CHAR(10), "",""), ""\s*,\s*"", "",""), "",""))), TRIM(FLATTEN(SPLIT( REGEXREPLACE( SUBSTITUTE(TEXTJOIN("","", TRUE, IFERROR(ARRAYFORMULA(VLOOKUP(TRIM(SPLIT('Final Report'!A673, "","")), 'URL Details'!A:D, 4, FALSE)),"""") ), CHAR(10), """&amp;",""), ""\s*,\s*"", "",""), "","")))&lt;&gt;"""" ) ) ) ),"""")
"),"")</f>
        <v/>
      </c>
      <c r="D673" s="105"/>
      <c r="E673" s="105"/>
      <c r="F673" s="110" t="b">
        <v>0</v>
      </c>
      <c r="G673" s="105" t="str">
        <f>IF(F673=True, IFERROR(VLOOKUP(D673, Repository!A:B, 2, 0), ""), "")</f>
        <v/>
      </c>
      <c r="H673" s="105"/>
      <c r="I673" s="105"/>
      <c r="J673" s="105" t="str">
        <f>IF(F673=True, IFERROR(VLOOKUP(D673, Repository!A:C, 3, 0), ""), "")</f>
        <v/>
      </c>
      <c r="K673" s="105"/>
      <c r="L673" s="105" t="str">
        <f>IF(F673=True, IFERROR(VLOOKUP(D673, Repository!A:E, 5, 0), ""), "")</f>
        <v/>
      </c>
      <c r="M673" s="105"/>
      <c r="N673" s="105" t="str">
        <f>IF(F673=True, IFERROR(VLOOKUP(D673, Repository!A:G, 7, 0), ""), "")</f>
        <v/>
      </c>
      <c r="O673" s="105" t="str">
        <f>IFERROR(__xludf.DUMMYFUNCTION("ARRAY_CONSTRAIN(
  ARRAYFORMULA(
    IFERROR(
      LET(
        list, N673,
        arr, TRIM(SPLIT(list, "","")),
        names, XLOOKUP(
          arr,
          'Conformance Score'!A:A,
          'Conformance Score'!B:B,
          ""Not found""
      "&amp;"  ),
        TEXTJOIN("", "", TRUE, names)
      ),
      """"
    )
  ),
  1,
  1
)
"),"")</f>
        <v/>
      </c>
      <c r="P673" s="105" t="str">
        <f>IF(F673="Yes", IFERROR(VLOOKUP(D673, Repository!A:F, 6, 0), ""), "")</f>
        <v/>
      </c>
      <c r="Q673" s="105" t="str">
        <f>IF(F673="Yes", IFERROR(VLOOKUP(D673, Repository!A:I, 8, 0), ""), "")</f>
        <v/>
      </c>
      <c r="R673" s="105" t="str">
        <f>IF(F673="Yes", IFERROR(VLOOKUP(D673, Repository!A:J, 9, 0), ""), "")</f>
        <v/>
      </c>
      <c r="S673" s="105"/>
      <c r="T673" s="105"/>
      <c r="U673" s="105"/>
      <c r="V673" s="105"/>
      <c r="W673" s="105"/>
      <c r="X673" s="105"/>
      <c r="Y673" s="105"/>
      <c r="Z673" s="105"/>
      <c r="AA673" s="105"/>
      <c r="AB673" s="105"/>
      <c r="AC673" s="91"/>
      <c r="AD673" s="105"/>
      <c r="AE673" s="105"/>
      <c r="AF673" s="91"/>
      <c r="AG673" s="105"/>
      <c r="AH673" s="105"/>
      <c r="AI673" s="105" t="str">
        <f t="shared" si="1"/>
        <v/>
      </c>
      <c r="AJ673" s="108" t="str">
        <f t="shared" si="2"/>
        <v/>
      </c>
    </row>
    <row r="674" ht="15.75" customHeight="1">
      <c r="A674" s="104"/>
      <c r="B674" s="105" t="str">
        <f>IFERROR(__xludf.DUMMYFUNCTION("ARRAY_CONSTRAIN(
  ARRAYFORMULA(
    IF(
      'Final Report'!A674="""",
      """",
      TEXTJOIN(
        "", "" &amp; CHAR(10),
        TRUE,
        IFERROR(
          VLOOKUP(
            TRIM(
              SPLIT('Final Report'!A674, "","")
           "&amp;" ),
            'URL Details'!A:B,
            2,
            FALSE
          ),
          """"
        )
      )
    )
  ),
  1,
  1
)
"),"")</f>
        <v/>
      </c>
      <c r="C674" s="105" t="str">
        <f>IFERROR(__xludf.DUMMYFUNCTION("IFERROR(IF('Final Report'!A674="""","""", TEXTJOIN(CHAR(10), TRUE, ARRAYFORMULA( ""• ""&amp; FILTER( TRIM(FLATTEN(SPLIT( REGEXREPLACE( SUBSTITUTE(TEXTJOIN("","", TRUE, IFERROR(ARRAYFORMULA(VLOOKUP(TRIM(SPLIT('Final Report'!A674, "","")), 'URL Details'!A:D, 4,"&amp;" FALSE)),"""") ), CHAR(10), "",""), ""\s*,\s*"", "",""), "",""))), TRIM(FLATTEN(SPLIT( REGEXREPLACE( SUBSTITUTE(TEXTJOIN("","", TRUE, IFERROR(ARRAYFORMULA(VLOOKUP(TRIM(SPLIT('Final Report'!A674, "","")), 'URL Details'!A:D, 4, FALSE)),"""") ), CHAR(10), """&amp;",""), ""\s*,\s*"", "",""), "","")))&lt;&gt;"""" ) ) ) ),"""")
"),"")</f>
        <v/>
      </c>
      <c r="D674" s="105"/>
      <c r="E674" s="105"/>
      <c r="F674" s="110" t="b">
        <v>0</v>
      </c>
      <c r="G674" s="105" t="str">
        <f>IF(F674=True, IFERROR(VLOOKUP(D674, Repository!A:B, 2, 0), ""), "")</f>
        <v/>
      </c>
      <c r="H674" s="105"/>
      <c r="I674" s="105"/>
      <c r="J674" s="105" t="str">
        <f>IF(F674=True, IFERROR(VLOOKUP(D674, Repository!A:C, 3, 0), ""), "")</f>
        <v/>
      </c>
      <c r="K674" s="105"/>
      <c r="L674" s="105" t="str">
        <f>IF(F674=True, IFERROR(VLOOKUP(D674, Repository!A:E, 5, 0), ""), "")</f>
        <v/>
      </c>
      <c r="M674" s="105"/>
      <c r="N674" s="105" t="str">
        <f>IF(F674=True, IFERROR(VLOOKUP(D674, Repository!A:G, 7, 0), ""), "")</f>
        <v/>
      </c>
      <c r="O674" s="105" t="str">
        <f>IFERROR(__xludf.DUMMYFUNCTION("ARRAY_CONSTRAIN(
  ARRAYFORMULA(
    IFERROR(
      LET(
        list, N674,
        arr, TRIM(SPLIT(list, "","")),
        names, XLOOKUP(
          arr,
          'Conformance Score'!A:A,
          'Conformance Score'!B:B,
          ""Not found""
      "&amp;"  ),
        TEXTJOIN("", "", TRUE, names)
      ),
      """"
    )
  ),
  1,
  1
)
"),"")</f>
        <v/>
      </c>
      <c r="P674" s="105" t="str">
        <f>IF(F674="Yes", IFERROR(VLOOKUP(D674, Repository!A:F, 6, 0), ""), "")</f>
        <v/>
      </c>
      <c r="Q674" s="105" t="str">
        <f>IF(F674="Yes", IFERROR(VLOOKUP(D674, Repository!A:I, 8, 0), ""), "")</f>
        <v/>
      </c>
      <c r="R674" s="105" t="str">
        <f>IF(F674="Yes", IFERROR(VLOOKUP(D674, Repository!A:J, 9, 0), ""), "")</f>
        <v/>
      </c>
      <c r="S674" s="105"/>
      <c r="T674" s="105"/>
      <c r="U674" s="105"/>
      <c r="V674" s="105"/>
      <c r="W674" s="105"/>
      <c r="X674" s="105"/>
      <c r="Y674" s="105"/>
      <c r="Z674" s="105"/>
      <c r="AA674" s="105"/>
      <c r="AB674" s="105"/>
      <c r="AC674" s="91"/>
      <c r="AD674" s="105"/>
      <c r="AE674" s="105"/>
      <c r="AF674" s="91"/>
      <c r="AG674" s="105"/>
      <c r="AH674" s="105"/>
      <c r="AI674" s="105" t="str">
        <f t="shared" si="1"/>
        <v/>
      </c>
      <c r="AJ674" s="108" t="str">
        <f t="shared" si="2"/>
        <v/>
      </c>
    </row>
    <row r="675" ht="15.75" customHeight="1">
      <c r="A675" s="104"/>
      <c r="B675" s="105" t="str">
        <f>IFERROR(__xludf.DUMMYFUNCTION("ARRAY_CONSTRAIN(
  ARRAYFORMULA(
    IF(
      'Final Report'!A675="""",
      """",
      TEXTJOIN(
        "", "" &amp; CHAR(10),
        TRUE,
        IFERROR(
          VLOOKUP(
            TRIM(
              SPLIT('Final Report'!A675, "","")
           "&amp;" ),
            'URL Details'!A:B,
            2,
            FALSE
          ),
          """"
        )
      )
    )
  ),
  1,
  1
)
"),"")</f>
        <v/>
      </c>
      <c r="C675" s="105" t="str">
        <f>IFERROR(__xludf.DUMMYFUNCTION("IFERROR(IF('Final Report'!A675="""","""", TEXTJOIN(CHAR(10), TRUE, ARRAYFORMULA( ""• ""&amp; FILTER( TRIM(FLATTEN(SPLIT( REGEXREPLACE( SUBSTITUTE(TEXTJOIN("","", TRUE, IFERROR(ARRAYFORMULA(VLOOKUP(TRIM(SPLIT('Final Report'!A675, "","")), 'URL Details'!A:D, 4,"&amp;" FALSE)),"""") ), CHAR(10), "",""), ""\s*,\s*"", "",""), "",""))), TRIM(FLATTEN(SPLIT( REGEXREPLACE( SUBSTITUTE(TEXTJOIN("","", TRUE, IFERROR(ARRAYFORMULA(VLOOKUP(TRIM(SPLIT('Final Report'!A675, "","")), 'URL Details'!A:D, 4, FALSE)),"""") ), CHAR(10), """&amp;",""), ""\s*,\s*"", "",""), "","")))&lt;&gt;"""" ) ) ) ),"""")
"),"")</f>
        <v/>
      </c>
      <c r="D675" s="105"/>
      <c r="E675" s="105"/>
      <c r="F675" s="110" t="b">
        <v>0</v>
      </c>
      <c r="G675" s="105" t="str">
        <f>IF(F675=True, IFERROR(VLOOKUP(D675, Repository!A:B, 2, 0), ""), "")</f>
        <v/>
      </c>
      <c r="H675" s="105"/>
      <c r="I675" s="105"/>
      <c r="J675" s="105" t="str">
        <f>IF(F675=True, IFERROR(VLOOKUP(D675, Repository!A:C, 3, 0), ""), "")</f>
        <v/>
      </c>
      <c r="K675" s="105"/>
      <c r="L675" s="105" t="str">
        <f>IF(F675=True, IFERROR(VLOOKUP(D675, Repository!A:E, 5, 0), ""), "")</f>
        <v/>
      </c>
      <c r="M675" s="105"/>
      <c r="N675" s="105" t="str">
        <f>IF(F675=True, IFERROR(VLOOKUP(D675, Repository!A:G, 7, 0), ""), "")</f>
        <v/>
      </c>
      <c r="O675" s="105" t="str">
        <f>IFERROR(__xludf.DUMMYFUNCTION("ARRAY_CONSTRAIN(
  ARRAYFORMULA(
    IFERROR(
      LET(
        list, N675,
        arr, TRIM(SPLIT(list, "","")),
        names, XLOOKUP(
          arr,
          'Conformance Score'!A:A,
          'Conformance Score'!B:B,
          ""Not found""
      "&amp;"  ),
        TEXTJOIN("", "", TRUE, names)
      ),
      """"
    )
  ),
  1,
  1
)
"),"")</f>
        <v/>
      </c>
      <c r="P675" s="105" t="str">
        <f>IF(F675="Yes", IFERROR(VLOOKUP(D675, Repository!A:F, 6, 0), ""), "")</f>
        <v/>
      </c>
      <c r="Q675" s="105" t="str">
        <f>IF(F675="Yes", IFERROR(VLOOKUP(D675, Repository!A:I, 8, 0), ""), "")</f>
        <v/>
      </c>
      <c r="R675" s="105" t="str">
        <f>IF(F675="Yes", IFERROR(VLOOKUP(D675, Repository!A:J, 9, 0), ""), "")</f>
        <v/>
      </c>
      <c r="S675" s="105"/>
      <c r="T675" s="105"/>
      <c r="U675" s="105"/>
      <c r="V675" s="105"/>
      <c r="W675" s="105"/>
      <c r="X675" s="105"/>
      <c r="Y675" s="105"/>
      <c r="Z675" s="105"/>
      <c r="AA675" s="105"/>
      <c r="AB675" s="105"/>
      <c r="AC675" s="91"/>
      <c r="AD675" s="105"/>
      <c r="AE675" s="105"/>
      <c r="AF675" s="91"/>
      <c r="AG675" s="105"/>
      <c r="AH675" s="105"/>
      <c r="AI675" s="105" t="str">
        <f t="shared" si="1"/>
        <v/>
      </c>
      <c r="AJ675" s="108" t="str">
        <f t="shared" si="2"/>
        <v/>
      </c>
    </row>
    <row r="676" ht="15.75" customHeight="1">
      <c r="A676" s="104"/>
      <c r="B676" s="105" t="str">
        <f>IFERROR(__xludf.DUMMYFUNCTION("ARRAY_CONSTRAIN(
  ARRAYFORMULA(
    IF(
      'Final Report'!A676="""",
      """",
      TEXTJOIN(
        "", "" &amp; CHAR(10),
        TRUE,
        IFERROR(
          VLOOKUP(
            TRIM(
              SPLIT('Final Report'!A676, "","")
           "&amp;" ),
            'URL Details'!A:B,
            2,
            FALSE
          ),
          """"
        )
      )
    )
  ),
  1,
  1
)
"),"")</f>
        <v/>
      </c>
      <c r="C676" s="105" t="str">
        <f>IFERROR(__xludf.DUMMYFUNCTION("IFERROR(IF('Final Report'!A676="""","""", TEXTJOIN(CHAR(10), TRUE, ARRAYFORMULA( ""• ""&amp; FILTER( TRIM(FLATTEN(SPLIT( REGEXREPLACE( SUBSTITUTE(TEXTJOIN("","", TRUE, IFERROR(ARRAYFORMULA(VLOOKUP(TRIM(SPLIT('Final Report'!A676, "","")), 'URL Details'!A:D, 4,"&amp;" FALSE)),"""") ), CHAR(10), "",""), ""\s*,\s*"", "",""), "",""))), TRIM(FLATTEN(SPLIT( REGEXREPLACE( SUBSTITUTE(TEXTJOIN("","", TRUE, IFERROR(ARRAYFORMULA(VLOOKUP(TRIM(SPLIT('Final Report'!A676, "","")), 'URL Details'!A:D, 4, FALSE)),"""") ), CHAR(10), """&amp;",""), ""\s*,\s*"", "",""), "","")))&lt;&gt;"""" ) ) ) ),"""")
"),"")</f>
        <v/>
      </c>
      <c r="D676" s="105"/>
      <c r="E676" s="105"/>
      <c r="F676" s="110" t="b">
        <v>0</v>
      </c>
      <c r="G676" s="105" t="str">
        <f>IF(F676=True, IFERROR(VLOOKUP(D676, Repository!A:B, 2, 0), ""), "")</f>
        <v/>
      </c>
      <c r="H676" s="105"/>
      <c r="I676" s="105"/>
      <c r="J676" s="105" t="str">
        <f>IF(F676=True, IFERROR(VLOOKUP(D676, Repository!A:C, 3, 0), ""), "")</f>
        <v/>
      </c>
      <c r="K676" s="105"/>
      <c r="L676" s="105" t="str">
        <f>IF(F676=True, IFERROR(VLOOKUP(D676, Repository!A:E, 5, 0), ""), "")</f>
        <v/>
      </c>
      <c r="M676" s="105"/>
      <c r="N676" s="105" t="str">
        <f>IF(F676=True, IFERROR(VLOOKUP(D676, Repository!A:G, 7, 0), ""), "")</f>
        <v/>
      </c>
      <c r="O676" s="105" t="str">
        <f>IFERROR(__xludf.DUMMYFUNCTION("ARRAY_CONSTRAIN(
  ARRAYFORMULA(
    IFERROR(
      LET(
        list, N676,
        arr, TRIM(SPLIT(list, "","")),
        names, XLOOKUP(
          arr,
          'Conformance Score'!A:A,
          'Conformance Score'!B:B,
          ""Not found""
      "&amp;"  ),
        TEXTJOIN("", "", TRUE, names)
      ),
      """"
    )
  ),
  1,
  1
)
"),"")</f>
        <v/>
      </c>
      <c r="P676" s="105" t="str">
        <f>IF(F676="Yes", IFERROR(VLOOKUP(D676, Repository!A:F, 6, 0), ""), "")</f>
        <v/>
      </c>
      <c r="Q676" s="105" t="str">
        <f>IF(F676="Yes", IFERROR(VLOOKUP(D676, Repository!A:I, 8, 0), ""), "")</f>
        <v/>
      </c>
      <c r="R676" s="105" t="str">
        <f>IF(F676="Yes", IFERROR(VLOOKUP(D676, Repository!A:J, 9, 0), ""), "")</f>
        <v/>
      </c>
      <c r="S676" s="105"/>
      <c r="T676" s="105"/>
      <c r="U676" s="105"/>
      <c r="V676" s="105"/>
      <c r="W676" s="105"/>
      <c r="X676" s="105"/>
      <c r="Y676" s="105"/>
      <c r="Z676" s="105"/>
      <c r="AA676" s="105"/>
      <c r="AB676" s="105"/>
      <c r="AC676" s="91"/>
      <c r="AD676" s="105"/>
      <c r="AE676" s="105"/>
      <c r="AF676" s="91"/>
      <c r="AG676" s="105"/>
      <c r="AH676" s="105"/>
      <c r="AI676" s="105" t="str">
        <f t="shared" si="1"/>
        <v/>
      </c>
      <c r="AJ676" s="108" t="str">
        <f t="shared" si="2"/>
        <v/>
      </c>
    </row>
    <row r="677" ht="15.75" customHeight="1">
      <c r="A677" s="104"/>
      <c r="B677" s="105" t="str">
        <f>IFERROR(__xludf.DUMMYFUNCTION("ARRAY_CONSTRAIN(
  ARRAYFORMULA(
    IF(
      'Final Report'!A677="""",
      """",
      TEXTJOIN(
        "", "" &amp; CHAR(10),
        TRUE,
        IFERROR(
          VLOOKUP(
            TRIM(
              SPLIT('Final Report'!A677, "","")
           "&amp;" ),
            'URL Details'!A:B,
            2,
            FALSE
          ),
          """"
        )
      )
    )
  ),
  1,
  1
)
"),"")</f>
        <v/>
      </c>
      <c r="C677" s="105" t="str">
        <f>IFERROR(__xludf.DUMMYFUNCTION("IFERROR(IF('Final Report'!A677="""","""", TEXTJOIN(CHAR(10), TRUE, ARRAYFORMULA( ""• ""&amp; FILTER( TRIM(FLATTEN(SPLIT( REGEXREPLACE( SUBSTITUTE(TEXTJOIN("","", TRUE, IFERROR(ARRAYFORMULA(VLOOKUP(TRIM(SPLIT('Final Report'!A677, "","")), 'URL Details'!A:D, 4,"&amp;" FALSE)),"""") ), CHAR(10), "",""), ""\s*,\s*"", "",""), "",""))), TRIM(FLATTEN(SPLIT( REGEXREPLACE( SUBSTITUTE(TEXTJOIN("","", TRUE, IFERROR(ARRAYFORMULA(VLOOKUP(TRIM(SPLIT('Final Report'!A677, "","")), 'URL Details'!A:D, 4, FALSE)),"""") ), CHAR(10), """&amp;",""), ""\s*,\s*"", "",""), "","")))&lt;&gt;"""" ) ) ) ),"""")
"),"")</f>
        <v/>
      </c>
      <c r="D677" s="105"/>
      <c r="E677" s="105"/>
      <c r="F677" s="110" t="b">
        <v>0</v>
      </c>
      <c r="G677" s="105" t="str">
        <f>IF(F677=True, IFERROR(VLOOKUP(D677, Repository!A:B, 2, 0), ""), "")</f>
        <v/>
      </c>
      <c r="H677" s="105"/>
      <c r="I677" s="105"/>
      <c r="J677" s="105" t="str">
        <f>IF(F677=True, IFERROR(VLOOKUP(D677, Repository!A:C, 3, 0), ""), "")</f>
        <v/>
      </c>
      <c r="K677" s="105"/>
      <c r="L677" s="105" t="str">
        <f>IF(F677=True, IFERROR(VLOOKUP(D677, Repository!A:E, 5, 0), ""), "")</f>
        <v/>
      </c>
      <c r="M677" s="105"/>
      <c r="N677" s="105" t="str">
        <f>IF(F677=True, IFERROR(VLOOKUP(D677, Repository!A:G, 7, 0), ""), "")</f>
        <v/>
      </c>
      <c r="O677" s="105" t="str">
        <f>IFERROR(__xludf.DUMMYFUNCTION("ARRAY_CONSTRAIN(
  ARRAYFORMULA(
    IFERROR(
      LET(
        list, N677,
        arr, TRIM(SPLIT(list, "","")),
        names, XLOOKUP(
          arr,
          'Conformance Score'!A:A,
          'Conformance Score'!B:B,
          ""Not found""
      "&amp;"  ),
        TEXTJOIN("", "", TRUE, names)
      ),
      """"
    )
  ),
  1,
  1
)
"),"")</f>
        <v/>
      </c>
      <c r="P677" s="105" t="str">
        <f>IF(F677="Yes", IFERROR(VLOOKUP(D677, Repository!A:F, 6, 0), ""), "")</f>
        <v/>
      </c>
      <c r="Q677" s="105" t="str">
        <f>IF(F677="Yes", IFERROR(VLOOKUP(D677, Repository!A:I, 8, 0), ""), "")</f>
        <v/>
      </c>
      <c r="R677" s="105" t="str">
        <f>IF(F677="Yes", IFERROR(VLOOKUP(D677, Repository!A:J, 9, 0), ""), "")</f>
        <v/>
      </c>
      <c r="S677" s="105"/>
      <c r="T677" s="105"/>
      <c r="U677" s="105"/>
      <c r="V677" s="105"/>
      <c r="W677" s="105"/>
      <c r="X677" s="105"/>
      <c r="Y677" s="105"/>
      <c r="Z677" s="105"/>
      <c r="AA677" s="105"/>
      <c r="AB677" s="105"/>
      <c r="AC677" s="91"/>
      <c r="AD677" s="105"/>
      <c r="AE677" s="105"/>
      <c r="AF677" s="91"/>
      <c r="AG677" s="105"/>
      <c r="AH677" s="105"/>
      <c r="AI677" s="105" t="str">
        <f t="shared" si="1"/>
        <v/>
      </c>
      <c r="AJ677" s="108" t="str">
        <f t="shared" si="2"/>
        <v/>
      </c>
    </row>
    <row r="678" ht="15.75" customHeight="1">
      <c r="A678" s="104"/>
      <c r="B678" s="105" t="str">
        <f>IFERROR(__xludf.DUMMYFUNCTION("ARRAY_CONSTRAIN(
  ARRAYFORMULA(
    IF(
      'Final Report'!A678="""",
      """",
      TEXTJOIN(
        "", "" &amp; CHAR(10),
        TRUE,
        IFERROR(
          VLOOKUP(
            TRIM(
              SPLIT('Final Report'!A678, "","")
           "&amp;" ),
            'URL Details'!A:B,
            2,
            FALSE
          ),
          """"
        )
      )
    )
  ),
  1,
  1
)
"),"")</f>
        <v/>
      </c>
      <c r="C678" s="105" t="str">
        <f>IFERROR(__xludf.DUMMYFUNCTION("IFERROR(IF('Final Report'!A678="""","""", TEXTJOIN(CHAR(10), TRUE, ARRAYFORMULA( ""• ""&amp; FILTER( TRIM(FLATTEN(SPLIT( REGEXREPLACE( SUBSTITUTE(TEXTJOIN("","", TRUE, IFERROR(ARRAYFORMULA(VLOOKUP(TRIM(SPLIT('Final Report'!A678, "","")), 'URL Details'!A:D, 4,"&amp;" FALSE)),"""") ), CHAR(10), "",""), ""\s*,\s*"", "",""), "",""))), TRIM(FLATTEN(SPLIT( REGEXREPLACE( SUBSTITUTE(TEXTJOIN("","", TRUE, IFERROR(ARRAYFORMULA(VLOOKUP(TRIM(SPLIT('Final Report'!A678, "","")), 'URL Details'!A:D, 4, FALSE)),"""") ), CHAR(10), """&amp;",""), ""\s*,\s*"", "",""), "","")))&lt;&gt;"""" ) ) ) ),"""")
"),"")</f>
        <v/>
      </c>
      <c r="D678" s="105"/>
      <c r="E678" s="105"/>
      <c r="F678" s="110" t="b">
        <v>0</v>
      </c>
      <c r="G678" s="105" t="str">
        <f>IF(F678=True, IFERROR(VLOOKUP(D678, Repository!A:B, 2, 0), ""), "")</f>
        <v/>
      </c>
      <c r="H678" s="105"/>
      <c r="I678" s="105"/>
      <c r="J678" s="105" t="str">
        <f>IF(F678=True, IFERROR(VLOOKUP(D678, Repository!A:C, 3, 0), ""), "")</f>
        <v/>
      </c>
      <c r="K678" s="105"/>
      <c r="L678" s="105" t="str">
        <f>IF(F678=True, IFERROR(VLOOKUP(D678, Repository!A:E, 5, 0), ""), "")</f>
        <v/>
      </c>
      <c r="M678" s="105"/>
      <c r="N678" s="105" t="str">
        <f>IF(F678=True, IFERROR(VLOOKUP(D678, Repository!A:G, 7, 0), ""), "")</f>
        <v/>
      </c>
      <c r="O678" s="105" t="str">
        <f>IFERROR(__xludf.DUMMYFUNCTION("ARRAY_CONSTRAIN(
  ARRAYFORMULA(
    IFERROR(
      LET(
        list, N678,
        arr, TRIM(SPLIT(list, "","")),
        names, XLOOKUP(
          arr,
          'Conformance Score'!A:A,
          'Conformance Score'!B:B,
          ""Not found""
      "&amp;"  ),
        TEXTJOIN("", "", TRUE, names)
      ),
      """"
    )
  ),
  1,
  1
)
"),"")</f>
        <v/>
      </c>
      <c r="P678" s="105" t="str">
        <f>IF(F678="Yes", IFERROR(VLOOKUP(D678, Repository!A:F, 6, 0), ""), "")</f>
        <v/>
      </c>
      <c r="Q678" s="105" t="str">
        <f>IF(F678="Yes", IFERROR(VLOOKUP(D678, Repository!A:I, 8, 0), ""), "")</f>
        <v/>
      </c>
      <c r="R678" s="105" t="str">
        <f>IF(F678="Yes", IFERROR(VLOOKUP(D678, Repository!A:J, 9, 0), ""), "")</f>
        <v/>
      </c>
      <c r="S678" s="105"/>
      <c r="T678" s="105"/>
      <c r="U678" s="105"/>
      <c r="V678" s="105"/>
      <c r="W678" s="105"/>
      <c r="X678" s="105"/>
      <c r="Y678" s="105"/>
      <c r="Z678" s="105"/>
      <c r="AA678" s="105"/>
      <c r="AB678" s="105"/>
      <c r="AC678" s="91"/>
      <c r="AD678" s="105"/>
      <c r="AE678" s="105"/>
      <c r="AF678" s="91"/>
      <c r="AG678" s="105"/>
      <c r="AH678" s="105"/>
      <c r="AI678" s="105" t="str">
        <f t="shared" si="1"/>
        <v/>
      </c>
      <c r="AJ678" s="108" t="str">
        <f t="shared" si="2"/>
        <v/>
      </c>
    </row>
    <row r="679" ht="15.75" customHeight="1">
      <c r="A679" s="104"/>
      <c r="B679" s="105" t="str">
        <f>IFERROR(__xludf.DUMMYFUNCTION("ARRAY_CONSTRAIN(
  ARRAYFORMULA(
    IF(
      'Final Report'!A679="""",
      """",
      TEXTJOIN(
        "", "" &amp; CHAR(10),
        TRUE,
        IFERROR(
          VLOOKUP(
            TRIM(
              SPLIT('Final Report'!A679, "","")
           "&amp;" ),
            'URL Details'!A:B,
            2,
            FALSE
          ),
          """"
        )
      )
    )
  ),
  1,
  1
)
"),"")</f>
        <v/>
      </c>
      <c r="C679" s="105" t="str">
        <f>IFERROR(__xludf.DUMMYFUNCTION("IFERROR(IF('Final Report'!A679="""","""", TEXTJOIN(CHAR(10), TRUE, ARRAYFORMULA( ""• ""&amp; FILTER( TRIM(FLATTEN(SPLIT( REGEXREPLACE( SUBSTITUTE(TEXTJOIN("","", TRUE, IFERROR(ARRAYFORMULA(VLOOKUP(TRIM(SPLIT('Final Report'!A679, "","")), 'URL Details'!A:D, 4,"&amp;" FALSE)),"""") ), CHAR(10), "",""), ""\s*,\s*"", "",""), "",""))), TRIM(FLATTEN(SPLIT( REGEXREPLACE( SUBSTITUTE(TEXTJOIN("","", TRUE, IFERROR(ARRAYFORMULA(VLOOKUP(TRIM(SPLIT('Final Report'!A679, "","")), 'URL Details'!A:D, 4, FALSE)),"""") ), CHAR(10), """&amp;",""), ""\s*,\s*"", "",""), "","")))&lt;&gt;"""" ) ) ) ),"""")
"),"")</f>
        <v/>
      </c>
      <c r="D679" s="105"/>
      <c r="E679" s="105"/>
      <c r="F679" s="110" t="b">
        <v>0</v>
      </c>
      <c r="G679" s="105" t="str">
        <f>IF(F679=True, IFERROR(VLOOKUP(D679, Repository!A:B, 2, 0), ""), "")</f>
        <v/>
      </c>
      <c r="H679" s="105"/>
      <c r="I679" s="105"/>
      <c r="J679" s="105" t="str">
        <f>IF(F679=True, IFERROR(VLOOKUP(D679, Repository!A:C, 3, 0), ""), "")</f>
        <v/>
      </c>
      <c r="K679" s="105"/>
      <c r="L679" s="105" t="str">
        <f>IF(F679=True, IFERROR(VLOOKUP(D679, Repository!A:E, 5, 0), ""), "")</f>
        <v/>
      </c>
      <c r="M679" s="105"/>
      <c r="N679" s="105" t="str">
        <f>IF(F679=True, IFERROR(VLOOKUP(D679, Repository!A:G, 7, 0), ""), "")</f>
        <v/>
      </c>
      <c r="O679" s="105" t="str">
        <f>IFERROR(__xludf.DUMMYFUNCTION("ARRAY_CONSTRAIN(
  ARRAYFORMULA(
    IFERROR(
      LET(
        list, N679,
        arr, TRIM(SPLIT(list, "","")),
        names, XLOOKUP(
          arr,
          'Conformance Score'!A:A,
          'Conformance Score'!B:B,
          ""Not found""
      "&amp;"  ),
        TEXTJOIN("", "", TRUE, names)
      ),
      """"
    )
  ),
  1,
  1
)
"),"")</f>
        <v/>
      </c>
      <c r="P679" s="105" t="str">
        <f>IF(F679="Yes", IFERROR(VLOOKUP(D679, Repository!A:F, 6, 0), ""), "")</f>
        <v/>
      </c>
      <c r="Q679" s="105" t="str">
        <f>IF(F679="Yes", IFERROR(VLOOKUP(D679, Repository!A:I, 8, 0), ""), "")</f>
        <v/>
      </c>
      <c r="R679" s="105" t="str">
        <f>IF(F679="Yes", IFERROR(VLOOKUP(D679, Repository!A:J, 9, 0), ""), "")</f>
        <v/>
      </c>
      <c r="S679" s="105"/>
      <c r="T679" s="105"/>
      <c r="U679" s="105"/>
      <c r="V679" s="105"/>
      <c r="W679" s="105"/>
      <c r="X679" s="105"/>
      <c r="Y679" s="105"/>
      <c r="Z679" s="105"/>
      <c r="AA679" s="105"/>
      <c r="AB679" s="105"/>
      <c r="AC679" s="91"/>
      <c r="AD679" s="105"/>
      <c r="AE679" s="105"/>
      <c r="AF679" s="91"/>
      <c r="AG679" s="105"/>
      <c r="AH679" s="105"/>
      <c r="AI679" s="105" t="str">
        <f t="shared" si="1"/>
        <v/>
      </c>
      <c r="AJ679" s="108" t="str">
        <f t="shared" si="2"/>
        <v/>
      </c>
    </row>
    <row r="680" ht="15.75" customHeight="1">
      <c r="A680" s="104"/>
      <c r="B680" s="105" t="str">
        <f>IFERROR(__xludf.DUMMYFUNCTION("ARRAY_CONSTRAIN(
  ARRAYFORMULA(
    IF(
      'Final Report'!A680="""",
      """",
      TEXTJOIN(
        "", "" &amp; CHAR(10),
        TRUE,
        IFERROR(
          VLOOKUP(
            TRIM(
              SPLIT('Final Report'!A680, "","")
           "&amp;" ),
            'URL Details'!A:B,
            2,
            FALSE
          ),
          """"
        )
      )
    )
  ),
  1,
  1
)
"),"")</f>
        <v/>
      </c>
      <c r="C680" s="105" t="str">
        <f>IFERROR(__xludf.DUMMYFUNCTION("IFERROR(IF('Final Report'!A680="""","""", TEXTJOIN(CHAR(10), TRUE, ARRAYFORMULA( ""• ""&amp; FILTER( TRIM(FLATTEN(SPLIT( REGEXREPLACE( SUBSTITUTE(TEXTJOIN("","", TRUE, IFERROR(ARRAYFORMULA(VLOOKUP(TRIM(SPLIT('Final Report'!A680, "","")), 'URL Details'!A:D, 4,"&amp;" FALSE)),"""") ), CHAR(10), "",""), ""\s*,\s*"", "",""), "",""))), TRIM(FLATTEN(SPLIT( REGEXREPLACE( SUBSTITUTE(TEXTJOIN("","", TRUE, IFERROR(ARRAYFORMULA(VLOOKUP(TRIM(SPLIT('Final Report'!A680, "","")), 'URL Details'!A:D, 4, FALSE)),"""") ), CHAR(10), """&amp;",""), ""\s*,\s*"", "",""), "","")))&lt;&gt;"""" ) ) ) ),"""")
"),"")</f>
        <v/>
      </c>
      <c r="D680" s="105"/>
      <c r="E680" s="105"/>
      <c r="F680" s="110" t="b">
        <v>0</v>
      </c>
      <c r="G680" s="105" t="str">
        <f>IF(F680=True, IFERROR(VLOOKUP(D680, Repository!A:B, 2, 0), ""), "")</f>
        <v/>
      </c>
      <c r="H680" s="105"/>
      <c r="I680" s="105"/>
      <c r="J680" s="105" t="str">
        <f>IF(F680=True, IFERROR(VLOOKUP(D680, Repository!A:C, 3, 0), ""), "")</f>
        <v/>
      </c>
      <c r="K680" s="105"/>
      <c r="L680" s="105" t="str">
        <f>IF(F680=True, IFERROR(VLOOKUP(D680, Repository!A:E, 5, 0), ""), "")</f>
        <v/>
      </c>
      <c r="M680" s="105"/>
      <c r="N680" s="105" t="str">
        <f>IF(F680=True, IFERROR(VLOOKUP(D680, Repository!A:G, 7, 0), ""), "")</f>
        <v/>
      </c>
      <c r="O680" s="105" t="str">
        <f>IFERROR(__xludf.DUMMYFUNCTION("ARRAY_CONSTRAIN(
  ARRAYFORMULA(
    IFERROR(
      LET(
        list, N680,
        arr, TRIM(SPLIT(list, "","")),
        names, XLOOKUP(
          arr,
          'Conformance Score'!A:A,
          'Conformance Score'!B:B,
          ""Not found""
      "&amp;"  ),
        TEXTJOIN("", "", TRUE, names)
      ),
      """"
    )
  ),
  1,
  1
)
"),"")</f>
        <v/>
      </c>
      <c r="P680" s="105" t="str">
        <f>IF(F680="Yes", IFERROR(VLOOKUP(D680, Repository!A:F, 6, 0), ""), "")</f>
        <v/>
      </c>
      <c r="Q680" s="105" t="str">
        <f>IF(F680="Yes", IFERROR(VLOOKUP(D680, Repository!A:I, 8, 0), ""), "")</f>
        <v/>
      </c>
      <c r="R680" s="105" t="str">
        <f>IF(F680="Yes", IFERROR(VLOOKUP(D680, Repository!A:J, 9, 0), ""), "")</f>
        <v/>
      </c>
      <c r="S680" s="105"/>
      <c r="T680" s="105"/>
      <c r="U680" s="105"/>
      <c r="V680" s="105"/>
      <c r="W680" s="105"/>
      <c r="X680" s="105"/>
      <c r="Y680" s="105"/>
      <c r="Z680" s="105"/>
      <c r="AA680" s="105"/>
      <c r="AB680" s="105"/>
      <c r="AC680" s="91"/>
      <c r="AD680" s="105"/>
      <c r="AE680" s="105"/>
      <c r="AF680" s="91"/>
      <c r="AG680" s="105"/>
      <c r="AH680" s="105"/>
      <c r="AI680" s="105" t="str">
        <f t="shared" si="1"/>
        <v/>
      </c>
      <c r="AJ680" s="108" t="str">
        <f t="shared" si="2"/>
        <v/>
      </c>
    </row>
    <row r="681" ht="15.75" customHeight="1">
      <c r="A681" s="104"/>
      <c r="B681" s="105" t="str">
        <f>IFERROR(__xludf.DUMMYFUNCTION("ARRAY_CONSTRAIN(
  ARRAYFORMULA(
    IF(
      'Final Report'!A681="""",
      """",
      TEXTJOIN(
        "", "" &amp; CHAR(10),
        TRUE,
        IFERROR(
          VLOOKUP(
            TRIM(
              SPLIT('Final Report'!A681, "","")
           "&amp;" ),
            'URL Details'!A:B,
            2,
            FALSE
          ),
          """"
        )
      )
    )
  ),
  1,
  1
)
"),"")</f>
        <v/>
      </c>
      <c r="C681" s="105" t="str">
        <f>IFERROR(__xludf.DUMMYFUNCTION("IFERROR(IF('Final Report'!A681="""","""", TEXTJOIN(CHAR(10), TRUE, ARRAYFORMULA( ""• ""&amp; FILTER( TRIM(FLATTEN(SPLIT( REGEXREPLACE( SUBSTITUTE(TEXTJOIN("","", TRUE, IFERROR(ARRAYFORMULA(VLOOKUP(TRIM(SPLIT('Final Report'!A681, "","")), 'URL Details'!A:D, 4,"&amp;" FALSE)),"""") ), CHAR(10), "",""), ""\s*,\s*"", "",""), "",""))), TRIM(FLATTEN(SPLIT( REGEXREPLACE( SUBSTITUTE(TEXTJOIN("","", TRUE, IFERROR(ARRAYFORMULA(VLOOKUP(TRIM(SPLIT('Final Report'!A681, "","")), 'URL Details'!A:D, 4, FALSE)),"""") ), CHAR(10), """&amp;",""), ""\s*,\s*"", "",""), "","")))&lt;&gt;"""" ) ) ) ),"""")
"),"")</f>
        <v/>
      </c>
      <c r="D681" s="105"/>
      <c r="E681" s="105"/>
      <c r="F681" s="110" t="b">
        <v>0</v>
      </c>
      <c r="G681" s="105" t="str">
        <f>IF(F681=True, IFERROR(VLOOKUP(D681, Repository!A:B, 2, 0), ""), "")</f>
        <v/>
      </c>
      <c r="H681" s="105"/>
      <c r="I681" s="105"/>
      <c r="J681" s="105" t="str">
        <f>IF(F681=True, IFERROR(VLOOKUP(D681, Repository!A:C, 3, 0), ""), "")</f>
        <v/>
      </c>
      <c r="K681" s="105"/>
      <c r="L681" s="105" t="str">
        <f>IF(F681=True, IFERROR(VLOOKUP(D681, Repository!A:E, 5, 0), ""), "")</f>
        <v/>
      </c>
      <c r="M681" s="105"/>
      <c r="N681" s="105" t="str">
        <f>IF(F681=True, IFERROR(VLOOKUP(D681, Repository!A:G, 7, 0), ""), "")</f>
        <v/>
      </c>
      <c r="O681" s="105" t="str">
        <f>IFERROR(__xludf.DUMMYFUNCTION("ARRAY_CONSTRAIN(
  ARRAYFORMULA(
    IFERROR(
      LET(
        list, N681,
        arr, TRIM(SPLIT(list, "","")),
        names, XLOOKUP(
          arr,
          'Conformance Score'!A:A,
          'Conformance Score'!B:B,
          ""Not found""
      "&amp;"  ),
        TEXTJOIN("", "", TRUE, names)
      ),
      """"
    )
  ),
  1,
  1
)
"),"")</f>
        <v/>
      </c>
      <c r="P681" s="105" t="str">
        <f>IF(F681="Yes", IFERROR(VLOOKUP(D681, Repository!A:F, 6, 0), ""), "")</f>
        <v/>
      </c>
      <c r="Q681" s="105" t="str">
        <f>IF(F681="Yes", IFERROR(VLOOKUP(D681, Repository!A:I, 8, 0), ""), "")</f>
        <v/>
      </c>
      <c r="R681" s="105" t="str">
        <f>IF(F681="Yes", IFERROR(VLOOKUP(D681, Repository!A:J, 9, 0), ""), "")</f>
        <v/>
      </c>
      <c r="S681" s="105"/>
      <c r="T681" s="105"/>
      <c r="U681" s="105"/>
      <c r="V681" s="105"/>
      <c r="W681" s="105"/>
      <c r="X681" s="105"/>
      <c r="Y681" s="105"/>
      <c r="Z681" s="105"/>
      <c r="AA681" s="105"/>
      <c r="AB681" s="105"/>
      <c r="AC681" s="91"/>
      <c r="AD681" s="105"/>
      <c r="AE681" s="105"/>
      <c r="AF681" s="91"/>
      <c r="AG681" s="105"/>
      <c r="AH681" s="105"/>
      <c r="AI681" s="105" t="str">
        <f t="shared" si="1"/>
        <v/>
      </c>
      <c r="AJ681" s="108" t="str">
        <f t="shared" si="2"/>
        <v/>
      </c>
    </row>
    <row r="682" ht="15.75" customHeight="1">
      <c r="A682" s="104"/>
      <c r="B682" s="105" t="str">
        <f>IFERROR(__xludf.DUMMYFUNCTION("ARRAY_CONSTRAIN(
  ARRAYFORMULA(
    IF(
      'Final Report'!A682="""",
      """",
      TEXTJOIN(
        "", "" &amp; CHAR(10),
        TRUE,
        IFERROR(
          VLOOKUP(
            TRIM(
              SPLIT('Final Report'!A682, "","")
           "&amp;" ),
            'URL Details'!A:B,
            2,
            FALSE
          ),
          """"
        )
      )
    )
  ),
  1,
  1
)
"),"")</f>
        <v/>
      </c>
      <c r="C682" s="105" t="str">
        <f>IFERROR(__xludf.DUMMYFUNCTION("IFERROR(IF('Final Report'!A682="""","""", TEXTJOIN(CHAR(10), TRUE, ARRAYFORMULA( ""• ""&amp; FILTER( TRIM(FLATTEN(SPLIT( REGEXREPLACE( SUBSTITUTE(TEXTJOIN("","", TRUE, IFERROR(ARRAYFORMULA(VLOOKUP(TRIM(SPLIT('Final Report'!A682, "","")), 'URL Details'!A:D, 4,"&amp;" FALSE)),"""") ), CHAR(10), "",""), ""\s*,\s*"", "",""), "",""))), TRIM(FLATTEN(SPLIT( REGEXREPLACE( SUBSTITUTE(TEXTJOIN("","", TRUE, IFERROR(ARRAYFORMULA(VLOOKUP(TRIM(SPLIT('Final Report'!A682, "","")), 'URL Details'!A:D, 4, FALSE)),"""") ), CHAR(10), """&amp;",""), ""\s*,\s*"", "",""), "","")))&lt;&gt;"""" ) ) ) ),"""")
"),"")</f>
        <v/>
      </c>
      <c r="D682" s="105"/>
      <c r="E682" s="105"/>
      <c r="F682" s="110" t="b">
        <v>0</v>
      </c>
      <c r="G682" s="105" t="str">
        <f>IF(F682=True, IFERROR(VLOOKUP(D682, Repository!A:B, 2, 0), ""), "")</f>
        <v/>
      </c>
      <c r="H682" s="105"/>
      <c r="I682" s="105"/>
      <c r="J682" s="105" t="str">
        <f>IF(F682=True, IFERROR(VLOOKUP(D682, Repository!A:C, 3, 0), ""), "")</f>
        <v/>
      </c>
      <c r="K682" s="105"/>
      <c r="L682" s="105" t="str">
        <f>IF(F682=True, IFERROR(VLOOKUP(D682, Repository!A:E, 5, 0), ""), "")</f>
        <v/>
      </c>
      <c r="M682" s="105"/>
      <c r="N682" s="105" t="str">
        <f>IF(F682=True, IFERROR(VLOOKUP(D682, Repository!A:G, 7, 0), ""), "")</f>
        <v/>
      </c>
      <c r="O682" s="105" t="str">
        <f>IFERROR(__xludf.DUMMYFUNCTION("ARRAY_CONSTRAIN(
  ARRAYFORMULA(
    IFERROR(
      LET(
        list, N682,
        arr, TRIM(SPLIT(list, "","")),
        names, XLOOKUP(
          arr,
          'Conformance Score'!A:A,
          'Conformance Score'!B:B,
          ""Not found""
      "&amp;"  ),
        TEXTJOIN("", "", TRUE, names)
      ),
      """"
    )
  ),
  1,
  1
)
"),"")</f>
        <v/>
      </c>
      <c r="P682" s="105" t="str">
        <f>IF(F682="Yes", IFERROR(VLOOKUP(D682, Repository!A:F, 6, 0), ""), "")</f>
        <v/>
      </c>
      <c r="Q682" s="105" t="str">
        <f>IF(F682="Yes", IFERROR(VLOOKUP(D682, Repository!A:I, 8, 0), ""), "")</f>
        <v/>
      </c>
      <c r="R682" s="105" t="str">
        <f>IF(F682="Yes", IFERROR(VLOOKUP(D682, Repository!A:J, 9, 0), ""), "")</f>
        <v/>
      </c>
      <c r="S682" s="105"/>
      <c r="T682" s="105"/>
      <c r="U682" s="105"/>
      <c r="V682" s="105"/>
      <c r="W682" s="105"/>
      <c r="X682" s="105"/>
      <c r="Y682" s="105"/>
      <c r="Z682" s="105"/>
      <c r="AA682" s="105"/>
      <c r="AB682" s="105"/>
      <c r="AC682" s="91"/>
      <c r="AD682" s="105"/>
      <c r="AE682" s="105"/>
      <c r="AF682" s="91"/>
      <c r="AG682" s="105"/>
      <c r="AH682" s="105"/>
      <c r="AI682" s="105" t="str">
        <f t="shared" si="1"/>
        <v/>
      </c>
      <c r="AJ682" s="108" t="str">
        <f t="shared" si="2"/>
        <v/>
      </c>
    </row>
    <row r="683" ht="15.75" customHeight="1">
      <c r="A683" s="104"/>
      <c r="B683" s="105" t="str">
        <f>IFERROR(__xludf.DUMMYFUNCTION("ARRAY_CONSTRAIN(
  ARRAYFORMULA(
    IF(
      'Final Report'!A683="""",
      """",
      TEXTJOIN(
        "", "" &amp; CHAR(10),
        TRUE,
        IFERROR(
          VLOOKUP(
            TRIM(
              SPLIT('Final Report'!A683, "","")
           "&amp;" ),
            'URL Details'!A:B,
            2,
            FALSE
          ),
          """"
        )
      )
    )
  ),
  1,
  1
)
"),"")</f>
        <v/>
      </c>
      <c r="C683" s="105" t="str">
        <f>IFERROR(__xludf.DUMMYFUNCTION("IFERROR(IF('Final Report'!A683="""","""", TEXTJOIN(CHAR(10), TRUE, ARRAYFORMULA( ""• ""&amp; FILTER( TRIM(FLATTEN(SPLIT( REGEXREPLACE( SUBSTITUTE(TEXTJOIN("","", TRUE, IFERROR(ARRAYFORMULA(VLOOKUP(TRIM(SPLIT('Final Report'!A683, "","")), 'URL Details'!A:D, 4,"&amp;" FALSE)),"""") ), CHAR(10), "",""), ""\s*,\s*"", "",""), "",""))), TRIM(FLATTEN(SPLIT( REGEXREPLACE( SUBSTITUTE(TEXTJOIN("","", TRUE, IFERROR(ARRAYFORMULA(VLOOKUP(TRIM(SPLIT('Final Report'!A683, "","")), 'URL Details'!A:D, 4, FALSE)),"""") ), CHAR(10), """&amp;",""), ""\s*,\s*"", "",""), "","")))&lt;&gt;"""" ) ) ) ),"""")
"),"")</f>
        <v/>
      </c>
      <c r="D683" s="105"/>
      <c r="E683" s="105"/>
      <c r="F683" s="110" t="b">
        <v>0</v>
      </c>
      <c r="G683" s="105" t="str">
        <f>IF(F683=True, IFERROR(VLOOKUP(D683, Repository!A:B, 2, 0), ""), "")</f>
        <v/>
      </c>
      <c r="H683" s="105"/>
      <c r="I683" s="105"/>
      <c r="J683" s="105" t="str">
        <f>IF(F683=True, IFERROR(VLOOKUP(D683, Repository!A:C, 3, 0), ""), "")</f>
        <v/>
      </c>
      <c r="K683" s="105"/>
      <c r="L683" s="105" t="str">
        <f>IF(F683=True, IFERROR(VLOOKUP(D683, Repository!A:E, 5, 0), ""), "")</f>
        <v/>
      </c>
      <c r="M683" s="105"/>
      <c r="N683" s="105" t="str">
        <f>IF(F683=True, IFERROR(VLOOKUP(D683, Repository!A:G, 7, 0), ""), "")</f>
        <v/>
      </c>
      <c r="O683" s="105" t="str">
        <f>IFERROR(__xludf.DUMMYFUNCTION("ARRAY_CONSTRAIN(
  ARRAYFORMULA(
    IFERROR(
      LET(
        list, N683,
        arr, TRIM(SPLIT(list, "","")),
        names, XLOOKUP(
          arr,
          'Conformance Score'!A:A,
          'Conformance Score'!B:B,
          ""Not found""
      "&amp;"  ),
        TEXTJOIN("", "", TRUE, names)
      ),
      """"
    )
  ),
  1,
  1
)
"),"")</f>
        <v/>
      </c>
      <c r="P683" s="105" t="str">
        <f>IF(F683="Yes", IFERROR(VLOOKUP(D683, Repository!A:F, 6, 0), ""), "")</f>
        <v/>
      </c>
      <c r="Q683" s="105" t="str">
        <f>IF(F683="Yes", IFERROR(VLOOKUP(D683, Repository!A:I, 8, 0), ""), "")</f>
        <v/>
      </c>
      <c r="R683" s="105" t="str">
        <f>IF(F683="Yes", IFERROR(VLOOKUP(D683, Repository!A:J, 9, 0), ""), "")</f>
        <v/>
      </c>
      <c r="S683" s="105"/>
      <c r="T683" s="105"/>
      <c r="U683" s="105"/>
      <c r="V683" s="105"/>
      <c r="W683" s="105"/>
      <c r="X683" s="105"/>
      <c r="Y683" s="105"/>
      <c r="Z683" s="105"/>
      <c r="AA683" s="105"/>
      <c r="AB683" s="105"/>
      <c r="AC683" s="91"/>
      <c r="AD683" s="105"/>
      <c r="AE683" s="105"/>
      <c r="AF683" s="91"/>
      <c r="AG683" s="105"/>
      <c r="AH683" s="105"/>
      <c r="AI683" s="105" t="str">
        <f t="shared" si="1"/>
        <v/>
      </c>
      <c r="AJ683" s="108" t="str">
        <f t="shared" si="2"/>
        <v/>
      </c>
    </row>
    <row r="684" ht="15.75" customHeight="1">
      <c r="A684" s="104"/>
      <c r="B684" s="105" t="str">
        <f>IFERROR(__xludf.DUMMYFUNCTION("ARRAY_CONSTRAIN(
  ARRAYFORMULA(
    IF(
      'Final Report'!A684="""",
      """",
      TEXTJOIN(
        "", "" &amp; CHAR(10),
        TRUE,
        IFERROR(
          VLOOKUP(
            TRIM(
              SPLIT('Final Report'!A684, "","")
           "&amp;" ),
            'URL Details'!A:B,
            2,
            FALSE
          ),
          """"
        )
      )
    )
  ),
  1,
  1
)
"),"")</f>
        <v/>
      </c>
      <c r="C684" s="105" t="str">
        <f>IFERROR(__xludf.DUMMYFUNCTION("IFERROR(IF('Final Report'!A684="""","""", TEXTJOIN(CHAR(10), TRUE, ARRAYFORMULA( ""• ""&amp; FILTER( TRIM(FLATTEN(SPLIT( REGEXREPLACE( SUBSTITUTE(TEXTJOIN("","", TRUE, IFERROR(ARRAYFORMULA(VLOOKUP(TRIM(SPLIT('Final Report'!A684, "","")), 'URL Details'!A:D, 4,"&amp;" FALSE)),"""") ), CHAR(10), "",""), ""\s*,\s*"", "",""), "",""))), TRIM(FLATTEN(SPLIT( REGEXREPLACE( SUBSTITUTE(TEXTJOIN("","", TRUE, IFERROR(ARRAYFORMULA(VLOOKUP(TRIM(SPLIT('Final Report'!A684, "","")), 'URL Details'!A:D, 4, FALSE)),"""") ), CHAR(10), """&amp;",""), ""\s*,\s*"", "",""), "","")))&lt;&gt;"""" ) ) ) ),"""")
"),"")</f>
        <v/>
      </c>
      <c r="D684" s="105"/>
      <c r="E684" s="105"/>
      <c r="F684" s="110" t="b">
        <v>0</v>
      </c>
      <c r="G684" s="105" t="str">
        <f>IF(F684=True, IFERROR(VLOOKUP(D684, Repository!A:B, 2, 0), ""), "")</f>
        <v/>
      </c>
      <c r="H684" s="105"/>
      <c r="I684" s="105"/>
      <c r="J684" s="105" t="str">
        <f>IF(F684=True, IFERROR(VLOOKUP(D684, Repository!A:C, 3, 0), ""), "")</f>
        <v/>
      </c>
      <c r="K684" s="105"/>
      <c r="L684" s="105" t="str">
        <f>IF(F684=True, IFERROR(VLOOKUP(D684, Repository!A:E, 5, 0), ""), "")</f>
        <v/>
      </c>
      <c r="M684" s="105"/>
      <c r="N684" s="105" t="str">
        <f>IF(F684=True, IFERROR(VLOOKUP(D684, Repository!A:G, 7, 0), ""), "")</f>
        <v/>
      </c>
      <c r="O684" s="105" t="str">
        <f>IFERROR(__xludf.DUMMYFUNCTION("ARRAY_CONSTRAIN(
  ARRAYFORMULA(
    IFERROR(
      LET(
        list, N684,
        arr, TRIM(SPLIT(list, "","")),
        names, XLOOKUP(
          arr,
          'Conformance Score'!A:A,
          'Conformance Score'!B:B,
          ""Not found""
      "&amp;"  ),
        TEXTJOIN("", "", TRUE, names)
      ),
      """"
    )
  ),
  1,
  1
)
"),"")</f>
        <v/>
      </c>
      <c r="P684" s="105" t="str">
        <f>IF(F684="Yes", IFERROR(VLOOKUP(D684, Repository!A:F, 6, 0), ""), "")</f>
        <v/>
      </c>
      <c r="Q684" s="105" t="str">
        <f>IF(F684="Yes", IFERROR(VLOOKUP(D684, Repository!A:I, 8, 0), ""), "")</f>
        <v/>
      </c>
      <c r="R684" s="105" t="str">
        <f>IF(F684="Yes", IFERROR(VLOOKUP(D684, Repository!A:J, 9, 0), ""), "")</f>
        <v/>
      </c>
      <c r="S684" s="105"/>
      <c r="T684" s="105"/>
      <c r="U684" s="105"/>
      <c r="V684" s="105"/>
      <c r="W684" s="105"/>
      <c r="X684" s="105"/>
      <c r="Y684" s="105"/>
      <c r="Z684" s="105"/>
      <c r="AA684" s="105"/>
      <c r="AB684" s="105"/>
      <c r="AC684" s="91"/>
      <c r="AD684" s="105"/>
      <c r="AE684" s="105"/>
      <c r="AF684" s="91"/>
      <c r="AG684" s="105"/>
      <c r="AH684" s="105"/>
      <c r="AI684" s="105" t="str">
        <f t="shared" si="1"/>
        <v/>
      </c>
      <c r="AJ684" s="108" t="str">
        <f t="shared" si="2"/>
        <v/>
      </c>
    </row>
    <row r="685" ht="15.75" customHeight="1">
      <c r="A685" s="104"/>
      <c r="B685" s="105" t="str">
        <f>IFERROR(__xludf.DUMMYFUNCTION("ARRAY_CONSTRAIN(
  ARRAYFORMULA(
    IF(
      'Final Report'!A685="""",
      """",
      TEXTJOIN(
        "", "" &amp; CHAR(10),
        TRUE,
        IFERROR(
          VLOOKUP(
            TRIM(
              SPLIT('Final Report'!A685, "","")
           "&amp;" ),
            'URL Details'!A:B,
            2,
            FALSE
          ),
          """"
        )
      )
    )
  ),
  1,
  1
)
"),"")</f>
        <v/>
      </c>
      <c r="C685" s="105" t="str">
        <f>IFERROR(__xludf.DUMMYFUNCTION("IFERROR(IF('Final Report'!A685="""","""", TEXTJOIN(CHAR(10), TRUE, ARRAYFORMULA( ""• ""&amp; FILTER( TRIM(FLATTEN(SPLIT( REGEXREPLACE( SUBSTITUTE(TEXTJOIN("","", TRUE, IFERROR(ARRAYFORMULA(VLOOKUP(TRIM(SPLIT('Final Report'!A685, "","")), 'URL Details'!A:D, 4,"&amp;" FALSE)),"""") ), CHAR(10), "",""), ""\s*,\s*"", "",""), "",""))), TRIM(FLATTEN(SPLIT( REGEXREPLACE( SUBSTITUTE(TEXTJOIN("","", TRUE, IFERROR(ARRAYFORMULA(VLOOKUP(TRIM(SPLIT('Final Report'!A685, "","")), 'URL Details'!A:D, 4, FALSE)),"""") ), CHAR(10), """&amp;",""), ""\s*,\s*"", "",""), "","")))&lt;&gt;"""" ) ) ) ),"""")
"),"")</f>
        <v/>
      </c>
      <c r="D685" s="105"/>
      <c r="E685" s="105"/>
      <c r="F685" s="110" t="b">
        <v>0</v>
      </c>
      <c r="G685" s="105" t="str">
        <f>IF(F685=True, IFERROR(VLOOKUP(D685, Repository!A:B, 2, 0), ""), "")</f>
        <v/>
      </c>
      <c r="H685" s="105"/>
      <c r="I685" s="105"/>
      <c r="J685" s="105" t="str">
        <f>IF(F685=True, IFERROR(VLOOKUP(D685, Repository!A:C, 3, 0), ""), "")</f>
        <v/>
      </c>
      <c r="K685" s="105"/>
      <c r="L685" s="105" t="str">
        <f>IF(F685=True, IFERROR(VLOOKUP(D685, Repository!A:E, 5, 0), ""), "")</f>
        <v/>
      </c>
      <c r="M685" s="105"/>
      <c r="N685" s="105" t="str">
        <f>IF(F685=True, IFERROR(VLOOKUP(D685, Repository!A:G, 7, 0), ""), "")</f>
        <v/>
      </c>
      <c r="O685" s="105" t="str">
        <f>IFERROR(__xludf.DUMMYFUNCTION("ARRAY_CONSTRAIN(
  ARRAYFORMULA(
    IFERROR(
      LET(
        list, N685,
        arr, TRIM(SPLIT(list, "","")),
        names, XLOOKUP(
          arr,
          'Conformance Score'!A:A,
          'Conformance Score'!B:B,
          ""Not found""
      "&amp;"  ),
        TEXTJOIN("", "", TRUE, names)
      ),
      """"
    )
  ),
  1,
  1
)
"),"")</f>
        <v/>
      </c>
      <c r="P685" s="105" t="str">
        <f>IF(F685="Yes", IFERROR(VLOOKUP(D685, Repository!A:F, 6, 0), ""), "")</f>
        <v/>
      </c>
      <c r="Q685" s="105" t="str">
        <f>IF(F685="Yes", IFERROR(VLOOKUP(D685, Repository!A:I, 8, 0), ""), "")</f>
        <v/>
      </c>
      <c r="R685" s="105" t="str">
        <f>IF(F685="Yes", IFERROR(VLOOKUP(D685, Repository!A:J, 9, 0), ""), "")</f>
        <v/>
      </c>
      <c r="S685" s="105"/>
      <c r="T685" s="105"/>
      <c r="U685" s="105"/>
      <c r="V685" s="105"/>
      <c r="W685" s="105"/>
      <c r="X685" s="105"/>
      <c r="Y685" s="105"/>
      <c r="Z685" s="105"/>
      <c r="AA685" s="105"/>
      <c r="AB685" s="105"/>
      <c r="AC685" s="91"/>
      <c r="AD685" s="105"/>
      <c r="AE685" s="105"/>
      <c r="AF685" s="91"/>
      <c r="AG685" s="105"/>
      <c r="AH685" s="105"/>
      <c r="AI685" s="105" t="str">
        <f t="shared" si="1"/>
        <v/>
      </c>
      <c r="AJ685" s="108" t="str">
        <f t="shared" si="2"/>
        <v/>
      </c>
    </row>
    <row r="686" ht="15.75" customHeight="1">
      <c r="A686" s="104"/>
      <c r="B686" s="105" t="str">
        <f>IFERROR(__xludf.DUMMYFUNCTION("ARRAY_CONSTRAIN(
  ARRAYFORMULA(
    IF(
      'Final Report'!A686="""",
      """",
      TEXTJOIN(
        "", "" &amp; CHAR(10),
        TRUE,
        IFERROR(
          VLOOKUP(
            TRIM(
              SPLIT('Final Report'!A686, "","")
           "&amp;" ),
            'URL Details'!A:B,
            2,
            FALSE
          ),
          """"
        )
      )
    )
  ),
  1,
  1
)
"),"")</f>
        <v/>
      </c>
      <c r="C686" s="105" t="str">
        <f>IFERROR(__xludf.DUMMYFUNCTION("IFERROR(IF('Final Report'!A686="""","""", TEXTJOIN(CHAR(10), TRUE, ARRAYFORMULA( ""• ""&amp; FILTER( TRIM(FLATTEN(SPLIT( REGEXREPLACE( SUBSTITUTE(TEXTJOIN("","", TRUE, IFERROR(ARRAYFORMULA(VLOOKUP(TRIM(SPLIT('Final Report'!A686, "","")), 'URL Details'!A:D, 4,"&amp;" FALSE)),"""") ), CHAR(10), "",""), ""\s*,\s*"", "",""), "",""))), TRIM(FLATTEN(SPLIT( REGEXREPLACE( SUBSTITUTE(TEXTJOIN("","", TRUE, IFERROR(ARRAYFORMULA(VLOOKUP(TRIM(SPLIT('Final Report'!A686, "","")), 'URL Details'!A:D, 4, FALSE)),"""") ), CHAR(10), """&amp;",""), ""\s*,\s*"", "",""), "","")))&lt;&gt;"""" ) ) ) ),"""")
"),"")</f>
        <v/>
      </c>
      <c r="D686" s="105"/>
      <c r="E686" s="105"/>
      <c r="F686" s="110" t="b">
        <v>0</v>
      </c>
      <c r="G686" s="105" t="str">
        <f>IF(F686=True, IFERROR(VLOOKUP(D686, Repository!A:B, 2, 0), ""), "")</f>
        <v/>
      </c>
      <c r="H686" s="105"/>
      <c r="I686" s="105"/>
      <c r="J686" s="105" t="str">
        <f>IF(F686=True, IFERROR(VLOOKUP(D686, Repository!A:C, 3, 0), ""), "")</f>
        <v/>
      </c>
      <c r="K686" s="105"/>
      <c r="L686" s="105" t="str">
        <f>IF(F686=True, IFERROR(VLOOKUP(D686, Repository!A:E, 5, 0), ""), "")</f>
        <v/>
      </c>
      <c r="M686" s="105"/>
      <c r="N686" s="105" t="str">
        <f>IF(F686=True, IFERROR(VLOOKUP(D686, Repository!A:G, 7, 0), ""), "")</f>
        <v/>
      </c>
      <c r="O686" s="105" t="str">
        <f>IFERROR(__xludf.DUMMYFUNCTION("ARRAY_CONSTRAIN(
  ARRAYFORMULA(
    IFERROR(
      LET(
        list, N686,
        arr, TRIM(SPLIT(list, "","")),
        names, XLOOKUP(
          arr,
          'Conformance Score'!A:A,
          'Conformance Score'!B:B,
          ""Not found""
      "&amp;"  ),
        TEXTJOIN("", "", TRUE, names)
      ),
      """"
    )
  ),
  1,
  1
)
"),"")</f>
        <v/>
      </c>
      <c r="P686" s="105" t="str">
        <f>IF(F686="Yes", IFERROR(VLOOKUP(D686, Repository!A:F, 6, 0), ""), "")</f>
        <v/>
      </c>
      <c r="Q686" s="105" t="str">
        <f>IF(F686="Yes", IFERROR(VLOOKUP(D686, Repository!A:I, 8, 0), ""), "")</f>
        <v/>
      </c>
      <c r="R686" s="105" t="str">
        <f>IF(F686="Yes", IFERROR(VLOOKUP(D686, Repository!A:J, 9, 0), ""), "")</f>
        <v/>
      </c>
      <c r="S686" s="105"/>
      <c r="T686" s="105"/>
      <c r="U686" s="105"/>
      <c r="V686" s="105"/>
      <c r="W686" s="105"/>
      <c r="X686" s="105"/>
      <c r="Y686" s="105"/>
      <c r="Z686" s="105"/>
      <c r="AA686" s="105"/>
      <c r="AB686" s="105"/>
      <c r="AC686" s="91"/>
      <c r="AD686" s="105"/>
      <c r="AE686" s="105"/>
      <c r="AF686" s="91"/>
      <c r="AG686" s="105"/>
      <c r="AH686" s="105"/>
      <c r="AI686" s="105" t="str">
        <f t="shared" si="1"/>
        <v/>
      </c>
      <c r="AJ686" s="108" t="str">
        <f t="shared" si="2"/>
        <v/>
      </c>
    </row>
    <row r="687" ht="15.75" customHeight="1">
      <c r="A687" s="104"/>
      <c r="B687" s="105" t="str">
        <f>IFERROR(__xludf.DUMMYFUNCTION("ARRAY_CONSTRAIN(
  ARRAYFORMULA(
    IF(
      'Final Report'!A687="""",
      """",
      TEXTJOIN(
        "", "" &amp; CHAR(10),
        TRUE,
        IFERROR(
          VLOOKUP(
            TRIM(
              SPLIT('Final Report'!A687, "","")
           "&amp;" ),
            'URL Details'!A:B,
            2,
            FALSE
          ),
          """"
        )
      )
    )
  ),
  1,
  1
)
"),"")</f>
        <v/>
      </c>
      <c r="C687" s="105" t="str">
        <f>IFERROR(__xludf.DUMMYFUNCTION("IFERROR(IF('Final Report'!A687="""","""", TEXTJOIN(CHAR(10), TRUE, ARRAYFORMULA( ""• ""&amp; FILTER( TRIM(FLATTEN(SPLIT( REGEXREPLACE( SUBSTITUTE(TEXTJOIN("","", TRUE, IFERROR(ARRAYFORMULA(VLOOKUP(TRIM(SPLIT('Final Report'!A687, "","")), 'URL Details'!A:D, 4,"&amp;" FALSE)),"""") ), CHAR(10), "",""), ""\s*,\s*"", "",""), "",""))), TRIM(FLATTEN(SPLIT( REGEXREPLACE( SUBSTITUTE(TEXTJOIN("","", TRUE, IFERROR(ARRAYFORMULA(VLOOKUP(TRIM(SPLIT('Final Report'!A687, "","")), 'URL Details'!A:D, 4, FALSE)),"""") ), CHAR(10), """&amp;",""), ""\s*,\s*"", "",""), "","")))&lt;&gt;"""" ) ) ) ),"""")
"),"")</f>
        <v/>
      </c>
      <c r="D687" s="105"/>
      <c r="E687" s="105"/>
      <c r="F687" s="110" t="b">
        <v>0</v>
      </c>
      <c r="G687" s="105" t="str">
        <f>IF(F687=True, IFERROR(VLOOKUP(D687, Repository!A:B, 2, 0), ""), "")</f>
        <v/>
      </c>
      <c r="H687" s="105"/>
      <c r="I687" s="105"/>
      <c r="J687" s="105" t="str">
        <f>IF(F687=True, IFERROR(VLOOKUP(D687, Repository!A:C, 3, 0), ""), "")</f>
        <v/>
      </c>
      <c r="K687" s="105"/>
      <c r="L687" s="105" t="str">
        <f>IF(F687=True, IFERROR(VLOOKUP(D687, Repository!A:E, 5, 0), ""), "")</f>
        <v/>
      </c>
      <c r="M687" s="105"/>
      <c r="N687" s="105" t="str">
        <f>IF(F687=True, IFERROR(VLOOKUP(D687, Repository!A:G, 7, 0), ""), "")</f>
        <v/>
      </c>
      <c r="O687" s="105" t="str">
        <f>IFERROR(__xludf.DUMMYFUNCTION("ARRAY_CONSTRAIN(
  ARRAYFORMULA(
    IFERROR(
      LET(
        list, N687,
        arr, TRIM(SPLIT(list, "","")),
        names, XLOOKUP(
          arr,
          'Conformance Score'!A:A,
          'Conformance Score'!B:B,
          ""Not found""
      "&amp;"  ),
        TEXTJOIN("", "", TRUE, names)
      ),
      """"
    )
  ),
  1,
  1
)
"),"")</f>
        <v/>
      </c>
      <c r="P687" s="105" t="str">
        <f>IF(F687="Yes", IFERROR(VLOOKUP(D687, Repository!A:F, 6, 0), ""), "")</f>
        <v/>
      </c>
      <c r="Q687" s="105" t="str">
        <f>IF(F687="Yes", IFERROR(VLOOKUP(D687, Repository!A:I, 8, 0), ""), "")</f>
        <v/>
      </c>
      <c r="R687" s="105" t="str">
        <f>IF(F687="Yes", IFERROR(VLOOKUP(D687, Repository!A:J, 9, 0), ""), "")</f>
        <v/>
      </c>
      <c r="S687" s="105"/>
      <c r="T687" s="105"/>
      <c r="U687" s="105"/>
      <c r="V687" s="105"/>
      <c r="W687" s="105"/>
      <c r="X687" s="105"/>
      <c r="Y687" s="105"/>
      <c r="Z687" s="105"/>
      <c r="AA687" s="105"/>
      <c r="AB687" s="105"/>
      <c r="AC687" s="91"/>
      <c r="AD687" s="105"/>
      <c r="AE687" s="105"/>
      <c r="AF687" s="91"/>
      <c r="AG687" s="105"/>
      <c r="AH687" s="105"/>
      <c r="AI687" s="105" t="str">
        <f t="shared" si="1"/>
        <v/>
      </c>
      <c r="AJ687" s="108" t="str">
        <f t="shared" si="2"/>
        <v/>
      </c>
    </row>
    <row r="688" ht="15.75" customHeight="1">
      <c r="A688" s="104"/>
      <c r="B688" s="105" t="str">
        <f>IFERROR(__xludf.DUMMYFUNCTION("ARRAY_CONSTRAIN(
  ARRAYFORMULA(
    IF(
      'Final Report'!A688="""",
      """",
      TEXTJOIN(
        "", "" &amp; CHAR(10),
        TRUE,
        IFERROR(
          VLOOKUP(
            TRIM(
              SPLIT('Final Report'!A688, "","")
           "&amp;" ),
            'URL Details'!A:B,
            2,
            FALSE
          ),
          """"
        )
      )
    )
  ),
  1,
  1
)
"),"")</f>
        <v/>
      </c>
      <c r="C688" s="105" t="str">
        <f>IFERROR(__xludf.DUMMYFUNCTION("IFERROR(IF('Final Report'!A688="""","""", TEXTJOIN(CHAR(10), TRUE, ARRAYFORMULA( ""• ""&amp; FILTER( TRIM(FLATTEN(SPLIT( REGEXREPLACE( SUBSTITUTE(TEXTJOIN("","", TRUE, IFERROR(ARRAYFORMULA(VLOOKUP(TRIM(SPLIT('Final Report'!A688, "","")), 'URL Details'!A:D, 4,"&amp;" FALSE)),"""") ), CHAR(10), "",""), ""\s*,\s*"", "",""), "",""))), TRIM(FLATTEN(SPLIT( REGEXREPLACE( SUBSTITUTE(TEXTJOIN("","", TRUE, IFERROR(ARRAYFORMULA(VLOOKUP(TRIM(SPLIT('Final Report'!A688, "","")), 'URL Details'!A:D, 4, FALSE)),"""") ), CHAR(10), """&amp;",""), ""\s*,\s*"", "",""), "","")))&lt;&gt;"""" ) ) ) ),"""")
"),"")</f>
        <v/>
      </c>
      <c r="D688" s="105"/>
      <c r="E688" s="105"/>
      <c r="F688" s="110" t="b">
        <v>0</v>
      </c>
      <c r="G688" s="105" t="str">
        <f>IF(F688=True, IFERROR(VLOOKUP(D688, Repository!A:B, 2, 0), ""), "")</f>
        <v/>
      </c>
      <c r="H688" s="105"/>
      <c r="I688" s="105"/>
      <c r="J688" s="105" t="str">
        <f>IF(F688=True, IFERROR(VLOOKUP(D688, Repository!A:C, 3, 0), ""), "")</f>
        <v/>
      </c>
      <c r="K688" s="105"/>
      <c r="L688" s="105" t="str">
        <f>IF(F688=True, IFERROR(VLOOKUP(D688, Repository!A:E, 5, 0), ""), "")</f>
        <v/>
      </c>
      <c r="M688" s="105"/>
      <c r="N688" s="105" t="str">
        <f>IF(F688=True, IFERROR(VLOOKUP(D688, Repository!A:G, 7, 0), ""), "")</f>
        <v/>
      </c>
      <c r="O688" s="105" t="str">
        <f>IFERROR(__xludf.DUMMYFUNCTION("ARRAY_CONSTRAIN(
  ARRAYFORMULA(
    IFERROR(
      LET(
        list, N688,
        arr, TRIM(SPLIT(list, "","")),
        names, XLOOKUP(
          arr,
          'Conformance Score'!A:A,
          'Conformance Score'!B:B,
          ""Not found""
      "&amp;"  ),
        TEXTJOIN("", "", TRUE, names)
      ),
      """"
    )
  ),
  1,
  1
)
"),"")</f>
        <v/>
      </c>
      <c r="P688" s="105" t="str">
        <f>IF(F688="Yes", IFERROR(VLOOKUP(D688, Repository!A:F, 6, 0), ""), "")</f>
        <v/>
      </c>
      <c r="Q688" s="105" t="str">
        <f>IF(F688="Yes", IFERROR(VLOOKUP(D688, Repository!A:I, 8, 0), ""), "")</f>
        <v/>
      </c>
      <c r="R688" s="105" t="str">
        <f>IF(F688="Yes", IFERROR(VLOOKUP(D688, Repository!A:J, 9, 0), ""), "")</f>
        <v/>
      </c>
      <c r="S688" s="105"/>
      <c r="T688" s="105"/>
      <c r="U688" s="105"/>
      <c r="V688" s="105"/>
      <c r="W688" s="105"/>
      <c r="X688" s="105"/>
      <c r="Y688" s="105"/>
      <c r="Z688" s="105"/>
      <c r="AA688" s="105"/>
      <c r="AB688" s="105"/>
      <c r="AC688" s="91"/>
      <c r="AD688" s="105"/>
      <c r="AE688" s="105"/>
      <c r="AF688" s="91"/>
      <c r="AG688" s="105"/>
      <c r="AH688" s="105"/>
      <c r="AI688" s="105" t="str">
        <f t="shared" si="1"/>
        <v/>
      </c>
      <c r="AJ688" s="108" t="str">
        <f t="shared" si="2"/>
        <v/>
      </c>
    </row>
    <row r="689" ht="15.75" customHeight="1">
      <c r="A689" s="104"/>
      <c r="B689" s="105" t="str">
        <f>IFERROR(__xludf.DUMMYFUNCTION("ARRAY_CONSTRAIN(
  ARRAYFORMULA(
    IF(
      'Final Report'!A689="""",
      """",
      TEXTJOIN(
        "", "" &amp; CHAR(10),
        TRUE,
        IFERROR(
          VLOOKUP(
            TRIM(
              SPLIT('Final Report'!A689, "","")
           "&amp;" ),
            'URL Details'!A:B,
            2,
            FALSE
          ),
          """"
        )
      )
    )
  ),
  1,
  1
)
"),"")</f>
        <v/>
      </c>
      <c r="C689" s="105" t="str">
        <f>IFERROR(__xludf.DUMMYFUNCTION("IFERROR(IF('Final Report'!A689="""","""", TEXTJOIN(CHAR(10), TRUE, ARRAYFORMULA( ""• ""&amp; FILTER( TRIM(FLATTEN(SPLIT( REGEXREPLACE( SUBSTITUTE(TEXTJOIN("","", TRUE, IFERROR(ARRAYFORMULA(VLOOKUP(TRIM(SPLIT('Final Report'!A689, "","")), 'URL Details'!A:D, 4,"&amp;" FALSE)),"""") ), CHAR(10), "",""), ""\s*,\s*"", "",""), "",""))), TRIM(FLATTEN(SPLIT( REGEXREPLACE( SUBSTITUTE(TEXTJOIN("","", TRUE, IFERROR(ARRAYFORMULA(VLOOKUP(TRIM(SPLIT('Final Report'!A689, "","")), 'URL Details'!A:D, 4, FALSE)),"""") ), CHAR(10), """&amp;",""), ""\s*,\s*"", "",""), "","")))&lt;&gt;"""" ) ) ) ),"""")
"),"")</f>
        <v/>
      </c>
      <c r="D689" s="105"/>
      <c r="E689" s="105"/>
      <c r="F689" s="110" t="b">
        <v>0</v>
      </c>
      <c r="G689" s="105" t="str">
        <f>IF(F689=True, IFERROR(VLOOKUP(D689, Repository!A:B, 2, 0), ""), "")</f>
        <v/>
      </c>
      <c r="H689" s="105"/>
      <c r="I689" s="105"/>
      <c r="J689" s="105" t="str">
        <f>IF(F689=True, IFERROR(VLOOKUP(D689, Repository!A:C, 3, 0), ""), "")</f>
        <v/>
      </c>
      <c r="K689" s="105"/>
      <c r="L689" s="105" t="str">
        <f>IF(F689=True, IFERROR(VLOOKUP(D689, Repository!A:E, 5, 0), ""), "")</f>
        <v/>
      </c>
      <c r="M689" s="105"/>
      <c r="N689" s="105" t="str">
        <f>IF(F689=True, IFERROR(VLOOKUP(D689, Repository!A:G, 7, 0), ""), "")</f>
        <v/>
      </c>
      <c r="O689" s="105" t="str">
        <f>IFERROR(__xludf.DUMMYFUNCTION("ARRAY_CONSTRAIN(
  ARRAYFORMULA(
    IFERROR(
      LET(
        list, N689,
        arr, TRIM(SPLIT(list, "","")),
        names, XLOOKUP(
          arr,
          'Conformance Score'!A:A,
          'Conformance Score'!B:B,
          ""Not found""
      "&amp;"  ),
        TEXTJOIN("", "", TRUE, names)
      ),
      """"
    )
  ),
  1,
  1
)
"),"")</f>
        <v/>
      </c>
      <c r="P689" s="105" t="str">
        <f>IF(F689="Yes", IFERROR(VLOOKUP(D689, Repository!A:F, 6, 0), ""), "")</f>
        <v/>
      </c>
      <c r="Q689" s="105" t="str">
        <f>IF(F689="Yes", IFERROR(VLOOKUP(D689, Repository!A:I, 8, 0), ""), "")</f>
        <v/>
      </c>
      <c r="R689" s="105" t="str">
        <f>IF(F689="Yes", IFERROR(VLOOKUP(D689, Repository!A:J, 9, 0), ""), "")</f>
        <v/>
      </c>
      <c r="S689" s="105"/>
      <c r="T689" s="105"/>
      <c r="U689" s="105"/>
      <c r="V689" s="105"/>
      <c r="W689" s="105"/>
      <c r="X689" s="105"/>
      <c r="Y689" s="105"/>
      <c r="Z689" s="105"/>
      <c r="AA689" s="105"/>
      <c r="AB689" s="105"/>
      <c r="AC689" s="91"/>
      <c r="AD689" s="105"/>
      <c r="AE689" s="105"/>
      <c r="AF689" s="91"/>
      <c r="AG689" s="105"/>
      <c r="AH689" s="105"/>
      <c r="AI689" s="105" t="str">
        <f t="shared" si="1"/>
        <v/>
      </c>
      <c r="AJ689" s="108" t="str">
        <f t="shared" si="2"/>
        <v/>
      </c>
    </row>
    <row r="690" ht="15.75" customHeight="1">
      <c r="A690" s="104"/>
      <c r="B690" s="105" t="str">
        <f>IFERROR(__xludf.DUMMYFUNCTION("ARRAY_CONSTRAIN(
  ARRAYFORMULA(
    IF(
      'Final Report'!A690="""",
      """",
      TEXTJOIN(
        "", "" &amp; CHAR(10),
        TRUE,
        IFERROR(
          VLOOKUP(
            TRIM(
              SPLIT('Final Report'!A690, "","")
           "&amp;" ),
            'URL Details'!A:B,
            2,
            FALSE
          ),
          """"
        )
      )
    )
  ),
  1,
  1
)
"),"")</f>
        <v/>
      </c>
      <c r="C690" s="105" t="str">
        <f>IFERROR(__xludf.DUMMYFUNCTION("IFERROR(IF('Final Report'!A690="""","""", TEXTJOIN(CHAR(10), TRUE, ARRAYFORMULA( ""• ""&amp; FILTER( TRIM(FLATTEN(SPLIT( REGEXREPLACE( SUBSTITUTE(TEXTJOIN("","", TRUE, IFERROR(ARRAYFORMULA(VLOOKUP(TRIM(SPLIT('Final Report'!A690, "","")), 'URL Details'!A:D, 4,"&amp;" FALSE)),"""") ), CHAR(10), "",""), ""\s*,\s*"", "",""), "",""))), TRIM(FLATTEN(SPLIT( REGEXREPLACE( SUBSTITUTE(TEXTJOIN("","", TRUE, IFERROR(ARRAYFORMULA(VLOOKUP(TRIM(SPLIT('Final Report'!A690, "","")), 'URL Details'!A:D, 4, FALSE)),"""") ), CHAR(10), """&amp;",""), ""\s*,\s*"", "",""), "","")))&lt;&gt;"""" ) ) ) ),"""")
"),"")</f>
        <v/>
      </c>
      <c r="D690" s="105"/>
      <c r="E690" s="105"/>
      <c r="F690" s="110" t="b">
        <v>0</v>
      </c>
      <c r="G690" s="105" t="str">
        <f>IF(F690=True, IFERROR(VLOOKUP(D690, Repository!A:B, 2, 0), ""), "")</f>
        <v/>
      </c>
      <c r="H690" s="105"/>
      <c r="I690" s="105"/>
      <c r="J690" s="105" t="str">
        <f>IF(F690=True, IFERROR(VLOOKUP(D690, Repository!A:C, 3, 0), ""), "")</f>
        <v/>
      </c>
      <c r="K690" s="105"/>
      <c r="L690" s="105" t="str">
        <f>IF(F690=True, IFERROR(VLOOKUP(D690, Repository!A:E, 5, 0), ""), "")</f>
        <v/>
      </c>
      <c r="M690" s="105"/>
      <c r="N690" s="105" t="str">
        <f>IF(F690=True, IFERROR(VLOOKUP(D690, Repository!A:G, 7, 0), ""), "")</f>
        <v/>
      </c>
      <c r="O690" s="105" t="str">
        <f>IFERROR(__xludf.DUMMYFUNCTION("ARRAY_CONSTRAIN(
  ARRAYFORMULA(
    IFERROR(
      LET(
        list, N690,
        arr, TRIM(SPLIT(list, "","")),
        names, XLOOKUP(
          arr,
          'Conformance Score'!A:A,
          'Conformance Score'!B:B,
          ""Not found""
      "&amp;"  ),
        TEXTJOIN("", "", TRUE, names)
      ),
      """"
    )
  ),
  1,
  1
)
"),"")</f>
        <v/>
      </c>
      <c r="P690" s="105" t="str">
        <f>IF(F690="Yes", IFERROR(VLOOKUP(D690, Repository!A:F, 6, 0), ""), "")</f>
        <v/>
      </c>
      <c r="Q690" s="105" t="str">
        <f>IF(F690="Yes", IFERROR(VLOOKUP(D690, Repository!A:I, 8, 0), ""), "")</f>
        <v/>
      </c>
      <c r="R690" s="105" t="str">
        <f>IF(F690="Yes", IFERROR(VLOOKUP(D690, Repository!A:J, 9, 0), ""), "")</f>
        <v/>
      </c>
      <c r="S690" s="105"/>
      <c r="T690" s="105"/>
      <c r="U690" s="105"/>
      <c r="V690" s="105"/>
      <c r="W690" s="105"/>
      <c r="X690" s="105"/>
      <c r="Y690" s="105"/>
      <c r="Z690" s="105"/>
      <c r="AA690" s="105"/>
      <c r="AB690" s="105"/>
      <c r="AC690" s="91"/>
      <c r="AD690" s="105"/>
      <c r="AE690" s="105"/>
      <c r="AF690" s="91"/>
      <c r="AG690" s="105"/>
      <c r="AH690" s="105"/>
      <c r="AI690" s="105" t="str">
        <f t="shared" si="1"/>
        <v/>
      </c>
      <c r="AJ690" s="108" t="str">
        <f t="shared" si="2"/>
        <v/>
      </c>
    </row>
    <row r="691" ht="15.75" customHeight="1">
      <c r="A691" s="104"/>
      <c r="B691" s="105" t="str">
        <f>IFERROR(__xludf.DUMMYFUNCTION("ARRAY_CONSTRAIN(
  ARRAYFORMULA(
    IF(
      'Final Report'!A691="""",
      """",
      TEXTJOIN(
        "", "" &amp; CHAR(10),
        TRUE,
        IFERROR(
          VLOOKUP(
            TRIM(
              SPLIT('Final Report'!A691, "","")
           "&amp;" ),
            'URL Details'!A:B,
            2,
            FALSE
          ),
          """"
        )
      )
    )
  ),
  1,
  1
)
"),"")</f>
        <v/>
      </c>
      <c r="C691" s="105" t="str">
        <f>IFERROR(__xludf.DUMMYFUNCTION("IFERROR(IF('Final Report'!A691="""","""", TEXTJOIN(CHAR(10), TRUE, ARRAYFORMULA( ""• ""&amp; FILTER( TRIM(FLATTEN(SPLIT( REGEXREPLACE( SUBSTITUTE(TEXTJOIN("","", TRUE, IFERROR(ARRAYFORMULA(VLOOKUP(TRIM(SPLIT('Final Report'!A691, "","")), 'URL Details'!A:D, 4,"&amp;" FALSE)),"""") ), CHAR(10), "",""), ""\s*,\s*"", "",""), "",""))), TRIM(FLATTEN(SPLIT( REGEXREPLACE( SUBSTITUTE(TEXTJOIN("","", TRUE, IFERROR(ARRAYFORMULA(VLOOKUP(TRIM(SPLIT('Final Report'!A691, "","")), 'URL Details'!A:D, 4, FALSE)),"""") ), CHAR(10), """&amp;",""), ""\s*,\s*"", "",""), "","")))&lt;&gt;"""" ) ) ) ),"""")
"),"")</f>
        <v/>
      </c>
      <c r="D691" s="105"/>
      <c r="E691" s="105"/>
      <c r="F691" s="110" t="b">
        <v>0</v>
      </c>
      <c r="G691" s="105" t="str">
        <f>IF(F691=True, IFERROR(VLOOKUP(D691, Repository!A:B, 2, 0), ""), "")</f>
        <v/>
      </c>
      <c r="H691" s="105"/>
      <c r="I691" s="105"/>
      <c r="J691" s="105" t="str">
        <f>IF(F691=True, IFERROR(VLOOKUP(D691, Repository!A:C, 3, 0), ""), "")</f>
        <v/>
      </c>
      <c r="K691" s="105"/>
      <c r="L691" s="105" t="str">
        <f>IF(F691=True, IFERROR(VLOOKUP(D691, Repository!A:E, 5, 0), ""), "")</f>
        <v/>
      </c>
      <c r="M691" s="105"/>
      <c r="N691" s="105" t="str">
        <f>IF(F691=True, IFERROR(VLOOKUP(D691, Repository!A:G, 7, 0), ""), "")</f>
        <v/>
      </c>
      <c r="O691" s="105" t="str">
        <f>IFERROR(__xludf.DUMMYFUNCTION("ARRAY_CONSTRAIN(
  ARRAYFORMULA(
    IFERROR(
      LET(
        list, N691,
        arr, TRIM(SPLIT(list, "","")),
        names, XLOOKUP(
          arr,
          'Conformance Score'!A:A,
          'Conformance Score'!B:B,
          ""Not found""
      "&amp;"  ),
        TEXTJOIN("", "", TRUE, names)
      ),
      """"
    )
  ),
  1,
  1
)
"),"")</f>
        <v/>
      </c>
      <c r="P691" s="105" t="str">
        <f>IF(F691="Yes", IFERROR(VLOOKUP(D691, Repository!A:F, 6, 0), ""), "")</f>
        <v/>
      </c>
      <c r="Q691" s="105" t="str">
        <f>IF(F691="Yes", IFERROR(VLOOKUP(D691, Repository!A:I, 8, 0), ""), "")</f>
        <v/>
      </c>
      <c r="R691" s="105" t="str">
        <f>IF(F691="Yes", IFERROR(VLOOKUP(D691, Repository!A:J, 9, 0), ""), "")</f>
        <v/>
      </c>
      <c r="S691" s="105"/>
      <c r="T691" s="105"/>
      <c r="U691" s="105"/>
      <c r="V691" s="105"/>
      <c r="W691" s="105"/>
      <c r="X691" s="105"/>
      <c r="Y691" s="105"/>
      <c r="Z691" s="105"/>
      <c r="AA691" s="105"/>
      <c r="AB691" s="105"/>
      <c r="AC691" s="91"/>
      <c r="AD691" s="105"/>
      <c r="AE691" s="105"/>
      <c r="AF691" s="91"/>
      <c r="AG691" s="105"/>
      <c r="AH691" s="105"/>
      <c r="AI691" s="105" t="str">
        <f t="shared" si="1"/>
        <v/>
      </c>
      <c r="AJ691" s="108" t="str">
        <f t="shared" si="2"/>
        <v/>
      </c>
    </row>
    <row r="692" ht="15.75" customHeight="1">
      <c r="A692" s="104"/>
      <c r="B692" s="105" t="str">
        <f>IFERROR(__xludf.DUMMYFUNCTION("ARRAY_CONSTRAIN(
  ARRAYFORMULA(
    IF(
      'Final Report'!A692="""",
      """",
      TEXTJOIN(
        "", "" &amp; CHAR(10),
        TRUE,
        IFERROR(
          VLOOKUP(
            TRIM(
              SPLIT('Final Report'!A692, "","")
           "&amp;" ),
            'URL Details'!A:B,
            2,
            FALSE
          ),
          """"
        )
      )
    )
  ),
  1,
  1
)
"),"")</f>
        <v/>
      </c>
      <c r="C692" s="105" t="str">
        <f>IFERROR(__xludf.DUMMYFUNCTION("IFERROR(IF('Final Report'!A692="""","""", TEXTJOIN(CHAR(10), TRUE, ARRAYFORMULA( ""• ""&amp; FILTER( TRIM(FLATTEN(SPLIT( REGEXREPLACE( SUBSTITUTE(TEXTJOIN("","", TRUE, IFERROR(ARRAYFORMULA(VLOOKUP(TRIM(SPLIT('Final Report'!A692, "","")), 'URL Details'!A:D, 4,"&amp;" FALSE)),"""") ), CHAR(10), "",""), ""\s*,\s*"", "",""), "",""))), TRIM(FLATTEN(SPLIT( REGEXREPLACE( SUBSTITUTE(TEXTJOIN("","", TRUE, IFERROR(ARRAYFORMULA(VLOOKUP(TRIM(SPLIT('Final Report'!A692, "","")), 'URL Details'!A:D, 4, FALSE)),"""") ), CHAR(10), """&amp;",""), ""\s*,\s*"", "",""), "","")))&lt;&gt;"""" ) ) ) ),"""")
"),"")</f>
        <v/>
      </c>
      <c r="D692" s="105"/>
      <c r="E692" s="105"/>
      <c r="F692" s="110" t="b">
        <v>0</v>
      </c>
      <c r="G692" s="105" t="str">
        <f>IF(F692=True, IFERROR(VLOOKUP(D692, Repository!A:B, 2, 0), ""), "")</f>
        <v/>
      </c>
      <c r="H692" s="105"/>
      <c r="I692" s="105"/>
      <c r="J692" s="105" t="str">
        <f>IF(F692=True, IFERROR(VLOOKUP(D692, Repository!A:C, 3, 0), ""), "")</f>
        <v/>
      </c>
      <c r="K692" s="105"/>
      <c r="L692" s="105" t="str">
        <f>IF(F692=True, IFERROR(VLOOKUP(D692, Repository!A:E, 5, 0), ""), "")</f>
        <v/>
      </c>
      <c r="M692" s="105"/>
      <c r="N692" s="105" t="str">
        <f>IF(F692=True, IFERROR(VLOOKUP(D692, Repository!A:G, 7, 0), ""), "")</f>
        <v/>
      </c>
      <c r="O692" s="105" t="str">
        <f>IFERROR(__xludf.DUMMYFUNCTION("ARRAY_CONSTRAIN(
  ARRAYFORMULA(
    IFERROR(
      LET(
        list, N692,
        arr, TRIM(SPLIT(list, "","")),
        names, XLOOKUP(
          arr,
          'Conformance Score'!A:A,
          'Conformance Score'!B:B,
          ""Not found""
      "&amp;"  ),
        TEXTJOIN("", "", TRUE, names)
      ),
      """"
    )
  ),
  1,
  1
)
"),"")</f>
        <v/>
      </c>
      <c r="P692" s="105" t="str">
        <f>IF(F692="Yes", IFERROR(VLOOKUP(D692, Repository!A:F, 6, 0), ""), "")</f>
        <v/>
      </c>
      <c r="Q692" s="105" t="str">
        <f>IF(F692="Yes", IFERROR(VLOOKUP(D692, Repository!A:I, 8, 0), ""), "")</f>
        <v/>
      </c>
      <c r="R692" s="105" t="str">
        <f>IF(F692="Yes", IFERROR(VLOOKUP(D692, Repository!A:J, 9, 0), ""), "")</f>
        <v/>
      </c>
      <c r="S692" s="105"/>
      <c r="T692" s="105"/>
      <c r="U692" s="105"/>
      <c r="V692" s="105"/>
      <c r="W692" s="105"/>
      <c r="X692" s="105"/>
      <c r="Y692" s="105"/>
      <c r="Z692" s="105"/>
      <c r="AA692" s="105"/>
      <c r="AB692" s="105"/>
      <c r="AC692" s="91"/>
      <c r="AD692" s="105"/>
      <c r="AE692" s="105"/>
      <c r="AF692" s="91"/>
      <c r="AG692" s="105"/>
      <c r="AH692" s="105"/>
      <c r="AI692" s="105" t="str">
        <f t="shared" si="1"/>
        <v/>
      </c>
      <c r="AJ692" s="108" t="str">
        <f t="shared" si="2"/>
        <v/>
      </c>
    </row>
    <row r="693" ht="15.75" customHeight="1">
      <c r="A693" s="104"/>
      <c r="B693" s="105" t="str">
        <f>IFERROR(__xludf.DUMMYFUNCTION("ARRAY_CONSTRAIN(
  ARRAYFORMULA(
    IF(
      'Final Report'!A693="""",
      """",
      TEXTJOIN(
        "", "" &amp; CHAR(10),
        TRUE,
        IFERROR(
          VLOOKUP(
            TRIM(
              SPLIT('Final Report'!A693, "","")
           "&amp;" ),
            'URL Details'!A:B,
            2,
            FALSE
          ),
          """"
        )
      )
    )
  ),
  1,
  1
)
"),"")</f>
        <v/>
      </c>
      <c r="C693" s="105" t="str">
        <f>IFERROR(__xludf.DUMMYFUNCTION("IFERROR(IF('Final Report'!A693="""","""", TEXTJOIN(CHAR(10), TRUE, ARRAYFORMULA( ""• ""&amp; FILTER( TRIM(FLATTEN(SPLIT( REGEXREPLACE( SUBSTITUTE(TEXTJOIN("","", TRUE, IFERROR(ARRAYFORMULA(VLOOKUP(TRIM(SPLIT('Final Report'!A693, "","")), 'URL Details'!A:D, 4,"&amp;" FALSE)),"""") ), CHAR(10), "",""), ""\s*,\s*"", "",""), "",""))), TRIM(FLATTEN(SPLIT( REGEXREPLACE( SUBSTITUTE(TEXTJOIN("","", TRUE, IFERROR(ARRAYFORMULA(VLOOKUP(TRIM(SPLIT('Final Report'!A693, "","")), 'URL Details'!A:D, 4, FALSE)),"""") ), CHAR(10), """&amp;",""), ""\s*,\s*"", "",""), "","")))&lt;&gt;"""" ) ) ) ),"""")
"),"")</f>
        <v/>
      </c>
      <c r="D693" s="105"/>
      <c r="E693" s="105"/>
      <c r="F693" s="110" t="b">
        <v>0</v>
      </c>
      <c r="G693" s="105" t="str">
        <f>IF(F693=True, IFERROR(VLOOKUP(D693, Repository!A:B, 2, 0), ""), "")</f>
        <v/>
      </c>
      <c r="H693" s="105"/>
      <c r="I693" s="105"/>
      <c r="J693" s="105" t="str">
        <f>IF(F693=True, IFERROR(VLOOKUP(D693, Repository!A:C, 3, 0), ""), "")</f>
        <v/>
      </c>
      <c r="K693" s="105"/>
      <c r="L693" s="105" t="str">
        <f>IF(F693=True, IFERROR(VLOOKUP(D693, Repository!A:E, 5, 0), ""), "")</f>
        <v/>
      </c>
      <c r="M693" s="105"/>
      <c r="N693" s="105" t="str">
        <f>IF(F693=True, IFERROR(VLOOKUP(D693, Repository!A:G, 7, 0), ""), "")</f>
        <v/>
      </c>
      <c r="O693" s="105" t="str">
        <f>IFERROR(__xludf.DUMMYFUNCTION("ARRAY_CONSTRAIN(
  ARRAYFORMULA(
    IFERROR(
      LET(
        list, N693,
        arr, TRIM(SPLIT(list, "","")),
        names, XLOOKUP(
          arr,
          'Conformance Score'!A:A,
          'Conformance Score'!B:B,
          ""Not found""
      "&amp;"  ),
        TEXTJOIN("", "", TRUE, names)
      ),
      """"
    )
  ),
  1,
  1
)
"),"")</f>
        <v/>
      </c>
      <c r="P693" s="105" t="str">
        <f>IF(F693="Yes", IFERROR(VLOOKUP(D693, Repository!A:F, 6, 0), ""), "")</f>
        <v/>
      </c>
      <c r="Q693" s="105" t="str">
        <f>IF(F693="Yes", IFERROR(VLOOKUP(D693, Repository!A:I, 8, 0), ""), "")</f>
        <v/>
      </c>
      <c r="R693" s="105" t="str">
        <f>IF(F693="Yes", IFERROR(VLOOKUP(D693, Repository!A:J, 9, 0), ""), "")</f>
        <v/>
      </c>
      <c r="S693" s="105"/>
      <c r="T693" s="105"/>
      <c r="U693" s="105"/>
      <c r="V693" s="105"/>
      <c r="W693" s="105"/>
      <c r="X693" s="105"/>
      <c r="Y693" s="105"/>
      <c r="Z693" s="105"/>
      <c r="AA693" s="105"/>
      <c r="AB693" s="105"/>
      <c r="AC693" s="91"/>
      <c r="AD693" s="105"/>
      <c r="AE693" s="105"/>
      <c r="AF693" s="91"/>
      <c r="AG693" s="105"/>
      <c r="AH693" s="105"/>
      <c r="AI693" s="105" t="str">
        <f t="shared" si="1"/>
        <v/>
      </c>
      <c r="AJ693" s="108" t="str">
        <f t="shared" si="2"/>
        <v/>
      </c>
    </row>
    <row r="694" ht="15.75" customHeight="1">
      <c r="A694" s="104"/>
      <c r="B694" s="105" t="str">
        <f>IFERROR(__xludf.DUMMYFUNCTION("ARRAY_CONSTRAIN(
  ARRAYFORMULA(
    IF(
      'Final Report'!A694="""",
      """",
      TEXTJOIN(
        "", "" &amp; CHAR(10),
        TRUE,
        IFERROR(
          VLOOKUP(
            TRIM(
              SPLIT('Final Report'!A694, "","")
           "&amp;" ),
            'URL Details'!A:B,
            2,
            FALSE
          ),
          """"
        )
      )
    )
  ),
  1,
  1
)
"),"")</f>
        <v/>
      </c>
      <c r="C694" s="105" t="str">
        <f>IFERROR(__xludf.DUMMYFUNCTION("IFERROR(IF('Final Report'!A694="""","""", TEXTJOIN(CHAR(10), TRUE, ARRAYFORMULA( ""• ""&amp; FILTER( TRIM(FLATTEN(SPLIT( REGEXREPLACE( SUBSTITUTE(TEXTJOIN("","", TRUE, IFERROR(ARRAYFORMULA(VLOOKUP(TRIM(SPLIT('Final Report'!A694, "","")), 'URL Details'!A:D, 4,"&amp;" FALSE)),"""") ), CHAR(10), "",""), ""\s*,\s*"", "",""), "",""))), TRIM(FLATTEN(SPLIT( REGEXREPLACE( SUBSTITUTE(TEXTJOIN("","", TRUE, IFERROR(ARRAYFORMULA(VLOOKUP(TRIM(SPLIT('Final Report'!A694, "","")), 'URL Details'!A:D, 4, FALSE)),"""") ), CHAR(10), """&amp;",""), ""\s*,\s*"", "",""), "","")))&lt;&gt;"""" ) ) ) ),"""")
"),"")</f>
        <v/>
      </c>
      <c r="D694" s="105"/>
      <c r="E694" s="105"/>
      <c r="F694" s="110" t="b">
        <v>0</v>
      </c>
      <c r="G694" s="105" t="str">
        <f>IF(F694=True, IFERROR(VLOOKUP(D694, Repository!A:B, 2, 0), ""), "")</f>
        <v/>
      </c>
      <c r="H694" s="105"/>
      <c r="I694" s="105"/>
      <c r="J694" s="105" t="str">
        <f>IF(F694=True, IFERROR(VLOOKUP(D694, Repository!A:C, 3, 0), ""), "")</f>
        <v/>
      </c>
      <c r="K694" s="105"/>
      <c r="L694" s="105" t="str">
        <f>IF(F694=True, IFERROR(VLOOKUP(D694, Repository!A:E, 5, 0), ""), "")</f>
        <v/>
      </c>
      <c r="M694" s="105"/>
      <c r="N694" s="105" t="str">
        <f>IF(F694=True, IFERROR(VLOOKUP(D694, Repository!A:G, 7, 0), ""), "")</f>
        <v/>
      </c>
      <c r="O694" s="105" t="str">
        <f>IFERROR(__xludf.DUMMYFUNCTION("ARRAY_CONSTRAIN(
  ARRAYFORMULA(
    IFERROR(
      LET(
        list, N694,
        arr, TRIM(SPLIT(list, "","")),
        names, XLOOKUP(
          arr,
          'Conformance Score'!A:A,
          'Conformance Score'!B:B,
          ""Not found""
      "&amp;"  ),
        TEXTJOIN("", "", TRUE, names)
      ),
      """"
    )
  ),
  1,
  1
)
"),"")</f>
        <v/>
      </c>
      <c r="P694" s="105" t="str">
        <f>IF(F694="Yes", IFERROR(VLOOKUP(D694, Repository!A:F, 6, 0), ""), "")</f>
        <v/>
      </c>
      <c r="Q694" s="105" t="str">
        <f>IF(F694="Yes", IFERROR(VLOOKUP(D694, Repository!A:I, 8, 0), ""), "")</f>
        <v/>
      </c>
      <c r="R694" s="105" t="str">
        <f>IF(F694="Yes", IFERROR(VLOOKUP(D694, Repository!A:J, 9, 0), ""), "")</f>
        <v/>
      </c>
      <c r="S694" s="105"/>
      <c r="T694" s="105"/>
      <c r="U694" s="105"/>
      <c r="V694" s="105"/>
      <c r="W694" s="105"/>
      <c r="X694" s="105"/>
      <c r="Y694" s="105"/>
      <c r="Z694" s="105"/>
      <c r="AA694" s="105"/>
      <c r="AB694" s="105"/>
      <c r="AC694" s="91"/>
      <c r="AD694" s="105"/>
      <c r="AE694" s="105"/>
      <c r="AF694" s="91"/>
      <c r="AG694" s="105"/>
      <c r="AH694" s="105"/>
      <c r="AI694" s="105" t="str">
        <f t="shared" si="1"/>
        <v/>
      </c>
      <c r="AJ694" s="108" t="str">
        <f t="shared" si="2"/>
        <v/>
      </c>
    </row>
    <row r="695" ht="15.75" customHeight="1">
      <c r="A695" s="104"/>
      <c r="B695" s="105" t="str">
        <f>IFERROR(__xludf.DUMMYFUNCTION("ARRAY_CONSTRAIN(
  ARRAYFORMULA(
    IF(
      'Final Report'!A695="""",
      """",
      TEXTJOIN(
        "", "" &amp; CHAR(10),
        TRUE,
        IFERROR(
          VLOOKUP(
            TRIM(
              SPLIT('Final Report'!A695, "","")
           "&amp;" ),
            'URL Details'!A:B,
            2,
            FALSE
          ),
          """"
        )
      )
    )
  ),
  1,
  1
)
"),"")</f>
        <v/>
      </c>
      <c r="C695" s="105" t="str">
        <f>IFERROR(__xludf.DUMMYFUNCTION("IFERROR(IF('Final Report'!A695="""","""", TEXTJOIN(CHAR(10), TRUE, ARRAYFORMULA( ""• ""&amp; FILTER( TRIM(FLATTEN(SPLIT( REGEXREPLACE( SUBSTITUTE(TEXTJOIN("","", TRUE, IFERROR(ARRAYFORMULA(VLOOKUP(TRIM(SPLIT('Final Report'!A695, "","")), 'URL Details'!A:D, 4,"&amp;" FALSE)),"""") ), CHAR(10), "",""), ""\s*,\s*"", "",""), "",""))), TRIM(FLATTEN(SPLIT( REGEXREPLACE( SUBSTITUTE(TEXTJOIN("","", TRUE, IFERROR(ARRAYFORMULA(VLOOKUP(TRIM(SPLIT('Final Report'!A695, "","")), 'URL Details'!A:D, 4, FALSE)),"""") ), CHAR(10), """&amp;",""), ""\s*,\s*"", "",""), "","")))&lt;&gt;"""" ) ) ) ),"""")
"),"")</f>
        <v/>
      </c>
      <c r="D695" s="105"/>
      <c r="E695" s="105"/>
      <c r="F695" s="110" t="b">
        <v>0</v>
      </c>
      <c r="G695" s="105" t="str">
        <f>IF(F695=True, IFERROR(VLOOKUP(D695, Repository!A:B, 2, 0), ""), "")</f>
        <v/>
      </c>
      <c r="H695" s="105"/>
      <c r="I695" s="105"/>
      <c r="J695" s="105" t="str">
        <f>IF(F695=True, IFERROR(VLOOKUP(D695, Repository!A:C, 3, 0), ""), "")</f>
        <v/>
      </c>
      <c r="K695" s="105"/>
      <c r="L695" s="105" t="str">
        <f>IF(F695=True, IFERROR(VLOOKUP(D695, Repository!A:E, 5, 0), ""), "")</f>
        <v/>
      </c>
      <c r="M695" s="105"/>
      <c r="N695" s="105" t="str">
        <f>IF(F695=True, IFERROR(VLOOKUP(D695, Repository!A:G, 7, 0), ""), "")</f>
        <v/>
      </c>
      <c r="O695" s="105" t="str">
        <f>IFERROR(__xludf.DUMMYFUNCTION("ARRAY_CONSTRAIN(
  ARRAYFORMULA(
    IFERROR(
      LET(
        list, N695,
        arr, TRIM(SPLIT(list, "","")),
        names, XLOOKUP(
          arr,
          'Conformance Score'!A:A,
          'Conformance Score'!B:B,
          ""Not found""
      "&amp;"  ),
        TEXTJOIN("", "", TRUE, names)
      ),
      """"
    )
  ),
  1,
  1
)
"),"")</f>
        <v/>
      </c>
      <c r="P695" s="105" t="str">
        <f>IF(F695="Yes", IFERROR(VLOOKUP(D695, Repository!A:F, 6, 0), ""), "")</f>
        <v/>
      </c>
      <c r="Q695" s="105" t="str">
        <f>IF(F695="Yes", IFERROR(VLOOKUP(D695, Repository!A:I, 8, 0), ""), "")</f>
        <v/>
      </c>
      <c r="R695" s="105" t="str">
        <f>IF(F695="Yes", IFERROR(VLOOKUP(D695, Repository!A:J, 9, 0), ""), "")</f>
        <v/>
      </c>
      <c r="S695" s="105"/>
      <c r="T695" s="105"/>
      <c r="U695" s="105"/>
      <c r="V695" s="105"/>
      <c r="W695" s="105"/>
      <c r="X695" s="105"/>
      <c r="Y695" s="105"/>
      <c r="Z695" s="105"/>
      <c r="AA695" s="105"/>
      <c r="AB695" s="105"/>
      <c r="AC695" s="91"/>
      <c r="AD695" s="105"/>
      <c r="AE695" s="105"/>
      <c r="AF695" s="91"/>
      <c r="AG695" s="105"/>
      <c r="AH695" s="105"/>
      <c r="AI695" s="105" t="str">
        <f t="shared" si="1"/>
        <v/>
      </c>
      <c r="AJ695" s="108" t="str">
        <f t="shared" si="2"/>
        <v/>
      </c>
    </row>
    <row r="696" ht="15.75" customHeight="1">
      <c r="A696" s="104"/>
      <c r="B696" s="105" t="str">
        <f>IFERROR(__xludf.DUMMYFUNCTION("ARRAY_CONSTRAIN(
  ARRAYFORMULA(
    IF(
      'Final Report'!A696="""",
      """",
      TEXTJOIN(
        "", "" &amp; CHAR(10),
        TRUE,
        IFERROR(
          VLOOKUP(
            TRIM(
              SPLIT('Final Report'!A696, "","")
           "&amp;" ),
            'URL Details'!A:B,
            2,
            FALSE
          ),
          """"
        )
      )
    )
  ),
  1,
  1
)
"),"")</f>
        <v/>
      </c>
      <c r="C696" s="105" t="str">
        <f>IFERROR(__xludf.DUMMYFUNCTION("IFERROR(IF('Final Report'!A696="""","""", TEXTJOIN(CHAR(10), TRUE, ARRAYFORMULA( ""• ""&amp; FILTER( TRIM(FLATTEN(SPLIT( REGEXREPLACE( SUBSTITUTE(TEXTJOIN("","", TRUE, IFERROR(ARRAYFORMULA(VLOOKUP(TRIM(SPLIT('Final Report'!A696, "","")), 'URL Details'!A:D, 4,"&amp;" FALSE)),"""") ), CHAR(10), "",""), ""\s*,\s*"", "",""), "",""))), TRIM(FLATTEN(SPLIT( REGEXREPLACE( SUBSTITUTE(TEXTJOIN("","", TRUE, IFERROR(ARRAYFORMULA(VLOOKUP(TRIM(SPLIT('Final Report'!A696, "","")), 'URL Details'!A:D, 4, FALSE)),"""") ), CHAR(10), """&amp;",""), ""\s*,\s*"", "",""), "","")))&lt;&gt;"""" ) ) ) ),"""")
"),"")</f>
        <v/>
      </c>
      <c r="D696" s="105"/>
      <c r="E696" s="105"/>
      <c r="F696" s="110" t="b">
        <v>0</v>
      </c>
      <c r="G696" s="105" t="str">
        <f>IF(F696=True, IFERROR(VLOOKUP(D696, Repository!A:B, 2, 0), ""), "")</f>
        <v/>
      </c>
      <c r="H696" s="105"/>
      <c r="I696" s="105"/>
      <c r="J696" s="105" t="str">
        <f>IF(F696=True, IFERROR(VLOOKUP(D696, Repository!A:C, 3, 0), ""), "")</f>
        <v/>
      </c>
      <c r="K696" s="105"/>
      <c r="L696" s="105" t="str">
        <f>IF(F696=True, IFERROR(VLOOKUP(D696, Repository!A:E, 5, 0), ""), "")</f>
        <v/>
      </c>
      <c r="M696" s="105"/>
      <c r="N696" s="105" t="str">
        <f>IF(F696=True, IFERROR(VLOOKUP(D696, Repository!A:G, 7, 0), ""), "")</f>
        <v/>
      </c>
      <c r="O696" s="105" t="str">
        <f>IFERROR(__xludf.DUMMYFUNCTION("ARRAY_CONSTRAIN(
  ARRAYFORMULA(
    IFERROR(
      LET(
        list, N696,
        arr, TRIM(SPLIT(list, "","")),
        names, XLOOKUP(
          arr,
          'Conformance Score'!A:A,
          'Conformance Score'!B:B,
          ""Not found""
      "&amp;"  ),
        TEXTJOIN("", "", TRUE, names)
      ),
      """"
    )
  ),
  1,
  1
)
"),"")</f>
        <v/>
      </c>
      <c r="P696" s="105" t="str">
        <f>IF(F696="Yes", IFERROR(VLOOKUP(D696, Repository!A:F, 6, 0), ""), "")</f>
        <v/>
      </c>
      <c r="Q696" s="105" t="str">
        <f>IF(F696="Yes", IFERROR(VLOOKUP(D696, Repository!A:I, 8, 0), ""), "")</f>
        <v/>
      </c>
      <c r="R696" s="105" t="str">
        <f>IF(F696="Yes", IFERROR(VLOOKUP(D696, Repository!A:J, 9, 0), ""), "")</f>
        <v/>
      </c>
      <c r="S696" s="105"/>
      <c r="T696" s="105"/>
      <c r="U696" s="105"/>
      <c r="V696" s="105"/>
      <c r="W696" s="105"/>
      <c r="X696" s="105"/>
      <c r="Y696" s="105"/>
      <c r="Z696" s="105"/>
      <c r="AA696" s="105"/>
      <c r="AB696" s="105"/>
      <c r="AC696" s="91"/>
      <c r="AD696" s="105"/>
      <c r="AE696" s="105"/>
      <c r="AF696" s="91"/>
      <c r="AG696" s="105"/>
      <c r="AH696" s="105"/>
      <c r="AI696" s="105" t="str">
        <f t="shared" si="1"/>
        <v/>
      </c>
      <c r="AJ696" s="108" t="str">
        <f t="shared" si="2"/>
        <v/>
      </c>
    </row>
    <row r="697" ht="15.75" customHeight="1">
      <c r="A697" s="104"/>
      <c r="B697" s="105" t="str">
        <f>IFERROR(__xludf.DUMMYFUNCTION("ARRAY_CONSTRAIN(
  ARRAYFORMULA(
    IF(
      'Final Report'!A697="""",
      """",
      TEXTJOIN(
        "", "" &amp; CHAR(10),
        TRUE,
        IFERROR(
          VLOOKUP(
            TRIM(
              SPLIT('Final Report'!A697, "","")
           "&amp;" ),
            'URL Details'!A:B,
            2,
            FALSE
          ),
          """"
        )
      )
    )
  ),
  1,
  1
)
"),"")</f>
        <v/>
      </c>
      <c r="C697" s="105" t="str">
        <f>IFERROR(__xludf.DUMMYFUNCTION("IFERROR(IF('Final Report'!A697="""","""", TEXTJOIN(CHAR(10), TRUE, ARRAYFORMULA( ""• ""&amp; FILTER( TRIM(FLATTEN(SPLIT( REGEXREPLACE( SUBSTITUTE(TEXTJOIN("","", TRUE, IFERROR(ARRAYFORMULA(VLOOKUP(TRIM(SPLIT('Final Report'!A697, "","")), 'URL Details'!A:D, 4,"&amp;" FALSE)),"""") ), CHAR(10), "",""), ""\s*,\s*"", "",""), "",""))), TRIM(FLATTEN(SPLIT( REGEXREPLACE( SUBSTITUTE(TEXTJOIN("","", TRUE, IFERROR(ARRAYFORMULA(VLOOKUP(TRIM(SPLIT('Final Report'!A697, "","")), 'URL Details'!A:D, 4, FALSE)),"""") ), CHAR(10), """&amp;",""), ""\s*,\s*"", "",""), "","")))&lt;&gt;"""" ) ) ) ),"""")
"),"")</f>
        <v/>
      </c>
      <c r="D697" s="105"/>
      <c r="E697" s="105"/>
      <c r="F697" s="110" t="b">
        <v>0</v>
      </c>
      <c r="G697" s="105" t="str">
        <f>IF(F697=True, IFERROR(VLOOKUP(D697, Repository!A:B, 2, 0), ""), "")</f>
        <v/>
      </c>
      <c r="H697" s="105"/>
      <c r="I697" s="105"/>
      <c r="J697" s="105" t="str">
        <f>IF(F697=True, IFERROR(VLOOKUP(D697, Repository!A:C, 3, 0), ""), "")</f>
        <v/>
      </c>
      <c r="K697" s="105"/>
      <c r="L697" s="105" t="str">
        <f>IF(F697=True, IFERROR(VLOOKUP(D697, Repository!A:E, 5, 0), ""), "")</f>
        <v/>
      </c>
      <c r="M697" s="105"/>
      <c r="N697" s="105" t="str">
        <f>IF(F697=True, IFERROR(VLOOKUP(D697, Repository!A:G, 7, 0), ""), "")</f>
        <v/>
      </c>
      <c r="O697" s="105" t="str">
        <f>IFERROR(__xludf.DUMMYFUNCTION("ARRAY_CONSTRAIN(
  ARRAYFORMULA(
    IFERROR(
      LET(
        list, N697,
        arr, TRIM(SPLIT(list, "","")),
        names, XLOOKUP(
          arr,
          'Conformance Score'!A:A,
          'Conformance Score'!B:B,
          ""Not found""
      "&amp;"  ),
        TEXTJOIN("", "", TRUE, names)
      ),
      """"
    )
  ),
  1,
  1
)
"),"")</f>
        <v/>
      </c>
      <c r="P697" s="105" t="str">
        <f>IF(F697="Yes", IFERROR(VLOOKUP(D697, Repository!A:F, 6, 0), ""), "")</f>
        <v/>
      </c>
      <c r="Q697" s="105" t="str">
        <f>IF(F697="Yes", IFERROR(VLOOKUP(D697, Repository!A:I, 8, 0), ""), "")</f>
        <v/>
      </c>
      <c r="R697" s="105" t="str">
        <f>IF(F697="Yes", IFERROR(VLOOKUP(D697, Repository!A:J, 9, 0), ""), "")</f>
        <v/>
      </c>
      <c r="S697" s="105"/>
      <c r="T697" s="105"/>
      <c r="U697" s="105"/>
      <c r="V697" s="105"/>
      <c r="W697" s="105"/>
      <c r="X697" s="105"/>
      <c r="Y697" s="105"/>
      <c r="Z697" s="105"/>
      <c r="AA697" s="105"/>
      <c r="AB697" s="105"/>
      <c r="AC697" s="91"/>
      <c r="AD697" s="105"/>
      <c r="AE697" s="105"/>
      <c r="AF697" s="91"/>
      <c r="AG697" s="105"/>
      <c r="AH697" s="105"/>
      <c r="AI697" s="105" t="str">
        <f t="shared" si="1"/>
        <v/>
      </c>
      <c r="AJ697" s="108" t="str">
        <f t="shared" si="2"/>
        <v/>
      </c>
    </row>
    <row r="698" ht="15.75" customHeight="1">
      <c r="A698" s="104"/>
      <c r="B698" s="105" t="str">
        <f>IFERROR(__xludf.DUMMYFUNCTION("ARRAY_CONSTRAIN(
  ARRAYFORMULA(
    IF(
      'Final Report'!A698="""",
      """",
      TEXTJOIN(
        "", "" &amp; CHAR(10),
        TRUE,
        IFERROR(
          VLOOKUP(
            TRIM(
              SPLIT('Final Report'!A698, "","")
           "&amp;" ),
            'URL Details'!A:B,
            2,
            FALSE
          ),
          """"
        )
      )
    )
  ),
  1,
  1
)
"),"")</f>
        <v/>
      </c>
      <c r="C698" s="105" t="str">
        <f>IFERROR(__xludf.DUMMYFUNCTION("IFERROR(IF('Final Report'!A698="""","""", TEXTJOIN(CHAR(10), TRUE, ARRAYFORMULA( ""• ""&amp; FILTER( TRIM(FLATTEN(SPLIT( REGEXREPLACE( SUBSTITUTE(TEXTJOIN("","", TRUE, IFERROR(ARRAYFORMULA(VLOOKUP(TRIM(SPLIT('Final Report'!A698, "","")), 'URL Details'!A:D, 4,"&amp;" FALSE)),"""") ), CHAR(10), "",""), ""\s*,\s*"", "",""), "",""))), TRIM(FLATTEN(SPLIT( REGEXREPLACE( SUBSTITUTE(TEXTJOIN("","", TRUE, IFERROR(ARRAYFORMULA(VLOOKUP(TRIM(SPLIT('Final Report'!A698, "","")), 'URL Details'!A:D, 4, FALSE)),"""") ), CHAR(10), """&amp;",""), ""\s*,\s*"", "",""), "","")))&lt;&gt;"""" ) ) ) ),"""")
"),"")</f>
        <v/>
      </c>
      <c r="D698" s="105"/>
      <c r="E698" s="105"/>
      <c r="F698" s="110" t="b">
        <v>0</v>
      </c>
      <c r="G698" s="105" t="str">
        <f>IF(F698=True, IFERROR(VLOOKUP(D698, Repository!A:B, 2, 0), ""), "")</f>
        <v/>
      </c>
      <c r="H698" s="105"/>
      <c r="I698" s="105"/>
      <c r="J698" s="105" t="str">
        <f>IF(F698=True, IFERROR(VLOOKUP(D698, Repository!A:C, 3, 0), ""), "")</f>
        <v/>
      </c>
      <c r="K698" s="105"/>
      <c r="L698" s="105" t="str">
        <f>IF(F698=True, IFERROR(VLOOKUP(D698, Repository!A:E, 5, 0), ""), "")</f>
        <v/>
      </c>
      <c r="M698" s="105"/>
      <c r="N698" s="105" t="str">
        <f>IF(F698=True, IFERROR(VLOOKUP(D698, Repository!A:G, 7, 0), ""), "")</f>
        <v/>
      </c>
      <c r="O698" s="105" t="str">
        <f>IFERROR(__xludf.DUMMYFUNCTION("ARRAY_CONSTRAIN(
  ARRAYFORMULA(
    IFERROR(
      LET(
        list, N698,
        arr, TRIM(SPLIT(list, "","")),
        names, XLOOKUP(
          arr,
          'Conformance Score'!A:A,
          'Conformance Score'!B:B,
          ""Not found""
      "&amp;"  ),
        TEXTJOIN("", "", TRUE, names)
      ),
      """"
    )
  ),
  1,
  1
)
"),"")</f>
        <v/>
      </c>
      <c r="P698" s="105" t="str">
        <f>IF(F698="Yes", IFERROR(VLOOKUP(D698, Repository!A:F, 6, 0), ""), "")</f>
        <v/>
      </c>
      <c r="Q698" s="105" t="str">
        <f>IF(F698="Yes", IFERROR(VLOOKUP(D698, Repository!A:I, 8, 0), ""), "")</f>
        <v/>
      </c>
      <c r="R698" s="105" t="str">
        <f>IF(F698="Yes", IFERROR(VLOOKUP(D698, Repository!A:J, 9, 0), ""), "")</f>
        <v/>
      </c>
      <c r="S698" s="105"/>
      <c r="T698" s="105"/>
      <c r="U698" s="105"/>
      <c r="V698" s="105"/>
      <c r="W698" s="105"/>
      <c r="X698" s="105"/>
      <c r="Y698" s="105"/>
      <c r="Z698" s="105"/>
      <c r="AA698" s="105"/>
      <c r="AB698" s="105"/>
      <c r="AC698" s="91"/>
      <c r="AD698" s="105"/>
      <c r="AE698" s="105"/>
      <c r="AF698" s="91"/>
      <c r="AG698" s="105"/>
      <c r="AH698" s="105"/>
      <c r="AI698" s="105" t="str">
        <f t="shared" si="1"/>
        <v/>
      </c>
      <c r="AJ698" s="108" t="str">
        <f t="shared" si="2"/>
        <v/>
      </c>
    </row>
    <row r="699" ht="15.75" customHeight="1">
      <c r="A699" s="104"/>
      <c r="B699" s="105" t="str">
        <f>IFERROR(__xludf.DUMMYFUNCTION("ARRAY_CONSTRAIN(
  ARRAYFORMULA(
    IF(
      'Final Report'!A699="""",
      """",
      TEXTJOIN(
        "", "" &amp; CHAR(10),
        TRUE,
        IFERROR(
          VLOOKUP(
            TRIM(
              SPLIT('Final Report'!A699, "","")
           "&amp;" ),
            'URL Details'!A:B,
            2,
            FALSE
          ),
          """"
        )
      )
    )
  ),
  1,
  1
)
"),"")</f>
        <v/>
      </c>
      <c r="C699" s="105" t="str">
        <f>IFERROR(__xludf.DUMMYFUNCTION("IFERROR(IF('Final Report'!A699="""","""", TEXTJOIN(CHAR(10), TRUE, ARRAYFORMULA( ""• ""&amp; FILTER( TRIM(FLATTEN(SPLIT( REGEXREPLACE( SUBSTITUTE(TEXTJOIN("","", TRUE, IFERROR(ARRAYFORMULA(VLOOKUP(TRIM(SPLIT('Final Report'!A699, "","")), 'URL Details'!A:D, 4,"&amp;" FALSE)),"""") ), CHAR(10), "",""), ""\s*,\s*"", "",""), "",""))), TRIM(FLATTEN(SPLIT( REGEXREPLACE( SUBSTITUTE(TEXTJOIN("","", TRUE, IFERROR(ARRAYFORMULA(VLOOKUP(TRIM(SPLIT('Final Report'!A699, "","")), 'URL Details'!A:D, 4, FALSE)),"""") ), CHAR(10), """&amp;",""), ""\s*,\s*"", "",""), "","")))&lt;&gt;"""" ) ) ) ),"""")
"),"")</f>
        <v/>
      </c>
      <c r="D699" s="105"/>
      <c r="E699" s="105"/>
      <c r="F699" s="110" t="b">
        <v>0</v>
      </c>
      <c r="G699" s="105" t="str">
        <f>IF(F699=True, IFERROR(VLOOKUP(D699, Repository!A:B, 2, 0), ""), "")</f>
        <v/>
      </c>
      <c r="H699" s="105"/>
      <c r="I699" s="105"/>
      <c r="J699" s="105" t="str">
        <f>IF(F699=True, IFERROR(VLOOKUP(D699, Repository!A:C, 3, 0), ""), "")</f>
        <v/>
      </c>
      <c r="K699" s="105"/>
      <c r="L699" s="105" t="str">
        <f>IF(F699=True, IFERROR(VLOOKUP(D699, Repository!A:E, 5, 0), ""), "")</f>
        <v/>
      </c>
      <c r="M699" s="105"/>
      <c r="N699" s="105" t="str">
        <f>IF(F699=True, IFERROR(VLOOKUP(D699, Repository!A:G, 7, 0), ""), "")</f>
        <v/>
      </c>
      <c r="O699" s="105" t="str">
        <f>IFERROR(__xludf.DUMMYFUNCTION("ARRAY_CONSTRAIN(
  ARRAYFORMULA(
    IFERROR(
      LET(
        list, N699,
        arr, TRIM(SPLIT(list, "","")),
        names, XLOOKUP(
          arr,
          'Conformance Score'!A:A,
          'Conformance Score'!B:B,
          ""Not found""
      "&amp;"  ),
        TEXTJOIN("", "", TRUE, names)
      ),
      """"
    )
  ),
  1,
  1
)
"),"")</f>
        <v/>
      </c>
      <c r="P699" s="105" t="str">
        <f>IF(F699="Yes", IFERROR(VLOOKUP(D699, Repository!A:F, 6, 0), ""), "")</f>
        <v/>
      </c>
      <c r="Q699" s="105" t="str">
        <f>IF(F699="Yes", IFERROR(VLOOKUP(D699, Repository!A:I, 8, 0), ""), "")</f>
        <v/>
      </c>
      <c r="R699" s="105" t="str">
        <f>IF(F699="Yes", IFERROR(VLOOKUP(D699, Repository!A:J, 9, 0), ""), "")</f>
        <v/>
      </c>
      <c r="S699" s="105"/>
      <c r="T699" s="105"/>
      <c r="U699" s="105"/>
      <c r="V699" s="105"/>
      <c r="W699" s="105"/>
      <c r="X699" s="105"/>
      <c r="Y699" s="105"/>
      <c r="Z699" s="105"/>
      <c r="AA699" s="105"/>
      <c r="AB699" s="105"/>
      <c r="AC699" s="91"/>
      <c r="AD699" s="105"/>
      <c r="AE699" s="105"/>
      <c r="AF699" s="91"/>
      <c r="AG699" s="105"/>
      <c r="AH699" s="105"/>
      <c r="AI699" s="105" t="str">
        <f t="shared" si="1"/>
        <v/>
      </c>
      <c r="AJ699" s="108" t="str">
        <f t="shared" si="2"/>
        <v/>
      </c>
    </row>
    <row r="700" ht="15.75" customHeight="1">
      <c r="A700" s="104"/>
      <c r="B700" s="105" t="str">
        <f>IFERROR(__xludf.DUMMYFUNCTION("ARRAY_CONSTRAIN(
  ARRAYFORMULA(
    IF(
      'Final Report'!A700="""",
      """",
      TEXTJOIN(
        "", "" &amp; CHAR(10),
        TRUE,
        IFERROR(
          VLOOKUP(
            TRIM(
              SPLIT('Final Report'!A700, "","")
           "&amp;" ),
            'URL Details'!A:B,
            2,
            FALSE
          ),
          """"
        )
      )
    )
  ),
  1,
  1
)
"),"")</f>
        <v/>
      </c>
      <c r="C700" s="105" t="str">
        <f>IFERROR(__xludf.DUMMYFUNCTION("IFERROR(IF('Final Report'!A700="""","""", TEXTJOIN(CHAR(10), TRUE, ARRAYFORMULA( ""• ""&amp; FILTER( TRIM(FLATTEN(SPLIT( REGEXREPLACE( SUBSTITUTE(TEXTJOIN("","", TRUE, IFERROR(ARRAYFORMULA(VLOOKUP(TRIM(SPLIT('Final Report'!A700, "","")), 'URL Details'!A:D, 4,"&amp;" FALSE)),"""") ), CHAR(10), "",""), ""\s*,\s*"", "",""), "",""))), TRIM(FLATTEN(SPLIT( REGEXREPLACE( SUBSTITUTE(TEXTJOIN("","", TRUE, IFERROR(ARRAYFORMULA(VLOOKUP(TRIM(SPLIT('Final Report'!A700, "","")), 'URL Details'!A:D, 4, FALSE)),"""") ), CHAR(10), """&amp;",""), ""\s*,\s*"", "",""), "","")))&lt;&gt;"""" ) ) ) ),"""")
"),"")</f>
        <v/>
      </c>
      <c r="D700" s="105"/>
      <c r="E700" s="105"/>
      <c r="F700" s="110" t="b">
        <v>0</v>
      </c>
      <c r="G700" s="105" t="str">
        <f>IF(F700=True, IFERROR(VLOOKUP(D700, Repository!A:B, 2, 0), ""), "")</f>
        <v/>
      </c>
      <c r="H700" s="105"/>
      <c r="I700" s="105"/>
      <c r="J700" s="105" t="str">
        <f>IF(F700=True, IFERROR(VLOOKUP(D700, Repository!A:C, 3, 0), ""), "")</f>
        <v/>
      </c>
      <c r="K700" s="105"/>
      <c r="L700" s="105" t="str">
        <f>IF(F700=True, IFERROR(VLOOKUP(D700, Repository!A:E, 5, 0), ""), "")</f>
        <v/>
      </c>
      <c r="M700" s="105"/>
      <c r="N700" s="105" t="str">
        <f>IF(F700=True, IFERROR(VLOOKUP(D700, Repository!A:G, 7, 0), ""), "")</f>
        <v/>
      </c>
      <c r="O700" s="105" t="str">
        <f>IFERROR(__xludf.DUMMYFUNCTION("ARRAY_CONSTRAIN(
  ARRAYFORMULA(
    IFERROR(
      LET(
        list, N700,
        arr, TRIM(SPLIT(list, "","")),
        names, XLOOKUP(
          arr,
          'Conformance Score'!A:A,
          'Conformance Score'!B:B,
          ""Not found""
      "&amp;"  ),
        TEXTJOIN("", "", TRUE, names)
      ),
      """"
    )
  ),
  1,
  1
)
"),"")</f>
        <v/>
      </c>
      <c r="P700" s="105" t="str">
        <f>IF(F700="Yes", IFERROR(VLOOKUP(D700, Repository!A:F, 6, 0), ""), "")</f>
        <v/>
      </c>
      <c r="Q700" s="105" t="str">
        <f>IF(F700="Yes", IFERROR(VLOOKUP(D700, Repository!A:I, 8, 0), ""), "")</f>
        <v/>
      </c>
      <c r="R700" s="105" t="str">
        <f>IF(F700="Yes", IFERROR(VLOOKUP(D700, Repository!A:J, 9, 0), ""), "")</f>
        <v/>
      </c>
      <c r="S700" s="105"/>
      <c r="T700" s="105"/>
      <c r="U700" s="105"/>
      <c r="V700" s="105"/>
      <c r="W700" s="105"/>
      <c r="X700" s="105"/>
      <c r="Y700" s="105"/>
      <c r="Z700" s="105"/>
      <c r="AA700" s="105"/>
      <c r="AB700" s="105"/>
      <c r="AC700" s="91"/>
      <c r="AD700" s="105"/>
      <c r="AE700" s="105"/>
      <c r="AF700" s="91"/>
      <c r="AG700" s="105"/>
      <c r="AH700" s="105"/>
      <c r="AI700" s="105" t="str">
        <f t="shared" si="1"/>
        <v/>
      </c>
      <c r="AJ700" s="108" t="str">
        <f t="shared" si="2"/>
        <v/>
      </c>
    </row>
    <row r="701" ht="15.75" customHeight="1">
      <c r="A701" s="104"/>
      <c r="B701" s="105" t="str">
        <f>IFERROR(__xludf.DUMMYFUNCTION("ARRAY_CONSTRAIN(
  ARRAYFORMULA(
    IF(
      'Final Report'!A701="""",
      """",
      TEXTJOIN(
        "", "" &amp; CHAR(10),
        TRUE,
        IFERROR(
          VLOOKUP(
            TRIM(
              SPLIT('Final Report'!A701, "","")
           "&amp;" ),
            'URL Details'!A:B,
            2,
            FALSE
          ),
          """"
        )
      )
    )
  ),
  1,
  1
)
"),"")</f>
        <v/>
      </c>
      <c r="C701" s="105" t="str">
        <f>IFERROR(__xludf.DUMMYFUNCTION("IFERROR(IF('Final Report'!A701="""","""", TEXTJOIN(CHAR(10), TRUE, ARRAYFORMULA( ""• ""&amp; FILTER( TRIM(FLATTEN(SPLIT( REGEXREPLACE( SUBSTITUTE(TEXTJOIN("","", TRUE, IFERROR(ARRAYFORMULA(VLOOKUP(TRIM(SPLIT('Final Report'!A701, "","")), 'URL Details'!A:D, 4,"&amp;" FALSE)),"""") ), CHAR(10), "",""), ""\s*,\s*"", "",""), "",""))), TRIM(FLATTEN(SPLIT( REGEXREPLACE( SUBSTITUTE(TEXTJOIN("","", TRUE, IFERROR(ARRAYFORMULA(VLOOKUP(TRIM(SPLIT('Final Report'!A701, "","")), 'URL Details'!A:D, 4, FALSE)),"""") ), CHAR(10), """&amp;",""), ""\s*,\s*"", "",""), "","")))&lt;&gt;"""" ) ) ) ),"""")
"),"")</f>
        <v/>
      </c>
      <c r="D701" s="105"/>
      <c r="E701" s="105"/>
      <c r="F701" s="110" t="b">
        <v>0</v>
      </c>
      <c r="G701" s="105" t="str">
        <f>IF(F701=True, IFERROR(VLOOKUP(D701, Repository!A:B, 2, 0), ""), "")</f>
        <v/>
      </c>
      <c r="H701" s="105"/>
      <c r="I701" s="105"/>
      <c r="J701" s="105" t="str">
        <f>IF(F701=True, IFERROR(VLOOKUP(D701, Repository!A:C, 3, 0), ""), "")</f>
        <v/>
      </c>
      <c r="K701" s="105"/>
      <c r="L701" s="105" t="str">
        <f>IF(F701=True, IFERROR(VLOOKUP(D701, Repository!A:E, 5, 0), ""), "")</f>
        <v/>
      </c>
      <c r="M701" s="105"/>
      <c r="N701" s="105" t="str">
        <f>IF(F701=True, IFERROR(VLOOKUP(D701, Repository!A:G, 7, 0), ""), "")</f>
        <v/>
      </c>
      <c r="O701" s="105" t="str">
        <f>IFERROR(__xludf.DUMMYFUNCTION("ARRAY_CONSTRAIN(
  ARRAYFORMULA(
    IFERROR(
      LET(
        list, N701,
        arr, TRIM(SPLIT(list, "","")),
        names, XLOOKUP(
          arr,
          'Conformance Score'!A:A,
          'Conformance Score'!B:B,
          ""Not found""
      "&amp;"  ),
        TEXTJOIN("", "", TRUE, names)
      ),
      """"
    )
  ),
  1,
  1
)
"),"")</f>
        <v/>
      </c>
      <c r="P701" s="105" t="str">
        <f>IF(F701="Yes", IFERROR(VLOOKUP(D701, Repository!A:F, 6, 0), ""), "")</f>
        <v/>
      </c>
      <c r="Q701" s="105" t="str">
        <f>IF(F701="Yes", IFERROR(VLOOKUP(D701, Repository!A:I, 8, 0), ""), "")</f>
        <v/>
      </c>
      <c r="R701" s="105" t="str">
        <f>IF(F701="Yes", IFERROR(VLOOKUP(D701, Repository!A:J, 9, 0), ""), "")</f>
        <v/>
      </c>
      <c r="S701" s="105"/>
      <c r="T701" s="105"/>
      <c r="U701" s="105"/>
      <c r="V701" s="105"/>
      <c r="W701" s="105"/>
      <c r="X701" s="105"/>
      <c r="Y701" s="105"/>
      <c r="Z701" s="105"/>
      <c r="AA701" s="105"/>
      <c r="AB701" s="105"/>
      <c r="AC701" s="91"/>
      <c r="AD701" s="105"/>
      <c r="AE701" s="105"/>
      <c r="AF701" s="91"/>
      <c r="AG701" s="105"/>
      <c r="AH701" s="105"/>
      <c r="AI701" s="105" t="str">
        <f t="shared" si="1"/>
        <v/>
      </c>
      <c r="AJ701" s="108" t="str">
        <f t="shared" si="2"/>
        <v/>
      </c>
    </row>
    <row r="702" ht="15.75" customHeight="1">
      <c r="A702" s="104"/>
      <c r="B702" s="105" t="str">
        <f>IFERROR(__xludf.DUMMYFUNCTION("ARRAY_CONSTRAIN(
  ARRAYFORMULA(
    IF(
      'Final Report'!A702="""",
      """",
      TEXTJOIN(
        "", "" &amp; CHAR(10),
        TRUE,
        IFERROR(
          VLOOKUP(
            TRIM(
              SPLIT('Final Report'!A702, "","")
           "&amp;" ),
            'URL Details'!A:B,
            2,
            FALSE
          ),
          """"
        )
      )
    )
  ),
  1,
  1
)
"),"")</f>
        <v/>
      </c>
      <c r="C702" s="105" t="str">
        <f>IFERROR(__xludf.DUMMYFUNCTION("IFERROR(IF('Final Report'!A702="""","""", TEXTJOIN(CHAR(10), TRUE, ARRAYFORMULA( ""• ""&amp; FILTER( TRIM(FLATTEN(SPLIT( REGEXREPLACE( SUBSTITUTE(TEXTJOIN("","", TRUE, IFERROR(ARRAYFORMULA(VLOOKUP(TRIM(SPLIT('Final Report'!A702, "","")), 'URL Details'!A:D, 4,"&amp;" FALSE)),"""") ), CHAR(10), "",""), ""\s*,\s*"", "",""), "",""))), TRIM(FLATTEN(SPLIT( REGEXREPLACE( SUBSTITUTE(TEXTJOIN("","", TRUE, IFERROR(ARRAYFORMULA(VLOOKUP(TRIM(SPLIT('Final Report'!A702, "","")), 'URL Details'!A:D, 4, FALSE)),"""") ), CHAR(10), """&amp;",""), ""\s*,\s*"", "",""), "","")))&lt;&gt;"""" ) ) ) ),"""")
"),"")</f>
        <v/>
      </c>
      <c r="D702" s="105"/>
      <c r="E702" s="105"/>
      <c r="F702" s="110" t="b">
        <v>0</v>
      </c>
      <c r="G702" s="105" t="str">
        <f>IF(F702=True, IFERROR(VLOOKUP(D702, Repository!A:B, 2, 0), ""), "")</f>
        <v/>
      </c>
      <c r="H702" s="105"/>
      <c r="I702" s="105"/>
      <c r="J702" s="105" t="str">
        <f>IF(F702=True, IFERROR(VLOOKUP(D702, Repository!A:C, 3, 0), ""), "")</f>
        <v/>
      </c>
      <c r="K702" s="105"/>
      <c r="L702" s="105" t="str">
        <f>IF(F702=True, IFERROR(VLOOKUP(D702, Repository!A:E, 5, 0), ""), "")</f>
        <v/>
      </c>
      <c r="M702" s="105"/>
      <c r="N702" s="105" t="str">
        <f>IF(F702=True, IFERROR(VLOOKUP(D702, Repository!A:G, 7, 0), ""), "")</f>
        <v/>
      </c>
      <c r="O702" s="105" t="str">
        <f>IFERROR(__xludf.DUMMYFUNCTION("ARRAY_CONSTRAIN(
  ARRAYFORMULA(
    IFERROR(
      LET(
        list, N702,
        arr, TRIM(SPLIT(list, "","")),
        names, XLOOKUP(
          arr,
          'Conformance Score'!A:A,
          'Conformance Score'!B:B,
          ""Not found""
      "&amp;"  ),
        TEXTJOIN("", "", TRUE, names)
      ),
      """"
    )
  ),
  1,
  1
)
"),"")</f>
        <v/>
      </c>
      <c r="P702" s="105" t="str">
        <f>IF(F702="Yes", IFERROR(VLOOKUP(D702, Repository!A:F, 6, 0), ""), "")</f>
        <v/>
      </c>
      <c r="Q702" s="105" t="str">
        <f>IF(F702="Yes", IFERROR(VLOOKUP(D702, Repository!A:I, 8, 0), ""), "")</f>
        <v/>
      </c>
      <c r="R702" s="105" t="str">
        <f>IF(F702="Yes", IFERROR(VLOOKUP(D702, Repository!A:J, 9, 0), ""), "")</f>
        <v/>
      </c>
      <c r="S702" s="105"/>
      <c r="T702" s="105"/>
      <c r="U702" s="105"/>
      <c r="V702" s="105"/>
      <c r="W702" s="105"/>
      <c r="X702" s="105"/>
      <c r="Y702" s="105"/>
      <c r="Z702" s="105"/>
      <c r="AA702" s="105"/>
      <c r="AB702" s="105"/>
      <c r="AC702" s="91"/>
      <c r="AD702" s="105"/>
      <c r="AE702" s="105"/>
      <c r="AF702" s="91"/>
      <c r="AG702" s="105"/>
      <c r="AH702" s="105"/>
      <c r="AI702" s="105" t="str">
        <f t="shared" si="1"/>
        <v/>
      </c>
      <c r="AJ702" s="108" t="str">
        <f t="shared" si="2"/>
        <v/>
      </c>
    </row>
    <row r="703" ht="15.75" customHeight="1">
      <c r="A703" s="104"/>
      <c r="B703" s="105" t="str">
        <f>IFERROR(__xludf.DUMMYFUNCTION("ARRAY_CONSTRAIN(
  ARRAYFORMULA(
    IF(
      'Final Report'!A703="""",
      """",
      TEXTJOIN(
        "", "" &amp; CHAR(10),
        TRUE,
        IFERROR(
          VLOOKUP(
            TRIM(
              SPLIT('Final Report'!A703, "","")
           "&amp;" ),
            'URL Details'!A:B,
            2,
            FALSE
          ),
          """"
        )
      )
    )
  ),
  1,
  1
)
"),"")</f>
        <v/>
      </c>
      <c r="C703" s="105" t="str">
        <f>IFERROR(__xludf.DUMMYFUNCTION("IFERROR(IF('Final Report'!A703="""","""", TEXTJOIN(CHAR(10), TRUE, ARRAYFORMULA( ""• ""&amp; FILTER( TRIM(FLATTEN(SPLIT( REGEXREPLACE( SUBSTITUTE(TEXTJOIN("","", TRUE, IFERROR(ARRAYFORMULA(VLOOKUP(TRIM(SPLIT('Final Report'!A703, "","")), 'URL Details'!A:D, 4,"&amp;" FALSE)),"""") ), CHAR(10), "",""), ""\s*,\s*"", "",""), "",""))), TRIM(FLATTEN(SPLIT( REGEXREPLACE( SUBSTITUTE(TEXTJOIN("","", TRUE, IFERROR(ARRAYFORMULA(VLOOKUP(TRIM(SPLIT('Final Report'!A703, "","")), 'URL Details'!A:D, 4, FALSE)),"""") ), CHAR(10), """&amp;",""), ""\s*,\s*"", "",""), "","")))&lt;&gt;"""" ) ) ) ),"""")
"),"")</f>
        <v/>
      </c>
      <c r="D703" s="105"/>
      <c r="E703" s="105"/>
      <c r="F703" s="110" t="b">
        <v>0</v>
      </c>
      <c r="G703" s="105" t="str">
        <f>IF(F703=True, IFERROR(VLOOKUP(D703, Repository!A:B, 2, 0), ""), "")</f>
        <v/>
      </c>
      <c r="H703" s="105"/>
      <c r="I703" s="105"/>
      <c r="J703" s="105" t="str">
        <f>IF(F703=True, IFERROR(VLOOKUP(D703, Repository!A:C, 3, 0), ""), "")</f>
        <v/>
      </c>
      <c r="K703" s="105"/>
      <c r="L703" s="105" t="str">
        <f>IF(F703=True, IFERROR(VLOOKUP(D703, Repository!A:E, 5, 0), ""), "")</f>
        <v/>
      </c>
      <c r="M703" s="105"/>
      <c r="N703" s="105" t="str">
        <f>IF(F703=True, IFERROR(VLOOKUP(D703, Repository!A:G, 7, 0), ""), "")</f>
        <v/>
      </c>
      <c r="O703" s="105" t="str">
        <f>IFERROR(__xludf.DUMMYFUNCTION("ARRAY_CONSTRAIN(
  ARRAYFORMULA(
    IFERROR(
      LET(
        list, N703,
        arr, TRIM(SPLIT(list, "","")),
        names, XLOOKUP(
          arr,
          'Conformance Score'!A:A,
          'Conformance Score'!B:B,
          ""Not found""
      "&amp;"  ),
        TEXTJOIN("", "", TRUE, names)
      ),
      """"
    )
  ),
  1,
  1
)
"),"")</f>
        <v/>
      </c>
      <c r="P703" s="105" t="str">
        <f>IF(F703="Yes", IFERROR(VLOOKUP(D703, Repository!A:F, 6, 0), ""), "")</f>
        <v/>
      </c>
      <c r="Q703" s="105" t="str">
        <f>IF(F703="Yes", IFERROR(VLOOKUP(D703, Repository!A:I, 8, 0), ""), "")</f>
        <v/>
      </c>
      <c r="R703" s="105" t="str">
        <f>IF(F703="Yes", IFERROR(VLOOKUP(D703, Repository!A:J, 9, 0), ""), "")</f>
        <v/>
      </c>
      <c r="S703" s="105"/>
      <c r="T703" s="105"/>
      <c r="U703" s="105"/>
      <c r="V703" s="105"/>
      <c r="W703" s="105"/>
      <c r="X703" s="105"/>
      <c r="Y703" s="105"/>
      <c r="Z703" s="105"/>
      <c r="AA703" s="105"/>
      <c r="AB703" s="105"/>
      <c r="AC703" s="91"/>
      <c r="AD703" s="105"/>
      <c r="AE703" s="105"/>
      <c r="AF703" s="91"/>
      <c r="AG703" s="105"/>
      <c r="AH703" s="105"/>
      <c r="AI703" s="105" t="str">
        <f t="shared" si="1"/>
        <v/>
      </c>
      <c r="AJ703" s="108" t="str">
        <f t="shared" si="2"/>
        <v/>
      </c>
    </row>
    <row r="704" ht="15.75" customHeight="1">
      <c r="A704" s="104"/>
      <c r="B704" s="105" t="str">
        <f>IFERROR(__xludf.DUMMYFUNCTION("ARRAY_CONSTRAIN(
  ARRAYFORMULA(
    IF(
      'Final Report'!A704="""",
      """",
      TEXTJOIN(
        "", "" &amp; CHAR(10),
        TRUE,
        IFERROR(
          VLOOKUP(
            TRIM(
              SPLIT('Final Report'!A704, "","")
           "&amp;" ),
            'URL Details'!A:B,
            2,
            FALSE
          ),
          """"
        )
      )
    )
  ),
  1,
  1
)
"),"")</f>
        <v/>
      </c>
      <c r="C704" s="105" t="str">
        <f>IFERROR(__xludf.DUMMYFUNCTION("IFERROR(IF('Final Report'!A704="""","""", TEXTJOIN(CHAR(10), TRUE, ARRAYFORMULA( ""• ""&amp; FILTER( TRIM(FLATTEN(SPLIT( REGEXREPLACE( SUBSTITUTE(TEXTJOIN("","", TRUE, IFERROR(ARRAYFORMULA(VLOOKUP(TRIM(SPLIT('Final Report'!A704, "","")), 'URL Details'!A:D, 4,"&amp;" FALSE)),"""") ), CHAR(10), "",""), ""\s*,\s*"", "",""), "",""))), TRIM(FLATTEN(SPLIT( REGEXREPLACE( SUBSTITUTE(TEXTJOIN("","", TRUE, IFERROR(ARRAYFORMULA(VLOOKUP(TRIM(SPLIT('Final Report'!A704, "","")), 'URL Details'!A:D, 4, FALSE)),"""") ), CHAR(10), """&amp;",""), ""\s*,\s*"", "",""), "","")))&lt;&gt;"""" ) ) ) ),"""")
"),"")</f>
        <v/>
      </c>
      <c r="D704" s="105"/>
      <c r="E704" s="105"/>
      <c r="F704" s="110" t="b">
        <v>0</v>
      </c>
      <c r="G704" s="105" t="str">
        <f>IF(F704=True, IFERROR(VLOOKUP(D704, Repository!A:B, 2, 0), ""), "")</f>
        <v/>
      </c>
      <c r="H704" s="105"/>
      <c r="I704" s="105"/>
      <c r="J704" s="105" t="str">
        <f>IF(F704=True, IFERROR(VLOOKUP(D704, Repository!A:C, 3, 0), ""), "")</f>
        <v/>
      </c>
      <c r="K704" s="105"/>
      <c r="L704" s="105" t="str">
        <f>IF(F704=True, IFERROR(VLOOKUP(D704, Repository!A:E, 5, 0), ""), "")</f>
        <v/>
      </c>
      <c r="M704" s="105"/>
      <c r="N704" s="105" t="str">
        <f>IF(F704=True, IFERROR(VLOOKUP(D704, Repository!A:G, 7, 0), ""), "")</f>
        <v/>
      </c>
      <c r="O704" s="105" t="str">
        <f>IFERROR(__xludf.DUMMYFUNCTION("ARRAY_CONSTRAIN(
  ARRAYFORMULA(
    IFERROR(
      LET(
        list, N704,
        arr, TRIM(SPLIT(list, "","")),
        names, XLOOKUP(
          arr,
          'Conformance Score'!A:A,
          'Conformance Score'!B:B,
          ""Not found""
      "&amp;"  ),
        TEXTJOIN("", "", TRUE, names)
      ),
      """"
    )
  ),
  1,
  1
)
"),"")</f>
        <v/>
      </c>
      <c r="P704" s="105" t="str">
        <f>IF(F704="Yes", IFERROR(VLOOKUP(D704, Repository!A:F, 6, 0), ""), "")</f>
        <v/>
      </c>
      <c r="Q704" s="105" t="str">
        <f>IF(F704="Yes", IFERROR(VLOOKUP(D704, Repository!A:I, 8, 0), ""), "")</f>
        <v/>
      </c>
      <c r="R704" s="105" t="str">
        <f>IF(F704="Yes", IFERROR(VLOOKUP(D704, Repository!A:J, 9, 0), ""), "")</f>
        <v/>
      </c>
      <c r="S704" s="105"/>
      <c r="T704" s="105"/>
      <c r="U704" s="105"/>
      <c r="V704" s="105"/>
      <c r="W704" s="105"/>
      <c r="X704" s="105"/>
      <c r="Y704" s="105"/>
      <c r="Z704" s="105"/>
      <c r="AA704" s="105"/>
      <c r="AB704" s="105"/>
      <c r="AC704" s="91"/>
      <c r="AD704" s="105"/>
      <c r="AE704" s="105"/>
      <c r="AF704" s="91"/>
      <c r="AG704" s="105"/>
      <c r="AH704" s="105"/>
      <c r="AI704" s="105" t="str">
        <f t="shared" si="1"/>
        <v/>
      </c>
      <c r="AJ704" s="108" t="str">
        <f t="shared" si="2"/>
        <v/>
      </c>
    </row>
    <row r="705" ht="15.75" customHeight="1">
      <c r="A705" s="104"/>
      <c r="B705" s="105" t="str">
        <f>IFERROR(__xludf.DUMMYFUNCTION("ARRAY_CONSTRAIN(
  ARRAYFORMULA(
    IF(
      'Final Report'!A705="""",
      """",
      TEXTJOIN(
        "", "" &amp; CHAR(10),
        TRUE,
        IFERROR(
          VLOOKUP(
            TRIM(
              SPLIT('Final Report'!A705, "","")
           "&amp;" ),
            'URL Details'!A:B,
            2,
            FALSE
          ),
          """"
        )
      )
    )
  ),
  1,
  1
)
"),"")</f>
        <v/>
      </c>
      <c r="C705" s="105" t="str">
        <f>IFERROR(__xludf.DUMMYFUNCTION("IFERROR(IF('Final Report'!A705="""","""", TEXTJOIN(CHAR(10), TRUE, ARRAYFORMULA( ""• ""&amp; FILTER( TRIM(FLATTEN(SPLIT( REGEXREPLACE( SUBSTITUTE(TEXTJOIN("","", TRUE, IFERROR(ARRAYFORMULA(VLOOKUP(TRIM(SPLIT('Final Report'!A705, "","")), 'URL Details'!A:D, 4,"&amp;" FALSE)),"""") ), CHAR(10), "",""), ""\s*,\s*"", "",""), "",""))), TRIM(FLATTEN(SPLIT( REGEXREPLACE( SUBSTITUTE(TEXTJOIN("","", TRUE, IFERROR(ARRAYFORMULA(VLOOKUP(TRIM(SPLIT('Final Report'!A705, "","")), 'URL Details'!A:D, 4, FALSE)),"""") ), CHAR(10), """&amp;",""), ""\s*,\s*"", "",""), "","")))&lt;&gt;"""" ) ) ) ),"""")
"),"")</f>
        <v/>
      </c>
      <c r="D705" s="105"/>
      <c r="E705" s="105"/>
      <c r="F705" s="110" t="b">
        <v>0</v>
      </c>
      <c r="G705" s="105" t="str">
        <f>IF(F705=True, IFERROR(VLOOKUP(D705, Repository!A:B, 2, 0), ""), "")</f>
        <v/>
      </c>
      <c r="H705" s="105"/>
      <c r="I705" s="105"/>
      <c r="J705" s="105" t="str">
        <f>IF(F705=True, IFERROR(VLOOKUP(D705, Repository!A:C, 3, 0), ""), "")</f>
        <v/>
      </c>
      <c r="K705" s="105"/>
      <c r="L705" s="105" t="str">
        <f>IF(F705=True, IFERROR(VLOOKUP(D705, Repository!A:E, 5, 0), ""), "")</f>
        <v/>
      </c>
      <c r="M705" s="105"/>
      <c r="N705" s="105" t="str">
        <f>IF(F705=True, IFERROR(VLOOKUP(D705, Repository!A:G, 7, 0), ""), "")</f>
        <v/>
      </c>
      <c r="O705" s="105" t="str">
        <f>IFERROR(__xludf.DUMMYFUNCTION("ARRAY_CONSTRAIN(
  ARRAYFORMULA(
    IFERROR(
      LET(
        list, N705,
        arr, TRIM(SPLIT(list, "","")),
        names, XLOOKUP(
          arr,
          'Conformance Score'!A:A,
          'Conformance Score'!B:B,
          ""Not found""
      "&amp;"  ),
        TEXTJOIN("", "", TRUE, names)
      ),
      """"
    )
  ),
  1,
  1
)
"),"")</f>
        <v/>
      </c>
      <c r="P705" s="105" t="str">
        <f>IF(F705="Yes", IFERROR(VLOOKUP(D705, Repository!A:F, 6, 0), ""), "")</f>
        <v/>
      </c>
      <c r="Q705" s="105" t="str">
        <f>IF(F705="Yes", IFERROR(VLOOKUP(D705, Repository!A:I, 8, 0), ""), "")</f>
        <v/>
      </c>
      <c r="R705" s="105" t="str">
        <f>IF(F705="Yes", IFERROR(VLOOKUP(D705, Repository!A:J, 9, 0), ""), "")</f>
        <v/>
      </c>
      <c r="S705" s="105"/>
      <c r="T705" s="105"/>
      <c r="U705" s="105"/>
      <c r="V705" s="105"/>
      <c r="W705" s="105"/>
      <c r="X705" s="105"/>
      <c r="Y705" s="105"/>
      <c r="Z705" s="105"/>
      <c r="AA705" s="105"/>
      <c r="AB705" s="105"/>
      <c r="AC705" s="91"/>
      <c r="AD705" s="105"/>
      <c r="AE705" s="105"/>
      <c r="AF705" s="91"/>
      <c r="AG705" s="105"/>
      <c r="AH705" s="105"/>
      <c r="AI705" s="105" t="str">
        <f t="shared" si="1"/>
        <v/>
      </c>
      <c r="AJ705" s="108" t="str">
        <f t="shared" si="2"/>
        <v/>
      </c>
    </row>
    <row r="706" ht="15.75" customHeight="1">
      <c r="A706" s="104"/>
      <c r="B706" s="105" t="str">
        <f>IFERROR(__xludf.DUMMYFUNCTION("ARRAY_CONSTRAIN(
  ARRAYFORMULA(
    IF(
      'Final Report'!A706="""",
      """",
      TEXTJOIN(
        "", "" &amp; CHAR(10),
        TRUE,
        IFERROR(
          VLOOKUP(
            TRIM(
              SPLIT('Final Report'!A706, "","")
           "&amp;" ),
            'URL Details'!A:B,
            2,
            FALSE
          ),
          """"
        )
      )
    )
  ),
  1,
  1
)
"),"")</f>
        <v/>
      </c>
      <c r="C706" s="105" t="str">
        <f>IFERROR(__xludf.DUMMYFUNCTION("IFERROR(IF('Final Report'!A706="""","""", TEXTJOIN(CHAR(10), TRUE, ARRAYFORMULA( ""• ""&amp; FILTER( TRIM(FLATTEN(SPLIT( REGEXREPLACE( SUBSTITUTE(TEXTJOIN("","", TRUE, IFERROR(ARRAYFORMULA(VLOOKUP(TRIM(SPLIT('Final Report'!A706, "","")), 'URL Details'!A:D, 4,"&amp;" FALSE)),"""") ), CHAR(10), "",""), ""\s*,\s*"", "",""), "",""))), TRIM(FLATTEN(SPLIT( REGEXREPLACE( SUBSTITUTE(TEXTJOIN("","", TRUE, IFERROR(ARRAYFORMULA(VLOOKUP(TRIM(SPLIT('Final Report'!A706, "","")), 'URL Details'!A:D, 4, FALSE)),"""") ), CHAR(10), """&amp;",""), ""\s*,\s*"", "",""), "","")))&lt;&gt;"""" ) ) ) ),"""")
"),"")</f>
        <v/>
      </c>
      <c r="D706" s="105"/>
      <c r="E706" s="105"/>
      <c r="F706" s="110" t="b">
        <v>0</v>
      </c>
      <c r="G706" s="105" t="str">
        <f>IF(F706=True, IFERROR(VLOOKUP(D706, Repository!A:B, 2, 0), ""), "")</f>
        <v/>
      </c>
      <c r="H706" s="105"/>
      <c r="I706" s="105"/>
      <c r="J706" s="105" t="str">
        <f>IF(F706=True, IFERROR(VLOOKUP(D706, Repository!A:C, 3, 0), ""), "")</f>
        <v/>
      </c>
      <c r="K706" s="105"/>
      <c r="L706" s="105" t="str">
        <f>IF(F706=True, IFERROR(VLOOKUP(D706, Repository!A:E, 5, 0), ""), "")</f>
        <v/>
      </c>
      <c r="M706" s="105"/>
      <c r="N706" s="105" t="str">
        <f>IF(F706=True, IFERROR(VLOOKUP(D706, Repository!A:G, 7, 0), ""), "")</f>
        <v/>
      </c>
      <c r="O706" s="105" t="str">
        <f>IFERROR(__xludf.DUMMYFUNCTION("ARRAY_CONSTRAIN(
  ARRAYFORMULA(
    IFERROR(
      LET(
        list, N706,
        arr, TRIM(SPLIT(list, "","")),
        names, XLOOKUP(
          arr,
          'Conformance Score'!A:A,
          'Conformance Score'!B:B,
          ""Not found""
      "&amp;"  ),
        TEXTJOIN("", "", TRUE, names)
      ),
      """"
    )
  ),
  1,
  1
)
"),"")</f>
        <v/>
      </c>
      <c r="P706" s="105" t="str">
        <f>IF(F706="Yes", IFERROR(VLOOKUP(D706, Repository!A:F, 6, 0), ""), "")</f>
        <v/>
      </c>
      <c r="Q706" s="105" t="str">
        <f>IF(F706="Yes", IFERROR(VLOOKUP(D706, Repository!A:I, 8, 0), ""), "")</f>
        <v/>
      </c>
      <c r="R706" s="105" t="str">
        <f>IF(F706="Yes", IFERROR(VLOOKUP(D706, Repository!A:J, 9, 0), ""), "")</f>
        <v/>
      </c>
      <c r="S706" s="105"/>
      <c r="T706" s="105"/>
      <c r="U706" s="105"/>
      <c r="V706" s="105"/>
      <c r="W706" s="105"/>
      <c r="X706" s="105"/>
      <c r="Y706" s="105"/>
      <c r="Z706" s="105"/>
      <c r="AA706" s="105"/>
      <c r="AB706" s="105"/>
      <c r="AC706" s="91"/>
      <c r="AD706" s="105"/>
      <c r="AE706" s="105"/>
      <c r="AF706" s="91"/>
      <c r="AG706" s="105"/>
      <c r="AH706" s="105"/>
      <c r="AI706" s="105" t="str">
        <f t="shared" si="1"/>
        <v/>
      </c>
      <c r="AJ706" s="108" t="str">
        <f t="shared" si="2"/>
        <v/>
      </c>
    </row>
    <row r="707" ht="15.75" customHeight="1">
      <c r="A707" s="104"/>
      <c r="B707" s="105" t="str">
        <f>IFERROR(__xludf.DUMMYFUNCTION("ARRAY_CONSTRAIN(
  ARRAYFORMULA(
    IF(
      'Final Report'!A707="""",
      """",
      TEXTJOIN(
        "", "" &amp; CHAR(10),
        TRUE,
        IFERROR(
          VLOOKUP(
            TRIM(
              SPLIT('Final Report'!A707, "","")
           "&amp;" ),
            'URL Details'!A:B,
            2,
            FALSE
          ),
          """"
        )
      )
    )
  ),
  1,
  1
)
"),"")</f>
        <v/>
      </c>
      <c r="C707" s="105" t="str">
        <f>IFERROR(__xludf.DUMMYFUNCTION("IFERROR(IF('Final Report'!A707="""","""", TEXTJOIN(CHAR(10), TRUE, ARRAYFORMULA( ""• ""&amp; FILTER( TRIM(FLATTEN(SPLIT( REGEXREPLACE( SUBSTITUTE(TEXTJOIN("","", TRUE, IFERROR(ARRAYFORMULA(VLOOKUP(TRIM(SPLIT('Final Report'!A707, "","")), 'URL Details'!A:D, 4,"&amp;" FALSE)),"""") ), CHAR(10), "",""), ""\s*,\s*"", "",""), "",""))), TRIM(FLATTEN(SPLIT( REGEXREPLACE( SUBSTITUTE(TEXTJOIN("","", TRUE, IFERROR(ARRAYFORMULA(VLOOKUP(TRIM(SPLIT('Final Report'!A707, "","")), 'URL Details'!A:D, 4, FALSE)),"""") ), CHAR(10), """&amp;",""), ""\s*,\s*"", "",""), "","")))&lt;&gt;"""" ) ) ) ),"""")
"),"")</f>
        <v/>
      </c>
      <c r="D707" s="105"/>
      <c r="E707" s="105"/>
      <c r="F707" s="110" t="b">
        <v>0</v>
      </c>
      <c r="G707" s="105" t="str">
        <f>IF(F707=True, IFERROR(VLOOKUP(D707, Repository!A:B, 2, 0), ""), "")</f>
        <v/>
      </c>
      <c r="H707" s="105"/>
      <c r="I707" s="105"/>
      <c r="J707" s="105" t="str">
        <f>IF(F707=True, IFERROR(VLOOKUP(D707, Repository!A:C, 3, 0), ""), "")</f>
        <v/>
      </c>
      <c r="K707" s="105"/>
      <c r="L707" s="105" t="str">
        <f>IF(F707=True, IFERROR(VLOOKUP(D707, Repository!A:E, 5, 0), ""), "")</f>
        <v/>
      </c>
      <c r="M707" s="105"/>
      <c r="N707" s="105" t="str">
        <f>IF(F707=True, IFERROR(VLOOKUP(D707, Repository!A:G, 7, 0), ""), "")</f>
        <v/>
      </c>
      <c r="O707" s="105" t="str">
        <f>IFERROR(__xludf.DUMMYFUNCTION("ARRAY_CONSTRAIN(
  ARRAYFORMULA(
    IFERROR(
      LET(
        list, N707,
        arr, TRIM(SPLIT(list, "","")),
        names, XLOOKUP(
          arr,
          'Conformance Score'!A:A,
          'Conformance Score'!B:B,
          ""Not found""
      "&amp;"  ),
        TEXTJOIN("", "", TRUE, names)
      ),
      """"
    )
  ),
  1,
  1
)
"),"")</f>
        <v/>
      </c>
      <c r="P707" s="105" t="str">
        <f>IF(F707="Yes", IFERROR(VLOOKUP(D707, Repository!A:F, 6, 0), ""), "")</f>
        <v/>
      </c>
      <c r="Q707" s="105" t="str">
        <f>IF(F707="Yes", IFERROR(VLOOKUP(D707, Repository!A:I, 8, 0), ""), "")</f>
        <v/>
      </c>
      <c r="R707" s="105" t="str">
        <f>IF(F707="Yes", IFERROR(VLOOKUP(D707, Repository!A:J, 9, 0), ""), "")</f>
        <v/>
      </c>
      <c r="S707" s="105"/>
      <c r="T707" s="105"/>
      <c r="U707" s="105"/>
      <c r="V707" s="105"/>
      <c r="W707" s="105"/>
      <c r="X707" s="105"/>
      <c r="Y707" s="105"/>
      <c r="Z707" s="105"/>
      <c r="AA707" s="105"/>
      <c r="AB707" s="105"/>
      <c r="AC707" s="91"/>
      <c r="AD707" s="105"/>
      <c r="AE707" s="105"/>
      <c r="AF707" s="91"/>
      <c r="AG707" s="105"/>
      <c r="AH707" s="105"/>
      <c r="AI707" s="105" t="str">
        <f t="shared" si="1"/>
        <v/>
      </c>
      <c r="AJ707" s="108" t="str">
        <f t="shared" si="2"/>
        <v/>
      </c>
    </row>
    <row r="708" ht="15.75" customHeight="1">
      <c r="A708" s="104"/>
      <c r="B708" s="105" t="str">
        <f>IFERROR(__xludf.DUMMYFUNCTION("ARRAY_CONSTRAIN(
  ARRAYFORMULA(
    IF(
      'Final Report'!A708="""",
      """",
      TEXTJOIN(
        "", "" &amp; CHAR(10),
        TRUE,
        IFERROR(
          VLOOKUP(
            TRIM(
              SPLIT('Final Report'!A708, "","")
           "&amp;" ),
            'URL Details'!A:B,
            2,
            FALSE
          ),
          """"
        )
      )
    )
  ),
  1,
  1
)
"),"")</f>
        <v/>
      </c>
      <c r="C708" s="105" t="str">
        <f>IFERROR(__xludf.DUMMYFUNCTION("IFERROR(IF('Final Report'!A708="""","""", TEXTJOIN(CHAR(10), TRUE, ARRAYFORMULA( ""• ""&amp; FILTER( TRIM(FLATTEN(SPLIT( REGEXREPLACE( SUBSTITUTE(TEXTJOIN("","", TRUE, IFERROR(ARRAYFORMULA(VLOOKUP(TRIM(SPLIT('Final Report'!A708, "","")), 'URL Details'!A:D, 4,"&amp;" FALSE)),"""") ), CHAR(10), "",""), ""\s*,\s*"", "",""), "",""))), TRIM(FLATTEN(SPLIT( REGEXREPLACE( SUBSTITUTE(TEXTJOIN("","", TRUE, IFERROR(ARRAYFORMULA(VLOOKUP(TRIM(SPLIT('Final Report'!A708, "","")), 'URL Details'!A:D, 4, FALSE)),"""") ), CHAR(10), """&amp;",""), ""\s*,\s*"", "",""), "","")))&lt;&gt;"""" ) ) ) ),"""")
"),"")</f>
        <v/>
      </c>
      <c r="D708" s="105"/>
      <c r="E708" s="105"/>
      <c r="F708" s="110" t="b">
        <v>0</v>
      </c>
      <c r="G708" s="105" t="str">
        <f>IF(F708=True, IFERROR(VLOOKUP(D708, Repository!A:B, 2, 0), ""), "")</f>
        <v/>
      </c>
      <c r="H708" s="105"/>
      <c r="I708" s="105"/>
      <c r="J708" s="105" t="str">
        <f>IF(F708=True, IFERROR(VLOOKUP(D708, Repository!A:C, 3, 0), ""), "")</f>
        <v/>
      </c>
      <c r="K708" s="105"/>
      <c r="L708" s="105" t="str">
        <f>IF(F708=True, IFERROR(VLOOKUP(D708, Repository!A:E, 5, 0), ""), "")</f>
        <v/>
      </c>
      <c r="M708" s="105"/>
      <c r="N708" s="105" t="str">
        <f>IF(F708=True, IFERROR(VLOOKUP(D708, Repository!A:G, 7, 0), ""), "")</f>
        <v/>
      </c>
      <c r="O708" s="105" t="str">
        <f>IFERROR(__xludf.DUMMYFUNCTION("ARRAY_CONSTRAIN(
  ARRAYFORMULA(
    IFERROR(
      LET(
        list, N708,
        arr, TRIM(SPLIT(list, "","")),
        names, XLOOKUP(
          arr,
          'Conformance Score'!A:A,
          'Conformance Score'!B:B,
          ""Not found""
      "&amp;"  ),
        TEXTJOIN("", "", TRUE, names)
      ),
      """"
    )
  ),
  1,
  1
)
"),"")</f>
        <v/>
      </c>
      <c r="P708" s="105" t="str">
        <f>IF(F708="Yes", IFERROR(VLOOKUP(D708, Repository!A:F, 6, 0), ""), "")</f>
        <v/>
      </c>
      <c r="Q708" s="105" t="str">
        <f>IF(F708="Yes", IFERROR(VLOOKUP(D708, Repository!A:I, 8, 0), ""), "")</f>
        <v/>
      </c>
      <c r="R708" s="105" t="str">
        <f>IF(F708="Yes", IFERROR(VLOOKUP(D708, Repository!A:J, 9, 0), ""), "")</f>
        <v/>
      </c>
      <c r="S708" s="105"/>
      <c r="T708" s="105"/>
      <c r="U708" s="105"/>
      <c r="V708" s="105"/>
      <c r="W708" s="105"/>
      <c r="X708" s="105"/>
      <c r="Y708" s="105"/>
      <c r="Z708" s="105"/>
      <c r="AA708" s="105"/>
      <c r="AB708" s="105"/>
      <c r="AC708" s="91"/>
      <c r="AD708" s="105"/>
      <c r="AE708" s="105"/>
      <c r="AF708" s="91"/>
      <c r="AG708" s="105"/>
      <c r="AH708" s="105"/>
      <c r="AI708" s="105" t="str">
        <f t="shared" si="1"/>
        <v/>
      </c>
      <c r="AJ708" s="108" t="str">
        <f t="shared" si="2"/>
        <v/>
      </c>
    </row>
    <row r="709" ht="15.75" customHeight="1">
      <c r="A709" s="104"/>
      <c r="B709" s="105" t="str">
        <f>IFERROR(__xludf.DUMMYFUNCTION("ARRAY_CONSTRAIN(
  ARRAYFORMULA(
    IF(
      'Final Report'!A709="""",
      """",
      TEXTJOIN(
        "", "" &amp; CHAR(10),
        TRUE,
        IFERROR(
          VLOOKUP(
            TRIM(
              SPLIT('Final Report'!A709, "","")
           "&amp;" ),
            'URL Details'!A:B,
            2,
            FALSE
          ),
          """"
        )
      )
    )
  ),
  1,
  1
)
"),"")</f>
        <v/>
      </c>
      <c r="C709" s="105" t="str">
        <f>IFERROR(__xludf.DUMMYFUNCTION("IFERROR(IF('Final Report'!A709="""","""", TEXTJOIN(CHAR(10), TRUE, ARRAYFORMULA( ""• ""&amp; FILTER( TRIM(FLATTEN(SPLIT( REGEXREPLACE( SUBSTITUTE(TEXTJOIN("","", TRUE, IFERROR(ARRAYFORMULA(VLOOKUP(TRIM(SPLIT('Final Report'!A709, "","")), 'URL Details'!A:D, 4,"&amp;" FALSE)),"""") ), CHAR(10), "",""), ""\s*,\s*"", "",""), "",""))), TRIM(FLATTEN(SPLIT( REGEXREPLACE( SUBSTITUTE(TEXTJOIN("","", TRUE, IFERROR(ARRAYFORMULA(VLOOKUP(TRIM(SPLIT('Final Report'!A709, "","")), 'URL Details'!A:D, 4, FALSE)),"""") ), CHAR(10), """&amp;",""), ""\s*,\s*"", "",""), "","")))&lt;&gt;"""" ) ) ) ),"""")
"),"")</f>
        <v/>
      </c>
      <c r="D709" s="105"/>
      <c r="E709" s="105"/>
      <c r="F709" s="110" t="b">
        <v>0</v>
      </c>
      <c r="G709" s="105" t="str">
        <f>IF(F709=True, IFERROR(VLOOKUP(D709, Repository!A:B, 2, 0), ""), "")</f>
        <v/>
      </c>
      <c r="H709" s="105"/>
      <c r="I709" s="105"/>
      <c r="J709" s="105" t="str">
        <f>IF(F709=True, IFERROR(VLOOKUP(D709, Repository!A:C, 3, 0), ""), "")</f>
        <v/>
      </c>
      <c r="K709" s="105"/>
      <c r="L709" s="105" t="str">
        <f>IF(F709=True, IFERROR(VLOOKUP(D709, Repository!A:E, 5, 0), ""), "")</f>
        <v/>
      </c>
      <c r="M709" s="105"/>
      <c r="N709" s="105" t="str">
        <f>IF(F709=True, IFERROR(VLOOKUP(D709, Repository!A:G, 7, 0), ""), "")</f>
        <v/>
      </c>
      <c r="O709" s="105" t="str">
        <f>IFERROR(__xludf.DUMMYFUNCTION("ARRAY_CONSTRAIN(
  ARRAYFORMULA(
    IFERROR(
      LET(
        list, N709,
        arr, TRIM(SPLIT(list, "","")),
        names, XLOOKUP(
          arr,
          'Conformance Score'!A:A,
          'Conformance Score'!B:B,
          ""Not found""
      "&amp;"  ),
        TEXTJOIN("", "", TRUE, names)
      ),
      """"
    )
  ),
  1,
  1
)
"),"")</f>
        <v/>
      </c>
      <c r="P709" s="105" t="str">
        <f>IF(F709="Yes", IFERROR(VLOOKUP(D709, Repository!A:F, 6, 0), ""), "")</f>
        <v/>
      </c>
      <c r="Q709" s="105" t="str">
        <f>IF(F709="Yes", IFERROR(VLOOKUP(D709, Repository!A:I, 8, 0), ""), "")</f>
        <v/>
      </c>
      <c r="R709" s="105" t="str">
        <f>IF(F709="Yes", IFERROR(VLOOKUP(D709, Repository!A:J, 9, 0), ""), "")</f>
        <v/>
      </c>
      <c r="S709" s="105"/>
      <c r="T709" s="105"/>
      <c r="U709" s="105"/>
      <c r="V709" s="105"/>
      <c r="W709" s="105"/>
      <c r="X709" s="105"/>
      <c r="Y709" s="105"/>
      <c r="Z709" s="105"/>
      <c r="AA709" s="105"/>
      <c r="AB709" s="105"/>
      <c r="AC709" s="91"/>
      <c r="AD709" s="105"/>
      <c r="AE709" s="105"/>
      <c r="AF709" s="91"/>
      <c r="AG709" s="105"/>
      <c r="AH709" s="105"/>
      <c r="AI709" s="105" t="str">
        <f t="shared" si="1"/>
        <v/>
      </c>
      <c r="AJ709" s="108" t="str">
        <f t="shared" si="2"/>
        <v/>
      </c>
    </row>
    <row r="710" ht="15.75" customHeight="1">
      <c r="A710" s="104"/>
      <c r="B710" s="105" t="str">
        <f>IFERROR(__xludf.DUMMYFUNCTION("ARRAY_CONSTRAIN(
  ARRAYFORMULA(
    IF(
      'Final Report'!A710="""",
      """",
      TEXTJOIN(
        "", "" &amp; CHAR(10),
        TRUE,
        IFERROR(
          VLOOKUP(
            TRIM(
              SPLIT('Final Report'!A710, "","")
           "&amp;" ),
            'URL Details'!A:B,
            2,
            FALSE
          ),
          """"
        )
      )
    )
  ),
  1,
  1
)
"),"")</f>
        <v/>
      </c>
      <c r="C710" s="105" t="str">
        <f>IFERROR(__xludf.DUMMYFUNCTION("IFERROR(IF('Final Report'!A710="""","""", TEXTJOIN(CHAR(10), TRUE, ARRAYFORMULA( ""• ""&amp; FILTER( TRIM(FLATTEN(SPLIT( REGEXREPLACE( SUBSTITUTE(TEXTJOIN("","", TRUE, IFERROR(ARRAYFORMULA(VLOOKUP(TRIM(SPLIT('Final Report'!A710, "","")), 'URL Details'!A:D, 4,"&amp;" FALSE)),"""") ), CHAR(10), "",""), ""\s*,\s*"", "",""), "",""))), TRIM(FLATTEN(SPLIT( REGEXREPLACE( SUBSTITUTE(TEXTJOIN("","", TRUE, IFERROR(ARRAYFORMULA(VLOOKUP(TRIM(SPLIT('Final Report'!A710, "","")), 'URL Details'!A:D, 4, FALSE)),"""") ), CHAR(10), """&amp;",""), ""\s*,\s*"", "",""), "","")))&lt;&gt;"""" ) ) ) ),"""")
"),"")</f>
        <v/>
      </c>
      <c r="D710" s="105"/>
      <c r="E710" s="105"/>
      <c r="F710" s="110" t="b">
        <v>0</v>
      </c>
      <c r="G710" s="105" t="str">
        <f>IF(F710=True, IFERROR(VLOOKUP(D710, Repository!A:B, 2, 0), ""), "")</f>
        <v/>
      </c>
      <c r="H710" s="105"/>
      <c r="I710" s="105"/>
      <c r="J710" s="105" t="str">
        <f>IF(F710=True, IFERROR(VLOOKUP(D710, Repository!A:C, 3, 0), ""), "")</f>
        <v/>
      </c>
      <c r="K710" s="105"/>
      <c r="L710" s="105" t="str">
        <f>IF(F710=True, IFERROR(VLOOKUP(D710, Repository!A:E, 5, 0), ""), "")</f>
        <v/>
      </c>
      <c r="M710" s="105"/>
      <c r="N710" s="105" t="str">
        <f>IF(F710=True, IFERROR(VLOOKUP(D710, Repository!A:G, 7, 0), ""), "")</f>
        <v/>
      </c>
      <c r="O710" s="105" t="str">
        <f>IFERROR(__xludf.DUMMYFUNCTION("ARRAY_CONSTRAIN(
  ARRAYFORMULA(
    IFERROR(
      LET(
        list, N710,
        arr, TRIM(SPLIT(list, "","")),
        names, XLOOKUP(
          arr,
          'Conformance Score'!A:A,
          'Conformance Score'!B:B,
          ""Not found""
      "&amp;"  ),
        TEXTJOIN("", "", TRUE, names)
      ),
      """"
    )
  ),
  1,
  1
)
"),"")</f>
        <v/>
      </c>
      <c r="P710" s="105" t="str">
        <f>IF(F710="Yes", IFERROR(VLOOKUP(D710, Repository!A:F, 6, 0), ""), "")</f>
        <v/>
      </c>
      <c r="Q710" s="105" t="str">
        <f>IF(F710="Yes", IFERROR(VLOOKUP(D710, Repository!A:I, 8, 0), ""), "")</f>
        <v/>
      </c>
      <c r="R710" s="105" t="str">
        <f>IF(F710="Yes", IFERROR(VLOOKUP(D710, Repository!A:J, 9, 0), ""), "")</f>
        <v/>
      </c>
      <c r="S710" s="105"/>
      <c r="T710" s="105"/>
      <c r="U710" s="105"/>
      <c r="V710" s="105"/>
      <c r="W710" s="105"/>
      <c r="X710" s="105"/>
      <c r="Y710" s="105"/>
      <c r="Z710" s="105"/>
      <c r="AA710" s="105"/>
      <c r="AB710" s="105"/>
      <c r="AC710" s="91"/>
      <c r="AD710" s="105"/>
      <c r="AE710" s="105"/>
      <c r="AF710" s="91"/>
      <c r="AG710" s="105"/>
      <c r="AH710" s="105"/>
      <c r="AI710" s="105" t="str">
        <f t="shared" si="1"/>
        <v/>
      </c>
      <c r="AJ710" s="108" t="str">
        <f t="shared" si="2"/>
        <v/>
      </c>
    </row>
    <row r="711" ht="15.75" customHeight="1">
      <c r="A711" s="104"/>
      <c r="B711" s="105" t="str">
        <f>IFERROR(__xludf.DUMMYFUNCTION("ARRAY_CONSTRAIN(
  ARRAYFORMULA(
    IF(
      'Final Report'!A711="""",
      """",
      TEXTJOIN(
        "", "" &amp; CHAR(10),
        TRUE,
        IFERROR(
          VLOOKUP(
            TRIM(
              SPLIT('Final Report'!A711, "","")
           "&amp;" ),
            'URL Details'!A:B,
            2,
            FALSE
          ),
          """"
        )
      )
    )
  ),
  1,
  1
)
"),"")</f>
        <v/>
      </c>
      <c r="C711" s="105" t="str">
        <f>IFERROR(__xludf.DUMMYFUNCTION("IFERROR(IF('Final Report'!A711="""","""", TEXTJOIN(CHAR(10), TRUE, ARRAYFORMULA( ""• ""&amp; FILTER( TRIM(FLATTEN(SPLIT( REGEXREPLACE( SUBSTITUTE(TEXTJOIN("","", TRUE, IFERROR(ARRAYFORMULA(VLOOKUP(TRIM(SPLIT('Final Report'!A711, "","")), 'URL Details'!A:D, 4,"&amp;" FALSE)),"""") ), CHAR(10), "",""), ""\s*,\s*"", "",""), "",""))), TRIM(FLATTEN(SPLIT( REGEXREPLACE( SUBSTITUTE(TEXTJOIN("","", TRUE, IFERROR(ARRAYFORMULA(VLOOKUP(TRIM(SPLIT('Final Report'!A711, "","")), 'URL Details'!A:D, 4, FALSE)),"""") ), CHAR(10), """&amp;",""), ""\s*,\s*"", "",""), "","")))&lt;&gt;"""" ) ) ) ),"""")
"),"")</f>
        <v/>
      </c>
      <c r="D711" s="105"/>
      <c r="E711" s="105"/>
      <c r="F711" s="110" t="b">
        <v>0</v>
      </c>
      <c r="G711" s="105" t="str">
        <f>IF(F711=True, IFERROR(VLOOKUP(D711, Repository!A:B, 2, 0), ""), "")</f>
        <v/>
      </c>
      <c r="H711" s="105"/>
      <c r="I711" s="105"/>
      <c r="J711" s="105" t="str">
        <f>IF(F711=True, IFERROR(VLOOKUP(D711, Repository!A:C, 3, 0), ""), "")</f>
        <v/>
      </c>
      <c r="K711" s="105"/>
      <c r="L711" s="105" t="str">
        <f>IF(F711=True, IFERROR(VLOOKUP(D711, Repository!A:E, 5, 0), ""), "")</f>
        <v/>
      </c>
      <c r="M711" s="105"/>
      <c r="N711" s="105" t="str">
        <f>IF(F711=True, IFERROR(VLOOKUP(D711, Repository!A:G, 7, 0), ""), "")</f>
        <v/>
      </c>
      <c r="O711" s="105" t="str">
        <f>IFERROR(__xludf.DUMMYFUNCTION("ARRAY_CONSTRAIN(
  ARRAYFORMULA(
    IFERROR(
      LET(
        list, N711,
        arr, TRIM(SPLIT(list, "","")),
        names, XLOOKUP(
          arr,
          'Conformance Score'!A:A,
          'Conformance Score'!B:B,
          ""Not found""
      "&amp;"  ),
        TEXTJOIN("", "", TRUE, names)
      ),
      """"
    )
  ),
  1,
  1
)
"),"")</f>
        <v/>
      </c>
      <c r="P711" s="105" t="str">
        <f>IF(F711="Yes", IFERROR(VLOOKUP(D711, Repository!A:F, 6, 0), ""), "")</f>
        <v/>
      </c>
      <c r="Q711" s="105" t="str">
        <f>IF(F711="Yes", IFERROR(VLOOKUP(D711, Repository!A:I, 8, 0), ""), "")</f>
        <v/>
      </c>
      <c r="R711" s="105" t="str">
        <f>IF(F711="Yes", IFERROR(VLOOKUP(D711, Repository!A:J, 9, 0), ""), "")</f>
        <v/>
      </c>
      <c r="S711" s="105"/>
      <c r="T711" s="105"/>
      <c r="U711" s="105"/>
      <c r="V711" s="105"/>
      <c r="W711" s="105"/>
      <c r="X711" s="105"/>
      <c r="Y711" s="105"/>
      <c r="Z711" s="105"/>
      <c r="AA711" s="105"/>
      <c r="AB711" s="105"/>
      <c r="AC711" s="91"/>
      <c r="AD711" s="105"/>
      <c r="AE711" s="105"/>
      <c r="AF711" s="91"/>
      <c r="AG711" s="105"/>
      <c r="AH711" s="105"/>
      <c r="AI711" s="105" t="str">
        <f t="shared" si="1"/>
        <v/>
      </c>
      <c r="AJ711" s="108" t="str">
        <f t="shared" si="2"/>
        <v/>
      </c>
    </row>
    <row r="712" ht="15.75" customHeight="1">
      <c r="A712" s="104"/>
      <c r="B712" s="105" t="str">
        <f>IFERROR(__xludf.DUMMYFUNCTION("ARRAY_CONSTRAIN(
  ARRAYFORMULA(
    IF(
      'Final Report'!A712="""",
      """",
      TEXTJOIN(
        "", "" &amp; CHAR(10),
        TRUE,
        IFERROR(
          VLOOKUP(
            TRIM(
              SPLIT('Final Report'!A712, "","")
           "&amp;" ),
            'URL Details'!A:B,
            2,
            FALSE
          ),
          """"
        )
      )
    )
  ),
  1,
  1
)
"),"")</f>
        <v/>
      </c>
      <c r="C712" s="105" t="str">
        <f>IFERROR(__xludf.DUMMYFUNCTION("IFERROR(IF('Final Report'!A712="""","""", TEXTJOIN(CHAR(10), TRUE, ARRAYFORMULA( ""• ""&amp; FILTER( TRIM(FLATTEN(SPLIT( REGEXREPLACE( SUBSTITUTE(TEXTJOIN("","", TRUE, IFERROR(ARRAYFORMULA(VLOOKUP(TRIM(SPLIT('Final Report'!A712, "","")), 'URL Details'!A:D, 4,"&amp;" FALSE)),"""") ), CHAR(10), "",""), ""\s*,\s*"", "",""), "",""))), TRIM(FLATTEN(SPLIT( REGEXREPLACE( SUBSTITUTE(TEXTJOIN("","", TRUE, IFERROR(ARRAYFORMULA(VLOOKUP(TRIM(SPLIT('Final Report'!A712, "","")), 'URL Details'!A:D, 4, FALSE)),"""") ), CHAR(10), """&amp;",""), ""\s*,\s*"", "",""), "","")))&lt;&gt;"""" ) ) ) ),"""")
"),"")</f>
        <v/>
      </c>
      <c r="D712" s="105"/>
      <c r="E712" s="105"/>
      <c r="F712" s="110" t="b">
        <v>0</v>
      </c>
      <c r="G712" s="105" t="str">
        <f>IF(F712=True, IFERROR(VLOOKUP(D712, Repository!A:B, 2, 0), ""), "")</f>
        <v/>
      </c>
      <c r="H712" s="105"/>
      <c r="I712" s="105"/>
      <c r="J712" s="105" t="str">
        <f>IF(F712=True, IFERROR(VLOOKUP(D712, Repository!A:C, 3, 0), ""), "")</f>
        <v/>
      </c>
      <c r="K712" s="105"/>
      <c r="L712" s="105" t="str">
        <f>IF(F712=True, IFERROR(VLOOKUP(D712, Repository!A:E, 5, 0), ""), "")</f>
        <v/>
      </c>
      <c r="M712" s="105"/>
      <c r="N712" s="105" t="str">
        <f>IF(F712=True, IFERROR(VLOOKUP(D712, Repository!A:G, 7, 0), ""), "")</f>
        <v/>
      </c>
      <c r="O712" s="105" t="str">
        <f>IFERROR(__xludf.DUMMYFUNCTION("ARRAY_CONSTRAIN(
  ARRAYFORMULA(
    IFERROR(
      LET(
        list, N712,
        arr, TRIM(SPLIT(list, "","")),
        names, XLOOKUP(
          arr,
          'Conformance Score'!A:A,
          'Conformance Score'!B:B,
          ""Not found""
      "&amp;"  ),
        TEXTJOIN("", "", TRUE, names)
      ),
      """"
    )
  ),
  1,
  1
)
"),"")</f>
        <v/>
      </c>
      <c r="P712" s="105" t="str">
        <f>IF(F712="Yes", IFERROR(VLOOKUP(D712, Repository!A:F, 6, 0), ""), "")</f>
        <v/>
      </c>
      <c r="Q712" s="105" t="str">
        <f>IF(F712="Yes", IFERROR(VLOOKUP(D712, Repository!A:I, 8, 0), ""), "")</f>
        <v/>
      </c>
      <c r="R712" s="105" t="str">
        <f>IF(F712="Yes", IFERROR(VLOOKUP(D712, Repository!A:J, 9, 0), ""), "")</f>
        <v/>
      </c>
      <c r="S712" s="105"/>
      <c r="T712" s="105"/>
      <c r="U712" s="105"/>
      <c r="V712" s="105"/>
      <c r="W712" s="105"/>
      <c r="X712" s="105"/>
      <c r="Y712" s="105"/>
      <c r="Z712" s="105"/>
      <c r="AA712" s="105"/>
      <c r="AB712" s="105"/>
      <c r="AC712" s="91"/>
      <c r="AD712" s="105"/>
      <c r="AE712" s="105"/>
      <c r="AF712" s="91"/>
      <c r="AG712" s="105"/>
      <c r="AH712" s="105"/>
      <c r="AI712" s="105" t="str">
        <f t="shared" si="1"/>
        <v/>
      </c>
      <c r="AJ712" s="108" t="str">
        <f t="shared" si="2"/>
        <v/>
      </c>
    </row>
    <row r="713" ht="15.75" customHeight="1">
      <c r="A713" s="104"/>
      <c r="B713" s="105" t="str">
        <f>IFERROR(__xludf.DUMMYFUNCTION("ARRAY_CONSTRAIN(
  ARRAYFORMULA(
    IF(
      'Final Report'!A713="""",
      """",
      TEXTJOIN(
        "", "" &amp; CHAR(10),
        TRUE,
        IFERROR(
          VLOOKUP(
            TRIM(
              SPLIT('Final Report'!A713, "","")
           "&amp;" ),
            'URL Details'!A:B,
            2,
            FALSE
          ),
          """"
        )
      )
    )
  ),
  1,
  1
)
"),"")</f>
        <v/>
      </c>
      <c r="C713" s="105" t="str">
        <f>IFERROR(__xludf.DUMMYFUNCTION("IFERROR(IF('Final Report'!A713="""","""", TEXTJOIN(CHAR(10), TRUE, ARRAYFORMULA( ""• ""&amp; FILTER( TRIM(FLATTEN(SPLIT( REGEXREPLACE( SUBSTITUTE(TEXTJOIN("","", TRUE, IFERROR(ARRAYFORMULA(VLOOKUP(TRIM(SPLIT('Final Report'!A713, "","")), 'URL Details'!A:D, 4,"&amp;" FALSE)),"""") ), CHAR(10), "",""), ""\s*,\s*"", "",""), "",""))), TRIM(FLATTEN(SPLIT( REGEXREPLACE( SUBSTITUTE(TEXTJOIN("","", TRUE, IFERROR(ARRAYFORMULA(VLOOKUP(TRIM(SPLIT('Final Report'!A713, "","")), 'URL Details'!A:D, 4, FALSE)),"""") ), CHAR(10), """&amp;",""), ""\s*,\s*"", "",""), "","")))&lt;&gt;"""" ) ) ) ),"""")
"),"")</f>
        <v/>
      </c>
      <c r="D713" s="105"/>
      <c r="E713" s="105"/>
      <c r="F713" s="110" t="b">
        <v>0</v>
      </c>
      <c r="G713" s="105" t="str">
        <f>IF(F713=True, IFERROR(VLOOKUP(D713, Repository!A:B, 2, 0), ""), "")</f>
        <v/>
      </c>
      <c r="H713" s="105"/>
      <c r="I713" s="105"/>
      <c r="J713" s="105" t="str">
        <f>IF(F713=True, IFERROR(VLOOKUP(D713, Repository!A:C, 3, 0), ""), "")</f>
        <v/>
      </c>
      <c r="K713" s="105"/>
      <c r="L713" s="105" t="str">
        <f>IF(F713=True, IFERROR(VLOOKUP(D713, Repository!A:E, 5, 0), ""), "")</f>
        <v/>
      </c>
      <c r="M713" s="105"/>
      <c r="N713" s="105" t="str">
        <f>IF(F713=True, IFERROR(VLOOKUP(D713, Repository!A:G, 7, 0), ""), "")</f>
        <v/>
      </c>
      <c r="O713" s="105" t="str">
        <f>IFERROR(__xludf.DUMMYFUNCTION("ARRAY_CONSTRAIN(
  ARRAYFORMULA(
    IFERROR(
      LET(
        list, N713,
        arr, TRIM(SPLIT(list, "","")),
        names, XLOOKUP(
          arr,
          'Conformance Score'!A:A,
          'Conformance Score'!B:B,
          ""Not found""
      "&amp;"  ),
        TEXTJOIN("", "", TRUE, names)
      ),
      """"
    )
  ),
  1,
  1
)
"),"")</f>
        <v/>
      </c>
      <c r="P713" s="105" t="str">
        <f>IF(F713="Yes", IFERROR(VLOOKUP(D713, Repository!A:F, 6, 0), ""), "")</f>
        <v/>
      </c>
      <c r="Q713" s="105" t="str">
        <f>IF(F713="Yes", IFERROR(VLOOKUP(D713, Repository!A:I, 8, 0), ""), "")</f>
        <v/>
      </c>
      <c r="R713" s="105" t="str">
        <f>IF(F713="Yes", IFERROR(VLOOKUP(D713, Repository!A:J, 9, 0), ""), "")</f>
        <v/>
      </c>
      <c r="S713" s="105"/>
      <c r="T713" s="105"/>
      <c r="U713" s="105"/>
      <c r="V713" s="105"/>
      <c r="W713" s="105"/>
      <c r="X713" s="105"/>
      <c r="Y713" s="105"/>
      <c r="Z713" s="105"/>
      <c r="AA713" s="105"/>
      <c r="AB713" s="105"/>
      <c r="AC713" s="91"/>
      <c r="AD713" s="105"/>
      <c r="AE713" s="105"/>
      <c r="AF713" s="91"/>
      <c r="AG713" s="105"/>
      <c r="AH713" s="105"/>
      <c r="AI713" s="105" t="str">
        <f t="shared" si="1"/>
        <v/>
      </c>
      <c r="AJ713" s="108" t="str">
        <f t="shared" si="2"/>
        <v/>
      </c>
    </row>
    <row r="714" ht="15.75" customHeight="1">
      <c r="A714" s="104"/>
      <c r="B714" s="105" t="str">
        <f>IFERROR(__xludf.DUMMYFUNCTION("ARRAY_CONSTRAIN(
  ARRAYFORMULA(
    IF(
      'Final Report'!A714="""",
      """",
      TEXTJOIN(
        "", "" &amp; CHAR(10),
        TRUE,
        IFERROR(
          VLOOKUP(
            TRIM(
              SPLIT('Final Report'!A714, "","")
           "&amp;" ),
            'URL Details'!A:B,
            2,
            FALSE
          ),
          """"
        )
      )
    )
  ),
  1,
  1
)
"),"")</f>
        <v/>
      </c>
      <c r="C714" s="105" t="str">
        <f>IFERROR(__xludf.DUMMYFUNCTION("IFERROR(IF('Final Report'!A714="""","""", TEXTJOIN(CHAR(10), TRUE, ARRAYFORMULA( ""• ""&amp; FILTER( TRIM(FLATTEN(SPLIT( REGEXREPLACE( SUBSTITUTE(TEXTJOIN("","", TRUE, IFERROR(ARRAYFORMULA(VLOOKUP(TRIM(SPLIT('Final Report'!A714, "","")), 'URL Details'!A:D, 4,"&amp;" FALSE)),"""") ), CHAR(10), "",""), ""\s*,\s*"", "",""), "",""))), TRIM(FLATTEN(SPLIT( REGEXREPLACE( SUBSTITUTE(TEXTJOIN("","", TRUE, IFERROR(ARRAYFORMULA(VLOOKUP(TRIM(SPLIT('Final Report'!A714, "","")), 'URL Details'!A:D, 4, FALSE)),"""") ), CHAR(10), """&amp;",""), ""\s*,\s*"", "",""), "","")))&lt;&gt;"""" ) ) ) ),"""")
"),"")</f>
        <v/>
      </c>
      <c r="D714" s="105"/>
      <c r="E714" s="105"/>
      <c r="F714" s="110" t="b">
        <v>0</v>
      </c>
      <c r="G714" s="105" t="str">
        <f>IF(F714=True, IFERROR(VLOOKUP(D714, Repository!A:B, 2, 0), ""), "")</f>
        <v/>
      </c>
      <c r="H714" s="105"/>
      <c r="I714" s="105"/>
      <c r="J714" s="105" t="str">
        <f>IF(F714=True, IFERROR(VLOOKUP(D714, Repository!A:C, 3, 0), ""), "")</f>
        <v/>
      </c>
      <c r="K714" s="105"/>
      <c r="L714" s="105" t="str">
        <f>IF(F714=True, IFERROR(VLOOKUP(D714, Repository!A:E, 5, 0), ""), "")</f>
        <v/>
      </c>
      <c r="M714" s="105"/>
      <c r="N714" s="105" t="str">
        <f>IF(F714=True, IFERROR(VLOOKUP(D714, Repository!A:G, 7, 0), ""), "")</f>
        <v/>
      </c>
      <c r="O714" s="105" t="str">
        <f>IFERROR(__xludf.DUMMYFUNCTION("ARRAY_CONSTRAIN(
  ARRAYFORMULA(
    IFERROR(
      LET(
        list, N714,
        arr, TRIM(SPLIT(list, "","")),
        names, XLOOKUP(
          arr,
          'Conformance Score'!A:A,
          'Conformance Score'!B:B,
          ""Not found""
      "&amp;"  ),
        TEXTJOIN("", "", TRUE, names)
      ),
      """"
    )
  ),
  1,
  1
)
"),"")</f>
        <v/>
      </c>
      <c r="P714" s="105" t="str">
        <f>IF(F714="Yes", IFERROR(VLOOKUP(D714, Repository!A:F, 6, 0), ""), "")</f>
        <v/>
      </c>
      <c r="Q714" s="105" t="str">
        <f>IF(F714="Yes", IFERROR(VLOOKUP(D714, Repository!A:I, 8, 0), ""), "")</f>
        <v/>
      </c>
      <c r="R714" s="105" t="str">
        <f>IF(F714="Yes", IFERROR(VLOOKUP(D714, Repository!A:J, 9, 0), ""), "")</f>
        <v/>
      </c>
      <c r="S714" s="105"/>
      <c r="T714" s="105"/>
      <c r="U714" s="105"/>
      <c r="V714" s="105"/>
      <c r="W714" s="105"/>
      <c r="X714" s="105"/>
      <c r="Y714" s="105"/>
      <c r="Z714" s="105"/>
      <c r="AA714" s="105"/>
      <c r="AB714" s="105"/>
      <c r="AC714" s="91"/>
      <c r="AD714" s="105"/>
      <c r="AE714" s="105"/>
      <c r="AF714" s="91"/>
      <c r="AG714" s="105"/>
      <c r="AH714" s="105"/>
      <c r="AI714" s="105" t="str">
        <f t="shared" si="1"/>
        <v/>
      </c>
      <c r="AJ714" s="108" t="str">
        <f t="shared" si="2"/>
        <v/>
      </c>
    </row>
    <row r="715" ht="15.75" customHeight="1">
      <c r="A715" s="104"/>
      <c r="B715" s="105" t="str">
        <f>IFERROR(__xludf.DUMMYFUNCTION("ARRAY_CONSTRAIN(
  ARRAYFORMULA(
    IF(
      'Final Report'!A715="""",
      """",
      TEXTJOIN(
        "", "" &amp; CHAR(10),
        TRUE,
        IFERROR(
          VLOOKUP(
            TRIM(
              SPLIT('Final Report'!A715, "","")
           "&amp;" ),
            'URL Details'!A:B,
            2,
            FALSE
          ),
          """"
        )
      )
    )
  ),
  1,
  1
)
"),"")</f>
        <v/>
      </c>
      <c r="C715" s="105" t="str">
        <f>IFERROR(__xludf.DUMMYFUNCTION("IFERROR(IF('Final Report'!A715="""","""", TEXTJOIN(CHAR(10), TRUE, ARRAYFORMULA( ""• ""&amp; FILTER( TRIM(FLATTEN(SPLIT( REGEXREPLACE( SUBSTITUTE(TEXTJOIN("","", TRUE, IFERROR(ARRAYFORMULA(VLOOKUP(TRIM(SPLIT('Final Report'!A715, "","")), 'URL Details'!A:D, 4,"&amp;" FALSE)),"""") ), CHAR(10), "",""), ""\s*,\s*"", "",""), "",""))), TRIM(FLATTEN(SPLIT( REGEXREPLACE( SUBSTITUTE(TEXTJOIN("","", TRUE, IFERROR(ARRAYFORMULA(VLOOKUP(TRIM(SPLIT('Final Report'!A715, "","")), 'URL Details'!A:D, 4, FALSE)),"""") ), CHAR(10), """&amp;",""), ""\s*,\s*"", "",""), "","")))&lt;&gt;"""" ) ) ) ),"""")
"),"")</f>
        <v/>
      </c>
      <c r="D715" s="105"/>
      <c r="E715" s="105"/>
      <c r="F715" s="110" t="b">
        <v>0</v>
      </c>
      <c r="G715" s="105" t="str">
        <f>IF(F715=True, IFERROR(VLOOKUP(D715, Repository!A:B, 2, 0), ""), "")</f>
        <v/>
      </c>
      <c r="H715" s="105"/>
      <c r="I715" s="105"/>
      <c r="J715" s="105" t="str">
        <f>IF(F715=True, IFERROR(VLOOKUP(D715, Repository!A:C, 3, 0), ""), "")</f>
        <v/>
      </c>
      <c r="K715" s="105"/>
      <c r="L715" s="105" t="str">
        <f>IF(F715=True, IFERROR(VLOOKUP(D715, Repository!A:E, 5, 0), ""), "")</f>
        <v/>
      </c>
      <c r="M715" s="105"/>
      <c r="N715" s="105" t="str">
        <f>IF(F715=True, IFERROR(VLOOKUP(D715, Repository!A:G, 7, 0), ""), "")</f>
        <v/>
      </c>
      <c r="O715" s="105" t="str">
        <f>IFERROR(__xludf.DUMMYFUNCTION("ARRAY_CONSTRAIN(
  ARRAYFORMULA(
    IFERROR(
      LET(
        list, N715,
        arr, TRIM(SPLIT(list, "","")),
        names, XLOOKUP(
          arr,
          'Conformance Score'!A:A,
          'Conformance Score'!B:B,
          ""Not found""
      "&amp;"  ),
        TEXTJOIN("", "", TRUE, names)
      ),
      """"
    )
  ),
  1,
  1
)
"),"")</f>
        <v/>
      </c>
      <c r="P715" s="105" t="str">
        <f>IF(F715="Yes", IFERROR(VLOOKUP(D715, Repository!A:F, 6, 0), ""), "")</f>
        <v/>
      </c>
      <c r="Q715" s="105" t="str">
        <f>IF(F715="Yes", IFERROR(VLOOKUP(D715, Repository!A:I, 8, 0), ""), "")</f>
        <v/>
      </c>
      <c r="R715" s="105" t="str">
        <f>IF(F715="Yes", IFERROR(VLOOKUP(D715, Repository!A:J, 9, 0), ""), "")</f>
        <v/>
      </c>
      <c r="S715" s="105"/>
      <c r="T715" s="105"/>
      <c r="U715" s="105"/>
      <c r="V715" s="105"/>
      <c r="W715" s="105"/>
      <c r="X715" s="105"/>
      <c r="Y715" s="105"/>
      <c r="Z715" s="105"/>
      <c r="AA715" s="105"/>
      <c r="AB715" s="105"/>
      <c r="AC715" s="91"/>
      <c r="AD715" s="105"/>
      <c r="AE715" s="105"/>
      <c r="AF715" s="91"/>
      <c r="AG715" s="105"/>
      <c r="AH715" s="105"/>
      <c r="AI715" s="105" t="str">
        <f t="shared" si="1"/>
        <v/>
      </c>
      <c r="AJ715" s="108" t="str">
        <f t="shared" si="2"/>
        <v/>
      </c>
    </row>
    <row r="716" ht="15.75" customHeight="1">
      <c r="A716" s="104"/>
      <c r="B716" s="105" t="str">
        <f>IFERROR(__xludf.DUMMYFUNCTION("ARRAY_CONSTRAIN(
  ARRAYFORMULA(
    IF(
      'Final Report'!A716="""",
      """",
      TEXTJOIN(
        "", "" &amp; CHAR(10),
        TRUE,
        IFERROR(
          VLOOKUP(
            TRIM(
              SPLIT('Final Report'!A716, "","")
           "&amp;" ),
            'URL Details'!A:B,
            2,
            FALSE
          ),
          """"
        )
      )
    )
  ),
  1,
  1
)
"),"")</f>
        <v/>
      </c>
      <c r="C716" s="105" t="str">
        <f>IFERROR(__xludf.DUMMYFUNCTION("IFERROR(IF('Final Report'!A716="""","""", TEXTJOIN(CHAR(10), TRUE, ARRAYFORMULA( ""• ""&amp; FILTER( TRIM(FLATTEN(SPLIT( REGEXREPLACE( SUBSTITUTE(TEXTJOIN("","", TRUE, IFERROR(ARRAYFORMULA(VLOOKUP(TRIM(SPLIT('Final Report'!A716, "","")), 'URL Details'!A:D, 4,"&amp;" FALSE)),"""") ), CHAR(10), "",""), ""\s*,\s*"", "",""), "",""))), TRIM(FLATTEN(SPLIT( REGEXREPLACE( SUBSTITUTE(TEXTJOIN("","", TRUE, IFERROR(ARRAYFORMULA(VLOOKUP(TRIM(SPLIT('Final Report'!A716, "","")), 'URL Details'!A:D, 4, FALSE)),"""") ), CHAR(10), """&amp;",""), ""\s*,\s*"", "",""), "","")))&lt;&gt;"""" ) ) ) ),"""")
"),"")</f>
        <v/>
      </c>
      <c r="D716" s="105"/>
      <c r="E716" s="105"/>
      <c r="F716" s="110" t="b">
        <v>0</v>
      </c>
      <c r="G716" s="105" t="str">
        <f>IF(F716=True, IFERROR(VLOOKUP(D716, Repository!A:B, 2, 0), ""), "")</f>
        <v/>
      </c>
      <c r="H716" s="105"/>
      <c r="I716" s="105"/>
      <c r="J716" s="105" t="str">
        <f>IF(F716=True, IFERROR(VLOOKUP(D716, Repository!A:C, 3, 0), ""), "")</f>
        <v/>
      </c>
      <c r="K716" s="105"/>
      <c r="L716" s="105" t="str">
        <f>IF(F716=True, IFERROR(VLOOKUP(D716, Repository!A:E, 5, 0), ""), "")</f>
        <v/>
      </c>
      <c r="M716" s="105"/>
      <c r="N716" s="105" t="str">
        <f>IF(F716=True, IFERROR(VLOOKUP(D716, Repository!A:G, 7, 0), ""), "")</f>
        <v/>
      </c>
      <c r="O716" s="105" t="str">
        <f>IFERROR(__xludf.DUMMYFUNCTION("ARRAY_CONSTRAIN(
  ARRAYFORMULA(
    IFERROR(
      LET(
        list, N716,
        arr, TRIM(SPLIT(list, "","")),
        names, XLOOKUP(
          arr,
          'Conformance Score'!A:A,
          'Conformance Score'!B:B,
          ""Not found""
      "&amp;"  ),
        TEXTJOIN("", "", TRUE, names)
      ),
      """"
    )
  ),
  1,
  1
)
"),"")</f>
        <v/>
      </c>
      <c r="P716" s="105" t="str">
        <f>IF(F716="Yes", IFERROR(VLOOKUP(D716, Repository!A:F, 6, 0), ""), "")</f>
        <v/>
      </c>
      <c r="Q716" s="105" t="str">
        <f>IF(F716="Yes", IFERROR(VLOOKUP(D716, Repository!A:I, 8, 0), ""), "")</f>
        <v/>
      </c>
      <c r="R716" s="105" t="str">
        <f>IF(F716="Yes", IFERROR(VLOOKUP(D716, Repository!A:J, 9, 0), ""), "")</f>
        <v/>
      </c>
      <c r="S716" s="105"/>
      <c r="T716" s="105"/>
      <c r="U716" s="105"/>
      <c r="V716" s="105"/>
      <c r="W716" s="105"/>
      <c r="X716" s="105"/>
      <c r="Y716" s="105"/>
      <c r="Z716" s="105"/>
      <c r="AA716" s="105"/>
      <c r="AB716" s="105"/>
      <c r="AC716" s="91"/>
      <c r="AD716" s="105"/>
      <c r="AE716" s="105"/>
      <c r="AF716" s="91"/>
      <c r="AG716" s="105"/>
      <c r="AH716" s="105"/>
      <c r="AI716" s="105" t="str">
        <f t="shared" si="1"/>
        <v/>
      </c>
      <c r="AJ716" s="108" t="str">
        <f t="shared" si="2"/>
        <v/>
      </c>
    </row>
    <row r="717" ht="15.75" customHeight="1">
      <c r="A717" s="104"/>
      <c r="B717" s="105" t="str">
        <f>IFERROR(__xludf.DUMMYFUNCTION("ARRAY_CONSTRAIN(
  ARRAYFORMULA(
    IF(
      'Final Report'!A717="""",
      """",
      TEXTJOIN(
        "", "" &amp; CHAR(10),
        TRUE,
        IFERROR(
          VLOOKUP(
            TRIM(
              SPLIT('Final Report'!A717, "","")
           "&amp;" ),
            'URL Details'!A:B,
            2,
            FALSE
          ),
          """"
        )
      )
    )
  ),
  1,
  1
)
"),"")</f>
        <v/>
      </c>
      <c r="C717" s="105" t="str">
        <f>IFERROR(__xludf.DUMMYFUNCTION("IFERROR(IF('Final Report'!A717="""","""", TEXTJOIN(CHAR(10), TRUE, ARRAYFORMULA( ""• ""&amp; FILTER( TRIM(FLATTEN(SPLIT( REGEXREPLACE( SUBSTITUTE(TEXTJOIN("","", TRUE, IFERROR(ARRAYFORMULA(VLOOKUP(TRIM(SPLIT('Final Report'!A717, "","")), 'URL Details'!A:D, 4,"&amp;" FALSE)),"""") ), CHAR(10), "",""), ""\s*,\s*"", "",""), "",""))), TRIM(FLATTEN(SPLIT( REGEXREPLACE( SUBSTITUTE(TEXTJOIN("","", TRUE, IFERROR(ARRAYFORMULA(VLOOKUP(TRIM(SPLIT('Final Report'!A717, "","")), 'URL Details'!A:D, 4, FALSE)),"""") ), CHAR(10), """&amp;",""), ""\s*,\s*"", "",""), "","")))&lt;&gt;"""" ) ) ) ),"""")
"),"")</f>
        <v/>
      </c>
      <c r="D717" s="105"/>
      <c r="E717" s="105"/>
      <c r="F717" s="110" t="b">
        <v>0</v>
      </c>
      <c r="G717" s="105" t="str">
        <f>IF(F717=True, IFERROR(VLOOKUP(D717, Repository!A:B, 2, 0), ""), "")</f>
        <v/>
      </c>
      <c r="H717" s="105"/>
      <c r="I717" s="105"/>
      <c r="J717" s="105" t="str">
        <f>IF(F717=True, IFERROR(VLOOKUP(D717, Repository!A:C, 3, 0), ""), "")</f>
        <v/>
      </c>
      <c r="K717" s="105"/>
      <c r="L717" s="105" t="str">
        <f>IF(F717=True, IFERROR(VLOOKUP(D717, Repository!A:E, 5, 0), ""), "")</f>
        <v/>
      </c>
      <c r="M717" s="105"/>
      <c r="N717" s="105" t="str">
        <f>IF(F717=True, IFERROR(VLOOKUP(D717, Repository!A:G, 7, 0), ""), "")</f>
        <v/>
      </c>
      <c r="O717" s="105" t="str">
        <f>IFERROR(__xludf.DUMMYFUNCTION("ARRAY_CONSTRAIN(
  ARRAYFORMULA(
    IFERROR(
      LET(
        list, N717,
        arr, TRIM(SPLIT(list, "","")),
        names, XLOOKUP(
          arr,
          'Conformance Score'!A:A,
          'Conformance Score'!B:B,
          ""Not found""
      "&amp;"  ),
        TEXTJOIN("", "", TRUE, names)
      ),
      """"
    )
  ),
  1,
  1
)
"),"")</f>
        <v/>
      </c>
      <c r="P717" s="105" t="str">
        <f>IF(F717="Yes", IFERROR(VLOOKUP(D717, Repository!A:F, 6, 0), ""), "")</f>
        <v/>
      </c>
      <c r="Q717" s="105" t="str">
        <f>IF(F717="Yes", IFERROR(VLOOKUP(D717, Repository!A:I, 8, 0), ""), "")</f>
        <v/>
      </c>
      <c r="R717" s="105" t="str">
        <f>IF(F717="Yes", IFERROR(VLOOKUP(D717, Repository!A:J, 9, 0), ""), "")</f>
        <v/>
      </c>
      <c r="S717" s="105"/>
      <c r="T717" s="105"/>
      <c r="U717" s="105"/>
      <c r="V717" s="105"/>
      <c r="W717" s="105"/>
      <c r="X717" s="105"/>
      <c r="Y717" s="105"/>
      <c r="Z717" s="105"/>
      <c r="AA717" s="105"/>
      <c r="AB717" s="105"/>
      <c r="AC717" s="91"/>
      <c r="AD717" s="105"/>
      <c r="AE717" s="105"/>
      <c r="AF717" s="91"/>
      <c r="AG717" s="105"/>
      <c r="AH717" s="105"/>
      <c r="AI717" s="105" t="str">
        <f t="shared" si="1"/>
        <v/>
      </c>
      <c r="AJ717" s="108" t="str">
        <f t="shared" si="2"/>
        <v/>
      </c>
    </row>
    <row r="718" ht="15.75" customHeight="1">
      <c r="A718" s="104"/>
      <c r="B718" s="105" t="str">
        <f>IFERROR(__xludf.DUMMYFUNCTION("ARRAY_CONSTRAIN(
  ARRAYFORMULA(
    IF(
      'Final Report'!A718="""",
      """",
      TEXTJOIN(
        "", "" &amp; CHAR(10),
        TRUE,
        IFERROR(
          VLOOKUP(
            TRIM(
              SPLIT('Final Report'!A718, "","")
           "&amp;" ),
            'URL Details'!A:B,
            2,
            FALSE
          ),
          """"
        )
      )
    )
  ),
  1,
  1
)
"),"")</f>
        <v/>
      </c>
      <c r="C718" s="105" t="str">
        <f>IFERROR(__xludf.DUMMYFUNCTION("IFERROR(IF('Final Report'!A718="""","""", TEXTJOIN(CHAR(10), TRUE, ARRAYFORMULA( ""• ""&amp; FILTER( TRIM(FLATTEN(SPLIT( REGEXREPLACE( SUBSTITUTE(TEXTJOIN("","", TRUE, IFERROR(ARRAYFORMULA(VLOOKUP(TRIM(SPLIT('Final Report'!A718, "","")), 'URL Details'!A:D, 4,"&amp;" FALSE)),"""") ), CHAR(10), "",""), ""\s*,\s*"", "",""), "",""))), TRIM(FLATTEN(SPLIT( REGEXREPLACE( SUBSTITUTE(TEXTJOIN("","", TRUE, IFERROR(ARRAYFORMULA(VLOOKUP(TRIM(SPLIT('Final Report'!A718, "","")), 'URL Details'!A:D, 4, FALSE)),"""") ), CHAR(10), """&amp;",""), ""\s*,\s*"", "",""), "","")))&lt;&gt;"""" ) ) ) ),"""")
"),"")</f>
        <v/>
      </c>
      <c r="D718" s="105"/>
      <c r="E718" s="105"/>
      <c r="F718" s="110" t="b">
        <v>0</v>
      </c>
      <c r="G718" s="105" t="str">
        <f>IF(F718=True, IFERROR(VLOOKUP(D718, Repository!A:B, 2, 0), ""), "")</f>
        <v/>
      </c>
      <c r="H718" s="105"/>
      <c r="I718" s="105"/>
      <c r="J718" s="105" t="str">
        <f>IF(F718=True, IFERROR(VLOOKUP(D718, Repository!A:C, 3, 0), ""), "")</f>
        <v/>
      </c>
      <c r="K718" s="105"/>
      <c r="L718" s="105" t="str">
        <f>IF(F718=True, IFERROR(VLOOKUP(D718, Repository!A:E, 5, 0), ""), "")</f>
        <v/>
      </c>
      <c r="M718" s="105"/>
      <c r="N718" s="105" t="str">
        <f>IF(F718=True, IFERROR(VLOOKUP(D718, Repository!A:G, 7, 0), ""), "")</f>
        <v/>
      </c>
      <c r="O718" s="105" t="str">
        <f>IFERROR(__xludf.DUMMYFUNCTION("ARRAY_CONSTRAIN(
  ARRAYFORMULA(
    IFERROR(
      LET(
        list, N718,
        arr, TRIM(SPLIT(list, "","")),
        names, XLOOKUP(
          arr,
          'Conformance Score'!A:A,
          'Conformance Score'!B:B,
          ""Not found""
      "&amp;"  ),
        TEXTJOIN("", "", TRUE, names)
      ),
      """"
    )
  ),
  1,
  1
)
"),"")</f>
        <v/>
      </c>
      <c r="P718" s="105" t="str">
        <f>IF(F718="Yes", IFERROR(VLOOKUP(D718, Repository!A:F, 6, 0), ""), "")</f>
        <v/>
      </c>
      <c r="Q718" s="105" t="str">
        <f>IF(F718="Yes", IFERROR(VLOOKUP(D718, Repository!A:I, 8, 0), ""), "")</f>
        <v/>
      </c>
      <c r="R718" s="105" t="str">
        <f>IF(F718="Yes", IFERROR(VLOOKUP(D718, Repository!A:J, 9, 0), ""), "")</f>
        <v/>
      </c>
      <c r="S718" s="105"/>
      <c r="T718" s="105"/>
      <c r="U718" s="105"/>
      <c r="V718" s="105"/>
      <c r="W718" s="105"/>
      <c r="X718" s="105"/>
      <c r="Y718" s="105"/>
      <c r="Z718" s="105"/>
      <c r="AA718" s="105"/>
      <c r="AB718" s="105"/>
      <c r="AC718" s="91"/>
      <c r="AD718" s="105"/>
      <c r="AE718" s="105"/>
      <c r="AF718" s="91"/>
      <c r="AG718" s="105"/>
      <c r="AH718" s="105"/>
      <c r="AI718" s="105" t="str">
        <f t="shared" si="1"/>
        <v/>
      </c>
      <c r="AJ718" s="108" t="str">
        <f t="shared" si="2"/>
        <v/>
      </c>
    </row>
    <row r="719" ht="15.75" customHeight="1">
      <c r="A719" s="104"/>
      <c r="B719" s="105" t="str">
        <f>IFERROR(__xludf.DUMMYFUNCTION("ARRAY_CONSTRAIN(
  ARRAYFORMULA(
    IF(
      'Final Report'!A719="""",
      """",
      TEXTJOIN(
        "", "" &amp; CHAR(10),
        TRUE,
        IFERROR(
          VLOOKUP(
            TRIM(
              SPLIT('Final Report'!A719, "","")
           "&amp;" ),
            'URL Details'!A:B,
            2,
            FALSE
          ),
          """"
        )
      )
    )
  ),
  1,
  1
)
"),"")</f>
        <v/>
      </c>
      <c r="C719" s="105" t="str">
        <f>IFERROR(__xludf.DUMMYFUNCTION("IFERROR(IF('Final Report'!A719="""","""", TEXTJOIN(CHAR(10), TRUE, ARRAYFORMULA( ""• ""&amp; FILTER( TRIM(FLATTEN(SPLIT( REGEXREPLACE( SUBSTITUTE(TEXTJOIN("","", TRUE, IFERROR(ARRAYFORMULA(VLOOKUP(TRIM(SPLIT('Final Report'!A719, "","")), 'URL Details'!A:D, 4,"&amp;" FALSE)),"""") ), CHAR(10), "",""), ""\s*,\s*"", "",""), "",""))), TRIM(FLATTEN(SPLIT( REGEXREPLACE( SUBSTITUTE(TEXTJOIN("","", TRUE, IFERROR(ARRAYFORMULA(VLOOKUP(TRIM(SPLIT('Final Report'!A719, "","")), 'URL Details'!A:D, 4, FALSE)),"""") ), CHAR(10), """&amp;",""), ""\s*,\s*"", "",""), "","")))&lt;&gt;"""" ) ) ) ),"""")
"),"")</f>
        <v/>
      </c>
      <c r="D719" s="105"/>
      <c r="E719" s="105"/>
      <c r="F719" s="110" t="b">
        <v>0</v>
      </c>
      <c r="G719" s="105" t="str">
        <f>IF(F719=True, IFERROR(VLOOKUP(D719, Repository!A:B, 2, 0), ""), "")</f>
        <v/>
      </c>
      <c r="H719" s="105"/>
      <c r="I719" s="105"/>
      <c r="J719" s="105" t="str">
        <f>IF(F719=True, IFERROR(VLOOKUP(D719, Repository!A:C, 3, 0), ""), "")</f>
        <v/>
      </c>
      <c r="K719" s="105"/>
      <c r="L719" s="105" t="str">
        <f>IF(F719=True, IFERROR(VLOOKUP(D719, Repository!A:E, 5, 0), ""), "")</f>
        <v/>
      </c>
      <c r="M719" s="105"/>
      <c r="N719" s="105" t="str">
        <f>IF(F719=True, IFERROR(VLOOKUP(D719, Repository!A:G, 7, 0), ""), "")</f>
        <v/>
      </c>
      <c r="O719" s="105" t="str">
        <f>IFERROR(__xludf.DUMMYFUNCTION("ARRAY_CONSTRAIN(
  ARRAYFORMULA(
    IFERROR(
      LET(
        list, N719,
        arr, TRIM(SPLIT(list, "","")),
        names, XLOOKUP(
          arr,
          'Conformance Score'!A:A,
          'Conformance Score'!B:B,
          ""Not found""
      "&amp;"  ),
        TEXTJOIN("", "", TRUE, names)
      ),
      """"
    )
  ),
  1,
  1
)
"),"")</f>
        <v/>
      </c>
      <c r="P719" s="105" t="str">
        <f>IF(F719="Yes", IFERROR(VLOOKUP(D719, Repository!A:F, 6, 0), ""), "")</f>
        <v/>
      </c>
      <c r="Q719" s="105" t="str">
        <f>IF(F719="Yes", IFERROR(VLOOKUP(D719, Repository!A:I, 8, 0), ""), "")</f>
        <v/>
      </c>
      <c r="R719" s="105" t="str">
        <f>IF(F719="Yes", IFERROR(VLOOKUP(D719, Repository!A:J, 9, 0), ""), "")</f>
        <v/>
      </c>
      <c r="S719" s="105"/>
      <c r="T719" s="105"/>
      <c r="U719" s="105"/>
      <c r="V719" s="105"/>
      <c r="W719" s="105"/>
      <c r="X719" s="105"/>
      <c r="Y719" s="105"/>
      <c r="Z719" s="105"/>
      <c r="AA719" s="105"/>
      <c r="AB719" s="105"/>
      <c r="AC719" s="91"/>
      <c r="AD719" s="105"/>
      <c r="AE719" s="105"/>
      <c r="AF719" s="91"/>
      <c r="AG719" s="105"/>
      <c r="AH719" s="105"/>
      <c r="AI719" s="105" t="str">
        <f t="shared" si="1"/>
        <v/>
      </c>
      <c r="AJ719" s="108" t="str">
        <f t="shared" si="2"/>
        <v/>
      </c>
    </row>
    <row r="720" ht="15.75" customHeight="1">
      <c r="A720" s="104"/>
      <c r="B720" s="105" t="str">
        <f>IFERROR(__xludf.DUMMYFUNCTION("ARRAY_CONSTRAIN(
  ARRAYFORMULA(
    IF(
      'Final Report'!A720="""",
      """",
      TEXTJOIN(
        "", "" &amp; CHAR(10),
        TRUE,
        IFERROR(
          VLOOKUP(
            TRIM(
              SPLIT('Final Report'!A720, "","")
           "&amp;" ),
            'URL Details'!A:B,
            2,
            FALSE
          ),
          """"
        )
      )
    )
  ),
  1,
  1
)
"),"")</f>
        <v/>
      </c>
      <c r="C720" s="105" t="str">
        <f>IFERROR(__xludf.DUMMYFUNCTION("IFERROR(IF('Final Report'!A720="""","""", TEXTJOIN(CHAR(10), TRUE, ARRAYFORMULA( ""• ""&amp; FILTER( TRIM(FLATTEN(SPLIT( REGEXREPLACE( SUBSTITUTE(TEXTJOIN("","", TRUE, IFERROR(ARRAYFORMULA(VLOOKUP(TRIM(SPLIT('Final Report'!A720, "","")), 'URL Details'!A:D, 4,"&amp;" FALSE)),"""") ), CHAR(10), "",""), ""\s*,\s*"", "",""), "",""))), TRIM(FLATTEN(SPLIT( REGEXREPLACE( SUBSTITUTE(TEXTJOIN("","", TRUE, IFERROR(ARRAYFORMULA(VLOOKUP(TRIM(SPLIT('Final Report'!A720, "","")), 'URL Details'!A:D, 4, FALSE)),"""") ), CHAR(10), """&amp;",""), ""\s*,\s*"", "",""), "","")))&lt;&gt;"""" ) ) ) ),"""")
"),"")</f>
        <v/>
      </c>
      <c r="D720" s="105"/>
      <c r="E720" s="105"/>
      <c r="F720" s="110" t="b">
        <v>0</v>
      </c>
      <c r="G720" s="105" t="str">
        <f>IF(F720=True, IFERROR(VLOOKUP(D720, Repository!A:B, 2, 0), ""), "")</f>
        <v/>
      </c>
      <c r="H720" s="105"/>
      <c r="I720" s="105"/>
      <c r="J720" s="105" t="str">
        <f>IF(F720=True, IFERROR(VLOOKUP(D720, Repository!A:C, 3, 0), ""), "")</f>
        <v/>
      </c>
      <c r="K720" s="105"/>
      <c r="L720" s="105" t="str">
        <f>IF(F720=True, IFERROR(VLOOKUP(D720, Repository!A:E, 5, 0), ""), "")</f>
        <v/>
      </c>
      <c r="M720" s="105"/>
      <c r="N720" s="105" t="str">
        <f>IF(F720=True, IFERROR(VLOOKUP(D720, Repository!A:G, 7, 0), ""), "")</f>
        <v/>
      </c>
      <c r="O720" s="105" t="str">
        <f>IFERROR(__xludf.DUMMYFUNCTION("ARRAY_CONSTRAIN(
  ARRAYFORMULA(
    IFERROR(
      LET(
        list, N720,
        arr, TRIM(SPLIT(list, "","")),
        names, XLOOKUP(
          arr,
          'Conformance Score'!A:A,
          'Conformance Score'!B:B,
          ""Not found""
      "&amp;"  ),
        TEXTJOIN("", "", TRUE, names)
      ),
      """"
    )
  ),
  1,
  1
)
"),"")</f>
        <v/>
      </c>
      <c r="P720" s="105" t="str">
        <f>IF(F720="Yes", IFERROR(VLOOKUP(D720, Repository!A:F, 6, 0), ""), "")</f>
        <v/>
      </c>
      <c r="Q720" s="105" t="str">
        <f>IF(F720="Yes", IFERROR(VLOOKUP(D720, Repository!A:I, 8, 0), ""), "")</f>
        <v/>
      </c>
      <c r="R720" s="105" t="str">
        <f>IF(F720="Yes", IFERROR(VLOOKUP(D720, Repository!A:J, 9, 0), ""), "")</f>
        <v/>
      </c>
      <c r="S720" s="105"/>
      <c r="T720" s="105"/>
      <c r="U720" s="105"/>
      <c r="V720" s="105"/>
      <c r="W720" s="105"/>
      <c r="X720" s="105"/>
      <c r="Y720" s="105"/>
      <c r="Z720" s="105"/>
      <c r="AA720" s="105"/>
      <c r="AB720" s="105"/>
      <c r="AC720" s="91"/>
      <c r="AD720" s="105"/>
      <c r="AE720" s="105"/>
      <c r="AF720" s="91"/>
      <c r="AG720" s="105"/>
      <c r="AH720" s="105"/>
      <c r="AI720" s="105" t="str">
        <f t="shared" si="1"/>
        <v/>
      </c>
      <c r="AJ720" s="108" t="str">
        <f t="shared" si="2"/>
        <v/>
      </c>
    </row>
    <row r="721" ht="15.75" customHeight="1">
      <c r="A721" s="104"/>
      <c r="B721" s="105" t="str">
        <f>IFERROR(__xludf.DUMMYFUNCTION("ARRAY_CONSTRAIN(
  ARRAYFORMULA(
    IF(
      'Final Report'!A721="""",
      """",
      TEXTJOIN(
        "", "" &amp; CHAR(10),
        TRUE,
        IFERROR(
          VLOOKUP(
            TRIM(
              SPLIT('Final Report'!A721, "","")
           "&amp;" ),
            'URL Details'!A:B,
            2,
            FALSE
          ),
          """"
        )
      )
    )
  ),
  1,
  1
)
"),"")</f>
        <v/>
      </c>
      <c r="C721" s="105" t="str">
        <f>IFERROR(__xludf.DUMMYFUNCTION("IFERROR(IF('Final Report'!A721="""","""", TEXTJOIN(CHAR(10), TRUE, ARRAYFORMULA( ""• ""&amp; FILTER( TRIM(FLATTEN(SPLIT( REGEXREPLACE( SUBSTITUTE(TEXTJOIN("","", TRUE, IFERROR(ARRAYFORMULA(VLOOKUP(TRIM(SPLIT('Final Report'!A721, "","")), 'URL Details'!A:D, 4,"&amp;" FALSE)),"""") ), CHAR(10), "",""), ""\s*,\s*"", "",""), "",""))), TRIM(FLATTEN(SPLIT( REGEXREPLACE( SUBSTITUTE(TEXTJOIN("","", TRUE, IFERROR(ARRAYFORMULA(VLOOKUP(TRIM(SPLIT('Final Report'!A721, "","")), 'URL Details'!A:D, 4, FALSE)),"""") ), CHAR(10), """&amp;",""), ""\s*,\s*"", "",""), "","")))&lt;&gt;"""" ) ) ) ),"""")
"),"")</f>
        <v/>
      </c>
      <c r="D721" s="105"/>
      <c r="E721" s="105"/>
      <c r="F721" s="110" t="b">
        <v>0</v>
      </c>
      <c r="G721" s="105" t="str">
        <f>IF(F721=True, IFERROR(VLOOKUP(D721, Repository!A:B, 2, 0), ""), "")</f>
        <v/>
      </c>
      <c r="H721" s="105"/>
      <c r="I721" s="105"/>
      <c r="J721" s="105" t="str">
        <f>IF(F721=True, IFERROR(VLOOKUP(D721, Repository!A:C, 3, 0), ""), "")</f>
        <v/>
      </c>
      <c r="K721" s="105"/>
      <c r="L721" s="105" t="str">
        <f>IF(F721=True, IFERROR(VLOOKUP(D721, Repository!A:E, 5, 0), ""), "")</f>
        <v/>
      </c>
      <c r="M721" s="105"/>
      <c r="N721" s="105" t="str">
        <f>IF(F721=True, IFERROR(VLOOKUP(D721, Repository!A:G, 7, 0), ""), "")</f>
        <v/>
      </c>
      <c r="O721" s="105" t="str">
        <f>IFERROR(__xludf.DUMMYFUNCTION("ARRAY_CONSTRAIN(
  ARRAYFORMULA(
    IFERROR(
      LET(
        list, N721,
        arr, TRIM(SPLIT(list, "","")),
        names, XLOOKUP(
          arr,
          'Conformance Score'!A:A,
          'Conformance Score'!B:B,
          ""Not found""
      "&amp;"  ),
        TEXTJOIN("", "", TRUE, names)
      ),
      """"
    )
  ),
  1,
  1
)
"),"")</f>
        <v/>
      </c>
      <c r="P721" s="105" t="str">
        <f>IF(F721="Yes", IFERROR(VLOOKUP(D721, Repository!A:F, 6, 0), ""), "")</f>
        <v/>
      </c>
      <c r="Q721" s="105" t="str">
        <f>IF(F721="Yes", IFERROR(VLOOKUP(D721, Repository!A:I, 8, 0), ""), "")</f>
        <v/>
      </c>
      <c r="R721" s="105" t="str">
        <f>IF(F721="Yes", IFERROR(VLOOKUP(D721, Repository!A:J, 9, 0), ""), "")</f>
        <v/>
      </c>
      <c r="S721" s="105"/>
      <c r="T721" s="105"/>
      <c r="U721" s="105"/>
      <c r="V721" s="105"/>
      <c r="W721" s="105"/>
      <c r="X721" s="105"/>
      <c r="Y721" s="105"/>
      <c r="Z721" s="105"/>
      <c r="AA721" s="105"/>
      <c r="AB721" s="105"/>
      <c r="AC721" s="91"/>
      <c r="AD721" s="105"/>
      <c r="AE721" s="105"/>
      <c r="AF721" s="91"/>
      <c r="AG721" s="105"/>
      <c r="AH721" s="105"/>
      <c r="AI721" s="105" t="str">
        <f t="shared" si="1"/>
        <v/>
      </c>
      <c r="AJ721" s="108" t="str">
        <f t="shared" si="2"/>
        <v/>
      </c>
    </row>
    <row r="722" ht="15.75" customHeight="1">
      <c r="A722" s="104"/>
      <c r="B722" s="105" t="str">
        <f>IFERROR(__xludf.DUMMYFUNCTION("ARRAY_CONSTRAIN(
  ARRAYFORMULA(
    IF(
      'Final Report'!A722="""",
      """",
      TEXTJOIN(
        "", "" &amp; CHAR(10),
        TRUE,
        IFERROR(
          VLOOKUP(
            TRIM(
              SPLIT('Final Report'!A722, "","")
           "&amp;" ),
            'URL Details'!A:B,
            2,
            FALSE
          ),
          """"
        )
      )
    )
  ),
  1,
  1
)
"),"")</f>
        <v/>
      </c>
      <c r="C722" s="105" t="str">
        <f>IFERROR(__xludf.DUMMYFUNCTION("IFERROR(IF('Final Report'!A722="""","""", TEXTJOIN(CHAR(10), TRUE, ARRAYFORMULA( ""• ""&amp; FILTER( TRIM(FLATTEN(SPLIT( REGEXREPLACE( SUBSTITUTE(TEXTJOIN("","", TRUE, IFERROR(ARRAYFORMULA(VLOOKUP(TRIM(SPLIT('Final Report'!A722, "","")), 'URL Details'!A:D, 4,"&amp;" FALSE)),"""") ), CHAR(10), "",""), ""\s*,\s*"", "",""), "",""))), TRIM(FLATTEN(SPLIT( REGEXREPLACE( SUBSTITUTE(TEXTJOIN("","", TRUE, IFERROR(ARRAYFORMULA(VLOOKUP(TRIM(SPLIT('Final Report'!A722, "","")), 'URL Details'!A:D, 4, FALSE)),"""") ), CHAR(10), """&amp;",""), ""\s*,\s*"", "",""), "","")))&lt;&gt;"""" ) ) ) ),"""")
"),"")</f>
        <v/>
      </c>
      <c r="D722" s="105"/>
      <c r="E722" s="105"/>
      <c r="F722" s="110" t="b">
        <v>0</v>
      </c>
      <c r="G722" s="105" t="str">
        <f>IF(F722=True, IFERROR(VLOOKUP(D722, Repository!A:B, 2, 0), ""), "")</f>
        <v/>
      </c>
      <c r="H722" s="105"/>
      <c r="I722" s="105"/>
      <c r="J722" s="105" t="str">
        <f>IF(F722=True, IFERROR(VLOOKUP(D722, Repository!A:C, 3, 0), ""), "")</f>
        <v/>
      </c>
      <c r="K722" s="105"/>
      <c r="L722" s="105" t="str">
        <f>IF(F722=True, IFERROR(VLOOKUP(D722, Repository!A:E, 5, 0), ""), "")</f>
        <v/>
      </c>
      <c r="M722" s="105"/>
      <c r="N722" s="105" t="str">
        <f>IF(F722=True, IFERROR(VLOOKUP(D722, Repository!A:G, 7, 0), ""), "")</f>
        <v/>
      </c>
      <c r="O722" s="105" t="str">
        <f>IFERROR(__xludf.DUMMYFUNCTION("ARRAY_CONSTRAIN(
  ARRAYFORMULA(
    IFERROR(
      LET(
        list, N722,
        arr, TRIM(SPLIT(list, "","")),
        names, XLOOKUP(
          arr,
          'Conformance Score'!A:A,
          'Conformance Score'!B:B,
          ""Not found""
      "&amp;"  ),
        TEXTJOIN("", "", TRUE, names)
      ),
      """"
    )
  ),
  1,
  1
)
"),"")</f>
        <v/>
      </c>
      <c r="P722" s="105" t="str">
        <f>IF(F722="Yes", IFERROR(VLOOKUP(D722, Repository!A:F, 6, 0), ""), "")</f>
        <v/>
      </c>
      <c r="Q722" s="105" t="str">
        <f>IF(F722="Yes", IFERROR(VLOOKUP(D722, Repository!A:I, 8, 0), ""), "")</f>
        <v/>
      </c>
      <c r="R722" s="105" t="str">
        <f>IF(F722="Yes", IFERROR(VLOOKUP(D722, Repository!A:J, 9, 0), ""), "")</f>
        <v/>
      </c>
      <c r="S722" s="105"/>
      <c r="T722" s="105"/>
      <c r="U722" s="105"/>
      <c r="V722" s="105"/>
      <c r="W722" s="105"/>
      <c r="X722" s="105"/>
      <c r="Y722" s="105"/>
      <c r="Z722" s="105"/>
      <c r="AA722" s="105"/>
      <c r="AB722" s="105"/>
      <c r="AC722" s="91"/>
      <c r="AD722" s="105"/>
      <c r="AE722" s="105"/>
      <c r="AF722" s="91"/>
      <c r="AG722" s="105"/>
      <c r="AH722" s="105"/>
      <c r="AI722" s="105" t="str">
        <f t="shared" si="1"/>
        <v/>
      </c>
      <c r="AJ722" s="108" t="str">
        <f t="shared" si="2"/>
        <v/>
      </c>
    </row>
    <row r="723" ht="15.75" customHeight="1">
      <c r="A723" s="104"/>
      <c r="B723" s="105" t="str">
        <f>IFERROR(__xludf.DUMMYFUNCTION("ARRAY_CONSTRAIN(
  ARRAYFORMULA(
    IF(
      'Final Report'!A723="""",
      """",
      TEXTJOIN(
        "", "" &amp; CHAR(10),
        TRUE,
        IFERROR(
          VLOOKUP(
            TRIM(
              SPLIT('Final Report'!A723, "","")
           "&amp;" ),
            'URL Details'!A:B,
            2,
            FALSE
          ),
          """"
        )
      )
    )
  ),
  1,
  1
)
"),"")</f>
        <v/>
      </c>
      <c r="C723" s="105" t="str">
        <f>IFERROR(__xludf.DUMMYFUNCTION("IFERROR(IF('Final Report'!A723="""","""", TEXTJOIN(CHAR(10), TRUE, ARRAYFORMULA( ""• ""&amp; FILTER( TRIM(FLATTEN(SPLIT( REGEXREPLACE( SUBSTITUTE(TEXTJOIN("","", TRUE, IFERROR(ARRAYFORMULA(VLOOKUP(TRIM(SPLIT('Final Report'!A723, "","")), 'URL Details'!A:D, 4,"&amp;" FALSE)),"""") ), CHAR(10), "",""), ""\s*,\s*"", "",""), "",""))), TRIM(FLATTEN(SPLIT( REGEXREPLACE( SUBSTITUTE(TEXTJOIN("","", TRUE, IFERROR(ARRAYFORMULA(VLOOKUP(TRIM(SPLIT('Final Report'!A723, "","")), 'URL Details'!A:D, 4, FALSE)),"""") ), CHAR(10), """&amp;",""), ""\s*,\s*"", "",""), "","")))&lt;&gt;"""" ) ) ) ),"""")
"),"")</f>
        <v/>
      </c>
      <c r="D723" s="105"/>
      <c r="E723" s="105"/>
      <c r="F723" s="110" t="b">
        <v>0</v>
      </c>
      <c r="G723" s="105" t="str">
        <f>IF(F723=True, IFERROR(VLOOKUP(D723, Repository!A:B, 2, 0), ""), "")</f>
        <v/>
      </c>
      <c r="H723" s="105"/>
      <c r="I723" s="105"/>
      <c r="J723" s="105" t="str">
        <f>IF(F723=True, IFERROR(VLOOKUP(D723, Repository!A:C, 3, 0), ""), "")</f>
        <v/>
      </c>
      <c r="K723" s="105"/>
      <c r="L723" s="105" t="str">
        <f>IF(F723=True, IFERROR(VLOOKUP(D723, Repository!A:E, 5, 0), ""), "")</f>
        <v/>
      </c>
      <c r="M723" s="105"/>
      <c r="N723" s="105" t="str">
        <f>IF(F723=True, IFERROR(VLOOKUP(D723, Repository!A:G, 7, 0), ""), "")</f>
        <v/>
      </c>
      <c r="O723" s="105" t="str">
        <f>IFERROR(__xludf.DUMMYFUNCTION("ARRAY_CONSTRAIN(
  ARRAYFORMULA(
    IFERROR(
      LET(
        list, N723,
        arr, TRIM(SPLIT(list, "","")),
        names, XLOOKUP(
          arr,
          'Conformance Score'!A:A,
          'Conformance Score'!B:B,
          ""Not found""
      "&amp;"  ),
        TEXTJOIN("", "", TRUE, names)
      ),
      """"
    )
  ),
  1,
  1
)
"),"")</f>
        <v/>
      </c>
      <c r="P723" s="105" t="str">
        <f>IF(F723="Yes", IFERROR(VLOOKUP(D723, Repository!A:F, 6, 0), ""), "")</f>
        <v/>
      </c>
      <c r="Q723" s="105" t="str">
        <f>IF(F723="Yes", IFERROR(VLOOKUP(D723, Repository!A:I, 8, 0), ""), "")</f>
        <v/>
      </c>
      <c r="R723" s="105" t="str">
        <f>IF(F723="Yes", IFERROR(VLOOKUP(D723, Repository!A:J, 9, 0), ""), "")</f>
        <v/>
      </c>
      <c r="S723" s="105"/>
      <c r="T723" s="105"/>
      <c r="U723" s="105"/>
      <c r="V723" s="105"/>
      <c r="W723" s="105"/>
      <c r="X723" s="105"/>
      <c r="Y723" s="105"/>
      <c r="Z723" s="105"/>
      <c r="AA723" s="105"/>
      <c r="AB723" s="105"/>
      <c r="AC723" s="91"/>
      <c r="AD723" s="105"/>
      <c r="AE723" s="105"/>
      <c r="AF723" s="91"/>
      <c r="AG723" s="105"/>
      <c r="AH723" s="105"/>
      <c r="AI723" s="105" t="str">
        <f t="shared" si="1"/>
        <v/>
      </c>
      <c r="AJ723" s="108" t="str">
        <f t="shared" si="2"/>
        <v/>
      </c>
    </row>
    <row r="724" ht="15.75" customHeight="1">
      <c r="A724" s="104"/>
      <c r="B724" s="105" t="str">
        <f>IFERROR(__xludf.DUMMYFUNCTION("ARRAY_CONSTRAIN(
  ARRAYFORMULA(
    IF(
      'Final Report'!A724="""",
      """",
      TEXTJOIN(
        "", "" &amp; CHAR(10),
        TRUE,
        IFERROR(
          VLOOKUP(
            TRIM(
              SPLIT('Final Report'!A724, "","")
           "&amp;" ),
            'URL Details'!A:B,
            2,
            FALSE
          ),
          """"
        )
      )
    )
  ),
  1,
  1
)
"),"")</f>
        <v/>
      </c>
      <c r="C724" s="105" t="str">
        <f>IFERROR(__xludf.DUMMYFUNCTION("IFERROR(IF('Final Report'!A724="""","""", TEXTJOIN(CHAR(10), TRUE, ARRAYFORMULA( ""• ""&amp; FILTER( TRIM(FLATTEN(SPLIT( REGEXREPLACE( SUBSTITUTE(TEXTJOIN("","", TRUE, IFERROR(ARRAYFORMULA(VLOOKUP(TRIM(SPLIT('Final Report'!A724, "","")), 'URL Details'!A:D, 4,"&amp;" FALSE)),"""") ), CHAR(10), "",""), ""\s*,\s*"", "",""), "",""))), TRIM(FLATTEN(SPLIT( REGEXREPLACE( SUBSTITUTE(TEXTJOIN("","", TRUE, IFERROR(ARRAYFORMULA(VLOOKUP(TRIM(SPLIT('Final Report'!A724, "","")), 'URL Details'!A:D, 4, FALSE)),"""") ), CHAR(10), """&amp;",""), ""\s*,\s*"", "",""), "","")))&lt;&gt;"""" ) ) ) ),"""")
"),"")</f>
        <v/>
      </c>
      <c r="D724" s="105"/>
      <c r="E724" s="105"/>
      <c r="F724" s="110" t="b">
        <v>0</v>
      </c>
      <c r="G724" s="105" t="str">
        <f>IF(F724=True, IFERROR(VLOOKUP(D724, Repository!A:B, 2, 0), ""), "")</f>
        <v/>
      </c>
      <c r="H724" s="105"/>
      <c r="I724" s="105"/>
      <c r="J724" s="105" t="str">
        <f>IF(F724=True, IFERROR(VLOOKUP(D724, Repository!A:C, 3, 0), ""), "")</f>
        <v/>
      </c>
      <c r="K724" s="105"/>
      <c r="L724" s="105" t="str">
        <f>IF(F724=True, IFERROR(VLOOKUP(D724, Repository!A:E, 5, 0), ""), "")</f>
        <v/>
      </c>
      <c r="M724" s="105"/>
      <c r="N724" s="105" t="str">
        <f>IF(F724=True, IFERROR(VLOOKUP(D724, Repository!A:G, 7, 0), ""), "")</f>
        <v/>
      </c>
      <c r="O724" s="105" t="str">
        <f>IFERROR(__xludf.DUMMYFUNCTION("ARRAY_CONSTRAIN(
  ARRAYFORMULA(
    IFERROR(
      LET(
        list, N724,
        arr, TRIM(SPLIT(list, "","")),
        names, XLOOKUP(
          arr,
          'Conformance Score'!A:A,
          'Conformance Score'!B:B,
          ""Not found""
      "&amp;"  ),
        TEXTJOIN("", "", TRUE, names)
      ),
      """"
    )
  ),
  1,
  1
)
"),"")</f>
        <v/>
      </c>
      <c r="P724" s="105" t="str">
        <f>IF(F724="Yes", IFERROR(VLOOKUP(D724, Repository!A:F, 6, 0), ""), "")</f>
        <v/>
      </c>
      <c r="Q724" s="105" t="str">
        <f>IF(F724="Yes", IFERROR(VLOOKUP(D724, Repository!A:I, 8, 0), ""), "")</f>
        <v/>
      </c>
      <c r="R724" s="105" t="str">
        <f>IF(F724="Yes", IFERROR(VLOOKUP(D724, Repository!A:J, 9, 0), ""), "")</f>
        <v/>
      </c>
      <c r="S724" s="105"/>
      <c r="T724" s="105"/>
      <c r="U724" s="105"/>
      <c r="V724" s="105"/>
      <c r="W724" s="105"/>
      <c r="X724" s="105"/>
      <c r="Y724" s="105"/>
      <c r="Z724" s="105"/>
      <c r="AA724" s="105"/>
      <c r="AB724" s="105"/>
      <c r="AC724" s="91"/>
      <c r="AD724" s="105"/>
      <c r="AE724" s="105"/>
      <c r="AF724" s="91"/>
      <c r="AG724" s="105"/>
      <c r="AH724" s="105"/>
      <c r="AI724" s="105" t="str">
        <f t="shared" si="1"/>
        <v/>
      </c>
      <c r="AJ724" s="108" t="str">
        <f t="shared" si="2"/>
        <v/>
      </c>
    </row>
    <row r="725" ht="15.75" customHeight="1">
      <c r="A725" s="104"/>
      <c r="B725" s="105" t="str">
        <f>IFERROR(__xludf.DUMMYFUNCTION("ARRAY_CONSTRAIN(
  ARRAYFORMULA(
    IF(
      'Final Report'!A725="""",
      """",
      TEXTJOIN(
        "", "" &amp; CHAR(10),
        TRUE,
        IFERROR(
          VLOOKUP(
            TRIM(
              SPLIT('Final Report'!A725, "","")
           "&amp;" ),
            'URL Details'!A:B,
            2,
            FALSE
          ),
          """"
        )
      )
    )
  ),
  1,
  1
)
"),"")</f>
        <v/>
      </c>
      <c r="C725" s="105" t="str">
        <f>IFERROR(__xludf.DUMMYFUNCTION("IFERROR(IF('Final Report'!A725="""","""", TEXTJOIN(CHAR(10), TRUE, ARRAYFORMULA( ""• ""&amp; FILTER( TRIM(FLATTEN(SPLIT( REGEXREPLACE( SUBSTITUTE(TEXTJOIN("","", TRUE, IFERROR(ARRAYFORMULA(VLOOKUP(TRIM(SPLIT('Final Report'!A725, "","")), 'URL Details'!A:D, 4,"&amp;" FALSE)),"""") ), CHAR(10), "",""), ""\s*,\s*"", "",""), "",""))), TRIM(FLATTEN(SPLIT( REGEXREPLACE( SUBSTITUTE(TEXTJOIN("","", TRUE, IFERROR(ARRAYFORMULA(VLOOKUP(TRIM(SPLIT('Final Report'!A725, "","")), 'URL Details'!A:D, 4, FALSE)),"""") ), CHAR(10), """&amp;",""), ""\s*,\s*"", "",""), "","")))&lt;&gt;"""" ) ) ) ),"""")
"),"")</f>
        <v/>
      </c>
      <c r="D725" s="105"/>
      <c r="E725" s="105"/>
      <c r="F725" s="110" t="b">
        <v>0</v>
      </c>
      <c r="G725" s="105" t="str">
        <f>IF(F725=True, IFERROR(VLOOKUP(D725, Repository!A:B, 2, 0), ""), "")</f>
        <v/>
      </c>
      <c r="H725" s="105"/>
      <c r="I725" s="105"/>
      <c r="J725" s="105" t="str">
        <f>IF(F725=True, IFERROR(VLOOKUP(D725, Repository!A:C, 3, 0), ""), "")</f>
        <v/>
      </c>
      <c r="K725" s="105"/>
      <c r="L725" s="105" t="str">
        <f>IF(F725=True, IFERROR(VLOOKUP(D725, Repository!A:E, 5, 0), ""), "")</f>
        <v/>
      </c>
      <c r="M725" s="105"/>
      <c r="N725" s="105" t="str">
        <f>IF(F725=True, IFERROR(VLOOKUP(D725, Repository!A:G, 7, 0), ""), "")</f>
        <v/>
      </c>
      <c r="O725" s="105" t="str">
        <f>IFERROR(__xludf.DUMMYFUNCTION("ARRAY_CONSTRAIN(
  ARRAYFORMULA(
    IFERROR(
      LET(
        list, N725,
        arr, TRIM(SPLIT(list, "","")),
        names, XLOOKUP(
          arr,
          'Conformance Score'!A:A,
          'Conformance Score'!B:B,
          ""Not found""
      "&amp;"  ),
        TEXTJOIN("", "", TRUE, names)
      ),
      """"
    )
  ),
  1,
  1
)
"),"")</f>
        <v/>
      </c>
      <c r="P725" s="105" t="str">
        <f>IF(F725="Yes", IFERROR(VLOOKUP(D725, Repository!A:F, 6, 0), ""), "")</f>
        <v/>
      </c>
      <c r="Q725" s="105" t="str">
        <f>IF(F725="Yes", IFERROR(VLOOKUP(D725, Repository!A:I, 8, 0), ""), "")</f>
        <v/>
      </c>
      <c r="R725" s="105" t="str">
        <f>IF(F725="Yes", IFERROR(VLOOKUP(D725, Repository!A:J, 9, 0), ""), "")</f>
        <v/>
      </c>
      <c r="S725" s="105"/>
      <c r="T725" s="105"/>
      <c r="U725" s="105"/>
      <c r="V725" s="105"/>
      <c r="W725" s="105"/>
      <c r="X725" s="105"/>
      <c r="Y725" s="105"/>
      <c r="Z725" s="105"/>
      <c r="AA725" s="105"/>
      <c r="AB725" s="105"/>
      <c r="AC725" s="91"/>
      <c r="AD725" s="105"/>
      <c r="AE725" s="105"/>
      <c r="AF725" s="91"/>
      <c r="AG725" s="105"/>
      <c r="AH725" s="105"/>
      <c r="AI725" s="105" t="str">
        <f t="shared" si="1"/>
        <v/>
      </c>
      <c r="AJ725" s="108" t="str">
        <f t="shared" si="2"/>
        <v/>
      </c>
    </row>
    <row r="726" ht="15.75" customHeight="1">
      <c r="A726" s="104"/>
      <c r="B726" s="105" t="str">
        <f>IFERROR(__xludf.DUMMYFUNCTION("ARRAY_CONSTRAIN(
  ARRAYFORMULA(
    IF(
      'Final Report'!A726="""",
      """",
      TEXTJOIN(
        "", "" &amp; CHAR(10),
        TRUE,
        IFERROR(
          VLOOKUP(
            TRIM(
              SPLIT('Final Report'!A726, "","")
           "&amp;" ),
            'URL Details'!A:B,
            2,
            FALSE
          ),
          """"
        )
      )
    )
  ),
  1,
  1
)
"),"")</f>
        <v/>
      </c>
      <c r="C726" s="105" t="str">
        <f>IFERROR(__xludf.DUMMYFUNCTION("IFERROR(IF('Final Report'!A726="""","""", TEXTJOIN(CHAR(10), TRUE, ARRAYFORMULA( ""• ""&amp; FILTER( TRIM(FLATTEN(SPLIT( REGEXREPLACE( SUBSTITUTE(TEXTJOIN("","", TRUE, IFERROR(ARRAYFORMULA(VLOOKUP(TRIM(SPLIT('Final Report'!A726, "","")), 'URL Details'!A:D, 4,"&amp;" FALSE)),"""") ), CHAR(10), "",""), ""\s*,\s*"", "",""), "",""))), TRIM(FLATTEN(SPLIT( REGEXREPLACE( SUBSTITUTE(TEXTJOIN("","", TRUE, IFERROR(ARRAYFORMULA(VLOOKUP(TRIM(SPLIT('Final Report'!A726, "","")), 'URL Details'!A:D, 4, FALSE)),"""") ), CHAR(10), """&amp;",""), ""\s*,\s*"", "",""), "","")))&lt;&gt;"""" ) ) ) ),"""")
"),"")</f>
        <v/>
      </c>
      <c r="D726" s="105"/>
      <c r="E726" s="105"/>
      <c r="F726" s="110" t="b">
        <v>0</v>
      </c>
      <c r="G726" s="105" t="str">
        <f>IF(F726=True, IFERROR(VLOOKUP(D726, Repository!A:B, 2, 0), ""), "")</f>
        <v/>
      </c>
      <c r="H726" s="105"/>
      <c r="I726" s="105"/>
      <c r="J726" s="105" t="str">
        <f>IF(F726=True, IFERROR(VLOOKUP(D726, Repository!A:C, 3, 0), ""), "")</f>
        <v/>
      </c>
      <c r="K726" s="105"/>
      <c r="L726" s="105" t="str">
        <f>IF(F726=True, IFERROR(VLOOKUP(D726, Repository!A:E, 5, 0), ""), "")</f>
        <v/>
      </c>
      <c r="M726" s="105"/>
      <c r="N726" s="105" t="str">
        <f>IF(F726=True, IFERROR(VLOOKUP(D726, Repository!A:G, 7, 0), ""), "")</f>
        <v/>
      </c>
      <c r="O726" s="105" t="str">
        <f>IFERROR(__xludf.DUMMYFUNCTION("ARRAY_CONSTRAIN(
  ARRAYFORMULA(
    IFERROR(
      LET(
        list, N726,
        arr, TRIM(SPLIT(list, "","")),
        names, XLOOKUP(
          arr,
          'Conformance Score'!A:A,
          'Conformance Score'!B:B,
          ""Not found""
      "&amp;"  ),
        TEXTJOIN("", "", TRUE, names)
      ),
      """"
    )
  ),
  1,
  1
)
"),"")</f>
        <v/>
      </c>
      <c r="P726" s="105" t="str">
        <f>IF(F726="Yes", IFERROR(VLOOKUP(D726, Repository!A:F, 6, 0), ""), "")</f>
        <v/>
      </c>
      <c r="Q726" s="105" t="str">
        <f>IF(F726="Yes", IFERROR(VLOOKUP(D726, Repository!A:I, 8, 0), ""), "")</f>
        <v/>
      </c>
      <c r="R726" s="105" t="str">
        <f>IF(F726="Yes", IFERROR(VLOOKUP(D726, Repository!A:J, 9, 0), ""), "")</f>
        <v/>
      </c>
      <c r="S726" s="105"/>
      <c r="T726" s="105"/>
      <c r="U726" s="105"/>
      <c r="V726" s="105"/>
      <c r="W726" s="105"/>
      <c r="X726" s="105"/>
      <c r="Y726" s="105"/>
      <c r="Z726" s="105"/>
      <c r="AA726" s="105"/>
      <c r="AB726" s="105"/>
      <c r="AC726" s="91"/>
      <c r="AD726" s="105"/>
      <c r="AE726" s="105"/>
      <c r="AF726" s="91"/>
      <c r="AG726" s="105"/>
      <c r="AH726" s="105"/>
      <c r="AI726" s="105" t="str">
        <f t="shared" si="1"/>
        <v/>
      </c>
      <c r="AJ726" s="108" t="str">
        <f t="shared" si="2"/>
        <v/>
      </c>
    </row>
    <row r="727" ht="15.75" customHeight="1">
      <c r="A727" s="104"/>
      <c r="B727" s="105" t="str">
        <f>IFERROR(__xludf.DUMMYFUNCTION("ARRAY_CONSTRAIN(
  ARRAYFORMULA(
    IF(
      'Final Report'!A727="""",
      """",
      TEXTJOIN(
        "", "" &amp; CHAR(10),
        TRUE,
        IFERROR(
          VLOOKUP(
            TRIM(
              SPLIT('Final Report'!A727, "","")
           "&amp;" ),
            'URL Details'!A:B,
            2,
            FALSE
          ),
          """"
        )
      )
    )
  ),
  1,
  1
)
"),"")</f>
        <v/>
      </c>
      <c r="C727" s="105" t="str">
        <f>IFERROR(__xludf.DUMMYFUNCTION("IFERROR(IF('Final Report'!A727="""","""", TEXTJOIN(CHAR(10), TRUE, ARRAYFORMULA( ""• ""&amp; FILTER( TRIM(FLATTEN(SPLIT( REGEXREPLACE( SUBSTITUTE(TEXTJOIN("","", TRUE, IFERROR(ARRAYFORMULA(VLOOKUP(TRIM(SPLIT('Final Report'!A727, "","")), 'URL Details'!A:D, 4,"&amp;" FALSE)),"""") ), CHAR(10), "",""), ""\s*,\s*"", "",""), "",""))), TRIM(FLATTEN(SPLIT( REGEXREPLACE( SUBSTITUTE(TEXTJOIN("","", TRUE, IFERROR(ARRAYFORMULA(VLOOKUP(TRIM(SPLIT('Final Report'!A727, "","")), 'URL Details'!A:D, 4, FALSE)),"""") ), CHAR(10), """&amp;",""), ""\s*,\s*"", "",""), "","")))&lt;&gt;"""" ) ) ) ),"""")
"),"")</f>
        <v/>
      </c>
      <c r="D727" s="105"/>
      <c r="E727" s="105"/>
      <c r="F727" s="110" t="b">
        <v>0</v>
      </c>
      <c r="G727" s="105" t="str">
        <f>IF(F727=True, IFERROR(VLOOKUP(D727, Repository!A:B, 2, 0), ""), "")</f>
        <v/>
      </c>
      <c r="H727" s="105"/>
      <c r="I727" s="105"/>
      <c r="J727" s="105" t="str">
        <f>IF(F727=True, IFERROR(VLOOKUP(D727, Repository!A:C, 3, 0), ""), "")</f>
        <v/>
      </c>
      <c r="K727" s="105"/>
      <c r="L727" s="105" t="str">
        <f>IF(F727=True, IFERROR(VLOOKUP(D727, Repository!A:E, 5, 0), ""), "")</f>
        <v/>
      </c>
      <c r="M727" s="105"/>
      <c r="N727" s="105" t="str">
        <f>IF(F727=True, IFERROR(VLOOKUP(D727, Repository!A:G, 7, 0), ""), "")</f>
        <v/>
      </c>
      <c r="O727" s="105" t="str">
        <f>IFERROR(__xludf.DUMMYFUNCTION("ARRAY_CONSTRAIN(
  ARRAYFORMULA(
    IFERROR(
      LET(
        list, N727,
        arr, TRIM(SPLIT(list, "","")),
        names, XLOOKUP(
          arr,
          'Conformance Score'!A:A,
          'Conformance Score'!B:B,
          ""Not found""
      "&amp;"  ),
        TEXTJOIN("", "", TRUE, names)
      ),
      """"
    )
  ),
  1,
  1
)
"),"")</f>
        <v/>
      </c>
      <c r="P727" s="105" t="str">
        <f>IF(F727="Yes", IFERROR(VLOOKUP(D727, Repository!A:F, 6, 0), ""), "")</f>
        <v/>
      </c>
      <c r="Q727" s="105" t="str">
        <f>IF(F727="Yes", IFERROR(VLOOKUP(D727, Repository!A:I, 8, 0), ""), "")</f>
        <v/>
      </c>
      <c r="R727" s="105" t="str">
        <f>IF(F727="Yes", IFERROR(VLOOKUP(D727, Repository!A:J, 9, 0), ""), "")</f>
        <v/>
      </c>
      <c r="S727" s="105"/>
      <c r="T727" s="105"/>
      <c r="U727" s="105"/>
      <c r="V727" s="105"/>
      <c r="W727" s="105"/>
      <c r="X727" s="105"/>
      <c r="Y727" s="105"/>
      <c r="Z727" s="105"/>
      <c r="AA727" s="105"/>
      <c r="AB727" s="105"/>
      <c r="AC727" s="91"/>
      <c r="AD727" s="105"/>
      <c r="AE727" s="105"/>
      <c r="AF727" s="91"/>
      <c r="AG727" s="105"/>
      <c r="AH727" s="105"/>
      <c r="AI727" s="105" t="str">
        <f t="shared" si="1"/>
        <v/>
      </c>
      <c r="AJ727" s="108" t="str">
        <f t="shared" si="2"/>
        <v/>
      </c>
    </row>
    <row r="728" ht="15.75" customHeight="1">
      <c r="A728" s="104"/>
      <c r="B728" s="105" t="str">
        <f>IFERROR(__xludf.DUMMYFUNCTION("ARRAY_CONSTRAIN(
  ARRAYFORMULA(
    IF(
      'Final Report'!A728="""",
      """",
      TEXTJOIN(
        "", "" &amp; CHAR(10),
        TRUE,
        IFERROR(
          VLOOKUP(
            TRIM(
              SPLIT('Final Report'!A728, "","")
           "&amp;" ),
            'URL Details'!A:B,
            2,
            FALSE
          ),
          """"
        )
      )
    )
  ),
  1,
  1
)
"),"")</f>
        <v/>
      </c>
      <c r="C728" s="105" t="str">
        <f>IFERROR(__xludf.DUMMYFUNCTION("IFERROR(IF('Final Report'!A728="""","""", TEXTJOIN(CHAR(10), TRUE, ARRAYFORMULA( ""• ""&amp; FILTER( TRIM(FLATTEN(SPLIT( REGEXREPLACE( SUBSTITUTE(TEXTJOIN("","", TRUE, IFERROR(ARRAYFORMULA(VLOOKUP(TRIM(SPLIT('Final Report'!A728, "","")), 'URL Details'!A:D, 4,"&amp;" FALSE)),"""") ), CHAR(10), "",""), ""\s*,\s*"", "",""), "",""))), TRIM(FLATTEN(SPLIT( REGEXREPLACE( SUBSTITUTE(TEXTJOIN("","", TRUE, IFERROR(ARRAYFORMULA(VLOOKUP(TRIM(SPLIT('Final Report'!A728, "","")), 'URL Details'!A:D, 4, FALSE)),"""") ), CHAR(10), """&amp;",""), ""\s*,\s*"", "",""), "","")))&lt;&gt;"""" ) ) ) ),"""")
"),"")</f>
        <v/>
      </c>
      <c r="D728" s="105"/>
      <c r="E728" s="105"/>
      <c r="F728" s="110" t="b">
        <v>0</v>
      </c>
      <c r="G728" s="105" t="str">
        <f>IF(F728=True, IFERROR(VLOOKUP(D728, Repository!A:B, 2, 0), ""), "")</f>
        <v/>
      </c>
      <c r="H728" s="105"/>
      <c r="I728" s="105"/>
      <c r="J728" s="105" t="str">
        <f>IF(F728=True, IFERROR(VLOOKUP(D728, Repository!A:C, 3, 0), ""), "")</f>
        <v/>
      </c>
      <c r="K728" s="105"/>
      <c r="L728" s="105" t="str">
        <f>IF(F728=True, IFERROR(VLOOKUP(D728, Repository!A:E, 5, 0), ""), "")</f>
        <v/>
      </c>
      <c r="M728" s="105"/>
      <c r="N728" s="105" t="str">
        <f>IF(F728=True, IFERROR(VLOOKUP(D728, Repository!A:G, 7, 0), ""), "")</f>
        <v/>
      </c>
      <c r="O728" s="105" t="str">
        <f>IFERROR(__xludf.DUMMYFUNCTION("ARRAY_CONSTRAIN(
  ARRAYFORMULA(
    IFERROR(
      LET(
        list, N728,
        arr, TRIM(SPLIT(list, "","")),
        names, XLOOKUP(
          arr,
          'Conformance Score'!A:A,
          'Conformance Score'!B:B,
          ""Not found""
      "&amp;"  ),
        TEXTJOIN("", "", TRUE, names)
      ),
      """"
    )
  ),
  1,
  1
)
"),"")</f>
        <v/>
      </c>
      <c r="P728" s="105" t="str">
        <f>IF(F728="Yes", IFERROR(VLOOKUP(D728, Repository!A:F, 6, 0), ""), "")</f>
        <v/>
      </c>
      <c r="Q728" s="105" t="str">
        <f>IF(F728="Yes", IFERROR(VLOOKUP(D728, Repository!A:I, 8, 0), ""), "")</f>
        <v/>
      </c>
      <c r="R728" s="105" t="str">
        <f>IF(F728="Yes", IFERROR(VLOOKUP(D728, Repository!A:J, 9, 0), ""), "")</f>
        <v/>
      </c>
      <c r="S728" s="105"/>
      <c r="T728" s="105"/>
      <c r="U728" s="105"/>
      <c r="V728" s="105"/>
      <c r="W728" s="105"/>
      <c r="X728" s="105"/>
      <c r="Y728" s="105"/>
      <c r="Z728" s="105"/>
      <c r="AA728" s="105"/>
      <c r="AB728" s="105"/>
      <c r="AC728" s="91"/>
      <c r="AD728" s="105"/>
      <c r="AE728" s="105"/>
      <c r="AF728" s="91"/>
      <c r="AG728" s="105"/>
      <c r="AH728" s="105"/>
      <c r="AI728" s="105" t="str">
        <f t="shared" si="1"/>
        <v/>
      </c>
      <c r="AJ728" s="108" t="str">
        <f t="shared" si="2"/>
        <v/>
      </c>
    </row>
    <row r="729" ht="15.75" customHeight="1">
      <c r="A729" s="104"/>
      <c r="B729" s="105" t="str">
        <f>IFERROR(__xludf.DUMMYFUNCTION("ARRAY_CONSTRAIN(
  ARRAYFORMULA(
    IF(
      'Final Report'!A729="""",
      """",
      TEXTJOIN(
        "", "" &amp; CHAR(10),
        TRUE,
        IFERROR(
          VLOOKUP(
            TRIM(
              SPLIT('Final Report'!A729, "","")
           "&amp;" ),
            'URL Details'!A:B,
            2,
            FALSE
          ),
          """"
        )
      )
    )
  ),
  1,
  1
)
"),"")</f>
        <v/>
      </c>
      <c r="C729" s="105" t="str">
        <f>IFERROR(__xludf.DUMMYFUNCTION("IFERROR(IF('Final Report'!A729="""","""", TEXTJOIN(CHAR(10), TRUE, ARRAYFORMULA( ""• ""&amp; FILTER( TRIM(FLATTEN(SPLIT( REGEXREPLACE( SUBSTITUTE(TEXTJOIN("","", TRUE, IFERROR(ARRAYFORMULA(VLOOKUP(TRIM(SPLIT('Final Report'!A729, "","")), 'URL Details'!A:D, 4,"&amp;" FALSE)),"""") ), CHAR(10), "",""), ""\s*,\s*"", "",""), "",""))), TRIM(FLATTEN(SPLIT( REGEXREPLACE( SUBSTITUTE(TEXTJOIN("","", TRUE, IFERROR(ARRAYFORMULA(VLOOKUP(TRIM(SPLIT('Final Report'!A729, "","")), 'URL Details'!A:D, 4, FALSE)),"""") ), CHAR(10), """&amp;",""), ""\s*,\s*"", "",""), "","")))&lt;&gt;"""" ) ) ) ),"""")
"),"")</f>
        <v/>
      </c>
      <c r="D729" s="105"/>
      <c r="E729" s="105"/>
      <c r="F729" s="110" t="b">
        <v>0</v>
      </c>
      <c r="G729" s="105" t="str">
        <f>IF(F729=True, IFERROR(VLOOKUP(D729, Repository!A:B, 2, 0), ""), "")</f>
        <v/>
      </c>
      <c r="H729" s="105"/>
      <c r="I729" s="105"/>
      <c r="J729" s="105" t="str">
        <f>IF(F729=True, IFERROR(VLOOKUP(D729, Repository!A:C, 3, 0), ""), "")</f>
        <v/>
      </c>
      <c r="K729" s="105"/>
      <c r="L729" s="105" t="str">
        <f>IF(F729=True, IFERROR(VLOOKUP(D729, Repository!A:E, 5, 0), ""), "")</f>
        <v/>
      </c>
      <c r="M729" s="105"/>
      <c r="N729" s="105" t="str">
        <f>IF(F729=True, IFERROR(VLOOKUP(D729, Repository!A:G, 7, 0), ""), "")</f>
        <v/>
      </c>
      <c r="O729" s="105" t="str">
        <f>IFERROR(__xludf.DUMMYFUNCTION("ARRAY_CONSTRAIN(
  ARRAYFORMULA(
    IFERROR(
      LET(
        list, N729,
        arr, TRIM(SPLIT(list, "","")),
        names, XLOOKUP(
          arr,
          'Conformance Score'!A:A,
          'Conformance Score'!B:B,
          ""Not found""
      "&amp;"  ),
        TEXTJOIN("", "", TRUE, names)
      ),
      """"
    )
  ),
  1,
  1
)
"),"")</f>
        <v/>
      </c>
      <c r="P729" s="105" t="str">
        <f>IF(F729="Yes", IFERROR(VLOOKUP(D729, Repository!A:F, 6, 0), ""), "")</f>
        <v/>
      </c>
      <c r="Q729" s="105" t="str">
        <f>IF(F729="Yes", IFERROR(VLOOKUP(D729, Repository!A:I, 8, 0), ""), "")</f>
        <v/>
      </c>
      <c r="R729" s="105" t="str">
        <f>IF(F729="Yes", IFERROR(VLOOKUP(D729, Repository!A:J, 9, 0), ""), "")</f>
        <v/>
      </c>
      <c r="S729" s="105"/>
      <c r="T729" s="105"/>
      <c r="U729" s="105"/>
      <c r="V729" s="105"/>
      <c r="W729" s="105"/>
      <c r="X729" s="105"/>
      <c r="Y729" s="105"/>
      <c r="Z729" s="105"/>
      <c r="AA729" s="105"/>
      <c r="AB729" s="105"/>
      <c r="AC729" s="91"/>
      <c r="AD729" s="105"/>
      <c r="AE729" s="105"/>
      <c r="AF729" s="91"/>
      <c r="AG729" s="105"/>
      <c r="AH729" s="105"/>
      <c r="AI729" s="105" t="str">
        <f t="shared" si="1"/>
        <v/>
      </c>
      <c r="AJ729" s="108" t="str">
        <f t="shared" si="2"/>
        <v/>
      </c>
    </row>
    <row r="730" ht="15.75" customHeight="1">
      <c r="A730" s="104"/>
      <c r="B730" s="105" t="str">
        <f>IFERROR(__xludf.DUMMYFUNCTION("ARRAY_CONSTRAIN(
  ARRAYFORMULA(
    IF(
      'Final Report'!A730="""",
      """",
      TEXTJOIN(
        "", "" &amp; CHAR(10),
        TRUE,
        IFERROR(
          VLOOKUP(
            TRIM(
              SPLIT('Final Report'!A730, "","")
           "&amp;" ),
            'URL Details'!A:B,
            2,
            FALSE
          ),
          """"
        )
      )
    )
  ),
  1,
  1
)
"),"")</f>
        <v/>
      </c>
      <c r="C730" s="105" t="str">
        <f>IFERROR(__xludf.DUMMYFUNCTION("IFERROR(IF('Final Report'!A730="""","""", TEXTJOIN(CHAR(10), TRUE, ARRAYFORMULA( ""• ""&amp; FILTER( TRIM(FLATTEN(SPLIT( REGEXREPLACE( SUBSTITUTE(TEXTJOIN("","", TRUE, IFERROR(ARRAYFORMULA(VLOOKUP(TRIM(SPLIT('Final Report'!A730, "","")), 'URL Details'!A:D, 4,"&amp;" FALSE)),"""") ), CHAR(10), "",""), ""\s*,\s*"", "",""), "",""))), TRIM(FLATTEN(SPLIT( REGEXREPLACE( SUBSTITUTE(TEXTJOIN("","", TRUE, IFERROR(ARRAYFORMULA(VLOOKUP(TRIM(SPLIT('Final Report'!A730, "","")), 'URL Details'!A:D, 4, FALSE)),"""") ), CHAR(10), """&amp;",""), ""\s*,\s*"", "",""), "","")))&lt;&gt;"""" ) ) ) ),"""")
"),"")</f>
        <v/>
      </c>
      <c r="D730" s="105"/>
      <c r="E730" s="105"/>
      <c r="F730" s="110" t="b">
        <v>0</v>
      </c>
      <c r="G730" s="105" t="str">
        <f>IF(F730=True, IFERROR(VLOOKUP(D730, Repository!A:B, 2, 0), ""), "")</f>
        <v/>
      </c>
      <c r="H730" s="105"/>
      <c r="I730" s="105"/>
      <c r="J730" s="105" t="str">
        <f>IF(F730=True, IFERROR(VLOOKUP(D730, Repository!A:C, 3, 0), ""), "")</f>
        <v/>
      </c>
      <c r="K730" s="105"/>
      <c r="L730" s="105" t="str">
        <f>IF(F730=True, IFERROR(VLOOKUP(D730, Repository!A:E, 5, 0), ""), "")</f>
        <v/>
      </c>
      <c r="M730" s="105"/>
      <c r="N730" s="105" t="str">
        <f>IF(F730=True, IFERROR(VLOOKUP(D730, Repository!A:G, 7, 0), ""), "")</f>
        <v/>
      </c>
      <c r="O730" s="105" t="str">
        <f>IFERROR(__xludf.DUMMYFUNCTION("ARRAY_CONSTRAIN(
  ARRAYFORMULA(
    IFERROR(
      LET(
        list, N730,
        arr, TRIM(SPLIT(list, "","")),
        names, XLOOKUP(
          arr,
          'Conformance Score'!A:A,
          'Conformance Score'!B:B,
          ""Not found""
      "&amp;"  ),
        TEXTJOIN("", "", TRUE, names)
      ),
      """"
    )
  ),
  1,
  1
)
"),"")</f>
        <v/>
      </c>
      <c r="P730" s="105" t="str">
        <f>IF(F730="Yes", IFERROR(VLOOKUP(D730, Repository!A:F, 6, 0), ""), "")</f>
        <v/>
      </c>
      <c r="Q730" s="105" t="str">
        <f>IF(F730="Yes", IFERROR(VLOOKUP(D730, Repository!A:I, 8, 0), ""), "")</f>
        <v/>
      </c>
      <c r="R730" s="105" t="str">
        <f>IF(F730="Yes", IFERROR(VLOOKUP(D730, Repository!A:J, 9, 0), ""), "")</f>
        <v/>
      </c>
      <c r="S730" s="105"/>
      <c r="T730" s="105"/>
      <c r="U730" s="105"/>
      <c r="V730" s="105"/>
      <c r="W730" s="105"/>
      <c r="X730" s="105"/>
      <c r="Y730" s="105"/>
      <c r="Z730" s="105"/>
      <c r="AA730" s="105"/>
      <c r="AB730" s="105"/>
      <c r="AC730" s="91"/>
      <c r="AD730" s="105"/>
      <c r="AE730" s="105"/>
      <c r="AF730" s="91"/>
      <c r="AG730" s="105"/>
      <c r="AH730" s="105"/>
      <c r="AI730" s="105" t="str">
        <f t="shared" si="1"/>
        <v/>
      </c>
      <c r="AJ730" s="108" t="str">
        <f t="shared" si="2"/>
        <v/>
      </c>
    </row>
    <row r="731" ht="15.75" customHeight="1">
      <c r="A731" s="104"/>
      <c r="B731" s="105" t="str">
        <f>IFERROR(__xludf.DUMMYFUNCTION("ARRAY_CONSTRAIN(
  ARRAYFORMULA(
    IF(
      'Final Report'!A731="""",
      """",
      TEXTJOIN(
        "", "" &amp; CHAR(10),
        TRUE,
        IFERROR(
          VLOOKUP(
            TRIM(
              SPLIT('Final Report'!A731, "","")
           "&amp;" ),
            'URL Details'!A:B,
            2,
            FALSE
          ),
          """"
        )
      )
    )
  ),
  1,
  1
)
"),"")</f>
        <v/>
      </c>
      <c r="C731" s="105" t="str">
        <f>IFERROR(__xludf.DUMMYFUNCTION("IFERROR(IF('Final Report'!A731="""","""", TEXTJOIN(CHAR(10), TRUE, ARRAYFORMULA( ""• ""&amp; FILTER( TRIM(FLATTEN(SPLIT( REGEXREPLACE( SUBSTITUTE(TEXTJOIN("","", TRUE, IFERROR(ARRAYFORMULA(VLOOKUP(TRIM(SPLIT('Final Report'!A731, "","")), 'URL Details'!A:D, 4,"&amp;" FALSE)),"""") ), CHAR(10), "",""), ""\s*,\s*"", "",""), "",""))), TRIM(FLATTEN(SPLIT( REGEXREPLACE( SUBSTITUTE(TEXTJOIN("","", TRUE, IFERROR(ARRAYFORMULA(VLOOKUP(TRIM(SPLIT('Final Report'!A731, "","")), 'URL Details'!A:D, 4, FALSE)),"""") ), CHAR(10), """&amp;",""), ""\s*,\s*"", "",""), "","")))&lt;&gt;"""" ) ) ) ),"""")
"),"")</f>
        <v/>
      </c>
      <c r="D731" s="105"/>
      <c r="E731" s="105"/>
      <c r="F731" s="110" t="b">
        <v>0</v>
      </c>
      <c r="G731" s="105" t="str">
        <f>IF(F731=True, IFERROR(VLOOKUP(D731, Repository!A:B, 2, 0), ""), "")</f>
        <v/>
      </c>
      <c r="H731" s="105"/>
      <c r="I731" s="105"/>
      <c r="J731" s="105" t="str">
        <f>IF(F731=True, IFERROR(VLOOKUP(D731, Repository!A:C, 3, 0), ""), "")</f>
        <v/>
      </c>
      <c r="K731" s="105"/>
      <c r="L731" s="105" t="str">
        <f>IF(F731=True, IFERROR(VLOOKUP(D731, Repository!A:E, 5, 0), ""), "")</f>
        <v/>
      </c>
      <c r="M731" s="105"/>
      <c r="N731" s="105" t="str">
        <f>IF(F731=True, IFERROR(VLOOKUP(D731, Repository!A:G, 7, 0), ""), "")</f>
        <v/>
      </c>
      <c r="O731" s="105" t="str">
        <f>IFERROR(__xludf.DUMMYFUNCTION("ARRAY_CONSTRAIN(
  ARRAYFORMULA(
    IFERROR(
      LET(
        list, N731,
        arr, TRIM(SPLIT(list, "","")),
        names, XLOOKUP(
          arr,
          'Conformance Score'!A:A,
          'Conformance Score'!B:B,
          ""Not found""
      "&amp;"  ),
        TEXTJOIN("", "", TRUE, names)
      ),
      """"
    )
  ),
  1,
  1
)
"),"")</f>
        <v/>
      </c>
      <c r="P731" s="105" t="str">
        <f>IF(F731="Yes", IFERROR(VLOOKUP(D731, Repository!A:F, 6, 0), ""), "")</f>
        <v/>
      </c>
      <c r="Q731" s="105" t="str">
        <f>IF(F731="Yes", IFERROR(VLOOKUP(D731, Repository!A:I, 8, 0), ""), "")</f>
        <v/>
      </c>
      <c r="R731" s="105" t="str">
        <f>IF(F731="Yes", IFERROR(VLOOKUP(D731, Repository!A:J, 9, 0), ""), "")</f>
        <v/>
      </c>
      <c r="S731" s="105"/>
      <c r="T731" s="105"/>
      <c r="U731" s="105"/>
      <c r="V731" s="105"/>
      <c r="W731" s="105"/>
      <c r="X731" s="105"/>
      <c r="Y731" s="105"/>
      <c r="Z731" s="105"/>
      <c r="AA731" s="105"/>
      <c r="AB731" s="105"/>
      <c r="AC731" s="91"/>
      <c r="AD731" s="105"/>
      <c r="AE731" s="105"/>
      <c r="AF731" s="91"/>
      <c r="AG731" s="105"/>
      <c r="AH731" s="105"/>
      <c r="AI731" s="105" t="str">
        <f t="shared" si="1"/>
        <v/>
      </c>
      <c r="AJ731" s="108" t="str">
        <f t="shared" si="2"/>
        <v/>
      </c>
    </row>
    <row r="732" ht="15.75" customHeight="1">
      <c r="A732" s="104"/>
      <c r="B732" s="105" t="str">
        <f>IFERROR(__xludf.DUMMYFUNCTION("ARRAY_CONSTRAIN(
  ARRAYFORMULA(
    IF(
      'Final Report'!A732="""",
      """",
      TEXTJOIN(
        "", "" &amp; CHAR(10),
        TRUE,
        IFERROR(
          VLOOKUP(
            TRIM(
              SPLIT('Final Report'!A732, "","")
           "&amp;" ),
            'URL Details'!A:B,
            2,
            FALSE
          ),
          """"
        )
      )
    )
  ),
  1,
  1
)
"),"")</f>
        <v/>
      </c>
      <c r="C732" s="105" t="str">
        <f>IFERROR(__xludf.DUMMYFUNCTION("IFERROR(IF('Final Report'!A732="""","""", TEXTJOIN(CHAR(10), TRUE, ARRAYFORMULA( ""• ""&amp; FILTER( TRIM(FLATTEN(SPLIT( REGEXREPLACE( SUBSTITUTE(TEXTJOIN("","", TRUE, IFERROR(ARRAYFORMULA(VLOOKUP(TRIM(SPLIT('Final Report'!A732, "","")), 'URL Details'!A:D, 4,"&amp;" FALSE)),"""") ), CHAR(10), "",""), ""\s*,\s*"", "",""), "",""))), TRIM(FLATTEN(SPLIT( REGEXREPLACE( SUBSTITUTE(TEXTJOIN("","", TRUE, IFERROR(ARRAYFORMULA(VLOOKUP(TRIM(SPLIT('Final Report'!A732, "","")), 'URL Details'!A:D, 4, FALSE)),"""") ), CHAR(10), """&amp;",""), ""\s*,\s*"", "",""), "","")))&lt;&gt;"""" ) ) ) ),"""")
"),"")</f>
        <v/>
      </c>
      <c r="D732" s="105"/>
      <c r="E732" s="105"/>
      <c r="F732" s="110" t="b">
        <v>0</v>
      </c>
      <c r="G732" s="105" t="str">
        <f>IF(F732=True, IFERROR(VLOOKUP(D732, Repository!A:B, 2, 0), ""), "")</f>
        <v/>
      </c>
      <c r="H732" s="105"/>
      <c r="I732" s="105"/>
      <c r="J732" s="105" t="str">
        <f>IF(F732=True, IFERROR(VLOOKUP(D732, Repository!A:C, 3, 0), ""), "")</f>
        <v/>
      </c>
      <c r="K732" s="105"/>
      <c r="L732" s="105" t="str">
        <f>IF(F732=True, IFERROR(VLOOKUP(D732, Repository!A:E, 5, 0), ""), "")</f>
        <v/>
      </c>
      <c r="M732" s="105"/>
      <c r="N732" s="105" t="str">
        <f>IF(F732=True, IFERROR(VLOOKUP(D732, Repository!A:G, 7, 0), ""), "")</f>
        <v/>
      </c>
      <c r="O732" s="105" t="str">
        <f>IFERROR(__xludf.DUMMYFUNCTION("ARRAY_CONSTRAIN(
  ARRAYFORMULA(
    IFERROR(
      LET(
        list, N732,
        arr, TRIM(SPLIT(list, "","")),
        names, XLOOKUP(
          arr,
          'Conformance Score'!A:A,
          'Conformance Score'!B:B,
          ""Not found""
      "&amp;"  ),
        TEXTJOIN("", "", TRUE, names)
      ),
      """"
    )
  ),
  1,
  1
)
"),"")</f>
        <v/>
      </c>
      <c r="P732" s="105" t="str">
        <f>IF(F732="Yes", IFERROR(VLOOKUP(D732, Repository!A:F, 6, 0), ""), "")</f>
        <v/>
      </c>
      <c r="Q732" s="105" t="str">
        <f>IF(F732="Yes", IFERROR(VLOOKUP(D732, Repository!A:I, 8, 0), ""), "")</f>
        <v/>
      </c>
      <c r="R732" s="105" t="str">
        <f>IF(F732="Yes", IFERROR(VLOOKUP(D732, Repository!A:J, 9, 0), ""), "")</f>
        <v/>
      </c>
      <c r="S732" s="105"/>
      <c r="T732" s="105"/>
      <c r="U732" s="105"/>
      <c r="V732" s="105"/>
      <c r="W732" s="105"/>
      <c r="X732" s="105"/>
      <c r="Y732" s="105"/>
      <c r="Z732" s="105"/>
      <c r="AA732" s="105"/>
      <c r="AB732" s="105"/>
      <c r="AC732" s="91"/>
      <c r="AD732" s="105"/>
      <c r="AE732" s="105"/>
      <c r="AF732" s="91"/>
      <c r="AG732" s="105"/>
      <c r="AH732" s="105"/>
      <c r="AI732" s="105" t="str">
        <f t="shared" si="1"/>
        <v/>
      </c>
      <c r="AJ732" s="108" t="str">
        <f t="shared" si="2"/>
        <v/>
      </c>
    </row>
    <row r="733" ht="15.75" customHeight="1">
      <c r="A733" s="104"/>
      <c r="B733" s="105" t="str">
        <f>IFERROR(__xludf.DUMMYFUNCTION("ARRAY_CONSTRAIN(
  ARRAYFORMULA(
    IF(
      'Final Report'!A733="""",
      """",
      TEXTJOIN(
        "", "" &amp; CHAR(10),
        TRUE,
        IFERROR(
          VLOOKUP(
            TRIM(
              SPLIT('Final Report'!A733, "","")
           "&amp;" ),
            'URL Details'!A:B,
            2,
            FALSE
          ),
          """"
        )
      )
    )
  ),
  1,
  1
)
"),"")</f>
        <v/>
      </c>
      <c r="C733" s="105" t="str">
        <f>IFERROR(__xludf.DUMMYFUNCTION("IFERROR(IF('Final Report'!A733="""","""", TEXTJOIN(CHAR(10), TRUE, ARRAYFORMULA( ""• ""&amp; FILTER( TRIM(FLATTEN(SPLIT( REGEXREPLACE( SUBSTITUTE(TEXTJOIN("","", TRUE, IFERROR(ARRAYFORMULA(VLOOKUP(TRIM(SPLIT('Final Report'!A733, "","")), 'URL Details'!A:D, 4,"&amp;" FALSE)),"""") ), CHAR(10), "",""), ""\s*,\s*"", "",""), "",""))), TRIM(FLATTEN(SPLIT( REGEXREPLACE( SUBSTITUTE(TEXTJOIN("","", TRUE, IFERROR(ARRAYFORMULA(VLOOKUP(TRIM(SPLIT('Final Report'!A733, "","")), 'URL Details'!A:D, 4, FALSE)),"""") ), CHAR(10), """&amp;",""), ""\s*,\s*"", "",""), "","")))&lt;&gt;"""" ) ) ) ),"""")
"),"")</f>
        <v/>
      </c>
      <c r="D733" s="105"/>
      <c r="E733" s="105"/>
      <c r="F733" s="110" t="b">
        <v>0</v>
      </c>
      <c r="G733" s="105" t="str">
        <f>IF(F733=True, IFERROR(VLOOKUP(D733, Repository!A:B, 2, 0), ""), "")</f>
        <v/>
      </c>
      <c r="H733" s="105"/>
      <c r="I733" s="105"/>
      <c r="J733" s="105" t="str">
        <f>IF(F733=True, IFERROR(VLOOKUP(D733, Repository!A:C, 3, 0), ""), "")</f>
        <v/>
      </c>
      <c r="K733" s="105"/>
      <c r="L733" s="105" t="str">
        <f>IF(F733=True, IFERROR(VLOOKUP(D733, Repository!A:E, 5, 0), ""), "")</f>
        <v/>
      </c>
      <c r="M733" s="105"/>
      <c r="N733" s="105" t="str">
        <f>IF(F733=True, IFERROR(VLOOKUP(D733, Repository!A:G, 7, 0), ""), "")</f>
        <v/>
      </c>
      <c r="O733" s="105" t="str">
        <f>IFERROR(__xludf.DUMMYFUNCTION("ARRAY_CONSTRAIN(
  ARRAYFORMULA(
    IFERROR(
      LET(
        list, N733,
        arr, TRIM(SPLIT(list, "","")),
        names, XLOOKUP(
          arr,
          'Conformance Score'!A:A,
          'Conformance Score'!B:B,
          ""Not found""
      "&amp;"  ),
        TEXTJOIN("", "", TRUE, names)
      ),
      """"
    )
  ),
  1,
  1
)
"),"")</f>
        <v/>
      </c>
      <c r="P733" s="105" t="str">
        <f>IF(F733="Yes", IFERROR(VLOOKUP(D733, Repository!A:F, 6, 0), ""), "")</f>
        <v/>
      </c>
      <c r="Q733" s="105" t="str">
        <f>IF(F733="Yes", IFERROR(VLOOKUP(D733, Repository!A:I, 8, 0), ""), "")</f>
        <v/>
      </c>
      <c r="R733" s="105" t="str">
        <f>IF(F733="Yes", IFERROR(VLOOKUP(D733, Repository!A:J, 9, 0), ""), "")</f>
        <v/>
      </c>
      <c r="S733" s="105"/>
      <c r="T733" s="105"/>
      <c r="U733" s="105"/>
      <c r="V733" s="105"/>
      <c r="W733" s="105"/>
      <c r="X733" s="105"/>
      <c r="Y733" s="105"/>
      <c r="Z733" s="105"/>
      <c r="AA733" s="105"/>
      <c r="AB733" s="105"/>
      <c r="AC733" s="91"/>
      <c r="AD733" s="105"/>
      <c r="AE733" s="105"/>
      <c r="AF733" s="91"/>
      <c r="AG733" s="105"/>
      <c r="AH733" s="105"/>
      <c r="AI733" s="105" t="str">
        <f t="shared" si="1"/>
        <v/>
      </c>
      <c r="AJ733" s="108" t="str">
        <f t="shared" si="2"/>
        <v/>
      </c>
    </row>
    <row r="734" ht="15.75" customHeight="1">
      <c r="A734" s="104"/>
      <c r="B734" s="105" t="str">
        <f>IFERROR(__xludf.DUMMYFUNCTION("ARRAY_CONSTRAIN(
  ARRAYFORMULA(
    IF(
      'Final Report'!A734="""",
      """",
      TEXTJOIN(
        "", "" &amp; CHAR(10),
        TRUE,
        IFERROR(
          VLOOKUP(
            TRIM(
              SPLIT('Final Report'!A734, "","")
           "&amp;" ),
            'URL Details'!A:B,
            2,
            FALSE
          ),
          """"
        )
      )
    )
  ),
  1,
  1
)
"),"")</f>
        <v/>
      </c>
      <c r="C734" s="105" t="str">
        <f>IFERROR(__xludf.DUMMYFUNCTION("IFERROR(IF('Final Report'!A734="""","""", TEXTJOIN(CHAR(10), TRUE, ARRAYFORMULA( ""• ""&amp; FILTER( TRIM(FLATTEN(SPLIT( REGEXREPLACE( SUBSTITUTE(TEXTJOIN("","", TRUE, IFERROR(ARRAYFORMULA(VLOOKUP(TRIM(SPLIT('Final Report'!A734, "","")), 'URL Details'!A:D, 4,"&amp;" FALSE)),"""") ), CHAR(10), "",""), ""\s*,\s*"", "",""), "",""))), TRIM(FLATTEN(SPLIT( REGEXREPLACE( SUBSTITUTE(TEXTJOIN("","", TRUE, IFERROR(ARRAYFORMULA(VLOOKUP(TRIM(SPLIT('Final Report'!A734, "","")), 'URL Details'!A:D, 4, FALSE)),"""") ), CHAR(10), """&amp;",""), ""\s*,\s*"", "",""), "","")))&lt;&gt;"""" ) ) ) ),"""")
"),"")</f>
        <v/>
      </c>
      <c r="D734" s="105"/>
      <c r="E734" s="105"/>
      <c r="F734" s="110" t="b">
        <v>0</v>
      </c>
      <c r="G734" s="105" t="str">
        <f>IF(F734=True, IFERROR(VLOOKUP(D734, Repository!A:B, 2, 0), ""), "")</f>
        <v/>
      </c>
      <c r="H734" s="105"/>
      <c r="I734" s="105"/>
      <c r="J734" s="105" t="str">
        <f>IF(F734=True, IFERROR(VLOOKUP(D734, Repository!A:C, 3, 0), ""), "")</f>
        <v/>
      </c>
      <c r="K734" s="105"/>
      <c r="L734" s="105" t="str">
        <f>IF(F734=True, IFERROR(VLOOKUP(D734, Repository!A:E, 5, 0), ""), "")</f>
        <v/>
      </c>
      <c r="M734" s="105"/>
      <c r="N734" s="105" t="str">
        <f>IF(F734=True, IFERROR(VLOOKUP(D734, Repository!A:G, 7, 0), ""), "")</f>
        <v/>
      </c>
      <c r="O734" s="105" t="str">
        <f>IFERROR(__xludf.DUMMYFUNCTION("ARRAY_CONSTRAIN(
  ARRAYFORMULA(
    IFERROR(
      LET(
        list, N734,
        arr, TRIM(SPLIT(list, "","")),
        names, XLOOKUP(
          arr,
          'Conformance Score'!A:A,
          'Conformance Score'!B:B,
          ""Not found""
      "&amp;"  ),
        TEXTJOIN("", "", TRUE, names)
      ),
      """"
    )
  ),
  1,
  1
)
"),"")</f>
        <v/>
      </c>
      <c r="P734" s="105" t="str">
        <f>IF(F734="Yes", IFERROR(VLOOKUP(D734, Repository!A:F, 6, 0), ""), "")</f>
        <v/>
      </c>
      <c r="Q734" s="105" t="str">
        <f>IF(F734="Yes", IFERROR(VLOOKUP(D734, Repository!A:I, 8, 0), ""), "")</f>
        <v/>
      </c>
      <c r="R734" s="105" t="str">
        <f>IF(F734="Yes", IFERROR(VLOOKUP(D734, Repository!A:J, 9, 0), ""), "")</f>
        <v/>
      </c>
      <c r="S734" s="105"/>
      <c r="T734" s="105"/>
      <c r="U734" s="105"/>
      <c r="V734" s="105"/>
      <c r="W734" s="105"/>
      <c r="X734" s="105"/>
      <c r="Y734" s="105"/>
      <c r="Z734" s="105"/>
      <c r="AA734" s="105"/>
      <c r="AB734" s="105"/>
      <c r="AC734" s="91"/>
      <c r="AD734" s="105"/>
      <c r="AE734" s="105"/>
      <c r="AF734" s="91"/>
      <c r="AG734" s="105"/>
      <c r="AH734" s="105"/>
      <c r="AI734" s="105" t="str">
        <f t="shared" si="1"/>
        <v/>
      </c>
      <c r="AJ734" s="108" t="str">
        <f t="shared" si="2"/>
        <v/>
      </c>
    </row>
    <row r="735" ht="15.75" customHeight="1">
      <c r="A735" s="104"/>
      <c r="B735" s="105" t="str">
        <f>IFERROR(__xludf.DUMMYFUNCTION("ARRAY_CONSTRAIN(
  ARRAYFORMULA(
    IF(
      'Final Report'!A735="""",
      """",
      TEXTJOIN(
        "", "" &amp; CHAR(10),
        TRUE,
        IFERROR(
          VLOOKUP(
            TRIM(
              SPLIT('Final Report'!A735, "","")
           "&amp;" ),
            'URL Details'!A:B,
            2,
            FALSE
          ),
          """"
        )
      )
    )
  ),
  1,
  1
)
"),"")</f>
        <v/>
      </c>
      <c r="C735" s="105" t="str">
        <f>IFERROR(__xludf.DUMMYFUNCTION("IFERROR(IF('Final Report'!A735="""","""", TEXTJOIN(CHAR(10), TRUE, ARRAYFORMULA( ""• ""&amp; FILTER( TRIM(FLATTEN(SPLIT( REGEXREPLACE( SUBSTITUTE(TEXTJOIN("","", TRUE, IFERROR(ARRAYFORMULA(VLOOKUP(TRIM(SPLIT('Final Report'!A735, "","")), 'URL Details'!A:D, 4,"&amp;" FALSE)),"""") ), CHAR(10), "",""), ""\s*,\s*"", "",""), "",""))), TRIM(FLATTEN(SPLIT( REGEXREPLACE( SUBSTITUTE(TEXTJOIN("","", TRUE, IFERROR(ARRAYFORMULA(VLOOKUP(TRIM(SPLIT('Final Report'!A735, "","")), 'URL Details'!A:D, 4, FALSE)),"""") ), CHAR(10), """&amp;",""), ""\s*,\s*"", "",""), "","")))&lt;&gt;"""" ) ) ) ),"""")
"),"")</f>
        <v/>
      </c>
      <c r="D735" s="105"/>
      <c r="E735" s="105"/>
      <c r="F735" s="110" t="b">
        <v>0</v>
      </c>
      <c r="G735" s="105" t="str">
        <f>IF(F735=True, IFERROR(VLOOKUP(D735, Repository!A:B, 2, 0), ""), "")</f>
        <v/>
      </c>
      <c r="H735" s="105"/>
      <c r="I735" s="105"/>
      <c r="J735" s="105" t="str">
        <f>IF(F735=True, IFERROR(VLOOKUP(D735, Repository!A:C, 3, 0), ""), "")</f>
        <v/>
      </c>
      <c r="K735" s="105"/>
      <c r="L735" s="105" t="str">
        <f>IF(F735=True, IFERROR(VLOOKUP(D735, Repository!A:E, 5, 0), ""), "")</f>
        <v/>
      </c>
      <c r="M735" s="105"/>
      <c r="N735" s="105" t="str">
        <f>IF(F735=True, IFERROR(VLOOKUP(D735, Repository!A:G, 7, 0), ""), "")</f>
        <v/>
      </c>
      <c r="O735" s="105" t="str">
        <f>IFERROR(__xludf.DUMMYFUNCTION("ARRAY_CONSTRAIN(
  ARRAYFORMULA(
    IFERROR(
      LET(
        list, N735,
        arr, TRIM(SPLIT(list, "","")),
        names, XLOOKUP(
          arr,
          'Conformance Score'!A:A,
          'Conformance Score'!B:B,
          ""Not found""
      "&amp;"  ),
        TEXTJOIN("", "", TRUE, names)
      ),
      """"
    )
  ),
  1,
  1
)
"),"")</f>
        <v/>
      </c>
      <c r="P735" s="105" t="str">
        <f>IF(F735="Yes", IFERROR(VLOOKUP(D735, Repository!A:F, 6, 0), ""), "")</f>
        <v/>
      </c>
      <c r="Q735" s="105" t="str">
        <f>IF(F735="Yes", IFERROR(VLOOKUP(D735, Repository!A:I, 8, 0), ""), "")</f>
        <v/>
      </c>
      <c r="R735" s="105" t="str">
        <f>IF(F735="Yes", IFERROR(VLOOKUP(D735, Repository!A:J, 9, 0), ""), "")</f>
        <v/>
      </c>
      <c r="S735" s="105"/>
      <c r="T735" s="105"/>
      <c r="U735" s="105"/>
      <c r="V735" s="105"/>
      <c r="W735" s="105"/>
      <c r="X735" s="105"/>
      <c r="Y735" s="105"/>
      <c r="Z735" s="105"/>
      <c r="AA735" s="105"/>
      <c r="AB735" s="105"/>
      <c r="AC735" s="91"/>
      <c r="AD735" s="105"/>
      <c r="AE735" s="105"/>
      <c r="AF735" s="91"/>
      <c r="AG735" s="105"/>
      <c r="AH735" s="105"/>
      <c r="AI735" s="105" t="str">
        <f t="shared" si="1"/>
        <v/>
      </c>
      <c r="AJ735" s="108" t="str">
        <f t="shared" si="2"/>
        <v/>
      </c>
    </row>
    <row r="736" ht="15.75" customHeight="1">
      <c r="A736" s="104"/>
      <c r="B736" s="105" t="str">
        <f>IFERROR(__xludf.DUMMYFUNCTION("ARRAY_CONSTRAIN(
  ARRAYFORMULA(
    IF(
      'Final Report'!A736="""",
      """",
      TEXTJOIN(
        "", "" &amp; CHAR(10),
        TRUE,
        IFERROR(
          VLOOKUP(
            TRIM(
              SPLIT('Final Report'!A736, "","")
           "&amp;" ),
            'URL Details'!A:B,
            2,
            FALSE
          ),
          """"
        )
      )
    )
  ),
  1,
  1
)
"),"")</f>
        <v/>
      </c>
      <c r="C736" s="105" t="str">
        <f>IFERROR(__xludf.DUMMYFUNCTION("IFERROR(IF('Final Report'!A736="""","""", TEXTJOIN(CHAR(10), TRUE, ARRAYFORMULA( ""• ""&amp; FILTER( TRIM(FLATTEN(SPLIT( REGEXREPLACE( SUBSTITUTE(TEXTJOIN("","", TRUE, IFERROR(ARRAYFORMULA(VLOOKUP(TRIM(SPLIT('Final Report'!A736, "","")), 'URL Details'!A:D, 4,"&amp;" FALSE)),"""") ), CHAR(10), "",""), ""\s*,\s*"", "",""), "",""))), TRIM(FLATTEN(SPLIT( REGEXREPLACE( SUBSTITUTE(TEXTJOIN("","", TRUE, IFERROR(ARRAYFORMULA(VLOOKUP(TRIM(SPLIT('Final Report'!A736, "","")), 'URL Details'!A:D, 4, FALSE)),"""") ), CHAR(10), """&amp;",""), ""\s*,\s*"", "",""), "","")))&lt;&gt;"""" ) ) ) ),"""")
"),"")</f>
        <v/>
      </c>
      <c r="D736" s="105"/>
      <c r="E736" s="105"/>
      <c r="F736" s="110" t="b">
        <v>0</v>
      </c>
      <c r="G736" s="105" t="str">
        <f>IF(F736=True, IFERROR(VLOOKUP(D736, Repository!A:B, 2, 0), ""), "")</f>
        <v/>
      </c>
      <c r="H736" s="105"/>
      <c r="I736" s="105"/>
      <c r="J736" s="105" t="str">
        <f>IF(F736=True, IFERROR(VLOOKUP(D736, Repository!A:C, 3, 0), ""), "")</f>
        <v/>
      </c>
      <c r="K736" s="105"/>
      <c r="L736" s="105" t="str">
        <f>IF(F736=True, IFERROR(VLOOKUP(D736, Repository!A:E, 5, 0), ""), "")</f>
        <v/>
      </c>
      <c r="M736" s="105"/>
      <c r="N736" s="105" t="str">
        <f>IF(F736=True, IFERROR(VLOOKUP(D736, Repository!A:G, 7, 0), ""), "")</f>
        <v/>
      </c>
      <c r="O736" s="105" t="str">
        <f>IFERROR(__xludf.DUMMYFUNCTION("ARRAY_CONSTRAIN(
  ARRAYFORMULA(
    IFERROR(
      LET(
        list, N736,
        arr, TRIM(SPLIT(list, "","")),
        names, XLOOKUP(
          arr,
          'Conformance Score'!A:A,
          'Conformance Score'!B:B,
          ""Not found""
      "&amp;"  ),
        TEXTJOIN("", "", TRUE, names)
      ),
      """"
    )
  ),
  1,
  1
)
"),"")</f>
        <v/>
      </c>
      <c r="P736" s="105" t="str">
        <f>IF(F736="Yes", IFERROR(VLOOKUP(D736, Repository!A:F, 6, 0), ""), "")</f>
        <v/>
      </c>
      <c r="Q736" s="105" t="str">
        <f>IF(F736="Yes", IFERROR(VLOOKUP(D736, Repository!A:I, 8, 0), ""), "")</f>
        <v/>
      </c>
      <c r="R736" s="105" t="str">
        <f>IF(F736="Yes", IFERROR(VLOOKUP(D736, Repository!A:J, 9, 0), ""), "")</f>
        <v/>
      </c>
      <c r="S736" s="105"/>
      <c r="T736" s="105"/>
      <c r="U736" s="105"/>
      <c r="V736" s="105"/>
      <c r="W736" s="105"/>
      <c r="X736" s="105"/>
      <c r="Y736" s="105"/>
      <c r="Z736" s="105"/>
      <c r="AA736" s="105"/>
      <c r="AB736" s="105"/>
      <c r="AC736" s="91"/>
      <c r="AD736" s="105"/>
      <c r="AE736" s="105"/>
      <c r="AF736" s="91"/>
      <c r="AG736" s="105"/>
      <c r="AH736" s="105"/>
      <c r="AI736" s="105" t="str">
        <f t="shared" si="1"/>
        <v/>
      </c>
      <c r="AJ736" s="108" t="str">
        <f t="shared" si="2"/>
        <v/>
      </c>
    </row>
    <row r="737" ht="15.75" customHeight="1">
      <c r="A737" s="104"/>
      <c r="B737" s="105" t="str">
        <f>IFERROR(__xludf.DUMMYFUNCTION("ARRAY_CONSTRAIN(
  ARRAYFORMULA(
    IF(
      'Final Report'!A737="""",
      """",
      TEXTJOIN(
        "", "" &amp; CHAR(10),
        TRUE,
        IFERROR(
          VLOOKUP(
            TRIM(
              SPLIT('Final Report'!A737, "","")
           "&amp;" ),
            'URL Details'!A:B,
            2,
            FALSE
          ),
          """"
        )
      )
    )
  ),
  1,
  1
)
"),"")</f>
        <v/>
      </c>
      <c r="C737" s="105" t="str">
        <f>IFERROR(__xludf.DUMMYFUNCTION("IFERROR(IF('Final Report'!A737="""","""", TEXTJOIN(CHAR(10), TRUE, ARRAYFORMULA( ""• ""&amp; FILTER( TRIM(FLATTEN(SPLIT( REGEXREPLACE( SUBSTITUTE(TEXTJOIN("","", TRUE, IFERROR(ARRAYFORMULA(VLOOKUP(TRIM(SPLIT('Final Report'!A737, "","")), 'URL Details'!A:D, 4,"&amp;" FALSE)),"""") ), CHAR(10), "",""), ""\s*,\s*"", "",""), "",""))), TRIM(FLATTEN(SPLIT( REGEXREPLACE( SUBSTITUTE(TEXTJOIN("","", TRUE, IFERROR(ARRAYFORMULA(VLOOKUP(TRIM(SPLIT('Final Report'!A737, "","")), 'URL Details'!A:D, 4, FALSE)),"""") ), CHAR(10), """&amp;",""), ""\s*,\s*"", "",""), "","")))&lt;&gt;"""" ) ) ) ),"""")
"),"")</f>
        <v/>
      </c>
      <c r="D737" s="105"/>
      <c r="E737" s="105"/>
      <c r="F737" s="110" t="b">
        <v>0</v>
      </c>
      <c r="G737" s="105" t="str">
        <f>IF(F737=True, IFERROR(VLOOKUP(D737, Repository!A:B, 2, 0), ""), "")</f>
        <v/>
      </c>
      <c r="H737" s="105"/>
      <c r="I737" s="105"/>
      <c r="J737" s="105" t="str">
        <f>IF(F737=True, IFERROR(VLOOKUP(D737, Repository!A:C, 3, 0), ""), "")</f>
        <v/>
      </c>
      <c r="K737" s="105"/>
      <c r="L737" s="105" t="str">
        <f>IF(F737=True, IFERROR(VLOOKUP(D737, Repository!A:E, 5, 0), ""), "")</f>
        <v/>
      </c>
      <c r="M737" s="105"/>
      <c r="N737" s="105" t="str">
        <f>IF(F737=True, IFERROR(VLOOKUP(D737, Repository!A:G, 7, 0), ""), "")</f>
        <v/>
      </c>
      <c r="O737" s="105" t="str">
        <f>IFERROR(__xludf.DUMMYFUNCTION("ARRAY_CONSTRAIN(
  ARRAYFORMULA(
    IFERROR(
      LET(
        list, N737,
        arr, TRIM(SPLIT(list, "","")),
        names, XLOOKUP(
          arr,
          'Conformance Score'!A:A,
          'Conformance Score'!B:B,
          ""Not found""
      "&amp;"  ),
        TEXTJOIN("", "", TRUE, names)
      ),
      """"
    )
  ),
  1,
  1
)
"),"")</f>
        <v/>
      </c>
      <c r="P737" s="105" t="str">
        <f>IF(F737="Yes", IFERROR(VLOOKUP(D737, Repository!A:F, 6, 0), ""), "")</f>
        <v/>
      </c>
      <c r="Q737" s="105" t="str">
        <f>IF(F737="Yes", IFERROR(VLOOKUP(D737, Repository!A:I, 8, 0), ""), "")</f>
        <v/>
      </c>
      <c r="R737" s="105" t="str">
        <f>IF(F737="Yes", IFERROR(VLOOKUP(D737, Repository!A:J, 9, 0), ""), "")</f>
        <v/>
      </c>
      <c r="S737" s="105"/>
      <c r="T737" s="105"/>
      <c r="U737" s="105"/>
      <c r="V737" s="105"/>
      <c r="W737" s="105"/>
      <c r="X737" s="105"/>
      <c r="Y737" s="105"/>
      <c r="Z737" s="105"/>
      <c r="AA737" s="105"/>
      <c r="AB737" s="105"/>
      <c r="AC737" s="91"/>
      <c r="AD737" s="105"/>
      <c r="AE737" s="105"/>
      <c r="AF737" s="91"/>
      <c r="AG737" s="105"/>
      <c r="AH737" s="105"/>
      <c r="AI737" s="105" t="str">
        <f t="shared" si="1"/>
        <v/>
      </c>
      <c r="AJ737" s="108" t="str">
        <f t="shared" si="2"/>
        <v/>
      </c>
    </row>
    <row r="738" ht="15.75" customHeight="1">
      <c r="A738" s="104"/>
      <c r="B738" s="105" t="str">
        <f>IFERROR(__xludf.DUMMYFUNCTION("ARRAY_CONSTRAIN(
  ARRAYFORMULA(
    IF(
      'Final Report'!A738="""",
      """",
      TEXTJOIN(
        "", "" &amp; CHAR(10),
        TRUE,
        IFERROR(
          VLOOKUP(
            TRIM(
              SPLIT('Final Report'!A738, "","")
           "&amp;" ),
            'URL Details'!A:B,
            2,
            FALSE
          ),
          """"
        )
      )
    )
  ),
  1,
  1
)
"),"")</f>
        <v/>
      </c>
      <c r="C738" s="105" t="str">
        <f>IFERROR(__xludf.DUMMYFUNCTION("IFERROR(IF('Final Report'!A738="""","""", TEXTJOIN(CHAR(10), TRUE, ARRAYFORMULA( ""• ""&amp; FILTER( TRIM(FLATTEN(SPLIT( REGEXREPLACE( SUBSTITUTE(TEXTJOIN("","", TRUE, IFERROR(ARRAYFORMULA(VLOOKUP(TRIM(SPLIT('Final Report'!A738, "","")), 'URL Details'!A:D, 4,"&amp;" FALSE)),"""") ), CHAR(10), "",""), ""\s*,\s*"", "",""), "",""))), TRIM(FLATTEN(SPLIT( REGEXREPLACE( SUBSTITUTE(TEXTJOIN("","", TRUE, IFERROR(ARRAYFORMULA(VLOOKUP(TRIM(SPLIT('Final Report'!A738, "","")), 'URL Details'!A:D, 4, FALSE)),"""") ), CHAR(10), """&amp;",""), ""\s*,\s*"", "",""), "","")))&lt;&gt;"""" ) ) ) ),"""")
"),"")</f>
        <v/>
      </c>
      <c r="D738" s="105"/>
      <c r="E738" s="105"/>
      <c r="F738" s="110" t="b">
        <v>0</v>
      </c>
      <c r="G738" s="105" t="str">
        <f>IF(F738=True, IFERROR(VLOOKUP(D738, Repository!A:B, 2, 0), ""), "")</f>
        <v/>
      </c>
      <c r="H738" s="105"/>
      <c r="I738" s="105"/>
      <c r="J738" s="105" t="str">
        <f>IF(F738=True, IFERROR(VLOOKUP(D738, Repository!A:C, 3, 0), ""), "")</f>
        <v/>
      </c>
      <c r="K738" s="105"/>
      <c r="L738" s="105" t="str">
        <f>IF(F738=True, IFERROR(VLOOKUP(D738, Repository!A:E, 5, 0), ""), "")</f>
        <v/>
      </c>
      <c r="M738" s="105"/>
      <c r="N738" s="105" t="str">
        <f>IF(F738=True, IFERROR(VLOOKUP(D738, Repository!A:G, 7, 0), ""), "")</f>
        <v/>
      </c>
      <c r="O738" s="105" t="str">
        <f>IFERROR(__xludf.DUMMYFUNCTION("ARRAY_CONSTRAIN(
  ARRAYFORMULA(
    IFERROR(
      LET(
        list, N738,
        arr, TRIM(SPLIT(list, "","")),
        names, XLOOKUP(
          arr,
          'Conformance Score'!A:A,
          'Conformance Score'!B:B,
          ""Not found""
      "&amp;"  ),
        TEXTJOIN("", "", TRUE, names)
      ),
      """"
    )
  ),
  1,
  1
)
"),"")</f>
        <v/>
      </c>
      <c r="P738" s="105" t="str">
        <f>IF(F738="Yes", IFERROR(VLOOKUP(D738, Repository!A:F, 6, 0), ""), "")</f>
        <v/>
      </c>
      <c r="Q738" s="105" t="str">
        <f>IF(F738="Yes", IFERROR(VLOOKUP(D738, Repository!A:I, 8, 0), ""), "")</f>
        <v/>
      </c>
      <c r="R738" s="105" t="str">
        <f>IF(F738="Yes", IFERROR(VLOOKUP(D738, Repository!A:J, 9, 0), ""), "")</f>
        <v/>
      </c>
      <c r="S738" s="105"/>
      <c r="T738" s="105"/>
      <c r="U738" s="105"/>
      <c r="V738" s="105"/>
      <c r="W738" s="105"/>
      <c r="X738" s="105"/>
      <c r="Y738" s="105"/>
      <c r="Z738" s="105"/>
      <c r="AA738" s="105"/>
      <c r="AB738" s="105"/>
      <c r="AC738" s="91"/>
      <c r="AD738" s="105"/>
      <c r="AE738" s="105"/>
      <c r="AF738" s="91"/>
      <c r="AG738" s="105"/>
      <c r="AH738" s="105"/>
      <c r="AI738" s="105" t="str">
        <f t="shared" si="1"/>
        <v/>
      </c>
      <c r="AJ738" s="108" t="str">
        <f t="shared" si="2"/>
        <v/>
      </c>
    </row>
    <row r="739" ht="15.75" customHeight="1">
      <c r="A739" s="104"/>
      <c r="B739" s="105" t="str">
        <f>IFERROR(__xludf.DUMMYFUNCTION("ARRAY_CONSTRAIN(
  ARRAYFORMULA(
    IF(
      'Final Report'!A739="""",
      """",
      TEXTJOIN(
        "", "" &amp; CHAR(10),
        TRUE,
        IFERROR(
          VLOOKUP(
            TRIM(
              SPLIT('Final Report'!A739, "","")
           "&amp;" ),
            'URL Details'!A:B,
            2,
            FALSE
          ),
          """"
        )
      )
    )
  ),
  1,
  1
)
"),"")</f>
        <v/>
      </c>
      <c r="C739" s="105" t="str">
        <f>IFERROR(__xludf.DUMMYFUNCTION("IFERROR(IF('Final Report'!A739="""","""", TEXTJOIN(CHAR(10), TRUE, ARRAYFORMULA( ""• ""&amp; FILTER( TRIM(FLATTEN(SPLIT( REGEXREPLACE( SUBSTITUTE(TEXTJOIN("","", TRUE, IFERROR(ARRAYFORMULA(VLOOKUP(TRIM(SPLIT('Final Report'!A739, "","")), 'URL Details'!A:D, 4,"&amp;" FALSE)),"""") ), CHAR(10), "",""), ""\s*,\s*"", "",""), "",""))), TRIM(FLATTEN(SPLIT( REGEXREPLACE( SUBSTITUTE(TEXTJOIN("","", TRUE, IFERROR(ARRAYFORMULA(VLOOKUP(TRIM(SPLIT('Final Report'!A739, "","")), 'URL Details'!A:D, 4, FALSE)),"""") ), CHAR(10), """&amp;",""), ""\s*,\s*"", "",""), "","")))&lt;&gt;"""" ) ) ) ),"""")
"),"")</f>
        <v/>
      </c>
      <c r="D739" s="105"/>
      <c r="E739" s="105"/>
      <c r="F739" s="110" t="b">
        <v>0</v>
      </c>
      <c r="G739" s="105" t="str">
        <f>IF(F739=True, IFERROR(VLOOKUP(D739, Repository!A:B, 2, 0), ""), "")</f>
        <v/>
      </c>
      <c r="H739" s="105"/>
      <c r="I739" s="105"/>
      <c r="J739" s="105" t="str">
        <f>IF(F739=True, IFERROR(VLOOKUP(D739, Repository!A:C, 3, 0), ""), "")</f>
        <v/>
      </c>
      <c r="K739" s="105"/>
      <c r="L739" s="105" t="str">
        <f>IF(F739=True, IFERROR(VLOOKUP(D739, Repository!A:E, 5, 0), ""), "")</f>
        <v/>
      </c>
      <c r="M739" s="105"/>
      <c r="N739" s="105" t="str">
        <f>IF(F739=True, IFERROR(VLOOKUP(D739, Repository!A:G, 7, 0), ""), "")</f>
        <v/>
      </c>
      <c r="O739" s="105" t="str">
        <f>IFERROR(__xludf.DUMMYFUNCTION("ARRAY_CONSTRAIN(
  ARRAYFORMULA(
    IFERROR(
      LET(
        list, N739,
        arr, TRIM(SPLIT(list, "","")),
        names, XLOOKUP(
          arr,
          'Conformance Score'!A:A,
          'Conformance Score'!B:B,
          ""Not found""
      "&amp;"  ),
        TEXTJOIN("", "", TRUE, names)
      ),
      """"
    )
  ),
  1,
  1
)
"),"")</f>
        <v/>
      </c>
      <c r="P739" s="105" t="str">
        <f>IF(F739="Yes", IFERROR(VLOOKUP(D739, Repository!A:F, 6, 0), ""), "")</f>
        <v/>
      </c>
      <c r="Q739" s="105" t="str">
        <f>IF(F739="Yes", IFERROR(VLOOKUP(D739, Repository!A:I, 8, 0), ""), "")</f>
        <v/>
      </c>
      <c r="R739" s="105" t="str">
        <f>IF(F739="Yes", IFERROR(VLOOKUP(D739, Repository!A:J, 9, 0), ""), "")</f>
        <v/>
      </c>
      <c r="S739" s="105"/>
      <c r="T739" s="105"/>
      <c r="U739" s="105"/>
      <c r="V739" s="105"/>
      <c r="W739" s="105"/>
      <c r="X739" s="105"/>
      <c r="Y739" s="105"/>
      <c r="Z739" s="105"/>
      <c r="AA739" s="105"/>
      <c r="AB739" s="105"/>
      <c r="AC739" s="91"/>
      <c r="AD739" s="105"/>
      <c r="AE739" s="105"/>
      <c r="AF739" s="91"/>
      <c r="AG739" s="105"/>
      <c r="AH739" s="105"/>
      <c r="AI739" s="105" t="str">
        <f t="shared" si="1"/>
        <v/>
      </c>
      <c r="AJ739" s="108" t="str">
        <f t="shared" si="2"/>
        <v/>
      </c>
    </row>
    <row r="740" ht="15.75" customHeight="1">
      <c r="A740" s="104"/>
      <c r="B740" s="105" t="str">
        <f>IFERROR(__xludf.DUMMYFUNCTION("ARRAY_CONSTRAIN(
  ARRAYFORMULA(
    IF(
      'Final Report'!A740="""",
      """",
      TEXTJOIN(
        "", "" &amp; CHAR(10),
        TRUE,
        IFERROR(
          VLOOKUP(
            TRIM(
              SPLIT('Final Report'!A740, "","")
           "&amp;" ),
            'URL Details'!A:B,
            2,
            FALSE
          ),
          """"
        )
      )
    )
  ),
  1,
  1
)
"),"")</f>
        <v/>
      </c>
      <c r="C740" s="105" t="str">
        <f>IFERROR(__xludf.DUMMYFUNCTION("IFERROR(IF('Final Report'!A740="""","""", TEXTJOIN(CHAR(10), TRUE, ARRAYFORMULA( ""• ""&amp; FILTER( TRIM(FLATTEN(SPLIT( REGEXREPLACE( SUBSTITUTE(TEXTJOIN("","", TRUE, IFERROR(ARRAYFORMULA(VLOOKUP(TRIM(SPLIT('Final Report'!A740, "","")), 'URL Details'!A:D, 4,"&amp;" FALSE)),"""") ), CHAR(10), "",""), ""\s*,\s*"", "",""), "",""))), TRIM(FLATTEN(SPLIT( REGEXREPLACE( SUBSTITUTE(TEXTJOIN("","", TRUE, IFERROR(ARRAYFORMULA(VLOOKUP(TRIM(SPLIT('Final Report'!A740, "","")), 'URL Details'!A:D, 4, FALSE)),"""") ), CHAR(10), """&amp;",""), ""\s*,\s*"", "",""), "","")))&lt;&gt;"""" ) ) ) ),"""")
"),"")</f>
        <v/>
      </c>
      <c r="D740" s="105"/>
      <c r="E740" s="105"/>
      <c r="F740" s="110" t="b">
        <v>0</v>
      </c>
      <c r="G740" s="105" t="str">
        <f>IF(F740=True, IFERROR(VLOOKUP(D740, Repository!A:B, 2, 0), ""), "")</f>
        <v/>
      </c>
      <c r="H740" s="105"/>
      <c r="I740" s="105"/>
      <c r="J740" s="105" t="str">
        <f>IF(F740=True, IFERROR(VLOOKUP(D740, Repository!A:C, 3, 0), ""), "")</f>
        <v/>
      </c>
      <c r="K740" s="105"/>
      <c r="L740" s="105" t="str">
        <f>IF(F740=True, IFERROR(VLOOKUP(D740, Repository!A:E, 5, 0), ""), "")</f>
        <v/>
      </c>
      <c r="M740" s="105"/>
      <c r="N740" s="105" t="str">
        <f>IF(F740=True, IFERROR(VLOOKUP(D740, Repository!A:G, 7, 0), ""), "")</f>
        <v/>
      </c>
      <c r="O740" s="105" t="str">
        <f>IFERROR(__xludf.DUMMYFUNCTION("ARRAY_CONSTRAIN(
  ARRAYFORMULA(
    IFERROR(
      LET(
        list, N740,
        arr, TRIM(SPLIT(list, "","")),
        names, XLOOKUP(
          arr,
          'Conformance Score'!A:A,
          'Conformance Score'!B:B,
          ""Not found""
      "&amp;"  ),
        TEXTJOIN("", "", TRUE, names)
      ),
      """"
    )
  ),
  1,
  1
)
"),"")</f>
        <v/>
      </c>
      <c r="P740" s="105" t="str">
        <f>IF(F740="Yes", IFERROR(VLOOKUP(D740, Repository!A:F, 6, 0), ""), "")</f>
        <v/>
      </c>
      <c r="Q740" s="105" t="str">
        <f>IF(F740="Yes", IFERROR(VLOOKUP(D740, Repository!A:I, 8, 0), ""), "")</f>
        <v/>
      </c>
      <c r="R740" s="105" t="str">
        <f>IF(F740="Yes", IFERROR(VLOOKUP(D740, Repository!A:J, 9, 0), ""), "")</f>
        <v/>
      </c>
      <c r="S740" s="105"/>
      <c r="T740" s="105"/>
      <c r="U740" s="105"/>
      <c r="V740" s="105"/>
      <c r="W740" s="105"/>
      <c r="X740" s="105"/>
      <c r="Y740" s="105"/>
      <c r="Z740" s="105"/>
      <c r="AA740" s="105"/>
      <c r="AB740" s="105"/>
      <c r="AC740" s="91"/>
      <c r="AD740" s="105"/>
      <c r="AE740" s="105"/>
      <c r="AF740" s="91"/>
      <c r="AG740" s="105"/>
      <c r="AH740" s="105"/>
      <c r="AI740" s="105" t="str">
        <f t="shared" si="1"/>
        <v/>
      </c>
      <c r="AJ740" s="108" t="str">
        <f t="shared" si="2"/>
        <v/>
      </c>
    </row>
    <row r="741" ht="15.75" customHeight="1">
      <c r="A741" s="104"/>
      <c r="B741" s="105" t="str">
        <f>IFERROR(__xludf.DUMMYFUNCTION("ARRAY_CONSTRAIN(
  ARRAYFORMULA(
    IF(
      'Final Report'!A741="""",
      """",
      TEXTJOIN(
        "", "" &amp; CHAR(10),
        TRUE,
        IFERROR(
          VLOOKUP(
            TRIM(
              SPLIT('Final Report'!A741, "","")
           "&amp;" ),
            'URL Details'!A:B,
            2,
            FALSE
          ),
          """"
        )
      )
    )
  ),
  1,
  1
)
"),"")</f>
        <v/>
      </c>
      <c r="C741" s="105" t="str">
        <f>IFERROR(__xludf.DUMMYFUNCTION("IFERROR(IF('Final Report'!A741="""","""", TEXTJOIN(CHAR(10), TRUE, ARRAYFORMULA( ""• ""&amp; FILTER( TRIM(FLATTEN(SPLIT( REGEXREPLACE( SUBSTITUTE(TEXTJOIN("","", TRUE, IFERROR(ARRAYFORMULA(VLOOKUP(TRIM(SPLIT('Final Report'!A741, "","")), 'URL Details'!A:D, 4,"&amp;" FALSE)),"""") ), CHAR(10), "",""), ""\s*,\s*"", "",""), "",""))), TRIM(FLATTEN(SPLIT( REGEXREPLACE( SUBSTITUTE(TEXTJOIN("","", TRUE, IFERROR(ARRAYFORMULA(VLOOKUP(TRIM(SPLIT('Final Report'!A741, "","")), 'URL Details'!A:D, 4, FALSE)),"""") ), CHAR(10), """&amp;",""), ""\s*,\s*"", "",""), "","")))&lt;&gt;"""" ) ) ) ),"""")
"),"")</f>
        <v/>
      </c>
      <c r="D741" s="105"/>
      <c r="E741" s="105"/>
      <c r="F741" s="110" t="b">
        <v>0</v>
      </c>
      <c r="G741" s="105" t="str">
        <f>IF(F741=True, IFERROR(VLOOKUP(D741, Repository!A:B, 2, 0), ""), "")</f>
        <v/>
      </c>
      <c r="H741" s="105"/>
      <c r="I741" s="105"/>
      <c r="J741" s="105" t="str">
        <f>IF(F741=True, IFERROR(VLOOKUP(D741, Repository!A:C, 3, 0), ""), "")</f>
        <v/>
      </c>
      <c r="K741" s="105"/>
      <c r="L741" s="105" t="str">
        <f>IF(F741=True, IFERROR(VLOOKUP(D741, Repository!A:E, 5, 0), ""), "")</f>
        <v/>
      </c>
      <c r="M741" s="105"/>
      <c r="N741" s="105" t="str">
        <f>IF(F741=True, IFERROR(VLOOKUP(D741, Repository!A:G, 7, 0), ""), "")</f>
        <v/>
      </c>
      <c r="O741" s="105" t="str">
        <f>IFERROR(__xludf.DUMMYFUNCTION("ARRAY_CONSTRAIN(
  ARRAYFORMULA(
    IFERROR(
      LET(
        list, N741,
        arr, TRIM(SPLIT(list, "","")),
        names, XLOOKUP(
          arr,
          'Conformance Score'!A:A,
          'Conformance Score'!B:B,
          ""Not found""
      "&amp;"  ),
        TEXTJOIN("", "", TRUE, names)
      ),
      """"
    )
  ),
  1,
  1
)
"),"")</f>
        <v/>
      </c>
      <c r="P741" s="105" t="str">
        <f>IF(F741="Yes", IFERROR(VLOOKUP(D741, Repository!A:F, 6, 0), ""), "")</f>
        <v/>
      </c>
      <c r="Q741" s="105" t="str">
        <f>IF(F741="Yes", IFERROR(VLOOKUP(D741, Repository!A:I, 8, 0), ""), "")</f>
        <v/>
      </c>
      <c r="R741" s="105" t="str">
        <f>IF(F741="Yes", IFERROR(VLOOKUP(D741, Repository!A:J, 9, 0), ""), "")</f>
        <v/>
      </c>
      <c r="S741" s="105"/>
      <c r="T741" s="105"/>
      <c r="U741" s="105"/>
      <c r="V741" s="105"/>
      <c r="W741" s="105"/>
      <c r="X741" s="105"/>
      <c r="Y741" s="105"/>
      <c r="Z741" s="105"/>
      <c r="AA741" s="105"/>
      <c r="AB741" s="105"/>
      <c r="AC741" s="91"/>
      <c r="AD741" s="105"/>
      <c r="AE741" s="105"/>
      <c r="AF741" s="91"/>
      <c r="AG741" s="105"/>
      <c r="AH741" s="105"/>
      <c r="AI741" s="105" t="str">
        <f t="shared" si="1"/>
        <v/>
      </c>
      <c r="AJ741" s="108" t="str">
        <f t="shared" si="2"/>
        <v/>
      </c>
    </row>
    <row r="742" ht="15.75" customHeight="1">
      <c r="A742" s="104"/>
      <c r="B742" s="105" t="str">
        <f>IFERROR(__xludf.DUMMYFUNCTION("ARRAY_CONSTRAIN(
  ARRAYFORMULA(
    IF(
      'Final Report'!A742="""",
      """",
      TEXTJOIN(
        "", "" &amp; CHAR(10),
        TRUE,
        IFERROR(
          VLOOKUP(
            TRIM(
              SPLIT('Final Report'!A742, "","")
           "&amp;" ),
            'URL Details'!A:B,
            2,
            FALSE
          ),
          """"
        )
      )
    )
  ),
  1,
  1
)
"),"")</f>
        <v/>
      </c>
      <c r="C742" s="105" t="str">
        <f>IFERROR(__xludf.DUMMYFUNCTION("IFERROR(IF('Final Report'!A742="""","""", TEXTJOIN(CHAR(10), TRUE, ARRAYFORMULA( ""• ""&amp; FILTER( TRIM(FLATTEN(SPLIT( REGEXREPLACE( SUBSTITUTE(TEXTJOIN("","", TRUE, IFERROR(ARRAYFORMULA(VLOOKUP(TRIM(SPLIT('Final Report'!A742, "","")), 'URL Details'!A:D, 4,"&amp;" FALSE)),"""") ), CHAR(10), "",""), ""\s*,\s*"", "",""), "",""))), TRIM(FLATTEN(SPLIT( REGEXREPLACE( SUBSTITUTE(TEXTJOIN("","", TRUE, IFERROR(ARRAYFORMULA(VLOOKUP(TRIM(SPLIT('Final Report'!A742, "","")), 'URL Details'!A:D, 4, FALSE)),"""") ), CHAR(10), """&amp;",""), ""\s*,\s*"", "",""), "","")))&lt;&gt;"""" ) ) ) ),"""")
"),"")</f>
        <v/>
      </c>
      <c r="D742" s="105"/>
      <c r="E742" s="105"/>
      <c r="F742" s="110" t="b">
        <v>0</v>
      </c>
      <c r="G742" s="105" t="str">
        <f>IF(F742=True, IFERROR(VLOOKUP(D742, Repository!A:B, 2, 0), ""), "")</f>
        <v/>
      </c>
      <c r="H742" s="105"/>
      <c r="I742" s="105"/>
      <c r="J742" s="105" t="str">
        <f>IF(F742=True, IFERROR(VLOOKUP(D742, Repository!A:C, 3, 0), ""), "")</f>
        <v/>
      </c>
      <c r="K742" s="105"/>
      <c r="L742" s="105" t="str">
        <f>IF(F742=True, IFERROR(VLOOKUP(D742, Repository!A:E, 5, 0), ""), "")</f>
        <v/>
      </c>
      <c r="M742" s="105"/>
      <c r="N742" s="105" t="str">
        <f>IF(F742=True, IFERROR(VLOOKUP(D742, Repository!A:G, 7, 0), ""), "")</f>
        <v/>
      </c>
      <c r="O742" s="105" t="str">
        <f>IFERROR(__xludf.DUMMYFUNCTION("ARRAY_CONSTRAIN(
  ARRAYFORMULA(
    IFERROR(
      LET(
        list, N742,
        arr, TRIM(SPLIT(list, "","")),
        names, XLOOKUP(
          arr,
          'Conformance Score'!A:A,
          'Conformance Score'!B:B,
          ""Not found""
      "&amp;"  ),
        TEXTJOIN("", "", TRUE, names)
      ),
      """"
    )
  ),
  1,
  1
)
"),"")</f>
        <v/>
      </c>
      <c r="P742" s="105" t="str">
        <f>IF(F742="Yes", IFERROR(VLOOKUP(D742, Repository!A:F, 6, 0), ""), "")</f>
        <v/>
      </c>
      <c r="Q742" s="105" t="str">
        <f>IF(F742="Yes", IFERROR(VLOOKUP(D742, Repository!A:I, 8, 0), ""), "")</f>
        <v/>
      </c>
      <c r="R742" s="105" t="str">
        <f>IF(F742="Yes", IFERROR(VLOOKUP(D742, Repository!A:J, 9, 0), ""), "")</f>
        <v/>
      </c>
      <c r="S742" s="105"/>
      <c r="T742" s="105"/>
      <c r="U742" s="105"/>
      <c r="V742" s="105"/>
      <c r="W742" s="105"/>
      <c r="X742" s="105"/>
      <c r="Y742" s="105"/>
      <c r="Z742" s="105"/>
      <c r="AA742" s="105"/>
      <c r="AB742" s="105"/>
      <c r="AC742" s="91"/>
      <c r="AD742" s="105"/>
      <c r="AE742" s="105"/>
      <c r="AF742" s="91"/>
      <c r="AG742" s="105"/>
      <c r="AH742" s="105"/>
      <c r="AI742" s="105" t="str">
        <f t="shared" si="1"/>
        <v/>
      </c>
      <c r="AJ742" s="108" t="str">
        <f t="shared" si="2"/>
        <v/>
      </c>
    </row>
    <row r="743" ht="15.75" customHeight="1">
      <c r="A743" s="104"/>
      <c r="B743" s="105" t="str">
        <f>IFERROR(__xludf.DUMMYFUNCTION("ARRAY_CONSTRAIN(
  ARRAYFORMULA(
    IF(
      'Final Report'!A743="""",
      """",
      TEXTJOIN(
        "", "" &amp; CHAR(10),
        TRUE,
        IFERROR(
          VLOOKUP(
            TRIM(
              SPLIT('Final Report'!A743, "","")
           "&amp;" ),
            'URL Details'!A:B,
            2,
            FALSE
          ),
          """"
        )
      )
    )
  ),
  1,
  1
)
"),"")</f>
        <v/>
      </c>
      <c r="C743" s="105" t="str">
        <f>IFERROR(__xludf.DUMMYFUNCTION("IFERROR(IF('Final Report'!A743="""","""", TEXTJOIN(CHAR(10), TRUE, ARRAYFORMULA( ""• ""&amp; FILTER( TRIM(FLATTEN(SPLIT( REGEXREPLACE( SUBSTITUTE(TEXTJOIN("","", TRUE, IFERROR(ARRAYFORMULA(VLOOKUP(TRIM(SPLIT('Final Report'!A743, "","")), 'URL Details'!A:D, 4,"&amp;" FALSE)),"""") ), CHAR(10), "",""), ""\s*,\s*"", "",""), "",""))), TRIM(FLATTEN(SPLIT( REGEXREPLACE( SUBSTITUTE(TEXTJOIN("","", TRUE, IFERROR(ARRAYFORMULA(VLOOKUP(TRIM(SPLIT('Final Report'!A743, "","")), 'URL Details'!A:D, 4, FALSE)),"""") ), CHAR(10), """&amp;",""), ""\s*,\s*"", "",""), "","")))&lt;&gt;"""" ) ) ) ),"""")
"),"")</f>
        <v/>
      </c>
      <c r="D743" s="105"/>
      <c r="E743" s="105"/>
      <c r="F743" s="110" t="b">
        <v>0</v>
      </c>
      <c r="G743" s="105" t="str">
        <f>IF(F743=True, IFERROR(VLOOKUP(D743, Repository!A:B, 2, 0), ""), "")</f>
        <v/>
      </c>
      <c r="H743" s="105"/>
      <c r="I743" s="105"/>
      <c r="J743" s="105" t="str">
        <f>IF(F743=True, IFERROR(VLOOKUP(D743, Repository!A:C, 3, 0), ""), "")</f>
        <v/>
      </c>
      <c r="K743" s="105"/>
      <c r="L743" s="105" t="str">
        <f>IF(F743=True, IFERROR(VLOOKUP(D743, Repository!A:E, 5, 0), ""), "")</f>
        <v/>
      </c>
      <c r="M743" s="105"/>
      <c r="N743" s="105" t="str">
        <f>IF(F743=True, IFERROR(VLOOKUP(D743, Repository!A:G, 7, 0), ""), "")</f>
        <v/>
      </c>
      <c r="O743" s="105" t="str">
        <f>IFERROR(__xludf.DUMMYFUNCTION("ARRAY_CONSTRAIN(
  ARRAYFORMULA(
    IFERROR(
      LET(
        list, N743,
        arr, TRIM(SPLIT(list, "","")),
        names, XLOOKUP(
          arr,
          'Conformance Score'!A:A,
          'Conformance Score'!B:B,
          ""Not found""
      "&amp;"  ),
        TEXTJOIN("", "", TRUE, names)
      ),
      """"
    )
  ),
  1,
  1
)
"),"")</f>
        <v/>
      </c>
      <c r="P743" s="105" t="str">
        <f>IF(F743="Yes", IFERROR(VLOOKUP(D743, Repository!A:F, 6, 0), ""), "")</f>
        <v/>
      </c>
      <c r="Q743" s="105" t="str">
        <f>IF(F743="Yes", IFERROR(VLOOKUP(D743, Repository!A:I, 8, 0), ""), "")</f>
        <v/>
      </c>
      <c r="R743" s="105" t="str">
        <f>IF(F743="Yes", IFERROR(VLOOKUP(D743, Repository!A:J, 9, 0), ""), "")</f>
        <v/>
      </c>
      <c r="S743" s="105"/>
      <c r="T743" s="105"/>
      <c r="U743" s="105"/>
      <c r="V743" s="105"/>
      <c r="W743" s="105"/>
      <c r="X743" s="105"/>
      <c r="Y743" s="105"/>
      <c r="Z743" s="105"/>
      <c r="AA743" s="105"/>
      <c r="AB743" s="105"/>
      <c r="AC743" s="91"/>
      <c r="AD743" s="105"/>
      <c r="AE743" s="105"/>
      <c r="AF743" s="91"/>
      <c r="AG743" s="105"/>
      <c r="AH743" s="105"/>
      <c r="AI743" s="105" t="str">
        <f t="shared" si="1"/>
        <v/>
      </c>
      <c r="AJ743" s="108" t="str">
        <f t="shared" si="2"/>
        <v/>
      </c>
    </row>
    <row r="744" ht="15.75" customHeight="1">
      <c r="A744" s="104"/>
      <c r="B744" s="105" t="str">
        <f>IFERROR(__xludf.DUMMYFUNCTION("ARRAY_CONSTRAIN(
  ARRAYFORMULA(
    IF(
      'Final Report'!A744="""",
      """",
      TEXTJOIN(
        "", "" &amp; CHAR(10),
        TRUE,
        IFERROR(
          VLOOKUP(
            TRIM(
              SPLIT('Final Report'!A744, "","")
           "&amp;" ),
            'URL Details'!A:B,
            2,
            FALSE
          ),
          """"
        )
      )
    )
  ),
  1,
  1
)
"),"")</f>
        <v/>
      </c>
      <c r="C744" s="105" t="str">
        <f>IFERROR(__xludf.DUMMYFUNCTION("IFERROR(IF('Final Report'!A744="""","""", TEXTJOIN(CHAR(10), TRUE, ARRAYFORMULA( ""• ""&amp; FILTER( TRIM(FLATTEN(SPLIT( REGEXREPLACE( SUBSTITUTE(TEXTJOIN("","", TRUE, IFERROR(ARRAYFORMULA(VLOOKUP(TRIM(SPLIT('Final Report'!A744, "","")), 'URL Details'!A:D, 4,"&amp;" FALSE)),"""") ), CHAR(10), "",""), ""\s*,\s*"", "",""), "",""))), TRIM(FLATTEN(SPLIT( REGEXREPLACE( SUBSTITUTE(TEXTJOIN("","", TRUE, IFERROR(ARRAYFORMULA(VLOOKUP(TRIM(SPLIT('Final Report'!A744, "","")), 'URL Details'!A:D, 4, FALSE)),"""") ), CHAR(10), """&amp;",""), ""\s*,\s*"", "",""), "","")))&lt;&gt;"""" ) ) ) ),"""")
"),"")</f>
        <v/>
      </c>
      <c r="D744" s="105"/>
      <c r="E744" s="105"/>
      <c r="F744" s="110" t="b">
        <v>0</v>
      </c>
      <c r="G744" s="105" t="str">
        <f>IF(F744=True, IFERROR(VLOOKUP(D744, Repository!A:B, 2, 0), ""), "")</f>
        <v/>
      </c>
      <c r="H744" s="105"/>
      <c r="I744" s="105"/>
      <c r="J744" s="105" t="str">
        <f>IF(F744=True, IFERROR(VLOOKUP(D744, Repository!A:C, 3, 0), ""), "")</f>
        <v/>
      </c>
      <c r="K744" s="105"/>
      <c r="L744" s="105" t="str">
        <f>IF(F744=True, IFERROR(VLOOKUP(D744, Repository!A:E, 5, 0), ""), "")</f>
        <v/>
      </c>
      <c r="M744" s="105"/>
      <c r="N744" s="105" t="str">
        <f>IF(F744=True, IFERROR(VLOOKUP(D744, Repository!A:G, 7, 0), ""), "")</f>
        <v/>
      </c>
      <c r="O744" s="105" t="str">
        <f>IFERROR(__xludf.DUMMYFUNCTION("ARRAY_CONSTRAIN(
  ARRAYFORMULA(
    IFERROR(
      LET(
        list, N744,
        arr, TRIM(SPLIT(list, "","")),
        names, XLOOKUP(
          arr,
          'Conformance Score'!A:A,
          'Conformance Score'!B:B,
          ""Not found""
      "&amp;"  ),
        TEXTJOIN("", "", TRUE, names)
      ),
      """"
    )
  ),
  1,
  1
)
"),"")</f>
        <v/>
      </c>
      <c r="P744" s="105" t="str">
        <f>IF(F744="Yes", IFERROR(VLOOKUP(D744, Repository!A:F, 6, 0), ""), "")</f>
        <v/>
      </c>
      <c r="Q744" s="105" t="str">
        <f>IF(F744="Yes", IFERROR(VLOOKUP(D744, Repository!A:I, 8, 0), ""), "")</f>
        <v/>
      </c>
      <c r="R744" s="105" t="str">
        <f>IF(F744="Yes", IFERROR(VLOOKUP(D744, Repository!A:J, 9, 0), ""), "")</f>
        <v/>
      </c>
      <c r="S744" s="105"/>
      <c r="T744" s="105"/>
      <c r="U744" s="105"/>
      <c r="V744" s="105"/>
      <c r="W744" s="105"/>
      <c r="X744" s="105"/>
      <c r="Y744" s="105"/>
      <c r="Z744" s="105"/>
      <c r="AA744" s="105"/>
      <c r="AB744" s="105"/>
      <c r="AC744" s="91"/>
      <c r="AD744" s="105"/>
      <c r="AE744" s="105"/>
      <c r="AF744" s="91"/>
      <c r="AG744" s="105"/>
      <c r="AH744" s="105"/>
      <c r="AI744" s="105" t="str">
        <f t="shared" si="1"/>
        <v/>
      </c>
      <c r="AJ744" s="108" t="str">
        <f t="shared" si="2"/>
        <v/>
      </c>
    </row>
    <row r="745" ht="15.75" customHeight="1">
      <c r="A745" s="104"/>
      <c r="B745" s="105" t="str">
        <f>IFERROR(__xludf.DUMMYFUNCTION("ARRAY_CONSTRAIN(
  ARRAYFORMULA(
    IF(
      'Final Report'!A745="""",
      """",
      TEXTJOIN(
        "", "" &amp; CHAR(10),
        TRUE,
        IFERROR(
          VLOOKUP(
            TRIM(
              SPLIT('Final Report'!A745, "","")
           "&amp;" ),
            'URL Details'!A:B,
            2,
            FALSE
          ),
          """"
        )
      )
    )
  ),
  1,
  1
)
"),"")</f>
        <v/>
      </c>
      <c r="C745" s="105" t="str">
        <f>IFERROR(__xludf.DUMMYFUNCTION("IFERROR(IF('Final Report'!A745="""","""", TEXTJOIN(CHAR(10), TRUE, ARRAYFORMULA( ""• ""&amp; FILTER( TRIM(FLATTEN(SPLIT( REGEXREPLACE( SUBSTITUTE(TEXTJOIN("","", TRUE, IFERROR(ARRAYFORMULA(VLOOKUP(TRIM(SPLIT('Final Report'!A745, "","")), 'URL Details'!A:D, 4,"&amp;" FALSE)),"""") ), CHAR(10), "",""), ""\s*,\s*"", "",""), "",""))), TRIM(FLATTEN(SPLIT( REGEXREPLACE( SUBSTITUTE(TEXTJOIN("","", TRUE, IFERROR(ARRAYFORMULA(VLOOKUP(TRIM(SPLIT('Final Report'!A745, "","")), 'URL Details'!A:D, 4, FALSE)),"""") ), CHAR(10), """&amp;",""), ""\s*,\s*"", "",""), "","")))&lt;&gt;"""" ) ) ) ),"""")
"),"")</f>
        <v/>
      </c>
      <c r="D745" s="105"/>
      <c r="E745" s="105"/>
      <c r="F745" s="110" t="b">
        <v>0</v>
      </c>
      <c r="G745" s="105" t="str">
        <f>IF(F745=True, IFERROR(VLOOKUP(D745, Repository!A:B, 2, 0), ""), "")</f>
        <v/>
      </c>
      <c r="H745" s="105"/>
      <c r="I745" s="105"/>
      <c r="J745" s="105" t="str">
        <f>IF(F745=True, IFERROR(VLOOKUP(D745, Repository!A:C, 3, 0), ""), "")</f>
        <v/>
      </c>
      <c r="K745" s="105"/>
      <c r="L745" s="105" t="str">
        <f>IF(F745=True, IFERROR(VLOOKUP(D745, Repository!A:E, 5, 0), ""), "")</f>
        <v/>
      </c>
      <c r="M745" s="105"/>
      <c r="N745" s="105" t="str">
        <f>IF(F745=True, IFERROR(VLOOKUP(D745, Repository!A:G, 7, 0), ""), "")</f>
        <v/>
      </c>
      <c r="O745" s="105" t="str">
        <f>IFERROR(__xludf.DUMMYFUNCTION("ARRAY_CONSTRAIN(
  ARRAYFORMULA(
    IFERROR(
      LET(
        list, N745,
        arr, TRIM(SPLIT(list, "","")),
        names, XLOOKUP(
          arr,
          'Conformance Score'!A:A,
          'Conformance Score'!B:B,
          ""Not found""
      "&amp;"  ),
        TEXTJOIN("", "", TRUE, names)
      ),
      """"
    )
  ),
  1,
  1
)
"),"")</f>
        <v/>
      </c>
      <c r="P745" s="105" t="str">
        <f>IF(F745="Yes", IFERROR(VLOOKUP(D745, Repository!A:F, 6, 0), ""), "")</f>
        <v/>
      </c>
      <c r="Q745" s="105" t="str">
        <f>IF(F745="Yes", IFERROR(VLOOKUP(D745, Repository!A:I, 8, 0), ""), "")</f>
        <v/>
      </c>
      <c r="R745" s="105" t="str">
        <f>IF(F745="Yes", IFERROR(VLOOKUP(D745, Repository!A:J, 9, 0), ""), "")</f>
        <v/>
      </c>
      <c r="S745" s="105"/>
      <c r="T745" s="105"/>
      <c r="U745" s="105"/>
      <c r="V745" s="105"/>
      <c r="W745" s="105"/>
      <c r="X745" s="105"/>
      <c r="Y745" s="105"/>
      <c r="Z745" s="105"/>
      <c r="AA745" s="105"/>
      <c r="AB745" s="105"/>
      <c r="AC745" s="91"/>
      <c r="AD745" s="105"/>
      <c r="AE745" s="105"/>
      <c r="AF745" s="91"/>
      <c r="AG745" s="105"/>
      <c r="AH745" s="105"/>
      <c r="AI745" s="105" t="str">
        <f t="shared" si="1"/>
        <v/>
      </c>
      <c r="AJ745" s="108" t="str">
        <f t="shared" si="2"/>
        <v/>
      </c>
    </row>
    <row r="746" ht="15.75" customHeight="1">
      <c r="A746" s="104"/>
      <c r="B746" s="105" t="str">
        <f>IFERROR(__xludf.DUMMYFUNCTION("ARRAY_CONSTRAIN(
  ARRAYFORMULA(
    IF(
      'Final Report'!A746="""",
      """",
      TEXTJOIN(
        "", "" &amp; CHAR(10),
        TRUE,
        IFERROR(
          VLOOKUP(
            TRIM(
              SPLIT('Final Report'!A746, "","")
           "&amp;" ),
            'URL Details'!A:B,
            2,
            FALSE
          ),
          """"
        )
      )
    )
  ),
  1,
  1
)
"),"")</f>
        <v/>
      </c>
      <c r="C746" s="105" t="str">
        <f>IFERROR(__xludf.DUMMYFUNCTION("IFERROR(IF('Final Report'!A746="""","""", TEXTJOIN(CHAR(10), TRUE, ARRAYFORMULA( ""• ""&amp; FILTER( TRIM(FLATTEN(SPLIT( REGEXREPLACE( SUBSTITUTE(TEXTJOIN("","", TRUE, IFERROR(ARRAYFORMULA(VLOOKUP(TRIM(SPLIT('Final Report'!A746, "","")), 'URL Details'!A:D, 4,"&amp;" FALSE)),"""") ), CHAR(10), "",""), ""\s*,\s*"", "",""), "",""))), TRIM(FLATTEN(SPLIT( REGEXREPLACE( SUBSTITUTE(TEXTJOIN("","", TRUE, IFERROR(ARRAYFORMULA(VLOOKUP(TRIM(SPLIT('Final Report'!A746, "","")), 'URL Details'!A:D, 4, FALSE)),"""") ), CHAR(10), """&amp;",""), ""\s*,\s*"", "",""), "","")))&lt;&gt;"""" ) ) ) ),"""")
"),"")</f>
        <v/>
      </c>
      <c r="D746" s="105"/>
      <c r="E746" s="105"/>
      <c r="F746" s="110" t="b">
        <v>0</v>
      </c>
      <c r="G746" s="105" t="str">
        <f>IF(F746=True, IFERROR(VLOOKUP(D746, Repository!A:B, 2, 0), ""), "")</f>
        <v/>
      </c>
      <c r="H746" s="105"/>
      <c r="I746" s="105"/>
      <c r="J746" s="105" t="str">
        <f>IF(F746=True, IFERROR(VLOOKUP(D746, Repository!A:C, 3, 0), ""), "")</f>
        <v/>
      </c>
      <c r="K746" s="105"/>
      <c r="L746" s="105" t="str">
        <f>IF(F746=True, IFERROR(VLOOKUP(D746, Repository!A:E, 5, 0), ""), "")</f>
        <v/>
      </c>
      <c r="M746" s="105"/>
      <c r="N746" s="105" t="str">
        <f>IF(F746=True, IFERROR(VLOOKUP(D746, Repository!A:G, 7, 0), ""), "")</f>
        <v/>
      </c>
      <c r="O746" s="105" t="str">
        <f>IFERROR(__xludf.DUMMYFUNCTION("ARRAY_CONSTRAIN(
  ARRAYFORMULA(
    IFERROR(
      LET(
        list, N746,
        arr, TRIM(SPLIT(list, "","")),
        names, XLOOKUP(
          arr,
          'Conformance Score'!A:A,
          'Conformance Score'!B:B,
          ""Not found""
      "&amp;"  ),
        TEXTJOIN("", "", TRUE, names)
      ),
      """"
    )
  ),
  1,
  1
)
"),"")</f>
        <v/>
      </c>
      <c r="P746" s="105" t="str">
        <f>IF(F746="Yes", IFERROR(VLOOKUP(D746, Repository!A:F, 6, 0), ""), "")</f>
        <v/>
      </c>
      <c r="Q746" s="105" t="str">
        <f>IF(F746="Yes", IFERROR(VLOOKUP(D746, Repository!A:I, 8, 0), ""), "")</f>
        <v/>
      </c>
      <c r="R746" s="105" t="str">
        <f>IF(F746="Yes", IFERROR(VLOOKUP(D746, Repository!A:J, 9, 0), ""), "")</f>
        <v/>
      </c>
      <c r="S746" s="105"/>
      <c r="T746" s="105"/>
      <c r="U746" s="105"/>
      <c r="V746" s="105"/>
      <c r="W746" s="105"/>
      <c r="X746" s="105"/>
      <c r="Y746" s="105"/>
      <c r="Z746" s="105"/>
      <c r="AA746" s="105"/>
      <c r="AB746" s="105"/>
      <c r="AC746" s="91"/>
      <c r="AD746" s="105"/>
      <c r="AE746" s="105"/>
      <c r="AF746" s="91"/>
      <c r="AG746" s="105"/>
      <c r="AH746" s="105"/>
      <c r="AI746" s="105" t="str">
        <f t="shared" si="1"/>
        <v/>
      </c>
      <c r="AJ746" s="108" t="str">
        <f t="shared" si="2"/>
        <v/>
      </c>
    </row>
    <row r="747" ht="15.75" customHeight="1">
      <c r="A747" s="104"/>
      <c r="B747" s="105" t="str">
        <f>IFERROR(__xludf.DUMMYFUNCTION("ARRAY_CONSTRAIN(
  ARRAYFORMULA(
    IF(
      'Final Report'!A747="""",
      """",
      TEXTJOIN(
        "", "" &amp; CHAR(10),
        TRUE,
        IFERROR(
          VLOOKUP(
            TRIM(
              SPLIT('Final Report'!A747, "","")
           "&amp;" ),
            'URL Details'!A:B,
            2,
            FALSE
          ),
          """"
        )
      )
    )
  ),
  1,
  1
)
"),"")</f>
        <v/>
      </c>
      <c r="C747" s="105" t="str">
        <f>IFERROR(__xludf.DUMMYFUNCTION("IFERROR(IF('Final Report'!A747="""","""", TEXTJOIN(CHAR(10), TRUE, ARRAYFORMULA( ""• ""&amp; FILTER( TRIM(FLATTEN(SPLIT( REGEXREPLACE( SUBSTITUTE(TEXTJOIN("","", TRUE, IFERROR(ARRAYFORMULA(VLOOKUP(TRIM(SPLIT('Final Report'!A747, "","")), 'URL Details'!A:D, 4,"&amp;" FALSE)),"""") ), CHAR(10), "",""), ""\s*,\s*"", "",""), "",""))), TRIM(FLATTEN(SPLIT( REGEXREPLACE( SUBSTITUTE(TEXTJOIN("","", TRUE, IFERROR(ARRAYFORMULA(VLOOKUP(TRIM(SPLIT('Final Report'!A747, "","")), 'URL Details'!A:D, 4, FALSE)),"""") ), CHAR(10), """&amp;",""), ""\s*,\s*"", "",""), "","")))&lt;&gt;"""" ) ) ) ),"""")
"),"")</f>
        <v/>
      </c>
      <c r="D747" s="105"/>
      <c r="E747" s="105"/>
      <c r="F747" s="110" t="b">
        <v>0</v>
      </c>
      <c r="G747" s="105" t="str">
        <f>IF(F747=True, IFERROR(VLOOKUP(D747, Repository!A:B, 2, 0), ""), "")</f>
        <v/>
      </c>
      <c r="H747" s="105"/>
      <c r="I747" s="105"/>
      <c r="J747" s="105" t="str">
        <f>IF(F747=True, IFERROR(VLOOKUP(D747, Repository!A:C, 3, 0), ""), "")</f>
        <v/>
      </c>
      <c r="K747" s="105"/>
      <c r="L747" s="105" t="str">
        <f>IF(F747=True, IFERROR(VLOOKUP(D747, Repository!A:E, 5, 0), ""), "")</f>
        <v/>
      </c>
      <c r="M747" s="105"/>
      <c r="N747" s="105" t="str">
        <f>IF(F747=True, IFERROR(VLOOKUP(D747, Repository!A:G, 7, 0), ""), "")</f>
        <v/>
      </c>
      <c r="O747" s="105" t="str">
        <f>IFERROR(__xludf.DUMMYFUNCTION("ARRAY_CONSTRAIN(
  ARRAYFORMULA(
    IFERROR(
      LET(
        list, N747,
        arr, TRIM(SPLIT(list, "","")),
        names, XLOOKUP(
          arr,
          'Conformance Score'!A:A,
          'Conformance Score'!B:B,
          ""Not found""
      "&amp;"  ),
        TEXTJOIN("", "", TRUE, names)
      ),
      """"
    )
  ),
  1,
  1
)
"),"")</f>
        <v/>
      </c>
      <c r="P747" s="105" t="str">
        <f>IF(F747="Yes", IFERROR(VLOOKUP(D747, Repository!A:F, 6, 0), ""), "")</f>
        <v/>
      </c>
      <c r="Q747" s="105" t="str">
        <f>IF(F747="Yes", IFERROR(VLOOKUP(D747, Repository!A:I, 8, 0), ""), "")</f>
        <v/>
      </c>
      <c r="R747" s="105" t="str">
        <f>IF(F747="Yes", IFERROR(VLOOKUP(D747, Repository!A:J, 9, 0), ""), "")</f>
        <v/>
      </c>
      <c r="S747" s="105"/>
      <c r="T747" s="105"/>
      <c r="U747" s="105"/>
      <c r="V747" s="105"/>
      <c r="W747" s="105"/>
      <c r="X747" s="105"/>
      <c r="Y747" s="105"/>
      <c r="Z747" s="105"/>
      <c r="AA747" s="105"/>
      <c r="AB747" s="105"/>
      <c r="AC747" s="91"/>
      <c r="AD747" s="105"/>
      <c r="AE747" s="105"/>
      <c r="AF747" s="91"/>
      <c r="AG747" s="105"/>
      <c r="AH747" s="105"/>
      <c r="AI747" s="105" t="str">
        <f t="shared" si="1"/>
        <v/>
      </c>
      <c r="AJ747" s="108" t="str">
        <f t="shared" si="2"/>
        <v/>
      </c>
    </row>
    <row r="748" ht="15.75" customHeight="1">
      <c r="A748" s="104"/>
      <c r="B748" s="105" t="str">
        <f>IFERROR(__xludf.DUMMYFUNCTION("ARRAY_CONSTRAIN(
  ARRAYFORMULA(
    IF(
      'Final Report'!A748="""",
      """",
      TEXTJOIN(
        "", "" &amp; CHAR(10),
        TRUE,
        IFERROR(
          VLOOKUP(
            TRIM(
              SPLIT('Final Report'!A748, "","")
           "&amp;" ),
            'URL Details'!A:B,
            2,
            FALSE
          ),
          """"
        )
      )
    )
  ),
  1,
  1
)
"),"")</f>
        <v/>
      </c>
      <c r="C748" s="105" t="str">
        <f>IFERROR(__xludf.DUMMYFUNCTION("IFERROR(IF('Final Report'!A748="""","""", TEXTJOIN(CHAR(10), TRUE, ARRAYFORMULA( ""• ""&amp; FILTER( TRIM(FLATTEN(SPLIT( REGEXREPLACE( SUBSTITUTE(TEXTJOIN("","", TRUE, IFERROR(ARRAYFORMULA(VLOOKUP(TRIM(SPLIT('Final Report'!A748, "","")), 'URL Details'!A:D, 4,"&amp;" FALSE)),"""") ), CHAR(10), "",""), ""\s*,\s*"", "",""), "",""))), TRIM(FLATTEN(SPLIT( REGEXREPLACE( SUBSTITUTE(TEXTJOIN("","", TRUE, IFERROR(ARRAYFORMULA(VLOOKUP(TRIM(SPLIT('Final Report'!A748, "","")), 'URL Details'!A:D, 4, FALSE)),"""") ), CHAR(10), """&amp;",""), ""\s*,\s*"", "",""), "","")))&lt;&gt;"""" ) ) ) ),"""")
"),"")</f>
        <v/>
      </c>
      <c r="D748" s="105"/>
      <c r="E748" s="105"/>
      <c r="F748" s="110" t="b">
        <v>0</v>
      </c>
      <c r="G748" s="105" t="str">
        <f>IF(F748=True, IFERROR(VLOOKUP(D748, Repository!A:B, 2, 0), ""), "")</f>
        <v/>
      </c>
      <c r="H748" s="105"/>
      <c r="I748" s="105"/>
      <c r="J748" s="105" t="str">
        <f>IF(F748=True, IFERROR(VLOOKUP(D748, Repository!A:C, 3, 0), ""), "")</f>
        <v/>
      </c>
      <c r="K748" s="105"/>
      <c r="L748" s="105" t="str">
        <f>IF(F748=True, IFERROR(VLOOKUP(D748, Repository!A:E, 5, 0), ""), "")</f>
        <v/>
      </c>
      <c r="M748" s="105"/>
      <c r="N748" s="105" t="str">
        <f>IF(F748=True, IFERROR(VLOOKUP(D748, Repository!A:G, 7, 0), ""), "")</f>
        <v/>
      </c>
      <c r="O748" s="105" t="str">
        <f>IFERROR(__xludf.DUMMYFUNCTION("ARRAY_CONSTRAIN(
  ARRAYFORMULA(
    IFERROR(
      LET(
        list, N748,
        arr, TRIM(SPLIT(list, "","")),
        names, XLOOKUP(
          arr,
          'Conformance Score'!A:A,
          'Conformance Score'!B:B,
          ""Not found""
      "&amp;"  ),
        TEXTJOIN("", "", TRUE, names)
      ),
      """"
    )
  ),
  1,
  1
)
"),"")</f>
        <v/>
      </c>
      <c r="P748" s="105" t="str">
        <f>IF(F748="Yes", IFERROR(VLOOKUP(D748, Repository!A:F, 6, 0), ""), "")</f>
        <v/>
      </c>
      <c r="Q748" s="105" t="str">
        <f>IF(F748="Yes", IFERROR(VLOOKUP(D748, Repository!A:I, 8, 0), ""), "")</f>
        <v/>
      </c>
      <c r="R748" s="105" t="str">
        <f>IF(F748="Yes", IFERROR(VLOOKUP(D748, Repository!A:J, 9, 0), ""), "")</f>
        <v/>
      </c>
      <c r="S748" s="105"/>
      <c r="T748" s="105"/>
      <c r="U748" s="105"/>
      <c r="V748" s="105"/>
      <c r="W748" s="105"/>
      <c r="X748" s="105"/>
      <c r="Y748" s="105"/>
      <c r="Z748" s="105"/>
      <c r="AA748" s="105"/>
      <c r="AB748" s="105"/>
      <c r="AC748" s="91"/>
      <c r="AD748" s="105"/>
      <c r="AE748" s="105"/>
      <c r="AF748" s="91"/>
      <c r="AG748" s="105"/>
      <c r="AH748" s="105"/>
      <c r="AI748" s="105" t="str">
        <f t="shared" si="1"/>
        <v/>
      </c>
      <c r="AJ748" s="108" t="str">
        <f t="shared" si="2"/>
        <v/>
      </c>
    </row>
    <row r="749" ht="15.75" customHeight="1">
      <c r="A749" s="104"/>
      <c r="B749" s="105" t="str">
        <f>IFERROR(__xludf.DUMMYFUNCTION("ARRAY_CONSTRAIN(
  ARRAYFORMULA(
    IF(
      'Final Report'!A749="""",
      """",
      TEXTJOIN(
        "", "" &amp; CHAR(10),
        TRUE,
        IFERROR(
          VLOOKUP(
            TRIM(
              SPLIT('Final Report'!A749, "","")
           "&amp;" ),
            'URL Details'!A:B,
            2,
            FALSE
          ),
          """"
        )
      )
    )
  ),
  1,
  1
)
"),"")</f>
        <v/>
      </c>
      <c r="C749" s="105" t="str">
        <f>IFERROR(__xludf.DUMMYFUNCTION("IFERROR(IF('Final Report'!A749="""","""", TEXTJOIN(CHAR(10), TRUE, ARRAYFORMULA( ""• ""&amp; FILTER( TRIM(FLATTEN(SPLIT( REGEXREPLACE( SUBSTITUTE(TEXTJOIN("","", TRUE, IFERROR(ARRAYFORMULA(VLOOKUP(TRIM(SPLIT('Final Report'!A749, "","")), 'URL Details'!A:D, 4,"&amp;" FALSE)),"""") ), CHAR(10), "",""), ""\s*,\s*"", "",""), "",""))), TRIM(FLATTEN(SPLIT( REGEXREPLACE( SUBSTITUTE(TEXTJOIN("","", TRUE, IFERROR(ARRAYFORMULA(VLOOKUP(TRIM(SPLIT('Final Report'!A749, "","")), 'URL Details'!A:D, 4, FALSE)),"""") ), CHAR(10), """&amp;",""), ""\s*,\s*"", "",""), "","")))&lt;&gt;"""" ) ) ) ),"""")
"),"")</f>
        <v/>
      </c>
      <c r="D749" s="105"/>
      <c r="E749" s="105"/>
      <c r="F749" s="110" t="b">
        <v>0</v>
      </c>
      <c r="G749" s="105" t="str">
        <f>IF(F749=True, IFERROR(VLOOKUP(D749, Repository!A:B, 2, 0), ""), "")</f>
        <v/>
      </c>
      <c r="H749" s="105"/>
      <c r="I749" s="105"/>
      <c r="J749" s="105" t="str">
        <f>IF(F749=True, IFERROR(VLOOKUP(D749, Repository!A:C, 3, 0), ""), "")</f>
        <v/>
      </c>
      <c r="K749" s="105"/>
      <c r="L749" s="105" t="str">
        <f>IF(F749=True, IFERROR(VLOOKUP(D749, Repository!A:E, 5, 0), ""), "")</f>
        <v/>
      </c>
      <c r="M749" s="105"/>
      <c r="N749" s="105" t="str">
        <f>IF(F749=True, IFERROR(VLOOKUP(D749, Repository!A:G, 7, 0), ""), "")</f>
        <v/>
      </c>
      <c r="O749" s="105" t="str">
        <f>IFERROR(__xludf.DUMMYFUNCTION("ARRAY_CONSTRAIN(
  ARRAYFORMULA(
    IFERROR(
      LET(
        list, N749,
        arr, TRIM(SPLIT(list, "","")),
        names, XLOOKUP(
          arr,
          'Conformance Score'!A:A,
          'Conformance Score'!B:B,
          ""Not found""
      "&amp;"  ),
        TEXTJOIN("", "", TRUE, names)
      ),
      """"
    )
  ),
  1,
  1
)
"),"")</f>
        <v/>
      </c>
      <c r="P749" s="105" t="str">
        <f>IF(F749="Yes", IFERROR(VLOOKUP(D749, Repository!A:F, 6, 0), ""), "")</f>
        <v/>
      </c>
      <c r="Q749" s="105" t="str">
        <f>IF(F749="Yes", IFERROR(VLOOKUP(D749, Repository!A:I, 8, 0), ""), "")</f>
        <v/>
      </c>
      <c r="R749" s="105" t="str">
        <f>IF(F749="Yes", IFERROR(VLOOKUP(D749, Repository!A:J, 9, 0), ""), "")</f>
        <v/>
      </c>
      <c r="S749" s="105"/>
      <c r="T749" s="105"/>
      <c r="U749" s="105"/>
      <c r="V749" s="105"/>
      <c r="W749" s="105"/>
      <c r="X749" s="105"/>
      <c r="Y749" s="105"/>
      <c r="Z749" s="105"/>
      <c r="AA749" s="105"/>
      <c r="AB749" s="105"/>
      <c r="AC749" s="91"/>
      <c r="AD749" s="105"/>
      <c r="AE749" s="105"/>
      <c r="AF749" s="91"/>
      <c r="AG749" s="105"/>
      <c r="AH749" s="105"/>
      <c r="AI749" s="105" t="str">
        <f t="shared" si="1"/>
        <v/>
      </c>
      <c r="AJ749" s="108" t="str">
        <f t="shared" si="2"/>
        <v/>
      </c>
    </row>
    <row r="750" ht="15.75" customHeight="1">
      <c r="A750" s="104"/>
      <c r="B750" s="105" t="str">
        <f>IFERROR(__xludf.DUMMYFUNCTION("ARRAY_CONSTRAIN(
  ARRAYFORMULA(
    IF(
      'Final Report'!A750="""",
      """",
      TEXTJOIN(
        "", "" &amp; CHAR(10),
        TRUE,
        IFERROR(
          VLOOKUP(
            TRIM(
              SPLIT('Final Report'!A750, "","")
           "&amp;" ),
            'URL Details'!A:B,
            2,
            FALSE
          ),
          """"
        )
      )
    )
  ),
  1,
  1
)
"),"")</f>
        <v/>
      </c>
      <c r="C750" s="105" t="str">
        <f>IFERROR(__xludf.DUMMYFUNCTION("IFERROR(IF('Final Report'!A750="""","""", TEXTJOIN(CHAR(10), TRUE, ARRAYFORMULA( ""• ""&amp; FILTER( TRIM(FLATTEN(SPLIT( REGEXREPLACE( SUBSTITUTE(TEXTJOIN("","", TRUE, IFERROR(ARRAYFORMULA(VLOOKUP(TRIM(SPLIT('Final Report'!A750, "","")), 'URL Details'!A:D, 4,"&amp;" FALSE)),"""") ), CHAR(10), "",""), ""\s*,\s*"", "",""), "",""))), TRIM(FLATTEN(SPLIT( REGEXREPLACE( SUBSTITUTE(TEXTJOIN("","", TRUE, IFERROR(ARRAYFORMULA(VLOOKUP(TRIM(SPLIT('Final Report'!A750, "","")), 'URL Details'!A:D, 4, FALSE)),"""") ), CHAR(10), """&amp;",""), ""\s*,\s*"", "",""), "","")))&lt;&gt;"""" ) ) ) ),"""")
"),"")</f>
        <v/>
      </c>
      <c r="D750" s="105"/>
      <c r="E750" s="105"/>
      <c r="F750" s="110" t="b">
        <v>0</v>
      </c>
      <c r="G750" s="105" t="str">
        <f>IF(F750=True, IFERROR(VLOOKUP(D750, Repository!A:B, 2, 0), ""), "")</f>
        <v/>
      </c>
      <c r="H750" s="105"/>
      <c r="I750" s="105"/>
      <c r="J750" s="105" t="str">
        <f>IF(F750=True, IFERROR(VLOOKUP(D750, Repository!A:C, 3, 0), ""), "")</f>
        <v/>
      </c>
      <c r="K750" s="105"/>
      <c r="L750" s="105" t="str">
        <f>IF(F750=True, IFERROR(VLOOKUP(D750, Repository!A:E, 5, 0), ""), "")</f>
        <v/>
      </c>
      <c r="M750" s="105"/>
      <c r="N750" s="105" t="str">
        <f>IF(F750=True, IFERROR(VLOOKUP(D750, Repository!A:G, 7, 0), ""), "")</f>
        <v/>
      </c>
      <c r="O750" s="105" t="str">
        <f>IFERROR(__xludf.DUMMYFUNCTION("ARRAY_CONSTRAIN(
  ARRAYFORMULA(
    IFERROR(
      LET(
        list, N750,
        arr, TRIM(SPLIT(list, "","")),
        names, XLOOKUP(
          arr,
          'Conformance Score'!A:A,
          'Conformance Score'!B:B,
          ""Not found""
      "&amp;"  ),
        TEXTJOIN("", "", TRUE, names)
      ),
      """"
    )
  ),
  1,
  1
)
"),"")</f>
        <v/>
      </c>
      <c r="P750" s="105" t="str">
        <f>IF(F750="Yes", IFERROR(VLOOKUP(D750, Repository!A:F, 6, 0), ""), "")</f>
        <v/>
      </c>
      <c r="Q750" s="105" t="str">
        <f>IF(F750="Yes", IFERROR(VLOOKUP(D750, Repository!A:I, 8, 0), ""), "")</f>
        <v/>
      </c>
      <c r="R750" s="105" t="str">
        <f>IF(F750="Yes", IFERROR(VLOOKUP(D750, Repository!A:J, 9, 0), ""), "")</f>
        <v/>
      </c>
      <c r="S750" s="105"/>
      <c r="T750" s="105"/>
      <c r="U750" s="105"/>
      <c r="V750" s="105"/>
      <c r="W750" s="105"/>
      <c r="X750" s="105"/>
      <c r="Y750" s="105"/>
      <c r="Z750" s="105"/>
      <c r="AA750" s="105"/>
      <c r="AB750" s="105"/>
      <c r="AC750" s="91"/>
      <c r="AD750" s="105"/>
      <c r="AE750" s="105"/>
      <c r="AF750" s="91"/>
      <c r="AG750" s="105"/>
      <c r="AH750" s="105"/>
      <c r="AI750" s="105" t="str">
        <f t="shared" si="1"/>
        <v/>
      </c>
      <c r="AJ750" s="108" t="str">
        <f t="shared" si="2"/>
        <v/>
      </c>
    </row>
    <row r="751" ht="15.75" customHeight="1">
      <c r="A751" s="104"/>
      <c r="B751" s="105" t="str">
        <f>IFERROR(__xludf.DUMMYFUNCTION("ARRAY_CONSTRAIN(
  ARRAYFORMULA(
    IF(
      'Final Report'!A751="""",
      """",
      TEXTJOIN(
        "", "" &amp; CHAR(10),
        TRUE,
        IFERROR(
          VLOOKUP(
            TRIM(
              SPLIT('Final Report'!A751, "","")
           "&amp;" ),
            'URL Details'!A:B,
            2,
            FALSE
          ),
          """"
        )
      )
    )
  ),
  1,
  1
)
"),"")</f>
        <v/>
      </c>
      <c r="C751" s="105" t="str">
        <f>IFERROR(__xludf.DUMMYFUNCTION("IFERROR(IF('Final Report'!A751="""","""", TEXTJOIN(CHAR(10), TRUE, ARRAYFORMULA( ""• ""&amp; FILTER( TRIM(FLATTEN(SPLIT( REGEXREPLACE( SUBSTITUTE(TEXTJOIN("","", TRUE, IFERROR(ARRAYFORMULA(VLOOKUP(TRIM(SPLIT('Final Report'!A751, "","")), 'URL Details'!A:D, 4,"&amp;" FALSE)),"""") ), CHAR(10), "",""), ""\s*,\s*"", "",""), "",""))), TRIM(FLATTEN(SPLIT( REGEXREPLACE( SUBSTITUTE(TEXTJOIN("","", TRUE, IFERROR(ARRAYFORMULA(VLOOKUP(TRIM(SPLIT('Final Report'!A751, "","")), 'URL Details'!A:D, 4, FALSE)),"""") ), CHAR(10), """&amp;",""), ""\s*,\s*"", "",""), "","")))&lt;&gt;"""" ) ) ) ),"""")
"),"")</f>
        <v/>
      </c>
      <c r="D751" s="105"/>
      <c r="E751" s="105"/>
      <c r="F751" s="110" t="b">
        <v>0</v>
      </c>
      <c r="G751" s="105" t="str">
        <f>IF(F751=True, IFERROR(VLOOKUP(D751, Repository!A:B, 2, 0), ""), "")</f>
        <v/>
      </c>
      <c r="H751" s="105"/>
      <c r="I751" s="105"/>
      <c r="J751" s="105" t="str">
        <f>IF(F751=True, IFERROR(VLOOKUP(D751, Repository!A:C, 3, 0), ""), "")</f>
        <v/>
      </c>
      <c r="K751" s="105"/>
      <c r="L751" s="105" t="str">
        <f>IF(F751=True, IFERROR(VLOOKUP(D751, Repository!A:E, 5, 0), ""), "")</f>
        <v/>
      </c>
      <c r="M751" s="105"/>
      <c r="N751" s="105" t="str">
        <f>IF(F751=True, IFERROR(VLOOKUP(D751, Repository!A:G, 7, 0), ""), "")</f>
        <v/>
      </c>
      <c r="O751" s="105" t="str">
        <f>IFERROR(__xludf.DUMMYFUNCTION("ARRAY_CONSTRAIN(
  ARRAYFORMULA(
    IFERROR(
      LET(
        list, N751,
        arr, TRIM(SPLIT(list, "","")),
        names, XLOOKUP(
          arr,
          'Conformance Score'!A:A,
          'Conformance Score'!B:B,
          ""Not found""
      "&amp;"  ),
        TEXTJOIN("", "", TRUE, names)
      ),
      """"
    )
  ),
  1,
  1
)
"),"")</f>
        <v/>
      </c>
      <c r="P751" s="105" t="str">
        <f>IF(F751="Yes", IFERROR(VLOOKUP(D751, Repository!A:F, 6, 0), ""), "")</f>
        <v/>
      </c>
      <c r="Q751" s="105" t="str">
        <f>IF(F751="Yes", IFERROR(VLOOKUP(D751, Repository!A:I, 8, 0), ""), "")</f>
        <v/>
      </c>
      <c r="R751" s="105" t="str">
        <f>IF(F751="Yes", IFERROR(VLOOKUP(D751, Repository!A:J, 9, 0), ""), "")</f>
        <v/>
      </c>
      <c r="S751" s="105"/>
      <c r="T751" s="105"/>
      <c r="U751" s="105"/>
      <c r="V751" s="105"/>
      <c r="W751" s="105"/>
      <c r="X751" s="105"/>
      <c r="Y751" s="105"/>
      <c r="Z751" s="105"/>
      <c r="AA751" s="105"/>
      <c r="AB751" s="105"/>
      <c r="AC751" s="91"/>
      <c r="AD751" s="105"/>
      <c r="AE751" s="105"/>
      <c r="AF751" s="91"/>
      <c r="AG751" s="105"/>
      <c r="AH751" s="105"/>
      <c r="AI751" s="105" t="str">
        <f t="shared" si="1"/>
        <v/>
      </c>
      <c r="AJ751" s="108" t="str">
        <f t="shared" si="2"/>
        <v/>
      </c>
    </row>
    <row r="752" ht="15.75" customHeight="1">
      <c r="A752" s="104"/>
      <c r="B752" s="105" t="str">
        <f>IFERROR(__xludf.DUMMYFUNCTION("ARRAY_CONSTRAIN(
  ARRAYFORMULA(
    IF(
      'Final Report'!A752="""",
      """",
      TEXTJOIN(
        "", "" &amp; CHAR(10),
        TRUE,
        IFERROR(
          VLOOKUP(
            TRIM(
              SPLIT('Final Report'!A752, "","")
           "&amp;" ),
            'URL Details'!A:B,
            2,
            FALSE
          ),
          """"
        )
      )
    )
  ),
  1,
  1
)
"),"")</f>
        <v/>
      </c>
      <c r="C752" s="105" t="str">
        <f>IFERROR(__xludf.DUMMYFUNCTION("IFERROR(IF('Final Report'!A752="""","""", TEXTJOIN(CHAR(10), TRUE, ARRAYFORMULA( ""• ""&amp; FILTER( TRIM(FLATTEN(SPLIT( REGEXREPLACE( SUBSTITUTE(TEXTJOIN("","", TRUE, IFERROR(ARRAYFORMULA(VLOOKUP(TRIM(SPLIT('Final Report'!A752, "","")), 'URL Details'!A:D, 4,"&amp;" FALSE)),"""") ), CHAR(10), "",""), ""\s*,\s*"", "",""), "",""))), TRIM(FLATTEN(SPLIT( REGEXREPLACE( SUBSTITUTE(TEXTJOIN("","", TRUE, IFERROR(ARRAYFORMULA(VLOOKUP(TRIM(SPLIT('Final Report'!A752, "","")), 'URL Details'!A:D, 4, FALSE)),"""") ), CHAR(10), """&amp;",""), ""\s*,\s*"", "",""), "","")))&lt;&gt;"""" ) ) ) ),"""")
"),"")</f>
        <v/>
      </c>
      <c r="D752" s="105"/>
      <c r="E752" s="105"/>
      <c r="F752" s="110" t="b">
        <v>0</v>
      </c>
      <c r="G752" s="105" t="str">
        <f>IF(F752=True, IFERROR(VLOOKUP(D752, Repository!A:B, 2, 0), ""), "")</f>
        <v/>
      </c>
      <c r="H752" s="105"/>
      <c r="I752" s="105"/>
      <c r="J752" s="105" t="str">
        <f>IF(F752=True, IFERROR(VLOOKUP(D752, Repository!A:C, 3, 0), ""), "")</f>
        <v/>
      </c>
      <c r="K752" s="105"/>
      <c r="L752" s="105" t="str">
        <f>IF(F752=True, IFERROR(VLOOKUP(D752, Repository!A:E, 5, 0), ""), "")</f>
        <v/>
      </c>
      <c r="M752" s="105"/>
      <c r="N752" s="105" t="str">
        <f>IF(F752=True, IFERROR(VLOOKUP(D752, Repository!A:G, 7, 0), ""), "")</f>
        <v/>
      </c>
      <c r="O752" s="105" t="str">
        <f>IFERROR(__xludf.DUMMYFUNCTION("ARRAY_CONSTRAIN(
  ARRAYFORMULA(
    IFERROR(
      LET(
        list, N752,
        arr, TRIM(SPLIT(list, "","")),
        names, XLOOKUP(
          arr,
          'Conformance Score'!A:A,
          'Conformance Score'!B:B,
          ""Not found""
      "&amp;"  ),
        TEXTJOIN("", "", TRUE, names)
      ),
      """"
    )
  ),
  1,
  1
)
"),"")</f>
        <v/>
      </c>
      <c r="P752" s="105" t="str">
        <f>IF(F752="Yes", IFERROR(VLOOKUP(D752, Repository!A:F, 6, 0), ""), "")</f>
        <v/>
      </c>
      <c r="Q752" s="105" t="str">
        <f>IF(F752="Yes", IFERROR(VLOOKUP(D752, Repository!A:I, 8, 0), ""), "")</f>
        <v/>
      </c>
      <c r="R752" s="105" t="str">
        <f>IF(F752="Yes", IFERROR(VLOOKUP(D752, Repository!A:J, 9, 0), ""), "")</f>
        <v/>
      </c>
      <c r="S752" s="105"/>
      <c r="T752" s="105"/>
      <c r="U752" s="105"/>
      <c r="V752" s="105"/>
      <c r="W752" s="105"/>
      <c r="X752" s="105"/>
      <c r="Y752" s="105"/>
      <c r="Z752" s="105"/>
      <c r="AA752" s="105"/>
      <c r="AB752" s="105"/>
      <c r="AC752" s="91"/>
      <c r="AD752" s="105"/>
      <c r="AE752" s="105"/>
      <c r="AF752" s="91"/>
      <c r="AG752" s="105"/>
      <c r="AH752" s="105"/>
      <c r="AI752" s="105" t="str">
        <f t="shared" si="1"/>
        <v/>
      </c>
      <c r="AJ752" s="108" t="str">
        <f t="shared" si="2"/>
        <v/>
      </c>
    </row>
    <row r="753" ht="15.75" customHeight="1">
      <c r="A753" s="104"/>
      <c r="B753" s="105" t="str">
        <f>IFERROR(__xludf.DUMMYFUNCTION("ARRAY_CONSTRAIN(
  ARRAYFORMULA(
    IF(
      'Final Report'!A753="""",
      """",
      TEXTJOIN(
        "", "" &amp; CHAR(10),
        TRUE,
        IFERROR(
          VLOOKUP(
            TRIM(
              SPLIT('Final Report'!A753, "","")
           "&amp;" ),
            'URL Details'!A:B,
            2,
            FALSE
          ),
          """"
        )
      )
    )
  ),
  1,
  1
)
"),"")</f>
        <v/>
      </c>
      <c r="C753" s="105" t="str">
        <f>IFERROR(__xludf.DUMMYFUNCTION("IFERROR(IF('Final Report'!A753="""","""", TEXTJOIN(CHAR(10), TRUE, ARRAYFORMULA( ""• ""&amp; FILTER( TRIM(FLATTEN(SPLIT( REGEXREPLACE( SUBSTITUTE(TEXTJOIN("","", TRUE, IFERROR(ARRAYFORMULA(VLOOKUP(TRIM(SPLIT('Final Report'!A753, "","")), 'URL Details'!A:D, 4,"&amp;" FALSE)),"""") ), CHAR(10), "",""), ""\s*,\s*"", "",""), "",""))), TRIM(FLATTEN(SPLIT( REGEXREPLACE( SUBSTITUTE(TEXTJOIN("","", TRUE, IFERROR(ARRAYFORMULA(VLOOKUP(TRIM(SPLIT('Final Report'!A753, "","")), 'URL Details'!A:D, 4, FALSE)),"""") ), CHAR(10), """&amp;",""), ""\s*,\s*"", "",""), "","")))&lt;&gt;"""" ) ) ) ),"""")
"),"")</f>
        <v/>
      </c>
      <c r="D753" s="105"/>
      <c r="E753" s="105"/>
      <c r="F753" s="110" t="b">
        <v>0</v>
      </c>
      <c r="G753" s="105" t="str">
        <f>IF(F753=True, IFERROR(VLOOKUP(D753, Repository!A:B, 2, 0), ""), "")</f>
        <v/>
      </c>
      <c r="H753" s="105"/>
      <c r="I753" s="105"/>
      <c r="J753" s="105" t="str">
        <f>IF(F753=True, IFERROR(VLOOKUP(D753, Repository!A:C, 3, 0), ""), "")</f>
        <v/>
      </c>
      <c r="K753" s="105"/>
      <c r="L753" s="105" t="str">
        <f>IF(F753=True, IFERROR(VLOOKUP(D753, Repository!A:E, 5, 0), ""), "")</f>
        <v/>
      </c>
      <c r="M753" s="105"/>
      <c r="N753" s="105" t="str">
        <f>IF(F753=True, IFERROR(VLOOKUP(D753, Repository!A:G, 7, 0), ""), "")</f>
        <v/>
      </c>
      <c r="O753" s="105" t="str">
        <f>IFERROR(__xludf.DUMMYFUNCTION("ARRAY_CONSTRAIN(
  ARRAYFORMULA(
    IFERROR(
      LET(
        list, N753,
        arr, TRIM(SPLIT(list, "","")),
        names, XLOOKUP(
          arr,
          'Conformance Score'!A:A,
          'Conformance Score'!B:B,
          ""Not found""
      "&amp;"  ),
        TEXTJOIN("", "", TRUE, names)
      ),
      """"
    )
  ),
  1,
  1
)
"),"")</f>
        <v/>
      </c>
      <c r="P753" s="105" t="str">
        <f>IF(F753="Yes", IFERROR(VLOOKUP(D753, Repository!A:F, 6, 0), ""), "")</f>
        <v/>
      </c>
      <c r="Q753" s="105" t="str">
        <f>IF(F753="Yes", IFERROR(VLOOKUP(D753, Repository!A:I, 8, 0), ""), "")</f>
        <v/>
      </c>
      <c r="R753" s="105" t="str">
        <f>IF(F753="Yes", IFERROR(VLOOKUP(D753, Repository!A:J, 9, 0), ""), "")</f>
        <v/>
      </c>
      <c r="S753" s="105"/>
      <c r="T753" s="105"/>
      <c r="U753" s="105"/>
      <c r="V753" s="105"/>
      <c r="W753" s="105"/>
      <c r="X753" s="105"/>
      <c r="Y753" s="105"/>
      <c r="Z753" s="105"/>
      <c r="AA753" s="105"/>
      <c r="AB753" s="105"/>
      <c r="AC753" s="91"/>
      <c r="AD753" s="105"/>
      <c r="AE753" s="105"/>
      <c r="AF753" s="91"/>
      <c r="AG753" s="105"/>
      <c r="AH753" s="105"/>
      <c r="AI753" s="105" t="str">
        <f t="shared" si="1"/>
        <v/>
      </c>
      <c r="AJ753" s="108" t="str">
        <f t="shared" si="2"/>
        <v/>
      </c>
    </row>
    <row r="754" ht="15.75" customHeight="1">
      <c r="A754" s="104"/>
      <c r="B754" s="105" t="str">
        <f>IFERROR(__xludf.DUMMYFUNCTION("ARRAY_CONSTRAIN(
  ARRAYFORMULA(
    IF(
      'Final Report'!A754="""",
      """",
      TEXTJOIN(
        "", "" &amp; CHAR(10),
        TRUE,
        IFERROR(
          VLOOKUP(
            TRIM(
              SPLIT('Final Report'!A754, "","")
           "&amp;" ),
            'URL Details'!A:B,
            2,
            FALSE
          ),
          """"
        )
      )
    )
  ),
  1,
  1
)
"),"")</f>
        <v/>
      </c>
      <c r="C754" s="105" t="str">
        <f>IFERROR(__xludf.DUMMYFUNCTION("IFERROR(IF('Final Report'!A754="""","""", TEXTJOIN(CHAR(10), TRUE, ARRAYFORMULA( ""• ""&amp; FILTER( TRIM(FLATTEN(SPLIT( REGEXREPLACE( SUBSTITUTE(TEXTJOIN("","", TRUE, IFERROR(ARRAYFORMULA(VLOOKUP(TRIM(SPLIT('Final Report'!A754, "","")), 'URL Details'!A:D, 4,"&amp;" FALSE)),"""") ), CHAR(10), "",""), ""\s*,\s*"", "",""), "",""))), TRIM(FLATTEN(SPLIT( REGEXREPLACE( SUBSTITUTE(TEXTJOIN("","", TRUE, IFERROR(ARRAYFORMULA(VLOOKUP(TRIM(SPLIT('Final Report'!A754, "","")), 'URL Details'!A:D, 4, FALSE)),"""") ), CHAR(10), """&amp;",""), ""\s*,\s*"", "",""), "","")))&lt;&gt;"""" ) ) ) ),"""")
"),"")</f>
        <v/>
      </c>
      <c r="D754" s="105"/>
      <c r="E754" s="105"/>
      <c r="F754" s="110" t="b">
        <v>0</v>
      </c>
      <c r="G754" s="105" t="str">
        <f>IF(F754=True, IFERROR(VLOOKUP(D754, Repository!A:B, 2, 0), ""), "")</f>
        <v/>
      </c>
      <c r="H754" s="105"/>
      <c r="I754" s="105"/>
      <c r="J754" s="105" t="str">
        <f>IF(F754=True, IFERROR(VLOOKUP(D754, Repository!A:C, 3, 0), ""), "")</f>
        <v/>
      </c>
      <c r="K754" s="105"/>
      <c r="L754" s="105" t="str">
        <f>IF(F754=True, IFERROR(VLOOKUP(D754, Repository!A:E, 5, 0), ""), "")</f>
        <v/>
      </c>
      <c r="M754" s="105"/>
      <c r="N754" s="105" t="str">
        <f>IF(F754=True, IFERROR(VLOOKUP(D754, Repository!A:G, 7, 0), ""), "")</f>
        <v/>
      </c>
      <c r="O754" s="105" t="str">
        <f>IFERROR(__xludf.DUMMYFUNCTION("ARRAY_CONSTRAIN(
  ARRAYFORMULA(
    IFERROR(
      LET(
        list, N754,
        arr, TRIM(SPLIT(list, "","")),
        names, XLOOKUP(
          arr,
          'Conformance Score'!A:A,
          'Conformance Score'!B:B,
          ""Not found""
      "&amp;"  ),
        TEXTJOIN("", "", TRUE, names)
      ),
      """"
    )
  ),
  1,
  1
)
"),"")</f>
        <v/>
      </c>
      <c r="P754" s="105" t="str">
        <f>IF(F754="Yes", IFERROR(VLOOKUP(D754, Repository!A:F, 6, 0), ""), "")</f>
        <v/>
      </c>
      <c r="Q754" s="105" t="str">
        <f>IF(F754="Yes", IFERROR(VLOOKUP(D754, Repository!A:I, 8, 0), ""), "")</f>
        <v/>
      </c>
      <c r="R754" s="105" t="str">
        <f>IF(F754="Yes", IFERROR(VLOOKUP(D754, Repository!A:J, 9, 0), ""), "")</f>
        <v/>
      </c>
      <c r="S754" s="105"/>
      <c r="T754" s="105"/>
      <c r="U754" s="105"/>
      <c r="V754" s="105"/>
      <c r="W754" s="105"/>
      <c r="X754" s="105"/>
      <c r="Y754" s="105"/>
      <c r="Z754" s="105"/>
      <c r="AA754" s="105"/>
      <c r="AB754" s="105"/>
      <c r="AC754" s="91"/>
      <c r="AD754" s="105"/>
      <c r="AE754" s="105"/>
      <c r="AF754" s="91"/>
      <c r="AG754" s="105"/>
      <c r="AH754" s="105"/>
      <c r="AI754" s="105" t="str">
        <f t="shared" si="1"/>
        <v/>
      </c>
      <c r="AJ754" s="108" t="str">
        <f t="shared" si="2"/>
        <v/>
      </c>
    </row>
    <row r="755" ht="15.75" customHeight="1">
      <c r="A755" s="104"/>
      <c r="B755" s="105" t="str">
        <f>IFERROR(__xludf.DUMMYFUNCTION("ARRAY_CONSTRAIN(
  ARRAYFORMULA(
    IF(
      'Final Report'!A755="""",
      """",
      TEXTJOIN(
        "", "" &amp; CHAR(10),
        TRUE,
        IFERROR(
          VLOOKUP(
            TRIM(
              SPLIT('Final Report'!A755, "","")
           "&amp;" ),
            'URL Details'!A:B,
            2,
            FALSE
          ),
          """"
        )
      )
    )
  ),
  1,
  1
)
"),"")</f>
        <v/>
      </c>
      <c r="C755" s="105" t="str">
        <f>IFERROR(__xludf.DUMMYFUNCTION("IFERROR(IF('Final Report'!A755="""","""", TEXTJOIN(CHAR(10), TRUE, ARRAYFORMULA( ""• ""&amp; FILTER( TRIM(FLATTEN(SPLIT( REGEXREPLACE( SUBSTITUTE(TEXTJOIN("","", TRUE, IFERROR(ARRAYFORMULA(VLOOKUP(TRIM(SPLIT('Final Report'!A755, "","")), 'URL Details'!A:D, 4,"&amp;" FALSE)),"""") ), CHAR(10), "",""), ""\s*,\s*"", "",""), "",""))), TRIM(FLATTEN(SPLIT( REGEXREPLACE( SUBSTITUTE(TEXTJOIN("","", TRUE, IFERROR(ARRAYFORMULA(VLOOKUP(TRIM(SPLIT('Final Report'!A755, "","")), 'URL Details'!A:D, 4, FALSE)),"""") ), CHAR(10), """&amp;",""), ""\s*,\s*"", "",""), "","")))&lt;&gt;"""" ) ) ) ),"""")
"),"")</f>
        <v/>
      </c>
      <c r="D755" s="105"/>
      <c r="E755" s="105"/>
      <c r="F755" s="110" t="b">
        <v>0</v>
      </c>
      <c r="G755" s="105" t="str">
        <f>IF(F755=True, IFERROR(VLOOKUP(D755, Repository!A:B, 2, 0), ""), "")</f>
        <v/>
      </c>
      <c r="H755" s="105"/>
      <c r="I755" s="105"/>
      <c r="J755" s="105" t="str">
        <f>IF(F755=True, IFERROR(VLOOKUP(D755, Repository!A:C, 3, 0), ""), "")</f>
        <v/>
      </c>
      <c r="K755" s="105"/>
      <c r="L755" s="105" t="str">
        <f>IF(F755=True, IFERROR(VLOOKUP(D755, Repository!A:E, 5, 0), ""), "")</f>
        <v/>
      </c>
      <c r="M755" s="105"/>
      <c r="N755" s="105" t="str">
        <f>IF(F755=True, IFERROR(VLOOKUP(D755, Repository!A:G, 7, 0), ""), "")</f>
        <v/>
      </c>
      <c r="O755" s="105" t="str">
        <f>IFERROR(__xludf.DUMMYFUNCTION("ARRAY_CONSTRAIN(
  ARRAYFORMULA(
    IFERROR(
      LET(
        list, N755,
        arr, TRIM(SPLIT(list, "","")),
        names, XLOOKUP(
          arr,
          'Conformance Score'!A:A,
          'Conformance Score'!B:B,
          ""Not found""
      "&amp;"  ),
        TEXTJOIN("", "", TRUE, names)
      ),
      """"
    )
  ),
  1,
  1
)
"),"")</f>
        <v/>
      </c>
      <c r="P755" s="105" t="str">
        <f>IF(F755="Yes", IFERROR(VLOOKUP(D755, Repository!A:F, 6, 0), ""), "")</f>
        <v/>
      </c>
      <c r="Q755" s="105" t="str">
        <f>IF(F755="Yes", IFERROR(VLOOKUP(D755, Repository!A:I, 8, 0), ""), "")</f>
        <v/>
      </c>
      <c r="R755" s="105" t="str">
        <f>IF(F755="Yes", IFERROR(VLOOKUP(D755, Repository!A:J, 9, 0), ""), "")</f>
        <v/>
      </c>
      <c r="S755" s="105"/>
      <c r="T755" s="105"/>
      <c r="U755" s="105"/>
      <c r="V755" s="105"/>
      <c r="W755" s="105"/>
      <c r="X755" s="105"/>
      <c r="Y755" s="105"/>
      <c r="Z755" s="105"/>
      <c r="AA755" s="105"/>
      <c r="AB755" s="105"/>
      <c r="AC755" s="91"/>
      <c r="AD755" s="105"/>
      <c r="AE755" s="105"/>
      <c r="AF755" s="91"/>
      <c r="AG755" s="105"/>
      <c r="AH755" s="105"/>
      <c r="AI755" s="105" t="str">
        <f t="shared" si="1"/>
        <v/>
      </c>
      <c r="AJ755" s="108" t="str">
        <f t="shared" si="2"/>
        <v/>
      </c>
    </row>
    <row r="756" ht="15.75" customHeight="1">
      <c r="A756" s="104"/>
      <c r="B756" s="105" t="str">
        <f>IFERROR(__xludf.DUMMYFUNCTION("ARRAY_CONSTRAIN(
  ARRAYFORMULA(
    IF(
      'Final Report'!A756="""",
      """",
      TEXTJOIN(
        "", "" &amp; CHAR(10),
        TRUE,
        IFERROR(
          VLOOKUP(
            TRIM(
              SPLIT('Final Report'!A756, "","")
           "&amp;" ),
            'URL Details'!A:B,
            2,
            FALSE
          ),
          """"
        )
      )
    )
  ),
  1,
  1
)
"),"")</f>
        <v/>
      </c>
      <c r="C756" s="105" t="str">
        <f>IFERROR(__xludf.DUMMYFUNCTION("IFERROR(IF('Final Report'!A756="""","""", TEXTJOIN(CHAR(10), TRUE, ARRAYFORMULA( ""• ""&amp; FILTER( TRIM(FLATTEN(SPLIT( REGEXREPLACE( SUBSTITUTE(TEXTJOIN("","", TRUE, IFERROR(ARRAYFORMULA(VLOOKUP(TRIM(SPLIT('Final Report'!A756, "","")), 'URL Details'!A:D, 4,"&amp;" FALSE)),"""") ), CHAR(10), "",""), ""\s*,\s*"", "",""), "",""))), TRIM(FLATTEN(SPLIT( REGEXREPLACE( SUBSTITUTE(TEXTJOIN("","", TRUE, IFERROR(ARRAYFORMULA(VLOOKUP(TRIM(SPLIT('Final Report'!A756, "","")), 'URL Details'!A:D, 4, FALSE)),"""") ), CHAR(10), """&amp;",""), ""\s*,\s*"", "",""), "","")))&lt;&gt;"""" ) ) ) ),"""")
"),"")</f>
        <v/>
      </c>
      <c r="D756" s="105"/>
      <c r="E756" s="105"/>
      <c r="F756" s="110" t="b">
        <v>0</v>
      </c>
      <c r="G756" s="105" t="str">
        <f>IF(F756=True, IFERROR(VLOOKUP(D756, Repository!A:B, 2, 0), ""), "")</f>
        <v/>
      </c>
      <c r="H756" s="105"/>
      <c r="I756" s="105"/>
      <c r="J756" s="105" t="str">
        <f>IF(F756=True, IFERROR(VLOOKUP(D756, Repository!A:C, 3, 0), ""), "")</f>
        <v/>
      </c>
      <c r="K756" s="105"/>
      <c r="L756" s="105" t="str">
        <f>IF(F756=True, IFERROR(VLOOKUP(D756, Repository!A:E, 5, 0), ""), "")</f>
        <v/>
      </c>
      <c r="M756" s="105"/>
      <c r="N756" s="105" t="str">
        <f>IF(F756=True, IFERROR(VLOOKUP(D756, Repository!A:G, 7, 0), ""), "")</f>
        <v/>
      </c>
      <c r="O756" s="105" t="str">
        <f>IFERROR(__xludf.DUMMYFUNCTION("ARRAY_CONSTRAIN(
  ARRAYFORMULA(
    IFERROR(
      LET(
        list, N756,
        arr, TRIM(SPLIT(list, "","")),
        names, XLOOKUP(
          arr,
          'Conformance Score'!A:A,
          'Conformance Score'!B:B,
          ""Not found""
      "&amp;"  ),
        TEXTJOIN("", "", TRUE, names)
      ),
      """"
    )
  ),
  1,
  1
)
"),"")</f>
        <v/>
      </c>
      <c r="P756" s="105" t="str">
        <f>IF(F756="Yes", IFERROR(VLOOKUP(D756, Repository!A:F, 6, 0), ""), "")</f>
        <v/>
      </c>
      <c r="Q756" s="105" t="str">
        <f>IF(F756="Yes", IFERROR(VLOOKUP(D756, Repository!A:I, 8, 0), ""), "")</f>
        <v/>
      </c>
      <c r="R756" s="105" t="str">
        <f>IF(F756="Yes", IFERROR(VLOOKUP(D756, Repository!A:J, 9, 0), ""), "")</f>
        <v/>
      </c>
      <c r="S756" s="105"/>
      <c r="T756" s="105"/>
      <c r="U756" s="105"/>
      <c r="V756" s="105"/>
      <c r="W756" s="105"/>
      <c r="X756" s="105"/>
      <c r="Y756" s="105"/>
      <c r="Z756" s="105"/>
      <c r="AA756" s="105"/>
      <c r="AB756" s="105"/>
      <c r="AC756" s="91"/>
      <c r="AD756" s="105"/>
      <c r="AE756" s="105"/>
      <c r="AF756" s="91"/>
      <c r="AG756" s="105"/>
      <c r="AH756" s="105"/>
      <c r="AI756" s="105" t="str">
        <f t="shared" si="1"/>
        <v/>
      </c>
      <c r="AJ756" s="108" t="str">
        <f t="shared" si="2"/>
        <v/>
      </c>
    </row>
    <row r="757" ht="15.75" customHeight="1">
      <c r="A757" s="104"/>
      <c r="B757" s="105" t="str">
        <f>IFERROR(__xludf.DUMMYFUNCTION("ARRAY_CONSTRAIN(
  ARRAYFORMULA(
    IF(
      'Final Report'!A757="""",
      """",
      TEXTJOIN(
        "", "" &amp; CHAR(10),
        TRUE,
        IFERROR(
          VLOOKUP(
            TRIM(
              SPLIT('Final Report'!A757, "","")
           "&amp;" ),
            'URL Details'!A:B,
            2,
            FALSE
          ),
          """"
        )
      )
    )
  ),
  1,
  1
)
"),"")</f>
        <v/>
      </c>
      <c r="C757" s="105" t="str">
        <f>IFERROR(__xludf.DUMMYFUNCTION("IFERROR(IF('Final Report'!A757="""","""", TEXTJOIN(CHAR(10), TRUE, ARRAYFORMULA( ""• ""&amp; FILTER( TRIM(FLATTEN(SPLIT( REGEXREPLACE( SUBSTITUTE(TEXTJOIN("","", TRUE, IFERROR(ARRAYFORMULA(VLOOKUP(TRIM(SPLIT('Final Report'!A757, "","")), 'URL Details'!A:D, 4,"&amp;" FALSE)),"""") ), CHAR(10), "",""), ""\s*,\s*"", "",""), "",""))), TRIM(FLATTEN(SPLIT( REGEXREPLACE( SUBSTITUTE(TEXTJOIN("","", TRUE, IFERROR(ARRAYFORMULA(VLOOKUP(TRIM(SPLIT('Final Report'!A757, "","")), 'URL Details'!A:D, 4, FALSE)),"""") ), CHAR(10), """&amp;",""), ""\s*,\s*"", "",""), "","")))&lt;&gt;"""" ) ) ) ),"""")
"),"")</f>
        <v/>
      </c>
      <c r="D757" s="105"/>
      <c r="E757" s="105"/>
      <c r="F757" s="110" t="b">
        <v>0</v>
      </c>
      <c r="G757" s="105" t="str">
        <f>IF(F757=True, IFERROR(VLOOKUP(D757, Repository!A:B, 2, 0), ""), "")</f>
        <v/>
      </c>
      <c r="H757" s="105"/>
      <c r="I757" s="105"/>
      <c r="J757" s="105" t="str">
        <f>IF(F757=True, IFERROR(VLOOKUP(D757, Repository!A:C, 3, 0), ""), "")</f>
        <v/>
      </c>
      <c r="K757" s="105"/>
      <c r="L757" s="105" t="str">
        <f>IF(F757=True, IFERROR(VLOOKUP(D757, Repository!A:E, 5, 0), ""), "")</f>
        <v/>
      </c>
      <c r="M757" s="105"/>
      <c r="N757" s="105" t="str">
        <f>IF(F757=True, IFERROR(VLOOKUP(D757, Repository!A:G, 7, 0), ""), "")</f>
        <v/>
      </c>
      <c r="O757" s="105" t="str">
        <f>IFERROR(__xludf.DUMMYFUNCTION("ARRAY_CONSTRAIN(
  ARRAYFORMULA(
    IFERROR(
      LET(
        list, N757,
        arr, TRIM(SPLIT(list, "","")),
        names, XLOOKUP(
          arr,
          'Conformance Score'!A:A,
          'Conformance Score'!B:B,
          ""Not found""
      "&amp;"  ),
        TEXTJOIN("", "", TRUE, names)
      ),
      """"
    )
  ),
  1,
  1
)
"),"")</f>
        <v/>
      </c>
      <c r="P757" s="105" t="str">
        <f>IF(F757="Yes", IFERROR(VLOOKUP(D757, Repository!A:F, 6, 0), ""), "")</f>
        <v/>
      </c>
      <c r="Q757" s="105" t="str">
        <f>IF(F757="Yes", IFERROR(VLOOKUP(D757, Repository!A:I, 8, 0), ""), "")</f>
        <v/>
      </c>
      <c r="R757" s="105" t="str">
        <f>IF(F757="Yes", IFERROR(VLOOKUP(D757, Repository!A:J, 9, 0), ""), "")</f>
        <v/>
      </c>
      <c r="S757" s="105"/>
      <c r="T757" s="105"/>
      <c r="U757" s="105"/>
      <c r="V757" s="105"/>
      <c r="W757" s="105"/>
      <c r="X757" s="105"/>
      <c r="Y757" s="105"/>
      <c r="Z757" s="105"/>
      <c r="AA757" s="105"/>
      <c r="AB757" s="105"/>
      <c r="AC757" s="91"/>
      <c r="AD757" s="105"/>
      <c r="AE757" s="105"/>
      <c r="AF757" s="91"/>
      <c r="AG757" s="105"/>
      <c r="AH757" s="105"/>
      <c r="AI757" s="105" t="str">
        <f t="shared" si="1"/>
        <v/>
      </c>
      <c r="AJ757" s="108" t="str">
        <f t="shared" si="2"/>
        <v/>
      </c>
    </row>
    <row r="758" ht="15.75" customHeight="1">
      <c r="A758" s="104"/>
      <c r="B758" s="105" t="str">
        <f>IFERROR(__xludf.DUMMYFUNCTION("ARRAY_CONSTRAIN(
  ARRAYFORMULA(
    IF(
      'Final Report'!A758="""",
      """",
      TEXTJOIN(
        "", "" &amp; CHAR(10),
        TRUE,
        IFERROR(
          VLOOKUP(
            TRIM(
              SPLIT('Final Report'!A758, "","")
           "&amp;" ),
            'URL Details'!A:B,
            2,
            FALSE
          ),
          """"
        )
      )
    )
  ),
  1,
  1
)
"),"")</f>
        <v/>
      </c>
      <c r="C758" s="105" t="str">
        <f>IFERROR(__xludf.DUMMYFUNCTION("IFERROR(IF('Final Report'!A758="""","""", TEXTJOIN(CHAR(10), TRUE, ARRAYFORMULA( ""• ""&amp; FILTER( TRIM(FLATTEN(SPLIT( REGEXREPLACE( SUBSTITUTE(TEXTJOIN("","", TRUE, IFERROR(ARRAYFORMULA(VLOOKUP(TRIM(SPLIT('Final Report'!A758, "","")), 'URL Details'!A:D, 4,"&amp;" FALSE)),"""") ), CHAR(10), "",""), ""\s*,\s*"", "",""), "",""))), TRIM(FLATTEN(SPLIT( REGEXREPLACE( SUBSTITUTE(TEXTJOIN("","", TRUE, IFERROR(ARRAYFORMULA(VLOOKUP(TRIM(SPLIT('Final Report'!A758, "","")), 'URL Details'!A:D, 4, FALSE)),"""") ), CHAR(10), """&amp;",""), ""\s*,\s*"", "",""), "","")))&lt;&gt;"""" ) ) ) ),"""")
"),"")</f>
        <v/>
      </c>
      <c r="D758" s="105"/>
      <c r="E758" s="105"/>
      <c r="F758" s="110" t="b">
        <v>0</v>
      </c>
      <c r="G758" s="105" t="str">
        <f>IF(F758=True, IFERROR(VLOOKUP(D758, Repository!A:B, 2, 0), ""), "")</f>
        <v/>
      </c>
      <c r="H758" s="105"/>
      <c r="I758" s="105"/>
      <c r="J758" s="105" t="str">
        <f>IF(F758=True, IFERROR(VLOOKUP(D758, Repository!A:C, 3, 0), ""), "")</f>
        <v/>
      </c>
      <c r="K758" s="105"/>
      <c r="L758" s="105" t="str">
        <f>IF(F758=True, IFERROR(VLOOKUP(D758, Repository!A:E, 5, 0), ""), "")</f>
        <v/>
      </c>
      <c r="M758" s="105"/>
      <c r="N758" s="105" t="str">
        <f>IF(F758=True, IFERROR(VLOOKUP(D758, Repository!A:G, 7, 0), ""), "")</f>
        <v/>
      </c>
      <c r="O758" s="105" t="str">
        <f>IFERROR(__xludf.DUMMYFUNCTION("ARRAY_CONSTRAIN(
  ARRAYFORMULA(
    IFERROR(
      LET(
        list, N758,
        arr, TRIM(SPLIT(list, "","")),
        names, XLOOKUP(
          arr,
          'Conformance Score'!A:A,
          'Conformance Score'!B:B,
          ""Not found""
      "&amp;"  ),
        TEXTJOIN("", "", TRUE, names)
      ),
      """"
    )
  ),
  1,
  1
)
"),"")</f>
        <v/>
      </c>
      <c r="P758" s="105" t="str">
        <f>IF(F758="Yes", IFERROR(VLOOKUP(D758, Repository!A:F, 6, 0), ""), "")</f>
        <v/>
      </c>
      <c r="Q758" s="105" t="str">
        <f>IF(F758="Yes", IFERROR(VLOOKUP(D758, Repository!A:I, 8, 0), ""), "")</f>
        <v/>
      </c>
      <c r="R758" s="105" t="str">
        <f>IF(F758="Yes", IFERROR(VLOOKUP(D758, Repository!A:J, 9, 0), ""), "")</f>
        <v/>
      </c>
      <c r="S758" s="105"/>
      <c r="T758" s="105"/>
      <c r="U758" s="105"/>
      <c r="V758" s="105"/>
      <c r="W758" s="105"/>
      <c r="X758" s="105"/>
      <c r="Y758" s="105"/>
      <c r="Z758" s="105"/>
      <c r="AA758" s="105"/>
      <c r="AB758" s="105"/>
      <c r="AC758" s="91"/>
      <c r="AD758" s="105"/>
      <c r="AE758" s="105"/>
      <c r="AF758" s="91"/>
      <c r="AG758" s="105"/>
      <c r="AH758" s="105"/>
      <c r="AI758" s="105" t="str">
        <f t="shared" si="1"/>
        <v/>
      </c>
      <c r="AJ758" s="108" t="str">
        <f t="shared" si="2"/>
        <v/>
      </c>
    </row>
    <row r="759" ht="15.75" customHeight="1">
      <c r="A759" s="104"/>
      <c r="B759" s="105" t="str">
        <f>IFERROR(__xludf.DUMMYFUNCTION("ARRAY_CONSTRAIN(
  ARRAYFORMULA(
    IF(
      'Final Report'!A759="""",
      """",
      TEXTJOIN(
        "", "" &amp; CHAR(10),
        TRUE,
        IFERROR(
          VLOOKUP(
            TRIM(
              SPLIT('Final Report'!A759, "","")
           "&amp;" ),
            'URL Details'!A:B,
            2,
            FALSE
          ),
          """"
        )
      )
    )
  ),
  1,
  1
)
"),"")</f>
        <v/>
      </c>
      <c r="C759" s="105" t="str">
        <f>IFERROR(__xludf.DUMMYFUNCTION("IFERROR(IF('Final Report'!A759="""","""", TEXTJOIN(CHAR(10), TRUE, ARRAYFORMULA( ""• ""&amp; FILTER( TRIM(FLATTEN(SPLIT( REGEXREPLACE( SUBSTITUTE(TEXTJOIN("","", TRUE, IFERROR(ARRAYFORMULA(VLOOKUP(TRIM(SPLIT('Final Report'!A759, "","")), 'URL Details'!A:D, 4,"&amp;" FALSE)),"""") ), CHAR(10), "",""), ""\s*,\s*"", "",""), "",""))), TRIM(FLATTEN(SPLIT( REGEXREPLACE( SUBSTITUTE(TEXTJOIN("","", TRUE, IFERROR(ARRAYFORMULA(VLOOKUP(TRIM(SPLIT('Final Report'!A759, "","")), 'URL Details'!A:D, 4, FALSE)),"""") ), CHAR(10), """&amp;",""), ""\s*,\s*"", "",""), "","")))&lt;&gt;"""" ) ) ) ),"""")
"),"")</f>
        <v/>
      </c>
      <c r="D759" s="105"/>
      <c r="E759" s="105"/>
      <c r="F759" s="110" t="b">
        <v>0</v>
      </c>
      <c r="G759" s="105" t="str">
        <f>IF(F759=True, IFERROR(VLOOKUP(D759, Repository!A:B, 2, 0), ""), "")</f>
        <v/>
      </c>
      <c r="H759" s="105"/>
      <c r="I759" s="105"/>
      <c r="J759" s="105" t="str">
        <f>IF(F759=True, IFERROR(VLOOKUP(D759, Repository!A:C, 3, 0), ""), "")</f>
        <v/>
      </c>
      <c r="K759" s="105"/>
      <c r="L759" s="105" t="str">
        <f>IF(F759=True, IFERROR(VLOOKUP(D759, Repository!A:E, 5, 0), ""), "")</f>
        <v/>
      </c>
      <c r="M759" s="105"/>
      <c r="N759" s="105" t="str">
        <f>IF(F759=True, IFERROR(VLOOKUP(D759, Repository!A:G, 7, 0), ""), "")</f>
        <v/>
      </c>
      <c r="O759" s="105" t="str">
        <f>IFERROR(__xludf.DUMMYFUNCTION("ARRAY_CONSTRAIN(
  ARRAYFORMULA(
    IFERROR(
      LET(
        list, N759,
        arr, TRIM(SPLIT(list, "","")),
        names, XLOOKUP(
          arr,
          'Conformance Score'!A:A,
          'Conformance Score'!B:B,
          ""Not found""
      "&amp;"  ),
        TEXTJOIN("", "", TRUE, names)
      ),
      """"
    )
  ),
  1,
  1
)
"),"")</f>
        <v/>
      </c>
      <c r="P759" s="105" t="str">
        <f>IF(F759="Yes", IFERROR(VLOOKUP(D759, Repository!A:F, 6, 0), ""), "")</f>
        <v/>
      </c>
      <c r="Q759" s="105" t="str">
        <f>IF(F759="Yes", IFERROR(VLOOKUP(D759, Repository!A:I, 8, 0), ""), "")</f>
        <v/>
      </c>
      <c r="R759" s="105" t="str">
        <f>IF(F759="Yes", IFERROR(VLOOKUP(D759, Repository!A:J, 9, 0), ""), "")</f>
        <v/>
      </c>
      <c r="S759" s="105"/>
      <c r="T759" s="105"/>
      <c r="U759" s="105"/>
      <c r="V759" s="105"/>
      <c r="W759" s="105"/>
      <c r="X759" s="105"/>
      <c r="Y759" s="105"/>
      <c r="Z759" s="105"/>
      <c r="AA759" s="105"/>
      <c r="AB759" s="105"/>
      <c r="AC759" s="91"/>
      <c r="AD759" s="105"/>
      <c r="AE759" s="105"/>
      <c r="AF759" s="91"/>
      <c r="AG759" s="105"/>
      <c r="AH759" s="105"/>
      <c r="AI759" s="105" t="str">
        <f t="shared" si="1"/>
        <v/>
      </c>
      <c r="AJ759" s="108" t="str">
        <f t="shared" si="2"/>
        <v/>
      </c>
    </row>
    <row r="760" ht="15.75" customHeight="1">
      <c r="A760" s="104"/>
      <c r="B760" s="105" t="str">
        <f>IFERROR(__xludf.DUMMYFUNCTION("ARRAY_CONSTRAIN(
  ARRAYFORMULA(
    IF(
      'Final Report'!A760="""",
      """",
      TEXTJOIN(
        "", "" &amp; CHAR(10),
        TRUE,
        IFERROR(
          VLOOKUP(
            TRIM(
              SPLIT('Final Report'!A760, "","")
           "&amp;" ),
            'URL Details'!A:B,
            2,
            FALSE
          ),
          """"
        )
      )
    )
  ),
  1,
  1
)
"),"")</f>
        <v/>
      </c>
      <c r="C760" s="105" t="str">
        <f>IFERROR(__xludf.DUMMYFUNCTION("IFERROR(IF('Final Report'!A760="""","""", TEXTJOIN(CHAR(10), TRUE, ARRAYFORMULA( ""• ""&amp; FILTER( TRIM(FLATTEN(SPLIT( REGEXREPLACE( SUBSTITUTE(TEXTJOIN("","", TRUE, IFERROR(ARRAYFORMULA(VLOOKUP(TRIM(SPLIT('Final Report'!A760, "","")), 'URL Details'!A:D, 4,"&amp;" FALSE)),"""") ), CHAR(10), "",""), ""\s*,\s*"", "",""), "",""))), TRIM(FLATTEN(SPLIT( REGEXREPLACE( SUBSTITUTE(TEXTJOIN("","", TRUE, IFERROR(ARRAYFORMULA(VLOOKUP(TRIM(SPLIT('Final Report'!A760, "","")), 'URL Details'!A:D, 4, FALSE)),"""") ), CHAR(10), """&amp;",""), ""\s*,\s*"", "",""), "","")))&lt;&gt;"""" ) ) ) ),"""")
"),"")</f>
        <v/>
      </c>
      <c r="D760" s="105"/>
      <c r="E760" s="105"/>
      <c r="F760" s="110" t="b">
        <v>0</v>
      </c>
      <c r="G760" s="105" t="str">
        <f>IF(F760=True, IFERROR(VLOOKUP(D760, Repository!A:B, 2, 0), ""), "")</f>
        <v/>
      </c>
      <c r="H760" s="105"/>
      <c r="I760" s="105"/>
      <c r="J760" s="105" t="str">
        <f>IF(F760=True, IFERROR(VLOOKUP(D760, Repository!A:C, 3, 0), ""), "")</f>
        <v/>
      </c>
      <c r="K760" s="105"/>
      <c r="L760" s="105" t="str">
        <f>IF(F760=True, IFERROR(VLOOKUP(D760, Repository!A:E, 5, 0), ""), "")</f>
        <v/>
      </c>
      <c r="M760" s="105"/>
      <c r="N760" s="105" t="str">
        <f>IF(F760=True, IFERROR(VLOOKUP(D760, Repository!A:G, 7, 0), ""), "")</f>
        <v/>
      </c>
      <c r="O760" s="105" t="str">
        <f>IFERROR(__xludf.DUMMYFUNCTION("ARRAY_CONSTRAIN(
  ARRAYFORMULA(
    IFERROR(
      LET(
        list, N760,
        arr, TRIM(SPLIT(list, "","")),
        names, XLOOKUP(
          arr,
          'Conformance Score'!A:A,
          'Conformance Score'!B:B,
          ""Not found""
      "&amp;"  ),
        TEXTJOIN("", "", TRUE, names)
      ),
      """"
    )
  ),
  1,
  1
)
"),"")</f>
        <v/>
      </c>
      <c r="P760" s="105" t="str">
        <f>IF(F760="Yes", IFERROR(VLOOKUP(D760, Repository!A:F, 6, 0), ""), "")</f>
        <v/>
      </c>
      <c r="Q760" s="105" t="str">
        <f>IF(F760="Yes", IFERROR(VLOOKUP(D760, Repository!A:I, 8, 0), ""), "")</f>
        <v/>
      </c>
      <c r="R760" s="105" t="str">
        <f>IF(F760="Yes", IFERROR(VLOOKUP(D760, Repository!A:J, 9, 0), ""), "")</f>
        <v/>
      </c>
      <c r="S760" s="105"/>
      <c r="T760" s="105"/>
      <c r="U760" s="105"/>
      <c r="V760" s="105"/>
      <c r="W760" s="105"/>
      <c r="X760" s="105"/>
      <c r="Y760" s="105"/>
      <c r="Z760" s="105"/>
      <c r="AA760" s="105"/>
      <c r="AB760" s="105"/>
      <c r="AC760" s="91"/>
      <c r="AD760" s="105"/>
      <c r="AE760" s="105"/>
      <c r="AF760" s="91"/>
      <c r="AG760" s="105"/>
      <c r="AH760" s="105"/>
      <c r="AI760" s="105" t="str">
        <f t="shared" si="1"/>
        <v/>
      </c>
      <c r="AJ760" s="108" t="str">
        <f t="shared" si="2"/>
        <v/>
      </c>
    </row>
    <row r="761" ht="15.75" customHeight="1">
      <c r="A761" s="104"/>
      <c r="B761" s="105" t="str">
        <f>IFERROR(__xludf.DUMMYFUNCTION("ARRAY_CONSTRAIN(
  ARRAYFORMULA(
    IF(
      'Final Report'!A761="""",
      """",
      TEXTJOIN(
        "", "" &amp; CHAR(10),
        TRUE,
        IFERROR(
          VLOOKUP(
            TRIM(
              SPLIT('Final Report'!A761, "","")
           "&amp;" ),
            'URL Details'!A:B,
            2,
            FALSE
          ),
          """"
        )
      )
    )
  ),
  1,
  1
)
"),"")</f>
        <v/>
      </c>
      <c r="C761" s="105" t="str">
        <f>IFERROR(__xludf.DUMMYFUNCTION("IFERROR(IF('Final Report'!A761="""","""", TEXTJOIN(CHAR(10), TRUE, ARRAYFORMULA( ""• ""&amp; FILTER( TRIM(FLATTEN(SPLIT( REGEXREPLACE( SUBSTITUTE(TEXTJOIN("","", TRUE, IFERROR(ARRAYFORMULA(VLOOKUP(TRIM(SPLIT('Final Report'!A761, "","")), 'URL Details'!A:D, 4,"&amp;" FALSE)),"""") ), CHAR(10), "",""), ""\s*,\s*"", "",""), "",""))), TRIM(FLATTEN(SPLIT( REGEXREPLACE( SUBSTITUTE(TEXTJOIN("","", TRUE, IFERROR(ARRAYFORMULA(VLOOKUP(TRIM(SPLIT('Final Report'!A761, "","")), 'URL Details'!A:D, 4, FALSE)),"""") ), CHAR(10), """&amp;",""), ""\s*,\s*"", "",""), "","")))&lt;&gt;"""" ) ) ) ),"""")
"),"")</f>
        <v/>
      </c>
      <c r="D761" s="105"/>
      <c r="E761" s="105"/>
      <c r="F761" s="110" t="b">
        <v>0</v>
      </c>
      <c r="G761" s="105" t="str">
        <f>IF(F761=True, IFERROR(VLOOKUP(D761, Repository!A:B, 2, 0), ""), "")</f>
        <v/>
      </c>
      <c r="H761" s="105"/>
      <c r="I761" s="105"/>
      <c r="J761" s="105" t="str">
        <f>IF(F761=True, IFERROR(VLOOKUP(D761, Repository!A:C, 3, 0), ""), "")</f>
        <v/>
      </c>
      <c r="K761" s="105"/>
      <c r="L761" s="105" t="str">
        <f>IF(F761=True, IFERROR(VLOOKUP(D761, Repository!A:E, 5, 0), ""), "")</f>
        <v/>
      </c>
      <c r="M761" s="105"/>
      <c r="N761" s="105" t="str">
        <f>IF(F761=True, IFERROR(VLOOKUP(D761, Repository!A:G, 7, 0), ""), "")</f>
        <v/>
      </c>
      <c r="O761" s="105" t="str">
        <f>IFERROR(__xludf.DUMMYFUNCTION("ARRAY_CONSTRAIN(
  ARRAYFORMULA(
    IFERROR(
      LET(
        list, N761,
        arr, TRIM(SPLIT(list, "","")),
        names, XLOOKUP(
          arr,
          'Conformance Score'!A:A,
          'Conformance Score'!B:B,
          ""Not found""
      "&amp;"  ),
        TEXTJOIN("", "", TRUE, names)
      ),
      """"
    )
  ),
  1,
  1
)
"),"")</f>
        <v/>
      </c>
      <c r="P761" s="105" t="str">
        <f>IF(F761="Yes", IFERROR(VLOOKUP(D761, Repository!A:F, 6, 0), ""), "")</f>
        <v/>
      </c>
      <c r="Q761" s="105" t="str">
        <f>IF(F761="Yes", IFERROR(VLOOKUP(D761, Repository!A:I, 8, 0), ""), "")</f>
        <v/>
      </c>
      <c r="R761" s="105" t="str">
        <f>IF(F761="Yes", IFERROR(VLOOKUP(D761, Repository!A:J, 9, 0), ""), "")</f>
        <v/>
      </c>
      <c r="S761" s="105"/>
      <c r="T761" s="105"/>
      <c r="U761" s="105"/>
      <c r="V761" s="105"/>
      <c r="W761" s="105"/>
      <c r="X761" s="105"/>
      <c r="Y761" s="105"/>
      <c r="Z761" s="105"/>
      <c r="AA761" s="105"/>
      <c r="AB761" s="105"/>
      <c r="AC761" s="91"/>
      <c r="AD761" s="105"/>
      <c r="AE761" s="105"/>
      <c r="AF761" s="91"/>
      <c r="AG761" s="105"/>
      <c r="AH761" s="105"/>
      <c r="AI761" s="105" t="str">
        <f t="shared" si="1"/>
        <v/>
      </c>
      <c r="AJ761" s="108" t="str">
        <f t="shared" si="2"/>
        <v/>
      </c>
    </row>
    <row r="762" ht="15.75" customHeight="1">
      <c r="A762" s="104"/>
      <c r="B762" s="105" t="str">
        <f>IFERROR(__xludf.DUMMYFUNCTION("ARRAY_CONSTRAIN(
  ARRAYFORMULA(
    IF(
      'Final Report'!A762="""",
      """",
      TEXTJOIN(
        "", "" &amp; CHAR(10),
        TRUE,
        IFERROR(
          VLOOKUP(
            TRIM(
              SPLIT('Final Report'!A762, "","")
           "&amp;" ),
            'URL Details'!A:B,
            2,
            FALSE
          ),
          """"
        )
      )
    )
  ),
  1,
  1
)
"),"")</f>
        <v/>
      </c>
      <c r="C762" s="105" t="str">
        <f>IFERROR(__xludf.DUMMYFUNCTION("IFERROR(IF('Final Report'!A762="""","""", TEXTJOIN(CHAR(10), TRUE, ARRAYFORMULA( ""• ""&amp; FILTER( TRIM(FLATTEN(SPLIT( REGEXREPLACE( SUBSTITUTE(TEXTJOIN("","", TRUE, IFERROR(ARRAYFORMULA(VLOOKUP(TRIM(SPLIT('Final Report'!A762, "","")), 'URL Details'!A:D, 4,"&amp;" FALSE)),"""") ), CHAR(10), "",""), ""\s*,\s*"", "",""), "",""))), TRIM(FLATTEN(SPLIT( REGEXREPLACE( SUBSTITUTE(TEXTJOIN("","", TRUE, IFERROR(ARRAYFORMULA(VLOOKUP(TRIM(SPLIT('Final Report'!A762, "","")), 'URL Details'!A:D, 4, FALSE)),"""") ), CHAR(10), """&amp;",""), ""\s*,\s*"", "",""), "","")))&lt;&gt;"""" ) ) ) ),"""")
"),"")</f>
        <v/>
      </c>
      <c r="D762" s="105"/>
      <c r="E762" s="105"/>
      <c r="F762" s="110" t="b">
        <v>0</v>
      </c>
      <c r="G762" s="105" t="str">
        <f>IF(F762=True, IFERROR(VLOOKUP(D762, Repository!A:B, 2, 0), ""), "")</f>
        <v/>
      </c>
      <c r="H762" s="105"/>
      <c r="I762" s="105"/>
      <c r="J762" s="105" t="str">
        <f>IF(F762=True, IFERROR(VLOOKUP(D762, Repository!A:C, 3, 0), ""), "")</f>
        <v/>
      </c>
      <c r="K762" s="105"/>
      <c r="L762" s="105" t="str">
        <f>IF(F762=True, IFERROR(VLOOKUP(D762, Repository!A:E, 5, 0), ""), "")</f>
        <v/>
      </c>
      <c r="M762" s="105"/>
      <c r="N762" s="105" t="str">
        <f>IF(F762=True, IFERROR(VLOOKUP(D762, Repository!A:G, 7, 0), ""), "")</f>
        <v/>
      </c>
      <c r="O762" s="105" t="str">
        <f>IFERROR(__xludf.DUMMYFUNCTION("ARRAY_CONSTRAIN(
  ARRAYFORMULA(
    IFERROR(
      LET(
        list, N762,
        arr, TRIM(SPLIT(list, "","")),
        names, XLOOKUP(
          arr,
          'Conformance Score'!A:A,
          'Conformance Score'!B:B,
          ""Not found""
      "&amp;"  ),
        TEXTJOIN("", "", TRUE, names)
      ),
      """"
    )
  ),
  1,
  1
)
"),"")</f>
        <v/>
      </c>
      <c r="P762" s="105" t="str">
        <f>IF(F762="Yes", IFERROR(VLOOKUP(D762, Repository!A:F, 6, 0), ""), "")</f>
        <v/>
      </c>
      <c r="Q762" s="105" t="str">
        <f>IF(F762="Yes", IFERROR(VLOOKUP(D762, Repository!A:I, 8, 0), ""), "")</f>
        <v/>
      </c>
      <c r="R762" s="105" t="str">
        <f>IF(F762="Yes", IFERROR(VLOOKUP(D762, Repository!A:J, 9, 0), ""), "")</f>
        <v/>
      </c>
      <c r="S762" s="105"/>
      <c r="T762" s="105"/>
      <c r="U762" s="105"/>
      <c r="V762" s="105"/>
      <c r="W762" s="105"/>
      <c r="X762" s="105"/>
      <c r="Y762" s="105"/>
      <c r="Z762" s="105"/>
      <c r="AA762" s="105"/>
      <c r="AB762" s="105"/>
      <c r="AC762" s="91"/>
      <c r="AD762" s="105"/>
      <c r="AE762" s="105"/>
      <c r="AF762" s="91"/>
      <c r="AG762" s="105"/>
      <c r="AH762" s="105"/>
      <c r="AI762" s="105" t="str">
        <f t="shared" si="1"/>
        <v/>
      </c>
      <c r="AJ762" s="108" t="str">
        <f t="shared" si="2"/>
        <v/>
      </c>
    </row>
    <row r="763" ht="15.75" customHeight="1">
      <c r="A763" s="104"/>
      <c r="B763" s="105" t="str">
        <f>IFERROR(__xludf.DUMMYFUNCTION("ARRAY_CONSTRAIN(
  ARRAYFORMULA(
    IF(
      'Final Report'!A763="""",
      """",
      TEXTJOIN(
        "", "" &amp; CHAR(10),
        TRUE,
        IFERROR(
          VLOOKUP(
            TRIM(
              SPLIT('Final Report'!A763, "","")
           "&amp;" ),
            'URL Details'!A:B,
            2,
            FALSE
          ),
          """"
        )
      )
    )
  ),
  1,
  1
)
"),"")</f>
        <v/>
      </c>
      <c r="C763" s="105" t="str">
        <f>IFERROR(__xludf.DUMMYFUNCTION("IFERROR(IF('Final Report'!A763="""","""", TEXTJOIN(CHAR(10), TRUE, ARRAYFORMULA( ""• ""&amp; FILTER( TRIM(FLATTEN(SPLIT( REGEXREPLACE( SUBSTITUTE(TEXTJOIN("","", TRUE, IFERROR(ARRAYFORMULA(VLOOKUP(TRIM(SPLIT('Final Report'!A763, "","")), 'URL Details'!A:D, 4,"&amp;" FALSE)),"""") ), CHAR(10), "",""), ""\s*,\s*"", "",""), "",""))), TRIM(FLATTEN(SPLIT( REGEXREPLACE( SUBSTITUTE(TEXTJOIN("","", TRUE, IFERROR(ARRAYFORMULA(VLOOKUP(TRIM(SPLIT('Final Report'!A763, "","")), 'URL Details'!A:D, 4, FALSE)),"""") ), CHAR(10), """&amp;",""), ""\s*,\s*"", "",""), "","")))&lt;&gt;"""" ) ) ) ),"""")
"),"")</f>
        <v/>
      </c>
      <c r="D763" s="105"/>
      <c r="E763" s="105"/>
      <c r="F763" s="110" t="b">
        <v>0</v>
      </c>
      <c r="G763" s="105" t="str">
        <f>IF(F763=True, IFERROR(VLOOKUP(D763, Repository!A:B, 2, 0), ""), "")</f>
        <v/>
      </c>
      <c r="H763" s="105"/>
      <c r="I763" s="105"/>
      <c r="J763" s="105" t="str">
        <f>IF(F763=True, IFERROR(VLOOKUP(D763, Repository!A:C, 3, 0), ""), "")</f>
        <v/>
      </c>
      <c r="K763" s="105"/>
      <c r="L763" s="105" t="str">
        <f>IF(F763=True, IFERROR(VLOOKUP(D763, Repository!A:E, 5, 0), ""), "")</f>
        <v/>
      </c>
      <c r="M763" s="105"/>
      <c r="N763" s="105" t="str">
        <f>IF(F763=True, IFERROR(VLOOKUP(D763, Repository!A:G, 7, 0), ""), "")</f>
        <v/>
      </c>
      <c r="O763" s="105" t="str">
        <f>IFERROR(__xludf.DUMMYFUNCTION("ARRAY_CONSTRAIN(
  ARRAYFORMULA(
    IFERROR(
      LET(
        list, N763,
        arr, TRIM(SPLIT(list, "","")),
        names, XLOOKUP(
          arr,
          'Conformance Score'!A:A,
          'Conformance Score'!B:B,
          ""Not found""
      "&amp;"  ),
        TEXTJOIN("", "", TRUE, names)
      ),
      """"
    )
  ),
  1,
  1
)
"),"")</f>
        <v/>
      </c>
      <c r="P763" s="105" t="str">
        <f>IF(F763="Yes", IFERROR(VLOOKUP(D763, Repository!A:F, 6, 0), ""), "")</f>
        <v/>
      </c>
      <c r="Q763" s="105" t="str">
        <f>IF(F763="Yes", IFERROR(VLOOKUP(D763, Repository!A:I, 8, 0), ""), "")</f>
        <v/>
      </c>
      <c r="R763" s="105" t="str">
        <f>IF(F763="Yes", IFERROR(VLOOKUP(D763, Repository!A:J, 9, 0), ""), "")</f>
        <v/>
      </c>
      <c r="S763" s="105"/>
      <c r="T763" s="105"/>
      <c r="U763" s="105"/>
      <c r="V763" s="105"/>
      <c r="W763" s="105"/>
      <c r="X763" s="105"/>
      <c r="Y763" s="105"/>
      <c r="Z763" s="105"/>
      <c r="AA763" s="105"/>
      <c r="AB763" s="105"/>
      <c r="AC763" s="91"/>
      <c r="AD763" s="105"/>
      <c r="AE763" s="105"/>
      <c r="AF763" s="91"/>
      <c r="AG763" s="105"/>
      <c r="AH763" s="105"/>
      <c r="AI763" s="105" t="str">
        <f t="shared" si="1"/>
        <v/>
      </c>
      <c r="AJ763" s="108" t="str">
        <f t="shared" si="2"/>
        <v/>
      </c>
    </row>
    <row r="764" ht="15.75" customHeight="1">
      <c r="A764" s="104"/>
      <c r="B764" s="105" t="str">
        <f>IFERROR(__xludf.DUMMYFUNCTION("ARRAY_CONSTRAIN(
  ARRAYFORMULA(
    IF(
      'Final Report'!A764="""",
      """",
      TEXTJOIN(
        "", "" &amp; CHAR(10),
        TRUE,
        IFERROR(
          VLOOKUP(
            TRIM(
              SPLIT('Final Report'!A764, "","")
           "&amp;" ),
            'URL Details'!A:B,
            2,
            FALSE
          ),
          """"
        )
      )
    )
  ),
  1,
  1
)
"),"")</f>
        <v/>
      </c>
      <c r="C764" s="105" t="str">
        <f>IFERROR(__xludf.DUMMYFUNCTION("IFERROR(IF('Final Report'!A764="""","""", TEXTJOIN(CHAR(10), TRUE, ARRAYFORMULA( ""• ""&amp; FILTER( TRIM(FLATTEN(SPLIT( REGEXREPLACE( SUBSTITUTE(TEXTJOIN("","", TRUE, IFERROR(ARRAYFORMULA(VLOOKUP(TRIM(SPLIT('Final Report'!A764, "","")), 'URL Details'!A:D, 4,"&amp;" FALSE)),"""") ), CHAR(10), "",""), ""\s*,\s*"", "",""), "",""))), TRIM(FLATTEN(SPLIT( REGEXREPLACE( SUBSTITUTE(TEXTJOIN("","", TRUE, IFERROR(ARRAYFORMULA(VLOOKUP(TRIM(SPLIT('Final Report'!A764, "","")), 'URL Details'!A:D, 4, FALSE)),"""") ), CHAR(10), """&amp;",""), ""\s*,\s*"", "",""), "","")))&lt;&gt;"""" ) ) ) ),"""")
"),"")</f>
        <v/>
      </c>
      <c r="D764" s="105"/>
      <c r="E764" s="105"/>
      <c r="F764" s="110" t="b">
        <v>0</v>
      </c>
      <c r="G764" s="105" t="str">
        <f>IF(F764=True, IFERROR(VLOOKUP(D764, Repository!A:B, 2, 0), ""), "")</f>
        <v/>
      </c>
      <c r="H764" s="105"/>
      <c r="I764" s="105"/>
      <c r="J764" s="105" t="str">
        <f>IF(F764=True, IFERROR(VLOOKUP(D764, Repository!A:C, 3, 0), ""), "")</f>
        <v/>
      </c>
      <c r="K764" s="105"/>
      <c r="L764" s="105" t="str">
        <f>IF(F764=True, IFERROR(VLOOKUP(D764, Repository!A:E, 5, 0), ""), "")</f>
        <v/>
      </c>
      <c r="M764" s="105"/>
      <c r="N764" s="105" t="str">
        <f>IF(F764=True, IFERROR(VLOOKUP(D764, Repository!A:G, 7, 0), ""), "")</f>
        <v/>
      </c>
      <c r="O764" s="105" t="str">
        <f>IFERROR(__xludf.DUMMYFUNCTION("ARRAY_CONSTRAIN(
  ARRAYFORMULA(
    IFERROR(
      LET(
        list, N764,
        arr, TRIM(SPLIT(list, "","")),
        names, XLOOKUP(
          arr,
          'Conformance Score'!A:A,
          'Conformance Score'!B:B,
          ""Not found""
      "&amp;"  ),
        TEXTJOIN("", "", TRUE, names)
      ),
      """"
    )
  ),
  1,
  1
)
"),"")</f>
        <v/>
      </c>
      <c r="P764" s="105" t="str">
        <f>IF(F764="Yes", IFERROR(VLOOKUP(D764, Repository!A:F, 6, 0), ""), "")</f>
        <v/>
      </c>
      <c r="Q764" s="105" t="str">
        <f>IF(F764="Yes", IFERROR(VLOOKUP(D764, Repository!A:I, 8, 0), ""), "")</f>
        <v/>
      </c>
      <c r="R764" s="105" t="str">
        <f>IF(F764="Yes", IFERROR(VLOOKUP(D764, Repository!A:J, 9, 0), ""), "")</f>
        <v/>
      </c>
      <c r="S764" s="105"/>
      <c r="T764" s="105"/>
      <c r="U764" s="105"/>
      <c r="V764" s="105"/>
      <c r="W764" s="105"/>
      <c r="X764" s="105"/>
      <c r="Y764" s="105"/>
      <c r="Z764" s="105"/>
      <c r="AA764" s="105"/>
      <c r="AB764" s="105"/>
      <c r="AC764" s="91"/>
      <c r="AD764" s="105"/>
      <c r="AE764" s="105"/>
      <c r="AF764" s="91"/>
      <c r="AG764" s="105"/>
      <c r="AH764" s="105"/>
      <c r="AI764" s="105" t="str">
        <f t="shared" si="1"/>
        <v/>
      </c>
      <c r="AJ764" s="108" t="str">
        <f t="shared" si="2"/>
        <v/>
      </c>
    </row>
    <row r="765" ht="15.75" customHeight="1">
      <c r="A765" s="104"/>
      <c r="B765" s="105" t="str">
        <f>IFERROR(__xludf.DUMMYFUNCTION("ARRAY_CONSTRAIN(
  ARRAYFORMULA(
    IF(
      'Final Report'!A765="""",
      """",
      TEXTJOIN(
        "", "" &amp; CHAR(10),
        TRUE,
        IFERROR(
          VLOOKUP(
            TRIM(
              SPLIT('Final Report'!A765, "","")
           "&amp;" ),
            'URL Details'!A:B,
            2,
            FALSE
          ),
          """"
        )
      )
    )
  ),
  1,
  1
)
"),"")</f>
        <v/>
      </c>
      <c r="C765" s="105" t="str">
        <f>IFERROR(__xludf.DUMMYFUNCTION("IFERROR(IF('Final Report'!A765="""","""", TEXTJOIN(CHAR(10), TRUE, ARRAYFORMULA( ""• ""&amp; FILTER( TRIM(FLATTEN(SPLIT( REGEXREPLACE( SUBSTITUTE(TEXTJOIN("","", TRUE, IFERROR(ARRAYFORMULA(VLOOKUP(TRIM(SPLIT('Final Report'!A765, "","")), 'URL Details'!A:D, 4,"&amp;" FALSE)),"""") ), CHAR(10), "",""), ""\s*,\s*"", "",""), "",""))), TRIM(FLATTEN(SPLIT( REGEXREPLACE( SUBSTITUTE(TEXTJOIN("","", TRUE, IFERROR(ARRAYFORMULA(VLOOKUP(TRIM(SPLIT('Final Report'!A765, "","")), 'URL Details'!A:D, 4, FALSE)),"""") ), CHAR(10), """&amp;",""), ""\s*,\s*"", "",""), "","")))&lt;&gt;"""" ) ) ) ),"""")
"),"")</f>
        <v/>
      </c>
      <c r="D765" s="105"/>
      <c r="E765" s="105"/>
      <c r="F765" s="110" t="b">
        <v>0</v>
      </c>
      <c r="G765" s="105" t="str">
        <f>IF(F765=True, IFERROR(VLOOKUP(D765, Repository!A:B, 2, 0), ""), "")</f>
        <v/>
      </c>
      <c r="H765" s="105"/>
      <c r="I765" s="105"/>
      <c r="J765" s="105" t="str">
        <f>IF(F765=True, IFERROR(VLOOKUP(D765, Repository!A:C, 3, 0), ""), "")</f>
        <v/>
      </c>
      <c r="K765" s="105"/>
      <c r="L765" s="105" t="str">
        <f>IF(F765=True, IFERROR(VLOOKUP(D765, Repository!A:E, 5, 0), ""), "")</f>
        <v/>
      </c>
      <c r="M765" s="105"/>
      <c r="N765" s="105" t="str">
        <f>IF(F765=True, IFERROR(VLOOKUP(D765, Repository!A:G, 7, 0), ""), "")</f>
        <v/>
      </c>
      <c r="O765" s="105" t="str">
        <f>IFERROR(__xludf.DUMMYFUNCTION("ARRAY_CONSTRAIN(
  ARRAYFORMULA(
    IFERROR(
      LET(
        list, N765,
        arr, TRIM(SPLIT(list, "","")),
        names, XLOOKUP(
          arr,
          'Conformance Score'!A:A,
          'Conformance Score'!B:B,
          ""Not found""
      "&amp;"  ),
        TEXTJOIN("", "", TRUE, names)
      ),
      """"
    )
  ),
  1,
  1
)
"),"")</f>
        <v/>
      </c>
      <c r="P765" s="105" t="str">
        <f>IF(F765="Yes", IFERROR(VLOOKUP(D765, Repository!A:F, 6, 0), ""), "")</f>
        <v/>
      </c>
      <c r="Q765" s="105" t="str">
        <f>IF(F765="Yes", IFERROR(VLOOKUP(D765, Repository!A:I, 8, 0), ""), "")</f>
        <v/>
      </c>
      <c r="R765" s="105" t="str">
        <f>IF(F765="Yes", IFERROR(VLOOKUP(D765, Repository!A:J, 9, 0), ""), "")</f>
        <v/>
      </c>
      <c r="S765" s="105"/>
      <c r="T765" s="105"/>
      <c r="U765" s="105"/>
      <c r="V765" s="105"/>
      <c r="W765" s="105"/>
      <c r="X765" s="105"/>
      <c r="Y765" s="105"/>
      <c r="Z765" s="105"/>
      <c r="AA765" s="105"/>
      <c r="AB765" s="105"/>
      <c r="AC765" s="91"/>
      <c r="AD765" s="105"/>
      <c r="AE765" s="105"/>
      <c r="AF765" s="91"/>
      <c r="AG765" s="105"/>
      <c r="AH765" s="105"/>
      <c r="AI765" s="105" t="str">
        <f t="shared" si="1"/>
        <v/>
      </c>
      <c r="AJ765" s="108" t="str">
        <f t="shared" si="2"/>
        <v/>
      </c>
    </row>
    <row r="766" ht="15.75" customHeight="1">
      <c r="A766" s="104"/>
      <c r="B766" s="105" t="str">
        <f>IFERROR(__xludf.DUMMYFUNCTION("ARRAY_CONSTRAIN(
  ARRAYFORMULA(
    IF(
      'Final Report'!A766="""",
      """",
      TEXTJOIN(
        "", "" &amp; CHAR(10),
        TRUE,
        IFERROR(
          VLOOKUP(
            TRIM(
              SPLIT('Final Report'!A766, "","")
           "&amp;" ),
            'URL Details'!A:B,
            2,
            FALSE
          ),
          """"
        )
      )
    )
  ),
  1,
  1
)
"),"")</f>
        <v/>
      </c>
      <c r="C766" s="105" t="str">
        <f>IFERROR(__xludf.DUMMYFUNCTION("IFERROR(IF('Final Report'!A766="""","""", TEXTJOIN(CHAR(10), TRUE, ARRAYFORMULA( ""• ""&amp; FILTER( TRIM(FLATTEN(SPLIT( REGEXREPLACE( SUBSTITUTE(TEXTJOIN("","", TRUE, IFERROR(ARRAYFORMULA(VLOOKUP(TRIM(SPLIT('Final Report'!A766, "","")), 'URL Details'!A:D, 4,"&amp;" FALSE)),"""") ), CHAR(10), "",""), ""\s*,\s*"", "",""), "",""))), TRIM(FLATTEN(SPLIT( REGEXREPLACE( SUBSTITUTE(TEXTJOIN("","", TRUE, IFERROR(ARRAYFORMULA(VLOOKUP(TRIM(SPLIT('Final Report'!A766, "","")), 'URL Details'!A:D, 4, FALSE)),"""") ), CHAR(10), """&amp;",""), ""\s*,\s*"", "",""), "","")))&lt;&gt;"""" ) ) ) ),"""")
"),"")</f>
        <v/>
      </c>
      <c r="D766" s="105"/>
      <c r="E766" s="105"/>
      <c r="F766" s="110" t="b">
        <v>0</v>
      </c>
      <c r="G766" s="105" t="str">
        <f>IF(F766=True, IFERROR(VLOOKUP(D766, Repository!A:B, 2, 0), ""), "")</f>
        <v/>
      </c>
      <c r="H766" s="105"/>
      <c r="I766" s="105"/>
      <c r="J766" s="105" t="str">
        <f>IF(F766=True, IFERROR(VLOOKUP(D766, Repository!A:C, 3, 0), ""), "")</f>
        <v/>
      </c>
      <c r="K766" s="105"/>
      <c r="L766" s="105" t="str">
        <f>IF(F766=True, IFERROR(VLOOKUP(D766, Repository!A:E, 5, 0), ""), "")</f>
        <v/>
      </c>
      <c r="M766" s="105"/>
      <c r="N766" s="105" t="str">
        <f>IF(F766=True, IFERROR(VLOOKUP(D766, Repository!A:G, 7, 0), ""), "")</f>
        <v/>
      </c>
      <c r="O766" s="105" t="str">
        <f>IFERROR(__xludf.DUMMYFUNCTION("ARRAY_CONSTRAIN(
  ARRAYFORMULA(
    IFERROR(
      LET(
        list, N766,
        arr, TRIM(SPLIT(list, "","")),
        names, XLOOKUP(
          arr,
          'Conformance Score'!A:A,
          'Conformance Score'!B:B,
          ""Not found""
      "&amp;"  ),
        TEXTJOIN("", "", TRUE, names)
      ),
      """"
    )
  ),
  1,
  1
)
"),"")</f>
        <v/>
      </c>
      <c r="P766" s="105" t="str">
        <f>IF(F766="Yes", IFERROR(VLOOKUP(D766, Repository!A:F, 6, 0), ""), "")</f>
        <v/>
      </c>
      <c r="Q766" s="105" t="str">
        <f>IF(F766="Yes", IFERROR(VLOOKUP(D766, Repository!A:I, 8, 0), ""), "")</f>
        <v/>
      </c>
      <c r="R766" s="105" t="str">
        <f>IF(F766="Yes", IFERROR(VLOOKUP(D766, Repository!A:J, 9, 0), ""), "")</f>
        <v/>
      </c>
      <c r="S766" s="105"/>
      <c r="T766" s="105"/>
      <c r="U766" s="105"/>
      <c r="V766" s="105"/>
      <c r="W766" s="105"/>
      <c r="X766" s="105"/>
      <c r="Y766" s="105"/>
      <c r="Z766" s="105"/>
      <c r="AA766" s="105"/>
      <c r="AB766" s="105"/>
      <c r="AC766" s="91"/>
      <c r="AD766" s="105"/>
      <c r="AE766" s="105"/>
      <c r="AF766" s="91"/>
      <c r="AG766" s="105"/>
      <c r="AH766" s="105"/>
      <c r="AI766" s="105" t="str">
        <f t="shared" si="1"/>
        <v/>
      </c>
      <c r="AJ766" s="108" t="str">
        <f t="shared" si="2"/>
        <v/>
      </c>
    </row>
    <row r="767" ht="15.75" customHeight="1">
      <c r="A767" s="104"/>
      <c r="B767" s="105" t="str">
        <f>IFERROR(__xludf.DUMMYFUNCTION("ARRAY_CONSTRAIN(
  ARRAYFORMULA(
    IF(
      'Final Report'!A767="""",
      """",
      TEXTJOIN(
        "", "" &amp; CHAR(10),
        TRUE,
        IFERROR(
          VLOOKUP(
            TRIM(
              SPLIT('Final Report'!A767, "","")
           "&amp;" ),
            'URL Details'!A:B,
            2,
            FALSE
          ),
          """"
        )
      )
    )
  ),
  1,
  1
)
"),"")</f>
        <v/>
      </c>
      <c r="C767" s="105" t="str">
        <f>IFERROR(__xludf.DUMMYFUNCTION("IFERROR(IF('Final Report'!A767="""","""", TEXTJOIN(CHAR(10), TRUE, ARRAYFORMULA( ""• ""&amp; FILTER( TRIM(FLATTEN(SPLIT( REGEXREPLACE( SUBSTITUTE(TEXTJOIN("","", TRUE, IFERROR(ARRAYFORMULA(VLOOKUP(TRIM(SPLIT('Final Report'!A767, "","")), 'URL Details'!A:D, 4,"&amp;" FALSE)),"""") ), CHAR(10), "",""), ""\s*,\s*"", "",""), "",""))), TRIM(FLATTEN(SPLIT( REGEXREPLACE( SUBSTITUTE(TEXTJOIN("","", TRUE, IFERROR(ARRAYFORMULA(VLOOKUP(TRIM(SPLIT('Final Report'!A767, "","")), 'URL Details'!A:D, 4, FALSE)),"""") ), CHAR(10), """&amp;",""), ""\s*,\s*"", "",""), "","")))&lt;&gt;"""" ) ) ) ),"""")
"),"")</f>
        <v/>
      </c>
      <c r="D767" s="105"/>
      <c r="E767" s="105"/>
      <c r="F767" s="110" t="b">
        <v>0</v>
      </c>
      <c r="G767" s="105" t="str">
        <f>IF(F767=True, IFERROR(VLOOKUP(D767, Repository!A:B, 2, 0), ""), "")</f>
        <v/>
      </c>
      <c r="H767" s="105"/>
      <c r="I767" s="105"/>
      <c r="J767" s="105" t="str">
        <f>IF(F767=True, IFERROR(VLOOKUP(D767, Repository!A:C, 3, 0), ""), "")</f>
        <v/>
      </c>
      <c r="K767" s="105"/>
      <c r="L767" s="105" t="str">
        <f>IF(F767=True, IFERROR(VLOOKUP(D767, Repository!A:E, 5, 0), ""), "")</f>
        <v/>
      </c>
      <c r="M767" s="105"/>
      <c r="N767" s="105" t="str">
        <f>IF(F767=True, IFERROR(VLOOKUP(D767, Repository!A:G, 7, 0), ""), "")</f>
        <v/>
      </c>
      <c r="O767" s="105" t="str">
        <f>IFERROR(__xludf.DUMMYFUNCTION("ARRAY_CONSTRAIN(
  ARRAYFORMULA(
    IFERROR(
      LET(
        list, N767,
        arr, TRIM(SPLIT(list, "","")),
        names, XLOOKUP(
          arr,
          'Conformance Score'!A:A,
          'Conformance Score'!B:B,
          ""Not found""
      "&amp;"  ),
        TEXTJOIN("", "", TRUE, names)
      ),
      """"
    )
  ),
  1,
  1
)
"),"")</f>
        <v/>
      </c>
      <c r="P767" s="105" t="str">
        <f>IF(F767="Yes", IFERROR(VLOOKUP(D767, Repository!A:F, 6, 0), ""), "")</f>
        <v/>
      </c>
      <c r="Q767" s="105" t="str">
        <f>IF(F767="Yes", IFERROR(VLOOKUP(D767, Repository!A:I, 8, 0), ""), "")</f>
        <v/>
      </c>
      <c r="R767" s="105" t="str">
        <f>IF(F767="Yes", IFERROR(VLOOKUP(D767, Repository!A:J, 9, 0), ""), "")</f>
        <v/>
      </c>
      <c r="S767" s="105"/>
      <c r="T767" s="105"/>
      <c r="U767" s="105"/>
      <c r="V767" s="105"/>
      <c r="W767" s="105"/>
      <c r="X767" s="105"/>
      <c r="Y767" s="105"/>
      <c r="Z767" s="105"/>
      <c r="AA767" s="105"/>
      <c r="AB767" s="105"/>
      <c r="AC767" s="91"/>
      <c r="AD767" s="105"/>
      <c r="AE767" s="105"/>
      <c r="AF767" s="91"/>
      <c r="AG767" s="105"/>
      <c r="AH767" s="105"/>
      <c r="AI767" s="105" t="str">
        <f t="shared" si="1"/>
        <v/>
      </c>
      <c r="AJ767" s="108" t="str">
        <f t="shared" si="2"/>
        <v/>
      </c>
    </row>
    <row r="768" ht="15.75" customHeight="1">
      <c r="A768" s="104"/>
      <c r="B768" s="105" t="str">
        <f>IFERROR(__xludf.DUMMYFUNCTION("ARRAY_CONSTRAIN(
  ARRAYFORMULA(
    IF(
      'Final Report'!A768="""",
      """",
      TEXTJOIN(
        "", "" &amp; CHAR(10),
        TRUE,
        IFERROR(
          VLOOKUP(
            TRIM(
              SPLIT('Final Report'!A768, "","")
           "&amp;" ),
            'URL Details'!A:B,
            2,
            FALSE
          ),
          """"
        )
      )
    )
  ),
  1,
  1
)
"),"")</f>
        <v/>
      </c>
      <c r="C768" s="105" t="str">
        <f>IFERROR(__xludf.DUMMYFUNCTION("IFERROR(IF('Final Report'!A768="""","""", TEXTJOIN(CHAR(10), TRUE, ARRAYFORMULA( ""• ""&amp; FILTER( TRIM(FLATTEN(SPLIT( REGEXREPLACE( SUBSTITUTE(TEXTJOIN("","", TRUE, IFERROR(ARRAYFORMULA(VLOOKUP(TRIM(SPLIT('Final Report'!A768, "","")), 'URL Details'!A:D, 4,"&amp;" FALSE)),"""") ), CHAR(10), "",""), ""\s*,\s*"", "",""), "",""))), TRIM(FLATTEN(SPLIT( REGEXREPLACE( SUBSTITUTE(TEXTJOIN("","", TRUE, IFERROR(ARRAYFORMULA(VLOOKUP(TRIM(SPLIT('Final Report'!A768, "","")), 'URL Details'!A:D, 4, FALSE)),"""") ), CHAR(10), """&amp;",""), ""\s*,\s*"", "",""), "","")))&lt;&gt;"""" ) ) ) ),"""")
"),"")</f>
        <v/>
      </c>
      <c r="D768" s="105"/>
      <c r="E768" s="105"/>
      <c r="F768" s="110" t="b">
        <v>0</v>
      </c>
      <c r="G768" s="105" t="str">
        <f>IF(F768=True, IFERROR(VLOOKUP(D768, Repository!A:B, 2, 0), ""), "")</f>
        <v/>
      </c>
      <c r="H768" s="105"/>
      <c r="I768" s="105"/>
      <c r="J768" s="105" t="str">
        <f>IF(F768=True, IFERROR(VLOOKUP(D768, Repository!A:C, 3, 0), ""), "")</f>
        <v/>
      </c>
      <c r="K768" s="105"/>
      <c r="L768" s="105" t="str">
        <f>IF(F768=True, IFERROR(VLOOKUP(D768, Repository!A:E, 5, 0), ""), "")</f>
        <v/>
      </c>
      <c r="M768" s="105"/>
      <c r="N768" s="105" t="str">
        <f>IF(F768=True, IFERROR(VLOOKUP(D768, Repository!A:G, 7, 0), ""), "")</f>
        <v/>
      </c>
      <c r="O768" s="105" t="str">
        <f>IFERROR(__xludf.DUMMYFUNCTION("ARRAY_CONSTRAIN(
  ARRAYFORMULA(
    IFERROR(
      LET(
        list, N768,
        arr, TRIM(SPLIT(list, "","")),
        names, XLOOKUP(
          arr,
          'Conformance Score'!A:A,
          'Conformance Score'!B:B,
          ""Not found""
      "&amp;"  ),
        TEXTJOIN("", "", TRUE, names)
      ),
      """"
    )
  ),
  1,
  1
)
"),"")</f>
        <v/>
      </c>
      <c r="P768" s="105" t="str">
        <f>IF(F768="Yes", IFERROR(VLOOKUP(D768, Repository!A:F, 6, 0), ""), "")</f>
        <v/>
      </c>
      <c r="Q768" s="105" t="str">
        <f>IF(F768="Yes", IFERROR(VLOOKUP(D768, Repository!A:I, 8, 0), ""), "")</f>
        <v/>
      </c>
      <c r="R768" s="105" t="str">
        <f>IF(F768="Yes", IFERROR(VLOOKUP(D768, Repository!A:J, 9, 0), ""), "")</f>
        <v/>
      </c>
      <c r="S768" s="105"/>
      <c r="T768" s="105"/>
      <c r="U768" s="105"/>
      <c r="V768" s="105"/>
      <c r="W768" s="105"/>
      <c r="X768" s="105"/>
      <c r="Y768" s="105"/>
      <c r="Z768" s="105"/>
      <c r="AA768" s="105"/>
      <c r="AB768" s="105"/>
      <c r="AC768" s="91"/>
      <c r="AD768" s="105"/>
      <c r="AE768" s="105"/>
      <c r="AF768" s="91"/>
      <c r="AG768" s="105"/>
      <c r="AH768" s="105"/>
      <c r="AI768" s="105" t="str">
        <f t="shared" si="1"/>
        <v/>
      </c>
      <c r="AJ768" s="108" t="str">
        <f t="shared" si="2"/>
        <v/>
      </c>
    </row>
    <row r="769" ht="15.75" customHeight="1">
      <c r="A769" s="104"/>
      <c r="B769" s="105" t="str">
        <f>IFERROR(__xludf.DUMMYFUNCTION("ARRAY_CONSTRAIN(
  ARRAYFORMULA(
    IF(
      'Final Report'!A769="""",
      """",
      TEXTJOIN(
        "", "" &amp; CHAR(10),
        TRUE,
        IFERROR(
          VLOOKUP(
            TRIM(
              SPLIT('Final Report'!A769, "","")
           "&amp;" ),
            'URL Details'!A:B,
            2,
            FALSE
          ),
          """"
        )
      )
    )
  ),
  1,
  1
)
"),"")</f>
        <v/>
      </c>
      <c r="C769" s="105" t="str">
        <f>IFERROR(__xludf.DUMMYFUNCTION("IFERROR(IF('Final Report'!A769="""","""", TEXTJOIN(CHAR(10), TRUE, ARRAYFORMULA( ""• ""&amp; FILTER( TRIM(FLATTEN(SPLIT( REGEXREPLACE( SUBSTITUTE(TEXTJOIN("","", TRUE, IFERROR(ARRAYFORMULA(VLOOKUP(TRIM(SPLIT('Final Report'!A769, "","")), 'URL Details'!A:D, 4,"&amp;" FALSE)),"""") ), CHAR(10), "",""), ""\s*,\s*"", "",""), "",""))), TRIM(FLATTEN(SPLIT( REGEXREPLACE( SUBSTITUTE(TEXTJOIN("","", TRUE, IFERROR(ARRAYFORMULA(VLOOKUP(TRIM(SPLIT('Final Report'!A769, "","")), 'URL Details'!A:D, 4, FALSE)),"""") ), CHAR(10), """&amp;",""), ""\s*,\s*"", "",""), "","")))&lt;&gt;"""" ) ) ) ),"""")
"),"")</f>
        <v/>
      </c>
      <c r="D769" s="105"/>
      <c r="E769" s="105"/>
      <c r="F769" s="110" t="b">
        <v>0</v>
      </c>
      <c r="G769" s="105" t="str">
        <f>IF(F769=True, IFERROR(VLOOKUP(D769, Repository!A:B, 2, 0), ""), "")</f>
        <v/>
      </c>
      <c r="H769" s="105"/>
      <c r="I769" s="105"/>
      <c r="J769" s="105" t="str">
        <f>IF(F769=True, IFERROR(VLOOKUP(D769, Repository!A:C, 3, 0), ""), "")</f>
        <v/>
      </c>
      <c r="K769" s="105"/>
      <c r="L769" s="105" t="str">
        <f>IF(F769=True, IFERROR(VLOOKUP(D769, Repository!A:E, 5, 0), ""), "")</f>
        <v/>
      </c>
      <c r="M769" s="105"/>
      <c r="N769" s="105" t="str">
        <f>IF(F769=True, IFERROR(VLOOKUP(D769, Repository!A:G, 7, 0), ""), "")</f>
        <v/>
      </c>
      <c r="O769" s="105" t="str">
        <f>IFERROR(__xludf.DUMMYFUNCTION("ARRAY_CONSTRAIN(
  ARRAYFORMULA(
    IFERROR(
      LET(
        list, N769,
        arr, TRIM(SPLIT(list, "","")),
        names, XLOOKUP(
          arr,
          'Conformance Score'!A:A,
          'Conformance Score'!B:B,
          ""Not found""
      "&amp;"  ),
        TEXTJOIN("", "", TRUE, names)
      ),
      """"
    )
  ),
  1,
  1
)
"),"")</f>
        <v/>
      </c>
      <c r="P769" s="105" t="str">
        <f>IF(F769="Yes", IFERROR(VLOOKUP(D769, Repository!A:F, 6, 0), ""), "")</f>
        <v/>
      </c>
      <c r="Q769" s="105" t="str">
        <f>IF(F769="Yes", IFERROR(VLOOKUP(D769, Repository!A:I, 8, 0), ""), "")</f>
        <v/>
      </c>
      <c r="R769" s="105" t="str">
        <f>IF(F769="Yes", IFERROR(VLOOKUP(D769, Repository!A:J, 9, 0), ""), "")</f>
        <v/>
      </c>
      <c r="S769" s="105"/>
      <c r="T769" s="105"/>
      <c r="U769" s="105"/>
      <c r="V769" s="105"/>
      <c r="W769" s="105"/>
      <c r="X769" s="105"/>
      <c r="Y769" s="105"/>
      <c r="Z769" s="105"/>
      <c r="AA769" s="105"/>
      <c r="AB769" s="105"/>
      <c r="AC769" s="91"/>
      <c r="AD769" s="105"/>
      <c r="AE769" s="105"/>
      <c r="AF769" s="91"/>
      <c r="AG769" s="105"/>
      <c r="AH769" s="105"/>
      <c r="AI769" s="105" t="str">
        <f t="shared" si="1"/>
        <v/>
      </c>
      <c r="AJ769" s="108" t="str">
        <f t="shared" si="2"/>
        <v/>
      </c>
    </row>
    <row r="770" ht="15.75" customHeight="1">
      <c r="A770" s="104"/>
      <c r="B770" s="105" t="str">
        <f>IFERROR(__xludf.DUMMYFUNCTION("ARRAY_CONSTRAIN(
  ARRAYFORMULA(
    IF(
      'Final Report'!A770="""",
      """",
      TEXTJOIN(
        "", "" &amp; CHAR(10),
        TRUE,
        IFERROR(
          VLOOKUP(
            TRIM(
              SPLIT('Final Report'!A770, "","")
           "&amp;" ),
            'URL Details'!A:B,
            2,
            FALSE
          ),
          """"
        )
      )
    )
  ),
  1,
  1
)
"),"")</f>
        <v/>
      </c>
      <c r="C770" s="105" t="str">
        <f>IFERROR(__xludf.DUMMYFUNCTION("IFERROR(IF('Final Report'!A770="""","""", TEXTJOIN(CHAR(10), TRUE, ARRAYFORMULA( ""• ""&amp; FILTER( TRIM(FLATTEN(SPLIT( REGEXREPLACE( SUBSTITUTE(TEXTJOIN("","", TRUE, IFERROR(ARRAYFORMULA(VLOOKUP(TRIM(SPLIT('Final Report'!A770, "","")), 'URL Details'!A:D, 4,"&amp;" FALSE)),"""") ), CHAR(10), "",""), ""\s*,\s*"", "",""), "",""))), TRIM(FLATTEN(SPLIT( REGEXREPLACE( SUBSTITUTE(TEXTJOIN("","", TRUE, IFERROR(ARRAYFORMULA(VLOOKUP(TRIM(SPLIT('Final Report'!A770, "","")), 'URL Details'!A:D, 4, FALSE)),"""") ), CHAR(10), """&amp;",""), ""\s*,\s*"", "",""), "","")))&lt;&gt;"""" ) ) ) ),"""")
"),"")</f>
        <v/>
      </c>
      <c r="D770" s="105"/>
      <c r="E770" s="105"/>
      <c r="F770" s="110" t="b">
        <v>0</v>
      </c>
      <c r="G770" s="105" t="str">
        <f>IF(F770=True, IFERROR(VLOOKUP(D770, Repository!A:B, 2, 0), ""), "")</f>
        <v/>
      </c>
      <c r="H770" s="105"/>
      <c r="I770" s="105"/>
      <c r="J770" s="105" t="str">
        <f>IF(F770=True, IFERROR(VLOOKUP(D770, Repository!A:C, 3, 0), ""), "")</f>
        <v/>
      </c>
      <c r="K770" s="105"/>
      <c r="L770" s="105" t="str">
        <f>IF(F770=True, IFERROR(VLOOKUP(D770, Repository!A:E, 5, 0), ""), "")</f>
        <v/>
      </c>
      <c r="M770" s="105"/>
      <c r="N770" s="105" t="str">
        <f>IF(F770=True, IFERROR(VLOOKUP(D770, Repository!A:G, 7, 0), ""), "")</f>
        <v/>
      </c>
      <c r="O770" s="105" t="str">
        <f>IFERROR(__xludf.DUMMYFUNCTION("ARRAY_CONSTRAIN(
  ARRAYFORMULA(
    IFERROR(
      LET(
        list, N770,
        arr, TRIM(SPLIT(list, "","")),
        names, XLOOKUP(
          arr,
          'Conformance Score'!A:A,
          'Conformance Score'!B:B,
          ""Not found""
      "&amp;"  ),
        TEXTJOIN("", "", TRUE, names)
      ),
      """"
    )
  ),
  1,
  1
)
"),"")</f>
        <v/>
      </c>
      <c r="P770" s="105" t="str">
        <f>IF(F770="Yes", IFERROR(VLOOKUP(D770, Repository!A:F, 6, 0), ""), "")</f>
        <v/>
      </c>
      <c r="Q770" s="105" t="str">
        <f>IF(F770="Yes", IFERROR(VLOOKUP(D770, Repository!A:I, 8, 0), ""), "")</f>
        <v/>
      </c>
      <c r="R770" s="105" t="str">
        <f>IF(F770="Yes", IFERROR(VLOOKUP(D770, Repository!A:J, 9, 0), ""), "")</f>
        <v/>
      </c>
      <c r="S770" s="105"/>
      <c r="T770" s="105"/>
      <c r="U770" s="105"/>
      <c r="V770" s="105"/>
      <c r="W770" s="105"/>
      <c r="X770" s="105"/>
      <c r="Y770" s="105"/>
      <c r="Z770" s="105"/>
      <c r="AA770" s="105"/>
      <c r="AB770" s="105"/>
      <c r="AC770" s="91"/>
      <c r="AD770" s="105"/>
      <c r="AE770" s="105"/>
      <c r="AF770" s="91"/>
      <c r="AG770" s="105"/>
      <c r="AH770" s="105"/>
      <c r="AI770" s="105" t="str">
        <f t="shared" si="1"/>
        <v/>
      </c>
      <c r="AJ770" s="108" t="str">
        <f t="shared" si="2"/>
        <v/>
      </c>
    </row>
    <row r="771" ht="15.75" customHeight="1">
      <c r="A771" s="104"/>
      <c r="B771" s="105" t="str">
        <f>IFERROR(__xludf.DUMMYFUNCTION("ARRAY_CONSTRAIN(
  ARRAYFORMULA(
    IF(
      'Final Report'!A771="""",
      """",
      TEXTJOIN(
        "", "" &amp; CHAR(10),
        TRUE,
        IFERROR(
          VLOOKUP(
            TRIM(
              SPLIT('Final Report'!A771, "","")
           "&amp;" ),
            'URL Details'!A:B,
            2,
            FALSE
          ),
          """"
        )
      )
    )
  ),
  1,
  1
)
"),"")</f>
        <v/>
      </c>
      <c r="C771" s="105" t="str">
        <f>IFERROR(__xludf.DUMMYFUNCTION("IFERROR(IF('Final Report'!A771="""","""", TEXTJOIN(CHAR(10), TRUE, ARRAYFORMULA( ""• ""&amp; FILTER( TRIM(FLATTEN(SPLIT( REGEXREPLACE( SUBSTITUTE(TEXTJOIN("","", TRUE, IFERROR(ARRAYFORMULA(VLOOKUP(TRIM(SPLIT('Final Report'!A771, "","")), 'URL Details'!A:D, 4,"&amp;" FALSE)),"""") ), CHAR(10), "",""), ""\s*,\s*"", "",""), "",""))), TRIM(FLATTEN(SPLIT( REGEXREPLACE( SUBSTITUTE(TEXTJOIN("","", TRUE, IFERROR(ARRAYFORMULA(VLOOKUP(TRIM(SPLIT('Final Report'!A771, "","")), 'URL Details'!A:D, 4, FALSE)),"""") ), CHAR(10), """&amp;",""), ""\s*,\s*"", "",""), "","")))&lt;&gt;"""" ) ) ) ),"""")
"),"")</f>
        <v/>
      </c>
      <c r="D771" s="105"/>
      <c r="E771" s="105"/>
      <c r="F771" s="110" t="b">
        <v>0</v>
      </c>
      <c r="G771" s="105" t="str">
        <f>IF(F771=True, IFERROR(VLOOKUP(D771, Repository!A:B, 2, 0), ""), "")</f>
        <v/>
      </c>
      <c r="H771" s="105"/>
      <c r="I771" s="105"/>
      <c r="J771" s="105" t="str">
        <f>IF(F771=True, IFERROR(VLOOKUP(D771, Repository!A:C, 3, 0), ""), "")</f>
        <v/>
      </c>
      <c r="K771" s="105"/>
      <c r="L771" s="105" t="str">
        <f>IF(F771=True, IFERROR(VLOOKUP(D771, Repository!A:E, 5, 0), ""), "")</f>
        <v/>
      </c>
      <c r="M771" s="105"/>
      <c r="N771" s="105" t="str">
        <f>IF(F771=True, IFERROR(VLOOKUP(D771, Repository!A:G, 7, 0), ""), "")</f>
        <v/>
      </c>
      <c r="O771" s="105" t="str">
        <f>IFERROR(__xludf.DUMMYFUNCTION("ARRAY_CONSTRAIN(
  ARRAYFORMULA(
    IFERROR(
      LET(
        list, N771,
        arr, TRIM(SPLIT(list, "","")),
        names, XLOOKUP(
          arr,
          'Conformance Score'!A:A,
          'Conformance Score'!B:B,
          ""Not found""
      "&amp;"  ),
        TEXTJOIN("", "", TRUE, names)
      ),
      """"
    )
  ),
  1,
  1
)
"),"")</f>
        <v/>
      </c>
      <c r="P771" s="105" t="str">
        <f>IF(F771="Yes", IFERROR(VLOOKUP(D771, Repository!A:F, 6, 0), ""), "")</f>
        <v/>
      </c>
      <c r="Q771" s="105" t="str">
        <f>IF(F771="Yes", IFERROR(VLOOKUP(D771, Repository!A:I, 8, 0), ""), "")</f>
        <v/>
      </c>
      <c r="R771" s="105" t="str">
        <f>IF(F771="Yes", IFERROR(VLOOKUP(D771, Repository!A:J, 9, 0), ""), "")</f>
        <v/>
      </c>
      <c r="S771" s="105"/>
      <c r="T771" s="105"/>
      <c r="U771" s="105"/>
      <c r="V771" s="105"/>
      <c r="W771" s="105"/>
      <c r="X771" s="105"/>
      <c r="Y771" s="105"/>
      <c r="Z771" s="105"/>
      <c r="AA771" s="105"/>
      <c r="AB771" s="105"/>
      <c r="AC771" s="91"/>
      <c r="AD771" s="105"/>
      <c r="AE771" s="105"/>
      <c r="AF771" s="91"/>
      <c r="AG771" s="105"/>
      <c r="AH771" s="105"/>
      <c r="AI771" s="105" t="str">
        <f t="shared" si="1"/>
        <v/>
      </c>
      <c r="AJ771" s="108" t="str">
        <f t="shared" si="2"/>
        <v/>
      </c>
    </row>
    <row r="772" ht="15.75" customHeight="1">
      <c r="A772" s="104"/>
      <c r="B772" s="105" t="str">
        <f>IFERROR(__xludf.DUMMYFUNCTION("ARRAY_CONSTRAIN(
  ARRAYFORMULA(
    IF(
      'Final Report'!A772="""",
      """",
      TEXTJOIN(
        "", "" &amp; CHAR(10),
        TRUE,
        IFERROR(
          VLOOKUP(
            TRIM(
              SPLIT('Final Report'!A772, "","")
           "&amp;" ),
            'URL Details'!A:B,
            2,
            FALSE
          ),
          """"
        )
      )
    )
  ),
  1,
  1
)
"),"")</f>
        <v/>
      </c>
      <c r="C772" s="105" t="str">
        <f>IFERROR(__xludf.DUMMYFUNCTION("IFERROR(IF('Final Report'!A772="""","""", TEXTJOIN(CHAR(10), TRUE, ARRAYFORMULA( ""• ""&amp; FILTER( TRIM(FLATTEN(SPLIT( REGEXREPLACE( SUBSTITUTE(TEXTJOIN("","", TRUE, IFERROR(ARRAYFORMULA(VLOOKUP(TRIM(SPLIT('Final Report'!A772, "","")), 'URL Details'!A:D, 4,"&amp;" FALSE)),"""") ), CHAR(10), "",""), ""\s*,\s*"", "",""), "",""))), TRIM(FLATTEN(SPLIT( REGEXREPLACE( SUBSTITUTE(TEXTJOIN("","", TRUE, IFERROR(ARRAYFORMULA(VLOOKUP(TRIM(SPLIT('Final Report'!A772, "","")), 'URL Details'!A:D, 4, FALSE)),"""") ), CHAR(10), """&amp;",""), ""\s*,\s*"", "",""), "","")))&lt;&gt;"""" ) ) ) ),"""")
"),"")</f>
        <v/>
      </c>
      <c r="D772" s="105"/>
      <c r="E772" s="105"/>
      <c r="F772" s="110" t="b">
        <v>0</v>
      </c>
      <c r="G772" s="105" t="str">
        <f>IF(F772=True, IFERROR(VLOOKUP(D772, Repository!A:B, 2, 0), ""), "")</f>
        <v/>
      </c>
      <c r="H772" s="105"/>
      <c r="I772" s="105"/>
      <c r="J772" s="105" t="str">
        <f>IF(F772=True, IFERROR(VLOOKUP(D772, Repository!A:C, 3, 0), ""), "")</f>
        <v/>
      </c>
      <c r="K772" s="105"/>
      <c r="L772" s="105" t="str">
        <f>IF(F772=True, IFERROR(VLOOKUP(D772, Repository!A:E, 5, 0), ""), "")</f>
        <v/>
      </c>
      <c r="M772" s="105"/>
      <c r="N772" s="105" t="str">
        <f>IF(F772=True, IFERROR(VLOOKUP(D772, Repository!A:G, 7, 0), ""), "")</f>
        <v/>
      </c>
      <c r="O772" s="105" t="str">
        <f>IFERROR(__xludf.DUMMYFUNCTION("ARRAY_CONSTRAIN(
  ARRAYFORMULA(
    IFERROR(
      LET(
        list, N772,
        arr, TRIM(SPLIT(list, "","")),
        names, XLOOKUP(
          arr,
          'Conformance Score'!A:A,
          'Conformance Score'!B:B,
          ""Not found""
      "&amp;"  ),
        TEXTJOIN("", "", TRUE, names)
      ),
      """"
    )
  ),
  1,
  1
)
"),"")</f>
        <v/>
      </c>
      <c r="P772" s="105" t="str">
        <f>IF(F772="Yes", IFERROR(VLOOKUP(D772, Repository!A:F, 6, 0), ""), "")</f>
        <v/>
      </c>
      <c r="Q772" s="105" t="str">
        <f>IF(F772="Yes", IFERROR(VLOOKUP(D772, Repository!A:I, 8, 0), ""), "")</f>
        <v/>
      </c>
      <c r="R772" s="105" t="str">
        <f>IF(F772="Yes", IFERROR(VLOOKUP(D772, Repository!A:J, 9, 0), ""), "")</f>
        <v/>
      </c>
      <c r="S772" s="105"/>
      <c r="T772" s="105"/>
      <c r="U772" s="105"/>
      <c r="V772" s="105"/>
      <c r="W772" s="105"/>
      <c r="X772" s="105"/>
      <c r="Y772" s="105"/>
      <c r="Z772" s="105"/>
      <c r="AA772" s="105"/>
      <c r="AB772" s="105"/>
      <c r="AC772" s="91"/>
      <c r="AD772" s="105"/>
      <c r="AE772" s="105"/>
      <c r="AF772" s="91"/>
      <c r="AG772" s="105"/>
      <c r="AH772" s="105"/>
      <c r="AI772" s="105" t="str">
        <f t="shared" si="1"/>
        <v/>
      </c>
      <c r="AJ772" s="108" t="str">
        <f t="shared" si="2"/>
        <v/>
      </c>
    </row>
    <row r="773" ht="15.75" customHeight="1">
      <c r="A773" s="104"/>
      <c r="B773" s="105" t="str">
        <f>IFERROR(__xludf.DUMMYFUNCTION("ARRAY_CONSTRAIN(
  ARRAYFORMULA(
    IF(
      'Final Report'!A773="""",
      """",
      TEXTJOIN(
        "", "" &amp; CHAR(10),
        TRUE,
        IFERROR(
          VLOOKUP(
            TRIM(
              SPLIT('Final Report'!A773, "","")
           "&amp;" ),
            'URL Details'!A:B,
            2,
            FALSE
          ),
          """"
        )
      )
    )
  ),
  1,
  1
)
"),"")</f>
        <v/>
      </c>
      <c r="C773" s="105" t="str">
        <f>IFERROR(__xludf.DUMMYFUNCTION("IFERROR(IF('Final Report'!A773="""","""", TEXTJOIN(CHAR(10), TRUE, ARRAYFORMULA( ""• ""&amp; FILTER( TRIM(FLATTEN(SPLIT( REGEXREPLACE( SUBSTITUTE(TEXTJOIN("","", TRUE, IFERROR(ARRAYFORMULA(VLOOKUP(TRIM(SPLIT('Final Report'!A773, "","")), 'URL Details'!A:D, 4,"&amp;" FALSE)),"""") ), CHAR(10), "",""), ""\s*,\s*"", "",""), "",""))), TRIM(FLATTEN(SPLIT( REGEXREPLACE( SUBSTITUTE(TEXTJOIN("","", TRUE, IFERROR(ARRAYFORMULA(VLOOKUP(TRIM(SPLIT('Final Report'!A773, "","")), 'URL Details'!A:D, 4, FALSE)),"""") ), CHAR(10), """&amp;",""), ""\s*,\s*"", "",""), "","")))&lt;&gt;"""" ) ) ) ),"""")
"),"")</f>
        <v/>
      </c>
      <c r="D773" s="105"/>
      <c r="E773" s="105"/>
      <c r="F773" s="110" t="b">
        <v>0</v>
      </c>
      <c r="G773" s="105" t="str">
        <f>IF(F773=True, IFERROR(VLOOKUP(D773, Repository!A:B, 2, 0), ""), "")</f>
        <v/>
      </c>
      <c r="H773" s="105"/>
      <c r="I773" s="105"/>
      <c r="J773" s="105" t="str">
        <f>IF(F773=True, IFERROR(VLOOKUP(D773, Repository!A:C, 3, 0), ""), "")</f>
        <v/>
      </c>
      <c r="K773" s="105"/>
      <c r="L773" s="105" t="str">
        <f>IF(F773=True, IFERROR(VLOOKUP(D773, Repository!A:E, 5, 0), ""), "")</f>
        <v/>
      </c>
      <c r="M773" s="105"/>
      <c r="N773" s="105" t="str">
        <f>IF(F773=True, IFERROR(VLOOKUP(D773, Repository!A:G, 7, 0), ""), "")</f>
        <v/>
      </c>
      <c r="O773" s="105" t="str">
        <f>IFERROR(__xludf.DUMMYFUNCTION("ARRAY_CONSTRAIN(
  ARRAYFORMULA(
    IFERROR(
      LET(
        list, N773,
        arr, TRIM(SPLIT(list, "","")),
        names, XLOOKUP(
          arr,
          'Conformance Score'!A:A,
          'Conformance Score'!B:B,
          ""Not found""
      "&amp;"  ),
        TEXTJOIN("", "", TRUE, names)
      ),
      """"
    )
  ),
  1,
  1
)
"),"")</f>
        <v/>
      </c>
      <c r="P773" s="105" t="str">
        <f>IF(F773="Yes", IFERROR(VLOOKUP(D773, Repository!A:F, 6, 0), ""), "")</f>
        <v/>
      </c>
      <c r="Q773" s="105" t="str">
        <f>IF(F773="Yes", IFERROR(VLOOKUP(D773, Repository!A:I, 8, 0), ""), "")</f>
        <v/>
      </c>
      <c r="R773" s="105" t="str">
        <f>IF(F773="Yes", IFERROR(VLOOKUP(D773, Repository!A:J, 9, 0), ""), "")</f>
        <v/>
      </c>
      <c r="S773" s="105"/>
      <c r="T773" s="105"/>
      <c r="U773" s="105"/>
      <c r="V773" s="105"/>
      <c r="W773" s="105"/>
      <c r="X773" s="105"/>
      <c r="Y773" s="105"/>
      <c r="Z773" s="105"/>
      <c r="AA773" s="105"/>
      <c r="AB773" s="105"/>
      <c r="AC773" s="91"/>
      <c r="AD773" s="105"/>
      <c r="AE773" s="105"/>
      <c r="AF773" s="91"/>
      <c r="AG773" s="105"/>
      <c r="AH773" s="105"/>
      <c r="AI773" s="105" t="str">
        <f t="shared" si="1"/>
        <v/>
      </c>
      <c r="AJ773" s="108" t="str">
        <f t="shared" si="2"/>
        <v/>
      </c>
    </row>
    <row r="774" ht="15.75" customHeight="1">
      <c r="A774" s="104"/>
      <c r="B774" s="105" t="str">
        <f>IFERROR(__xludf.DUMMYFUNCTION("ARRAY_CONSTRAIN(
  ARRAYFORMULA(
    IF(
      'Final Report'!A774="""",
      """",
      TEXTJOIN(
        "", "" &amp; CHAR(10),
        TRUE,
        IFERROR(
          VLOOKUP(
            TRIM(
              SPLIT('Final Report'!A774, "","")
           "&amp;" ),
            'URL Details'!A:B,
            2,
            FALSE
          ),
          """"
        )
      )
    )
  ),
  1,
  1
)
"),"")</f>
        <v/>
      </c>
      <c r="C774" s="105" t="str">
        <f>IFERROR(__xludf.DUMMYFUNCTION("IFERROR(IF('Final Report'!A774="""","""", TEXTJOIN(CHAR(10), TRUE, ARRAYFORMULA( ""• ""&amp; FILTER( TRIM(FLATTEN(SPLIT( REGEXREPLACE( SUBSTITUTE(TEXTJOIN("","", TRUE, IFERROR(ARRAYFORMULA(VLOOKUP(TRIM(SPLIT('Final Report'!A774, "","")), 'URL Details'!A:D, 4,"&amp;" FALSE)),"""") ), CHAR(10), "",""), ""\s*,\s*"", "",""), "",""))), TRIM(FLATTEN(SPLIT( REGEXREPLACE( SUBSTITUTE(TEXTJOIN("","", TRUE, IFERROR(ARRAYFORMULA(VLOOKUP(TRIM(SPLIT('Final Report'!A774, "","")), 'URL Details'!A:D, 4, FALSE)),"""") ), CHAR(10), """&amp;",""), ""\s*,\s*"", "",""), "","")))&lt;&gt;"""" ) ) ) ),"""")
"),"")</f>
        <v/>
      </c>
      <c r="D774" s="105"/>
      <c r="E774" s="105"/>
      <c r="F774" s="110" t="b">
        <v>0</v>
      </c>
      <c r="G774" s="105" t="str">
        <f>IF(F774=True, IFERROR(VLOOKUP(D774, Repository!A:B, 2, 0), ""), "")</f>
        <v/>
      </c>
      <c r="H774" s="105"/>
      <c r="I774" s="105"/>
      <c r="J774" s="105" t="str">
        <f>IF(F774=True, IFERROR(VLOOKUP(D774, Repository!A:C, 3, 0), ""), "")</f>
        <v/>
      </c>
      <c r="K774" s="105"/>
      <c r="L774" s="105" t="str">
        <f>IF(F774=True, IFERROR(VLOOKUP(D774, Repository!A:E, 5, 0), ""), "")</f>
        <v/>
      </c>
      <c r="M774" s="105"/>
      <c r="N774" s="105" t="str">
        <f>IF(F774=True, IFERROR(VLOOKUP(D774, Repository!A:G, 7, 0), ""), "")</f>
        <v/>
      </c>
      <c r="O774" s="105" t="str">
        <f>IFERROR(__xludf.DUMMYFUNCTION("ARRAY_CONSTRAIN(
  ARRAYFORMULA(
    IFERROR(
      LET(
        list, N774,
        arr, TRIM(SPLIT(list, "","")),
        names, XLOOKUP(
          arr,
          'Conformance Score'!A:A,
          'Conformance Score'!B:B,
          ""Not found""
      "&amp;"  ),
        TEXTJOIN("", "", TRUE, names)
      ),
      """"
    )
  ),
  1,
  1
)
"),"")</f>
        <v/>
      </c>
      <c r="P774" s="105" t="str">
        <f>IF(F774="Yes", IFERROR(VLOOKUP(D774, Repository!A:F, 6, 0), ""), "")</f>
        <v/>
      </c>
      <c r="Q774" s="105" t="str">
        <f>IF(F774="Yes", IFERROR(VLOOKUP(D774, Repository!A:I, 8, 0), ""), "")</f>
        <v/>
      </c>
      <c r="R774" s="105" t="str">
        <f>IF(F774="Yes", IFERROR(VLOOKUP(D774, Repository!A:J, 9, 0), ""), "")</f>
        <v/>
      </c>
      <c r="S774" s="105"/>
      <c r="T774" s="105"/>
      <c r="U774" s="105"/>
      <c r="V774" s="105"/>
      <c r="W774" s="105"/>
      <c r="X774" s="105"/>
      <c r="Y774" s="105"/>
      <c r="Z774" s="105"/>
      <c r="AA774" s="105"/>
      <c r="AB774" s="105"/>
      <c r="AC774" s="91"/>
      <c r="AD774" s="105"/>
      <c r="AE774" s="105"/>
      <c r="AF774" s="91"/>
      <c r="AG774" s="105"/>
      <c r="AH774" s="105"/>
      <c r="AI774" s="105" t="str">
        <f t="shared" si="1"/>
        <v/>
      </c>
      <c r="AJ774" s="108" t="str">
        <f t="shared" si="2"/>
        <v/>
      </c>
    </row>
    <row r="775" ht="15.75" customHeight="1">
      <c r="A775" s="104"/>
      <c r="B775" s="105" t="str">
        <f>IFERROR(__xludf.DUMMYFUNCTION("ARRAY_CONSTRAIN(
  ARRAYFORMULA(
    IF(
      'Final Report'!A775="""",
      """",
      TEXTJOIN(
        "", "" &amp; CHAR(10),
        TRUE,
        IFERROR(
          VLOOKUP(
            TRIM(
              SPLIT('Final Report'!A775, "","")
           "&amp;" ),
            'URL Details'!A:B,
            2,
            FALSE
          ),
          """"
        )
      )
    )
  ),
  1,
  1
)
"),"")</f>
        <v/>
      </c>
      <c r="C775" s="105" t="str">
        <f>IFERROR(__xludf.DUMMYFUNCTION("IFERROR(IF('Final Report'!A775="""","""", TEXTJOIN(CHAR(10), TRUE, ARRAYFORMULA( ""• ""&amp; FILTER( TRIM(FLATTEN(SPLIT( REGEXREPLACE( SUBSTITUTE(TEXTJOIN("","", TRUE, IFERROR(ARRAYFORMULA(VLOOKUP(TRIM(SPLIT('Final Report'!A775, "","")), 'URL Details'!A:D, 4,"&amp;" FALSE)),"""") ), CHAR(10), "",""), ""\s*,\s*"", "",""), "",""))), TRIM(FLATTEN(SPLIT( REGEXREPLACE( SUBSTITUTE(TEXTJOIN("","", TRUE, IFERROR(ARRAYFORMULA(VLOOKUP(TRIM(SPLIT('Final Report'!A775, "","")), 'URL Details'!A:D, 4, FALSE)),"""") ), CHAR(10), """&amp;",""), ""\s*,\s*"", "",""), "","")))&lt;&gt;"""" ) ) ) ),"""")
"),"")</f>
        <v/>
      </c>
      <c r="D775" s="105"/>
      <c r="E775" s="105"/>
      <c r="F775" s="110" t="b">
        <v>0</v>
      </c>
      <c r="G775" s="105" t="str">
        <f>IF(F775=True, IFERROR(VLOOKUP(D775, Repository!A:B, 2, 0), ""), "")</f>
        <v/>
      </c>
      <c r="H775" s="105"/>
      <c r="I775" s="105"/>
      <c r="J775" s="105" t="str">
        <f>IF(F775=True, IFERROR(VLOOKUP(D775, Repository!A:C, 3, 0), ""), "")</f>
        <v/>
      </c>
      <c r="K775" s="105"/>
      <c r="L775" s="105" t="str">
        <f>IF(F775=True, IFERROR(VLOOKUP(D775, Repository!A:E, 5, 0), ""), "")</f>
        <v/>
      </c>
      <c r="M775" s="105"/>
      <c r="N775" s="105" t="str">
        <f>IF(F775=True, IFERROR(VLOOKUP(D775, Repository!A:G, 7, 0), ""), "")</f>
        <v/>
      </c>
      <c r="O775" s="105" t="str">
        <f>IFERROR(__xludf.DUMMYFUNCTION("ARRAY_CONSTRAIN(
  ARRAYFORMULA(
    IFERROR(
      LET(
        list, N775,
        arr, TRIM(SPLIT(list, "","")),
        names, XLOOKUP(
          arr,
          'Conformance Score'!A:A,
          'Conformance Score'!B:B,
          ""Not found""
      "&amp;"  ),
        TEXTJOIN("", "", TRUE, names)
      ),
      """"
    )
  ),
  1,
  1
)
"),"")</f>
        <v/>
      </c>
      <c r="P775" s="105" t="str">
        <f>IF(F775="Yes", IFERROR(VLOOKUP(D775, Repository!A:F, 6, 0), ""), "")</f>
        <v/>
      </c>
      <c r="Q775" s="105" t="str">
        <f>IF(F775="Yes", IFERROR(VLOOKUP(D775, Repository!A:I, 8, 0), ""), "")</f>
        <v/>
      </c>
      <c r="R775" s="105" t="str">
        <f>IF(F775="Yes", IFERROR(VLOOKUP(D775, Repository!A:J, 9, 0), ""), "")</f>
        <v/>
      </c>
      <c r="S775" s="105"/>
      <c r="T775" s="105"/>
      <c r="U775" s="105"/>
      <c r="V775" s="105"/>
      <c r="W775" s="105"/>
      <c r="X775" s="105"/>
      <c r="Y775" s="105"/>
      <c r="Z775" s="105"/>
      <c r="AA775" s="105"/>
      <c r="AB775" s="105"/>
      <c r="AC775" s="91"/>
      <c r="AD775" s="105"/>
      <c r="AE775" s="105"/>
      <c r="AF775" s="91"/>
      <c r="AG775" s="105"/>
      <c r="AH775" s="105"/>
      <c r="AI775" s="105" t="str">
        <f t="shared" si="1"/>
        <v/>
      </c>
      <c r="AJ775" s="108" t="str">
        <f t="shared" si="2"/>
        <v/>
      </c>
    </row>
    <row r="776" ht="15.75" customHeight="1">
      <c r="A776" s="104"/>
      <c r="B776" s="105" t="str">
        <f>IFERROR(__xludf.DUMMYFUNCTION("ARRAY_CONSTRAIN(
  ARRAYFORMULA(
    IF(
      'Final Report'!A776="""",
      """",
      TEXTJOIN(
        "", "" &amp; CHAR(10),
        TRUE,
        IFERROR(
          VLOOKUP(
            TRIM(
              SPLIT('Final Report'!A776, "","")
           "&amp;" ),
            'URL Details'!A:B,
            2,
            FALSE
          ),
          """"
        )
      )
    )
  ),
  1,
  1
)
"),"")</f>
        <v/>
      </c>
      <c r="C776" s="105" t="str">
        <f>IFERROR(__xludf.DUMMYFUNCTION("IFERROR(IF('Final Report'!A776="""","""", TEXTJOIN(CHAR(10), TRUE, ARRAYFORMULA( ""• ""&amp; FILTER( TRIM(FLATTEN(SPLIT( REGEXREPLACE( SUBSTITUTE(TEXTJOIN("","", TRUE, IFERROR(ARRAYFORMULA(VLOOKUP(TRIM(SPLIT('Final Report'!A776, "","")), 'URL Details'!A:D, 4,"&amp;" FALSE)),"""") ), CHAR(10), "",""), ""\s*,\s*"", "",""), "",""))), TRIM(FLATTEN(SPLIT( REGEXREPLACE( SUBSTITUTE(TEXTJOIN("","", TRUE, IFERROR(ARRAYFORMULA(VLOOKUP(TRIM(SPLIT('Final Report'!A776, "","")), 'URL Details'!A:D, 4, FALSE)),"""") ), CHAR(10), """&amp;",""), ""\s*,\s*"", "",""), "","")))&lt;&gt;"""" ) ) ) ),"""")
"),"")</f>
        <v/>
      </c>
      <c r="D776" s="105"/>
      <c r="E776" s="105"/>
      <c r="F776" s="110" t="b">
        <v>0</v>
      </c>
      <c r="G776" s="105" t="str">
        <f>IF(F776=True, IFERROR(VLOOKUP(D776, Repository!A:B, 2, 0), ""), "")</f>
        <v/>
      </c>
      <c r="H776" s="105"/>
      <c r="I776" s="105"/>
      <c r="J776" s="105" t="str">
        <f>IF(F776=True, IFERROR(VLOOKUP(D776, Repository!A:C, 3, 0), ""), "")</f>
        <v/>
      </c>
      <c r="K776" s="105"/>
      <c r="L776" s="105" t="str">
        <f>IF(F776=True, IFERROR(VLOOKUP(D776, Repository!A:E, 5, 0), ""), "")</f>
        <v/>
      </c>
      <c r="M776" s="105"/>
      <c r="N776" s="105" t="str">
        <f>IF(F776=True, IFERROR(VLOOKUP(D776, Repository!A:G, 7, 0), ""), "")</f>
        <v/>
      </c>
      <c r="O776" s="105" t="str">
        <f>IFERROR(__xludf.DUMMYFUNCTION("ARRAY_CONSTRAIN(
  ARRAYFORMULA(
    IFERROR(
      LET(
        list, N776,
        arr, TRIM(SPLIT(list, "","")),
        names, XLOOKUP(
          arr,
          'Conformance Score'!A:A,
          'Conformance Score'!B:B,
          ""Not found""
      "&amp;"  ),
        TEXTJOIN("", "", TRUE, names)
      ),
      """"
    )
  ),
  1,
  1
)
"),"")</f>
        <v/>
      </c>
      <c r="P776" s="105" t="str">
        <f>IF(F776="Yes", IFERROR(VLOOKUP(D776, Repository!A:F, 6, 0), ""), "")</f>
        <v/>
      </c>
      <c r="Q776" s="105" t="str">
        <f>IF(F776="Yes", IFERROR(VLOOKUP(D776, Repository!A:I, 8, 0), ""), "")</f>
        <v/>
      </c>
      <c r="R776" s="105" t="str">
        <f>IF(F776="Yes", IFERROR(VLOOKUP(D776, Repository!A:J, 9, 0), ""), "")</f>
        <v/>
      </c>
      <c r="S776" s="105"/>
      <c r="T776" s="105"/>
      <c r="U776" s="105"/>
      <c r="V776" s="105"/>
      <c r="W776" s="105"/>
      <c r="X776" s="105"/>
      <c r="Y776" s="105"/>
      <c r="Z776" s="105"/>
      <c r="AA776" s="105"/>
      <c r="AB776" s="105"/>
      <c r="AC776" s="91"/>
      <c r="AD776" s="105"/>
      <c r="AE776" s="105"/>
      <c r="AF776" s="91"/>
      <c r="AG776" s="105"/>
      <c r="AH776" s="105"/>
      <c r="AI776" s="105" t="str">
        <f t="shared" si="1"/>
        <v/>
      </c>
      <c r="AJ776" s="108" t="str">
        <f t="shared" si="2"/>
        <v/>
      </c>
    </row>
    <row r="777" ht="15.75" customHeight="1">
      <c r="A777" s="104"/>
      <c r="B777" s="105" t="str">
        <f>IFERROR(__xludf.DUMMYFUNCTION("ARRAY_CONSTRAIN(
  ARRAYFORMULA(
    IF(
      'Final Report'!A777="""",
      """",
      TEXTJOIN(
        "", "" &amp; CHAR(10),
        TRUE,
        IFERROR(
          VLOOKUP(
            TRIM(
              SPLIT('Final Report'!A777, "","")
           "&amp;" ),
            'URL Details'!A:B,
            2,
            FALSE
          ),
          """"
        )
      )
    )
  ),
  1,
  1
)
"),"")</f>
        <v/>
      </c>
      <c r="C777" s="105" t="str">
        <f>IFERROR(__xludf.DUMMYFUNCTION("IFERROR(IF('Final Report'!A777="""","""", TEXTJOIN(CHAR(10), TRUE, ARRAYFORMULA( ""• ""&amp; FILTER( TRIM(FLATTEN(SPLIT( REGEXREPLACE( SUBSTITUTE(TEXTJOIN("","", TRUE, IFERROR(ARRAYFORMULA(VLOOKUP(TRIM(SPLIT('Final Report'!A777, "","")), 'URL Details'!A:D, 4,"&amp;" FALSE)),"""") ), CHAR(10), "",""), ""\s*,\s*"", "",""), "",""))), TRIM(FLATTEN(SPLIT( REGEXREPLACE( SUBSTITUTE(TEXTJOIN("","", TRUE, IFERROR(ARRAYFORMULA(VLOOKUP(TRIM(SPLIT('Final Report'!A777, "","")), 'URL Details'!A:D, 4, FALSE)),"""") ), CHAR(10), """&amp;",""), ""\s*,\s*"", "",""), "","")))&lt;&gt;"""" ) ) ) ),"""")
"),"")</f>
        <v/>
      </c>
      <c r="D777" s="105"/>
      <c r="E777" s="105"/>
      <c r="F777" s="110" t="b">
        <v>0</v>
      </c>
      <c r="G777" s="105" t="str">
        <f>IF(F777=True, IFERROR(VLOOKUP(D777, Repository!A:B, 2, 0), ""), "")</f>
        <v/>
      </c>
      <c r="H777" s="105"/>
      <c r="I777" s="105"/>
      <c r="J777" s="105" t="str">
        <f>IF(F777=True, IFERROR(VLOOKUP(D777, Repository!A:C, 3, 0), ""), "")</f>
        <v/>
      </c>
      <c r="K777" s="105"/>
      <c r="L777" s="105" t="str">
        <f>IF(F777=True, IFERROR(VLOOKUP(D777, Repository!A:E, 5, 0), ""), "")</f>
        <v/>
      </c>
      <c r="M777" s="105"/>
      <c r="N777" s="105" t="str">
        <f>IF(F777=True, IFERROR(VLOOKUP(D777, Repository!A:G, 7, 0), ""), "")</f>
        <v/>
      </c>
      <c r="O777" s="105" t="str">
        <f>IFERROR(__xludf.DUMMYFUNCTION("ARRAY_CONSTRAIN(
  ARRAYFORMULA(
    IFERROR(
      LET(
        list, N777,
        arr, TRIM(SPLIT(list, "","")),
        names, XLOOKUP(
          arr,
          'Conformance Score'!A:A,
          'Conformance Score'!B:B,
          ""Not found""
      "&amp;"  ),
        TEXTJOIN("", "", TRUE, names)
      ),
      """"
    )
  ),
  1,
  1
)
"),"")</f>
        <v/>
      </c>
      <c r="P777" s="105" t="str">
        <f>IF(F777="Yes", IFERROR(VLOOKUP(D777, Repository!A:F, 6, 0), ""), "")</f>
        <v/>
      </c>
      <c r="Q777" s="105" t="str">
        <f>IF(F777="Yes", IFERROR(VLOOKUP(D777, Repository!A:I, 8, 0), ""), "")</f>
        <v/>
      </c>
      <c r="R777" s="105" t="str">
        <f>IF(F777="Yes", IFERROR(VLOOKUP(D777, Repository!A:J, 9, 0), ""), "")</f>
        <v/>
      </c>
      <c r="S777" s="105"/>
      <c r="T777" s="105"/>
      <c r="U777" s="105"/>
      <c r="V777" s="105"/>
      <c r="W777" s="105"/>
      <c r="X777" s="105"/>
      <c r="Y777" s="105"/>
      <c r="Z777" s="105"/>
      <c r="AA777" s="105"/>
      <c r="AB777" s="105"/>
      <c r="AC777" s="91"/>
      <c r="AD777" s="105"/>
      <c r="AE777" s="105"/>
      <c r="AF777" s="91"/>
      <c r="AG777" s="105"/>
      <c r="AH777" s="105"/>
      <c r="AI777" s="105" t="str">
        <f t="shared" si="1"/>
        <v/>
      </c>
      <c r="AJ777" s="108" t="str">
        <f t="shared" si="2"/>
        <v/>
      </c>
    </row>
    <row r="778" ht="15.75" customHeight="1">
      <c r="A778" s="104"/>
      <c r="B778" s="105" t="str">
        <f>IFERROR(__xludf.DUMMYFUNCTION("ARRAY_CONSTRAIN(
  ARRAYFORMULA(
    IF(
      'Final Report'!A778="""",
      """",
      TEXTJOIN(
        "", "" &amp; CHAR(10),
        TRUE,
        IFERROR(
          VLOOKUP(
            TRIM(
              SPLIT('Final Report'!A778, "","")
           "&amp;" ),
            'URL Details'!A:B,
            2,
            FALSE
          ),
          """"
        )
      )
    )
  ),
  1,
  1
)
"),"")</f>
        <v/>
      </c>
      <c r="C778" s="105" t="str">
        <f>IFERROR(__xludf.DUMMYFUNCTION("IFERROR(IF('Final Report'!A778="""","""", TEXTJOIN(CHAR(10), TRUE, ARRAYFORMULA( ""• ""&amp; FILTER( TRIM(FLATTEN(SPLIT( REGEXREPLACE( SUBSTITUTE(TEXTJOIN("","", TRUE, IFERROR(ARRAYFORMULA(VLOOKUP(TRIM(SPLIT('Final Report'!A778, "","")), 'URL Details'!A:D, 4,"&amp;" FALSE)),"""") ), CHAR(10), "",""), ""\s*,\s*"", "",""), "",""))), TRIM(FLATTEN(SPLIT( REGEXREPLACE( SUBSTITUTE(TEXTJOIN("","", TRUE, IFERROR(ARRAYFORMULA(VLOOKUP(TRIM(SPLIT('Final Report'!A778, "","")), 'URL Details'!A:D, 4, FALSE)),"""") ), CHAR(10), """&amp;",""), ""\s*,\s*"", "",""), "","")))&lt;&gt;"""" ) ) ) ),"""")
"),"")</f>
        <v/>
      </c>
      <c r="D778" s="105"/>
      <c r="E778" s="105"/>
      <c r="F778" s="110" t="b">
        <v>0</v>
      </c>
      <c r="G778" s="105" t="str">
        <f>IF(F778=True, IFERROR(VLOOKUP(D778, Repository!A:B, 2, 0), ""), "")</f>
        <v/>
      </c>
      <c r="H778" s="105"/>
      <c r="I778" s="105"/>
      <c r="J778" s="105" t="str">
        <f>IF(F778=True, IFERROR(VLOOKUP(D778, Repository!A:C, 3, 0), ""), "")</f>
        <v/>
      </c>
      <c r="K778" s="105"/>
      <c r="L778" s="105" t="str">
        <f>IF(F778=True, IFERROR(VLOOKUP(D778, Repository!A:E, 5, 0), ""), "")</f>
        <v/>
      </c>
      <c r="M778" s="105"/>
      <c r="N778" s="105" t="str">
        <f>IF(F778=True, IFERROR(VLOOKUP(D778, Repository!A:G, 7, 0), ""), "")</f>
        <v/>
      </c>
      <c r="O778" s="105" t="str">
        <f>IFERROR(__xludf.DUMMYFUNCTION("ARRAY_CONSTRAIN(
  ARRAYFORMULA(
    IFERROR(
      LET(
        list, N778,
        arr, TRIM(SPLIT(list, "","")),
        names, XLOOKUP(
          arr,
          'Conformance Score'!A:A,
          'Conformance Score'!B:B,
          ""Not found""
      "&amp;"  ),
        TEXTJOIN("", "", TRUE, names)
      ),
      """"
    )
  ),
  1,
  1
)
"),"")</f>
        <v/>
      </c>
      <c r="P778" s="105" t="str">
        <f>IF(F778="Yes", IFERROR(VLOOKUP(D778, Repository!A:F, 6, 0), ""), "")</f>
        <v/>
      </c>
      <c r="Q778" s="105" t="str">
        <f>IF(F778="Yes", IFERROR(VLOOKUP(D778, Repository!A:I, 8, 0), ""), "")</f>
        <v/>
      </c>
      <c r="R778" s="105" t="str">
        <f>IF(F778="Yes", IFERROR(VLOOKUP(D778, Repository!A:J, 9, 0), ""), "")</f>
        <v/>
      </c>
      <c r="S778" s="105"/>
      <c r="T778" s="105"/>
      <c r="U778" s="105"/>
      <c r="V778" s="105"/>
      <c r="W778" s="105"/>
      <c r="X778" s="105"/>
      <c r="Y778" s="105"/>
      <c r="Z778" s="105"/>
      <c r="AA778" s="105"/>
      <c r="AB778" s="105"/>
      <c r="AC778" s="91"/>
      <c r="AD778" s="105"/>
      <c r="AE778" s="105"/>
      <c r="AF778" s="91"/>
      <c r="AG778" s="105"/>
      <c r="AH778" s="105"/>
      <c r="AI778" s="105" t="str">
        <f t="shared" si="1"/>
        <v/>
      </c>
      <c r="AJ778" s="108" t="str">
        <f t="shared" si="2"/>
        <v/>
      </c>
    </row>
    <row r="779" ht="15.75" customHeight="1">
      <c r="A779" s="104"/>
      <c r="B779" s="105" t="str">
        <f>IFERROR(__xludf.DUMMYFUNCTION("ARRAY_CONSTRAIN(
  ARRAYFORMULA(
    IF(
      'Final Report'!A779="""",
      """",
      TEXTJOIN(
        "", "" &amp; CHAR(10),
        TRUE,
        IFERROR(
          VLOOKUP(
            TRIM(
              SPLIT('Final Report'!A779, "","")
           "&amp;" ),
            'URL Details'!A:B,
            2,
            FALSE
          ),
          """"
        )
      )
    )
  ),
  1,
  1
)
"),"")</f>
        <v/>
      </c>
      <c r="C779" s="105" t="str">
        <f>IFERROR(__xludf.DUMMYFUNCTION("IFERROR(IF('Final Report'!A779="""","""", TEXTJOIN(CHAR(10), TRUE, ARRAYFORMULA( ""• ""&amp; FILTER( TRIM(FLATTEN(SPLIT( REGEXREPLACE( SUBSTITUTE(TEXTJOIN("","", TRUE, IFERROR(ARRAYFORMULA(VLOOKUP(TRIM(SPLIT('Final Report'!A779, "","")), 'URL Details'!A:D, 4,"&amp;" FALSE)),"""") ), CHAR(10), "",""), ""\s*,\s*"", "",""), "",""))), TRIM(FLATTEN(SPLIT( REGEXREPLACE( SUBSTITUTE(TEXTJOIN("","", TRUE, IFERROR(ARRAYFORMULA(VLOOKUP(TRIM(SPLIT('Final Report'!A779, "","")), 'URL Details'!A:D, 4, FALSE)),"""") ), CHAR(10), """&amp;",""), ""\s*,\s*"", "",""), "","")))&lt;&gt;"""" ) ) ) ),"""")
"),"")</f>
        <v/>
      </c>
      <c r="D779" s="105"/>
      <c r="E779" s="105"/>
      <c r="F779" s="110" t="b">
        <v>0</v>
      </c>
      <c r="G779" s="105" t="str">
        <f>IF(F779=True, IFERROR(VLOOKUP(D779, Repository!A:B, 2, 0), ""), "")</f>
        <v/>
      </c>
      <c r="H779" s="105"/>
      <c r="I779" s="105"/>
      <c r="J779" s="105" t="str">
        <f>IF(F779=True, IFERROR(VLOOKUP(D779, Repository!A:C, 3, 0), ""), "")</f>
        <v/>
      </c>
      <c r="K779" s="105"/>
      <c r="L779" s="105" t="str">
        <f>IF(F779=True, IFERROR(VLOOKUP(D779, Repository!A:E, 5, 0), ""), "")</f>
        <v/>
      </c>
      <c r="M779" s="105"/>
      <c r="N779" s="105" t="str">
        <f>IF(F779=True, IFERROR(VLOOKUP(D779, Repository!A:G, 7, 0), ""), "")</f>
        <v/>
      </c>
      <c r="O779" s="105" t="str">
        <f>IFERROR(__xludf.DUMMYFUNCTION("ARRAY_CONSTRAIN(
  ARRAYFORMULA(
    IFERROR(
      LET(
        list, N779,
        arr, TRIM(SPLIT(list, "","")),
        names, XLOOKUP(
          arr,
          'Conformance Score'!A:A,
          'Conformance Score'!B:B,
          ""Not found""
      "&amp;"  ),
        TEXTJOIN("", "", TRUE, names)
      ),
      """"
    )
  ),
  1,
  1
)
"),"")</f>
        <v/>
      </c>
      <c r="P779" s="105" t="str">
        <f>IF(F779="Yes", IFERROR(VLOOKUP(D779, Repository!A:F, 6, 0), ""), "")</f>
        <v/>
      </c>
      <c r="Q779" s="105" t="str">
        <f>IF(F779="Yes", IFERROR(VLOOKUP(D779, Repository!A:I, 8, 0), ""), "")</f>
        <v/>
      </c>
      <c r="R779" s="105" t="str">
        <f>IF(F779="Yes", IFERROR(VLOOKUP(D779, Repository!A:J, 9, 0), ""), "")</f>
        <v/>
      </c>
      <c r="S779" s="105"/>
      <c r="T779" s="105"/>
      <c r="U779" s="105"/>
      <c r="V779" s="105"/>
      <c r="W779" s="105"/>
      <c r="X779" s="105"/>
      <c r="Y779" s="105"/>
      <c r="Z779" s="105"/>
      <c r="AA779" s="105"/>
      <c r="AB779" s="105"/>
      <c r="AC779" s="91"/>
      <c r="AD779" s="105"/>
      <c r="AE779" s="105"/>
      <c r="AF779" s="91"/>
      <c r="AG779" s="105"/>
      <c r="AH779" s="105"/>
      <c r="AI779" s="105" t="str">
        <f t="shared" si="1"/>
        <v/>
      </c>
      <c r="AJ779" s="108" t="str">
        <f t="shared" si="2"/>
        <v/>
      </c>
    </row>
    <row r="780" ht="15.75" customHeight="1">
      <c r="A780" s="104"/>
      <c r="B780" s="105" t="str">
        <f>IFERROR(__xludf.DUMMYFUNCTION("ARRAY_CONSTRAIN(
  ARRAYFORMULA(
    IF(
      'Final Report'!A780="""",
      """",
      TEXTJOIN(
        "", "" &amp; CHAR(10),
        TRUE,
        IFERROR(
          VLOOKUP(
            TRIM(
              SPLIT('Final Report'!A780, "","")
           "&amp;" ),
            'URL Details'!A:B,
            2,
            FALSE
          ),
          """"
        )
      )
    )
  ),
  1,
  1
)
"),"")</f>
        <v/>
      </c>
      <c r="C780" s="105" t="str">
        <f>IFERROR(__xludf.DUMMYFUNCTION("IFERROR(IF('Final Report'!A780="""","""", TEXTJOIN(CHAR(10), TRUE, ARRAYFORMULA( ""• ""&amp; FILTER( TRIM(FLATTEN(SPLIT( REGEXREPLACE( SUBSTITUTE(TEXTJOIN("","", TRUE, IFERROR(ARRAYFORMULA(VLOOKUP(TRIM(SPLIT('Final Report'!A780, "","")), 'URL Details'!A:D, 4,"&amp;" FALSE)),"""") ), CHAR(10), "",""), ""\s*,\s*"", "",""), "",""))), TRIM(FLATTEN(SPLIT( REGEXREPLACE( SUBSTITUTE(TEXTJOIN("","", TRUE, IFERROR(ARRAYFORMULA(VLOOKUP(TRIM(SPLIT('Final Report'!A780, "","")), 'URL Details'!A:D, 4, FALSE)),"""") ), CHAR(10), """&amp;",""), ""\s*,\s*"", "",""), "","")))&lt;&gt;"""" ) ) ) ),"""")
"),"")</f>
        <v/>
      </c>
      <c r="D780" s="105"/>
      <c r="E780" s="105"/>
      <c r="F780" s="110" t="b">
        <v>0</v>
      </c>
      <c r="G780" s="105" t="str">
        <f>IF(F780=True, IFERROR(VLOOKUP(D780, Repository!A:B, 2, 0), ""), "")</f>
        <v/>
      </c>
      <c r="H780" s="105"/>
      <c r="I780" s="105"/>
      <c r="J780" s="105" t="str">
        <f>IF(F780=True, IFERROR(VLOOKUP(D780, Repository!A:C, 3, 0), ""), "")</f>
        <v/>
      </c>
      <c r="K780" s="105"/>
      <c r="L780" s="105" t="str">
        <f>IF(F780=True, IFERROR(VLOOKUP(D780, Repository!A:E, 5, 0), ""), "")</f>
        <v/>
      </c>
      <c r="M780" s="105"/>
      <c r="N780" s="105" t="str">
        <f>IF(F780=True, IFERROR(VLOOKUP(D780, Repository!A:G, 7, 0), ""), "")</f>
        <v/>
      </c>
      <c r="O780" s="105" t="str">
        <f>IFERROR(__xludf.DUMMYFUNCTION("ARRAY_CONSTRAIN(
  ARRAYFORMULA(
    IFERROR(
      LET(
        list, N780,
        arr, TRIM(SPLIT(list, "","")),
        names, XLOOKUP(
          arr,
          'Conformance Score'!A:A,
          'Conformance Score'!B:B,
          ""Not found""
      "&amp;"  ),
        TEXTJOIN("", "", TRUE, names)
      ),
      """"
    )
  ),
  1,
  1
)
"),"")</f>
        <v/>
      </c>
      <c r="P780" s="105" t="str">
        <f>IF(F780="Yes", IFERROR(VLOOKUP(D780, Repository!A:F, 6, 0), ""), "")</f>
        <v/>
      </c>
      <c r="Q780" s="105" t="str">
        <f>IF(F780="Yes", IFERROR(VLOOKUP(D780, Repository!A:I, 8, 0), ""), "")</f>
        <v/>
      </c>
      <c r="R780" s="105" t="str">
        <f>IF(F780="Yes", IFERROR(VLOOKUP(D780, Repository!A:J, 9, 0), ""), "")</f>
        <v/>
      </c>
      <c r="S780" s="105"/>
      <c r="T780" s="105"/>
      <c r="U780" s="105"/>
      <c r="V780" s="105"/>
      <c r="W780" s="105"/>
      <c r="X780" s="105"/>
      <c r="Y780" s="105"/>
      <c r="Z780" s="105"/>
      <c r="AA780" s="105"/>
      <c r="AB780" s="105"/>
      <c r="AC780" s="91"/>
      <c r="AD780" s="105"/>
      <c r="AE780" s="105"/>
      <c r="AF780" s="91"/>
      <c r="AG780" s="105"/>
      <c r="AH780" s="105"/>
      <c r="AI780" s="105" t="str">
        <f t="shared" si="1"/>
        <v/>
      </c>
      <c r="AJ780" s="108" t="str">
        <f t="shared" si="2"/>
        <v/>
      </c>
    </row>
    <row r="781" ht="15.75" customHeight="1">
      <c r="A781" s="104"/>
      <c r="B781" s="105" t="str">
        <f>IFERROR(__xludf.DUMMYFUNCTION("ARRAY_CONSTRAIN(
  ARRAYFORMULA(
    IF(
      'Final Report'!A781="""",
      """",
      TEXTJOIN(
        "", "" &amp; CHAR(10),
        TRUE,
        IFERROR(
          VLOOKUP(
            TRIM(
              SPLIT('Final Report'!A781, "","")
           "&amp;" ),
            'URL Details'!A:B,
            2,
            FALSE
          ),
          """"
        )
      )
    )
  ),
  1,
  1
)
"),"")</f>
        <v/>
      </c>
      <c r="C781" s="105" t="str">
        <f>IFERROR(__xludf.DUMMYFUNCTION("IFERROR(IF('Final Report'!A781="""","""", TEXTJOIN(CHAR(10), TRUE, ARRAYFORMULA( ""• ""&amp; FILTER( TRIM(FLATTEN(SPLIT( REGEXREPLACE( SUBSTITUTE(TEXTJOIN("","", TRUE, IFERROR(ARRAYFORMULA(VLOOKUP(TRIM(SPLIT('Final Report'!A781, "","")), 'URL Details'!A:D, 4,"&amp;" FALSE)),"""") ), CHAR(10), "",""), ""\s*,\s*"", "",""), "",""))), TRIM(FLATTEN(SPLIT( REGEXREPLACE( SUBSTITUTE(TEXTJOIN("","", TRUE, IFERROR(ARRAYFORMULA(VLOOKUP(TRIM(SPLIT('Final Report'!A781, "","")), 'URL Details'!A:D, 4, FALSE)),"""") ), CHAR(10), """&amp;",""), ""\s*,\s*"", "",""), "","")))&lt;&gt;"""" ) ) ) ),"""")
"),"")</f>
        <v/>
      </c>
      <c r="D781" s="105"/>
      <c r="E781" s="105"/>
      <c r="F781" s="110" t="b">
        <v>0</v>
      </c>
      <c r="G781" s="105" t="str">
        <f>IF(F781=True, IFERROR(VLOOKUP(D781, Repository!A:B, 2, 0), ""), "")</f>
        <v/>
      </c>
      <c r="H781" s="105"/>
      <c r="I781" s="105"/>
      <c r="J781" s="105" t="str">
        <f>IF(F781=True, IFERROR(VLOOKUP(D781, Repository!A:C, 3, 0), ""), "")</f>
        <v/>
      </c>
      <c r="K781" s="105"/>
      <c r="L781" s="105" t="str">
        <f>IF(F781=True, IFERROR(VLOOKUP(D781, Repository!A:E, 5, 0), ""), "")</f>
        <v/>
      </c>
      <c r="M781" s="105"/>
      <c r="N781" s="105" t="str">
        <f>IF(F781=True, IFERROR(VLOOKUP(D781, Repository!A:G, 7, 0), ""), "")</f>
        <v/>
      </c>
      <c r="O781" s="105" t="str">
        <f>IFERROR(__xludf.DUMMYFUNCTION("ARRAY_CONSTRAIN(
  ARRAYFORMULA(
    IFERROR(
      LET(
        list, N781,
        arr, TRIM(SPLIT(list, "","")),
        names, XLOOKUP(
          arr,
          'Conformance Score'!A:A,
          'Conformance Score'!B:B,
          ""Not found""
      "&amp;"  ),
        TEXTJOIN("", "", TRUE, names)
      ),
      """"
    )
  ),
  1,
  1
)
"),"")</f>
        <v/>
      </c>
      <c r="P781" s="105" t="str">
        <f>IF(F781="Yes", IFERROR(VLOOKUP(D781, Repository!A:F, 6, 0), ""), "")</f>
        <v/>
      </c>
      <c r="Q781" s="105" t="str">
        <f>IF(F781="Yes", IFERROR(VLOOKUP(D781, Repository!A:I, 8, 0), ""), "")</f>
        <v/>
      </c>
      <c r="R781" s="105" t="str">
        <f>IF(F781="Yes", IFERROR(VLOOKUP(D781, Repository!A:J, 9, 0), ""), "")</f>
        <v/>
      </c>
      <c r="S781" s="105"/>
      <c r="T781" s="105"/>
      <c r="U781" s="105"/>
      <c r="V781" s="105"/>
      <c r="W781" s="105"/>
      <c r="X781" s="105"/>
      <c r="Y781" s="105"/>
      <c r="Z781" s="105"/>
      <c r="AA781" s="105"/>
      <c r="AB781" s="105"/>
      <c r="AC781" s="91"/>
      <c r="AD781" s="105"/>
      <c r="AE781" s="105"/>
      <c r="AF781" s="91"/>
      <c r="AG781" s="105"/>
      <c r="AH781" s="105"/>
      <c r="AI781" s="105" t="str">
        <f t="shared" si="1"/>
        <v/>
      </c>
      <c r="AJ781" s="108" t="str">
        <f t="shared" si="2"/>
        <v/>
      </c>
    </row>
    <row r="782" ht="15.75" customHeight="1">
      <c r="A782" s="104"/>
      <c r="B782" s="105" t="str">
        <f>IFERROR(__xludf.DUMMYFUNCTION("ARRAY_CONSTRAIN(
  ARRAYFORMULA(
    IF(
      'Final Report'!A782="""",
      """",
      TEXTJOIN(
        "", "" &amp; CHAR(10),
        TRUE,
        IFERROR(
          VLOOKUP(
            TRIM(
              SPLIT('Final Report'!A782, "","")
           "&amp;" ),
            'URL Details'!A:B,
            2,
            FALSE
          ),
          """"
        )
      )
    )
  ),
  1,
  1
)
"),"")</f>
        <v/>
      </c>
      <c r="C782" s="105" t="str">
        <f>IFERROR(__xludf.DUMMYFUNCTION("IFERROR(IF('Final Report'!A782="""","""", TEXTJOIN(CHAR(10), TRUE, ARRAYFORMULA( ""• ""&amp; FILTER( TRIM(FLATTEN(SPLIT( REGEXREPLACE( SUBSTITUTE(TEXTJOIN("","", TRUE, IFERROR(ARRAYFORMULA(VLOOKUP(TRIM(SPLIT('Final Report'!A782, "","")), 'URL Details'!A:D, 4,"&amp;" FALSE)),"""") ), CHAR(10), "",""), ""\s*,\s*"", "",""), "",""))), TRIM(FLATTEN(SPLIT( REGEXREPLACE( SUBSTITUTE(TEXTJOIN("","", TRUE, IFERROR(ARRAYFORMULA(VLOOKUP(TRIM(SPLIT('Final Report'!A782, "","")), 'URL Details'!A:D, 4, FALSE)),"""") ), CHAR(10), """&amp;",""), ""\s*,\s*"", "",""), "","")))&lt;&gt;"""" ) ) ) ),"""")
"),"")</f>
        <v/>
      </c>
      <c r="D782" s="105"/>
      <c r="E782" s="105"/>
      <c r="F782" s="110" t="b">
        <v>0</v>
      </c>
      <c r="G782" s="105" t="str">
        <f>IF(F782=True, IFERROR(VLOOKUP(D782, Repository!A:B, 2, 0), ""), "")</f>
        <v/>
      </c>
      <c r="H782" s="105"/>
      <c r="I782" s="105"/>
      <c r="J782" s="105" t="str">
        <f>IF(F782=True, IFERROR(VLOOKUP(D782, Repository!A:C, 3, 0), ""), "")</f>
        <v/>
      </c>
      <c r="K782" s="105"/>
      <c r="L782" s="105" t="str">
        <f>IF(F782=True, IFERROR(VLOOKUP(D782, Repository!A:E, 5, 0), ""), "")</f>
        <v/>
      </c>
      <c r="M782" s="105"/>
      <c r="N782" s="105" t="str">
        <f>IF(F782=True, IFERROR(VLOOKUP(D782, Repository!A:G, 7, 0), ""), "")</f>
        <v/>
      </c>
      <c r="O782" s="105" t="str">
        <f>IFERROR(__xludf.DUMMYFUNCTION("ARRAY_CONSTRAIN(
  ARRAYFORMULA(
    IFERROR(
      LET(
        list, N782,
        arr, TRIM(SPLIT(list, "","")),
        names, XLOOKUP(
          arr,
          'Conformance Score'!A:A,
          'Conformance Score'!B:B,
          ""Not found""
      "&amp;"  ),
        TEXTJOIN("", "", TRUE, names)
      ),
      """"
    )
  ),
  1,
  1
)
"),"")</f>
        <v/>
      </c>
      <c r="P782" s="105" t="str">
        <f>IF(F782="Yes", IFERROR(VLOOKUP(D782, Repository!A:F, 6, 0), ""), "")</f>
        <v/>
      </c>
      <c r="Q782" s="105" t="str">
        <f>IF(F782="Yes", IFERROR(VLOOKUP(D782, Repository!A:I, 8, 0), ""), "")</f>
        <v/>
      </c>
      <c r="R782" s="105" t="str">
        <f>IF(F782="Yes", IFERROR(VLOOKUP(D782, Repository!A:J, 9, 0), ""), "")</f>
        <v/>
      </c>
      <c r="S782" s="105"/>
      <c r="T782" s="105"/>
      <c r="U782" s="105"/>
      <c r="V782" s="105"/>
      <c r="W782" s="105"/>
      <c r="X782" s="105"/>
      <c r="Y782" s="105"/>
      <c r="Z782" s="105"/>
      <c r="AA782" s="105"/>
      <c r="AB782" s="105"/>
      <c r="AC782" s="91"/>
      <c r="AD782" s="105"/>
      <c r="AE782" s="105"/>
      <c r="AF782" s="91"/>
      <c r="AG782" s="105"/>
      <c r="AH782" s="105"/>
      <c r="AI782" s="105" t="str">
        <f t="shared" si="1"/>
        <v/>
      </c>
      <c r="AJ782" s="108" t="str">
        <f t="shared" si="2"/>
        <v/>
      </c>
    </row>
    <row r="783" ht="15.75" customHeight="1">
      <c r="A783" s="104"/>
      <c r="B783" s="105" t="str">
        <f>IFERROR(__xludf.DUMMYFUNCTION("ARRAY_CONSTRAIN(
  ARRAYFORMULA(
    IF(
      'Final Report'!A783="""",
      """",
      TEXTJOIN(
        "", "" &amp; CHAR(10),
        TRUE,
        IFERROR(
          VLOOKUP(
            TRIM(
              SPLIT('Final Report'!A783, "","")
           "&amp;" ),
            'URL Details'!A:B,
            2,
            FALSE
          ),
          """"
        )
      )
    )
  ),
  1,
  1
)
"),"")</f>
        <v/>
      </c>
      <c r="C783" s="105" t="str">
        <f>IFERROR(__xludf.DUMMYFUNCTION("IFERROR(IF('Final Report'!A783="""","""", TEXTJOIN(CHAR(10), TRUE, ARRAYFORMULA( ""• ""&amp; FILTER( TRIM(FLATTEN(SPLIT( REGEXREPLACE( SUBSTITUTE(TEXTJOIN("","", TRUE, IFERROR(ARRAYFORMULA(VLOOKUP(TRIM(SPLIT('Final Report'!A783, "","")), 'URL Details'!A:D, 4,"&amp;" FALSE)),"""") ), CHAR(10), "",""), ""\s*,\s*"", "",""), "",""))), TRIM(FLATTEN(SPLIT( REGEXREPLACE( SUBSTITUTE(TEXTJOIN("","", TRUE, IFERROR(ARRAYFORMULA(VLOOKUP(TRIM(SPLIT('Final Report'!A783, "","")), 'URL Details'!A:D, 4, FALSE)),"""") ), CHAR(10), """&amp;",""), ""\s*,\s*"", "",""), "","")))&lt;&gt;"""" ) ) ) ),"""")
"),"")</f>
        <v/>
      </c>
      <c r="D783" s="105"/>
      <c r="E783" s="105"/>
      <c r="F783" s="110" t="b">
        <v>0</v>
      </c>
      <c r="G783" s="105" t="str">
        <f>IF(F783=True, IFERROR(VLOOKUP(D783, Repository!A:B, 2, 0), ""), "")</f>
        <v/>
      </c>
      <c r="H783" s="105"/>
      <c r="I783" s="105"/>
      <c r="J783" s="105" t="str">
        <f>IF(F783=True, IFERROR(VLOOKUP(D783, Repository!A:C, 3, 0), ""), "")</f>
        <v/>
      </c>
      <c r="K783" s="105"/>
      <c r="L783" s="105" t="str">
        <f>IF(F783=True, IFERROR(VLOOKUP(D783, Repository!A:E, 5, 0), ""), "")</f>
        <v/>
      </c>
      <c r="M783" s="105"/>
      <c r="N783" s="105" t="str">
        <f>IF(F783=True, IFERROR(VLOOKUP(D783, Repository!A:G, 7, 0), ""), "")</f>
        <v/>
      </c>
      <c r="O783" s="105" t="str">
        <f>IFERROR(__xludf.DUMMYFUNCTION("ARRAY_CONSTRAIN(
  ARRAYFORMULA(
    IFERROR(
      LET(
        list, N783,
        arr, TRIM(SPLIT(list, "","")),
        names, XLOOKUP(
          arr,
          'Conformance Score'!A:A,
          'Conformance Score'!B:B,
          ""Not found""
      "&amp;"  ),
        TEXTJOIN("", "", TRUE, names)
      ),
      """"
    )
  ),
  1,
  1
)
"),"")</f>
        <v/>
      </c>
      <c r="P783" s="105" t="str">
        <f>IF(F783="Yes", IFERROR(VLOOKUP(D783, Repository!A:F, 6, 0), ""), "")</f>
        <v/>
      </c>
      <c r="Q783" s="105" t="str">
        <f>IF(F783="Yes", IFERROR(VLOOKUP(D783, Repository!A:I, 8, 0), ""), "")</f>
        <v/>
      </c>
      <c r="R783" s="105" t="str">
        <f>IF(F783="Yes", IFERROR(VLOOKUP(D783, Repository!A:J, 9, 0), ""), "")</f>
        <v/>
      </c>
      <c r="S783" s="105"/>
      <c r="T783" s="105"/>
      <c r="U783" s="105"/>
      <c r="V783" s="105"/>
      <c r="W783" s="105"/>
      <c r="X783" s="105"/>
      <c r="Y783" s="105"/>
      <c r="Z783" s="105"/>
      <c r="AA783" s="105"/>
      <c r="AB783" s="105"/>
      <c r="AC783" s="91"/>
      <c r="AD783" s="105"/>
      <c r="AE783" s="105"/>
      <c r="AF783" s="91"/>
      <c r="AG783" s="105"/>
      <c r="AH783" s="105"/>
      <c r="AI783" s="105" t="str">
        <f t="shared" si="1"/>
        <v/>
      </c>
      <c r="AJ783" s="108" t="str">
        <f t="shared" si="2"/>
        <v/>
      </c>
    </row>
    <row r="784" ht="15.75" customHeight="1">
      <c r="A784" s="104"/>
      <c r="B784" s="105" t="str">
        <f>IFERROR(__xludf.DUMMYFUNCTION("ARRAY_CONSTRAIN(
  ARRAYFORMULA(
    IF(
      'Final Report'!A784="""",
      """",
      TEXTJOIN(
        "", "" &amp; CHAR(10),
        TRUE,
        IFERROR(
          VLOOKUP(
            TRIM(
              SPLIT('Final Report'!A784, "","")
           "&amp;" ),
            'URL Details'!A:B,
            2,
            FALSE
          ),
          """"
        )
      )
    )
  ),
  1,
  1
)
"),"")</f>
        <v/>
      </c>
      <c r="C784" s="105" t="str">
        <f>IFERROR(__xludf.DUMMYFUNCTION("IFERROR(IF('Final Report'!A784="""","""", TEXTJOIN(CHAR(10), TRUE, ARRAYFORMULA( ""• ""&amp; FILTER( TRIM(FLATTEN(SPLIT( REGEXREPLACE( SUBSTITUTE(TEXTJOIN("","", TRUE, IFERROR(ARRAYFORMULA(VLOOKUP(TRIM(SPLIT('Final Report'!A784, "","")), 'URL Details'!A:D, 4,"&amp;" FALSE)),"""") ), CHAR(10), "",""), ""\s*,\s*"", "",""), "",""))), TRIM(FLATTEN(SPLIT( REGEXREPLACE( SUBSTITUTE(TEXTJOIN("","", TRUE, IFERROR(ARRAYFORMULA(VLOOKUP(TRIM(SPLIT('Final Report'!A784, "","")), 'URL Details'!A:D, 4, FALSE)),"""") ), CHAR(10), """&amp;",""), ""\s*,\s*"", "",""), "","")))&lt;&gt;"""" ) ) ) ),"""")
"),"")</f>
        <v/>
      </c>
      <c r="D784" s="105"/>
      <c r="E784" s="105"/>
      <c r="F784" s="110" t="b">
        <v>0</v>
      </c>
      <c r="G784" s="105" t="str">
        <f>IF(F784=True, IFERROR(VLOOKUP(D784, Repository!A:B, 2, 0), ""), "")</f>
        <v/>
      </c>
      <c r="H784" s="105"/>
      <c r="I784" s="105"/>
      <c r="J784" s="105" t="str">
        <f>IF(F784=True, IFERROR(VLOOKUP(D784, Repository!A:C, 3, 0), ""), "")</f>
        <v/>
      </c>
      <c r="K784" s="105"/>
      <c r="L784" s="105" t="str">
        <f>IF(F784=True, IFERROR(VLOOKUP(D784, Repository!A:E, 5, 0), ""), "")</f>
        <v/>
      </c>
      <c r="M784" s="105"/>
      <c r="N784" s="105" t="str">
        <f>IF(F784=True, IFERROR(VLOOKUP(D784, Repository!A:G, 7, 0), ""), "")</f>
        <v/>
      </c>
      <c r="O784" s="105" t="str">
        <f>IFERROR(__xludf.DUMMYFUNCTION("ARRAY_CONSTRAIN(
  ARRAYFORMULA(
    IFERROR(
      LET(
        list, N784,
        arr, TRIM(SPLIT(list, "","")),
        names, XLOOKUP(
          arr,
          'Conformance Score'!A:A,
          'Conformance Score'!B:B,
          ""Not found""
      "&amp;"  ),
        TEXTJOIN("", "", TRUE, names)
      ),
      """"
    )
  ),
  1,
  1
)
"),"")</f>
        <v/>
      </c>
      <c r="P784" s="105" t="str">
        <f>IF(F784="Yes", IFERROR(VLOOKUP(D784, Repository!A:F, 6, 0), ""), "")</f>
        <v/>
      </c>
      <c r="Q784" s="105" t="str">
        <f>IF(F784="Yes", IFERROR(VLOOKUP(D784, Repository!A:I, 8, 0), ""), "")</f>
        <v/>
      </c>
      <c r="R784" s="105" t="str">
        <f>IF(F784="Yes", IFERROR(VLOOKUP(D784, Repository!A:J, 9, 0), ""), "")</f>
        <v/>
      </c>
      <c r="S784" s="105"/>
      <c r="T784" s="105"/>
      <c r="U784" s="105"/>
      <c r="V784" s="105"/>
      <c r="W784" s="105"/>
      <c r="X784" s="105"/>
      <c r="Y784" s="105"/>
      <c r="Z784" s="105"/>
      <c r="AA784" s="105"/>
      <c r="AB784" s="105"/>
      <c r="AC784" s="91"/>
      <c r="AD784" s="105"/>
      <c r="AE784" s="105"/>
      <c r="AF784" s="91"/>
      <c r="AG784" s="105"/>
      <c r="AH784" s="105"/>
      <c r="AI784" s="105" t="str">
        <f t="shared" si="1"/>
        <v/>
      </c>
      <c r="AJ784" s="108" t="str">
        <f t="shared" si="2"/>
        <v/>
      </c>
    </row>
    <row r="785" ht="15.75" customHeight="1">
      <c r="A785" s="104"/>
      <c r="B785" s="105" t="str">
        <f>IFERROR(__xludf.DUMMYFUNCTION("ARRAY_CONSTRAIN(
  ARRAYFORMULA(
    IF(
      'Final Report'!A785="""",
      """",
      TEXTJOIN(
        "", "" &amp; CHAR(10),
        TRUE,
        IFERROR(
          VLOOKUP(
            TRIM(
              SPLIT('Final Report'!A785, "","")
           "&amp;" ),
            'URL Details'!A:B,
            2,
            FALSE
          ),
          """"
        )
      )
    )
  ),
  1,
  1
)
"),"")</f>
        <v/>
      </c>
      <c r="C785" s="105" t="str">
        <f>IFERROR(__xludf.DUMMYFUNCTION("IFERROR(IF('Final Report'!A785="""","""", TEXTJOIN(CHAR(10), TRUE, ARRAYFORMULA( ""• ""&amp; FILTER( TRIM(FLATTEN(SPLIT( REGEXREPLACE( SUBSTITUTE(TEXTJOIN("","", TRUE, IFERROR(ARRAYFORMULA(VLOOKUP(TRIM(SPLIT('Final Report'!A785, "","")), 'URL Details'!A:D, 4,"&amp;" FALSE)),"""") ), CHAR(10), "",""), ""\s*,\s*"", "",""), "",""))), TRIM(FLATTEN(SPLIT( REGEXREPLACE( SUBSTITUTE(TEXTJOIN("","", TRUE, IFERROR(ARRAYFORMULA(VLOOKUP(TRIM(SPLIT('Final Report'!A785, "","")), 'URL Details'!A:D, 4, FALSE)),"""") ), CHAR(10), """&amp;",""), ""\s*,\s*"", "",""), "","")))&lt;&gt;"""" ) ) ) ),"""")
"),"")</f>
        <v/>
      </c>
      <c r="D785" s="105"/>
      <c r="E785" s="105"/>
      <c r="F785" s="110" t="b">
        <v>0</v>
      </c>
      <c r="G785" s="105" t="str">
        <f>IF(F785=True, IFERROR(VLOOKUP(D785, Repository!A:B, 2, 0), ""), "")</f>
        <v/>
      </c>
      <c r="H785" s="105"/>
      <c r="I785" s="105"/>
      <c r="J785" s="105" t="str">
        <f>IF(F785=True, IFERROR(VLOOKUP(D785, Repository!A:C, 3, 0), ""), "")</f>
        <v/>
      </c>
      <c r="K785" s="105"/>
      <c r="L785" s="105" t="str">
        <f>IF(F785=True, IFERROR(VLOOKUP(D785, Repository!A:E, 5, 0), ""), "")</f>
        <v/>
      </c>
      <c r="M785" s="105"/>
      <c r="N785" s="105" t="str">
        <f>IF(F785=True, IFERROR(VLOOKUP(D785, Repository!A:G, 7, 0), ""), "")</f>
        <v/>
      </c>
      <c r="O785" s="105" t="str">
        <f>IFERROR(__xludf.DUMMYFUNCTION("ARRAY_CONSTRAIN(
  ARRAYFORMULA(
    IFERROR(
      LET(
        list, N785,
        arr, TRIM(SPLIT(list, "","")),
        names, XLOOKUP(
          arr,
          'Conformance Score'!A:A,
          'Conformance Score'!B:B,
          ""Not found""
      "&amp;"  ),
        TEXTJOIN("", "", TRUE, names)
      ),
      """"
    )
  ),
  1,
  1
)
"),"")</f>
        <v/>
      </c>
      <c r="P785" s="105" t="str">
        <f>IF(F785="Yes", IFERROR(VLOOKUP(D785, Repository!A:F, 6, 0), ""), "")</f>
        <v/>
      </c>
      <c r="Q785" s="105" t="str">
        <f>IF(F785="Yes", IFERROR(VLOOKUP(D785, Repository!A:I, 8, 0), ""), "")</f>
        <v/>
      </c>
      <c r="R785" s="105" t="str">
        <f>IF(F785="Yes", IFERROR(VLOOKUP(D785, Repository!A:J, 9, 0), ""), "")</f>
        <v/>
      </c>
      <c r="S785" s="105"/>
      <c r="T785" s="105"/>
      <c r="U785" s="105"/>
      <c r="V785" s="105"/>
      <c r="W785" s="105"/>
      <c r="X785" s="105"/>
      <c r="Y785" s="105"/>
      <c r="Z785" s="105"/>
      <c r="AA785" s="105"/>
      <c r="AB785" s="105"/>
      <c r="AC785" s="91"/>
      <c r="AD785" s="105"/>
      <c r="AE785" s="105"/>
      <c r="AF785" s="91"/>
      <c r="AG785" s="105"/>
      <c r="AH785" s="105"/>
      <c r="AI785" s="105" t="str">
        <f t="shared" si="1"/>
        <v/>
      </c>
      <c r="AJ785" s="108" t="str">
        <f t="shared" si="2"/>
        <v/>
      </c>
    </row>
    <row r="786" ht="15.75" customHeight="1">
      <c r="A786" s="104"/>
      <c r="B786" s="105" t="str">
        <f>IFERROR(__xludf.DUMMYFUNCTION("ARRAY_CONSTRAIN(
  ARRAYFORMULA(
    IF(
      'Final Report'!A786="""",
      """",
      TEXTJOIN(
        "", "" &amp; CHAR(10),
        TRUE,
        IFERROR(
          VLOOKUP(
            TRIM(
              SPLIT('Final Report'!A786, "","")
           "&amp;" ),
            'URL Details'!A:B,
            2,
            FALSE
          ),
          """"
        )
      )
    )
  ),
  1,
  1
)
"),"")</f>
        <v/>
      </c>
      <c r="C786" s="105" t="str">
        <f>IFERROR(__xludf.DUMMYFUNCTION("IFERROR(IF('Final Report'!A786="""","""", TEXTJOIN(CHAR(10), TRUE, ARRAYFORMULA( ""• ""&amp; FILTER( TRIM(FLATTEN(SPLIT( REGEXREPLACE( SUBSTITUTE(TEXTJOIN("","", TRUE, IFERROR(ARRAYFORMULA(VLOOKUP(TRIM(SPLIT('Final Report'!A786, "","")), 'URL Details'!A:D, 4,"&amp;" FALSE)),"""") ), CHAR(10), "",""), ""\s*,\s*"", "",""), "",""))), TRIM(FLATTEN(SPLIT( REGEXREPLACE( SUBSTITUTE(TEXTJOIN("","", TRUE, IFERROR(ARRAYFORMULA(VLOOKUP(TRIM(SPLIT('Final Report'!A786, "","")), 'URL Details'!A:D, 4, FALSE)),"""") ), CHAR(10), """&amp;",""), ""\s*,\s*"", "",""), "","")))&lt;&gt;"""" ) ) ) ),"""")
"),"")</f>
        <v/>
      </c>
      <c r="D786" s="105"/>
      <c r="E786" s="105"/>
      <c r="F786" s="110" t="b">
        <v>0</v>
      </c>
      <c r="G786" s="105" t="str">
        <f>IF(F786=True, IFERROR(VLOOKUP(D786, Repository!A:B, 2, 0), ""), "")</f>
        <v/>
      </c>
      <c r="H786" s="105"/>
      <c r="I786" s="105"/>
      <c r="J786" s="105" t="str">
        <f>IF(F786=True, IFERROR(VLOOKUP(D786, Repository!A:C, 3, 0), ""), "")</f>
        <v/>
      </c>
      <c r="K786" s="105"/>
      <c r="L786" s="105" t="str">
        <f>IF(F786=True, IFERROR(VLOOKUP(D786, Repository!A:E, 5, 0), ""), "")</f>
        <v/>
      </c>
      <c r="M786" s="105"/>
      <c r="N786" s="105" t="str">
        <f>IF(F786=True, IFERROR(VLOOKUP(D786, Repository!A:G, 7, 0), ""), "")</f>
        <v/>
      </c>
      <c r="O786" s="105" t="str">
        <f>IFERROR(__xludf.DUMMYFUNCTION("ARRAY_CONSTRAIN(
  ARRAYFORMULA(
    IFERROR(
      LET(
        list, N786,
        arr, TRIM(SPLIT(list, "","")),
        names, XLOOKUP(
          arr,
          'Conformance Score'!A:A,
          'Conformance Score'!B:B,
          ""Not found""
      "&amp;"  ),
        TEXTJOIN("", "", TRUE, names)
      ),
      """"
    )
  ),
  1,
  1
)
"),"")</f>
        <v/>
      </c>
      <c r="P786" s="105" t="str">
        <f>IF(F786="Yes", IFERROR(VLOOKUP(D786, Repository!A:F, 6, 0), ""), "")</f>
        <v/>
      </c>
      <c r="Q786" s="105" t="str">
        <f>IF(F786="Yes", IFERROR(VLOOKUP(D786, Repository!A:I, 8, 0), ""), "")</f>
        <v/>
      </c>
      <c r="R786" s="105" t="str">
        <f>IF(F786="Yes", IFERROR(VLOOKUP(D786, Repository!A:J, 9, 0), ""), "")</f>
        <v/>
      </c>
      <c r="S786" s="105"/>
      <c r="T786" s="105"/>
      <c r="U786" s="105"/>
      <c r="V786" s="105"/>
      <c r="W786" s="105"/>
      <c r="X786" s="105"/>
      <c r="Y786" s="105"/>
      <c r="Z786" s="105"/>
      <c r="AA786" s="105"/>
      <c r="AB786" s="105"/>
      <c r="AC786" s="91"/>
      <c r="AD786" s="105"/>
      <c r="AE786" s="105"/>
      <c r="AF786" s="91"/>
      <c r="AG786" s="105"/>
      <c r="AH786" s="105"/>
      <c r="AI786" s="105" t="str">
        <f t="shared" si="1"/>
        <v/>
      </c>
      <c r="AJ786" s="108" t="str">
        <f t="shared" si="2"/>
        <v/>
      </c>
    </row>
    <row r="787" ht="15.75" customHeight="1">
      <c r="A787" s="104"/>
      <c r="B787" s="105" t="str">
        <f>IFERROR(__xludf.DUMMYFUNCTION("ARRAY_CONSTRAIN(
  ARRAYFORMULA(
    IF(
      'Final Report'!A787="""",
      """",
      TEXTJOIN(
        "", "" &amp; CHAR(10),
        TRUE,
        IFERROR(
          VLOOKUP(
            TRIM(
              SPLIT('Final Report'!A787, "","")
           "&amp;" ),
            'URL Details'!A:B,
            2,
            FALSE
          ),
          """"
        )
      )
    )
  ),
  1,
  1
)
"),"")</f>
        <v/>
      </c>
      <c r="C787" s="105" t="str">
        <f>IFERROR(__xludf.DUMMYFUNCTION("IFERROR(IF('Final Report'!A787="""","""", TEXTJOIN(CHAR(10), TRUE, ARRAYFORMULA( ""• ""&amp; FILTER( TRIM(FLATTEN(SPLIT( REGEXREPLACE( SUBSTITUTE(TEXTJOIN("","", TRUE, IFERROR(ARRAYFORMULA(VLOOKUP(TRIM(SPLIT('Final Report'!A787, "","")), 'URL Details'!A:D, 4,"&amp;" FALSE)),"""") ), CHAR(10), "",""), ""\s*,\s*"", "",""), "",""))), TRIM(FLATTEN(SPLIT( REGEXREPLACE( SUBSTITUTE(TEXTJOIN("","", TRUE, IFERROR(ARRAYFORMULA(VLOOKUP(TRIM(SPLIT('Final Report'!A787, "","")), 'URL Details'!A:D, 4, FALSE)),"""") ), CHAR(10), """&amp;",""), ""\s*,\s*"", "",""), "","")))&lt;&gt;"""" ) ) ) ),"""")
"),"")</f>
        <v/>
      </c>
      <c r="D787" s="105"/>
      <c r="E787" s="105"/>
      <c r="F787" s="110" t="b">
        <v>0</v>
      </c>
      <c r="G787" s="105" t="str">
        <f>IF(F787=True, IFERROR(VLOOKUP(D787, Repository!A:B, 2, 0), ""), "")</f>
        <v/>
      </c>
      <c r="H787" s="105"/>
      <c r="I787" s="105"/>
      <c r="J787" s="105" t="str">
        <f>IF(F787=True, IFERROR(VLOOKUP(D787, Repository!A:C, 3, 0), ""), "")</f>
        <v/>
      </c>
      <c r="K787" s="105"/>
      <c r="L787" s="105" t="str">
        <f>IF(F787=True, IFERROR(VLOOKUP(D787, Repository!A:E, 5, 0), ""), "")</f>
        <v/>
      </c>
      <c r="M787" s="105"/>
      <c r="N787" s="105" t="str">
        <f>IF(F787=True, IFERROR(VLOOKUP(D787, Repository!A:G, 7, 0), ""), "")</f>
        <v/>
      </c>
      <c r="O787" s="105" t="str">
        <f>IFERROR(__xludf.DUMMYFUNCTION("ARRAY_CONSTRAIN(
  ARRAYFORMULA(
    IFERROR(
      LET(
        list, N787,
        arr, TRIM(SPLIT(list, "","")),
        names, XLOOKUP(
          arr,
          'Conformance Score'!A:A,
          'Conformance Score'!B:B,
          ""Not found""
      "&amp;"  ),
        TEXTJOIN("", "", TRUE, names)
      ),
      """"
    )
  ),
  1,
  1
)
"),"")</f>
        <v/>
      </c>
      <c r="P787" s="105" t="str">
        <f>IF(F787="Yes", IFERROR(VLOOKUP(D787, Repository!A:F, 6, 0), ""), "")</f>
        <v/>
      </c>
      <c r="Q787" s="105" t="str">
        <f>IF(F787="Yes", IFERROR(VLOOKUP(D787, Repository!A:I, 8, 0), ""), "")</f>
        <v/>
      </c>
      <c r="R787" s="105" t="str">
        <f>IF(F787="Yes", IFERROR(VLOOKUP(D787, Repository!A:J, 9, 0), ""), "")</f>
        <v/>
      </c>
      <c r="S787" s="105"/>
      <c r="T787" s="105"/>
      <c r="U787" s="105"/>
      <c r="V787" s="105"/>
      <c r="W787" s="105"/>
      <c r="X787" s="105"/>
      <c r="Y787" s="105"/>
      <c r="Z787" s="105"/>
      <c r="AA787" s="105"/>
      <c r="AB787" s="105"/>
      <c r="AC787" s="91"/>
      <c r="AD787" s="105"/>
      <c r="AE787" s="105"/>
      <c r="AF787" s="91"/>
      <c r="AG787" s="105"/>
      <c r="AH787" s="105"/>
      <c r="AI787" s="105" t="str">
        <f t="shared" si="1"/>
        <v/>
      </c>
      <c r="AJ787" s="108" t="str">
        <f t="shared" si="2"/>
        <v/>
      </c>
    </row>
    <row r="788" ht="15.75" customHeight="1">
      <c r="A788" s="104"/>
      <c r="B788" s="105" t="str">
        <f>IFERROR(__xludf.DUMMYFUNCTION("ARRAY_CONSTRAIN(
  ARRAYFORMULA(
    IF(
      'Final Report'!A788="""",
      """",
      TEXTJOIN(
        "", "" &amp; CHAR(10),
        TRUE,
        IFERROR(
          VLOOKUP(
            TRIM(
              SPLIT('Final Report'!A788, "","")
           "&amp;" ),
            'URL Details'!A:B,
            2,
            FALSE
          ),
          """"
        )
      )
    )
  ),
  1,
  1
)
"),"")</f>
        <v/>
      </c>
      <c r="C788" s="105" t="str">
        <f>IFERROR(__xludf.DUMMYFUNCTION("IFERROR(IF('Final Report'!A788="""","""", TEXTJOIN(CHAR(10), TRUE, ARRAYFORMULA( ""• ""&amp; FILTER( TRIM(FLATTEN(SPLIT( REGEXREPLACE( SUBSTITUTE(TEXTJOIN("","", TRUE, IFERROR(ARRAYFORMULA(VLOOKUP(TRIM(SPLIT('Final Report'!A788, "","")), 'URL Details'!A:D, 4,"&amp;" FALSE)),"""") ), CHAR(10), "",""), ""\s*,\s*"", "",""), "",""))), TRIM(FLATTEN(SPLIT( REGEXREPLACE( SUBSTITUTE(TEXTJOIN("","", TRUE, IFERROR(ARRAYFORMULA(VLOOKUP(TRIM(SPLIT('Final Report'!A788, "","")), 'URL Details'!A:D, 4, FALSE)),"""") ), CHAR(10), """&amp;",""), ""\s*,\s*"", "",""), "","")))&lt;&gt;"""" ) ) ) ),"""")
"),"")</f>
        <v/>
      </c>
      <c r="D788" s="105"/>
      <c r="E788" s="105"/>
      <c r="F788" s="110" t="b">
        <v>0</v>
      </c>
      <c r="G788" s="105" t="str">
        <f>IF(F788=True, IFERROR(VLOOKUP(D788, Repository!A:B, 2, 0), ""), "")</f>
        <v/>
      </c>
      <c r="H788" s="105"/>
      <c r="I788" s="105"/>
      <c r="J788" s="105" t="str">
        <f>IF(F788=True, IFERROR(VLOOKUP(D788, Repository!A:C, 3, 0), ""), "")</f>
        <v/>
      </c>
      <c r="K788" s="105"/>
      <c r="L788" s="105" t="str">
        <f>IF(F788=True, IFERROR(VLOOKUP(D788, Repository!A:E, 5, 0), ""), "")</f>
        <v/>
      </c>
      <c r="M788" s="105"/>
      <c r="N788" s="105" t="str">
        <f>IF(F788=True, IFERROR(VLOOKUP(D788, Repository!A:G, 7, 0), ""), "")</f>
        <v/>
      </c>
      <c r="O788" s="105" t="str">
        <f>IFERROR(__xludf.DUMMYFUNCTION("ARRAY_CONSTRAIN(
  ARRAYFORMULA(
    IFERROR(
      LET(
        list, N788,
        arr, TRIM(SPLIT(list, "","")),
        names, XLOOKUP(
          arr,
          'Conformance Score'!A:A,
          'Conformance Score'!B:B,
          ""Not found""
      "&amp;"  ),
        TEXTJOIN("", "", TRUE, names)
      ),
      """"
    )
  ),
  1,
  1
)
"),"")</f>
        <v/>
      </c>
      <c r="P788" s="105" t="str">
        <f>IF(F788="Yes", IFERROR(VLOOKUP(D788, Repository!A:F, 6, 0), ""), "")</f>
        <v/>
      </c>
      <c r="Q788" s="105" t="str">
        <f>IF(F788="Yes", IFERROR(VLOOKUP(D788, Repository!A:I, 8, 0), ""), "")</f>
        <v/>
      </c>
      <c r="R788" s="105" t="str">
        <f>IF(F788="Yes", IFERROR(VLOOKUP(D788, Repository!A:J, 9, 0), ""), "")</f>
        <v/>
      </c>
      <c r="S788" s="105"/>
      <c r="T788" s="105"/>
      <c r="U788" s="105"/>
      <c r="V788" s="105"/>
      <c r="W788" s="105"/>
      <c r="X788" s="105"/>
      <c r="Y788" s="105"/>
      <c r="Z788" s="105"/>
      <c r="AA788" s="105"/>
      <c r="AB788" s="105"/>
      <c r="AC788" s="91"/>
      <c r="AD788" s="105"/>
      <c r="AE788" s="105"/>
      <c r="AF788" s="91"/>
      <c r="AG788" s="105"/>
      <c r="AH788" s="105"/>
      <c r="AI788" s="105" t="str">
        <f t="shared" si="1"/>
        <v/>
      </c>
      <c r="AJ788" s="108" t="str">
        <f t="shared" si="2"/>
        <v/>
      </c>
    </row>
    <row r="789" ht="15.75" customHeight="1">
      <c r="A789" s="104"/>
      <c r="B789" s="105" t="str">
        <f>IFERROR(__xludf.DUMMYFUNCTION("ARRAY_CONSTRAIN(
  ARRAYFORMULA(
    IF(
      'Final Report'!A789="""",
      """",
      TEXTJOIN(
        "", "" &amp; CHAR(10),
        TRUE,
        IFERROR(
          VLOOKUP(
            TRIM(
              SPLIT('Final Report'!A789, "","")
           "&amp;" ),
            'URL Details'!A:B,
            2,
            FALSE
          ),
          """"
        )
      )
    )
  ),
  1,
  1
)
"),"")</f>
        <v/>
      </c>
      <c r="C789" s="105" t="str">
        <f>IFERROR(__xludf.DUMMYFUNCTION("IFERROR(IF('Final Report'!A789="""","""", TEXTJOIN(CHAR(10), TRUE, ARRAYFORMULA( ""• ""&amp; FILTER( TRIM(FLATTEN(SPLIT( REGEXREPLACE( SUBSTITUTE(TEXTJOIN("","", TRUE, IFERROR(ARRAYFORMULA(VLOOKUP(TRIM(SPLIT('Final Report'!A789, "","")), 'URL Details'!A:D, 4,"&amp;" FALSE)),"""") ), CHAR(10), "",""), ""\s*,\s*"", "",""), "",""))), TRIM(FLATTEN(SPLIT( REGEXREPLACE( SUBSTITUTE(TEXTJOIN("","", TRUE, IFERROR(ARRAYFORMULA(VLOOKUP(TRIM(SPLIT('Final Report'!A789, "","")), 'URL Details'!A:D, 4, FALSE)),"""") ), CHAR(10), """&amp;",""), ""\s*,\s*"", "",""), "","")))&lt;&gt;"""" ) ) ) ),"""")
"),"")</f>
        <v/>
      </c>
      <c r="D789" s="105"/>
      <c r="E789" s="105"/>
      <c r="F789" s="110" t="b">
        <v>0</v>
      </c>
      <c r="G789" s="105" t="str">
        <f>IF(F789=True, IFERROR(VLOOKUP(D789, Repository!A:B, 2, 0), ""), "")</f>
        <v/>
      </c>
      <c r="H789" s="105"/>
      <c r="I789" s="105"/>
      <c r="J789" s="105" t="str">
        <f>IF(F789=True, IFERROR(VLOOKUP(D789, Repository!A:C, 3, 0), ""), "")</f>
        <v/>
      </c>
      <c r="K789" s="105"/>
      <c r="L789" s="105" t="str">
        <f>IF(F789=True, IFERROR(VLOOKUP(D789, Repository!A:E, 5, 0), ""), "")</f>
        <v/>
      </c>
      <c r="M789" s="105"/>
      <c r="N789" s="105" t="str">
        <f>IF(F789=True, IFERROR(VLOOKUP(D789, Repository!A:G, 7, 0), ""), "")</f>
        <v/>
      </c>
      <c r="O789" s="105" t="str">
        <f>IFERROR(__xludf.DUMMYFUNCTION("ARRAY_CONSTRAIN(
  ARRAYFORMULA(
    IFERROR(
      LET(
        list, N789,
        arr, TRIM(SPLIT(list, "","")),
        names, XLOOKUP(
          arr,
          'Conformance Score'!A:A,
          'Conformance Score'!B:B,
          ""Not found""
      "&amp;"  ),
        TEXTJOIN("", "", TRUE, names)
      ),
      """"
    )
  ),
  1,
  1
)
"),"")</f>
        <v/>
      </c>
      <c r="P789" s="105" t="str">
        <f>IF(F789="Yes", IFERROR(VLOOKUP(D789, Repository!A:F, 6, 0), ""), "")</f>
        <v/>
      </c>
      <c r="Q789" s="105" t="str">
        <f>IF(F789="Yes", IFERROR(VLOOKUP(D789, Repository!A:I, 8, 0), ""), "")</f>
        <v/>
      </c>
      <c r="R789" s="105" t="str">
        <f>IF(F789="Yes", IFERROR(VLOOKUP(D789, Repository!A:J, 9, 0), ""), "")</f>
        <v/>
      </c>
      <c r="S789" s="105"/>
      <c r="T789" s="105"/>
      <c r="U789" s="105"/>
      <c r="V789" s="105"/>
      <c r="W789" s="105"/>
      <c r="X789" s="105"/>
      <c r="Y789" s="105"/>
      <c r="Z789" s="105"/>
      <c r="AA789" s="105"/>
      <c r="AB789" s="105"/>
      <c r="AC789" s="91"/>
      <c r="AD789" s="105"/>
      <c r="AE789" s="105"/>
      <c r="AF789" s="91"/>
      <c r="AG789" s="105"/>
      <c r="AH789" s="105"/>
      <c r="AI789" s="105" t="str">
        <f t="shared" si="1"/>
        <v/>
      </c>
      <c r="AJ789" s="108" t="str">
        <f t="shared" si="2"/>
        <v/>
      </c>
    </row>
    <row r="790" ht="15.75" customHeight="1">
      <c r="A790" s="104"/>
      <c r="B790" s="105" t="str">
        <f>IFERROR(__xludf.DUMMYFUNCTION("ARRAY_CONSTRAIN(
  ARRAYFORMULA(
    IF(
      'Final Report'!A790="""",
      """",
      TEXTJOIN(
        "", "" &amp; CHAR(10),
        TRUE,
        IFERROR(
          VLOOKUP(
            TRIM(
              SPLIT('Final Report'!A790, "","")
           "&amp;" ),
            'URL Details'!A:B,
            2,
            FALSE
          ),
          """"
        )
      )
    )
  ),
  1,
  1
)
"),"")</f>
        <v/>
      </c>
      <c r="C790" s="105" t="str">
        <f>IFERROR(__xludf.DUMMYFUNCTION("IFERROR(IF('Final Report'!A790="""","""", TEXTJOIN(CHAR(10), TRUE, ARRAYFORMULA( ""• ""&amp; FILTER( TRIM(FLATTEN(SPLIT( REGEXREPLACE( SUBSTITUTE(TEXTJOIN("","", TRUE, IFERROR(ARRAYFORMULA(VLOOKUP(TRIM(SPLIT('Final Report'!A790, "","")), 'URL Details'!A:D, 4,"&amp;" FALSE)),"""") ), CHAR(10), "",""), ""\s*,\s*"", "",""), "",""))), TRIM(FLATTEN(SPLIT( REGEXREPLACE( SUBSTITUTE(TEXTJOIN("","", TRUE, IFERROR(ARRAYFORMULA(VLOOKUP(TRIM(SPLIT('Final Report'!A790, "","")), 'URL Details'!A:D, 4, FALSE)),"""") ), CHAR(10), """&amp;",""), ""\s*,\s*"", "",""), "","")))&lt;&gt;"""" ) ) ) ),"""")
"),"")</f>
        <v/>
      </c>
      <c r="D790" s="105"/>
      <c r="E790" s="105"/>
      <c r="F790" s="110" t="b">
        <v>0</v>
      </c>
      <c r="G790" s="105" t="str">
        <f>IF(F790=True, IFERROR(VLOOKUP(D790, Repository!A:B, 2, 0), ""), "")</f>
        <v/>
      </c>
      <c r="H790" s="105"/>
      <c r="I790" s="105"/>
      <c r="J790" s="105" t="str">
        <f>IF(F790=True, IFERROR(VLOOKUP(D790, Repository!A:C, 3, 0), ""), "")</f>
        <v/>
      </c>
      <c r="K790" s="105"/>
      <c r="L790" s="105" t="str">
        <f>IF(F790=True, IFERROR(VLOOKUP(D790, Repository!A:E, 5, 0), ""), "")</f>
        <v/>
      </c>
      <c r="M790" s="105"/>
      <c r="N790" s="105" t="str">
        <f>IF(F790=True, IFERROR(VLOOKUP(D790, Repository!A:G, 7, 0), ""), "")</f>
        <v/>
      </c>
      <c r="O790" s="105" t="str">
        <f>IFERROR(__xludf.DUMMYFUNCTION("ARRAY_CONSTRAIN(
  ARRAYFORMULA(
    IFERROR(
      LET(
        list, N790,
        arr, TRIM(SPLIT(list, "","")),
        names, XLOOKUP(
          arr,
          'Conformance Score'!A:A,
          'Conformance Score'!B:B,
          ""Not found""
      "&amp;"  ),
        TEXTJOIN("", "", TRUE, names)
      ),
      """"
    )
  ),
  1,
  1
)
"),"")</f>
        <v/>
      </c>
      <c r="P790" s="105" t="str">
        <f>IF(F790="Yes", IFERROR(VLOOKUP(D790, Repository!A:F, 6, 0), ""), "")</f>
        <v/>
      </c>
      <c r="Q790" s="105" t="str">
        <f>IF(F790="Yes", IFERROR(VLOOKUP(D790, Repository!A:I, 8, 0), ""), "")</f>
        <v/>
      </c>
      <c r="R790" s="105" t="str">
        <f>IF(F790="Yes", IFERROR(VLOOKUP(D790, Repository!A:J, 9, 0), ""), "")</f>
        <v/>
      </c>
      <c r="S790" s="105"/>
      <c r="T790" s="105"/>
      <c r="U790" s="105"/>
      <c r="V790" s="105"/>
      <c r="W790" s="105"/>
      <c r="X790" s="105"/>
      <c r="Y790" s="105"/>
      <c r="Z790" s="105"/>
      <c r="AA790" s="105"/>
      <c r="AB790" s="105"/>
      <c r="AC790" s="91"/>
      <c r="AD790" s="105"/>
      <c r="AE790" s="105"/>
      <c r="AF790" s="91"/>
      <c r="AG790" s="105"/>
      <c r="AH790" s="105"/>
      <c r="AI790" s="105" t="str">
        <f t="shared" si="1"/>
        <v/>
      </c>
      <c r="AJ790" s="108" t="str">
        <f t="shared" si="2"/>
        <v/>
      </c>
    </row>
    <row r="791" ht="15.75" customHeight="1">
      <c r="A791" s="104"/>
      <c r="B791" s="105" t="str">
        <f>IFERROR(__xludf.DUMMYFUNCTION("ARRAY_CONSTRAIN(
  ARRAYFORMULA(
    IF(
      'Final Report'!A791="""",
      """",
      TEXTJOIN(
        "", "" &amp; CHAR(10),
        TRUE,
        IFERROR(
          VLOOKUP(
            TRIM(
              SPLIT('Final Report'!A791, "","")
           "&amp;" ),
            'URL Details'!A:B,
            2,
            FALSE
          ),
          """"
        )
      )
    )
  ),
  1,
  1
)
"),"")</f>
        <v/>
      </c>
      <c r="C791" s="105" t="str">
        <f>IFERROR(__xludf.DUMMYFUNCTION("IFERROR(IF('Final Report'!A791="""","""", TEXTJOIN(CHAR(10), TRUE, ARRAYFORMULA( ""• ""&amp; FILTER( TRIM(FLATTEN(SPLIT( REGEXREPLACE( SUBSTITUTE(TEXTJOIN("","", TRUE, IFERROR(ARRAYFORMULA(VLOOKUP(TRIM(SPLIT('Final Report'!A791, "","")), 'URL Details'!A:D, 4,"&amp;" FALSE)),"""") ), CHAR(10), "",""), ""\s*,\s*"", "",""), "",""))), TRIM(FLATTEN(SPLIT( REGEXREPLACE( SUBSTITUTE(TEXTJOIN("","", TRUE, IFERROR(ARRAYFORMULA(VLOOKUP(TRIM(SPLIT('Final Report'!A791, "","")), 'URL Details'!A:D, 4, FALSE)),"""") ), CHAR(10), """&amp;",""), ""\s*,\s*"", "",""), "","")))&lt;&gt;"""" ) ) ) ),"""")
"),"")</f>
        <v/>
      </c>
      <c r="D791" s="105"/>
      <c r="E791" s="105"/>
      <c r="F791" s="110" t="b">
        <v>0</v>
      </c>
      <c r="G791" s="105" t="str">
        <f>IF(F791=True, IFERROR(VLOOKUP(D791, Repository!A:B, 2, 0), ""), "")</f>
        <v/>
      </c>
      <c r="H791" s="105"/>
      <c r="I791" s="105"/>
      <c r="J791" s="105" t="str">
        <f>IF(F791=True, IFERROR(VLOOKUP(D791, Repository!A:C, 3, 0), ""), "")</f>
        <v/>
      </c>
      <c r="K791" s="105"/>
      <c r="L791" s="105" t="str">
        <f>IF(F791=True, IFERROR(VLOOKUP(D791, Repository!A:E, 5, 0), ""), "")</f>
        <v/>
      </c>
      <c r="M791" s="105"/>
      <c r="N791" s="105" t="str">
        <f>IF(F791=True, IFERROR(VLOOKUP(D791, Repository!A:G, 7, 0), ""), "")</f>
        <v/>
      </c>
      <c r="O791" s="105" t="str">
        <f>IFERROR(__xludf.DUMMYFUNCTION("ARRAY_CONSTRAIN(
  ARRAYFORMULA(
    IFERROR(
      LET(
        list, N791,
        arr, TRIM(SPLIT(list, "","")),
        names, XLOOKUP(
          arr,
          'Conformance Score'!A:A,
          'Conformance Score'!B:B,
          ""Not found""
      "&amp;"  ),
        TEXTJOIN("", "", TRUE, names)
      ),
      """"
    )
  ),
  1,
  1
)
"),"")</f>
        <v/>
      </c>
      <c r="P791" s="105" t="str">
        <f>IF(F791="Yes", IFERROR(VLOOKUP(D791, Repository!A:F, 6, 0), ""), "")</f>
        <v/>
      </c>
      <c r="Q791" s="105" t="str">
        <f>IF(F791="Yes", IFERROR(VLOOKUP(D791, Repository!A:I, 8, 0), ""), "")</f>
        <v/>
      </c>
      <c r="R791" s="105" t="str">
        <f>IF(F791="Yes", IFERROR(VLOOKUP(D791, Repository!A:J, 9, 0), ""), "")</f>
        <v/>
      </c>
      <c r="S791" s="105"/>
      <c r="T791" s="105"/>
      <c r="U791" s="105"/>
      <c r="V791" s="105"/>
      <c r="W791" s="105"/>
      <c r="X791" s="105"/>
      <c r="Y791" s="105"/>
      <c r="Z791" s="105"/>
      <c r="AA791" s="105"/>
      <c r="AB791" s="105"/>
      <c r="AC791" s="91"/>
      <c r="AD791" s="105"/>
      <c r="AE791" s="105"/>
      <c r="AF791" s="91"/>
      <c r="AG791" s="105"/>
      <c r="AH791" s="105"/>
      <c r="AI791" s="105" t="str">
        <f t="shared" si="1"/>
        <v/>
      </c>
      <c r="AJ791" s="108" t="str">
        <f t="shared" si="2"/>
        <v/>
      </c>
    </row>
    <row r="792" ht="15.75" customHeight="1">
      <c r="A792" s="104"/>
      <c r="B792" s="105" t="str">
        <f>IFERROR(__xludf.DUMMYFUNCTION("ARRAY_CONSTRAIN(
  ARRAYFORMULA(
    IF(
      'Final Report'!A792="""",
      """",
      TEXTJOIN(
        "", "" &amp; CHAR(10),
        TRUE,
        IFERROR(
          VLOOKUP(
            TRIM(
              SPLIT('Final Report'!A792, "","")
           "&amp;" ),
            'URL Details'!A:B,
            2,
            FALSE
          ),
          """"
        )
      )
    )
  ),
  1,
  1
)
"),"")</f>
        <v/>
      </c>
      <c r="C792" s="105" t="str">
        <f>IFERROR(__xludf.DUMMYFUNCTION("IFERROR(IF('Final Report'!A792="""","""", TEXTJOIN(CHAR(10), TRUE, ARRAYFORMULA( ""• ""&amp; FILTER( TRIM(FLATTEN(SPLIT( REGEXREPLACE( SUBSTITUTE(TEXTJOIN("","", TRUE, IFERROR(ARRAYFORMULA(VLOOKUP(TRIM(SPLIT('Final Report'!A792, "","")), 'URL Details'!A:D, 4,"&amp;" FALSE)),"""") ), CHAR(10), "",""), ""\s*,\s*"", "",""), "",""))), TRIM(FLATTEN(SPLIT( REGEXREPLACE( SUBSTITUTE(TEXTJOIN("","", TRUE, IFERROR(ARRAYFORMULA(VLOOKUP(TRIM(SPLIT('Final Report'!A792, "","")), 'URL Details'!A:D, 4, FALSE)),"""") ), CHAR(10), """&amp;",""), ""\s*,\s*"", "",""), "","")))&lt;&gt;"""" ) ) ) ),"""")
"),"")</f>
        <v/>
      </c>
      <c r="D792" s="105"/>
      <c r="E792" s="105"/>
      <c r="F792" s="110" t="b">
        <v>0</v>
      </c>
      <c r="G792" s="105" t="str">
        <f>IF(F792=True, IFERROR(VLOOKUP(D792, Repository!A:B, 2, 0), ""), "")</f>
        <v/>
      </c>
      <c r="H792" s="105"/>
      <c r="I792" s="105"/>
      <c r="J792" s="105" t="str">
        <f>IF(F792=True, IFERROR(VLOOKUP(D792, Repository!A:C, 3, 0), ""), "")</f>
        <v/>
      </c>
      <c r="K792" s="105"/>
      <c r="L792" s="105" t="str">
        <f>IF(F792=True, IFERROR(VLOOKUP(D792, Repository!A:E, 5, 0), ""), "")</f>
        <v/>
      </c>
      <c r="M792" s="105"/>
      <c r="N792" s="105" t="str">
        <f>IF(F792=True, IFERROR(VLOOKUP(D792, Repository!A:G, 7, 0), ""), "")</f>
        <v/>
      </c>
      <c r="O792" s="105" t="str">
        <f>IFERROR(__xludf.DUMMYFUNCTION("ARRAY_CONSTRAIN(
  ARRAYFORMULA(
    IFERROR(
      LET(
        list, N792,
        arr, TRIM(SPLIT(list, "","")),
        names, XLOOKUP(
          arr,
          'Conformance Score'!A:A,
          'Conformance Score'!B:B,
          ""Not found""
      "&amp;"  ),
        TEXTJOIN("", "", TRUE, names)
      ),
      """"
    )
  ),
  1,
  1
)
"),"")</f>
        <v/>
      </c>
      <c r="P792" s="105" t="str">
        <f>IF(F792="Yes", IFERROR(VLOOKUP(D792, Repository!A:F, 6, 0), ""), "")</f>
        <v/>
      </c>
      <c r="Q792" s="105" t="str">
        <f>IF(F792="Yes", IFERROR(VLOOKUP(D792, Repository!A:I, 8, 0), ""), "")</f>
        <v/>
      </c>
      <c r="R792" s="105" t="str">
        <f>IF(F792="Yes", IFERROR(VLOOKUP(D792, Repository!A:J, 9, 0), ""), "")</f>
        <v/>
      </c>
      <c r="S792" s="105"/>
      <c r="T792" s="105"/>
      <c r="U792" s="105"/>
      <c r="V792" s="105"/>
      <c r="W792" s="105"/>
      <c r="X792" s="105"/>
      <c r="Y792" s="105"/>
      <c r="Z792" s="105"/>
      <c r="AA792" s="105"/>
      <c r="AB792" s="105"/>
      <c r="AC792" s="91"/>
      <c r="AD792" s="105"/>
      <c r="AE792" s="105"/>
      <c r="AF792" s="91"/>
      <c r="AG792" s="105"/>
      <c r="AH792" s="105"/>
      <c r="AI792" s="105" t="str">
        <f t="shared" si="1"/>
        <v/>
      </c>
      <c r="AJ792" s="108" t="str">
        <f t="shared" si="2"/>
        <v/>
      </c>
    </row>
    <row r="793" ht="15.75" customHeight="1">
      <c r="A793" s="104"/>
      <c r="B793" s="105" t="str">
        <f>IFERROR(__xludf.DUMMYFUNCTION("ARRAY_CONSTRAIN(
  ARRAYFORMULA(
    IF(
      'Final Report'!A793="""",
      """",
      TEXTJOIN(
        "", "" &amp; CHAR(10),
        TRUE,
        IFERROR(
          VLOOKUP(
            TRIM(
              SPLIT('Final Report'!A793, "","")
           "&amp;" ),
            'URL Details'!A:B,
            2,
            FALSE
          ),
          """"
        )
      )
    )
  ),
  1,
  1
)
"),"")</f>
        <v/>
      </c>
      <c r="C793" s="105" t="str">
        <f>IFERROR(__xludf.DUMMYFUNCTION("IFERROR(IF('Final Report'!A793="""","""", TEXTJOIN(CHAR(10), TRUE, ARRAYFORMULA( ""• ""&amp; FILTER( TRIM(FLATTEN(SPLIT( REGEXREPLACE( SUBSTITUTE(TEXTJOIN("","", TRUE, IFERROR(ARRAYFORMULA(VLOOKUP(TRIM(SPLIT('Final Report'!A793, "","")), 'URL Details'!A:D, 4,"&amp;" FALSE)),"""") ), CHAR(10), "",""), ""\s*,\s*"", "",""), "",""))), TRIM(FLATTEN(SPLIT( REGEXREPLACE( SUBSTITUTE(TEXTJOIN("","", TRUE, IFERROR(ARRAYFORMULA(VLOOKUP(TRIM(SPLIT('Final Report'!A793, "","")), 'URL Details'!A:D, 4, FALSE)),"""") ), CHAR(10), """&amp;",""), ""\s*,\s*"", "",""), "","")))&lt;&gt;"""" ) ) ) ),"""")
"),"")</f>
        <v/>
      </c>
      <c r="D793" s="105"/>
      <c r="E793" s="105"/>
      <c r="F793" s="110" t="b">
        <v>0</v>
      </c>
      <c r="G793" s="105" t="str">
        <f>IF(F793=True, IFERROR(VLOOKUP(D793, Repository!A:B, 2, 0), ""), "")</f>
        <v/>
      </c>
      <c r="H793" s="105"/>
      <c r="I793" s="105"/>
      <c r="J793" s="105" t="str">
        <f>IF(F793=True, IFERROR(VLOOKUP(D793, Repository!A:C, 3, 0), ""), "")</f>
        <v/>
      </c>
      <c r="K793" s="105"/>
      <c r="L793" s="105" t="str">
        <f>IF(F793=True, IFERROR(VLOOKUP(D793, Repository!A:E, 5, 0), ""), "")</f>
        <v/>
      </c>
      <c r="M793" s="105"/>
      <c r="N793" s="105" t="str">
        <f>IF(F793=True, IFERROR(VLOOKUP(D793, Repository!A:G, 7, 0), ""), "")</f>
        <v/>
      </c>
      <c r="O793" s="105" t="str">
        <f>IFERROR(__xludf.DUMMYFUNCTION("ARRAY_CONSTRAIN(
  ARRAYFORMULA(
    IFERROR(
      LET(
        list, N793,
        arr, TRIM(SPLIT(list, "","")),
        names, XLOOKUP(
          arr,
          'Conformance Score'!A:A,
          'Conformance Score'!B:B,
          ""Not found""
      "&amp;"  ),
        TEXTJOIN("", "", TRUE, names)
      ),
      """"
    )
  ),
  1,
  1
)
"),"")</f>
        <v/>
      </c>
      <c r="P793" s="105" t="str">
        <f>IF(F793="Yes", IFERROR(VLOOKUP(D793, Repository!A:F, 6, 0), ""), "")</f>
        <v/>
      </c>
      <c r="Q793" s="105" t="str">
        <f>IF(F793="Yes", IFERROR(VLOOKUP(D793, Repository!A:I, 8, 0), ""), "")</f>
        <v/>
      </c>
      <c r="R793" s="105" t="str">
        <f>IF(F793="Yes", IFERROR(VLOOKUP(D793, Repository!A:J, 9, 0), ""), "")</f>
        <v/>
      </c>
      <c r="S793" s="105"/>
      <c r="T793" s="105"/>
      <c r="U793" s="105"/>
      <c r="V793" s="105"/>
      <c r="W793" s="105"/>
      <c r="X793" s="105"/>
      <c r="Y793" s="105"/>
      <c r="Z793" s="105"/>
      <c r="AA793" s="105"/>
      <c r="AB793" s="105"/>
      <c r="AC793" s="91"/>
      <c r="AD793" s="105"/>
      <c r="AE793" s="105"/>
      <c r="AF793" s="91"/>
      <c r="AG793" s="105"/>
      <c r="AH793" s="105"/>
      <c r="AI793" s="105" t="str">
        <f t="shared" si="1"/>
        <v/>
      </c>
      <c r="AJ793" s="108" t="str">
        <f t="shared" si="2"/>
        <v/>
      </c>
    </row>
    <row r="794" ht="15.75" customHeight="1">
      <c r="A794" s="104"/>
      <c r="B794" s="105" t="str">
        <f>IFERROR(__xludf.DUMMYFUNCTION("ARRAY_CONSTRAIN(
  ARRAYFORMULA(
    IF(
      'Final Report'!A794="""",
      """",
      TEXTJOIN(
        "", "" &amp; CHAR(10),
        TRUE,
        IFERROR(
          VLOOKUP(
            TRIM(
              SPLIT('Final Report'!A794, "","")
           "&amp;" ),
            'URL Details'!A:B,
            2,
            FALSE
          ),
          """"
        )
      )
    )
  ),
  1,
  1
)
"),"")</f>
        <v/>
      </c>
      <c r="C794" s="105" t="str">
        <f>IFERROR(__xludf.DUMMYFUNCTION("IFERROR(IF('Final Report'!A794="""","""", TEXTJOIN(CHAR(10), TRUE, ARRAYFORMULA( ""• ""&amp; FILTER( TRIM(FLATTEN(SPLIT( REGEXREPLACE( SUBSTITUTE(TEXTJOIN("","", TRUE, IFERROR(ARRAYFORMULA(VLOOKUP(TRIM(SPLIT('Final Report'!A794, "","")), 'URL Details'!A:D, 4,"&amp;" FALSE)),"""") ), CHAR(10), "",""), ""\s*,\s*"", "",""), "",""))), TRIM(FLATTEN(SPLIT( REGEXREPLACE( SUBSTITUTE(TEXTJOIN("","", TRUE, IFERROR(ARRAYFORMULA(VLOOKUP(TRIM(SPLIT('Final Report'!A794, "","")), 'URL Details'!A:D, 4, FALSE)),"""") ), CHAR(10), """&amp;",""), ""\s*,\s*"", "",""), "","")))&lt;&gt;"""" ) ) ) ),"""")
"),"")</f>
        <v/>
      </c>
      <c r="D794" s="105"/>
      <c r="E794" s="105"/>
      <c r="F794" s="110" t="b">
        <v>0</v>
      </c>
      <c r="G794" s="105" t="str">
        <f>IF(F794=True, IFERROR(VLOOKUP(D794, Repository!A:B, 2, 0), ""), "")</f>
        <v/>
      </c>
      <c r="H794" s="105"/>
      <c r="I794" s="105"/>
      <c r="J794" s="105" t="str">
        <f>IF(F794=True, IFERROR(VLOOKUP(D794, Repository!A:C, 3, 0), ""), "")</f>
        <v/>
      </c>
      <c r="K794" s="105"/>
      <c r="L794" s="105" t="str">
        <f>IF(F794=True, IFERROR(VLOOKUP(D794, Repository!A:E, 5, 0), ""), "")</f>
        <v/>
      </c>
      <c r="M794" s="105"/>
      <c r="N794" s="105" t="str">
        <f>IF(F794=True, IFERROR(VLOOKUP(D794, Repository!A:G, 7, 0), ""), "")</f>
        <v/>
      </c>
      <c r="O794" s="105" t="str">
        <f>IFERROR(__xludf.DUMMYFUNCTION("ARRAY_CONSTRAIN(
  ARRAYFORMULA(
    IFERROR(
      LET(
        list, N794,
        arr, TRIM(SPLIT(list, "","")),
        names, XLOOKUP(
          arr,
          'Conformance Score'!A:A,
          'Conformance Score'!B:B,
          ""Not found""
      "&amp;"  ),
        TEXTJOIN("", "", TRUE, names)
      ),
      """"
    )
  ),
  1,
  1
)
"),"")</f>
        <v/>
      </c>
      <c r="P794" s="105" t="str">
        <f>IF(F794="Yes", IFERROR(VLOOKUP(D794, Repository!A:F, 6, 0), ""), "")</f>
        <v/>
      </c>
      <c r="Q794" s="105" t="str">
        <f>IF(F794="Yes", IFERROR(VLOOKUP(D794, Repository!A:I, 8, 0), ""), "")</f>
        <v/>
      </c>
      <c r="R794" s="105" t="str">
        <f>IF(F794="Yes", IFERROR(VLOOKUP(D794, Repository!A:J, 9, 0), ""), "")</f>
        <v/>
      </c>
      <c r="S794" s="105"/>
      <c r="T794" s="105"/>
      <c r="U794" s="105"/>
      <c r="V794" s="105"/>
      <c r="W794" s="105"/>
      <c r="X794" s="105"/>
      <c r="Y794" s="105"/>
      <c r="Z794" s="105"/>
      <c r="AA794" s="105"/>
      <c r="AB794" s="105"/>
      <c r="AC794" s="91"/>
      <c r="AD794" s="105"/>
      <c r="AE794" s="105"/>
      <c r="AF794" s="91"/>
      <c r="AG794" s="105"/>
      <c r="AH794" s="105"/>
      <c r="AI794" s="105" t="str">
        <f t="shared" si="1"/>
        <v/>
      </c>
      <c r="AJ794" s="108" t="str">
        <f t="shared" si="2"/>
        <v/>
      </c>
    </row>
    <row r="795" ht="15.75" customHeight="1">
      <c r="A795" s="104"/>
      <c r="B795" s="105" t="str">
        <f>IFERROR(__xludf.DUMMYFUNCTION("ARRAY_CONSTRAIN(
  ARRAYFORMULA(
    IF(
      'Final Report'!A795="""",
      """",
      TEXTJOIN(
        "", "" &amp; CHAR(10),
        TRUE,
        IFERROR(
          VLOOKUP(
            TRIM(
              SPLIT('Final Report'!A795, "","")
           "&amp;" ),
            'URL Details'!A:B,
            2,
            FALSE
          ),
          """"
        )
      )
    )
  ),
  1,
  1
)
"),"")</f>
        <v/>
      </c>
      <c r="C795" s="105" t="str">
        <f>IFERROR(__xludf.DUMMYFUNCTION("IFERROR(IF('Final Report'!A795="""","""", TEXTJOIN(CHAR(10), TRUE, ARRAYFORMULA( ""• ""&amp; FILTER( TRIM(FLATTEN(SPLIT( REGEXREPLACE( SUBSTITUTE(TEXTJOIN("","", TRUE, IFERROR(ARRAYFORMULA(VLOOKUP(TRIM(SPLIT('Final Report'!A795, "","")), 'URL Details'!A:D, 4,"&amp;" FALSE)),"""") ), CHAR(10), "",""), ""\s*,\s*"", "",""), "",""))), TRIM(FLATTEN(SPLIT( REGEXREPLACE( SUBSTITUTE(TEXTJOIN("","", TRUE, IFERROR(ARRAYFORMULA(VLOOKUP(TRIM(SPLIT('Final Report'!A795, "","")), 'URL Details'!A:D, 4, FALSE)),"""") ), CHAR(10), """&amp;",""), ""\s*,\s*"", "",""), "","")))&lt;&gt;"""" ) ) ) ),"""")
"),"")</f>
        <v/>
      </c>
      <c r="D795" s="105"/>
      <c r="E795" s="105"/>
      <c r="F795" s="110" t="b">
        <v>0</v>
      </c>
      <c r="G795" s="105" t="str">
        <f>IF(F795=True, IFERROR(VLOOKUP(D795, Repository!A:B, 2, 0), ""), "")</f>
        <v/>
      </c>
      <c r="H795" s="105"/>
      <c r="I795" s="105"/>
      <c r="J795" s="105" t="str">
        <f>IF(F795=True, IFERROR(VLOOKUP(D795, Repository!A:C, 3, 0), ""), "")</f>
        <v/>
      </c>
      <c r="K795" s="105"/>
      <c r="L795" s="105" t="str">
        <f>IF(F795=True, IFERROR(VLOOKUP(D795, Repository!A:E, 5, 0), ""), "")</f>
        <v/>
      </c>
      <c r="M795" s="105"/>
      <c r="N795" s="105" t="str">
        <f>IF(F795=True, IFERROR(VLOOKUP(D795, Repository!A:G, 7, 0), ""), "")</f>
        <v/>
      </c>
      <c r="O795" s="105" t="str">
        <f>IFERROR(__xludf.DUMMYFUNCTION("ARRAY_CONSTRAIN(
  ARRAYFORMULA(
    IFERROR(
      LET(
        list, N795,
        arr, TRIM(SPLIT(list, "","")),
        names, XLOOKUP(
          arr,
          'Conformance Score'!A:A,
          'Conformance Score'!B:B,
          ""Not found""
      "&amp;"  ),
        TEXTJOIN("", "", TRUE, names)
      ),
      """"
    )
  ),
  1,
  1
)
"),"")</f>
        <v/>
      </c>
      <c r="P795" s="105" t="str">
        <f>IF(F795="Yes", IFERROR(VLOOKUP(D795, Repository!A:F, 6, 0), ""), "")</f>
        <v/>
      </c>
      <c r="Q795" s="105" t="str">
        <f>IF(F795="Yes", IFERROR(VLOOKUP(D795, Repository!A:I, 8, 0), ""), "")</f>
        <v/>
      </c>
      <c r="R795" s="105" t="str">
        <f>IF(F795="Yes", IFERROR(VLOOKUP(D795, Repository!A:J, 9, 0), ""), "")</f>
        <v/>
      </c>
      <c r="S795" s="105"/>
      <c r="T795" s="105"/>
      <c r="U795" s="105"/>
      <c r="V795" s="105"/>
      <c r="W795" s="105"/>
      <c r="X795" s="105"/>
      <c r="Y795" s="105"/>
      <c r="Z795" s="105"/>
      <c r="AA795" s="105"/>
      <c r="AB795" s="105"/>
      <c r="AC795" s="91"/>
      <c r="AD795" s="105"/>
      <c r="AE795" s="105"/>
      <c r="AF795" s="91"/>
      <c r="AG795" s="105"/>
      <c r="AH795" s="105"/>
      <c r="AI795" s="105" t="str">
        <f t="shared" si="1"/>
        <v/>
      </c>
      <c r="AJ795" s="108" t="str">
        <f t="shared" si="2"/>
        <v/>
      </c>
    </row>
    <row r="796" ht="15.75" customHeight="1">
      <c r="A796" s="104"/>
      <c r="B796" s="105" t="str">
        <f>IFERROR(__xludf.DUMMYFUNCTION("ARRAY_CONSTRAIN(
  ARRAYFORMULA(
    IF(
      'Final Report'!A796="""",
      """",
      TEXTJOIN(
        "", "" &amp; CHAR(10),
        TRUE,
        IFERROR(
          VLOOKUP(
            TRIM(
              SPLIT('Final Report'!A796, "","")
           "&amp;" ),
            'URL Details'!A:B,
            2,
            FALSE
          ),
          """"
        )
      )
    )
  ),
  1,
  1
)
"),"")</f>
        <v/>
      </c>
      <c r="C796" s="105" t="str">
        <f>IFERROR(__xludf.DUMMYFUNCTION("IFERROR(IF('Final Report'!A796="""","""", TEXTJOIN(CHAR(10), TRUE, ARRAYFORMULA( ""• ""&amp; FILTER( TRIM(FLATTEN(SPLIT( REGEXREPLACE( SUBSTITUTE(TEXTJOIN("","", TRUE, IFERROR(ARRAYFORMULA(VLOOKUP(TRIM(SPLIT('Final Report'!A796, "","")), 'URL Details'!A:D, 4,"&amp;" FALSE)),"""") ), CHAR(10), "",""), ""\s*,\s*"", "",""), "",""))), TRIM(FLATTEN(SPLIT( REGEXREPLACE( SUBSTITUTE(TEXTJOIN("","", TRUE, IFERROR(ARRAYFORMULA(VLOOKUP(TRIM(SPLIT('Final Report'!A796, "","")), 'URL Details'!A:D, 4, FALSE)),"""") ), CHAR(10), """&amp;",""), ""\s*,\s*"", "",""), "","")))&lt;&gt;"""" ) ) ) ),"""")
"),"")</f>
        <v/>
      </c>
      <c r="D796" s="105"/>
      <c r="E796" s="105"/>
      <c r="F796" s="110" t="b">
        <v>0</v>
      </c>
      <c r="G796" s="105" t="str">
        <f>IF(F796=True, IFERROR(VLOOKUP(D796, Repository!A:B, 2, 0), ""), "")</f>
        <v/>
      </c>
      <c r="H796" s="105"/>
      <c r="I796" s="105"/>
      <c r="J796" s="105" t="str">
        <f>IF(F796=True, IFERROR(VLOOKUP(D796, Repository!A:C, 3, 0), ""), "")</f>
        <v/>
      </c>
      <c r="K796" s="105"/>
      <c r="L796" s="105" t="str">
        <f>IF(F796=True, IFERROR(VLOOKUP(D796, Repository!A:E, 5, 0), ""), "")</f>
        <v/>
      </c>
      <c r="M796" s="105"/>
      <c r="N796" s="105" t="str">
        <f>IF(F796=True, IFERROR(VLOOKUP(D796, Repository!A:G, 7, 0), ""), "")</f>
        <v/>
      </c>
      <c r="O796" s="105" t="str">
        <f>IFERROR(__xludf.DUMMYFUNCTION("ARRAY_CONSTRAIN(
  ARRAYFORMULA(
    IFERROR(
      LET(
        list, N796,
        arr, TRIM(SPLIT(list, "","")),
        names, XLOOKUP(
          arr,
          'Conformance Score'!A:A,
          'Conformance Score'!B:B,
          ""Not found""
      "&amp;"  ),
        TEXTJOIN("", "", TRUE, names)
      ),
      """"
    )
  ),
  1,
  1
)
"),"")</f>
        <v/>
      </c>
      <c r="P796" s="105" t="str">
        <f>IF(F796="Yes", IFERROR(VLOOKUP(D796, Repository!A:F, 6, 0), ""), "")</f>
        <v/>
      </c>
      <c r="Q796" s="105" t="str">
        <f>IF(F796="Yes", IFERROR(VLOOKUP(D796, Repository!A:I, 8, 0), ""), "")</f>
        <v/>
      </c>
      <c r="R796" s="105" t="str">
        <f>IF(F796="Yes", IFERROR(VLOOKUP(D796, Repository!A:J, 9, 0), ""), "")</f>
        <v/>
      </c>
      <c r="S796" s="105"/>
      <c r="T796" s="105"/>
      <c r="U796" s="105"/>
      <c r="V796" s="105"/>
      <c r="W796" s="105"/>
      <c r="X796" s="105"/>
      <c r="Y796" s="105"/>
      <c r="Z796" s="105"/>
      <c r="AA796" s="105"/>
      <c r="AB796" s="105"/>
      <c r="AC796" s="91"/>
      <c r="AD796" s="105"/>
      <c r="AE796" s="105"/>
      <c r="AF796" s="91"/>
      <c r="AG796" s="105"/>
      <c r="AH796" s="105"/>
      <c r="AI796" s="105" t="str">
        <f t="shared" si="1"/>
        <v/>
      </c>
      <c r="AJ796" s="108" t="str">
        <f t="shared" si="2"/>
        <v/>
      </c>
    </row>
    <row r="797" ht="15.75" customHeight="1">
      <c r="A797" s="104"/>
      <c r="B797" s="105" t="str">
        <f>IFERROR(__xludf.DUMMYFUNCTION("ARRAY_CONSTRAIN(
  ARRAYFORMULA(
    IF(
      'Final Report'!A797="""",
      """",
      TEXTJOIN(
        "", "" &amp; CHAR(10),
        TRUE,
        IFERROR(
          VLOOKUP(
            TRIM(
              SPLIT('Final Report'!A797, "","")
           "&amp;" ),
            'URL Details'!A:B,
            2,
            FALSE
          ),
          """"
        )
      )
    )
  ),
  1,
  1
)
"),"")</f>
        <v/>
      </c>
      <c r="C797" s="105" t="str">
        <f>IFERROR(__xludf.DUMMYFUNCTION("IFERROR(IF('Final Report'!A797="""","""", TEXTJOIN(CHAR(10), TRUE, ARRAYFORMULA( ""• ""&amp; FILTER( TRIM(FLATTEN(SPLIT( REGEXREPLACE( SUBSTITUTE(TEXTJOIN("","", TRUE, IFERROR(ARRAYFORMULA(VLOOKUP(TRIM(SPLIT('Final Report'!A797, "","")), 'URL Details'!A:D, 4,"&amp;" FALSE)),"""") ), CHAR(10), "",""), ""\s*,\s*"", "",""), "",""))), TRIM(FLATTEN(SPLIT( REGEXREPLACE( SUBSTITUTE(TEXTJOIN("","", TRUE, IFERROR(ARRAYFORMULA(VLOOKUP(TRIM(SPLIT('Final Report'!A797, "","")), 'URL Details'!A:D, 4, FALSE)),"""") ), CHAR(10), """&amp;",""), ""\s*,\s*"", "",""), "","")))&lt;&gt;"""" ) ) ) ),"""")
"),"")</f>
        <v/>
      </c>
      <c r="D797" s="105"/>
      <c r="E797" s="105"/>
      <c r="F797" s="110" t="b">
        <v>0</v>
      </c>
      <c r="G797" s="105" t="str">
        <f>IF(F797=True, IFERROR(VLOOKUP(D797, Repository!A:B, 2, 0), ""), "")</f>
        <v/>
      </c>
      <c r="H797" s="105"/>
      <c r="I797" s="105"/>
      <c r="J797" s="105" t="str">
        <f>IF(F797=True, IFERROR(VLOOKUP(D797, Repository!A:C, 3, 0), ""), "")</f>
        <v/>
      </c>
      <c r="K797" s="105"/>
      <c r="L797" s="105" t="str">
        <f>IF(F797=True, IFERROR(VLOOKUP(D797, Repository!A:E, 5, 0), ""), "")</f>
        <v/>
      </c>
      <c r="M797" s="105"/>
      <c r="N797" s="105" t="str">
        <f>IF(F797=True, IFERROR(VLOOKUP(D797, Repository!A:G, 7, 0), ""), "")</f>
        <v/>
      </c>
      <c r="O797" s="105" t="str">
        <f>IFERROR(__xludf.DUMMYFUNCTION("ARRAY_CONSTRAIN(
  ARRAYFORMULA(
    IFERROR(
      LET(
        list, N797,
        arr, TRIM(SPLIT(list, "","")),
        names, XLOOKUP(
          arr,
          'Conformance Score'!A:A,
          'Conformance Score'!B:B,
          ""Not found""
      "&amp;"  ),
        TEXTJOIN("", "", TRUE, names)
      ),
      """"
    )
  ),
  1,
  1
)
"),"")</f>
        <v/>
      </c>
      <c r="P797" s="105" t="str">
        <f>IF(F797="Yes", IFERROR(VLOOKUP(D797, Repository!A:F, 6, 0), ""), "")</f>
        <v/>
      </c>
      <c r="Q797" s="105" t="str">
        <f>IF(F797="Yes", IFERROR(VLOOKUP(D797, Repository!A:I, 8, 0), ""), "")</f>
        <v/>
      </c>
      <c r="R797" s="105" t="str">
        <f>IF(F797="Yes", IFERROR(VLOOKUP(D797, Repository!A:J, 9, 0), ""), "")</f>
        <v/>
      </c>
      <c r="S797" s="105"/>
      <c r="T797" s="105"/>
      <c r="U797" s="105"/>
      <c r="V797" s="105"/>
      <c r="W797" s="105"/>
      <c r="X797" s="105"/>
      <c r="Y797" s="105"/>
      <c r="Z797" s="105"/>
      <c r="AA797" s="105"/>
      <c r="AB797" s="105"/>
      <c r="AC797" s="91"/>
      <c r="AD797" s="105"/>
      <c r="AE797" s="105"/>
      <c r="AF797" s="91"/>
      <c r="AG797" s="105"/>
      <c r="AH797" s="105"/>
      <c r="AI797" s="105" t="str">
        <f t="shared" si="1"/>
        <v/>
      </c>
      <c r="AJ797" s="108" t="str">
        <f t="shared" si="2"/>
        <v/>
      </c>
    </row>
    <row r="798" ht="15.75" customHeight="1">
      <c r="A798" s="104"/>
      <c r="B798" s="105" t="str">
        <f>IFERROR(__xludf.DUMMYFUNCTION("ARRAY_CONSTRAIN(
  ARRAYFORMULA(
    IF(
      'Final Report'!A798="""",
      """",
      TEXTJOIN(
        "", "" &amp; CHAR(10),
        TRUE,
        IFERROR(
          VLOOKUP(
            TRIM(
              SPLIT('Final Report'!A798, "","")
           "&amp;" ),
            'URL Details'!A:B,
            2,
            FALSE
          ),
          """"
        )
      )
    )
  ),
  1,
  1
)
"),"")</f>
        <v/>
      </c>
      <c r="C798" s="105" t="str">
        <f>IFERROR(__xludf.DUMMYFUNCTION("IFERROR(IF('Final Report'!A798="""","""", TEXTJOIN(CHAR(10), TRUE, ARRAYFORMULA( ""• ""&amp; FILTER( TRIM(FLATTEN(SPLIT( REGEXREPLACE( SUBSTITUTE(TEXTJOIN("","", TRUE, IFERROR(ARRAYFORMULA(VLOOKUP(TRIM(SPLIT('Final Report'!A798, "","")), 'URL Details'!A:D, 4,"&amp;" FALSE)),"""") ), CHAR(10), "",""), ""\s*,\s*"", "",""), "",""))), TRIM(FLATTEN(SPLIT( REGEXREPLACE( SUBSTITUTE(TEXTJOIN("","", TRUE, IFERROR(ARRAYFORMULA(VLOOKUP(TRIM(SPLIT('Final Report'!A798, "","")), 'URL Details'!A:D, 4, FALSE)),"""") ), CHAR(10), """&amp;",""), ""\s*,\s*"", "",""), "","")))&lt;&gt;"""" ) ) ) ),"""")
"),"")</f>
        <v/>
      </c>
      <c r="D798" s="105"/>
      <c r="E798" s="105"/>
      <c r="F798" s="110" t="b">
        <v>0</v>
      </c>
      <c r="G798" s="105" t="str">
        <f>IF(F798=True, IFERROR(VLOOKUP(D798, Repository!A:B, 2, 0), ""), "")</f>
        <v/>
      </c>
      <c r="H798" s="105"/>
      <c r="I798" s="105"/>
      <c r="J798" s="105" t="str">
        <f>IF(F798=True, IFERROR(VLOOKUP(D798, Repository!A:C, 3, 0), ""), "")</f>
        <v/>
      </c>
      <c r="K798" s="105"/>
      <c r="L798" s="105" t="str">
        <f>IF(F798=True, IFERROR(VLOOKUP(D798, Repository!A:E, 5, 0), ""), "")</f>
        <v/>
      </c>
      <c r="M798" s="105"/>
      <c r="N798" s="105" t="str">
        <f>IF(F798=True, IFERROR(VLOOKUP(D798, Repository!A:G, 7, 0), ""), "")</f>
        <v/>
      </c>
      <c r="O798" s="105" t="str">
        <f>IFERROR(__xludf.DUMMYFUNCTION("ARRAY_CONSTRAIN(
  ARRAYFORMULA(
    IFERROR(
      LET(
        list, N798,
        arr, TRIM(SPLIT(list, "","")),
        names, XLOOKUP(
          arr,
          'Conformance Score'!A:A,
          'Conformance Score'!B:B,
          ""Not found""
      "&amp;"  ),
        TEXTJOIN("", "", TRUE, names)
      ),
      """"
    )
  ),
  1,
  1
)
"),"")</f>
        <v/>
      </c>
      <c r="P798" s="105" t="str">
        <f>IF(F798="Yes", IFERROR(VLOOKUP(D798, Repository!A:F, 6, 0), ""), "")</f>
        <v/>
      </c>
      <c r="Q798" s="105" t="str">
        <f>IF(F798="Yes", IFERROR(VLOOKUP(D798, Repository!A:I, 8, 0), ""), "")</f>
        <v/>
      </c>
      <c r="R798" s="105" t="str">
        <f>IF(F798="Yes", IFERROR(VLOOKUP(D798, Repository!A:J, 9, 0), ""), "")</f>
        <v/>
      </c>
      <c r="S798" s="105"/>
      <c r="T798" s="105"/>
      <c r="U798" s="105"/>
      <c r="V798" s="105"/>
      <c r="W798" s="105"/>
      <c r="X798" s="105"/>
      <c r="Y798" s="105"/>
      <c r="Z798" s="105"/>
      <c r="AA798" s="105"/>
      <c r="AB798" s="105"/>
      <c r="AC798" s="91"/>
      <c r="AD798" s="105"/>
      <c r="AE798" s="105"/>
      <c r="AF798" s="91"/>
      <c r="AG798" s="105"/>
      <c r="AH798" s="105"/>
      <c r="AI798" s="105" t="str">
        <f t="shared" si="1"/>
        <v/>
      </c>
      <c r="AJ798" s="108" t="str">
        <f t="shared" si="2"/>
        <v/>
      </c>
    </row>
    <row r="799" ht="15.75" customHeight="1">
      <c r="A799" s="104"/>
      <c r="B799" s="105" t="str">
        <f>IFERROR(__xludf.DUMMYFUNCTION("ARRAY_CONSTRAIN(
  ARRAYFORMULA(
    IF(
      'Final Report'!A799="""",
      """",
      TEXTJOIN(
        "", "" &amp; CHAR(10),
        TRUE,
        IFERROR(
          VLOOKUP(
            TRIM(
              SPLIT('Final Report'!A799, "","")
           "&amp;" ),
            'URL Details'!A:B,
            2,
            FALSE
          ),
          """"
        )
      )
    )
  ),
  1,
  1
)
"),"")</f>
        <v/>
      </c>
      <c r="C799" s="105" t="str">
        <f>IFERROR(__xludf.DUMMYFUNCTION("IFERROR(IF('Final Report'!A799="""","""", TEXTJOIN(CHAR(10), TRUE, ARRAYFORMULA( ""• ""&amp; FILTER( TRIM(FLATTEN(SPLIT( REGEXREPLACE( SUBSTITUTE(TEXTJOIN("","", TRUE, IFERROR(ARRAYFORMULA(VLOOKUP(TRIM(SPLIT('Final Report'!A799, "","")), 'URL Details'!A:D, 4,"&amp;" FALSE)),"""") ), CHAR(10), "",""), ""\s*,\s*"", "",""), "",""))), TRIM(FLATTEN(SPLIT( REGEXREPLACE( SUBSTITUTE(TEXTJOIN("","", TRUE, IFERROR(ARRAYFORMULA(VLOOKUP(TRIM(SPLIT('Final Report'!A799, "","")), 'URL Details'!A:D, 4, FALSE)),"""") ), CHAR(10), """&amp;",""), ""\s*,\s*"", "",""), "","")))&lt;&gt;"""" ) ) ) ),"""")
"),"")</f>
        <v/>
      </c>
      <c r="D799" s="105"/>
      <c r="E799" s="105"/>
      <c r="F799" s="110" t="b">
        <v>0</v>
      </c>
      <c r="G799" s="105" t="str">
        <f>IF(F799=True, IFERROR(VLOOKUP(D799, Repository!A:B, 2, 0), ""), "")</f>
        <v/>
      </c>
      <c r="H799" s="105"/>
      <c r="I799" s="105"/>
      <c r="J799" s="105" t="str">
        <f>IF(F799=True, IFERROR(VLOOKUP(D799, Repository!A:C, 3, 0), ""), "")</f>
        <v/>
      </c>
      <c r="K799" s="105"/>
      <c r="L799" s="105" t="str">
        <f>IF(F799=True, IFERROR(VLOOKUP(D799, Repository!A:E, 5, 0), ""), "")</f>
        <v/>
      </c>
      <c r="M799" s="105"/>
      <c r="N799" s="105" t="str">
        <f>IF(F799=True, IFERROR(VLOOKUP(D799, Repository!A:G, 7, 0), ""), "")</f>
        <v/>
      </c>
      <c r="O799" s="105" t="str">
        <f>IFERROR(__xludf.DUMMYFUNCTION("ARRAY_CONSTRAIN(
  ARRAYFORMULA(
    IFERROR(
      LET(
        list, N799,
        arr, TRIM(SPLIT(list, "","")),
        names, XLOOKUP(
          arr,
          'Conformance Score'!A:A,
          'Conformance Score'!B:B,
          ""Not found""
      "&amp;"  ),
        TEXTJOIN("", "", TRUE, names)
      ),
      """"
    )
  ),
  1,
  1
)
"),"")</f>
        <v/>
      </c>
      <c r="P799" s="105" t="str">
        <f>IF(F799="Yes", IFERROR(VLOOKUP(D799, Repository!A:F, 6, 0), ""), "")</f>
        <v/>
      </c>
      <c r="Q799" s="105" t="str">
        <f>IF(F799="Yes", IFERROR(VLOOKUP(D799, Repository!A:I, 8, 0), ""), "")</f>
        <v/>
      </c>
      <c r="R799" s="105" t="str">
        <f>IF(F799="Yes", IFERROR(VLOOKUP(D799, Repository!A:J, 9, 0), ""), "")</f>
        <v/>
      </c>
      <c r="S799" s="105"/>
      <c r="T799" s="105"/>
      <c r="U799" s="105"/>
      <c r="V799" s="105"/>
      <c r="W799" s="105"/>
      <c r="X799" s="105"/>
      <c r="Y799" s="105"/>
      <c r="Z799" s="105"/>
      <c r="AA799" s="105"/>
      <c r="AB799" s="105"/>
      <c r="AC799" s="91"/>
      <c r="AD799" s="105"/>
      <c r="AE799" s="105"/>
      <c r="AF799" s="91"/>
      <c r="AG799" s="105"/>
      <c r="AH799" s="105"/>
      <c r="AI799" s="105" t="str">
        <f t="shared" si="1"/>
        <v/>
      </c>
      <c r="AJ799" s="108" t="str">
        <f t="shared" si="2"/>
        <v/>
      </c>
    </row>
    <row r="800" ht="15.75" customHeight="1">
      <c r="A800" s="104"/>
      <c r="B800" s="105" t="str">
        <f>IFERROR(__xludf.DUMMYFUNCTION("ARRAY_CONSTRAIN(
  ARRAYFORMULA(
    IF(
      'Final Report'!A800="""",
      """",
      TEXTJOIN(
        "", "" &amp; CHAR(10),
        TRUE,
        IFERROR(
          VLOOKUP(
            TRIM(
              SPLIT('Final Report'!A800, "","")
           "&amp;" ),
            'URL Details'!A:B,
            2,
            FALSE
          ),
          """"
        )
      )
    )
  ),
  1,
  1
)
"),"")</f>
        <v/>
      </c>
      <c r="C800" s="105" t="str">
        <f>IFERROR(__xludf.DUMMYFUNCTION("IFERROR(IF('Final Report'!A800="""","""", TEXTJOIN(CHAR(10), TRUE, ARRAYFORMULA( ""• ""&amp; FILTER( TRIM(FLATTEN(SPLIT( REGEXREPLACE( SUBSTITUTE(TEXTJOIN("","", TRUE, IFERROR(ARRAYFORMULA(VLOOKUP(TRIM(SPLIT('Final Report'!A800, "","")), 'URL Details'!A:D, 4,"&amp;" FALSE)),"""") ), CHAR(10), "",""), ""\s*,\s*"", "",""), "",""))), TRIM(FLATTEN(SPLIT( REGEXREPLACE( SUBSTITUTE(TEXTJOIN("","", TRUE, IFERROR(ARRAYFORMULA(VLOOKUP(TRIM(SPLIT('Final Report'!A800, "","")), 'URL Details'!A:D, 4, FALSE)),"""") ), CHAR(10), """&amp;",""), ""\s*,\s*"", "",""), "","")))&lt;&gt;"""" ) ) ) ),"""")
"),"")</f>
        <v/>
      </c>
      <c r="D800" s="105"/>
      <c r="E800" s="105"/>
      <c r="F800" s="110" t="b">
        <v>0</v>
      </c>
      <c r="G800" s="105" t="str">
        <f>IF(F800=True, IFERROR(VLOOKUP(D800, Repository!A:B, 2, 0), ""), "")</f>
        <v/>
      </c>
      <c r="H800" s="105"/>
      <c r="I800" s="105"/>
      <c r="J800" s="105" t="str">
        <f>IF(F800=True, IFERROR(VLOOKUP(D800, Repository!A:C, 3, 0), ""), "")</f>
        <v/>
      </c>
      <c r="K800" s="105"/>
      <c r="L800" s="105" t="str">
        <f>IF(F800=True, IFERROR(VLOOKUP(D800, Repository!A:E, 5, 0), ""), "")</f>
        <v/>
      </c>
      <c r="M800" s="105"/>
      <c r="N800" s="105" t="str">
        <f>IF(F800=True, IFERROR(VLOOKUP(D800, Repository!A:G, 7, 0), ""), "")</f>
        <v/>
      </c>
      <c r="O800" s="105" t="str">
        <f>IFERROR(__xludf.DUMMYFUNCTION("ARRAY_CONSTRAIN(
  ARRAYFORMULA(
    IFERROR(
      LET(
        list, N800,
        arr, TRIM(SPLIT(list, "","")),
        names, XLOOKUP(
          arr,
          'Conformance Score'!A:A,
          'Conformance Score'!B:B,
          ""Not found""
      "&amp;"  ),
        TEXTJOIN("", "", TRUE, names)
      ),
      """"
    )
  ),
  1,
  1
)
"),"")</f>
        <v/>
      </c>
      <c r="P800" s="105" t="str">
        <f>IF(F800="Yes", IFERROR(VLOOKUP(D800, Repository!A:F, 6, 0), ""), "")</f>
        <v/>
      </c>
      <c r="Q800" s="105" t="str">
        <f>IF(F800="Yes", IFERROR(VLOOKUP(D800, Repository!A:I, 8, 0), ""), "")</f>
        <v/>
      </c>
      <c r="R800" s="105" t="str">
        <f>IF(F800="Yes", IFERROR(VLOOKUP(D800, Repository!A:J, 9, 0), ""), "")</f>
        <v/>
      </c>
      <c r="S800" s="105"/>
      <c r="T800" s="105"/>
      <c r="U800" s="105"/>
      <c r="V800" s="105"/>
      <c r="W800" s="105"/>
      <c r="X800" s="105"/>
      <c r="Y800" s="105"/>
      <c r="Z800" s="105"/>
      <c r="AA800" s="105"/>
      <c r="AB800" s="105"/>
      <c r="AC800" s="91"/>
      <c r="AD800" s="105"/>
      <c r="AE800" s="105"/>
      <c r="AF800" s="91"/>
      <c r="AG800" s="105"/>
      <c r="AH800" s="105"/>
      <c r="AI800" s="105" t="str">
        <f t="shared" si="1"/>
        <v/>
      </c>
      <c r="AJ800" s="108" t="str">
        <f t="shared" si="2"/>
        <v/>
      </c>
    </row>
    <row r="801" ht="15.75" customHeight="1">
      <c r="A801" s="104"/>
      <c r="B801" s="105" t="str">
        <f>IFERROR(__xludf.DUMMYFUNCTION("ARRAY_CONSTRAIN(
  ARRAYFORMULA(
    IF(
      'Final Report'!A801="""",
      """",
      TEXTJOIN(
        "", "" &amp; CHAR(10),
        TRUE,
        IFERROR(
          VLOOKUP(
            TRIM(
              SPLIT('Final Report'!A801, "","")
           "&amp;" ),
            'URL Details'!A:B,
            2,
            FALSE
          ),
          """"
        )
      )
    )
  ),
  1,
  1
)
"),"")</f>
        <v/>
      </c>
      <c r="C801" s="105" t="str">
        <f>IFERROR(__xludf.DUMMYFUNCTION("IFERROR(IF('Final Report'!A801="""","""", TEXTJOIN(CHAR(10), TRUE, ARRAYFORMULA( ""• ""&amp; FILTER( TRIM(FLATTEN(SPLIT( REGEXREPLACE( SUBSTITUTE(TEXTJOIN("","", TRUE, IFERROR(ARRAYFORMULA(VLOOKUP(TRIM(SPLIT('Final Report'!A801, "","")), 'URL Details'!A:D, 4,"&amp;" FALSE)),"""") ), CHAR(10), "",""), ""\s*,\s*"", "",""), "",""))), TRIM(FLATTEN(SPLIT( REGEXREPLACE( SUBSTITUTE(TEXTJOIN("","", TRUE, IFERROR(ARRAYFORMULA(VLOOKUP(TRIM(SPLIT('Final Report'!A801, "","")), 'URL Details'!A:D, 4, FALSE)),"""") ), CHAR(10), """&amp;",""), ""\s*,\s*"", "",""), "","")))&lt;&gt;"""" ) ) ) ),"""")
"),"")</f>
        <v/>
      </c>
      <c r="D801" s="105"/>
      <c r="E801" s="105"/>
      <c r="F801" s="110" t="b">
        <v>0</v>
      </c>
      <c r="G801" s="105" t="str">
        <f>IF(F801=True, IFERROR(VLOOKUP(D801, Repository!A:B, 2, 0), ""), "")</f>
        <v/>
      </c>
      <c r="H801" s="105"/>
      <c r="I801" s="105"/>
      <c r="J801" s="105" t="str">
        <f>IF(F801=True, IFERROR(VLOOKUP(D801, Repository!A:C, 3, 0), ""), "")</f>
        <v/>
      </c>
      <c r="K801" s="105"/>
      <c r="L801" s="105" t="str">
        <f>IF(F801=True, IFERROR(VLOOKUP(D801, Repository!A:E, 5, 0), ""), "")</f>
        <v/>
      </c>
      <c r="M801" s="105"/>
      <c r="N801" s="105" t="str">
        <f>IF(F801=True, IFERROR(VLOOKUP(D801, Repository!A:G, 7, 0), ""), "")</f>
        <v/>
      </c>
      <c r="O801" s="105" t="str">
        <f>IFERROR(__xludf.DUMMYFUNCTION("ARRAY_CONSTRAIN(
  ARRAYFORMULA(
    IFERROR(
      LET(
        list, N801,
        arr, TRIM(SPLIT(list, "","")),
        names, XLOOKUP(
          arr,
          'Conformance Score'!A:A,
          'Conformance Score'!B:B,
          ""Not found""
      "&amp;"  ),
        TEXTJOIN("", "", TRUE, names)
      ),
      """"
    )
  ),
  1,
  1
)
"),"")</f>
        <v/>
      </c>
      <c r="P801" s="105" t="str">
        <f>IF(F801="Yes", IFERROR(VLOOKUP(D801, Repository!A:F, 6, 0), ""), "")</f>
        <v/>
      </c>
      <c r="Q801" s="105" t="str">
        <f>IF(F801="Yes", IFERROR(VLOOKUP(D801, Repository!A:I, 8, 0), ""), "")</f>
        <v/>
      </c>
      <c r="R801" s="105" t="str">
        <f>IF(F801="Yes", IFERROR(VLOOKUP(D801, Repository!A:J, 9, 0), ""), "")</f>
        <v/>
      </c>
      <c r="S801" s="105"/>
      <c r="T801" s="105"/>
      <c r="U801" s="105"/>
      <c r="V801" s="105"/>
      <c r="W801" s="105"/>
      <c r="X801" s="105"/>
      <c r="Y801" s="105"/>
      <c r="Z801" s="105"/>
      <c r="AA801" s="105"/>
      <c r="AB801" s="105"/>
      <c r="AC801" s="91"/>
      <c r="AD801" s="105"/>
      <c r="AE801" s="105"/>
      <c r="AF801" s="91"/>
      <c r="AG801" s="105"/>
      <c r="AH801" s="105"/>
      <c r="AI801" s="105" t="str">
        <f t="shared" si="1"/>
        <v/>
      </c>
      <c r="AJ801" s="108" t="str">
        <f t="shared" si="2"/>
        <v/>
      </c>
    </row>
    <row r="802" ht="15.75" customHeight="1">
      <c r="A802" s="104"/>
      <c r="B802" s="105" t="str">
        <f>IFERROR(__xludf.DUMMYFUNCTION("ARRAY_CONSTRAIN(
  ARRAYFORMULA(
    IF(
      'Final Report'!A802="""",
      """",
      TEXTJOIN(
        "", "" &amp; CHAR(10),
        TRUE,
        IFERROR(
          VLOOKUP(
            TRIM(
              SPLIT('Final Report'!A802, "","")
           "&amp;" ),
            'URL Details'!A:B,
            2,
            FALSE
          ),
          """"
        )
      )
    )
  ),
  1,
  1
)
"),"")</f>
        <v/>
      </c>
      <c r="C802" s="105" t="str">
        <f>IFERROR(__xludf.DUMMYFUNCTION("IFERROR(IF('Final Report'!A802="""","""", TEXTJOIN(CHAR(10), TRUE, ARRAYFORMULA( ""• ""&amp; FILTER( TRIM(FLATTEN(SPLIT( REGEXREPLACE( SUBSTITUTE(TEXTJOIN("","", TRUE, IFERROR(ARRAYFORMULA(VLOOKUP(TRIM(SPLIT('Final Report'!A802, "","")), 'URL Details'!A:D, 4,"&amp;" FALSE)),"""") ), CHAR(10), "",""), ""\s*,\s*"", "",""), "",""))), TRIM(FLATTEN(SPLIT( REGEXREPLACE( SUBSTITUTE(TEXTJOIN("","", TRUE, IFERROR(ARRAYFORMULA(VLOOKUP(TRIM(SPLIT('Final Report'!A802, "","")), 'URL Details'!A:D, 4, FALSE)),"""") ), CHAR(10), """&amp;",""), ""\s*,\s*"", "",""), "","")))&lt;&gt;"""" ) ) ) ),"""")
"),"")</f>
        <v/>
      </c>
      <c r="D802" s="105"/>
      <c r="E802" s="105"/>
      <c r="F802" s="110" t="b">
        <v>0</v>
      </c>
      <c r="G802" s="105" t="str">
        <f>IF(F802=True, IFERROR(VLOOKUP(D802, Repository!A:B, 2, 0), ""), "")</f>
        <v/>
      </c>
      <c r="H802" s="105"/>
      <c r="I802" s="105"/>
      <c r="J802" s="105" t="str">
        <f>IF(F802=True, IFERROR(VLOOKUP(D802, Repository!A:C, 3, 0), ""), "")</f>
        <v/>
      </c>
      <c r="K802" s="105"/>
      <c r="L802" s="105" t="str">
        <f>IF(F802=True, IFERROR(VLOOKUP(D802, Repository!A:E, 5, 0), ""), "")</f>
        <v/>
      </c>
      <c r="M802" s="105"/>
      <c r="N802" s="105" t="str">
        <f>IF(F802=True, IFERROR(VLOOKUP(D802, Repository!A:G, 7, 0), ""), "")</f>
        <v/>
      </c>
      <c r="O802" s="105" t="str">
        <f>IFERROR(__xludf.DUMMYFUNCTION("ARRAY_CONSTRAIN(
  ARRAYFORMULA(
    IFERROR(
      LET(
        list, N802,
        arr, TRIM(SPLIT(list, "","")),
        names, XLOOKUP(
          arr,
          'Conformance Score'!A:A,
          'Conformance Score'!B:B,
          ""Not found""
      "&amp;"  ),
        TEXTJOIN("", "", TRUE, names)
      ),
      """"
    )
  ),
  1,
  1
)
"),"")</f>
        <v/>
      </c>
      <c r="P802" s="105" t="str">
        <f>IF(F802="Yes", IFERROR(VLOOKUP(D802, Repository!A:F, 6, 0), ""), "")</f>
        <v/>
      </c>
      <c r="Q802" s="105" t="str">
        <f>IF(F802="Yes", IFERROR(VLOOKUP(D802, Repository!A:I, 8, 0), ""), "")</f>
        <v/>
      </c>
      <c r="R802" s="105" t="str">
        <f>IF(F802="Yes", IFERROR(VLOOKUP(D802, Repository!A:J, 9, 0), ""), "")</f>
        <v/>
      </c>
      <c r="S802" s="105"/>
      <c r="T802" s="105"/>
      <c r="U802" s="105"/>
      <c r="V802" s="105"/>
      <c r="W802" s="105"/>
      <c r="X802" s="105"/>
      <c r="Y802" s="105"/>
      <c r="Z802" s="105"/>
      <c r="AA802" s="105"/>
      <c r="AB802" s="105"/>
      <c r="AC802" s="91"/>
      <c r="AD802" s="105"/>
      <c r="AE802" s="105"/>
      <c r="AF802" s="91"/>
      <c r="AG802" s="105"/>
      <c r="AH802" s="105"/>
      <c r="AI802" s="105" t="str">
        <f t="shared" si="1"/>
        <v/>
      </c>
      <c r="AJ802" s="108" t="str">
        <f t="shared" si="2"/>
        <v/>
      </c>
    </row>
    <row r="803" ht="15.75" customHeight="1">
      <c r="A803" s="104"/>
      <c r="B803" s="105" t="str">
        <f>IFERROR(__xludf.DUMMYFUNCTION("ARRAY_CONSTRAIN(
  ARRAYFORMULA(
    IF(
      'Final Report'!A803="""",
      """",
      TEXTJOIN(
        "", "" &amp; CHAR(10),
        TRUE,
        IFERROR(
          VLOOKUP(
            TRIM(
              SPLIT('Final Report'!A803, "","")
           "&amp;" ),
            'URL Details'!A:B,
            2,
            FALSE
          ),
          """"
        )
      )
    )
  ),
  1,
  1
)
"),"")</f>
        <v/>
      </c>
      <c r="C803" s="105" t="str">
        <f>IFERROR(__xludf.DUMMYFUNCTION("IFERROR(IF('Final Report'!A803="""","""", TEXTJOIN(CHAR(10), TRUE, ARRAYFORMULA( ""• ""&amp; FILTER( TRIM(FLATTEN(SPLIT( REGEXREPLACE( SUBSTITUTE(TEXTJOIN("","", TRUE, IFERROR(ARRAYFORMULA(VLOOKUP(TRIM(SPLIT('Final Report'!A803, "","")), 'URL Details'!A:D, 4,"&amp;" FALSE)),"""") ), CHAR(10), "",""), ""\s*,\s*"", "",""), "",""))), TRIM(FLATTEN(SPLIT( REGEXREPLACE( SUBSTITUTE(TEXTJOIN("","", TRUE, IFERROR(ARRAYFORMULA(VLOOKUP(TRIM(SPLIT('Final Report'!A803, "","")), 'URL Details'!A:D, 4, FALSE)),"""") ), CHAR(10), """&amp;",""), ""\s*,\s*"", "",""), "","")))&lt;&gt;"""" ) ) ) ),"""")
"),"")</f>
        <v/>
      </c>
      <c r="D803" s="105"/>
      <c r="E803" s="105"/>
      <c r="F803" s="110" t="b">
        <v>0</v>
      </c>
      <c r="G803" s="105" t="str">
        <f>IF(F803=True, IFERROR(VLOOKUP(D803, Repository!A:B, 2, 0), ""), "")</f>
        <v/>
      </c>
      <c r="H803" s="105"/>
      <c r="I803" s="105"/>
      <c r="J803" s="105" t="str">
        <f>IF(F803=True, IFERROR(VLOOKUP(D803, Repository!A:C, 3, 0), ""), "")</f>
        <v/>
      </c>
      <c r="K803" s="105"/>
      <c r="L803" s="105" t="str">
        <f>IF(F803=True, IFERROR(VLOOKUP(D803, Repository!A:E, 5, 0), ""), "")</f>
        <v/>
      </c>
      <c r="M803" s="105"/>
      <c r="N803" s="105" t="str">
        <f>IF(F803=True, IFERROR(VLOOKUP(D803, Repository!A:G, 7, 0), ""), "")</f>
        <v/>
      </c>
      <c r="O803" s="105" t="str">
        <f>IFERROR(__xludf.DUMMYFUNCTION("ARRAY_CONSTRAIN(
  ARRAYFORMULA(
    IFERROR(
      LET(
        list, N803,
        arr, TRIM(SPLIT(list, "","")),
        names, XLOOKUP(
          arr,
          'Conformance Score'!A:A,
          'Conformance Score'!B:B,
          ""Not found""
      "&amp;"  ),
        TEXTJOIN("", "", TRUE, names)
      ),
      """"
    )
  ),
  1,
  1
)
"),"")</f>
        <v/>
      </c>
      <c r="P803" s="105" t="str">
        <f>IF(F803="Yes", IFERROR(VLOOKUP(D803, Repository!A:F, 6, 0), ""), "")</f>
        <v/>
      </c>
      <c r="Q803" s="105" t="str">
        <f>IF(F803="Yes", IFERROR(VLOOKUP(D803, Repository!A:I, 8, 0), ""), "")</f>
        <v/>
      </c>
      <c r="R803" s="105" t="str">
        <f>IF(F803="Yes", IFERROR(VLOOKUP(D803, Repository!A:J, 9, 0), ""), "")</f>
        <v/>
      </c>
      <c r="S803" s="105"/>
      <c r="T803" s="105"/>
      <c r="U803" s="105"/>
      <c r="V803" s="105"/>
      <c r="W803" s="105"/>
      <c r="X803" s="105"/>
      <c r="Y803" s="105"/>
      <c r="Z803" s="105"/>
      <c r="AA803" s="105"/>
      <c r="AB803" s="105"/>
      <c r="AC803" s="91"/>
      <c r="AD803" s="105"/>
      <c r="AE803" s="105"/>
      <c r="AF803" s="91"/>
      <c r="AG803" s="105"/>
      <c r="AH803" s="105"/>
      <c r="AI803" s="105" t="str">
        <f t="shared" si="1"/>
        <v/>
      </c>
      <c r="AJ803" s="108" t="str">
        <f t="shared" si="2"/>
        <v/>
      </c>
    </row>
    <row r="804" ht="15.75" customHeight="1">
      <c r="A804" s="104"/>
      <c r="B804" s="105" t="str">
        <f>IFERROR(__xludf.DUMMYFUNCTION("ARRAY_CONSTRAIN(
  ARRAYFORMULA(
    IF(
      'Final Report'!A804="""",
      """",
      TEXTJOIN(
        "", "" &amp; CHAR(10),
        TRUE,
        IFERROR(
          VLOOKUP(
            TRIM(
              SPLIT('Final Report'!A804, "","")
           "&amp;" ),
            'URL Details'!A:B,
            2,
            FALSE
          ),
          """"
        )
      )
    )
  ),
  1,
  1
)
"),"")</f>
        <v/>
      </c>
      <c r="C804" s="105" t="str">
        <f>IFERROR(__xludf.DUMMYFUNCTION("IFERROR(IF('Final Report'!A804="""","""", TEXTJOIN(CHAR(10), TRUE, ARRAYFORMULA( ""• ""&amp; FILTER( TRIM(FLATTEN(SPLIT( REGEXREPLACE( SUBSTITUTE(TEXTJOIN("","", TRUE, IFERROR(ARRAYFORMULA(VLOOKUP(TRIM(SPLIT('Final Report'!A804, "","")), 'URL Details'!A:D, 4,"&amp;" FALSE)),"""") ), CHAR(10), "",""), ""\s*,\s*"", "",""), "",""))), TRIM(FLATTEN(SPLIT( REGEXREPLACE( SUBSTITUTE(TEXTJOIN("","", TRUE, IFERROR(ARRAYFORMULA(VLOOKUP(TRIM(SPLIT('Final Report'!A804, "","")), 'URL Details'!A:D, 4, FALSE)),"""") ), CHAR(10), """&amp;",""), ""\s*,\s*"", "",""), "","")))&lt;&gt;"""" ) ) ) ),"""")
"),"")</f>
        <v/>
      </c>
      <c r="D804" s="105"/>
      <c r="E804" s="105"/>
      <c r="F804" s="110" t="b">
        <v>0</v>
      </c>
      <c r="G804" s="105" t="str">
        <f>IF(F804=True, IFERROR(VLOOKUP(D804, Repository!A:B, 2, 0), ""), "")</f>
        <v/>
      </c>
      <c r="H804" s="105"/>
      <c r="I804" s="105"/>
      <c r="J804" s="105" t="str">
        <f>IF(F804=True, IFERROR(VLOOKUP(D804, Repository!A:C, 3, 0), ""), "")</f>
        <v/>
      </c>
      <c r="K804" s="105"/>
      <c r="L804" s="105" t="str">
        <f>IF(F804=True, IFERROR(VLOOKUP(D804, Repository!A:E, 5, 0), ""), "")</f>
        <v/>
      </c>
      <c r="M804" s="105"/>
      <c r="N804" s="105" t="str">
        <f>IF(F804=True, IFERROR(VLOOKUP(D804, Repository!A:G, 7, 0), ""), "")</f>
        <v/>
      </c>
      <c r="O804" s="105" t="str">
        <f>IFERROR(__xludf.DUMMYFUNCTION("ARRAY_CONSTRAIN(
  ARRAYFORMULA(
    IFERROR(
      LET(
        list, N804,
        arr, TRIM(SPLIT(list, "","")),
        names, XLOOKUP(
          arr,
          'Conformance Score'!A:A,
          'Conformance Score'!B:B,
          ""Not found""
      "&amp;"  ),
        TEXTJOIN("", "", TRUE, names)
      ),
      """"
    )
  ),
  1,
  1
)
"),"")</f>
        <v/>
      </c>
      <c r="P804" s="105" t="str">
        <f>IF(F804="Yes", IFERROR(VLOOKUP(D804, Repository!A:F, 6, 0), ""), "")</f>
        <v/>
      </c>
      <c r="Q804" s="105" t="str">
        <f>IF(F804="Yes", IFERROR(VLOOKUP(D804, Repository!A:I, 8, 0), ""), "")</f>
        <v/>
      </c>
      <c r="R804" s="105" t="str">
        <f>IF(F804="Yes", IFERROR(VLOOKUP(D804, Repository!A:J, 9, 0), ""), "")</f>
        <v/>
      </c>
      <c r="S804" s="105"/>
      <c r="T804" s="105"/>
      <c r="U804" s="105"/>
      <c r="V804" s="105"/>
      <c r="W804" s="105"/>
      <c r="X804" s="105"/>
      <c r="Y804" s="105"/>
      <c r="Z804" s="105"/>
      <c r="AA804" s="105"/>
      <c r="AB804" s="105"/>
      <c r="AC804" s="91"/>
      <c r="AD804" s="105"/>
      <c r="AE804" s="105"/>
      <c r="AF804" s="91"/>
      <c r="AG804" s="105"/>
      <c r="AH804" s="105"/>
      <c r="AI804" s="105" t="str">
        <f t="shared" si="1"/>
        <v/>
      </c>
      <c r="AJ804" s="108" t="str">
        <f t="shared" si="2"/>
        <v/>
      </c>
    </row>
    <row r="805" ht="15.75" customHeight="1">
      <c r="A805" s="104"/>
      <c r="B805" s="105" t="str">
        <f>IFERROR(__xludf.DUMMYFUNCTION("ARRAY_CONSTRAIN(
  ARRAYFORMULA(
    IF(
      'Final Report'!A805="""",
      """",
      TEXTJOIN(
        "", "" &amp; CHAR(10),
        TRUE,
        IFERROR(
          VLOOKUP(
            TRIM(
              SPLIT('Final Report'!A805, "","")
           "&amp;" ),
            'URL Details'!A:B,
            2,
            FALSE
          ),
          """"
        )
      )
    )
  ),
  1,
  1
)
"),"")</f>
        <v/>
      </c>
      <c r="C805" s="105" t="str">
        <f>IFERROR(__xludf.DUMMYFUNCTION("IFERROR(IF('Final Report'!A805="""","""", TEXTJOIN(CHAR(10), TRUE, ARRAYFORMULA( ""• ""&amp; FILTER( TRIM(FLATTEN(SPLIT( REGEXREPLACE( SUBSTITUTE(TEXTJOIN("","", TRUE, IFERROR(ARRAYFORMULA(VLOOKUP(TRIM(SPLIT('Final Report'!A805, "","")), 'URL Details'!A:D, 4,"&amp;" FALSE)),"""") ), CHAR(10), "",""), ""\s*,\s*"", "",""), "",""))), TRIM(FLATTEN(SPLIT( REGEXREPLACE( SUBSTITUTE(TEXTJOIN("","", TRUE, IFERROR(ARRAYFORMULA(VLOOKUP(TRIM(SPLIT('Final Report'!A805, "","")), 'URL Details'!A:D, 4, FALSE)),"""") ), CHAR(10), """&amp;",""), ""\s*,\s*"", "",""), "","")))&lt;&gt;"""" ) ) ) ),"""")
"),"")</f>
        <v/>
      </c>
      <c r="D805" s="105"/>
      <c r="E805" s="105"/>
      <c r="F805" s="110" t="b">
        <v>0</v>
      </c>
      <c r="G805" s="105" t="str">
        <f>IF(F805=True, IFERROR(VLOOKUP(D805, Repository!A:B, 2, 0), ""), "")</f>
        <v/>
      </c>
      <c r="H805" s="105"/>
      <c r="I805" s="105"/>
      <c r="J805" s="105" t="str">
        <f>IF(F805=True, IFERROR(VLOOKUP(D805, Repository!A:C, 3, 0), ""), "")</f>
        <v/>
      </c>
      <c r="K805" s="105"/>
      <c r="L805" s="105" t="str">
        <f>IF(F805=True, IFERROR(VLOOKUP(D805, Repository!A:E, 5, 0), ""), "")</f>
        <v/>
      </c>
      <c r="M805" s="105"/>
      <c r="N805" s="105" t="str">
        <f>IF(F805=True, IFERROR(VLOOKUP(D805, Repository!A:G, 7, 0), ""), "")</f>
        <v/>
      </c>
      <c r="O805" s="105" t="str">
        <f>IFERROR(__xludf.DUMMYFUNCTION("ARRAY_CONSTRAIN(
  ARRAYFORMULA(
    IFERROR(
      LET(
        list, N805,
        arr, TRIM(SPLIT(list, "","")),
        names, XLOOKUP(
          arr,
          'Conformance Score'!A:A,
          'Conformance Score'!B:B,
          ""Not found""
      "&amp;"  ),
        TEXTJOIN("", "", TRUE, names)
      ),
      """"
    )
  ),
  1,
  1
)
"),"")</f>
        <v/>
      </c>
      <c r="P805" s="105" t="str">
        <f>IF(F805="Yes", IFERROR(VLOOKUP(D805, Repository!A:F, 6, 0), ""), "")</f>
        <v/>
      </c>
      <c r="Q805" s="105" t="str">
        <f>IF(F805="Yes", IFERROR(VLOOKUP(D805, Repository!A:I, 8, 0), ""), "")</f>
        <v/>
      </c>
      <c r="R805" s="105" t="str">
        <f>IF(F805="Yes", IFERROR(VLOOKUP(D805, Repository!A:J, 9, 0), ""), "")</f>
        <v/>
      </c>
      <c r="S805" s="105"/>
      <c r="T805" s="105"/>
      <c r="U805" s="105"/>
      <c r="V805" s="105"/>
      <c r="W805" s="105"/>
      <c r="X805" s="105"/>
      <c r="Y805" s="105"/>
      <c r="Z805" s="105"/>
      <c r="AA805" s="105"/>
      <c r="AB805" s="105"/>
      <c r="AC805" s="91"/>
      <c r="AD805" s="105"/>
      <c r="AE805" s="105"/>
      <c r="AF805" s="91"/>
      <c r="AG805" s="105"/>
      <c r="AH805" s="105"/>
      <c r="AI805" s="105" t="str">
        <f t="shared" si="1"/>
        <v/>
      </c>
      <c r="AJ805" s="108" t="str">
        <f t="shared" si="2"/>
        <v/>
      </c>
    </row>
    <row r="806" ht="15.75" customHeight="1">
      <c r="A806" s="104"/>
      <c r="B806" s="105" t="str">
        <f>IFERROR(__xludf.DUMMYFUNCTION("ARRAY_CONSTRAIN(
  ARRAYFORMULA(
    IF(
      'Final Report'!A806="""",
      """",
      TEXTJOIN(
        "", "" &amp; CHAR(10),
        TRUE,
        IFERROR(
          VLOOKUP(
            TRIM(
              SPLIT('Final Report'!A806, "","")
           "&amp;" ),
            'URL Details'!A:B,
            2,
            FALSE
          ),
          """"
        )
      )
    )
  ),
  1,
  1
)
"),"")</f>
        <v/>
      </c>
      <c r="C806" s="105" t="str">
        <f>IFERROR(__xludf.DUMMYFUNCTION("IFERROR(IF('Final Report'!A806="""","""", TEXTJOIN(CHAR(10), TRUE, ARRAYFORMULA( ""• ""&amp; FILTER( TRIM(FLATTEN(SPLIT( REGEXREPLACE( SUBSTITUTE(TEXTJOIN("","", TRUE, IFERROR(ARRAYFORMULA(VLOOKUP(TRIM(SPLIT('Final Report'!A806, "","")), 'URL Details'!A:D, 4,"&amp;" FALSE)),"""") ), CHAR(10), "",""), ""\s*,\s*"", "",""), "",""))), TRIM(FLATTEN(SPLIT( REGEXREPLACE( SUBSTITUTE(TEXTJOIN("","", TRUE, IFERROR(ARRAYFORMULA(VLOOKUP(TRIM(SPLIT('Final Report'!A806, "","")), 'URL Details'!A:D, 4, FALSE)),"""") ), CHAR(10), """&amp;",""), ""\s*,\s*"", "",""), "","")))&lt;&gt;"""" ) ) ) ),"""")
"),"")</f>
        <v/>
      </c>
      <c r="D806" s="105"/>
      <c r="E806" s="105"/>
      <c r="F806" s="110" t="b">
        <v>0</v>
      </c>
      <c r="G806" s="105" t="str">
        <f>IF(F806=True, IFERROR(VLOOKUP(D806, Repository!A:B, 2, 0), ""), "")</f>
        <v/>
      </c>
      <c r="H806" s="105"/>
      <c r="I806" s="105"/>
      <c r="J806" s="105" t="str">
        <f>IF(F806=True, IFERROR(VLOOKUP(D806, Repository!A:C, 3, 0), ""), "")</f>
        <v/>
      </c>
      <c r="K806" s="105"/>
      <c r="L806" s="105" t="str">
        <f>IF(F806=True, IFERROR(VLOOKUP(D806, Repository!A:E, 5, 0), ""), "")</f>
        <v/>
      </c>
      <c r="M806" s="105"/>
      <c r="N806" s="105" t="str">
        <f>IF(F806=True, IFERROR(VLOOKUP(D806, Repository!A:G, 7, 0), ""), "")</f>
        <v/>
      </c>
      <c r="O806" s="105" t="str">
        <f>IFERROR(__xludf.DUMMYFUNCTION("ARRAY_CONSTRAIN(
  ARRAYFORMULA(
    IFERROR(
      LET(
        list, N806,
        arr, TRIM(SPLIT(list, "","")),
        names, XLOOKUP(
          arr,
          'Conformance Score'!A:A,
          'Conformance Score'!B:B,
          ""Not found""
      "&amp;"  ),
        TEXTJOIN("", "", TRUE, names)
      ),
      """"
    )
  ),
  1,
  1
)
"),"")</f>
        <v/>
      </c>
      <c r="P806" s="105" t="str">
        <f>IF(F806="Yes", IFERROR(VLOOKUP(D806, Repository!A:F, 6, 0), ""), "")</f>
        <v/>
      </c>
      <c r="Q806" s="105" t="str">
        <f>IF(F806="Yes", IFERROR(VLOOKUP(D806, Repository!A:I, 8, 0), ""), "")</f>
        <v/>
      </c>
      <c r="R806" s="105" t="str">
        <f>IF(F806="Yes", IFERROR(VLOOKUP(D806, Repository!A:J, 9, 0), ""), "")</f>
        <v/>
      </c>
      <c r="S806" s="105"/>
      <c r="T806" s="105"/>
      <c r="U806" s="105"/>
      <c r="V806" s="105"/>
      <c r="W806" s="105"/>
      <c r="X806" s="105"/>
      <c r="Y806" s="105"/>
      <c r="Z806" s="105"/>
      <c r="AA806" s="105"/>
      <c r="AB806" s="105"/>
      <c r="AC806" s="91"/>
      <c r="AD806" s="105"/>
      <c r="AE806" s="105"/>
      <c r="AF806" s="91"/>
      <c r="AG806" s="105"/>
      <c r="AH806" s="105"/>
      <c r="AI806" s="105" t="str">
        <f t="shared" si="1"/>
        <v/>
      </c>
      <c r="AJ806" s="108" t="str">
        <f t="shared" si="2"/>
        <v/>
      </c>
    </row>
    <row r="807" ht="15.75" customHeight="1">
      <c r="A807" s="104"/>
      <c r="B807" s="105" t="str">
        <f>IFERROR(__xludf.DUMMYFUNCTION("ARRAY_CONSTRAIN(
  ARRAYFORMULA(
    IF(
      'Final Report'!A807="""",
      """",
      TEXTJOIN(
        "", "" &amp; CHAR(10),
        TRUE,
        IFERROR(
          VLOOKUP(
            TRIM(
              SPLIT('Final Report'!A807, "","")
           "&amp;" ),
            'URL Details'!A:B,
            2,
            FALSE
          ),
          """"
        )
      )
    )
  ),
  1,
  1
)
"),"")</f>
        <v/>
      </c>
      <c r="C807" s="105" t="str">
        <f>IFERROR(__xludf.DUMMYFUNCTION("IFERROR(IF('Final Report'!A807="""","""", TEXTJOIN(CHAR(10), TRUE, ARRAYFORMULA( ""• ""&amp; FILTER( TRIM(FLATTEN(SPLIT( REGEXREPLACE( SUBSTITUTE(TEXTJOIN("","", TRUE, IFERROR(ARRAYFORMULA(VLOOKUP(TRIM(SPLIT('Final Report'!A807, "","")), 'URL Details'!A:D, 4,"&amp;" FALSE)),"""") ), CHAR(10), "",""), ""\s*,\s*"", "",""), "",""))), TRIM(FLATTEN(SPLIT( REGEXREPLACE( SUBSTITUTE(TEXTJOIN("","", TRUE, IFERROR(ARRAYFORMULA(VLOOKUP(TRIM(SPLIT('Final Report'!A807, "","")), 'URL Details'!A:D, 4, FALSE)),"""") ), CHAR(10), """&amp;",""), ""\s*,\s*"", "",""), "","")))&lt;&gt;"""" ) ) ) ),"""")
"),"")</f>
        <v/>
      </c>
      <c r="D807" s="105"/>
      <c r="E807" s="105"/>
      <c r="F807" s="110" t="b">
        <v>0</v>
      </c>
      <c r="G807" s="105" t="str">
        <f>IF(F807=True, IFERROR(VLOOKUP(D807, Repository!A:B, 2, 0), ""), "")</f>
        <v/>
      </c>
      <c r="H807" s="105"/>
      <c r="I807" s="105"/>
      <c r="J807" s="105" t="str">
        <f>IF(F807=True, IFERROR(VLOOKUP(D807, Repository!A:C, 3, 0), ""), "")</f>
        <v/>
      </c>
      <c r="K807" s="105"/>
      <c r="L807" s="105" t="str">
        <f>IF(F807=True, IFERROR(VLOOKUP(D807, Repository!A:E, 5, 0), ""), "")</f>
        <v/>
      </c>
      <c r="M807" s="105"/>
      <c r="N807" s="105" t="str">
        <f>IF(F807=True, IFERROR(VLOOKUP(D807, Repository!A:G, 7, 0), ""), "")</f>
        <v/>
      </c>
      <c r="O807" s="105" t="str">
        <f>IFERROR(__xludf.DUMMYFUNCTION("ARRAY_CONSTRAIN(
  ARRAYFORMULA(
    IFERROR(
      LET(
        list, N807,
        arr, TRIM(SPLIT(list, "","")),
        names, XLOOKUP(
          arr,
          'Conformance Score'!A:A,
          'Conformance Score'!B:B,
          ""Not found""
      "&amp;"  ),
        TEXTJOIN("", "", TRUE, names)
      ),
      """"
    )
  ),
  1,
  1
)
"),"")</f>
        <v/>
      </c>
      <c r="P807" s="105" t="str">
        <f>IF(F807="Yes", IFERROR(VLOOKUP(D807, Repository!A:F, 6, 0), ""), "")</f>
        <v/>
      </c>
      <c r="Q807" s="105" t="str">
        <f>IF(F807="Yes", IFERROR(VLOOKUP(D807, Repository!A:I, 8, 0), ""), "")</f>
        <v/>
      </c>
      <c r="R807" s="105" t="str">
        <f>IF(F807="Yes", IFERROR(VLOOKUP(D807, Repository!A:J, 9, 0), ""), "")</f>
        <v/>
      </c>
      <c r="S807" s="105"/>
      <c r="T807" s="105"/>
      <c r="U807" s="105"/>
      <c r="V807" s="105"/>
      <c r="W807" s="105"/>
      <c r="X807" s="105"/>
      <c r="Y807" s="105"/>
      <c r="Z807" s="105"/>
      <c r="AA807" s="105"/>
      <c r="AB807" s="105"/>
      <c r="AC807" s="91"/>
      <c r="AD807" s="105"/>
      <c r="AE807" s="105"/>
      <c r="AF807" s="91"/>
      <c r="AG807" s="105"/>
      <c r="AH807" s="105"/>
      <c r="AI807" s="105" t="str">
        <f t="shared" si="1"/>
        <v/>
      </c>
      <c r="AJ807" s="108" t="str">
        <f t="shared" si="2"/>
        <v/>
      </c>
    </row>
    <row r="808" ht="15.75" customHeight="1">
      <c r="A808" s="104"/>
      <c r="B808" s="105" t="str">
        <f>IFERROR(__xludf.DUMMYFUNCTION("ARRAY_CONSTRAIN(
  ARRAYFORMULA(
    IF(
      'Final Report'!A808="""",
      """",
      TEXTJOIN(
        "", "" &amp; CHAR(10),
        TRUE,
        IFERROR(
          VLOOKUP(
            TRIM(
              SPLIT('Final Report'!A808, "","")
           "&amp;" ),
            'URL Details'!A:B,
            2,
            FALSE
          ),
          """"
        )
      )
    )
  ),
  1,
  1
)
"),"")</f>
        <v/>
      </c>
      <c r="C808" s="105" t="str">
        <f>IFERROR(__xludf.DUMMYFUNCTION("IFERROR(IF('Final Report'!A808="""","""", TEXTJOIN(CHAR(10), TRUE, ARRAYFORMULA( ""• ""&amp; FILTER( TRIM(FLATTEN(SPLIT( REGEXREPLACE( SUBSTITUTE(TEXTJOIN("","", TRUE, IFERROR(ARRAYFORMULA(VLOOKUP(TRIM(SPLIT('Final Report'!A808, "","")), 'URL Details'!A:D, 4,"&amp;" FALSE)),"""") ), CHAR(10), "",""), ""\s*,\s*"", "",""), "",""))), TRIM(FLATTEN(SPLIT( REGEXREPLACE( SUBSTITUTE(TEXTJOIN("","", TRUE, IFERROR(ARRAYFORMULA(VLOOKUP(TRIM(SPLIT('Final Report'!A808, "","")), 'URL Details'!A:D, 4, FALSE)),"""") ), CHAR(10), """&amp;",""), ""\s*,\s*"", "",""), "","")))&lt;&gt;"""" ) ) ) ),"""")
"),"")</f>
        <v/>
      </c>
      <c r="D808" s="105"/>
      <c r="E808" s="105"/>
      <c r="F808" s="110" t="b">
        <v>0</v>
      </c>
      <c r="G808" s="105" t="str">
        <f>IF(F808=True, IFERROR(VLOOKUP(D808, Repository!A:B, 2, 0), ""), "")</f>
        <v/>
      </c>
      <c r="H808" s="105"/>
      <c r="I808" s="105"/>
      <c r="J808" s="105" t="str">
        <f>IF(F808=True, IFERROR(VLOOKUP(D808, Repository!A:C, 3, 0), ""), "")</f>
        <v/>
      </c>
      <c r="K808" s="105"/>
      <c r="L808" s="105" t="str">
        <f>IF(F808=True, IFERROR(VLOOKUP(D808, Repository!A:E, 5, 0), ""), "")</f>
        <v/>
      </c>
      <c r="M808" s="105"/>
      <c r="N808" s="105" t="str">
        <f>IF(F808=True, IFERROR(VLOOKUP(D808, Repository!A:G, 7, 0), ""), "")</f>
        <v/>
      </c>
      <c r="O808" s="105" t="str">
        <f>IFERROR(__xludf.DUMMYFUNCTION("ARRAY_CONSTRAIN(
  ARRAYFORMULA(
    IFERROR(
      LET(
        list, N808,
        arr, TRIM(SPLIT(list, "","")),
        names, XLOOKUP(
          arr,
          'Conformance Score'!A:A,
          'Conformance Score'!B:B,
          ""Not found""
      "&amp;"  ),
        TEXTJOIN("", "", TRUE, names)
      ),
      """"
    )
  ),
  1,
  1
)
"),"")</f>
        <v/>
      </c>
      <c r="P808" s="105" t="str">
        <f>IF(F808="Yes", IFERROR(VLOOKUP(D808, Repository!A:F, 6, 0), ""), "")</f>
        <v/>
      </c>
      <c r="Q808" s="105" t="str">
        <f>IF(F808="Yes", IFERROR(VLOOKUP(D808, Repository!A:I, 8, 0), ""), "")</f>
        <v/>
      </c>
      <c r="R808" s="105" t="str">
        <f>IF(F808="Yes", IFERROR(VLOOKUP(D808, Repository!A:J, 9, 0), ""), "")</f>
        <v/>
      </c>
      <c r="S808" s="105"/>
      <c r="T808" s="105"/>
      <c r="U808" s="105"/>
      <c r="V808" s="105"/>
      <c r="W808" s="105"/>
      <c r="X808" s="105"/>
      <c r="Y808" s="105"/>
      <c r="Z808" s="105"/>
      <c r="AA808" s="105"/>
      <c r="AB808" s="105"/>
      <c r="AC808" s="91"/>
      <c r="AD808" s="105"/>
      <c r="AE808" s="105"/>
      <c r="AF808" s="91"/>
      <c r="AG808" s="105"/>
      <c r="AH808" s="105"/>
      <c r="AI808" s="105" t="str">
        <f t="shared" si="1"/>
        <v/>
      </c>
      <c r="AJ808" s="108" t="str">
        <f t="shared" si="2"/>
        <v/>
      </c>
    </row>
    <row r="809" ht="15.75" customHeight="1">
      <c r="A809" s="104"/>
      <c r="B809" s="105" t="str">
        <f>IFERROR(__xludf.DUMMYFUNCTION("ARRAY_CONSTRAIN(
  ARRAYFORMULA(
    IF(
      'Final Report'!A809="""",
      """",
      TEXTJOIN(
        "", "" &amp; CHAR(10),
        TRUE,
        IFERROR(
          VLOOKUP(
            TRIM(
              SPLIT('Final Report'!A809, "","")
           "&amp;" ),
            'URL Details'!A:B,
            2,
            FALSE
          ),
          """"
        )
      )
    )
  ),
  1,
  1
)
"),"")</f>
        <v/>
      </c>
      <c r="C809" s="105" t="str">
        <f>IFERROR(__xludf.DUMMYFUNCTION("IFERROR(IF('Final Report'!A809="""","""", TEXTJOIN(CHAR(10), TRUE, ARRAYFORMULA( ""• ""&amp; FILTER( TRIM(FLATTEN(SPLIT( REGEXREPLACE( SUBSTITUTE(TEXTJOIN("","", TRUE, IFERROR(ARRAYFORMULA(VLOOKUP(TRIM(SPLIT('Final Report'!A809, "","")), 'URL Details'!A:D, 4,"&amp;" FALSE)),"""") ), CHAR(10), "",""), ""\s*,\s*"", "",""), "",""))), TRIM(FLATTEN(SPLIT( REGEXREPLACE( SUBSTITUTE(TEXTJOIN("","", TRUE, IFERROR(ARRAYFORMULA(VLOOKUP(TRIM(SPLIT('Final Report'!A809, "","")), 'URL Details'!A:D, 4, FALSE)),"""") ), CHAR(10), """&amp;",""), ""\s*,\s*"", "",""), "","")))&lt;&gt;"""" ) ) ) ),"""")
"),"")</f>
        <v/>
      </c>
      <c r="D809" s="105"/>
      <c r="E809" s="105"/>
      <c r="F809" s="110" t="b">
        <v>0</v>
      </c>
      <c r="G809" s="105" t="str">
        <f>IF(F809=True, IFERROR(VLOOKUP(D809, Repository!A:B, 2, 0), ""), "")</f>
        <v/>
      </c>
      <c r="H809" s="105"/>
      <c r="I809" s="105"/>
      <c r="J809" s="105" t="str">
        <f>IF(F809=True, IFERROR(VLOOKUP(D809, Repository!A:C, 3, 0), ""), "")</f>
        <v/>
      </c>
      <c r="K809" s="105"/>
      <c r="L809" s="105" t="str">
        <f>IF(F809=True, IFERROR(VLOOKUP(D809, Repository!A:E, 5, 0), ""), "")</f>
        <v/>
      </c>
      <c r="M809" s="105"/>
      <c r="N809" s="105" t="str">
        <f>IF(F809=True, IFERROR(VLOOKUP(D809, Repository!A:G, 7, 0), ""), "")</f>
        <v/>
      </c>
      <c r="O809" s="105" t="str">
        <f>IFERROR(__xludf.DUMMYFUNCTION("ARRAY_CONSTRAIN(
  ARRAYFORMULA(
    IFERROR(
      LET(
        list, N809,
        arr, TRIM(SPLIT(list, "","")),
        names, XLOOKUP(
          arr,
          'Conformance Score'!A:A,
          'Conformance Score'!B:B,
          ""Not found""
      "&amp;"  ),
        TEXTJOIN("", "", TRUE, names)
      ),
      """"
    )
  ),
  1,
  1
)
"),"")</f>
        <v/>
      </c>
      <c r="P809" s="105" t="str">
        <f>IF(F809="Yes", IFERROR(VLOOKUP(D809, Repository!A:F, 6, 0), ""), "")</f>
        <v/>
      </c>
      <c r="Q809" s="105" t="str">
        <f>IF(F809="Yes", IFERROR(VLOOKUP(D809, Repository!A:I, 8, 0), ""), "")</f>
        <v/>
      </c>
      <c r="R809" s="105" t="str">
        <f>IF(F809="Yes", IFERROR(VLOOKUP(D809, Repository!A:J, 9, 0), ""), "")</f>
        <v/>
      </c>
      <c r="S809" s="105"/>
      <c r="T809" s="105"/>
      <c r="U809" s="105"/>
      <c r="V809" s="105"/>
      <c r="W809" s="105"/>
      <c r="X809" s="105"/>
      <c r="Y809" s="105"/>
      <c r="Z809" s="105"/>
      <c r="AA809" s="105"/>
      <c r="AB809" s="105"/>
      <c r="AC809" s="91"/>
      <c r="AD809" s="105"/>
      <c r="AE809" s="105"/>
      <c r="AF809" s="91"/>
      <c r="AG809" s="105"/>
      <c r="AH809" s="105"/>
      <c r="AI809" s="105" t="str">
        <f t="shared" si="1"/>
        <v/>
      </c>
      <c r="AJ809" s="108" t="str">
        <f t="shared" si="2"/>
        <v/>
      </c>
    </row>
    <row r="810" ht="15.75" customHeight="1">
      <c r="A810" s="104"/>
      <c r="B810" s="105" t="str">
        <f>IFERROR(__xludf.DUMMYFUNCTION("ARRAY_CONSTRAIN(
  ARRAYFORMULA(
    IF(
      'Final Report'!A810="""",
      """",
      TEXTJOIN(
        "", "" &amp; CHAR(10),
        TRUE,
        IFERROR(
          VLOOKUP(
            TRIM(
              SPLIT('Final Report'!A810, "","")
           "&amp;" ),
            'URL Details'!A:B,
            2,
            FALSE
          ),
          """"
        )
      )
    )
  ),
  1,
  1
)
"),"")</f>
        <v/>
      </c>
      <c r="C810" s="105" t="str">
        <f>IFERROR(__xludf.DUMMYFUNCTION("IFERROR(IF('Final Report'!A810="""","""", TEXTJOIN(CHAR(10), TRUE, ARRAYFORMULA( ""• ""&amp; FILTER( TRIM(FLATTEN(SPLIT( REGEXREPLACE( SUBSTITUTE(TEXTJOIN("","", TRUE, IFERROR(ARRAYFORMULA(VLOOKUP(TRIM(SPLIT('Final Report'!A810, "","")), 'URL Details'!A:D, 4,"&amp;" FALSE)),"""") ), CHAR(10), "",""), ""\s*,\s*"", "",""), "",""))), TRIM(FLATTEN(SPLIT( REGEXREPLACE( SUBSTITUTE(TEXTJOIN("","", TRUE, IFERROR(ARRAYFORMULA(VLOOKUP(TRIM(SPLIT('Final Report'!A810, "","")), 'URL Details'!A:D, 4, FALSE)),"""") ), CHAR(10), """&amp;",""), ""\s*,\s*"", "",""), "","")))&lt;&gt;"""" ) ) ) ),"""")
"),"")</f>
        <v/>
      </c>
      <c r="D810" s="105"/>
      <c r="E810" s="105"/>
      <c r="F810" s="110" t="b">
        <v>0</v>
      </c>
      <c r="G810" s="105" t="str">
        <f>IF(F810=True, IFERROR(VLOOKUP(D810, Repository!A:B, 2, 0), ""), "")</f>
        <v/>
      </c>
      <c r="H810" s="105"/>
      <c r="I810" s="105"/>
      <c r="J810" s="105" t="str">
        <f>IF(F810=True, IFERROR(VLOOKUP(D810, Repository!A:C, 3, 0), ""), "")</f>
        <v/>
      </c>
      <c r="K810" s="105"/>
      <c r="L810" s="105" t="str">
        <f>IF(F810=True, IFERROR(VLOOKUP(D810, Repository!A:E, 5, 0), ""), "")</f>
        <v/>
      </c>
      <c r="M810" s="105"/>
      <c r="N810" s="105" t="str">
        <f>IF(F810=True, IFERROR(VLOOKUP(D810, Repository!A:G, 7, 0), ""), "")</f>
        <v/>
      </c>
      <c r="O810" s="105" t="str">
        <f>IFERROR(__xludf.DUMMYFUNCTION("ARRAY_CONSTRAIN(
  ARRAYFORMULA(
    IFERROR(
      LET(
        list, N810,
        arr, TRIM(SPLIT(list, "","")),
        names, XLOOKUP(
          arr,
          'Conformance Score'!A:A,
          'Conformance Score'!B:B,
          ""Not found""
      "&amp;"  ),
        TEXTJOIN("", "", TRUE, names)
      ),
      """"
    )
  ),
  1,
  1
)
"),"")</f>
        <v/>
      </c>
      <c r="P810" s="105" t="str">
        <f>IF(F810="Yes", IFERROR(VLOOKUP(D810, Repository!A:F, 6, 0), ""), "")</f>
        <v/>
      </c>
      <c r="Q810" s="105" t="str">
        <f>IF(F810="Yes", IFERROR(VLOOKUP(D810, Repository!A:I, 8, 0), ""), "")</f>
        <v/>
      </c>
      <c r="R810" s="105" t="str">
        <f>IF(F810="Yes", IFERROR(VLOOKUP(D810, Repository!A:J, 9, 0), ""), "")</f>
        <v/>
      </c>
      <c r="S810" s="105"/>
      <c r="T810" s="105"/>
      <c r="U810" s="105"/>
      <c r="V810" s="105"/>
      <c r="W810" s="105"/>
      <c r="X810" s="105"/>
      <c r="Y810" s="105"/>
      <c r="Z810" s="105"/>
      <c r="AA810" s="105"/>
      <c r="AB810" s="105"/>
      <c r="AC810" s="91"/>
      <c r="AD810" s="105"/>
      <c r="AE810" s="105"/>
      <c r="AF810" s="91"/>
      <c r="AG810" s="105"/>
      <c r="AH810" s="105"/>
      <c r="AI810" s="105" t="str">
        <f t="shared" si="1"/>
        <v/>
      </c>
      <c r="AJ810" s="108" t="str">
        <f t="shared" si="2"/>
        <v/>
      </c>
    </row>
    <row r="811" ht="15.75" customHeight="1">
      <c r="A811" s="104"/>
      <c r="B811" s="105" t="str">
        <f>IFERROR(__xludf.DUMMYFUNCTION("ARRAY_CONSTRAIN(
  ARRAYFORMULA(
    IF(
      'Final Report'!A811="""",
      """",
      TEXTJOIN(
        "", "" &amp; CHAR(10),
        TRUE,
        IFERROR(
          VLOOKUP(
            TRIM(
              SPLIT('Final Report'!A811, "","")
           "&amp;" ),
            'URL Details'!A:B,
            2,
            FALSE
          ),
          """"
        )
      )
    )
  ),
  1,
  1
)
"),"")</f>
        <v/>
      </c>
      <c r="C811" s="105" t="str">
        <f>IFERROR(__xludf.DUMMYFUNCTION("IFERROR(IF('Final Report'!A811="""","""", TEXTJOIN(CHAR(10), TRUE, ARRAYFORMULA( ""• ""&amp; FILTER( TRIM(FLATTEN(SPLIT( REGEXREPLACE( SUBSTITUTE(TEXTJOIN("","", TRUE, IFERROR(ARRAYFORMULA(VLOOKUP(TRIM(SPLIT('Final Report'!A811, "","")), 'URL Details'!A:D, 4,"&amp;" FALSE)),"""") ), CHAR(10), "",""), ""\s*,\s*"", "",""), "",""))), TRIM(FLATTEN(SPLIT( REGEXREPLACE( SUBSTITUTE(TEXTJOIN("","", TRUE, IFERROR(ARRAYFORMULA(VLOOKUP(TRIM(SPLIT('Final Report'!A811, "","")), 'URL Details'!A:D, 4, FALSE)),"""") ), CHAR(10), """&amp;",""), ""\s*,\s*"", "",""), "","")))&lt;&gt;"""" ) ) ) ),"""")
"),"")</f>
        <v/>
      </c>
      <c r="D811" s="105"/>
      <c r="E811" s="105"/>
      <c r="F811" s="110" t="b">
        <v>0</v>
      </c>
      <c r="G811" s="105" t="str">
        <f>IF(F811=True, IFERROR(VLOOKUP(D811, Repository!A:B, 2, 0), ""), "")</f>
        <v/>
      </c>
      <c r="H811" s="105"/>
      <c r="I811" s="105"/>
      <c r="J811" s="105" t="str">
        <f>IF(F811=True, IFERROR(VLOOKUP(D811, Repository!A:C, 3, 0), ""), "")</f>
        <v/>
      </c>
      <c r="K811" s="105"/>
      <c r="L811" s="105" t="str">
        <f>IF(F811=True, IFERROR(VLOOKUP(D811, Repository!A:E, 5, 0), ""), "")</f>
        <v/>
      </c>
      <c r="M811" s="105"/>
      <c r="N811" s="105" t="str">
        <f>IF(F811=True, IFERROR(VLOOKUP(D811, Repository!A:G, 7, 0), ""), "")</f>
        <v/>
      </c>
      <c r="O811" s="105" t="str">
        <f>IFERROR(__xludf.DUMMYFUNCTION("ARRAY_CONSTRAIN(
  ARRAYFORMULA(
    IFERROR(
      LET(
        list, N811,
        arr, TRIM(SPLIT(list, "","")),
        names, XLOOKUP(
          arr,
          'Conformance Score'!A:A,
          'Conformance Score'!B:B,
          ""Not found""
      "&amp;"  ),
        TEXTJOIN("", "", TRUE, names)
      ),
      """"
    )
  ),
  1,
  1
)
"),"")</f>
        <v/>
      </c>
      <c r="P811" s="105" t="str">
        <f>IF(F811="Yes", IFERROR(VLOOKUP(D811, Repository!A:F, 6, 0), ""), "")</f>
        <v/>
      </c>
      <c r="Q811" s="105" t="str">
        <f>IF(F811="Yes", IFERROR(VLOOKUP(D811, Repository!A:I, 8, 0), ""), "")</f>
        <v/>
      </c>
      <c r="R811" s="105" t="str">
        <f>IF(F811="Yes", IFERROR(VLOOKUP(D811, Repository!A:J, 9, 0), ""), "")</f>
        <v/>
      </c>
      <c r="S811" s="105"/>
      <c r="T811" s="105"/>
      <c r="U811" s="105"/>
      <c r="V811" s="105"/>
      <c r="W811" s="105"/>
      <c r="X811" s="105"/>
      <c r="Y811" s="105"/>
      <c r="Z811" s="105"/>
      <c r="AA811" s="105"/>
      <c r="AB811" s="105"/>
      <c r="AC811" s="91"/>
      <c r="AD811" s="105"/>
      <c r="AE811" s="105"/>
      <c r="AF811" s="91"/>
      <c r="AG811" s="105"/>
      <c r="AH811" s="105"/>
      <c r="AI811" s="105" t="str">
        <f t="shared" si="1"/>
        <v/>
      </c>
      <c r="AJ811" s="108" t="str">
        <f t="shared" si="2"/>
        <v/>
      </c>
    </row>
    <row r="812" ht="15.75" customHeight="1">
      <c r="A812" s="104"/>
      <c r="B812" s="105" t="str">
        <f>IFERROR(__xludf.DUMMYFUNCTION("ARRAY_CONSTRAIN(
  ARRAYFORMULA(
    IF(
      'Final Report'!A812="""",
      """",
      TEXTJOIN(
        "", "" &amp; CHAR(10),
        TRUE,
        IFERROR(
          VLOOKUP(
            TRIM(
              SPLIT('Final Report'!A812, "","")
           "&amp;" ),
            'URL Details'!A:B,
            2,
            FALSE
          ),
          """"
        )
      )
    )
  ),
  1,
  1
)
"),"")</f>
        <v/>
      </c>
      <c r="C812" s="105" t="str">
        <f>IFERROR(__xludf.DUMMYFUNCTION("IFERROR(IF('Final Report'!A812="""","""", TEXTJOIN(CHAR(10), TRUE, ARRAYFORMULA( ""• ""&amp; FILTER( TRIM(FLATTEN(SPLIT( REGEXREPLACE( SUBSTITUTE(TEXTJOIN("","", TRUE, IFERROR(ARRAYFORMULA(VLOOKUP(TRIM(SPLIT('Final Report'!A812, "","")), 'URL Details'!A:D, 4,"&amp;" FALSE)),"""") ), CHAR(10), "",""), ""\s*,\s*"", "",""), "",""))), TRIM(FLATTEN(SPLIT( REGEXREPLACE( SUBSTITUTE(TEXTJOIN("","", TRUE, IFERROR(ARRAYFORMULA(VLOOKUP(TRIM(SPLIT('Final Report'!A812, "","")), 'URL Details'!A:D, 4, FALSE)),"""") ), CHAR(10), """&amp;",""), ""\s*,\s*"", "",""), "","")))&lt;&gt;"""" ) ) ) ),"""")
"),"")</f>
        <v/>
      </c>
      <c r="D812" s="105"/>
      <c r="E812" s="105"/>
      <c r="F812" s="110" t="b">
        <v>0</v>
      </c>
      <c r="G812" s="105" t="str">
        <f>IF(F812=True, IFERROR(VLOOKUP(D812, Repository!A:B, 2, 0), ""), "")</f>
        <v/>
      </c>
      <c r="H812" s="105"/>
      <c r="I812" s="105"/>
      <c r="J812" s="105" t="str">
        <f>IF(F812=True, IFERROR(VLOOKUP(D812, Repository!A:C, 3, 0), ""), "")</f>
        <v/>
      </c>
      <c r="K812" s="105"/>
      <c r="L812" s="105" t="str">
        <f>IF(F812=True, IFERROR(VLOOKUP(D812, Repository!A:E, 5, 0), ""), "")</f>
        <v/>
      </c>
      <c r="M812" s="105"/>
      <c r="N812" s="105" t="str">
        <f>IF(F812=True, IFERROR(VLOOKUP(D812, Repository!A:G, 7, 0), ""), "")</f>
        <v/>
      </c>
      <c r="O812" s="105" t="str">
        <f>IFERROR(__xludf.DUMMYFUNCTION("ARRAY_CONSTRAIN(
  ARRAYFORMULA(
    IFERROR(
      LET(
        list, N812,
        arr, TRIM(SPLIT(list, "","")),
        names, XLOOKUP(
          arr,
          'Conformance Score'!A:A,
          'Conformance Score'!B:B,
          ""Not found""
      "&amp;"  ),
        TEXTJOIN("", "", TRUE, names)
      ),
      """"
    )
  ),
  1,
  1
)
"),"")</f>
        <v/>
      </c>
      <c r="P812" s="105" t="str">
        <f>IF(F812="Yes", IFERROR(VLOOKUP(D812, Repository!A:F, 6, 0), ""), "")</f>
        <v/>
      </c>
      <c r="Q812" s="105" t="str">
        <f>IF(F812="Yes", IFERROR(VLOOKUP(D812, Repository!A:I, 8, 0), ""), "")</f>
        <v/>
      </c>
      <c r="R812" s="105" t="str">
        <f>IF(F812="Yes", IFERROR(VLOOKUP(D812, Repository!A:J, 9, 0), ""), "")</f>
        <v/>
      </c>
      <c r="S812" s="105"/>
      <c r="T812" s="105"/>
      <c r="U812" s="105"/>
      <c r="V812" s="105"/>
      <c r="W812" s="105"/>
      <c r="X812" s="105"/>
      <c r="Y812" s="105"/>
      <c r="Z812" s="105"/>
      <c r="AA812" s="105"/>
      <c r="AB812" s="105"/>
      <c r="AC812" s="91"/>
      <c r="AD812" s="105"/>
      <c r="AE812" s="105"/>
      <c r="AF812" s="91"/>
      <c r="AG812" s="105"/>
      <c r="AH812" s="105"/>
      <c r="AI812" s="105" t="str">
        <f t="shared" si="1"/>
        <v/>
      </c>
      <c r="AJ812" s="108" t="str">
        <f t="shared" si="2"/>
        <v/>
      </c>
    </row>
    <row r="813" ht="15.75" customHeight="1">
      <c r="A813" s="104"/>
      <c r="B813" s="105" t="str">
        <f>IFERROR(__xludf.DUMMYFUNCTION("ARRAY_CONSTRAIN(
  ARRAYFORMULA(
    IF(
      'Final Report'!A813="""",
      """",
      TEXTJOIN(
        "", "" &amp; CHAR(10),
        TRUE,
        IFERROR(
          VLOOKUP(
            TRIM(
              SPLIT('Final Report'!A813, "","")
           "&amp;" ),
            'URL Details'!A:B,
            2,
            FALSE
          ),
          """"
        )
      )
    )
  ),
  1,
  1
)
"),"")</f>
        <v/>
      </c>
      <c r="C813" s="105" t="str">
        <f>IFERROR(__xludf.DUMMYFUNCTION("IFERROR(IF('Final Report'!A813="""","""", TEXTJOIN(CHAR(10), TRUE, ARRAYFORMULA( ""• ""&amp; FILTER( TRIM(FLATTEN(SPLIT( REGEXREPLACE( SUBSTITUTE(TEXTJOIN("","", TRUE, IFERROR(ARRAYFORMULA(VLOOKUP(TRIM(SPLIT('Final Report'!A813, "","")), 'URL Details'!A:D, 4,"&amp;" FALSE)),"""") ), CHAR(10), "",""), ""\s*,\s*"", "",""), "",""))), TRIM(FLATTEN(SPLIT( REGEXREPLACE( SUBSTITUTE(TEXTJOIN("","", TRUE, IFERROR(ARRAYFORMULA(VLOOKUP(TRIM(SPLIT('Final Report'!A813, "","")), 'URL Details'!A:D, 4, FALSE)),"""") ), CHAR(10), """&amp;",""), ""\s*,\s*"", "",""), "","")))&lt;&gt;"""" ) ) ) ),"""")
"),"")</f>
        <v/>
      </c>
      <c r="D813" s="105"/>
      <c r="E813" s="105"/>
      <c r="F813" s="110" t="b">
        <v>0</v>
      </c>
      <c r="G813" s="105" t="str">
        <f>IF(F813=True, IFERROR(VLOOKUP(D813, Repository!A:B, 2, 0), ""), "")</f>
        <v/>
      </c>
      <c r="H813" s="105"/>
      <c r="I813" s="105"/>
      <c r="J813" s="105" t="str">
        <f>IF(F813=True, IFERROR(VLOOKUP(D813, Repository!A:C, 3, 0), ""), "")</f>
        <v/>
      </c>
      <c r="K813" s="105"/>
      <c r="L813" s="105" t="str">
        <f>IF(F813=True, IFERROR(VLOOKUP(D813, Repository!A:E, 5, 0), ""), "")</f>
        <v/>
      </c>
      <c r="M813" s="105"/>
      <c r="N813" s="105" t="str">
        <f>IF(F813=True, IFERROR(VLOOKUP(D813, Repository!A:G, 7, 0), ""), "")</f>
        <v/>
      </c>
      <c r="O813" s="105" t="str">
        <f>IFERROR(__xludf.DUMMYFUNCTION("ARRAY_CONSTRAIN(
  ARRAYFORMULA(
    IFERROR(
      LET(
        list, N813,
        arr, TRIM(SPLIT(list, "","")),
        names, XLOOKUP(
          arr,
          'Conformance Score'!A:A,
          'Conformance Score'!B:B,
          ""Not found""
      "&amp;"  ),
        TEXTJOIN("", "", TRUE, names)
      ),
      """"
    )
  ),
  1,
  1
)
"),"")</f>
        <v/>
      </c>
      <c r="P813" s="105" t="str">
        <f>IF(F813="Yes", IFERROR(VLOOKUP(D813, Repository!A:F, 6, 0), ""), "")</f>
        <v/>
      </c>
      <c r="Q813" s="105" t="str">
        <f>IF(F813="Yes", IFERROR(VLOOKUP(D813, Repository!A:I, 8, 0), ""), "")</f>
        <v/>
      </c>
      <c r="R813" s="105" t="str">
        <f>IF(F813="Yes", IFERROR(VLOOKUP(D813, Repository!A:J, 9, 0), ""), "")</f>
        <v/>
      </c>
      <c r="S813" s="105"/>
      <c r="T813" s="105"/>
      <c r="U813" s="105"/>
      <c r="V813" s="105"/>
      <c r="W813" s="105"/>
      <c r="X813" s="105"/>
      <c r="Y813" s="105"/>
      <c r="Z813" s="105"/>
      <c r="AA813" s="105"/>
      <c r="AB813" s="105"/>
      <c r="AC813" s="91"/>
      <c r="AD813" s="105"/>
      <c r="AE813" s="105"/>
      <c r="AF813" s="91"/>
      <c r="AG813" s="105"/>
      <c r="AH813" s="105"/>
      <c r="AI813" s="105" t="str">
        <f t="shared" si="1"/>
        <v/>
      </c>
      <c r="AJ813" s="108" t="str">
        <f t="shared" si="2"/>
        <v/>
      </c>
    </row>
    <row r="814" ht="15.75" customHeight="1">
      <c r="A814" s="104"/>
      <c r="B814" s="105" t="str">
        <f>IFERROR(__xludf.DUMMYFUNCTION("ARRAY_CONSTRAIN(
  ARRAYFORMULA(
    IF(
      'Final Report'!A814="""",
      """",
      TEXTJOIN(
        "", "" &amp; CHAR(10),
        TRUE,
        IFERROR(
          VLOOKUP(
            TRIM(
              SPLIT('Final Report'!A814, "","")
           "&amp;" ),
            'URL Details'!A:B,
            2,
            FALSE
          ),
          """"
        )
      )
    )
  ),
  1,
  1
)
"),"")</f>
        <v/>
      </c>
      <c r="C814" s="105" t="str">
        <f>IFERROR(__xludf.DUMMYFUNCTION("IFERROR(IF('Final Report'!A814="""","""", TEXTJOIN(CHAR(10), TRUE, ARRAYFORMULA( ""• ""&amp; FILTER( TRIM(FLATTEN(SPLIT( REGEXREPLACE( SUBSTITUTE(TEXTJOIN("","", TRUE, IFERROR(ARRAYFORMULA(VLOOKUP(TRIM(SPLIT('Final Report'!A814, "","")), 'URL Details'!A:D, 4,"&amp;" FALSE)),"""") ), CHAR(10), "",""), ""\s*,\s*"", "",""), "",""))), TRIM(FLATTEN(SPLIT( REGEXREPLACE( SUBSTITUTE(TEXTJOIN("","", TRUE, IFERROR(ARRAYFORMULA(VLOOKUP(TRIM(SPLIT('Final Report'!A814, "","")), 'URL Details'!A:D, 4, FALSE)),"""") ), CHAR(10), """&amp;",""), ""\s*,\s*"", "",""), "","")))&lt;&gt;"""" ) ) ) ),"""")
"),"")</f>
        <v/>
      </c>
      <c r="D814" s="105"/>
      <c r="E814" s="105"/>
      <c r="F814" s="110" t="b">
        <v>0</v>
      </c>
      <c r="G814" s="105" t="str">
        <f>IF(F814=True, IFERROR(VLOOKUP(D814, Repository!A:B, 2, 0), ""), "")</f>
        <v/>
      </c>
      <c r="H814" s="105"/>
      <c r="I814" s="105"/>
      <c r="J814" s="105" t="str">
        <f>IF(F814=True, IFERROR(VLOOKUP(D814, Repository!A:C, 3, 0), ""), "")</f>
        <v/>
      </c>
      <c r="K814" s="105"/>
      <c r="L814" s="105" t="str">
        <f>IF(F814=True, IFERROR(VLOOKUP(D814, Repository!A:E, 5, 0), ""), "")</f>
        <v/>
      </c>
      <c r="M814" s="105"/>
      <c r="N814" s="105" t="str">
        <f>IF(F814=True, IFERROR(VLOOKUP(D814, Repository!A:G, 7, 0), ""), "")</f>
        <v/>
      </c>
      <c r="O814" s="105" t="str">
        <f>IFERROR(__xludf.DUMMYFUNCTION("ARRAY_CONSTRAIN(
  ARRAYFORMULA(
    IFERROR(
      LET(
        list, N814,
        arr, TRIM(SPLIT(list, "","")),
        names, XLOOKUP(
          arr,
          'Conformance Score'!A:A,
          'Conformance Score'!B:B,
          ""Not found""
      "&amp;"  ),
        TEXTJOIN("", "", TRUE, names)
      ),
      """"
    )
  ),
  1,
  1
)
"),"")</f>
        <v/>
      </c>
      <c r="P814" s="105" t="str">
        <f>IF(F814="Yes", IFERROR(VLOOKUP(D814, Repository!A:F, 6, 0), ""), "")</f>
        <v/>
      </c>
      <c r="Q814" s="105" t="str">
        <f>IF(F814="Yes", IFERROR(VLOOKUP(D814, Repository!A:I, 8, 0), ""), "")</f>
        <v/>
      </c>
      <c r="R814" s="105" t="str">
        <f>IF(F814="Yes", IFERROR(VLOOKUP(D814, Repository!A:J, 9, 0), ""), "")</f>
        <v/>
      </c>
      <c r="S814" s="105"/>
      <c r="T814" s="105"/>
      <c r="U814" s="105"/>
      <c r="V814" s="105"/>
      <c r="W814" s="105"/>
      <c r="X814" s="105"/>
      <c r="Y814" s="105"/>
      <c r="Z814" s="105"/>
      <c r="AA814" s="105"/>
      <c r="AB814" s="105"/>
      <c r="AC814" s="91"/>
      <c r="AD814" s="105"/>
      <c r="AE814" s="105"/>
      <c r="AF814" s="91"/>
      <c r="AG814" s="105"/>
      <c r="AH814" s="105"/>
      <c r="AI814" s="105" t="str">
        <f t="shared" si="1"/>
        <v/>
      </c>
      <c r="AJ814" s="108" t="str">
        <f t="shared" si="2"/>
        <v/>
      </c>
    </row>
    <row r="815" ht="15.75" customHeight="1">
      <c r="A815" s="104"/>
      <c r="B815" s="105" t="str">
        <f>IFERROR(__xludf.DUMMYFUNCTION("ARRAY_CONSTRAIN(
  ARRAYFORMULA(
    IF(
      'Final Report'!A815="""",
      """",
      TEXTJOIN(
        "", "" &amp; CHAR(10),
        TRUE,
        IFERROR(
          VLOOKUP(
            TRIM(
              SPLIT('Final Report'!A815, "","")
           "&amp;" ),
            'URL Details'!A:B,
            2,
            FALSE
          ),
          """"
        )
      )
    )
  ),
  1,
  1
)
"),"")</f>
        <v/>
      </c>
      <c r="C815" s="105" t="str">
        <f>IFERROR(__xludf.DUMMYFUNCTION("IFERROR(IF('Final Report'!A815="""","""", TEXTJOIN(CHAR(10), TRUE, ARRAYFORMULA( ""• ""&amp; FILTER( TRIM(FLATTEN(SPLIT( REGEXREPLACE( SUBSTITUTE(TEXTJOIN("","", TRUE, IFERROR(ARRAYFORMULA(VLOOKUP(TRIM(SPLIT('Final Report'!A815, "","")), 'URL Details'!A:D, 4,"&amp;" FALSE)),"""") ), CHAR(10), "",""), ""\s*,\s*"", "",""), "",""))), TRIM(FLATTEN(SPLIT( REGEXREPLACE( SUBSTITUTE(TEXTJOIN("","", TRUE, IFERROR(ARRAYFORMULA(VLOOKUP(TRIM(SPLIT('Final Report'!A815, "","")), 'URL Details'!A:D, 4, FALSE)),"""") ), CHAR(10), """&amp;",""), ""\s*,\s*"", "",""), "","")))&lt;&gt;"""" ) ) ) ),"""")
"),"")</f>
        <v/>
      </c>
      <c r="D815" s="105"/>
      <c r="E815" s="105"/>
      <c r="F815" s="110" t="b">
        <v>0</v>
      </c>
      <c r="G815" s="105" t="str">
        <f>IF(F815=True, IFERROR(VLOOKUP(D815, Repository!A:B, 2, 0), ""), "")</f>
        <v/>
      </c>
      <c r="H815" s="105"/>
      <c r="I815" s="105"/>
      <c r="J815" s="105" t="str">
        <f>IF(F815=True, IFERROR(VLOOKUP(D815, Repository!A:C, 3, 0), ""), "")</f>
        <v/>
      </c>
      <c r="K815" s="105"/>
      <c r="L815" s="105" t="str">
        <f>IF(F815=True, IFERROR(VLOOKUP(D815, Repository!A:E, 5, 0), ""), "")</f>
        <v/>
      </c>
      <c r="M815" s="105"/>
      <c r="N815" s="105" t="str">
        <f>IF(F815=True, IFERROR(VLOOKUP(D815, Repository!A:G, 7, 0), ""), "")</f>
        <v/>
      </c>
      <c r="O815" s="105" t="str">
        <f>IFERROR(__xludf.DUMMYFUNCTION("ARRAY_CONSTRAIN(
  ARRAYFORMULA(
    IFERROR(
      LET(
        list, N815,
        arr, TRIM(SPLIT(list, "","")),
        names, XLOOKUP(
          arr,
          'Conformance Score'!A:A,
          'Conformance Score'!B:B,
          ""Not found""
      "&amp;"  ),
        TEXTJOIN("", "", TRUE, names)
      ),
      """"
    )
  ),
  1,
  1
)
"),"")</f>
        <v/>
      </c>
      <c r="P815" s="105" t="str">
        <f>IF(F815="Yes", IFERROR(VLOOKUP(D815, Repository!A:F, 6, 0), ""), "")</f>
        <v/>
      </c>
      <c r="Q815" s="105" t="str">
        <f>IF(F815="Yes", IFERROR(VLOOKUP(D815, Repository!A:I, 8, 0), ""), "")</f>
        <v/>
      </c>
      <c r="R815" s="105" t="str">
        <f>IF(F815="Yes", IFERROR(VLOOKUP(D815, Repository!A:J, 9, 0), ""), "")</f>
        <v/>
      </c>
      <c r="S815" s="105"/>
      <c r="T815" s="105"/>
      <c r="U815" s="105"/>
      <c r="V815" s="105"/>
      <c r="W815" s="105"/>
      <c r="X815" s="105"/>
      <c r="Y815" s="105"/>
      <c r="Z815" s="105"/>
      <c r="AA815" s="105"/>
      <c r="AB815" s="105"/>
      <c r="AC815" s="91"/>
      <c r="AD815" s="105"/>
      <c r="AE815" s="105"/>
      <c r="AF815" s="91"/>
      <c r="AG815" s="105"/>
      <c r="AH815" s="105"/>
      <c r="AI815" s="105" t="str">
        <f t="shared" si="1"/>
        <v/>
      </c>
      <c r="AJ815" s="108" t="str">
        <f t="shared" si="2"/>
        <v/>
      </c>
    </row>
    <row r="816" ht="15.75" customHeight="1">
      <c r="A816" s="104"/>
      <c r="B816" s="105" t="str">
        <f>IFERROR(__xludf.DUMMYFUNCTION("ARRAY_CONSTRAIN(
  ARRAYFORMULA(
    IF(
      'Final Report'!A816="""",
      """",
      TEXTJOIN(
        "", "" &amp; CHAR(10),
        TRUE,
        IFERROR(
          VLOOKUP(
            TRIM(
              SPLIT('Final Report'!A816, "","")
           "&amp;" ),
            'URL Details'!A:B,
            2,
            FALSE
          ),
          """"
        )
      )
    )
  ),
  1,
  1
)
"),"")</f>
        <v/>
      </c>
      <c r="C816" s="105" t="str">
        <f>IFERROR(__xludf.DUMMYFUNCTION("IFERROR(IF('Final Report'!A816="""","""", TEXTJOIN(CHAR(10), TRUE, ARRAYFORMULA( ""• ""&amp; FILTER( TRIM(FLATTEN(SPLIT( REGEXREPLACE( SUBSTITUTE(TEXTJOIN("","", TRUE, IFERROR(ARRAYFORMULA(VLOOKUP(TRIM(SPLIT('Final Report'!A816, "","")), 'URL Details'!A:D, 4,"&amp;" FALSE)),"""") ), CHAR(10), "",""), ""\s*,\s*"", "",""), "",""))), TRIM(FLATTEN(SPLIT( REGEXREPLACE( SUBSTITUTE(TEXTJOIN("","", TRUE, IFERROR(ARRAYFORMULA(VLOOKUP(TRIM(SPLIT('Final Report'!A816, "","")), 'URL Details'!A:D, 4, FALSE)),"""") ), CHAR(10), """&amp;",""), ""\s*,\s*"", "",""), "","")))&lt;&gt;"""" ) ) ) ),"""")
"),"")</f>
        <v/>
      </c>
      <c r="D816" s="105"/>
      <c r="E816" s="105"/>
      <c r="F816" s="110" t="b">
        <v>0</v>
      </c>
      <c r="G816" s="105" t="str">
        <f>IF(F816=True, IFERROR(VLOOKUP(D816, Repository!A:B, 2, 0), ""), "")</f>
        <v/>
      </c>
      <c r="H816" s="105"/>
      <c r="I816" s="105"/>
      <c r="J816" s="105" t="str">
        <f>IF(F816=True, IFERROR(VLOOKUP(D816, Repository!A:C, 3, 0), ""), "")</f>
        <v/>
      </c>
      <c r="K816" s="105"/>
      <c r="L816" s="105" t="str">
        <f>IF(F816=True, IFERROR(VLOOKUP(D816, Repository!A:E, 5, 0), ""), "")</f>
        <v/>
      </c>
      <c r="M816" s="105"/>
      <c r="N816" s="105" t="str">
        <f>IF(F816=True, IFERROR(VLOOKUP(D816, Repository!A:G, 7, 0), ""), "")</f>
        <v/>
      </c>
      <c r="O816" s="105" t="str">
        <f>IFERROR(__xludf.DUMMYFUNCTION("ARRAY_CONSTRAIN(
  ARRAYFORMULA(
    IFERROR(
      LET(
        list, N816,
        arr, TRIM(SPLIT(list, "","")),
        names, XLOOKUP(
          arr,
          'Conformance Score'!A:A,
          'Conformance Score'!B:B,
          ""Not found""
      "&amp;"  ),
        TEXTJOIN("", "", TRUE, names)
      ),
      """"
    )
  ),
  1,
  1
)
"),"")</f>
        <v/>
      </c>
      <c r="P816" s="105" t="str">
        <f>IF(F816="Yes", IFERROR(VLOOKUP(D816, Repository!A:F, 6, 0), ""), "")</f>
        <v/>
      </c>
      <c r="Q816" s="105" t="str">
        <f>IF(F816="Yes", IFERROR(VLOOKUP(D816, Repository!A:I, 8, 0), ""), "")</f>
        <v/>
      </c>
      <c r="R816" s="105" t="str">
        <f>IF(F816="Yes", IFERROR(VLOOKUP(D816, Repository!A:J, 9, 0), ""), "")</f>
        <v/>
      </c>
      <c r="S816" s="105"/>
      <c r="T816" s="105"/>
      <c r="U816" s="105"/>
      <c r="V816" s="105"/>
      <c r="W816" s="105"/>
      <c r="X816" s="105"/>
      <c r="Y816" s="105"/>
      <c r="Z816" s="105"/>
      <c r="AA816" s="105"/>
      <c r="AB816" s="105"/>
      <c r="AC816" s="91"/>
      <c r="AD816" s="105"/>
      <c r="AE816" s="105"/>
      <c r="AF816" s="91"/>
      <c r="AG816" s="105"/>
      <c r="AH816" s="105"/>
      <c r="AI816" s="105" t="str">
        <f t="shared" si="1"/>
        <v/>
      </c>
      <c r="AJ816" s="108" t="str">
        <f t="shared" si="2"/>
        <v/>
      </c>
    </row>
    <row r="817" ht="15.75" customHeight="1">
      <c r="A817" s="104"/>
      <c r="B817" s="105" t="str">
        <f>IFERROR(__xludf.DUMMYFUNCTION("ARRAY_CONSTRAIN(
  ARRAYFORMULA(
    IF(
      'Final Report'!A817="""",
      """",
      TEXTJOIN(
        "", "" &amp; CHAR(10),
        TRUE,
        IFERROR(
          VLOOKUP(
            TRIM(
              SPLIT('Final Report'!A817, "","")
           "&amp;" ),
            'URL Details'!A:B,
            2,
            FALSE
          ),
          """"
        )
      )
    )
  ),
  1,
  1
)
"),"")</f>
        <v/>
      </c>
      <c r="C817" s="105" t="str">
        <f>IFERROR(__xludf.DUMMYFUNCTION("IFERROR(IF('Final Report'!A817="""","""", TEXTJOIN(CHAR(10), TRUE, ARRAYFORMULA( ""• ""&amp; FILTER( TRIM(FLATTEN(SPLIT( REGEXREPLACE( SUBSTITUTE(TEXTJOIN("","", TRUE, IFERROR(ARRAYFORMULA(VLOOKUP(TRIM(SPLIT('Final Report'!A817, "","")), 'URL Details'!A:D, 4,"&amp;" FALSE)),"""") ), CHAR(10), "",""), ""\s*,\s*"", "",""), "",""))), TRIM(FLATTEN(SPLIT( REGEXREPLACE( SUBSTITUTE(TEXTJOIN("","", TRUE, IFERROR(ARRAYFORMULA(VLOOKUP(TRIM(SPLIT('Final Report'!A817, "","")), 'URL Details'!A:D, 4, FALSE)),"""") ), CHAR(10), """&amp;",""), ""\s*,\s*"", "",""), "","")))&lt;&gt;"""" ) ) ) ),"""")
"),"")</f>
        <v/>
      </c>
      <c r="D817" s="105"/>
      <c r="E817" s="105"/>
      <c r="F817" s="110" t="b">
        <v>0</v>
      </c>
      <c r="G817" s="105" t="str">
        <f>IF(F817=True, IFERROR(VLOOKUP(D817, Repository!A:B, 2, 0), ""), "")</f>
        <v/>
      </c>
      <c r="H817" s="105"/>
      <c r="I817" s="105"/>
      <c r="J817" s="105" t="str">
        <f>IF(F817=True, IFERROR(VLOOKUP(D817, Repository!A:C, 3, 0), ""), "")</f>
        <v/>
      </c>
      <c r="K817" s="105"/>
      <c r="L817" s="105" t="str">
        <f>IF(F817=True, IFERROR(VLOOKUP(D817, Repository!A:E, 5, 0), ""), "")</f>
        <v/>
      </c>
      <c r="M817" s="105"/>
      <c r="N817" s="105" t="str">
        <f>IF(F817=True, IFERROR(VLOOKUP(D817, Repository!A:G, 7, 0), ""), "")</f>
        <v/>
      </c>
      <c r="O817" s="105" t="str">
        <f>IFERROR(__xludf.DUMMYFUNCTION("ARRAY_CONSTRAIN(
  ARRAYFORMULA(
    IFERROR(
      LET(
        list, N817,
        arr, TRIM(SPLIT(list, "","")),
        names, XLOOKUP(
          arr,
          'Conformance Score'!A:A,
          'Conformance Score'!B:B,
          ""Not found""
      "&amp;"  ),
        TEXTJOIN("", "", TRUE, names)
      ),
      """"
    )
  ),
  1,
  1
)
"),"")</f>
        <v/>
      </c>
      <c r="P817" s="105" t="str">
        <f>IF(F817="Yes", IFERROR(VLOOKUP(D817, Repository!A:F, 6, 0), ""), "")</f>
        <v/>
      </c>
      <c r="Q817" s="105" t="str">
        <f>IF(F817="Yes", IFERROR(VLOOKUP(D817, Repository!A:I, 8, 0), ""), "")</f>
        <v/>
      </c>
      <c r="R817" s="105" t="str">
        <f>IF(F817="Yes", IFERROR(VLOOKUP(D817, Repository!A:J, 9, 0), ""), "")</f>
        <v/>
      </c>
      <c r="S817" s="105"/>
      <c r="T817" s="105"/>
      <c r="U817" s="105"/>
      <c r="V817" s="105"/>
      <c r="W817" s="105"/>
      <c r="X817" s="105"/>
      <c r="Y817" s="105"/>
      <c r="Z817" s="105"/>
      <c r="AA817" s="105"/>
      <c r="AB817" s="105"/>
      <c r="AC817" s="91"/>
      <c r="AD817" s="105"/>
      <c r="AE817" s="105"/>
      <c r="AF817" s="91"/>
      <c r="AG817" s="105"/>
      <c r="AH817" s="105"/>
      <c r="AI817" s="105" t="str">
        <f t="shared" si="1"/>
        <v/>
      </c>
      <c r="AJ817" s="108" t="str">
        <f t="shared" si="2"/>
        <v/>
      </c>
    </row>
    <row r="818" ht="15.75" customHeight="1">
      <c r="A818" s="104"/>
      <c r="B818" s="105" t="str">
        <f>IFERROR(__xludf.DUMMYFUNCTION("ARRAY_CONSTRAIN(
  ARRAYFORMULA(
    IF(
      'Final Report'!A818="""",
      """",
      TEXTJOIN(
        "", "" &amp; CHAR(10),
        TRUE,
        IFERROR(
          VLOOKUP(
            TRIM(
              SPLIT('Final Report'!A818, "","")
           "&amp;" ),
            'URL Details'!A:B,
            2,
            FALSE
          ),
          """"
        )
      )
    )
  ),
  1,
  1
)
"),"")</f>
        <v/>
      </c>
      <c r="C818" s="105" t="str">
        <f>IFERROR(__xludf.DUMMYFUNCTION("IFERROR(IF('Final Report'!A818="""","""", TEXTJOIN(CHAR(10), TRUE, ARRAYFORMULA( ""• ""&amp; FILTER( TRIM(FLATTEN(SPLIT( REGEXREPLACE( SUBSTITUTE(TEXTJOIN("","", TRUE, IFERROR(ARRAYFORMULA(VLOOKUP(TRIM(SPLIT('Final Report'!A818, "","")), 'URL Details'!A:D, 4,"&amp;" FALSE)),"""") ), CHAR(10), "",""), ""\s*,\s*"", "",""), "",""))), TRIM(FLATTEN(SPLIT( REGEXREPLACE( SUBSTITUTE(TEXTJOIN("","", TRUE, IFERROR(ARRAYFORMULA(VLOOKUP(TRIM(SPLIT('Final Report'!A818, "","")), 'URL Details'!A:D, 4, FALSE)),"""") ), CHAR(10), """&amp;",""), ""\s*,\s*"", "",""), "","")))&lt;&gt;"""" ) ) ) ),"""")
"),"")</f>
        <v/>
      </c>
      <c r="D818" s="105"/>
      <c r="E818" s="105"/>
      <c r="F818" s="110" t="b">
        <v>0</v>
      </c>
      <c r="G818" s="105" t="str">
        <f>IF(F818=True, IFERROR(VLOOKUP(D818, Repository!A:B, 2, 0), ""), "")</f>
        <v/>
      </c>
      <c r="H818" s="105"/>
      <c r="I818" s="105"/>
      <c r="J818" s="105" t="str">
        <f>IF(F818=True, IFERROR(VLOOKUP(D818, Repository!A:C, 3, 0), ""), "")</f>
        <v/>
      </c>
      <c r="K818" s="105"/>
      <c r="L818" s="105" t="str">
        <f>IF(F818=True, IFERROR(VLOOKUP(D818, Repository!A:E, 5, 0), ""), "")</f>
        <v/>
      </c>
      <c r="M818" s="105"/>
      <c r="N818" s="105" t="str">
        <f>IF(F818=True, IFERROR(VLOOKUP(D818, Repository!A:G, 7, 0), ""), "")</f>
        <v/>
      </c>
      <c r="O818" s="105" t="str">
        <f>IFERROR(__xludf.DUMMYFUNCTION("ARRAY_CONSTRAIN(
  ARRAYFORMULA(
    IFERROR(
      LET(
        list, N818,
        arr, TRIM(SPLIT(list, "","")),
        names, XLOOKUP(
          arr,
          'Conformance Score'!A:A,
          'Conformance Score'!B:B,
          ""Not found""
      "&amp;"  ),
        TEXTJOIN("", "", TRUE, names)
      ),
      """"
    )
  ),
  1,
  1
)
"),"")</f>
        <v/>
      </c>
      <c r="P818" s="105" t="str">
        <f>IF(F818="Yes", IFERROR(VLOOKUP(D818, Repository!A:F, 6, 0), ""), "")</f>
        <v/>
      </c>
      <c r="Q818" s="105" t="str">
        <f>IF(F818="Yes", IFERROR(VLOOKUP(D818, Repository!A:I, 8, 0), ""), "")</f>
        <v/>
      </c>
      <c r="R818" s="105" t="str">
        <f>IF(F818="Yes", IFERROR(VLOOKUP(D818, Repository!A:J, 9, 0), ""), "")</f>
        <v/>
      </c>
      <c r="S818" s="105"/>
      <c r="T818" s="105"/>
      <c r="U818" s="105"/>
      <c r="V818" s="105"/>
      <c r="W818" s="105"/>
      <c r="X818" s="105"/>
      <c r="Y818" s="105"/>
      <c r="Z818" s="105"/>
      <c r="AA818" s="105"/>
      <c r="AB818" s="105"/>
      <c r="AC818" s="91"/>
      <c r="AD818" s="105"/>
      <c r="AE818" s="105"/>
      <c r="AF818" s="91"/>
      <c r="AG818" s="105"/>
      <c r="AH818" s="105"/>
      <c r="AI818" s="105" t="str">
        <f t="shared" si="1"/>
        <v/>
      </c>
      <c r="AJ818" s="108" t="str">
        <f t="shared" si="2"/>
        <v/>
      </c>
    </row>
    <row r="819" ht="15.75" customHeight="1">
      <c r="A819" s="104"/>
      <c r="B819" s="105" t="str">
        <f>IFERROR(__xludf.DUMMYFUNCTION("ARRAY_CONSTRAIN(
  ARRAYFORMULA(
    IF(
      'Final Report'!A819="""",
      """",
      TEXTJOIN(
        "", "" &amp; CHAR(10),
        TRUE,
        IFERROR(
          VLOOKUP(
            TRIM(
              SPLIT('Final Report'!A819, "","")
           "&amp;" ),
            'URL Details'!A:B,
            2,
            FALSE
          ),
          """"
        )
      )
    )
  ),
  1,
  1
)
"),"")</f>
        <v/>
      </c>
      <c r="C819" s="105" t="str">
        <f>IFERROR(__xludf.DUMMYFUNCTION("IFERROR(IF('Final Report'!A819="""","""", TEXTJOIN(CHAR(10), TRUE, ARRAYFORMULA( ""• ""&amp; FILTER( TRIM(FLATTEN(SPLIT( REGEXREPLACE( SUBSTITUTE(TEXTJOIN("","", TRUE, IFERROR(ARRAYFORMULA(VLOOKUP(TRIM(SPLIT('Final Report'!A819, "","")), 'URL Details'!A:D, 4,"&amp;" FALSE)),"""") ), CHAR(10), "",""), ""\s*,\s*"", "",""), "",""))), TRIM(FLATTEN(SPLIT( REGEXREPLACE( SUBSTITUTE(TEXTJOIN("","", TRUE, IFERROR(ARRAYFORMULA(VLOOKUP(TRIM(SPLIT('Final Report'!A819, "","")), 'URL Details'!A:D, 4, FALSE)),"""") ), CHAR(10), """&amp;",""), ""\s*,\s*"", "",""), "","")))&lt;&gt;"""" ) ) ) ),"""")
"),"")</f>
        <v/>
      </c>
      <c r="D819" s="105"/>
      <c r="E819" s="105"/>
      <c r="F819" s="110" t="b">
        <v>0</v>
      </c>
      <c r="G819" s="105" t="str">
        <f>IF(F819=True, IFERROR(VLOOKUP(D819, Repository!A:B, 2, 0), ""), "")</f>
        <v/>
      </c>
      <c r="H819" s="105"/>
      <c r="I819" s="105"/>
      <c r="J819" s="105" t="str">
        <f>IF(F819=True, IFERROR(VLOOKUP(D819, Repository!A:C, 3, 0), ""), "")</f>
        <v/>
      </c>
      <c r="K819" s="105"/>
      <c r="L819" s="105" t="str">
        <f>IF(F819=True, IFERROR(VLOOKUP(D819, Repository!A:E, 5, 0), ""), "")</f>
        <v/>
      </c>
      <c r="M819" s="105"/>
      <c r="N819" s="105" t="str">
        <f>IF(F819=True, IFERROR(VLOOKUP(D819, Repository!A:G, 7, 0), ""), "")</f>
        <v/>
      </c>
      <c r="O819" s="105" t="str">
        <f>IFERROR(__xludf.DUMMYFUNCTION("ARRAY_CONSTRAIN(
  ARRAYFORMULA(
    IFERROR(
      LET(
        list, N819,
        arr, TRIM(SPLIT(list, "","")),
        names, XLOOKUP(
          arr,
          'Conformance Score'!A:A,
          'Conformance Score'!B:B,
          ""Not found""
      "&amp;"  ),
        TEXTJOIN("", "", TRUE, names)
      ),
      """"
    )
  ),
  1,
  1
)
"),"")</f>
        <v/>
      </c>
      <c r="P819" s="105" t="str">
        <f>IF(F819="Yes", IFERROR(VLOOKUP(D819, Repository!A:F, 6, 0), ""), "")</f>
        <v/>
      </c>
      <c r="Q819" s="105" t="str">
        <f>IF(F819="Yes", IFERROR(VLOOKUP(D819, Repository!A:I, 8, 0), ""), "")</f>
        <v/>
      </c>
      <c r="R819" s="105" t="str">
        <f>IF(F819="Yes", IFERROR(VLOOKUP(D819, Repository!A:J, 9, 0), ""), "")</f>
        <v/>
      </c>
      <c r="S819" s="105"/>
      <c r="T819" s="105"/>
      <c r="U819" s="105"/>
      <c r="V819" s="105"/>
      <c r="W819" s="105"/>
      <c r="X819" s="105"/>
      <c r="Y819" s="105"/>
      <c r="Z819" s="105"/>
      <c r="AA819" s="105"/>
      <c r="AB819" s="105"/>
      <c r="AC819" s="91"/>
      <c r="AD819" s="105"/>
      <c r="AE819" s="105"/>
      <c r="AF819" s="91"/>
      <c r="AG819" s="105"/>
      <c r="AH819" s="105"/>
      <c r="AI819" s="105" t="str">
        <f t="shared" si="1"/>
        <v/>
      </c>
      <c r="AJ819" s="108" t="str">
        <f t="shared" si="2"/>
        <v/>
      </c>
    </row>
    <row r="820" ht="15.75" customHeight="1">
      <c r="A820" s="104"/>
      <c r="B820" s="105" t="str">
        <f>IFERROR(__xludf.DUMMYFUNCTION("ARRAY_CONSTRAIN(
  ARRAYFORMULA(
    IF(
      'Final Report'!A820="""",
      """",
      TEXTJOIN(
        "", "" &amp; CHAR(10),
        TRUE,
        IFERROR(
          VLOOKUP(
            TRIM(
              SPLIT('Final Report'!A820, "","")
           "&amp;" ),
            'URL Details'!A:B,
            2,
            FALSE
          ),
          """"
        )
      )
    )
  ),
  1,
  1
)
"),"")</f>
        <v/>
      </c>
      <c r="C820" s="105" t="str">
        <f>IFERROR(__xludf.DUMMYFUNCTION("IFERROR(IF('Final Report'!A820="""","""", TEXTJOIN(CHAR(10), TRUE, ARRAYFORMULA( ""• ""&amp; FILTER( TRIM(FLATTEN(SPLIT( REGEXREPLACE( SUBSTITUTE(TEXTJOIN("","", TRUE, IFERROR(ARRAYFORMULA(VLOOKUP(TRIM(SPLIT('Final Report'!A820, "","")), 'URL Details'!A:D, 4,"&amp;" FALSE)),"""") ), CHAR(10), "",""), ""\s*,\s*"", "",""), "",""))), TRIM(FLATTEN(SPLIT( REGEXREPLACE( SUBSTITUTE(TEXTJOIN("","", TRUE, IFERROR(ARRAYFORMULA(VLOOKUP(TRIM(SPLIT('Final Report'!A820, "","")), 'URL Details'!A:D, 4, FALSE)),"""") ), CHAR(10), """&amp;",""), ""\s*,\s*"", "",""), "","")))&lt;&gt;"""" ) ) ) ),"""")
"),"")</f>
        <v/>
      </c>
      <c r="D820" s="105"/>
      <c r="E820" s="105"/>
      <c r="F820" s="110" t="b">
        <v>0</v>
      </c>
      <c r="G820" s="105" t="str">
        <f>IF(F820=True, IFERROR(VLOOKUP(D820, Repository!A:B, 2, 0), ""), "")</f>
        <v/>
      </c>
      <c r="H820" s="105"/>
      <c r="I820" s="105"/>
      <c r="J820" s="105" t="str">
        <f>IF(F820=True, IFERROR(VLOOKUP(D820, Repository!A:C, 3, 0), ""), "")</f>
        <v/>
      </c>
      <c r="K820" s="105"/>
      <c r="L820" s="105" t="str">
        <f>IF(F820=True, IFERROR(VLOOKUP(D820, Repository!A:E, 5, 0), ""), "")</f>
        <v/>
      </c>
      <c r="M820" s="105"/>
      <c r="N820" s="105" t="str">
        <f>IF(F820=True, IFERROR(VLOOKUP(D820, Repository!A:G, 7, 0), ""), "")</f>
        <v/>
      </c>
      <c r="O820" s="105" t="str">
        <f>IFERROR(__xludf.DUMMYFUNCTION("ARRAY_CONSTRAIN(
  ARRAYFORMULA(
    IFERROR(
      LET(
        list, N820,
        arr, TRIM(SPLIT(list, "","")),
        names, XLOOKUP(
          arr,
          'Conformance Score'!A:A,
          'Conformance Score'!B:B,
          ""Not found""
      "&amp;"  ),
        TEXTJOIN("", "", TRUE, names)
      ),
      """"
    )
  ),
  1,
  1
)
"),"")</f>
        <v/>
      </c>
      <c r="P820" s="105" t="str">
        <f>IF(F820="Yes", IFERROR(VLOOKUP(D820, Repository!A:F, 6, 0), ""), "")</f>
        <v/>
      </c>
      <c r="Q820" s="105" t="str">
        <f>IF(F820="Yes", IFERROR(VLOOKUP(D820, Repository!A:I, 8, 0), ""), "")</f>
        <v/>
      </c>
      <c r="R820" s="105" t="str">
        <f>IF(F820="Yes", IFERROR(VLOOKUP(D820, Repository!A:J, 9, 0), ""), "")</f>
        <v/>
      </c>
      <c r="S820" s="105"/>
      <c r="T820" s="105"/>
      <c r="U820" s="105"/>
      <c r="V820" s="105"/>
      <c r="W820" s="105"/>
      <c r="X820" s="105"/>
      <c r="Y820" s="105"/>
      <c r="Z820" s="105"/>
      <c r="AA820" s="105"/>
      <c r="AB820" s="105"/>
      <c r="AC820" s="91"/>
      <c r="AD820" s="105"/>
      <c r="AE820" s="105"/>
      <c r="AF820" s="91"/>
      <c r="AG820" s="105"/>
      <c r="AH820" s="105"/>
      <c r="AI820" s="105" t="str">
        <f t="shared" si="1"/>
        <v/>
      </c>
      <c r="AJ820" s="108" t="str">
        <f t="shared" si="2"/>
        <v/>
      </c>
    </row>
    <row r="821" ht="15.75" customHeight="1">
      <c r="A821" s="104"/>
      <c r="B821" s="105" t="str">
        <f>IFERROR(__xludf.DUMMYFUNCTION("ARRAY_CONSTRAIN(
  ARRAYFORMULA(
    IF(
      'Final Report'!A821="""",
      """",
      TEXTJOIN(
        "", "" &amp; CHAR(10),
        TRUE,
        IFERROR(
          VLOOKUP(
            TRIM(
              SPLIT('Final Report'!A821, "","")
           "&amp;" ),
            'URL Details'!A:B,
            2,
            FALSE
          ),
          """"
        )
      )
    )
  ),
  1,
  1
)
"),"")</f>
        <v/>
      </c>
      <c r="C821" s="105" t="str">
        <f>IFERROR(__xludf.DUMMYFUNCTION("IFERROR(IF('Final Report'!A821="""","""", TEXTJOIN(CHAR(10), TRUE, ARRAYFORMULA( ""• ""&amp; FILTER( TRIM(FLATTEN(SPLIT( REGEXREPLACE( SUBSTITUTE(TEXTJOIN("","", TRUE, IFERROR(ARRAYFORMULA(VLOOKUP(TRIM(SPLIT('Final Report'!A821, "","")), 'URL Details'!A:D, 4,"&amp;" FALSE)),"""") ), CHAR(10), "",""), ""\s*,\s*"", "",""), "",""))), TRIM(FLATTEN(SPLIT( REGEXREPLACE( SUBSTITUTE(TEXTJOIN("","", TRUE, IFERROR(ARRAYFORMULA(VLOOKUP(TRIM(SPLIT('Final Report'!A821, "","")), 'URL Details'!A:D, 4, FALSE)),"""") ), CHAR(10), """&amp;",""), ""\s*,\s*"", "",""), "","")))&lt;&gt;"""" ) ) ) ),"""")
"),"")</f>
        <v/>
      </c>
      <c r="D821" s="105"/>
      <c r="E821" s="105"/>
      <c r="F821" s="110" t="b">
        <v>0</v>
      </c>
      <c r="G821" s="105" t="str">
        <f>IF(F821=True, IFERROR(VLOOKUP(D821, Repository!A:B, 2, 0), ""), "")</f>
        <v/>
      </c>
      <c r="H821" s="105"/>
      <c r="I821" s="105"/>
      <c r="J821" s="105" t="str">
        <f>IF(F821=True, IFERROR(VLOOKUP(D821, Repository!A:C, 3, 0), ""), "")</f>
        <v/>
      </c>
      <c r="K821" s="105"/>
      <c r="L821" s="105" t="str">
        <f>IF(F821=True, IFERROR(VLOOKUP(D821, Repository!A:E, 5, 0), ""), "")</f>
        <v/>
      </c>
      <c r="M821" s="105"/>
      <c r="N821" s="105" t="str">
        <f>IF(F821=True, IFERROR(VLOOKUP(D821, Repository!A:G, 7, 0), ""), "")</f>
        <v/>
      </c>
      <c r="O821" s="105" t="str">
        <f>IFERROR(__xludf.DUMMYFUNCTION("ARRAY_CONSTRAIN(
  ARRAYFORMULA(
    IFERROR(
      LET(
        list, N821,
        arr, TRIM(SPLIT(list, "","")),
        names, XLOOKUP(
          arr,
          'Conformance Score'!A:A,
          'Conformance Score'!B:B,
          ""Not found""
      "&amp;"  ),
        TEXTJOIN("", "", TRUE, names)
      ),
      """"
    )
  ),
  1,
  1
)
"),"")</f>
        <v/>
      </c>
      <c r="P821" s="105" t="str">
        <f>IF(F821="Yes", IFERROR(VLOOKUP(D821, Repository!A:F, 6, 0), ""), "")</f>
        <v/>
      </c>
      <c r="Q821" s="105" t="str">
        <f>IF(F821="Yes", IFERROR(VLOOKUP(D821, Repository!A:I, 8, 0), ""), "")</f>
        <v/>
      </c>
      <c r="R821" s="105" t="str">
        <f>IF(F821="Yes", IFERROR(VLOOKUP(D821, Repository!A:J, 9, 0), ""), "")</f>
        <v/>
      </c>
      <c r="S821" s="105"/>
      <c r="T821" s="105"/>
      <c r="U821" s="105"/>
      <c r="V821" s="105"/>
      <c r="W821" s="105"/>
      <c r="X821" s="105"/>
      <c r="Y821" s="105"/>
      <c r="Z821" s="105"/>
      <c r="AA821" s="105"/>
      <c r="AB821" s="105"/>
      <c r="AC821" s="91"/>
      <c r="AD821" s="105"/>
      <c r="AE821" s="105"/>
      <c r="AF821" s="91"/>
      <c r="AG821" s="105"/>
      <c r="AH821" s="105"/>
      <c r="AI821" s="105" t="str">
        <f t="shared" si="1"/>
        <v/>
      </c>
      <c r="AJ821" s="108" t="str">
        <f t="shared" si="2"/>
        <v/>
      </c>
    </row>
    <row r="822" ht="15.75" customHeight="1">
      <c r="A822" s="104"/>
      <c r="B822" s="105" t="str">
        <f>IFERROR(__xludf.DUMMYFUNCTION("ARRAY_CONSTRAIN(
  ARRAYFORMULA(
    IF(
      'Final Report'!A822="""",
      """",
      TEXTJOIN(
        "", "" &amp; CHAR(10),
        TRUE,
        IFERROR(
          VLOOKUP(
            TRIM(
              SPLIT('Final Report'!A822, "","")
           "&amp;" ),
            'URL Details'!A:B,
            2,
            FALSE
          ),
          """"
        )
      )
    )
  ),
  1,
  1
)
"),"")</f>
        <v/>
      </c>
      <c r="C822" s="105" t="str">
        <f>IFERROR(__xludf.DUMMYFUNCTION("IFERROR(IF('Final Report'!A822="""","""", TEXTJOIN(CHAR(10), TRUE, ARRAYFORMULA( ""• ""&amp; FILTER( TRIM(FLATTEN(SPLIT( REGEXREPLACE( SUBSTITUTE(TEXTJOIN("","", TRUE, IFERROR(ARRAYFORMULA(VLOOKUP(TRIM(SPLIT('Final Report'!A822, "","")), 'URL Details'!A:D, 4,"&amp;" FALSE)),"""") ), CHAR(10), "",""), ""\s*,\s*"", "",""), "",""))), TRIM(FLATTEN(SPLIT( REGEXREPLACE( SUBSTITUTE(TEXTJOIN("","", TRUE, IFERROR(ARRAYFORMULA(VLOOKUP(TRIM(SPLIT('Final Report'!A822, "","")), 'URL Details'!A:D, 4, FALSE)),"""") ), CHAR(10), """&amp;",""), ""\s*,\s*"", "",""), "","")))&lt;&gt;"""" ) ) ) ),"""")
"),"")</f>
        <v/>
      </c>
      <c r="D822" s="105"/>
      <c r="E822" s="105"/>
      <c r="F822" s="110" t="b">
        <v>0</v>
      </c>
      <c r="G822" s="105" t="str">
        <f>IF(F822=True, IFERROR(VLOOKUP(D822, Repository!A:B, 2, 0), ""), "")</f>
        <v/>
      </c>
      <c r="H822" s="105"/>
      <c r="I822" s="105"/>
      <c r="J822" s="105" t="str">
        <f>IF(F822=True, IFERROR(VLOOKUP(D822, Repository!A:C, 3, 0), ""), "")</f>
        <v/>
      </c>
      <c r="K822" s="105"/>
      <c r="L822" s="105" t="str">
        <f>IF(F822=True, IFERROR(VLOOKUP(D822, Repository!A:E, 5, 0), ""), "")</f>
        <v/>
      </c>
      <c r="M822" s="105"/>
      <c r="N822" s="105" t="str">
        <f>IF(F822=True, IFERROR(VLOOKUP(D822, Repository!A:G, 7, 0), ""), "")</f>
        <v/>
      </c>
      <c r="O822" s="105" t="str">
        <f>IFERROR(__xludf.DUMMYFUNCTION("ARRAY_CONSTRAIN(
  ARRAYFORMULA(
    IFERROR(
      LET(
        list, N822,
        arr, TRIM(SPLIT(list, "","")),
        names, XLOOKUP(
          arr,
          'Conformance Score'!A:A,
          'Conformance Score'!B:B,
          ""Not found""
      "&amp;"  ),
        TEXTJOIN("", "", TRUE, names)
      ),
      """"
    )
  ),
  1,
  1
)
"),"")</f>
        <v/>
      </c>
      <c r="P822" s="105" t="str">
        <f>IF(F822="Yes", IFERROR(VLOOKUP(D822, Repository!A:F, 6, 0), ""), "")</f>
        <v/>
      </c>
      <c r="Q822" s="105" t="str">
        <f>IF(F822="Yes", IFERROR(VLOOKUP(D822, Repository!A:I, 8, 0), ""), "")</f>
        <v/>
      </c>
      <c r="R822" s="105" t="str">
        <f>IF(F822="Yes", IFERROR(VLOOKUP(D822, Repository!A:J, 9, 0), ""), "")</f>
        <v/>
      </c>
      <c r="S822" s="105"/>
      <c r="T822" s="105"/>
      <c r="U822" s="105"/>
      <c r="V822" s="105"/>
      <c r="W822" s="105"/>
      <c r="X822" s="105"/>
      <c r="Y822" s="105"/>
      <c r="Z822" s="105"/>
      <c r="AA822" s="105"/>
      <c r="AB822" s="105"/>
      <c r="AC822" s="91"/>
      <c r="AD822" s="105"/>
      <c r="AE822" s="105"/>
      <c r="AF822" s="91"/>
      <c r="AG822" s="105"/>
      <c r="AH822" s="105"/>
      <c r="AI822" s="105" t="str">
        <f t="shared" si="1"/>
        <v/>
      </c>
      <c r="AJ822" s="108" t="str">
        <f t="shared" si="2"/>
        <v/>
      </c>
    </row>
    <row r="823" ht="15.75" customHeight="1">
      <c r="A823" s="104"/>
      <c r="B823" s="105" t="str">
        <f>IFERROR(__xludf.DUMMYFUNCTION("ARRAY_CONSTRAIN(
  ARRAYFORMULA(
    IF(
      'Final Report'!A823="""",
      """",
      TEXTJOIN(
        "", "" &amp; CHAR(10),
        TRUE,
        IFERROR(
          VLOOKUP(
            TRIM(
              SPLIT('Final Report'!A823, "","")
           "&amp;" ),
            'URL Details'!A:B,
            2,
            FALSE
          ),
          """"
        )
      )
    )
  ),
  1,
  1
)
"),"")</f>
        <v/>
      </c>
      <c r="C823" s="105" t="str">
        <f>IFERROR(__xludf.DUMMYFUNCTION("IFERROR(IF('Final Report'!A823="""","""", TEXTJOIN(CHAR(10), TRUE, ARRAYFORMULA( ""• ""&amp; FILTER( TRIM(FLATTEN(SPLIT( REGEXREPLACE( SUBSTITUTE(TEXTJOIN("","", TRUE, IFERROR(ARRAYFORMULA(VLOOKUP(TRIM(SPLIT('Final Report'!A823, "","")), 'URL Details'!A:D, 4,"&amp;" FALSE)),"""") ), CHAR(10), "",""), ""\s*,\s*"", "",""), "",""))), TRIM(FLATTEN(SPLIT( REGEXREPLACE( SUBSTITUTE(TEXTJOIN("","", TRUE, IFERROR(ARRAYFORMULA(VLOOKUP(TRIM(SPLIT('Final Report'!A823, "","")), 'URL Details'!A:D, 4, FALSE)),"""") ), CHAR(10), """&amp;",""), ""\s*,\s*"", "",""), "","")))&lt;&gt;"""" ) ) ) ),"""")
"),"")</f>
        <v/>
      </c>
      <c r="D823" s="105"/>
      <c r="E823" s="105"/>
      <c r="F823" s="110" t="b">
        <v>0</v>
      </c>
      <c r="G823" s="105" t="str">
        <f>IF(F823=True, IFERROR(VLOOKUP(D823, Repository!A:B, 2, 0), ""), "")</f>
        <v/>
      </c>
      <c r="H823" s="105"/>
      <c r="I823" s="105"/>
      <c r="J823" s="105" t="str">
        <f>IF(F823=True, IFERROR(VLOOKUP(D823, Repository!A:C, 3, 0), ""), "")</f>
        <v/>
      </c>
      <c r="K823" s="105"/>
      <c r="L823" s="105" t="str">
        <f>IF(F823=True, IFERROR(VLOOKUP(D823, Repository!A:E, 5, 0), ""), "")</f>
        <v/>
      </c>
      <c r="M823" s="105"/>
      <c r="N823" s="105" t="str">
        <f>IF(F823=True, IFERROR(VLOOKUP(D823, Repository!A:G, 7, 0), ""), "")</f>
        <v/>
      </c>
      <c r="O823" s="105" t="str">
        <f>IFERROR(__xludf.DUMMYFUNCTION("ARRAY_CONSTRAIN(
  ARRAYFORMULA(
    IFERROR(
      LET(
        list, N823,
        arr, TRIM(SPLIT(list, "","")),
        names, XLOOKUP(
          arr,
          'Conformance Score'!A:A,
          'Conformance Score'!B:B,
          ""Not found""
      "&amp;"  ),
        TEXTJOIN("", "", TRUE, names)
      ),
      """"
    )
  ),
  1,
  1
)
"),"")</f>
        <v/>
      </c>
      <c r="P823" s="105" t="str">
        <f>IF(F823="Yes", IFERROR(VLOOKUP(D823, Repository!A:F, 6, 0), ""), "")</f>
        <v/>
      </c>
      <c r="Q823" s="105" t="str">
        <f>IF(F823="Yes", IFERROR(VLOOKUP(D823, Repository!A:I, 8, 0), ""), "")</f>
        <v/>
      </c>
      <c r="R823" s="105" t="str">
        <f>IF(F823="Yes", IFERROR(VLOOKUP(D823, Repository!A:J, 9, 0), ""), "")</f>
        <v/>
      </c>
      <c r="S823" s="105"/>
      <c r="T823" s="105"/>
      <c r="U823" s="105"/>
      <c r="V823" s="105"/>
      <c r="W823" s="105"/>
      <c r="X823" s="105"/>
      <c r="Y823" s="105"/>
      <c r="Z823" s="105"/>
      <c r="AA823" s="105"/>
      <c r="AB823" s="105"/>
      <c r="AC823" s="91"/>
      <c r="AD823" s="105"/>
      <c r="AE823" s="105"/>
      <c r="AF823" s="91"/>
      <c r="AG823" s="105"/>
      <c r="AH823" s="105"/>
      <c r="AI823" s="105" t="str">
        <f t="shared" si="1"/>
        <v/>
      </c>
      <c r="AJ823" s="108" t="str">
        <f t="shared" si="2"/>
        <v/>
      </c>
    </row>
    <row r="824" ht="15.75" customHeight="1">
      <c r="A824" s="104"/>
      <c r="B824" s="105" t="str">
        <f>IFERROR(__xludf.DUMMYFUNCTION("ARRAY_CONSTRAIN(
  ARRAYFORMULA(
    IF(
      'Final Report'!A824="""",
      """",
      TEXTJOIN(
        "", "" &amp; CHAR(10),
        TRUE,
        IFERROR(
          VLOOKUP(
            TRIM(
              SPLIT('Final Report'!A824, "","")
           "&amp;" ),
            'URL Details'!A:B,
            2,
            FALSE
          ),
          """"
        )
      )
    )
  ),
  1,
  1
)
"),"")</f>
        <v/>
      </c>
      <c r="C824" s="105" t="str">
        <f>IFERROR(__xludf.DUMMYFUNCTION("IFERROR(IF('Final Report'!A824="""","""", TEXTJOIN(CHAR(10), TRUE, ARRAYFORMULA( ""• ""&amp; FILTER( TRIM(FLATTEN(SPLIT( REGEXREPLACE( SUBSTITUTE(TEXTJOIN("","", TRUE, IFERROR(ARRAYFORMULA(VLOOKUP(TRIM(SPLIT('Final Report'!A824, "","")), 'URL Details'!A:D, 4,"&amp;" FALSE)),"""") ), CHAR(10), "",""), ""\s*,\s*"", "",""), "",""))), TRIM(FLATTEN(SPLIT( REGEXREPLACE( SUBSTITUTE(TEXTJOIN("","", TRUE, IFERROR(ARRAYFORMULA(VLOOKUP(TRIM(SPLIT('Final Report'!A824, "","")), 'URL Details'!A:D, 4, FALSE)),"""") ), CHAR(10), """&amp;",""), ""\s*,\s*"", "",""), "","")))&lt;&gt;"""" ) ) ) ),"""")
"),"")</f>
        <v/>
      </c>
      <c r="D824" s="105"/>
      <c r="E824" s="105"/>
      <c r="F824" s="110" t="b">
        <v>0</v>
      </c>
      <c r="G824" s="105" t="str">
        <f>IF(F824=True, IFERROR(VLOOKUP(D824, Repository!A:B, 2, 0), ""), "")</f>
        <v/>
      </c>
      <c r="H824" s="105"/>
      <c r="I824" s="105"/>
      <c r="J824" s="105" t="str">
        <f>IF(F824=True, IFERROR(VLOOKUP(D824, Repository!A:C, 3, 0), ""), "")</f>
        <v/>
      </c>
      <c r="K824" s="105"/>
      <c r="L824" s="105" t="str">
        <f>IF(F824=True, IFERROR(VLOOKUP(D824, Repository!A:E, 5, 0), ""), "")</f>
        <v/>
      </c>
      <c r="M824" s="105"/>
      <c r="N824" s="105" t="str">
        <f>IF(F824=True, IFERROR(VLOOKUP(D824, Repository!A:G, 7, 0), ""), "")</f>
        <v/>
      </c>
      <c r="O824" s="105" t="str">
        <f>IFERROR(__xludf.DUMMYFUNCTION("ARRAY_CONSTRAIN(
  ARRAYFORMULA(
    IFERROR(
      LET(
        list, N824,
        arr, TRIM(SPLIT(list, "","")),
        names, XLOOKUP(
          arr,
          'Conformance Score'!A:A,
          'Conformance Score'!B:B,
          ""Not found""
      "&amp;"  ),
        TEXTJOIN("", "", TRUE, names)
      ),
      """"
    )
  ),
  1,
  1
)
"),"")</f>
        <v/>
      </c>
      <c r="P824" s="105" t="str">
        <f>IF(F824="Yes", IFERROR(VLOOKUP(D824, Repository!A:F, 6, 0), ""), "")</f>
        <v/>
      </c>
      <c r="Q824" s="105" t="str">
        <f>IF(F824="Yes", IFERROR(VLOOKUP(D824, Repository!A:I, 8, 0), ""), "")</f>
        <v/>
      </c>
      <c r="R824" s="105" t="str">
        <f>IF(F824="Yes", IFERROR(VLOOKUP(D824, Repository!A:J, 9, 0), ""), "")</f>
        <v/>
      </c>
      <c r="S824" s="105"/>
      <c r="T824" s="105"/>
      <c r="U824" s="105"/>
      <c r="V824" s="105"/>
      <c r="W824" s="105"/>
      <c r="X824" s="105"/>
      <c r="Y824" s="105"/>
      <c r="Z824" s="105"/>
      <c r="AA824" s="105"/>
      <c r="AB824" s="105"/>
      <c r="AC824" s="91"/>
      <c r="AD824" s="105"/>
      <c r="AE824" s="105"/>
      <c r="AF824" s="91"/>
      <c r="AG824" s="105"/>
      <c r="AH824" s="105"/>
      <c r="AI824" s="105" t="str">
        <f t="shared" si="1"/>
        <v/>
      </c>
      <c r="AJ824" s="108" t="str">
        <f t="shared" si="2"/>
        <v/>
      </c>
    </row>
    <row r="825" ht="15.75" customHeight="1">
      <c r="A825" s="104"/>
      <c r="B825" s="105" t="str">
        <f>IFERROR(__xludf.DUMMYFUNCTION("ARRAY_CONSTRAIN(
  ARRAYFORMULA(
    IF(
      'Final Report'!A825="""",
      """",
      TEXTJOIN(
        "", "" &amp; CHAR(10),
        TRUE,
        IFERROR(
          VLOOKUP(
            TRIM(
              SPLIT('Final Report'!A825, "","")
           "&amp;" ),
            'URL Details'!A:B,
            2,
            FALSE
          ),
          """"
        )
      )
    )
  ),
  1,
  1
)
"),"")</f>
        <v/>
      </c>
      <c r="C825" s="105" t="str">
        <f>IFERROR(__xludf.DUMMYFUNCTION("IFERROR(IF('Final Report'!A825="""","""", TEXTJOIN(CHAR(10), TRUE, ARRAYFORMULA( ""• ""&amp; FILTER( TRIM(FLATTEN(SPLIT( REGEXREPLACE( SUBSTITUTE(TEXTJOIN("","", TRUE, IFERROR(ARRAYFORMULA(VLOOKUP(TRIM(SPLIT('Final Report'!A825, "","")), 'URL Details'!A:D, 4,"&amp;" FALSE)),"""") ), CHAR(10), "",""), ""\s*,\s*"", "",""), "",""))), TRIM(FLATTEN(SPLIT( REGEXREPLACE( SUBSTITUTE(TEXTJOIN("","", TRUE, IFERROR(ARRAYFORMULA(VLOOKUP(TRIM(SPLIT('Final Report'!A825, "","")), 'URL Details'!A:D, 4, FALSE)),"""") ), CHAR(10), """&amp;",""), ""\s*,\s*"", "",""), "","")))&lt;&gt;"""" ) ) ) ),"""")
"),"")</f>
        <v/>
      </c>
      <c r="D825" s="105"/>
      <c r="E825" s="105"/>
      <c r="F825" s="110" t="b">
        <v>0</v>
      </c>
      <c r="G825" s="105" t="str">
        <f>IF(F825=True, IFERROR(VLOOKUP(D825, Repository!A:B, 2, 0), ""), "")</f>
        <v/>
      </c>
      <c r="H825" s="105"/>
      <c r="I825" s="105"/>
      <c r="J825" s="105" t="str">
        <f>IF(F825=True, IFERROR(VLOOKUP(D825, Repository!A:C, 3, 0), ""), "")</f>
        <v/>
      </c>
      <c r="K825" s="105"/>
      <c r="L825" s="105" t="str">
        <f>IF(F825=True, IFERROR(VLOOKUP(D825, Repository!A:E, 5, 0), ""), "")</f>
        <v/>
      </c>
      <c r="M825" s="105"/>
      <c r="N825" s="105" t="str">
        <f>IF(F825=True, IFERROR(VLOOKUP(D825, Repository!A:G, 7, 0), ""), "")</f>
        <v/>
      </c>
      <c r="O825" s="105" t="str">
        <f>IFERROR(__xludf.DUMMYFUNCTION("ARRAY_CONSTRAIN(
  ARRAYFORMULA(
    IFERROR(
      LET(
        list, N825,
        arr, TRIM(SPLIT(list, "","")),
        names, XLOOKUP(
          arr,
          'Conformance Score'!A:A,
          'Conformance Score'!B:B,
          ""Not found""
      "&amp;"  ),
        TEXTJOIN("", "", TRUE, names)
      ),
      """"
    )
  ),
  1,
  1
)
"),"")</f>
        <v/>
      </c>
      <c r="P825" s="105" t="str">
        <f>IF(F825="Yes", IFERROR(VLOOKUP(D825, Repository!A:F, 6, 0), ""), "")</f>
        <v/>
      </c>
      <c r="Q825" s="105" t="str">
        <f>IF(F825="Yes", IFERROR(VLOOKUP(D825, Repository!A:I, 8, 0), ""), "")</f>
        <v/>
      </c>
      <c r="R825" s="105" t="str">
        <f>IF(F825="Yes", IFERROR(VLOOKUP(D825, Repository!A:J, 9, 0), ""), "")</f>
        <v/>
      </c>
      <c r="S825" s="105"/>
      <c r="T825" s="105"/>
      <c r="U825" s="105"/>
      <c r="V825" s="105"/>
      <c r="W825" s="105"/>
      <c r="X825" s="105"/>
      <c r="Y825" s="105"/>
      <c r="Z825" s="105"/>
      <c r="AA825" s="105"/>
      <c r="AB825" s="105"/>
      <c r="AC825" s="91"/>
      <c r="AD825" s="105"/>
      <c r="AE825" s="105"/>
      <c r="AF825" s="91"/>
      <c r="AG825" s="105"/>
      <c r="AH825" s="105"/>
      <c r="AI825" s="105" t="str">
        <f t="shared" si="1"/>
        <v/>
      </c>
      <c r="AJ825" s="108" t="str">
        <f t="shared" si="2"/>
        <v/>
      </c>
    </row>
    <row r="826" ht="15.75" customHeight="1">
      <c r="A826" s="104"/>
      <c r="B826" s="105" t="str">
        <f>IFERROR(__xludf.DUMMYFUNCTION("ARRAY_CONSTRAIN(
  ARRAYFORMULA(
    IF(
      'Final Report'!A826="""",
      """",
      TEXTJOIN(
        "", "" &amp; CHAR(10),
        TRUE,
        IFERROR(
          VLOOKUP(
            TRIM(
              SPLIT('Final Report'!A826, "","")
           "&amp;" ),
            'URL Details'!A:B,
            2,
            FALSE
          ),
          """"
        )
      )
    )
  ),
  1,
  1
)
"),"")</f>
        <v/>
      </c>
      <c r="C826" s="105" t="str">
        <f>IFERROR(__xludf.DUMMYFUNCTION("IFERROR(IF('Final Report'!A826="""","""", TEXTJOIN(CHAR(10), TRUE, ARRAYFORMULA( ""• ""&amp; FILTER( TRIM(FLATTEN(SPLIT( REGEXREPLACE( SUBSTITUTE(TEXTJOIN("","", TRUE, IFERROR(ARRAYFORMULA(VLOOKUP(TRIM(SPLIT('Final Report'!A826, "","")), 'URL Details'!A:D, 4,"&amp;" FALSE)),"""") ), CHAR(10), "",""), ""\s*,\s*"", "",""), "",""))), TRIM(FLATTEN(SPLIT( REGEXREPLACE( SUBSTITUTE(TEXTJOIN("","", TRUE, IFERROR(ARRAYFORMULA(VLOOKUP(TRIM(SPLIT('Final Report'!A826, "","")), 'URL Details'!A:D, 4, FALSE)),"""") ), CHAR(10), """&amp;",""), ""\s*,\s*"", "",""), "","")))&lt;&gt;"""" ) ) ) ),"""")
"),"")</f>
        <v/>
      </c>
      <c r="D826" s="105"/>
      <c r="E826" s="105"/>
      <c r="F826" s="110" t="b">
        <v>0</v>
      </c>
      <c r="G826" s="105" t="str">
        <f>IF(F826=True, IFERROR(VLOOKUP(D826, Repository!A:B, 2, 0), ""), "")</f>
        <v/>
      </c>
      <c r="H826" s="105"/>
      <c r="I826" s="105"/>
      <c r="J826" s="105" t="str">
        <f>IF(F826=True, IFERROR(VLOOKUP(D826, Repository!A:C, 3, 0), ""), "")</f>
        <v/>
      </c>
      <c r="K826" s="105"/>
      <c r="L826" s="105" t="str">
        <f>IF(F826=True, IFERROR(VLOOKUP(D826, Repository!A:E, 5, 0), ""), "")</f>
        <v/>
      </c>
      <c r="M826" s="105"/>
      <c r="N826" s="105" t="str">
        <f>IF(F826=True, IFERROR(VLOOKUP(D826, Repository!A:G, 7, 0), ""), "")</f>
        <v/>
      </c>
      <c r="O826" s="105" t="str">
        <f>IFERROR(__xludf.DUMMYFUNCTION("ARRAY_CONSTRAIN(
  ARRAYFORMULA(
    IFERROR(
      LET(
        list, N826,
        arr, TRIM(SPLIT(list, "","")),
        names, XLOOKUP(
          arr,
          'Conformance Score'!A:A,
          'Conformance Score'!B:B,
          ""Not found""
      "&amp;"  ),
        TEXTJOIN("", "", TRUE, names)
      ),
      """"
    )
  ),
  1,
  1
)
"),"")</f>
        <v/>
      </c>
      <c r="P826" s="105" t="str">
        <f>IF(F826="Yes", IFERROR(VLOOKUP(D826, Repository!A:F, 6, 0), ""), "")</f>
        <v/>
      </c>
      <c r="Q826" s="105" t="str">
        <f>IF(F826="Yes", IFERROR(VLOOKUP(D826, Repository!A:I, 8, 0), ""), "")</f>
        <v/>
      </c>
      <c r="R826" s="105" t="str">
        <f>IF(F826="Yes", IFERROR(VLOOKUP(D826, Repository!A:J, 9, 0), ""), "")</f>
        <v/>
      </c>
      <c r="S826" s="105"/>
      <c r="T826" s="105"/>
      <c r="U826" s="105"/>
      <c r="V826" s="105"/>
      <c r="W826" s="105"/>
      <c r="X826" s="105"/>
      <c r="Y826" s="105"/>
      <c r="Z826" s="105"/>
      <c r="AA826" s="105"/>
      <c r="AB826" s="105"/>
      <c r="AC826" s="91"/>
      <c r="AD826" s="105"/>
      <c r="AE826" s="105"/>
      <c r="AF826" s="91"/>
      <c r="AG826" s="105"/>
      <c r="AH826" s="105"/>
      <c r="AI826" s="105" t="str">
        <f t="shared" si="1"/>
        <v/>
      </c>
      <c r="AJ826" s="108" t="str">
        <f t="shared" si="2"/>
        <v/>
      </c>
    </row>
    <row r="827" ht="15.75" customHeight="1">
      <c r="A827" s="104"/>
      <c r="B827" s="105" t="str">
        <f>IFERROR(__xludf.DUMMYFUNCTION("ARRAY_CONSTRAIN(
  ARRAYFORMULA(
    IF(
      'Final Report'!A827="""",
      """",
      TEXTJOIN(
        "", "" &amp; CHAR(10),
        TRUE,
        IFERROR(
          VLOOKUP(
            TRIM(
              SPLIT('Final Report'!A827, "","")
           "&amp;" ),
            'URL Details'!A:B,
            2,
            FALSE
          ),
          """"
        )
      )
    )
  ),
  1,
  1
)
"),"")</f>
        <v/>
      </c>
      <c r="C827" s="105" t="str">
        <f>IFERROR(__xludf.DUMMYFUNCTION("IFERROR(IF('Final Report'!A827="""","""", TEXTJOIN(CHAR(10), TRUE, ARRAYFORMULA( ""• ""&amp; FILTER( TRIM(FLATTEN(SPLIT( REGEXREPLACE( SUBSTITUTE(TEXTJOIN("","", TRUE, IFERROR(ARRAYFORMULA(VLOOKUP(TRIM(SPLIT('Final Report'!A827, "","")), 'URL Details'!A:D, 4,"&amp;" FALSE)),"""") ), CHAR(10), "",""), ""\s*,\s*"", "",""), "",""))), TRIM(FLATTEN(SPLIT( REGEXREPLACE( SUBSTITUTE(TEXTJOIN("","", TRUE, IFERROR(ARRAYFORMULA(VLOOKUP(TRIM(SPLIT('Final Report'!A827, "","")), 'URL Details'!A:D, 4, FALSE)),"""") ), CHAR(10), """&amp;",""), ""\s*,\s*"", "",""), "","")))&lt;&gt;"""" ) ) ) ),"""")
"),"")</f>
        <v/>
      </c>
      <c r="D827" s="105"/>
      <c r="E827" s="105"/>
      <c r="F827" s="110" t="b">
        <v>0</v>
      </c>
      <c r="G827" s="105" t="str">
        <f>IF(F827=True, IFERROR(VLOOKUP(D827, Repository!A:B, 2, 0), ""), "")</f>
        <v/>
      </c>
      <c r="H827" s="105"/>
      <c r="I827" s="105"/>
      <c r="J827" s="105" t="str">
        <f>IF(F827=True, IFERROR(VLOOKUP(D827, Repository!A:C, 3, 0), ""), "")</f>
        <v/>
      </c>
      <c r="K827" s="105"/>
      <c r="L827" s="105" t="str">
        <f>IF(F827=True, IFERROR(VLOOKUP(D827, Repository!A:E, 5, 0), ""), "")</f>
        <v/>
      </c>
      <c r="M827" s="105"/>
      <c r="N827" s="105" t="str">
        <f>IF(F827=True, IFERROR(VLOOKUP(D827, Repository!A:G, 7, 0), ""), "")</f>
        <v/>
      </c>
      <c r="O827" s="105" t="str">
        <f>IFERROR(__xludf.DUMMYFUNCTION("ARRAY_CONSTRAIN(
  ARRAYFORMULA(
    IFERROR(
      LET(
        list, N827,
        arr, TRIM(SPLIT(list, "","")),
        names, XLOOKUP(
          arr,
          'Conformance Score'!A:A,
          'Conformance Score'!B:B,
          ""Not found""
      "&amp;"  ),
        TEXTJOIN("", "", TRUE, names)
      ),
      """"
    )
  ),
  1,
  1
)
"),"")</f>
        <v/>
      </c>
      <c r="P827" s="105" t="str">
        <f>IF(F827="Yes", IFERROR(VLOOKUP(D827, Repository!A:F, 6, 0), ""), "")</f>
        <v/>
      </c>
      <c r="Q827" s="105" t="str">
        <f>IF(F827="Yes", IFERROR(VLOOKUP(D827, Repository!A:I, 8, 0), ""), "")</f>
        <v/>
      </c>
      <c r="R827" s="105" t="str">
        <f>IF(F827="Yes", IFERROR(VLOOKUP(D827, Repository!A:J, 9, 0), ""), "")</f>
        <v/>
      </c>
      <c r="S827" s="105"/>
      <c r="T827" s="105"/>
      <c r="U827" s="105"/>
      <c r="V827" s="105"/>
      <c r="W827" s="105"/>
      <c r="X827" s="105"/>
      <c r="Y827" s="105"/>
      <c r="Z827" s="105"/>
      <c r="AA827" s="105"/>
      <c r="AB827" s="105"/>
      <c r="AC827" s="91"/>
      <c r="AD827" s="105"/>
      <c r="AE827" s="105"/>
      <c r="AF827" s="91"/>
      <c r="AG827" s="105"/>
      <c r="AH827" s="105"/>
      <c r="AI827" s="105" t="str">
        <f t="shared" si="1"/>
        <v/>
      </c>
      <c r="AJ827" s="108" t="str">
        <f t="shared" si="2"/>
        <v/>
      </c>
    </row>
    <row r="828" ht="15.75" customHeight="1">
      <c r="A828" s="104"/>
      <c r="B828" s="105" t="str">
        <f>IFERROR(__xludf.DUMMYFUNCTION("ARRAY_CONSTRAIN(
  ARRAYFORMULA(
    IF(
      'Final Report'!A828="""",
      """",
      TEXTJOIN(
        "", "" &amp; CHAR(10),
        TRUE,
        IFERROR(
          VLOOKUP(
            TRIM(
              SPLIT('Final Report'!A828, "","")
           "&amp;" ),
            'URL Details'!A:B,
            2,
            FALSE
          ),
          """"
        )
      )
    )
  ),
  1,
  1
)
"),"")</f>
        <v/>
      </c>
      <c r="C828" s="105" t="str">
        <f>IFERROR(__xludf.DUMMYFUNCTION("IFERROR(IF('Final Report'!A828="""","""", TEXTJOIN(CHAR(10), TRUE, ARRAYFORMULA( ""• ""&amp; FILTER( TRIM(FLATTEN(SPLIT( REGEXREPLACE( SUBSTITUTE(TEXTJOIN("","", TRUE, IFERROR(ARRAYFORMULA(VLOOKUP(TRIM(SPLIT('Final Report'!A828, "","")), 'URL Details'!A:D, 4,"&amp;" FALSE)),"""") ), CHAR(10), "",""), ""\s*,\s*"", "",""), "",""))), TRIM(FLATTEN(SPLIT( REGEXREPLACE( SUBSTITUTE(TEXTJOIN("","", TRUE, IFERROR(ARRAYFORMULA(VLOOKUP(TRIM(SPLIT('Final Report'!A828, "","")), 'URL Details'!A:D, 4, FALSE)),"""") ), CHAR(10), """&amp;",""), ""\s*,\s*"", "",""), "","")))&lt;&gt;"""" ) ) ) ),"""")
"),"")</f>
        <v/>
      </c>
      <c r="D828" s="105"/>
      <c r="E828" s="105"/>
      <c r="F828" s="110" t="b">
        <v>0</v>
      </c>
      <c r="G828" s="105" t="str">
        <f>IF(F828=True, IFERROR(VLOOKUP(D828, Repository!A:B, 2, 0), ""), "")</f>
        <v/>
      </c>
      <c r="H828" s="105"/>
      <c r="I828" s="105"/>
      <c r="J828" s="105" t="str">
        <f>IF(F828=True, IFERROR(VLOOKUP(D828, Repository!A:C, 3, 0), ""), "")</f>
        <v/>
      </c>
      <c r="K828" s="105"/>
      <c r="L828" s="105" t="str">
        <f>IF(F828=True, IFERROR(VLOOKUP(D828, Repository!A:E, 5, 0), ""), "")</f>
        <v/>
      </c>
      <c r="M828" s="105"/>
      <c r="N828" s="105" t="str">
        <f>IF(F828=True, IFERROR(VLOOKUP(D828, Repository!A:G, 7, 0), ""), "")</f>
        <v/>
      </c>
      <c r="O828" s="105" t="str">
        <f>IFERROR(__xludf.DUMMYFUNCTION("ARRAY_CONSTRAIN(
  ARRAYFORMULA(
    IFERROR(
      LET(
        list, N828,
        arr, TRIM(SPLIT(list, "","")),
        names, XLOOKUP(
          arr,
          'Conformance Score'!A:A,
          'Conformance Score'!B:B,
          ""Not found""
      "&amp;"  ),
        TEXTJOIN("", "", TRUE, names)
      ),
      """"
    )
  ),
  1,
  1
)
"),"")</f>
        <v/>
      </c>
      <c r="P828" s="105" t="str">
        <f>IF(F828="Yes", IFERROR(VLOOKUP(D828, Repository!A:F, 6, 0), ""), "")</f>
        <v/>
      </c>
      <c r="Q828" s="105" t="str">
        <f>IF(F828="Yes", IFERROR(VLOOKUP(D828, Repository!A:I, 8, 0), ""), "")</f>
        <v/>
      </c>
      <c r="R828" s="105" t="str">
        <f>IF(F828="Yes", IFERROR(VLOOKUP(D828, Repository!A:J, 9, 0), ""), "")</f>
        <v/>
      </c>
      <c r="S828" s="105"/>
      <c r="T828" s="105"/>
      <c r="U828" s="105"/>
      <c r="V828" s="105"/>
      <c r="W828" s="105"/>
      <c r="X828" s="105"/>
      <c r="Y828" s="105"/>
      <c r="Z828" s="105"/>
      <c r="AA828" s="105"/>
      <c r="AB828" s="105"/>
      <c r="AC828" s="91"/>
      <c r="AD828" s="105"/>
      <c r="AE828" s="105"/>
      <c r="AF828" s="91"/>
      <c r="AG828" s="105"/>
      <c r="AH828" s="105"/>
      <c r="AI828" s="105" t="str">
        <f t="shared" si="1"/>
        <v/>
      </c>
      <c r="AJ828" s="108" t="str">
        <f t="shared" si="2"/>
        <v/>
      </c>
    </row>
    <row r="829" ht="15.75" customHeight="1">
      <c r="A829" s="104"/>
      <c r="B829" s="105" t="str">
        <f>IFERROR(__xludf.DUMMYFUNCTION("ARRAY_CONSTRAIN(
  ARRAYFORMULA(
    IF(
      'Final Report'!A829="""",
      """",
      TEXTJOIN(
        "", "" &amp; CHAR(10),
        TRUE,
        IFERROR(
          VLOOKUP(
            TRIM(
              SPLIT('Final Report'!A829, "","")
           "&amp;" ),
            'URL Details'!A:B,
            2,
            FALSE
          ),
          """"
        )
      )
    )
  ),
  1,
  1
)
"),"")</f>
        <v/>
      </c>
      <c r="C829" s="105" t="str">
        <f>IFERROR(__xludf.DUMMYFUNCTION("IFERROR(IF('Final Report'!A829="""","""", TEXTJOIN(CHAR(10), TRUE, ARRAYFORMULA( ""• ""&amp; FILTER( TRIM(FLATTEN(SPLIT( REGEXREPLACE( SUBSTITUTE(TEXTJOIN("","", TRUE, IFERROR(ARRAYFORMULA(VLOOKUP(TRIM(SPLIT('Final Report'!A829, "","")), 'URL Details'!A:D, 4,"&amp;" FALSE)),"""") ), CHAR(10), "",""), ""\s*,\s*"", "",""), "",""))), TRIM(FLATTEN(SPLIT( REGEXREPLACE( SUBSTITUTE(TEXTJOIN("","", TRUE, IFERROR(ARRAYFORMULA(VLOOKUP(TRIM(SPLIT('Final Report'!A829, "","")), 'URL Details'!A:D, 4, FALSE)),"""") ), CHAR(10), """&amp;",""), ""\s*,\s*"", "",""), "","")))&lt;&gt;"""" ) ) ) ),"""")
"),"")</f>
        <v/>
      </c>
      <c r="D829" s="105"/>
      <c r="E829" s="105"/>
      <c r="F829" s="110" t="b">
        <v>0</v>
      </c>
      <c r="G829" s="105" t="str">
        <f>IF(F829=True, IFERROR(VLOOKUP(D829, Repository!A:B, 2, 0), ""), "")</f>
        <v/>
      </c>
      <c r="H829" s="105"/>
      <c r="I829" s="105"/>
      <c r="J829" s="105" t="str">
        <f>IF(F829=True, IFERROR(VLOOKUP(D829, Repository!A:C, 3, 0), ""), "")</f>
        <v/>
      </c>
      <c r="K829" s="105"/>
      <c r="L829" s="105" t="str">
        <f>IF(F829=True, IFERROR(VLOOKUP(D829, Repository!A:E, 5, 0), ""), "")</f>
        <v/>
      </c>
      <c r="M829" s="105"/>
      <c r="N829" s="105" t="str">
        <f>IF(F829=True, IFERROR(VLOOKUP(D829, Repository!A:G, 7, 0), ""), "")</f>
        <v/>
      </c>
      <c r="O829" s="105" t="str">
        <f>IFERROR(__xludf.DUMMYFUNCTION("ARRAY_CONSTRAIN(
  ARRAYFORMULA(
    IFERROR(
      LET(
        list, N829,
        arr, TRIM(SPLIT(list, "","")),
        names, XLOOKUP(
          arr,
          'Conformance Score'!A:A,
          'Conformance Score'!B:B,
          ""Not found""
      "&amp;"  ),
        TEXTJOIN("", "", TRUE, names)
      ),
      """"
    )
  ),
  1,
  1
)
"),"")</f>
        <v/>
      </c>
      <c r="P829" s="105" t="str">
        <f>IF(F829="Yes", IFERROR(VLOOKUP(D829, Repository!A:F, 6, 0), ""), "")</f>
        <v/>
      </c>
      <c r="Q829" s="105" t="str">
        <f>IF(F829="Yes", IFERROR(VLOOKUP(D829, Repository!A:I, 8, 0), ""), "")</f>
        <v/>
      </c>
      <c r="R829" s="105" t="str">
        <f>IF(F829="Yes", IFERROR(VLOOKUP(D829, Repository!A:J, 9, 0), ""), "")</f>
        <v/>
      </c>
      <c r="S829" s="105"/>
      <c r="T829" s="105"/>
      <c r="U829" s="105"/>
      <c r="V829" s="105"/>
      <c r="W829" s="105"/>
      <c r="X829" s="105"/>
      <c r="Y829" s="105"/>
      <c r="Z829" s="105"/>
      <c r="AA829" s="105"/>
      <c r="AB829" s="105"/>
      <c r="AC829" s="91"/>
      <c r="AD829" s="105"/>
      <c r="AE829" s="105"/>
      <c r="AF829" s="91"/>
      <c r="AG829" s="105"/>
      <c r="AH829" s="105"/>
      <c r="AI829" s="105" t="str">
        <f t="shared" si="1"/>
        <v/>
      </c>
      <c r="AJ829" s="108" t="str">
        <f t="shared" si="2"/>
        <v/>
      </c>
    </row>
    <row r="830" ht="15.75" customHeight="1">
      <c r="A830" s="104"/>
      <c r="B830" s="105" t="str">
        <f>IFERROR(__xludf.DUMMYFUNCTION("ARRAY_CONSTRAIN(
  ARRAYFORMULA(
    IF(
      'Final Report'!A830="""",
      """",
      TEXTJOIN(
        "", "" &amp; CHAR(10),
        TRUE,
        IFERROR(
          VLOOKUP(
            TRIM(
              SPLIT('Final Report'!A830, "","")
           "&amp;" ),
            'URL Details'!A:B,
            2,
            FALSE
          ),
          """"
        )
      )
    )
  ),
  1,
  1
)
"),"")</f>
        <v/>
      </c>
      <c r="C830" s="105" t="str">
        <f>IFERROR(__xludf.DUMMYFUNCTION("IFERROR(IF('Final Report'!A830="""","""", TEXTJOIN(CHAR(10), TRUE, ARRAYFORMULA( ""• ""&amp; FILTER( TRIM(FLATTEN(SPLIT( REGEXREPLACE( SUBSTITUTE(TEXTJOIN("","", TRUE, IFERROR(ARRAYFORMULA(VLOOKUP(TRIM(SPLIT('Final Report'!A830, "","")), 'URL Details'!A:D, 4,"&amp;" FALSE)),"""") ), CHAR(10), "",""), ""\s*,\s*"", "",""), "",""))), TRIM(FLATTEN(SPLIT( REGEXREPLACE( SUBSTITUTE(TEXTJOIN("","", TRUE, IFERROR(ARRAYFORMULA(VLOOKUP(TRIM(SPLIT('Final Report'!A830, "","")), 'URL Details'!A:D, 4, FALSE)),"""") ), CHAR(10), """&amp;",""), ""\s*,\s*"", "",""), "","")))&lt;&gt;"""" ) ) ) ),"""")
"),"")</f>
        <v/>
      </c>
      <c r="D830" s="105"/>
      <c r="E830" s="105"/>
      <c r="F830" s="110" t="b">
        <v>0</v>
      </c>
      <c r="G830" s="105" t="str">
        <f>IF(F830=True, IFERROR(VLOOKUP(D830, Repository!A:B, 2, 0), ""), "")</f>
        <v/>
      </c>
      <c r="H830" s="105"/>
      <c r="I830" s="105"/>
      <c r="J830" s="105" t="str">
        <f>IF(F830=True, IFERROR(VLOOKUP(D830, Repository!A:C, 3, 0), ""), "")</f>
        <v/>
      </c>
      <c r="K830" s="105"/>
      <c r="L830" s="105" t="str">
        <f>IF(F830=True, IFERROR(VLOOKUP(D830, Repository!A:E, 5, 0), ""), "")</f>
        <v/>
      </c>
      <c r="M830" s="105"/>
      <c r="N830" s="105" t="str">
        <f>IF(F830=True, IFERROR(VLOOKUP(D830, Repository!A:G, 7, 0), ""), "")</f>
        <v/>
      </c>
      <c r="O830" s="105" t="str">
        <f>IFERROR(__xludf.DUMMYFUNCTION("ARRAY_CONSTRAIN(
  ARRAYFORMULA(
    IFERROR(
      LET(
        list, N830,
        arr, TRIM(SPLIT(list, "","")),
        names, XLOOKUP(
          arr,
          'Conformance Score'!A:A,
          'Conformance Score'!B:B,
          ""Not found""
      "&amp;"  ),
        TEXTJOIN("", "", TRUE, names)
      ),
      """"
    )
  ),
  1,
  1
)
"),"")</f>
        <v/>
      </c>
      <c r="P830" s="105" t="str">
        <f>IF(F830="Yes", IFERROR(VLOOKUP(D830, Repository!A:F, 6, 0), ""), "")</f>
        <v/>
      </c>
      <c r="Q830" s="105" t="str">
        <f>IF(F830="Yes", IFERROR(VLOOKUP(D830, Repository!A:I, 8, 0), ""), "")</f>
        <v/>
      </c>
      <c r="R830" s="105" t="str">
        <f>IF(F830="Yes", IFERROR(VLOOKUP(D830, Repository!A:J, 9, 0), ""), "")</f>
        <v/>
      </c>
      <c r="S830" s="105"/>
      <c r="T830" s="105"/>
      <c r="U830" s="105"/>
      <c r="V830" s="105"/>
      <c r="W830" s="105"/>
      <c r="X830" s="105"/>
      <c r="Y830" s="105"/>
      <c r="Z830" s="105"/>
      <c r="AA830" s="105"/>
      <c r="AB830" s="105"/>
      <c r="AC830" s="91"/>
      <c r="AD830" s="105"/>
      <c r="AE830" s="105"/>
      <c r="AF830" s="91"/>
      <c r="AG830" s="105"/>
      <c r="AH830" s="105"/>
      <c r="AI830" s="105" t="str">
        <f t="shared" si="1"/>
        <v/>
      </c>
      <c r="AJ830" s="108" t="str">
        <f t="shared" si="2"/>
        <v/>
      </c>
    </row>
    <row r="831" ht="15.75" customHeight="1">
      <c r="A831" s="104"/>
      <c r="B831" s="105" t="str">
        <f>IFERROR(__xludf.DUMMYFUNCTION("ARRAY_CONSTRAIN(
  ARRAYFORMULA(
    IF(
      'Final Report'!A831="""",
      """",
      TEXTJOIN(
        "", "" &amp; CHAR(10),
        TRUE,
        IFERROR(
          VLOOKUP(
            TRIM(
              SPLIT('Final Report'!A831, "","")
           "&amp;" ),
            'URL Details'!A:B,
            2,
            FALSE
          ),
          """"
        )
      )
    )
  ),
  1,
  1
)
"),"")</f>
        <v/>
      </c>
      <c r="C831" s="105" t="str">
        <f>IFERROR(__xludf.DUMMYFUNCTION("IFERROR(IF('Final Report'!A831="""","""", TEXTJOIN(CHAR(10), TRUE, ARRAYFORMULA( ""• ""&amp; FILTER( TRIM(FLATTEN(SPLIT( REGEXREPLACE( SUBSTITUTE(TEXTJOIN("","", TRUE, IFERROR(ARRAYFORMULA(VLOOKUP(TRIM(SPLIT('Final Report'!A831, "","")), 'URL Details'!A:D, 4,"&amp;" FALSE)),"""") ), CHAR(10), "",""), ""\s*,\s*"", "",""), "",""))), TRIM(FLATTEN(SPLIT( REGEXREPLACE( SUBSTITUTE(TEXTJOIN("","", TRUE, IFERROR(ARRAYFORMULA(VLOOKUP(TRIM(SPLIT('Final Report'!A831, "","")), 'URL Details'!A:D, 4, FALSE)),"""") ), CHAR(10), """&amp;",""), ""\s*,\s*"", "",""), "","")))&lt;&gt;"""" ) ) ) ),"""")
"),"")</f>
        <v/>
      </c>
      <c r="D831" s="105"/>
      <c r="E831" s="105"/>
      <c r="F831" s="110" t="b">
        <v>0</v>
      </c>
      <c r="G831" s="105" t="str">
        <f>IF(F831=True, IFERROR(VLOOKUP(D831, Repository!A:B, 2, 0), ""), "")</f>
        <v/>
      </c>
      <c r="H831" s="105"/>
      <c r="I831" s="105"/>
      <c r="J831" s="105" t="str">
        <f>IF(F831=True, IFERROR(VLOOKUP(D831, Repository!A:C, 3, 0), ""), "")</f>
        <v/>
      </c>
      <c r="K831" s="105"/>
      <c r="L831" s="105" t="str">
        <f>IF(F831=True, IFERROR(VLOOKUP(D831, Repository!A:E, 5, 0), ""), "")</f>
        <v/>
      </c>
      <c r="M831" s="105"/>
      <c r="N831" s="105" t="str">
        <f>IF(F831=True, IFERROR(VLOOKUP(D831, Repository!A:G, 7, 0), ""), "")</f>
        <v/>
      </c>
      <c r="O831" s="105" t="str">
        <f>IFERROR(__xludf.DUMMYFUNCTION("ARRAY_CONSTRAIN(
  ARRAYFORMULA(
    IFERROR(
      LET(
        list, N831,
        arr, TRIM(SPLIT(list, "","")),
        names, XLOOKUP(
          arr,
          'Conformance Score'!A:A,
          'Conformance Score'!B:B,
          ""Not found""
      "&amp;"  ),
        TEXTJOIN("", "", TRUE, names)
      ),
      """"
    )
  ),
  1,
  1
)
"),"")</f>
        <v/>
      </c>
      <c r="P831" s="105" t="str">
        <f>IF(F831="Yes", IFERROR(VLOOKUP(D831, Repository!A:F, 6, 0), ""), "")</f>
        <v/>
      </c>
      <c r="Q831" s="105" t="str">
        <f>IF(F831="Yes", IFERROR(VLOOKUP(D831, Repository!A:I, 8, 0), ""), "")</f>
        <v/>
      </c>
      <c r="R831" s="105" t="str">
        <f>IF(F831="Yes", IFERROR(VLOOKUP(D831, Repository!A:J, 9, 0), ""), "")</f>
        <v/>
      </c>
      <c r="S831" s="105"/>
      <c r="T831" s="105"/>
      <c r="U831" s="105"/>
      <c r="V831" s="105"/>
      <c r="W831" s="105"/>
      <c r="X831" s="105"/>
      <c r="Y831" s="105"/>
      <c r="Z831" s="105"/>
      <c r="AA831" s="105"/>
      <c r="AB831" s="105"/>
      <c r="AC831" s="91"/>
      <c r="AD831" s="105"/>
      <c r="AE831" s="105"/>
      <c r="AF831" s="91"/>
      <c r="AG831" s="105"/>
      <c r="AH831" s="105"/>
      <c r="AI831" s="105" t="str">
        <f t="shared" si="1"/>
        <v/>
      </c>
      <c r="AJ831" s="108" t="str">
        <f t="shared" si="2"/>
        <v/>
      </c>
    </row>
    <row r="832" ht="15.75" customHeight="1">
      <c r="A832" s="104"/>
      <c r="B832" s="105" t="str">
        <f>IFERROR(__xludf.DUMMYFUNCTION("ARRAY_CONSTRAIN(
  ARRAYFORMULA(
    IF(
      'Final Report'!A832="""",
      """",
      TEXTJOIN(
        "", "" &amp; CHAR(10),
        TRUE,
        IFERROR(
          VLOOKUP(
            TRIM(
              SPLIT('Final Report'!A832, "","")
           "&amp;" ),
            'URL Details'!A:B,
            2,
            FALSE
          ),
          """"
        )
      )
    )
  ),
  1,
  1
)
"),"")</f>
        <v/>
      </c>
      <c r="C832" s="105" t="str">
        <f>IFERROR(__xludf.DUMMYFUNCTION("IFERROR(IF('Final Report'!A832="""","""", TEXTJOIN(CHAR(10), TRUE, ARRAYFORMULA( ""• ""&amp; FILTER( TRIM(FLATTEN(SPLIT( REGEXREPLACE( SUBSTITUTE(TEXTJOIN("","", TRUE, IFERROR(ARRAYFORMULA(VLOOKUP(TRIM(SPLIT('Final Report'!A832, "","")), 'URL Details'!A:D, 4,"&amp;" FALSE)),"""") ), CHAR(10), "",""), ""\s*,\s*"", "",""), "",""))), TRIM(FLATTEN(SPLIT( REGEXREPLACE( SUBSTITUTE(TEXTJOIN("","", TRUE, IFERROR(ARRAYFORMULA(VLOOKUP(TRIM(SPLIT('Final Report'!A832, "","")), 'URL Details'!A:D, 4, FALSE)),"""") ), CHAR(10), """&amp;",""), ""\s*,\s*"", "",""), "","")))&lt;&gt;"""" ) ) ) ),"""")
"),"")</f>
        <v/>
      </c>
      <c r="D832" s="105"/>
      <c r="E832" s="105"/>
      <c r="F832" s="110" t="b">
        <v>0</v>
      </c>
      <c r="G832" s="105" t="str">
        <f>IF(F832=True, IFERROR(VLOOKUP(D832, Repository!A:B, 2, 0), ""), "")</f>
        <v/>
      </c>
      <c r="H832" s="105"/>
      <c r="I832" s="105"/>
      <c r="J832" s="105" t="str">
        <f>IF(F832=True, IFERROR(VLOOKUP(D832, Repository!A:C, 3, 0), ""), "")</f>
        <v/>
      </c>
      <c r="K832" s="105"/>
      <c r="L832" s="105" t="str">
        <f>IF(F832=True, IFERROR(VLOOKUP(D832, Repository!A:E, 5, 0), ""), "")</f>
        <v/>
      </c>
      <c r="M832" s="105"/>
      <c r="N832" s="105" t="str">
        <f>IF(F832=True, IFERROR(VLOOKUP(D832, Repository!A:G, 7, 0), ""), "")</f>
        <v/>
      </c>
      <c r="O832" s="105" t="str">
        <f>IFERROR(__xludf.DUMMYFUNCTION("ARRAY_CONSTRAIN(
  ARRAYFORMULA(
    IFERROR(
      LET(
        list, N832,
        arr, TRIM(SPLIT(list, "","")),
        names, XLOOKUP(
          arr,
          'Conformance Score'!A:A,
          'Conformance Score'!B:B,
          ""Not found""
      "&amp;"  ),
        TEXTJOIN("", "", TRUE, names)
      ),
      """"
    )
  ),
  1,
  1
)
"),"")</f>
        <v/>
      </c>
      <c r="P832" s="105" t="str">
        <f>IF(F832="Yes", IFERROR(VLOOKUP(D832, Repository!A:F, 6, 0), ""), "")</f>
        <v/>
      </c>
      <c r="Q832" s="105" t="str">
        <f>IF(F832="Yes", IFERROR(VLOOKUP(D832, Repository!A:I, 8, 0), ""), "")</f>
        <v/>
      </c>
      <c r="R832" s="105" t="str">
        <f>IF(F832="Yes", IFERROR(VLOOKUP(D832, Repository!A:J, 9, 0), ""), "")</f>
        <v/>
      </c>
      <c r="S832" s="105"/>
      <c r="T832" s="105"/>
      <c r="U832" s="105"/>
      <c r="V832" s="105"/>
      <c r="W832" s="105"/>
      <c r="X832" s="105"/>
      <c r="Y832" s="105"/>
      <c r="Z832" s="105"/>
      <c r="AA832" s="105"/>
      <c r="AB832" s="105"/>
      <c r="AC832" s="91"/>
      <c r="AD832" s="105"/>
      <c r="AE832" s="105"/>
      <c r="AF832" s="91"/>
      <c r="AG832" s="105"/>
      <c r="AH832" s="105"/>
      <c r="AI832" s="105" t="str">
        <f t="shared" si="1"/>
        <v/>
      </c>
      <c r="AJ832" s="108" t="str">
        <f t="shared" si="2"/>
        <v/>
      </c>
    </row>
    <row r="833" ht="15.75" customHeight="1">
      <c r="A833" s="104"/>
      <c r="B833" s="105" t="str">
        <f>IFERROR(__xludf.DUMMYFUNCTION("ARRAY_CONSTRAIN(
  ARRAYFORMULA(
    IF(
      'Final Report'!A833="""",
      """",
      TEXTJOIN(
        "", "" &amp; CHAR(10),
        TRUE,
        IFERROR(
          VLOOKUP(
            TRIM(
              SPLIT('Final Report'!A833, "","")
           "&amp;" ),
            'URL Details'!A:B,
            2,
            FALSE
          ),
          """"
        )
      )
    )
  ),
  1,
  1
)
"),"")</f>
        <v/>
      </c>
      <c r="C833" s="105" t="str">
        <f>IFERROR(__xludf.DUMMYFUNCTION("IFERROR(IF('Final Report'!A833="""","""", TEXTJOIN(CHAR(10), TRUE, ARRAYFORMULA( ""• ""&amp; FILTER( TRIM(FLATTEN(SPLIT( REGEXREPLACE( SUBSTITUTE(TEXTJOIN("","", TRUE, IFERROR(ARRAYFORMULA(VLOOKUP(TRIM(SPLIT('Final Report'!A833, "","")), 'URL Details'!A:D, 4,"&amp;" FALSE)),"""") ), CHAR(10), "",""), ""\s*,\s*"", "",""), "",""))), TRIM(FLATTEN(SPLIT( REGEXREPLACE( SUBSTITUTE(TEXTJOIN("","", TRUE, IFERROR(ARRAYFORMULA(VLOOKUP(TRIM(SPLIT('Final Report'!A833, "","")), 'URL Details'!A:D, 4, FALSE)),"""") ), CHAR(10), """&amp;",""), ""\s*,\s*"", "",""), "","")))&lt;&gt;"""" ) ) ) ),"""")
"),"")</f>
        <v/>
      </c>
      <c r="D833" s="105"/>
      <c r="E833" s="105"/>
      <c r="F833" s="110" t="b">
        <v>0</v>
      </c>
      <c r="G833" s="105" t="str">
        <f>IF(F833=True, IFERROR(VLOOKUP(D833, Repository!A:B, 2, 0), ""), "")</f>
        <v/>
      </c>
      <c r="H833" s="105"/>
      <c r="I833" s="105"/>
      <c r="J833" s="105" t="str">
        <f>IF(F833=True, IFERROR(VLOOKUP(D833, Repository!A:C, 3, 0), ""), "")</f>
        <v/>
      </c>
      <c r="K833" s="105"/>
      <c r="L833" s="105" t="str">
        <f>IF(F833=True, IFERROR(VLOOKUP(D833, Repository!A:E, 5, 0), ""), "")</f>
        <v/>
      </c>
      <c r="M833" s="105"/>
      <c r="N833" s="105" t="str">
        <f>IF(F833=True, IFERROR(VLOOKUP(D833, Repository!A:G, 7, 0), ""), "")</f>
        <v/>
      </c>
      <c r="O833" s="105" t="str">
        <f>IFERROR(__xludf.DUMMYFUNCTION("ARRAY_CONSTRAIN(
  ARRAYFORMULA(
    IFERROR(
      LET(
        list, N833,
        arr, TRIM(SPLIT(list, "","")),
        names, XLOOKUP(
          arr,
          'Conformance Score'!A:A,
          'Conformance Score'!B:B,
          ""Not found""
      "&amp;"  ),
        TEXTJOIN("", "", TRUE, names)
      ),
      """"
    )
  ),
  1,
  1
)
"),"")</f>
        <v/>
      </c>
      <c r="P833" s="105" t="str">
        <f>IF(F833="Yes", IFERROR(VLOOKUP(D833, Repository!A:F, 6, 0), ""), "")</f>
        <v/>
      </c>
      <c r="Q833" s="105" t="str">
        <f>IF(F833="Yes", IFERROR(VLOOKUP(D833, Repository!A:I, 8, 0), ""), "")</f>
        <v/>
      </c>
      <c r="R833" s="105" t="str">
        <f>IF(F833="Yes", IFERROR(VLOOKUP(D833, Repository!A:J, 9, 0), ""), "")</f>
        <v/>
      </c>
      <c r="S833" s="105"/>
      <c r="T833" s="105"/>
      <c r="U833" s="105"/>
      <c r="V833" s="105"/>
      <c r="W833" s="105"/>
      <c r="X833" s="105"/>
      <c r="Y833" s="105"/>
      <c r="Z833" s="105"/>
      <c r="AA833" s="105"/>
      <c r="AB833" s="105"/>
      <c r="AC833" s="91"/>
      <c r="AD833" s="105"/>
      <c r="AE833" s="105"/>
      <c r="AF833" s="91"/>
      <c r="AG833" s="105"/>
      <c r="AH833" s="105"/>
      <c r="AI833" s="105" t="str">
        <f t="shared" si="1"/>
        <v/>
      </c>
      <c r="AJ833" s="108" t="str">
        <f t="shared" si="2"/>
        <v/>
      </c>
    </row>
    <row r="834" ht="15.75" customHeight="1">
      <c r="A834" s="104"/>
      <c r="B834" s="105" t="str">
        <f>IFERROR(__xludf.DUMMYFUNCTION("ARRAY_CONSTRAIN(
  ARRAYFORMULA(
    IF(
      'Final Report'!A834="""",
      """",
      TEXTJOIN(
        "", "" &amp; CHAR(10),
        TRUE,
        IFERROR(
          VLOOKUP(
            TRIM(
              SPLIT('Final Report'!A834, "","")
           "&amp;" ),
            'URL Details'!A:B,
            2,
            FALSE
          ),
          """"
        )
      )
    )
  ),
  1,
  1
)
"),"")</f>
        <v/>
      </c>
      <c r="C834" s="105" t="str">
        <f>IFERROR(__xludf.DUMMYFUNCTION("IFERROR(IF('Final Report'!A834="""","""", TEXTJOIN(CHAR(10), TRUE, ARRAYFORMULA( ""• ""&amp; FILTER( TRIM(FLATTEN(SPLIT( REGEXREPLACE( SUBSTITUTE(TEXTJOIN("","", TRUE, IFERROR(ARRAYFORMULA(VLOOKUP(TRIM(SPLIT('Final Report'!A834, "","")), 'URL Details'!A:D, 4,"&amp;" FALSE)),"""") ), CHAR(10), "",""), ""\s*,\s*"", "",""), "",""))), TRIM(FLATTEN(SPLIT( REGEXREPLACE( SUBSTITUTE(TEXTJOIN("","", TRUE, IFERROR(ARRAYFORMULA(VLOOKUP(TRIM(SPLIT('Final Report'!A834, "","")), 'URL Details'!A:D, 4, FALSE)),"""") ), CHAR(10), """&amp;",""), ""\s*,\s*"", "",""), "","")))&lt;&gt;"""" ) ) ) ),"""")
"),"")</f>
        <v/>
      </c>
      <c r="D834" s="105"/>
      <c r="E834" s="105"/>
      <c r="F834" s="110" t="b">
        <v>0</v>
      </c>
      <c r="G834" s="105" t="str">
        <f>IF(F834=True, IFERROR(VLOOKUP(D834, Repository!A:B, 2, 0), ""), "")</f>
        <v/>
      </c>
      <c r="H834" s="105"/>
      <c r="I834" s="105"/>
      <c r="J834" s="105" t="str">
        <f>IF(F834=True, IFERROR(VLOOKUP(D834, Repository!A:C, 3, 0), ""), "")</f>
        <v/>
      </c>
      <c r="K834" s="105"/>
      <c r="L834" s="105" t="str">
        <f>IF(F834=True, IFERROR(VLOOKUP(D834, Repository!A:E, 5, 0), ""), "")</f>
        <v/>
      </c>
      <c r="M834" s="105"/>
      <c r="N834" s="105" t="str">
        <f>IF(F834=True, IFERROR(VLOOKUP(D834, Repository!A:G, 7, 0), ""), "")</f>
        <v/>
      </c>
      <c r="O834" s="105" t="str">
        <f>IFERROR(__xludf.DUMMYFUNCTION("ARRAY_CONSTRAIN(
  ARRAYFORMULA(
    IFERROR(
      LET(
        list, N834,
        arr, TRIM(SPLIT(list, "","")),
        names, XLOOKUP(
          arr,
          'Conformance Score'!A:A,
          'Conformance Score'!B:B,
          ""Not found""
      "&amp;"  ),
        TEXTJOIN("", "", TRUE, names)
      ),
      """"
    )
  ),
  1,
  1
)
"),"")</f>
        <v/>
      </c>
      <c r="P834" s="105" t="str">
        <f>IF(F834="Yes", IFERROR(VLOOKUP(D834, Repository!A:F, 6, 0), ""), "")</f>
        <v/>
      </c>
      <c r="Q834" s="105" t="str">
        <f>IF(F834="Yes", IFERROR(VLOOKUP(D834, Repository!A:I, 8, 0), ""), "")</f>
        <v/>
      </c>
      <c r="R834" s="105" t="str">
        <f>IF(F834="Yes", IFERROR(VLOOKUP(D834, Repository!A:J, 9, 0), ""), "")</f>
        <v/>
      </c>
      <c r="S834" s="105"/>
      <c r="T834" s="105"/>
      <c r="U834" s="105"/>
      <c r="V834" s="105"/>
      <c r="W834" s="105"/>
      <c r="X834" s="105"/>
      <c r="Y834" s="105"/>
      <c r="Z834" s="105"/>
      <c r="AA834" s="105"/>
      <c r="AB834" s="105"/>
      <c r="AC834" s="91"/>
      <c r="AD834" s="105"/>
      <c r="AE834" s="105"/>
      <c r="AF834" s="91"/>
      <c r="AG834" s="105"/>
      <c r="AH834" s="105"/>
      <c r="AI834" s="105" t="str">
        <f t="shared" si="1"/>
        <v/>
      </c>
      <c r="AJ834" s="108" t="str">
        <f t="shared" si="2"/>
        <v/>
      </c>
    </row>
    <row r="835" ht="15.75" customHeight="1">
      <c r="A835" s="104"/>
      <c r="B835" s="105" t="str">
        <f>IFERROR(__xludf.DUMMYFUNCTION("ARRAY_CONSTRAIN(
  ARRAYFORMULA(
    IF(
      'Final Report'!A835="""",
      """",
      TEXTJOIN(
        "", "" &amp; CHAR(10),
        TRUE,
        IFERROR(
          VLOOKUP(
            TRIM(
              SPLIT('Final Report'!A835, "","")
           "&amp;" ),
            'URL Details'!A:B,
            2,
            FALSE
          ),
          """"
        )
      )
    )
  ),
  1,
  1
)
"),"")</f>
        <v/>
      </c>
      <c r="C835" s="105" t="str">
        <f>IFERROR(__xludf.DUMMYFUNCTION("IFERROR(IF('Final Report'!A835="""","""", TEXTJOIN(CHAR(10), TRUE, ARRAYFORMULA( ""• ""&amp; FILTER( TRIM(FLATTEN(SPLIT( REGEXREPLACE( SUBSTITUTE(TEXTJOIN("","", TRUE, IFERROR(ARRAYFORMULA(VLOOKUP(TRIM(SPLIT('Final Report'!A835, "","")), 'URL Details'!A:D, 4,"&amp;" FALSE)),"""") ), CHAR(10), "",""), ""\s*,\s*"", "",""), "",""))), TRIM(FLATTEN(SPLIT( REGEXREPLACE( SUBSTITUTE(TEXTJOIN("","", TRUE, IFERROR(ARRAYFORMULA(VLOOKUP(TRIM(SPLIT('Final Report'!A835, "","")), 'URL Details'!A:D, 4, FALSE)),"""") ), CHAR(10), """&amp;",""), ""\s*,\s*"", "",""), "","")))&lt;&gt;"""" ) ) ) ),"""")
"),"")</f>
        <v/>
      </c>
      <c r="D835" s="105"/>
      <c r="E835" s="105"/>
      <c r="F835" s="110" t="b">
        <v>0</v>
      </c>
      <c r="G835" s="105" t="str">
        <f>IF(F835=True, IFERROR(VLOOKUP(D835, Repository!A:B, 2, 0), ""), "")</f>
        <v/>
      </c>
      <c r="H835" s="105"/>
      <c r="I835" s="105"/>
      <c r="J835" s="105" t="str">
        <f>IF(F835=True, IFERROR(VLOOKUP(D835, Repository!A:C, 3, 0), ""), "")</f>
        <v/>
      </c>
      <c r="K835" s="105"/>
      <c r="L835" s="105" t="str">
        <f>IF(F835=True, IFERROR(VLOOKUP(D835, Repository!A:E, 5, 0), ""), "")</f>
        <v/>
      </c>
      <c r="M835" s="105"/>
      <c r="N835" s="105" t="str">
        <f>IF(F835=True, IFERROR(VLOOKUP(D835, Repository!A:G, 7, 0), ""), "")</f>
        <v/>
      </c>
      <c r="O835" s="105" t="str">
        <f>IFERROR(__xludf.DUMMYFUNCTION("ARRAY_CONSTRAIN(
  ARRAYFORMULA(
    IFERROR(
      LET(
        list, N835,
        arr, TRIM(SPLIT(list, "","")),
        names, XLOOKUP(
          arr,
          'Conformance Score'!A:A,
          'Conformance Score'!B:B,
          ""Not found""
      "&amp;"  ),
        TEXTJOIN("", "", TRUE, names)
      ),
      """"
    )
  ),
  1,
  1
)
"),"")</f>
        <v/>
      </c>
      <c r="P835" s="105" t="str">
        <f>IF(F835="Yes", IFERROR(VLOOKUP(D835, Repository!A:F, 6, 0), ""), "")</f>
        <v/>
      </c>
      <c r="Q835" s="105" t="str">
        <f>IF(F835="Yes", IFERROR(VLOOKUP(D835, Repository!A:I, 8, 0), ""), "")</f>
        <v/>
      </c>
      <c r="R835" s="105" t="str">
        <f>IF(F835="Yes", IFERROR(VLOOKUP(D835, Repository!A:J, 9, 0), ""), "")</f>
        <v/>
      </c>
      <c r="S835" s="105"/>
      <c r="T835" s="105"/>
      <c r="U835" s="105"/>
      <c r="V835" s="105"/>
      <c r="W835" s="105"/>
      <c r="X835" s="105"/>
      <c r="Y835" s="105"/>
      <c r="Z835" s="105"/>
      <c r="AA835" s="105"/>
      <c r="AB835" s="105"/>
      <c r="AC835" s="91"/>
      <c r="AD835" s="105"/>
      <c r="AE835" s="105"/>
      <c r="AF835" s="91"/>
      <c r="AG835" s="105"/>
      <c r="AH835" s="105"/>
      <c r="AI835" s="105" t="str">
        <f t="shared" si="1"/>
        <v/>
      </c>
      <c r="AJ835" s="108" t="str">
        <f t="shared" si="2"/>
        <v/>
      </c>
    </row>
    <row r="836" ht="15.75" customHeight="1">
      <c r="A836" s="104"/>
      <c r="B836" s="105" t="str">
        <f>IFERROR(__xludf.DUMMYFUNCTION("ARRAY_CONSTRAIN(
  ARRAYFORMULA(
    IF(
      'Final Report'!A836="""",
      """",
      TEXTJOIN(
        "", "" &amp; CHAR(10),
        TRUE,
        IFERROR(
          VLOOKUP(
            TRIM(
              SPLIT('Final Report'!A836, "","")
           "&amp;" ),
            'URL Details'!A:B,
            2,
            FALSE
          ),
          """"
        )
      )
    )
  ),
  1,
  1
)
"),"")</f>
        <v/>
      </c>
      <c r="C836" s="105" t="str">
        <f>IFERROR(__xludf.DUMMYFUNCTION("IFERROR(IF('Final Report'!A836="""","""", TEXTJOIN(CHAR(10), TRUE, ARRAYFORMULA( ""• ""&amp; FILTER( TRIM(FLATTEN(SPLIT( REGEXREPLACE( SUBSTITUTE(TEXTJOIN("","", TRUE, IFERROR(ARRAYFORMULA(VLOOKUP(TRIM(SPLIT('Final Report'!A836, "","")), 'URL Details'!A:D, 4,"&amp;" FALSE)),"""") ), CHAR(10), "",""), ""\s*,\s*"", "",""), "",""))), TRIM(FLATTEN(SPLIT( REGEXREPLACE( SUBSTITUTE(TEXTJOIN("","", TRUE, IFERROR(ARRAYFORMULA(VLOOKUP(TRIM(SPLIT('Final Report'!A836, "","")), 'URL Details'!A:D, 4, FALSE)),"""") ), CHAR(10), """&amp;",""), ""\s*,\s*"", "",""), "","")))&lt;&gt;"""" ) ) ) ),"""")
"),"")</f>
        <v/>
      </c>
      <c r="D836" s="105"/>
      <c r="E836" s="105"/>
      <c r="F836" s="110" t="b">
        <v>0</v>
      </c>
      <c r="G836" s="105" t="str">
        <f>IF(F836=True, IFERROR(VLOOKUP(D836, Repository!A:B, 2, 0), ""), "")</f>
        <v/>
      </c>
      <c r="H836" s="105"/>
      <c r="I836" s="105"/>
      <c r="J836" s="105" t="str">
        <f>IF(F836=True, IFERROR(VLOOKUP(D836, Repository!A:C, 3, 0), ""), "")</f>
        <v/>
      </c>
      <c r="K836" s="105"/>
      <c r="L836" s="105" t="str">
        <f>IF(F836=True, IFERROR(VLOOKUP(D836, Repository!A:E, 5, 0), ""), "")</f>
        <v/>
      </c>
      <c r="M836" s="105"/>
      <c r="N836" s="105" t="str">
        <f>IF(F836=True, IFERROR(VLOOKUP(D836, Repository!A:G, 7, 0), ""), "")</f>
        <v/>
      </c>
      <c r="O836" s="105" t="str">
        <f>IFERROR(__xludf.DUMMYFUNCTION("ARRAY_CONSTRAIN(
  ARRAYFORMULA(
    IFERROR(
      LET(
        list, N836,
        arr, TRIM(SPLIT(list, "","")),
        names, XLOOKUP(
          arr,
          'Conformance Score'!A:A,
          'Conformance Score'!B:B,
          ""Not found""
      "&amp;"  ),
        TEXTJOIN("", "", TRUE, names)
      ),
      """"
    )
  ),
  1,
  1
)
"),"")</f>
        <v/>
      </c>
      <c r="P836" s="105" t="str">
        <f>IF(F836="Yes", IFERROR(VLOOKUP(D836, Repository!A:F, 6, 0), ""), "")</f>
        <v/>
      </c>
      <c r="Q836" s="105" t="str">
        <f>IF(F836="Yes", IFERROR(VLOOKUP(D836, Repository!A:I, 8, 0), ""), "")</f>
        <v/>
      </c>
      <c r="R836" s="105" t="str">
        <f>IF(F836="Yes", IFERROR(VLOOKUP(D836, Repository!A:J, 9, 0), ""), "")</f>
        <v/>
      </c>
      <c r="S836" s="105"/>
      <c r="T836" s="105"/>
      <c r="U836" s="105"/>
      <c r="V836" s="105"/>
      <c r="W836" s="105"/>
      <c r="X836" s="105"/>
      <c r="Y836" s="105"/>
      <c r="Z836" s="105"/>
      <c r="AA836" s="105"/>
      <c r="AB836" s="105"/>
      <c r="AC836" s="91"/>
      <c r="AD836" s="105"/>
      <c r="AE836" s="105"/>
      <c r="AF836" s="91"/>
      <c r="AG836" s="105"/>
      <c r="AH836" s="105"/>
      <c r="AI836" s="105" t="str">
        <f t="shared" si="1"/>
        <v/>
      </c>
      <c r="AJ836" s="108" t="str">
        <f t="shared" si="2"/>
        <v/>
      </c>
    </row>
    <row r="837" ht="15.75" customHeight="1">
      <c r="A837" s="104"/>
      <c r="B837" s="105" t="str">
        <f>IFERROR(__xludf.DUMMYFUNCTION("ARRAY_CONSTRAIN(
  ARRAYFORMULA(
    IF(
      'Final Report'!A837="""",
      """",
      TEXTJOIN(
        "", "" &amp; CHAR(10),
        TRUE,
        IFERROR(
          VLOOKUP(
            TRIM(
              SPLIT('Final Report'!A837, "","")
           "&amp;" ),
            'URL Details'!A:B,
            2,
            FALSE
          ),
          """"
        )
      )
    )
  ),
  1,
  1
)
"),"")</f>
        <v/>
      </c>
      <c r="C837" s="105" t="str">
        <f>IFERROR(__xludf.DUMMYFUNCTION("IFERROR(IF('Final Report'!A837="""","""", TEXTJOIN(CHAR(10), TRUE, ARRAYFORMULA( ""• ""&amp; FILTER( TRIM(FLATTEN(SPLIT( REGEXREPLACE( SUBSTITUTE(TEXTJOIN("","", TRUE, IFERROR(ARRAYFORMULA(VLOOKUP(TRIM(SPLIT('Final Report'!A837, "","")), 'URL Details'!A:D, 4,"&amp;" FALSE)),"""") ), CHAR(10), "",""), ""\s*,\s*"", "",""), "",""))), TRIM(FLATTEN(SPLIT( REGEXREPLACE( SUBSTITUTE(TEXTJOIN("","", TRUE, IFERROR(ARRAYFORMULA(VLOOKUP(TRIM(SPLIT('Final Report'!A837, "","")), 'URL Details'!A:D, 4, FALSE)),"""") ), CHAR(10), """&amp;",""), ""\s*,\s*"", "",""), "","")))&lt;&gt;"""" ) ) ) ),"""")
"),"")</f>
        <v/>
      </c>
      <c r="D837" s="105"/>
      <c r="E837" s="105"/>
      <c r="F837" s="110" t="b">
        <v>0</v>
      </c>
      <c r="G837" s="105" t="str">
        <f>IF(F837=True, IFERROR(VLOOKUP(D837, Repository!A:B, 2, 0), ""), "")</f>
        <v/>
      </c>
      <c r="H837" s="105"/>
      <c r="I837" s="105"/>
      <c r="J837" s="105" t="str">
        <f>IF(F837=True, IFERROR(VLOOKUP(D837, Repository!A:C, 3, 0), ""), "")</f>
        <v/>
      </c>
      <c r="K837" s="105"/>
      <c r="L837" s="105" t="str">
        <f>IF(F837=True, IFERROR(VLOOKUP(D837, Repository!A:E, 5, 0), ""), "")</f>
        <v/>
      </c>
      <c r="M837" s="105"/>
      <c r="N837" s="105" t="str">
        <f>IF(F837=True, IFERROR(VLOOKUP(D837, Repository!A:G, 7, 0), ""), "")</f>
        <v/>
      </c>
      <c r="O837" s="105" t="str">
        <f>IFERROR(__xludf.DUMMYFUNCTION("ARRAY_CONSTRAIN(
  ARRAYFORMULA(
    IFERROR(
      LET(
        list, N837,
        arr, TRIM(SPLIT(list, "","")),
        names, XLOOKUP(
          arr,
          'Conformance Score'!A:A,
          'Conformance Score'!B:B,
          ""Not found""
      "&amp;"  ),
        TEXTJOIN("", "", TRUE, names)
      ),
      """"
    )
  ),
  1,
  1
)
"),"")</f>
        <v/>
      </c>
      <c r="P837" s="105" t="str">
        <f>IF(F837="Yes", IFERROR(VLOOKUP(D837, Repository!A:F, 6, 0), ""), "")</f>
        <v/>
      </c>
      <c r="Q837" s="105" t="str">
        <f>IF(F837="Yes", IFERROR(VLOOKUP(D837, Repository!A:I, 8, 0), ""), "")</f>
        <v/>
      </c>
      <c r="R837" s="105" t="str">
        <f>IF(F837="Yes", IFERROR(VLOOKUP(D837, Repository!A:J, 9, 0), ""), "")</f>
        <v/>
      </c>
      <c r="S837" s="105"/>
      <c r="T837" s="105"/>
      <c r="U837" s="105"/>
      <c r="V837" s="105"/>
      <c r="W837" s="105"/>
      <c r="X837" s="105"/>
      <c r="Y837" s="105"/>
      <c r="Z837" s="105"/>
      <c r="AA837" s="105"/>
      <c r="AB837" s="105"/>
      <c r="AC837" s="91"/>
      <c r="AD837" s="105"/>
      <c r="AE837" s="105"/>
      <c r="AF837" s="91"/>
      <c r="AG837" s="105"/>
      <c r="AH837" s="105"/>
      <c r="AI837" s="105" t="str">
        <f t="shared" si="1"/>
        <v/>
      </c>
      <c r="AJ837" s="108" t="str">
        <f t="shared" si="2"/>
        <v/>
      </c>
    </row>
    <row r="838" ht="15.75" customHeight="1">
      <c r="A838" s="104"/>
      <c r="B838" s="105" t="str">
        <f>IFERROR(__xludf.DUMMYFUNCTION("ARRAY_CONSTRAIN(
  ARRAYFORMULA(
    IF(
      'Final Report'!A838="""",
      """",
      TEXTJOIN(
        "", "" &amp; CHAR(10),
        TRUE,
        IFERROR(
          VLOOKUP(
            TRIM(
              SPLIT('Final Report'!A838, "","")
           "&amp;" ),
            'URL Details'!A:B,
            2,
            FALSE
          ),
          """"
        )
      )
    )
  ),
  1,
  1
)
"),"")</f>
        <v/>
      </c>
      <c r="C838" s="105" t="str">
        <f>IFERROR(__xludf.DUMMYFUNCTION("IFERROR(IF('Final Report'!A838="""","""", TEXTJOIN(CHAR(10), TRUE, ARRAYFORMULA( ""• ""&amp; FILTER( TRIM(FLATTEN(SPLIT( REGEXREPLACE( SUBSTITUTE(TEXTJOIN("","", TRUE, IFERROR(ARRAYFORMULA(VLOOKUP(TRIM(SPLIT('Final Report'!A838, "","")), 'URL Details'!A:D, 4,"&amp;" FALSE)),"""") ), CHAR(10), "",""), ""\s*,\s*"", "",""), "",""))), TRIM(FLATTEN(SPLIT( REGEXREPLACE( SUBSTITUTE(TEXTJOIN("","", TRUE, IFERROR(ARRAYFORMULA(VLOOKUP(TRIM(SPLIT('Final Report'!A838, "","")), 'URL Details'!A:D, 4, FALSE)),"""") ), CHAR(10), """&amp;",""), ""\s*,\s*"", "",""), "","")))&lt;&gt;"""" ) ) ) ),"""")
"),"")</f>
        <v/>
      </c>
      <c r="D838" s="105"/>
      <c r="E838" s="105"/>
      <c r="F838" s="110" t="b">
        <v>0</v>
      </c>
      <c r="G838" s="105" t="str">
        <f>IF(F838=True, IFERROR(VLOOKUP(D838, Repository!A:B, 2, 0), ""), "")</f>
        <v/>
      </c>
      <c r="H838" s="105"/>
      <c r="I838" s="105"/>
      <c r="J838" s="105" t="str">
        <f>IF(F838=True, IFERROR(VLOOKUP(D838, Repository!A:C, 3, 0), ""), "")</f>
        <v/>
      </c>
      <c r="K838" s="105"/>
      <c r="L838" s="105" t="str">
        <f>IF(F838=True, IFERROR(VLOOKUP(D838, Repository!A:E, 5, 0), ""), "")</f>
        <v/>
      </c>
      <c r="M838" s="105"/>
      <c r="N838" s="105" t="str">
        <f>IF(F838=True, IFERROR(VLOOKUP(D838, Repository!A:G, 7, 0), ""), "")</f>
        <v/>
      </c>
      <c r="O838" s="105" t="str">
        <f>IFERROR(__xludf.DUMMYFUNCTION("ARRAY_CONSTRAIN(
  ARRAYFORMULA(
    IFERROR(
      LET(
        list, N838,
        arr, TRIM(SPLIT(list, "","")),
        names, XLOOKUP(
          arr,
          'Conformance Score'!A:A,
          'Conformance Score'!B:B,
          ""Not found""
      "&amp;"  ),
        TEXTJOIN("", "", TRUE, names)
      ),
      """"
    )
  ),
  1,
  1
)
"),"")</f>
        <v/>
      </c>
      <c r="P838" s="105" t="str">
        <f>IF(F838="Yes", IFERROR(VLOOKUP(D838, Repository!A:F, 6, 0), ""), "")</f>
        <v/>
      </c>
      <c r="Q838" s="105" t="str">
        <f>IF(F838="Yes", IFERROR(VLOOKUP(D838, Repository!A:I, 8, 0), ""), "")</f>
        <v/>
      </c>
      <c r="R838" s="105" t="str">
        <f>IF(F838="Yes", IFERROR(VLOOKUP(D838, Repository!A:J, 9, 0), ""), "")</f>
        <v/>
      </c>
      <c r="S838" s="105"/>
      <c r="T838" s="105"/>
      <c r="U838" s="105"/>
      <c r="V838" s="105"/>
      <c r="W838" s="105"/>
      <c r="X838" s="105"/>
      <c r="Y838" s="105"/>
      <c r="Z838" s="105"/>
      <c r="AA838" s="105"/>
      <c r="AB838" s="105"/>
      <c r="AC838" s="91"/>
      <c r="AD838" s="105"/>
      <c r="AE838" s="105"/>
      <c r="AF838" s="91"/>
      <c r="AG838" s="105"/>
      <c r="AH838" s="105"/>
      <c r="AI838" s="105" t="str">
        <f t="shared" si="1"/>
        <v/>
      </c>
      <c r="AJ838" s="108" t="str">
        <f t="shared" si="2"/>
        <v/>
      </c>
    </row>
    <row r="839" ht="15.75" customHeight="1">
      <c r="A839" s="104"/>
      <c r="B839" s="105" t="str">
        <f>IFERROR(__xludf.DUMMYFUNCTION("ARRAY_CONSTRAIN(
  ARRAYFORMULA(
    IF(
      'Final Report'!A839="""",
      """",
      TEXTJOIN(
        "", "" &amp; CHAR(10),
        TRUE,
        IFERROR(
          VLOOKUP(
            TRIM(
              SPLIT('Final Report'!A839, "","")
           "&amp;" ),
            'URL Details'!A:B,
            2,
            FALSE
          ),
          """"
        )
      )
    )
  ),
  1,
  1
)
"),"")</f>
        <v/>
      </c>
      <c r="C839" s="105" t="str">
        <f>IFERROR(__xludf.DUMMYFUNCTION("IFERROR(IF('Final Report'!A839="""","""", TEXTJOIN(CHAR(10), TRUE, ARRAYFORMULA( ""• ""&amp; FILTER( TRIM(FLATTEN(SPLIT( REGEXREPLACE( SUBSTITUTE(TEXTJOIN("","", TRUE, IFERROR(ARRAYFORMULA(VLOOKUP(TRIM(SPLIT('Final Report'!A839, "","")), 'URL Details'!A:D, 4,"&amp;" FALSE)),"""") ), CHAR(10), "",""), ""\s*,\s*"", "",""), "",""))), TRIM(FLATTEN(SPLIT( REGEXREPLACE( SUBSTITUTE(TEXTJOIN("","", TRUE, IFERROR(ARRAYFORMULA(VLOOKUP(TRIM(SPLIT('Final Report'!A839, "","")), 'URL Details'!A:D, 4, FALSE)),"""") ), CHAR(10), """&amp;",""), ""\s*,\s*"", "",""), "","")))&lt;&gt;"""" ) ) ) ),"""")
"),"")</f>
        <v/>
      </c>
      <c r="D839" s="105"/>
      <c r="E839" s="105"/>
      <c r="F839" s="110" t="b">
        <v>0</v>
      </c>
      <c r="G839" s="105" t="str">
        <f>IF(F839=True, IFERROR(VLOOKUP(D839, Repository!A:B, 2, 0), ""), "")</f>
        <v/>
      </c>
      <c r="H839" s="105"/>
      <c r="I839" s="105"/>
      <c r="J839" s="105" t="str">
        <f>IF(F839=True, IFERROR(VLOOKUP(D839, Repository!A:C, 3, 0), ""), "")</f>
        <v/>
      </c>
      <c r="K839" s="105"/>
      <c r="L839" s="105" t="str">
        <f>IF(F839=True, IFERROR(VLOOKUP(D839, Repository!A:E, 5, 0), ""), "")</f>
        <v/>
      </c>
      <c r="M839" s="105"/>
      <c r="N839" s="105" t="str">
        <f>IF(F839=True, IFERROR(VLOOKUP(D839, Repository!A:G, 7, 0), ""), "")</f>
        <v/>
      </c>
      <c r="O839" s="105" t="str">
        <f>IFERROR(__xludf.DUMMYFUNCTION("ARRAY_CONSTRAIN(
  ARRAYFORMULA(
    IFERROR(
      LET(
        list, N839,
        arr, TRIM(SPLIT(list, "","")),
        names, XLOOKUP(
          arr,
          'Conformance Score'!A:A,
          'Conformance Score'!B:B,
          ""Not found""
      "&amp;"  ),
        TEXTJOIN("", "", TRUE, names)
      ),
      """"
    )
  ),
  1,
  1
)
"),"")</f>
        <v/>
      </c>
      <c r="P839" s="105" t="str">
        <f>IF(F839="Yes", IFERROR(VLOOKUP(D839, Repository!A:F, 6, 0), ""), "")</f>
        <v/>
      </c>
      <c r="Q839" s="105" t="str">
        <f>IF(F839="Yes", IFERROR(VLOOKUP(D839, Repository!A:I, 8, 0), ""), "")</f>
        <v/>
      </c>
      <c r="R839" s="105" t="str">
        <f>IF(F839="Yes", IFERROR(VLOOKUP(D839, Repository!A:J, 9, 0), ""), "")</f>
        <v/>
      </c>
      <c r="S839" s="105"/>
      <c r="T839" s="105"/>
      <c r="U839" s="105"/>
      <c r="V839" s="105"/>
      <c r="W839" s="105"/>
      <c r="X839" s="105"/>
      <c r="Y839" s="105"/>
      <c r="Z839" s="105"/>
      <c r="AA839" s="105"/>
      <c r="AB839" s="105"/>
      <c r="AC839" s="91"/>
      <c r="AD839" s="105"/>
      <c r="AE839" s="105"/>
      <c r="AF839" s="91"/>
      <c r="AG839" s="105"/>
      <c r="AH839" s="105"/>
      <c r="AI839" s="105" t="str">
        <f t="shared" si="1"/>
        <v/>
      </c>
      <c r="AJ839" s="108" t="str">
        <f t="shared" si="2"/>
        <v/>
      </c>
    </row>
    <row r="840" ht="15.75" customHeight="1">
      <c r="A840" s="104"/>
      <c r="B840" s="105" t="str">
        <f>IFERROR(__xludf.DUMMYFUNCTION("ARRAY_CONSTRAIN(
  ARRAYFORMULA(
    IF(
      'Final Report'!A840="""",
      """",
      TEXTJOIN(
        "", "" &amp; CHAR(10),
        TRUE,
        IFERROR(
          VLOOKUP(
            TRIM(
              SPLIT('Final Report'!A840, "","")
           "&amp;" ),
            'URL Details'!A:B,
            2,
            FALSE
          ),
          """"
        )
      )
    )
  ),
  1,
  1
)
"),"")</f>
        <v/>
      </c>
      <c r="C840" s="105" t="str">
        <f>IFERROR(__xludf.DUMMYFUNCTION("IFERROR(IF('Final Report'!A840="""","""", TEXTJOIN(CHAR(10), TRUE, ARRAYFORMULA( ""• ""&amp; FILTER( TRIM(FLATTEN(SPLIT( REGEXREPLACE( SUBSTITUTE(TEXTJOIN("","", TRUE, IFERROR(ARRAYFORMULA(VLOOKUP(TRIM(SPLIT('Final Report'!A840, "","")), 'URL Details'!A:D, 4,"&amp;" FALSE)),"""") ), CHAR(10), "",""), ""\s*,\s*"", "",""), "",""))), TRIM(FLATTEN(SPLIT( REGEXREPLACE( SUBSTITUTE(TEXTJOIN("","", TRUE, IFERROR(ARRAYFORMULA(VLOOKUP(TRIM(SPLIT('Final Report'!A840, "","")), 'URL Details'!A:D, 4, FALSE)),"""") ), CHAR(10), """&amp;",""), ""\s*,\s*"", "",""), "","")))&lt;&gt;"""" ) ) ) ),"""")
"),"")</f>
        <v/>
      </c>
      <c r="D840" s="105"/>
      <c r="E840" s="105"/>
      <c r="F840" s="110" t="b">
        <v>0</v>
      </c>
      <c r="G840" s="105" t="str">
        <f>IF(F840=True, IFERROR(VLOOKUP(D840, Repository!A:B, 2, 0), ""), "")</f>
        <v/>
      </c>
      <c r="H840" s="105"/>
      <c r="I840" s="105"/>
      <c r="J840" s="105" t="str">
        <f>IF(F840=True, IFERROR(VLOOKUP(D840, Repository!A:C, 3, 0), ""), "")</f>
        <v/>
      </c>
      <c r="K840" s="105"/>
      <c r="L840" s="105" t="str">
        <f>IF(F840=True, IFERROR(VLOOKUP(D840, Repository!A:E, 5, 0), ""), "")</f>
        <v/>
      </c>
      <c r="M840" s="105"/>
      <c r="N840" s="105" t="str">
        <f>IF(F840=True, IFERROR(VLOOKUP(D840, Repository!A:G, 7, 0), ""), "")</f>
        <v/>
      </c>
      <c r="O840" s="105" t="str">
        <f>IFERROR(__xludf.DUMMYFUNCTION("ARRAY_CONSTRAIN(
  ARRAYFORMULA(
    IFERROR(
      LET(
        list, N840,
        arr, TRIM(SPLIT(list, "","")),
        names, XLOOKUP(
          arr,
          'Conformance Score'!A:A,
          'Conformance Score'!B:B,
          ""Not found""
      "&amp;"  ),
        TEXTJOIN("", "", TRUE, names)
      ),
      """"
    )
  ),
  1,
  1
)
"),"")</f>
        <v/>
      </c>
      <c r="P840" s="105" t="str">
        <f>IF(F840="Yes", IFERROR(VLOOKUP(D840, Repository!A:F, 6, 0), ""), "")</f>
        <v/>
      </c>
      <c r="Q840" s="105" t="str">
        <f>IF(F840="Yes", IFERROR(VLOOKUP(D840, Repository!A:I, 8, 0), ""), "")</f>
        <v/>
      </c>
      <c r="R840" s="105" t="str">
        <f>IF(F840="Yes", IFERROR(VLOOKUP(D840, Repository!A:J, 9, 0), ""), "")</f>
        <v/>
      </c>
      <c r="S840" s="105"/>
      <c r="T840" s="105"/>
      <c r="U840" s="105"/>
      <c r="V840" s="105"/>
      <c r="W840" s="105"/>
      <c r="X840" s="105"/>
      <c r="Y840" s="105"/>
      <c r="Z840" s="105"/>
      <c r="AA840" s="105"/>
      <c r="AB840" s="105"/>
      <c r="AC840" s="91"/>
      <c r="AD840" s="105"/>
      <c r="AE840" s="105"/>
      <c r="AF840" s="91"/>
      <c r="AG840" s="105"/>
      <c r="AH840" s="105"/>
      <c r="AI840" s="105" t="str">
        <f t="shared" si="1"/>
        <v/>
      </c>
      <c r="AJ840" s="108" t="str">
        <f t="shared" si="2"/>
        <v/>
      </c>
    </row>
    <row r="841" ht="15.75" customHeight="1">
      <c r="A841" s="104"/>
      <c r="B841" s="105" t="str">
        <f>IFERROR(__xludf.DUMMYFUNCTION("ARRAY_CONSTRAIN(
  ARRAYFORMULA(
    IF(
      'Final Report'!A841="""",
      """",
      TEXTJOIN(
        "", "" &amp; CHAR(10),
        TRUE,
        IFERROR(
          VLOOKUP(
            TRIM(
              SPLIT('Final Report'!A841, "","")
           "&amp;" ),
            'URL Details'!A:B,
            2,
            FALSE
          ),
          """"
        )
      )
    )
  ),
  1,
  1
)
"),"")</f>
        <v/>
      </c>
      <c r="C841" s="105" t="str">
        <f>IFERROR(__xludf.DUMMYFUNCTION("IFERROR(IF('Final Report'!A841="""","""", TEXTJOIN(CHAR(10), TRUE, ARRAYFORMULA( ""• ""&amp; FILTER( TRIM(FLATTEN(SPLIT( REGEXREPLACE( SUBSTITUTE(TEXTJOIN("","", TRUE, IFERROR(ARRAYFORMULA(VLOOKUP(TRIM(SPLIT('Final Report'!A841, "","")), 'URL Details'!A:D, 4,"&amp;" FALSE)),"""") ), CHAR(10), "",""), ""\s*,\s*"", "",""), "",""))), TRIM(FLATTEN(SPLIT( REGEXREPLACE( SUBSTITUTE(TEXTJOIN("","", TRUE, IFERROR(ARRAYFORMULA(VLOOKUP(TRIM(SPLIT('Final Report'!A841, "","")), 'URL Details'!A:D, 4, FALSE)),"""") ), CHAR(10), """&amp;",""), ""\s*,\s*"", "",""), "","")))&lt;&gt;"""" ) ) ) ),"""")
"),"")</f>
        <v/>
      </c>
      <c r="D841" s="105"/>
      <c r="E841" s="105"/>
      <c r="F841" s="110" t="b">
        <v>0</v>
      </c>
      <c r="G841" s="105" t="str">
        <f>IF(F841=True, IFERROR(VLOOKUP(D841, Repository!A:B, 2, 0), ""), "")</f>
        <v/>
      </c>
      <c r="H841" s="105"/>
      <c r="I841" s="105"/>
      <c r="J841" s="105" t="str">
        <f>IF(F841=True, IFERROR(VLOOKUP(D841, Repository!A:C, 3, 0), ""), "")</f>
        <v/>
      </c>
      <c r="K841" s="105"/>
      <c r="L841" s="105" t="str">
        <f>IF(F841=True, IFERROR(VLOOKUP(D841, Repository!A:E, 5, 0), ""), "")</f>
        <v/>
      </c>
      <c r="M841" s="105"/>
      <c r="N841" s="105" t="str">
        <f>IF(F841=True, IFERROR(VLOOKUP(D841, Repository!A:G, 7, 0), ""), "")</f>
        <v/>
      </c>
      <c r="O841" s="105" t="str">
        <f>IFERROR(__xludf.DUMMYFUNCTION("ARRAY_CONSTRAIN(
  ARRAYFORMULA(
    IFERROR(
      LET(
        list, N841,
        arr, TRIM(SPLIT(list, "","")),
        names, XLOOKUP(
          arr,
          'Conformance Score'!A:A,
          'Conformance Score'!B:B,
          ""Not found""
      "&amp;"  ),
        TEXTJOIN("", "", TRUE, names)
      ),
      """"
    )
  ),
  1,
  1
)
"),"")</f>
        <v/>
      </c>
      <c r="P841" s="105" t="str">
        <f>IF(F841="Yes", IFERROR(VLOOKUP(D841, Repository!A:F, 6, 0), ""), "")</f>
        <v/>
      </c>
      <c r="Q841" s="105" t="str">
        <f>IF(F841="Yes", IFERROR(VLOOKUP(D841, Repository!A:I, 8, 0), ""), "")</f>
        <v/>
      </c>
      <c r="R841" s="105" t="str">
        <f>IF(F841="Yes", IFERROR(VLOOKUP(D841, Repository!A:J, 9, 0), ""), "")</f>
        <v/>
      </c>
      <c r="S841" s="105"/>
      <c r="T841" s="105"/>
      <c r="U841" s="105"/>
      <c r="V841" s="105"/>
      <c r="W841" s="105"/>
      <c r="X841" s="105"/>
      <c r="Y841" s="105"/>
      <c r="Z841" s="105"/>
      <c r="AA841" s="105"/>
      <c r="AB841" s="105"/>
      <c r="AC841" s="91"/>
      <c r="AD841" s="105"/>
      <c r="AE841" s="105"/>
      <c r="AF841" s="91"/>
      <c r="AG841" s="105"/>
      <c r="AH841" s="105"/>
      <c r="AI841" s="105" t="str">
        <f t="shared" si="1"/>
        <v/>
      </c>
      <c r="AJ841" s="108" t="str">
        <f t="shared" si="2"/>
        <v/>
      </c>
    </row>
    <row r="842" ht="15.75" customHeight="1">
      <c r="A842" s="104"/>
      <c r="B842" s="105" t="str">
        <f>IFERROR(__xludf.DUMMYFUNCTION("ARRAY_CONSTRAIN(
  ARRAYFORMULA(
    IF(
      'Final Report'!A842="""",
      """",
      TEXTJOIN(
        "", "" &amp; CHAR(10),
        TRUE,
        IFERROR(
          VLOOKUP(
            TRIM(
              SPLIT('Final Report'!A842, "","")
           "&amp;" ),
            'URL Details'!A:B,
            2,
            FALSE
          ),
          """"
        )
      )
    )
  ),
  1,
  1
)
"),"")</f>
        <v/>
      </c>
      <c r="C842" s="105" t="str">
        <f>IFERROR(__xludf.DUMMYFUNCTION("IFERROR(IF('Final Report'!A842="""","""", TEXTJOIN(CHAR(10), TRUE, ARRAYFORMULA( ""• ""&amp; FILTER( TRIM(FLATTEN(SPLIT( REGEXREPLACE( SUBSTITUTE(TEXTJOIN("","", TRUE, IFERROR(ARRAYFORMULA(VLOOKUP(TRIM(SPLIT('Final Report'!A842, "","")), 'URL Details'!A:D, 4,"&amp;" FALSE)),"""") ), CHAR(10), "",""), ""\s*,\s*"", "",""), "",""))), TRIM(FLATTEN(SPLIT( REGEXREPLACE( SUBSTITUTE(TEXTJOIN("","", TRUE, IFERROR(ARRAYFORMULA(VLOOKUP(TRIM(SPLIT('Final Report'!A842, "","")), 'URL Details'!A:D, 4, FALSE)),"""") ), CHAR(10), """&amp;",""), ""\s*,\s*"", "",""), "","")))&lt;&gt;"""" ) ) ) ),"""")
"),"")</f>
        <v/>
      </c>
      <c r="D842" s="105"/>
      <c r="E842" s="105"/>
      <c r="F842" s="110" t="b">
        <v>0</v>
      </c>
      <c r="G842" s="105" t="str">
        <f>IF(F842=True, IFERROR(VLOOKUP(D842, Repository!A:B, 2, 0), ""), "")</f>
        <v/>
      </c>
      <c r="H842" s="105"/>
      <c r="I842" s="105"/>
      <c r="J842" s="105" t="str">
        <f>IF(F842=True, IFERROR(VLOOKUP(D842, Repository!A:C, 3, 0), ""), "")</f>
        <v/>
      </c>
      <c r="K842" s="105"/>
      <c r="L842" s="105" t="str">
        <f>IF(F842=True, IFERROR(VLOOKUP(D842, Repository!A:E, 5, 0), ""), "")</f>
        <v/>
      </c>
      <c r="M842" s="105"/>
      <c r="N842" s="105" t="str">
        <f>IF(F842=True, IFERROR(VLOOKUP(D842, Repository!A:G, 7, 0), ""), "")</f>
        <v/>
      </c>
      <c r="O842" s="105" t="str">
        <f>IFERROR(__xludf.DUMMYFUNCTION("ARRAY_CONSTRAIN(
  ARRAYFORMULA(
    IFERROR(
      LET(
        list, N842,
        arr, TRIM(SPLIT(list, "","")),
        names, XLOOKUP(
          arr,
          'Conformance Score'!A:A,
          'Conformance Score'!B:B,
          ""Not found""
      "&amp;"  ),
        TEXTJOIN("", "", TRUE, names)
      ),
      """"
    )
  ),
  1,
  1
)
"),"")</f>
        <v/>
      </c>
      <c r="P842" s="105" t="str">
        <f>IF(F842="Yes", IFERROR(VLOOKUP(D842, Repository!A:F, 6, 0), ""), "")</f>
        <v/>
      </c>
      <c r="Q842" s="105" t="str">
        <f>IF(F842="Yes", IFERROR(VLOOKUP(D842, Repository!A:I, 8, 0), ""), "")</f>
        <v/>
      </c>
      <c r="R842" s="105" t="str">
        <f>IF(F842="Yes", IFERROR(VLOOKUP(D842, Repository!A:J, 9, 0), ""), "")</f>
        <v/>
      </c>
      <c r="S842" s="105"/>
      <c r="T842" s="105"/>
      <c r="U842" s="105"/>
      <c r="V842" s="105"/>
      <c r="W842" s="105"/>
      <c r="X842" s="105"/>
      <c r="Y842" s="105"/>
      <c r="Z842" s="105"/>
      <c r="AA842" s="105"/>
      <c r="AB842" s="105"/>
      <c r="AC842" s="91"/>
      <c r="AD842" s="105"/>
      <c r="AE842" s="105"/>
      <c r="AF842" s="91"/>
      <c r="AG842" s="105"/>
      <c r="AH842" s="105"/>
      <c r="AI842" s="105" t="str">
        <f t="shared" si="1"/>
        <v/>
      </c>
      <c r="AJ842" s="108" t="str">
        <f t="shared" si="2"/>
        <v/>
      </c>
    </row>
    <row r="843" ht="15.75" customHeight="1">
      <c r="A843" s="104"/>
      <c r="B843" s="105" t="str">
        <f>IFERROR(__xludf.DUMMYFUNCTION("ARRAY_CONSTRAIN(
  ARRAYFORMULA(
    IF(
      'Final Report'!A843="""",
      """",
      TEXTJOIN(
        "", "" &amp; CHAR(10),
        TRUE,
        IFERROR(
          VLOOKUP(
            TRIM(
              SPLIT('Final Report'!A843, "","")
           "&amp;" ),
            'URL Details'!A:B,
            2,
            FALSE
          ),
          """"
        )
      )
    )
  ),
  1,
  1
)
"),"")</f>
        <v/>
      </c>
      <c r="C843" s="105" t="str">
        <f>IFERROR(__xludf.DUMMYFUNCTION("IFERROR(IF('Final Report'!A843="""","""", TEXTJOIN(CHAR(10), TRUE, ARRAYFORMULA( ""• ""&amp; FILTER( TRIM(FLATTEN(SPLIT( REGEXREPLACE( SUBSTITUTE(TEXTJOIN("","", TRUE, IFERROR(ARRAYFORMULA(VLOOKUP(TRIM(SPLIT('Final Report'!A843, "","")), 'URL Details'!A:D, 4,"&amp;" FALSE)),"""") ), CHAR(10), "",""), ""\s*,\s*"", "",""), "",""))), TRIM(FLATTEN(SPLIT( REGEXREPLACE( SUBSTITUTE(TEXTJOIN("","", TRUE, IFERROR(ARRAYFORMULA(VLOOKUP(TRIM(SPLIT('Final Report'!A843, "","")), 'URL Details'!A:D, 4, FALSE)),"""") ), CHAR(10), """&amp;",""), ""\s*,\s*"", "",""), "","")))&lt;&gt;"""" ) ) ) ),"""")
"),"")</f>
        <v/>
      </c>
      <c r="D843" s="105"/>
      <c r="E843" s="105"/>
      <c r="F843" s="110" t="b">
        <v>0</v>
      </c>
      <c r="G843" s="105" t="str">
        <f>IF(F843=True, IFERROR(VLOOKUP(D843, Repository!A:B, 2, 0), ""), "")</f>
        <v/>
      </c>
      <c r="H843" s="105"/>
      <c r="I843" s="105"/>
      <c r="J843" s="105" t="str">
        <f>IF(F843=True, IFERROR(VLOOKUP(D843, Repository!A:C, 3, 0), ""), "")</f>
        <v/>
      </c>
      <c r="K843" s="105"/>
      <c r="L843" s="105" t="str">
        <f>IF(F843=True, IFERROR(VLOOKUP(D843, Repository!A:E, 5, 0), ""), "")</f>
        <v/>
      </c>
      <c r="M843" s="105"/>
      <c r="N843" s="105" t="str">
        <f>IF(F843=True, IFERROR(VLOOKUP(D843, Repository!A:G, 7, 0), ""), "")</f>
        <v/>
      </c>
      <c r="O843" s="105" t="str">
        <f>IFERROR(__xludf.DUMMYFUNCTION("ARRAY_CONSTRAIN(
  ARRAYFORMULA(
    IFERROR(
      LET(
        list, N843,
        arr, TRIM(SPLIT(list, "","")),
        names, XLOOKUP(
          arr,
          'Conformance Score'!A:A,
          'Conformance Score'!B:B,
          ""Not found""
      "&amp;"  ),
        TEXTJOIN("", "", TRUE, names)
      ),
      """"
    )
  ),
  1,
  1
)
"),"")</f>
        <v/>
      </c>
      <c r="P843" s="105" t="str">
        <f>IF(F843="Yes", IFERROR(VLOOKUP(D843, Repository!A:F, 6, 0), ""), "")</f>
        <v/>
      </c>
      <c r="Q843" s="105" t="str">
        <f>IF(F843="Yes", IFERROR(VLOOKUP(D843, Repository!A:I, 8, 0), ""), "")</f>
        <v/>
      </c>
      <c r="R843" s="105" t="str">
        <f>IF(F843="Yes", IFERROR(VLOOKUP(D843, Repository!A:J, 9, 0), ""), "")</f>
        <v/>
      </c>
      <c r="S843" s="105"/>
      <c r="T843" s="105"/>
      <c r="U843" s="105"/>
      <c r="V843" s="105"/>
      <c r="W843" s="105"/>
      <c r="X843" s="105"/>
      <c r="Y843" s="105"/>
      <c r="Z843" s="105"/>
      <c r="AA843" s="105"/>
      <c r="AB843" s="105"/>
      <c r="AC843" s="91"/>
      <c r="AD843" s="105"/>
      <c r="AE843" s="105"/>
      <c r="AF843" s="91"/>
      <c r="AG843" s="105"/>
      <c r="AH843" s="105"/>
      <c r="AI843" s="105" t="str">
        <f t="shared" si="1"/>
        <v/>
      </c>
      <c r="AJ843" s="108" t="str">
        <f t="shared" si="2"/>
        <v/>
      </c>
    </row>
    <row r="844" ht="15.75" customHeight="1">
      <c r="A844" s="104"/>
      <c r="B844" s="105" t="str">
        <f>IFERROR(__xludf.DUMMYFUNCTION("ARRAY_CONSTRAIN(
  ARRAYFORMULA(
    IF(
      'Final Report'!A844="""",
      """",
      TEXTJOIN(
        "", "" &amp; CHAR(10),
        TRUE,
        IFERROR(
          VLOOKUP(
            TRIM(
              SPLIT('Final Report'!A844, "","")
           "&amp;" ),
            'URL Details'!A:B,
            2,
            FALSE
          ),
          """"
        )
      )
    )
  ),
  1,
  1
)
"),"")</f>
        <v/>
      </c>
      <c r="C844" s="105" t="str">
        <f>IFERROR(__xludf.DUMMYFUNCTION("IFERROR(IF('Final Report'!A844="""","""", TEXTJOIN(CHAR(10), TRUE, ARRAYFORMULA( ""• ""&amp; FILTER( TRIM(FLATTEN(SPLIT( REGEXREPLACE( SUBSTITUTE(TEXTJOIN("","", TRUE, IFERROR(ARRAYFORMULA(VLOOKUP(TRIM(SPLIT('Final Report'!A844, "","")), 'URL Details'!A:D, 4,"&amp;" FALSE)),"""") ), CHAR(10), "",""), ""\s*,\s*"", "",""), "",""))), TRIM(FLATTEN(SPLIT( REGEXREPLACE( SUBSTITUTE(TEXTJOIN("","", TRUE, IFERROR(ARRAYFORMULA(VLOOKUP(TRIM(SPLIT('Final Report'!A844, "","")), 'URL Details'!A:D, 4, FALSE)),"""") ), CHAR(10), """&amp;",""), ""\s*,\s*"", "",""), "","")))&lt;&gt;"""" ) ) ) ),"""")
"),"")</f>
        <v/>
      </c>
      <c r="D844" s="105"/>
      <c r="E844" s="105"/>
      <c r="F844" s="110" t="b">
        <v>0</v>
      </c>
      <c r="G844" s="105" t="str">
        <f>IF(F844=True, IFERROR(VLOOKUP(D844, Repository!A:B, 2, 0), ""), "")</f>
        <v/>
      </c>
      <c r="H844" s="105"/>
      <c r="I844" s="105"/>
      <c r="J844" s="105" t="str">
        <f>IF(F844=True, IFERROR(VLOOKUP(D844, Repository!A:C, 3, 0), ""), "")</f>
        <v/>
      </c>
      <c r="K844" s="105"/>
      <c r="L844" s="105" t="str">
        <f>IF(F844=True, IFERROR(VLOOKUP(D844, Repository!A:E, 5, 0), ""), "")</f>
        <v/>
      </c>
      <c r="M844" s="105"/>
      <c r="N844" s="105" t="str">
        <f>IF(F844=True, IFERROR(VLOOKUP(D844, Repository!A:G, 7, 0), ""), "")</f>
        <v/>
      </c>
      <c r="O844" s="105" t="str">
        <f>IFERROR(__xludf.DUMMYFUNCTION("ARRAY_CONSTRAIN(
  ARRAYFORMULA(
    IFERROR(
      LET(
        list, N844,
        arr, TRIM(SPLIT(list, "","")),
        names, XLOOKUP(
          arr,
          'Conformance Score'!A:A,
          'Conformance Score'!B:B,
          ""Not found""
      "&amp;"  ),
        TEXTJOIN("", "", TRUE, names)
      ),
      """"
    )
  ),
  1,
  1
)
"),"")</f>
        <v/>
      </c>
      <c r="P844" s="105" t="str">
        <f>IF(F844="Yes", IFERROR(VLOOKUP(D844, Repository!A:F, 6, 0), ""), "")</f>
        <v/>
      </c>
      <c r="Q844" s="105" t="str">
        <f>IF(F844="Yes", IFERROR(VLOOKUP(D844, Repository!A:I, 8, 0), ""), "")</f>
        <v/>
      </c>
      <c r="R844" s="105" t="str">
        <f>IF(F844="Yes", IFERROR(VLOOKUP(D844, Repository!A:J, 9, 0), ""), "")</f>
        <v/>
      </c>
      <c r="S844" s="105"/>
      <c r="T844" s="105"/>
      <c r="U844" s="105"/>
      <c r="V844" s="105"/>
      <c r="W844" s="105"/>
      <c r="X844" s="105"/>
      <c r="Y844" s="105"/>
      <c r="Z844" s="105"/>
      <c r="AA844" s="105"/>
      <c r="AB844" s="105"/>
      <c r="AC844" s="91"/>
      <c r="AD844" s="105"/>
      <c r="AE844" s="105"/>
      <c r="AF844" s="91"/>
      <c r="AG844" s="105"/>
      <c r="AH844" s="105"/>
      <c r="AI844" s="105" t="str">
        <f t="shared" si="1"/>
        <v/>
      </c>
      <c r="AJ844" s="108" t="str">
        <f t="shared" si="2"/>
        <v/>
      </c>
    </row>
    <row r="845" ht="15.75" customHeight="1">
      <c r="A845" s="104"/>
      <c r="B845" s="105" t="str">
        <f>IFERROR(__xludf.DUMMYFUNCTION("ARRAY_CONSTRAIN(
  ARRAYFORMULA(
    IF(
      'Final Report'!A845="""",
      """",
      TEXTJOIN(
        "", "" &amp; CHAR(10),
        TRUE,
        IFERROR(
          VLOOKUP(
            TRIM(
              SPLIT('Final Report'!A845, "","")
           "&amp;" ),
            'URL Details'!A:B,
            2,
            FALSE
          ),
          """"
        )
      )
    )
  ),
  1,
  1
)
"),"")</f>
        <v/>
      </c>
      <c r="C845" s="105" t="str">
        <f>IFERROR(__xludf.DUMMYFUNCTION("IFERROR(IF('Final Report'!A845="""","""", TEXTJOIN(CHAR(10), TRUE, ARRAYFORMULA( ""• ""&amp; FILTER( TRIM(FLATTEN(SPLIT( REGEXREPLACE( SUBSTITUTE(TEXTJOIN("","", TRUE, IFERROR(ARRAYFORMULA(VLOOKUP(TRIM(SPLIT('Final Report'!A845, "","")), 'URL Details'!A:D, 4,"&amp;" FALSE)),"""") ), CHAR(10), "",""), ""\s*,\s*"", "",""), "",""))), TRIM(FLATTEN(SPLIT( REGEXREPLACE( SUBSTITUTE(TEXTJOIN("","", TRUE, IFERROR(ARRAYFORMULA(VLOOKUP(TRIM(SPLIT('Final Report'!A845, "","")), 'URL Details'!A:D, 4, FALSE)),"""") ), CHAR(10), """&amp;",""), ""\s*,\s*"", "",""), "","")))&lt;&gt;"""" ) ) ) ),"""")
"),"")</f>
        <v/>
      </c>
      <c r="D845" s="105"/>
      <c r="E845" s="105"/>
      <c r="F845" s="110" t="b">
        <v>0</v>
      </c>
      <c r="G845" s="105" t="str">
        <f>IF(F845=True, IFERROR(VLOOKUP(D845, Repository!A:B, 2, 0), ""), "")</f>
        <v/>
      </c>
      <c r="H845" s="105"/>
      <c r="I845" s="105"/>
      <c r="J845" s="105" t="str">
        <f>IF(F845=True, IFERROR(VLOOKUP(D845, Repository!A:C, 3, 0), ""), "")</f>
        <v/>
      </c>
      <c r="K845" s="105"/>
      <c r="L845" s="105" t="str">
        <f>IF(F845=True, IFERROR(VLOOKUP(D845, Repository!A:E, 5, 0), ""), "")</f>
        <v/>
      </c>
      <c r="M845" s="105"/>
      <c r="N845" s="105" t="str">
        <f>IF(F845=True, IFERROR(VLOOKUP(D845, Repository!A:G, 7, 0), ""), "")</f>
        <v/>
      </c>
      <c r="O845" s="105" t="str">
        <f>IFERROR(__xludf.DUMMYFUNCTION("ARRAY_CONSTRAIN(
  ARRAYFORMULA(
    IFERROR(
      LET(
        list, N845,
        arr, TRIM(SPLIT(list, "","")),
        names, XLOOKUP(
          arr,
          'Conformance Score'!A:A,
          'Conformance Score'!B:B,
          ""Not found""
      "&amp;"  ),
        TEXTJOIN("", "", TRUE, names)
      ),
      """"
    )
  ),
  1,
  1
)
"),"")</f>
        <v/>
      </c>
      <c r="P845" s="105" t="str">
        <f>IF(F845="Yes", IFERROR(VLOOKUP(D845, Repository!A:F, 6, 0), ""), "")</f>
        <v/>
      </c>
      <c r="Q845" s="105" t="str">
        <f>IF(F845="Yes", IFERROR(VLOOKUP(D845, Repository!A:I, 8, 0), ""), "")</f>
        <v/>
      </c>
      <c r="R845" s="105" t="str">
        <f>IF(F845="Yes", IFERROR(VLOOKUP(D845, Repository!A:J, 9, 0), ""), "")</f>
        <v/>
      </c>
      <c r="S845" s="105"/>
      <c r="T845" s="105"/>
      <c r="U845" s="105"/>
      <c r="V845" s="105"/>
      <c r="W845" s="105"/>
      <c r="X845" s="105"/>
      <c r="Y845" s="105"/>
      <c r="Z845" s="105"/>
      <c r="AA845" s="105"/>
      <c r="AB845" s="105"/>
      <c r="AC845" s="91"/>
      <c r="AD845" s="105"/>
      <c r="AE845" s="105"/>
      <c r="AF845" s="91"/>
      <c r="AG845" s="105"/>
      <c r="AH845" s="105"/>
      <c r="AI845" s="105" t="str">
        <f t="shared" si="1"/>
        <v/>
      </c>
      <c r="AJ845" s="108" t="str">
        <f t="shared" si="2"/>
        <v/>
      </c>
    </row>
    <row r="846" ht="15.75" customHeight="1">
      <c r="A846" s="104"/>
      <c r="B846" s="105" t="str">
        <f>IFERROR(__xludf.DUMMYFUNCTION("ARRAY_CONSTRAIN(
  ARRAYFORMULA(
    IF(
      'Final Report'!A846="""",
      """",
      TEXTJOIN(
        "", "" &amp; CHAR(10),
        TRUE,
        IFERROR(
          VLOOKUP(
            TRIM(
              SPLIT('Final Report'!A846, "","")
           "&amp;" ),
            'URL Details'!A:B,
            2,
            FALSE
          ),
          """"
        )
      )
    )
  ),
  1,
  1
)
"),"")</f>
        <v/>
      </c>
      <c r="C846" s="105" t="str">
        <f>IFERROR(__xludf.DUMMYFUNCTION("IFERROR(IF('Final Report'!A846="""","""", TEXTJOIN(CHAR(10), TRUE, ARRAYFORMULA( ""• ""&amp; FILTER( TRIM(FLATTEN(SPLIT( REGEXREPLACE( SUBSTITUTE(TEXTJOIN("","", TRUE, IFERROR(ARRAYFORMULA(VLOOKUP(TRIM(SPLIT('Final Report'!A846, "","")), 'URL Details'!A:D, 4,"&amp;" FALSE)),"""") ), CHAR(10), "",""), ""\s*,\s*"", "",""), "",""))), TRIM(FLATTEN(SPLIT( REGEXREPLACE( SUBSTITUTE(TEXTJOIN("","", TRUE, IFERROR(ARRAYFORMULA(VLOOKUP(TRIM(SPLIT('Final Report'!A846, "","")), 'URL Details'!A:D, 4, FALSE)),"""") ), CHAR(10), """&amp;",""), ""\s*,\s*"", "",""), "","")))&lt;&gt;"""" ) ) ) ),"""")
"),"")</f>
        <v/>
      </c>
      <c r="D846" s="105"/>
      <c r="E846" s="105"/>
      <c r="F846" s="110" t="b">
        <v>0</v>
      </c>
      <c r="G846" s="105" t="str">
        <f>IF(F846=True, IFERROR(VLOOKUP(D846, Repository!A:B, 2, 0), ""), "")</f>
        <v/>
      </c>
      <c r="H846" s="105"/>
      <c r="I846" s="105"/>
      <c r="J846" s="105" t="str">
        <f>IF(F846=True, IFERROR(VLOOKUP(D846, Repository!A:C, 3, 0), ""), "")</f>
        <v/>
      </c>
      <c r="K846" s="105"/>
      <c r="L846" s="105" t="str">
        <f>IF(F846=True, IFERROR(VLOOKUP(D846, Repository!A:E, 5, 0), ""), "")</f>
        <v/>
      </c>
      <c r="M846" s="105"/>
      <c r="N846" s="105" t="str">
        <f>IF(F846=True, IFERROR(VLOOKUP(D846, Repository!A:G, 7, 0), ""), "")</f>
        <v/>
      </c>
      <c r="O846" s="105" t="str">
        <f>IFERROR(__xludf.DUMMYFUNCTION("ARRAY_CONSTRAIN(
  ARRAYFORMULA(
    IFERROR(
      LET(
        list, N846,
        arr, TRIM(SPLIT(list, "","")),
        names, XLOOKUP(
          arr,
          'Conformance Score'!A:A,
          'Conformance Score'!B:B,
          ""Not found""
      "&amp;"  ),
        TEXTJOIN("", "", TRUE, names)
      ),
      """"
    )
  ),
  1,
  1
)
"),"")</f>
        <v/>
      </c>
      <c r="P846" s="105" t="str">
        <f>IF(F846="Yes", IFERROR(VLOOKUP(D846, Repository!A:F, 6, 0), ""), "")</f>
        <v/>
      </c>
      <c r="Q846" s="105" t="str">
        <f>IF(F846="Yes", IFERROR(VLOOKUP(D846, Repository!A:I, 8, 0), ""), "")</f>
        <v/>
      </c>
      <c r="R846" s="105" t="str">
        <f>IF(F846="Yes", IFERROR(VLOOKUP(D846, Repository!A:J, 9, 0), ""), "")</f>
        <v/>
      </c>
      <c r="S846" s="105"/>
      <c r="T846" s="105"/>
      <c r="U846" s="105"/>
      <c r="V846" s="105"/>
      <c r="W846" s="105"/>
      <c r="X846" s="105"/>
      <c r="Y846" s="105"/>
      <c r="Z846" s="105"/>
      <c r="AA846" s="105"/>
      <c r="AB846" s="105"/>
      <c r="AC846" s="91"/>
      <c r="AD846" s="105"/>
      <c r="AE846" s="105"/>
      <c r="AF846" s="91"/>
      <c r="AG846" s="105"/>
      <c r="AH846" s="105"/>
      <c r="AI846" s="105" t="str">
        <f t="shared" si="1"/>
        <v/>
      </c>
      <c r="AJ846" s="108" t="str">
        <f t="shared" si="2"/>
        <v/>
      </c>
    </row>
    <row r="847" ht="15.75" customHeight="1">
      <c r="A847" s="104"/>
      <c r="B847" s="105" t="str">
        <f>IFERROR(__xludf.DUMMYFUNCTION("ARRAY_CONSTRAIN(
  ARRAYFORMULA(
    IF(
      'Final Report'!A847="""",
      """",
      TEXTJOIN(
        "", "" &amp; CHAR(10),
        TRUE,
        IFERROR(
          VLOOKUP(
            TRIM(
              SPLIT('Final Report'!A847, "","")
           "&amp;" ),
            'URL Details'!A:B,
            2,
            FALSE
          ),
          """"
        )
      )
    )
  ),
  1,
  1
)
"),"")</f>
        <v/>
      </c>
      <c r="C847" s="105" t="str">
        <f>IFERROR(__xludf.DUMMYFUNCTION("IFERROR(IF('Final Report'!A847="""","""", TEXTJOIN(CHAR(10), TRUE, ARRAYFORMULA( ""• ""&amp; FILTER( TRIM(FLATTEN(SPLIT( REGEXREPLACE( SUBSTITUTE(TEXTJOIN("","", TRUE, IFERROR(ARRAYFORMULA(VLOOKUP(TRIM(SPLIT('Final Report'!A847, "","")), 'URL Details'!A:D, 4,"&amp;" FALSE)),"""") ), CHAR(10), "",""), ""\s*,\s*"", "",""), "",""))), TRIM(FLATTEN(SPLIT( REGEXREPLACE( SUBSTITUTE(TEXTJOIN("","", TRUE, IFERROR(ARRAYFORMULA(VLOOKUP(TRIM(SPLIT('Final Report'!A847, "","")), 'URL Details'!A:D, 4, FALSE)),"""") ), CHAR(10), """&amp;",""), ""\s*,\s*"", "",""), "","")))&lt;&gt;"""" ) ) ) ),"""")
"),"")</f>
        <v/>
      </c>
      <c r="D847" s="105"/>
      <c r="E847" s="105"/>
      <c r="F847" s="110" t="b">
        <v>0</v>
      </c>
      <c r="G847" s="105" t="str">
        <f>IF(F847=True, IFERROR(VLOOKUP(D847, Repository!A:B, 2, 0), ""), "")</f>
        <v/>
      </c>
      <c r="H847" s="105"/>
      <c r="I847" s="105"/>
      <c r="J847" s="105" t="str">
        <f>IF(F847=True, IFERROR(VLOOKUP(D847, Repository!A:C, 3, 0), ""), "")</f>
        <v/>
      </c>
      <c r="K847" s="105"/>
      <c r="L847" s="105" t="str">
        <f>IF(F847=True, IFERROR(VLOOKUP(D847, Repository!A:E, 5, 0), ""), "")</f>
        <v/>
      </c>
      <c r="M847" s="105"/>
      <c r="N847" s="105" t="str">
        <f>IF(F847=True, IFERROR(VLOOKUP(D847, Repository!A:G, 7, 0), ""), "")</f>
        <v/>
      </c>
      <c r="O847" s="105" t="str">
        <f>IFERROR(__xludf.DUMMYFUNCTION("ARRAY_CONSTRAIN(
  ARRAYFORMULA(
    IFERROR(
      LET(
        list, N847,
        arr, TRIM(SPLIT(list, "","")),
        names, XLOOKUP(
          arr,
          'Conformance Score'!A:A,
          'Conformance Score'!B:B,
          ""Not found""
      "&amp;"  ),
        TEXTJOIN("", "", TRUE, names)
      ),
      """"
    )
  ),
  1,
  1
)
"),"")</f>
        <v/>
      </c>
      <c r="P847" s="105" t="str">
        <f>IF(F847="Yes", IFERROR(VLOOKUP(D847, Repository!A:F, 6, 0), ""), "")</f>
        <v/>
      </c>
      <c r="Q847" s="105" t="str">
        <f>IF(F847="Yes", IFERROR(VLOOKUP(D847, Repository!A:I, 8, 0), ""), "")</f>
        <v/>
      </c>
      <c r="R847" s="105" t="str">
        <f>IF(F847="Yes", IFERROR(VLOOKUP(D847, Repository!A:J, 9, 0), ""), "")</f>
        <v/>
      </c>
      <c r="S847" s="105"/>
      <c r="T847" s="105"/>
      <c r="U847" s="105"/>
      <c r="V847" s="105"/>
      <c r="W847" s="105"/>
      <c r="X847" s="105"/>
      <c r="Y847" s="105"/>
      <c r="Z847" s="105"/>
      <c r="AA847" s="105"/>
      <c r="AB847" s="105"/>
      <c r="AC847" s="91"/>
      <c r="AD847" s="105"/>
      <c r="AE847" s="105"/>
      <c r="AF847" s="91"/>
      <c r="AG847" s="105"/>
      <c r="AH847" s="105"/>
      <c r="AI847" s="105" t="str">
        <f t="shared" si="1"/>
        <v/>
      </c>
      <c r="AJ847" s="108" t="str">
        <f t="shared" si="2"/>
        <v/>
      </c>
    </row>
    <row r="848" ht="15.75" customHeight="1">
      <c r="A848" s="104"/>
      <c r="B848" s="105" t="str">
        <f>IFERROR(__xludf.DUMMYFUNCTION("ARRAY_CONSTRAIN(
  ARRAYFORMULA(
    IF(
      'Final Report'!A848="""",
      """",
      TEXTJOIN(
        "", "" &amp; CHAR(10),
        TRUE,
        IFERROR(
          VLOOKUP(
            TRIM(
              SPLIT('Final Report'!A848, "","")
           "&amp;" ),
            'URL Details'!A:B,
            2,
            FALSE
          ),
          """"
        )
      )
    )
  ),
  1,
  1
)
"),"")</f>
        <v/>
      </c>
      <c r="C848" s="105" t="str">
        <f>IFERROR(__xludf.DUMMYFUNCTION("IFERROR(IF('Final Report'!A848="""","""", TEXTJOIN(CHAR(10), TRUE, ARRAYFORMULA( ""• ""&amp; FILTER( TRIM(FLATTEN(SPLIT( REGEXREPLACE( SUBSTITUTE(TEXTJOIN("","", TRUE, IFERROR(ARRAYFORMULA(VLOOKUP(TRIM(SPLIT('Final Report'!A848, "","")), 'URL Details'!A:D, 4,"&amp;" FALSE)),"""") ), CHAR(10), "",""), ""\s*,\s*"", "",""), "",""))), TRIM(FLATTEN(SPLIT( REGEXREPLACE( SUBSTITUTE(TEXTJOIN("","", TRUE, IFERROR(ARRAYFORMULA(VLOOKUP(TRIM(SPLIT('Final Report'!A848, "","")), 'URL Details'!A:D, 4, FALSE)),"""") ), CHAR(10), """&amp;",""), ""\s*,\s*"", "",""), "","")))&lt;&gt;"""" ) ) ) ),"""")
"),"")</f>
        <v/>
      </c>
      <c r="D848" s="105"/>
      <c r="E848" s="105"/>
      <c r="F848" s="110" t="b">
        <v>0</v>
      </c>
      <c r="G848" s="105" t="str">
        <f>IF(F848=True, IFERROR(VLOOKUP(D848, Repository!A:B, 2, 0), ""), "")</f>
        <v/>
      </c>
      <c r="H848" s="105"/>
      <c r="I848" s="105"/>
      <c r="J848" s="105" t="str">
        <f>IF(F848=True, IFERROR(VLOOKUP(D848, Repository!A:C, 3, 0), ""), "")</f>
        <v/>
      </c>
      <c r="K848" s="105"/>
      <c r="L848" s="105" t="str">
        <f>IF(F848=True, IFERROR(VLOOKUP(D848, Repository!A:E, 5, 0), ""), "")</f>
        <v/>
      </c>
      <c r="M848" s="105"/>
      <c r="N848" s="105" t="str">
        <f>IF(F848=True, IFERROR(VLOOKUP(D848, Repository!A:G, 7, 0), ""), "")</f>
        <v/>
      </c>
      <c r="O848" s="105" t="str">
        <f>IFERROR(__xludf.DUMMYFUNCTION("ARRAY_CONSTRAIN(
  ARRAYFORMULA(
    IFERROR(
      LET(
        list, N848,
        arr, TRIM(SPLIT(list, "","")),
        names, XLOOKUP(
          arr,
          'Conformance Score'!A:A,
          'Conformance Score'!B:B,
          ""Not found""
      "&amp;"  ),
        TEXTJOIN("", "", TRUE, names)
      ),
      """"
    )
  ),
  1,
  1
)
"),"")</f>
        <v/>
      </c>
      <c r="P848" s="105" t="str">
        <f>IF(F848="Yes", IFERROR(VLOOKUP(D848, Repository!A:F, 6, 0), ""), "")</f>
        <v/>
      </c>
      <c r="Q848" s="105" t="str">
        <f>IF(F848="Yes", IFERROR(VLOOKUP(D848, Repository!A:I, 8, 0), ""), "")</f>
        <v/>
      </c>
      <c r="R848" s="105" t="str">
        <f>IF(F848="Yes", IFERROR(VLOOKUP(D848, Repository!A:J, 9, 0), ""), "")</f>
        <v/>
      </c>
      <c r="S848" s="105"/>
      <c r="T848" s="105"/>
      <c r="U848" s="105"/>
      <c r="V848" s="105"/>
      <c r="W848" s="105"/>
      <c r="X848" s="105"/>
      <c r="Y848" s="105"/>
      <c r="Z848" s="105"/>
      <c r="AA848" s="105"/>
      <c r="AB848" s="105"/>
      <c r="AC848" s="91"/>
      <c r="AD848" s="105"/>
      <c r="AE848" s="105"/>
      <c r="AF848" s="91"/>
      <c r="AG848" s="105"/>
      <c r="AH848" s="105"/>
      <c r="AI848" s="105" t="str">
        <f t="shared" si="1"/>
        <v/>
      </c>
      <c r="AJ848" s="108" t="str">
        <f t="shared" si="2"/>
        <v/>
      </c>
    </row>
    <row r="849" ht="15.75" customHeight="1">
      <c r="A849" s="104"/>
      <c r="B849" s="105" t="str">
        <f>IFERROR(__xludf.DUMMYFUNCTION("ARRAY_CONSTRAIN(
  ARRAYFORMULA(
    IF(
      'Final Report'!A849="""",
      """",
      TEXTJOIN(
        "", "" &amp; CHAR(10),
        TRUE,
        IFERROR(
          VLOOKUP(
            TRIM(
              SPLIT('Final Report'!A849, "","")
           "&amp;" ),
            'URL Details'!A:B,
            2,
            FALSE
          ),
          """"
        )
      )
    )
  ),
  1,
  1
)
"),"")</f>
        <v/>
      </c>
      <c r="C849" s="105" t="str">
        <f>IFERROR(__xludf.DUMMYFUNCTION("IFERROR(IF('Final Report'!A849="""","""", TEXTJOIN(CHAR(10), TRUE, ARRAYFORMULA( ""• ""&amp; FILTER( TRIM(FLATTEN(SPLIT( REGEXREPLACE( SUBSTITUTE(TEXTJOIN("","", TRUE, IFERROR(ARRAYFORMULA(VLOOKUP(TRIM(SPLIT('Final Report'!A849, "","")), 'URL Details'!A:D, 4,"&amp;" FALSE)),"""") ), CHAR(10), "",""), ""\s*,\s*"", "",""), "",""))), TRIM(FLATTEN(SPLIT( REGEXREPLACE( SUBSTITUTE(TEXTJOIN("","", TRUE, IFERROR(ARRAYFORMULA(VLOOKUP(TRIM(SPLIT('Final Report'!A849, "","")), 'URL Details'!A:D, 4, FALSE)),"""") ), CHAR(10), """&amp;",""), ""\s*,\s*"", "",""), "","")))&lt;&gt;"""" ) ) ) ),"""")
"),"")</f>
        <v/>
      </c>
      <c r="D849" s="105"/>
      <c r="E849" s="105"/>
      <c r="F849" s="110" t="b">
        <v>0</v>
      </c>
      <c r="G849" s="105" t="str">
        <f>IF(F849=True, IFERROR(VLOOKUP(D849, Repository!A:B, 2, 0), ""), "")</f>
        <v/>
      </c>
      <c r="H849" s="105"/>
      <c r="I849" s="105"/>
      <c r="J849" s="105" t="str">
        <f>IF(F849=True, IFERROR(VLOOKUP(D849, Repository!A:C, 3, 0), ""), "")</f>
        <v/>
      </c>
      <c r="K849" s="105"/>
      <c r="L849" s="105" t="str">
        <f>IF(F849=True, IFERROR(VLOOKUP(D849, Repository!A:E, 5, 0), ""), "")</f>
        <v/>
      </c>
      <c r="M849" s="105"/>
      <c r="N849" s="105" t="str">
        <f>IF(F849=True, IFERROR(VLOOKUP(D849, Repository!A:G, 7, 0), ""), "")</f>
        <v/>
      </c>
      <c r="O849" s="105" t="str">
        <f>IFERROR(__xludf.DUMMYFUNCTION("ARRAY_CONSTRAIN(
  ARRAYFORMULA(
    IFERROR(
      LET(
        list, N849,
        arr, TRIM(SPLIT(list, "","")),
        names, XLOOKUP(
          arr,
          'Conformance Score'!A:A,
          'Conformance Score'!B:B,
          ""Not found""
      "&amp;"  ),
        TEXTJOIN("", "", TRUE, names)
      ),
      """"
    )
  ),
  1,
  1
)
"),"")</f>
        <v/>
      </c>
      <c r="P849" s="105" t="str">
        <f>IF(F849="Yes", IFERROR(VLOOKUP(D849, Repository!A:F, 6, 0), ""), "")</f>
        <v/>
      </c>
      <c r="Q849" s="105" t="str">
        <f>IF(F849="Yes", IFERROR(VLOOKUP(D849, Repository!A:I, 8, 0), ""), "")</f>
        <v/>
      </c>
      <c r="R849" s="105" t="str">
        <f>IF(F849="Yes", IFERROR(VLOOKUP(D849, Repository!A:J, 9, 0), ""), "")</f>
        <v/>
      </c>
      <c r="S849" s="105"/>
      <c r="T849" s="105"/>
      <c r="U849" s="105"/>
      <c r="V849" s="105"/>
      <c r="W849" s="105"/>
      <c r="X849" s="105"/>
      <c r="Y849" s="105"/>
      <c r="Z849" s="105"/>
      <c r="AA849" s="105"/>
      <c r="AB849" s="105"/>
      <c r="AC849" s="91"/>
      <c r="AD849" s="105"/>
      <c r="AE849" s="105"/>
      <c r="AF849" s="91"/>
      <c r="AG849" s="105"/>
      <c r="AH849" s="105"/>
      <c r="AI849" s="105" t="str">
        <f t="shared" si="1"/>
        <v/>
      </c>
      <c r="AJ849" s="108" t="str">
        <f t="shared" si="2"/>
        <v/>
      </c>
    </row>
    <row r="850" ht="15.75" customHeight="1">
      <c r="A850" s="104"/>
      <c r="B850" s="105" t="str">
        <f>IFERROR(__xludf.DUMMYFUNCTION("ARRAY_CONSTRAIN(
  ARRAYFORMULA(
    IF(
      'Final Report'!A850="""",
      """",
      TEXTJOIN(
        "", "" &amp; CHAR(10),
        TRUE,
        IFERROR(
          VLOOKUP(
            TRIM(
              SPLIT('Final Report'!A850, "","")
           "&amp;" ),
            'URL Details'!A:B,
            2,
            FALSE
          ),
          """"
        )
      )
    )
  ),
  1,
  1
)
"),"")</f>
        <v/>
      </c>
      <c r="C850" s="105" t="str">
        <f>IFERROR(__xludf.DUMMYFUNCTION("IFERROR(IF('Final Report'!A850="""","""", TEXTJOIN(CHAR(10), TRUE, ARRAYFORMULA( ""• ""&amp; FILTER( TRIM(FLATTEN(SPLIT( REGEXREPLACE( SUBSTITUTE(TEXTJOIN("","", TRUE, IFERROR(ARRAYFORMULA(VLOOKUP(TRIM(SPLIT('Final Report'!A850, "","")), 'URL Details'!A:D, 4,"&amp;" FALSE)),"""") ), CHAR(10), "",""), ""\s*,\s*"", "",""), "",""))), TRIM(FLATTEN(SPLIT( REGEXREPLACE( SUBSTITUTE(TEXTJOIN("","", TRUE, IFERROR(ARRAYFORMULA(VLOOKUP(TRIM(SPLIT('Final Report'!A850, "","")), 'URL Details'!A:D, 4, FALSE)),"""") ), CHAR(10), """&amp;",""), ""\s*,\s*"", "",""), "","")))&lt;&gt;"""" ) ) ) ),"""")
"),"")</f>
        <v/>
      </c>
      <c r="D850" s="105"/>
      <c r="E850" s="105"/>
      <c r="F850" s="110" t="b">
        <v>0</v>
      </c>
      <c r="G850" s="105" t="str">
        <f>IF(F850=True, IFERROR(VLOOKUP(D850, Repository!A:B, 2, 0), ""), "")</f>
        <v/>
      </c>
      <c r="H850" s="105"/>
      <c r="I850" s="105"/>
      <c r="J850" s="105" t="str">
        <f>IF(F850=True, IFERROR(VLOOKUP(D850, Repository!A:C, 3, 0), ""), "")</f>
        <v/>
      </c>
      <c r="K850" s="105"/>
      <c r="L850" s="105" t="str">
        <f>IF(F850=True, IFERROR(VLOOKUP(D850, Repository!A:E, 5, 0), ""), "")</f>
        <v/>
      </c>
      <c r="M850" s="105"/>
      <c r="N850" s="105" t="str">
        <f>IF(F850=True, IFERROR(VLOOKUP(D850, Repository!A:G, 7, 0), ""), "")</f>
        <v/>
      </c>
      <c r="O850" s="105" t="str">
        <f>IFERROR(__xludf.DUMMYFUNCTION("ARRAY_CONSTRAIN(
  ARRAYFORMULA(
    IFERROR(
      LET(
        list, N850,
        arr, TRIM(SPLIT(list, "","")),
        names, XLOOKUP(
          arr,
          'Conformance Score'!A:A,
          'Conformance Score'!B:B,
          ""Not found""
      "&amp;"  ),
        TEXTJOIN("", "", TRUE, names)
      ),
      """"
    )
  ),
  1,
  1
)
"),"")</f>
        <v/>
      </c>
      <c r="P850" s="105" t="str">
        <f>IF(F850="Yes", IFERROR(VLOOKUP(D850, Repository!A:F, 6, 0), ""), "")</f>
        <v/>
      </c>
      <c r="Q850" s="105" t="str">
        <f>IF(F850="Yes", IFERROR(VLOOKUP(D850, Repository!A:I, 8, 0), ""), "")</f>
        <v/>
      </c>
      <c r="R850" s="105" t="str">
        <f>IF(F850="Yes", IFERROR(VLOOKUP(D850, Repository!A:J, 9, 0), ""), "")</f>
        <v/>
      </c>
      <c r="S850" s="105"/>
      <c r="T850" s="105"/>
      <c r="U850" s="105"/>
      <c r="V850" s="105"/>
      <c r="W850" s="105"/>
      <c r="X850" s="105"/>
      <c r="Y850" s="105"/>
      <c r="Z850" s="105"/>
      <c r="AA850" s="105"/>
      <c r="AB850" s="105"/>
      <c r="AC850" s="91"/>
      <c r="AD850" s="105"/>
      <c r="AE850" s="105"/>
      <c r="AF850" s="91"/>
      <c r="AG850" s="105"/>
      <c r="AH850" s="105"/>
      <c r="AI850" s="105" t="str">
        <f t="shared" si="1"/>
        <v/>
      </c>
      <c r="AJ850" s="108" t="str">
        <f t="shared" si="2"/>
        <v/>
      </c>
    </row>
    <row r="851" ht="15.75" customHeight="1">
      <c r="A851" s="104"/>
      <c r="B851" s="105" t="str">
        <f>IFERROR(__xludf.DUMMYFUNCTION("ARRAY_CONSTRAIN(
  ARRAYFORMULA(
    IF(
      'Final Report'!A851="""",
      """",
      TEXTJOIN(
        "", "" &amp; CHAR(10),
        TRUE,
        IFERROR(
          VLOOKUP(
            TRIM(
              SPLIT('Final Report'!A851, "","")
           "&amp;" ),
            'URL Details'!A:B,
            2,
            FALSE
          ),
          """"
        )
      )
    )
  ),
  1,
  1
)
"),"")</f>
        <v/>
      </c>
      <c r="C851" s="105" t="str">
        <f>IFERROR(__xludf.DUMMYFUNCTION("IFERROR(IF('Final Report'!A851="""","""", TEXTJOIN(CHAR(10), TRUE, ARRAYFORMULA( ""• ""&amp; FILTER( TRIM(FLATTEN(SPLIT( REGEXREPLACE( SUBSTITUTE(TEXTJOIN("","", TRUE, IFERROR(ARRAYFORMULA(VLOOKUP(TRIM(SPLIT('Final Report'!A851, "","")), 'URL Details'!A:D, 4,"&amp;" FALSE)),"""") ), CHAR(10), "",""), ""\s*,\s*"", "",""), "",""))), TRIM(FLATTEN(SPLIT( REGEXREPLACE( SUBSTITUTE(TEXTJOIN("","", TRUE, IFERROR(ARRAYFORMULA(VLOOKUP(TRIM(SPLIT('Final Report'!A851, "","")), 'URL Details'!A:D, 4, FALSE)),"""") ), CHAR(10), """&amp;",""), ""\s*,\s*"", "",""), "","")))&lt;&gt;"""" ) ) ) ),"""")
"),"")</f>
        <v/>
      </c>
      <c r="D851" s="105"/>
      <c r="E851" s="105"/>
      <c r="F851" s="110" t="b">
        <v>0</v>
      </c>
      <c r="G851" s="105" t="str">
        <f>IF(F851=True, IFERROR(VLOOKUP(D851, Repository!A:B, 2, 0), ""), "")</f>
        <v/>
      </c>
      <c r="H851" s="105"/>
      <c r="I851" s="105"/>
      <c r="J851" s="105" t="str">
        <f>IF(F851=True, IFERROR(VLOOKUP(D851, Repository!A:C, 3, 0), ""), "")</f>
        <v/>
      </c>
      <c r="K851" s="105"/>
      <c r="L851" s="105" t="str">
        <f>IF(F851=True, IFERROR(VLOOKUP(D851, Repository!A:E, 5, 0), ""), "")</f>
        <v/>
      </c>
      <c r="M851" s="105"/>
      <c r="N851" s="105" t="str">
        <f>IF(F851=True, IFERROR(VLOOKUP(D851, Repository!A:G, 7, 0), ""), "")</f>
        <v/>
      </c>
      <c r="O851" s="105" t="str">
        <f>IFERROR(__xludf.DUMMYFUNCTION("ARRAY_CONSTRAIN(
  ARRAYFORMULA(
    IFERROR(
      LET(
        list, N851,
        arr, TRIM(SPLIT(list, "","")),
        names, XLOOKUP(
          arr,
          'Conformance Score'!A:A,
          'Conformance Score'!B:B,
          ""Not found""
      "&amp;"  ),
        TEXTJOIN("", "", TRUE, names)
      ),
      """"
    )
  ),
  1,
  1
)
"),"")</f>
        <v/>
      </c>
      <c r="P851" s="105" t="str">
        <f>IF(F851="Yes", IFERROR(VLOOKUP(D851, Repository!A:F, 6, 0), ""), "")</f>
        <v/>
      </c>
      <c r="Q851" s="105" t="str">
        <f>IF(F851="Yes", IFERROR(VLOOKUP(D851, Repository!A:I, 8, 0), ""), "")</f>
        <v/>
      </c>
      <c r="R851" s="105" t="str">
        <f>IF(F851="Yes", IFERROR(VLOOKUP(D851, Repository!A:J, 9, 0), ""), "")</f>
        <v/>
      </c>
      <c r="S851" s="105"/>
      <c r="T851" s="105"/>
      <c r="U851" s="105"/>
      <c r="V851" s="105"/>
      <c r="W851" s="105"/>
      <c r="X851" s="105"/>
      <c r="Y851" s="105"/>
      <c r="Z851" s="105"/>
      <c r="AA851" s="105"/>
      <c r="AB851" s="105"/>
      <c r="AC851" s="91"/>
      <c r="AD851" s="105"/>
      <c r="AE851" s="105"/>
      <c r="AF851" s="91"/>
      <c r="AG851" s="105"/>
      <c r="AH851" s="105"/>
      <c r="AI851" s="105" t="str">
        <f t="shared" si="1"/>
        <v/>
      </c>
      <c r="AJ851" s="108" t="str">
        <f t="shared" si="2"/>
        <v/>
      </c>
    </row>
    <row r="852" ht="15.75" customHeight="1">
      <c r="A852" s="104"/>
      <c r="B852" s="105" t="str">
        <f>IFERROR(__xludf.DUMMYFUNCTION("ARRAY_CONSTRAIN(
  ARRAYFORMULA(
    IF(
      'Final Report'!A852="""",
      """",
      TEXTJOIN(
        "", "" &amp; CHAR(10),
        TRUE,
        IFERROR(
          VLOOKUP(
            TRIM(
              SPLIT('Final Report'!A852, "","")
           "&amp;" ),
            'URL Details'!A:B,
            2,
            FALSE
          ),
          """"
        )
      )
    )
  ),
  1,
  1
)
"),"")</f>
        <v/>
      </c>
      <c r="C852" s="105" t="str">
        <f>IFERROR(__xludf.DUMMYFUNCTION("IFERROR(IF('Final Report'!A852="""","""", TEXTJOIN(CHAR(10), TRUE, ARRAYFORMULA( ""• ""&amp; FILTER( TRIM(FLATTEN(SPLIT( REGEXREPLACE( SUBSTITUTE(TEXTJOIN("","", TRUE, IFERROR(ARRAYFORMULA(VLOOKUP(TRIM(SPLIT('Final Report'!A852, "","")), 'URL Details'!A:D, 4,"&amp;" FALSE)),"""") ), CHAR(10), "",""), ""\s*,\s*"", "",""), "",""))), TRIM(FLATTEN(SPLIT( REGEXREPLACE( SUBSTITUTE(TEXTJOIN("","", TRUE, IFERROR(ARRAYFORMULA(VLOOKUP(TRIM(SPLIT('Final Report'!A852, "","")), 'URL Details'!A:D, 4, FALSE)),"""") ), CHAR(10), """&amp;",""), ""\s*,\s*"", "",""), "","")))&lt;&gt;"""" ) ) ) ),"""")
"),"")</f>
        <v/>
      </c>
      <c r="D852" s="105"/>
      <c r="E852" s="105"/>
      <c r="F852" s="110" t="b">
        <v>0</v>
      </c>
      <c r="G852" s="105" t="str">
        <f>IF(F852=True, IFERROR(VLOOKUP(D852, Repository!A:B, 2, 0), ""), "")</f>
        <v/>
      </c>
      <c r="H852" s="105"/>
      <c r="I852" s="105"/>
      <c r="J852" s="105" t="str">
        <f>IF(F852=True, IFERROR(VLOOKUP(D852, Repository!A:C, 3, 0), ""), "")</f>
        <v/>
      </c>
      <c r="K852" s="105"/>
      <c r="L852" s="105" t="str">
        <f>IF(F852=True, IFERROR(VLOOKUP(D852, Repository!A:E, 5, 0), ""), "")</f>
        <v/>
      </c>
      <c r="M852" s="105"/>
      <c r="N852" s="105" t="str">
        <f>IF(F852=True, IFERROR(VLOOKUP(D852, Repository!A:G, 7, 0), ""), "")</f>
        <v/>
      </c>
      <c r="O852" s="105" t="str">
        <f>IFERROR(__xludf.DUMMYFUNCTION("ARRAY_CONSTRAIN(
  ARRAYFORMULA(
    IFERROR(
      LET(
        list, N852,
        arr, TRIM(SPLIT(list, "","")),
        names, XLOOKUP(
          arr,
          'Conformance Score'!A:A,
          'Conformance Score'!B:B,
          ""Not found""
      "&amp;"  ),
        TEXTJOIN("", "", TRUE, names)
      ),
      """"
    )
  ),
  1,
  1
)
"),"")</f>
        <v/>
      </c>
      <c r="P852" s="105" t="str">
        <f>IF(F852="Yes", IFERROR(VLOOKUP(D852, Repository!A:F, 6, 0), ""), "")</f>
        <v/>
      </c>
      <c r="Q852" s="105" t="str">
        <f>IF(F852="Yes", IFERROR(VLOOKUP(D852, Repository!A:I, 8, 0), ""), "")</f>
        <v/>
      </c>
      <c r="R852" s="105" t="str">
        <f>IF(F852="Yes", IFERROR(VLOOKUP(D852, Repository!A:J, 9, 0), ""), "")</f>
        <v/>
      </c>
      <c r="S852" s="105"/>
      <c r="T852" s="105"/>
      <c r="U852" s="105"/>
      <c r="V852" s="105"/>
      <c r="W852" s="105"/>
      <c r="X852" s="105"/>
      <c r="Y852" s="105"/>
      <c r="Z852" s="105"/>
      <c r="AA852" s="105"/>
      <c r="AB852" s="105"/>
      <c r="AC852" s="91"/>
      <c r="AD852" s="105"/>
      <c r="AE852" s="105"/>
      <c r="AF852" s="91"/>
      <c r="AG852" s="105"/>
      <c r="AH852" s="105"/>
      <c r="AI852" s="105" t="str">
        <f t="shared" si="1"/>
        <v/>
      </c>
      <c r="AJ852" s="108" t="str">
        <f t="shared" si="2"/>
        <v/>
      </c>
    </row>
    <row r="853" ht="15.75" customHeight="1">
      <c r="A853" s="104"/>
      <c r="B853" s="105" t="str">
        <f>IFERROR(__xludf.DUMMYFUNCTION("ARRAY_CONSTRAIN(
  ARRAYFORMULA(
    IF(
      'Final Report'!A853="""",
      """",
      TEXTJOIN(
        "", "" &amp; CHAR(10),
        TRUE,
        IFERROR(
          VLOOKUP(
            TRIM(
              SPLIT('Final Report'!A853, "","")
           "&amp;" ),
            'URL Details'!A:B,
            2,
            FALSE
          ),
          """"
        )
      )
    )
  ),
  1,
  1
)
"),"")</f>
        <v/>
      </c>
      <c r="C853" s="105" t="str">
        <f>IFERROR(__xludf.DUMMYFUNCTION("IFERROR(IF('Final Report'!A853="""","""", TEXTJOIN(CHAR(10), TRUE, ARRAYFORMULA( ""• ""&amp; FILTER( TRIM(FLATTEN(SPLIT( REGEXREPLACE( SUBSTITUTE(TEXTJOIN("","", TRUE, IFERROR(ARRAYFORMULA(VLOOKUP(TRIM(SPLIT('Final Report'!A853, "","")), 'URL Details'!A:D, 4,"&amp;" FALSE)),"""") ), CHAR(10), "",""), ""\s*,\s*"", "",""), "",""))), TRIM(FLATTEN(SPLIT( REGEXREPLACE( SUBSTITUTE(TEXTJOIN("","", TRUE, IFERROR(ARRAYFORMULA(VLOOKUP(TRIM(SPLIT('Final Report'!A853, "","")), 'URL Details'!A:D, 4, FALSE)),"""") ), CHAR(10), """&amp;",""), ""\s*,\s*"", "",""), "","")))&lt;&gt;"""" ) ) ) ),"""")
"),"")</f>
        <v/>
      </c>
      <c r="D853" s="105"/>
      <c r="E853" s="105"/>
      <c r="F853" s="110" t="b">
        <v>0</v>
      </c>
      <c r="G853" s="105" t="str">
        <f>IF(F853=True, IFERROR(VLOOKUP(D853, Repository!A:B, 2, 0), ""), "")</f>
        <v/>
      </c>
      <c r="H853" s="105"/>
      <c r="I853" s="105"/>
      <c r="J853" s="105" t="str">
        <f>IF(F853=True, IFERROR(VLOOKUP(D853, Repository!A:C, 3, 0), ""), "")</f>
        <v/>
      </c>
      <c r="K853" s="105"/>
      <c r="L853" s="105" t="str">
        <f>IF(F853=True, IFERROR(VLOOKUP(D853, Repository!A:E, 5, 0), ""), "")</f>
        <v/>
      </c>
      <c r="M853" s="105"/>
      <c r="N853" s="105" t="str">
        <f>IF(F853=True, IFERROR(VLOOKUP(D853, Repository!A:G, 7, 0), ""), "")</f>
        <v/>
      </c>
      <c r="O853" s="105" t="str">
        <f>IFERROR(__xludf.DUMMYFUNCTION("ARRAY_CONSTRAIN(
  ARRAYFORMULA(
    IFERROR(
      LET(
        list, N853,
        arr, TRIM(SPLIT(list, "","")),
        names, XLOOKUP(
          arr,
          'Conformance Score'!A:A,
          'Conformance Score'!B:B,
          ""Not found""
      "&amp;"  ),
        TEXTJOIN("", "", TRUE, names)
      ),
      """"
    )
  ),
  1,
  1
)
"),"")</f>
        <v/>
      </c>
      <c r="P853" s="105" t="str">
        <f>IF(F853="Yes", IFERROR(VLOOKUP(D853, Repository!A:F, 6, 0), ""), "")</f>
        <v/>
      </c>
      <c r="Q853" s="105" t="str">
        <f>IF(F853="Yes", IFERROR(VLOOKUP(D853, Repository!A:I, 8, 0), ""), "")</f>
        <v/>
      </c>
      <c r="R853" s="105" t="str">
        <f>IF(F853="Yes", IFERROR(VLOOKUP(D853, Repository!A:J, 9, 0), ""), "")</f>
        <v/>
      </c>
      <c r="S853" s="105"/>
      <c r="T853" s="105"/>
      <c r="U853" s="105"/>
      <c r="V853" s="105"/>
      <c r="W853" s="105"/>
      <c r="X853" s="105"/>
      <c r="Y853" s="105"/>
      <c r="Z853" s="105"/>
      <c r="AA853" s="105"/>
      <c r="AB853" s="105"/>
      <c r="AC853" s="91"/>
      <c r="AD853" s="105"/>
      <c r="AE853" s="105"/>
      <c r="AF853" s="91"/>
      <c r="AG853" s="105"/>
      <c r="AH853" s="105"/>
      <c r="AI853" s="105" t="str">
        <f t="shared" si="1"/>
        <v/>
      </c>
      <c r="AJ853" s="108" t="str">
        <f t="shared" si="2"/>
        <v/>
      </c>
    </row>
    <row r="854" ht="15.75" customHeight="1">
      <c r="A854" s="104"/>
      <c r="B854" s="105" t="str">
        <f>IFERROR(__xludf.DUMMYFUNCTION("ARRAY_CONSTRAIN(
  ARRAYFORMULA(
    IF(
      'Final Report'!A854="""",
      """",
      TEXTJOIN(
        "", "" &amp; CHAR(10),
        TRUE,
        IFERROR(
          VLOOKUP(
            TRIM(
              SPLIT('Final Report'!A854, "","")
           "&amp;" ),
            'URL Details'!A:B,
            2,
            FALSE
          ),
          """"
        )
      )
    )
  ),
  1,
  1
)
"),"")</f>
        <v/>
      </c>
      <c r="C854" s="105" t="str">
        <f>IFERROR(__xludf.DUMMYFUNCTION("IFERROR(IF('Final Report'!A854="""","""", TEXTJOIN(CHAR(10), TRUE, ARRAYFORMULA( ""• ""&amp; FILTER( TRIM(FLATTEN(SPLIT( REGEXREPLACE( SUBSTITUTE(TEXTJOIN("","", TRUE, IFERROR(ARRAYFORMULA(VLOOKUP(TRIM(SPLIT('Final Report'!A854, "","")), 'URL Details'!A:D, 4,"&amp;" FALSE)),"""") ), CHAR(10), "",""), ""\s*,\s*"", "",""), "",""))), TRIM(FLATTEN(SPLIT( REGEXREPLACE( SUBSTITUTE(TEXTJOIN("","", TRUE, IFERROR(ARRAYFORMULA(VLOOKUP(TRIM(SPLIT('Final Report'!A854, "","")), 'URL Details'!A:D, 4, FALSE)),"""") ), CHAR(10), """&amp;",""), ""\s*,\s*"", "",""), "","")))&lt;&gt;"""" ) ) ) ),"""")
"),"")</f>
        <v/>
      </c>
      <c r="D854" s="105"/>
      <c r="E854" s="105"/>
      <c r="F854" s="110" t="b">
        <v>0</v>
      </c>
      <c r="G854" s="105" t="str">
        <f>IF(F854=True, IFERROR(VLOOKUP(D854, Repository!A:B, 2, 0), ""), "")</f>
        <v/>
      </c>
      <c r="H854" s="105"/>
      <c r="I854" s="105"/>
      <c r="J854" s="105" t="str">
        <f>IF(F854=True, IFERROR(VLOOKUP(D854, Repository!A:C, 3, 0), ""), "")</f>
        <v/>
      </c>
      <c r="K854" s="105"/>
      <c r="L854" s="105" t="str">
        <f>IF(F854=True, IFERROR(VLOOKUP(D854, Repository!A:E, 5, 0), ""), "")</f>
        <v/>
      </c>
      <c r="M854" s="105"/>
      <c r="N854" s="105" t="str">
        <f>IF(F854=True, IFERROR(VLOOKUP(D854, Repository!A:G, 7, 0), ""), "")</f>
        <v/>
      </c>
      <c r="O854" s="105" t="str">
        <f>IFERROR(__xludf.DUMMYFUNCTION("ARRAY_CONSTRAIN(
  ARRAYFORMULA(
    IFERROR(
      LET(
        list, N854,
        arr, TRIM(SPLIT(list, "","")),
        names, XLOOKUP(
          arr,
          'Conformance Score'!A:A,
          'Conformance Score'!B:B,
          ""Not found""
      "&amp;"  ),
        TEXTJOIN("", "", TRUE, names)
      ),
      """"
    )
  ),
  1,
  1
)
"),"")</f>
        <v/>
      </c>
      <c r="P854" s="105" t="str">
        <f>IF(F854="Yes", IFERROR(VLOOKUP(D854, Repository!A:F, 6, 0), ""), "")</f>
        <v/>
      </c>
      <c r="Q854" s="105" t="str">
        <f>IF(F854="Yes", IFERROR(VLOOKUP(D854, Repository!A:I, 8, 0), ""), "")</f>
        <v/>
      </c>
      <c r="R854" s="105" t="str">
        <f>IF(F854="Yes", IFERROR(VLOOKUP(D854, Repository!A:J, 9, 0), ""), "")</f>
        <v/>
      </c>
      <c r="S854" s="105"/>
      <c r="T854" s="105"/>
      <c r="U854" s="105"/>
      <c r="V854" s="105"/>
      <c r="W854" s="105"/>
      <c r="X854" s="105"/>
      <c r="Y854" s="105"/>
      <c r="Z854" s="105"/>
      <c r="AA854" s="105"/>
      <c r="AB854" s="105"/>
      <c r="AC854" s="91"/>
      <c r="AD854" s="105"/>
      <c r="AE854" s="105"/>
      <c r="AF854" s="91"/>
      <c r="AG854" s="105"/>
      <c r="AH854" s="105"/>
      <c r="AI854" s="105" t="str">
        <f t="shared" si="1"/>
        <v/>
      </c>
      <c r="AJ854" s="108" t="str">
        <f t="shared" si="2"/>
        <v/>
      </c>
    </row>
    <row r="855" ht="15.75" customHeight="1">
      <c r="A855" s="104"/>
      <c r="B855" s="105" t="str">
        <f>IFERROR(__xludf.DUMMYFUNCTION("ARRAY_CONSTRAIN(
  ARRAYFORMULA(
    IF(
      'Final Report'!A855="""",
      """",
      TEXTJOIN(
        "", "" &amp; CHAR(10),
        TRUE,
        IFERROR(
          VLOOKUP(
            TRIM(
              SPLIT('Final Report'!A855, "","")
           "&amp;" ),
            'URL Details'!A:B,
            2,
            FALSE
          ),
          """"
        )
      )
    )
  ),
  1,
  1
)
"),"")</f>
        <v/>
      </c>
      <c r="C855" s="105" t="str">
        <f>IFERROR(__xludf.DUMMYFUNCTION("IFERROR(IF('Final Report'!A855="""","""", TEXTJOIN(CHAR(10), TRUE, ARRAYFORMULA( ""• ""&amp; FILTER( TRIM(FLATTEN(SPLIT( REGEXREPLACE( SUBSTITUTE(TEXTJOIN("","", TRUE, IFERROR(ARRAYFORMULA(VLOOKUP(TRIM(SPLIT('Final Report'!A855, "","")), 'URL Details'!A:D, 4,"&amp;" FALSE)),"""") ), CHAR(10), "",""), ""\s*,\s*"", "",""), "",""))), TRIM(FLATTEN(SPLIT( REGEXREPLACE( SUBSTITUTE(TEXTJOIN("","", TRUE, IFERROR(ARRAYFORMULA(VLOOKUP(TRIM(SPLIT('Final Report'!A855, "","")), 'URL Details'!A:D, 4, FALSE)),"""") ), CHAR(10), """&amp;",""), ""\s*,\s*"", "",""), "","")))&lt;&gt;"""" ) ) ) ),"""")
"),"")</f>
        <v/>
      </c>
      <c r="D855" s="105"/>
      <c r="E855" s="105"/>
      <c r="F855" s="110" t="b">
        <v>0</v>
      </c>
      <c r="G855" s="105" t="str">
        <f>IF(F855=True, IFERROR(VLOOKUP(D855, Repository!A:B, 2, 0), ""), "")</f>
        <v/>
      </c>
      <c r="H855" s="105"/>
      <c r="I855" s="105"/>
      <c r="J855" s="105" t="str">
        <f>IF(F855=True, IFERROR(VLOOKUP(D855, Repository!A:C, 3, 0), ""), "")</f>
        <v/>
      </c>
      <c r="K855" s="105"/>
      <c r="L855" s="105" t="str">
        <f>IF(F855=True, IFERROR(VLOOKUP(D855, Repository!A:E, 5, 0), ""), "")</f>
        <v/>
      </c>
      <c r="M855" s="105"/>
      <c r="N855" s="105" t="str">
        <f>IF(F855=True, IFERROR(VLOOKUP(D855, Repository!A:G, 7, 0), ""), "")</f>
        <v/>
      </c>
      <c r="O855" s="105" t="str">
        <f>IFERROR(__xludf.DUMMYFUNCTION("ARRAY_CONSTRAIN(
  ARRAYFORMULA(
    IFERROR(
      LET(
        list, N855,
        arr, TRIM(SPLIT(list, "","")),
        names, XLOOKUP(
          arr,
          'Conformance Score'!A:A,
          'Conformance Score'!B:B,
          ""Not found""
      "&amp;"  ),
        TEXTJOIN("", "", TRUE, names)
      ),
      """"
    )
  ),
  1,
  1
)
"),"")</f>
        <v/>
      </c>
      <c r="P855" s="105" t="str">
        <f>IF(F855="Yes", IFERROR(VLOOKUP(D855, Repository!A:F, 6, 0), ""), "")</f>
        <v/>
      </c>
      <c r="Q855" s="105" t="str">
        <f>IF(F855="Yes", IFERROR(VLOOKUP(D855, Repository!A:I, 8, 0), ""), "")</f>
        <v/>
      </c>
      <c r="R855" s="105" t="str">
        <f>IF(F855="Yes", IFERROR(VLOOKUP(D855, Repository!A:J, 9, 0), ""), "")</f>
        <v/>
      </c>
      <c r="S855" s="105"/>
      <c r="T855" s="105"/>
      <c r="U855" s="105"/>
      <c r="V855" s="105"/>
      <c r="W855" s="105"/>
      <c r="X855" s="105"/>
      <c r="Y855" s="105"/>
      <c r="Z855" s="105"/>
      <c r="AA855" s="105"/>
      <c r="AB855" s="105"/>
      <c r="AC855" s="91"/>
      <c r="AD855" s="105"/>
      <c r="AE855" s="105"/>
      <c r="AF855" s="91"/>
      <c r="AG855" s="105"/>
      <c r="AH855" s="105"/>
      <c r="AI855" s="105" t="str">
        <f t="shared" si="1"/>
        <v/>
      </c>
      <c r="AJ855" s="108" t="str">
        <f t="shared" si="2"/>
        <v/>
      </c>
    </row>
    <row r="856" ht="15.75" customHeight="1">
      <c r="A856" s="104"/>
      <c r="B856" s="105" t="str">
        <f>IFERROR(__xludf.DUMMYFUNCTION("ARRAY_CONSTRAIN(
  ARRAYFORMULA(
    IF(
      'Final Report'!A856="""",
      """",
      TEXTJOIN(
        "", "" &amp; CHAR(10),
        TRUE,
        IFERROR(
          VLOOKUP(
            TRIM(
              SPLIT('Final Report'!A856, "","")
           "&amp;" ),
            'URL Details'!A:B,
            2,
            FALSE
          ),
          """"
        )
      )
    )
  ),
  1,
  1
)
"),"")</f>
        <v/>
      </c>
      <c r="C856" s="105" t="str">
        <f>IFERROR(__xludf.DUMMYFUNCTION("IFERROR(IF('Final Report'!A856="""","""", TEXTJOIN(CHAR(10), TRUE, ARRAYFORMULA( ""• ""&amp; FILTER( TRIM(FLATTEN(SPLIT( REGEXREPLACE( SUBSTITUTE(TEXTJOIN("","", TRUE, IFERROR(ARRAYFORMULA(VLOOKUP(TRIM(SPLIT('Final Report'!A856, "","")), 'URL Details'!A:D, 4,"&amp;" FALSE)),"""") ), CHAR(10), "",""), ""\s*,\s*"", "",""), "",""))), TRIM(FLATTEN(SPLIT( REGEXREPLACE( SUBSTITUTE(TEXTJOIN("","", TRUE, IFERROR(ARRAYFORMULA(VLOOKUP(TRIM(SPLIT('Final Report'!A856, "","")), 'URL Details'!A:D, 4, FALSE)),"""") ), CHAR(10), """&amp;",""), ""\s*,\s*"", "",""), "","")))&lt;&gt;"""" ) ) ) ),"""")
"),"")</f>
        <v/>
      </c>
      <c r="D856" s="105"/>
      <c r="E856" s="105"/>
      <c r="F856" s="110" t="b">
        <v>0</v>
      </c>
      <c r="G856" s="105" t="str">
        <f>IF(F856=True, IFERROR(VLOOKUP(D856, Repository!A:B, 2, 0), ""), "")</f>
        <v/>
      </c>
      <c r="H856" s="105"/>
      <c r="I856" s="105"/>
      <c r="J856" s="105" t="str">
        <f>IF(F856=True, IFERROR(VLOOKUP(D856, Repository!A:C, 3, 0), ""), "")</f>
        <v/>
      </c>
      <c r="K856" s="105"/>
      <c r="L856" s="105" t="str">
        <f>IF(F856=True, IFERROR(VLOOKUP(D856, Repository!A:E, 5, 0), ""), "")</f>
        <v/>
      </c>
      <c r="M856" s="105"/>
      <c r="N856" s="105" t="str">
        <f>IF(F856=True, IFERROR(VLOOKUP(D856, Repository!A:G, 7, 0), ""), "")</f>
        <v/>
      </c>
      <c r="O856" s="105" t="str">
        <f>IFERROR(__xludf.DUMMYFUNCTION("ARRAY_CONSTRAIN(
  ARRAYFORMULA(
    IFERROR(
      LET(
        list, N856,
        arr, TRIM(SPLIT(list, "","")),
        names, XLOOKUP(
          arr,
          'Conformance Score'!A:A,
          'Conformance Score'!B:B,
          ""Not found""
      "&amp;"  ),
        TEXTJOIN("", "", TRUE, names)
      ),
      """"
    )
  ),
  1,
  1
)
"),"")</f>
        <v/>
      </c>
      <c r="P856" s="105" t="str">
        <f>IF(F856="Yes", IFERROR(VLOOKUP(D856, Repository!A:F, 6, 0), ""), "")</f>
        <v/>
      </c>
      <c r="Q856" s="105" t="str">
        <f>IF(F856="Yes", IFERROR(VLOOKUP(D856, Repository!A:I, 8, 0), ""), "")</f>
        <v/>
      </c>
      <c r="R856" s="105" t="str">
        <f>IF(F856="Yes", IFERROR(VLOOKUP(D856, Repository!A:J, 9, 0), ""), "")</f>
        <v/>
      </c>
      <c r="S856" s="105"/>
      <c r="T856" s="105"/>
      <c r="U856" s="105"/>
      <c r="V856" s="105"/>
      <c r="W856" s="105"/>
      <c r="X856" s="105"/>
      <c r="Y856" s="105"/>
      <c r="Z856" s="105"/>
      <c r="AA856" s="105"/>
      <c r="AB856" s="105"/>
      <c r="AC856" s="91"/>
      <c r="AD856" s="105"/>
      <c r="AE856" s="105"/>
      <c r="AF856" s="91"/>
      <c r="AG856" s="105"/>
      <c r="AH856" s="105"/>
      <c r="AI856" s="105" t="str">
        <f t="shared" si="1"/>
        <v/>
      </c>
      <c r="AJ856" s="108" t="str">
        <f t="shared" si="2"/>
        <v/>
      </c>
    </row>
    <row r="857" ht="15.75" customHeight="1">
      <c r="A857" s="104"/>
      <c r="B857" s="105" t="str">
        <f>IFERROR(__xludf.DUMMYFUNCTION("ARRAY_CONSTRAIN(
  ARRAYFORMULA(
    IF(
      'Final Report'!A857="""",
      """",
      TEXTJOIN(
        "", "" &amp; CHAR(10),
        TRUE,
        IFERROR(
          VLOOKUP(
            TRIM(
              SPLIT('Final Report'!A857, "","")
           "&amp;" ),
            'URL Details'!A:B,
            2,
            FALSE
          ),
          """"
        )
      )
    )
  ),
  1,
  1
)
"),"")</f>
        <v/>
      </c>
      <c r="C857" s="105" t="str">
        <f>IFERROR(__xludf.DUMMYFUNCTION("IFERROR(IF('Final Report'!A857="""","""", TEXTJOIN(CHAR(10), TRUE, ARRAYFORMULA( ""• ""&amp; FILTER( TRIM(FLATTEN(SPLIT( REGEXREPLACE( SUBSTITUTE(TEXTJOIN("","", TRUE, IFERROR(ARRAYFORMULA(VLOOKUP(TRIM(SPLIT('Final Report'!A857, "","")), 'URL Details'!A:D, 4,"&amp;" FALSE)),"""") ), CHAR(10), "",""), ""\s*,\s*"", "",""), "",""))), TRIM(FLATTEN(SPLIT( REGEXREPLACE( SUBSTITUTE(TEXTJOIN("","", TRUE, IFERROR(ARRAYFORMULA(VLOOKUP(TRIM(SPLIT('Final Report'!A857, "","")), 'URL Details'!A:D, 4, FALSE)),"""") ), CHAR(10), """&amp;",""), ""\s*,\s*"", "",""), "","")))&lt;&gt;"""" ) ) ) ),"""")
"),"")</f>
        <v/>
      </c>
      <c r="D857" s="105"/>
      <c r="E857" s="105"/>
      <c r="F857" s="110" t="b">
        <v>0</v>
      </c>
      <c r="G857" s="105" t="str">
        <f>IF(F857=True, IFERROR(VLOOKUP(D857, Repository!A:B, 2, 0), ""), "")</f>
        <v/>
      </c>
      <c r="H857" s="105"/>
      <c r="I857" s="105"/>
      <c r="J857" s="105" t="str">
        <f>IF(F857=True, IFERROR(VLOOKUP(D857, Repository!A:C, 3, 0), ""), "")</f>
        <v/>
      </c>
      <c r="K857" s="105"/>
      <c r="L857" s="105" t="str">
        <f>IF(F857=True, IFERROR(VLOOKUP(D857, Repository!A:E, 5, 0), ""), "")</f>
        <v/>
      </c>
      <c r="M857" s="105"/>
      <c r="N857" s="105" t="str">
        <f>IF(F857=True, IFERROR(VLOOKUP(D857, Repository!A:G, 7, 0), ""), "")</f>
        <v/>
      </c>
      <c r="O857" s="105" t="str">
        <f>IFERROR(__xludf.DUMMYFUNCTION("ARRAY_CONSTRAIN(
  ARRAYFORMULA(
    IFERROR(
      LET(
        list, N857,
        arr, TRIM(SPLIT(list, "","")),
        names, XLOOKUP(
          arr,
          'Conformance Score'!A:A,
          'Conformance Score'!B:B,
          ""Not found""
      "&amp;"  ),
        TEXTJOIN("", "", TRUE, names)
      ),
      """"
    )
  ),
  1,
  1
)
"),"")</f>
        <v/>
      </c>
      <c r="P857" s="105" t="str">
        <f>IF(F857="Yes", IFERROR(VLOOKUP(D857, Repository!A:F, 6, 0), ""), "")</f>
        <v/>
      </c>
      <c r="Q857" s="105" t="str">
        <f>IF(F857="Yes", IFERROR(VLOOKUP(D857, Repository!A:I, 8, 0), ""), "")</f>
        <v/>
      </c>
      <c r="R857" s="105" t="str">
        <f>IF(F857="Yes", IFERROR(VLOOKUP(D857, Repository!A:J, 9, 0), ""), "")</f>
        <v/>
      </c>
      <c r="S857" s="105"/>
      <c r="T857" s="105"/>
      <c r="U857" s="105"/>
      <c r="V857" s="105"/>
      <c r="W857" s="105"/>
      <c r="X857" s="105"/>
      <c r="Y857" s="105"/>
      <c r="Z857" s="105"/>
      <c r="AA857" s="105"/>
      <c r="AB857" s="105"/>
      <c r="AC857" s="91"/>
      <c r="AD857" s="105"/>
      <c r="AE857" s="105"/>
      <c r="AF857" s="91"/>
      <c r="AG857" s="105"/>
      <c r="AH857" s="105"/>
      <c r="AI857" s="105" t="str">
        <f t="shared" si="1"/>
        <v/>
      </c>
      <c r="AJ857" s="108" t="str">
        <f t="shared" si="2"/>
        <v/>
      </c>
    </row>
    <row r="858" ht="15.75" customHeight="1">
      <c r="A858" s="104"/>
      <c r="B858" s="105" t="str">
        <f>IFERROR(__xludf.DUMMYFUNCTION("ARRAY_CONSTRAIN(
  ARRAYFORMULA(
    IF(
      'Final Report'!A858="""",
      """",
      TEXTJOIN(
        "", "" &amp; CHAR(10),
        TRUE,
        IFERROR(
          VLOOKUP(
            TRIM(
              SPLIT('Final Report'!A858, "","")
           "&amp;" ),
            'URL Details'!A:B,
            2,
            FALSE
          ),
          """"
        )
      )
    )
  ),
  1,
  1
)
"),"")</f>
        <v/>
      </c>
      <c r="C858" s="105" t="str">
        <f>IFERROR(__xludf.DUMMYFUNCTION("IFERROR(IF('Final Report'!A858="""","""", TEXTJOIN(CHAR(10), TRUE, ARRAYFORMULA( ""• ""&amp; FILTER( TRIM(FLATTEN(SPLIT( REGEXREPLACE( SUBSTITUTE(TEXTJOIN("","", TRUE, IFERROR(ARRAYFORMULA(VLOOKUP(TRIM(SPLIT('Final Report'!A858, "","")), 'URL Details'!A:D, 4,"&amp;" FALSE)),"""") ), CHAR(10), "",""), ""\s*,\s*"", "",""), "",""))), TRIM(FLATTEN(SPLIT( REGEXREPLACE( SUBSTITUTE(TEXTJOIN("","", TRUE, IFERROR(ARRAYFORMULA(VLOOKUP(TRIM(SPLIT('Final Report'!A858, "","")), 'URL Details'!A:D, 4, FALSE)),"""") ), CHAR(10), """&amp;",""), ""\s*,\s*"", "",""), "","")))&lt;&gt;"""" ) ) ) ),"""")
"),"")</f>
        <v/>
      </c>
      <c r="D858" s="105"/>
      <c r="E858" s="105"/>
      <c r="F858" s="110" t="b">
        <v>0</v>
      </c>
      <c r="G858" s="105" t="str">
        <f>IF(F858=True, IFERROR(VLOOKUP(D858, Repository!A:B, 2, 0), ""), "")</f>
        <v/>
      </c>
      <c r="H858" s="105"/>
      <c r="I858" s="105"/>
      <c r="J858" s="105" t="str">
        <f>IF(F858=True, IFERROR(VLOOKUP(D858, Repository!A:C, 3, 0), ""), "")</f>
        <v/>
      </c>
      <c r="K858" s="105"/>
      <c r="L858" s="105" t="str">
        <f>IF(F858=True, IFERROR(VLOOKUP(D858, Repository!A:E, 5, 0), ""), "")</f>
        <v/>
      </c>
      <c r="M858" s="105"/>
      <c r="N858" s="105" t="str">
        <f>IF(F858=True, IFERROR(VLOOKUP(D858, Repository!A:G, 7, 0), ""), "")</f>
        <v/>
      </c>
      <c r="O858" s="105" t="str">
        <f>IFERROR(__xludf.DUMMYFUNCTION("ARRAY_CONSTRAIN(
  ARRAYFORMULA(
    IFERROR(
      LET(
        list, N858,
        arr, TRIM(SPLIT(list, "","")),
        names, XLOOKUP(
          arr,
          'Conformance Score'!A:A,
          'Conformance Score'!B:B,
          ""Not found""
      "&amp;"  ),
        TEXTJOIN("", "", TRUE, names)
      ),
      """"
    )
  ),
  1,
  1
)
"),"")</f>
        <v/>
      </c>
      <c r="P858" s="105" t="str">
        <f>IF(F858="Yes", IFERROR(VLOOKUP(D858, Repository!A:F, 6, 0), ""), "")</f>
        <v/>
      </c>
      <c r="Q858" s="105" t="str">
        <f>IF(F858="Yes", IFERROR(VLOOKUP(D858, Repository!A:I, 8, 0), ""), "")</f>
        <v/>
      </c>
      <c r="R858" s="105" t="str">
        <f>IF(F858="Yes", IFERROR(VLOOKUP(D858, Repository!A:J, 9, 0), ""), "")</f>
        <v/>
      </c>
      <c r="S858" s="105"/>
      <c r="T858" s="105"/>
      <c r="U858" s="105"/>
      <c r="V858" s="105"/>
      <c r="W858" s="105"/>
      <c r="X858" s="105"/>
      <c r="Y858" s="105"/>
      <c r="Z858" s="105"/>
      <c r="AA858" s="105"/>
      <c r="AB858" s="105"/>
      <c r="AC858" s="91"/>
      <c r="AD858" s="105"/>
      <c r="AE858" s="105"/>
      <c r="AF858" s="91"/>
      <c r="AG858" s="105"/>
      <c r="AH858" s="105"/>
      <c r="AI858" s="105" t="str">
        <f t="shared" si="1"/>
        <v/>
      </c>
      <c r="AJ858" s="108" t="str">
        <f t="shared" si="2"/>
        <v/>
      </c>
    </row>
    <row r="859" ht="15.75" customHeight="1">
      <c r="A859" s="104"/>
      <c r="B859" s="105" t="str">
        <f>IFERROR(__xludf.DUMMYFUNCTION("ARRAY_CONSTRAIN(
  ARRAYFORMULA(
    IF(
      'Final Report'!A859="""",
      """",
      TEXTJOIN(
        "", "" &amp; CHAR(10),
        TRUE,
        IFERROR(
          VLOOKUP(
            TRIM(
              SPLIT('Final Report'!A859, "","")
           "&amp;" ),
            'URL Details'!A:B,
            2,
            FALSE
          ),
          """"
        )
      )
    )
  ),
  1,
  1
)
"),"")</f>
        <v/>
      </c>
      <c r="C859" s="105" t="str">
        <f>IFERROR(__xludf.DUMMYFUNCTION("IFERROR(IF('Final Report'!A859="""","""", TEXTJOIN(CHAR(10), TRUE, ARRAYFORMULA( ""• ""&amp; FILTER( TRIM(FLATTEN(SPLIT( REGEXREPLACE( SUBSTITUTE(TEXTJOIN("","", TRUE, IFERROR(ARRAYFORMULA(VLOOKUP(TRIM(SPLIT('Final Report'!A859, "","")), 'URL Details'!A:D, 4,"&amp;" FALSE)),"""") ), CHAR(10), "",""), ""\s*,\s*"", "",""), "",""))), TRIM(FLATTEN(SPLIT( REGEXREPLACE( SUBSTITUTE(TEXTJOIN("","", TRUE, IFERROR(ARRAYFORMULA(VLOOKUP(TRIM(SPLIT('Final Report'!A859, "","")), 'URL Details'!A:D, 4, FALSE)),"""") ), CHAR(10), """&amp;",""), ""\s*,\s*"", "",""), "","")))&lt;&gt;"""" ) ) ) ),"""")
"),"")</f>
        <v/>
      </c>
      <c r="D859" s="105"/>
      <c r="E859" s="105"/>
      <c r="F859" s="110" t="b">
        <v>0</v>
      </c>
      <c r="G859" s="105" t="str">
        <f>IF(F859=True, IFERROR(VLOOKUP(D859, Repository!A:B, 2, 0), ""), "")</f>
        <v/>
      </c>
      <c r="H859" s="105"/>
      <c r="I859" s="105"/>
      <c r="J859" s="105" t="str">
        <f>IF(F859=True, IFERROR(VLOOKUP(D859, Repository!A:C, 3, 0), ""), "")</f>
        <v/>
      </c>
      <c r="K859" s="105"/>
      <c r="L859" s="105" t="str">
        <f>IF(F859=True, IFERROR(VLOOKUP(D859, Repository!A:E, 5, 0), ""), "")</f>
        <v/>
      </c>
      <c r="M859" s="105"/>
      <c r="N859" s="105" t="str">
        <f>IF(F859=True, IFERROR(VLOOKUP(D859, Repository!A:G, 7, 0), ""), "")</f>
        <v/>
      </c>
      <c r="O859" s="105" t="str">
        <f>IFERROR(__xludf.DUMMYFUNCTION("ARRAY_CONSTRAIN(
  ARRAYFORMULA(
    IFERROR(
      LET(
        list, N859,
        arr, TRIM(SPLIT(list, "","")),
        names, XLOOKUP(
          arr,
          'Conformance Score'!A:A,
          'Conformance Score'!B:B,
          ""Not found""
      "&amp;"  ),
        TEXTJOIN("", "", TRUE, names)
      ),
      """"
    )
  ),
  1,
  1
)
"),"")</f>
        <v/>
      </c>
      <c r="P859" s="105" t="str">
        <f>IF(F859="Yes", IFERROR(VLOOKUP(D859, Repository!A:F, 6, 0), ""), "")</f>
        <v/>
      </c>
      <c r="Q859" s="105" t="str">
        <f>IF(F859="Yes", IFERROR(VLOOKUP(D859, Repository!A:I, 8, 0), ""), "")</f>
        <v/>
      </c>
      <c r="R859" s="105" t="str">
        <f>IF(F859="Yes", IFERROR(VLOOKUP(D859, Repository!A:J, 9, 0), ""), "")</f>
        <v/>
      </c>
      <c r="S859" s="105"/>
      <c r="T859" s="105"/>
      <c r="U859" s="105"/>
      <c r="V859" s="105"/>
      <c r="W859" s="105"/>
      <c r="X859" s="105"/>
      <c r="Y859" s="105"/>
      <c r="Z859" s="105"/>
      <c r="AA859" s="105"/>
      <c r="AB859" s="105"/>
      <c r="AC859" s="91"/>
      <c r="AD859" s="105"/>
      <c r="AE859" s="105"/>
      <c r="AF859" s="91"/>
      <c r="AG859" s="105"/>
      <c r="AH859" s="105"/>
      <c r="AI859" s="105" t="str">
        <f t="shared" si="1"/>
        <v/>
      </c>
      <c r="AJ859" s="108" t="str">
        <f t="shared" si="2"/>
        <v/>
      </c>
    </row>
    <row r="860" ht="15.75" customHeight="1">
      <c r="A860" s="104"/>
      <c r="B860" s="105" t="str">
        <f>IFERROR(__xludf.DUMMYFUNCTION("ARRAY_CONSTRAIN(
  ARRAYFORMULA(
    IF(
      'Final Report'!A860="""",
      """",
      TEXTJOIN(
        "", "" &amp; CHAR(10),
        TRUE,
        IFERROR(
          VLOOKUP(
            TRIM(
              SPLIT('Final Report'!A860, "","")
           "&amp;" ),
            'URL Details'!A:B,
            2,
            FALSE
          ),
          """"
        )
      )
    )
  ),
  1,
  1
)
"),"")</f>
        <v/>
      </c>
      <c r="C860" s="105" t="str">
        <f>IFERROR(__xludf.DUMMYFUNCTION("IFERROR(IF('Final Report'!A860="""","""", TEXTJOIN(CHAR(10), TRUE, ARRAYFORMULA( ""• ""&amp; FILTER( TRIM(FLATTEN(SPLIT( REGEXREPLACE( SUBSTITUTE(TEXTJOIN("","", TRUE, IFERROR(ARRAYFORMULA(VLOOKUP(TRIM(SPLIT('Final Report'!A860, "","")), 'URL Details'!A:D, 4,"&amp;" FALSE)),"""") ), CHAR(10), "",""), ""\s*,\s*"", "",""), "",""))), TRIM(FLATTEN(SPLIT( REGEXREPLACE( SUBSTITUTE(TEXTJOIN("","", TRUE, IFERROR(ARRAYFORMULA(VLOOKUP(TRIM(SPLIT('Final Report'!A860, "","")), 'URL Details'!A:D, 4, FALSE)),"""") ), CHAR(10), """&amp;",""), ""\s*,\s*"", "",""), "","")))&lt;&gt;"""" ) ) ) ),"""")
"),"")</f>
        <v/>
      </c>
      <c r="D860" s="105"/>
      <c r="E860" s="105"/>
      <c r="F860" s="110" t="b">
        <v>0</v>
      </c>
      <c r="G860" s="105" t="str">
        <f>IF(F860=True, IFERROR(VLOOKUP(D860, Repository!A:B, 2, 0), ""), "")</f>
        <v/>
      </c>
      <c r="H860" s="105"/>
      <c r="I860" s="105"/>
      <c r="J860" s="105" t="str">
        <f>IF(F860=True, IFERROR(VLOOKUP(D860, Repository!A:C, 3, 0), ""), "")</f>
        <v/>
      </c>
      <c r="K860" s="105"/>
      <c r="L860" s="105" t="str">
        <f>IF(F860=True, IFERROR(VLOOKUP(D860, Repository!A:E, 5, 0), ""), "")</f>
        <v/>
      </c>
      <c r="M860" s="105"/>
      <c r="N860" s="105" t="str">
        <f>IF(F860=True, IFERROR(VLOOKUP(D860, Repository!A:G, 7, 0), ""), "")</f>
        <v/>
      </c>
      <c r="O860" s="105" t="str">
        <f>IFERROR(__xludf.DUMMYFUNCTION("ARRAY_CONSTRAIN(
  ARRAYFORMULA(
    IFERROR(
      LET(
        list, N860,
        arr, TRIM(SPLIT(list, "","")),
        names, XLOOKUP(
          arr,
          'Conformance Score'!A:A,
          'Conformance Score'!B:B,
          ""Not found""
      "&amp;"  ),
        TEXTJOIN("", "", TRUE, names)
      ),
      """"
    )
  ),
  1,
  1
)
"),"")</f>
        <v/>
      </c>
      <c r="P860" s="105" t="str">
        <f>IF(F860="Yes", IFERROR(VLOOKUP(D860, Repository!A:F, 6, 0), ""), "")</f>
        <v/>
      </c>
      <c r="Q860" s="105" t="str">
        <f>IF(F860="Yes", IFERROR(VLOOKUP(D860, Repository!A:I, 8, 0), ""), "")</f>
        <v/>
      </c>
      <c r="R860" s="105" t="str">
        <f>IF(F860="Yes", IFERROR(VLOOKUP(D860, Repository!A:J, 9, 0), ""), "")</f>
        <v/>
      </c>
      <c r="S860" s="105"/>
      <c r="T860" s="105"/>
      <c r="U860" s="105"/>
      <c r="V860" s="105"/>
      <c r="W860" s="105"/>
      <c r="X860" s="105"/>
      <c r="Y860" s="105"/>
      <c r="Z860" s="105"/>
      <c r="AA860" s="105"/>
      <c r="AB860" s="105"/>
      <c r="AC860" s="91"/>
      <c r="AD860" s="105"/>
      <c r="AE860" s="105"/>
      <c r="AF860" s="91"/>
      <c r="AG860" s="105"/>
      <c r="AH860" s="105"/>
      <c r="AI860" s="105" t="str">
        <f t="shared" si="1"/>
        <v/>
      </c>
      <c r="AJ860" s="108" t="str">
        <f t="shared" si="2"/>
        <v/>
      </c>
    </row>
    <row r="861" ht="15.75" customHeight="1">
      <c r="A861" s="104"/>
      <c r="B861" s="105" t="str">
        <f>IFERROR(__xludf.DUMMYFUNCTION("ARRAY_CONSTRAIN(
  ARRAYFORMULA(
    IF(
      'Final Report'!A861="""",
      """",
      TEXTJOIN(
        "", "" &amp; CHAR(10),
        TRUE,
        IFERROR(
          VLOOKUP(
            TRIM(
              SPLIT('Final Report'!A861, "","")
           "&amp;" ),
            'URL Details'!A:B,
            2,
            FALSE
          ),
          """"
        )
      )
    )
  ),
  1,
  1
)
"),"")</f>
        <v/>
      </c>
      <c r="C861" s="105" t="str">
        <f>IFERROR(__xludf.DUMMYFUNCTION("IFERROR(IF('Final Report'!A861="""","""", TEXTJOIN(CHAR(10), TRUE, ARRAYFORMULA( ""• ""&amp; FILTER( TRIM(FLATTEN(SPLIT( REGEXREPLACE( SUBSTITUTE(TEXTJOIN("","", TRUE, IFERROR(ARRAYFORMULA(VLOOKUP(TRIM(SPLIT('Final Report'!A861, "","")), 'URL Details'!A:D, 4,"&amp;" FALSE)),"""") ), CHAR(10), "",""), ""\s*,\s*"", "",""), "",""))), TRIM(FLATTEN(SPLIT( REGEXREPLACE( SUBSTITUTE(TEXTJOIN("","", TRUE, IFERROR(ARRAYFORMULA(VLOOKUP(TRIM(SPLIT('Final Report'!A861, "","")), 'URL Details'!A:D, 4, FALSE)),"""") ), CHAR(10), """&amp;",""), ""\s*,\s*"", "",""), "","")))&lt;&gt;"""" ) ) ) ),"""")
"),"")</f>
        <v/>
      </c>
      <c r="D861" s="105"/>
      <c r="E861" s="105"/>
      <c r="F861" s="110" t="b">
        <v>0</v>
      </c>
      <c r="G861" s="105" t="str">
        <f>IF(F861=True, IFERROR(VLOOKUP(D861, Repository!A:B, 2, 0), ""), "")</f>
        <v/>
      </c>
      <c r="H861" s="105"/>
      <c r="I861" s="105"/>
      <c r="J861" s="105" t="str">
        <f>IF(F861=True, IFERROR(VLOOKUP(D861, Repository!A:C, 3, 0), ""), "")</f>
        <v/>
      </c>
      <c r="K861" s="105"/>
      <c r="L861" s="105" t="str">
        <f>IF(F861=True, IFERROR(VLOOKUP(D861, Repository!A:E, 5, 0), ""), "")</f>
        <v/>
      </c>
      <c r="M861" s="105"/>
      <c r="N861" s="105" t="str">
        <f>IF(F861=True, IFERROR(VLOOKUP(D861, Repository!A:G, 7, 0), ""), "")</f>
        <v/>
      </c>
      <c r="O861" s="105" t="str">
        <f>IFERROR(__xludf.DUMMYFUNCTION("ARRAY_CONSTRAIN(
  ARRAYFORMULA(
    IFERROR(
      LET(
        list, N861,
        arr, TRIM(SPLIT(list, "","")),
        names, XLOOKUP(
          arr,
          'Conformance Score'!A:A,
          'Conformance Score'!B:B,
          ""Not found""
      "&amp;"  ),
        TEXTJOIN("", "", TRUE, names)
      ),
      """"
    )
  ),
  1,
  1
)
"),"")</f>
        <v/>
      </c>
      <c r="P861" s="105" t="str">
        <f>IF(F861="Yes", IFERROR(VLOOKUP(D861, Repository!A:F, 6, 0), ""), "")</f>
        <v/>
      </c>
      <c r="Q861" s="105" t="str">
        <f>IF(F861="Yes", IFERROR(VLOOKUP(D861, Repository!A:I, 8, 0), ""), "")</f>
        <v/>
      </c>
      <c r="R861" s="105" t="str">
        <f>IF(F861="Yes", IFERROR(VLOOKUP(D861, Repository!A:J, 9, 0), ""), "")</f>
        <v/>
      </c>
      <c r="S861" s="105"/>
      <c r="T861" s="105"/>
      <c r="U861" s="105"/>
      <c r="V861" s="105"/>
      <c r="W861" s="105"/>
      <c r="X861" s="105"/>
      <c r="Y861" s="105"/>
      <c r="Z861" s="105"/>
      <c r="AA861" s="105"/>
      <c r="AB861" s="105"/>
      <c r="AC861" s="91"/>
      <c r="AD861" s="105"/>
      <c r="AE861" s="105"/>
      <c r="AF861" s="91"/>
      <c r="AG861" s="105"/>
      <c r="AH861" s="105"/>
      <c r="AI861" s="105" t="str">
        <f t="shared" si="1"/>
        <v/>
      </c>
      <c r="AJ861" s="108" t="str">
        <f t="shared" si="2"/>
        <v/>
      </c>
    </row>
    <row r="862" ht="15.75" customHeight="1">
      <c r="A862" s="104"/>
      <c r="B862" s="105" t="str">
        <f>IFERROR(__xludf.DUMMYFUNCTION("ARRAY_CONSTRAIN(
  ARRAYFORMULA(
    IF(
      'Final Report'!A862="""",
      """",
      TEXTJOIN(
        "", "" &amp; CHAR(10),
        TRUE,
        IFERROR(
          VLOOKUP(
            TRIM(
              SPLIT('Final Report'!A862, "","")
           "&amp;" ),
            'URL Details'!A:B,
            2,
            FALSE
          ),
          """"
        )
      )
    )
  ),
  1,
  1
)
"),"")</f>
        <v/>
      </c>
      <c r="C862" s="105" t="str">
        <f>IFERROR(__xludf.DUMMYFUNCTION("IFERROR(IF('Final Report'!A862="""","""", TEXTJOIN(CHAR(10), TRUE, ARRAYFORMULA( ""• ""&amp; FILTER( TRIM(FLATTEN(SPLIT( REGEXREPLACE( SUBSTITUTE(TEXTJOIN("","", TRUE, IFERROR(ARRAYFORMULA(VLOOKUP(TRIM(SPLIT('Final Report'!A862, "","")), 'URL Details'!A:D, 4,"&amp;" FALSE)),"""") ), CHAR(10), "",""), ""\s*,\s*"", "",""), "",""))), TRIM(FLATTEN(SPLIT( REGEXREPLACE( SUBSTITUTE(TEXTJOIN("","", TRUE, IFERROR(ARRAYFORMULA(VLOOKUP(TRIM(SPLIT('Final Report'!A862, "","")), 'URL Details'!A:D, 4, FALSE)),"""") ), CHAR(10), """&amp;",""), ""\s*,\s*"", "",""), "","")))&lt;&gt;"""" ) ) ) ),"""")
"),"")</f>
        <v/>
      </c>
      <c r="D862" s="105"/>
      <c r="E862" s="105"/>
      <c r="F862" s="110" t="b">
        <v>0</v>
      </c>
      <c r="G862" s="105" t="str">
        <f>IF(F862=True, IFERROR(VLOOKUP(D862, Repository!A:B, 2, 0), ""), "")</f>
        <v/>
      </c>
      <c r="H862" s="105"/>
      <c r="I862" s="105"/>
      <c r="J862" s="105" t="str">
        <f>IF(F862=True, IFERROR(VLOOKUP(D862, Repository!A:C, 3, 0), ""), "")</f>
        <v/>
      </c>
      <c r="K862" s="105"/>
      <c r="L862" s="105" t="str">
        <f>IF(F862=True, IFERROR(VLOOKUP(D862, Repository!A:E, 5, 0), ""), "")</f>
        <v/>
      </c>
      <c r="M862" s="105"/>
      <c r="N862" s="105" t="str">
        <f>IF(F862=True, IFERROR(VLOOKUP(D862, Repository!A:G, 7, 0), ""), "")</f>
        <v/>
      </c>
      <c r="O862" s="105" t="str">
        <f>IFERROR(__xludf.DUMMYFUNCTION("ARRAY_CONSTRAIN(
  ARRAYFORMULA(
    IFERROR(
      LET(
        list, N862,
        arr, TRIM(SPLIT(list, "","")),
        names, XLOOKUP(
          arr,
          'Conformance Score'!A:A,
          'Conformance Score'!B:B,
          ""Not found""
      "&amp;"  ),
        TEXTJOIN("", "", TRUE, names)
      ),
      """"
    )
  ),
  1,
  1
)
"),"")</f>
        <v/>
      </c>
      <c r="P862" s="105" t="str">
        <f>IF(F862="Yes", IFERROR(VLOOKUP(D862, Repository!A:F, 6, 0), ""), "")</f>
        <v/>
      </c>
      <c r="Q862" s="105" t="str">
        <f>IF(F862="Yes", IFERROR(VLOOKUP(D862, Repository!A:I, 8, 0), ""), "")</f>
        <v/>
      </c>
      <c r="R862" s="105" t="str">
        <f>IF(F862="Yes", IFERROR(VLOOKUP(D862, Repository!A:J, 9, 0), ""), "")</f>
        <v/>
      </c>
      <c r="S862" s="105"/>
      <c r="T862" s="105"/>
      <c r="U862" s="105"/>
      <c r="V862" s="105"/>
      <c r="W862" s="105"/>
      <c r="X862" s="105"/>
      <c r="Y862" s="105"/>
      <c r="Z862" s="105"/>
      <c r="AA862" s="105"/>
      <c r="AB862" s="105"/>
      <c r="AC862" s="91"/>
      <c r="AD862" s="105"/>
      <c r="AE862" s="105"/>
      <c r="AF862" s="91"/>
      <c r="AG862" s="105"/>
      <c r="AH862" s="105"/>
      <c r="AI862" s="105" t="str">
        <f t="shared" si="1"/>
        <v/>
      </c>
      <c r="AJ862" s="108" t="str">
        <f t="shared" si="2"/>
        <v/>
      </c>
    </row>
    <row r="863" ht="15.75" customHeight="1">
      <c r="A863" s="104"/>
      <c r="B863" s="105" t="str">
        <f>IFERROR(__xludf.DUMMYFUNCTION("ARRAY_CONSTRAIN(
  ARRAYFORMULA(
    IF(
      'Final Report'!A863="""",
      """",
      TEXTJOIN(
        "", "" &amp; CHAR(10),
        TRUE,
        IFERROR(
          VLOOKUP(
            TRIM(
              SPLIT('Final Report'!A863, "","")
           "&amp;" ),
            'URL Details'!A:B,
            2,
            FALSE
          ),
          """"
        )
      )
    )
  ),
  1,
  1
)
"),"")</f>
        <v/>
      </c>
      <c r="C863" s="105" t="str">
        <f>IFERROR(__xludf.DUMMYFUNCTION("IFERROR(IF('Final Report'!A863="""","""", TEXTJOIN(CHAR(10), TRUE, ARRAYFORMULA( ""• ""&amp; FILTER( TRIM(FLATTEN(SPLIT( REGEXREPLACE( SUBSTITUTE(TEXTJOIN("","", TRUE, IFERROR(ARRAYFORMULA(VLOOKUP(TRIM(SPLIT('Final Report'!A863, "","")), 'URL Details'!A:D, 4,"&amp;" FALSE)),"""") ), CHAR(10), "",""), ""\s*,\s*"", "",""), "",""))), TRIM(FLATTEN(SPLIT( REGEXREPLACE( SUBSTITUTE(TEXTJOIN("","", TRUE, IFERROR(ARRAYFORMULA(VLOOKUP(TRIM(SPLIT('Final Report'!A863, "","")), 'URL Details'!A:D, 4, FALSE)),"""") ), CHAR(10), """&amp;",""), ""\s*,\s*"", "",""), "","")))&lt;&gt;"""" ) ) ) ),"""")
"),"")</f>
        <v/>
      </c>
      <c r="D863" s="105"/>
      <c r="E863" s="105"/>
      <c r="F863" s="110" t="b">
        <v>0</v>
      </c>
      <c r="G863" s="105" t="str">
        <f>IF(F863=True, IFERROR(VLOOKUP(D863, Repository!A:B, 2, 0), ""), "")</f>
        <v/>
      </c>
      <c r="H863" s="105"/>
      <c r="I863" s="105"/>
      <c r="J863" s="105" t="str">
        <f>IF(F863=True, IFERROR(VLOOKUP(D863, Repository!A:C, 3, 0), ""), "")</f>
        <v/>
      </c>
      <c r="K863" s="105"/>
      <c r="L863" s="105" t="str">
        <f>IF(F863=True, IFERROR(VLOOKUP(D863, Repository!A:E, 5, 0), ""), "")</f>
        <v/>
      </c>
      <c r="M863" s="105"/>
      <c r="N863" s="105" t="str">
        <f>IF(F863=True, IFERROR(VLOOKUP(D863, Repository!A:G, 7, 0), ""), "")</f>
        <v/>
      </c>
      <c r="O863" s="105" t="str">
        <f>IFERROR(__xludf.DUMMYFUNCTION("ARRAY_CONSTRAIN(
  ARRAYFORMULA(
    IFERROR(
      LET(
        list, N863,
        arr, TRIM(SPLIT(list, "","")),
        names, XLOOKUP(
          arr,
          'Conformance Score'!A:A,
          'Conformance Score'!B:B,
          ""Not found""
      "&amp;"  ),
        TEXTJOIN("", "", TRUE, names)
      ),
      """"
    )
  ),
  1,
  1
)
"),"")</f>
        <v/>
      </c>
      <c r="P863" s="105" t="str">
        <f>IF(F863="Yes", IFERROR(VLOOKUP(D863, Repository!A:F, 6, 0), ""), "")</f>
        <v/>
      </c>
      <c r="Q863" s="105" t="str">
        <f>IF(F863="Yes", IFERROR(VLOOKUP(D863, Repository!A:I, 8, 0), ""), "")</f>
        <v/>
      </c>
      <c r="R863" s="105" t="str">
        <f>IF(F863="Yes", IFERROR(VLOOKUP(D863, Repository!A:J, 9, 0), ""), "")</f>
        <v/>
      </c>
      <c r="S863" s="105"/>
      <c r="T863" s="105"/>
      <c r="U863" s="105"/>
      <c r="V863" s="105"/>
      <c r="W863" s="105"/>
      <c r="X863" s="105"/>
      <c r="Y863" s="105"/>
      <c r="Z863" s="105"/>
      <c r="AA863" s="105"/>
      <c r="AB863" s="105"/>
      <c r="AC863" s="91"/>
      <c r="AD863" s="105"/>
      <c r="AE863" s="105"/>
      <c r="AF863" s="91"/>
      <c r="AG863" s="105"/>
      <c r="AH863" s="105"/>
      <c r="AI863" s="105" t="str">
        <f t="shared" si="1"/>
        <v/>
      </c>
      <c r="AJ863" s="108" t="str">
        <f t="shared" si="2"/>
        <v/>
      </c>
    </row>
    <row r="864" ht="15.75" customHeight="1">
      <c r="A864" s="104"/>
      <c r="B864" s="105" t="str">
        <f>IFERROR(__xludf.DUMMYFUNCTION("ARRAY_CONSTRAIN(
  ARRAYFORMULA(
    IF(
      'Final Report'!A864="""",
      """",
      TEXTJOIN(
        "", "" &amp; CHAR(10),
        TRUE,
        IFERROR(
          VLOOKUP(
            TRIM(
              SPLIT('Final Report'!A864, "","")
           "&amp;" ),
            'URL Details'!A:B,
            2,
            FALSE
          ),
          """"
        )
      )
    )
  ),
  1,
  1
)
"),"")</f>
        <v/>
      </c>
      <c r="C864" s="105" t="str">
        <f>IFERROR(__xludf.DUMMYFUNCTION("IFERROR(IF('Final Report'!A864="""","""", TEXTJOIN(CHAR(10), TRUE, ARRAYFORMULA( ""• ""&amp; FILTER( TRIM(FLATTEN(SPLIT( REGEXREPLACE( SUBSTITUTE(TEXTJOIN("","", TRUE, IFERROR(ARRAYFORMULA(VLOOKUP(TRIM(SPLIT('Final Report'!A864, "","")), 'URL Details'!A:D, 4,"&amp;" FALSE)),"""") ), CHAR(10), "",""), ""\s*,\s*"", "",""), "",""))), TRIM(FLATTEN(SPLIT( REGEXREPLACE( SUBSTITUTE(TEXTJOIN("","", TRUE, IFERROR(ARRAYFORMULA(VLOOKUP(TRIM(SPLIT('Final Report'!A864, "","")), 'URL Details'!A:D, 4, FALSE)),"""") ), CHAR(10), """&amp;",""), ""\s*,\s*"", "",""), "","")))&lt;&gt;"""" ) ) ) ),"""")
"),"")</f>
        <v/>
      </c>
      <c r="D864" s="105"/>
      <c r="E864" s="105"/>
      <c r="F864" s="110" t="b">
        <v>0</v>
      </c>
      <c r="G864" s="105" t="str">
        <f>IF(F864=True, IFERROR(VLOOKUP(D864, Repository!A:B, 2, 0), ""), "")</f>
        <v/>
      </c>
      <c r="H864" s="105"/>
      <c r="I864" s="105"/>
      <c r="J864" s="105" t="str">
        <f>IF(F864=True, IFERROR(VLOOKUP(D864, Repository!A:C, 3, 0), ""), "")</f>
        <v/>
      </c>
      <c r="K864" s="105"/>
      <c r="L864" s="105" t="str">
        <f>IF(F864=True, IFERROR(VLOOKUP(D864, Repository!A:E, 5, 0), ""), "")</f>
        <v/>
      </c>
      <c r="M864" s="105"/>
      <c r="N864" s="105" t="str">
        <f>IF(F864=True, IFERROR(VLOOKUP(D864, Repository!A:G, 7, 0), ""), "")</f>
        <v/>
      </c>
      <c r="O864" s="105" t="str">
        <f>IFERROR(__xludf.DUMMYFUNCTION("ARRAY_CONSTRAIN(
  ARRAYFORMULA(
    IFERROR(
      LET(
        list, N864,
        arr, TRIM(SPLIT(list, "","")),
        names, XLOOKUP(
          arr,
          'Conformance Score'!A:A,
          'Conformance Score'!B:B,
          ""Not found""
      "&amp;"  ),
        TEXTJOIN("", "", TRUE, names)
      ),
      """"
    )
  ),
  1,
  1
)
"),"")</f>
        <v/>
      </c>
      <c r="P864" s="105" t="str">
        <f>IF(F864="Yes", IFERROR(VLOOKUP(D864, Repository!A:F, 6, 0), ""), "")</f>
        <v/>
      </c>
      <c r="Q864" s="105" t="str">
        <f>IF(F864="Yes", IFERROR(VLOOKUP(D864, Repository!A:I, 8, 0), ""), "")</f>
        <v/>
      </c>
      <c r="R864" s="105" t="str">
        <f>IF(F864="Yes", IFERROR(VLOOKUP(D864, Repository!A:J, 9, 0), ""), "")</f>
        <v/>
      </c>
      <c r="S864" s="105"/>
      <c r="T864" s="105"/>
      <c r="U864" s="105"/>
      <c r="V864" s="105"/>
      <c r="W864" s="105"/>
      <c r="X864" s="105"/>
      <c r="Y864" s="105"/>
      <c r="Z864" s="105"/>
      <c r="AA864" s="105"/>
      <c r="AB864" s="105"/>
      <c r="AC864" s="91"/>
      <c r="AD864" s="105"/>
      <c r="AE864" s="105"/>
      <c r="AF864" s="91"/>
      <c r="AG864" s="105"/>
      <c r="AH864" s="105"/>
      <c r="AI864" s="105" t="str">
        <f t="shared" si="1"/>
        <v/>
      </c>
      <c r="AJ864" s="108" t="str">
        <f t="shared" si="2"/>
        <v/>
      </c>
    </row>
    <row r="865" ht="15.75" customHeight="1">
      <c r="A865" s="104"/>
      <c r="B865" s="105" t="str">
        <f>IFERROR(__xludf.DUMMYFUNCTION("ARRAY_CONSTRAIN(
  ARRAYFORMULA(
    IF(
      'Final Report'!A865="""",
      """",
      TEXTJOIN(
        "", "" &amp; CHAR(10),
        TRUE,
        IFERROR(
          VLOOKUP(
            TRIM(
              SPLIT('Final Report'!A865, "","")
           "&amp;" ),
            'URL Details'!A:B,
            2,
            FALSE
          ),
          """"
        )
      )
    )
  ),
  1,
  1
)
"),"")</f>
        <v/>
      </c>
      <c r="C865" s="105" t="str">
        <f>IFERROR(__xludf.DUMMYFUNCTION("IFERROR(IF('Final Report'!A865="""","""", TEXTJOIN(CHAR(10), TRUE, ARRAYFORMULA( ""• ""&amp; FILTER( TRIM(FLATTEN(SPLIT( REGEXREPLACE( SUBSTITUTE(TEXTJOIN("","", TRUE, IFERROR(ARRAYFORMULA(VLOOKUP(TRIM(SPLIT('Final Report'!A865, "","")), 'URL Details'!A:D, 4,"&amp;" FALSE)),"""") ), CHAR(10), "",""), ""\s*,\s*"", "",""), "",""))), TRIM(FLATTEN(SPLIT( REGEXREPLACE( SUBSTITUTE(TEXTJOIN("","", TRUE, IFERROR(ARRAYFORMULA(VLOOKUP(TRIM(SPLIT('Final Report'!A865, "","")), 'URL Details'!A:D, 4, FALSE)),"""") ), CHAR(10), """&amp;",""), ""\s*,\s*"", "",""), "","")))&lt;&gt;"""" ) ) ) ),"""")
"),"")</f>
        <v/>
      </c>
      <c r="D865" s="105"/>
      <c r="E865" s="105"/>
      <c r="F865" s="110" t="b">
        <v>0</v>
      </c>
      <c r="G865" s="105" t="str">
        <f>IF(F865=True, IFERROR(VLOOKUP(D865, Repository!A:B, 2, 0), ""), "")</f>
        <v/>
      </c>
      <c r="H865" s="105"/>
      <c r="I865" s="105"/>
      <c r="J865" s="105" t="str">
        <f>IF(F865=True, IFERROR(VLOOKUP(D865, Repository!A:C, 3, 0), ""), "")</f>
        <v/>
      </c>
      <c r="K865" s="105"/>
      <c r="L865" s="105" t="str">
        <f>IF(F865=True, IFERROR(VLOOKUP(D865, Repository!A:E, 5, 0), ""), "")</f>
        <v/>
      </c>
      <c r="M865" s="105"/>
      <c r="N865" s="105" t="str">
        <f>IF(F865=True, IFERROR(VLOOKUP(D865, Repository!A:G, 7, 0), ""), "")</f>
        <v/>
      </c>
      <c r="O865" s="105" t="str">
        <f>IFERROR(__xludf.DUMMYFUNCTION("ARRAY_CONSTRAIN(
  ARRAYFORMULA(
    IFERROR(
      LET(
        list, N865,
        arr, TRIM(SPLIT(list, "","")),
        names, XLOOKUP(
          arr,
          'Conformance Score'!A:A,
          'Conformance Score'!B:B,
          ""Not found""
      "&amp;"  ),
        TEXTJOIN("", "", TRUE, names)
      ),
      """"
    )
  ),
  1,
  1
)
"),"")</f>
        <v/>
      </c>
      <c r="P865" s="105" t="str">
        <f>IF(F865="Yes", IFERROR(VLOOKUP(D865, Repository!A:F, 6, 0), ""), "")</f>
        <v/>
      </c>
      <c r="Q865" s="105" t="str">
        <f>IF(F865="Yes", IFERROR(VLOOKUP(D865, Repository!A:I, 8, 0), ""), "")</f>
        <v/>
      </c>
      <c r="R865" s="105" t="str">
        <f>IF(F865="Yes", IFERROR(VLOOKUP(D865, Repository!A:J, 9, 0), ""), "")</f>
        <v/>
      </c>
      <c r="S865" s="105"/>
      <c r="T865" s="105"/>
      <c r="U865" s="105"/>
      <c r="V865" s="105"/>
      <c r="W865" s="105"/>
      <c r="X865" s="105"/>
      <c r="Y865" s="105"/>
      <c r="Z865" s="105"/>
      <c r="AA865" s="105"/>
      <c r="AB865" s="105"/>
      <c r="AC865" s="91"/>
      <c r="AD865" s="105"/>
      <c r="AE865" s="105"/>
      <c r="AF865" s="91"/>
      <c r="AG865" s="105"/>
      <c r="AH865" s="105"/>
      <c r="AI865" s="105" t="str">
        <f t="shared" si="1"/>
        <v/>
      </c>
      <c r="AJ865" s="108" t="str">
        <f t="shared" si="2"/>
        <v/>
      </c>
    </row>
    <row r="866" ht="15.75" customHeight="1">
      <c r="A866" s="104"/>
      <c r="B866" s="105" t="str">
        <f>IFERROR(__xludf.DUMMYFUNCTION("ARRAY_CONSTRAIN(
  ARRAYFORMULA(
    IF(
      'Final Report'!A866="""",
      """",
      TEXTJOIN(
        "", "" &amp; CHAR(10),
        TRUE,
        IFERROR(
          VLOOKUP(
            TRIM(
              SPLIT('Final Report'!A866, "","")
           "&amp;" ),
            'URL Details'!A:B,
            2,
            FALSE
          ),
          """"
        )
      )
    )
  ),
  1,
  1
)
"),"")</f>
        <v/>
      </c>
      <c r="C866" s="105" t="str">
        <f>IFERROR(__xludf.DUMMYFUNCTION("IFERROR(IF('Final Report'!A866="""","""", TEXTJOIN(CHAR(10), TRUE, ARRAYFORMULA( ""• ""&amp; FILTER( TRIM(FLATTEN(SPLIT( REGEXREPLACE( SUBSTITUTE(TEXTJOIN("","", TRUE, IFERROR(ARRAYFORMULA(VLOOKUP(TRIM(SPLIT('Final Report'!A866, "","")), 'URL Details'!A:D, 4,"&amp;" FALSE)),"""") ), CHAR(10), "",""), ""\s*,\s*"", "",""), "",""))), TRIM(FLATTEN(SPLIT( REGEXREPLACE( SUBSTITUTE(TEXTJOIN("","", TRUE, IFERROR(ARRAYFORMULA(VLOOKUP(TRIM(SPLIT('Final Report'!A866, "","")), 'URL Details'!A:D, 4, FALSE)),"""") ), CHAR(10), """&amp;",""), ""\s*,\s*"", "",""), "","")))&lt;&gt;"""" ) ) ) ),"""")
"),"")</f>
        <v/>
      </c>
      <c r="D866" s="105"/>
      <c r="E866" s="105"/>
      <c r="F866" s="110" t="b">
        <v>0</v>
      </c>
      <c r="G866" s="105" t="str">
        <f>IF(F866=True, IFERROR(VLOOKUP(D866, Repository!A:B, 2, 0), ""), "")</f>
        <v/>
      </c>
      <c r="H866" s="105"/>
      <c r="I866" s="105"/>
      <c r="J866" s="105" t="str">
        <f>IF(F866=True, IFERROR(VLOOKUP(D866, Repository!A:C, 3, 0), ""), "")</f>
        <v/>
      </c>
      <c r="K866" s="105"/>
      <c r="L866" s="105" t="str">
        <f>IF(F866=True, IFERROR(VLOOKUP(D866, Repository!A:E, 5, 0), ""), "")</f>
        <v/>
      </c>
      <c r="M866" s="105"/>
      <c r="N866" s="105" t="str">
        <f>IF(F866=True, IFERROR(VLOOKUP(D866, Repository!A:G, 7, 0), ""), "")</f>
        <v/>
      </c>
      <c r="O866" s="105" t="str">
        <f>IFERROR(__xludf.DUMMYFUNCTION("ARRAY_CONSTRAIN(
  ARRAYFORMULA(
    IFERROR(
      LET(
        list, N866,
        arr, TRIM(SPLIT(list, "","")),
        names, XLOOKUP(
          arr,
          'Conformance Score'!A:A,
          'Conformance Score'!B:B,
          ""Not found""
      "&amp;"  ),
        TEXTJOIN("", "", TRUE, names)
      ),
      """"
    )
  ),
  1,
  1
)
"),"")</f>
        <v/>
      </c>
      <c r="P866" s="105" t="str">
        <f>IF(F866="Yes", IFERROR(VLOOKUP(D866, Repository!A:F, 6, 0), ""), "")</f>
        <v/>
      </c>
      <c r="Q866" s="105" t="str">
        <f>IF(F866="Yes", IFERROR(VLOOKUP(D866, Repository!A:I, 8, 0), ""), "")</f>
        <v/>
      </c>
      <c r="R866" s="105" t="str">
        <f>IF(F866="Yes", IFERROR(VLOOKUP(D866, Repository!A:J, 9, 0), ""), "")</f>
        <v/>
      </c>
      <c r="S866" s="105"/>
      <c r="T866" s="105"/>
      <c r="U866" s="105"/>
      <c r="V866" s="105"/>
      <c r="W866" s="105"/>
      <c r="X866" s="105"/>
      <c r="Y866" s="105"/>
      <c r="Z866" s="105"/>
      <c r="AA866" s="105"/>
      <c r="AB866" s="105"/>
      <c r="AC866" s="91"/>
      <c r="AD866" s="105"/>
      <c r="AE866" s="105"/>
      <c r="AF866" s="91"/>
      <c r="AG866" s="105"/>
      <c r="AH866" s="105"/>
      <c r="AI866" s="105" t="str">
        <f t="shared" si="1"/>
        <v/>
      </c>
      <c r="AJ866" s="108" t="str">
        <f t="shared" si="2"/>
        <v/>
      </c>
    </row>
    <row r="867" ht="15.75" customHeight="1">
      <c r="A867" s="104"/>
      <c r="B867" s="105" t="str">
        <f>IFERROR(__xludf.DUMMYFUNCTION("ARRAY_CONSTRAIN(
  ARRAYFORMULA(
    IF(
      'Final Report'!A867="""",
      """",
      TEXTJOIN(
        "", "" &amp; CHAR(10),
        TRUE,
        IFERROR(
          VLOOKUP(
            TRIM(
              SPLIT('Final Report'!A867, "","")
           "&amp;" ),
            'URL Details'!A:B,
            2,
            FALSE
          ),
          """"
        )
      )
    )
  ),
  1,
  1
)
"),"")</f>
        <v/>
      </c>
      <c r="C867" s="105" t="str">
        <f>IFERROR(__xludf.DUMMYFUNCTION("IFERROR(IF('Final Report'!A867="""","""", TEXTJOIN(CHAR(10), TRUE, ARRAYFORMULA( ""• ""&amp; FILTER( TRIM(FLATTEN(SPLIT( REGEXREPLACE( SUBSTITUTE(TEXTJOIN("","", TRUE, IFERROR(ARRAYFORMULA(VLOOKUP(TRIM(SPLIT('Final Report'!A867, "","")), 'URL Details'!A:D, 4,"&amp;" FALSE)),"""") ), CHAR(10), "",""), ""\s*,\s*"", "",""), "",""))), TRIM(FLATTEN(SPLIT( REGEXREPLACE( SUBSTITUTE(TEXTJOIN("","", TRUE, IFERROR(ARRAYFORMULA(VLOOKUP(TRIM(SPLIT('Final Report'!A867, "","")), 'URL Details'!A:D, 4, FALSE)),"""") ), CHAR(10), """&amp;",""), ""\s*,\s*"", "",""), "","")))&lt;&gt;"""" ) ) ) ),"""")
"),"")</f>
        <v/>
      </c>
      <c r="D867" s="105"/>
      <c r="E867" s="105"/>
      <c r="F867" s="110" t="b">
        <v>0</v>
      </c>
      <c r="G867" s="105" t="str">
        <f>IF(F867=True, IFERROR(VLOOKUP(D867, Repository!A:B, 2, 0), ""), "")</f>
        <v/>
      </c>
      <c r="H867" s="105"/>
      <c r="I867" s="105"/>
      <c r="J867" s="105" t="str">
        <f>IF(F867=True, IFERROR(VLOOKUP(D867, Repository!A:C, 3, 0), ""), "")</f>
        <v/>
      </c>
      <c r="K867" s="105"/>
      <c r="L867" s="105" t="str">
        <f>IF(F867=True, IFERROR(VLOOKUP(D867, Repository!A:E, 5, 0), ""), "")</f>
        <v/>
      </c>
      <c r="M867" s="105"/>
      <c r="N867" s="105" t="str">
        <f>IF(F867=True, IFERROR(VLOOKUP(D867, Repository!A:G, 7, 0), ""), "")</f>
        <v/>
      </c>
      <c r="O867" s="105" t="str">
        <f>IFERROR(__xludf.DUMMYFUNCTION("ARRAY_CONSTRAIN(
  ARRAYFORMULA(
    IFERROR(
      LET(
        list, N867,
        arr, TRIM(SPLIT(list, "","")),
        names, XLOOKUP(
          arr,
          'Conformance Score'!A:A,
          'Conformance Score'!B:B,
          ""Not found""
      "&amp;"  ),
        TEXTJOIN("", "", TRUE, names)
      ),
      """"
    )
  ),
  1,
  1
)
"),"")</f>
        <v/>
      </c>
      <c r="P867" s="105" t="str">
        <f>IF(F867="Yes", IFERROR(VLOOKUP(D867, Repository!A:F, 6, 0), ""), "")</f>
        <v/>
      </c>
      <c r="Q867" s="105" t="str">
        <f>IF(F867="Yes", IFERROR(VLOOKUP(D867, Repository!A:I, 8, 0), ""), "")</f>
        <v/>
      </c>
      <c r="R867" s="105" t="str">
        <f>IF(F867="Yes", IFERROR(VLOOKUP(D867, Repository!A:J, 9, 0), ""), "")</f>
        <v/>
      </c>
      <c r="S867" s="105"/>
      <c r="T867" s="105"/>
      <c r="U867" s="105"/>
      <c r="V867" s="105"/>
      <c r="W867" s="105"/>
      <c r="X867" s="105"/>
      <c r="Y867" s="105"/>
      <c r="Z867" s="105"/>
      <c r="AA867" s="105"/>
      <c r="AB867" s="105"/>
      <c r="AC867" s="91"/>
      <c r="AD867" s="105"/>
      <c r="AE867" s="105"/>
      <c r="AF867" s="91"/>
      <c r="AG867" s="105"/>
      <c r="AH867" s="105"/>
      <c r="AI867" s="105" t="str">
        <f t="shared" si="1"/>
        <v/>
      </c>
      <c r="AJ867" s="108" t="str">
        <f t="shared" si="2"/>
        <v/>
      </c>
    </row>
    <row r="868" ht="15.75" customHeight="1">
      <c r="A868" s="104"/>
      <c r="B868" s="105" t="str">
        <f>IFERROR(__xludf.DUMMYFUNCTION("ARRAY_CONSTRAIN(
  ARRAYFORMULA(
    IF(
      'Final Report'!A868="""",
      """",
      TEXTJOIN(
        "", "" &amp; CHAR(10),
        TRUE,
        IFERROR(
          VLOOKUP(
            TRIM(
              SPLIT('Final Report'!A868, "","")
           "&amp;" ),
            'URL Details'!A:B,
            2,
            FALSE
          ),
          """"
        )
      )
    )
  ),
  1,
  1
)
"),"")</f>
        <v/>
      </c>
      <c r="C868" s="105" t="str">
        <f>IFERROR(__xludf.DUMMYFUNCTION("IFERROR(IF('Final Report'!A868="""","""", TEXTJOIN(CHAR(10), TRUE, ARRAYFORMULA( ""• ""&amp; FILTER( TRIM(FLATTEN(SPLIT( REGEXREPLACE( SUBSTITUTE(TEXTJOIN("","", TRUE, IFERROR(ARRAYFORMULA(VLOOKUP(TRIM(SPLIT('Final Report'!A868, "","")), 'URL Details'!A:D, 4,"&amp;" FALSE)),"""") ), CHAR(10), "",""), ""\s*,\s*"", "",""), "",""))), TRIM(FLATTEN(SPLIT( REGEXREPLACE( SUBSTITUTE(TEXTJOIN("","", TRUE, IFERROR(ARRAYFORMULA(VLOOKUP(TRIM(SPLIT('Final Report'!A868, "","")), 'URL Details'!A:D, 4, FALSE)),"""") ), CHAR(10), """&amp;",""), ""\s*,\s*"", "",""), "","")))&lt;&gt;"""" ) ) ) ),"""")
"),"")</f>
        <v/>
      </c>
      <c r="D868" s="105"/>
      <c r="E868" s="105"/>
      <c r="F868" s="110" t="b">
        <v>0</v>
      </c>
      <c r="G868" s="105" t="str">
        <f>IF(F868=True, IFERROR(VLOOKUP(D868, Repository!A:B, 2, 0), ""), "")</f>
        <v/>
      </c>
      <c r="H868" s="105"/>
      <c r="I868" s="105"/>
      <c r="J868" s="105" t="str">
        <f>IF(F868=True, IFERROR(VLOOKUP(D868, Repository!A:C, 3, 0), ""), "")</f>
        <v/>
      </c>
      <c r="K868" s="105"/>
      <c r="L868" s="105" t="str">
        <f>IF(F868=True, IFERROR(VLOOKUP(D868, Repository!A:E, 5, 0), ""), "")</f>
        <v/>
      </c>
      <c r="M868" s="105"/>
      <c r="N868" s="105" t="str">
        <f>IF(F868=True, IFERROR(VLOOKUP(D868, Repository!A:G, 7, 0), ""), "")</f>
        <v/>
      </c>
      <c r="O868" s="105" t="str">
        <f>IFERROR(__xludf.DUMMYFUNCTION("ARRAY_CONSTRAIN(
  ARRAYFORMULA(
    IFERROR(
      LET(
        list, N868,
        arr, TRIM(SPLIT(list, "","")),
        names, XLOOKUP(
          arr,
          'Conformance Score'!A:A,
          'Conformance Score'!B:B,
          ""Not found""
      "&amp;"  ),
        TEXTJOIN("", "", TRUE, names)
      ),
      """"
    )
  ),
  1,
  1
)
"),"")</f>
        <v/>
      </c>
      <c r="P868" s="105" t="str">
        <f>IF(F868="Yes", IFERROR(VLOOKUP(D868, Repository!A:F, 6, 0), ""), "")</f>
        <v/>
      </c>
      <c r="Q868" s="105" t="str">
        <f>IF(F868="Yes", IFERROR(VLOOKUP(D868, Repository!A:I, 8, 0), ""), "")</f>
        <v/>
      </c>
      <c r="R868" s="105" t="str">
        <f>IF(F868="Yes", IFERROR(VLOOKUP(D868, Repository!A:J, 9, 0), ""), "")</f>
        <v/>
      </c>
      <c r="S868" s="105"/>
      <c r="T868" s="105"/>
      <c r="U868" s="105"/>
      <c r="V868" s="105"/>
      <c r="W868" s="105"/>
      <c r="X868" s="105"/>
      <c r="Y868" s="105"/>
      <c r="Z868" s="105"/>
      <c r="AA868" s="105"/>
      <c r="AB868" s="105"/>
      <c r="AC868" s="91"/>
      <c r="AD868" s="105"/>
      <c r="AE868" s="105"/>
      <c r="AF868" s="91"/>
      <c r="AG868" s="105"/>
      <c r="AH868" s="105"/>
      <c r="AI868" s="105" t="str">
        <f t="shared" si="1"/>
        <v/>
      </c>
      <c r="AJ868" s="108" t="str">
        <f t="shared" si="2"/>
        <v/>
      </c>
    </row>
    <row r="869" ht="15.75" customHeight="1">
      <c r="A869" s="104"/>
      <c r="B869" s="105" t="str">
        <f>IFERROR(__xludf.DUMMYFUNCTION("ARRAY_CONSTRAIN(
  ARRAYFORMULA(
    IF(
      'Final Report'!A869="""",
      """",
      TEXTJOIN(
        "", "" &amp; CHAR(10),
        TRUE,
        IFERROR(
          VLOOKUP(
            TRIM(
              SPLIT('Final Report'!A869, "","")
           "&amp;" ),
            'URL Details'!A:B,
            2,
            FALSE
          ),
          """"
        )
      )
    )
  ),
  1,
  1
)
"),"")</f>
        <v/>
      </c>
      <c r="C869" s="105" t="str">
        <f>IFERROR(__xludf.DUMMYFUNCTION("IFERROR(IF('Final Report'!A869="""","""", TEXTJOIN(CHAR(10), TRUE, ARRAYFORMULA( ""• ""&amp; FILTER( TRIM(FLATTEN(SPLIT( REGEXREPLACE( SUBSTITUTE(TEXTJOIN("","", TRUE, IFERROR(ARRAYFORMULA(VLOOKUP(TRIM(SPLIT('Final Report'!A869, "","")), 'URL Details'!A:D, 4,"&amp;" FALSE)),"""") ), CHAR(10), "",""), ""\s*,\s*"", "",""), "",""))), TRIM(FLATTEN(SPLIT( REGEXREPLACE( SUBSTITUTE(TEXTJOIN("","", TRUE, IFERROR(ARRAYFORMULA(VLOOKUP(TRIM(SPLIT('Final Report'!A869, "","")), 'URL Details'!A:D, 4, FALSE)),"""") ), CHAR(10), """&amp;",""), ""\s*,\s*"", "",""), "","")))&lt;&gt;"""" ) ) ) ),"""")
"),"")</f>
        <v/>
      </c>
      <c r="D869" s="105"/>
      <c r="E869" s="105"/>
      <c r="F869" s="110" t="b">
        <v>0</v>
      </c>
      <c r="G869" s="105" t="str">
        <f>IF(F869=True, IFERROR(VLOOKUP(D869, Repository!A:B, 2, 0), ""), "")</f>
        <v/>
      </c>
      <c r="H869" s="105"/>
      <c r="I869" s="105"/>
      <c r="J869" s="105" t="str">
        <f>IF(F869=True, IFERROR(VLOOKUP(D869, Repository!A:C, 3, 0), ""), "")</f>
        <v/>
      </c>
      <c r="K869" s="105"/>
      <c r="L869" s="105" t="str">
        <f>IF(F869=True, IFERROR(VLOOKUP(D869, Repository!A:E, 5, 0), ""), "")</f>
        <v/>
      </c>
      <c r="M869" s="105"/>
      <c r="N869" s="105" t="str">
        <f>IF(F869=True, IFERROR(VLOOKUP(D869, Repository!A:G, 7, 0), ""), "")</f>
        <v/>
      </c>
      <c r="O869" s="105" t="str">
        <f>IFERROR(__xludf.DUMMYFUNCTION("ARRAY_CONSTRAIN(
  ARRAYFORMULA(
    IFERROR(
      LET(
        list, N869,
        arr, TRIM(SPLIT(list, "","")),
        names, XLOOKUP(
          arr,
          'Conformance Score'!A:A,
          'Conformance Score'!B:B,
          ""Not found""
      "&amp;"  ),
        TEXTJOIN("", "", TRUE, names)
      ),
      """"
    )
  ),
  1,
  1
)
"),"")</f>
        <v/>
      </c>
      <c r="P869" s="105" t="str">
        <f>IF(F869="Yes", IFERROR(VLOOKUP(D869, Repository!A:F, 6, 0), ""), "")</f>
        <v/>
      </c>
      <c r="Q869" s="105" t="str">
        <f>IF(F869="Yes", IFERROR(VLOOKUP(D869, Repository!A:I, 8, 0), ""), "")</f>
        <v/>
      </c>
      <c r="R869" s="105" t="str">
        <f>IF(F869="Yes", IFERROR(VLOOKUP(D869, Repository!A:J, 9, 0), ""), "")</f>
        <v/>
      </c>
      <c r="S869" s="105"/>
      <c r="T869" s="105"/>
      <c r="U869" s="105"/>
      <c r="V869" s="105"/>
      <c r="W869" s="105"/>
      <c r="X869" s="105"/>
      <c r="Y869" s="105"/>
      <c r="Z869" s="105"/>
      <c r="AA869" s="105"/>
      <c r="AB869" s="105"/>
      <c r="AC869" s="91"/>
      <c r="AD869" s="105"/>
      <c r="AE869" s="105"/>
      <c r="AF869" s="91"/>
      <c r="AG869" s="105"/>
      <c r="AH869" s="105"/>
      <c r="AI869" s="105" t="str">
        <f t="shared" si="1"/>
        <v/>
      </c>
      <c r="AJ869" s="108" t="str">
        <f t="shared" si="2"/>
        <v/>
      </c>
    </row>
    <row r="870" ht="15.75" customHeight="1">
      <c r="A870" s="104"/>
      <c r="B870" s="105" t="str">
        <f>IFERROR(__xludf.DUMMYFUNCTION("ARRAY_CONSTRAIN(
  ARRAYFORMULA(
    IF(
      'Final Report'!A870="""",
      """",
      TEXTJOIN(
        "", "" &amp; CHAR(10),
        TRUE,
        IFERROR(
          VLOOKUP(
            TRIM(
              SPLIT('Final Report'!A870, "","")
           "&amp;" ),
            'URL Details'!A:B,
            2,
            FALSE
          ),
          """"
        )
      )
    )
  ),
  1,
  1
)
"),"")</f>
        <v/>
      </c>
      <c r="C870" s="105" t="str">
        <f>IFERROR(__xludf.DUMMYFUNCTION("IFERROR(IF('Final Report'!A870="""","""", TEXTJOIN(CHAR(10), TRUE, ARRAYFORMULA( ""• ""&amp; FILTER( TRIM(FLATTEN(SPLIT( REGEXREPLACE( SUBSTITUTE(TEXTJOIN("","", TRUE, IFERROR(ARRAYFORMULA(VLOOKUP(TRIM(SPLIT('Final Report'!A870, "","")), 'URL Details'!A:D, 4,"&amp;" FALSE)),"""") ), CHAR(10), "",""), ""\s*,\s*"", "",""), "",""))), TRIM(FLATTEN(SPLIT( REGEXREPLACE( SUBSTITUTE(TEXTJOIN("","", TRUE, IFERROR(ARRAYFORMULA(VLOOKUP(TRIM(SPLIT('Final Report'!A870, "","")), 'URL Details'!A:D, 4, FALSE)),"""") ), CHAR(10), """&amp;",""), ""\s*,\s*"", "",""), "","")))&lt;&gt;"""" ) ) ) ),"""")
"),"")</f>
        <v/>
      </c>
      <c r="D870" s="105"/>
      <c r="E870" s="105"/>
      <c r="F870" s="110" t="b">
        <v>0</v>
      </c>
      <c r="G870" s="105" t="str">
        <f>IF(F870=True, IFERROR(VLOOKUP(D870, Repository!A:B, 2, 0), ""), "")</f>
        <v/>
      </c>
      <c r="H870" s="105"/>
      <c r="I870" s="105"/>
      <c r="J870" s="105" t="str">
        <f>IF(F870=True, IFERROR(VLOOKUP(D870, Repository!A:C, 3, 0), ""), "")</f>
        <v/>
      </c>
      <c r="K870" s="105"/>
      <c r="L870" s="105" t="str">
        <f>IF(F870=True, IFERROR(VLOOKUP(D870, Repository!A:E, 5, 0), ""), "")</f>
        <v/>
      </c>
      <c r="M870" s="105"/>
      <c r="N870" s="105" t="str">
        <f>IF(F870=True, IFERROR(VLOOKUP(D870, Repository!A:G, 7, 0), ""), "")</f>
        <v/>
      </c>
      <c r="O870" s="105" t="str">
        <f>IFERROR(__xludf.DUMMYFUNCTION("ARRAY_CONSTRAIN(
  ARRAYFORMULA(
    IFERROR(
      LET(
        list, N870,
        arr, TRIM(SPLIT(list, "","")),
        names, XLOOKUP(
          arr,
          'Conformance Score'!A:A,
          'Conformance Score'!B:B,
          ""Not found""
      "&amp;"  ),
        TEXTJOIN("", "", TRUE, names)
      ),
      """"
    )
  ),
  1,
  1
)
"),"")</f>
        <v/>
      </c>
      <c r="P870" s="105" t="str">
        <f>IF(F870="Yes", IFERROR(VLOOKUP(D870, Repository!A:F, 6, 0), ""), "")</f>
        <v/>
      </c>
      <c r="Q870" s="105" t="str">
        <f>IF(F870="Yes", IFERROR(VLOOKUP(D870, Repository!A:I, 8, 0), ""), "")</f>
        <v/>
      </c>
      <c r="R870" s="105" t="str">
        <f>IF(F870="Yes", IFERROR(VLOOKUP(D870, Repository!A:J, 9, 0), ""), "")</f>
        <v/>
      </c>
      <c r="S870" s="105"/>
      <c r="T870" s="105"/>
      <c r="U870" s="105"/>
      <c r="V870" s="105"/>
      <c r="W870" s="105"/>
      <c r="X870" s="105"/>
      <c r="Y870" s="105"/>
      <c r="Z870" s="105"/>
      <c r="AA870" s="105"/>
      <c r="AB870" s="105"/>
      <c r="AC870" s="91"/>
      <c r="AD870" s="105"/>
      <c r="AE870" s="105"/>
      <c r="AF870" s="91"/>
      <c r="AG870" s="105"/>
      <c r="AH870" s="105"/>
      <c r="AI870" s="105" t="str">
        <f t="shared" si="1"/>
        <v/>
      </c>
      <c r="AJ870" s="108" t="str">
        <f t="shared" si="2"/>
        <v/>
      </c>
    </row>
    <row r="871" ht="15.75" customHeight="1">
      <c r="A871" s="104"/>
      <c r="B871" s="105" t="str">
        <f>IFERROR(__xludf.DUMMYFUNCTION("ARRAY_CONSTRAIN(
  ARRAYFORMULA(
    IF(
      'Final Report'!A871="""",
      """",
      TEXTJOIN(
        "", "" &amp; CHAR(10),
        TRUE,
        IFERROR(
          VLOOKUP(
            TRIM(
              SPLIT('Final Report'!A871, "","")
           "&amp;" ),
            'URL Details'!A:B,
            2,
            FALSE
          ),
          """"
        )
      )
    )
  ),
  1,
  1
)
"),"")</f>
        <v/>
      </c>
      <c r="C871" s="105" t="str">
        <f>IFERROR(__xludf.DUMMYFUNCTION("IFERROR(IF('Final Report'!A871="""","""", TEXTJOIN(CHAR(10), TRUE, ARRAYFORMULA( ""• ""&amp; FILTER( TRIM(FLATTEN(SPLIT( REGEXREPLACE( SUBSTITUTE(TEXTJOIN("","", TRUE, IFERROR(ARRAYFORMULA(VLOOKUP(TRIM(SPLIT('Final Report'!A871, "","")), 'URL Details'!A:D, 4,"&amp;" FALSE)),"""") ), CHAR(10), "",""), ""\s*,\s*"", "",""), "",""))), TRIM(FLATTEN(SPLIT( REGEXREPLACE( SUBSTITUTE(TEXTJOIN("","", TRUE, IFERROR(ARRAYFORMULA(VLOOKUP(TRIM(SPLIT('Final Report'!A871, "","")), 'URL Details'!A:D, 4, FALSE)),"""") ), CHAR(10), """&amp;",""), ""\s*,\s*"", "",""), "","")))&lt;&gt;"""" ) ) ) ),"""")
"),"")</f>
        <v/>
      </c>
      <c r="D871" s="105"/>
      <c r="E871" s="105"/>
      <c r="F871" s="110" t="b">
        <v>0</v>
      </c>
      <c r="G871" s="105" t="str">
        <f>IF(F871=True, IFERROR(VLOOKUP(D871, Repository!A:B, 2, 0), ""), "")</f>
        <v/>
      </c>
      <c r="H871" s="105"/>
      <c r="I871" s="105"/>
      <c r="J871" s="105" t="str">
        <f>IF(F871=True, IFERROR(VLOOKUP(D871, Repository!A:C, 3, 0), ""), "")</f>
        <v/>
      </c>
      <c r="K871" s="105"/>
      <c r="L871" s="105" t="str">
        <f>IF(F871=True, IFERROR(VLOOKUP(D871, Repository!A:E, 5, 0), ""), "")</f>
        <v/>
      </c>
      <c r="M871" s="105"/>
      <c r="N871" s="105" t="str">
        <f>IF(F871=True, IFERROR(VLOOKUP(D871, Repository!A:G, 7, 0), ""), "")</f>
        <v/>
      </c>
      <c r="O871" s="105" t="str">
        <f>IFERROR(__xludf.DUMMYFUNCTION("ARRAY_CONSTRAIN(
  ARRAYFORMULA(
    IFERROR(
      LET(
        list, N871,
        arr, TRIM(SPLIT(list, "","")),
        names, XLOOKUP(
          arr,
          'Conformance Score'!A:A,
          'Conformance Score'!B:B,
          ""Not found""
      "&amp;"  ),
        TEXTJOIN("", "", TRUE, names)
      ),
      """"
    )
  ),
  1,
  1
)
"),"")</f>
        <v/>
      </c>
      <c r="P871" s="105" t="str">
        <f>IF(F871="Yes", IFERROR(VLOOKUP(D871, Repository!A:F, 6, 0), ""), "")</f>
        <v/>
      </c>
      <c r="Q871" s="105" t="str">
        <f>IF(F871="Yes", IFERROR(VLOOKUP(D871, Repository!A:I, 8, 0), ""), "")</f>
        <v/>
      </c>
      <c r="R871" s="105" t="str">
        <f>IF(F871="Yes", IFERROR(VLOOKUP(D871, Repository!A:J, 9, 0), ""), "")</f>
        <v/>
      </c>
      <c r="S871" s="105"/>
      <c r="T871" s="105"/>
      <c r="U871" s="105"/>
      <c r="V871" s="105"/>
      <c r="W871" s="105"/>
      <c r="X871" s="105"/>
      <c r="Y871" s="105"/>
      <c r="Z871" s="105"/>
      <c r="AA871" s="105"/>
      <c r="AB871" s="105"/>
      <c r="AC871" s="91"/>
      <c r="AD871" s="105"/>
      <c r="AE871" s="105"/>
      <c r="AF871" s="91"/>
      <c r="AG871" s="105"/>
      <c r="AH871" s="105"/>
      <c r="AI871" s="105" t="str">
        <f t="shared" si="1"/>
        <v/>
      </c>
      <c r="AJ871" s="108" t="str">
        <f t="shared" si="2"/>
        <v/>
      </c>
    </row>
    <row r="872" ht="15.75" customHeight="1">
      <c r="A872" s="104"/>
      <c r="B872" s="105" t="str">
        <f>IFERROR(__xludf.DUMMYFUNCTION("ARRAY_CONSTRAIN(
  ARRAYFORMULA(
    IF(
      'Final Report'!A872="""",
      """",
      TEXTJOIN(
        "", "" &amp; CHAR(10),
        TRUE,
        IFERROR(
          VLOOKUP(
            TRIM(
              SPLIT('Final Report'!A872, "","")
           "&amp;" ),
            'URL Details'!A:B,
            2,
            FALSE
          ),
          """"
        )
      )
    )
  ),
  1,
  1
)
"),"")</f>
        <v/>
      </c>
      <c r="C872" s="105" t="str">
        <f>IFERROR(__xludf.DUMMYFUNCTION("IFERROR(IF('Final Report'!A872="""","""", TEXTJOIN(CHAR(10), TRUE, ARRAYFORMULA( ""• ""&amp; FILTER( TRIM(FLATTEN(SPLIT( REGEXREPLACE( SUBSTITUTE(TEXTJOIN("","", TRUE, IFERROR(ARRAYFORMULA(VLOOKUP(TRIM(SPLIT('Final Report'!A872, "","")), 'URL Details'!A:D, 4,"&amp;" FALSE)),"""") ), CHAR(10), "",""), ""\s*,\s*"", "",""), "",""))), TRIM(FLATTEN(SPLIT( REGEXREPLACE( SUBSTITUTE(TEXTJOIN("","", TRUE, IFERROR(ARRAYFORMULA(VLOOKUP(TRIM(SPLIT('Final Report'!A872, "","")), 'URL Details'!A:D, 4, FALSE)),"""") ), CHAR(10), """&amp;",""), ""\s*,\s*"", "",""), "","")))&lt;&gt;"""" ) ) ) ),"""")
"),"")</f>
        <v/>
      </c>
      <c r="D872" s="105"/>
      <c r="E872" s="105"/>
      <c r="F872" s="110" t="b">
        <v>0</v>
      </c>
      <c r="G872" s="105" t="str">
        <f>IF(F872=True, IFERROR(VLOOKUP(D872, Repository!A:B, 2, 0), ""), "")</f>
        <v/>
      </c>
      <c r="H872" s="105"/>
      <c r="I872" s="105"/>
      <c r="J872" s="105" t="str">
        <f>IF(F872=True, IFERROR(VLOOKUP(D872, Repository!A:C, 3, 0), ""), "")</f>
        <v/>
      </c>
      <c r="K872" s="105"/>
      <c r="L872" s="105" t="str">
        <f>IF(F872=True, IFERROR(VLOOKUP(D872, Repository!A:E, 5, 0), ""), "")</f>
        <v/>
      </c>
      <c r="M872" s="105"/>
      <c r="N872" s="105" t="str">
        <f>IF(F872=True, IFERROR(VLOOKUP(D872, Repository!A:G, 7, 0), ""), "")</f>
        <v/>
      </c>
      <c r="O872" s="105" t="str">
        <f>IFERROR(__xludf.DUMMYFUNCTION("ARRAY_CONSTRAIN(
  ARRAYFORMULA(
    IFERROR(
      LET(
        list, N872,
        arr, TRIM(SPLIT(list, "","")),
        names, XLOOKUP(
          arr,
          'Conformance Score'!A:A,
          'Conformance Score'!B:B,
          ""Not found""
      "&amp;"  ),
        TEXTJOIN("", "", TRUE, names)
      ),
      """"
    )
  ),
  1,
  1
)
"),"")</f>
        <v/>
      </c>
      <c r="P872" s="105" t="str">
        <f>IF(F872="Yes", IFERROR(VLOOKUP(D872, Repository!A:F, 6, 0), ""), "")</f>
        <v/>
      </c>
      <c r="Q872" s="105" t="str">
        <f>IF(F872="Yes", IFERROR(VLOOKUP(D872, Repository!A:I, 8, 0), ""), "")</f>
        <v/>
      </c>
      <c r="R872" s="105" t="str">
        <f>IF(F872="Yes", IFERROR(VLOOKUP(D872, Repository!A:J, 9, 0), ""), "")</f>
        <v/>
      </c>
      <c r="S872" s="105"/>
      <c r="T872" s="105"/>
      <c r="U872" s="105"/>
      <c r="V872" s="105"/>
      <c r="W872" s="105"/>
      <c r="X872" s="105"/>
      <c r="Y872" s="105"/>
      <c r="Z872" s="105"/>
      <c r="AA872" s="105"/>
      <c r="AB872" s="105"/>
      <c r="AC872" s="91"/>
      <c r="AD872" s="105"/>
      <c r="AE872" s="105"/>
      <c r="AF872" s="91"/>
      <c r="AG872" s="105"/>
      <c r="AH872" s="105"/>
      <c r="AI872" s="105" t="str">
        <f t="shared" si="1"/>
        <v/>
      </c>
      <c r="AJ872" s="108" t="str">
        <f t="shared" si="2"/>
        <v/>
      </c>
    </row>
    <row r="873" ht="15.75" customHeight="1">
      <c r="A873" s="104"/>
      <c r="B873" s="105" t="str">
        <f>IFERROR(__xludf.DUMMYFUNCTION("ARRAY_CONSTRAIN(
  ARRAYFORMULA(
    IF(
      'Final Report'!A873="""",
      """",
      TEXTJOIN(
        "", "" &amp; CHAR(10),
        TRUE,
        IFERROR(
          VLOOKUP(
            TRIM(
              SPLIT('Final Report'!A873, "","")
           "&amp;" ),
            'URL Details'!A:B,
            2,
            FALSE
          ),
          """"
        )
      )
    )
  ),
  1,
  1
)
"),"")</f>
        <v/>
      </c>
      <c r="C873" s="105" t="str">
        <f>IFERROR(__xludf.DUMMYFUNCTION("IFERROR(IF('Final Report'!A873="""","""", TEXTJOIN(CHAR(10), TRUE, ARRAYFORMULA( ""• ""&amp; FILTER( TRIM(FLATTEN(SPLIT( REGEXREPLACE( SUBSTITUTE(TEXTJOIN("","", TRUE, IFERROR(ARRAYFORMULA(VLOOKUP(TRIM(SPLIT('Final Report'!A873, "","")), 'URL Details'!A:D, 4,"&amp;" FALSE)),"""") ), CHAR(10), "",""), ""\s*,\s*"", "",""), "",""))), TRIM(FLATTEN(SPLIT( REGEXREPLACE( SUBSTITUTE(TEXTJOIN("","", TRUE, IFERROR(ARRAYFORMULA(VLOOKUP(TRIM(SPLIT('Final Report'!A873, "","")), 'URL Details'!A:D, 4, FALSE)),"""") ), CHAR(10), """&amp;",""), ""\s*,\s*"", "",""), "","")))&lt;&gt;"""" ) ) ) ),"""")
"),"")</f>
        <v/>
      </c>
      <c r="D873" s="105"/>
      <c r="E873" s="105"/>
      <c r="F873" s="110" t="b">
        <v>0</v>
      </c>
      <c r="G873" s="105" t="str">
        <f>IF(F873=True, IFERROR(VLOOKUP(D873, Repository!A:B, 2, 0), ""), "")</f>
        <v/>
      </c>
      <c r="H873" s="105"/>
      <c r="I873" s="105"/>
      <c r="J873" s="105" t="str">
        <f>IF(F873=True, IFERROR(VLOOKUP(D873, Repository!A:C, 3, 0), ""), "")</f>
        <v/>
      </c>
      <c r="K873" s="105"/>
      <c r="L873" s="105" t="str">
        <f>IF(F873=True, IFERROR(VLOOKUP(D873, Repository!A:E, 5, 0), ""), "")</f>
        <v/>
      </c>
      <c r="M873" s="105"/>
      <c r="N873" s="105" t="str">
        <f>IF(F873=True, IFERROR(VLOOKUP(D873, Repository!A:G, 7, 0), ""), "")</f>
        <v/>
      </c>
      <c r="O873" s="105" t="str">
        <f>IFERROR(__xludf.DUMMYFUNCTION("ARRAY_CONSTRAIN(
  ARRAYFORMULA(
    IFERROR(
      LET(
        list, N873,
        arr, TRIM(SPLIT(list, "","")),
        names, XLOOKUP(
          arr,
          'Conformance Score'!A:A,
          'Conformance Score'!B:B,
          ""Not found""
      "&amp;"  ),
        TEXTJOIN("", "", TRUE, names)
      ),
      """"
    )
  ),
  1,
  1
)
"),"")</f>
        <v/>
      </c>
      <c r="P873" s="105" t="str">
        <f>IF(F873="Yes", IFERROR(VLOOKUP(D873, Repository!A:F, 6, 0), ""), "")</f>
        <v/>
      </c>
      <c r="Q873" s="105" t="str">
        <f>IF(F873="Yes", IFERROR(VLOOKUP(D873, Repository!A:I, 8, 0), ""), "")</f>
        <v/>
      </c>
      <c r="R873" s="105" t="str">
        <f>IF(F873="Yes", IFERROR(VLOOKUP(D873, Repository!A:J, 9, 0), ""), "")</f>
        <v/>
      </c>
      <c r="S873" s="105"/>
      <c r="T873" s="105"/>
      <c r="U873" s="105"/>
      <c r="V873" s="105"/>
      <c r="W873" s="105"/>
      <c r="X873" s="105"/>
      <c r="Y873" s="105"/>
      <c r="Z873" s="105"/>
      <c r="AA873" s="105"/>
      <c r="AB873" s="105"/>
      <c r="AC873" s="91"/>
      <c r="AD873" s="105"/>
      <c r="AE873" s="105"/>
      <c r="AF873" s="91"/>
      <c r="AG873" s="105"/>
      <c r="AH873" s="105"/>
      <c r="AI873" s="105" t="str">
        <f t="shared" si="1"/>
        <v/>
      </c>
      <c r="AJ873" s="108" t="str">
        <f t="shared" si="2"/>
        <v/>
      </c>
    </row>
    <row r="874" ht="15.75" customHeight="1">
      <c r="A874" s="104"/>
      <c r="B874" s="105" t="str">
        <f>IFERROR(__xludf.DUMMYFUNCTION("ARRAY_CONSTRAIN(
  ARRAYFORMULA(
    IF(
      'Final Report'!A874="""",
      """",
      TEXTJOIN(
        "", "" &amp; CHAR(10),
        TRUE,
        IFERROR(
          VLOOKUP(
            TRIM(
              SPLIT('Final Report'!A874, "","")
           "&amp;" ),
            'URL Details'!A:B,
            2,
            FALSE
          ),
          """"
        )
      )
    )
  ),
  1,
  1
)
"),"")</f>
        <v/>
      </c>
      <c r="C874" s="105" t="str">
        <f>IFERROR(__xludf.DUMMYFUNCTION("IFERROR(IF('Final Report'!A874="""","""", TEXTJOIN(CHAR(10), TRUE, ARRAYFORMULA( ""• ""&amp; FILTER( TRIM(FLATTEN(SPLIT( REGEXREPLACE( SUBSTITUTE(TEXTJOIN("","", TRUE, IFERROR(ARRAYFORMULA(VLOOKUP(TRIM(SPLIT('Final Report'!A874, "","")), 'URL Details'!A:D, 4,"&amp;" FALSE)),"""") ), CHAR(10), "",""), ""\s*,\s*"", "",""), "",""))), TRIM(FLATTEN(SPLIT( REGEXREPLACE( SUBSTITUTE(TEXTJOIN("","", TRUE, IFERROR(ARRAYFORMULA(VLOOKUP(TRIM(SPLIT('Final Report'!A874, "","")), 'URL Details'!A:D, 4, FALSE)),"""") ), CHAR(10), """&amp;",""), ""\s*,\s*"", "",""), "","")))&lt;&gt;"""" ) ) ) ),"""")
"),"")</f>
        <v/>
      </c>
      <c r="D874" s="105"/>
      <c r="E874" s="105"/>
      <c r="F874" s="110" t="b">
        <v>0</v>
      </c>
      <c r="G874" s="105" t="str">
        <f>IF(F874=True, IFERROR(VLOOKUP(D874, Repository!A:B, 2, 0), ""), "")</f>
        <v/>
      </c>
      <c r="H874" s="105"/>
      <c r="I874" s="105"/>
      <c r="J874" s="105" t="str">
        <f>IF(F874=True, IFERROR(VLOOKUP(D874, Repository!A:C, 3, 0), ""), "")</f>
        <v/>
      </c>
      <c r="K874" s="105"/>
      <c r="L874" s="105" t="str">
        <f>IF(F874=True, IFERROR(VLOOKUP(D874, Repository!A:E, 5, 0), ""), "")</f>
        <v/>
      </c>
      <c r="M874" s="105"/>
      <c r="N874" s="105" t="str">
        <f>IF(F874=True, IFERROR(VLOOKUP(D874, Repository!A:G, 7, 0), ""), "")</f>
        <v/>
      </c>
      <c r="O874" s="105" t="str">
        <f>IFERROR(__xludf.DUMMYFUNCTION("ARRAY_CONSTRAIN(
  ARRAYFORMULA(
    IFERROR(
      LET(
        list, N874,
        arr, TRIM(SPLIT(list, "","")),
        names, XLOOKUP(
          arr,
          'Conformance Score'!A:A,
          'Conformance Score'!B:B,
          ""Not found""
      "&amp;"  ),
        TEXTJOIN("", "", TRUE, names)
      ),
      """"
    )
  ),
  1,
  1
)
"),"")</f>
        <v/>
      </c>
      <c r="P874" s="105" t="str">
        <f>IF(F874="Yes", IFERROR(VLOOKUP(D874, Repository!A:F, 6, 0), ""), "")</f>
        <v/>
      </c>
      <c r="Q874" s="105" t="str">
        <f>IF(F874="Yes", IFERROR(VLOOKUP(D874, Repository!A:I, 8, 0), ""), "")</f>
        <v/>
      </c>
      <c r="R874" s="105" t="str">
        <f>IF(F874="Yes", IFERROR(VLOOKUP(D874, Repository!A:J, 9, 0), ""), "")</f>
        <v/>
      </c>
      <c r="S874" s="105"/>
      <c r="T874" s="105"/>
      <c r="U874" s="105"/>
      <c r="V874" s="105"/>
      <c r="W874" s="105"/>
      <c r="X874" s="105"/>
      <c r="Y874" s="105"/>
      <c r="Z874" s="105"/>
      <c r="AA874" s="105"/>
      <c r="AB874" s="105"/>
      <c r="AC874" s="91"/>
      <c r="AD874" s="105"/>
      <c r="AE874" s="105"/>
      <c r="AF874" s="91"/>
      <c r="AG874" s="105"/>
      <c r="AH874" s="105"/>
      <c r="AI874" s="105" t="str">
        <f t="shared" si="1"/>
        <v/>
      </c>
      <c r="AJ874" s="108" t="str">
        <f t="shared" si="2"/>
        <v/>
      </c>
    </row>
    <row r="875" ht="15.75" customHeight="1">
      <c r="A875" s="104"/>
      <c r="B875" s="105" t="str">
        <f>IFERROR(__xludf.DUMMYFUNCTION("ARRAY_CONSTRAIN(
  ARRAYFORMULA(
    IF(
      'Final Report'!A875="""",
      """",
      TEXTJOIN(
        "", "" &amp; CHAR(10),
        TRUE,
        IFERROR(
          VLOOKUP(
            TRIM(
              SPLIT('Final Report'!A875, "","")
           "&amp;" ),
            'URL Details'!A:B,
            2,
            FALSE
          ),
          """"
        )
      )
    )
  ),
  1,
  1
)
"),"")</f>
        <v/>
      </c>
      <c r="C875" s="105" t="str">
        <f>IFERROR(__xludf.DUMMYFUNCTION("IFERROR(IF('Final Report'!A875="""","""", TEXTJOIN(CHAR(10), TRUE, ARRAYFORMULA( ""• ""&amp; FILTER( TRIM(FLATTEN(SPLIT( REGEXREPLACE( SUBSTITUTE(TEXTJOIN("","", TRUE, IFERROR(ARRAYFORMULA(VLOOKUP(TRIM(SPLIT('Final Report'!A875, "","")), 'URL Details'!A:D, 4,"&amp;" FALSE)),"""") ), CHAR(10), "",""), ""\s*,\s*"", "",""), "",""))), TRIM(FLATTEN(SPLIT( REGEXREPLACE( SUBSTITUTE(TEXTJOIN("","", TRUE, IFERROR(ARRAYFORMULA(VLOOKUP(TRIM(SPLIT('Final Report'!A875, "","")), 'URL Details'!A:D, 4, FALSE)),"""") ), CHAR(10), """&amp;",""), ""\s*,\s*"", "",""), "","")))&lt;&gt;"""" ) ) ) ),"""")
"),"")</f>
        <v/>
      </c>
      <c r="D875" s="105"/>
      <c r="E875" s="105"/>
      <c r="F875" s="110" t="b">
        <v>0</v>
      </c>
      <c r="G875" s="105" t="str">
        <f>IF(F875=True, IFERROR(VLOOKUP(D875, Repository!A:B, 2, 0), ""), "")</f>
        <v/>
      </c>
      <c r="H875" s="105"/>
      <c r="I875" s="105"/>
      <c r="J875" s="105" t="str">
        <f>IF(F875=True, IFERROR(VLOOKUP(D875, Repository!A:C, 3, 0), ""), "")</f>
        <v/>
      </c>
      <c r="K875" s="105"/>
      <c r="L875" s="105" t="str">
        <f>IF(F875=True, IFERROR(VLOOKUP(D875, Repository!A:E, 5, 0), ""), "")</f>
        <v/>
      </c>
      <c r="M875" s="105"/>
      <c r="N875" s="105" t="str">
        <f>IF(F875=True, IFERROR(VLOOKUP(D875, Repository!A:G, 7, 0), ""), "")</f>
        <v/>
      </c>
      <c r="O875" s="105" t="str">
        <f>IFERROR(__xludf.DUMMYFUNCTION("ARRAY_CONSTRAIN(
  ARRAYFORMULA(
    IFERROR(
      LET(
        list, N875,
        arr, TRIM(SPLIT(list, "","")),
        names, XLOOKUP(
          arr,
          'Conformance Score'!A:A,
          'Conformance Score'!B:B,
          ""Not found""
      "&amp;"  ),
        TEXTJOIN("", "", TRUE, names)
      ),
      """"
    )
  ),
  1,
  1
)
"),"")</f>
        <v/>
      </c>
      <c r="P875" s="105" t="str">
        <f>IF(F875="Yes", IFERROR(VLOOKUP(D875, Repository!A:F, 6, 0), ""), "")</f>
        <v/>
      </c>
      <c r="Q875" s="105" t="str">
        <f>IF(F875="Yes", IFERROR(VLOOKUP(D875, Repository!A:I, 8, 0), ""), "")</f>
        <v/>
      </c>
      <c r="R875" s="105" t="str">
        <f>IF(F875="Yes", IFERROR(VLOOKUP(D875, Repository!A:J, 9, 0), ""), "")</f>
        <v/>
      </c>
      <c r="S875" s="105"/>
      <c r="T875" s="105"/>
      <c r="U875" s="105"/>
      <c r="V875" s="105"/>
      <c r="W875" s="105"/>
      <c r="X875" s="105"/>
      <c r="Y875" s="105"/>
      <c r="Z875" s="105"/>
      <c r="AA875" s="105"/>
      <c r="AB875" s="105"/>
      <c r="AC875" s="91"/>
      <c r="AD875" s="105"/>
      <c r="AE875" s="105"/>
      <c r="AF875" s="91"/>
      <c r="AG875" s="105"/>
      <c r="AH875" s="105"/>
      <c r="AI875" s="105" t="str">
        <f t="shared" si="1"/>
        <v/>
      </c>
      <c r="AJ875" s="108" t="str">
        <f t="shared" si="2"/>
        <v/>
      </c>
    </row>
    <row r="876" ht="15.75" customHeight="1">
      <c r="A876" s="104"/>
      <c r="B876" s="105" t="str">
        <f>IFERROR(__xludf.DUMMYFUNCTION("ARRAY_CONSTRAIN(
  ARRAYFORMULA(
    IF(
      'Final Report'!A876="""",
      """",
      TEXTJOIN(
        "", "" &amp; CHAR(10),
        TRUE,
        IFERROR(
          VLOOKUP(
            TRIM(
              SPLIT('Final Report'!A876, "","")
           "&amp;" ),
            'URL Details'!A:B,
            2,
            FALSE
          ),
          """"
        )
      )
    )
  ),
  1,
  1
)
"),"")</f>
        <v/>
      </c>
      <c r="C876" s="105" t="str">
        <f>IFERROR(__xludf.DUMMYFUNCTION("IFERROR(IF('Final Report'!A876="""","""", TEXTJOIN(CHAR(10), TRUE, ARRAYFORMULA( ""• ""&amp; FILTER( TRIM(FLATTEN(SPLIT( REGEXREPLACE( SUBSTITUTE(TEXTJOIN("","", TRUE, IFERROR(ARRAYFORMULA(VLOOKUP(TRIM(SPLIT('Final Report'!A876, "","")), 'URL Details'!A:D, 4,"&amp;" FALSE)),"""") ), CHAR(10), "",""), ""\s*,\s*"", "",""), "",""))), TRIM(FLATTEN(SPLIT( REGEXREPLACE( SUBSTITUTE(TEXTJOIN("","", TRUE, IFERROR(ARRAYFORMULA(VLOOKUP(TRIM(SPLIT('Final Report'!A876, "","")), 'URL Details'!A:D, 4, FALSE)),"""") ), CHAR(10), """&amp;",""), ""\s*,\s*"", "",""), "","")))&lt;&gt;"""" ) ) ) ),"""")
"),"")</f>
        <v/>
      </c>
      <c r="D876" s="105"/>
      <c r="E876" s="105"/>
      <c r="F876" s="110" t="b">
        <v>0</v>
      </c>
      <c r="G876" s="105" t="str">
        <f>IF(F876=True, IFERROR(VLOOKUP(D876, Repository!A:B, 2, 0), ""), "")</f>
        <v/>
      </c>
      <c r="H876" s="105"/>
      <c r="I876" s="105"/>
      <c r="J876" s="105" t="str">
        <f>IF(F876=True, IFERROR(VLOOKUP(D876, Repository!A:C, 3, 0), ""), "")</f>
        <v/>
      </c>
      <c r="K876" s="105"/>
      <c r="L876" s="105" t="str">
        <f>IF(F876=True, IFERROR(VLOOKUP(D876, Repository!A:E, 5, 0), ""), "")</f>
        <v/>
      </c>
      <c r="M876" s="105"/>
      <c r="N876" s="105" t="str">
        <f>IF(F876=True, IFERROR(VLOOKUP(D876, Repository!A:G, 7, 0), ""), "")</f>
        <v/>
      </c>
      <c r="O876" s="105" t="str">
        <f>IFERROR(__xludf.DUMMYFUNCTION("ARRAY_CONSTRAIN(
  ARRAYFORMULA(
    IFERROR(
      LET(
        list, N876,
        arr, TRIM(SPLIT(list, "","")),
        names, XLOOKUP(
          arr,
          'Conformance Score'!A:A,
          'Conformance Score'!B:B,
          ""Not found""
      "&amp;"  ),
        TEXTJOIN("", "", TRUE, names)
      ),
      """"
    )
  ),
  1,
  1
)
"),"")</f>
        <v/>
      </c>
      <c r="P876" s="105" t="str">
        <f>IF(F876="Yes", IFERROR(VLOOKUP(D876, Repository!A:F, 6, 0), ""), "")</f>
        <v/>
      </c>
      <c r="Q876" s="105" t="str">
        <f>IF(F876="Yes", IFERROR(VLOOKUP(D876, Repository!A:I, 8, 0), ""), "")</f>
        <v/>
      </c>
      <c r="R876" s="105" t="str">
        <f>IF(F876="Yes", IFERROR(VLOOKUP(D876, Repository!A:J, 9, 0), ""), "")</f>
        <v/>
      </c>
      <c r="S876" s="105"/>
      <c r="T876" s="105"/>
      <c r="U876" s="105"/>
      <c r="V876" s="105"/>
      <c r="W876" s="105"/>
      <c r="X876" s="105"/>
      <c r="Y876" s="105"/>
      <c r="Z876" s="105"/>
      <c r="AA876" s="105"/>
      <c r="AB876" s="105"/>
      <c r="AC876" s="91"/>
      <c r="AD876" s="105"/>
      <c r="AE876" s="105"/>
      <c r="AF876" s="91"/>
      <c r="AG876" s="105"/>
      <c r="AH876" s="105"/>
      <c r="AI876" s="105" t="str">
        <f t="shared" si="1"/>
        <v/>
      </c>
      <c r="AJ876" s="108" t="str">
        <f t="shared" si="2"/>
        <v/>
      </c>
    </row>
    <row r="877" ht="15.75" customHeight="1">
      <c r="A877" s="104"/>
      <c r="B877" s="105" t="str">
        <f>IFERROR(__xludf.DUMMYFUNCTION("ARRAY_CONSTRAIN(
  ARRAYFORMULA(
    IF(
      'Final Report'!A877="""",
      """",
      TEXTJOIN(
        "", "" &amp; CHAR(10),
        TRUE,
        IFERROR(
          VLOOKUP(
            TRIM(
              SPLIT('Final Report'!A877, "","")
           "&amp;" ),
            'URL Details'!A:B,
            2,
            FALSE
          ),
          """"
        )
      )
    )
  ),
  1,
  1
)
"),"")</f>
        <v/>
      </c>
      <c r="C877" s="105" t="str">
        <f>IFERROR(__xludf.DUMMYFUNCTION("IFERROR(IF('Final Report'!A877="""","""", TEXTJOIN(CHAR(10), TRUE, ARRAYFORMULA( ""• ""&amp; FILTER( TRIM(FLATTEN(SPLIT( REGEXREPLACE( SUBSTITUTE(TEXTJOIN("","", TRUE, IFERROR(ARRAYFORMULA(VLOOKUP(TRIM(SPLIT('Final Report'!A877, "","")), 'URL Details'!A:D, 4,"&amp;" FALSE)),"""") ), CHAR(10), "",""), ""\s*,\s*"", "",""), "",""))), TRIM(FLATTEN(SPLIT( REGEXREPLACE( SUBSTITUTE(TEXTJOIN("","", TRUE, IFERROR(ARRAYFORMULA(VLOOKUP(TRIM(SPLIT('Final Report'!A877, "","")), 'URL Details'!A:D, 4, FALSE)),"""") ), CHAR(10), """&amp;",""), ""\s*,\s*"", "",""), "","")))&lt;&gt;"""" ) ) ) ),"""")
"),"")</f>
        <v/>
      </c>
      <c r="D877" s="105"/>
      <c r="E877" s="105"/>
      <c r="F877" s="110" t="b">
        <v>0</v>
      </c>
      <c r="G877" s="105" t="str">
        <f>IF(F877=True, IFERROR(VLOOKUP(D877, Repository!A:B, 2, 0), ""), "")</f>
        <v/>
      </c>
      <c r="H877" s="105"/>
      <c r="I877" s="105"/>
      <c r="J877" s="105" t="str">
        <f>IF(F877=True, IFERROR(VLOOKUP(D877, Repository!A:C, 3, 0), ""), "")</f>
        <v/>
      </c>
      <c r="K877" s="105"/>
      <c r="L877" s="105" t="str">
        <f>IF(F877=True, IFERROR(VLOOKUP(D877, Repository!A:E, 5, 0), ""), "")</f>
        <v/>
      </c>
      <c r="M877" s="105"/>
      <c r="N877" s="105" t="str">
        <f>IF(F877=True, IFERROR(VLOOKUP(D877, Repository!A:G, 7, 0), ""), "")</f>
        <v/>
      </c>
      <c r="O877" s="105" t="str">
        <f>IFERROR(__xludf.DUMMYFUNCTION("ARRAY_CONSTRAIN(
  ARRAYFORMULA(
    IFERROR(
      LET(
        list, N877,
        arr, TRIM(SPLIT(list, "","")),
        names, XLOOKUP(
          arr,
          'Conformance Score'!A:A,
          'Conformance Score'!B:B,
          ""Not found""
      "&amp;"  ),
        TEXTJOIN("", "", TRUE, names)
      ),
      """"
    )
  ),
  1,
  1
)
"),"")</f>
        <v/>
      </c>
      <c r="P877" s="105" t="str">
        <f>IF(F877="Yes", IFERROR(VLOOKUP(D877, Repository!A:F, 6, 0), ""), "")</f>
        <v/>
      </c>
      <c r="Q877" s="105" t="str">
        <f>IF(F877="Yes", IFERROR(VLOOKUP(D877, Repository!A:I, 8, 0), ""), "")</f>
        <v/>
      </c>
      <c r="R877" s="105" t="str">
        <f>IF(F877="Yes", IFERROR(VLOOKUP(D877, Repository!A:J, 9, 0), ""), "")</f>
        <v/>
      </c>
      <c r="S877" s="105"/>
      <c r="T877" s="105"/>
      <c r="U877" s="105"/>
      <c r="V877" s="105"/>
      <c r="W877" s="105"/>
      <c r="X877" s="105"/>
      <c r="Y877" s="105"/>
      <c r="Z877" s="105"/>
      <c r="AA877" s="105"/>
      <c r="AB877" s="105"/>
      <c r="AC877" s="91"/>
      <c r="AD877" s="105"/>
      <c r="AE877" s="105"/>
      <c r="AF877" s="91"/>
      <c r="AG877" s="105"/>
      <c r="AH877" s="105"/>
      <c r="AI877" s="105" t="str">
        <f t="shared" si="1"/>
        <v/>
      </c>
      <c r="AJ877" s="108" t="str">
        <f t="shared" si="2"/>
        <v/>
      </c>
    </row>
    <row r="878" ht="15.75" customHeight="1">
      <c r="A878" s="104"/>
      <c r="B878" s="105" t="str">
        <f>IFERROR(__xludf.DUMMYFUNCTION("ARRAY_CONSTRAIN(
  ARRAYFORMULA(
    IF(
      'Final Report'!A878="""",
      """",
      TEXTJOIN(
        "", "" &amp; CHAR(10),
        TRUE,
        IFERROR(
          VLOOKUP(
            TRIM(
              SPLIT('Final Report'!A878, "","")
           "&amp;" ),
            'URL Details'!A:B,
            2,
            FALSE
          ),
          """"
        )
      )
    )
  ),
  1,
  1
)
"),"")</f>
        <v/>
      </c>
      <c r="C878" s="105" t="str">
        <f>IFERROR(__xludf.DUMMYFUNCTION("IFERROR(IF('Final Report'!A878="""","""", TEXTJOIN(CHAR(10), TRUE, ARRAYFORMULA( ""• ""&amp; FILTER( TRIM(FLATTEN(SPLIT( REGEXREPLACE( SUBSTITUTE(TEXTJOIN("","", TRUE, IFERROR(ARRAYFORMULA(VLOOKUP(TRIM(SPLIT('Final Report'!A878, "","")), 'URL Details'!A:D, 4,"&amp;" FALSE)),"""") ), CHAR(10), "",""), ""\s*,\s*"", "",""), "",""))), TRIM(FLATTEN(SPLIT( REGEXREPLACE( SUBSTITUTE(TEXTJOIN("","", TRUE, IFERROR(ARRAYFORMULA(VLOOKUP(TRIM(SPLIT('Final Report'!A878, "","")), 'URL Details'!A:D, 4, FALSE)),"""") ), CHAR(10), """&amp;",""), ""\s*,\s*"", "",""), "","")))&lt;&gt;"""" ) ) ) ),"""")
"),"")</f>
        <v/>
      </c>
      <c r="D878" s="105"/>
      <c r="E878" s="105"/>
      <c r="F878" s="110" t="b">
        <v>0</v>
      </c>
      <c r="G878" s="105" t="str">
        <f>IF(F878=True, IFERROR(VLOOKUP(D878, Repository!A:B, 2, 0), ""), "")</f>
        <v/>
      </c>
      <c r="H878" s="105"/>
      <c r="I878" s="105"/>
      <c r="J878" s="105" t="str">
        <f>IF(F878=True, IFERROR(VLOOKUP(D878, Repository!A:C, 3, 0), ""), "")</f>
        <v/>
      </c>
      <c r="K878" s="105"/>
      <c r="L878" s="105" t="str">
        <f>IF(F878=True, IFERROR(VLOOKUP(D878, Repository!A:E, 5, 0), ""), "")</f>
        <v/>
      </c>
      <c r="M878" s="105"/>
      <c r="N878" s="105" t="str">
        <f>IF(F878=True, IFERROR(VLOOKUP(D878, Repository!A:G, 7, 0), ""), "")</f>
        <v/>
      </c>
      <c r="O878" s="105" t="str">
        <f>IFERROR(__xludf.DUMMYFUNCTION("ARRAY_CONSTRAIN(
  ARRAYFORMULA(
    IFERROR(
      LET(
        list, N878,
        arr, TRIM(SPLIT(list, "","")),
        names, XLOOKUP(
          arr,
          'Conformance Score'!A:A,
          'Conformance Score'!B:B,
          ""Not found""
      "&amp;"  ),
        TEXTJOIN("", "", TRUE, names)
      ),
      """"
    )
  ),
  1,
  1
)
"),"")</f>
        <v/>
      </c>
      <c r="P878" s="105" t="str">
        <f>IF(F878="Yes", IFERROR(VLOOKUP(D878, Repository!A:F, 6, 0), ""), "")</f>
        <v/>
      </c>
      <c r="Q878" s="105" t="str">
        <f>IF(F878="Yes", IFERROR(VLOOKUP(D878, Repository!A:I, 8, 0), ""), "")</f>
        <v/>
      </c>
      <c r="R878" s="105" t="str">
        <f>IF(F878="Yes", IFERROR(VLOOKUP(D878, Repository!A:J, 9, 0), ""), "")</f>
        <v/>
      </c>
      <c r="S878" s="105"/>
      <c r="T878" s="105"/>
      <c r="U878" s="105"/>
      <c r="V878" s="105"/>
      <c r="W878" s="105"/>
      <c r="X878" s="105"/>
      <c r="Y878" s="105"/>
      <c r="Z878" s="105"/>
      <c r="AA878" s="105"/>
      <c r="AB878" s="105"/>
      <c r="AC878" s="91"/>
      <c r="AD878" s="105"/>
      <c r="AE878" s="105"/>
      <c r="AF878" s="91"/>
      <c r="AG878" s="105"/>
      <c r="AH878" s="105"/>
      <c r="AI878" s="105" t="str">
        <f t="shared" si="1"/>
        <v/>
      </c>
      <c r="AJ878" s="108" t="str">
        <f t="shared" si="2"/>
        <v/>
      </c>
    </row>
    <row r="879" ht="15.75" customHeight="1">
      <c r="A879" s="104"/>
      <c r="B879" s="105" t="str">
        <f>IFERROR(__xludf.DUMMYFUNCTION("ARRAY_CONSTRAIN(
  ARRAYFORMULA(
    IF(
      'Final Report'!A879="""",
      """",
      TEXTJOIN(
        "", "" &amp; CHAR(10),
        TRUE,
        IFERROR(
          VLOOKUP(
            TRIM(
              SPLIT('Final Report'!A879, "","")
           "&amp;" ),
            'URL Details'!A:B,
            2,
            FALSE
          ),
          """"
        )
      )
    )
  ),
  1,
  1
)
"),"")</f>
        <v/>
      </c>
      <c r="C879" s="105" t="str">
        <f>IFERROR(__xludf.DUMMYFUNCTION("IFERROR(IF('Final Report'!A879="""","""", TEXTJOIN(CHAR(10), TRUE, ARRAYFORMULA( ""• ""&amp; FILTER( TRIM(FLATTEN(SPLIT( REGEXREPLACE( SUBSTITUTE(TEXTJOIN("","", TRUE, IFERROR(ARRAYFORMULA(VLOOKUP(TRIM(SPLIT('Final Report'!A879, "","")), 'URL Details'!A:D, 4,"&amp;" FALSE)),"""") ), CHAR(10), "",""), ""\s*,\s*"", "",""), "",""))), TRIM(FLATTEN(SPLIT( REGEXREPLACE( SUBSTITUTE(TEXTJOIN("","", TRUE, IFERROR(ARRAYFORMULA(VLOOKUP(TRIM(SPLIT('Final Report'!A879, "","")), 'URL Details'!A:D, 4, FALSE)),"""") ), CHAR(10), """&amp;",""), ""\s*,\s*"", "",""), "","")))&lt;&gt;"""" ) ) ) ),"""")
"),"")</f>
        <v/>
      </c>
      <c r="D879" s="105"/>
      <c r="E879" s="105"/>
      <c r="F879" s="110" t="b">
        <v>0</v>
      </c>
      <c r="G879" s="105" t="str">
        <f>IF(F879=True, IFERROR(VLOOKUP(D879, Repository!A:B, 2, 0), ""), "")</f>
        <v/>
      </c>
      <c r="H879" s="105"/>
      <c r="I879" s="105"/>
      <c r="J879" s="105" t="str">
        <f>IF(F879=True, IFERROR(VLOOKUP(D879, Repository!A:C, 3, 0), ""), "")</f>
        <v/>
      </c>
      <c r="K879" s="105"/>
      <c r="L879" s="105" t="str">
        <f>IF(F879=True, IFERROR(VLOOKUP(D879, Repository!A:E, 5, 0), ""), "")</f>
        <v/>
      </c>
      <c r="M879" s="105"/>
      <c r="N879" s="105" t="str">
        <f>IF(F879=True, IFERROR(VLOOKUP(D879, Repository!A:G, 7, 0), ""), "")</f>
        <v/>
      </c>
      <c r="O879" s="105" t="str">
        <f>IFERROR(__xludf.DUMMYFUNCTION("ARRAY_CONSTRAIN(
  ARRAYFORMULA(
    IFERROR(
      LET(
        list, N879,
        arr, TRIM(SPLIT(list, "","")),
        names, XLOOKUP(
          arr,
          'Conformance Score'!A:A,
          'Conformance Score'!B:B,
          ""Not found""
      "&amp;"  ),
        TEXTJOIN("", "", TRUE, names)
      ),
      """"
    )
  ),
  1,
  1
)
"),"")</f>
        <v/>
      </c>
      <c r="P879" s="105" t="str">
        <f>IF(F879="Yes", IFERROR(VLOOKUP(D879, Repository!A:F, 6, 0), ""), "")</f>
        <v/>
      </c>
      <c r="Q879" s="105" t="str">
        <f>IF(F879="Yes", IFERROR(VLOOKUP(D879, Repository!A:I, 8, 0), ""), "")</f>
        <v/>
      </c>
      <c r="R879" s="105" t="str">
        <f>IF(F879="Yes", IFERROR(VLOOKUP(D879, Repository!A:J, 9, 0), ""), "")</f>
        <v/>
      </c>
      <c r="S879" s="105"/>
      <c r="T879" s="105"/>
      <c r="U879" s="105"/>
      <c r="V879" s="105"/>
      <c r="W879" s="105"/>
      <c r="X879" s="105"/>
      <c r="Y879" s="105"/>
      <c r="Z879" s="105"/>
      <c r="AA879" s="105"/>
      <c r="AB879" s="105"/>
      <c r="AC879" s="91"/>
      <c r="AD879" s="105"/>
      <c r="AE879" s="105"/>
      <c r="AF879" s="91"/>
      <c r="AG879" s="105"/>
      <c r="AH879" s="105"/>
      <c r="AI879" s="105" t="str">
        <f t="shared" si="1"/>
        <v/>
      </c>
      <c r="AJ879" s="108" t="str">
        <f t="shared" si="2"/>
        <v/>
      </c>
    </row>
    <row r="880" ht="15.75" customHeight="1">
      <c r="A880" s="104"/>
      <c r="B880" s="105" t="str">
        <f>IFERROR(__xludf.DUMMYFUNCTION("ARRAY_CONSTRAIN(
  ARRAYFORMULA(
    IF(
      'Final Report'!A880="""",
      """",
      TEXTJOIN(
        "", "" &amp; CHAR(10),
        TRUE,
        IFERROR(
          VLOOKUP(
            TRIM(
              SPLIT('Final Report'!A880, "","")
           "&amp;" ),
            'URL Details'!A:B,
            2,
            FALSE
          ),
          """"
        )
      )
    )
  ),
  1,
  1
)
"),"")</f>
        <v/>
      </c>
      <c r="C880" s="105" t="str">
        <f>IFERROR(__xludf.DUMMYFUNCTION("IFERROR(IF('Final Report'!A880="""","""", TEXTJOIN(CHAR(10), TRUE, ARRAYFORMULA( ""• ""&amp; FILTER( TRIM(FLATTEN(SPLIT( REGEXREPLACE( SUBSTITUTE(TEXTJOIN("","", TRUE, IFERROR(ARRAYFORMULA(VLOOKUP(TRIM(SPLIT('Final Report'!A880, "","")), 'URL Details'!A:D, 4,"&amp;" FALSE)),"""") ), CHAR(10), "",""), ""\s*,\s*"", "",""), "",""))), TRIM(FLATTEN(SPLIT( REGEXREPLACE( SUBSTITUTE(TEXTJOIN("","", TRUE, IFERROR(ARRAYFORMULA(VLOOKUP(TRIM(SPLIT('Final Report'!A880, "","")), 'URL Details'!A:D, 4, FALSE)),"""") ), CHAR(10), """&amp;",""), ""\s*,\s*"", "",""), "","")))&lt;&gt;"""" ) ) ) ),"""")
"),"")</f>
        <v/>
      </c>
      <c r="D880" s="105"/>
      <c r="E880" s="105"/>
      <c r="F880" s="110" t="b">
        <v>0</v>
      </c>
      <c r="G880" s="105" t="str">
        <f>IF(F880=True, IFERROR(VLOOKUP(D880, Repository!A:B, 2, 0), ""), "")</f>
        <v/>
      </c>
      <c r="H880" s="105"/>
      <c r="I880" s="105"/>
      <c r="J880" s="105" t="str">
        <f>IF(F880=True, IFERROR(VLOOKUP(D880, Repository!A:C, 3, 0), ""), "")</f>
        <v/>
      </c>
      <c r="K880" s="105"/>
      <c r="L880" s="105" t="str">
        <f>IF(F880=True, IFERROR(VLOOKUP(D880, Repository!A:E, 5, 0), ""), "")</f>
        <v/>
      </c>
      <c r="M880" s="105"/>
      <c r="N880" s="105" t="str">
        <f>IF(F880=True, IFERROR(VLOOKUP(D880, Repository!A:G, 7, 0), ""), "")</f>
        <v/>
      </c>
      <c r="O880" s="105" t="str">
        <f>IFERROR(__xludf.DUMMYFUNCTION("ARRAY_CONSTRAIN(
  ARRAYFORMULA(
    IFERROR(
      LET(
        list, N880,
        arr, TRIM(SPLIT(list, "","")),
        names, XLOOKUP(
          arr,
          'Conformance Score'!A:A,
          'Conformance Score'!B:B,
          ""Not found""
      "&amp;"  ),
        TEXTJOIN("", "", TRUE, names)
      ),
      """"
    )
  ),
  1,
  1
)
"),"")</f>
        <v/>
      </c>
      <c r="P880" s="105" t="str">
        <f>IF(F880="Yes", IFERROR(VLOOKUP(D880, Repository!A:F, 6, 0), ""), "")</f>
        <v/>
      </c>
      <c r="Q880" s="105" t="str">
        <f>IF(F880="Yes", IFERROR(VLOOKUP(D880, Repository!A:I, 8, 0), ""), "")</f>
        <v/>
      </c>
      <c r="R880" s="105" t="str">
        <f>IF(F880="Yes", IFERROR(VLOOKUP(D880, Repository!A:J, 9, 0), ""), "")</f>
        <v/>
      </c>
      <c r="S880" s="105"/>
      <c r="T880" s="105"/>
      <c r="U880" s="105"/>
      <c r="V880" s="105"/>
      <c r="W880" s="105"/>
      <c r="X880" s="105"/>
      <c r="Y880" s="105"/>
      <c r="Z880" s="105"/>
      <c r="AA880" s="105"/>
      <c r="AB880" s="105"/>
      <c r="AC880" s="91"/>
      <c r="AD880" s="105"/>
      <c r="AE880" s="105"/>
      <c r="AF880" s="91"/>
      <c r="AG880" s="105"/>
      <c r="AH880" s="105"/>
      <c r="AI880" s="105" t="str">
        <f t="shared" si="1"/>
        <v/>
      </c>
      <c r="AJ880" s="108" t="str">
        <f t="shared" si="2"/>
        <v/>
      </c>
    </row>
    <row r="881" ht="15.75" customHeight="1">
      <c r="A881" s="104"/>
      <c r="B881" s="105" t="str">
        <f>IFERROR(__xludf.DUMMYFUNCTION("ARRAY_CONSTRAIN(
  ARRAYFORMULA(
    IF(
      'Final Report'!A881="""",
      """",
      TEXTJOIN(
        "", "" &amp; CHAR(10),
        TRUE,
        IFERROR(
          VLOOKUP(
            TRIM(
              SPLIT('Final Report'!A881, "","")
           "&amp;" ),
            'URL Details'!A:B,
            2,
            FALSE
          ),
          """"
        )
      )
    )
  ),
  1,
  1
)
"),"")</f>
        <v/>
      </c>
      <c r="C881" s="105" t="str">
        <f>IFERROR(__xludf.DUMMYFUNCTION("IFERROR(IF('Final Report'!A881="""","""", TEXTJOIN(CHAR(10), TRUE, ARRAYFORMULA( ""• ""&amp; FILTER( TRIM(FLATTEN(SPLIT( REGEXREPLACE( SUBSTITUTE(TEXTJOIN("","", TRUE, IFERROR(ARRAYFORMULA(VLOOKUP(TRIM(SPLIT('Final Report'!A881, "","")), 'URL Details'!A:D, 4,"&amp;" FALSE)),"""") ), CHAR(10), "",""), ""\s*,\s*"", "",""), "",""))), TRIM(FLATTEN(SPLIT( REGEXREPLACE( SUBSTITUTE(TEXTJOIN("","", TRUE, IFERROR(ARRAYFORMULA(VLOOKUP(TRIM(SPLIT('Final Report'!A881, "","")), 'URL Details'!A:D, 4, FALSE)),"""") ), CHAR(10), """&amp;",""), ""\s*,\s*"", "",""), "","")))&lt;&gt;"""" ) ) ) ),"""")
"),"")</f>
        <v/>
      </c>
      <c r="D881" s="105"/>
      <c r="E881" s="105"/>
      <c r="F881" s="110" t="b">
        <v>0</v>
      </c>
      <c r="G881" s="105" t="str">
        <f>IF(F881=True, IFERROR(VLOOKUP(D881, Repository!A:B, 2, 0), ""), "")</f>
        <v/>
      </c>
      <c r="H881" s="105"/>
      <c r="I881" s="105"/>
      <c r="J881" s="105" t="str">
        <f>IF(F881=True, IFERROR(VLOOKUP(D881, Repository!A:C, 3, 0), ""), "")</f>
        <v/>
      </c>
      <c r="K881" s="105"/>
      <c r="L881" s="105" t="str">
        <f>IF(F881=True, IFERROR(VLOOKUP(D881, Repository!A:E, 5, 0), ""), "")</f>
        <v/>
      </c>
      <c r="M881" s="105"/>
      <c r="N881" s="105" t="str">
        <f>IF(F881=True, IFERROR(VLOOKUP(D881, Repository!A:G, 7, 0), ""), "")</f>
        <v/>
      </c>
      <c r="O881" s="105" t="str">
        <f>IFERROR(__xludf.DUMMYFUNCTION("ARRAY_CONSTRAIN(
  ARRAYFORMULA(
    IFERROR(
      LET(
        list, N881,
        arr, TRIM(SPLIT(list, "","")),
        names, XLOOKUP(
          arr,
          'Conformance Score'!A:A,
          'Conformance Score'!B:B,
          ""Not found""
      "&amp;"  ),
        TEXTJOIN("", "", TRUE, names)
      ),
      """"
    )
  ),
  1,
  1
)
"),"")</f>
        <v/>
      </c>
      <c r="P881" s="105" t="str">
        <f>IF(F881="Yes", IFERROR(VLOOKUP(D881, Repository!A:F, 6, 0), ""), "")</f>
        <v/>
      </c>
      <c r="Q881" s="105" t="str">
        <f>IF(F881="Yes", IFERROR(VLOOKUP(D881, Repository!A:I, 8, 0), ""), "")</f>
        <v/>
      </c>
      <c r="R881" s="105" t="str">
        <f>IF(F881="Yes", IFERROR(VLOOKUP(D881, Repository!A:J, 9, 0), ""), "")</f>
        <v/>
      </c>
      <c r="S881" s="105"/>
      <c r="T881" s="105"/>
      <c r="U881" s="105"/>
      <c r="V881" s="105"/>
      <c r="W881" s="105"/>
      <c r="X881" s="105"/>
      <c r="Y881" s="105"/>
      <c r="Z881" s="105"/>
      <c r="AA881" s="105"/>
      <c r="AB881" s="105"/>
      <c r="AC881" s="91"/>
      <c r="AD881" s="105"/>
      <c r="AE881" s="105"/>
      <c r="AF881" s="91"/>
      <c r="AG881" s="105"/>
      <c r="AH881" s="105"/>
      <c r="AI881" s="105" t="str">
        <f t="shared" si="1"/>
        <v/>
      </c>
      <c r="AJ881" s="108" t="str">
        <f t="shared" si="2"/>
        <v/>
      </c>
    </row>
    <row r="882" ht="15.75" customHeight="1">
      <c r="A882" s="104"/>
      <c r="B882" s="105" t="str">
        <f>IFERROR(__xludf.DUMMYFUNCTION("ARRAY_CONSTRAIN(
  ARRAYFORMULA(
    IF(
      'Final Report'!A882="""",
      """",
      TEXTJOIN(
        "", "" &amp; CHAR(10),
        TRUE,
        IFERROR(
          VLOOKUP(
            TRIM(
              SPLIT('Final Report'!A882, "","")
           "&amp;" ),
            'URL Details'!A:B,
            2,
            FALSE
          ),
          """"
        )
      )
    )
  ),
  1,
  1
)
"),"")</f>
        <v/>
      </c>
      <c r="C882" s="105" t="str">
        <f>IFERROR(__xludf.DUMMYFUNCTION("IFERROR(IF('Final Report'!A882="""","""", TEXTJOIN(CHAR(10), TRUE, ARRAYFORMULA( ""• ""&amp; FILTER( TRIM(FLATTEN(SPLIT( REGEXREPLACE( SUBSTITUTE(TEXTJOIN("","", TRUE, IFERROR(ARRAYFORMULA(VLOOKUP(TRIM(SPLIT('Final Report'!A882, "","")), 'URL Details'!A:D, 4,"&amp;" FALSE)),"""") ), CHAR(10), "",""), ""\s*,\s*"", "",""), "",""))), TRIM(FLATTEN(SPLIT( REGEXREPLACE( SUBSTITUTE(TEXTJOIN("","", TRUE, IFERROR(ARRAYFORMULA(VLOOKUP(TRIM(SPLIT('Final Report'!A882, "","")), 'URL Details'!A:D, 4, FALSE)),"""") ), CHAR(10), """&amp;",""), ""\s*,\s*"", "",""), "","")))&lt;&gt;"""" ) ) ) ),"""")
"),"")</f>
        <v/>
      </c>
      <c r="D882" s="105"/>
      <c r="E882" s="105"/>
      <c r="F882" s="110" t="b">
        <v>0</v>
      </c>
      <c r="G882" s="105" t="str">
        <f>IF(F882=True, IFERROR(VLOOKUP(D882, Repository!A:B, 2, 0), ""), "")</f>
        <v/>
      </c>
      <c r="H882" s="105"/>
      <c r="I882" s="105"/>
      <c r="J882" s="105" t="str">
        <f>IF(F882=True, IFERROR(VLOOKUP(D882, Repository!A:C, 3, 0), ""), "")</f>
        <v/>
      </c>
      <c r="K882" s="105"/>
      <c r="L882" s="105" t="str">
        <f>IF(F882=True, IFERROR(VLOOKUP(D882, Repository!A:E, 5, 0), ""), "")</f>
        <v/>
      </c>
      <c r="M882" s="105"/>
      <c r="N882" s="105" t="str">
        <f>IF(F882=True, IFERROR(VLOOKUP(D882, Repository!A:G, 7, 0), ""), "")</f>
        <v/>
      </c>
      <c r="O882" s="105" t="str">
        <f>IFERROR(__xludf.DUMMYFUNCTION("ARRAY_CONSTRAIN(
  ARRAYFORMULA(
    IFERROR(
      LET(
        list, N882,
        arr, TRIM(SPLIT(list, "","")),
        names, XLOOKUP(
          arr,
          'Conformance Score'!A:A,
          'Conformance Score'!B:B,
          ""Not found""
      "&amp;"  ),
        TEXTJOIN("", "", TRUE, names)
      ),
      """"
    )
  ),
  1,
  1
)
"),"")</f>
        <v/>
      </c>
      <c r="P882" s="105" t="str">
        <f>IF(F882="Yes", IFERROR(VLOOKUP(D882, Repository!A:F, 6, 0), ""), "")</f>
        <v/>
      </c>
      <c r="Q882" s="105" t="str">
        <f>IF(F882="Yes", IFERROR(VLOOKUP(D882, Repository!A:I, 8, 0), ""), "")</f>
        <v/>
      </c>
      <c r="R882" s="105" t="str">
        <f>IF(F882="Yes", IFERROR(VLOOKUP(D882, Repository!A:J, 9, 0), ""), "")</f>
        <v/>
      </c>
      <c r="S882" s="105"/>
      <c r="T882" s="105"/>
      <c r="U882" s="105"/>
      <c r="V882" s="105"/>
      <c r="W882" s="105"/>
      <c r="X882" s="105"/>
      <c r="Y882" s="105"/>
      <c r="Z882" s="105"/>
      <c r="AA882" s="105"/>
      <c r="AB882" s="105"/>
      <c r="AC882" s="91"/>
      <c r="AD882" s="105"/>
      <c r="AE882" s="105"/>
      <c r="AF882" s="91"/>
      <c r="AG882" s="105"/>
      <c r="AH882" s="105"/>
      <c r="AI882" s="105" t="str">
        <f t="shared" si="1"/>
        <v/>
      </c>
      <c r="AJ882" s="108" t="str">
        <f t="shared" si="2"/>
        <v/>
      </c>
    </row>
    <row r="883" ht="15.75" customHeight="1">
      <c r="A883" s="104"/>
      <c r="B883" s="105" t="str">
        <f>IFERROR(__xludf.DUMMYFUNCTION("ARRAY_CONSTRAIN(
  ARRAYFORMULA(
    IF(
      'Final Report'!A883="""",
      """",
      TEXTJOIN(
        "", "" &amp; CHAR(10),
        TRUE,
        IFERROR(
          VLOOKUP(
            TRIM(
              SPLIT('Final Report'!A883, "","")
           "&amp;" ),
            'URL Details'!A:B,
            2,
            FALSE
          ),
          """"
        )
      )
    )
  ),
  1,
  1
)
"),"")</f>
        <v/>
      </c>
      <c r="C883" s="105" t="str">
        <f>IFERROR(__xludf.DUMMYFUNCTION("IFERROR(IF('Final Report'!A883="""","""", TEXTJOIN(CHAR(10), TRUE, ARRAYFORMULA( ""• ""&amp; FILTER( TRIM(FLATTEN(SPLIT( REGEXREPLACE( SUBSTITUTE(TEXTJOIN("","", TRUE, IFERROR(ARRAYFORMULA(VLOOKUP(TRIM(SPLIT('Final Report'!A883, "","")), 'URL Details'!A:D, 4,"&amp;" FALSE)),"""") ), CHAR(10), "",""), ""\s*,\s*"", "",""), "",""))), TRIM(FLATTEN(SPLIT( REGEXREPLACE( SUBSTITUTE(TEXTJOIN("","", TRUE, IFERROR(ARRAYFORMULA(VLOOKUP(TRIM(SPLIT('Final Report'!A883, "","")), 'URL Details'!A:D, 4, FALSE)),"""") ), CHAR(10), """&amp;",""), ""\s*,\s*"", "",""), "","")))&lt;&gt;"""" ) ) ) ),"""")
"),"")</f>
        <v/>
      </c>
      <c r="D883" s="105"/>
      <c r="E883" s="105"/>
      <c r="F883" s="110" t="b">
        <v>0</v>
      </c>
      <c r="G883" s="105" t="str">
        <f>IF(F883=True, IFERROR(VLOOKUP(D883, Repository!A:B, 2, 0), ""), "")</f>
        <v/>
      </c>
      <c r="H883" s="105"/>
      <c r="I883" s="105"/>
      <c r="J883" s="105" t="str">
        <f>IF(F883=True, IFERROR(VLOOKUP(D883, Repository!A:C, 3, 0), ""), "")</f>
        <v/>
      </c>
      <c r="K883" s="105"/>
      <c r="L883" s="105" t="str">
        <f>IF(F883=True, IFERROR(VLOOKUP(D883, Repository!A:E, 5, 0), ""), "")</f>
        <v/>
      </c>
      <c r="M883" s="105"/>
      <c r="N883" s="105" t="str">
        <f>IF(F883=True, IFERROR(VLOOKUP(D883, Repository!A:G, 7, 0), ""), "")</f>
        <v/>
      </c>
      <c r="O883" s="105" t="str">
        <f>IFERROR(__xludf.DUMMYFUNCTION("ARRAY_CONSTRAIN(
  ARRAYFORMULA(
    IFERROR(
      LET(
        list, N883,
        arr, TRIM(SPLIT(list, "","")),
        names, XLOOKUP(
          arr,
          'Conformance Score'!A:A,
          'Conformance Score'!B:B,
          ""Not found""
      "&amp;"  ),
        TEXTJOIN("", "", TRUE, names)
      ),
      """"
    )
  ),
  1,
  1
)
"),"")</f>
        <v/>
      </c>
      <c r="P883" s="105" t="str">
        <f>IF(F883="Yes", IFERROR(VLOOKUP(D883, Repository!A:F, 6, 0), ""), "")</f>
        <v/>
      </c>
      <c r="Q883" s="105" t="str">
        <f>IF(F883="Yes", IFERROR(VLOOKUP(D883, Repository!A:I, 8, 0), ""), "")</f>
        <v/>
      </c>
      <c r="R883" s="105" t="str">
        <f>IF(F883="Yes", IFERROR(VLOOKUP(D883, Repository!A:J, 9, 0), ""), "")</f>
        <v/>
      </c>
      <c r="S883" s="105"/>
      <c r="T883" s="105"/>
      <c r="U883" s="105"/>
      <c r="V883" s="105"/>
      <c r="W883" s="105"/>
      <c r="X883" s="105"/>
      <c r="Y883" s="105"/>
      <c r="Z883" s="105"/>
      <c r="AA883" s="105"/>
      <c r="AB883" s="105"/>
      <c r="AC883" s="91"/>
      <c r="AD883" s="105"/>
      <c r="AE883" s="105"/>
      <c r="AF883" s="91"/>
      <c r="AG883" s="105"/>
      <c r="AH883" s="105"/>
      <c r="AI883" s="105" t="str">
        <f t="shared" si="1"/>
        <v/>
      </c>
      <c r="AJ883" s="108" t="str">
        <f t="shared" si="2"/>
        <v/>
      </c>
    </row>
    <row r="884" ht="15.75" customHeight="1">
      <c r="A884" s="104"/>
      <c r="B884" s="105" t="str">
        <f>IFERROR(__xludf.DUMMYFUNCTION("ARRAY_CONSTRAIN(
  ARRAYFORMULA(
    IF(
      'Final Report'!A884="""",
      """",
      TEXTJOIN(
        "", "" &amp; CHAR(10),
        TRUE,
        IFERROR(
          VLOOKUP(
            TRIM(
              SPLIT('Final Report'!A884, "","")
           "&amp;" ),
            'URL Details'!A:B,
            2,
            FALSE
          ),
          """"
        )
      )
    )
  ),
  1,
  1
)
"),"")</f>
        <v/>
      </c>
      <c r="C884" s="105" t="str">
        <f>IFERROR(__xludf.DUMMYFUNCTION("IFERROR(IF('Final Report'!A884="""","""", TEXTJOIN(CHAR(10), TRUE, ARRAYFORMULA( ""• ""&amp; FILTER( TRIM(FLATTEN(SPLIT( REGEXREPLACE( SUBSTITUTE(TEXTJOIN("","", TRUE, IFERROR(ARRAYFORMULA(VLOOKUP(TRIM(SPLIT('Final Report'!A884, "","")), 'URL Details'!A:D, 4,"&amp;" FALSE)),"""") ), CHAR(10), "",""), ""\s*,\s*"", "",""), "",""))), TRIM(FLATTEN(SPLIT( REGEXREPLACE( SUBSTITUTE(TEXTJOIN("","", TRUE, IFERROR(ARRAYFORMULA(VLOOKUP(TRIM(SPLIT('Final Report'!A884, "","")), 'URL Details'!A:D, 4, FALSE)),"""") ), CHAR(10), """&amp;",""), ""\s*,\s*"", "",""), "","")))&lt;&gt;"""" ) ) ) ),"""")
"),"")</f>
        <v/>
      </c>
      <c r="D884" s="105"/>
      <c r="E884" s="105"/>
      <c r="F884" s="110" t="b">
        <v>0</v>
      </c>
      <c r="G884" s="105" t="str">
        <f>IF(F884=True, IFERROR(VLOOKUP(D884, Repository!A:B, 2, 0), ""), "")</f>
        <v/>
      </c>
      <c r="H884" s="105"/>
      <c r="I884" s="105"/>
      <c r="J884" s="105" t="str">
        <f>IF(F884=True, IFERROR(VLOOKUP(D884, Repository!A:C, 3, 0), ""), "")</f>
        <v/>
      </c>
      <c r="K884" s="105"/>
      <c r="L884" s="105" t="str">
        <f>IF(F884=True, IFERROR(VLOOKUP(D884, Repository!A:E, 5, 0), ""), "")</f>
        <v/>
      </c>
      <c r="M884" s="105"/>
      <c r="N884" s="105" t="str">
        <f>IF(F884=True, IFERROR(VLOOKUP(D884, Repository!A:G, 7, 0), ""), "")</f>
        <v/>
      </c>
      <c r="O884" s="105" t="str">
        <f>IFERROR(__xludf.DUMMYFUNCTION("ARRAY_CONSTRAIN(
  ARRAYFORMULA(
    IFERROR(
      LET(
        list, N884,
        arr, TRIM(SPLIT(list, "","")),
        names, XLOOKUP(
          arr,
          'Conformance Score'!A:A,
          'Conformance Score'!B:B,
          ""Not found""
      "&amp;"  ),
        TEXTJOIN("", "", TRUE, names)
      ),
      """"
    )
  ),
  1,
  1
)
"),"")</f>
        <v/>
      </c>
      <c r="P884" s="105" t="str">
        <f>IF(F884="Yes", IFERROR(VLOOKUP(D884, Repository!A:F, 6, 0), ""), "")</f>
        <v/>
      </c>
      <c r="Q884" s="105" t="str">
        <f>IF(F884="Yes", IFERROR(VLOOKUP(D884, Repository!A:I, 8, 0), ""), "")</f>
        <v/>
      </c>
      <c r="R884" s="105" t="str">
        <f>IF(F884="Yes", IFERROR(VLOOKUP(D884, Repository!A:J, 9, 0), ""), "")</f>
        <v/>
      </c>
      <c r="S884" s="105"/>
      <c r="T884" s="105"/>
      <c r="U884" s="105"/>
      <c r="V884" s="105"/>
      <c r="W884" s="105"/>
      <c r="X884" s="105"/>
      <c r="Y884" s="105"/>
      <c r="Z884" s="105"/>
      <c r="AA884" s="105"/>
      <c r="AB884" s="105"/>
      <c r="AC884" s="91"/>
      <c r="AD884" s="105"/>
      <c r="AE884" s="105"/>
      <c r="AF884" s="91"/>
      <c r="AG884" s="105"/>
      <c r="AH884" s="105"/>
      <c r="AI884" s="105" t="str">
        <f t="shared" si="1"/>
        <v/>
      </c>
      <c r="AJ884" s="108" t="str">
        <f t="shared" si="2"/>
        <v/>
      </c>
    </row>
    <row r="885" ht="15.75" customHeight="1">
      <c r="A885" s="104"/>
      <c r="B885" s="105" t="str">
        <f>IFERROR(__xludf.DUMMYFUNCTION("ARRAY_CONSTRAIN(
  ARRAYFORMULA(
    IF(
      'Final Report'!A885="""",
      """",
      TEXTJOIN(
        "", "" &amp; CHAR(10),
        TRUE,
        IFERROR(
          VLOOKUP(
            TRIM(
              SPLIT('Final Report'!A885, "","")
           "&amp;" ),
            'URL Details'!A:B,
            2,
            FALSE
          ),
          """"
        )
      )
    )
  ),
  1,
  1
)
"),"")</f>
        <v/>
      </c>
      <c r="C885" s="105" t="str">
        <f>IFERROR(__xludf.DUMMYFUNCTION("IFERROR(IF('Final Report'!A885="""","""", TEXTJOIN(CHAR(10), TRUE, ARRAYFORMULA( ""• ""&amp; FILTER( TRIM(FLATTEN(SPLIT( REGEXREPLACE( SUBSTITUTE(TEXTJOIN("","", TRUE, IFERROR(ARRAYFORMULA(VLOOKUP(TRIM(SPLIT('Final Report'!A885, "","")), 'URL Details'!A:D, 4,"&amp;" FALSE)),"""") ), CHAR(10), "",""), ""\s*,\s*"", "",""), "",""))), TRIM(FLATTEN(SPLIT( REGEXREPLACE( SUBSTITUTE(TEXTJOIN("","", TRUE, IFERROR(ARRAYFORMULA(VLOOKUP(TRIM(SPLIT('Final Report'!A885, "","")), 'URL Details'!A:D, 4, FALSE)),"""") ), CHAR(10), """&amp;",""), ""\s*,\s*"", "",""), "","")))&lt;&gt;"""" ) ) ) ),"""")
"),"")</f>
        <v/>
      </c>
      <c r="D885" s="105"/>
      <c r="E885" s="105"/>
      <c r="F885" s="110" t="b">
        <v>0</v>
      </c>
      <c r="G885" s="105" t="str">
        <f>IF(F885=True, IFERROR(VLOOKUP(D885, Repository!A:B, 2, 0), ""), "")</f>
        <v/>
      </c>
      <c r="H885" s="105"/>
      <c r="I885" s="105"/>
      <c r="J885" s="105" t="str">
        <f>IF(F885=True, IFERROR(VLOOKUP(D885, Repository!A:C, 3, 0), ""), "")</f>
        <v/>
      </c>
      <c r="K885" s="105"/>
      <c r="L885" s="105" t="str">
        <f>IF(F885=True, IFERROR(VLOOKUP(D885, Repository!A:E, 5, 0), ""), "")</f>
        <v/>
      </c>
      <c r="M885" s="105"/>
      <c r="N885" s="105" t="str">
        <f>IF(F885=True, IFERROR(VLOOKUP(D885, Repository!A:G, 7, 0), ""), "")</f>
        <v/>
      </c>
      <c r="O885" s="105" t="str">
        <f>IFERROR(__xludf.DUMMYFUNCTION("ARRAY_CONSTRAIN(
  ARRAYFORMULA(
    IFERROR(
      LET(
        list, N885,
        arr, TRIM(SPLIT(list, "","")),
        names, XLOOKUP(
          arr,
          'Conformance Score'!A:A,
          'Conformance Score'!B:B,
          ""Not found""
      "&amp;"  ),
        TEXTJOIN("", "", TRUE, names)
      ),
      """"
    )
  ),
  1,
  1
)
"),"")</f>
        <v/>
      </c>
      <c r="P885" s="105" t="str">
        <f>IF(F885="Yes", IFERROR(VLOOKUP(D885, Repository!A:F, 6, 0), ""), "")</f>
        <v/>
      </c>
      <c r="Q885" s="105" t="str">
        <f>IF(F885="Yes", IFERROR(VLOOKUP(D885, Repository!A:I, 8, 0), ""), "")</f>
        <v/>
      </c>
      <c r="R885" s="105" t="str">
        <f>IF(F885="Yes", IFERROR(VLOOKUP(D885, Repository!A:J, 9, 0), ""), "")</f>
        <v/>
      </c>
      <c r="S885" s="105"/>
      <c r="T885" s="105"/>
      <c r="U885" s="105"/>
      <c r="V885" s="105"/>
      <c r="W885" s="105"/>
      <c r="X885" s="105"/>
      <c r="Y885" s="105"/>
      <c r="Z885" s="105"/>
      <c r="AA885" s="105"/>
      <c r="AB885" s="105"/>
      <c r="AC885" s="91"/>
      <c r="AD885" s="105"/>
      <c r="AE885" s="105"/>
      <c r="AF885" s="91"/>
      <c r="AG885" s="105"/>
      <c r="AH885" s="105"/>
      <c r="AI885" s="105" t="str">
        <f t="shared" si="1"/>
        <v/>
      </c>
      <c r="AJ885" s="108" t="str">
        <f t="shared" si="2"/>
        <v/>
      </c>
    </row>
    <row r="886" ht="15.75" customHeight="1">
      <c r="A886" s="104"/>
      <c r="B886" s="105" t="str">
        <f>IFERROR(__xludf.DUMMYFUNCTION("ARRAY_CONSTRAIN(
  ARRAYFORMULA(
    IF(
      'Final Report'!A886="""",
      """",
      TEXTJOIN(
        "", "" &amp; CHAR(10),
        TRUE,
        IFERROR(
          VLOOKUP(
            TRIM(
              SPLIT('Final Report'!A886, "","")
           "&amp;" ),
            'URL Details'!A:B,
            2,
            FALSE
          ),
          """"
        )
      )
    )
  ),
  1,
  1
)
"),"")</f>
        <v/>
      </c>
      <c r="C886" s="105" t="str">
        <f>IFERROR(__xludf.DUMMYFUNCTION("IFERROR(IF('Final Report'!A886="""","""", TEXTJOIN(CHAR(10), TRUE, ARRAYFORMULA( ""• ""&amp; FILTER( TRIM(FLATTEN(SPLIT( REGEXREPLACE( SUBSTITUTE(TEXTJOIN("","", TRUE, IFERROR(ARRAYFORMULA(VLOOKUP(TRIM(SPLIT('Final Report'!A886, "","")), 'URL Details'!A:D, 4,"&amp;" FALSE)),"""") ), CHAR(10), "",""), ""\s*,\s*"", "",""), "",""))), TRIM(FLATTEN(SPLIT( REGEXREPLACE( SUBSTITUTE(TEXTJOIN("","", TRUE, IFERROR(ARRAYFORMULA(VLOOKUP(TRIM(SPLIT('Final Report'!A886, "","")), 'URL Details'!A:D, 4, FALSE)),"""") ), CHAR(10), """&amp;",""), ""\s*,\s*"", "",""), "","")))&lt;&gt;"""" ) ) ) ),"""")
"),"")</f>
        <v/>
      </c>
      <c r="D886" s="105"/>
      <c r="E886" s="105"/>
      <c r="F886" s="110" t="b">
        <v>0</v>
      </c>
      <c r="G886" s="105" t="str">
        <f>IF(F886=True, IFERROR(VLOOKUP(D886, Repository!A:B, 2, 0), ""), "")</f>
        <v/>
      </c>
      <c r="H886" s="105"/>
      <c r="I886" s="105"/>
      <c r="J886" s="105" t="str">
        <f>IF(F886=True, IFERROR(VLOOKUP(D886, Repository!A:C, 3, 0), ""), "")</f>
        <v/>
      </c>
      <c r="K886" s="105"/>
      <c r="L886" s="105" t="str">
        <f>IF(F886=True, IFERROR(VLOOKUP(D886, Repository!A:E, 5, 0), ""), "")</f>
        <v/>
      </c>
      <c r="M886" s="105"/>
      <c r="N886" s="105" t="str">
        <f>IF(F886=True, IFERROR(VLOOKUP(D886, Repository!A:G, 7, 0), ""), "")</f>
        <v/>
      </c>
      <c r="O886" s="105" t="str">
        <f>IFERROR(__xludf.DUMMYFUNCTION("ARRAY_CONSTRAIN(
  ARRAYFORMULA(
    IFERROR(
      LET(
        list, N886,
        arr, TRIM(SPLIT(list, "","")),
        names, XLOOKUP(
          arr,
          'Conformance Score'!A:A,
          'Conformance Score'!B:B,
          ""Not found""
      "&amp;"  ),
        TEXTJOIN("", "", TRUE, names)
      ),
      """"
    )
  ),
  1,
  1
)
"),"")</f>
        <v/>
      </c>
      <c r="P886" s="105" t="str">
        <f>IF(F886="Yes", IFERROR(VLOOKUP(D886, Repository!A:F, 6, 0), ""), "")</f>
        <v/>
      </c>
      <c r="Q886" s="105" t="str">
        <f>IF(F886="Yes", IFERROR(VLOOKUP(D886, Repository!A:I, 8, 0), ""), "")</f>
        <v/>
      </c>
      <c r="R886" s="105" t="str">
        <f>IF(F886="Yes", IFERROR(VLOOKUP(D886, Repository!A:J, 9, 0), ""), "")</f>
        <v/>
      </c>
      <c r="S886" s="105"/>
      <c r="T886" s="105"/>
      <c r="U886" s="105"/>
      <c r="V886" s="105"/>
      <c r="W886" s="105"/>
      <c r="X886" s="105"/>
      <c r="Y886" s="105"/>
      <c r="Z886" s="105"/>
      <c r="AA886" s="105"/>
      <c r="AB886" s="105"/>
      <c r="AC886" s="91"/>
      <c r="AD886" s="105"/>
      <c r="AE886" s="105"/>
      <c r="AF886" s="91"/>
      <c r="AG886" s="105"/>
      <c r="AH886" s="105"/>
      <c r="AI886" s="105" t="str">
        <f t="shared" si="1"/>
        <v/>
      </c>
      <c r="AJ886" s="108" t="str">
        <f t="shared" si="2"/>
        <v/>
      </c>
    </row>
    <row r="887" ht="15.75" customHeight="1">
      <c r="A887" s="104"/>
      <c r="B887" s="105" t="str">
        <f>IFERROR(__xludf.DUMMYFUNCTION("ARRAY_CONSTRAIN(
  ARRAYFORMULA(
    IF(
      'Final Report'!A887="""",
      """",
      TEXTJOIN(
        "", "" &amp; CHAR(10),
        TRUE,
        IFERROR(
          VLOOKUP(
            TRIM(
              SPLIT('Final Report'!A887, "","")
           "&amp;" ),
            'URL Details'!A:B,
            2,
            FALSE
          ),
          """"
        )
      )
    )
  ),
  1,
  1
)
"),"")</f>
        <v/>
      </c>
      <c r="C887" s="105" t="str">
        <f>IFERROR(__xludf.DUMMYFUNCTION("IFERROR(IF('Final Report'!A887="""","""", TEXTJOIN(CHAR(10), TRUE, ARRAYFORMULA( ""• ""&amp; FILTER( TRIM(FLATTEN(SPLIT( REGEXREPLACE( SUBSTITUTE(TEXTJOIN("","", TRUE, IFERROR(ARRAYFORMULA(VLOOKUP(TRIM(SPLIT('Final Report'!A887, "","")), 'URL Details'!A:D, 4,"&amp;" FALSE)),"""") ), CHAR(10), "",""), ""\s*,\s*"", "",""), "",""))), TRIM(FLATTEN(SPLIT( REGEXREPLACE( SUBSTITUTE(TEXTJOIN("","", TRUE, IFERROR(ARRAYFORMULA(VLOOKUP(TRIM(SPLIT('Final Report'!A887, "","")), 'URL Details'!A:D, 4, FALSE)),"""") ), CHAR(10), """&amp;",""), ""\s*,\s*"", "",""), "","")))&lt;&gt;"""" ) ) ) ),"""")
"),"")</f>
        <v/>
      </c>
      <c r="D887" s="105"/>
      <c r="E887" s="105"/>
      <c r="F887" s="110" t="b">
        <v>0</v>
      </c>
      <c r="G887" s="105" t="str">
        <f>IF(F887=True, IFERROR(VLOOKUP(D887, Repository!A:B, 2, 0), ""), "")</f>
        <v/>
      </c>
      <c r="H887" s="105"/>
      <c r="I887" s="105"/>
      <c r="J887" s="105" t="str">
        <f>IF(F887=True, IFERROR(VLOOKUP(D887, Repository!A:C, 3, 0), ""), "")</f>
        <v/>
      </c>
      <c r="K887" s="105"/>
      <c r="L887" s="105" t="str">
        <f>IF(F887=True, IFERROR(VLOOKUP(D887, Repository!A:E, 5, 0), ""), "")</f>
        <v/>
      </c>
      <c r="M887" s="105"/>
      <c r="N887" s="105" t="str">
        <f>IF(F887=True, IFERROR(VLOOKUP(D887, Repository!A:G, 7, 0), ""), "")</f>
        <v/>
      </c>
      <c r="O887" s="105" t="str">
        <f>IFERROR(__xludf.DUMMYFUNCTION("ARRAY_CONSTRAIN(
  ARRAYFORMULA(
    IFERROR(
      LET(
        list, N887,
        arr, TRIM(SPLIT(list, "","")),
        names, XLOOKUP(
          arr,
          'Conformance Score'!A:A,
          'Conformance Score'!B:B,
          ""Not found""
      "&amp;"  ),
        TEXTJOIN("", "", TRUE, names)
      ),
      """"
    )
  ),
  1,
  1
)
"),"")</f>
        <v/>
      </c>
      <c r="P887" s="105" t="str">
        <f>IF(F887="Yes", IFERROR(VLOOKUP(D887, Repository!A:F, 6, 0), ""), "")</f>
        <v/>
      </c>
      <c r="Q887" s="105" t="str">
        <f>IF(F887="Yes", IFERROR(VLOOKUP(D887, Repository!A:I, 8, 0), ""), "")</f>
        <v/>
      </c>
      <c r="R887" s="105" t="str">
        <f>IF(F887="Yes", IFERROR(VLOOKUP(D887, Repository!A:J, 9, 0), ""), "")</f>
        <v/>
      </c>
      <c r="S887" s="105"/>
      <c r="T887" s="105"/>
      <c r="U887" s="105"/>
      <c r="V887" s="105"/>
      <c r="W887" s="105"/>
      <c r="X887" s="105"/>
      <c r="Y887" s="105"/>
      <c r="Z887" s="105"/>
      <c r="AA887" s="105"/>
      <c r="AB887" s="105"/>
      <c r="AC887" s="91"/>
      <c r="AD887" s="105"/>
      <c r="AE887" s="105"/>
      <c r="AF887" s="91"/>
      <c r="AG887" s="105"/>
      <c r="AH887" s="105"/>
      <c r="AI887" s="105" t="str">
        <f t="shared" si="1"/>
        <v/>
      </c>
      <c r="AJ887" s="108" t="str">
        <f t="shared" si="2"/>
        <v/>
      </c>
    </row>
    <row r="888" ht="15.75" customHeight="1">
      <c r="A888" s="104"/>
      <c r="B888" s="105" t="str">
        <f>IFERROR(__xludf.DUMMYFUNCTION("ARRAY_CONSTRAIN(
  ARRAYFORMULA(
    IF(
      'Final Report'!A888="""",
      """",
      TEXTJOIN(
        "", "" &amp; CHAR(10),
        TRUE,
        IFERROR(
          VLOOKUP(
            TRIM(
              SPLIT('Final Report'!A888, "","")
           "&amp;" ),
            'URL Details'!A:B,
            2,
            FALSE
          ),
          """"
        )
      )
    )
  ),
  1,
  1
)
"),"")</f>
        <v/>
      </c>
      <c r="C888" s="105" t="str">
        <f>IFERROR(__xludf.DUMMYFUNCTION("IFERROR(IF('Final Report'!A888="""","""", TEXTJOIN(CHAR(10), TRUE, ARRAYFORMULA( ""• ""&amp; FILTER( TRIM(FLATTEN(SPLIT( REGEXREPLACE( SUBSTITUTE(TEXTJOIN("","", TRUE, IFERROR(ARRAYFORMULA(VLOOKUP(TRIM(SPLIT('Final Report'!A888, "","")), 'URL Details'!A:D, 4,"&amp;" FALSE)),"""") ), CHAR(10), "",""), ""\s*,\s*"", "",""), "",""))), TRIM(FLATTEN(SPLIT( REGEXREPLACE( SUBSTITUTE(TEXTJOIN("","", TRUE, IFERROR(ARRAYFORMULA(VLOOKUP(TRIM(SPLIT('Final Report'!A888, "","")), 'URL Details'!A:D, 4, FALSE)),"""") ), CHAR(10), """&amp;",""), ""\s*,\s*"", "",""), "","")))&lt;&gt;"""" ) ) ) ),"""")
"),"")</f>
        <v/>
      </c>
      <c r="D888" s="105"/>
      <c r="E888" s="105"/>
      <c r="F888" s="110" t="b">
        <v>0</v>
      </c>
      <c r="G888" s="105" t="str">
        <f>IF(F888=True, IFERROR(VLOOKUP(D888, Repository!A:B, 2, 0), ""), "")</f>
        <v/>
      </c>
      <c r="H888" s="105"/>
      <c r="I888" s="105"/>
      <c r="J888" s="105" t="str">
        <f>IF(F888=True, IFERROR(VLOOKUP(D888, Repository!A:C, 3, 0), ""), "")</f>
        <v/>
      </c>
      <c r="K888" s="105"/>
      <c r="L888" s="105" t="str">
        <f>IF(F888=True, IFERROR(VLOOKUP(D888, Repository!A:E, 5, 0), ""), "")</f>
        <v/>
      </c>
      <c r="M888" s="105"/>
      <c r="N888" s="105" t="str">
        <f>IF(F888=True, IFERROR(VLOOKUP(D888, Repository!A:G, 7, 0), ""), "")</f>
        <v/>
      </c>
      <c r="O888" s="105" t="str">
        <f>IFERROR(__xludf.DUMMYFUNCTION("ARRAY_CONSTRAIN(
  ARRAYFORMULA(
    IFERROR(
      LET(
        list, N888,
        arr, TRIM(SPLIT(list, "","")),
        names, XLOOKUP(
          arr,
          'Conformance Score'!A:A,
          'Conformance Score'!B:B,
          ""Not found""
      "&amp;"  ),
        TEXTJOIN("", "", TRUE, names)
      ),
      """"
    )
  ),
  1,
  1
)
"),"")</f>
        <v/>
      </c>
      <c r="P888" s="105" t="str">
        <f>IF(F888="Yes", IFERROR(VLOOKUP(D888, Repository!A:F, 6, 0), ""), "")</f>
        <v/>
      </c>
      <c r="Q888" s="105" t="str">
        <f>IF(F888="Yes", IFERROR(VLOOKUP(D888, Repository!A:I, 8, 0), ""), "")</f>
        <v/>
      </c>
      <c r="R888" s="105" t="str">
        <f>IF(F888="Yes", IFERROR(VLOOKUP(D888, Repository!A:J, 9, 0), ""), "")</f>
        <v/>
      </c>
      <c r="S888" s="105"/>
      <c r="T888" s="105"/>
      <c r="U888" s="105"/>
      <c r="V888" s="105"/>
      <c r="W888" s="105"/>
      <c r="X888" s="105"/>
      <c r="Y888" s="105"/>
      <c r="Z888" s="105"/>
      <c r="AA888" s="105"/>
      <c r="AB888" s="105"/>
      <c r="AC888" s="91"/>
      <c r="AD888" s="105"/>
      <c r="AE888" s="105"/>
      <c r="AF888" s="91"/>
      <c r="AG888" s="105"/>
      <c r="AH888" s="105"/>
      <c r="AI888" s="105" t="str">
        <f t="shared" si="1"/>
        <v/>
      </c>
      <c r="AJ888" s="108" t="str">
        <f t="shared" si="2"/>
        <v/>
      </c>
    </row>
    <row r="889" ht="15.75" customHeight="1">
      <c r="A889" s="104"/>
      <c r="B889" s="105" t="str">
        <f>IFERROR(__xludf.DUMMYFUNCTION("ARRAY_CONSTRAIN(
  ARRAYFORMULA(
    IF(
      'Final Report'!A889="""",
      """",
      TEXTJOIN(
        "", "" &amp; CHAR(10),
        TRUE,
        IFERROR(
          VLOOKUP(
            TRIM(
              SPLIT('Final Report'!A889, "","")
           "&amp;" ),
            'URL Details'!A:B,
            2,
            FALSE
          ),
          """"
        )
      )
    )
  ),
  1,
  1
)
"),"")</f>
        <v/>
      </c>
      <c r="C889" s="105" t="str">
        <f>IFERROR(__xludf.DUMMYFUNCTION("IFERROR(IF('Final Report'!A889="""","""", TEXTJOIN(CHAR(10), TRUE, ARRAYFORMULA( ""• ""&amp; FILTER( TRIM(FLATTEN(SPLIT( REGEXREPLACE( SUBSTITUTE(TEXTJOIN("","", TRUE, IFERROR(ARRAYFORMULA(VLOOKUP(TRIM(SPLIT('Final Report'!A889, "","")), 'URL Details'!A:D, 4,"&amp;" FALSE)),"""") ), CHAR(10), "",""), ""\s*,\s*"", "",""), "",""))), TRIM(FLATTEN(SPLIT( REGEXREPLACE( SUBSTITUTE(TEXTJOIN("","", TRUE, IFERROR(ARRAYFORMULA(VLOOKUP(TRIM(SPLIT('Final Report'!A889, "","")), 'URL Details'!A:D, 4, FALSE)),"""") ), CHAR(10), """&amp;",""), ""\s*,\s*"", "",""), "","")))&lt;&gt;"""" ) ) ) ),"""")
"),"")</f>
        <v/>
      </c>
      <c r="D889" s="105"/>
      <c r="E889" s="105"/>
      <c r="F889" s="110" t="b">
        <v>0</v>
      </c>
      <c r="G889" s="105" t="str">
        <f>IF(F889=True, IFERROR(VLOOKUP(D889, Repository!A:B, 2, 0), ""), "")</f>
        <v/>
      </c>
      <c r="H889" s="105"/>
      <c r="I889" s="105"/>
      <c r="J889" s="105" t="str">
        <f>IF(F889=True, IFERROR(VLOOKUP(D889, Repository!A:C, 3, 0), ""), "")</f>
        <v/>
      </c>
      <c r="K889" s="105"/>
      <c r="L889" s="105" t="str">
        <f>IF(F889=True, IFERROR(VLOOKUP(D889, Repository!A:E, 5, 0), ""), "")</f>
        <v/>
      </c>
      <c r="M889" s="105"/>
      <c r="N889" s="105" t="str">
        <f>IF(F889=True, IFERROR(VLOOKUP(D889, Repository!A:G, 7, 0), ""), "")</f>
        <v/>
      </c>
      <c r="O889" s="105" t="str">
        <f>IFERROR(__xludf.DUMMYFUNCTION("ARRAY_CONSTRAIN(
  ARRAYFORMULA(
    IFERROR(
      LET(
        list, N889,
        arr, TRIM(SPLIT(list, "","")),
        names, XLOOKUP(
          arr,
          'Conformance Score'!A:A,
          'Conformance Score'!B:B,
          ""Not found""
      "&amp;"  ),
        TEXTJOIN("", "", TRUE, names)
      ),
      """"
    )
  ),
  1,
  1
)
"),"")</f>
        <v/>
      </c>
      <c r="P889" s="105" t="str">
        <f>IF(F889="Yes", IFERROR(VLOOKUP(D889, Repository!A:F, 6, 0), ""), "")</f>
        <v/>
      </c>
      <c r="Q889" s="105" t="str">
        <f>IF(F889="Yes", IFERROR(VLOOKUP(D889, Repository!A:I, 8, 0), ""), "")</f>
        <v/>
      </c>
      <c r="R889" s="105" t="str">
        <f>IF(F889="Yes", IFERROR(VLOOKUP(D889, Repository!A:J, 9, 0), ""), "")</f>
        <v/>
      </c>
      <c r="S889" s="105"/>
      <c r="T889" s="105"/>
      <c r="U889" s="105"/>
      <c r="V889" s="105"/>
      <c r="W889" s="105"/>
      <c r="X889" s="105"/>
      <c r="Y889" s="105"/>
      <c r="Z889" s="105"/>
      <c r="AA889" s="105"/>
      <c r="AB889" s="105"/>
      <c r="AC889" s="91"/>
      <c r="AD889" s="105"/>
      <c r="AE889" s="105"/>
      <c r="AF889" s="91"/>
      <c r="AG889" s="105"/>
      <c r="AH889" s="105"/>
      <c r="AI889" s="105" t="str">
        <f t="shared" si="1"/>
        <v/>
      </c>
      <c r="AJ889" s="108" t="str">
        <f t="shared" si="2"/>
        <v/>
      </c>
    </row>
    <row r="890" ht="15.75" customHeight="1">
      <c r="A890" s="104"/>
      <c r="B890" s="105" t="str">
        <f>IFERROR(__xludf.DUMMYFUNCTION("ARRAY_CONSTRAIN(
  ARRAYFORMULA(
    IF(
      'Final Report'!A890="""",
      """",
      TEXTJOIN(
        "", "" &amp; CHAR(10),
        TRUE,
        IFERROR(
          VLOOKUP(
            TRIM(
              SPLIT('Final Report'!A890, "","")
           "&amp;" ),
            'URL Details'!A:B,
            2,
            FALSE
          ),
          """"
        )
      )
    )
  ),
  1,
  1
)
"),"")</f>
        <v/>
      </c>
      <c r="C890" s="105" t="str">
        <f>IFERROR(__xludf.DUMMYFUNCTION("IFERROR(IF('Final Report'!A890="""","""", TEXTJOIN(CHAR(10), TRUE, ARRAYFORMULA( ""• ""&amp; FILTER( TRIM(FLATTEN(SPLIT( REGEXREPLACE( SUBSTITUTE(TEXTJOIN("","", TRUE, IFERROR(ARRAYFORMULA(VLOOKUP(TRIM(SPLIT('Final Report'!A890, "","")), 'URL Details'!A:D, 4,"&amp;" FALSE)),"""") ), CHAR(10), "",""), ""\s*,\s*"", "",""), "",""))), TRIM(FLATTEN(SPLIT( REGEXREPLACE( SUBSTITUTE(TEXTJOIN("","", TRUE, IFERROR(ARRAYFORMULA(VLOOKUP(TRIM(SPLIT('Final Report'!A890, "","")), 'URL Details'!A:D, 4, FALSE)),"""") ), CHAR(10), """&amp;",""), ""\s*,\s*"", "",""), "","")))&lt;&gt;"""" ) ) ) ),"""")
"),"")</f>
        <v/>
      </c>
      <c r="D890" s="105"/>
      <c r="E890" s="105"/>
      <c r="F890" s="110" t="b">
        <v>0</v>
      </c>
      <c r="G890" s="105" t="str">
        <f>IF(F890=True, IFERROR(VLOOKUP(D890, Repository!A:B, 2, 0), ""), "")</f>
        <v/>
      </c>
      <c r="H890" s="105"/>
      <c r="I890" s="105"/>
      <c r="J890" s="105" t="str">
        <f>IF(F890=True, IFERROR(VLOOKUP(D890, Repository!A:C, 3, 0), ""), "")</f>
        <v/>
      </c>
      <c r="K890" s="105"/>
      <c r="L890" s="105" t="str">
        <f>IF(F890=True, IFERROR(VLOOKUP(D890, Repository!A:E, 5, 0), ""), "")</f>
        <v/>
      </c>
      <c r="M890" s="105"/>
      <c r="N890" s="105" t="str">
        <f>IF(F890=True, IFERROR(VLOOKUP(D890, Repository!A:G, 7, 0), ""), "")</f>
        <v/>
      </c>
      <c r="O890" s="105" t="str">
        <f>IFERROR(__xludf.DUMMYFUNCTION("ARRAY_CONSTRAIN(
  ARRAYFORMULA(
    IFERROR(
      LET(
        list, N890,
        arr, TRIM(SPLIT(list, "","")),
        names, XLOOKUP(
          arr,
          'Conformance Score'!A:A,
          'Conformance Score'!B:B,
          ""Not found""
      "&amp;"  ),
        TEXTJOIN("", "", TRUE, names)
      ),
      """"
    )
  ),
  1,
  1
)
"),"")</f>
        <v/>
      </c>
      <c r="P890" s="105" t="str">
        <f>IF(F890="Yes", IFERROR(VLOOKUP(D890, Repository!A:F, 6, 0), ""), "")</f>
        <v/>
      </c>
      <c r="Q890" s="105" t="str">
        <f>IF(F890="Yes", IFERROR(VLOOKUP(D890, Repository!A:I, 8, 0), ""), "")</f>
        <v/>
      </c>
      <c r="R890" s="105" t="str">
        <f>IF(F890="Yes", IFERROR(VLOOKUP(D890, Repository!A:J, 9, 0), ""), "")</f>
        <v/>
      </c>
      <c r="S890" s="105"/>
      <c r="T890" s="105"/>
      <c r="U890" s="105"/>
      <c r="V890" s="105"/>
      <c r="W890" s="105"/>
      <c r="X890" s="105"/>
      <c r="Y890" s="105"/>
      <c r="Z890" s="105"/>
      <c r="AA890" s="105"/>
      <c r="AB890" s="105"/>
      <c r="AC890" s="91"/>
      <c r="AD890" s="105"/>
      <c r="AE890" s="105"/>
      <c r="AF890" s="91"/>
      <c r="AG890" s="105"/>
      <c r="AH890" s="105"/>
      <c r="AI890" s="105" t="str">
        <f t="shared" si="1"/>
        <v/>
      </c>
      <c r="AJ890" s="108" t="str">
        <f t="shared" si="2"/>
        <v/>
      </c>
    </row>
    <row r="891" ht="15.75" customHeight="1">
      <c r="A891" s="104"/>
      <c r="B891" s="105" t="str">
        <f>IFERROR(__xludf.DUMMYFUNCTION("ARRAY_CONSTRAIN(
  ARRAYFORMULA(
    IF(
      'Final Report'!A891="""",
      """",
      TEXTJOIN(
        "", "" &amp; CHAR(10),
        TRUE,
        IFERROR(
          VLOOKUP(
            TRIM(
              SPLIT('Final Report'!A891, "","")
           "&amp;" ),
            'URL Details'!A:B,
            2,
            FALSE
          ),
          """"
        )
      )
    )
  ),
  1,
  1
)
"),"")</f>
        <v/>
      </c>
      <c r="C891" s="105" t="str">
        <f>IFERROR(__xludf.DUMMYFUNCTION("IFERROR(IF('Final Report'!A891="""","""", TEXTJOIN(CHAR(10), TRUE, ARRAYFORMULA( ""• ""&amp; FILTER( TRIM(FLATTEN(SPLIT( REGEXREPLACE( SUBSTITUTE(TEXTJOIN("","", TRUE, IFERROR(ARRAYFORMULA(VLOOKUP(TRIM(SPLIT('Final Report'!A891, "","")), 'URL Details'!A:D, 4,"&amp;" FALSE)),"""") ), CHAR(10), "",""), ""\s*,\s*"", "",""), "",""))), TRIM(FLATTEN(SPLIT( REGEXREPLACE( SUBSTITUTE(TEXTJOIN("","", TRUE, IFERROR(ARRAYFORMULA(VLOOKUP(TRIM(SPLIT('Final Report'!A891, "","")), 'URL Details'!A:D, 4, FALSE)),"""") ), CHAR(10), """&amp;",""), ""\s*,\s*"", "",""), "","")))&lt;&gt;"""" ) ) ) ),"""")
"),"")</f>
        <v/>
      </c>
      <c r="D891" s="105"/>
      <c r="E891" s="105"/>
      <c r="F891" s="110" t="b">
        <v>0</v>
      </c>
      <c r="G891" s="105" t="str">
        <f>IF(F891=True, IFERROR(VLOOKUP(D891, Repository!A:B, 2, 0), ""), "")</f>
        <v/>
      </c>
      <c r="H891" s="105"/>
      <c r="I891" s="105"/>
      <c r="J891" s="105" t="str">
        <f>IF(F891=True, IFERROR(VLOOKUP(D891, Repository!A:C, 3, 0), ""), "")</f>
        <v/>
      </c>
      <c r="K891" s="105"/>
      <c r="L891" s="105" t="str">
        <f>IF(F891=True, IFERROR(VLOOKUP(D891, Repository!A:E, 5, 0), ""), "")</f>
        <v/>
      </c>
      <c r="M891" s="105"/>
      <c r="N891" s="105" t="str">
        <f>IF(F891=True, IFERROR(VLOOKUP(D891, Repository!A:G, 7, 0), ""), "")</f>
        <v/>
      </c>
      <c r="O891" s="105" t="str">
        <f>IFERROR(__xludf.DUMMYFUNCTION("ARRAY_CONSTRAIN(
  ARRAYFORMULA(
    IFERROR(
      LET(
        list, N891,
        arr, TRIM(SPLIT(list, "","")),
        names, XLOOKUP(
          arr,
          'Conformance Score'!A:A,
          'Conformance Score'!B:B,
          ""Not found""
      "&amp;"  ),
        TEXTJOIN("", "", TRUE, names)
      ),
      """"
    )
  ),
  1,
  1
)
"),"")</f>
        <v/>
      </c>
      <c r="P891" s="105" t="str">
        <f>IF(F891="Yes", IFERROR(VLOOKUP(D891, Repository!A:F, 6, 0), ""), "")</f>
        <v/>
      </c>
      <c r="Q891" s="105" t="str">
        <f>IF(F891="Yes", IFERROR(VLOOKUP(D891, Repository!A:I, 8, 0), ""), "")</f>
        <v/>
      </c>
      <c r="R891" s="105" t="str">
        <f>IF(F891="Yes", IFERROR(VLOOKUP(D891, Repository!A:J, 9, 0), ""), "")</f>
        <v/>
      </c>
      <c r="S891" s="105"/>
      <c r="T891" s="105"/>
      <c r="U891" s="105"/>
      <c r="V891" s="105"/>
      <c r="W891" s="105"/>
      <c r="X891" s="105"/>
      <c r="Y891" s="105"/>
      <c r="Z891" s="105"/>
      <c r="AA891" s="105"/>
      <c r="AB891" s="105"/>
      <c r="AC891" s="91"/>
      <c r="AD891" s="105"/>
      <c r="AE891" s="105"/>
      <c r="AF891" s="91"/>
      <c r="AG891" s="105"/>
      <c r="AH891" s="105"/>
      <c r="AI891" s="105" t="str">
        <f t="shared" si="1"/>
        <v/>
      </c>
      <c r="AJ891" s="108" t="str">
        <f t="shared" si="2"/>
        <v/>
      </c>
    </row>
    <row r="892" ht="15.75" customHeight="1">
      <c r="A892" s="104"/>
      <c r="B892" s="105" t="str">
        <f>IFERROR(__xludf.DUMMYFUNCTION("ARRAY_CONSTRAIN(
  ARRAYFORMULA(
    IF(
      'Final Report'!A892="""",
      """",
      TEXTJOIN(
        "", "" &amp; CHAR(10),
        TRUE,
        IFERROR(
          VLOOKUP(
            TRIM(
              SPLIT('Final Report'!A892, "","")
           "&amp;" ),
            'URL Details'!A:B,
            2,
            FALSE
          ),
          """"
        )
      )
    )
  ),
  1,
  1
)
"),"")</f>
        <v/>
      </c>
      <c r="C892" s="105" t="str">
        <f>IFERROR(__xludf.DUMMYFUNCTION("IFERROR(IF('Final Report'!A892="""","""", TEXTJOIN(CHAR(10), TRUE, ARRAYFORMULA( ""• ""&amp; FILTER( TRIM(FLATTEN(SPLIT( REGEXREPLACE( SUBSTITUTE(TEXTJOIN("","", TRUE, IFERROR(ARRAYFORMULA(VLOOKUP(TRIM(SPLIT('Final Report'!A892, "","")), 'URL Details'!A:D, 4,"&amp;" FALSE)),"""") ), CHAR(10), "",""), ""\s*,\s*"", "",""), "",""))), TRIM(FLATTEN(SPLIT( REGEXREPLACE( SUBSTITUTE(TEXTJOIN("","", TRUE, IFERROR(ARRAYFORMULA(VLOOKUP(TRIM(SPLIT('Final Report'!A892, "","")), 'URL Details'!A:D, 4, FALSE)),"""") ), CHAR(10), """&amp;",""), ""\s*,\s*"", "",""), "","")))&lt;&gt;"""" ) ) ) ),"""")
"),"")</f>
        <v/>
      </c>
      <c r="D892" s="105"/>
      <c r="E892" s="105"/>
      <c r="F892" s="110" t="b">
        <v>0</v>
      </c>
      <c r="G892" s="105" t="str">
        <f>IF(F892=True, IFERROR(VLOOKUP(D892, Repository!A:B, 2, 0), ""), "")</f>
        <v/>
      </c>
      <c r="H892" s="105"/>
      <c r="I892" s="105"/>
      <c r="J892" s="105" t="str">
        <f>IF(F892=True, IFERROR(VLOOKUP(D892, Repository!A:C, 3, 0), ""), "")</f>
        <v/>
      </c>
      <c r="K892" s="105"/>
      <c r="L892" s="105" t="str">
        <f>IF(F892=True, IFERROR(VLOOKUP(D892, Repository!A:E, 5, 0), ""), "")</f>
        <v/>
      </c>
      <c r="M892" s="105"/>
      <c r="N892" s="105" t="str">
        <f>IF(F892=True, IFERROR(VLOOKUP(D892, Repository!A:G, 7, 0), ""), "")</f>
        <v/>
      </c>
      <c r="O892" s="105" t="str">
        <f>IFERROR(__xludf.DUMMYFUNCTION("ARRAY_CONSTRAIN(
  ARRAYFORMULA(
    IFERROR(
      LET(
        list, N892,
        arr, TRIM(SPLIT(list, "","")),
        names, XLOOKUP(
          arr,
          'Conformance Score'!A:A,
          'Conformance Score'!B:B,
          ""Not found""
      "&amp;"  ),
        TEXTJOIN("", "", TRUE, names)
      ),
      """"
    )
  ),
  1,
  1
)
"),"")</f>
        <v/>
      </c>
      <c r="P892" s="105" t="str">
        <f>IF(F892="Yes", IFERROR(VLOOKUP(D892, Repository!A:F, 6, 0), ""), "")</f>
        <v/>
      </c>
      <c r="Q892" s="105" t="str">
        <f>IF(F892="Yes", IFERROR(VLOOKUP(D892, Repository!A:I, 8, 0), ""), "")</f>
        <v/>
      </c>
      <c r="R892" s="105" t="str">
        <f>IF(F892="Yes", IFERROR(VLOOKUP(D892, Repository!A:J, 9, 0), ""), "")</f>
        <v/>
      </c>
      <c r="S892" s="105"/>
      <c r="T892" s="105"/>
      <c r="U892" s="105"/>
      <c r="V892" s="105"/>
      <c r="W892" s="105"/>
      <c r="X892" s="105"/>
      <c r="Y892" s="105"/>
      <c r="Z892" s="105"/>
      <c r="AA892" s="105"/>
      <c r="AB892" s="105"/>
      <c r="AC892" s="91"/>
      <c r="AD892" s="105"/>
      <c r="AE892" s="105"/>
      <c r="AF892" s="91"/>
      <c r="AG892" s="105"/>
      <c r="AH892" s="105"/>
      <c r="AI892" s="105" t="str">
        <f t="shared" si="1"/>
        <v/>
      </c>
      <c r="AJ892" s="108" t="str">
        <f t="shared" si="2"/>
        <v/>
      </c>
    </row>
    <row r="893" ht="15.75" customHeight="1">
      <c r="A893" s="104"/>
      <c r="B893" s="105" t="str">
        <f>IFERROR(__xludf.DUMMYFUNCTION("ARRAY_CONSTRAIN(
  ARRAYFORMULA(
    IF(
      'Final Report'!A893="""",
      """",
      TEXTJOIN(
        "", "" &amp; CHAR(10),
        TRUE,
        IFERROR(
          VLOOKUP(
            TRIM(
              SPLIT('Final Report'!A893, "","")
           "&amp;" ),
            'URL Details'!A:B,
            2,
            FALSE
          ),
          """"
        )
      )
    )
  ),
  1,
  1
)
"),"")</f>
        <v/>
      </c>
      <c r="C893" s="105" t="str">
        <f>IFERROR(__xludf.DUMMYFUNCTION("IFERROR(IF('Final Report'!A893="""","""", TEXTJOIN(CHAR(10), TRUE, ARRAYFORMULA( ""• ""&amp; FILTER( TRIM(FLATTEN(SPLIT( REGEXREPLACE( SUBSTITUTE(TEXTJOIN("","", TRUE, IFERROR(ARRAYFORMULA(VLOOKUP(TRIM(SPLIT('Final Report'!A893, "","")), 'URL Details'!A:D, 4,"&amp;" FALSE)),"""") ), CHAR(10), "",""), ""\s*,\s*"", "",""), "",""))), TRIM(FLATTEN(SPLIT( REGEXREPLACE( SUBSTITUTE(TEXTJOIN("","", TRUE, IFERROR(ARRAYFORMULA(VLOOKUP(TRIM(SPLIT('Final Report'!A893, "","")), 'URL Details'!A:D, 4, FALSE)),"""") ), CHAR(10), """&amp;",""), ""\s*,\s*"", "",""), "","")))&lt;&gt;"""" ) ) ) ),"""")
"),"")</f>
        <v/>
      </c>
      <c r="D893" s="105"/>
      <c r="E893" s="105"/>
      <c r="F893" s="110" t="b">
        <v>0</v>
      </c>
      <c r="G893" s="105" t="str">
        <f>IF(F893=True, IFERROR(VLOOKUP(D893, Repository!A:B, 2, 0), ""), "")</f>
        <v/>
      </c>
      <c r="H893" s="105"/>
      <c r="I893" s="105"/>
      <c r="J893" s="105" t="str">
        <f>IF(F893=True, IFERROR(VLOOKUP(D893, Repository!A:C, 3, 0), ""), "")</f>
        <v/>
      </c>
      <c r="K893" s="105"/>
      <c r="L893" s="105" t="str">
        <f>IF(F893=True, IFERROR(VLOOKUP(D893, Repository!A:E, 5, 0), ""), "")</f>
        <v/>
      </c>
      <c r="M893" s="105"/>
      <c r="N893" s="105" t="str">
        <f>IF(F893=True, IFERROR(VLOOKUP(D893, Repository!A:G, 7, 0), ""), "")</f>
        <v/>
      </c>
      <c r="O893" s="105" t="str">
        <f>IFERROR(__xludf.DUMMYFUNCTION("ARRAY_CONSTRAIN(
  ARRAYFORMULA(
    IFERROR(
      LET(
        list, N893,
        arr, TRIM(SPLIT(list, "","")),
        names, XLOOKUP(
          arr,
          'Conformance Score'!A:A,
          'Conformance Score'!B:B,
          ""Not found""
      "&amp;"  ),
        TEXTJOIN("", "", TRUE, names)
      ),
      """"
    )
  ),
  1,
  1
)
"),"")</f>
        <v/>
      </c>
      <c r="P893" s="105" t="str">
        <f>IF(F893="Yes", IFERROR(VLOOKUP(D893, Repository!A:F, 6, 0), ""), "")</f>
        <v/>
      </c>
      <c r="Q893" s="105" t="str">
        <f>IF(F893="Yes", IFERROR(VLOOKUP(D893, Repository!A:I, 8, 0), ""), "")</f>
        <v/>
      </c>
      <c r="R893" s="105" t="str">
        <f>IF(F893="Yes", IFERROR(VLOOKUP(D893, Repository!A:J, 9, 0), ""), "")</f>
        <v/>
      </c>
      <c r="S893" s="105"/>
      <c r="T893" s="105"/>
      <c r="U893" s="105"/>
      <c r="V893" s="105"/>
      <c r="W893" s="105"/>
      <c r="X893" s="105"/>
      <c r="Y893" s="105"/>
      <c r="Z893" s="105"/>
      <c r="AA893" s="105"/>
      <c r="AB893" s="105"/>
      <c r="AC893" s="91"/>
      <c r="AD893" s="105"/>
      <c r="AE893" s="105"/>
      <c r="AF893" s="91"/>
      <c r="AG893" s="105"/>
      <c r="AH893" s="105"/>
      <c r="AI893" s="105" t="str">
        <f t="shared" si="1"/>
        <v/>
      </c>
      <c r="AJ893" s="108" t="str">
        <f t="shared" si="2"/>
        <v/>
      </c>
    </row>
    <row r="894" ht="15.75" customHeight="1">
      <c r="A894" s="104"/>
      <c r="B894" s="105" t="str">
        <f>IFERROR(__xludf.DUMMYFUNCTION("ARRAY_CONSTRAIN(
  ARRAYFORMULA(
    IF(
      'Final Report'!A894="""",
      """",
      TEXTJOIN(
        "", "" &amp; CHAR(10),
        TRUE,
        IFERROR(
          VLOOKUP(
            TRIM(
              SPLIT('Final Report'!A894, "","")
           "&amp;" ),
            'URL Details'!A:B,
            2,
            FALSE
          ),
          """"
        )
      )
    )
  ),
  1,
  1
)
"),"")</f>
        <v/>
      </c>
      <c r="C894" s="105" t="str">
        <f>IFERROR(__xludf.DUMMYFUNCTION("IFERROR(IF('Final Report'!A894="""","""", TEXTJOIN(CHAR(10), TRUE, ARRAYFORMULA( ""• ""&amp; FILTER( TRIM(FLATTEN(SPLIT( REGEXREPLACE( SUBSTITUTE(TEXTJOIN("","", TRUE, IFERROR(ARRAYFORMULA(VLOOKUP(TRIM(SPLIT('Final Report'!A894, "","")), 'URL Details'!A:D, 4,"&amp;" FALSE)),"""") ), CHAR(10), "",""), ""\s*,\s*"", "",""), "",""))), TRIM(FLATTEN(SPLIT( REGEXREPLACE( SUBSTITUTE(TEXTJOIN("","", TRUE, IFERROR(ARRAYFORMULA(VLOOKUP(TRIM(SPLIT('Final Report'!A894, "","")), 'URL Details'!A:D, 4, FALSE)),"""") ), CHAR(10), """&amp;",""), ""\s*,\s*"", "",""), "","")))&lt;&gt;"""" ) ) ) ),"""")
"),"")</f>
        <v/>
      </c>
      <c r="D894" s="105"/>
      <c r="E894" s="105"/>
      <c r="F894" s="110" t="b">
        <v>0</v>
      </c>
      <c r="G894" s="105" t="str">
        <f>IF(F894=True, IFERROR(VLOOKUP(D894, Repository!A:B, 2, 0), ""), "")</f>
        <v/>
      </c>
      <c r="H894" s="105"/>
      <c r="I894" s="105"/>
      <c r="J894" s="105" t="str">
        <f>IF(F894=True, IFERROR(VLOOKUP(D894, Repository!A:C, 3, 0), ""), "")</f>
        <v/>
      </c>
      <c r="K894" s="105"/>
      <c r="L894" s="105" t="str">
        <f>IF(F894=True, IFERROR(VLOOKUP(D894, Repository!A:E, 5, 0), ""), "")</f>
        <v/>
      </c>
      <c r="M894" s="105"/>
      <c r="N894" s="105" t="str">
        <f>IF(F894=True, IFERROR(VLOOKUP(D894, Repository!A:G, 7, 0), ""), "")</f>
        <v/>
      </c>
      <c r="O894" s="105" t="str">
        <f>IFERROR(__xludf.DUMMYFUNCTION("ARRAY_CONSTRAIN(
  ARRAYFORMULA(
    IFERROR(
      LET(
        list, N894,
        arr, TRIM(SPLIT(list, "","")),
        names, XLOOKUP(
          arr,
          'Conformance Score'!A:A,
          'Conformance Score'!B:B,
          ""Not found""
      "&amp;"  ),
        TEXTJOIN("", "", TRUE, names)
      ),
      """"
    )
  ),
  1,
  1
)
"),"")</f>
        <v/>
      </c>
      <c r="P894" s="105" t="str">
        <f>IF(F894="Yes", IFERROR(VLOOKUP(D894, Repository!A:F, 6, 0), ""), "")</f>
        <v/>
      </c>
      <c r="Q894" s="105" t="str">
        <f>IF(F894="Yes", IFERROR(VLOOKUP(D894, Repository!A:I, 8, 0), ""), "")</f>
        <v/>
      </c>
      <c r="R894" s="105" t="str">
        <f>IF(F894="Yes", IFERROR(VLOOKUP(D894, Repository!A:J, 9, 0), ""), "")</f>
        <v/>
      </c>
      <c r="S894" s="105"/>
      <c r="T894" s="105"/>
      <c r="U894" s="105"/>
      <c r="V894" s="105"/>
      <c r="W894" s="105"/>
      <c r="X894" s="105"/>
      <c r="Y894" s="105"/>
      <c r="Z894" s="105"/>
      <c r="AA894" s="105"/>
      <c r="AB894" s="105"/>
      <c r="AC894" s="91"/>
      <c r="AD894" s="105"/>
      <c r="AE894" s="105"/>
      <c r="AF894" s="91"/>
      <c r="AG894" s="105"/>
      <c r="AH894" s="105"/>
      <c r="AI894" s="105" t="str">
        <f t="shared" si="1"/>
        <v/>
      </c>
      <c r="AJ894" s="108" t="str">
        <f t="shared" si="2"/>
        <v/>
      </c>
    </row>
    <row r="895" ht="15.75" customHeight="1">
      <c r="A895" s="104"/>
      <c r="B895" s="105" t="str">
        <f>IFERROR(__xludf.DUMMYFUNCTION("ARRAY_CONSTRAIN(
  ARRAYFORMULA(
    IF(
      'Final Report'!A895="""",
      """",
      TEXTJOIN(
        "", "" &amp; CHAR(10),
        TRUE,
        IFERROR(
          VLOOKUP(
            TRIM(
              SPLIT('Final Report'!A895, "","")
           "&amp;" ),
            'URL Details'!A:B,
            2,
            FALSE
          ),
          """"
        )
      )
    )
  ),
  1,
  1
)
"),"")</f>
        <v/>
      </c>
      <c r="C895" s="105" t="str">
        <f>IFERROR(__xludf.DUMMYFUNCTION("IFERROR(IF('Final Report'!A895="""","""", TEXTJOIN(CHAR(10), TRUE, ARRAYFORMULA( ""• ""&amp; FILTER( TRIM(FLATTEN(SPLIT( REGEXREPLACE( SUBSTITUTE(TEXTJOIN("","", TRUE, IFERROR(ARRAYFORMULA(VLOOKUP(TRIM(SPLIT('Final Report'!A895, "","")), 'URL Details'!A:D, 4,"&amp;" FALSE)),"""") ), CHAR(10), "",""), ""\s*,\s*"", "",""), "",""))), TRIM(FLATTEN(SPLIT( REGEXREPLACE( SUBSTITUTE(TEXTJOIN("","", TRUE, IFERROR(ARRAYFORMULA(VLOOKUP(TRIM(SPLIT('Final Report'!A895, "","")), 'URL Details'!A:D, 4, FALSE)),"""") ), CHAR(10), """&amp;",""), ""\s*,\s*"", "",""), "","")))&lt;&gt;"""" ) ) ) ),"""")
"),"")</f>
        <v/>
      </c>
      <c r="D895" s="105"/>
      <c r="E895" s="105"/>
      <c r="F895" s="110" t="b">
        <v>0</v>
      </c>
      <c r="G895" s="105" t="str">
        <f>IF(F895=True, IFERROR(VLOOKUP(D895, Repository!A:B, 2, 0), ""), "")</f>
        <v/>
      </c>
      <c r="H895" s="105"/>
      <c r="I895" s="105"/>
      <c r="J895" s="105" t="str">
        <f>IF(F895=True, IFERROR(VLOOKUP(D895, Repository!A:C, 3, 0), ""), "")</f>
        <v/>
      </c>
      <c r="K895" s="105"/>
      <c r="L895" s="105" t="str">
        <f>IF(F895=True, IFERROR(VLOOKUP(D895, Repository!A:E, 5, 0), ""), "")</f>
        <v/>
      </c>
      <c r="M895" s="105"/>
      <c r="N895" s="105" t="str">
        <f>IF(F895=True, IFERROR(VLOOKUP(D895, Repository!A:G, 7, 0), ""), "")</f>
        <v/>
      </c>
      <c r="O895" s="105" t="str">
        <f>IFERROR(__xludf.DUMMYFUNCTION("ARRAY_CONSTRAIN(
  ARRAYFORMULA(
    IFERROR(
      LET(
        list, N895,
        arr, TRIM(SPLIT(list, "","")),
        names, XLOOKUP(
          arr,
          'Conformance Score'!A:A,
          'Conformance Score'!B:B,
          ""Not found""
      "&amp;"  ),
        TEXTJOIN("", "", TRUE, names)
      ),
      """"
    )
  ),
  1,
  1
)
"),"")</f>
        <v/>
      </c>
      <c r="P895" s="105" t="str">
        <f>IF(F895="Yes", IFERROR(VLOOKUP(D895, Repository!A:F, 6, 0), ""), "")</f>
        <v/>
      </c>
      <c r="Q895" s="105" t="str">
        <f>IF(F895="Yes", IFERROR(VLOOKUP(D895, Repository!A:I, 8, 0), ""), "")</f>
        <v/>
      </c>
      <c r="R895" s="105" t="str">
        <f>IF(F895="Yes", IFERROR(VLOOKUP(D895, Repository!A:J, 9, 0), ""), "")</f>
        <v/>
      </c>
      <c r="S895" s="105"/>
      <c r="T895" s="105"/>
      <c r="U895" s="105"/>
      <c r="V895" s="105"/>
      <c r="W895" s="105"/>
      <c r="X895" s="105"/>
      <c r="Y895" s="105"/>
      <c r="Z895" s="105"/>
      <c r="AA895" s="105"/>
      <c r="AB895" s="105"/>
      <c r="AC895" s="91"/>
      <c r="AD895" s="105"/>
      <c r="AE895" s="105"/>
      <c r="AF895" s="91"/>
      <c r="AG895" s="105"/>
      <c r="AH895" s="105"/>
      <c r="AI895" s="105" t="str">
        <f t="shared" si="1"/>
        <v/>
      </c>
      <c r="AJ895" s="108" t="str">
        <f t="shared" si="2"/>
        <v/>
      </c>
    </row>
    <row r="896" ht="15.75" customHeight="1">
      <c r="A896" s="104"/>
      <c r="B896" s="105" t="str">
        <f>IFERROR(__xludf.DUMMYFUNCTION("ARRAY_CONSTRAIN(
  ARRAYFORMULA(
    IF(
      'Final Report'!A896="""",
      """",
      TEXTJOIN(
        "", "" &amp; CHAR(10),
        TRUE,
        IFERROR(
          VLOOKUP(
            TRIM(
              SPLIT('Final Report'!A896, "","")
           "&amp;" ),
            'URL Details'!A:B,
            2,
            FALSE
          ),
          """"
        )
      )
    )
  ),
  1,
  1
)
"),"")</f>
        <v/>
      </c>
      <c r="C896" s="105" t="str">
        <f>IFERROR(__xludf.DUMMYFUNCTION("IFERROR(IF('Final Report'!A896="""","""", TEXTJOIN(CHAR(10), TRUE, ARRAYFORMULA( ""• ""&amp; FILTER( TRIM(FLATTEN(SPLIT( REGEXREPLACE( SUBSTITUTE(TEXTJOIN("","", TRUE, IFERROR(ARRAYFORMULA(VLOOKUP(TRIM(SPLIT('Final Report'!A896, "","")), 'URL Details'!A:D, 4,"&amp;" FALSE)),"""") ), CHAR(10), "",""), ""\s*,\s*"", "",""), "",""))), TRIM(FLATTEN(SPLIT( REGEXREPLACE( SUBSTITUTE(TEXTJOIN("","", TRUE, IFERROR(ARRAYFORMULA(VLOOKUP(TRIM(SPLIT('Final Report'!A896, "","")), 'URL Details'!A:D, 4, FALSE)),"""") ), CHAR(10), """&amp;",""), ""\s*,\s*"", "",""), "","")))&lt;&gt;"""" ) ) ) ),"""")
"),"")</f>
        <v/>
      </c>
      <c r="D896" s="105"/>
      <c r="E896" s="105"/>
      <c r="F896" s="110" t="b">
        <v>0</v>
      </c>
      <c r="G896" s="105" t="str">
        <f>IF(F896=True, IFERROR(VLOOKUP(D896, Repository!A:B, 2, 0), ""), "")</f>
        <v/>
      </c>
      <c r="H896" s="105"/>
      <c r="I896" s="105"/>
      <c r="J896" s="105" t="str">
        <f>IF(F896=True, IFERROR(VLOOKUP(D896, Repository!A:C, 3, 0), ""), "")</f>
        <v/>
      </c>
      <c r="K896" s="105"/>
      <c r="L896" s="105" t="str">
        <f>IF(F896=True, IFERROR(VLOOKUP(D896, Repository!A:E, 5, 0), ""), "")</f>
        <v/>
      </c>
      <c r="M896" s="105"/>
      <c r="N896" s="105" t="str">
        <f>IF(F896=True, IFERROR(VLOOKUP(D896, Repository!A:G, 7, 0), ""), "")</f>
        <v/>
      </c>
      <c r="O896" s="105" t="str">
        <f>IFERROR(__xludf.DUMMYFUNCTION("ARRAY_CONSTRAIN(
  ARRAYFORMULA(
    IFERROR(
      LET(
        list, N896,
        arr, TRIM(SPLIT(list, "","")),
        names, XLOOKUP(
          arr,
          'Conformance Score'!A:A,
          'Conformance Score'!B:B,
          ""Not found""
      "&amp;"  ),
        TEXTJOIN("", "", TRUE, names)
      ),
      """"
    )
  ),
  1,
  1
)
"),"")</f>
        <v/>
      </c>
      <c r="P896" s="105" t="str">
        <f>IF(F896="Yes", IFERROR(VLOOKUP(D896, Repository!A:F, 6, 0), ""), "")</f>
        <v/>
      </c>
      <c r="Q896" s="105" t="str">
        <f>IF(F896="Yes", IFERROR(VLOOKUP(D896, Repository!A:I, 8, 0), ""), "")</f>
        <v/>
      </c>
      <c r="R896" s="105" t="str">
        <f>IF(F896="Yes", IFERROR(VLOOKUP(D896, Repository!A:J, 9, 0), ""), "")</f>
        <v/>
      </c>
      <c r="S896" s="105"/>
      <c r="T896" s="105"/>
      <c r="U896" s="105"/>
      <c r="V896" s="105"/>
      <c r="W896" s="105"/>
      <c r="X896" s="105"/>
      <c r="Y896" s="105"/>
      <c r="Z896" s="105"/>
      <c r="AA896" s="105"/>
      <c r="AB896" s="105"/>
      <c r="AC896" s="91"/>
      <c r="AD896" s="105"/>
      <c r="AE896" s="105"/>
      <c r="AF896" s="91"/>
      <c r="AG896" s="105"/>
      <c r="AH896" s="105"/>
      <c r="AI896" s="105" t="str">
        <f t="shared" si="1"/>
        <v/>
      </c>
      <c r="AJ896" s="108" t="str">
        <f t="shared" si="2"/>
        <v/>
      </c>
    </row>
    <row r="897" ht="15.75" customHeight="1">
      <c r="A897" s="104"/>
      <c r="B897" s="105" t="str">
        <f>IFERROR(__xludf.DUMMYFUNCTION("ARRAY_CONSTRAIN(
  ARRAYFORMULA(
    IF(
      'Final Report'!A897="""",
      """",
      TEXTJOIN(
        "", "" &amp; CHAR(10),
        TRUE,
        IFERROR(
          VLOOKUP(
            TRIM(
              SPLIT('Final Report'!A897, "","")
           "&amp;" ),
            'URL Details'!A:B,
            2,
            FALSE
          ),
          """"
        )
      )
    )
  ),
  1,
  1
)
"),"")</f>
        <v/>
      </c>
      <c r="C897" s="105" t="str">
        <f>IFERROR(__xludf.DUMMYFUNCTION("IFERROR(IF('Final Report'!A897="""","""", TEXTJOIN(CHAR(10), TRUE, ARRAYFORMULA( ""• ""&amp; FILTER( TRIM(FLATTEN(SPLIT( REGEXREPLACE( SUBSTITUTE(TEXTJOIN("","", TRUE, IFERROR(ARRAYFORMULA(VLOOKUP(TRIM(SPLIT('Final Report'!A897, "","")), 'URL Details'!A:D, 4,"&amp;" FALSE)),"""") ), CHAR(10), "",""), ""\s*,\s*"", "",""), "",""))), TRIM(FLATTEN(SPLIT( REGEXREPLACE( SUBSTITUTE(TEXTJOIN("","", TRUE, IFERROR(ARRAYFORMULA(VLOOKUP(TRIM(SPLIT('Final Report'!A897, "","")), 'URL Details'!A:D, 4, FALSE)),"""") ), CHAR(10), """&amp;",""), ""\s*,\s*"", "",""), "","")))&lt;&gt;"""" ) ) ) ),"""")
"),"")</f>
        <v/>
      </c>
      <c r="D897" s="105"/>
      <c r="E897" s="105"/>
      <c r="F897" s="110" t="b">
        <v>0</v>
      </c>
      <c r="G897" s="105" t="str">
        <f>IF(F897=True, IFERROR(VLOOKUP(D897, Repository!A:B, 2, 0), ""), "")</f>
        <v/>
      </c>
      <c r="H897" s="105"/>
      <c r="I897" s="105"/>
      <c r="J897" s="105" t="str">
        <f>IF(F897=True, IFERROR(VLOOKUP(D897, Repository!A:C, 3, 0), ""), "")</f>
        <v/>
      </c>
      <c r="K897" s="105"/>
      <c r="L897" s="105" t="str">
        <f>IF(F897=True, IFERROR(VLOOKUP(D897, Repository!A:E, 5, 0), ""), "")</f>
        <v/>
      </c>
      <c r="M897" s="105"/>
      <c r="N897" s="105" t="str">
        <f>IF(F897=True, IFERROR(VLOOKUP(D897, Repository!A:G, 7, 0), ""), "")</f>
        <v/>
      </c>
      <c r="O897" s="105" t="str">
        <f>IFERROR(__xludf.DUMMYFUNCTION("ARRAY_CONSTRAIN(
  ARRAYFORMULA(
    IFERROR(
      LET(
        list, N897,
        arr, TRIM(SPLIT(list, "","")),
        names, XLOOKUP(
          arr,
          'Conformance Score'!A:A,
          'Conformance Score'!B:B,
          ""Not found""
      "&amp;"  ),
        TEXTJOIN("", "", TRUE, names)
      ),
      """"
    )
  ),
  1,
  1
)
"),"")</f>
        <v/>
      </c>
      <c r="P897" s="105" t="str">
        <f>IF(F897="Yes", IFERROR(VLOOKUP(D897, Repository!A:F, 6, 0), ""), "")</f>
        <v/>
      </c>
      <c r="Q897" s="105" t="str">
        <f>IF(F897="Yes", IFERROR(VLOOKUP(D897, Repository!A:I, 8, 0), ""), "")</f>
        <v/>
      </c>
      <c r="R897" s="105" t="str">
        <f>IF(F897="Yes", IFERROR(VLOOKUP(D897, Repository!A:J, 9, 0), ""), "")</f>
        <v/>
      </c>
      <c r="S897" s="105"/>
      <c r="T897" s="105"/>
      <c r="U897" s="105"/>
      <c r="V897" s="105"/>
      <c r="W897" s="105"/>
      <c r="X897" s="105"/>
      <c r="Y897" s="105"/>
      <c r="Z897" s="105"/>
      <c r="AA897" s="105"/>
      <c r="AB897" s="105"/>
      <c r="AC897" s="91"/>
      <c r="AD897" s="105"/>
      <c r="AE897" s="105"/>
      <c r="AF897" s="91"/>
      <c r="AG897" s="105"/>
      <c r="AH897" s="105"/>
      <c r="AI897" s="105" t="str">
        <f t="shared" si="1"/>
        <v/>
      </c>
      <c r="AJ897" s="108" t="str">
        <f t="shared" si="2"/>
        <v/>
      </c>
    </row>
    <row r="898" ht="15.75" customHeight="1">
      <c r="A898" s="104"/>
      <c r="B898" s="105" t="str">
        <f>IFERROR(__xludf.DUMMYFUNCTION("ARRAY_CONSTRAIN(
  ARRAYFORMULA(
    IF(
      'Final Report'!A898="""",
      """",
      TEXTJOIN(
        "", "" &amp; CHAR(10),
        TRUE,
        IFERROR(
          VLOOKUP(
            TRIM(
              SPLIT('Final Report'!A898, "","")
           "&amp;" ),
            'URL Details'!A:B,
            2,
            FALSE
          ),
          """"
        )
      )
    )
  ),
  1,
  1
)
"),"")</f>
        <v/>
      </c>
      <c r="C898" s="105" t="str">
        <f>IFERROR(__xludf.DUMMYFUNCTION("IFERROR(IF('Final Report'!A898="""","""", TEXTJOIN(CHAR(10), TRUE, ARRAYFORMULA( ""• ""&amp; FILTER( TRIM(FLATTEN(SPLIT( REGEXREPLACE( SUBSTITUTE(TEXTJOIN("","", TRUE, IFERROR(ARRAYFORMULA(VLOOKUP(TRIM(SPLIT('Final Report'!A898, "","")), 'URL Details'!A:D, 4,"&amp;" FALSE)),"""") ), CHAR(10), "",""), ""\s*,\s*"", "",""), "",""))), TRIM(FLATTEN(SPLIT( REGEXREPLACE( SUBSTITUTE(TEXTJOIN("","", TRUE, IFERROR(ARRAYFORMULA(VLOOKUP(TRIM(SPLIT('Final Report'!A898, "","")), 'URL Details'!A:D, 4, FALSE)),"""") ), CHAR(10), """&amp;",""), ""\s*,\s*"", "",""), "","")))&lt;&gt;"""" ) ) ) ),"""")
"),"")</f>
        <v/>
      </c>
      <c r="D898" s="105"/>
      <c r="E898" s="105"/>
      <c r="F898" s="110" t="b">
        <v>0</v>
      </c>
      <c r="G898" s="105" t="str">
        <f>IF(F898=True, IFERROR(VLOOKUP(D898, Repository!A:B, 2, 0), ""), "")</f>
        <v/>
      </c>
      <c r="H898" s="105"/>
      <c r="I898" s="105"/>
      <c r="J898" s="105" t="str">
        <f>IF(F898=True, IFERROR(VLOOKUP(D898, Repository!A:C, 3, 0), ""), "")</f>
        <v/>
      </c>
      <c r="K898" s="105"/>
      <c r="L898" s="105" t="str">
        <f>IF(F898=True, IFERROR(VLOOKUP(D898, Repository!A:E, 5, 0), ""), "")</f>
        <v/>
      </c>
      <c r="M898" s="105"/>
      <c r="N898" s="105" t="str">
        <f>IF(F898=True, IFERROR(VLOOKUP(D898, Repository!A:G, 7, 0), ""), "")</f>
        <v/>
      </c>
      <c r="O898" s="105" t="str">
        <f>IFERROR(__xludf.DUMMYFUNCTION("ARRAY_CONSTRAIN(
  ARRAYFORMULA(
    IFERROR(
      LET(
        list, N898,
        arr, TRIM(SPLIT(list, "","")),
        names, XLOOKUP(
          arr,
          'Conformance Score'!A:A,
          'Conformance Score'!B:B,
          ""Not found""
      "&amp;"  ),
        TEXTJOIN("", "", TRUE, names)
      ),
      """"
    )
  ),
  1,
  1
)
"),"")</f>
        <v/>
      </c>
      <c r="P898" s="105" t="str">
        <f>IF(F898="Yes", IFERROR(VLOOKUP(D898, Repository!A:F, 6, 0), ""), "")</f>
        <v/>
      </c>
      <c r="Q898" s="105" t="str">
        <f>IF(F898="Yes", IFERROR(VLOOKUP(D898, Repository!A:I, 8, 0), ""), "")</f>
        <v/>
      </c>
      <c r="R898" s="105" t="str">
        <f>IF(F898="Yes", IFERROR(VLOOKUP(D898, Repository!A:J, 9, 0), ""), "")</f>
        <v/>
      </c>
      <c r="S898" s="105"/>
      <c r="T898" s="105"/>
      <c r="U898" s="105"/>
      <c r="V898" s="105"/>
      <c r="W898" s="105"/>
      <c r="X898" s="105"/>
      <c r="Y898" s="105"/>
      <c r="Z898" s="105"/>
      <c r="AA898" s="105"/>
      <c r="AB898" s="105"/>
      <c r="AC898" s="91"/>
      <c r="AD898" s="105"/>
      <c r="AE898" s="105"/>
      <c r="AF898" s="91"/>
      <c r="AG898" s="105"/>
      <c r="AH898" s="105"/>
      <c r="AI898" s="105" t="str">
        <f t="shared" si="1"/>
        <v/>
      </c>
      <c r="AJ898" s="108" t="str">
        <f t="shared" si="2"/>
        <v/>
      </c>
    </row>
    <row r="899" ht="15.75" customHeight="1">
      <c r="A899" s="104"/>
      <c r="B899" s="105" t="str">
        <f>IFERROR(__xludf.DUMMYFUNCTION("ARRAY_CONSTRAIN(
  ARRAYFORMULA(
    IF(
      'Final Report'!A899="""",
      """",
      TEXTJOIN(
        "", "" &amp; CHAR(10),
        TRUE,
        IFERROR(
          VLOOKUP(
            TRIM(
              SPLIT('Final Report'!A899, "","")
           "&amp;" ),
            'URL Details'!A:B,
            2,
            FALSE
          ),
          """"
        )
      )
    )
  ),
  1,
  1
)
"),"")</f>
        <v/>
      </c>
      <c r="C899" s="105" t="str">
        <f>IFERROR(__xludf.DUMMYFUNCTION("IFERROR(IF('Final Report'!A899="""","""", TEXTJOIN(CHAR(10), TRUE, ARRAYFORMULA( ""• ""&amp; FILTER( TRIM(FLATTEN(SPLIT( REGEXREPLACE( SUBSTITUTE(TEXTJOIN("","", TRUE, IFERROR(ARRAYFORMULA(VLOOKUP(TRIM(SPLIT('Final Report'!A899, "","")), 'URL Details'!A:D, 4,"&amp;" FALSE)),"""") ), CHAR(10), "",""), ""\s*,\s*"", "",""), "",""))), TRIM(FLATTEN(SPLIT( REGEXREPLACE( SUBSTITUTE(TEXTJOIN("","", TRUE, IFERROR(ARRAYFORMULA(VLOOKUP(TRIM(SPLIT('Final Report'!A899, "","")), 'URL Details'!A:D, 4, FALSE)),"""") ), CHAR(10), """&amp;",""), ""\s*,\s*"", "",""), "","")))&lt;&gt;"""" ) ) ) ),"""")
"),"")</f>
        <v/>
      </c>
      <c r="D899" s="105"/>
      <c r="E899" s="105"/>
      <c r="F899" s="110" t="b">
        <v>0</v>
      </c>
      <c r="G899" s="105" t="str">
        <f>IF(F899=True, IFERROR(VLOOKUP(D899, Repository!A:B, 2, 0), ""), "")</f>
        <v/>
      </c>
      <c r="H899" s="105"/>
      <c r="I899" s="105"/>
      <c r="J899" s="105" t="str">
        <f>IF(F899=True, IFERROR(VLOOKUP(D899, Repository!A:C, 3, 0), ""), "")</f>
        <v/>
      </c>
      <c r="K899" s="105"/>
      <c r="L899" s="105" t="str">
        <f>IF(F899=True, IFERROR(VLOOKUP(D899, Repository!A:E, 5, 0), ""), "")</f>
        <v/>
      </c>
      <c r="M899" s="105"/>
      <c r="N899" s="105" t="str">
        <f>IF(F899=True, IFERROR(VLOOKUP(D899, Repository!A:G, 7, 0), ""), "")</f>
        <v/>
      </c>
      <c r="O899" s="105" t="str">
        <f>IFERROR(__xludf.DUMMYFUNCTION("ARRAY_CONSTRAIN(
  ARRAYFORMULA(
    IFERROR(
      LET(
        list, N899,
        arr, TRIM(SPLIT(list, "","")),
        names, XLOOKUP(
          arr,
          'Conformance Score'!A:A,
          'Conformance Score'!B:B,
          ""Not found""
      "&amp;"  ),
        TEXTJOIN("", "", TRUE, names)
      ),
      """"
    )
  ),
  1,
  1
)
"),"")</f>
        <v/>
      </c>
      <c r="P899" s="105" t="str">
        <f>IF(F899="Yes", IFERROR(VLOOKUP(D899, Repository!A:F, 6, 0), ""), "")</f>
        <v/>
      </c>
      <c r="Q899" s="105" t="str">
        <f>IF(F899="Yes", IFERROR(VLOOKUP(D899, Repository!A:I, 8, 0), ""), "")</f>
        <v/>
      </c>
      <c r="R899" s="105" t="str">
        <f>IF(F899="Yes", IFERROR(VLOOKUP(D899, Repository!A:J, 9, 0), ""), "")</f>
        <v/>
      </c>
      <c r="S899" s="105"/>
      <c r="T899" s="105"/>
      <c r="U899" s="105"/>
      <c r="V899" s="105"/>
      <c r="W899" s="105"/>
      <c r="X899" s="105"/>
      <c r="Y899" s="105"/>
      <c r="Z899" s="105"/>
      <c r="AA899" s="105"/>
      <c r="AB899" s="105"/>
      <c r="AC899" s="91"/>
      <c r="AD899" s="105"/>
      <c r="AE899" s="105"/>
      <c r="AF899" s="91"/>
      <c r="AG899" s="105"/>
      <c r="AH899" s="105"/>
      <c r="AI899" s="105" t="str">
        <f t="shared" si="1"/>
        <v/>
      </c>
      <c r="AJ899" s="108" t="str">
        <f t="shared" si="2"/>
        <v/>
      </c>
    </row>
    <row r="900" ht="15.75" customHeight="1">
      <c r="A900" s="104"/>
      <c r="B900" s="105" t="str">
        <f>IFERROR(__xludf.DUMMYFUNCTION("ARRAY_CONSTRAIN(
  ARRAYFORMULA(
    IF(
      'Final Report'!A900="""",
      """",
      TEXTJOIN(
        "", "" &amp; CHAR(10),
        TRUE,
        IFERROR(
          VLOOKUP(
            TRIM(
              SPLIT('Final Report'!A900, "","")
           "&amp;" ),
            'URL Details'!A:B,
            2,
            FALSE
          ),
          """"
        )
      )
    )
  ),
  1,
  1
)
"),"")</f>
        <v/>
      </c>
      <c r="C900" s="105" t="str">
        <f>IFERROR(__xludf.DUMMYFUNCTION("IFERROR(IF('Final Report'!A900="""","""", TEXTJOIN(CHAR(10), TRUE, ARRAYFORMULA( ""• ""&amp; FILTER( TRIM(FLATTEN(SPLIT( REGEXREPLACE( SUBSTITUTE(TEXTJOIN("","", TRUE, IFERROR(ARRAYFORMULA(VLOOKUP(TRIM(SPLIT('Final Report'!A900, "","")), 'URL Details'!A:D, 4,"&amp;" FALSE)),"""") ), CHAR(10), "",""), ""\s*,\s*"", "",""), "",""))), TRIM(FLATTEN(SPLIT( REGEXREPLACE( SUBSTITUTE(TEXTJOIN("","", TRUE, IFERROR(ARRAYFORMULA(VLOOKUP(TRIM(SPLIT('Final Report'!A900, "","")), 'URL Details'!A:D, 4, FALSE)),"""") ), CHAR(10), """&amp;",""), ""\s*,\s*"", "",""), "","")))&lt;&gt;"""" ) ) ) ),"""")
"),"")</f>
        <v/>
      </c>
      <c r="D900" s="105"/>
      <c r="E900" s="105"/>
      <c r="F900" s="110" t="b">
        <v>0</v>
      </c>
      <c r="G900" s="105" t="str">
        <f>IF(F900=True, IFERROR(VLOOKUP(D900, Repository!A:B, 2, 0), ""), "")</f>
        <v/>
      </c>
      <c r="H900" s="105"/>
      <c r="I900" s="105"/>
      <c r="J900" s="105" t="str">
        <f>IF(F900=True, IFERROR(VLOOKUP(D900, Repository!A:C, 3, 0), ""), "")</f>
        <v/>
      </c>
      <c r="K900" s="105"/>
      <c r="L900" s="105" t="str">
        <f>IF(F900=True, IFERROR(VLOOKUP(D900, Repository!A:E, 5, 0), ""), "")</f>
        <v/>
      </c>
      <c r="M900" s="105"/>
      <c r="N900" s="105" t="str">
        <f>IF(F900=True, IFERROR(VLOOKUP(D900, Repository!A:G, 7, 0), ""), "")</f>
        <v/>
      </c>
      <c r="O900" s="105" t="str">
        <f>IFERROR(__xludf.DUMMYFUNCTION("ARRAY_CONSTRAIN(
  ARRAYFORMULA(
    IFERROR(
      LET(
        list, N900,
        arr, TRIM(SPLIT(list, "","")),
        names, XLOOKUP(
          arr,
          'Conformance Score'!A:A,
          'Conformance Score'!B:B,
          ""Not found""
      "&amp;"  ),
        TEXTJOIN("", "", TRUE, names)
      ),
      """"
    )
  ),
  1,
  1
)
"),"")</f>
        <v/>
      </c>
      <c r="P900" s="105" t="str">
        <f>IF(F900="Yes", IFERROR(VLOOKUP(D900, Repository!A:F, 6, 0), ""), "")</f>
        <v/>
      </c>
      <c r="Q900" s="105" t="str">
        <f>IF(F900="Yes", IFERROR(VLOOKUP(D900, Repository!A:I, 8, 0), ""), "")</f>
        <v/>
      </c>
      <c r="R900" s="105" t="str">
        <f>IF(F900="Yes", IFERROR(VLOOKUP(D900, Repository!A:J, 9, 0), ""), "")</f>
        <v/>
      </c>
      <c r="S900" s="105"/>
      <c r="T900" s="105"/>
      <c r="U900" s="105"/>
      <c r="V900" s="105"/>
      <c r="W900" s="105"/>
      <c r="X900" s="105"/>
      <c r="Y900" s="105"/>
      <c r="Z900" s="105"/>
      <c r="AA900" s="105"/>
      <c r="AB900" s="105"/>
      <c r="AC900" s="91"/>
      <c r="AD900" s="105"/>
      <c r="AE900" s="105"/>
      <c r="AF900" s="91"/>
      <c r="AG900" s="105"/>
      <c r="AH900" s="105"/>
      <c r="AI900" s="105" t="str">
        <f t="shared" si="1"/>
        <v/>
      </c>
      <c r="AJ900" s="108" t="str">
        <f t="shared" si="2"/>
        <v/>
      </c>
    </row>
    <row r="901" ht="15.75" customHeight="1">
      <c r="A901" s="104"/>
      <c r="B901" s="105" t="str">
        <f>IFERROR(__xludf.DUMMYFUNCTION("ARRAY_CONSTRAIN(
  ARRAYFORMULA(
    IF(
      'Final Report'!A901="""",
      """",
      TEXTJOIN(
        "", "" &amp; CHAR(10),
        TRUE,
        IFERROR(
          VLOOKUP(
            TRIM(
              SPLIT('Final Report'!A901, "","")
           "&amp;" ),
            'URL Details'!A:B,
            2,
            FALSE
          ),
          """"
        )
      )
    )
  ),
  1,
  1
)
"),"")</f>
        <v/>
      </c>
      <c r="C901" s="105" t="str">
        <f>IFERROR(__xludf.DUMMYFUNCTION("IFERROR(IF('Final Report'!A901="""","""", TEXTJOIN(CHAR(10), TRUE, ARRAYFORMULA( ""• ""&amp; FILTER( TRIM(FLATTEN(SPLIT( REGEXREPLACE( SUBSTITUTE(TEXTJOIN("","", TRUE, IFERROR(ARRAYFORMULA(VLOOKUP(TRIM(SPLIT('Final Report'!A901, "","")), 'URL Details'!A:D, 4,"&amp;" FALSE)),"""") ), CHAR(10), "",""), ""\s*,\s*"", "",""), "",""))), TRIM(FLATTEN(SPLIT( REGEXREPLACE( SUBSTITUTE(TEXTJOIN("","", TRUE, IFERROR(ARRAYFORMULA(VLOOKUP(TRIM(SPLIT('Final Report'!A901, "","")), 'URL Details'!A:D, 4, FALSE)),"""") ), CHAR(10), """&amp;",""), ""\s*,\s*"", "",""), "","")))&lt;&gt;"""" ) ) ) ),"""")
"),"")</f>
        <v/>
      </c>
      <c r="D901" s="105"/>
      <c r="E901" s="105"/>
      <c r="F901" s="110" t="b">
        <v>0</v>
      </c>
      <c r="G901" s="105" t="str">
        <f>IF(F901=True, IFERROR(VLOOKUP(D901, Repository!A:B, 2, 0), ""), "")</f>
        <v/>
      </c>
      <c r="H901" s="105"/>
      <c r="I901" s="105"/>
      <c r="J901" s="105" t="str">
        <f>IF(F901=True, IFERROR(VLOOKUP(D901, Repository!A:C, 3, 0), ""), "")</f>
        <v/>
      </c>
      <c r="K901" s="105"/>
      <c r="L901" s="105" t="str">
        <f>IF(F901=True, IFERROR(VLOOKUP(D901, Repository!A:E, 5, 0), ""), "")</f>
        <v/>
      </c>
      <c r="M901" s="105"/>
      <c r="N901" s="105" t="str">
        <f>IF(F901=True, IFERROR(VLOOKUP(D901, Repository!A:G, 7, 0), ""), "")</f>
        <v/>
      </c>
      <c r="O901" s="105" t="str">
        <f>IFERROR(__xludf.DUMMYFUNCTION("ARRAY_CONSTRAIN(
  ARRAYFORMULA(
    IFERROR(
      LET(
        list, N901,
        arr, TRIM(SPLIT(list, "","")),
        names, XLOOKUP(
          arr,
          'Conformance Score'!A:A,
          'Conformance Score'!B:B,
          ""Not found""
      "&amp;"  ),
        TEXTJOIN("", "", TRUE, names)
      ),
      """"
    )
  ),
  1,
  1
)
"),"")</f>
        <v/>
      </c>
      <c r="P901" s="105" t="str">
        <f>IF(F901="Yes", IFERROR(VLOOKUP(D901, Repository!A:F, 6, 0), ""), "")</f>
        <v/>
      </c>
      <c r="Q901" s="105" t="str">
        <f>IF(F901="Yes", IFERROR(VLOOKUP(D901, Repository!A:I, 8, 0), ""), "")</f>
        <v/>
      </c>
      <c r="R901" s="105" t="str">
        <f>IF(F901="Yes", IFERROR(VLOOKUP(D901, Repository!A:J, 9, 0), ""), "")</f>
        <v/>
      </c>
      <c r="S901" s="105"/>
      <c r="T901" s="105"/>
      <c r="U901" s="105"/>
      <c r="V901" s="105"/>
      <c r="W901" s="105"/>
      <c r="X901" s="105"/>
      <c r="Y901" s="105"/>
      <c r="Z901" s="105"/>
      <c r="AA901" s="105"/>
      <c r="AB901" s="105"/>
      <c r="AC901" s="91"/>
      <c r="AD901" s="105"/>
      <c r="AE901" s="105"/>
      <c r="AF901" s="91"/>
      <c r="AG901" s="105"/>
      <c r="AH901" s="105"/>
      <c r="AI901" s="105" t="str">
        <f t="shared" si="1"/>
        <v/>
      </c>
      <c r="AJ901" s="108" t="str">
        <f t="shared" si="2"/>
        <v/>
      </c>
    </row>
    <row r="902" ht="15.75" customHeight="1">
      <c r="A902" s="104"/>
      <c r="B902" s="105" t="str">
        <f>IFERROR(__xludf.DUMMYFUNCTION("ARRAY_CONSTRAIN(
  ARRAYFORMULA(
    IF(
      'Final Report'!A902="""",
      """",
      TEXTJOIN(
        "", "" &amp; CHAR(10),
        TRUE,
        IFERROR(
          VLOOKUP(
            TRIM(
              SPLIT('Final Report'!A902, "","")
           "&amp;" ),
            'URL Details'!A:B,
            2,
            FALSE
          ),
          """"
        )
      )
    )
  ),
  1,
  1
)
"),"")</f>
        <v/>
      </c>
      <c r="C902" s="105" t="str">
        <f>IFERROR(__xludf.DUMMYFUNCTION("IFERROR(IF('Final Report'!A902="""","""", TEXTJOIN(CHAR(10), TRUE, ARRAYFORMULA( ""• ""&amp; FILTER( TRIM(FLATTEN(SPLIT( REGEXREPLACE( SUBSTITUTE(TEXTJOIN("","", TRUE, IFERROR(ARRAYFORMULA(VLOOKUP(TRIM(SPLIT('Final Report'!A902, "","")), 'URL Details'!A:D, 4,"&amp;" FALSE)),"""") ), CHAR(10), "",""), ""\s*,\s*"", "",""), "",""))), TRIM(FLATTEN(SPLIT( REGEXREPLACE( SUBSTITUTE(TEXTJOIN("","", TRUE, IFERROR(ARRAYFORMULA(VLOOKUP(TRIM(SPLIT('Final Report'!A902, "","")), 'URL Details'!A:D, 4, FALSE)),"""") ), CHAR(10), """&amp;",""), ""\s*,\s*"", "",""), "","")))&lt;&gt;"""" ) ) ) ),"""")
"),"")</f>
        <v/>
      </c>
      <c r="D902" s="105"/>
      <c r="E902" s="105"/>
      <c r="F902" s="110" t="b">
        <v>0</v>
      </c>
      <c r="G902" s="105" t="str">
        <f>IF(F902=True, IFERROR(VLOOKUP(D902, Repository!A:B, 2, 0), ""), "")</f>
        <v/>
      </c>
      <c r="H902" s="105"/>
      <c r="I902" s="105"/>
      <c r="J902" s="105" t="str">
        <f>IF(F902=True, IFERROR(VLOOKUP(D902, Repository!A:C, 3, 0), ""), "")</f>
        <v/>
      </c>
      <c r="K902" s="105"/>
      <c r="L902" s="105" t="str">
        <f>IF(F902=True, IFERROR(VLOOKUP(D902, Repository!A:E, 5, 0), ""), "")</f>
        <v/>
      </c>
      <c r="M902" s="105"/>
      <c r="N902" s="105" t="str">
        <f>IF(F902=True, IFERROR(VLOOKUP(D902, Repository!A:G, 7, 0), ""), "")</f>
        <v/>
      </c>
      <c r="O902" s="105" t="str">
        <f>IFERROR(__xludf.DUMMYFUNCTION("ARRAY_CONSTRAIN(
  ARRAYFORMULA(
    IFERROR(
      LET(
        list, N902,
        arr, TRIM(SPLIT(list, "","")),
        names, XLOOKUP(
          arr,
          'Conformance Score'!A:A,
          'Conformance Score'!B:B,
          ""Not found""
      "&amp;"  ),
        TEXTJOIN("", "", TRUE, names)
      ),
      """"
    )
  ),
  1,
  1
)
"),"")</f>
        <v/>
      </c>
      <c r="P902" s="105" t="str">
        <f>IF(F902="Yes", IFERROR(VLOOKUP(D902, Repository!A:F, 6, 0), ""), "")</f>
        <v/>
      </c>
      <c r="Q902" s="105" t="str">
        <f>IF(F902="Yes", IFERROR(VLOOKUP(D902, Repository!A:I, 8, 0), ""), "")</f>
        <v/>
      </c>
      <c r="R902" s="105" t="str">
        <f>IF(F902="Yes", IFERROR(VLOOKUP(D902, Repository!A:J, 9, 0), ""), "")</f>
        <v/>
      </c>
      <c r="S902" s="105"/>
      <c r="T902" s="105"/>
      <c r="U902" s="105"/>
      <c r="V902" s="105"/>
      <c r="W902" s="105"/>
      <c r="X902" s="105"/>
      <c r="Y902" s="105"/>
      <c r="Z902" s="105"/>
      <c r="AA902" s="105"/>
      <c r="AB902" s="105"/>
      <c r="AC902" s="91"/>
      <c r="AD902" s="105"/>
      <c r="AE902" s="105"/>
      <c r="AF902" s="91"/>
      <c r="AG902" s="105"/>
      <c r="AH902" s="105"/>
      <c r="AI902" s="105" t="str">
        <f t="shared" si="1"/>
        <v/>
      </c>
      <c r="AJ902" s="108" t="str">
        <f t="shared" si="2"/>
        <v/>
      </c>
    </row>
    <row r="903" ht="15.75" customHeight="1">
      <c r="A903" s="104"/>
      <c r="B903" s="105" t="str">
        <f>IFERROR(__xludf.DUMMYFUNCTION("ARRAY_CONSTRAIN(
  ARRAYFORMULA(
    IF(
      'Final Report'!A903="""",
      """",
      TEXTJOIN(
        "", "" &amp; CHAR(10),
        TRUE,
        IFERROR(
          VLOOKUP(
            TRIM(
              SPLIT('Final Report'!A903, "","")
           "&amp;" ),
            'URL Details'!A:B,
            2,
            FALSE
          ),
          """"
        )
      )
    )
  ),
  1,
  1
)
"),"")</f>
        <v/>
      </c>
      <c r="C903" s="105" t="str">
        <f>IFERROR(__xludf.DUMMYFUNCTION("IFERROR(IF('Final Report'!A903="""","""", TEXTJOIN(CHAR(10), TRUE, ARRAYFORMULA( ""• ""&amp; FILTER( TRIM(FLATTEN(SPLIT( REGEXREPLACE( SUBSTITUTE(TEXTJOIN("","", TRUE, IFERROR(ARRAYFORMULA(VLOOKUP(TRIM(SPLIT('Final Report'!A903, "","")), 'URL Details'!A:D, 4,"&amp;" FALSE)),"""") ), CHAR(10), "",""), ""\s*,\s*"", "",""), "",""))), TRIM(FLATTEN(SPLIT( REGEXREPLACE( SUBSTITUTE(TEXTJOIN("","", TRUE, IFERROR(ARRAYFORMULA(VLOOKUP(TRIM(SPLIT('Final Report'!A903, "","")), 'URL Details'!A:D, 4, FALSE)),"""") ), CHAR(10), """&amp;",""), ""\s*,\s*"", "",""), "","")))&lt;&gt;"""" ) ) ) ),"""")
"),"")</f>
        <v/>
      </c>
      <c r="D903" s="105"/>
      <c r="E903" s="105"/>
      <c r="F903" s="110" t="b">
        <v>0</v>
      </c>
      <c r="G903" s="105" t="str">
        <f>IF(F903=True, IFERROR(VLOOKUP(D903, Repository!A:B, 2, 0), ""), "")</f>
        <v/>
      </c>
      <c r="H903" s="105"/>
      <c r="I903" s="105"/>
      <c r="J903" s="105" t="str">
        <f>IF(F903=True, IFERROR(VLOOKUP(D903, Repository!A:C, 3, 0), ""), "")</f>
        <v/>
      </c>
      <c r="K903" s="105"/>
      <c r="L903" s="105" t="str">
        <f>IF(F903=True, IFERROR(VLOOKUP(D903, Repository!A:E, 5, 0), ""), "")</f>
        <v/>
      </c>
      <c r="M903" s="105"/>
      <c r="N903" s="105" t="str">
        <f>IF(F903=True, IFERROR(VLOOKUP(D903, Repository!A:G, 7, 0), ""), "")</f>
        <v/>
      </c>
      <c r="O903" s="105" t="str">
        <f>IFERROR(__xludf.DUMMYFUNCTION("ARRAY_CONSTRAIN(
  ARRAYFORMULA(
    IFERROR(
      LET(
        list, N903,
        arr, TRIM(SPLIT(list, "","")),
        names, XLOOKUP(
          arr,
          'Conformance Score'!A:A,
          'Conformance Score'!B:B,
          ""Not found""
      "&amp;"  ),
        TEXTJOIN("", "", TRUE, names)
      ),
      """"
    )
  ),
  1,
  1
)
"),"")</f>
        <v/>
      </c>
      <c r="P903" s="105" t="str">
        <f>IF(F903="Yes", IFERROR(VLOOKUP(D903, Repository!A:F, 6, 0), ""), "")</f>
        <v/>
      </c>
      <c r="Q903" s="105" t="str">
        <f>IF(F903="Yes", IFERROR(VLOOKUP(D903, Repository!A:I, 8, 0), ""), "")</f>
        <v/>
      </c>
      <c r="R903" s="105" t="str">
        <f>IF(F903="Yes", IFERROR(VLOOKUP(D903, Repository!A:J, 9, 0), ""), "")</f>
        <v/>
      </c>
      <c r="S903" s="105"/>
      <c r="T903" s="105"/>
      <c r="U903" s="105"/>
      <c r="V903" s="105"/>
      <c r="W903" s="105"/>
      <c r="X903" s="105"/>
      <c r="Y903" s="105"/>
      <c r="Z903" s="105"/>
      <c r="AA903" s="105"/>
      <c r="AB903" s="105"/>
      <c r="AC903" s="91"/>
      <c r="AD903" s="105"/>
      <c r="AE903" s="105"/>
      <c r="AF903" s="91"/>
      <c r="AG903" s="105"/>
      <c r="AH903" s="105"/>
      <c r="AI903" s="105" t="str">
        <f t="shared" si="1"/>
        <v/>
      </c>
      <c r="AJ903" s="108" t="str">
        <f t="shared" si="2"/>
        <v/>
      </c>
    </row>
    <row r="904" ht="15.75" customHeight="1">
      <c r="A904" s="104"/>
      <c r="B904" s="105" t="str">
        <f>IFERROR(__xludf.DUMMYFUNCTION("ARRAY_CONSTRAIN(
  ARRAYFORMULA(
    IF(
      'Final Report'!A904="""",
      """",
      TEXTJOIN(
        "", "" &amp; CHAR(10),
        TRUE,
        IFERROR(
          VLOOKUP(
            TRIM(
              SPLIT('Final Report'!A904, "","")
           "&amp;" ),
            'URL Details'!A:B,
            2,
            FALSE
          ),
          """"
        )
      )
    )
  ),
  1,
  1
)
"),"")</f>
        <v/>
      </c>
      <c r="C904" s="105" t="str">
        <f>IFERROR(__xludf.DUMMYFUNCTION("IFERROR(IF('Final Report'!A904="""","""", TEXTJOIN(CHAR(10), TRUE, ARRAYFORMULA( ""• ""&amp; FILTER( TRIM(FLATTEN(SPLIT( REGEXREPLACE( SUBSTITUTE(TEXTJOIN("","", TRUE, IFERROR(ARRAYFORMULA(VLOOKUP(TRIM(SPLIT('Final Report'!A904, "","")), 'URL Details'!A:D, 4,"&amp;" FALSE)),"""") ), CHAR(10), "",""), ""\s*,\s*"", "",""), "",""))), TRIM(FLATTEN(SPLIT( REGEXREPLACE( SUBSTITUTE(TEXTJOIN("","", TRUE, IFERROR(ARRAYFORMULA(VLOOKUP(TRIM(SPLIT('Final Report'!A904, "","")), 'URL Details'!A:D, 4, FALSE)),"""") ), CHAR(10), """&amp;",""), ""\s*,\s*"", "",""), "","")))&lt;&gt;"""" ) ) ) ),"""")
"),"")</f>
        <v/>
      </c>
      <c r="D904" s="105"/>
      <c r="E904" s="105"/>
      <c r="F904" s="110" t="b">
        <v>0</v>
      </c>
      <c r="G904" s="105" t="str">
        <f>IF(F904=True, IFERROR(VLOOKUP(D904, Repository!A:B, 2, 0), ""), "")</f>
        <v/>
      </c>
      <c r="H904" s="105"/>
      <c r="I904" s="105"/>
      <c r="J904" s="105" t="str">
        <f>IF(F904=True, IFERROR(VLOOKUP(D904, Repository!A:C, 3, 0), ""), "")</f>
        <v/>
      </c>
      <c r="K904" s="105"/>
      <c r="L904" s="105" t="str">
        <f>IF(F904=True, IFERROR(VLOOKUP(D904, Repository!A:E, 5, 0), ""), "")</f>
        <v/>
      </c>
      <c r="M904" s="105"/>
      <c r="N904" s="105" t="str">
        <f>IF(F904=True, IFERROR(VLOOKUP(D904, Repository!A:G, 7, 0), ""), "")</f>
        <v/>
      </c>
      <c r="O904" s="105" t="str">
        <f>IFERROR(__xludf.DUMMYFUNCTION("ARRAY_CONSTRAIN(
  ARRAYFORMULA(
    IFERROR(
      LET(
        list, N904,
        arr, TRIM(SPLIT(list, "","")),
        names, XLOOKUP(
          arr,
          'Conformance Score'!A:A,
          'Conformance Score'!B:B,
          ""Not found""
      "&amp;"  ),
        TEXTJOIN("", "", TRUE, names)
      ),
      """"
    )
  ),
  1,
  1
)
"),"")</f>
        <v/>
      </c>
      <c r="P904" s="105" t="str">
        <f>IF(F904="Yes", IFERROR(VLOOKUP(D904, Repository!A:F, 6, 0), ""), "")</f>
        <v/>
      </c>
      <c r="Q904" s="105" t="str">
        <f>IF(F904="Yes", IFERROR(VLOOKUP(D904, Repository!A:I, 8, 0), ""), "")</f>
        <v/>
      </c>
      <c r="R904" s="105" t="str">
        <f>IF(F904="Yes", IFERROR(VLOOKUP(D904, Repository!A:J, 9, 0), ""), "")</f>
        <v/>
      </c>
      <c r="S904" s="105"/>
      <c r="T904" s="105"/>
      <c r="U904" s="105"/>
      <c r="V904" s="105"/>
      <c r="W904" s="105"/>
      <c r="X904" s="105"/>
      <c r="Y904" s="105"/>
      <c r="Z904" s="105"/>
      <c r="AA904" s="105"/>
      <c r="AB904" s="105"/>
      <c r="AC904" s="91"/>
      <c r="AD904" s="105"/>
      <c r="AE904" s="105"/>
      <c r="AF904" s="91"/>
      <c r="AG904" s="105"/>
      <c r="AH904" s="105"/>
      <c r="AI904" s="105" t="str">
        <f t="shared" si="1"/>
        <v/>
      </c>
      <c r="AJ904" s="108" t="str">
        <f t="shared" si="2"/>
        <v/>
      </c>
    </row>
    <row r="905" ht="15.75" customHeight="1">
      <c r="A905" s="104"/>
      <c r="B905" s="105" t="str">
        <f>IFERROR(__xludf.DUMMYFUNCTION("ARRAY_CONSTRAIN(
  ARRAYFORMULA(
    IF(
      'Final Report'!A905="""",
      """",
      TEXTJOIN(
        "", "" &amp; CHAR(10),
        TRUE,
        IFERROR(
          VLOOKUP(
            TRIM(
              SPLIT('Final Report'!A905, "","")
           "&amp;" ),
            'URL Details'!A:B,
            2,
            FALSE
          ),
          """"
        )
      )
    )
  ),
  1,
  1
)
"),"")</f>
        <v/>
      </c>
      <c r="C905" s="105" t="str">
        <f>IFERROR(__xludf.DUMMYFUNCTION("IFERROR(IF('Final Report'!A905="""","""", TEXTJOIN(CHAR(10), TRUE, ARRAYFORMULA( ""• ""&amp; FILTER( TRIM(FLATTEN(SPLIT( REGEXREPLACE( SUBSTITUTE(TEXTJOIN("","", TRUE, IFERROR(ARRAYFORMULA(VLOOKUP(TRIM(SPLIT('Final Report'!A905, "","")), 'URL Details'!A:D, 4,"&amp;" FALSE)),"""") ), CHAR(10), "",""), ""\s*,\s*"", "",""), "",""))), TRIM(FLATTEN(SPLIT( REGEXREPLACE( SUBSTITUTE(TEXTJOIN("","", TRUE, IFERROR(ARRAYFORMULA(VLOOKUP(TRIM(SPLIT('Final Report'!A905, "","")), 'URL Details'!A:D, 4, FALSE)),"""") ), CHAR(10), """&amp;",""), ""\s*,\s*"", "",""), "","")))&lt;&gt;"""" ) ) ) ),"""")
"),"")</f>
        <v/>
      </c>
      <c r="D905" s="105"/>
      <c r="E905" s="105"/>
      <c r="F905" s="110" t="b">
        <v>0</v>
      </c>
      <c r="G905" s="105" t="str">
        <f>IF(F905=True, IFERROR(VLOOKUP(D905, Repository!A:B, 2, 0), ""), "")</f>
        <v/>
      </c>
      <c r="H905" s="105"/>
      <c r="I905" s="105"/>
      <c r="J905" s="105" t="str">
        <f>IF(F905=True, IFERROR(VLOOKUP(D905, Repository!A:C, 3, 0), ""), "")</f>
        <v/>
      </c>
      <c r="K905" s="105"/>
      <c r="L905" s="105" t="str">
        <f>IF(F905=True, IFERROR(VLOOKUP(D905, Repository!A:E, 5, 0), ""), "")</f>
        <v/>
      </c>
      <c r="M905" s="105"/>
      <c r="N905" s="105" t="str">
        <f>IF(F905=True, IFERROR(VLOOKUP(D905, Repository!A:G, 7, 0), ""), "")</f>
        <v/>
      </c>
      <c r="O905" s="105" t="str">
        <f>IFERROR(__xludf.DUMMYFUNCTION("ARRAY_CONSTRAIN(
  ARRAYFORMULA(
    IFERROR(
      LET(
        list, N905,
        arr, TRIM(SPLIT(list, "","")),
        names, XLOOKUP(
          arr,
          'Conformance Score'!A:A,
          'Conformance Score'!B:B,
          ""Not found""
      "&amp;"  ),
        TEXTJOIN("", "", TRUE, names)
      ),
      """"
    )
  ),
  1,
  1
)
"),"")</f>
        <v/>
      </c>
      <c r="P905" s="105" t="str">
        <f>IF(F905="Yes", IFERROR(VLOOKUP(D905, Repository!A:F, 6, 0), ""), "")</f>
        <v/>
      </c>
      <c r="Q905" s="105" t="str">
        <f>IF(F905="Yes", IFERROR(VLOOKUP(D905, Repository!A:I, 8, 0), ""), "")</f>
        <v/>
      </c>
      <c r="R905" s="105" t="str">
        <f>IF(F905="Yes", IFERROR(VLOOKUP(D905, Repository!A:J, 9, 0), ""), "")</f>
        <v/>
      </c>
      <c r="S905" s="105"/>
      <c r="T905" s="105"/>
      <c r="U905" s="105"/>
      <c r="V905" s="105"/>
      <c r="W905" s="105"/>
      <c r="X905" s="105"/>
      <c r="Y905" s="105"/>
      <c r="Z905" s="105"/>
      <c r="AA905" s="105"/>
      <c r="AB905" s="105"/>
      <c r="AC905" s="91"/>
      <c r="AD905" s="105"/>
      <c r="AE905" s="105"/>
      <c r="AF905" s="91"/>
      <c r="AG905" s="105"/>
      <c r="AH905" s="105"/>
      <c r="AI905" s="105" t="str">
        <f t="shared" si="1"/>
        <v/>
      </c>
      <c r="AJ905" s="108" t="str">
        <f t="shared" si="2"/>
        <v/>
      </c>
    </row>
    <row r="906" ht="15.75" customHeight="1">
      <c r="A906" s="104"/>
      <c r="B906" s="105" t="str">
        <f>IFERROR(__xludf.DUMMYFUNCTION("ARRAY_CONSTRAIN(
  ARRAYFORMULA(
    IF(
      'Final Report'!A906="""",
      """",
      TEXTJOIN(
        "", "" &amp; CHAR(10),
        TRUE,
        IFERROR(
          VLOOKUP(
            TRIM(
              SPLIT('Final Report'!A906, "","")
           "&amp;" ),
            'URL Details'!A:B,
            2,
            FALSE
          ),
          """"
        )
      )
    )
  ),
  1,
  1
)
"),"")</f>
        <v/>
      </c>
      <c r="C906" s="105" t="str">
        <f>IFERROR(__xludf.DUMMYFUNCTION("IFERROR(IF('Final Report'!A906="""","""", TEXTJOIN(CHAR(10), TRUE, ARRAYFORMULA( ""• ""&amp; FILTER( TRIM(FLATTEN(SPLIT( REGEXREPLACE( SUBSTITUTE(TEXTJOIN("","", TRUE, IFERROR(ARRAYFORMULA(VLOOKUP(TRIM(SPLIT('Final Report'!A906, "","")), 'URL Details'!A:D, 4,"&amp;" FALSE)),"""") ), CHAR(10), "",""), ""\s*,\s*"", "",""), "",""))), TRIM(FLATTEN(SPLIT( REGEXREPLACE( SUBSTITUTE(TEXTJOIN("","", TRUE, IFERROR(ARRAYFORMULA(VLOOKUP(TRIM(SPLIT('Final Report'!A906, "","")), 'URL Details'!A:D, 4, FALSE)),"""") ), CHAR(10), """&amp;",""), ""\s*,\s*"", "",""), "","")))&lt;&gt;"""" ) ) ) ),"""")
"),"")</f>
        <v/>
      </c>
      <c r="D906" s="105"/>
      <c r="E906" s="105"/>
      <c r="F906" s="110" t="b">
        <v>0</v>
      </c>
      <c r="G906" s="105" t="str">
        <f>IF(F906=True, IFERROR(VLOOKUP(D906, Repository!A:B, 2, 0), ""), "")</f>
        <v/>
      </c>
      <c r="H906" s="105"/>
      <c r="I906" s="105"/>
      <c r="J906" s="105" t="str">
        <f>IF(F906=True, IFERROR(VLOOKUP(D906, Repository!A:C, 3, 0), ""), "")</f>
        <v/>
      </c>
      <c r="K906" s="105"/>
      <c r="L906" s="105" t="str">
        <f>IF(F906=True, IFERROR(VLOOKUP(D906, Repository!A:E, 5, 0), ""), "")</f>
        <v/>
      </c>
      <c r="M906" s="105"/>
      <c r="N906" s="105" t="str">
        <f>IF(F906=True, IFERROR(VLOOKUP(D906, Repository!A:G, 7, 0), ""), "")</f>
        <v/>
      </c>
      <c r="O906" s="105" t="str">
        <f>IFERROR(__xludf.DUMMYFUNCTION("ARRAY_CONSTRAIN(
  ARRAYFORMULA(
    IFERROR(
      LET(
        list, N906,
        arr, TRIM(SPLIT(list, "","")),
        names, XLOOKUP(
          arr,
          'Conformance Score'!A:A,
          'Conformance Score'!B:B,
          ""Not found""
      "&amp;"  ),
        TEXTJOIN("", "", TRUE, names)
      ),
      """"
    )
  ),
  1,
  1
)
"),"")</f>
        <v/>
      </c>
      <c r="P906" s="105" t="str">
        <f>IF(F906="Yes", IFERROR(VLOOKUP(D906, Repository!A:F, 6, 0), ""), "")</f>
        <v/>
      </c>
      <c r="Q906" s="105" t="str">
        <f>IF(F906="Yes", IFERROR(VLOOKUP(D906, Repository!A:I, 8, 0), ""), "")</f>
        <v/>
      </c>
      <c r="R906" s="105" t="str">
        <f>IF(F906="Yes", IFERROR(VLOOKUP(D906, Repository!A:J, 9, 0), ""), "")</f>
        <v/>
      </c>
      <c r="S906" s="105"/>
      <c r="T906" s="105"/>
      <c r="U906" s="105"/>
      <c r="V906" s="105"/>
      <c r="W906" s="105"/>
      <c r="X906" s="105"/>
      <c r="Y906" s="105"/>
      <c r="Z906" s="105"/>
      <c r="AA906" s="105"/>
      <c r="AB906" s="105"/>
      <c r="AC906" s="91"/>
      <c r="AD906" s="105"/>
      <c r="AE906" s="105"/>
      <c r="AF906" s="91"/>
      <c r="AG906" s="105"/>
      <c r="AH906" s="105"/>
      <c r="AI906" s="105" t="str">
        <f t="shared" si="1"/>
        <v/>
      </c>
      <c r="AJ906" s="108" t="str">
        <f t="shared" si="2"/>
        <v/>
      </c>
    </row>
    <row r="907" ht="15.75" customHeight="1">
      <c r="A907" s="104"/>
      <c r="B907" s="105" t="str">
        <f>IFERROR(__xludf.DUMMYFUNCTION("ARRAY_CONSTRAIN(
  ARRAYFORMULA(
    IF(
      'Final Report'!A907="""",
      """",
      TEXTJOIN(
        "", "" &amp; CHAR(10),
        TRUE,
        IFERROR(
          VLOOKUP(
            TRIM(
              SPLIT('Final Report'!A907, "","")
           "&amp;" ),
            'URL Details'!A:B,
            2,
            FALSE
          ),
          """"
        )
      )
    )
  ),
  1,
  1
)
"),"")</f>
        <v/>
      </c>
      <c r="C907" s="105" t="str">
        <f>IFERROR(__xludf.DUMMYFUNCTION("IFERROR(IF('Final Report'!A907="""","""", TEXTJOIN(CHAR(10), TRUE, ARRAYFORMULA( ""• ""&amp; FILTER( TRIM(FLATTEN(SPLIT( REGEXREPLACE( SUBSTITUTE(TEXTJOIN("","", TRUE, IFERROR(ARRAYFORMULA(VLOOKUP(TRIM(SPLIT('Final Report'!A907, "","")), 'URL Details'!A:D, 4,"&amp;" FALSE)),"""") ), CHAR(10), "",""), ""\s*,\s*"", "",""), "",""))), TRIM(FLATTEN(SPLIT( REGEXREPLACE( SUBSTITUTE(TEXTJOIN("","", TRUE, IFERROR(ARRAYFORMULA(VLOOKUP(TRIM(SPLIT('Final Report'!A907, "","")), 'URL Details'!A:D, 4, FALSE)),"""") ), CHAR(10), """&amp;",""), ""\s*,\s*"", "",""), "","")))&lt;&gt;"""" ) ) ) ),"""")
"),"")</f>
        <v/>
      </c>
      <c r="D907" s="105"/>
      <c r="E907" s="105"/>
      <c r="F907" s="110" t="b">
        <v>0</v>
      </c>
      <c r="G907" s="105" t="str">
        <f>IF(F907=True, IFERROR(VLOOKUP(D907, Repository!A:B, 2, 0), ""), "")</f>
        <v/>
      </c>
      <c r="H907" s="105"/>
      <c r="I907" s="105"/>
      <c r="J907" s="105" t="str">
        <f>IF(F907=True, IFERROR(VLOOKUP(D907, Repository!A:C, 3, 0), ""), "")</f>
        <v/>
      </c>
      <c r="K907" s="105"/>
      <c r="L907" s="105" t="str">
        <f>IF(F907=True, IFERROR(VLOOKUP(D907, Repository!A:E, 5, 0), ""), "")</f>
        <v/>
      </c>
      <c r="M907" s="105"/>
      <c r="N907" s="105" t="str">
        <f>IF(F907=True, IFERROR(VLOOKUP(D907, Repository!A:G, 7, 0), ""), "")</f>
        <v/>
      </c>
      <c r="O907" s="105" t="str">
        <f>IFERROR(__xludf.DUMMYFUNCTION("ARRAY_CONSTRAIN(
  ARRAYFORMULA(
    IFERROR(
      LET(
        list, N907,
        arr, TRIM(SPLIT(list, "","")),
        names, XLOOKUP(
          arr,
          'Conformance Score'!A:A,
          'Conformance Score'!B:B,
          ""Not found""
      "&amp;"  ),
        TEXTJOIN("", "", TRUE, names)
      ),
      """"
    )
  ),
  1,
  1
)
"),"")</f>
        <v/>
      </c>
      <c r="P907" s="105" t="str">
        <f>IF(F907="Yes", IFERROR(VLOOKUP(D907, Repository!A:F, 6, 0), ""), "")</f>
        <v/>
      </c>
      <c r="Q907" s="105" t="str">
        <f>IF(F907="Yes", IFERROR(VLOOKUP(D907, Repository!A:I, 8, 0), ""), "")</f>
        <v/>
      </c>
      <c r="R907" s="105" t="str">
        <f>IF(F907="Yes", IFERROR(VLOOKUP(D907, Repository!A:J, 9, 0), ""), "")</f>
        <v/>
      </c>
      <c r="S907" s="105"/>
      <c r="T907" s="105"/>
      <c r="U907" s="105"/>
      <c r="V907" s="105"/>
      <c r="W907" s="105"/>
      <c r="X907" s="105"/>
      <c r="Y907" s="105"/>
      <c r="Z907" s="105"/>
      <c r="AA907" s="105"/>
      <c r="AB907" s="105"/>
      <c r="AC907" s="91"/>
      <c r="AD907" s="105"/>
      <c r="AE907" s="105"/>
      <c r="AF907" s="91"/>
      <c r="AG907" s="105"/>
      <c r="AH907" s="105"/>
      <c r="AI907" s="105" t="str">
        <f t="shared" si="1"/>
        <v/>
      </c>
      <c r="AJ907" s="108" t="str">
        <f t="shared" si="2"/>
        <v/>
      </c>
    </row>
    <row r="908" ht="15.75" customHeight="1">
      <c r="A908" s="104"/>
      <c r="B908" s="105" t="str">
        <f>IFERROR(__xludf.DUMMYFUNCTION("ARRAY_CONSTRAIN(
  ARRAYFORMULA(
    IF(
      'Final Report'!A908="""",
      """",
      TEXTJOIN(
        "", "" &amp; CHAR(10),
        TRUE,
        IFERROR(
          VLOOKUP(
            TRIM(
              SPLIT('Final Report'!A908, "","")
           "&amp;" ),
            'URL Details'!A:B,
            2,
            FALSE
          ),
          """"
        )
      )
    )
  ),
  1,
  1
)
"),"")</f>
        <v/>
      </c>
      <c r="C908" s="105" t="str">
        <f>IFERROR(__xludf.DUMMYFUNCTION("IFERROR(IF('Final Report'!A908="""","""", TEXTJOIN(CHAR(10), TRUE, ARRAYFORMULA( ""• ""&amp; FILTER( TRIM(FLATTEN(SPLIT( REGEXREPLACE( SUBSTITUTE(TEXTJOIN("","", TRUE, IFERROR(ARRAYFORMULA(VLOOKUP(TRIM(SPLIT('Final Report'!A908, "","")), 'URL Details'!A:D, 4,"&amp;" FALSE)),"""") ), CHAR(10), "",""), ""\s*,\s*"", "",""), "",""))), TRIM(FLATTEN(SPLIT( REGEXREPLACE( SUBSTITUTE(TEXTJOIN("","", TRUE, IFERROR(ARRAYFORMULA(VLOOKUP(TRIM(SPLIT('Final Report'!A908, "","")), 'URL Details'!A:D, 4, FALSE)),"""") ), CHAR(10), """&amp;",""), ""\s*,\s*"", "",""), "","")))&lt;&gt;"""" ) ) ) ),"""")
"),"")</f>
        <v/>
      </c>
      <c r="D908" s="105"/>
      <c r="E908" s="105"/>
      <c r="F908" s="110" t="b">
        <v>0</v>
      </c>
      <c r="G908" s="105" t="str">
        <f>IF(F908=True, IFERROR(VLOOKUP(D908, Repository!A:B, 2, 0), ""), "")</f>
        <v/>
      </c>
      <c r="H908" s="105"/>
      <c r="I908" s="105"/>
      <c r="J908" s="105" t="str">
        <f>IF(F908=True, IFERROR(VLOOKUP(D908, Repository!A:C, 3, 0), ""), "")</f>
        <v/>
      </c>
      <c r="K908" s="105"/>
      <c r="L908" s="105" t="str">
        <f>IF(F908=True, IFERROR(VLOOKUP(D908, Repository!A:E, 5, 0), ""), "")</f>
        <v/>
      </c>
      <c r="M908" s="105"/>
      <c r="N908" s="105" t="str">
        <f>IF(F908=True, IFERROR(VLOOKUP(D908, Repository!A:G, 7, 0), ""), "")</f>
        <v/>
      </c>
      <c r="O908" s="105" t="str">
        <f>IFERROR(__xludf.DUMMYFUNCTION("ARRAY_CONSTRAIN(
  ARRAYFORMULA(
    IFERROR(
      LET(
        list, N908,
        arr, TRIM(SPLIT(list, "","")),
        names, XLOOKUP(
          arr,
          'Conformance Score'!A:A,
          'Conformance Score'!B:B,
          ""Not found""
      "&amp;"  ),
        TEXTJOIN("", "", TRUE, names)
      ),
      """"
    )
  ),
  1,
  1
)
"),"")</f>
        <v/>
      </c>
      <c r="P908" s="105" t="str">
        <f>IF(F908="Yes", IFERROR(VLOOKUP(D908, Repository!A:F, 6, 0), ""), "")</f>
        <v/>
      </c>
      <c r="Q908" s="105" t="str">
        <f>IF(F908="Yes", IFERROR(VLOOKUP(D908, Repository!A:I, 8, 0), ""), "")</f>
        <v/>
      </c>
      <c r="R908" s="105" t="str">
        <f>IF(F908="Yes", IFERROR(VLOOKUP(D908, Repository!A:J, 9, 0), ""), "")</f>
        <v/>
      </c>
      <c r="S908" s="105"/>
      <c r="T908" s="105"/>
      <c r="U908" s="105"/>
      <c r="V908" s="105"/>
      <c r="W908" s="105"/>
      <c r="X908" s="105"/>
      <c r="Y908" s="105"/>
      <c r="Z908" s="105"/>
      <c r="AA908" s="105"/>
      <c r="AB908" s="105"/>
      <c r="AC908" s="91"/>
      <c r="AD908" s="105"/>
      <c r="AE908" s="105"/>
      <c r="AF908" s="91"/>
      <c r="AG908" s="105"/>
      <c r="AH908" s="105"/>
      <c r="AI908" s="105" t="str">
        <f t="shared" si="1"/>
        <v/>
      </c>
      <c r="AJ908" s="108" t="str">
        <f t="shared" si="2"/>
        <v/>
      </c>
    </row>
    <row r="909" ht="15.75" customHeight="1">
      <c r="A909" s="104"/>
      <c r="B909" s="105" t="str">
        <f>IFERROR(__xludf.DUMMYFUNCTION("ARRAY_CONSTRAIN(
  ARRAYFORMULA(
    IF(
      'Final Report'!A909="""",
      """",
      TEXTJOIN(
        "", "" &amp; CHAR(10),
        TRUE,
        IFERROR(
          VLOOKUP(
            TRIM(
              SPLIT('Final Report'!A909, "","")
           "&amp;" ),
            'URL Details'!A:B,
            2,
            FALSE
          ),
          """"
        )
      )
    )
  ),
  1,
  1
)
"),"")</f>
        <v/>
      </c>
      <c r="C909" s="105" t="str">
        <f>IFERROR(__xludf.DUMMYFUNCTION("IFERROR(IF('Final Report'!A909="""","""", TEXTJOIN(CHAR(10), TRUE, ARRAYFORMULA( ""• ""&amp; FILTER( TRIM(FLATTEN(SPLIT( REGEXREPLACE( SUBSTITUTE(TEXTJOIN("","", TRUE, IFERROR(ARRAYFORMULA(VLOOKUP(TRIM(SPLIT('Final Report'!A909, "","")), 'URL Details'!A:D, 4,"&amp;" FALSE)),"""") ), CHAR(10), "",""), ""\s*,\s*"", "",""), "",""))), TRIM(FLATTEN(SPLIT( REGEXREPLACE( SUBSTITUTE(TEXTJOIN("","", TRUE, IFERROR(ARRAYFORMULA(VLOOKUP(TRIM(SPLIT('Final Report'!A909, "","")), 'URL Details'!A:D, 4, FALSE)),"""") ), CHAR(10), """&amp;",""), ""\s*,\s*"", "",""), "","")))&lt;&gt;"""" ) ) ) ),"""")
"),"")</f>
        <v/>
      </c>
      <c r="D909" s="105"/>
      <c r="E909" s="105"/>
      <c r="F909" s="110" t="b">
        <v>0</v>
      </c>
      <c r="G909" s="105" t="str">
        <f>IF(F909=True, IFERROR(VLOOKUP(D909, Repository!A:B, 2, 0), ""), "")</f>
        <v/>
      </c>
      <c r="H909" s="105"/>
      <c r="I909" s="105"/>
      <c r="J909" s="105" t="str">
        <f>IF(F909=True, IFERROR(VLOOKUP(D909, Repository!A:C, 3, 0), ""), "")</f>
        <v/>
      </c>
      <c r="K909" s="105"/>
      <c r="L909" s="105" t="str">
        <f>IF(F909=True, IFERROR(VLOOKUP(D909, Repository!A:E, 5, 0), ""), "")</f>
        <v/>
      </c>
      <c r="M909" s="105"/>
      <c r="N909" s="105" t="str">
        <f>IF(F909=True, IFERROR(VLOOKUP(D909, Repository!A:G, 7, 0), ""), "")</f>
        <v/>
      </c>
      <c r="O909" s="105" t="str">
        <f>IFERROR(__xludf.DUMMYFUNCTION("ARRAY_CONSTRAIN(
  ARRAYFORMULA(
    IFERROR(
      LET(
        list, N909,
        arr, TRIM(SPLIT(list, "","")),
        names, XLOOKUP(
          arr,
          'Conformance Score'!A:A,
          'Conformance Score'!B:B,
          ""Not found""
      "&amp;"  ),
        TEXTJOIN("", "", TRUE, names)
      ),
      """"
    )
  ),
  1,
  1
)
"),"")</f>
        <v/>
      </c>
      <c r="P909" s="105" t="str">
        <f>IF(F909="Yes", IFERROR(VLOOKUP(D909, Repository!A:F, 6, 0), ""), "")</f>
        <v/>
      </c>
      <c r="Q909" s="105" t="str">
        <f>IF(F909="Yes", IFERROR(VLOOKUP(D909, Repository!A:I, 8, 0), ""), "")</f>
        <v/>
      </c>
      <c r="R909" s="105" t="str">
        <f>IF(F909="Yes", IFERROR(VLOOKUP(D909, Repository!A:J, 9, 0), ""), "")</f>
        <v/>
      </c>
      <c r="S909" s="105"/>
      <c r="T909" s="105"/>
      <c r="U909" s="105"/>
      <c r="V909" s="105"/>
      <c r="W909" s="105"/>
      <c r="X909" s="105"/>
      <c r="Y909" s="105"/>
      <c r="Z909" s="105"/>
      <c r="AA909" s="105"/>
      <c r="AB909" s="105"/>
      <c r="AC909" s="91"/>
      <c r="AD909" s="105"/>
      <c r="AE909" s="105"/>
      <c r="AF909" s="91"/>
      <c r="AG909" s="105"/>
      <c r="AH909" s="105"/>
      <c r="AI909" s="105" t="str">
        <f t="shared" si="1"/>
        <v/>
      </c>
      <c r="AJ909" s="108" t="str">
        <f t="shared" si="2"/>
        <v/>
      </c>
    </row>
    <row r="910" ht="15.75" customHeight="1">
      <c r="A910" s="104"/>
      <c r="B910" s="105" t="str">
        <f>IFERROR(__xludf.DUMMYFUNCTION("ARRAY_CONSTRAIN(
  ARRAYFORMULA(
    IF(
      'Final Report'!A910="""",
      """",
      TEXTJOIN(
        "", "" &amp; CHAR(10),
        TRUE,
        IFERROR(
          VLOOKUP(
            TRIM(
              SPLIT('Final Report'!A910, "","")
           "&amp;" ),
            'URL Details'!A:B,
            2,
            FALSE
          ),
          """"
        )
      )
    )
  ),
  1,
  1
)
"),"")</f>
        <v/>
      </c>
      <c r="C910" s="105" t="str">
        <f>IFERROR(__xludf.DUMMYFUNCTION("IFERROR(IF('Final Report'!A910="""","""", TEXTJOIN(CHAR(10), TRUE, ARRAYFORMULA( ""• ""&amp; FILTER( TRIM(FLATTEN(SPLIT( REGEXREPLACE( SUBSTITUTE(TEXTJOIN("","", TRUE, IFERROR(ARRAYFORMULA(VLOOKUP(TRIM(SPLIT('Final Report'!A910, "","")), 'URL Details'!A:D, 4,"&amp;" FALSE)),"""") ), CHAR(10), "",""), ""\s*,\s*"", "",""), "",""))), TRIM(FLATTEN(SPLIT( REGEXREPLACE( SUBSTITUTE(TEXTJOIN("","", TRUE, IFERROR(ARRAYFORMULA(VLOOKUP(TRIM(SPLIT('Final Report'!A910, "","")), 'URL Details'!A:D, 4, FALSE)),"""") ), CHAR(10), """&amp;",""), ""\s*,\s*"", "",""), "","")))&lt;&gt;"""" ) ) ) ),"""")
"),"")</f>
        <v/>
      </c>
      <c r="D910" s="105"/>
      <c r="E910" s="105"/>
      <c r="F910" s="110" t="b">
        <v>0</v>
      </c>
      <c r="G910" s="105" t="str">
        <f>IF(F910=True, IFERROR(VLOOKUP(D910, Repository!A:B, 2, 0), ""), "")</f>
        <v/>
      </c>
      <c r="H910" s="105"/>
      <c r="I910" s="105"/>
      <c r="J910" s="105" t="str">
        <f>IF(F910=True, IFERROR(VLOOKUP(D910, Repository!A:C, 3, 0), ""), "")</f>
        <v/>
      </c>
      <c r="K910" s="105"/>
      <c r="L910" s="105" t="str">
        <f>IF(F910=True, IFERROR(VLOOKUP(D910, Repository!A:E, 5, 0), ""), "")</f>
        <v/>
      </c>
      <c r="M910" s="105"/>
      <c r="N910" s="105" t="str">
        <f>IF(F910=True, IFERROR(VLOOKUP(D910, Repository!A:G, 7, 0), ""), "")</f>
        <v/>
      </c>
      <c r="O910" s="105" t="str">
        <f>IFERROR(__xludf.DUMMYFUNCTION("ARRAY_CONSTRAIN(
  ARRAYFORMULA(
    IFERROR(
      LET(
        list, N910,
        arr, TRIM(SPLIT(list, "","")),
        names, XLOOKUP(
          arr,
          'Conformance Score'!A:A,
          'Conformance Score'!B:B,
          ""Not found""
      "&amp;"  ),
        TEXTJOIN("", "", TRUE, names)
      ),
      """"
    )
  ),
  1,
  1
)
"),"")</f>
        <v/>
      </c>
      <c r="P910" s="105" t="str">
        <f>IF(F910="Yes", IFERROR(VLOOKUP(D910, Repository!A:F, 6, 0), ""), "")</f>
        <v/>
      </c>
      <c r="Q910" s="105" t="str">
        <f>IF(F910="Yes", IFERROR(VLOOKUP(D910, Repository!A:I, 8, 0), ""), "")</f>
        <v/>
      </c>
      <c r="R910" s="105" t="str">
        <f>IF(F910="Yes", IFERROR(VLOOKUP(D910, Repository!A:J, 9, 0), ""), "")</f>
        <v/>
      </c>
      <c r="S910" s="105"/>
      <c r="T910" s="105"/>
      <c r="U910" s="105"/>
      <c r="V910" s="105"/>
      <c r="W910" s="105"/>
      <c r="X910" s="105"/>
      <c r="Y910" s="105"/>
      <c r="Z910" s="105"/>
      <c r="AA910" s="105"/>
      <c r="AB910" s="105"/>
      <c r="AC910" s="91"/>
      <c r="AD910" s="105"/>
      <c r="AE910" s="105"/>
      <c r="AF910" s="91"/>
      <c r="AG910" s="105"/>
      <c r="AH910" s="105"/>
      <c r="AI910" s="105" t="str">
        <f t="shared" si="1"/>
        <v/>
      </c>
      <c r="AJ910" s="108" t="str">
        <f t="shared" si="2"/>
        <v/>
      </c>
    </row>
    <row r="911" ht="15.75" customHeight="1">
      <c r="A911" s="104"/>
      <c r="B911" s="105" t="str">
        <f>IFERROR(__xludf.DUMMYFUNCTION("ARRAY_CONSTRAIN(
  ARRAYFORMULA(
    IF(
      'Final Report'!A911="""",
      """",
      TEXTJOIN(
        "", "" &amp; CHAR(10),
        TRUE,
        IFERROR(
          VLOOKUP(
            TRIM(
              SPLIT('Final Report'!A911, "","")
           "&amp;" ),
            'URL Details'!A:B,
            2,
            FALSE
          ),
          """"
        )
      )
    )
  ),
  1,
  1
)
"),"")</f>
        <v/>
      </c>
      <c r="C911" s="105" t="str">
        <f>IFERROR(__xludf.DUMMYFUNCTION("IFERROR(IF('Final Report'!A911="""","""", TEXTJOIN(CHAR(10), TRUE, ARRAYFORMULA( ""• ""&amp; FILTER( TRIM(FLATTEN(SPLIT( REGEXREPLACE( SUBSTITUTE(TEXTJOIN("","", TRUE, IFERROR(ARRAYFORMULA(VLOOKUP(TRIM(SPLIT('Final Report'!A911, "","")), 'URL Details'!A:D, 4,"&amp;" FALSE)),"""") ), CHAR(10), "",""), ""\s*,\s*"", "",""), "",""))), TRIM(FLATTEN(SPLIT( REGEXREPLACE( SUBSTITUTE(TEXTJOIN("","", TRUE, IFERROR(ARRAYFORMULA(VLOOKUP(TRIM(SPLIT('Final Report'!A911, "","")), 'URL Details'!A:D, 4, FALSE)),"""") ), CHAR(10), """&amp;",""), ""\s*,\s*"", "",""), "","")))&lt;&gt;"""" ) ) ) ),"""")
"),"")</f>
        <v/>
      </c>
      <c r="D911" s="105"/>
      <c r="E911" s="105"/>
      <c r="F911" s="110" t="b">
        <v>0</v>
      </c>
      <c r="G911" s="105" t="str">
        <f>IF(F911=True, IFERROR(VLOOKUP(D911, Repository!A:B, 2, 0), ""), "")</f>
        <v/>
      </c>
      <c r="H911" s="105"/>
      <c r="I911" s="105"/>
      <c r="J911" s="105" t="str">
        <f>IF(F911=True, IFERROR(VLOOKUP(D911, Repository!A:C, 3, 0), ""), "")</f>
        <v/>
      </c>
      <c r="K911" s="105"/>
      <c r="L911" s="105" t="str">
        <f>IF(F911=True, IFERROR(VLOOKUP(D911, Repository!A:E, 5, 0), ""), "")</f>
        <v/>
      </c>
      <c r="M911" s="105"/>
      <c r="N911" s="105" t="str">
        <f>IF(F911=True, IFERROR(VLOOKUP(D911, Repository!A:G, 7, 0), ""), "")</f>
        <v/>
      </c>
      <c r="O911" s="105" t="str">
        <f>IFERROR(__xludf.DUMMYFUNCTION("ARRAY_CONSTRAIN(
  ARRAYFORMULA(
    IFERROR(
      LET(
        list, N911,
        arr, TRIM(SPLIT(list, "","")),
        names, XLOOKUP(
          arr,
          'Conformance Score'!A:A,
          'Conformance Score'!B:B,
          ""Not found""
      "&amp;"  ),
        TEXTJOIN("", "", TRUE, names)
      ),
      """"
    )
  ),
  1,
  1
)
"),"")</f>
        <v/>
      </c>
      <c r="P911" s="105" t="str">
        <f>IF(F911="Yes", IFERROR(VLOOKUP(D911, Repository!A:F, 6, 0), ""), "")</f>
        <v/>
      </c>
      <c r="Q911" s="105" t="str">
        <f>IF(F911="Yes", IFERROR(VLOOKUP(D911, Repository!A:I, 8, 0), ""), "")</f>
        <v/>
      </c>
      <c r="R911" s="105" t="str">
        <f>IF(F911="Yes", IFERROR(VLOOKUP(D911, Repository!A:J, 9, 0), ""), "")</f>
        <v/>
      </c>
      <c r="S911" s="105"/>
      <c r="T911" s="105"/>
      <c r="U911" s="105"/>
      <c r="V911" s="105"/>
      <c r="W911" s="105"/>
      <c r="X911" s="105"/>
      <c r="Y911" s="105"/>
      <c r="Z911" s="105"/>
      <c r="AA911" s="105"/>
      <c r="AB911" s="105"/>
      <c r="AC911" s="91"/>
      <c r="AD911" s="105"/>
      <c r="AE911" s="105"/>
      <c r="AF911" s="91"/>
      <c r="AG911" s="105"/>
      <c r="AH911" s="105"/>
      <c r="AI911" s="105" t="str">
        <f t="shared" si="1"/>
        <v/>
      </c>
      <c r="AJ911" s="108" t="str">
        <f t="shared" si="2"/>
        <v/>
      </c>
    </row>
    <row r="912" ht="15.75" customHeight="1">
      <c r="A912" s="104"/>
      <c r="B912" s="105" t="str">
        <f>IFERROR(__xludf.DUMMYFUNCTION("ARRAY_CONSTRAIN(
  ARRAYFORMULA(
    IF(
      'Final Report'!A912="""",
      """",
      TEXTJOIN(
        "", "" &amp; CHAR(10),
        TRUE,
        IFERROR(
          VLOOKUP(
            TRIM(
              SPLIT('Final Report'!A912, "","")
           "&amp;" ),
            'URL Details'!A:B,
            2,
            FALSE
          ),
          """"
        )
      )
    )
  ),
  1,
  1
)
"),"")</f>
        <v/>
      </c>
      <c r="C912" s="105" t="str">
        <f>IFERROR(__xludf.DUMMYFUNCTION("IFERROR(IF('Final Report'!A912="""","""", TEXTJOIN(CHAR(10), TRUE, ARRAYFORMULA( ""• ""&amp; FILTER( TRIM(FLATTEN(SPLIT( REGEXREPLACE( SUBSTITUTE(TEXTJOIN("","", TRUE, IFERROR(ARRAYFORMULA(VLOOKUP(TRIM(SPLIT('Final Report'!A912, "","")), 'URL Details'!A:D, 4,"&amp;" FALSE)),"""") ), CHAR(10), "",""), ""\s*,\s*"", "",""), "",""))), TRIM(FLATTEN(SPLIT( REGEXREPLACE( SUBSTITUTE(TEXTJOIN("","", TRUE, IFERROR(ARRAYFORMULA(VLOOKUP(TRIM(SPLIT('Final Report'!A912, "","")), 'URL Details'!A:D, 4, FALSE)),"""") ), CHAR(10), """&amp;",""), ""\s*,\s*"", "",""), "","")))&lt;&gt;"""" ) ) ) ),"""")
"),"")</f>
        <v/>
      </c>
      <c r="D912" s="105"/>
      <c r="E912" s="105"/>
      <c r="F912" s="110" t="b">
        <v>0</v>
      </c>
      <c r="G912" s="105" t="str">
        <f>IF(F912=True, IFERROR(VLOOKUP(D912, Repository!A:B, 2, 0), ""), "")</f>
        <v/>
      </c>
      <c r="H912" s="105"/>
      <c r="I912" s="105"/>
      <c r="J912" s="105" t="str">
        <f>IF(F912=True, IFERROR(VLOOKUP(D912, Repository!A:C, 3, 0), ""), "")</f>
        <v/>
      </c>
      <c r="K912" s="105"/>
      <c r="L912" s="105" t="str">
        <f>IF(F912=True, IFERROR(VLOOKUP(D912, Repository!A:E, 5, 0), ""), "")</f>
        <v/>
      </c>
      <c r="M912" s="105"/>
      <c r="N912" s="105" t="str">
        <f>IF(F912=True, IFERROR(VLOOKUP(D912, Repository!A:G, 7, 0), ""), "")</f>
        <v/>
      </c>
      <c r="O912" s="105" t="str">
        <f>IFERROR(__xludf.DUMMYFUNCTION("ARRAY_CONSTRAIN(
  ARRAYFORMULA(
    IFERROR(
      LET(
        list, N912,
        arr, TRIM(SPLIT(list, "","")),
        names, XLOOKUP(
          arr,
          'Conformance Score'!A:A,
          'Conformance Score'!B:B,
          ""Not found""
      "&amp;"  ),
        TEXTJOIN("", "", TRUE, names)
      ),
      """"
    )
  ),
  1,
  1
)
"),"")</f>
        <v/>
      </c>
      <c r="P912" s="105" t="str">
        <f>IF(F912="Yes", IFERROR(VLOOKUP(D912, Repository!A:F, 6, 0), ""), "")</f>
        <v/>
      </c>
      <c r="Q912" s="105" t="str">
        <f>IF(F912="Yes", IFERROR(VLOOKUP(D912, Repository!A:I, 8, 0), ""), "")</f>
        <v/>
      </c>
      <c r="R912" s="105" t="str">
        <f>IF(F912="Yes", IFERROR(VLOOKUP(D912, Repository!A:J, 9, 0), ""), "")</f>
        <v/>
      </c>
      <c r="S912" s="105"/>
      <c r="T912" s="105"/>
      <c r="U912" s="105"/>
      <c r="V912" s="105"/>
      <c r="W912" s="105"/>
      <c r="X912" s="105"/>
      <c r="Y912" s="105"/>
      <c r="Z912" s="105"/>
      <c r="AA912" s="105"/>
      <c r="AB912" s="105"/>
      <c r="AC912" s="91"/>
      <c r="AD912" s="105"/>
      <c r="AE912" s="105"/>
      <c r="AF912" s="91"/>
      <c r="AG912" s="105"/>
      <c r="AH912" s="105"/>
      <c r="AI912" s="105" t="str">
        <f t="shared" si="1"/>
        <v/>
      </c>
      <c r="AJ912" s="108" t="str">
        <f t="shared" si="2"/>
        <v/>
      </c>
    </row>
    <row r="913" ht="15.75" customHeight="1">
      <c r="A913" s="104"/>
      <c r="B913" s="105" t="str">
        <f>IFERROR(__xludf.DUMMYFUNCTION("ARRAY_CONSTRAIN(
  ARRAYFORMULA(
    IF(
      'Final Report'!A913="""",
      """",
      TEXTJOIN(
        "", "" &amp; CHAR(10),
        TRUE,
        IFERROR(
          VLOOKUP(
            TRIM(
              SPLIT('Final Report'!A913, "","")
           "&amp;" ),
            'URL Details'!A:B,
            2,
            FALSE
          ),
          """"
        )
      )
    )
  ),
  1,
  1
)
"),"")</f>
        <v/>
      </c>
      <c r="C913" s="105" t="str">
        <f>IFERROR(__xludf.DUMMYFUNCTION("IFERROR(IF('Final Report'!A913="""","""", TEXTJOIN(CHAR(10), TRUE, ARRAYFORMULA( ""• ""&amp; FILTER( TRIM(FLATTEN(SPLIT( REGEXREPLACE( SUBSTITUTE(TEXTJOIN("","", TRUE, IFERROR(ARRAYFORMULA(VLOOKUP(TRIM(SPLIT('Final Report'!A913, "","")), 'URL Details'!A:D, 4,"&amp;" FALSE)),"""") ), CHAR(10), "",""), ""\s*,\s*"", "",""), "",""))), TRIM(FLATTEN(SPLIT( REGEXREPLACE( SUBSTITUTE(TEXTJOIN("","", TRUE, IFERROR(ARRAYFORMULA(VLOOKUP(TRIM(SPLIT('Final Report'!A913, "","")), 'URL Details'!A:D, 4, FALSE)),"""") ), CHAR(10), """&amp;",""), ""\s*,\s*"", "",""), "","")))&lt;&gt;"""" ) ) ) ),"""")
"),"")</f>
        <v/>
      </c>
      <c r="D913" s="105"/>
      <c r="E913" s="105"/>
      <c r="F913" s="110" t="b">
        <v>0</v>
      </c>
      <c r="G913" s="105" t="str">
        <f>IF(F913=True, IFERROR(VLOOKUP(D913, Repository!A:B, 2, 0), ""), "")</f>
        <v/>
      </c>
      <c r="H913" s="105"/>
      <c r="I913" s="105"/>
      <c r="J913" s="105" t="str">
        <f>IF(F913=True, IFERROR(VLOOKUP(D913, Repository!A:C, 3, 0), ""), "")</f>
        <v/>
      </c>
      <c r="K913" s="105"/>
      <c r="L913" s="105" t="str">
        <f>IF(F913=True, IFERROR(VLOOKUP(D913, Repository!A:E, 5, 0), ""), "")</f>
        <v/>
      </c>
      <c r="M913" s="105"/>
      <c r="N913" s="105" t="str">
        <f>IF(F913=True, IFERROR(VLOOKUP(D913, Repository!A:G, 7, 0), ""), "")</f>
        <v/>
      </c>
      <c r="O913" s="105" t="str">
        <f>IFERROR(__xludf.DUMMYFUNCTION("ARRAY_CONSTRAIN(
  ARRAYFORMULA(
    IFERROR(
      LET(
        list, N913,
        arr, TRIM(SPLIT(list, "","")),
        names, XLOOKUP(
          arr,
          'Conformance Score'!A:A,
          'Conformance Score'!B:B,
          ""Not found""
      "&amp;"  ),
        TEXTJOIN("", "", TRUE, names)
      ),
      """"
    )
  ),
  1,
  1
)
"),"")</f>
        <v/>
      </c>
      <c r="P913" s="105" t="str">
        <f>IF(F913="Yes", IFERROR(VLOOKUP(D913, Repository!A:F, 6, 0), ""), "")</f>
        <v/>
      </c>
      <c r="Q913" s="105" t="str">
        <f>IF(F913="Yes", IFERROR(VLOOKUP(D913, Repository!A:I, 8, 0), ""), "")</f>
        <v/>
      </c>
      <c r="R913" s="105" t="str">
        <f>IF(F913="Yes", IFERROR(VLOOKUP(D913, Repository!A:J, 9, 0), ""), "")</f>
        <v/>
      </c>
      <c r="S913" s="105"/>
      <c r="T913" s="105"/>
      <c r="U913" s="105"/>
      <c r="V913" s="105"/>
      <c r="W913" s="105"/>
      <c r="X913" s="105"/>
      <c r="Y913" s="105"/>
      <c r="Z913" s="105"/>
      <c r="AA913" s="105"/>
      <c r="AB913" s="105"/>
      <c r="AC913" s="91"/>
      <c r="AD913" s="105"/>
      <c r="AE913" s="105"/>
      <c r="AF913" s="91"/>
      <c r="AG913" s="105"/>
      <c r="AH913" s="105"/>
      <c r="AI913" s="105" t="str">
        <f t="shared" si="1"/>
        <v/>
      </c>
      <c r="AJ913" s="108" t="str">
        <f t="shared" si="2"/>
        <v/>
      </c>
    </row>
    <row r="914" ht="15.75" customHeight="1">
      <c r="A914" s="104"/>
      <c r="B914" s="105" t="str">
        <f>IFERROR(__xludf.DUMMYFUNCTION("ARRAY_CONSTRAIN(
  ARRAYFORMULA(
    IF(
      'Final Report'!A914="""",
      """",
      TEXTJOIN(
        "", "" &amp; CHAR(10),
        TRUE,
        IFERROR(
          VLOOKUP(
            TRIM(
              SPLIT('Final Report'!A914, "","")
           "&amp;" ),
            'URL Details'!A:B,
            2,
            FALSE
          ),
          """"
        )
      )
    )
  ),
  1,
  1
)
"),"")</f>
        <v/>
      </c>
      <c r="C914" s="105" t="str">
        <f>IFERROR(__xludf.DUMMYFUNCTION("IFERROR(IF('Final Report'!A914="""","""", TEXTJOIN(CHAR(10), TRUE, ARRAYFORMULA( ""• ""&amp; FILTER( TRIM(FLATTEN(SPLIT( REGEXREPLACE( SUBSTITUTE(TEXTJOIN("","", TRUE, IFERROR(ARRAYFORMULA(VLOOKUP(TRIM(SPLIT('Final Report'!A914, "","")), 'URL Details'!A:D, 4,"&amp;" FALSE)),"""") ), CHAR(10), "",""), ""\s*,\s*"", "",""), "",""))), TRIM(FLATTEN(SPLIT( REGEXREPLACE( SUBSTITUTE(TEXTJOIN("","", TRUE, IFERROR(ARRAYFORMULA(VLOOKUP(TRIM(SPLIT('Final Report'!A914, "","")), 'URL Details'!A:D, 4, FALSE)),"""") ), CHAR(10), """&amp;",""), ""\s*,\s*"", "",""), "","")))&lt;&gt;"""" ) ) ) ),"""")
"),"")</f>
        <v/>
      </c>
      <c r="D914" s="105"/>
      <c r="E914" s="105"/>
      <c r="F914" s="110" t="b">
        <v>0</v>
      </c>
      <c r="G914" s="105" t="str">
        <f>IF(F914=True, IFERROR(VLOOKUP(D914, Repository!A:B, 2, 0), ""), "")</f>
        <v/>
      </c>
      <c r="H914" s="105"/>
      <c r="I914" s="105"/>
      <c r="J914" s="105" t="str">
        <f>IF(F914=True, IFERROR(VLOOKUP(D914, Repository!A:C, 3, 0), ""), "")</f>
        <v/>
      </c>
      <c r="K914" s="105"/>
      <c r="L914" s="105" t="str">
        <f>IF(F914=True, IFERROR(VLOOKUP(D914, Repository!A:E, 5, 0), ""), "")</f>
        <v/>
      </c>
      <c r="M914" s="105"/>
      <c r="N914" s="105" t="str">
        <f>IF(F914=True, IFERROR(VLOOKUP(D914, Repository!A:G, 7, 0), ""), "")</f>
        <v/>
      </c>
      <c r="O914" s="105" t="str">
        <f>IFERROR(__xludf.DUMMYFUNCTION("ARRAY_CONSTRAIN(
  ARRAYFORMULA(
    IFERROR(
      LET(
        list, N914,
        arr, TRIM(SPLIT(list, "","")),
        names, XLOOKUP(
          arr,
          'Conformance Score'!A:A,
          'Conformance Score'!B:B,
          ""Not found""
      "&amp;"  ),
        TEXTJOIN("", "", TRUE, names)
      ),
      """"
    )
  ),
  1,
  1
)
"),"")</f>
        <v/>
      </c>
      <c r="P914" s="105" t="str">
        <f>IF(F914="Yes", IFERROR(VLOOKUP(D914, Repository!A:F, 6, 0), ""), "")</f>
        <v/>
      </c>
      <c r="Q914" s="105" t="str">
        <f>IF(F914="Yes", IFERROR(VLOOKUP(D914, Repository!A:I, 8, 0), ""), "")</f>
        <v/>
      </c>
      <c r="R914" s="105" t="str">
        <f>IF(F914="Yes", IFERROR(VLOOKUP(D914, Repository!A:J, 9, 0), ""), "")</f>
        <v/>
      </c>
      <c r="S914" s="105"/>
      <c r="T914" s="105"/>
      <c r="U914" s="105"/>
      <c r="V914" s="105"/>
      <c r="W914" s="105"/>
      <c r="X914" s="105"/>
      <c r="Y914" s="105"/>
      <c r="Z914" s="105"/>
      <c r="AA914" s="105"/>
      <c r="AB914" s="105"/>
      <c r="AC914" s="91"/>
      <c r="AD914" s="105"/>
      <c r="AE914" s="105"/>
      <c r="AF914" s="91"/>
      <c r="AG914" s="105"/>
      <c r="AH914" s="105"/>
      <c r="AI914" s="105" t="str">
        <f t="shared" si="1"/>
        <v/>
      </c>
      <c r="AJ914" s="108" t="str">
        <f t="shared" si="2"/>
        <v/>
      </c>
    </row>
    <row r="915" ht="15.75" customHeight="1">
      <c r="A915" s="104"/>
      <c r="B915" s="105" t="str">
        <f>IFERROR(__xludf.DUMMYFUNCTION("ARRAY_CONSTRAIN(
  ARRAYFORMULA(
    IF(
      'Final Report'!A915="""",
      """",
      TEXTJOIN(
        "", "" &amp; CHAR(10),
        TRUE,
        IFERROR(
          VLOOKUP(
            TRIM(
              SPLIT('Final Report'!A915, "","")
           "&amp;" ),
            'URL Details'!A:B,
            2,
            FALSE
          ),
          """"
        )
      )
    )
  ),
  1,
  1
)
"),"")</f>
        <v/>
      </c>
      <c r="C915" s="105" t="str">
        <f>IFERROR(__xludf.DUMMYFUNCTION("IFERROR(IF('Final Report'!A915="""","""", TEXTJOIN(CHAR(10), TRUE, ARRAYFORMULA( ""• ""&amp; FILTER( TRIM(FLATTEN(SPLIT( REGEXREPLACE( SUBSTITUTE(TEXTJOIN("","", TRUE, IFERROR(ARRAYFORMULA(VLOOKUP(TRIM(SPLIT('Final Report'!A915, "","")), 'URL Details'!A:D, 4,"&amp;" FALSE)),"""") ), CHAR(10), "",""), ""\s*,\s*"", "",""), "",""))), TRIM(FLATTEN(SPLIT( REGEXREPLACE( SUBSTITUTE(TEXTJOIN("","", TRUE, IFERROR(ARRAYFORMULA(VLOOKUP(TRIM(SPLIT('Final Report'!A915, "","")), 'URL Details'!A:D, 4, FALSE)),"""") ), CHAR(10), """&amp;",""), ""\s*,\s*"", "",""), "","")))&lt;&gt;"""" ) ) ) ),"""")
"),"")</f>
        <v/>
      </c>
      <c r="D915" s="105"/>
      <c r="E915" s="105"/>
      <c r="F915" s="110" t="b">
        <v>0</v>
      </c>
      <c r="G915" s="105" t="str">
        <f>IF(F915=True, IFERROR(VLOOKUP(D915, Repository!A:B, 2, 0), ""), "")</f>
        <v/>
      </c>
      <c r="H915" s="105"/>
      <c r="I915" s="105"/>
      <c r="J915" s="105" t="str">
        <f>IF(F915=True, IFERROR(VLOOKUP(D915, Repository!A:C, 3, 0), ""), "")</f>
        <v/>
      </c>
      <c r="K915" s="105"/>
      <c r="L915" s="105" t="str">
        <f>IF(F915=True, IFERROR(VLOOKUP(D915, Repository!A:E, 5, 0), ""), "")</f>
        <v/>
      </c>
      <c r="M915" s="105"/>
      <c r="N915" s="105" t="str">
        <f>IF(F915=True, IFERROR(VLOOKUP(D915, Repository!A:G, 7, 0), ""), "")</f>
        <v/>
      </c>
      <c r="O915" s="105" t="str">
        <f>IFERROR(__xludf.DUMMYFUNCTION("ARRAY_CONSTRAIN(
  ARRAYFORMULA(
    IFERROR(
      LET(
        list, N915,
        arr, TRIM(SPLIT(list, "","")),
        names, XLOOKUP(
          arr,
          'Conformance Score'!A:A,
          'Conformance Score'!B:B,
          ""Not found""
      "&amp;"  ),
        TEXTJOIN("", "", TRUE, names)
      ),
      """"
    )
  ),
  1,
  1
)
"),"")</f>
        <v/>
      </c>
      <c r="P915" s="105" t="str">
        <f>IF(F915="Yes", IFERROR(VLOOKUP(D915, Repository!A:F, 6, 0), ""), "")</f>
        <v/>
      </c>
      <c r="Q915" s="105" t="str">
        <f>IF(F915="Yes", IFERROR(VLOOKUP(D915, Repository!A:I, 8, 0), ""), "")</f>
        <v/>
      </c>
      <c r="R915" s="105" t="str">
        <f>IF(F915="Yes", IFERROR(VLOOKUP(D915, Repository!A:J, 9, 0), ""), "")</f>
        <v/>
      </c>
      <c r="S915" s="105"/>
      <c r="T915" s="105"/>
      <c r="U915" s="105"/>
      <c r="V915" s="105"/>
      <c r="W915" s="105"/>
      <c r="X915" s="105"/>
      <c r="Y915" s="105"/>
      <c r="Z915" s="105"/>
      <c r="AA915" s="105"/>
      <c r="AB915" s="105"/>
      <c r="AC915" s="91"/>
      <c r="AD915" s="105"/>
      <c r="AE915" s="105"/>
      <c r="AF915" s="91"/>
      <c r="AG915" s="105"/>
      <c r="AH915" s="105"/>
      <c r="AI915" s="105" t="str">
        <f t="shared" si="1"/>
        <v/>
      </c>
      <c r="AJ915" s="108" t="str">
        <f t="shared" si="2"/>
        <v/>
      </c>
    </row>
    <row r="916" ht="15.75" customHeight="1">
      <c r="A916" s="104"/>
      <c r="B916" s="105" t="str">
        <f>IFERROR(__xludf.DUMMYFUNCTION("ARRAY_CONSTRAIN(
  ARRAYFORMULA(
    IF(
      'Final Report'!A916="""",
      """",
      TEXTJOIN(
        "", "" &amp; CHAR(10),
        TRUE,
        IFERROR(
          VLOOKUP(
            TRIM(
              SPLIT('Final Report'!A916, "","")
           "&amp;" ),
            'URL Details'!A:B,
            2,
            FALSE
          ),
          """"
        )
      )
    )
  ),
  1,
  1
)
"),"")</f>
        <v/>
      </c>
      <c r="C916" s="105" t="str">
        <f>IFERROR(__xludf.DUMMYFUNCTION("IFERROR(IF('Final Report'!A916="""","""", TEXTJOIN(CHAR(10), TRUE, ARRAYFORMULA( ""• ""&amp; FILTER( TRIM(FLATTEN(SPLIT( REGEXREPLACE( SUBSTITUTE(TEXTJOIN("","", TRUE, IFERROR(ARRAYFORMULA(VLOOKUP(TRIM(SPLIT('Final Report'!A916, "","")), 'URL Details'!A:D, 4,"&amp;" FALSE)),"""") ), CHAR(10), "",""), ""\s*,\s*"", "",""), "",""))), TRIM(FLATTEN(SPLIT( REGEXREPLACE( SUBSTITUTE(TEXTJOIN("","", TRUE, IFERROR(ARRAYFORMULA(VLOOKUP(TRIM(SPLIT('Final Report'!A916, "","")), 'URL Details'!A:D, 4, FALSE)),"""") ), CHAR(10), """&amp;",""), ""\s*,\s*"", "",""), "","")))&lt;&gt;"""" ) ) ) ),"""")
"),"")</f>
        <v/>
      </c>
      <c r="D916" s="105"/>
      <c r="E916" s="105"/>
      <c r="F916" s="110" t="b">
        <v>0</v>
      </c>
      <c r="G916" s="105" t="str">
        <f>IF(F916=True, IFERROR(VLOOKUP(D916, Repository!A:B, 2, 0), ""), "")</f>
        <v/>
      </c>
      <c r="H916" s="105"/>
      <c r="I916" s="105"/>
      <c r="J916" s="105" t="str">
        <f>IF(F916=True, IFERROR(VLOOKUP(D916, Repository!A:C, 3, 0), ""), "")</f>
        <v/>
      </c>
      <c r="K916" s="105"/>
      <c r="L916" s="105" t="str">
        <f>IF(F916=True, IFERROR(VLOOKUP(D916, Repository!A:E, 5, 0), ""), "")</f>
        <v/>
      </c>
      <c r="M916" s="105"/>
      <c r="N916" s="105" t="str">
        <f>IF(F916=True, IFERROR(VLOOKUP(D916, Repository!A:G, 7, 0), ""), "")</f>
        <v/>
      </c>
      <c r="O916" s="105" t="str">
        <f>IFERROR(__xludf.DUMMYFUNCTION("ARRAY_CONSTRAIN(
  ARRAYFORMULA(
    IFERROR(
      LET(
        list, N916,
        arr, TRIM(SPLIT(list, "","")),
        names, XLOOKUP(
          arr,
          'Conformance Score'!A:A,
          'Conformance Score'!B:B,
          ""Not found""
      "&amp;"  ),
        TEXTJOIN("", "", TRUE, names)
      ),
      """"
    )
  ),
  1,
  1
)
"),"")</f>
        <v/>
      </c>
      <c r="P916" s="105" t="str">
        <f>IF(F916="Yes", IFERROR(VLOOKUP(D916, Repository!A:F, 6, 0), ""), "")</f>
        <v/>
      </c>
      <c r="Q916" s="105" t="str">
        <f>IF(F916="Yes", IFERROR(VLOOKUP(D916, Repository!A:I, 8, 0), ""), "")</f>
        <v/>
      </c>
      <c r="R916" s="105" t="str">
        <f>IF(F916="Yes", IFERROR(VLOOKUP(D916, Repository!A:J, 9, 0), ""), "")</f>
        <v/>
      </c>
      <c r="S916" s="105"/>
      <c r="T916" s="105"/>
      <c r="U916" s="105"/>
      <c r="V916" s="105"/>
      <c r="W916" s="105"/>
      <c r="X916" s="105"/>
      <c r="Y916" s="105"/>
      <c r="Z916" s="105"/>
      <c r="AA916" s="105"/>
      <c r="AB916" s="105"/>
      <c r="AC916" s="91"/>
      <c r="AD916" s="105"/>
      <c r="AE916" s="105"/>
      <c r="AF916" s="91"/>
      <c r="AG916" s="105"/>
      <c r="AH916" s="105"/>
      <c r="AI916" s="105" t="str">
        <f t="shared" si="1"/>
        <v/>
      </c>
      <c r="AJ916" s="108" t="str">
        <f t="shared" si="2"/>
        <v/>
      </c>
    </row>
    <row r="917" ht="15.75" customHeight="1">
      <c r="A917" s="104"/>
      <c r="B917" s="105" t="str">
        <f>IFERROR(__xludf.DUMMYFUNCTION("ARRAY_CONSTRAIN(
  ARRAYFORMULA(
    IF(
      'Final Report'!A917="""",
      """",
      TEXTJOIN(
        "", "" &amp; CHAR(10),
        TRUE,
        IFERROR(
          VLOOKUP(
            TRIM(
              SPLIT('Final Report'!A917, "","")
           "&amp;" ),
            'URL Details'!A:B,
            2,
            FALSE
          ),
          """"
        )
      )
    )
  ),
  1,
  1
)
"),"")</f>
        <v/>
      </c>
      <c r="C917" s="105" t="str">
        <f>IFERROR(__xludf.DUMMYFUNCTION("IFERROR(IF('Final Report'!A917="""","""", TEXTJOIN(CHAR(10), TRUE, ARRAYFORMULA( ""• ""&amp; FILTER( TRIM(FLATTEN(SPLIT( REGEXREPLACE( SUBSTITUTE(TEXTJOIN("","", TRUE, IFERROR(ARRAYFORMULA(VLOOKUP(TRIM(SPLIT('Final Report'!A917, "","")), 'URL Details'!A:D, 4,"&amp;" FALSE)),"""") ), CHAR(10), "",""), ""\s*,\s*"", "",""), "",""))), TRIM(FLATTEN(SPLIT( REGEXREPLACE( SUBSTITUTE(TEXTJOIN("","", TRUE, IFERROR(ARRAYFORMULA(VLOOKUP(TRIM(SPLIT('Final Report'!A917, "","")), 'URL Details'!A:D, 4, FALSE)),"""") ), CHAR(10), """&amp;",""), ""\s*,\s*"", "",""), "","")))&lt;&gt;"""" ) ) ) ),"""")
"),"")</f>
        <v/>
      </c>
      <c r="D917" s="105"/>
      <c r="E917" s="105"/>
      <c r="F917" s="110" t="b">
        <v>0</v>
      </c>
      <c r="G917" s="105" t="str">
        <f>IF(F917=True, IFERROR(VLOOKUP(D917, Repository!A:B, 2, 0), ""), "")</f>
        <v/>
      </c>
      <c r="H917" s="105"/>
      <c r="I917" s="105"/>
      <c r="J917" s="105" t="str">
        <f>IF(F917=True, IFERROR(VLOOKUP(D917, Repository!A:C, 3, 0), ""), "")</f>
        <v/>
      </c>
      <c r="K917" s="105"/>
      <c r="L917" s="105" t="str">
        <f>IF(F917=True, IFERROR(VLOOKUP(D917, Repository!A:E, 5, 0), ""), "")</f>
        <v/>
      </c>
      <c r="M917" s="105"/>
      <c r="N917" s="105" t="str">
        <f>IF(F917=True, IFERROR(VLOOKUP(D917, Repository!A:G, 7, 0), ""), "")</f>
        <v/>
      </c>
      <c r="O917" s="105" t="str">
        <f>IFERROR(__xludf.DUMMYFUNCTION("ARRAY_CONSTRAIN(
  ARRAYFORMULA(
    IFERROR(
      LET(
        list, N917,
        arr, TRIM(SPLIT(list, "","")),
        names, XLOOKUP(
          arr,
          'Conformance Score'!A:A,
          'Conformance Score'!B:B,
          ""Not found""
      "&amp;"  ),
        TEXTJOIN("", "", TRUE, names)
      ),
      """"
    )
  ),
  1,
  1
)
"),"")</f>
        <v/>
      </c>
      <c r="P917" s="105" t="str">
        <f>IF(F917="Yes", IFERROR(VLOOKUP(D917, Repository!A:F, 6, 0), ""), "")</f>
        <v/>
      </c>
      <c r="Q917" s="105" t="str">
        <f>IF(F917="Yes", IFERROR(VLOOKUP(D917, Repository!A:I, 8, 0), ""), "")</f>
        <v/>
      </c>
      <c r="R917" s="105" t="str">
        <f>IF(F917="Yes", IFERROR(VLOOKUP(D917, Repository!A:J, 9, 0), ""), "")</f>
        <v/>
      </c>
      <c r="S917" s="105"/>
      <c r="T917" s="105"/>
      <c r="U917" s="105"/>
      <c r="V917" s="105"/>
      <c r="W917" s="105"/>
      <c r="X917" s="105"/>
      <c r="Y917" s="105"/>
      <c r="Z917" s="105"/>
      <c r="AA917" s="105"/>
      <c r="AB917" s="105"/>
      <c r="AC917" s="91"/>
      <c r="AD917" s="105"/>
      <c r="AE917" s="105"/>
      <c r="AF917" s="91"/>
      <c r="AG917" s="105"/>
      <c r="AH917" s="105"/>
      <c r="AI917" s="105" t="str">
        <f t="shared" si="1"/>
        <v/>
      </c>
      <c r="AJ917" s="108" t="str">
        <f t="shared" si="2"/>
        <v/>
      </c>
    </row>
    <row r="918" ht="15.75" customHeight="1">
      <c r="A918" s="104"/>
      <c r="B918" s="105" t="str">
        <f>IFERROR(__xludf.DUMMYFUNCTION("ARRAY_CONSTRAIN(
  ARRAYFORMULA(
    IF(
      'Final Report'!A918="""",
      """",
      TEXTJOIN(
        "", "" &amp; CHAR(10),
        TRUE,
        IFERROR(
          VLOOKUP(
            TRIM(
              SPLIT('Final Report'!A918, "","")
           "&amp;" ),
            'URL Details'!A:B,
            2,
            FALSE
          ),
          """"
        )
      )
    )
  ),
  1,
  1
)
"),"")</f>
        <v/>
      </c>
      <c r="C918" s="105" t="str">
        <f>IFERROR(__xludf.DUMMYFUNCTION("IFERROR(IF('Final Report'!A918="""","""", TEXTJOIN(CHAR(10), TRUE, ARRAYFORMULA( ""• ""&amp; FILTER( TRIM(FLATTEN(SPLIT( REGEXREPLACE( SUBSTITUTE(TEXTJOIN("","", TRUE, IFERROR(ARRAYFORMULA(VLOOKUP(TRIM(SPLIT('Final Report'!A918, "","")), 'URL Details'!A:D, 4,"&amp;" FALSE)),"""") ), CHAR(10), "",""), ""\s*,\s*"", "",""), "",""))), TRIM(FLATTEN(SPLIT( REGEXREPLACE( SUBSTITUTE(TEXTJOIN("","", TRUE, IFERROR(ARRAYFORMULA(VLOOKUP(TRIM(SPLIT('Final Report'!A918, "","")), 'URL Details'!A:D, 4, FALSE)),"""") ), CHAR(10), """&amp;",""), ""\s*,\s*"", "",""), "","")))&lt;&gt;"""" ) ) ) ),"""")
"),"")</f>
        <v/>
      </c>
      <c r="D918" s="105"/>
      <c r="E918" s="105"/>
      <c r="F918" s="110" t="b">
        <v>0</v>
      </c>
      <c r="G918" s="105" t="str">
        <f>IF(F918=True, IFERROR(VLOOKUP(D918, Repository!A:B, 2, 0), ""), "")</f>
        <v/>
      </c>
      <c r="H918" s="105"/>
      <c r="I918" s="105"/>
      <c r="J918" s="105" t="str">
        <f>IF(F918=True, IFERROR(VLOOKUP(D918, Repository!A:C, 3, 0), ""), "")</f>
        <v/>
      </c>
      <c r="K918" s="105"/>
      <c r="L918" s="105" t="str">
        <f>IF(F918=True, IFERROR(VLOOKUP(D918, Repository!A:E, 5, 0), ""), "")</f>
        <v/>
      </c>
      <c r="M918" s="105"/>
      <c r="N918" s="105" t="str">
        <f>IF(F918=True, IFERROR(VLOOKUP(D918, Repository!A:G, 7, 0), ""), "")</f>
        <v/>
      </c>
      <c r="O918" s="105" t="str">
        <f>IFERROR(__xludf.DUMMYFUNCTION("ARRAY_CONSTRAIN(
  ARRAYFORMULA(
    IFERROR(
      LET(
        list, N918,
        arr, TRIM(SPLIT(list, "","")),
        names, XLOOKUP(
          arr,
          'Conformance Score'!A:A,
          'Conformance Score'!B:B,
          ""Not found""
      "&amp;"  ),
        TEXTJOIN("", "", TRUE, names)
      ),
      """"
    )
  ),
  1,
  1
)
"),"")</f>
        <v/>
      </c>
      <c r="P918" s="105" t="str">
        <f>IF(F918="Yes", IFERROR(VLOOKUP(D918, Repository!A:F, 6, 0), ""), "")</f>
        <v/>
      </c>
      <c r="Q918" s="105" t="str">
        <f>IF(F918="Yes", IFERROR(VLOOKUP(D918, Repository!A:I, 8, 0), ""), "")</f>
        <v/>
      </c>
      <c r="R918" s="105" t="str">
        <f>IF(F918="Yes", IFERROR(VLOOKUP(D918, Repository!A:J, 9, 0), ""), "")</f>
        <v/>
      </c>
      <c r="S918" s="105"/>
      <c r="T918" s="105"/>
      <c r="U918" s="105"/>
      <c r="V918" s="105"/>
      <c r="W918" s="105"/>
      <c r="X918" s="105"/>
      <c r="Y918" s="105"/>
      <c r="Z918" s="105"/>
      <c r="AA918" s="105"/>
      <c r="AB918" s="105"/>
      <c r="AC918" s="91"/>
      <c r="AD918" s="105"/>
      <c r="AE918" s="105"/>
      <c r="AF918" s="91"/>
      <c r="AG918" s="105"/>
      <c r="AH918" s="105"/>
      <c r="AI918" s="105" t="str">
        <f t="shared" si="1"/>
        <v/>
      </c>
      <c r="AJ918" s="108" t="str">
        <f t="shared" si="2"/>
        <v/>
      </c>
    </row>
    <row r="919" ht="15.75" customHeight="1">
      <c r="A919" s="104"/>
      <c r="B919" s="105" t="str">
        <f>IFERROR(__xludf.DUMMYFUNCTION("ARRAY_CONSTRAIN(
  ARRAYFORMULA(
    IF(
      'Final Report'!A919="""",
      """",
      TEXTJOIN(
        "", "" &amp; CHAR(10),
        TRUE,
        IFERROR(
          VLOOKUP(
            TRIM(
              SPLIT('Final Report'!A919, "","")
           "&amp;" ),
            'URL Details'!A:B,
            2,
            FALSE
          ),
          """"
        )
      )
    )
  ),
  1,
  1
)
"),"")</f>
        <v/>
      </c>
      <c r="C919" s="105" t="str">
        <f>IFERROR(__xludf.DUMMYFUNCTION("IFERROR(IF('Final Report'!A919="""","""", TEXTJOIN(CHAR(10), TRUE, ARRAYFORMULA( ""• ""&amp; FILTER( TRIM(FLATTEN(SPLIT( REGEXREPLACE( SUBSTITUTE(TEXTJOIN("","", TRUE, IFERROR(ARRAYFORMULA(VLOOKUP(TRIM(SPLIT('Final Report'!A919, "","")), 'URL Details'!A:D, 4,"&amp;" FALSE)),"""") ), CHAR(10), "",""), ""\s*,\s*"", "",""), "",""))), TRIM(FLATTEN(SPLIT( REGEXREPLACE( SUBSTITUTE(TEXTJOIN("","", TRUE, IFERROR(ARRAYFORMULA(VLOOKUP(TRIM(SPLIT('Final Report'!A919, "","")), 'URL Details'!A:D, 4, FALSE)),"""") ), CHAR(10), """&amp;",""), ""\s*,\s*"", "",""), "","")))&lt;&gt;"""" ) ) ) ),"""")
"),"")</f>
        <v/>
      </c>
      <c r="D919" s="105"/>
      <c r="E919" s="105"/>
      <c r="F919" s="110" t="b">
        <v>0</v>
      </c>
      <c r="G919" s="105" t="str">
        <f>IF(F919=True, IFERROR(VLOOKUP(D919, Repository!A:B, 2, 0), ""), "")</f>
        <v/>
      </c>
      <c r="H919" s="105"/>
      <c r="I919" s="105"/>
      <c r="J919" s="105" t="str">
        <f>IF(F919=True, IFERROR(VLOOKUP(D919, Repository!A:C, 3, 0), ""), "")</f>
        <v/>
      </c>
      <c r="K919" s="105"/>
      <c r="L919" s="105" t="str">
        <f>IF(F919=True, IFERROR(VLOOKUP(D919, Repository!A:E, 5, 0), ""), "")</f>
        <v/>
      </c>
      <c r="M919" s="105"/>
      <c r="N919" s="105" t="str">
        <f>IF(F919=True, IFERROR(VLOOKUP(D919, Repository!A:G, 7, 0), ""), "")</f>
        <v/>
      </c>
      <c r="O919" s="105" t="str">
        <f>IFERROR(__xludf.DUMMYFUNCTION("ARRAY_CONSTRAIN(
  ARRAYFORMULA(
    IFERROR(
      LET(
        list, N919,
        arr, TRIM(SPLIT(list, "","")),
        names, XLOOKUP(
          arr,
          'Conformance Score'!A:A,
          'Conformance Score'!B:B,
          ""Not found""
      "&amp;"  ),
        TEXTJOIN("", "", TRUE, names)
      ),
      """"
    )
  ),
  1,
  1
)
"),"")</f>
        <v/>
      </c>
      <c r="P919" s="105" t="str">
        <f>IF(F919="Yes", IFERROR(VLOOKUP(D919, Repository!A:F, 6, 0), ""), "")</f>
        <v/>
      </c>
      <c r="Q919" s="105" t="str">
        <f>IF(F919="Yes", IFERROR(VLOOKUP(D919, Repository!A:I, 8, 0), ""), "")</f>
        <v/>
      </c>
      <c r="R919" s="105" t="str">
        <f>IF(F919="Yes", IFERROR(VLOOKUP(D919, Repository!A:J, 9, 0), ""), "")</f>
        <v/>
      </c>
      <c r="S919" s="105"/>
      <c r="T919" s="105"/>
      <c r="U919" s="105"/>
      <c r="V919" s="105"/>
      <c r="W919" s="105"/>
      <c r="X919" s="105"/>
      <c r="Y919" s="105"/>
      <c r="Z919" s="105"/>
      <c r="AA919" s="105"/>
      <c r="AB919" s="105"/>
      <c r="AC919" s="91"/>
      <c r="AD919" s="105"/>
      <c r="AE919" s="105"/>
      <c r="AF919" s="91"/>
      <c r="AG919" s="105"/>
      <c r="AH919" s="105"/>
      <c r="AI919" s="105" t="str">
        <f t="shared" si="1"/>
        <v/>
      </c>
      <c r="AJ919" s="108" t="str">
        <f t="shared" si="2"/>
        <v/>
      </c>
    </row>
    <row r="920" ht="15.75" customHeight="1">
      <c r="A920" s="104"/>
      <c r="B920" s="105" t="str">
        <f>IFERROR(__xludf.DUMMYFUNCTION("ARRAY_CONSTRAIN(
  ARRAYFORMULA(
    IF(
      'Final Report'!A920="""",
      """",
      TEXTJOIN(
        "", "" &amp; CHAR(10),
        TRUE,
        IFERROR(
          VLOOKUP(
            TRIM(
              SPLIT('Final Report'!A920, "","")
           "&amp;" ),
            'URL Details'!A:B,
            2,
            FALSE
          ),
          """"
        )
      )
    )
  ),
  1,
  1
)
"),"")</f>
        <v/>
      </c>
      <c r="C920" s="105" t="str">
        <f>IFERROR(__xludf.DUMMYFUNCTION("IFERROR(IF('Final Report'!A920="""","""", TEXTJOIN(CHAR(10), TRUE, ARRAYFORMULA( ""• ""&amp; FILTER( TRIM(FLATTEN(SPLIT( REGEXREPLACE( SUBSTITUTE(TEXTJOIN("","", TRUE, IFERROR(ARRAYFORMULA(VLOOKUP(TRIM(SPLIT('Final Report'!A920, "","")), 'URL Details'!A:D, 4,"&amp;" FALSE)),"""") ), CHAR(10), "",""), ""\s*,\s*"", "",""), "",""))), TRIM(FLATTEN(SPLIT( REGEXREPLACE( SUBSTITUTE(TEXTJOIN("","", TRUE, IFERROR(ARRAYFORMULA(VLOOKUP(TRIM(SPLIT('Final Report'!A920, "","")), 'URL Details'!A:D, 4, FALSE)),"""") ), CHAR(10), """&amp;",""), ""\s*,\s*"", "",""), "","")))&lt;&gt;"""" ) ) ) ),"""")
"),"")</f>
        <v/>
      </c>
      <c r="D920" s="105"/>
      <c r="E920" s="105"/>
      <c r="F920" s="110" t="b">
        <v>0</v>
      </c>
      <c r="G920" s="105" t="str">
        <f>IF(F920=True, IFERROR(VLOOKUP(D920, Repository!A:B, 2, 0), ""), "")</f>
        <v/>
      </c>
      <c r="H920" s="105"/>
      <c r="I920" s="105"/>
      <c r="J920" s="105" t="str">
        <f>IF(F920=True, IFERROR(VLOOKUP(D920, Repository!A:C, 3, 0), ""), "")</f>
        <v/>
      </c>
      <c r="K920" s="105"/>
      <c r="L920" s="105" t="str">
        <f>IF(F920=True, IFERROR(VLOOKUP(D920, Repository!A:E, 5, 0), ""), "")</f>
        <v/>
      </c>
      <c r="M920" s="105"/>
      <c r="N920" s="105" t="str">
        <f>IF(F920=True, IFERROR(VLOOKUP(D920, Repository!A:G, 7, 0), ""), "")</f>
        <v/>
      </c>
      <c r="O920" s="105" t="str">
        <f>IFERROR(__xludf.DUMMYFUNCTION("ARRAY_CONSTRAIN(
  ARRAYFORMULA(
    IFERROR(
      LET(
        list, N920,
        arr, TRIM(SPLIT(list, "","")),
        names, XLOOKUP(
          arr,
          'Conformance Score'!A:A,
          'Conformance Score'!B:B,
          ""Not found""
      "&amp;"  ),
        TEXTJOIN("", "", TRUE, names)
      ),
      """"
    )
  ),
  1,
  1
)
"),"")</f>
        <v/>
      </c>
      <c r="P920" s="105" t="str">
        <f>IF(F920="Yes", IFERROR(VLOOKUP(D920, Repository!A:F, 6, 0), ""), "")</f>
        <v/>
      </c>
      <c r="Q920" s="105" t="str">
        <f>IF(F920="Yes", IFERROR(VLOOKUP(D920, Repository!A:I, 8, 0), ""), "")</f>
        <v/>
      </c>
      <c r="R920" s="105" t="str">
        <f>IF(F920="Yes", IFERROR(VLOOKUP(D920, Repository!A:J, 9, 0), ""), "")</f>
        <v/>
      </c>
      <c r="S920" s="105"/>
      <c r="T920" s="105"/>
      <c r="U920" s="105"/>
      <c r="V920" s="105"/>
      <c r="W920" s="105"/>
      <c r="X920" s="105"/>
      <c r="Y920" s="105"/>
      <c r="Z920" s="105"/>
      <c r="AA920" s="105"/>
      <c r="AB920" s="105"/>
      <c r="AC920" s="91"/>
      <c r="AD920" s="105"/>
      <c r="AE920" s="105"/>
      <c r="AF920" s="91"/>
      <c r="AG920" s="105"/>
      <c r="AH920" s="105"/>
      <c r="AI920" s="105" t="str">
        <f t="shared" si="1"/>
        <v/>
      </c>
      <c r="AJ920" s="108" t="str">
        <f t="shared" si="2"/>
        <v/>
      </c>
    </row>
    <row r="921" ht="15.75" customHeight="1">
      <c r="A921" s="104"/>
      <c r="B921" s="105" t="str">
        <f>IFERROR(__xludf.DUMMYFUNCTION("ARRAY_CONSTRAIN(
  ARRAYFORMULA(
    IF(
      'Final Report'!A921="""",
      """",
      TEXTJOIN(
        "", "" &amp; CHAR(10),
        TRUE,
        IFERROR(
          VLOOKUP(
            TRIM(
              SPLIT('Final Report'!A921, "","")
           "&amp;" ),
            'URL Details'!A:B,
            2,
            FALSE
          ),
          """"
        )
      )
    )
  ),
  1,
  1
)
"),"")</f>
        <v/>
      </c>
      <c r="C921" s="105" t="str">
        <f>IFERROR(__xludf.DUMMYFUNCTION("IFERROR(IF('Final Report'!A921="""","""", TEXTJOIN(CHAR(10), TRUE, ARRAYFORMULA( ""• ""&amp; FILTER( TRIM(FLATTEN(SPLIT( REGEXREPLACE( SUBSTITUTE(TEXTJOIN("","", TRUE, IFERROR(ARRAYFORMULA(VLOOKUP(TRIM(SPLIT('Final Report'!A921, "","")), 'URL Details'!A:D, 4,"&amp;" FALSE)),"""") ), CHAR(10), "",""), ""\s*,\s*"", "",""), "",""))), TRIM(FLATTEN(SPLIT( REGEXREPLACE( SUBSTITUTE(TEXTJOIN("","", TRUE, IFERROR(ARRAYFORMULA(VLOOKUP(TRIM(SPLIT('Final Report'!A921, "","")), 'URL Details'!A:D, 4, FALSE)),"""") ), CHAR(10), """&amp;",""), ""\s*,\s*"", "",""), "","")))&lt;&gt;"""" ) ) ) ),"""")
"),"")</f>
        <v/>
      </c>
      <c r="D921" s="105"/>
      <c r="E921" s="105"/>
      <c r="F921" s="110" t="b">
        <v>0</v>
      </c>
      <c r="G921" s="105" t="str">
        <f>IF(F921=True, IFERROR(VLOOKUP(D921, Repository!A:B, 2, 0), ""), "")</f>
        <v/>
      </c>
      <c r="H921" s="105"/>
      <c r="I921" s="105"/>
      <c r="J921" s="105" t="str">
        <f>IF(F921=True, IFERROR(VLOOKUP(D921, Repository!A:C, 3, 0), ""), "")</f>
        <v/>
      </c>
      <c r="K921" s="105"/>
      <c r="L921" s="105" t="str">
        <f>IF(F921=True, IFERROR(VLOOKUP(D921, Repository!A:E, 5, 0), ""), "")</f>
        <v/>
      </c>
      <c r="M921" s="105"/>
      <c r="N921" s="105" t="str">
        <f>IF(F921=True, IFERROR(VLOOKUP(D921, Repository!A:G, 7, 0), ""), "")</f>
        <v/>
      </c>
      <c r="O921" s="105" t="str">
        <f>IFERROR(__xludf.DUMMYFUNCTION("ARRAY_CONSTRAIN(
  ARRAYFORMULA(
    IFERROR(
      LET(
        list, N921,
        arr, TRIM(SPLIT(list, "","")),
        names, XLOOKUP(
          arr,
          'Conformance Score'!A:A,
          'Conformance Score'!B:B,
          ""Not found""
      "&amp;"  ),
        TEXTJOIN("", "", TRUE, names)
      ),
      """"
    )
  ),
  1,
  1
)
"),"")</f>
        <v/>
      </c>
      <c r="P921" s="105" t="str">
        <f>IF(F921="Yes", IFERROR(VLOOKUP(D921, Repository!A:F, 6, 0), ""), "")</f>
        <v/>
      </c>
      <c r="Q921" s="105" t="str">
        <f>IF(F921="Yes", IFERROR(VLOOKUP(D921, Repository!A:I, 8, 0), ""), "")</f>
        <v/>
      </c>
      <c r="R921" s="105" t="str">
        <f>IF(F921="Yes", IFERROR(VLOOKUP(D921, Repository!A:J, 9, 0), ""), "")</f>
        <v/>
      </c>
      <c r="S921" s="105"/>
      <c r="T921" s="105"/>
      <c r="U921" s="105"/>
      <c r="V921" s="105"/>
      <c r="W921" s="105"/>
      <c r="X921" s="105"/>
      <c r="Y921" s="105"/>
      <c r="Z921" s="105"/>
      <c r="AA921" s="105"/>
      <c r="AB921" s="105"/>
      <c r="AC921" s="91"/>
      <c r="AD921" s="105"/>
      <c r="AE921" s="105"/>
      <c r="AF921" s="91"/>
      <c r="AG921" s="105"/>
      <c r="AH921" s="105"/>
      <c r="AI921" s="105" t="str">
        <f t="shared" si="1"/>
        <v/>
      </c>
      <c r="AJ921" s="108" t="str">
        <f t="shared" si="2"/>
        <v/>
      </c>
    </row>
    <row r="922" ht="15.75" customHeight="1">
      <c r="A922" s="104"/>
      <c r="B922" s="105" t="str">
        <f>IFERROR(__xludf.DUMMYFUNCTION("ARRAY_CONSTRAIN(
  ARRAYFORMULA(
    IF(
      'Final Report'!A922="""",
      """",
      TEXTJOIN(
        "", "" &amp; CHAR(10),
        TRUE,
        IFERROR(
          VLOOKUP(
            TRIM(
              SPLIT('Final Report'!A922, "","")
           "&amp;" ),
            'URL Details'!A:B,
            2,
            FALSE
          ),
          """"
        )
      )
    )
  ),
  1,
  1
)
"),"")</f>
        <v/>
      </c>
      <c r="C922" s="105" t="str">
        <f>IFERROR(__xludf.DUMMYFUNCTION("IFERROR(IF('Final Report'!A922="""","""", TEXTJOIN(CHAR(10), TRUE, ARRAYFORMULA( ""• ""&amp; FILTER( TRIM(FLATTEN(SPLIT( REGEXREPLACE( SUBSTITUTE(TEXTJOIN("","", TRUE, IFERROR(ARRAYFORMULA(VLOOKUP(TRIM(SPLIT('Final Report'!A922, "","")), 'URL Details'!A:D, 4,"&amp;" FALSE)),"""") ), CHAR(10), "",""), ""\s*,\s*"", "",""), "",""))), TRIM(FLATTEN(SPLIT( REGEXREPLACE( SUBSTITUTE(TEXTJOIN("","", TRUE, IFERROR(ARRAYFORMULA(VLOOKUP(TRIM(SPLIT('Final Report'!A922, "","")), 'URL Details'!A:D, 4, FALSE)),"""") ), CHAR(10), """&amp;",""), ""\s*,\s*"", "",""), "","")))&lt;&gt;"""" ) ) ) ),"""")
"),"")</f>
        <v/>
      </c>
      <c r="D922" s="105"/>
      <c r="E922" s="105"/>
      <c r="F922" s="110" t="b">
        <v>0</v>
      </c>
      <c r="G922" s="105" t="str">
        <f>IF(F922=True, IFERROR(VLOOKUP(D922, Repository!A:B, 2, 0), ""), "")</f>
        <v/>
      </c>
      <c r="H922" s="105"/>
      <c r="I922" s="105"/>
      <c r="J922" s="105" t="str">
        <f>IF(F922=True, IFERROR(VLOOKUP(D922, Repository!A:C, 3, 0), ""), "")</f>
        <v/>
      </c>
      <c r="K922" s="105"/>
      <c r="L922" s="105" t="str">
        <f>IF(F922=True, IFERROR(VLOOKUP(D922, Repository!A:E, 5, 0), ""), "")</f>
        <v/>
      </c>
      <c r="M922" s="105"/>
      <c r="N922" s="105" t="str">
        <f>IF(F922=True, IFERROR(VLOOKUP(D922, Repository!A:G, 7, 0), ""), "")</f>
        <v/>
      </c>
      <c r="O922" s="105" t="str">
        <f>IFERROR(__xludf.DUMMYFUNCTION("ARRAY_CONSTRAIN(
  ARRAYFORMULA(
    IFERROR(
      LET(
        list, N922,
        arr, TRIM(SPLIT(list, "","")),
        names, XLOOKUP(
          arr,
          'Conformance Score'!A:A,
          'Conformance Score'!B:B,
          ""Not found""
      "&amp;"  ),
        TEXTJOIN("", "", TRUE, names)
      ),
      """"
    )
  ),
  1,
  1
)
"),"")</f>
        <v/>
      </c>
      <c r="P922" s="105" t="str">
        <f>IF(F922="Yes", IFERROR(VLOOKUP(D922, Repository!A:F, 6, 0), ""), "")</f>
        <v/>
      </c>
      <c r="Q922" s="105" t="str">
        <f>IF(F922="Yes", IFERROR(VLOOKUP(D922, Repository!A:I, 8, 0), ""), "")</f>
        <v/>
      </c>
      <c r="R922" s="105" t="str">
        <f>IF(F922="Yes", IFERROR(VLOOKUP(D922, Repository!A:J, 9, 0), ""), "")</f>
        <v/>
      </c>
      <c r="S922" s="105"/>
      <c r="T922" s="105"/>
      <c r="U922" s="105"/>
      <c r="V922" s="105"/>
      <c r="W922" s="105"/>
      <c r="X922" s="105"/>
      <c r="Y922" s="105"/>
      <c r="Z922" s="105"/>
      <c r="AA922" s="105"/>
      <c r="AB922" s="105"/>
      <c r="AC922" s="91"/>
      <c r="AD922" s="105"/>
      <c r="AE922" s="105"/>
      <c r="AF922" s="91"/>
      <c r="AG922" s="105"/>
      <c r="AH922" s="105"/>
      <c r="AI922" s="105" t="str">
        <f t="shared" si="1"/>
        <v/>
      </c>
      <c r="AJ922" s="108" t="str">
        <f t="shared" si="2"/>
        <v/>
      </c>
    </row>
    <row r="923" ht="15.75" customHeight="1">
      <c r="A923" s="104"/>
      <c r="B923" s="105" t="str">
        <f>IFERROR(__xludf.DUMMYFUNCTION("ARRAY_CONSTRAIN(
  ARRAYFORMULA(
    IF(
      'Final Report'!A923="""",
      """",
      TEXTJOIN(
        "", "" &amp; CHAR(10),
        TRUE,
        IFERROR(
          VLOOKUP(
            TRIM(
              SPLIT('Final Report'!A923, "","")
           "&amp;" ),
            'URL Details'!A:B,
            2,
            FALSE
          ),
          """"
        )
      )
    )
  ),
  1,
  1
)
"),"")</f>
        <v/>
      </c>
      <c r="C923" s="105" t="str">
        <f>IFERROR(__xludf.DUMMYFUNCTION("IFERROR(IF('Final Report'!A923="""","""", TEXTJOIN(CHAR(10), TRUE, ARRAYFORMULA( ""• ""&amp; FILTER( TRIM(FLATTEN(SPLIT( REGEXREPLACE( SUBSTITUTE(TEXTJOIN("","", TRUE, IFERROR(ARRAYFORMULA(VLOOKUP(TRIM(SPLIT('Final Report'!A923, "","")), 'URL Details'!A:D, 4,"&amp;" FALSE)),"""") ), CHAR(10), "",""), ""\s*,\s*"", "",""), "",""))), TRIM(FLATTEN(SPLIT( REGEXREPLACE( SUBSTITUTE(TEXTJOIN("","", TRUE, IFERROR(ARRAYFORMULA(VLOOKUP(TRIM(SPLIT('Final Report'!A923, "","")), 'URL Details'!A:D, 4, FALSE)),"""") ), CHAR(10), """&amp;",""), ""\s*,\s*"", "",""), "","")))&lt;&gt;"""" ) ) ) ),"""")
"),"")</f>
        <v/>
      </c>
      <c r="D923" s="105"/>
      <c r="E923" s="105"/>
      <c r="F923" s="110" t="b">
        <v>0</v>
      </c>
      <c r="G923" s="105" t="str">
        <f>IF(F923=True, IFERROR(VLOOKUP(D923, Repository!A:B, 2, 0), ""), "")</f>
        <v/>
      </c>
      <c r="H923" s="105"/>
      <c r="I923" s="105"/>
      <c r="J923" s="105" t="str">
        <f>IF(F923=True, IFERROR(VLOOKUP(D923, Repository!A:C, 3, 0), ""), "")</f>
        <v/>
      </c>
      <c r="K923" s="105"/>
      <c r="L923" s="105" t="str">
        <f>IF(F923=True, IFERROR(VLOOKUP(D923, Repository!A:E, 5, 0), ""), "")</f>
        <v/>
      </c>
      <c r="M923" s="105"/>
      <c r="N923" s="105" t="str">
        <f>IF(F923=True, IFERROR(VLOOKUP(D923, Repository!A:G, 7, 0), ""), "")</f>
        <v/>
      </c>
      <c r="O923" s="105" t="str">
        <f>IFERROR(__xludf.DUMMYFUNCTION("ARRAY_CONSTRAIN(
  ARRAYFORMULA(
    IFERROR(
      LET(
        list, N923,
        arr, TRIM(SPLIT(list, "","")),
        names, XLOOKUP(
          arr,
          'Conformance Score'!A:A,
          'Conformance Score'!B:B,
          ""Not found""
      "&amp;"  ),
        TEXTJOIN("", "", TRUE, names)
      ),
      """"
    )
  ),
  1,
  1
)
"),"")</f>
        <v/>
      </c>
      <c r="P923" s="105" t="str">
        <f>IF(F923="Yes", IFERROR(VLOOKUP(D923, Repository!A:F, 6, 0), ""), "")</f>
        <v/>
      </c>
      <c r="Q923" s="105" t="str">
        <f>IF(F923="Yes", IFERROR(VLOOKUP(D923, Repository!A:I, 8, 0), ""), "")</f>
        <v/>
      </c>
      <c r="R923" s="105" t="str">
        <f>IF(F923="Yes", IFERROR(VLOOKUP(D923, Repository!A:J, 9, 0), ""), "")</f>
        <v/>
      </c>
      <c r="S923" s="105"/>
      <c r="T923" s="105"/>
      <c r="U923" s="105"/>
      <c r="V923" s="105"/>
      <c r="W923" s="105"/>
      <c r="X923" s="105"/>
      <c r="Y923" s="105"/>
      <c r="Z923" s="105"/>
      <c r="AA923" s="105"/>
      <c r="AB923" s="105"/>
      <c r="AC923" s="91"/>
      <c r="AD923" s="105"/>
      <c r="AE923" s="105"/>
      <c r="AF923" s="91"/>
      <c r="AG923" s="105"/>
      <c r="AH923" s="105"/>
      <c r="AI923" s="105" t="str">
        <f t="shared" si="1"/>
        <v/>
      </c>
      <c r="AJ923" s="108" t="str">
        <f t="shared" si="2"/>
        <v/>
      </c>
    </row>
    <row r="924" ht="15.75" customHeight="1">
      <c r="A924" s="104"/>
      <c r="B924" s="105" t="str">
        <f>IFERROR(__xludf.DUMMYFUNCTION("ARRAY_CONSTRAIN(
  ARRAYFORMULA(
    IF(
      'Final Report'!A924="""",
      """",
      TEXTJOIN(
        "", "" &amp; CHAR(10),
        TRUE,
        IFERROR(
          VLOOKUP(
            TRIM(
              SPLIT('Final Report'!A924, "","")
           "&amp;" ),
            'URL Details'!A:B,
            2,
            FALSE
          ),
          """"
        )
      )
    )
  ),
  1,
  1
)
"),"")</f>
        <v/>
      </c>
      <c r="C924" s="105" t="str">
        <f>IFERROR(__xludf.DUMMYFUNCTION("IFERROR(IF('Final Report'!A924="""","""", TEXTJOIN(CHAR(10), TRUE, ARRAYFORMULA( ""• ""&amp; FILTER( TRIM(FLATTEN(SPLIT( REGEXREPLACE( SUBSTITUTE(TEXTJOIN("","", TRUE, IFERROR(ARRAYFORMULA(VLOOKUP(TRIM(SPLIT('Final Report'!A924, "","")), 'URL Details'!A:D, 4,"&amp;" FALSE)),"""") ), CHAR(10), "",""), ""\s*,\s*"", "",""), "",""))), TRIM(FLATTEN(SPLIT( REGEXREPLACE( SUBSTITUTE(TEXTJOIN("","", TRUE, IFERROR(ARRAYFORMULA(VLOOKUP(TRIM(SPLIT('Final Report'!A924, "","")), 'URL Details'!A:D, 4, FALSE)),"""") ), CHAR(10), """&amp;",""), ""\s*,\s*"", "",""), "","")))&lt;&gt;"""" ) ) ) ),"""")
"),"")</f>
        <v/>
      </c>
      <c r="D924" s="105"/>
      <c r="E924" s="105"/>
      <c r="F924" s="110" t="b">
        <v>0</v>
      </c>
      <c r="G924" s="105" t="str">
        <f>IF(F924=True, IFERROR(VLOOKUP(D924, Repository!A:B, 2, 0), ""), "")</f>
        <v/>
      </c>
      <c r="H924" s="105"/>
      <c r="I924" s="105"/>
      <c r="J924" s="105" t="str">
        <f>IF(F924=True, IFERROR(VLOOKUP(D924, Repository!A:C, 3, 0), ""), "")</f>
        <v/>
      </c>
      <c r="K924" s="105"/>
      <c r="L924" s="105" t="str">
        <f>IF(F924=True, IFERROR(VLOOKUP(D924, Repository!A:E, 5, 0), ""), "")</f>
        <v/>
      </c>
      <c r="M924" s="105"/>
      <c r="N924" s="105" t="str">
        <f>IF(F924=True, IFERROR(VLOOKUP(D924, Repository!A:G, 7, 0), ""), "")</f>
        <v/>
      </c>
      <c r="O924" s="105" t="str">
        <f>IFERROR(__xludf.DUMMYFUNCTION("ARRAY_CONSTRAIN(
  ARRAYFORMULA(
    IFERROR(
      LET(
        list, N924,
        arr, TRIM(SPLIT(list, "","")),
        names, XLOOKUP(
          arr,
          'Conformance Score'!A:A,
          'Conformance Score'!B:B,
          ""Not found""
      "&amp;"  ),
        TEXTJOIN("", "", TRUE, names)
      ),
      """"
    )
  ),
  1,
  1
)
"),"")</f>
        <v/>
      </c>
      <c r="P924" s="105" t="str">
        <f>IF(F924="Yes", IFERROR(VLOOKUP(D924, Repository!A:F, 6, 0), ""), "")</f>
        <v/>
      </c>
      <c r="Q924" s="105" t="str">
        <f>IF(F924="Yes", IFERROR(VLOOKUP(D924, Repository!A:I, 8, 0), ""), "")</f>
        <v/>
      </c>
      <c r="R924" s="105" t="str">
        <f>IF(F924="Yes", IFERROR(VLOOKUP(D924, Repository!A:J, 9, 0), ""), "")</f>
        <v/>
      </c>
      <c r="S924" s="105"/>
      <c r="T924" s="105"/>
      <c r="U924" s="105"/>
      <c r="V924" s="105"/>
      <c r="W924" s="105"/>
      <c r="X924" s="105"/>
      <c r="Y924" s="105"/>
      <c r="Z924" s="105"/>
      <c r="AA924" s="105"/>
      <c r="AB924" s="105"/>
      <c r="AC924" s="91"/>
      <c r="AD924" s="105"/>
      <c r="AE924" s="105"/>
      <c r="AF924" s="91"/>
      <c r="AG924" s="105"/>
      <c r="AH924" s="105"/>
      <c r="AI924" s="105" t="str">
        <f t="shared" si="1"/>
        <v/>
      </c>
      <c r="AJ924" s="108" t="str">
        <f t="shared" si="2"/>
        <v/>
      </c>
    </row>
    <row r="925" ht="15.75" customHeight="1">
      <c r="A925" s="104"/>
      <c r="B925" s="105" t="str">
        <f>IFERROR(__xludf.DUMMYFUNCTION("ARRAY_CONSTRAIN(
  ARRAYFORMULA(
    IF(
      'Final Report'!A925="""",
      """",
      TEXTJOIN(
        "", "" &amp; CHAR(10),
        TRUE,
        IFERROR(
          VLOOKUP(
            TRIM(
              SPLIT('Final Report'!A925, "","")
           "&amp;" ),
            'URL Details'!A:B,
            2,
            FALSE
          ),
          """"
        )
      )
    )
  ),
  1,
  1
)
"),"")</f>
        <v/>
      </c>
      <c r="C925" s="105" t="str">
        <f>IFERROR(__xludf.DUMMYFUNCTION("IFERROR(IF('Final Report'!A925="""","""", TEXTJOIN(CHAR(10), TRUE, ARRAYFORMULA( ""• ""&amp; FILTER( TRIM(FLATTEN(SPLIT( REGEXREPLACE( SUBSTITUTE(TEXTJOIN("","", TRUE, IFERROR(ARRAYFORMULA(VLOOKUP(TRIM(SPLIT('Final Report'!A925, "","")), 'URL Details'!A:D, 4,"&amp;" FALSE)),"""") ), CHAR(10), "",""), ""\s*,\s*"", "",""), "",""))), TRIM(FLATTEN(SPLIT( REGEXREPLACE( SUBSTITUTE(TEXTJOIN("","", TRUE, IFERROR(ARRAYFORMULA(VLOOKUP(TRIM(SPLIT('Final Report'!A925, "","")), 'URL Details'!A:D, 4, FALSE)),"""") ), CHAR(10), """&amp;",""), ""\s*,\s*"", "",""), "","")))&lt;&gt;"""" ) ) ) ),"""")
"),"")</f>
        <v/>
      </c>
      <c r="D925" s="105"/>
      <c r="E925" s="105"/>
      <c r="F925" s="110" t="b">
        <v>0</v>
      </c>
      <c r="G925" s="105" t="str">
        <f>IF(F925=True, IFERROR(VLOOKUP(D925, Repository!A:B, 2, 0), ""), "")</f>
        <v/>
      </c>
      <c r="H925" s="105"/>
      <c r="I925" s="105"/>
      <c r="J925" s="105" t="str">
        <f>IF(F925=True, IFERROR(VLOOKUP(D925, Repository!A:C, 3, 0), ""), "")</f>
        <v/>
      </c>
      <c r="K925" s="105"/>
      <c r="L925" s="105" t="str">
        <f>IF(F925=True, IFERROR(VLOOKUP(D925, Repository!A:E, 5, 0), ""), "")</f>
        <v/>
      </c>
      <c r="M925" s="105"/>
      <c r="N925" s="105" t="str">
        <f>IF(F925=True, IFERROR(VLOOKUP(D925, Repository!A:G, 7, 0), ""), "")</f>
        <v/>
      </c>
      <c r="O925" s="105" t="str">
        <f>IFERROR(__xludf.DUMMYFUNCTION("ARRAY_CONSTRAIN(
  ARRAYFORMULA(
    IFERROR(
      LET(
        list, N925,
        arr, TRIM(SPLIT(list, "","")),
        names, XLOOKUP(
          arr,
          'Conformance Score'!A:A,
          'Conformance Score'!B:B,
          ""Not found""
      "&amp;"  ),
        TEXTJOIN("", "", TRUE, names)
      ),
      """"
    )
  ),
  1,
  1
)
"),"")</f>
        <v/>
      </c>
      <c r="P925" s="105" t="str">
        <f>IF(F925="Yes", IFERROR(VLOOKUP(D925, Repository!A:F, 6, 0), ""), "")</f>
        <v/>
      </c>
      <c r="Q925" s="105" t="str">
        <f>IF(F925="Yes", IFERROR(VLOOKUP(D925, Repository!A:I, 8, 0), ""), "")</f>
        <v/>
      </c>
      <c r="R925" s="105" t="str">
        <f>IF(F925="Yes", IFERROR(VLOOKUP(D925, Repository!A:J, 9, 0), ""), "")</f>
        <v/>
      </c>
      <c r="S925" s="105"/>
      <c r="T925" s="105"/>
      <c r="U925" s="105"/>
      <c r="V925" s="105"/>
      <c r="W925" s="105"/>
      <c r="X925" s="105"/>
      <c r="Y925" s="105"/>
      <c r="Z925" s="105"/>
      <c r="AA925" s="105"/>
      <c r="AB925" s="105"/>
      <c r="AC925" s="91"/>
      <c r="AD925" s="105"/>
      <c r="AE925" s="105"/>
      <c r="AF925" s="91"/>
      <c r="AG925" s="105"/>
      <c r="AH925" s="105"/>
      <c r="AI925" s="105" t="str">
        <f t="shared" si="1"/>
        <v/>
      </c>
      <c r="AJ925" s="108" t="str">
        <f t="shared" si="2"/>
        <v/>
      </c>
    </row>
    <row r="926" ht="15.75" customHeight="1">
      <c r="A926" s="104"/>
      <c r="B926" s="105" t="str">
        <f>IFERROR(__xludf.DUMMYFUNCTION("ARRAY_CONSTRAIN(
  ARRAYFORMULA(
    IF(
      'Final Report'!A926="""",
      """",
      TEXTJOIN(
        "", "" &amp; CHAR(10),
        TRUE,
        IFERROR(
          VLOOKUP(
            TRIM(
              SPLIT('Final Report'!A926, "","")
           "&amp;" ),
            'URL Details'!A:B,
            2,
            FALSE
          ),
          """"
        )
      )
    )
  ),
  1,
  1
)
"),"")</f>
        <v/>
      </c>
      <c r="C926" s="105" t="str">
        <f>IFERROR(__xludf.DUMMYFUNCTION("IFERROR(IF('Final Report'!A926="""","""", TEXTJOIN(CHAR(10), TRUE, ARRAYFORMULA( ""• ""&amp; FILTER( TRIM(FLATTEN(SPLIT( REGEXREPLACE( SUBSTITUTE(TEXTJOIN("","", TRUE, IFERROR(ARRAYFORMULA(VLOOKUP(TRIM(SPLIT('Final Report'!A926, "","")), 'URL Details'!A:D, 4,"&amp;" FALSE)),"""") ), CHAR(10), "",""), ""\s*,\s*"", "",""), "",""))), TRIM(FLATTEN(SPLIT( REGEXREPLACE( SUBSTITUTE(TEXTJOIN("","", TRUE, IFERROR(ARRAYFORMULA(VLOOKUP(TRIM(SPLIT('Final Report'!A926, "","")), 'URL Details'!A:D, 4, FALSE)),"""") ), CHAR(10), """&amp;",""), ""\s*,\s*"", "",""), "","")))&lt;&gt;"""" ) ) ) ),"""")
"),"")</f>
        <v/>
      </c>
      <c r="D926" s="105"/>
      <c r="E926" s="105"/>
      <c r="F926" s="110" t="b">
        <v>0</v>
      </c>
      <c r="G926" s="105" t="str">
        <f>IF(F926=True, IFERROR(VLOOKUP(D926, Repository!A:B, 2, 0), ""), "")</f>
        <v/>
      </c>
      <c r="H926" s="105"/>
      <c r="I926" s="105"/>
      <c r="J926" s="105" t="str">
        <f>IF(F926=True, IFERROR(VLOOKUP(D926, Repository!A:C, 3, 0), ""), "")</f>
        <v/>
      </c>
      <c r="K926" s="105"/>
      <c r="L926" s="105" t="str">
        <f>IF(F926=True, IFERROR(VLOOKUP(D926, Repository!A:E, 5, 0), ""), "")</f>
        <v/>
      </c>
      <c r="M926" s="105"/>
      <c r="N926" s="105" t="str">
        <f>IF(F926=True, IFERROR(VLOOKUP(D926, Repository!A:G, 7, 0), ""), "")</f>
        <v/>
      </c>
      <c r="O926" s="105" t="str">
        <f>IFERROR(__xludf.DUMMYFUNCTION("ARRAY_CONSTRAIN(
  ARRAYFORMULA(
    IFERROR(
      LET(
        list, N926,
        arr, TRIM(SPLIT(list, "","")),
        names, XLOOKUP(
          arr,
          'Conformance Score'!A:A,
          'Conformance Score'!B:B,
          ""Not found""
      "&amp;"  ),
        TEXTJOIN("", "", TRUE, names)
      ),
      """"
    )
  ),
  1,
  1
)
"),"")</f>
        <v/>
      </c>
      <c r="P926" s="105" t="str">
        <f>IF(F926="Yes", IFERROR(VLOOKUP(D926, Repository!A:F, 6, 0), ""), "")</f>
        <v/>
      </c>
      <c r="Q926" s="105" t="str">
        <f>IF(F926="Yes", IFERROR(VLOOKUP(D926, Repository!A:I, 8, 0), ""), "")</f>
        <v/>
      </c>
      <c r="R926" s="105" t="str">
        <f>IF(F926="Yes", IFERROR(VLOOKUP(D926, Repository!A:J, 9, 0), ""), "")</f>
        <v/>
      </c>
      <c r="S926" s="105"/>
      <c r="T926" s="105"/>
      <c r="U926" s="105"/>
      <c r="V926" s="105"/>
      <c r="W926" s="105"/>
      <c r="X926" s="105"/>
      <c r="Y926" s="105"/>
      <c r="Z926" s="105"/>
      <c r="AA926" s="105"/>
      <c r="AB926" s="105"/>
      <c r="AC926" s="91"/>
      <c r="AD926" s="105"/>
      <c r="AE926" s="105"/>
      <c r="AF926" s="91"/>
      <c r="AG926" s="105"/>
      <c r="AH926" s="105"/>
      <c r="AI926" s="105" t="str">
        <f t="shared" si="1"/>
        <v/>
      </c>
      <c r="AJ926" s="108" t="str">
        <f t="shared" si="2"/>
        <v/>
      </c>
    </row>
    <row r="927" ht="15.75" customHeight="1">
      <c r="A927" s="104"/>
      <c r="B927" s="105" t="str">
        <f>IFERROR(__xludf.DUMMYFUNCTION("ARRAY_CONSTRAIN(
  ARRAYFORMULA(
    IF(
      'Final Report'!A927="""",
      """",
      TEXTJOIN(
        "", "" &amp; CHAR(10),
        TRUE,
        IFERROR(
          VLOOKUP(
            TRIM(
              SPLIT('Final Report'!A927, "","")
           "&amp;" ),
            'URL Details'!A:B,
            2,
            FALSE
          ),
          """"
        )
      )
    )
  ),
  1,
  1
)
"),"")</f>
        <v/>
      </c>
      <c r="C927" s="105" t="str">
        <f>IFERROR(__xludf.DUMMYFUNCTION("IFERROR(IF('Final Report'!A927="""","""", TEXTJOIN(CHAR(10), TRUE, ARRAYFORMULA( ""• ""&amp; FILTER( TRIM(FLATTEN(SPLIT( REGEXREPLACE( SUBSTITUTE(TEXTJOIN("","", TRUE, IFERROR(ARRAYFORMULA(VLOOKUP(TRIM(SPLIT('Final Report'!A927, "","")), 'URL Details'!A:D, 4,"&amp;" FALSE)),"""") ), CHAR(10), "",""), ""\s*,\s*"", "",""), "",""))), TRIM(FLATTEN(SPLIT( REGEXREPLACE( SUBSTITUTE(TEXTJOIN("","", TRUE, IFERROR(ARRAYFORMULA(VLOOKUP(TRIM(SPLIT('Final Report'!A927, "","")), 'URL Details'!A:D, 4, FALSE)),"""") ), CHAR(10), """&amp;",""), ""\s*,\s*"", "",""), "","")))&lt;&gt;"""" ) ) ) ),"""")
"),"")</f>
        <v/>
      </c>
      <c r="D927" s="105"/>
      <c r="E927" s="105"/>
      <c r="F927" s="110" t="b">
        <v>0</v>
      </c>
      <c r="G927" s="105" t="str">
        <f>IF(F927=True, IFERROR(VLOOKUP(D927, Repository!A:B, 2, 0), ""), "")</f>
        <v/>
      </c>
      <c r="H927" s="105"/>
      <c r="I927" s="105"/>
      <c r="J927" s="105" t="str">
        <f>IF(F927=True, IFERROR(VLOOKUP(D927, Repository!A:C, 3, 0), ""), "")</f>
        <v/>
      </c>
      <c r="K927" s="105"/>
      <c r="L927" s="105" t="str">
        <f>IF(F927=True, IFERROR(VLOOKUP(D927, Repository!A:E, 5, 0), ""), "")</f>
        <v/>
      </c>
      <c r="M927" s="105"/>
      <c r="N927" s="105" t="str">
        <f>IF(F927=True, IFERROR(VLOOKUP(D927, Repository!A:G, 7, 0), ""), "")</f>
        <v/>
      </c>
      <c r="O927" s="105" t="str">
        <f>IFERROR(__xludf.DUMMYFUNCTION("ARRAY_CONSTRAIN(
  ARRAYFORMULA(
    IFERROR(
      LET(
        list, N927,
        arr, TRIM(SPLIT(list, "","")),
        names, XLOOKUP(
          arr,
          'Conformance Score'!A:A,
          'Conformance Score'!B:B,
          ""Not found""
      "&amp;"  ),
        TEXTJOIN("", "", TRUE, names)
      ),
      """"
    )
  ),
  1,
  1
)
"),"")</f>
        <v/>
      </c>
      <c r="P927" s="105" t="str">
        <f>IF(F927="Yes", IFERROR(VLOOKUP(D927, Repository!A:F, 6, 0), ""), "")</f>
        <v/>
      </c>
      <c r="Q927" s="105" t="str">
        <f>IF(F927="Yes", IFERROR(VLOOKUP(D927, Repository!A:I, 8, 0), ""), "")</f>
        <v/>
      </c>
      <c r="R927" s="105" t="str">
        <f>IF(F927="Yes", IFERROR(VLOOKUP(D927, Repository!A:J, 9, 0), ""), "")</f>
        <v/>
      </c>
      <c r="S927" s="105"/>
      <c r="T927" s="105"/>
      <c r="U927" s="105"/>
      <c r="V927" s="105"/>
      <c r="W927" s="105"/>
      <c r="X927" s="105"/>
      <c r="Y927" s="105"/>
      <c r="Z927" s="105"/>
      <c r="AA927" s="105"/>
      <c r="AB927" s="105"/>
      <c r="AC927" s="91"/>
      <c r="AD927" s="105"/>
      <c r="AE927" s="105"/>
      <c r="AF927" s="91"/>
      <c r="AG927" s="105"/>
      <c r="AH927" s="105"/>
      <c r="AI927" s="105" t="str">
        <f t="shared" si="1"/>
        <v/>
      </c>
      <c r="AJ927" s="108" t="str">
        <f t="shared" si="2"/>
        <v/>
      </c>
    </row>
    <row r="928" ht="15.75" customHeight="1">
      <c r="A928" s="104"/>
      <c r="B928" s="105" t="str">
        <f>IFERROR(__xludf.DUMMYFUNCTION("ARRAY_CONSTRAIN(
  ARRAYFORMULA(
    IF(
      'Final Report'!A928="""",
      """",
      TEXTJOIN(
        "", "" &amp; CHAR(10),
        TRUE,
        IFERROR(
          VLOOKUP(
            TRIM(
              SPLIT('Final Report'!A928, "","")
           "&amp;" ),
            'URL Details'!A:B,
            2,
            FALSE
          ),
          """"
        )
      )
    )
  ),
  1,
  1
)
"),"")</f>
        <v/>
      </c>
      <c r="C928" s="105" t="str">
        <f>IFERROR(__xludf.DUMMYFUNCTION("IFERROR(IF('Final Report'!A928="""","""", TEXTJOIN(CHAR(10), TRUE, ARRAYFORMULA( ""• ""&amp; FILTER( TRIM(FLATTEN(SPLIT( REGEXREPLACE( SUBSTITUTE(TEXTJOIN("","", TRUE, IFERROR(ARRAYFORMULA(VLOOKUP(TRIM(SPLIT('Final Report'!A928, "","")), 'URL Details'!A:D, 4,"&amp;" FALSE)),"""") ), CHAR(10), "",""), ""\s*,\s*"", "",""), "",""))), TRIM(FLATTEN(SPLIT( REGEXREPLACE( SUBSTITUTE(TEXTJOIN("","", TRUE, IFERROR(ARRAYFORMULA(VLOOKUP(TRIM(SPLIT('Final Report'!A928, "","")), 'URL Details'!A:D, 4, FALSE)),"""") ), CHAR(10), """&amp;",""), ""\s*,\s*"", "",""), "","")))&lt;&gt;"""" ) ) ) ),"""")
"),"")</f>
        <v/>
      </c>
      <c r="D928" s="105"/>
      <c r="E928" s="105"/>
      <c r="F928" s="110" t="b">
        <v>0</v>
      </c>
      <c r="G928" s="105" t="str">
        <f>IF(F928=True, IFERROR(VLOOKUP(D928, Repository!A:B, 2, 0), ""), "")</f>
        <v/>
      </c>
      <c r="H928" s="105"/>
      <c r="I928" s="105"/>
      <c r="J928" s="105" t="str">
        <f>IF(F928=True, IFERROR(VLOOKUP(D928, Repository!A:C, 3, 0), ""), "")</f>
        <v/>
      </c>
      <c r="K928" s="105"/>
      <c r="L928" s="105" t="str">
        <f>IF(F928=True, IFERROR(VLOOKUP(D928, Repository!A:E, 5, 0), ""), "")</f>
        <v/>
      </c>
      <c r="M928" s="105"/>
      <c r="N928" s="105" t="str">
        <f>IF(F928=True, IFERROR(VLOOKUP(D928, Repository!A:G, 7, 0), ""), "")</f>
        <v/>
      </c>
      <c r="O928" s="105" t="str">
        <f>IFERROR(__xludf.DUMMYFUNCTION("ARRAY_CONSTRAIN(
  ARRAYFORMULA(
    IFERROR(
      LET(
        list, N928,
        arr, TRIM(SPLIT(list, "","")),
        names, XLOOKUP(
          arr,
          'Conformance Score'!A:A,
          'Conformance Score'!B:B,
          ""Not found""
      "&amp;"  ),
        TEXTJOIN("", "", TRUE, names)
      ),
      """"
    )
  ),
  1,
  1
)
"),"")</f>
        <v/>
      </c>
      <c r="P928" s="105" t="str">
        <f>IF(F928="Yes", IFERROR(VLOOKUP(D928, Repository!A:F, 6, 0), ""), "")</f>
        <v/>
      </c>
      <c r="Q928" s="105" t="str">
        <f>IF(F928="Yes", IFERROR(VLOOKUP(D928, Repository!A:I, 8, 0), ""), "")</f>
        <v/>
      </c>
      <c r="R928" s="105" t="str">
        <f>IF(F928="Yes", IFERROR(VLOOKUP(D928, Repository!A:J, 9, 0), ""), "")</f>
        <v/>
      </c>
      <c r="S928" s="105"/>
      <c r="T928" s="105"/>
      <c r="U928" s="105"/>
      <c r="V928" s="105"/>
      <c r="W928" s="105"/>
      <c r="X928" s="105"/>
      <c r="Y928" s="105"/>
      <c r="Z928" s="105"/>
      <c r="AA928" s="105"/>
      <c r="AB928" s="105"/>
      <c r="AC928" s="91"/>
      <c r="AD928" s="105"/>
      <c r="AE928" s="105"/>
      <c r="AF928" s="91"/>
      <c r="AG928" s="105"/>
      <c r="AH928" s="105"/>
      <c r="AI928" s="105" t="str">
        <f t="shared" si="1"/>
        <v/>
      </c>
      <c r="AJ928" s="108" t="str">
        <f t="shared" si="2"/>
        <v/>
      </c>
    </row>
    <row r="929" ht="15.75" customHeight="1">
      <c r="A929" s="104"/>
      <c r="B929" s="105" t="str">
        <f>IFERROR(__xludf.DUMMYFUNCTION("ARRAY_CONSTRAIN(
  ARRAYFORMULA(
    IF(
      'Final Report'!A929="""",
      """",
      TEXTJOIN(
        "", "" &amp; CHAR(10),
        TRUE,
        IFERROR(
          VLOOKUP(
            TRIM(
              SPLIT('Final Report'!A929, "","")
           "&amp;" ),
            'URL Details'!A:B,
            2,
            FALSE
          ),
          """"
        )
      )
    )
  ),
  1,
  1
)
"),"")</f>
        <v/>
      </c>
      <c r="C929" s="105" t="str">
        <f>IFERROR(__xludf.DUMMYFUNCTION("IFERROR(IF('Final Report'!A929="""","""", TEXTJOIN(CHAR(10), TRUE, ARRAYFORMULA( ""• ""&amp; FILTER( TRIM(FLATTEN(SPLIT( REGEXREPLACE( SUBSTITUTE(TEXTJOIN("","", TRUE, IFERROR(ARRAYFORMULA(VLOOKUP(TRIM(SPLIT('Final Report'!A929, "","")), 'URL Details'!A:D, 4,"&amp;" FALSE)),"""") ), CHAR(10), "",""), ""\s*,\s*"", "",""), "",""))), TRIM(FLATTEN(SPLIT( REGEXREPLACE( SUBSTITUTE(TEXTJOIN("","", TRUE, IFERROR(ARRAYFORMULA(VLOOKUP(TRIM(SPLIT('Final Report'!A929, "","")), 'URL Details'!A:D, 4, FALSE)),"""") ), CHAR(10), """&amp;",""), ""\s*,\s*"", "",""), "","")))&lt;&gt;"""" ) ) ) ),"""")
"),"")</f>
        <v/>
      </c>
      <c r="D929" s="105"/>
      <c r="E929" s="105"/>
      <c r="F929" s="110" t="b">
        <v>0</v>
      </c>
      <c r="G929" s="105" t="str">
        <f>IF(F929=True, IFERROR(VLOOKUP(D929, Repository!A:B, 2, 0), ""), "")</f>
        <v/>
      </c>
      <c r="H929" s="105"/>
      <c r="I929" s="105"/>
      <c r="J929" s="105" t="str">
        <f>IF(F929=True, IFERROR(VLOOKUP(D929, Repository!A:C, 3, 0), ""), "")</f>
        <v/>
      </c>
      <c r="K929" s="105"/>
      <c r="L929" s="105" t="str">
        <f>IF(F929=True, IFERROR(VLOOKUP(D929, Repository!A:E, 5, 0), ""), "")</f>
        <v/>
      </c>
      <c r="M929" s="105"/>
      <c r="N929" s="105" t="str">
        <f>IF(F929=True, IFERROR(VLOOKUP(D929, Repository!A:G, 7, 0), ""), "")</f>
        <v/>
      </c>
      <c r="O929" s="105" t="str">
        <f>IFERROR(__xludf.DUMMYFUNCTION("ARRAY_CONSTRAIN(
  ARRAYFORMULA(
    IFERROR(
      LET(
        list, N929,
        arr, TRIM(SPLIT(list, "","")),
        names, XLOOKUP(
          arr,
          'Conformance Score'!A:A,
          'Conformance Score'!B:B,
          ""Not found""
      "&amp;"  ),
        TEXTJOIN("", "", TRUE, names)
      ),
      """"
    )
  ),
  1,
  1
)
"),"")</f>
        <v/>
      </c>
      <c r="P929" s="105" t="str">
        <f>IF(F929="Yes", IFERROR(VLOOKUP(D929, Repository!A:F, 6, 0), ""), "")</f>
        <v/>
      </c>
      <c r="Q929" s="105" t="str">
        <f>IF(F929="Yes", IFERROR(VLOOKUP(D929, Repository!A:I, 8, 0), ""), "")</f>
        <v/>
      </c>
      <c r="R929" s="105" t="str">
        <f>IF(F929="Yes", IFERROR(VLOOKUP(D929, Repository!A:J, 9, 0), ""), "")</f>
        <v/>
      </c>
      <c r="S929" s="105"/>
      <c r="T929" s="105"/>
      <c r="U929" s="105"/>
      <c r="V929" s="105"/>
      <c r="W929" s="105"/>
      <c r="X929" s="105"/>
      <c r="Y929" s="105"/>
      <c r="Z929" s="105"/>
      <c r="AA929" s="105"/>
      <c r="AB929" s="105"/>
      <c r="AC929" s="91"/>
      <c r="AD929" s="105"/>
      <c r="AE929" s="105"/>
      <c r="AF929" s="91"/>
      <c r="AG929" s="105"/>
      <c r="AH929" s="105"/>
      <c r="AI929" s="105" t="str">
        <f t="shared" si="1"/>
        <v/>
      </c>
      <c r="AJ929" s="108" t="str">
        <f t="shared" si="2"/>
        <v/>
      </c>
    </row>
    <row r="930" ht="15.75" customHeight="1">
      <c r="A930" s="104"/>
      <c r="B930" s="105" t="str">
        <f>IFERROR(__xludf.DUMMYFUNCTION("ARRAY_CONSTRAIN(
  ARRAYFORMULA(
    IF(
      'Final Report'!A930="""",
      """",
      TEXTJOIN(
        "", "" &amp; CHAR(10),
        TRUE,
        IFERROR(
          VLOOKUP(
            TRIM(
              SPLIT('Final Report'!A930, "","")
           "&amp;" ),
            'URL Details'!A:B,
            2,
            FALSE
          ),
          """"
        )
      )
    )
  ),
  1,
  1
)
"),"")</f>
        <v/>
      </c>
      <c r="C930" s="105" t="str">
        <f>IFERROR(__xludf.DUMMYFUNCTION("IFERROR(IF('Final Report'!A930="""","""", TEXTJOIN(CHAR(10), TRUE, ARRAYFORMULA( ""• ""&amp; FILTER( TRIM(FLATTEN(SPLIT( REGEXREPLACE( SUBSTITUTE(TEXTJOIN("","", TRUE, IFERROR(ARRAYFORMULA(VLOOKUP(TRIM(SPLIT('Final Report'!A930, "","")), 'URL Details'!A:D, 4,"&amp;" FALSE)),"""") ), CHAR(10), "",""), ""\s*,\s*"", "",""), "",""))), TRIM(FLATTEN(SPLIT( REGEXREPLACE( SUBSTITUTE(TEXTJOIN("","", TRUE, IFERROR(ARRAYFORMULA(VLOOKUP(TRIM(SPLIT('Final Report'!A930, "","")), 'URL Details'!A:D, 4, FALSE)),"""") ), CHAR(10), """&amp;",""), ""\s*,\s*"", "",""), "","")))&lt;&gt;"""" ) ) ) ),"""")
"),"")</f>
        <v/>
      </c>
      <c r="D930" s="105"/>
      <c r="E930" s="105"/>
      <c r="F930" s="110" t="b">
        <v>0</v>
      </c>
      <c r="G930" s="105" t="str">
        <f>IF(F930=True, IFERROR(VLOOKUP(D930, Repository!A:B, 2, 0), ""), "")</f>
        <v/>
      </c>
      <c r="H930" s="105"/>
      <c r="I930" s="105"/>
      <c r="J930" s="105" t="str">
        <f>IF(F930=True, IFERROR(VLOOKUP(D930, Repository!A:C, 3, 0), ""), "")</f>
        <v/>
      </c>
      <c r="K930" s="105"/>
      <c r="L930" s="105" t="str">
        <f>IF(F930=True, IFERROR(VLOOKUP(D930, Repository!A:E, 5, 0), ""), "")</f>
        <v/>
      </c>
      <c r="M930" s="105"/>
      <c r="N930" s="105" t="str">
        <f>IF(F930=True, IFERROR(VLOOKUP(D930, Repository!A:G, 7, 0), ""), "")</f>
        <v/>
      </c>
      <c r="O930" s="105" t="str">
        <f>IFERROR(__xludf.DUMMYFUNCTION("ARRAY_CONSTRAIN(
  ARRAYFORMULA(
    IFERROR(
      LET(
        list, N930,
        arr, TRIM(SPLIT(list, "","")),
        names, XLOOKUP(
          arr,
          'Conformance Score'!A:A,
          'Conformance Score'!B:B,
          ""Not found""
      "&amp;"  ),
        TEXTJOIN("", "", TRUE, names)
      ),
      """"
    )
  ),
  1,
  1
)
"),"")</f>
        <v/>
      </c>
      <c r="P930" s="105" t="str">
        <f>IF(F930="Yes", IFERROR(VLOOKUP(D930, Repository!A:F, 6, 0), ""), "")</f>
        <v/>
      </c>
      <c r="Q930" s="105" t="str">
        <f>IF(F930="Yes", IFERROR(VLOOKUP(D930, Repository!A:I, 8, 0), ""), "")</f>
        <v/>
      </c>
      <c r="R930" s="105" t="str">
        <f>IF(F930="Yes", IFERROR(VLOOKUP(D930, Repository!A:J, 9, 0), ""), "")</f>
        <v/>
      </c>
      <c r="S930" s="105"/>
      <c r="T930" s="105"/>
      <c r="U930" s="105"/>
      <c r="V930" s="105"/>
      <c r="W930" s="105"/>
      <c r="X930" s="105"/>
      <c r="Y930" s="105"/>
      <c r="Z930" s="105"/>
      <c r="AA930" s="105"/>
      <c r="AB930" s="105"/>
      <c r="AC930" s="91"/>
      <c r="AD930" s="105"/>
      <c r="AE930" s="105"/>
      <c r="AF930" s="91"/>
      <c r="AG930" s="105"/>
      <c r="AH930" s="105"/>
      <c r="AI930" s="105" t="str">
        <f t="shared" si="1"/>
        <v/>
      </c>
      <c r="AJ930" s="108" t="str">
        <f t="shared" si="2"/>
        <v/>
      </c>
    </row>
    <row r="931" ht="15.75" customHeight="1">
      <c r="A931" s="104"/>
      <c r="B931" s="105" t="str">
        <f>IFERROR(__xludf.DUMMYFUNCTION("ARRAY_CONSTRAIN(
  ARRAYFORMULA(
    IF(
      'Final Report'!A931="""",
      """",
      TEXTJOIN(
        "", "" &amp; CHAR(10),
        TRUE,
        IFERROR(
          VLOOKUP(
            TRIM(
              SPLIT('Final Report'!A931, "","")
           "&amp;" ),
            'URL Details'!A:B,
            2,
            FALSE
          ),
          """"
        )
      )
    )
  ),
  1,
  1
)
"),"")</f>
        <v/>
      </c>
      <c r="C931" s="105" t="str">
        <f>IFERROR(__xludf.DUMMYFUNCTION("IFERROR(IF('Final Report'!A931="""","""", TEXTJOIN(CHAR(10), TRUE, ARRAYFORMULA( ""• ""&amp; FILTER( TRIM(FLATTEN(SPLIT( REGEXREPLACE( SUBSTITUTE(TEXTJOIN("","", TRUE, IFERROR(ARRAYFORMULA(VLOOKUP(TRIM(SPLIT('Final Report'!A931, "","")), 'URL Details'!A:D, 4,"&amp;" FALSE)),"""") ), CHAR(10), "",""), ""\s*,\s*"", "",""), "",""))), TRIM(FLATTEN(SPLIT( REGEXREPLACE( SUBSTITUTE(TEXTJOIN("","", TRUE, IFERROR(ARRAYFORMULA(VLOOKUP(TRIM(SPLIT('Final Report'!A931, "","")), 'URL Details'!A:D, 4, FALSE)),"""") ), CHAR(10), """&amp;",""), ""\s*,\s*"", "",""), "","")))&lt;&gt;"""" ) ) ) ),"""")
"),"")</f>
        <v/>
      </c>
      <c r="D931" s="105"/>
      <c r="E931" s="105"/>
      <c r="F931" s="110" t="b">
        <v>0</v>
      </c>
      <c r="G931" s="105" t="str">
        <f>IF(F931=True, IFERROR(VLOOKUP(D931, Repository!A:B, 2, 0), ""), "")</f>
        <v/>
      </c>
      <c r="H931" s="105"/>
      <c r="I931" s="105"/>
      <c r="J931" s="105" t="str">
        <f>IF(F931=True, IFERROR(VLOOKUP(D931, Repository!A:C, 3, 0), ""), "")</f>
        <v/>
      </c>
      <c r="K931" s="105"/>
      <c r="L931" s="105" t="str">
        <f>IF(F931=True, IFERROR(VLOOKUP(D931, Repository!A:E, 5, 0), ""), "")</f>
        <v/>
      </c>
      <c r="M931" s="105"/>
      <c r="N931" s="105" t="str">
        <f>IF(F931=True, IFERROR(VLOOKUP(D931, Repository!A:G, 7, 0), ""), "")</f>
        <v/>
      </c>
      <c r="O931" s="105" t="str">
        <f>IFERROR(__xludf.DUMMYFUNCTION("ARRAY_CONSTRAIN(
  ARRAYFORMULA(
    IFERROR(
      LET(
        list, N931,
        arr, TRIM(SPLIT(list, "","")),
        names, XLOOKUP(
          arr,
          'Conformance Score'!A:A,
          'Conformance Score'!B:B,
          ""Not found""
      "&amp;"  ),
        TEXTJOIN("", "", TRUE, names)
      ),
      """"
    )
  ),
  1,
  1
)
"),"")</f>
        <v/>
      </c>
      <c r="P931" s="105" t="str">
        <f>IF(F931="Yes", IFERROR(VLOOKUP(D931, Repository!A:F, 6, 0), ""), "")</f>
        <v/>
      </c>
      <c r="Q931" s="105" t="str">
        <f>IF(F931="Yes", IFERROR(VLOOKUP(D931, Repository!A:I, 8, 0), ""), "")</f>
        <v/>
      </c>
      <c r="R931" s="105" t="str">
        <f>IF(F931="Yes", IFERROR(VLOOKUP(D931, Repository!A:J, 9, 0), ""), "")</f>
        <v/>
      </c>
      <c r="S931" s="105"/>
      <c r="T931" s="105"/>
      <c r="U931" s="105"/>
      <c r="V931" s="105"/>
      <c r="W931" s="105"/>
      <c r="X931" s="105"/>
      <c r="Y931" s="105"/>
      <c r="Z931" s="105"/>
      <c r="AA931" s="105"/>
      <c r="AB931" s="105"/>
      <c r="AC931" s="91"/>
      <c r="AD931" s="105"/>
      <c r="AE931" s="105"/>
      <c r="AF931" s="91"/>
      <c r="AG931" s="105"/>
      <c r="AH931" s="105"/>
      <c r="AI931" s="105" t="str">
        <f t="shared" si="1"/>
        <v/>
      </c>
      <c r="AJ931" s="108" t="str">
        <f t="shared" si="2"/>
        <v/>
      </c>
    </row>
    <row r="932" ht="15.75" customHeight="1">
      <c r="A932" s="104"/>
      <c r="B932" s="105" t="str">
        <f>IFERROR(__xludf.DUMMYFUNCTION("ARRAY_CONSTRAIN(
  ARRAYFORMULA(
    IF(
      'Final Report'!A932="""",
      """",
      TEXTJOIN(
        "", "" &amp; CHAR(10),
        TRUE,
        IFERROR(
          VLOOKUP(
            TRIM(
              SPLIT('Final Report'!A932, "","")
           "&amp;" ),
            'URL Details'!A:B,
            2,
            FALSE
          ),
          """"
        )
      )
    )
  ),
  1,
  1
)
"),"")</f>
        <v/>
      </c>
      <c r="C932" s="105" t="str">
        <f>IFERROR(__xludf.DUMMYFUNCTION("IFERROR(IF('Final Report'!A932="""","""", TEXTJOIN(CHAR(10), TRUE, ARRAYFORMULA( ""• ""&amp; FILTER( TRIM(FLATTEN(SPLIT( REGEXREPLACE( SUBSTITUTE(TEXTJOIN("","", TRUE, IFERROR(ARRAYFORMULA(VLOOKUP(TRIM(SPLIT('Final Report'!A932, "","")), 'URL Details'!A:D, 4,"&amp;" FALSE)),"""") ), CHAR(10), "",""), ""\s*,\s*"", "",""), "",""))), TRIM(FLATTEN(SPLIT( REGEXREPLACE( SUBSTITUTE(TEXTJOIN("","", TRUE, IFERROR(ARRAYFORMULA(VLOOKUP(TRIM(SPLIT('Final Report'!A932, "","")), 'URL Details'!A:D, 4, FALSE)),"""") ), CHAR(10), """&amp;",""), ""\s*,\s*"", "",""), "","")))&lt;&gt;"""" ) ) ) ),"""")
"),"")</f>
        <v/>
      </c>
      <c r="D932" s="105"/>
      <c r="E932" s="105"/>
      <c r="F932" s="110" t="b">
        <v>0</v>
      </c>
      <c r="G932" s="105" t="str">
        <f>IF(F932=True, IFERROR(VLOOKUP(D932, Repository!A:B, 2, 0), ""), "")</f>
        <v/>
      </c>
      <c r="H932" s="105"/>
      <c r="I932" s="105"/>
      <c r="J932" s="105" t="str">
        <f>IF(F932=True, IFERROR(VLOOKUP(D932, Repository!A:C, 3, 0), ""), "")</f>
        <v/>
      </c>
      <c r="K932" s="105"/>
      <c r="L932" s="105" t="str">
        <f>IF(F932=True, IFERROR(VLOOKUP(D932, Repository!A:E, 5, 0), ""), "")</f>
        <v/>
      </c>
      <c r="M932" s="105"/>
      <c r="N932" s="105" t="str">
        <f>IF(F932=True, IFERROR(VLOOKUP(D932, Repository!A:G, 7, 0), ""), "")</f>
        <v/>
      </c>
      <c r="O932" s="105" t="str">
        <f>IFERROR(__xludf.DUMMYFUNCTION("ARRAY_CONSTRAIN(
  ARRAYFORMULA(
    IFERROR(
      LET(
        list, N932,
        arr, TRIM(SPLIT(list, "","")),
        names, XLOOKUP(
          arr,
          'Conformance Score'!A:A,
          'Conformance Score'!B:B,
          ""Not found""
      "&amp;"  ),
        TEXTJOIN("", "", TRUE, names)
      ),
      """"
    )
  ),
  1,
  1
)
"),"")</f>
        <v/>
      </c>
      <c r="P932" s="105" t="str">
        <f>IF(F932="Yes", IFERROR(VLOOKUP(D932, Repository!A:F, 6, 0), ""), "")</f>
        <v/>
      </c>
      <c r="Q932" s="105" t="str">
        <f>IF(F932="Yes", IFERROR(VLOOKUP(D932, Repository!A:I, 8, 0), ""), "")</f>
        <v/>
      </c>
      <c r="R932" s="105" t="str">
        <f>IF(F932="Yes", IFERROR(VLOOKUP(D932, Repository!A:J, 9, 0), ""), "")</f>
        <v/>
      </c>
      <c r="S932" s="105"/>
      <c r="T932" s="105"/>
      <c r="U932" s="105"/>
      <c r="V932" s="105"/>
      <c r="W932" s="105"/>
      <c r="X932" s="105"/>
      <c r="Y932" s="105"/>
      <c r="Z932" s="105"/>
      <c r="AA932" s="105"/>
      <c r="AB932" s="105"/>
      <c r="AC932" s="91"/>
      <c r="AD932" s="105"/>
      <c r="AE932" s="105"/>
      <c r="AF932" s="91"/>
      <c r="AG932" s="105"/>
      <c r="AH932" s="105"/>
      <c r="AI932" s="105" t="str">
        <f t="shared" si="1"/>
        <v/>
      </c>
      <c r="AJ932" s="108" t="str">
        <f t="shared" si="2"/>
        <v/>
      </c>
    </row>
    <row r="933" ht="15.75" customHeight="1">
      <c r="A933" s="104"/>
      <c r="B933" s="105" t="str">
        <f>IFERROR(__xludf.DUMMYFUNCTION("ARRAY_CONSTRAIN(
  ARRAYFORMULA(
    IF(
      'Final Report'!A933="""",
      """",
      TEXTJOIN(
        "", "" &amp; CHAR(10),
        TRUE,
        IFERROR(
          VLOOKUP(
            TRIM(
              SPLIT('Final Report'!A933, "","")
           "&amp;" ),
            'URL Details'!A:B,
            2,
            FALSE
          ),
          """"
        )
      )
    )
  ),
  1,
  1
)
"),"")</f>
        <v/>
      </c>
      <c r="C933" s="105" t="str">
        <f>IFERROR(__xludf.DUMMYFUNCTION("IFERROR(IF('Final Report'!A933="""","""", TEXTJOIN(CHAR(10), TRUE, ARRAYFORMULA( ""• ""&amp; FILTER( TRIM(FLATTEN(SPLIT( REGEXREPLACE( SUBSTITUTE(TEXTJOIN("","", TRUE, IFERROR(ARRAYFORMULA(VLOOKUP(TRIM(SPLIT('Final Report'!A933, "","")), 'URL Details'!A:D, 4,"&amp;" FALSE)),"""") ), CHAR(10), "",""), ""\s*,\s*"", "",""), "",""))), TRIM(FLATTEN(SPLIT( REGEXREPLACE( SUBSTITUTE(TEXTJOIN("","", TRUE, IFERROR(ARRAYFORMULA(VLOOKUP(TRIM(SPLIT('Final Report'!A933, "","")), 'URL Details'!A:D, 4, FALSE)),"""") ), CHAR(10), """&amp;",""), ""\s*,\s*"", "",""), "","")))&lt;&gt;"""" ) ) ) ),"""")
"),"")</f>
        <v/>
      </c>
      <c r="D933" s="105"/>
      <c r="E933" s="105"/>
      <c r="F933" s="110" t="b">
        <v>0</v>
      </c>
      <c r="G933" s="105" t="str">
        <f>IF(F933=True, IFERROR(VLOOKUP(D933, Repository!A:B, 2, 0), ""), "")</f>
        <v/>
      </c>
      <c r="H933" s="105"/>
      <c r="I933" s="105"/>
      <c r="J933" s="105" t="str">
        <f>IF(F933=True, IFERROR(VLOOKUP(D933, Repository!A:C, 3, 0), ""), "")</f>
        <v/>
      </c>
      <c r="K933" s="105"/>
      <c r="L933" s="105" t="str">
        <f>IF(F933=True, IFERROR(VLOOKUP(D933, Repository!A:E, 5, 0), ""), "")</f>
        <v/>
      </c>
      <c r="M933" s="105"/>
      <c r="N933" s="105" t="str">
        <f>IF(F933=True, IFERROR(VLOOKUP(D933, Repository!A:G, 7, 0), ""), "")</f>
        <v/>
      </c>
      <c r="O933" s="105" t="str">
        <f>IFERROR(__xludf.DUMMYFUNCTION("ARRAY_CONSTRAIN(
  ARRAYFORMULA(
    IFERROR(
      LET(
        list, N933,
        arr, TRIM(SPLIT(list, "","")),
        names, XLOOKUP(
          arr,
          'Conformance Score'!A:A,
          'Conformance Score'!B:B,
          ""Not found""
      "&amp;"  ),
        TEXTJOIN("", "", TRUE, names)
      ),
      """"
    )
  ),
  1,
  1
)
"),"")</f>
        <v/>
      </c>
      <c r="P933" s="105" t="str">
        <f>IF(F933="Yes", IFERROR(VLOOKUP(D933, Repository!A:F, 6, 0), ""), "")</f>
        <v/>
      </c>
      <c r="Q933" s="105" t="str">
        <f>IF(F933="Yes", IFERROR(VLOOKUP(D933, Repository!A:I, 8, 0), ""), "")</f>
        <v/>
      </c>
      <c r="R933" s="105" t="str">
        <f>IF(F933="Yes", IFERROR(VLOOKUP(D933, Repository!A:J, 9, 0), ""), "")</f>
        <v/>
      </c>
      <c r="S933" s="105"/>
      <c r="T933" s="105"/>
      <c r="U933" s="105"/>
      <c r="V933" s="105"/>
      <c r="W933" s="105"/>
      <c r="X933" s="105"/>
      <c r="Y933" s="105"/>
      <c r="Z933" s="105"/>
      <c r="AA933" s="105"/>
      <c r="AB933" s="105"/>
      <c r="AC933" s="91"/>
      <c r="AD933" s="105"/>
      <c r="AE933" s="105"/>
      <c r="AF933" s="91"/>
      <c r="AG933" s="105"/>
      <c r="AH933" s="105"/>
      <c r="AI933" s="105" t="str">
        <f t="shared" si="1"/>
        <v/>
      </c>
      <c r="AJ933" s="108" t="str">
        <f t="shared" si="2"/>
        <v/>
      </c>
    </row>
    <row r="934" ht="15.75" customHeight="1">
      <c r="A934" s="104"/>
      <c r="B934" s="105" t="str">
        <f>IFERROR(__xludf.DUMMYFUNCTION("ARRAY_CONSTRAIN(
  ARRAYFORMULA(
    IF(
      'Final Report'!A934="""",
      """",
      TEXTJOIN(
        "", "" &amp; CHAR(10),
        TRUE,
        IFERROR(
          VLOOKUP(
            TRIM(
              SPLIT('Final Report'!A934, "","")
           "&amp;" ),
            'URL Details'!A:B,
            2,
            FALSE
          ),
          """"
        )
      )
    )
  ),
  1,
  1
)
"),"")</f>
        <v/>
      </c>
      <c r="C934" s="105" t="str">
        <f>IFERROR(__xludf.DUMMYFUNCTION("IFERROR(IF('Final Report'!A934="""","""", TEXTJOIN(CHAR(10), TRUE, ARRAYFORMULA( ""• ""&amp; FILTER( TRIM(FLATTEN(SPLIT( REGEXREPLACE( SUBSTITUTE(TEXTJOIN("","", TRUE, IFERROR(ARRAYFORMULA(VLOOKUP(TRIM(SPLIT('Final Report'!A934, "","")), 'URL Details'!A:D, 4,"&amp;" FALSE)),"""") ), CHAR(10), "",""), ""\s*,\s*"", "",""), "",""))), TRIM(FLATTEN(SPLIT( REGEXREPLACE( SUBSTITUTE(TEXTJOIN("","", TRUE, IFERROR(ARRAYFORMULA(VLOOKUP(TRIM(SPLIT('Final Report'!A934, "","")), 'URL Details'!A:D, 4, FALSE)),"""") ), CHAR(10), """&amp;",""), ""\s*,\s*"", "",""), "","")))&lt;&gt;"""" ) ) ) ),"""")
"),"")</f>
        <v/>
      </c>
      <c r="D934" s="105"/>
      <c r="E934" s="105"/>
      <c r="F934" s="110" t="b">
        <v>0</v>
      </c>
      <c r="G934" s="105" t="str">
        <f>IF(F934=True, IFERROR(VLOOKUP(D934, Repository!A:B, 2, 0), ""), "")</f>
        <v/>
      </c>
      <c r="H934" s="105"/>
      <c r="I934" s="105"/>
      <c r="J934" s="105" t="str">
        <f>IF(F934=True, IFERROR(VLOOKUP(D934, Repository!A:C, 3, 0), ""), "")</f>
        <v/>
      </c>
      <c r="K934" s="105"/>
      <c r="L934" s="105" t="str">
        <f>IF(F934=True, IFERROR(VLOOKUP(D934, Repository!A:E, 5, 0), ""), "")</f>
        <v/>
      </c>
      <c r="M934" s="105"/>
      <c r="N934" s="105" t="str">
        <f>IF(F934=True, IFERROR(VLOOKUP(D934, Repository!A:G, 7, 0), ""), "")</f>
        <v/>
      </c>
      <c r="O934" s="105" t="str">
        <f>IFERROR(__xludf.DUMMYFUNCTION("ARRAY_CONSTRAIN(
  ARRAYFORMULA(
    IFERROR(
      LET(
        list, N934,
        arr, TRIM(SPLIT(list, "","")),
        names, XLOOKUP(
          arr,
          'Conformance Score'!A:A,
          'Conformance Score'!B:B,
          ""Not found""
      "&amp;"  ),
        TEXTJOIN("", "", TRUE, names)
      ),
      """"
    )
  ),
  1,
  1
)
"),"")</f>
        <v/>
      </c>
      <c r="P934" s="105" t="str">
        <f>IF(F934="Yes", IFERROR(VLOOKUP(D934, Repository!A:F, 6, 0), ""), "")</f>
        <v/>
      </c>
      <c r="Q934" s="105" t="str">
        <f>IF(F934="Yes", IFERROR(VLOOKUP(D934, Repository!A:I, 8, 0), ""), "")</f>
        <v/>
      </c>
      <c r="R934" s="105" t="str">
        <f>IF(F934="Yes", IFERROR(VLOOKUP(D934, Repository!A:J, 9, 0), ""), "")</f>
        <v/>
      </c>
      <c r="S934" s="105"/>
      <c r="T934" s="105"/>
      <c r="U934" s="105"/>
      <c r="V934" s="105"/>
      <c r="W934" s="105"/>
      <c r="X934" s="105"/>
      <c r="Y934" s="105"/>
      <c r="Z934" s="105"/>
      <c r="AA934" s="105"/>
      <c r="AB934" s="105"/>
      <c r="AC934" s="91"/>
      <c r="AD934" s="105"/>
      <c r="AE934" s="105"/>
      <c r="AF934" s="91"/>
      <c r="AG934" s="105"/>
      <c r="AH934" s="105"/>
      <c r="AI934" s="105" t="str">
        <f t="shared" si="1"/>
        <v/>
      </c>
      <c r="AJ934" s="108" t="str">
        <f t="shared" si="2"/>
        <v/>
      </c>
    </row>
    <row r="935" ht="15.75" customHeight="1">
      <c r="A935" s="104"/>
      <c r="B935" s="105" t="str">
        <f>IFERROR(__xludf.DUMMYFUNCTION("ARRAY_CONSTRAIN(
  ARRAYFORMULA(
    IF(
      'Final Report'!A935="""",
      """",
      TEXTJOIN(
        "", "" &amp; CHAR(10),
        TRUE,
        IFERROR(
          VLOOKUP(
            TRIM(
              SPLIT('Final Report'!A935, "","")
           "&amp;" ),
            'URL Details'!A:B,
            2,
            FALSE
          ),
          """"
        )
      )
    )
  ),
  1,
  1
)
"),"")</f>
        <v/>
      </c>
      <c r="C935" s="105" t="str">
        <f>IFERROR(__xludf.DUMMYFUNCTION("IFERROR(IF('Final Report'!A935="""","""", TEXTJOIN(CHAR(10), TRUE, ARRAYFORMULA( ""• ""&amp; FILTER( TRIM(FLATTEN(SPLIT( REGEXREPLACE( SUBSTITUTE(TEXTJOIN("","", TRUE, IFERROR(ARRAYFORMULA(VLOOKUP(TRIM(SPLIT('Final Report'!A935, "","")), 'URL Details'!A:D, 4,"&amp;" FALSE)),"""") ), CHAR(10), "",""), ""\s*,\s*"", "",""), "",""))), TRIM(FLATTEN(SPLIT( REGEXREPLACE( SUBSTITUTE(TEXTJOIN("","", TRUE, IFERROR(ARRAYFORMULA(VLOOKUP(TRIM(SPLIT('Final Report'!A935, "","")), 'URL Details'!A:D, 4, FALSE)),"""") ), CHAR(10), """&amp;",""), ""\s*,\s*"", "",""), "","")))&lt;&gt;"""" ) ) ) ),"""")
"),"")</f>
        <v/>
      </c>
      <c r="D935" s="105"/>
      <c r="E935" s="105"/>
      <c r="F935" s="110" t="b">
        <v>0</v>
      </c>
      <c r="G935" s="105" t="str">
        <f>IF(F935=True, IFERROR(VLOOKUP(D935, Repository!A:B, 2, 0), ""), "")</f>
        <v/>
      </c>
      <c r="H935" s="105"/>
      <c r="I935" s="105"/>
      <c r="J935" s="105" t="str">
        <f>IF(F935=True, IFERROR(VLOOKUP(D935, Repository!A:C, 3, 0), ""), "")</f>
        <v/>
      </c>
      <c r="K935" s="105"/>
      <c r="L935" s="105" t="str">
        <f>IF(F935=True, IFERROR(VLOOKUP(D935, Repository!A:E, 5, 0), ""), "")</f>
        <v/>
      </c>
      <c r="M935" s="105"/>
      <c r="N935" s="105" t="str">
        <f>IF(F935=True, IFERROR(VLOOKUP(D935, Repository!A:G, 7, 0), ""), "")</f>
        <v/>
      </c>
      <c r="O935" s="105" t="str">
        <f>IFERROR(__xludf.DUMMYFUNCTION("ARRAY_CONSTRAIN(
  ARRAYFORMULA(
    IFERROR(
      LET(
        list, N935,
        arr, TRIM(SPLIT(list, "","")),
        names, XLOOKUP(
          arr,
          'Conformance Score'!A:A,
          'Conformance Score'!B:B,
          ""Not found""
      "&amp;"  ),
        TEXTJOIN("", "", TRUE, names)
      ),
      """"
    )
  ),
  1,
  1
)
"),"")</f>
        <v/>
      </c>
      <c r="P935" s="105" t="str">
        <f>IF(F935="Yes", IFERROR(VLOOKUP(D935, Repository!A:F, 6, 0), ""), "")</f>
        <v/>
      </c>
      <c r="Q935" s="105" t="str">
        <f>IF(F935="Yes", IFERROR(VLOOKUP(D935, Repository!A:I, 8, 0), ""), "")</f>
        <v/>
      </c>
      <c r="R935" s="105" t="str">
        <f>IF(F935="Yes", IFERROR(VLOOKUP(D935, Repository!A:J, 9, 0), ""), "")</f>
        <v/>
      </c>
      <c r="S935" s="105"/>
      <c r="T935" s="105"/>
      <c r="U935" s="105"/>
      <c r="V935" s="105"/>
      <c r="W935" s="105"/>
      <c r="X935" s="105"/>
      <c r="Y935" s="105"/>
      <c r="Z935" s="105"/>
      <c r="AA935" s="105"/>
      <c r="AB935" s="105"/>
      <c r="AC935" s="91"/>
      <c r="AD935" s="105"/>
      <c r="AE935" s="105"/>
      <c r="AF935" s="91"/>
      <c r="AG935" s="105"/>
      <c r="AH935" s="105"/>
      <c r="AI935" s="105" t="str">
        <f t="shared" si="1"/>
        <v/>
      </c>
      <c r="AJ935" s="108" t="str">
        <f t="shared" si="2"/>
        <v/>
      </c>
    </row>
    <row r="936" ht="15.75" customHeight="1">
      <c r="A936" s="104"/>
      <c r="B936" s="105" t="str">
        <f>IFERROR(__xludf.DUMMYFUNCTION("ARRAY_CONSTRAIN(
  ARRAYFORMULA(
    IF(
      'Final Report'!A936="""",
      """",
      TEXTJOIN(
        "", "" &amp; CHAR(10),
        TRUE,
        IFERROR(
          VLOOKUP(
            TRIM(
              SPLIT('Final Report'!A936, "","")
           "&amp;" ),
            'URL Details'!A:B,
            2,
            FALSE
          ),
          """"
        )
      )
    )
  ),
  1,
  1
)
"),"")</f>
        <v/>
      </c>
      <c r="C936" s="105" t="str">
        <f>IFERROR(__xludf.DUMMYFUNCTION("IFERROR(IF('Final Report'!A936="""","""", TEXTJOIN(CHAR(10), TRUE, ARRAYFORMULA( ""• ""&amp; FILTER( TRIM(FLATTEN(SPLIT( REGEXREPLACE( SUBSTITUTE(TEXTJOIN("","", TRUE, IFERROR(ARRAYFORMULA(VLOOKUP(TRIM(SPLIT('Final Report'!A936, "","")), 'URL Details'!A:D, 4,"&amp;" FALSE)),"""") ), CHAR(10), "",""), ""\s*,\s*"", "",""), "",""))), TRIM(FLATTEN(SPLIT( REGEXREPLACE( SUBSTITUTE(TEXTJOIN("","", TRUE, IFERROR(ARRAYFORMULA(VLOOKUP(TRIM(SPLIT('Final Report'!A936, "","")), 'URL Details'!A:D, 4, FALSE)),"""") ), CHAR(10), """&amp;",""), ""\s*,\s*"", "",""), "","")))&lt;&gt;"""" ) ) ) ),"""")
"),"")</f>
        <v/>
      </c>
      <c r="D936" s="105"/>
      <c r="E936" s="105"/>
      <c r="F936" s="110" t="b">
        <v>0</v>
      </c>
      <c r="G936" s="105" t="str">
        <f>IF(F936=True, IFERROR(VLOOKUP(D936, Repository!A:B, 2, 0), ""), "")</f>
        <v/>
      </c>
      <c r="H936" s="105"/>
      <c r="I936" s="105"/>
      <c r="J936" s="105" t="str">
        <f>IF(F936=True, IFERROR(VLOOKUP(D936, Repository!A:C, 3, 0), ""), "")</f>
        <v/>
      </c>
      <c r="K936" s="105"/>
      <c r="L936" s="105" t="str">
        <f>IF(F936=True, IFERROR(VLOOKUP(D936, Repository!A:E, 5, 0), ""), "")</f>
        <v/>
      </c>
      <c r="M936" s="105"/>
      <c r="N936" s="105" t="str">
        <f>IF(F936=True, IFERROR(VLOOKUP(D936, Repository!A:G, 7, 0), ""), "")</f>
        <v/>
      </c>
      <c r="O936" s="105" t="str">
        <f>IFERROR(__xludf.DUMMYFUNCTION("ARRAY_CONSTRAIN(
  ARRAYFORMULA(
    IFERROR(
      LET(
        list, N936,
        arr, TRIM(SPLIT(list, "","")),
        names, XLOOKUP(
          arr,
          'Conformance Score'!A:A,
          'Conformance Score'!B:B,
          ""Not found""
      "&amp;"  ),
        TEXTJOIN("", "", TRUE, names)
      ),
      """"
    )
  ),
  1,
  1
)
"),"")</f>
        <v/>
      </c>
      <c r="P936" s="105" t="str">
        <f>IF(F936="Yes", IFERROR(VLOOKUP(D936, Repository!A:F, 6, 0), ""), "")</f>
        <v/>
      </c>
      <c r="Q936" s="105" t="str">
        <f>IF(F936="Yes", IFERROR(VLOOKUP(D936, Repository!A:I, 8, 0), ""), "")</f>
        <v/>
      </c>
      <c r="R936" s="105" t="str">
        <f>IF(F936="Yes", IFERROR(VLOOKUP(D936, Repository!A:J, 9, 0), ""), "")</f>
        <v/>
      </c>
      <c r="S936" s="105"/>
      <c r="T936" s="105"/>
      <c r="U936" s="105"/>
      <c r="V936" s="105"/>
      <c r="W936" s="105"/>
      <c r="X936" s="105"/>
      <c r="Y936" s="105"/>
      <c r="Z936" s="105"/>
      <c r="AA936" s="105"/>
      <c r="AB936" s="105"/>
      <c r="AC936" s="91"/>
      <c r="AD936" s="105"/>
      <c r="AE936" s="105"/>
      <c r="AF936" s="91"/>
      <c r="AG936" s="105"/>
      <c r="AH936" s="105"/>
      <c r="AI936" s="105" t="str">
        <f t="shared" si="1"/>
        <v/>
      </c>
      <c r="AJ936" s="108" t="str">
        <f t="shared" si="2"/>
        <v/>
      </c>
    </row>
    <row r="937" ht="15.75" customHeight="1">
      <c r="A937" s="104"/>
      <c r="B937" s="105" t="str">
        <f>IFERROR(__xludf.DUMMYFUNCTION("ARRAY_CONSTRAIN(
  ARRAYFORMULA(
    IF(
      'Final Report'!A937="""",
      """",
      TEXTJOIN(
        "", "" &amp; CHAR(10),
        TRUE,
        IFERROR(
          VLOOKUP(
            TRIM(
              SPLIT('Final Report'!A937, "","")
           "&amp;" ),
            'URL Details'!A:B,
            2,
            FALSE
          ),
          """"
        )
      )
    )
  ),
  1,
  1
)
"),"")</f>
        <v/>
      </c>
      <c r="C937" s="105" t="str">
        <f>IFERROR(__xludf.DUMMYFUNCTION("IFERROR(IF('Final Report'!A937="""","""", TEXTJOIN(CHAR(10), TRUE, ARRAYFORMULA( ""• ""&amp; FILTER( TRIM(FLATTEN(SPLIT( REGEXREPLACE( SUBSTITUTE(TEXTJOIN("","", TRUE, IFERROR(ARRAYFORMULA(VLOOKUP(TRIM(SPLIT('Final Report'!A937, "","")), 'URL Details'!A:D, 4,"&amp;" FALSE)),"""") ), CHAR(10), "",""), ""\s*,\s*"", "",""), "",""))), TRIM(FLATTEN(SPLIT( REGEXREPLACE( SUBSTITUTE(TEXTJOIN("","", TRUE, IFERROR(ARRAYFORMULA(VLOOKUP(TRIM(SPLIT('Final Report'!A937, "","")), 'URL Details'!A:D, 4, FALSE)),"""") ), CHAR(10), """&amp;",""), ""\s*,\s*"", "",""), "","")))&lt;&gt;"""" ) ) ) ),"""")
"),"")</f>
        <v/>
      </c>
      <c r="D937" s="105"/>
      <c r="E937" s="105"/>
      <c r="F937" s="110" t="b">
        <v>0</v>
      </c>
      <c r="G937" s="105" t="str">
        <f>IF(F937=True, IFERROR(VLOOKUP(D937, Repository!A:B, 2, 0), ""), "")</f>
        <v/>
      </c>
      <c r="H937" s="105"/>
      <c r="I937" s="105"/>
      <c r="J937" s="105" t="str">
        <f>IF(F937=True, IFERROR(VLOOKUP(D937, Repository!A:C, 3, 0), ""), "")</f>
        <v/>
      </c>
      <c r="K937" s="105"/>
      <c r="L937" s="105" t="str">
        <f>IF(F937=True, IFERROR(VLOOKUP(D937, Repository!A:E, 5, 0), ""), "")</f>
        <v/>
      </c>
      <c r="M937" s="105"/>
      <c r="N937" s="105" t="str">
        <f>IF(F937=True, IFERROR(VLOOKUP(D937, Repository!A:G, 7, 0), ""), "")</f>
        <v/>
      </c>
      <c r="O937" s="105" t="str">
        <f>IFERROR(__xludf.DUMMYFUNCTION("ARRAY_CONSTRAIN(
  ARRAYFORMULA(
    IFERROR(
      LET(
        list, N937,
        arr, TRIM(SPLIT(list, "","")),
        names, XLOOKUP(
          arr,
          'Conformance Score'!A:A,
          'Conformance Score'!B:B,
          ""Not found""
      "&amp;"  ),
        TEXTJOIN("", "", TRUE, names)
      ),
      """"
    )
  ),
  1,
  1
)
"),"")</f>
        <v/>
      </c>
      <c r="P937" s="105" t="str">
        <f>IF(F937="Yes", IFERROR(VLOOKUP(D937, Repository!A:F, 6, 0), ""), "")</f>
        <v/>
      </c>
      <c r="Q937" s="105" t="str">
        <f>IF(F937="Yes", IFERROR(VLOOKUP(D937, Repository!A:I, 8, 0), ""), "")</f>
        <v/>
      </c>
      <c r="R937" s="105" t="str">
        <f>IF(F937="Yes", IFERROR(VLOOKUP(D937, Repository!A:J, 9, 0), ""), "")</f>
        <v/>
      </c>
      <c r="S937" s="105"/>
      <c r="T937" s="105"/>
      <c r="U937" s="105"/>
      <c r="V937" s="105"/>
      <c r="W937" s="105"/>
      <c r="X937" s="105"/>
      <c r="Y937" s="105"/>
      <c r="Z937" s="105"/>
      <c r="AA937" s="105"/>
      <c r="AB937" s="105"/>
      <c r="AC937" s="91"/>
      <c r="AD937" s="105"/>
      <c r="AE937" s="105"/>
      <c r="AF937" s="91"/>
      <c r="AG937" s="105"/>
      <c r="AH937" s="105"/>
      <c r="AI937" s="105" t="str">
        <f t="shared" si="1"/>
        <v/>
      </c>
      <c r="AJ937" s="108" t="str">
        <f t="shared" si="2"/>
        <v/>
      </c>
    </row>
    <row r="938" ht="15.75" customHeight="1">
      <c r="A938" s="104"/>
      <c r="B938" s="105" t="str">
        <f>IFERROR(__xludf.DUMMYFUNCTION("ARRAY_CONSTRAIN(
  ARRAYFORMULA(
    IF(
      'Final Report'!A938="""",
      """",
      TEXTJOIN(
        "", "" &amp; CHAR(10),
        TRUE,
        IFERROR(
          VLOOKUP(
            TRIM(
              SPLIT('Final Report'!A938, "","")
           "&amp;" ),
            'URL Details'!A:B,
            2,
            FALSE
          ),
          """"
        )
      )
    )
  ),
  1,
  1
)
"),"")</f>
        <v/>
      </c>
      <c r="C938" s="105" t="str">
        <f>IFERROR(__xludf.DUMMYFUNCTION("IFERROR(IF('Final Report'!A938="""","""", TEXTJOIN(CHAR(10), TRUE, ARRAYFORMULA( ""• ""&amp; FILTER( TRIM(FLATTEN(SPLIT( REGEXREPLACE( SUBSTITUTE(TEXTJOIN("","", TRUE, IFERROR(ARRAYFORMULA(VLOOKUP(TRIM(SPLIT('Final Report'!A938, "","")), 'URL Details'!A:D, 4,"&amp;" FALSE)),"""") ), CHAR(10), "",""), ""\s*,\s*"", "",""), "",""))), TRIM(FLATTEN(SPLIT( REGEXREPLACE( SUBSTITUTE(TEXTJOIN("","", TRUE, IFERROR(ARRAYFORMULA(VLOOKUP(TRIM(SPLIT('Final Report'!A938, "","")), 'URL Details'!A:D, 4, FALSE)),"""") ), CHAR(10), """&amp;",""), ""\s*,\s*"", "",""), "","")))&lt;&gt;"""" ) ) ) ),"""")
"),"")</f>
        <v/>
      </c>
      <c r="D938" s="105"/>
      <c r="E938" s="105"/>
      <c r="F938" s="110" t="b">
        <v>0</v>
      </c>
      <c r="G938" s="105" t="str">
        <f>IF(F938=True, IFERROR(VLOOKUP(D938, Repository!A:B, 2, 0), ""), "")</f>
        <v/>
      </c>
      <c r="H938" s="105"/>
      <c r="I938" s="105"/>
      <c r="J938" s="105" t="str">
        <f>IF(F938=True, IFERROR(VLOOKUP(D938, Repository!A:C, 3, 0), ""), "")</f>
        <v/>
      </c>
      <c r="K938" s="105"/>
      <c r="L938" s="105" t="str">
        <f>IF(F938=True, IFERROR(VLOOKUP(D938, Repository!A:E, 5, 0), ""), "")</f>
        <v/>
      </c>
      <c r="M938" s="105"/>
      <c r="N938" s="105" t="str">
        <f>IF(F938=True, IFERROR(VLOOKUP(D938, Repository!A:G, 7, 0), ""), "")</f>
        <v/>
      </c>
      <c r="O938" s="105" t="str">
        <f>IFERROR(__xludf.DUMMYFUNCTION("ARRAY_CONSTRAIN(
  ARRAYFORMULA(
    IFERROR(
      LET(
        list, N938,
        arr, TRIM(SPLIT(list, "","")),
        names, XLOOKUP(
          arr,
          'Conformance Score'!A:A,
          'Conformance Score'!B:B,
          ""Not found""
      "&amp;"  ),
        TEXTJOIN("", "", TRUE, names)
      ),
      """"
    )
  ),
  1,
  1
)
"),"")</f>
        <v/>
      </c>
      <c r="P938" s="105" t="str">
        <f>IF(F938="Yes", IFERROR(VLOOKUP(D938, Repository!A:F, 6, 0), ""), "")</f>
        <v/>
      </c>
      <c r="Q938" s="105" t="str">
        <f>IF(F938="Yes", IFERROR(VLOOKUP(D938, Repository!A:I, 8, 0), ""), "")</f>
        <v/>
      </c>
      <c r="R938" s="105" t="str">
        <f>IF(F938="Yes", IFERROR(VLOOKUP(D938, Repository!A:J, 9, 0), ""), "")</f>
        <v/>
      </c>
      <c r="S938" s="105"/>
      <c r="T938" s="105"/>
      <c r="U938" s="105"/>
      <c r="V938" s="105"/>
      <c r="W938" s="105"/>
      <c r="X938" s="105"/>
      <c r="Y938" s="105"/>
      <c r="Z938" s="105"/>
      <c r="AA938" s="105"/>
      <c r="AB938" s="105"/>
      <c r="AC938" s="91"/>
      <c r="AD938" s="105"/>
      <c r="AE938" s="105"/>
      <c r="AF938" s="91"/>
      <c r="AG938" s="105"/>
      <c r="AH938" s="105"/>
      <c r="AI938" s="105" t="str">
        <f t="shared" si="1"/>
        <v/>
      </c>
      <c r="AJ938" s="108" t="str">
        <f t="shared" si="2"/>
        <v/>
      </c>
    </row>
    <row r="939" ht="15.75" customHeight="1">
      <c r="A939" s="104"/>
      <c r="B939" s="105" t="str">
        <f>IFERROR(__xludf.DUMMYFUNCTION("ARRAY_CONSTRAIN(
  ARRAYFORMULA(
    IF(
      'Final Report'!A939="""",
      """",
      TEXTJOIN(
        "", "" &amp; CHAR(10),
        TRUE,
        IFERROR(
          VLOOKUP(
            TRIM(
              SPLIT('Final Report'!A939, "","")
           "&amp;" ),
            'URL Details'!A:B,
            2,
            FALSE
          ),
          """"
        )
      )
    )
  ),
  1,
  1
)
"),"")</f>
        <v/>
      </c>
      <c r="C939" s="105" t="str">
        <f>IFERROR(__xludf.DUMMYFUNCTION("IFERROR(IF('Final Report'!A939="""","""", TEXTJOIN(CHAR(10), TRUE, ARRAYFORMULA( ""• ""&amp; FILTER( TRIM(FLATTEN(SPLIT( REGEXREPLACE( SUBSTITUTE(TEXTJOIN("","", TRUE, IFERROR(ARRAYFORMULA(VLOOKUP(TRIM(SPLIT('Final Report'!A939, "","")), 'URL Details'!A:D, 4,"&amp;" FALSE)),"""") ), CHAR(10), "",""), ""\s*,\s*"", "",""), "",""))), TRIM(FLATTEN(SPLIT( REGEXREPLACE( SUBSTITUTE(TEXTJOIN("","", TRUE, IFERROR(ARRAYFORMULA(VLOOKUP(TRIM(SPLIT('Final Report'!A939, "","")), 'URL Details'!A:D, 4, FALSE)),"""") ), CHAR(10), """&amp;",""), ""\s*,\s*"", "",""), "","")))&lt;&gt;"""" ) ) ) ),"""")
"),"")</f>
        <v/>
      </c>
      <c r="D939" s="105"/>
      <c r="E939" s="105"/>
      <c r="F939" s="110" t="b">
        <v>0</v>
      </c>
      <c r="G939" s="105" t="str">
        <f>IF(F939=True, IFERROR(VLOOKUP(D939, Repository!A:B, 2, 0), ""), "")</f>
        <v/>
      </c>
      <c r="H939" s="105"/>
      <c r="I939" s="105"/>
      <c r="J939" s="105" t="str">
        <f>IF(F939=True, IFERROR(VLOOKUP(D939, Repository!A:C, 3, 0), ""), "")</f>
        <v/>
      </c>
      <c r="K939" s="105"/>
      <c r="L939" s="105" t="str">
        <f>IF(F939=True, IFERROR(VLOOKUP(D939, Repository!A:E, 5, 0), ""), "")</f>
        <v/>
      </c>
      <c r="M939" s="105"/>
      <c r="N939" s="105" t="str">
        <f>IF(F939=True, IFERROR(VLOOKUP(D939, Repository!A:G, 7, 0), ""), "")</f>
        <v/>
      </c>
      <c r="O939" s="105" t="str">
        <f>IFERROR(__xludf.DUMMYFUNCTION("ARRAY_CONSTRAIN(
  ARRAYFORMULA(
    IFERROR(
      LET(
        list, N939,
        arr, TRIM(SPLIT(list, "","")),
        names, XLOOKUP(
          arr,
          'Conformance Score'!A:A,
          'Conformance Score'!B:B,
          ""Not found""
      "&amp;"  ),
        TEXTJOIN("", "", TRUE, names)
      ),
      """"
    )
  ),
  1,
  1
)
"),"")</f>
        <v/>
      </c>
      <c r="P939" s="105" t="str">
        <f>IF(F939="Yes", IFERROR(VLOOKUP(D939, Repository!A:F, 6, 0), ""), "")</f>
        <v/>
      </c>
      <c r="Q939" s="105" t="str">
        <f>IF(F939="Yes", IFERROR(VLOOKUP(D939, Repository!A:I, 8, 0), ""), "")</f>
        <v/>
      </c>
      <c r="R939" s="105" t="str">
        <f>IF(F939="Yes", IFERROR(VLOOKUP(D939, Repository!A:J, 9, 0), ""), "")</f>
        <v/>
      </c>
      <c r="S939" s="105"/>
      <c r="T939" s="105"/>
      <c r="U939" s="105"/>
      <c r="V939" s="105"/>
      <c r="W939" s="105"/>
      <c r="X939" s="105"/>
      <c r="Y939" s="105"/>
      <c r="Z939" s="105"/>
      <c r="AA939" s="105"/>
      <c r="AB939" s="105"/>
      <c r="AC939" s="91"/>
      <c r="AD939" s="105"/>
      <c r="AE939" s="105"/>
      <c r="AF939" s="91"/>
      <c r="AG939" s="105"/>
      <c r="AH939" s="105"/>
      <c r="AI939" s="105" t="str">
        <f t="shared" si="1"/>
        <v/>
      </c>
      <c r="AJ939" s="108" t="str">
        <f t="shared" si="2"/>
        <v/>
      </c>
    </row>
    <row r="940" ht="15.75" customHeight="1">
      <c r="A940" s="104"/>
      <c r="B940" s="105" t="str">
        <f>IFERROR(__xludf.DUMMYFUNCTION("ARRAY_CONSTRAIN(
  ARRAYFORMULA(
    IF(
      'Final Report'!A940="""",
      """",
      TEXTJOIN(
        "", "" &amp; CHAR(10),
        TRUE,
        IFERROR(
          VLOOKUP(
            TRIM(
              SPLIT('Final Report'!A940, "","")
           "&amp;" ),
            'URL Details'!A:B,
            2,
            FALSE
          ),
          """"
        )
      )
    )
  ),
  1,
  1
)
"),"")</f>
        <v/>
      </c>
      <c r="C940" s="105" t="str">
        <f>IFERROR(__xludf.DUMMYFUNCTION("IFERROR(IF('Final Report'!A940="""","""", TEXTJOIN(CHAR(10), TRUE, ARRAYFORMULA( ""• ""&amp; FILTER( TRIM(FLATTEN(SPLIT( REGEXREPLACE( SUBSTITUTE(TEXTJOIN("","", TRUE, IFERROR(ARRAYFORMULA(VLOOKUP(TRIM(SPLIT('Final Report'!A940, "","")), 'URL Details'!A:D, 4,"&amp;" FALSE)),"""") ), CHAR(10), "",""), ""\s*,\s*"", "",""), "",""))), TRIM(FLATTEN(SPLIT( REGEXREPLACE( SUBSTITUTE(TEXTJOIN("","", TRUE, IFERROR(ARRAYFORMULA(VLOOKUP(TRIM(SPLIT('Final Report'!A940, "","")), 'URL Details'!A:D, 4, FALSE)),"""") ), CHAR(10), """&amp;",""), ""\s*,\s*"", "",""), "","")))&lt;&gt;"""" ) ) ) ),"""")
"),"")</f>
        <v/>
      </c>
      <c r="D940" s="105"/>
      <c r="E940" s="105"/>
      <c r="F940" s="110" t="b">
        <v>0</v>
      </c>
      <c r="G940" s="105" t="str">
        <f>IF(F940=True, IFERROR(VLOOKUP(D940, Repository!A:B, 2, 0), ""), "")</f>
        <v/>
      </c>
      <c r="H940" s="105"/>
      <c r="I940" s="105"/>
      <c r="J940" s="105" t="str">
        <f>IF(F940=True, IFERROR(VLOOKUP(D940, Repository!A:C, 3, 0), ""), "")</f>
        <v/>
      </c>
      <c r="K940" s="105"/>
      <c r="L940" s="105" t="str">
        <f>IF(F940=True, IFERROR(VLOOKUP(D940, Repository!A:E, 5, 0), ""), "")</f>
        <v/>
      </c>
      <c r="M940" s="105"/>
      <c r="N940" s="105" t="str">
        <f>IF(F940=True, IFERROR(VLOOKUP(D940, Repository!A:G, 7, 0), ""), "")</f>
        <v/>
      </c>
      <c r="O940" s="105" t="str">
        <f>IFERROR(__xludf.DUMMYFUNCTION("ARRAY_CONSTRAIN(
  ARRAYFORMULA(
    IFERROR(
      LET(
        list, N940,
        arr, TRIM(SPLIT(list, "","")),
        names, XLOOKUP(
          arr,
          'Conformance Score'!A:A,
          'Conformance Score'!B:B,
          ""Not found""
      "&amp;"  ),
        TEXTJOIN("", "", TRUE, names)
      ),
      """"
    )
  ),
  1,
  1
)
"),"")</f>
        <v/>
      </c>
      <c r="P940" s="105" t="str">
        <f>IF(F940="Yes", IFERROR(VLOOKUP(D940, Repository!A:F, 6, 0), ""), "")</f>
        <v/>
      </c>
      <c r="Q940" s="105" t="str">
        <f>IF(F940="Yes", IFERROR(VLOOKUP(D940, Repository!A:I, 8, 0), ""), "")</f>
        <v/>
      </c>
      <c r="R940" s="105" t="str">
        <f>IF(F940="Yes", IFERROR(VLOOKUP(D940, Repository!A:J, 9, 0), ""), "")</f>
        <v/>
      </c>
      <c r="S940" s="105"/>
      <c r="T940" s="105"/>
      <c r="U940" s="105"/>
      <c r="V940" s="105"/>
      <c r="W940" s="105"/>
      <c r="X940" s="105"/>
      <c r="Y940" s="105"/>
      <c r="Z940" s="105"/>
      <c r="AA940" s="105"/>
      <c r="AB940" s="105"/>
      <c r="AC940" s="91"/>
      <c r="AD940" s="105"/>
      <c r="AE940" s="105"/>
      <c r="AF940" s="91"/>
      <c r="AG940" s="105"/>
      <c r="AH940" s="105"/>
      <c r="AI940" s="105" t="str">
        <f t="shared" si="1"/>
        <v/>
      </c>
      <c r="AJ940" s="108" t="str">
        <f t="shared" si="2"/>
        <v/>
      </c>
    </row>
    <row r="941" ht="15.75" customHeight="1">
      <c r="A941" s="104"/>
      <c r="B941" s="105" t="str">
        <f>IFERROR(__xludf.DUMMYFUNCTION("ARRAY_CONSTRAIN(
  ARRAYFORMULA(
    IF(
      'Final Report'!A941="""",
      """",
      TEXTJOIN(
        "", "" &amp; CHAR(10),
        TRUE,
        IFERROR(
          VLOOKUP(
            TRIM(
              SPLIT('Final Report'!A941, "","")
           "&amp;" ),
            'URL Details'!A:B,
            2,
            FALSE
          ),
          """"
        )
      )
    )
  ),
  1,
  1
)
"),"")</f>
        <v/>
      </c>
      <c r="C941" s="105" t="str">
        <f>IFERROR(__xludf.DUMMYFUNCTION("IFERROR(IF('Final Report'!A941="""","""", TEXTJOIN(CHAR(10), TRUE, ARRAYFORMULA( ""• ""&amp; FILTER( TRIM(FLATTEN(SPLIT( REGEXREPLACE( SUBSTITUTE(TEXTJOIN("","", TRUE, IFERROR(ARRAYFORMULA(VLOOKUP(TRIM(SPLIT('Final Report'!A941, "","")), 'URL Details'!A:D, 4,"&amp;" FALSE)),"""") ), CHAR(10), "",""), ""\s*,\s*"", "",""), "",""))), TRIM(FLATTEN(SPLIT( REGEXREPLACE( SUBSTITUTE(TEXTJOIN("","", TRUE, IFERROR(ARRAYFORMULA(VLOOKUP(TRIM(SPLIT('Final Report'!A941, "","")), 'URL Details'!A:D, 4, FALSE)),"""") ), CHAR(10), """&amp;",""), ""\s*,\s*"", "",""), "","")))&lt;&gt;"""" ) ) ) ),"""")
"),"")</f>
        <v/>
      </c>
      <c r="D941" s="105"/>
      <c r="E941" s="105"/>
      <c r="F941" s="110" t="b">
        <v>0</v>
      </c>
      <c r="G941" s="105" t="str">
        <f>IF(F941=True, IFERROR(VLOOKUP(D941, Repository!A:B, 2, 0), ""), "")</f>
        <v/>
      </c>
      <c r="H941" s="105"/>
      <c r="I941" s="105"/>
      <c r="J941" s="105" t="str">
        <f>IF(F941=True, IFERROR(VLOOKUP(D941, Repository!A:C, 3, 0), ""), "")</f>
        <v/>
      </c>
      <c r="K941" s="105"/>
      <c r="L941" s="105" t="str">
        <f>IF(F941=True, IFERROR(VLOOKUP(D941, Repository!A:E, 5, 0), ""), "")</f>
        <v/>
      </c>
      <c r="M941" s="105"/>
      <c r="N941" s="105" t="str">
        <f>IF(F941=True, IFERROR(VLOOKUP(D941, Repository!A:G, 7, 0), ""), "")</f>
        <v/>
      </c>
      <c r="O941" s="105" t="str">
        <f>IFERROR(__xludf.DUMMYFUNCTION("ARRAY_CONSTRAIN(
  ARRAYFORMULA(
    IFERROR(
      LET(
        list, N941,
        arr, TRIM(SPLIT(list, "","")),
        names, XLOOKUP(
          arr,
          'Conformance Score'!A:A,
          'Conformance Score'!B:B,
          ""Not found""
      "&amp;"  ),
        TEXTJOIN("", "", TRUE, names)
      ),
      """"
    )
  ),
  1,
  1
)
"),"")</f>
        <v/>
      </c>
      <c r="P941" s="105" t="str">
        <f>IF(F941="Yes", IFERROR(VLOOKUP(D941, Repository!A:F, 6, 0), ""), "")</f>
        <v/>
      </c>
      <c r="Q941" s="105" t="str">
        <f>IF(F941="Yes", IFERROR(VLOOKUP(D941, Repository!A:I, 8, 0), ""), "")</f>
        <v/>
      </c>
      <c r="R941" s="105" t="str">
        <f>IF(F941="Yes", IFERROR(VLOOKUP(D941, Repository!A:J, 9, 0), ""), "")</f>
        <v/>
      </c>
      <c r="S941" s="105"/>
      <c r="T941" s="105"/>
      <c r="U941" s="105"/>
      <c r="V941" s="105"/>
      <c r="W941" s="105"/>
      <c r="X941" s="105"/>
      <c r="Y941" s="105"/>
      <c r="Z941" s="105"/>
      <c r="AA941" s="105"/>
      <c r="AB941" s="105"/>
      <c r="AC941" s="91"/>
      <c r="AD941" s="105"/>
      <c r="AE941" s="105"/>
      <c r="AF941" s="91"/>
      <c r="AG941" s="105"/>
      <c r="AH941" s="105"/>
      <c r="AI941" s="105" t="str">
        <f t="shared" si="1"/>
        <v/>
      </c>
      <c r="AJ941" s="108" t="str">
        <f t="shared" si="2"/>
        <v/>
      </c>
    </row>
    <row r="942" ht="15.75" customHeight="1">
      <c r="A942" s="104"/>
      <c r="B942" s="105" t="str">
        <f>IFERROR(__xludf.DUMMYFUNCTION("ARRAY_CONSTRAIN(
  ARRAYFORMULA(
    IF(
      'Final Report'!A942="""",
      """",
      TEXTJOIN(
        "", "" &amp; CHAR(10),
        TRUE,
        IFERROR(
          VLOOKUP(
            TRIM(
              SPLIT('Final Report'!A942, "","")
           "&amp;" ),
            'URL Details'!A:B,
            2,
            FALSE
          ),
          """"
        )
      )
    )
  ),
  1,
  1
)
"),"")</f>
        <v/>
      </c>
      <c r="C942" s="105" t="str">
        <f>IFERROR(__xludf.DUMMYFUNCTION("IFERROR(IF('Final Report'!A942="""","""", TEXTJOIN(CHAR(10), TRUE, ARRAYFORMULA( ""• ""&amp; FILTER( TRIM(FLATTEN(SPLIT( REGEXREPLACE( SUBSTITUTE(TEXTJOIN("","", TRUE, IFERROR(ARRAYFORMULA(VLOOKUP(TRIM(SPLIT('Final Report'!A942, "","")), 'URL Details'!A:D, 4,"&amp;" FALSE)),"""") ), CHAR(10), "",""), ""\s*,\s*"", "",""), "",""))), TRIM(FLATTEN(SPLIT( REGEXREPLACE( SUBSTITUTE(TEXTJOIN("","", TRUE, IFERROR(ARRAYFORMULA(VLOOKUP(TRIM(SPLIT('Final Report'!A942, "","")), 'URL Details'!A:D, 4, FALSE)),"""") ), CHAR(10), """&amp;",""), ""\s*,\s*"", "",""), "","")))&lt;&gt;"""" ) ) ) ),"""")
"),"")</f>
        <v/>
      </c>
      <c r="D942" s="105"/>
      <c r="E942" s="105"/>
      <c r="F942" s="110" t="b">
        <v>0</v>
      </c>
      <c r="G942" s="105" t="str">
        <f>IF(F942=True, IFERROR(VLOOKUP(D942, Repository!A:B, 2, 0), ""), "")</f>
        <v/>
      </c>
      <c r="H942" s="105"/>
      <c r="I942" s="105"/>
      <c r="J942" s="105" t="str">
        <f>IF(F942=True, IFERROR(VLOOKUP(D942, Repository!A:C, 3, 0), ""), "")</f>
        <v/>
      </c>
      <c r="K942" s="105"/>
      <c r="L942" s="105" t="str">
        <f>IF(F942=True, IFERROR(VLOOKUP(D942, Repository!A:E, 5, 0), ""), "")</f>
        <v/>
      </c>
      <c r="M942" s="105"/>
      <c r="N942" s="105" t="str">
        <f>IF(F942=True, IFERROR(VLOOKUP(D942, Repository!A:G, 7, 0), ""), "")</f>
        <v/>
      </c>
      <c r="O942" s="105" t="str">
        <f>IFERROR(__xludf.DUMMYFUNCTION("ARRAY_CONSTRAIN(
  ARRAYFORMULA(
    IFERROR(
      LET(
        list, N942,
        arr, TRIM(SPLIT(list, "","")),
        names, XLOOKUP(
          arr,
          'Conformance Score'!A:A,
          'Conformance Score'!B:B,
          ""Not found""
      "&amp;"  ),
        TEXTJOIN("", "", TRUE, names)
      ),
      """"
    )
  ),
  1,
  1
)
"),"")</f>
        <v/>
      </c>
      <c r="P942" s="105" t="str">
        <f>IF(F942="Yes", IFERROR(VLOOKUP(D942, Repository!A:F, 6, 0), ""), "")</f>
        <v/>
      </c>
      <c r="Q942" s="105" t="str">
        <f>IF(F942="Yes", IFERROR(VLOOKUP(D942, Repository!A:I, 8, 0), ""), "")</f>
        <v/>
      </c>
      <c r="R942" s="105" t="str">
        <f>IF(F942="Yes", IFERROR(VLOOKUP(D942, Repository!A:J, 9, 0), ""), "")</f>
        <v/>
      </c>
      <c r="S942" s="105"/>
      <c r="T942" s="105"/>
      <c r="U942" s="105"/>
      <c r="V942" s="105"/>
      <c r="W942" s="105"/>
      <c r="X942" s="105"/>
      <c r="Y942" s="105"/>
      <c r="Z942" s="105"/>
      <c r="AA942" s="105"/>
      <c r="AB942" s="105"/>
      <c r="AC942" s="91"/>
      <c r="AD942" s="105"/>
      <c r="AE942" s="105"/>
      <c r="AF942" s="91"/>
      <c r="AG942" s="105"/>
      <c r="AH942" s="105"/>
      <c r="AI942" s="105" t="str">
        <f t="shared" si="1"/>
        <v/>
      </c>
      <c r="AJ942" s="108" t="str">
        <f t="shared" si="2"/>
        <v/>
      </c>
    </row>
    <row r="943" ht="15.75" customHeight="1">
      <c r="A943" s="104"/>
      <c r="B943" s="105" t="str">
        <f>IFERROR(__xludf.DUMMYFUNCTION("ARRAY_CONSTRAIN(
  ARRAYFORMULA(
    IF(
      'Final Report'!A943="""",
      """",
      TEXTJOIN(
        "", "" &amp; CHAR(10),
        TRUE,
        IFERROR(
          VLOOKUP(
            TRIM(
              SPLIT('Final Report'!A943, "","")
           "&amp;" ),
            'URL Details'!A:B,
            2,
            FALSE
          ),
          """"
        )
      )
    )
  ),
  1,
  1
)
"),"")</f>
        <v/>
      </c>
      <c r="C943" s="105" t="str">
        <f>IFERROR(__xludf.DUMMYFUNCTION("IFERROR(IF('Final Report'!A943="""","""", TEXTJOIN(CHAR(10), TRUE, ARRAYFORMULA( ""• ""&amp; FILTER( TRIM(FLATTEN(SPLIT( REGEXREPLACE( SUBSTITUTE(TEXTJOIN("","", TRUE, IFERROR(ARRAYFORMULA(VLOOKUP(TRIM(SPLIT('Final Report'!A943, "","")), 'URL Details'!A:D, 4,"&amp;" FALSE)),"""") ), CHAR(10), "",""), ""\s*,\s*"", "",""), "",""))), TRIM(FLATTEN(SPLIT( REGEXREPLACE( SUBSTITUTE(TEXTJOIN("","", TRUE, IFERROR(ARRAYFORMULA(VLOOKUP(TRIM(SPLIT('Final Report'!A943, "","")), 'URL Details'!A:D, 4, FALSE)),"""") ), CHAR(10), """&amp;",""), ""\s*,\s*"", "",""), "","")))&lt;&gt;"""" ) ) ) ),"""")
"),"")</f>
        <v/>
      </c>
      <c r="D943" s="105"/>
      <c r="E943" s="105"/>
      <c r="F943" s="110" t="b">
        <v>0</v>
      </c>
      <c r="G943" s="105" t="str">
        <f>IF(F943=True, IFERROR(VLOOKUP(D943, Repository!A:B, 2, 0), ""), "")</f>
        <v/>
      </c>
      <c r="H943" s="105"/>
      <c r="I943" s="105"/>
      <c r="J943" s="105" t="str">
        <f>IF(F943=True, IFERROR(VLOOKUP(D943, Repository!A:C, 3, 0), ""), "")</f>
        <v/>
      </c>
      <c r="K943" s="105"/>
      <c r="L943" s="105" t="str">
        <f>IF(F943=True, IFERROR(VLOOKUP(D943, Repository!A:E, 5, 0), ""), "")</f>
        <v/>
      </c>
      <c r="M943" s="105"/>
      <c r="N943" s="105" t="str">
        <f>IF(F943=True, IFERROR(VLOOKUP(D943, Repository!A:G, 7, 0), ""), "")</f>
        <v/>
      </c>
      <c r="O943" s="105" t="str">
        <f>IFERROR(__xludf.DUMMYFUNCTION("ARRAY_CONSTRAIN(
  ARRAYFORMULA(
    IFERROR(
      LET(
        list, N943,
        arr, TRIM(SPLIT(list, "","")),
        names, XLOOKUP(
          arr,
          'Conformance Score'!A:A,
          'Conformance Score'!B:B,
          ""Not found""
      "&amp;"  ),
        TEXTJOIN("", "", TRUE, names)
      ),
      """"
    )
  ),
  1,
  1
)
"),"")</f>
        <v/>
      </c>
      <c r="P943" s="105" t="str">
        <f>IF(F943="Yes", IFERROR(VLOOKUP(D943, Repository!A:F, 6, 0), ""), "")</f>
        <v/>
      </c>
      <c r="Q943" s="105" t="str">
        <f>IF(F943="Yes", IFERROR(VLOOKUP(D943, Repository!A:I, 8, 0), ""), "")</f>
        <v/>
      </c>
      <c r="R943" s="105" t="str">
        <f>IF(F943="Yes", IFERROR(VLOOKUP(D943, Repository!A:J, 9, 0), ""), "")</f>
        <v/>
      </c>
      <c r="S943" s="105"/>
      <c r="T943" s="105"/>
      <c r="U943" s="105"/>
      <c r="V943" s="105"/>
      <c r="W943" s="105"/>
      <c r="X943" s="105"/>
      <c r="Y943" s="105"/>
      <c r="Z943" s="105"/>
      <c r="AA943" s="105"/>
      <c r="AB943" s="105"/>
      <c r="AC943" s="91"/>
      <c r="AD943" s="105"/>
      <c r="AE943" s="105"/>
      <c r="AF943" s="91"/>
      <c r="AG943" s="105"/>
      <c r="AH943" s="105"/>
      <c r="AI943" s="105" t="str">
        <f t="shared" si="1"/>
        <v/>
      </c>
      <c r="AJ943" s="108" t="str">
        <f t="shared" si="2"/>
        <v/>
      </c>
    </row>
    <row r="944" ht="15.75" customHeight="1">
      <c r="A944" s="104"/>
      <c r="B944" s="105" t="str">
        <f>IFERROR(__xludf.DUMMYFUNCTION("ARRAY_CONSTRAIN(
  ARRAYFORMULA(
    IF(
      'Final Report'!A944="""",
      """",
      TEXTJOIN(
        "", "" &amp; CHAR(10),
        TRUE,
        IFERROR(
          VLOOKUP(
            TRIM(
              SPLIT('Final Report'!A944, "","")
           "&amp;" ),
            'URL Details'!A:B,
            2,
            FALSE
          ),
          """"
        )
      )
    )
  ),
  1,
  1
)
"),"")</f>
        <v/>
      </c>
      <c r="C944" s="105" t="str">
        <f>IFERROR(__xludf.DUMMYFUNCTION("IFERROR(IF('Final Report'!A944="""","""", TEXTJOIN(CHAR(10), TRUE, ARRAYFORMULA( ""• ""&amp; FILTER( TRIM(FLATTEN(SPLIT( REGEXREPLACE( SUBSTITUTE(TEXTJOIN("","", TRUE, IFERROR(ARRAYFORMULA(VLOOKUP(TRIM(SPLIT('Final Report'!A944, "","")), 'URL Details'!A:D, 4,"&amp;" FALSE)),"""") ), CHAR(10), "",""), ""\s*,\s*"", "",""), "",""))), TRIM(FLATTEN(SPLIT( REGEXREPLACE( SUBSTITUTE(TEXTJOIN("","", TRUE, IFERROR(ARRAYFORMULA(VLOOKUP(TRIM(SPLIT('Final Report'!A944, "","")), 'URL Details'!A:D, 4, FALSE)),"""") ), CHAR(10), """&amp;",""), ""\s*,\s*"", "",""), "","")))&lt;&gt;"""" ) ) ) ),"""")
"),"")</f>
        <v/>
      </c>
      <c r="D944" s="105"/>
      <c r="E944" s="105"/>
      <c r="F944" s="110" t="b">
        <v>0</v>
      </c>
      <c r="G944" s="105" t="str">
        <f>IF(F944=True, IFERROR(VLOOKUP(D944, Repository!A:B, 2, 0), ""), "")</f>
        <v/>
      </c>
      <c r="H944" s="105"/>
      <c r="I944" s="105"/>
      <c r="J944" s="105" t="str">
        <f>IF(F944=True, IFERROR(VLOOKUP(D944, Repository!A:C, 3, 0), ""), "")</f>
        <v/>
      </c>
      <c r="K944" s="105"/>
      <c r="L944" s="105" t="str">
        <f>IF(F944=True, IFERROR(VLOOKUP(D944, Repository!A:E, 5, 0), ""), "")</f>
        <v/>
      </c>
      <c r="M944" s="105"/>
      <c r="N944" s="105" t="str">
        <f>IF(F944=True, IFERROR(VLOOKUP(D944, Repository!A:G, 7, 0), ""), "")</f>
        <v/>
      </c>
      <c r="O944" s="105" t="str">
        <f>IFERROR(__xludf.DUMMYFUNCTION("ARRAY_CONSTRAIN(
  ARRAYFORMULA(
    IFERROR(
      LET(
        list, N944,
        arr, TRIM(SPLIT(list, "","")),
        names, XLOOKUP(
          arr,
          'Conformance Score'!A:A,
          'Conformance Score'!B:B,
          ""Not found""
      "&amp;"  ),
        TEXTJOIN("", "", TRUE, names)
      ),
      """"
    )
  ),
  1,
  1
)
"),"")</f>
        <v/>
      </c>
      <c r="P944" s="105" t="str">
        <f>IF(F944="Yes", IFERROR(VLOOKUP(D944, Repository!A:F, 6, 0), ""), "")</f>
        <v/>
      </c>
      <c r="Q944" s="105" t="str">
        <f>IF(F944="Yes", IFERROR(VLOOKUP(D944, Repository!A:I, 8, 0), ""), "")</f>
        <v/>
      </c>
      <c r="R944" s="105" t="str">
        <f>IF(F944="Yes", IFERROR(VLOOKUP(D944, Repository!A:J, 9, 0), ""), "")</f>
        <v/>
      </c>
      <c r="S944" s="105"/>
      <c r="T944" s="105"/>
      <c r="U944" s="105"/>
      <c r="V944" s="105"/>
      <c r="W944" s="105"/>
      <c r="X944" s="105"/>
      <c r="Y944" s="105"/>
      <c r="Z944" s="105"/>
      <c r="AA944" s="105"/>
      <c r="AB944" s="105"/>
      <c r="AC944" s="91"/>
      <c r="AD944" s="105"/>
      <c r="AE944" s="105"/>
      <c r="AF944" s="91"/>
      <c r="AG944" s="105"/>
      <c r="AH944" s="105"/>
      <c r="AI944" s="105" t="str">
        <f t="shared" si="1"/>
        <v/>
      </c>
      <c r="AJ944" s="108" t="str">
        <f t="shared" si="2"/>
        <v/>
      </c>
    </row>
    <row r="945" ht="15.75" customHeight="1">
      <c r="A945" s="104"/>
      <c r="B945" s="105" t="str">
        <f>IFERROR(__xludf.DUMMYFUNCTION("ARRAY_CONSTRAIN(
  ARRAYFORMULA(
    IF(
      'Final Report'!A945="""",
      """",
      TEXTJOIN(
        "", "" &amp; CHAR(10),
        TRUE,
        IFERROR(
          VLOOKUP(
            TRIM(
              SPLIT('Final Report'!A945, "","")
           "&amp;" ),
            'URL Details'!A:B,
            2,
            FALSE
          ),
          """"
        )
      )
    )
  ),
  1,
  1
)
"),"")</f>
        <v/>
      </c>
      <c r="C945" s="105" t="str">
        <f>IFERROR(__xludf.DUMMYFUNCTION("IFERROR(IF('Final Report'!A945="""","""", TEXTJOIN(CHAR(10), TRUE, ARRAYFORMULA( ""• ""&amp; FILTER( TRIM(FLATTEN(SPLIT( REGEXREPLACE( SUBSTITUTE(TEXTJOIN("","", TRUE, IFERROR(ARRAYFORMULA(VLOOKUP(TRIM(SPLIT('Final Report'!A945, "","")), 'URL Details'!A:D, 4,"&amp;" FALSE)),"""") ), CHAR(10), "",""), ""\s*,\s*"", "",""), "",""))), TRIM(FLATTEN(SPLIT( REGEXREPLACE( SUBSTITUTE(TEXTJOIN("","", TRUE, IFERROR(ARRAYFORMULA(VLOOKUP(TRIM(SPLIT('Final Report'!A945, "","")), 'URL Details'!A:D, 4, FALSE)),"""") ), CHAR(10), """&amp;",""), ""\s*,\s*"", "",""), "","")))&lt;&gt;"""" ) ) ) ),"""")
"),"")</f>
        <v/>
      </c>
      <c r="D945" s="105"/>
      <c r="E945" s="105"/>
      <c r="F945" s="110" t="b">
        <v>0</v>
      </c>
      <c r="G945" s="105" t="str">
        <f>IF(F945=True, IFERROR(VLOOKUP(D945, Repository!A:B, 2, 0), ""), "")</f>
        <v/>
      </c>
      <c r="H945" s="105"/>
      <c r="I945" s="105"/>
      <c r="J945" s="105" t="str">
        <f>IF(F945=True, IFERROR(VLOOKUP(D945, Repository!A:C, 3, 0), ""), "")</f>
        <v/>
      </c>
      <c r="K945" s="105"/>
      <c r="L945" s="105" t="str">
        <f>IF(F945=True, IFERROR(VLOOKUP(D945, Repository!A:E, 5, 0), ""), "")</f>
        <v/>
      </c>
      <c r="M945" s="105"/>
      <c r="N945" s="105" t="str">
        <f>IF(F945=True, IFERROR(VLOOKUP(D945, Repository!A:G, 7, 0), ""), "")</f>
        <v/>
      </c>
      <c r="O945" s="105" t="str">
        <f>IFERROR(__xludf.DUMMYFUNCTION("ARRAY_CONSTRAIN(
  ARRAYFORMULA(
    IFERROR(
      LET(
        list, N945,
        arr, TRIM(SPLIT(list, "","")),
        names, XLOOKUP(
          arr,
          'Conformance Score'!A:A,
          'Conformance Score'!B:B,
          ""Not found""
      "&amp;"  ),
        TEXTJOIN("", "", TRUE, names)
      ),
      """"
    )
  ),
  1,
  1
)
"),"")</f>
        <v/>
      </c>
      <c r="P945" s="105" t="str">
        <f>IF(F945="Yes", IFERROR(VLOOKUP(D945, Repository!A:F, 6, 0), ""), "")</f>
        <v/>
      </c>
      <c r="Q945" s="105" t="str">
        <f>IF(F945="Yes", IFERROR(VLOOKUP(D945, Repository!A:I, 8, 0), ""), "")</f>
        <v/>
      </c>
      <c r="R945" s="105" t="str">
        <f>IF(F945="Yes", IFERROR(VLOOKUP(D945, Repository!A:J, 9, 0), ""), "")</f>
        <v/>
      </c>
      <c r="S945" s="105"/>
      <c r="T945" s="105"/>
      <c r="U945" s="105"/>
      <c r="V945" s="105"/>
      <c r="W945" s="105"/>
      <c r="X945" s="105"/>
      <c r="Y945" s="105"/>
      <c r="Z945" s="105"/>
      <c r="AA945" s="105"/>
      <c r="AB945" s="105"/>
      <c r="AC945" s="91"/>
      <c r="AD945" s="105"/>
      <c r="AE945" s="105"/>
      <c r="AF945" s="91"/>
      <c r="AG945" s="105"/>
      <c r="AH945" s="105"/>
      <c r="AI945" s="105" t="str">
        <f t="shared" si="1"/>
        <v/>
      </c>
      <c r="AJ945" s="108" t="str">
        <f t="shared" si="2"/>
        <v/>
      </c>
    </row>
    <row r="946" ht="15.75" customHeight="1">
      <c r="A946" s="104"/>
      <c r="B946" s="105" t="str">
        <f>IFERROR(__xludf.DUMMYFUNCTION("ARRAY_CONSTRAIN(
  ARRAYFORMULA(
    IF(
      'Final Report'!A946="""",
      """",
      TEXTJOIN(
        "", "" &amp; CHAR(10),
        TRUE,
        IFERROR(
          VLOOKUP(
            TRIM(
              SPLIT('Final Report'!A946, "","")
           "&amp;" ),
            'URL Details'!A:B,
            2,
            FALSE
          ),
          """"
        )
      )
    )
  ),
  1,
  1
)
"),"")</f>
        <v/>
      </c>
      <c r="C946" s="105" t="str">
        <f>IFERROR(__xludf.DUMMYFUNCTION("IFERROR(IF('Final Report'!A946="""","""", TEXTJOIN(CHAR(10), TRUE, ARRAYFORMULA( ""• ""&amp; FILTER( TRIM(FLATTEN(SPLIT( REGEXREPLACE( SUBSTITUTE(TEXTJOIN("","", TRUE, IFERROR(ARRAYFORMULA(VLOOKUP(TRIM(SPLIT('Final Report'!A946, "","")), 'URL Details'!A:D, 4,"&amp;" FALSE)),"""") ), CHAR(10), "",""), ""\s*,\s*"", "",""), "",""))), TRIM(FLATTEN(SPLIT( REGEXREPLACE( SUBSTITUTE(TEXTJOIN("","", TRUE, IFERROR(ARRAYFORMULA(VLOOKUP(TRIM(SPLIT('Final Report'!A946, "","")), 'URL Details'!A:D, 4, FALSE)),"""") ), CHAR(10), """&amp;",""), ""\s*,\s*"", "",""), "","")))&lt;&gt;"""" ) ) ) ),"""")
"),"")</f>
        <v/>
      </c>
      <c r="D946" s="105"/>
      <c r="E946" s="105"/>
      <c r="F946" s="110" t="b">
        <v>0</v>
      </c>
      <c r="G946" s="105" t="str">
        <f>IF(F946=True, IFERROR(VLOOKUP(D946, Repository!A:B, 2, 0), ""), "")</f>
        <v/>
      </c>
      <c r="H946" s="105"/>
      <c r="I946" s="105"/>
      <c r="J946" s="105" t="str">
        <f>IF(F946=True, IFERROR(VLOOKUP(D946, Repository!A:C, 3, 0), ""), "")</f>
        <v/>
      </c>
      <c r="K946" s="105"/>
      <c r="L946" s="105" t="str">
        <f>IF(F946=True, IFERROR(VLOOKUP(D946, Repository!A:E, 5, 0), ""), "")</f>
        <v/>
      </c>
      <c r="M946" s="105"/>
      <c r="N946" s="105" t="str">
        <f>IF(F946=True, IFERROR(VLOOKUP(D946, Repository!A:G, 7, 0), ""), "")</f>
        <v/>
      </c>
      <c r="O946" s="105" t="str">
        <f>IFERROR(__xludf.DUMMYFUNCTION("ARRAY_CONSTRAIN(
  ARRAYFORMULA(
    IFERROR(
      LET(
        list, N946,
        arr, TRIM(SPLIT(list, "","")),
        names, XLOOKUP(
          arr,
          'Conformance Score'!A:A,
          'Conformance Score'!B:B,
          ""Not found""
      "&amp;"  ),
        TEXTJOIN("", "", TRUE, names)
      ),
      """"
    )
  ),
  1,
  1
)
"),"")</f>
        <v/>
      </c>
      <c r="P946" s="105" t="str">
        <f>IF(F946="Yes", IFERROR(VLOOKUP(D946, Repository!A:F, 6, 0), ""), "")</f>
        <v/>
      </c>
      <c r="Q946" s="105" t="str">
        <f>IF(F946="Yes", IFERROR(VLOOKUP(D946, Repository!A:I, 8, 0), ""), "")</f>
        <v/>
      </c>
      <c r="R946" s="105" t="str">
        <f>IF(F946="Yes", IFERROR(VLOOKUP(D946, Repository!A:J, 9, 0), ""), "")</f>
        <v/>
      </c>
      <c r="S946" s="105"/>
      <c r="T946" s="105"/>
      <c r="U946" s="105"/>
      <c r="V946" s="105"/>
      <c r="W946" s="105"/>
      <c r="X946" s="105"/>
      <c r="Y946" s="105"/>
      <c r="Z946" s="105"/>
      <c r="AA946" s="105"/>
      <c r="AB946" s="105"/>
      <c r="AC946" s="91"/>
      <c r="AD946" s="105"/>
      <c r="AE946" s="105"/>
      <c r="AF946" s="91"/>
      <c r="AG946" s="105"/>
      <c r="AH946" s="105"/>
      <c r="AI946" s="105" t="str">
        <f t="shared" si="1"/>
        <v/>
      </c>
      <c r="AJ946" s="108" t="str">
        <f t="shared" si="2"/>
        <v/>
      </c>
    </row>
    <row r="947" ht="15.75" customHeight="1">
      <c r="A947" s="104"/>
      <c r="B947" s="105" t="str">
        <f>IFERROR(__xludf.DUMMYFUNCTION("ARRAY_CONSTRAIN(
  ARRAYFORMULA(
    IF(
      'Final Report'!A947="""",
      """",
      TEXTJOIN(
        "", "" &amp; CHAR(10),
        TRUE,
        IFERROR(
          VLOOKUP(
            TRIM(
              SPLIT('Final Report'!A947, "","")
           "&amp;" ),
            'URL Details'!A:B,
            2,
            FALSE
          ),
          """"
        )
      )
    )
  ),
  1,
  1
)
"),"")</f>
        <v/>
      </c>
      <c r="C947" s="105" t="str">
        <f>IFERROR(__xludf.DUMMYFUNCTION("IFERROR(IF('Final Report'!A947="""","""", TEXTJOIN(CHAR(10), TRUE, ARRAYFORMULA( ""• ""&amp; FILTER( TRIM(FLATTEN(SPLIT( REGEXREPLACE( SUBSTITUTE(TEXTJOIN("","", TRUE, IFERROR(ARRAYFORMULA(VLOOKUP(TRIM(SPLIT('Final Report'!A947, "","")), 'URL Details'!A:D, 4,"&amp;" FALSE)),"""") ), CHAR(10), "",""), ""\s*,\s*"", "",""), "",""))), TRIM(FLATTEN(SPLIT( REGEXREPLACE( SUBSTITUTE(TEXTJOIN("","", TRUE, IFERROR(ARRAYFORMULA(VLOOKUP(TRIM(SPLIT('Final Report'!A947, "","")), 'URL Details'!A:D, 4, FALSE)),"""") ), CHAR(10), """&amp;",""), ""\s*,\s*"", "",""), "","")))&lt;&gt;"""" ) ) ) ),"""")
"),"")</f>
        <v/>
      </c>
      <c r="D947" s="105"/>
      <c r="E947" s="105"/>
      <c r="F947" s="110" t="b">
        <v>0</v>
      </c>
      <c r="G947" s="105" t="str">
        <f>IF(F947=True, IFERROR(VLOOKUP(D947, Repository!A:B, 2, 0), ""), "")</f>
        <v/>
      </c>
      <c r="H947" s="105"/>
      <c r="I947" s="105"/>
      <c r="J947" s="105" t="str">
        <f>IF(F947=True, IFERROR(VLOOKUP(D947, Repository!A:C, 3, 0), ""), "")</f>
        <v/>
      </c>
      <c r="K947" s="105"/>
      <c r="L947" s="105" t="str">
        <f>IF(F947=True, IFERROR(VLOOKUP(D947, Repository!A:E, 5, 0), ""), "")</f>
        <v/>
      </c>
      <c r="M947" s="105"/>
      <c r="N947" s="105" t="str">
        <f>IF(F947=True, IFERROR(VLOOKUP(D947, Repository!A:G, 7, 0), ""), "")</f>
        <v/>
      </c>
      <c r="O947" s="105" t="str">
        <f>IFERROR(__xludf.DUMMYFUNCTION("ARRAY_CONSTRAIN(
  ARRAYFORMULA(
    IFERROR(
      LET(
        list, N947,
        arr, TRIM(SPLIT(list, "","")),
        names, XLOOKUP(
          arr,
          'Conformance Score'!A:A,
          'Conformance Score'!B:B,
          ""Not found""
      "&amp;"  ),
        TEXTJOIN("", "", TRUE, names)
      ),
      """"
    )
  ),
  1,
  1
)
"),"")</f>
        <v/>
      </c>
      <c r="P947" s="105" t="str">
        <f>IF(F947="Yes", IFERROR(VLOOKUP(D947, Repository!A:F, 6, 0), ""), "")</f>
        <v/>
      </c>
      <c r="Q947" s="105" t="str">
        <f>IF(F947="Yes", IFERROR(VLOOKUP(D947, Repository!A:I, 8, 0), ""), "")</f>
        <v/>
      </c>
      <c r="R947" s="105" t="str">
        <f>IF(F947="Yes", IFERROR(VLOOKUP(D947, Repository!A:J, 9, 0), ""), "")</f>
        <v/>
      </c>
      <c r="S947" s="105"/>
      <c r="T947" s="105"/>
      <c r="U947" s="105"/>
      <c r="V947" s="105"/>
      <c r="W947" s="105"/>
      <c r="X947" s="105"/>
      <c r="Y947" s="105"/>
      <c r="Z947" s="105"/>
      <c r="AA947" s="105"/>
      <c r="AB947" s="105"/>
      <c r="AC947" s="91"/>
      <c r="AD947" s="105"/>
      <c r="AE947" s="105"/>
      <c r="AF947" s="91"/>
      <c r="AG947" s="105"/>
      <c r="AH947" s="105"/>
      <c r="AI947" s="105" t="str">
        <f t="shared" si="1"/>
        <v/>
      </c>
      <c r="AJ947" s="108" t="str">
        <f t="shared" si="2"/>
        <v/>
      </c>
    </row>
    <row r="948" ht="15.75" customHeight="1">
      <c r="A948" s="104"/>
      <c r="B948" s="105" t="str">
        <f>IFERROR(__xludf.DUMMYFUNCTION("ARRAY_CONSTRAIN(
  ARRAYFORMULA(
    IF(
      'Final Report'!A948="""",
      """",
      TEXTJOIN(
        "", "" &amp; CHAR(10),
        TRUE,
        IFERROR(
          VLOOKUP(
            TRIM(
              SPLIT('Final Report'!A948, "","")
           "&amp;" ),
            'URL Details'!A:B,
            2,
            FALSE
          ),
          """"
        )
      )
    )
  ),
  1,
  1
)
"),"")</f>
        <v/>
      </c>
      <c r="C948" s="105" t="str">
        <f>IFERROR(__xludf.DUMMYFUNCTION("IFERROR(IF('Final Report'!A948="""","""", TEXTJOIN(CHAR(10), TRUE, ARRAYFORMULA( ""• ""&amp; FILTER( TRIM(FLATTEN(SPLIT( REGEXREPLACE( SUBSTITUTE(TEXTJOIN("","", TRUE, IFERROR(ARRAYFORMULA(VLOOKUP(TRIM(SPLIT('Final Report'!A948, "","")), 'URL Details'!A:D, 4,"&amp;" FALSE)),"""") ), CHAR(10), "",""), ""\s*,\s*"", "",""), "",""))), TRIM(FLATTEN(SPLIT( REGEXREPLACE( SUBSTITUTE(TEXTJOIN("","", TRUE, IFERROR(ARRAYFORMULA(VLOOKUP(TRIM(SPLIT('Final Report'!A948, "","")), 'URL Details'!A:D, 4, FALSE)),"""") ), CHAR(10), """&amp;",""), ""\s*,\s*"", "",""), "","")))&lt;&gt;"""" ) ) ) ),"""")
"),"")</f>
        <v/>
      </c>
      <c r="D948" s="105"/>
      <c r="E948" s="105"/>
      <c r="F948" s="110" t="b">
        <v>0</v>
      </c>
      <c r="G948" s="105" t="str">
        <f>IF(F948=True, IFERROR(VLOOKUP(D948, Repository!A:B, 2, 0), ""), "")</f>
        <v/>
      </c>
      <c r="H948" s="105"/>
      <c r="I948" s="105"/>
      <c r="J948" s="105" t="str">
        <f>IF(F948=True, IFERROR(VLOOKUP(D948, Repository!A:C, 3, 0), ""), "")</f>
        <v/>
      </c>
      <c r="K948" s="105"/>
      <c r="L948" s="105" t="str">
        <f>IF(F948=True, IFERROR(VLOOKUP(D948, Repository!A:E, 5, 0), ""), "")</f>
        <v/>
      </c>
      <c r="M948" s="105"/>
      <c r="N948" s="105" t="str">
        <f>IF(F948=True, IFERROR(VLOOKUP(D948, Repository!A:G, 7, 0), ""), "")</f>
        <v/>
      </c>
      <c r="O948" s="105" t="str">
        <f>IFERROR(__xludf.DUMMYFUNCTION("ARRAY_CONSTRAIN(
  ARRAYFORMULA(
    IFERROR(
      LET(
        list, N948,
        arr, TRIM(SPLIT(list, "","")),
        names, XLOOKUP(
          arr,
          'Conformance Score'!A:A,
          'Conformance Score'!B:B,
          ""Not found""
      "&amp;"  ),
        TEXTJOIN("", "", TRUE, names)
      ),
      """"
    )
  ),
  1,
  1
)
"),"")</f>
        <v/>
      </c>
      <c r="P948" s="105" t="str">
        <f>IF(F948="Yes", IFERROR(VLOOKUP(D948, Repository!A:F, 6, 0), ""), "")</f>
        <v/>
      </c>
      <c r="Q948" s="105" t="str">
        <f>IF(F948="Yes", IFERROR(VLOOKUP(D948, Repository!A:I, 8, 0), ""), "")</f>
        <v/>
      </c>
      <c r="R948" s="105" t="str">
        <f>IF(F948="Yes", IFERROR(VLOOKUP(D948, Repository!A:J, 9, 0), ""), "")</f>
        <v/>
      </c>
      <c r="S948" s="105"/>
      <c r="T948" s="105"/>
      <c r="U948" s="105"/>
      <c r="V948" s="105"/>
      <c r="W948" s="105"/>
      <c r="X948" s="105"/>
      <c r="Y948" s="105"/>
      <c r="Z948" s="105"/>
      <c r="AA948" s="105"/>
      <c r="AB948" s="105"/>
      <c r="AC948" s="91"/>
      <c r="AD948" s="105"/>
      <c r="AE948" s="105"/>
      <c r="AF948" s="91"/>
      <c r="AG948" s="105"/>
      <c r="AH948" s="105"/>
      <c r="AI948" s="105" t="str">
        <f t="shared" si="1"/>
        <v/>
      </c>
      <c r="AJ948" s="108" t="str">
        <f t="shared" si="2"/>
        <v/>
      </c>
    </row>
    <row r="949" ht="15.75" customHeight="1">
      <c r="A949" s="104"/>
      <c r="B949" s="105" t="str">
        <f>IFERROR(__xludf.DUMMYFUNCTION("ARRAY_CONSTRAIN(
  ARRAYFORMULA(
    IF(
      'Final Report'!A949="""",
      """",
      TEXTJOIN(
        "", "" &amp; CHAR(10),
        TRUE,
        IFERROR(
          VLOOKUP(
            TRIM(
              SPLIT('Final Report'!A949, "","")
           "&amp;" ),
            'URL Details'!A:B,
            2,
            FALSE
          ),
          """"
        )
      )
    )
  ),
  1,
  1
)
"),"")</f>
        <v/>
      </c>
      <c r="C949" s="105" t="str">
        <f>IFERROR(__xludf.DUMMYFUNCTION("IFERROR(IF('Final Report'!A949="""","""", TEXTJOIN(CHAR(10), TRUE, ARRAYFORMULA( ""• ""&amp; FILTER( TRIM(FLATTEN(SPLIT( REGEXREPLACE( SUBSTITUTE(TEXTJOIN("","", TRUE, IFERROR(ARRAYFORMULA(VLOOKUP(TRIM(SPLIT('Final Report'!A949, "","")), 'URL Details'!A:D, 4,"&amp;" FALSE)),"""") ), CHAR(10), "",""), ""\s*,\s*"", "",""), "",""))), TRIM(FLATTEN(SPLIT( REGEXREPLACE( SUBSTITUTE(TEXTJOIN("","", TRUE, IFERROR(ARRAYFORMULA(VLOOKUP(TRIM(SPLIT('Final Report'!A949, "","")), 'URL Details'!A:D, 4, FALSE)),"""") ), CHAR(10), """&amp;",""), ""\s*,\s*"", "",""), "","")))&lt;&gt;"""" ) ) ) ),"""")
"),"")</f>
        <v/>
      </c>
      <c r="D949" s="105"/>
      <c r="E949" s="105"/>
      <c r="F949" s="110" t="b">
        <v>0</v>
      </c>
      <c r="G949" s="105" t="str">
        <f>IF(F949=True, IFERROR(VLOOKUP(D949, Repository!A:B, 2, 0), ""), "")</f>
        <v/>
      </c>
      <c r="H949" s="105"/>
      <c r="I949" s="105"/>
      <c r="J949" s="105" t="str">
        <f>IF(F949=True, IFERROR(VLOOKUP(D949, Repository!A:C, 3, 0), ""), "")</f>
        <v/>
      </c>
      <c r="K949" s="105"/>
      <c r="L949" s="105" t="str">
        <f>IF(F949=True, IFERROR(VLOOKUP(D949, Repository!A:E, 5, 0), ""), "")</f>
        <v/>
      </c>
      <c r="M949" s="105"/>
      <c r="N949" s="105" t="str">
        <f>IF(F949=True, IFERROR(VLOOKUP(D949, Repository!A:G, 7, 0), ""), "")</f>
        <v/>
      </c>
      <c r="O949" s="105" t="str">
        <f>IFERROR(__xludf.DUMMYFUNCTION("ARRAY_CONSTRAIN(
  ARRAYFORMULA(
    IFERROR(
      LET(
        list, N949,
        arr, TRIM(SPLIT(list, "","")),
        names, XLOOKUP(
          arr,
          'Conformance Score'!A:A,
          'Conformance Score'!B:B,
          ""Not found""
      "&amp;"  ),
        TEXTJOIN("", "", TRUE, names)
      ),
      """"
    )
  ),
  1,
  1
)
"),"")</f>
        <v/>
      </c>
      <c r="P949" s="105" t="str">
        <f>IF(F949="Yes", IFERROR(VLOOKUP(D949, Repository!A:F, 6, 0), ""), "")</f>
        <v/>
      </c>
      <c r="Q949" s="105" t="str">
        <f>IF(F949="Yes", IFERROR(VLOOKUP(D949, Repository!A:I, 8, 0), ""), "")</f>
        <v/>
      </c>
      <c r="R949" s="105" t="str">
        <f>IF(F949="Yes", IFERROR(VLOOKUP(D949, Repository!A:J, 9, 0), ""), "")</f>
        <v/>
      </c>
      <c r="S949" s="105"/>
      <c r="T949" s="105"/>
      <c r="U949" s="105"/>
      <c r="V949" s="105"/>
      <c r="W949" s="105"/>
      <c r="X949" s="105"/>
      <c r="Y949" s="105"/>
      <c r="Z949" s="105"/>
      <c r="AA949" s="105"/>
      <c r="AB949" s="105"/>
      <c r="AC949" s="91"/>
      <c r="AD949" s="105"/>
      <c r="AE949" s="105"/>
      <c r="AF949" s="91"/>
      <c r="AG949" s="105"/>
      <c r="AH949" s="105"/>
      <c r="AI949" s="105" t="str">
        <f t="shared" si="1"/>
        <v/>
      </c>
      <c r="AJ949" s="108" t="str">
        <f t="shared" si="2"/>
        <v/>
      </c>
    </row>
    <row r="950" ht="15.75" customHeight="1">
      <c r="A950" s="104"/>
      <c r="B950" s="105" t="str">
        <f>IFERROR(__xludf.DUMMYFUNCTION("ARRAY_CONSTRAIN(
  ARRAYFORMULA(
    IF(
      'Final Report'!A950="""",
      """",
      TEXTJOIN(
        "", "" &amp; CHAR(10),
        TRUE,
        IFERROR(
          VLOOKUP(
            TRIM(
              SPLIT('Final Report'!A950, "","")
           "&amp;" ),
            'URL Details'!A:B,
            2,
            FALSE
          ),
          """"
        )
      )
    )
  ),
  1,
  1
)
"),"")</f>
        <v/>
      </c>
      <c r="C950" s="105" t="str">
        <f>IFERROR(__xludf.DUMMYFUNCTION("IFERROR(IF('Final Report'!A950="""","""", TEXTJOIN(CHAR(10), TRUE, ARRAYFORMULA( ""• ""&amp; FILTER( TRIM(FLATTEN(SPLIT( REGEXREPLACE( SUBSTITUTE(TEXTJOIN("","", TRUE, IFERROR(ARRAYFORMULA(VLOOKUP(TRIM(SPLIT('Final Report'!A950, "","")), 'URL Details'!A:D, 4,"&amp;" FALSE)),"""") ), CHAR(10), "",""), ""\s*,\s*"", "",""), "",""))), TRIM(FLATTEN(SPLIT( REGEXREPLACE( SUBSTITUTE(TEXTJOIN("","", TRUE, IFERROR(ARRAYFORMULA(VLOOKUP(TRIM(SPLIT('Final Report'!A950, "","")), 'URL Details'!A:D, 4, FALSE)),"""") ), CHAR(10), """&amp;",""), ""\s*,\s*"", "",""), "","")))&lt;&gt;"""" ) ) ) ),"""")
"),"")</f>
        <v/>
      </c>
      <c r="D950" s="105"/>
      <c r="E950" s="105"/>
      <c r="F950" s="110" t="b">
        <v>0</v>
      </c>
      <c r="G950" s="105" t="str">
        <f>IF(F950=True, IFERROR(VLOOKUP(D950, Repository!A:B, 2, 0), ""), "")</f>
        <v/>
      </c>
      <c r="H950" s="105"/>
      <c r="I950" s="105"/>
      <c r="J950" s="105" t="str">
        <f>IF(F950=True, IFERROR(VLOOKUP(D950, Repository!A:C, 3, 0), ""), "")</f>
        <v/>
      </c>
      <c r="K950" s="105"/>
      <c r="L950" s="105" t="str">
        <f>IF(F950=True, IFERROR(VLOOKUP(D950, Repository!A:E, 5, 0), ""), "")</f>
        <v/>
      </c>
      <c r="M950" s="105"/>
      <c r="N950" s="105" t="str">
        <f>IF(F950=True, IFERROR(VLOOKUP(D950, Repository!A:G, 7, 0), ""), "")</f>
        <v/>
      </c>
      <c r="O950" s="105" t="str">
        <f>IFERROR(__xludf.DUMMYFUNCTION("ARRAY_CONSTRAIN(
  ARRAYFORMULA(
    IFERROR(
      LET(
        list, N950,
        arr, TRIM(SPLIT(list, "","")),
        names, XLOOKUP(
          arr,
          'Conformance Score'!A:A,
          'Conformance Score'!B:B,
          ""Not found""
      "&amp;"  ),
        TEXTJOIN("", "", TRUE, names)
      ),
      """"
    )
  ),
  1,
  1
)
"),"")</f>
        <v/>
      </c>
      <c r="P950" s="105" t="str">
        <f>IF(F950="Yes", IFERROR(VLOOKUP(D950, Repository!A:F, 6, 0), ""), "")</f>
        <v/>
      </c>
      <c r="Q950" s="105" t="str">
        <f>IF(F950="Yes", IFERROR(VLOOKUP(D950, Repository!A:I, 8, 0), ""), "")</f>
        <v/>
      </c>
      <c r="R950" s="105" t="str">
        <f>IF(F950="Yes", IFERROR(VLOOKUP(D950, Repository!A:J, 9, 0), ""), "")</f>
        <v/>
      </c>
      <c r="S950" s="105"/>
      <c r="T950" s="105"/>
      <c r="U950" s="105"/>
      <c r="V950" s="105"/>
      <c r="W950" s="105"/>
      <c r="X950" s="105"/>
      <c r="Y950" s="105"/>
      <c r="Z950" s="105"/>
      <c r="AA950" s="105"/>
      <c r="AB950" s="105"/>
      <c r="AC950" s="91"/>
      <c r="AD950" s="105"/>
      <c r="AE950" s="105"/>
      <c r="AF950" s="91"/>
      <c r="AG950" s="105"/>
      <c r="AH950" s="105"/>
      <c r="AI950" s="105" t="str">
        <f t="shared" si="1"/>
        <v/>
      </c>
      <c r="AJ950" s="108" t="str">
        <f t="shared" si="2"/>
        <v/>
      </c>
    </row>
    <row r="951" ht="15.75" customHeight="1">
      <c r="A951" s="104"/>
      <c r="B951" s="105" t="str">
        <f>IFERROR(__xludf.DUMMYFUNCTION("ARRAY_CONSTRAIN(
  ARRAYFORMULA(
    IF(
      'Final Report'!A951="""",
      """",
      TEXTJOIN(
        "", "" &amp; CHAR(10),
        TRUE,
        IFERROR(
          VLOOKUP(
            TRIM(
              SPLIT('Final Report'!A951, "","")
           "&amp;" ),
            'URL Details'!A:B,
            2,
            FALSE
          ),
          """"
        )
      )
    )
  ),
  1,
  1
)
"),"")</f>
        <v/>
      </c>
      <c r="C951" s="105" t="str">
        <f>IFERROR(__xludf.DUMMYFUNCTION("IFERROR(IF('Final Report'!A951="""","""", TEXTJOIN(CHAR(10), TRUE, ARRAYFORMULA( ""• ""&amp; FILTER( TRIM(FLATTEN(SPLIT( REGEXREPLACE( SUBSTITUTE(TEXTJOIN("","", TRUE, IFERROR(ARRAYFORMULA(VLOOKUP(TRIM(SPLIT('Final Report'!A951, "","")), 'URL Details'!A:D, 4,"&amp;" FALSE)),"""") ), CHAR(10), "",""), ""\s*,\s*"", "",""), "",""))), TRIM(FLATTEN(SPLIT( REGEXREPLACE( SUBSTITUTE(TEXTJOIN("","", TRUE, IFERROR(ARRAYFORMULA(VLOOKUP(TRIM(SPLIT('Final Report'!A951, "","")), 'URL Details'!A:D, 4, FALSE)),"""") ), CHAR(10), """&amp;",""), ""\s*,\s*"", "",""), "","")))&lt;&gt;"""" ) ) ) ),"""")
"),"")</f>
        <v/>
      </c>
      <c r="D951" s="105"/>
      <c r="E951" s="105"/>
      <c r="F951" s="110" t="b">
        <v>0</v>
      </c>
      <c r="G951" s="105" t="str">
        <f>IF(F951=True, IFERROR(VLOOKUP(D951, Repository!A:B, 2, 0), ""), "")</f>
        <v/>
      </c>
      <c r="H951" s="105"/>
      <c r="I951" s="105"/>
      <c r="J951" s="105" t="str">
        <f>IF(F951=True, IFERROR(VLOOKUP(D951, Repository!A:C, 3, 0), ""), "")</f>
        <v/>
      </c>
      <c r="K951" s="105"/>
      <c r="L951" s="105" t="str">
        <f>IF(F951=True, IFERROR(VLOOKUP(D951, Repository!A:E, 5, 0), ""), "")</f>
        <v/>
      </c>
      <c r="M951" s="105"/>
      <c r="N951" s="105" t="str">
        <f>IF(F951=True, IFERROR(VLOOKUP(D951, Repository!A:G, 7, 0), ""), "")</f>
        <v/>
      </c>
      <c r="O951" s="105" t="str">
        <f>IFERROR(__xludf.DUMMYFUNCTION("ARRAY_CONSTRAIN(
  ARRAYFORMULA(
    IFERROR(
      LET(
        list, N951,
        arr, TRIM(SPLIT(list, "","")),
        names, XLOOKUP(
          arr,
          'Conformance Score'!A:A,
          'Conformance Score'!B:B,
          ""Not found""
      "&amp;"  ),
        TEXTJOIN("", "", TRUE, names)
      ),
      """"
    )
  ),
  1,
  1
)
"),"")</f>
        <v/>
      </c>
      <c r="P951" s="105" t="str">
        <f>IF(F951="Yes", IFERROR(VLOOKUP(D951, Repository!A:F, 6, 0), ""), "")</f>
        <v/>
      </c>
      <c r="Q951" s="105" t="str">
        <f>IF(F951="Yes", IFERROR(VLOOKUP(D951, Repository!A:I, 8, 0), ""), "")</f>
        <v/>
      </c>
      <c r="R951" s="105" t="str">
        <f>IF(F951="Yes", IFERROR(VLOOKUP(D951, Repository!A:J, 9, 0), ""), "")</f>
        <v/>
      </c>
      <c r="S951" s="105"/>
      <c r="T951" s="105"/>
      <c r="U951" s="105"/>
      <c r="V951" s="105"/>
      <c r="W951" s="105"/>
      <c r="X951" s="105"/>
      <c r="Y951" s="105"/>
      <c r="Z951" s="105"/>
      <c r="AA951" s="105"/>
      <c r="AB951" s="105"/>
      <c r="AC951" s="91"/>
      <c r="AD951" s="105"/>
      <c r="AE951" s="105"/>
      <c r="AF951" s="91"/>
      <c r="AG951" s="105"/>
      <c r="AH951" s="105"/>
      <c r="AI951" s="105" t="str">
        <f t="shared" si="1"/>
        <v/>
      </c>
      <c r="AJ951" s="108" t="str">
        <f t="shared" si="2"/>
        <v/>
      </c>
    </row>
    <row r="952" ht="15.75" customHeight="1">
      <c r="A952" s="104"/>
      <c r="B952" s="105" t="str">
        <f>IFERROR(__xludf.DUMMYFUNCTION("ARRAY_CONSTRAIN(
  ARRAYFORMULA(
    IF(
      'Final Report'!A952="""",
      """",
      TEXTJOIN(
        "", "" &amp; CHAR(10),
        TRUE,
        IFERROR(
          VLOOKUP(
            TRIM(
              SPLIT('Final Report'!A952, "","")
           "&amp;" ),
            'URL Details'!A:B,
            2,
            FALSE
          ),
          """"
        )
      )
    )
  ),
  1,
  1
)
"),"")</f>
        <v/>
      </c>
      <c r="C952" s="105" t="str">
        <f>IFERROR(__xludf.DUMMYFUNCTION("IFERROR(IF('Final Report'!A952="""","""", TEXTJOIN(CHAR(10), TRUE, ARRAYFORMULA( ""• ""&amp; FILTER( TRIM(FLATTEN(SPLIT( REGEXREPLACE( SUBSTITUTE(TEXTJOIN("","", TRUE, IFERROR(ARRAYFORMULA(VLOOKUP(TRIM(SPLIT('Final Report'!A952, "","")), 'URL Details'!A:D, 4,"&amp;" FALSE)),"""") ), CHAR(10), "",""), ""\s*,\s*"", "",""), "",""))), TRIM(FLATTEN(SPLIT( REGEXREPLACE( SUBSTITUTE(TEXTJOIN("","", TRUE, IFERROR(ARRAYFORMULA(VLOOKUP(TRIM(SPLIT('Final Report'!A952, "","")), 'URL Details'!A:D, 4, FALSE)),"""") ), CHAR(10), """&amp;",""), ""\s*,\s*"", "",""), "","")))&lt;&gt;"""" ) ) ) ),"""")
"),"")</f>
        <v/>
      </c>
      <c r="D952" s="105"/>
      <c r="E952" s="105"/>
      <c r="F952" s="110" t="b">
        <v>0</v>
      </c>
      <c r="G952" s="105" t="str">
        <f>IF(F952=True, IFERROR(VLOOKUP(D952, Repository!A:B, 2, 0), ""), "")</f>
        <v/>
      </c>
      <c r="H952" s="105"/>
      <c r="I952" s="105"/>
      <c r="J952" s="105" t="str">
        <f>IF(F952=True, IFERROR(VLOOKUP(D952, Repository!A:C, 3, 0), ""), "")</f>
        <v/>
      </c>
      <c r="K952" s="105"/>
      <c r="L952" s="105" t="str">
        <f>IF(F952=True, IFERROR(VLOOKUP(D952, Repository!A:E, 5, 0), ""), "")</f>
        <v/>
      </c>
      <c r="M952" s="105"/>
      <c r="N952" s="105" t="str">
        <f>IF(F952=True, IFERROR(VLOOKUP(D952, Repository!A:G, 7, 0), ""), "")</f>
        <v/>
      </c>
      <c r="O952" s="105" t="str">
        <f>IFERROR(__xludf.DUMMYFUNCTION("ARRAY_CONSTRAIN(
  ARRAYFORMULA(
    IFERROR(
      LET(
        list, N952,
        arr, TRIM(SPLIT(list, "","")),
        names, XLOOKUP(
          arr,
          'Conformance Score'!A:A,
          'Conformance Score'!B:B,
          ""Not found""
      "&amp;"  ),
        TEXTJOIN("", "", TRUE, names)
      ),
      """"
    )
  ),
  1,
  1
)
"),"")</f>
        <v/>
      </c>
      <c r="P952" s="105" t="str">
        <f>IF(F952="Yes", IFERROR(VLOOKUP(D952, Repository!A:F, 6, 0), ""), "")</f>
        <v/>
      </c>
      <c r="Q952" s="105" t="str">
        <f>IF(F952="Yes", IFERROR(VLOOKUP(D952, Repository!A:I, 8, 0), ""), "")</f>
        <v/>
      </c>
      <c r="R952" s="105" t="str">
        <f>IF(F952="Yes", IFERROR(VLOOKUP(D952, Repository!A:J, 9, 0), ""), "")</f>
        <v/>
      </c>
      <c r="S952" s="105"/>
      <c r="T952" s="105"/>
      <c r="U952" s="105"/>
      <c r="V952" s="105"/>
      <c r="W952" s="105"/>
      <c r="X952" s="105"/>
      <c r="Y952" s="105"/>
      <c r="Z952" s="105"/>
      <c r="AA952" s="105"/>
      <c r="AB952" s="105"/>
      <c r="AC952" s="91"/>
      <c r="AD952" s="105"/>
      <c r="AE952" s="105"/>
      <c r="AF952" s="91"/>
      <c r="AG952" s="105"/>
      <c r="AH952" s="105"/>
      <c r="AI952" s="105" t="str">
        <f t="shared" si="1"/>
        <v/>
      </c>
      <c r="AJ952" s="108" t="str">
        <f t="shared" si="2"/>
        <v/>
      </c>
    </row>
    <row r="953" ht="15.75" customHeight="1">
      <c r="A953" s="104"/>
      <c r="B953" s="105" t="str">
        <f>IFERROR(__xludf.DUMMYFUNCTION("ARRAY_CONSTRAIN(
  ARRAYFORMULA(
    IF(
      'Final Report'!A953="""",
      """",
      TEXTJOIN(
        "", "" &amp; CHAR(10),
        TRUE,
        IFERROR(
          VLOOKUP(
            TRIM(
              SPLIT('Final Report'!A953, "","")
           "&amp;" ),
            'URL Details'!A:B,
            2,
            FALSE
          ),
          """"
        )
      )
    )
  ),
  1,
  1
)
"),"")</f>
        <v/>
      </c>
      <c r="C953" s="105" t="str">
        <f>IFERROR(__xludf.DUMMYFUNCTION("IFERROR(IF('Final Report'!A953="""","""", TEXTJOIN(CHAR(10), TRUE, ARRAYFORMULA( ""• ""&amp; FILTER( TRIM(FLATTEN(SPLIT( REGEXREPLACE( SUBSTITUTE(TEXTJOIN("","", TRUE, IFERROR(ARRAYFORMULA(VLOOKUP(TRIM(SPLIT('Final Report'!A953, "","")), 'URL Details'!A:D, 4,"&amp;" FALSE)),"""") ), CHAR(10), "",""), ""\s*,\s*"", "",""), "",""))), TRIM(FLATTEN(SPLIT( REGEXREPLACE( SUBSTITUTE(TEXTJOIN("","", TRUE, IFERROR(ARRAYFORMULA(VLOOKUP(TRIM(SPLIT('Final Report'!A953, "","")), 'URL Details'!A:D, 4, FALSE)),"""") ), CHAR(10), """&amp;",""), ""\s*,\s*"", "",""), "","")))&lt;&gt;"""" ) ) ) ),"""")
"),"")</f>
        <v/>
      </c>
      <c r="D953" s="105"/>
      <c r="E953" s="105"/>
      <c r="F953" s="110" t="b">
        <v>0</v>
      </c>
      <c r="G953" s="105" t="str">
        <f>IF(F953=True, IFERROR(VLOOKUP(D953, Repository!A:B, 2, 0), ""), "")</f>
        <v/>
      </c>
      <c r="H953" s="105"/>
      <c r="I953" s="105"/>
      <c r="J953" s="105" t="str">
        <f>IF(F953=True, IFERROR(VLOOKUP(D953, Repository!A:C, 3, 0), ""), "")</f>
        <v/>
      </c>
      <c r="K953" s="105"/>
      <c r="L953" s="105" t="str">
        <f>IF(F953=True, IFERROR(VLOOKUP(D953, Repository!A:E, 5, 0), ""), "")</f>
        <v/>
      </c>
      <c r="M953" s="105"/>
      <c r="N953" s="105" t="str">
        <f>IF(F953=True, IFERROR(VLOOKUP(D953, Repository!A:G, 7, 0), ""), "")</f>
        <v/>
      </c>
      <c r="O953" s="105" t="str">
        <f>IFERROR(__xludf.DUMMYFUNCTION("ARRAY_CONSTRAIN(
  ARRAYFORMULA(
    IFERROR(
      LET(
        list, N953,
        arr, TRIM(SPLIT(list, "","")),
        names, XLOOKUP(
          arr,
          'Conformance Score'!A:A,
          'Conformance Score'!B:B,
          ""Not found""
      "&amp;"  ),
        TEXTJOIN("", "", TRUE, names)
      ),
      """"
    )
  ),
  1,
  1
)
"),"")</f>
        <v/>
      </c>
      <c r="P953" s="105" t="str">
        <f>IF(F953="Yes", IFERROR(VLOOKUP(D953, Repository!A:F, 6, 0), ""), "")</f>
        <v/>
      </c>
      <c r="Q953" s="105" t="str">
        <f>IF(F953="Yes", IFERROR(VLOOKUP(D953, Repository!A:I, 8, 0), ""), "")</f>
        <v/>
      </c>
      <c r="R953" s="105" t="str">
        <f>IF(F953="Yes", IFERROR(VLOOKUP(D953, Repository!A:J, 9, 0), ""), "")</f>
        <v/>
      </c>
      <c r="S953" s="105"/>
      <c r="T953" s="105"/>
      <c r="U953" s="105"/>
      <c r="V953" s="105"/>
      <c r="W953" s="105"/>
      <c r="X953" s="105"/>
      <c r="Y953" s="105"/>
      <c r="Z953" s="105"/>
      <c r="AA953" s="105"/>
      <c r="AB953" s="105"/>
      <c r="AC953" s="91"/>
      <c r="AD953" s="105"/>
      <c r="AE953" s="105"/>
      <c r="AF953" s="91"/>
      <c r="AG953" s="105"/>
      <c r="AH953" s="105"/>
      <c r="AI953" s="105" t="str">
        <f t="shared" si="1"/>
        <v/>
      </c>
      <c r="AJ953" s="108" t="str">
        <f t="shared" si="2"/>
        <v/>
      </c>
    </row>
    <row r="954" ht="15.75" customHeight="1">
      <c r="A954" s="104"/>
      <c r="B954" s="105" t="str">
        <f>IFERROR(__xludf.DUMMYFUNCTION("ARRAY_CONSTRAIN(
  ARRAYFORMULA(
    IF(
      'Final Report'!A954="""",
      """",
      TEXTJOIN(
        "", "" &amp; CHAR(10),
        TRUE,
        IFERROR(
          VLOOKUP(
            TRIM(
              SPLIT('Final Report'!A954, "","")
           "&amp;" ),
            'URL Details'!A:B,
            2,
            FALSE
          ),
          """"
        )
      )
    )
  ),
  1,
  1
)
"),"")</f>
        <v/>
      </c>
      <c r="C954" s="105" t="str">
        <f>IFERROR(__xludf.DUMMYFUNCTION("IFERROR(IF('Final Report'!A954="""","""", TEXTJOIN(CHAR(10), TRUE, ARRAYFORMULA( ""• ""&amp; FILTER( TRIM(FLATTEN(SPLIT( REGEXREPLACE( SUBSTITUTE(TEXTJOIN("","", TRUE, IFERROR(ARRAYFORMULA(VLOOKUP(TRIM(SPLIT('Final Report'!A954, "","")), 'URL Details'!A:D, 4,"&amp;" FALSE)),"""") ), CHAR(10), "",""), ""\s*,\s*"", "",""), "",""))), TRIM(FLATTEN(SPLIT( REGEXREPLACE( SUBSTITUTE(TEXTJOIN("","", TRUE, IFERROR(ARRAYFORMULA(VLOOKUP(TRIM(SPLIT('Final Report'!A954, "","")), 'URL Details'!A:D, 4, FALSE)),"""") ), CHAR(10), """&amp;",""), ""\s*,\s*"", "",""), "","")))&lt;&gt;"""" ) ) ) ),"""")
"),"")</f>
        <v/>
      </c>
      <c r="D954" s="105"/>
      <c r="E954" s="105"/>
      <c r="F954" s="110" t="b">
        <v>0</v>
      </c>
      <c r="G954" s="105" t="str">
        <f>IF(F954=True, IFERROR(VLOOKUP(D954, Repository!A:B, 2, 0), ""), "")</f>
        <v/>
      </c>
      <c r="H954" s="105"/>
      <c r="I954" s="105"/>
      <c r="J954" s="105" t="str">
        <f>IF(F954=True, IFERROR(VLOOKUP(D954, Repository!A:C, 3, 0), ""), "")</f>
        <v/>
      </c>
      <c r="K954" s="105"/>
      <c r="L954" s="105" t="str">
        <f>IF(F954=True, IFERROR(VLOOKUP(D954, Repository!A:E, 5, 0), ""), "")</f>
        <v/>
      </c>
      <c r="M954" s="105"/>
      <c r="N954" s="105" t="str">
        <f>IF(F954=True, IFERROR(VLOOKUP(D954, Repository!A:G, 7, 0), ""), "")</f>
        <v/>
      </c>
      <c r="O954" s="105" t="str">
        <f>IFERROR(__xludf.DUMMYFUNCTION("ARRAY_CONSTRAIN(
  ARRAYFORMULA(
    IFERROR(
      LET(
        list, N954,
        arr, TRIM(SPLIT(list, "","")),
        names, XLOOKUP(
          arr,
          'Conformance Score'!A:A,
          'Conformance Score'!B:B,
          ""Not found""
      "&amp;"  ),
        TEXTJOIN("", "", TRUE, names)
      ),
      """"
    )
  ),
  1,
  1
)
"),"")</f>
        <v/>
      </c>
      <c r="P954" s="105" t="str">
        <f>IF(F954="Yes", IFERROR(VLOOKUP(D954, Repository!A:F, 6, 0), ""), "")</f>
        <v/>
      </c>
      <c r="Q954" s="105" t="str">
        <f>IF(F954="Yes", IFERROR(VLOOKUP(D954, Repository!A:I, 8, 0), ""), "")</f>
        <v/>
      </c>
      <c r="R954" s="105" t="str">
        <f>IF(F954="Yes", IFERROR(VLOOKUP(D954, Repository!A:J, 9, 0), ""), "")</f>
        <v/>
      </c>
      <c r="S954" s="105"/>
      <c r="T954" s="105"/>
      <c r="U954" s="105"/>
      <c r="V954" s="105"/>
      <c r="W954" s="105"/>
      <c r="X954" s="105"/>
      <c r="Y954" s="105"/>
      <c r="Z954" s="105"/>
      <c r="AA954" s="105"/>
      <c r="AB954" s="105"/>
      <c r="AC954" s="91"/>
      <c r="AD954" s="105"/>
      <c r="AE954" s="105"/>
      <c r="AF954" s="91"/>
      <c r="AG954" s="105"/>
      <c r="AH954" s="105"/>
      <c r="AI954" s="105" t="str">
        <f t="shared" si="1"/>
        <v/>
      </c>
      <c r="AJ954" s="108" t="str">
        <f t="shared" si="2"/>
        <v/>
      </c>
    </row>
    <row r="955" ht="15.75" customHeight="1">
      <c r="A955" s="104"/>
      <c r="B955" s="105" t="str">
        <f>IFERROR(__xludf.DUMMYFUNCTION("ARRAY_CONSTRAIN(
  ARRAYFORMULA(
    IF(
      'Final Report'!A955="""",
      """",
      TEXTJOIN(
        "", "" &amp; CHAR(10),
        TRUE,
        IFERROR(
          VLOOKUP(
            TRIM(
              SPLIT('Final Report'!A955, "","")
           "&amp;" ),
            'URL Details'!A:B,
            2,
            FALSE
          ),
          """"
        )
      )
    )
  ),
  1,
  1
)
"),"")</f>
        <v/>
      </c>
      <c r="C955" s="105" t="str">
        <f>IFERROR(__xludf.DUMMYFUNCTION("IFERROR(IF('Final Report'!A955="""","""", TEXTJOIN(CHAR(10), TRUE, ARRAYFORMULA( ""• ""&amp; FILTER( TRIM(FLATTEN(SPLIT( REGEXREPLACE( SUBSTITUTE(TEXTJOIN("","", TRUE, IFERROR(ARRAYFORMULA(VLOOKUP(TRIM(SPLIT('Final Report'!A955, "","")), 'URL Details'!A:D, 4,"&amp;" FALSE)),"""") ), CHAR(10), "",""), ""\s*,\s*"", "",""), "",""))), TRIM(FLATTEN(SPLIT( REGEXREPLACE( SUBSTITUTE(TEXTJOIN("","", TRUE, IFERROR(ARRAYFORMULA(VLOOKUP(TRIM(SPLIT('Final Report'!A955, "","")), 'URL Details'!A:D, 4, FALSE)),"""") ), CHAR(10), """&amp;",""), ""\s*,\s*"", "",""), "","")))&lt;&gt;"""" ) ) ) ),"""")
"),"")</f>
        <v/>
      </c>
      <c r="D955" s="105"/>
      <c r="E955" s="105"/>
      <c r="F955" s="110" t="b">
        <v>0</v>
      </c>
      <c r="G955" s="105" t="str">
        <f>IF(F955=True, IFERROR(VLOOKUP(D955, Repository!A:B, 2, 0), ""), "")</f>
        <v/>
      </c>
      <c r="H955" s="105"/>
      <c r="I955" s="105"/>
      <c r="J955" s="105" t="str">
        <f>IF(F955=True, IFERROR(VLOOKUP(D955, Repository!A:C, 3, 0), ""), "")</f>
        <v/>
      </c>
      <c r="K955" s="105"/>
      <c r="L955" s="105" t="str">
        <f>IF(F955=True, IFERROR(VLOOKUP(D955, Repository!A:E, 5, 0), ""), "")</f>
        <v/>
      </c>
      <c r="M955" s="105"/>
      <c r="N955" s="105" t="str">
        <f>IF(F955=True, IFERROR(VLOOKUP(D955, Repository!A:G, 7, 0), ""), "")</f>
        <v/>
      </c>
      <c r="O955" s="105" t="str">
        <f>IFERROR(__xludf.DUMMYFUNCTION("ARRAY_CONSTRAIN(
  ARRAYFORMULA(
    IFERROR(
      LET(
        list, N955,
        arr, TRIM(SPLIT(list, "","")),
        names, XLOOKUP(
          arr,
          'Conformance Score'!A:A,
          'Conformance Score'!B:B,
          ""Not found""
      "&amp;"  ),
        TEXTJOIN("", "", TRUE, names)
      ),
      """"
    )
  ),
  1,
  1
)
"),"")</f>
        <v/>
      </c>
      <c r="P955" s="105" t="str">
        <f>IF(F955="Yes", IFERROR(VLOOKUP(D955, Repository!A:F, 6, 0), ""), "")</f>
        <v/>
      </c>
      <c r="Q955" s="105" t="str">
        <f>IF(F955="Yes", IFERROR(VLOOKUP(D955, Repository!A:I, 8, 0), ""), "")</f>
        <v/>
      </c>
      <c r="R955" s="105" t="str">
        <f>IF(F955="Yes", IFERROR(VLOOKUP(D955, Repository!A:J, 9, 0), ""), "")</f>
        <v/>
      </c>
      <c r="S955" s="105"/>
      <c r="T955" s="105"/>
      <c r="U955" s="105"/>
      <c r="V955" s="105"/>
      <c r="W955" s="105"/>
      <c r="X955" s="105"/>
      <c r="Y955" s="105"/>
      <c r="Z955" s="105"/>
      <c r="AA955" s="105"/>
      <c r="AB955" s="105"/>
      <c r="AC955" s="91"/>
      <c r="AD955" s="105"/>
      <c r="AE955" s="105"/>
      <c r="AF955" s="91"/>
      <c r="AG955" s="105"/>
      <c r="AH955" s="105"/>
      <c r="AI955" s="105" t="str">
        <f t="shared" si="1"/>
        <v/>
      </c>
      <c r="AJ955" s="108" t="str">
        <f t="shared" si="2"/>
        <v/>
      </c>
    </row>
    <row r="956" ht="15.75" customHeight="1">
      <c r="A956" s="104"/>
      <c r="B956" s="105" t="str">
        <f>IFERROR(__xludf.DUMMYFUNCTION("ARRAY_CONSTRAIN(
  ARRAYFORMULA(
    IF(
      'Final Report'!A956="""",
      """",
      TEXTJOIN(
        "", "" &amp; CHAR(10),
        TRUE,
        IFERROR(
          VLOOKUP(
            TRIM(
              SPLIT('Final Report'!A956, "","")
           "&amp;" ),
            'URL Details'!A:B,
            2,
            FALSE
          ),
          """"
        )
      )
    )
  ),
  1,
  1
)
"),"")</f>
        <v/>
      </c>
      <c r="C956" s="105" t="str">
        <f>IFERROR(__xludf.DUMMYFUNCTION("IFERROR(IF('Final Report'!A956="""","""", TEXTJOIN(CHAR(10), TRUE, ARRAYFORMULA( ""• ""&amp; FILTER( TRIM(FLATTEN(SPLIT( REGEXREPLACE( SUBSTITUTE(TEXTJOIN("","", TRUE, IFERROR(ARRAYFORMULA(VLOOKUP(TRIM(SPLIT('Final Report'!A956, "","")), 'URL Details'!A:D, 4,"&amp;" FALSE)),"""") ), CHAR(10), "",""), ""\s*,\s*"", "",""), "",""))), TRIM(FLATTEN(SPLIT( REGEXREPLACE( SUBSTITUTE(TEXTJOIN("","", TRUE, IFERROR(ARRAYFORMULA(VLOOKUP(TRIM(SPLIT('Final Report'!A956, "","")), 'URL Details'!A:D, 4, FALSE)),"""") ), CHAR(10), """&amp;",""), ""\s*,\s*"", "",""), "","")))&lt;&gt;"""" ) ) ) ),"""")
"),"")</f>
        <v/>
      </c>
      <c r="D956" s="105"/>
      <c r="E956" s="105"/>
      <c r="F956" s="110" t="b">
        <v>0</v>
      </c>
      <c r="G956" s="105" t="str">
        <f>IF(F956=True, IFERROR(VLOOKUP(D956, Repository!A:B, 2, 0), ""), "")</f>
        <v/>
      </c>
      <c r="H956" s="105"/>
      <c r="I956" s="105"/>
      <c r="J956" s="105" t="str">
        <f>IF(F956=True, IFERROR(VLOOKUP(D956, Repository!A:C, 3, 0), ""), "")</f>
        <v/>
      </c>
      <c r="K956" s="105"/>
      <c r="L956" s="105" t="str">
        <f>IF(F956=True, IFERROR(VLOOKUP(D956, Repository!A:E, 5, 0), ""), "")</f>
        <v/>
      </c>
      <c r="M956" s="105"/>
      <c r="N956" s="105" t="str">
        <f>IF(F956=True, IFERROR(VLOOKUP(D956, Repository!A:G, 7, 0), ""), "")</f>
        <v/>
      </c>
      <c r="O956" s="105" t="str">
        <f>IFERROR(__xludf.DUMMYFUNCTION("ARRAY_CONSTRAIN(
  ARRAYFORMULA(
    IFERROR(
      LET(
        list, N956,
        arr, TRIM(SPLIT(list, "","")),
        names, XLOOKUP(
          arr,
          'Conformance Score'!A:A,
          'Conformance Score'!B:B,
          ""Not found""
      "&amp;"  ),
        TEXTJOIN("", "", TRUE, names)
      ),
      """"
    )
  ),
  1,
  1
)
"),"")</f>
        <v/>
      </c>
      <c r="P956" s="105" t="str">
        <f>IF(F956="Yes", IFERROR(VLOOKUP(D956, Repository!A:F, 6, 0), ""), "")</f>
        <v/>
      </c>
      <c r="Q956" s="105" t="str">
        <f>IF(F956="Yes", IFERROR(VLOOKUP(D956, Repository!A:I, 8, 0), ""), "")</f>
        <v/>
      </c>
      <c r="R956" s="105" t="str">
        <f>IF(F956="Yes", IFERROR(VLOOKUP(D956, Repository!A:J, 9, 0), ""), "")</f>
        <v/>
      </c>
      <c r="S956" s="105"/>
      <c r="T956" s="105"/>
      <c r="U956" s="105"/>
      <c r="V956" s="105"/>
      <c r="W956" s="105"/>
      <c r="X956" s="105"/>
      <c r="Y956" s="105"/>
      <c r="Z956" s="105"/>
      <c r="AA956" s="105"/>
      <c r="AB956" s="105"/>
      <c r="AC956" s="91"/>
      <c r="AD956" s="105"/>
      <c r="AE956" s="105"/>
      <c r="AF956" s="91"/>
      <c r="AG956" s="105"/>
      <c r="AH956" s="105"/>
      <c r="AI956" s="105" t="str">
        <f t="shared" si="1"/>
        <v/>
      </c>
      <c r="AJ956" s="108" t="str">
        <f t="shared" si="2"/>
        <v/>
      </c>
    </row>
    <row r="957" ht="15.75" customHeight="1">
      <c r="A957" s="104"/>
      <c r="B957" s="105" t="str">
        <f>IFERROR(__xludf.DUMMYFUNCTION("ARRAY_CONSTRAIN(
  ARRAYFORMULA(
    IF(
      'Final Report'!A957="""",
      """",
      TEXTJOIN(
        "", "" &amp; CHAR(10),
        TRUE,
        IFERROR(
          VLOOKUP(
            TRIM(
              SPLIT('Final Report'!A957, "","")
           "&amp;" ),
            'URL Details'!A:B,
            2,
            FALSE
          ),
          """"
        )
      )
    )
  ),
  1,
  1
)
"),"")</f>
        <v/>
      </c>
      <c r="C957" s="105" t="str">
        <f>IFERROR(__xludf.DUMMYFUNCTION("IFERROR(IF('Final Report'!A957="""","""", TEXTJOIN(CHAR(10), TRUE, ARRAYFORMULA( ""• ""&amp; FILTER( TRIM(FLATTEN(SPLIT( REGEXREPLACE( SUBSTITUTE(TEXTJOIN("","", TRUE, IFERROR(ARRAYFORMULA(VLOOKUP(TRIM(SPLIT('Final Report'!A957, "","")), 'URL Details'!A:D, 4,"&amp;" FALSE)),"""") ), CHAR(10), "",""), ""\s*,\s*"", "",""), "",""))), TRIM(FLATTEN(SPLIT( REGEXREPLACE( SUBSTITUTE(TEXTJOIN("","", TRUE, IFERROR(ARRAYFORMULA(VLOOKUP(TRIM(SPLIT('Final Report'!A957, "","")), 'URL Details'!A:D, 4, FALSE)),"""") ), CHAR(10), """&amp;",""), ""\s*,\s*"", "",""), "","")))&lt;&gt;"""" ) ) ) ),"""")
"),"")</f>
        <v/>
      </c>
      <c r="D957" s="105"/>
      <c r="E957" s="105"/>
      <c r="F957" s="110" t="b">
        <v>0</v>
      </c>
      <c r="G957" s="105" t="str">
        <f>IF(F957=True, IFERROR(VLOOKUP(D957, Repository!A:B, 2, 0), ""), "")</f>
        <v/>
      </c>
      <c r="H957" s="105"/>
      <c r="I957" s="105"/>
      <c r="J957" s="105" t="str">
        <f>IF(F957=True, IFERROR(VLOOKUP(D957, Repository!A:C, 3, 0), ""), "")</f>
        <v/>
      </c>
      <c r="K957" s="105"/>
      <c r="L957" s="105" t="str">
        <f>IF(F957=True, IFERROR(VLOOKUP(D957, Repository!A:E, 5, 0), ""), "")</f>
        <v/>
      </c>
      <c r="M957" s="105"/>
      <c r="N957" s="105" t="str">
        <f>IF(F957=True, IFERROR(VLOOKUP(D957, Repository!A:G, 7, 0), ""), "")</f>
        <v/>
      </c>
      <c r="O957" s="105" t="str">
        <f>IFERROR(__xludf.DUMMYFUNCTION("ARRAY_CONSTRAIN(
  ARRAYFORMULA(
    IFERROR(
      LET(
        list, N957,
        arr, TRIM(SPLIT(list, "","")),
        names, XLOOKUP(
          arr,
          'Conformance Score'!A:A,
          'Conformance Score'!B:B,
          ""Not found""
      "&amp;"  ),
        TEXTJOIN("", "", TRUE, names)
      ),
      """"
    )
  ),
  1,
  1
)
"),"")</f>
        <v/>
      </c>
      <c r="P957" s="105" t="str">
        <f>IF(F957="Yes", IFERROR(VLOOKUP(D957, Repository!A:F, 6, 0), ""), "")</f>
        <v/>
      </c>
      <c r="Q957" s="105" t="str">
        <f>IF(F957="Yes", IFERROR(VLOOKUP(D957, Repository!A:I, 8, 0), ""), "")</f>
        <v/>
      </c>
      <c r="R957" s="105" t="str">
        <f>IF(F957="Yes", IFERROR(VLOOKUP(D957, Repository!A:J, 9, 0), ""), "")</f>
        <v/>
      </c>
      <c r="S957" s="105"/>
      <c r="T957" s="105"/>
      <c r="U957" s="105"/>
      <c r="V957" s="105"/>
      <c r="W957" s="105"/>
      <c r="X957" s="105"/>
      <c r="Y957" s="105"/>
      <c r="Z957" s="105"/>
      <c r="AA957" s="105"/>
      <c r="AB957" s="105"/>
      <c r="AC957" s="91"/>
      <c r="AD957" s="105"/>
      <c r="AE957" s="105"/>
      <c r="AF957" s="91"/>
      <c r="AG957" s="105"/>
      <c r="AH957" s="105"/>
      <c r="AI957" s="105" t="str">
        <f t="shared" si="1"/>
        <v/>
      </c>
      <c r="AJ957" s="108" t="str">
        <f t="shared" si="2"/>
        <v/>
      </c>
    </row>
    <row r="958" ht="15.75" customHeight="1">
      <c r="A958" s="104"/>
      <c r="B958" s="105" t="str">
        <f>IFERROR(__xludf.DUMMYFUNCTION("ARRAY_CONSTRAIN(
  ARRAYFORMULA(
    IF(
      'Final Report'!A958="""",
      """",
      TEXTJOIN(
        "", "" &amp; CHAR(10),
        TRUE,
        IFERROR(
          VLOOKUP(
            TRIM(
              SPLIT('Final Report'!A958, "","")
           "&amp;" ),
            'URL Details'!A:B,
            2,
            FALSE
          ),
          """"
        )
      )
    )
  ),
  1,
  1
)
"),"")</f>
        <v/>
      </c>
      <c r="C958" s="105" t="str">
        <f>IFERROR(__xludf.DUMMYFUNCTION("IFERROR(IF('Final Report'!A958="""","""", TEXTJOIN(CHAR(10), TRUE, ARRAYFORMULA( ""• ""&amp; FILTER( TRIM(FLATTEN(SPLIT( REGEXREPLACE( SUBSTITUTE(TEXTJOIN("","", TRUE, IFERROR(ARRAYFORMULA(VLOOKUP(TRIM(SPLIT('Final Report'!A958, "","")), 'URL Details'!A:D, 4,"&amp;" FALSE)),"""") ), CHAR(10), "",""), ""\s*,\s*"", "",""), "",""))), TRIM(FLATTEN(SPLIT( REGEXREPLACE( SUBSTITUTE(TEXTJOIN("","", TRUE, IFERROR(ARRAYFORMULA(VLOOKUP(TRIM(SPLIT('Final Report'!A958, "","")), 'URL Details'!A:D, 4, FALSE)),"""") ), CHAR(10), """&amp;",""), ""\s*,\s*"", "",""), "","")))&lt;&gt;"""" ) ) ) ),"""")
"),"")</f>
        <v/>
      </c>
      <c r="D958" s="105"/>
      <c r="E958" s="105"/>
      <c r="F958" s="110" t="b">
        <v>0</v>
      </c>
      <c r="G958" s="105" t="str">
        <f>IF(F958=True, IFERROR(VLOOKUP(D958, Repository!A:B, 2, 0), ""), "")</f>
        <v/>
      </c>
      <c r="H958" s="105"/>
      <c r="I958" s="105"/>
      <c r="J958" s="105" t="str">
        <f>IF(F958=True, IFERROR(VLOOKUP(D958, Repository!A:C, 3, 0), ""), "")</f>
        <v/>
      </c>
      <c r="K958" s="105"/>
      <c r="L958" s="105" t="str">
        <f>IF(F958=True, IFERROR(VLOOKUP(D958, Repository!A:E, 5, 0), ""), "")</f>
        <v/>
      </c>
      <c r="M958" s="105"/>
      <c r="N958" s="105" t="str">
        <f>IF(F958=True, IFERROR(VLOOKUP(D958, Repository!A:G, 7, 0), ""), "")</f>
        <v/>
      </c>
      <c r="O958" s="105" t="str">
        <f>IFERROR(__xludf.DUMMYFUNCTION("ARRAY_CONSTRAIN(
  ARRAYFORMULA(
    IFERROR(
      LET(
        list, N958,
        arr, TRIM(SPLIT(list, "","")),
        names, XLOOKUP(
          arr,
          'Conformance Score'!A:A,
          'Conformance Score'!B:B,
          ""Not found""
      "&amp;"  ),
        TEXTJOIN("", "", TRUE, names)
      ),
      """"
    )
  ),
  1,
  1
)
"),"")</f>
        <v/>
      </c>
      <c r="P958" s="105" t="str">
        <f>IF(F958="Yes", IFERROR(VLOOKUP(D958, Repository!A:F, 6, 0), ""), "")</f>
        <v/>
      </c>
      <c r="Q958" s="105" t="str">
        <f>IF(F958="Yes", IFERROR(VLOOKUP(D958, Repository!A:I, 8, 0), ""), "")</f>
        <v/>
      </c>
      <c r="R958" s="105" t="str">
        <f>IF(F958="Yes", IFERROR(VLOOKUP(D958, Repository!A:J, 9, 0), ""), "")</f>
        <v/>
      </c>
      <c r="S958" s="105"/>
      <c r="T958" s="105"/>
      <c r="U958" s="105"/>
      <c r="V958" s="105"/>
      <c r="W958" s="105"/>
      <c r="X958" s="105"/>
      <c r="Y958" s="105"/>
      <c r="Z958" s="105"/>
      <c r="AA958" s="105"/>
      <c r="AB958" s="105"/>
      <c r="AC958" s="91"/>
      <c r="AD958" s="105"/>
      <c r="AE958" s="105"/>
      <c r="AF958" s="91"/>
      <c r="AG958" s="105"/>
      <c r="AH958" s="105"/>
      <c r="AI958" s="105" t="str">
        <f t="shared" si="1"/>
        <v/>
      </c>
      <c r="AJ958" s="108" t="str">
        <f t="shared" si="2"/>
        <v/>
      </c>
    </row>
    <row r="959" ht="15.75" customHeight="1">
      <c r="A959" s="104"/>
      <c r="B959" s="105" t="str">
        <f>IFERROR(__xludf.DUMMYFUNCTION("ARRAY_CONSTRAIN(
  ARRAYFORMULA(
    IF(
      'Final Report'!A959="""",
      """",
      TEXTJOIN(
        "", "" &amp; CHAR(10),
        TRUE,
        IFERROR(
          VLOOKUP(
            TRIM(
              SPLIT('Final Report'!A959, "","")
           "&amp;" ),
            'URL Details'!A:B,
            2,
            FALSE
          ),
          """"
        )
      )
    )
  ),
  1,
  1
)
"),"")</f>
        <v/>
      </c>
      <c r="C959" s="105" t="str">
        <f>IFERROR(__xludf.DUMMYFUNCTION("IFERROR(IF('Final Report'!A959="""","""", TEXTJOIN(CHAR(10), TRUE, ARRAYFORMULA( ""• ""&amp; FILTER( TRIM(FLATTEN(SPLIT( REGEXREPLACE( SUBSTITUTE(TEXTJOIN("","", TRUE, IFERROR(ARRAYFORMULA(VLOOKUP(TRIM(SPLIT('Final Report'!A959, "","")), 'URL Details'!A:D, 4,"&amp;" FALSE)),"""") ), CHAR(10), "",""), ""\s*,\s*"", "",""), "",""))), TRIM(FLATTEN(SPLIT( REGEXREPLACE( SUBSTITUTE(TEXTJOIN("","", TRUE, IFERROR(ARRAYFORMULA(VLOOKUP(TRIM(SPLIT('Final Report'!A959, "","")), 'URL Details'!A:D, 4, FALSE)),"""") ), CHAR(10), """&amp;",""), ""\s*,\s*"", "",""), "","")))&lt;&gt;"""" ) ) ) ),"""")
"),"")</f>
        <v/>
      </c>
      <c r="D959" s="105"/>
      <c r="E959" s="105"/>
      <c r="F959" s="110" t="b">
        <v>0</v>
      </c>
      <c r="G959" s="105" t="str">
        <f>IF(F959=True, IFERROR(VLOOKUP(D959, Repository!A:B, 2, 0), ""), "")</f>
        <v/>
      </c>
      <c r="H959" s="105"/>
      <c r="I959" s="105"/>
      <c r="J959" s="105" t="str">
        <f>IF(F959=True, IFERROR(VLOOKUP(D959, Repository!A:C, 3, 0), ""), "")</f>
        <v/>
      </c>
      <c r="K959" s="105"/>
      <c r="L959" s="105" t="str">
        <f>IF(F959=True, IFERROR(VLOOKUP(D959, Repository!A:E, 5, 0), ""), "")</f>
        <v/>
      </c>
      <c r="M959" s="105"/>
      <c r="N959" s="105" t="str">
        <f>IF(F959=True, IFERROR(VLOOKUP(D959, Repository!A:G, 7, 0), ""), "")</f>
        <v/>
      </c>
      <c r="O959" s="105" t="str">
        <f>IFERROR(__xludf.DUMMYFUNCTION("ARRAY_CONSTRAIN(
  ARRAYFORMULA(
    IFERROR(
      LET(
        list, N959,
        arr, TRIM(SPLIT(list, "","")),
        names, XLOOKUP(
          arr,
          'Conformance Score'!A:A,
          'Conformance Score'!B:B,
          ""Not found""
      "&amp;"  ),
        TEXTJOIN("", "", TRUE, names)
      ),
      """"
    )
  ),
  1,
  1
)
"),"")</f>
        <v/>
      </c>
      <c r="P959" s="105" t="str">
        <f>IF(F959="Yes", IFERROR(VLOOKUP(D959, Repository!A:F, 6, 0), ""), "")</f>
        <v/>
      </c>
      <c r="Q959" s="105" t="str">
        <f>IF(F959="Yes", IFERROR(VLOOKUP(D959, Repository!A:I, 8, 0), ""), "")</f>
        <v/>
      </c>
      <c r="R959" s="105" t="str">
        <f>IF(F959="Yes", IFERROR(VLOOKUP(D959, Repository!A:J, 9, 0), ""), "")</f>
        <v/>
      </c>
      <c r="S959" s="105"/>
      <c r="T959" s="105"/>
      <c r="U959" s="105"/>
      <c r="V959" s="105"/>
      <c r="W959" s="105"/>
      <c r="X959" s="105"/>
      <c r="Y959" s="105"/>
      <c r="Z959" s="105"/>
      <c r="AA959" s="105"/>
      <c r="AB959" s="105"/>
      <c r="AC959" s="91"/>
      <c r="AD959" s="105"/>
      <c r="AE959" s="105"/>
      <c r="AF959" s="91"/>
      <c r="AG959" s="105"/>
      <c r="AH959" s="105"/>
      <c r="AI959" s="105" t="str">
        <f t="shared" si="1"/>
        <v/>
      </c>
      <c r="AJ959" s="108" t="str">
        <f t="shared" si="2"/>
        <v/>
      </c>
    </row>
    <row r="960" ht="15.75" customHeight="1">
      <c r="A960" s="104"/>
      <c r="B960" s="105" t="str">
        <f>IFERROR(__xludf.DUMMYFUNCTION("ARRAY_CONSTRAIN(
  ARRAYFORMULA(
    IF(
      'Final Report'!A960="""",
      """",
      TEXTJOIN(
        "", "" &amp; CHAR(10),
        TRUE,
        IFERROR(
          VLOOKUP(
            TRIM(
              SPLIT('Final Report'!A960, "","")
           "&amp;" ),
            'URL Details'!A:B,
            2,
            FALSE
          ),
          """"
        )
      )
    )
  ),
  1,
  1
)
"),"")</f>
        <v/>
      </c>
      <c r="C960" s="105" t="str">
        <f>IFERROR(__xludf.DUMMYFUNCTION("IFERROR(IF('Final Report'!A960="""","""", TEXTJOIN(CHAR(10), TRUE, ARRAYFORMULA( ""• ""&amp; FILTER( TRIM(FLATTEN(SPLIT( REGEXREPLACE( SUBSTITUTE(TEXTJOIN("","", TRUE, IFERROR(ARRAYFORMULA(VLOOKUP(TRIM(SPLIT('Final Report'!A960, "","")), 'URL Details'!A:D, 4,"&amp;" FALSE)),"""") ), CHAR(10), "",""), ""\s*,\s*"", "",""), "",""))), TRIM(FLATTEN(SPLIT( REGEXREPLACE( SUBSTITUTE(TEXTJOIN("","", TRUE, IFERROR(ARRAYFORMULA(VLOOKUP(TRIM(SPLIT('Final Report'!A960, "","")), 'URL Details'!A:D, 4, FALSE)),"""") ), CHAR(10), """&amp;",""), ""\s*,\s*"", "",""), "","")))&lt;&gt;"""" ) ) ) ),"""")
"),"")</f>
        <v/>
      </c>
      <c r="D960" s="105"/>
      <c r="E960" s="105"/>
      <c r="F960" s="110" t="b">
        <v>0</v>
      </c>
      <c r="G960" s="105" t="str">
        <f>IF(F960=True, IFERROR(VLOOKUP(D960, Repository!A:B, 2, 0), ""), "")</f>
        <v/>
      </c>
      <c r="H960" s="105"/>
      <c r="I960" s="105"/>
      <c r="J960" s="105" t="str">
        <f>IF(F960=True, IFERROR(VLOOKUP(D960, Repository!A:C, 3, 0), ""), "")</f>
        <v/>
      </c>
      <c r="K960" s="105"/>
      <c r="L960" s="105" t="str">
        <f>IF(F960=True, IFERROR(VLOOKUP(D960, Repository!A:E, 5, 0), ""), "")</f>
        <v/>
      </c>
      <c r="M960" s="105"/>
      <c r="N960" s="105" t="str">
        <f>IF(F960=True, IFERROR(VLOOKUP(D960, Repository!A:G, 7, 0), ""), "")</f>
        <v/>
      </c>
      <c r="O960" s="105" t="str">
        <f>IFERROR(__xludf.DUMMYFUNCTION("ARRAY_CONSTRAIN(
  ARRAYFORMULA(
    IFERROR(
      LET(
        list, N960,
        arr, TRIM(SPLIT(list, "","")),
        names, XLOOKUP(
          arr,
          'Conformance Score'!A:A,
          'Conformance Score'!B:B,
          ""Not found""
      "&amp;"  ),
        TEXTJOIN("", "", TRUE, names)
      ),
      """"
    )
  ),
  1,
  1
)
"),"")</f>
        <v/>
      </c>
      <c r="P960" s="105" t="str">
        <f>IF(F960="Yes", IFERROR(VLOOKUP(D960, Repository!A:F, 6, 0), ""), "")</f>
        <v/>
      </c>
      <c r="Q960" s="105" t="str">
        <f>IF(F960="Yes", IFERROR(VLOOKUP(D960, Repository!A:I, 8, 0), ""), "")</f>
        <v/>
      </c>
      <c r="R960" s="105" t="str">
        <f>IF(F960="Yes", IFERROR(VLOOKUP(D960, Repository!A:J, 9, 0), ""), "")</f>
        <v/>
      </c>
      <c r="S960" s="105"/>
      <c r="T960" s="105"/>
      <c r="U960" s="105"/>
      <c r="V960" s="105"/>
      <c r="W960" s="105"/>
      <c r="X960" s="105"/>
      <c r="Y960" s="105"/>
      <c r="Z960" s="105"/>
      <c r="AA960" s="105"/>
      <c r="AB960" s="105"/>
      <c r="AC960" s="91"/>
      <c r="AD960" s="105"/>
      <c r="AE960" s="105"/>
      <c r="AF960" s="91"/>
      <c r="AG960" s="105"/>
      <c r="AH960" s="105"/>
      <c r="AI960" s="105" t="str">
        <f t="shared" si="1"/>
        <v/>
      </c>
      <c r="AJ960" s="108" t="str">
        <f t="shared" si="2"/>
        <v/>
      </c>
    </row>
    <row r="961" ht="15.75" customHeight="1">
      <c r="A961" s="104"/>
      <c r="B961" s="105" t="str">
        <f>IFERROR(__xludf.DUMMYFUNCTION("ARRAY_CONSTRAIN(
  ARRAYFORMULA(
    IF(
      'Final Report'!A961="""",
      """",
      TEXTJOIN(
        "", "" &amp; CHAR(10),
        TRUE,
        IFERROR(
          VLOOKUP(
            TRIM(
              SPLIT('Final Report'!A961, "","")
           "&amp;" ),
            'URL Details'!A:B,
            2,
            FALSE
          ),
          """"
        )
      )
    )
  ),
  1,
  1
)
"),"")</f>
        <v/>
      </c>
      <c r="C961" s="105" t="str">
        <f>IFERROR(__xludf.DUMMYFUNCTION("IFERROR(IF('Final Report'!A961="""","""", TEXTJOIN(CHAR(10), TRUE, ARRAYFORMULA( ""• ""&amp; FILTER( TRIM(FLATTEN(SPLIT( REGEXREPLACE( SUBSTITUTE(TEXTJOIN("","", TRUE, IFERROR(ARRAYFORMULA(VLOOKUP(TRIM(SPLIT('Final Report'!A961, "","")), 'URL Details'!A:D, 4,"&amp;" FALSE)),"""") ), CHAR(10), "",""), ""\s*,\s*"", "",""), "",""))), TRIM(FLATTEN(SPLIT( REGEXREPLACE( SUBSTITUTE(TEXTJOIN("","", TRUE, IFERROR(ARRAYFORMULA(VLOOKUP(TRIM(SPLIT('Final Report'!A961, "","")), 'URL Details'!A:D, 4, FALSE)),"""") ), CHAR(10), """&amp;",""), ""\s*,\s*"", "",""), "","")))&lt;&gt;"""" ) ) ) ),"""")
"),"")</f>
        <v/>
      </c>
      <c r="D961" s="105"/>
      <c r="E961" s="105"/>
      <c r="F961" s="110" t="b">
        <v>0</v>
      </c>
      <c r="G961" s="105" t="str">
        <f>IF(F961=True, IFERROR(VLOOKUP(D961, Repository!A:B, 2, 0), ""), "")</f>
        <v/>
      </c>
      <c r="H961" s="105"/>
      <c r="I961" s="105"/>
      <c r="J961" s="105" t="str">
        <f>IF(F961=True, IFERROR(VLOOKUP(D961, Repository!A:C, 3, 0), ""), "")</f>
        <v/>
      </c>
      <c r="K961" s="105"/>
      <c r="L961" s="105" t="str">
        <f>IF(F961=True, IFERROR(VLOOKUP(D961, Repository!A:E, 5, 0), ""), "")</f>
        <v/>
      </c>
      <c r="M961" s="105"/>
      <c r="N961" s="105" t="str">
        <f>IF(F961=True, IFERROR(VLOOKUP(D961, Repository!A:G, 7, 0), ""), "")</f>
        <v/>
      </c>
      <c r="O961" s="105" t="str">
        <f>IFERROR(__xludf.DUMMYFUNCTION("ARRAY_CONSTRAIN(
  ARRAYFORMULA(
    IFERROR(
      LET(
        list, N961,
        arr, TRIM(SPLIT(list, "","")),
        names, XLOOKUP(
          arr,
          'Conformance Score'!A:A,
          'Conformance Score'!B:B,
          ""Not found""
      "&amp;"  ),
        TEXTJOIN("", "", TRUE, names)
      ),
      """"
    )
  ),
  1,
  1
)
"),"")</f>
        <v/>
      </c>
      <c r="P961" s="105" t="str">
        <f>IF(F961="Yes", IFERROR(VLOOKUP(D961, Repository!A:F, 6, 0), ""), "")</f>
        <v/>
      </c>
      <c r="Q961" s="105" t="str">
        <f>IF(F961="Yes", IFERROR(VLOOKUP(D961, Repository!A:I, 8, 0), ""), "")</f>
        <v/>
      </c>
      <c r="R961" s="105" t="str">
        <f>IF(F961="Yes", IFERROR(VLOOKUP(D961, Repository!A:J, 9, 0), ""), "")</f>
        <v/>
      </c>
      <c r="S961" s="105"/>
      <c r="T961" s="105"/>
      <c r="U961" s="105"/>
      <c r="V961" s="105"/>
      <c r="W961" s="105"/>
      <c r="X961" s="105"/>
      <c r="Y961" s="105"/>
      <c r="Z961" s="105"/>
      <c r="AA961" s="105"/>
      <c r="AB961" s="105"/>
      <c r="AC961" s="91"/>
      <c r="AD961" s="105"/>
      <c r="AE961" s="105"/>
      <c r="AF961" s="91"/>
      <c r="AG961" s="105"/>
      <c r="AH961" s="105"/>
      <c r="AI961" s="105" t="str">
        <f t="shared" si="1"/>
        <v/>
      </c>
      <c r="AJ961" s="108" t="str">
        <f t="shared" si="2"/>
        <v/>
      </c>
    </row>
    <row r="962" ht="15.75" customHeight="1">
      <c r="A962" s="104"/>
      <c r="B962" s="105" t="str">
        <f>IFERROR(__xludf.DUMMYFUNCTION("ARRAY_CONSTRAIN(
  ARRAYFORMULA(
    IF(
      'Final Report'!A962="""",
      """",
      TEXTJOIN(
        "", "" &amp; CHAR(10),
        TRUE,
        IFERROR(
          VLOOKUP(
            TRIM(
              SPLIT('Final Report'!A962, "","")
           "&amp;" ),
            'URL Details'!A:B,
            2,
            FALSE
          ),
          """"
        )
      )
    )
  ),
  1,
  1
)
"),"")</f>
        <v/>
      </c>
      <c r="C962" s="105" t="str">
        <f>IFERROR(__xludf.DUMMYFUNCTION("IFERROR(IF('Final Report'!A962="""","""", TEXTJOIN(CHAR(10), TRUE, ARRAYFORMULA( ""• ""&amp; FILTER( TRIM(FLATTEN(SPLIT( REGEXREPLACE( SUBSTITUTE(TEXTJOIN("","", TRUE, IFERROR(ARRAYFORMULA(VLOOKUP(TRIM(SPLIT('Final Report'!A962, "","")), 'URL Details'!A:D, 4,"&amp;" FALSE)),"""") ), CHAR(10), "",""), ""\s*,\s*"", "",""), "",""))), TRIM(FLATTEN(SPLIT( REGEXREPLACE( SUBSTITUTE(TEXTJOIN("","", TRUE, IFERROR(ARRAYFORMULA(VLOOKUP(TRIM(SPLIT('Final Report'!A962, "","")), 'URL Details'!A:D, 4, FALSE)),"""") ), CHAR(10), """&amp;",""), ""\s*,\s*"", "",""), "","")))&lt;&gt;"""" ) ) ) ),"""")
"),"")</f>
        <v/>
      </c>
      <c r="D962" s="105"/>
      <c r="E962" s="105"/>
      <c r="F962" s="110" t="b">
        <v>0</v>
      </c>
      <c r="G962" s="105" t="str">
        <f>IF(F962=True, IFERROR(VLOOKUP(D962, Repository!A:B, 2, 0), ""), "")</f>
        <v/>
      </c>
      <c r="H962" s="105"/>
      <c r="I962" s="105"/>
      <c r="J962" s="105" t="str">
        <f>IF(F962=True, IFERROR(VLOOKUP(D962, Repository!A:C, 3, 0), ""), "")</f>
        <v/>
      </c>
      <c r="K962" s="105"/>
      <c r="L962" s="105" t="str">
        <f>IF(F962=True, IFERROR(VLOOKUP(D962, Repository!A:E, 5, 0), ""), "")</f>
        <v/>
      </c>
      <c r="M962" s="105"/>
      <c r="N962" s="105" t="str">
        <f>IF(F962=True, IFERROR(VLOOKUP(D962, Repository!A:G, 7, 0), ""), "")</f>
        <v/>
      </c>
      <c r="O962" s="105" t="str">
        <f>IFERROR(__xludf.DUMMYFUNCTION("ARRAY_CONSTRAIN(
  ARRAYFORMULA(
    IFERROR(
      LET(
        list, N962,
        arr, TRIM(SPLIT(list, "","")),
        names, XLOOKUP(
          arr,
          'Conformance Score'!A:A,
          'Conformance Score'!B:B,
          ""Not found""
      "&amp;"  ),
        TEXTJOIN("", "", TRUE, names)
      ),
      """"
    )
  ),
  1,
  1
)
"),"")</f>
        <v/>
      </c>
      <c r="P962" s="105" t="str">
        <f>IF(F962="Yes", IFERROR(VLOOKUP(D962, Repository!A:F, 6, 0), ""), "")</f>
        <v/>
      </c>
      <c r="Q962" s="105" t="str">
        <f>IF(F962="Yes", IFERROR(VLOOKUP(D962, Repository!A:I, 8, 0), ""), "")</f>
        <v/>
      </c>
      <c r="R962" s="105" t="str">
        <f>IF(F962="Yes", IFERROR(VLOOKUP(D962, Repository!A:J, 9, 0), ""), "")</f>
        <v/>
      </c>
      <c r="S962" s="105"/>
      <c r="T962" s="105"/>
      <c r="U962" s="105"/>
      <c r="V962" s="105"/>
      <c r="W962" s="105"/>
      <c r="X962" s="105"/>
      <c r="Y962" s="105"/>
      <c r="Z962" s="105"/>
      <c r="AA962" s="105"/>
      <c r="AB962" s="105"/>
      <c r="AC962" s="91"/>
      <c r="AD962" s="105"/>
      <c r="AE962" s="105"/>
      <c r="AF962" s="91"/>
      <c r="AG962" s="105"/>
      <c r="AH962" s="105"/>
      <c r="AI962" s="105" t="str">
        <f t="shared" si="1"/>
        <v/>
      </c>
      <c r="AJ962" s="108" t="str">
        <f t="shared" si="2"/>
        <v/>
      </c>
    </row>
    <row r="963" ht="15.75" customHeight="1">
      <c r="A963" s="104"/>
      <c r="B963" s="105" t="str">
        <f>IFERROR(__xludf.DUMMYFUNCTION("ARRAY_CONSTRAIN(
  ARRAYFORMULA(
    IF(
      'Final Report'!A963="""",
      """",
      TEXTJOIN(
        "", "" &amp; CHAR(10),
        TRUE,
        IFERROR(
          VLOOKUP(
            TRIM(
              SPLIT('Final Report'!A963, "","")
           "&amp;" ),
            'URL Details'!A:B,
            2,
            FALSE
          ),
          """"
        )
      )
    )
  ),
  1,
  1
)
"),"")</f>
        <v/>
      </c>
      <c r="C963" s="105" t="str">
        <f>IFERROR(__xludf.DUMMYFUNCTION("IFERROR(IF('Final Report'!A963="""","""", TEXTJOIN(CHAR(10), TRUE, ARRAYFORMULA( ""• ""&amp; FILTER( TRIM(FLATTEN(SPLIT( REGEXREPLACE( SUBSTITUTE(TEXTJOIN("","", TRUE, IFERROR(ARRAYFORMULA(VLOOKUP(TRIM(SPLIT('Final Report'!A963, "","")), 'URL Details'!A:D, 4,"&amp;" FALSE)),"""") ), CHAR(10), "",""), ""\s*,\s*"", "",""), "",""))), TRIM(FLATTEN(SPLIT( REGEXREPLACE( SUBSTITUTE(TEXTJOIN("","", TRUE, IFERROR(ARRAYFORMULA(VLOOKUP(TRIM(SPLIT('Final Report'!A963, "","")), 'URL Details'!A:D, 4, FALSE)),"""") ), CHAR(10), """&amp;",""), ""\s*,\s*"", "",""), "","")))&lt;&gt;"""" ) ) ) ),"""")
"),"")</f>
        <v/>
      </c>
      <c r="D963" s="105"/>
      <c r="E963" s="105"/>
      <c r="F963" s="110" t="b">
        <v>0</v>
      </c>
      <c r="G963" s="105" t="str">
        <f>IF(F963=True, IFERROR(VLOOKUP(D963, Repository!A:B, 2, 0), ""), "")</f>
        <v/>
      </c>
      <c r="H963" s="105"/>
      <c r="I963" s="105"/>
      <c r="J963" s="105" t="str">
        <f>IF(F963=True, IFERROR(VLOOKUP(D963, Repository!A:C, 3, 0), ""), "")</f>
        <v/>
      </c>
      <c r="K963" s="105"/>
      <c r="L963" s="105" t="str">
        <f>IF(F963=True, IFERROR(VLOOKUP(D963, Repository!A:E, 5, 0), ""), "")</f>
        <v/>
      </c>
      <c r="M963" s="105"/>
      <c r="N963" s="105" t="str">
        <f>IF(F963=True, IFERROR(VLOOKUP(D963, Repository!A:G, 7, 0), ""), "")</f>
        <v/>
      </c>
      <c r="O963" s="105" t="str">
        <f>IFERROR(__xludf.DUMMYFUNCTION("ARRAY_CONSTRAIN(
  ARRAYFORMULA(
    IFERROR(
      LET(
        list, N963,
        arr, TRIM(SPLIT(list, "","")),
        names, XLOOKUP(
          arr,
          'Conformance Score'!A:A,
          'Conformance Score'!B:B,
          ""Not found""
      "&amp;"  ),
        TEXTJOIN("", "", TRUE, names)
      ),
      """"
    )
  ),
  1,
  1
)
"),"")</f>
        <v/>
      </c>
      <c r="P963" s="105" t="str">
        <f>IF(F963="Yes", IFERROR(VLOOKUP(D963, Repository!A:F, 6, 0), ""), "")</f>
        <v/>
      </c>
      <c r="Q963" s="105" t="str">
        <f>IF(F963="Yes", IFERROR(VLOOKUP(D963, Repository!A:I, 8, 0), ""), "")</f>
        <v/>
      </c>
      <c r="R963" s="105" t="str">
        <f>IF(F963="Yes", IFERROR(VLOOKUP(D963, Repository!A:J, 9, 0), ""), "")</f>
        <v/>
      </c>
      <c r="S963" s="105"/>
      <c r="T963" s="105"/>
      <c r="U963" s="105"/>
      <c r="V963" s="105"/>
      <c r="W963" s="105"/>
      <c r="X963" s="105"/>
      <c r="Y963" s="105"/>
      <c r="Z963" s="105"/>
      <c r="AA963" s="105"/>
      <c r="AB963" s="105"/>
      <c r="AC963" s="91"/>
      <c r="AD963" s="105"/>
      <c r="AE963" s="105"/>
      <c r="AF963" s="91"/>
      <c r="AG963" s="105"/>
      <c r="AH963" s="105"/>
      <c r="AI963" s="105" t="str">
        <f t="shared" si="1"/>
        <v/>
      </c>
      <c r="AJ963" s="108" t="str">
        <f t="shared" si="2"/>
        <v/>
      </c>
    </row>
    <row r="964" ht="15.75" customHeight="1">
      <c r="A964" s="104"/>
      <c r="B964" s="105" t="str">
        <f>IFERROR(__xludf.DUMMYFUNCTION("ARRAY_CONSTRAIN(
  ARRAYFORMULA(
    IF(
      'Final Report'!A964="""",
      """",
      TEXTJOIN(
        "", "" &amp; CHAR(10),
        TRUE,
        IFERROR(
          VLOOKUP(
            TRIM(
              SPLIT('Final Report'!A964, "","")
           "&amp;" ),
            'URL Details'!A:B,
            2,
            FALSE
          ),
          """"
        )
      )
    )
  ),
  1,
  1
)
"),"")</f>
        <v/>
      </c>
      <c r="C964" s="105" t="str">
        <f>IFERROR(__xludf.DUMMYFUNCTION("IFERROR(IF('Final Report'!A964="""","""", TEXTJOIN(CHAR(10), TRUE, ARRAYFORMULA( ""• ""&amp; FILTER( TRIM(FLATTEN(SPLIT( REGEXREPLACE( SUBSTITUTE(TEXTJOIN("","", TRUE, IFERROR(ARRAYFORMULA(VLOOKUP(TRIM(SPLIT('Final Report'!A964, "","")), 'URL Details'!A:D, 4,"&amp;" FALSE)),"""") ), CHAR(10), "",""), ""\s*,\s*"", "",""), "",""))), TRIM(FLATTEN(SPLIT( REGEXREPLACE( SUBSTITUTE(TEXTJOIN("","", TRUE, IFERROR(ARRAYFORMULA(VLOOKUP(TRIM(SPLIT('Final Report'!A964, "","")), 'URL Details'!A:D, 4, FALSE)),"""") ), CHAR(10), """&amp;",""), ""\s*,\s*"", "",""), "","")))&lt;&gt;"""" ) ) ) ),"""")
"),"")</f>
        <v/>
      </c>
      <c r="D964" s="105"/>
      <c r="E964" s="105"/>
      <c r="F964" s="110" t="b">
        <v>0</v>
      </c>
      <c r="G964" s="105" t="str">
        <f>IF(F964=True, IFERROR(VLOOKUP(D964, Repository!A:B, 2, 0), ""), "")</f>
        <v/>
      </c>
      <c r="H964" s="105"/>
      <c r="I964" s="105"/>
      <c r="J964" s="105" t="str">
        <f>IF(F964=True, IFERROR(VLOOKUP(D964, Repository!A:C, 3, 0), ""), "")</f>
        <v/>
      </c>
      <c r="K964" s="105"/>
      <c r="L964" s="105" t="str">
        <f>IF(F964=True, IFERROR(VLOOKUP(D964, Repository!A:E, 5, 0), ""), "")</f>
        <v/>
      </c>
      <c r="M964" s="105"/>
      <c r="N964" s="105" t="str">
        <f>IF(F964=True, IFERROR(VLOOKUP(D964, Repository!A:G, 7, 0), ""), "")</f>
        <v/>
      </c>
      <c r="O964" s="105" t="str">
        <f>IFERROR(__xludf.DUMMYFUNCTION("ARRAY_CONSTRAIN(
  ARRAYFORMULA(
    IFERROR(
      LET(
        list, N964,
        arr, TRIM(SPLIT(list, "","")),
        names, XLOOKUP(
          arr,
          'Conformance Score'!A:A,
          'Conformance Score'!B:B,
          ""Not found""
      "&amp;"  ),
        TEXTJOIN("", "", TRUE, names)
      ),
      """"
    )
  ),
  1,
  1
)
"),"")</f>
        <v/>
      </c>
      <c r="P964" s="105" t="str">
        <f>IF(F964="Yes", IFERROR(VLOOKUP(D964, Repository!A:F, 6, 0), ""), "")</f>
        <v/>
      </c>
      <c r="Q964" s="105" t="str">
        <f>IF(F964="Yes", IFERROR(VLOOKUP(D964, Repository!A:I, 8, 0), ""), "")</f>
        <v/>
      </c>
      <c r="R964" s="105" t="str">
        <f>IF(F964="Yes", IFERROR(VLOOKUP(D964, Repository!A:J, 9, 0), ""), "")</f>
        <v/>
      </c>
      <c r="S964" s="105"/>
      <c r="T964" s="105"/>
      <c r="U964" s="105"/>
      <c r="V964" s="105"/>
      <c r="W964" s="105"/>
      <c r="X964" s="105"/>
      <c r="Y964" s="105"/>
      <c r="Z964" s="105"/>
      <c r="AA964" s="105"/>
      <c r="AB964" s="105"/>
      <c r="AC964" s="91"/>
      <c r="AD964" s="105"/>
      <c r="AE964" s="105"/>
      <c r="AF964" s="91"/>
      <c r="AG964" s="105"/>
      <c r="AH964" s="105"/>
      <c r="AI964" s="105" t="str">
        <f t="shared" si="1"/>
        <v/>
      </c>
      <c r="AJ964" s="108" t="str">
        <f t="shared" si="2"/>
        <v/>
      </c>
    </row>
    <row r="965" ht="15.75" customHeight="1">
      <c r="A965" s="104"/>
      <c r="B965" s="105" t="str">
        <f>IFERROR(__xludf.DUMMYFUNCTION("ARRAY_CONSTRAIN(
  ARRAYFORMULA(
    IF(
      'Final Report'!A965="""",
      """",
      TEXTJOIN(
        "", "" &amp; CHAR(10),
        TRUE,
        IFERROR(
          VLOOKUP(
            TRIM(
              SPLIT('Final Report'!A965, "","")
           "&amp;" ),
            'URL Details'!A:B,
            2,
            FALSE
          ),
          """"
        )
      )
    )
  ),
  1,
  1
)
"),"")</f>
        <v/>
      </c>
      <c r="C965" s="105" t="str">
        <f>IFERROR(__xludf.DUMMYFUNCTION("IFERROR(IF('Final Report'!A965="""","""", TEXTJOIN(CHAR(10), TRUE, ARRAYFORMULA( ""• ""&amp; FILTER( TRIM(FLATTEN(SPLIT( REGEXREPLACE( SUBSTITUTE(TEXTJOIN("","", TRUE, IFERROR(ARRAYFORMULA(VLOOKUP(TRIM(SPLIT('Final Report'!A965, "","")), 'URL Details'!A:D, 4,"&amp;" FALSE)),"""") ), CHAR(10), "",""), ""\s*,\s*"", "",""), "",""))), TRIM(FLATTEN(SPLIT( REGEXREPLACE( SUBSTITUTE(TEXTJOIN("","", TRUE, IFERROR(ARRAYFORMULA(VLOOKUP(TRIM(SPLIT('Final Report'!A965, "","")), 'URL Details'!A:D, 4, FALSE)),"""") ), CHAR(10), """&amp;",""), ""\s*,\s*"", "",""), "","")))&lt;&gt;"""" ) ) ) ),"""")
"),"")</f>
        <v/>
      </c>
      <c r="D965" s="105"/>
      <c r="E965" s="105"/>
      <c r="F965" s="110" t="b">
        <v>0</v>
      </c>
      <c r="G965" s="105" t="str">
        <f>IF(F965=True, IFERROR(VLOOKUP(D965, Repository!A:B, 2, 0), ""), "")</f>
        <v/>
      </c>
      <c r="H965" s="105"/>
      <c r="I965" s="105"/>
      <c r="J965" s="105" t="str">
        <f>IF(F965=True, IFERROR(VLOOKUP(D965, Repository!A:C, 3, 0), ""), "")</f>
        <v/>
      </c>
      <c r="K965" s="105"/>
      <c r="L965" s="105" t="str">
        <f>IF(F965=True, IFERROR(VLOOKUP(D965, Repository!A:E, 5, 0), ""), "")</f>
        <v/>
      </c>
      <c r="M965" s="105"/>
      <c r="N965" s="105" t="str">
        <f>IF(F965=True, IFERROR(VLOOKUP(D965, Repository!A:G, 7, 0), ""), "")</f>
        <v/>
      </c>
      <c r="O965" s="105" t="str">
        <f>IFERROR(__xludf.DUMMYFUNCTION("ARRAY_CONSTRAIN(
  ARRAYFORMULA(
    IFERROR(
      LET(
        list, N965,
        arr, TRIM(SPLIT(list, "","")),
        names, XLOOKUP(
          arr,
          'Conformance Score'!A:A,
          'Conformance Score'!B:B,
          ""Not found""
      "&amp;"  ),
        TEXTJOIN("", "", TRUE, names)
      ),
      """"
    )
  ),
  1,
  1
)
"),"")</f>
        <v/>
      </c>
      <c r="P965" s="105" t="str">
        <f>IF(F965="Yes", IFERROR(VLOOKUP(D965, Repository!A:F, 6, 0), ""), "")</f>
        <v/>
      </c>
      <c r="Q965" s="105" t="str">
        <f>IF(F965="Yes", IFERROR(VLOOKUP(D965, Repository!A:I, 8, 0), ""), "")</f>
        <v/>
      </c>
      <c r="R965" s="105" t="str">
        <f>IF(F965="Yes", IFERROR(VLOOKUP(D965, Repository!A:J, 9, 0), ""), "")</f>
        <v/>
      </c>
      <c r="S965" s="105"/>
      <c r="T965" s="105"/>
      <c r="U965" s="105"/>
      <c r="V965" s="105"/>
      <c r="W965" s="105"/>
      <c r="X965" s="105"/>
      <c r="Y965" s="105"/>
      <c r="Z965" s="105"/>
      <c r="AA965" s="105"/>
      <c r="AB965" s="105"/>
      <c r="AC965" s="91"/>
      <c r="AD965" s="105"/>
      <c r="AE965" s="105"/>
      <c r="AF965" s="91"/>
      <c r="AG965" s="105"/>
      <c r="AH965" s="105"/>
      <c r="AI965" s="105" t="str">
        <f t="shared" si="1"/>
        <v/>
      </c>
      <c r="AJ965" s="108" t="str">
        <f t="shared" si="2"/>
        <v/>
      </c>
    </row>
    <row r="966" ht="15.75" customHeight="1">
      <c r="A966" s="104"/>
      <c r="B966" s="105" t="str">
        <f>IFERROR(__xludf.DUMMYFUNCTION("ARRAY_CONSTRAIN(
  ARRAYFORMULA(
    IF(
      'Final Report'!A966="""",
      """",
      TEXTJOIN(
        "", "" &amp; CHAR(10),
        TRUE,
        IFERROR(
          VLOOKUP(
            TRIM(
              SPLIT('Final Report'!A966, "","")
           "&amp;" ),
            'URL Details'!A:B,
            2,
            FALSE
          ),
          """"
        )
      )
    )
  ),
  1,
  1
)
"),"")</f>
        <v/>
      </c>
      <c r="C966" s="105" t="str">
        <f>IFERROR(__xludf.DUMMYFUNCTION("IFERROR(IF('Final Report'!A966="""","""", TEXTJOIN(CHAR(10), TRUE, ARRAYFORMULA( ""• ""&amp; FILTER( TRIM(FLATTEN(SPLIT( REGEXREPLACE( SUBSTITUTE(TEXTJOIN("","", TRUE, IFERROR(ARRAYFORMULA(VLOOKUP(TRIM(SPLIT('Final Report'!A966, "","")), 'URL Details'!A:D, 4,"&amp;" FALSE)),"""") ), CHAR(10), "",""), ""\s*,\s*"", "",""), "",""))), TRIM(FLATTEN(SPLIT( REGEXREPLACE( SUBSTITUTE(TEXTJOIN("","", TRUE, IFERROR(ARRAYFORMULA(VLOOKUP(TRIM(SPLIT('Final Report'!A966, "","")), 'URL Details'!A:D, 4, FALSE)),"""") ), CHAR(10), """&amp;",""), ""\s*,\s*"", "",""), "","")))&lt;&gt;"""" ) ) ) ),"""")
"),"")</f>
        <v/>
      </c>
      <c r="D966" s="105"/>
      <c r="E966" s="105"/>
      <c r="F966" s="110" t="b">
        <v>0</v>
      </c>
      <c r="G966" s="105" t="str">
        <f>IF(F966=True, IFERROR(VLOOKUP(D966, Repository!A:B, 2, 0), ""), "")</f>
        <v/>
      </c>
      <c r="H966" s="105"/>
      <c r="I966" s="105"/>
      <c r="J966" s="105" t="str">
        <f>IF(F966=True, IFERROR(VLOOKUP(D966, Repository!A:C, 3, 0), ""), "")</f>
        <v/>
      </c>
      <c r="K966" s="105"/>
      <c r="L966" s="105" t="str">
        <f>IF(F966=True, IFERROR(VLOOKUP(D966, Repository!A:E, 5, 0), ""), "")</f>
        <v/>
      </c>
      <c r="M966" s="105"/>
      <c r="N966" s="105" t="str">
        <f>IF(F966=True, IFERROR(VLOOKUP(D966, Repository!A:G, 7, 0), ""), "")</f>
        <v/>
      </c>
      <c r="O966" s="105" t="str">
        <f>IFERROR(__xludf.DUMMYFUNCTION("ARRAY_CONSTRAIN(
  ARRAYFORMULA(
    IFERROR(
      LET(
        list, N966,
        arr, TRIM(SPLIT(list, "","")),
        names, XLOOKUP(
          arr,
          'Conformance Score'!A:A,
          'Conformance Score'!B:B,
          ""Not found""
      "&amp;"  ),
        TEXTJOIN("", "", TRUE, names)
      ),
      """"
    )
  ),
  1,
  1
)
"),"")</f>
        <v/>
      </c>
      <c r="P966" s="105" t="str">
        <f>IF(F966="Yes", IFERROR(VLOOKUP(D966, Repository!A:F, 6, 0), ""), "")</f>
        <v/>
      </c>
      <c r="Q966" s="105" t="str">
        <f>IF(F966="Yes", IFERROR(VLOOKUP(D966, Repository!A:I, 8, 0), ""), "")</f>
        <v/>
      </c>
      <c r="R966" s="105" t="str">
        <f>IF(F966="Yes", IFERROR(VLOOKUP(D966, Repository!A:J, 9, 0), ""), "")</f>
        <v/>
      </c>
      <c r="S966" s="105"/>
      <c r="T966" s="105"/>
      <c r="U966" s="105"/>
      <c r="V966" s="105"/>
      <c r="W966" s="105"/>
      <c r="X966" s="105"/>
      <c r="Y966" s="105"/>
      <c r="Z966" s="105"/>
      <c r="AA966" s="105"/>
      <c r="AB966" s="105"/>
      <c r="AC966" s="91"/>
      <c r="AD966" s="105"/>
      <c r="AE966" s="105"/>
      <c r="AF966" s="91"/>
      <c r="AG966" s="105"/>
      <c r="AH966" s="105"/>
      <c r="AI966" s="105" t="str">
        <f t="shared" si="1"/>
        <v/>
      </c>
      <c r="AJ966" s="108" t="str">
        <f t="shared" si="2"/>
        <v/>
      </c>
    </row>
    <row r="967" ht="15.75" customHeight="1">
      <c r="A967" s="104"/>
      <c r="B967" s="105" t="str">
        <f>IFERROR(__xludf.DUMMYFUNCTION("ARRAY_CONSTRAIN(
  ARRAYFORMULA(
    IF(
      'Final Report'!A967="""",
      """",
      TEXTJOIN(
        "", "" &amp; CHAR(10),
        TRUE,
        IFERROR(
          VLOOKUP(
            TRIM(
              SPLIT('Final Report'!A967, "","")
           "&amp;" ),
            'URL Details'!A:B,
            2,
            FALSE
          ),
          """"
        )
      )
    )
  ),
  1,
  1
)
"),"")</f>
        <v/>
      </c>
      <c r="C967" s="105" t="str">
        <f>IFERROR(__xludf.DUMMYFUNCTION("IFERROR(IF('Final Report'!A967="""","""", TEXTJOIN(CHAR(10), TRUE, ARRAYFORMULA( ""• ""&amp; FILTER( TRIM(FLATTEN(SPLIT( REGEXREPLACE( SUBSTITUTE(TEXTJOIN("","", TRUE, IFERROR(ARRAYFORMULA(VLOOKUP(TRIM(SPLIT('Final Report'!A967, "","")), 'URL Details'!A:D, 4,"&amp;" FALSE)),"""") ), CHAR(10), "",""), ""\s*,\s*"", "",""), "",""))), TRIM(FLATTEN(SPLIT( REGEXREPLACE( SUBSTITUTE(TEXTJOIN("","", TRUE, IFERROR(ARRAYFORMULA(VLOOKUP(TRIM(SPLIT('Final Report'!A967, "","")), 'URL Details'!A:D, 4, FALSE)),"""") ), CHAR(10), """&amp;",""), ""\s*,\s*"", "",""), "","")))&lt;&gt;"""" ) ) ) ),"""")
"),"")</f>
        <v/>
      </c>
      <c r="D967" s="105"/>
      <c r="E967" s="105"/>
      <c r="F967" s="110" t="b">
        <v>0</v>
      </c>
      <c r="G967" s="105" t="str">
        <f>IF(F967=True, IFERROR(VLOOKUP(D967, Repository!A:B, 2, 0), ""), "")</f>
        <v/>
      </c>
      <c r="H967" s="105"/>
      <c r="I967" s="105"/>
      <c r="J967" s="105" t="str">
        <f>IF(F967=True, IFERROR(VLOOKUP(D967, Repository!A:C, 3, 0), ""), "")</f>
        <v/>
      </c>
      <c r="K967" s="105"/>
      <c r="L967" s="105" t="str">
        <f>IF(F967=True, IFERROR(VLOOKUP(D967, Repository!A:E, 5, 0), ""), "")</f>
        <v/>
      </c>
      <c r="M967" s="105"/>
      <c r="N967" s="105" t="str">
        <f>IF(F967=True, IFERROR(VLOOKUP(D967, Repository!A:G, 7, 0), ""), "")</f>
        <v/>
      </c>
      <c r="O967" s="105" t="str">
        <f>IFERROR(__xludf.DUMMYFUNCTION("ARRAY_CONSTRAIN(
  ARRAYFORMULA(
    IFERROR(
      LET(
        list, N967,
        arr, TRIM(SPLIT(list, "","")),
        names, XLOOKUP(
          arr,
          'Conformance Score'!A:A,
          'Conformance Score'!B:B,
          ""Not found""
      "&amp;"  ),
        TEXTJOIN("", "", TRUE, names)
      ),
      """"
    )
  ),
  1,
  1
)
"),"")</f>
        <v/>
      </c>
      <c r="P967" s="105" t="str">
        <f>IF(F967="Yes", IFERROR(VLOOKUP(D967, Repository!A:F, 6, 0), ""), "")</f>
        <v/>
      </c>
      <c r="Q967" s="105" t="str">
        <f>IF(F967="Yes", IFERROR(VLOOKUP(D967, Repository!A:I, 8, 0), ""), "")</f>
        <v/>
      </c>
      <c r="R967" s="105" t="str">
        <f>IF(F967="Yes", IFERROR(VLOOKUP(D967, Repository!A:J, 9, 0), ""), "")</f>
        <v/>
      </c>
      <c r="S967" s="105"/>
      <c r="T967" s="105"/>
      <c r="U967" s="105"/>
      <c r="V967" s="105"/>
      <c r="W967" s="105"/>
      <c r="X967" s="105"/>
      <c r="Y967" s="105"/>
      <c r="Z967" s="105"/>
      <c r="AA967" s="105"/>
      <c r="AB967" s="105"/>
      <c r="AC967" s="91"/>
      <c r="AD967" s="105"/>
      <c r="AE967" s="105"/>
      <c r="AF967" s="91"/>
      <c r="AG967" s="105"/>
      <c r="AH967" s="105"/>
      <c r="AI967" s="105" t="str">
        <f t="shared" si="1"/>
        <v/>
      </c>
      <c r="AJ967" s="108" t="str">
        <f t="shared" si="2"/>
        <v/>
      </c>
    </row>
    <row r="968" ht="15.75" customHeight="1">
      <c r="A968" s="104"/>
      <c r="B968" s="105" t="str">
        <f>IFERROR(__xludf.DUMMYFUNCTION("ARRAY_CONSTRAIN(
  ARRAYFORMULA(
    IF(
      'Final Report'!A968="""",
      """",
      TEXTJOIN(
        "", "" &amp; CHAR(10),
        TRUE,
        IFERROR(
          VLOOKUP(
            TRIM(
              SPLIT('Final Report'!A968, "","")
           "&amp;" ),
            'URL Details'!A:B,
            2,
            FALSE
          ),
          """"
        )
      )
    )
  ),
  1,
  1
)
"),"")</f>
        <v/>
      </c>
      <c r="C968" s="105" t="str">
        <f>IFERROR(__xludf.DUMMYFUNCTION("IFERROR(IF('Final Report'!A968="""","""", TEXTJOIN(CHAR(10), TRUE, ARRAYFORMULA( ""• ""&amp; FILTER( TRIM(FLATTEN(SPLIT( REGEXREPLACE( SUBSTITUTE(TEXTJOIN("","", TRUE, IFERROR(ARRAYFORMULA(VLOOKUP(TRIM(SPLIT('Final Report'!A968, "","")), 'URL Details'!A:D, 4,"&amp;" FALSE)),"""") ), CHAR(10), "",""), ""\s*,\s*"", "",""), "",""))), TRIM(FLATTEN(SPLIT( REGEXREPLACE( SUBSTITUTE(TEXTJOIN("","", TRUE, IFERROR(ARRAYFORMULA(VLOOKUP(TRIM(SPLIT('Final Report'!A968, "","")), 'URL Details'!A:D, 4, FALSE)),"""") ), CHAR(10), """&amp;",""), ""\s*,\s*"", "",""), "","")))&lt;&gt;"""" ) ) ) ),"""")
"),"")</f>
        <v/>
      </c>
      <c r="D968" s="105"/>
      <c r="E968" s="105"/>
      <c r="F968" s="110" t="b">
        <v>0</v>
      </c>
      <c r="G968" s="105" t="str">
        <f>IF(F968=True, IFERROR(VLOOKUP(D968, Repository!A:B, 2, 0), ""), "")</f>
        <v/>
      </c>
      <c r="H968" s="105"/>
      <c r="I968" s="105"/>
      <c r="J968" s="105" t="str">
        <f>IF(F968=True, IFERROR(VLOOKUP(D968, Repository!A:C, 3, 0), ""), "")</f>
        <v/>
      </c>
      <c r="K968" s="105"/>
      <c r="L968" s="105" t="str">
        <f>IF(F968=True, IFERROR(VLOOKUP(D968, Repository!A:E, 5, 0), ""), "")</f>
        <v/>
      </c>
      <c r="M968" s="105"/>
      <c r="N968" s="105" t="str">
        <f>IF(F968=True, IFERROR(VLOOKUP(D968, Repository!A:G, 7, 0), ""), "")</f>
        <v/>
      </c>
      <c r="O968" s="105" t="str">
        <f>IFERROR(__xludf.DUMMYFUNCTION("ARRAY_CONSTRAIN(
  ARRAYFORMULA(
    IFERROR(
      LET(
        list, N968,
        arr, TRIM(SPLIT(list, "","")),
        names, XLOOKUP(
          arr,
          'Conformance Score'!A:A,
          'Conformance Score'!B:B,
          ""Not found""
      "&amp;"  ),
        TEXTJOIN("", "", TRUE, names)
      ),
      """"
    )
  ),
  1,
  1
)
"),"")</f>
        <v/>
      </c>
      <c r="P968" s="105" t="str">
        <f>IF(F968="Yes", IFERROR(VLOOKUP(D968, Repository!A:F, 6, 0), ""), "")</f>
        <v/>
      </c>
      <c r="Q968" s="105" t="str">
        <f>IF(F968="Yes", IFERROR(VLOOKUP(D968, Repository!A:I, 8, 0), ""), "")</f>
        <v/>
      </c>
      <c r="R968" s="105" t="str">
        <f>IF(F968="Yes", IFERROR(VLOOKUP(D968, Repository!A:J, 9, 0), ""), "")</f>
        <v/>
      </c>
      <c r="S968" s="105"/>
      <c r="T968" s="105"/>
      <c r="U968" s="105"/>
      <c r="V968" s="105"/>
      <c r="W968" s="105"/>
      <c r="X968" s="105"/>
      <c r="Y968" s="105"/>
      <c r="Z968" s="105"/>
      <c r="AA968" s="105"/>
      <c r="AB968" s="105"/>
      <c r="AC968" s="91"/>
      <c r="AD968" s="105"/>
      <c r="AE968" s="105"/>
      <c r="AF968" s="91"/>
      <c r="AG968" s="105"/>
      <c r="AH968" s="105"/>
      <c r="AI968" s="105" t="str">
        <f t="shared" si="1"/>
        <v/>
      </c>
      <c r="AJ968" s="108" t="str">
        <f t="shared" si="2"/>
        <v/>
      </c>
    </row>
    <row r="969" ht="15.75" customHeight="1">
      <c r="A969" s="104"/>
      <c r="B969" s="105" t="str">
        <f>IFERROR(__xludf.DUMMYFUNCTION("ARRAY_CONSTRAIN(
  ARRAYFORMULA(
    IF(
      'Final Report'!A969="""",
      """",
      TEXTJOIN(
        "", "" &amp; CHAR(10),
        TRUE,
        IFERROR(
          VLOOKUP(
            TRIM(
              SPLIT('Final Report'!A969, "","")
           "&amp;" ),
            'URL Details'!A:B,
            2,
            FALSE
          ),
          """"
        )
      )
    )
  ),
  1,
  1
)
"),"")</f>
        <v/>
      </c>
      <c r="C969" s="105" t="str">
        <f>IFERROR(__xludf.DUMMYFUNCTION("IFERROR(IF('Final Report'!A969="""","""", TEXTJOIN(CHAR(10), TRUE, ARRAYFORMULA( ""• ""&amp; FILTER( TRIM(FLATTEN(SPLIT( REGEXREPLACE( SUBSTITUTE(TEXTJOIN("","", TRUE, IFERROR(ARRAYFORMULA(VLOOKUP(TRIM(SPLIT('Final Report'!A969, "","")), 'URL Details'!A:D, 4,"&amp;" FALSE)),"""") ), CHAR(10), "",""), ""\s*,\s*"", "",""), "",""))), TRIM(FLATTEN(SPLIT( REGEXREPLACE( SUBSTITUTE(TEXTJOIN("","", TRUE, IFERROR(ARRAYFORMULA(VLOOKUP(TRIM(SPLIT('Final Report'!A969, "","")), 'URL Details'!A:D, 4, FALSE)),"""") ), CHAR(10), """&amp;",""), ""\s*,\s*"", "",""), "","")))&lt;&gt;"""" ) ) ) ),"""")
"),"")</f>
        <v/>
      </c>
      <c r="D969" s="105"/>
      <c r="E969" s="105"/>
      <c r="F969" s="110" t="b">
        <v>0</v>
      </c>
      <c r="G969" s="105" t="str">
        <f>IF(F969=True, IFERROR(VLOOKUP(D969, Repository!A:B, 2, 0), ""), "")</f>
        <v/>
      </c>
      <c r="H969" s="105"/>
      <c r="I969" s="105"/>
      <c r="J969" s="105" t="str">
        <f>IF(F969=True, IFERROR(VLOOKUP(D969, Repository!A:C, 3, 0), ""), "")</f>
        <v/>
      </c>
      <c r="K969" s="105"/>
      <c r="L969" s="105" t="str">
        <f>IF(F969=True, IFERROR(VLOOKUP(D969, Repository!A:E, 5, 0), ""), "")</f>
        <v/>
      </c>
      <c r="M969" s="105"/>
      <c r="N969" s="105" t="str">
        <f>IF(F969=True, IFERROR(VLOOKUP(D969, Repository!A:G, 7, 0), ""), "")</f>
        <v/>
      </c>
      <c r="O969" s="105" t="str">
        <f>IFERROR(__xludf.DUMMYFUNCTION("ARRAY_CONSTRAIN(
  ARRAYFORMULA(
    IFERROR(
      LET(
        list, N969,
        arr, TRIM(SPLIT(list, "","")),
        names, XLOOKUP(
          arr,
          'Conformance Score'!A:A,
          'Conformance Score'!B:B,
          ""Not found""
      "&amp;"  ),
        TEXTJOIN("", "", TRUE, names)
      ),
      """"
    )
  ),
  1,
  1
)
"),"")</f>
        <v/>
      </c>
      <c r="P969" s="105" t="str">
        <f>IF(F969="Yes", IFERROR(VLOOKUP(D969, Repository!A:F, 6, 0), ""), "")</f>
        <v/>
      </c>
      <c r="Q969" s="105" t="str">
        <f>IF(F969="Yes", IFERROR(VLOOKUP(D969, Repository!A:I, 8, 0), ""), "")</f>
        <v/>
      </c>
      <c r="R969" s="105" t="str">
        <f>IF(F969="Yes", IFERROR(VLOOKUP(D969, Repository!A:J, 9, 0), ""), "")</f>
        <v/>
      </c>
      <c r="S969" s="105"/>
      <c r="T969" s="105"/>
      <c r="U969" s="105"/>
      <c r="V969" s="105"/>
      <c r="W969" s="105"/>
      <c r="X969" s="105"/>
      <c r="Y969" s="105"/>
      <c r="Z969" s="105"/>
      <c r="AA969" s="105"/>
      <c r="AB969" s="105"/>
      <c r="AC969" s="91"/>
      <c r="AD969" s="105"/>
      <c r="AE969" s="105"/>
      <c r="AF969" s="91"/>
      <c r="AG969" s="105"/>
      <c r="AH969" s="105"/>
      <c r="AI969" s="105" t="str">
        <f t="shared" si="1"/>
        <v/>
      </c>
      <c r="AJ969" s="108" t="str">
        <f t="shared" si="2"/>
        <v/>
      </c>
    </row>
    <row r="970" ht="15.75" customHeight="1">
      <c r="A970" s="104"/>
      <c r="B970" s="105" t="str">
        <f>IFERROR(__xludf.DUMMYFUNCTION("ARRAY_CONSTRAIN(
  ARRAYFORMULA(
    IF(
      'Final Report'!A970="""",
      """",
      TEXTJOIN(
        "", "" &amp; CHAR(10),
        TRUE,
        IFERROR(
          VLOOKUP(
            TRIM(
              SPLIT('Final Report'!A970, "","")
           "&amp;" ),
            'URL Details'!A:B,
            2,
            FALSE
          ),
          """"
        )
      )
    )
  ),
  1,
  1
)
"),"")</f>
        <v/>
      </c>
      <c r="C970" s="105" t="str">
        <f>IFERROR(__xludf.DUMMYFUNCTION("IFERROR(IF('Final Report'!A970="""","""", TEXTJOIN(CHAR(10), TRUE, ARRAYFORMULA( ""• ""&amp; FILTER( TRIM(FLATTEN(SPLIT( REGEXREPLACE( SUBSTITUTE(TEXTJOIN("","", TRUE, IFERROR(ARRAYFORMULA(VLOOKUP(TRIM(SPLIT('Final Report'!A970, "","")), 'URL Details'!A:D, 4,"&amp;" FALSE)),"""") ), CHAR(10), "",""), ""\s*,\s*"", "",""), "",""))), TRIM(FLATTEN(SPLIT( REGEXREPLACE( SUBSTITUTE(TEXTJOIN("","", TRUE, IFERROR(ARRAYFORMULA(VLOOKUP(TRIM(SPLIT('Final Report'!A970, "","")), 'URL Details'!A:D, 4, FALSE)),"""") ), CHAR(10), """&amp;",""), ""\s*,\s*"", "",""), "","")))&lt;&gt;"""" ) ) ) ),"""")
"),"")</f>
        <v/>
      </c>
      <c r="D970" s="105"/>
      <c r="E970" s="105"/>
      <c r="F970" s="110" t="b">
        <v>0</v>
      </c>
      <c r="G970" s="105" t="str">
        <f>IF(F970=True, IFERROR(VLOOKUP(D970, Repository!A:B, 2, 0), ""), "")</f>
        <v/>
      </c>
      <c r="H970" s="105"/>
      <c r="I970" s="105"/>
      <c r="J970" s="105" t="str">
        <f>IF(F970=True, IFERROR(VLOOKUP(D970, Repository!A:C, 3, 0), ""), "")</f>
        <v/>
      </c>
      <c r="K970" s="105"/>
      <c r="L970" s="105" t="str">
        <f>IF(F970=True, IFERROR(VLOOKUP(D970, Repository!A:E, 5, 0), ""), "")</f>
        <v/>
      </c>
      <c r="M970" s="105"/>
      <c r="N970" s="105" t="str">
        <f>IF(F970=True, IFERROR(VLOOKUP(D970, Repository!A:G, 7, 0), ""), "")</f>
        <v/>
      </c>
      <c r="O970" s="105" t="str">
        <f>IFERROR(__xludf.DUMMYFUNCTION("ARRAY_CONSTRAIN(
  ARRAYFORMULA(
    IFERROR(
      LET(
        list, N970,
        arr, TRIM(SPLIT(list, "","")),
        names, XLOOKUP(
          arr,
          'Conformance Score'!A:A,
          'Conformance Score'!B:B,
          ""Not found""
      "&amp;"  ),
        TEXTJOIN("", "", TRUE, names)
      ),
      """"
    )
  ),
  1,
  1
)
"),"")</f>
        <v/>
      </c>
      <c r="P970" s="105" t="str">
        <f>IF(F970="Yes", IFERROR(VLOOKUP(D970, Repository!A:F, 6, 0), ""), "")</f>
        <v/>
      </c>
      <c r="Q970" s="105" t="str">
        <f>IF(F970="Yes", IFERROR(VLOOKUP(D970, Repository!A:I, 8, 0), ""), "")</f>
        <v/>
      </c>
      <c r="R970" s="105" t="str">
        <f>IF(F970="Yes", IFERROR(VLOOKUP(D970, Repository!A:J, 9, 0), ""), "")</f>
        <v/>
      </c>
      <c r="S970" s="105"/>
      <c r="T970" s="105"/>
      <c r="U970" s="105"/>
      <c r="V970" s="105"/>
      <c r="W970" s="105"/>
      <c r="X970" s="105"/>
      <c r="Y970" s="105"/>
      <c r="Z970" s="105"/>
      <c r="AA970" s="105"/>
      <c r="AB970" s="105"/>
      <c r="AC970" s="91"/>
      <c r="AD970" s="105"/>
      <c r="AE970" s="105"/>
      <c r="AF970" s="91"/>
      <c r="AG970" s="105"/>
      <c r="AH970" s="105"/>
      <c r="AI970" s="105" t="str">
        <f t="shared" si="1"/>
        <v/>
      </c>
      <c r="AJ970" s="108" t="str">
        <f t="shared" si="2"/>
        <v/>
      </c>
    </row>
    <row r="971" ht="15.75" customHeight="1">
      <c r="A971" s="104"/>
      <c r="B971" s="105" t="str">
        <f>IFERROR(__xludf.DUMMYFUNCTION("ARRAY_CONSTRAIN(
  ARRAYFORMULA(
    IF(
      'Final Report'!A971="""",
      """",
      TEXTJOIN(
        "", "" &amp; CHAR(10),
        TRUE,
        IFERROR(
          VLOOKUP(
            TRIM(
              SPLIT('Final Report'!A971, "","")
           "&amp;" ),
            'URL Details'!A:B,
            2,
            FALSE
          ),
          """"
        )
      )
    )
  ),
  1,
  1
)
"),"")</f>
        <v/>
      </c>
      <c r="C971" s="105" t="str">
        <f>IFERROR(__xludf.DUMMYFUNCTION("IFERROR(IF('Final Report'!A971="""","""", TEXTJOIN(CHAR(10), TRUE, ARRAYFORMULA( ""• ""&amp; FILTER( TRIM(FLATTEN(SPLIT( REGEXREPLACE( SUBSTITUTE(TEXTJOIN("","", TRUE, IFERROR(ARRAYFORMULA(VLOOKUP(TRIM(SPLIT('Final Report'!A971, "","")), 'URL Details'!A:D, 4,"&amp;" FALSE)),"""") ), CHAR(10), "",""), ""\s*,\s*"", "",""), "",""))), TRIM(FLATTEN(SPLIT( REGEXREPLACE( SUBSTITUTE(TEXTJOIN("","", TRUE, IFERROR(ARRAYFORMULA(VLOOKUP(TRIM(SPLIT('Final Report'!A971, "","")), 'URL Details'!A:D, 4, FALSE)),"""") ), CHAR(10), """&amp;",""), ""\s*,\s*"", "",""), "","")))&lt;&gt;"""" ) ) ) ),"""")
"),"")</f>
        <v/>
      </c>
      <c r="D971" s="105"/>
      <c r="E971" s="105"/>
      <c r="F971" s="110" t="b">
        <v>0</v>
      </c>
      <c r="G971" s="105" t="str">
        <f>IF(F971=True, IFERROR(VLOOKUP(D971, Repository!A:B, 2, 0), ""), "")</f>
        <v/>
      </c>
      <c r="H971" s="105"/>
      <c r="I971" s="105"/>
      <c r="J971" s="105" t="str">
        <f>IF(F971=True, IFERROR(VLOOKUP(D971, Repository!A:C, 3, 0), ""), "")</f>
        <v/>
      </c>
      <c r="K971" s="105"/>
      <c r="L971" s="105" t="str">
        <f>IF(F971=True, IFERROR(VLOOKUP(D971, Repository!A:E, 5, 0), ""), "")</f>
        <v/>
      </c>
      <c r="M971" s="105"/>
      <c r="N971" s="105" t="str">
        <f>IF(F971=True, IFERROR(VLOOKUP(D971, Repository!A:G, 7, 0), ""), "")</f>
        <v/>
      </c>
      <c r="O971" s="105" t="str">
        <f>IFERROR(__xludf.DUMMYFUNCTION("ARRAY_CONSTRAIN(
  ARRAYFORMULA(
    IFERROR(
      LET(
        list, N971,
        arr, TRIM(SPLIT(list, "","")),
        names, XLOOKUP(
          arr,
          'Conformance Score'!A:A,
          'Conformance Score'!B:B,
          ""Not found""
      "&amp;"  ),
        TEXTJOIN("", "", TRUE, names)
      ),
      """"
    )
  ),
  1,
  1
)
"),"")</f>
        <v/>
      </c>
      <c r="P971" s="105" t="str">
        <f>IF(F971="Yes", IFERROR(VLOOKUP(D971, Repository!A:F, 6, 0), ""), "")</f>
        <v/>
      </c>
      <c r="Q971" s="105" t="str">
        <f>IF(F971="Yes", IFERROR(VLOOKUP(D971, Repository!A:I, 8, 0), ""), "")</f>
        <v/>
      </c>
      <c r="R971" s="105" t="str">
        <f>IF(F971="Yes", IFERROR(VLOOKUP(D971, Repository!A:J, 9, 0), ""), "")</f>
        <v/>
      </c>
      <c r="S971" s="105"/>
      <c r="T971" s="105"/>
      <c r="U971" s="105"/>
      <c r="V971" s="105"/>
      <c r="W971" s="105"/>
      <c r="X971" s="105"/>
      <c r="Y971" s="105"/>
      <c r="Z971" s="105"/>
      <c r="AA971" s="105"/>
      <c r="AB971" s="105"/>
      <c r="AC971" s="91"/>
      <c r="AD971" s="105"/>
      <c r="AE971" s="105"/>
      <c r="AF971" s="91"/>
      <c r="AG971" s="105"/>
      <c r="AH971" s="105"/>
      <c r="AI971" s="105" t="str">
        <f t="shared" si="1"/>
        <v/>
      </c>
      <c r="AJ971" s="108" t="str">
        <f t="shared" si="2"/>
        <v/>
      </c>
    </row>
    <row r="972" ht="15.75" customHeight="1">
      <c r="A972" s="104"/>
      <c r="B972" s="105" t="str">
        <f>IFERROR(__xludf.DUMMYFUNCTION("ARRAY_CONSTRAIN(
  ARRAYFORMULA(
    IF(
      'Final Report'!A972="""",
      """",
      TEXTJOIN(
        "", "" &amp; CHAR(10),
        TRUE,
        IFERROR(
          VLOOKUP(
            TRIM(
              SPLIT('Final Report'!A972, "","")
           "&amp;" ),
            'URL Details'!A:B,
            2,
            FALSE
          ),
          """"
        )
      )
    )
  ),
  1,
  1
)
"),"")</f>
        <v/>
      </c>
      <c r="C972" s="105" t="str">
        <f>IFERROR(__xludf.DUMMYFUNCTION("IFERROR(IF('Final Report'!A972="""","""", TEXTJOIN(CHAR(10), TRUE, ARRAYFORMULA( ""• ""&amp; FILTER( TRIM(FLATTEN(SPLIT( REGEXREPLACE( SUBSTITUTE(TEXTJOIN("","", TRUE, IFERROR(ARRAYFORMULA(VLOOKUP(TRIM(SPLIT('Final Report'!A972, "","")), 'URL Details'!A:D, 4,"&amp;" FALSE)),"""") ), CHAR(10), "",""), ""\s*,\s*"", "",""), "",""))), TRIM(FLATTEN(SPLIT( REGEXREPLACE( SUBSTITUTE(TEXTJOIN("","", TRUE, IFERROR(ARRAYFORMULA(VLOOKUP(TRIM(SPLIT('Final Report'!A972, "","")), 'URL Details'!A:D, 4, FALSE)),"""") ), CHAR(10), """&amp;",""), ""\s*,\s*"", "",""), "","")))&lt;&gt;"""" ) ) ) ),"""")
"),"")</f>
        <v/>
      </c>
      <c r="D972" s="105"/>
      <c r="E972" s="105"/>
      <c r="F972" s="110" t="b">
        <v>0</v>
      </c>
      <c r="G972" s="105" t="str">
        <f>IF(F972=True, IFERROR(VLOOKUP(D972, Repository!A:B, 2, 0), ""), "")</f>
        <v/>
      </c>
      <c r="H972" s="105"/>
      <c r="I972" s="105"/>
      <c r="J972" s="105" t="str">
        <f>IF(F972=True, IFERROR(VLOOKUP(D972, Repository!A:C, 3, 0), ""), "")</f>
        <v/>
      </c>
      <c r="K972" s="105"/>
      <c r="L972" s="105" t="str">
        <f>IF(F972=True, IFERROR(VLOOKUP(D972, Repository!A:E, 5, 0), ""), "")</f>
        <v/>
      </c>
      <c r="M972" s="105"/>
      <c r="N972" s="105" t="str">
        <f>IF(F972=True, IFERROR(VLOOKUP(D972, Repository!A:G, 7, 0), ""), "")</f>
        <v/>
      </c>
      <c r="O972" s="105" t="str">
        <f>IFERROR(__xludf.DUMMYFUNCTION("ARRAY_CONSTRAIN(
  ARRAYFORMULA(
    IFERROR(
      LET(
        list, N972,
        arr, TRIM(SPLIT(list, "","")),
        names, XLOOKUP(
          arr,
          'Conformance Score'!A:A,
          'Conformance Score'!B:B,
          ""Not found""
      "&amp;"  ),
        TEXTJOIN("", "", TRUE, names)
      ),
      """"
    )
  ),
  1,
  1
)
"),"")</f>
        <v/>
      </c>
      <c r="P972" s="105" t="str">
        <f>IF(F972="Yes", IFERROR(VLOOKUP(D972, Repository!A:F, 6, 0), ""), "")</f>
        <v/>
      </c>
      <c r="Q972" s="105" t="str">
        <f>IF(F972="Yes", IFERROR(VLOOKUP(D972, Repository!A:I, 8, 0), ""), "")</f>
        <v/>
      </c>
      <c r="R972" s="105" t="str">
        <f>IF(F972="Yes", IFERROR(VLOOKUP(D972, Repository!A:J, 9, 0), ""), "")</f>
        <v/>
      </c>
      <c r="S972" s="105"/>
      <c r="T972" s="105"/>
      <c r="U972" s="105"/>
      <c r="V972" s="105"/>
      <c r="W972" s="105"/>
      <c r="X972" s="105"/>
      <c r="Y972" s="105"/>
      <c r="Z972" s="105"/>
      <c r="AA972" s="105"/>
      <c r="AB972" s="105"/>
      <c r="AC972" s="91"/>
      <c r="AD972" s="105"/>
      <c r="AE972" s="105"/>
      <c r="AF972" s="91"/>
      <c r="AG972" s="105"/>
      <c r="AH972" s="105"/>
      <c r="AI972" s="105" t="str">
        <f t="shared" si="1"/>
        <v/>
      </c>
      <c r="AJ972" s="108" t="str">
        <f t="shared" si="2"/>
        <v/>
      </c>
    </row>
    <row r="973" ht="15.75" customHeight="1">
      <c r="A973" s="104"/>
      <c r="B973" s="105" t="str">
        <f>IFERROR(__xludf.DUMMYFUNCTION("ARRAY_CONSTRAIN(
  ARRAYFORMULA(
    IF(
      'Final Report'!A973="""",
      """",
      TEXTJOIN(
        "", "" &amp; CHAR(10),
        TRUE,
        IFERROR(
          VLOOKUP(
            TRIM(
              SPLIT('Final Report'!A973, "","")
           "&amp;" ),
            'URL Details'!A:B,
            2,
            FALSE
          ),
          """"
        )
      )
    )
  ),
  1,
  1
)
"),"")</f>
        <v/>
      </c>
      <c r="C973" s="105" t="str">
        <f>IFERROR(__xludf.DUMMYFUNCTION("IFERROR(IF('Final Report'!A973="""","""", TEXTJOIN(CHAR(10), TRUE, ARRAYFORMULA( ""• ""&amp; FILTER( TRIM(FLATTEN(SPLIT( REGEXREPLACE( SUBSTITUTE(TEXTJOIN("","", TRUE, IFERROR(ARRAYFORMULA(VLOOKUP(TRIM(SPLIT('Final Report'!A973, "","")), 'URL Details'!A:D, 4,"&amp;" FALSE)),"""") ), CHAR(10), "",""), ""\s*,\s*"", "",""), "",""))), TRIM(FLATTEN(SPLIT( REGEXREPLACE( SUBSTITUTE(TEXTJOIN("","", TRUE, IFERROR(ARRAYFORMULA(VLOOKUP(TRIM(SPLIT('Final Report'!A973, "","")), 'URL Details'!A:D, 4, FALSE)),"""") ), CHAR(10), """&amp;",""), ""\s*,\s*"", "",""), "","")))&lt;&gt;"""" ) ) ) ),"""")
"),"")</f>
        <v/>
      </c>
      <c r="D973" s="105"/>
      <c r="E973" s="105"/>
      <c r="F973" s="110" t="b">
        <v>0</v>
      </c>
      <c r="G973" s="105" t="str">
        <f>IF(F973=True, IFERROR(VLOOKUP(D973, Repository!A:B, 2, 0), ""), "")</f>
        <v/>
      </c>
      <c r="H973" s="105"/>
      <c r="I973" s="105"/>
      <c r="J973" s="105" t="str">
        <f>IF(F973=True, IFERROR(VLOOKUP(D973, Repository!A:C, 3, 0), ""), "")</f>
        <v/>
      </c>
      <c r="K973" s="105"/>
      <c r="L973" s="105" t="str">
        <f>IF(F973=True, IFERROR(VLOOKUP(D973, Repository!A:E, 5, 0), ""), "")</f>
        <v/>
      </c>
      <c r="M973" s="105"/>
      <c r="N973" s="105" t="str">
        <f>IF(F973=True, IFERROR(VLOOKUP(D973, Repository!A:G, 7, 0), ""), "")</f>
        <v/>
      </c>
      <c r="O973" s="105" t="str">
        <f>IFERROR(__xludf.DUMMYFUNCTION("ARRAY_CONSTRAIN(
  ARRAYFORMULA(
    IFERROR(
      LET(
        list, N973,
        arr, TRIM(SPLIT(list, "","")),
        names, XLOOKUP(
          arr,
          'Conformance Score'!A:A,
          'Conformance Score'!B:B,
          ""Not found""
      "&amp;"  ),
        TEXTJOIN("", "", TRUE, names)
      ),
      """"
    )
  ),
  1,
  1
)
"),"")</f>
        <v/>
      </c>
      <c r="P973" s="105" t="str">
        <f>IF(F973="Yes", IFERROR(VLOOKUP(D973, Repository!A:F, 6, 0), ""), "")</f>
        <v/>
      </c>
      <c r="Q973" s="105" t="str">
        <f>IF(F973="Yes", IFERROR(VLOOKUP(D973, Repository!A:I, 8, 0), ""), "")</f>
        <v/>
      </c>
      <c r="R973" s="105" t="str">
        <f>IF(F973="Yes", IFERROR(VLOOKUP(D973, Repository!A:J, 9, 0), ""), "")</f>
        <v/>
      </c>
      <c r="S973" s="105"/>
      <c r="T973" s="105"/>
      <c r="U973" s="105"/>
      <c r="V973" s="105"/>
      <c r="W973" s="105"/>
      <c r="X973" s="105"/>
      <c r="Y973" s="105"/>
      <c r="Z973" s="105"/>
      <c r="AA973" s="105"/>
      <c r="AB973" s="105"/>
      <c r="AC973" s="91"/>
      <c r="AD973" s="105"/>
      <c r="AE973" s="105"/>
      <c r="AF973" s="91"/>
      <c r="AG973" s="105"/>
      <c r="AH973" s="105"/>
      <c r="AI973" s="105" t="str">
        <f t="shared" si="1"/>
        <v/>
      </c>
      <c r="AJ973" s="108" t="str">
        <f t="shared" si="2"/>
        <v/>
      </c>
    </row>
    <row r="974" ht="15.75" customHeight="1">
      <c r="A974" s="104"/>
      <c r="B974" s="105" t="str">
        <f>IFERROR(__xludf.DUMMYFUNCTION("ARRAY_CONSTRAIN(
  ARRAYFORMULA(
    IF(
      'Final Report'!A974="""",
      """",
      TEXTJOIN(
        "", "" &amp; CHAR(10),
        TRUE,
        IFERROR(
          VLOOKUP(
            TRIM(
              SPLIT('Final Report'!A974, "","")
           "&amp;" ),
            'URL Details'!A:B,
            2,
            FALSE
          ),
          """"
        )
      )
    )
  ),
  1,
  1
)
"),"")</f>
        <v/>
      </c>
      <c r="C974" s="105" t="str">
        <f>IFERROR(__xludf.DUMMYFUNCTION("IFERROR(IF('Final Report'!A974="""","""", TEXTJOIN(CHAR(10), TRUE, ARRAYFORMULA( ""• ""&amp; FILTER( TRIM(FLATTEN(SPLIT( REGEXREPLACE( SUBSTITUTE(TEXTJOIN("","", TRUE, IFERROR(ARRAYFORMULA(VLOOKUP(TRIM(SPLIT('Final Report'!A974, "","")), 'URL Details'!A:D, 4,"&amp;" FALSE)),"""") ), CHAR(10), "",""), ""\s*,\s*"", "",""), "",""))), TRIM(FLATTEN(SPLIT( REGEXREPLACE( SUBSTITUTE(TEXTJOIN("","", TRUE, IFERROR(ARRAYFORMULA(VLOOKUP(TRIM(SPLIT('Final Report'!A974, "","")), 'URL Details'!A:D, 4, FALSE)),"""") ), CHAR(10), """&amp;",""), ""\s*,\s*"", "",""), "","")))&lt;&gt;"""" ) ) ) ),"""")
"),"")</f>
        <v/>
      </c>
      <c r="D974" s="105"/>
      <c r="E974" s="105"/>
      <c r="F974" s="110" t="b">
        <v>0</v>
      </c>
      <c r="G974" s="105" t="str">
        <f>IF(F974=True, IFERROR(VLOOKUP(D974, Repository!A:B, 2, 0), ""), "")</f>
        <v/>
      </c>
      <c r="H974" s="105"/>
      <c r="I974" s="105"/>
      <c r="J974" s="105" t="str">
        <f>IF(F974=True, IFERROR(VLOOKUP(D974, Repository!A:C, 3, 0), ""), "")</f>
        <v/>
      </c>
      <c r="K974" s="105"/>
      <c r="L974" s="105" t="str">
        <f>IF(F974=True, IFERROR(VLOOKUP(D974, Repository!A:E, 5, 0), ""), "")</f>
        <v/>
      </c>
      <c r="M974" s="105"/>
      <c r="N974" s="105" t="str">
        <f>IF(F974=True, IFERROR(VLOOKUP(D974, Repository!A:G, 7, 0), ""), "")</f>
        <v/>
      </c>
      <c r="O974" s="105" t="str">
        <f>IFERROR(__xludf.DUMMYFUNCTION("ARRAY_CONSTRAIN(
  ARRAYFORMULA(
    IFERROR(
      LET(
        list, N974,
        arr, TRIM(SPLIT(list, "","")),
        names, XLOOKUP(
          arr,
          'Conformance Score'!A:A,
          'Conformance Score'!B:B,
          ""Not found""
      "&amp;"  ),
        TEXTJOIN("", "", TRUE, names)
      ),
      """"
    )
  ),
  1,
  1
)
"),"")</f>
        <v/>
      </c>
      <c r="P974" s="105" t="str">
        <f>IF(F974="Yes", IFERROR(VLOOKUP(D974, Repository!A:F, 6, 0), ""), "")</f>
        <v/>
      </c>
      <c r="Q974" s="105" t="str">
        <f>IF(F974="Yes", IFERROR(VLOOKUP(D974, Repository!A:I, 8, 0), ""), "")</f>
        <v/>
      </c>
      <c r="R974" s="105" t="str">
        <f>IF(F974="Yes", IFERROR(VLOOKUP(D974, Repository!A:J, 9, 0), ""), "")</f>
        <v/>
      </c>
      <c r="S974" s="105"/>
      <c r="T974" s="105"/>
      <c r="U974" s="105"/>
      <c r="V974" s="105"/>
      <c r="W974" s="105"/>
      <c r="X974" s="105"/>
      <c r="Y974" s="105"/>
      <c r="Z974" s="105"/>
      <c r="AA974" s="105"/>
      <c r="AB974" s="105"/>
      <c r="AC974" s="91"/>
      <c r="AD974" s="105"/>
      <c r="AE974" s="105"/>
      <c r="AF974" s="91"/>
      <c r="AG974" s="105"/>
      <c r="AH974" s="105"/>
      <c r="AI974" s="105" t="str">
        <f t="shared" si="1"/>
        <v/>
      </c>
      <c r="AJ974" s="108" t="str">
        <f t="shared" si="2"/>
        <v/>
      </c>
    </row>
    <row r="975" ht="15.75" customHeight="1">
      <c r="A975" s="104"/>
      <c r="B975" s="105" t="str">
        <f>IFERROR(__xludf.DUMMYFUNCTION("ARRAY_CONSTRAIN(
  ARRAYFORMULA(
    IF(
      'Final Report'!A975="""",
      """",
      TEXTJOIN(
        "", "" &amp; CHAR(10),
        TRUE,
        IFERROR(
          VLOOKUP(
            TRIM(
              SPLIT('Final Report'!A975, "","")
           "&amp;" ),
            'URL Details'!A:B,
            2,
            FALSE
          ),
          """"
        )
      )
    )
  ),
  1,
  1
)
"),"")</f>
        <v/>
      </c>
      <c r="C975" s="105" t="str">
        <f>IFERROR(__xludf.DUMMYFUNCTION("IFERROR(IF('Final Report'!A975="""","""", TEXTJOIN(CHAR(10), TRUE, ARRAYFORMULA( ""• ""&amp; FILTER( TRIM(FLATTEN(SPLIT( REGEXREPLACE( SUBSTITUTE(TEXTJOIN("","", TRUE, IFERROR(ARRAYFORMULA(VLOOKUP(TRIM(SPLIT('Final Report'!A975, "","")), 'URL Details'!A:D, 4,"&amp;" FALSE)),"""") ), CHAR(10), "",""), ""\s*,\s*"", "",""), "",""))), TRIM(FLATTEN(SPLIT( REGEXREPLACE( SUBSTITUTE(TEXTJOIN("","", TRUE, IFERROR(ARRAYFORMULA(VLOOKUP(TRIM(SPLIT('Final Report'!A975, "","")), 'URL Details'!A:D, 4, FALSE)),"""") ), CHAR(10), """&amp;",""), ""\s*,\s*"", "",""), "","")))&lt;&gt;"""" ) ) ) ),"""")
"),"")</f>
        <v/>
      </c>
      <c r="D975" s="105"/>
      <c r="E975" s="105"/>
      <c r="F975" s="110" t="b">
        <v>0</v>
      </c>
      <c r="G975" s="105" t="str">
        <f>IF(F975=True, IFERROR(VLOOKUP(D975, Repository!A:B, 2, 0), ""), "")</f>
        <v/>
      </c>
      <c r="H975" s="105"/>
      <c r="I975" s="105"/>
      <c r="J975" s="105" t="str">
        <f>IF(F975=True, IFERROR(VLOOKUP(D975, Repository!A:C, 3, 0), ""), "")</f>
        <v/>
      </c>
      <c r="K975" s="105"/>
      <c r="L975" s="105" t="str">
        <f>IF(F975=True, IFERROR(VLOOKUP(D975, Repository!A:E, 5, 0), ""), "")</f>
        <v/>
      </c>
      <c r="M975" s="105"/>
      <c r="N975" s="105" t="str">
        <f>IF(F975=True, IFERROR(VLOOKUP(D975, Repository!A:G, 7, 0), ""), "")</f>
        <v/>
      </c>
      <c r="O975" s="105" t="str">
        <f>IFERROR(__xludf.DUMMYFUNCTION("ARRAY_CONSTRAIN(
  ARRAYFORMULA(
    IFERROR(
      LET(
        list, N975,
        arr, TRIM(SPLIT(list, "","")),
        names, XLOOKUP(
          arr,
          'Conformance Score'!A:A,
          'Conformance Score'!B:B,
          ""Not found""
      "&amp;"  ),
        TEXTJOIN("", "", TRUE, names)
      ),
      """"
    )
  ),
  1,
  1
)
"),"")</f>
        <v/>
      </c>
      <c r="P975" s="105" t="str">
        <f>IF(F975="Yes", IFERROR(VLOOKUP(D975, Repository!A:F, 6, 0), ""), "")</f>
        <v/>
      </c>
      <c r="Q975" s="105" t="str">
        <f>IF(F975="Yes", IFERROR(VLOOKUP(D975, Repository!A:I, 8, 0), ""), "")</f>
        <v/>
      </c>
      <c r="R975" s="105" t="str">
        <f>IF(F975="Yes", IFERROR(VLOOKUP(D975, Repository!A:J, 9, 0), ""), "")</f>
        <v/>
      </c>
      <c r="S975" s="105"/>
      <c r="T975" s="105"/>
      <c r="U975" s="105"/>
      <c r="V975" s="105"/>
      <c r="W975" s="105"/>
      <c r="X975" s="105"/>
      <c r="Y975" s="105"/>
      <c r="Z975" s="105"/>
      <c r="AA975" s="105"/>
      <c r="AB975" s="105"/>
      <c r="AC975" s="91"/>
      <c r="AD975" s="105"/>
      <c r="AE975" s="105"/>
      <c r="AF975" s="91"/>
      <c r="AG975" s="105"/>
      <c r="AH975" s="105"/>
      <c r="AI975" s="105" t="str">
        <f t="shared" si="1"/>
        <v/>
      </c>
      <c r="AJ975" s="108" t="str">
        <f t="shared" si="2"/>
        <v/>
      </c>
    </row>
    <row r="976" ht="15.75" customHeight="1">
      <c r="A976" s="104"/>
      <c r="B976" s="105" t="str">
        <f>IFERROR(__xludf.DUMMYFUNCTION("ARRAY_CONSTRAIN(
  ARRAYFORMULA(
    IF(
      'Final Report'!A976="""",
      """",
      TEXTJOIN(
        "", "" &amp; CHAR(10),
        TRUE,
        IFERROR(
          VLOOKUP(
            TRIM(
              SPLIT('Final Report'!A976, "","")
           "&amp;" ),
            'URL Details'!A:B,
            2,
            FALSE
          ),
          """"
        )
      )
    )
  ),
  1,
  1
)
"),"")</f>
        <v/>
      </c>
      <c r="C976" s="105" t="str">
        <f>IFERROR(__xludf.DUMMYFUNCTION("IFERROR(IF('Final Report'!A976="""","""", TEXTJOIN(CHAR(10), TRUE, ARRAYFORMULA( ""• ""&amp; FILTER( TRIM(FLATTEN(SPLIT( REGEXREPLACE( SUBSTITUTE(TEXTJOIN("","", TRUE, IFERROR(ARRAYFORMULA(VLOOKUP(TRIM(SPLIT('Final Report'!A976, "","")), 'URL Details'!A:D, 4,"&amp;" FALSE)),"""") ), CHAR(10), "",""), ""\s*,\s*"", "",""), "",""))), TRIM(FLATTEN(SPLIT( REGEXREPLACE( SUBSTITUTE(TEXTJOIN("","", TRUE, IFERROR(ARRAYFORMULA(VLOOKUP(TRIM(SPLIT('Final Report'!A976, "","")), 'URL Details'!A:D, 4, FALSE)),"""") ), CHAR(10), """&amp;",""), ""\s*,\s*"", "",""), "","")))&lt;&gt;"""" ) ) ) ),"""")
"),"")</f>
        <v/>
      </c>
      <c r="D976" s="105"/>
      <c r="E976" s="105"/>
      <c r="F976" s="110" t="b">
        <v>0</v>
      </c>
      <c r="G976" s="105" t="str">
        <f>IF(F976=True, IFERROR(VLOOKUP(D976, Repository!A:B, 2, 0), ""), "")</f>
        <v/>
      </c>
      <c r="H976" s="105"/>
      <c r="I976" s="105"/>
      <c r="J976" s="105" t="str">
        <f>IF(F976=True, IFERROR(VLOOKUP(D976, Repository!A:C, 3, 0), ""), "")</f>
        <v/>
      </c>
      <c r="K976" s="105"/>
      <c r="L976" s="105" t="str">
        <f>IF(F976=True, IFERROR(VLOOKUP(D976, Repository!A:E, 5, 0), ""), "")</f>
        <v/>
      </c>
      <c r="M976" s="105"/>
      <c r="N976" s="105" t="str">
        <f>IF(F976=True, IFERROR(VLOOKUP(D976, Repository!A:G, 7, 0), ""), "")</f>
        <v/>
      </c>
      <c r="O976" s="105" t="str">
        <f>IFERROR(__xludf.DUMMYFUNCTION("ARRAY_CONSTRAIN(
  ARRAYFORMULA(
    IFERROR(
      LET(
        list, N976,
        arr, TRIM(SPLIT(list, "","")),
        names, XLOOKUP(
          arr,
          'Conformance Score'!A:A,
          'Conformance Score'!B:B,
          ""Not found""
      "&amp;"  ),
        TEXTJOIN("", "", TRUE, names)
      ),
      """"
    )
  ),
  1,
  1
)
"),"")</f>
        <v/>
      </c>
      <c r="P976" s="105" t="str">
        <f>IF(F976="Yes", IFERROR(VLOOKUP(D976, Repository!A:F, 6, 0), ""), "")</f>
        <v/>
      </c>
      <c r="Q976" s="105" t="str">
        <f>IF(F976="Yes", IFERROR(VLOOKUP(D976, Repository!A:I, 8, 0), ""), "")</f>
        <v/>
      </c>
      <c r="R976" s="105" t="str">
        <f>IF(F976="Yes", IFERROR(VLOOKUP(D976, Repository!A:J, 9, 0), ""), "")</f>
        <v/>
      </c>
      <c r="S976" s="105"/>
      <c r="T976" s="105"/>
      <c r="U976" s="105"/>
      <c r="V976" s="105"/>
      <c r="W976" s="105"/>
      <c r="X976" s="105"/>
      <c r="Y976" s="105"/>
      <c r="Z976" s="105"/>
      <c r="AA976" s="105"/>
      <c r="AB976" s="105"/>
      <c r="AC976" s="91"/>
      <c r="AD976" s="105"/>
      <c r="AE976" s="105"/>
      <c r="AF976" s="91"/>
      <c r="AG976" s="105"/>
      <c r="AH976" s="105"/>
      <c r="AI976" s="105" t="str">
        <f t="shared" si="1"/>
        <v/>
      </c>
      <c r="AJ976" s="108" t="str">
        <f t="shared" si="2"/>
        <v/>
      </c>
    </row>
    <row r="977" ht="15.75" customHeight="1">
      <c r="A977" s="104"/>
      <c r="B977" s="105" t="str">
        <f>IFERROR(__xludf.DUMMYFUNCTION("ARRAY_CONSTRAIN(
  ARRAYFORMULA(
    IF(
      'Final Report'!A977="""",
      """",
      TEXTJOIN(
        "", "" &amp; CHAR(10),
        TRUE,
        IFERROR(
          VLOOKUP(
            TRIM(
              SPLIT('Final Report'!A977, "","")
           "&amp;" ),
            'URL Details'!A:B,
            2,
            FALSE
          ),
          """"
        )
      )
    )
  ),
  1,
  1
)
"),"")</f>
        <v/>
      </c>
      <c r="C977" s="105" t="str">
        <f>IFERROR(__xludf.DUMMYFUNCTION("IFERROR(IF('Final Report'!A977="""","""", TEXTJOIN(CHAR(10), TRUE, ARRAYFORMULA( ""• ""&amp; FILTER( TRIM(FLATTEN(SPLIT( REGEXREPLACE( SUBSTITUTE(TEXTJOIN("","", TRUE, IFERROR(ARRAYFORMULA(VLOOKUP(TRIM(SPLIT('Final Report'!A977, "","")), 'URL Details'!A:D, 4,"&amp;" FALSE)),"""") ), CHAR(10), "",""), ""\s*,\s*"", "",""), "",""))), TRIM(FLATTEN(SPLIT( REGEXREPLACE( SUBSTITUTE(TEXTJOIN("","", TRUE, IFERROR(ARRAYFORMULA(VLOOKUP(TRIM(SPLIT('Final Report'!A977, "","")), 'URL Details'!A:D, 4, FALSE)),"""") ), CHAR(10), """&amp;",""), ""\s*,\s*"", "",""), "","")))&lt;&gt;"""" ) ) ) ),"""")
"),"")</f>
        <v/>
      </c>
      <c r="D977" s="105"/>
      <c r="E977" s="105"/>
      <c r="F977" s="110" t="b">
        <v>0</v>
      </c>
      <c r="G977" s="105" t="str">
        <f>IF(F977=True, IFERROR(VLOOKUP(D977, Repository!A:B, 2, 0), ""), "")</f>
        <v/>
      </c>
      <c r="H977" s="105"/>
      <c r="I977" s="105"/>
      <c r="J977" s="105" t="str">
        <f>IF(F977=True, IFERROR(VLOOKUP(D977, Repository!A:C, 3, 0), ""), "")</f>
        <v/>
      </c>
      <c r="K977" s="105"/>
      <c r="L977" s="105" t="str">
        <f>IF(F977=True, IFERROR(VLOOKUP(D977, Repository!A:E, 5, 0), ""), "")</f>
        <v/>
      </c>
      <c r="M977" s="105"/>
      <c r="N977" s="105" t="str">
        <f>IF(F977=True, IFERROR(VLOOKUP(D977, Repository!A:G, 7, 0), ""), "")</f>
        <v/>
      </c>
      <c r="O977" s="105" t="str">
        <f>IFERROR(__xludf.DUMMYFUNCTION("ARRAY_CONSTRAIN(
  ARRAYFORMULA(
    IFERROR(
      LET(
        list, N977,
        arr, TRIM(SPLIT(list, "","")),
        names, XLOOKUP(
          arr,
          'Conformance Score'!A:A,
          'Conformance Score'!B:B,
          ""Not found""
      "&amp;"  ),
        TEXTJOIN("", "", TRUE, names)
      ),
      """"
    )
  ),
  1,
  1
)
"),"")</f>
        <v/>
      </c>
      <c r="P977" s="105" t="str">
        <f>IF(F977="Yes", IFERROR(VLOOKUP(D977, Repository!A:F, 6, 0), ""), "")</f>
        <v/>
      </c>
      <c r="Q977" s="105" t="str">
        <f>IF(F977="Yes", IFERROR(VLOOKUP(D977, Repository!A:I, 8, 0), ""), "")</f>
        <v/>
      </c>
      <c r="R977" s="105" t="str">
        <f>IF(F977="Yes", IFERROR(VLOOKUP(D977, Repository!A:J, 9, 0), ""), "")</f>
        <v/>
      </c>
      <c r="S977" s="105"/>
      <c r="T977" s="105"/>
      <c r="U977" s="105"/>
      <c r="V977" s="105"/>
      <c r="W977" s="105"/>
      <c r="X977" s="105"/>
      <c r="Y977" s="105"/>
      <c r="Z977" s="105"/>
      <c r="AA977" s="105"/>
      <c r="AB977" s="105"/>
      <c r="AC977" s="91"/>
      <c r="AD977" s="105"/>
      <c r="AE977" s="105"/>
      <c r="AF977" s="91"/>
      <c r="AG977" s="105"/>
      <c r="AH977" s="105"/>
      <c r="AI977" s="105" t="str">
        <f t="shared" si="1"/>
        <v/>
      </c>
      <c r="AJ977" s="108" t="str">
        <f t="shared" si="2"/>
        <v/>
      </c>
    </row>
    <row r="978" ht="15.75" customHeight="1">
      <c r="A978" s="104"/>
      <c r="B978" s="105" t="str">
        <f>IFERROR(__xludf.DUMMYFUNCTION("ARRAY_CONSTRAIN(
  ARRAYFORMULA(
    IF(
      'Final Report'!A978="""",
      """",
      TEXTJOIN(
        "", "" &amp; CHAR(10),
        TRUE,
        IFERROR(
          VLOOKUP(
            TRIM(
              SPLIT('Final Report'!A978, "","")
           "&amp;" ),
            'URL Details'!A:B,
            2,
            FALSE
          ),
          """"
        )
      )
    )
  ),
  1,
  1
)
"),"")</f>
        <v/>
      </c>
      <c r="C978" s="105" t="str">
        <f>IFERROR(__xludf.DUMMYFUNCTION("IFERROR(IF('Final Report'!A978="""","""", TEXTJOIN(CHAR(10), TRUE, ARRAYFORMULA( ""• ""&amp; FILTER( TRIM(FLATTEN(SPLIT( REGEXREPLACE( SUBSTITUTE(TEXTJOIN("","", TRUE, IFERROR(ARRAYFORMULA(VLOOKUP(TRIM(SPLIT('Final Report'!A978, "","")), 'URL Details'!A:D, 4,"&amp;" FALSE)),"""") ), CHAR(10), "",""), ""\s*,\s*"", "",""), "",""))), TRIM(FLATTEN(SPLIT( REGEXREPLACE( SUBSTITUTE(TEXTJOIN("","", TRUE, IFERROR(ARRAYFORMULA(VLOOKUP(TRIM(SPLIT('Final Report'!A978, "","")), 'URL Details'!A:D, 4, FALSE)),"""") ), CHAR(10), """&amp;",""), ""\s*,\s*"", "",""), "","")))&lt;&gt;"""" ) ) ) ),"""")
"),"")</f>
        <v/>
      </c>
      <c r="D978" s="105"/>
      <c r="E978" s="105"/>
      <c r="F978" s="110" t="b">
        <v>0</v>
      </c>
      <c r="G978" s="105" t="str">
        <f>IF(F978=True, IFERROR(VLOOKUP(D978, Repository!A:B, 2, 0), ""), "")</f>
        <v/>
      </c>
      <c r="H978" s="105"/>
      <c r="I978" s="105"/>
      <c r="J978" s="105" t="str">
        <f>IF(F978=True, IFERROR(VLOOKUP(D978, Repository!A:C, 3, 0), ""), "")</f>
        <v/>
      </c>
      <c r="K978" s="105"/>
      <c r="L978" s="105" t="str">
        <f>IF(F978=True, IFERROR(VLOOKUP(D978, Repository!A:E, 5, 0), ""), "")</f>
        <v/>
      </c>
      <c r="M978" s="105"/>
      <c r="N978" s="105" t="str">
        <f>IF(F978=True, IFERROR(VLOOKUP(D978, Repository!A:G, 7, 0), ""), "")</f>
        <v/>
      </c>
      <c r="O978" s="105" t="str">
        <f>IFERROR(__xludf.DUMMYFUNCTION("ARRAY_CONSTRAIN(
  ARRAYFORMULA(
    IFERROR(
      LET(
        list, N978,
        arr, TRIM(SPLIT(list, "","")),
        names, XLOOKUP(
          arr,
          'Conformance Score'!A:A,
          'Conformance Score'!B:B,
          ""Not found""
      "&amp;"  ),
        TEXTJOIN("", "", TRUE, names)
      ),
      """"
    )
  ),
  1,
  1
)
"),"")</f>
        <v/>
      </c>
      <c r="P978" s="105" t="str">
        <f>IF(F978="Yes", IFERROR(VLOOKUP(D978, Repository!A:F, 6, 0), ""), "")</f>
        <v/>
      </c>
      <c r="Q978" s="105" t="str">
        <f>IF(F978="Yes", IFERROR(VLOOKUP(D978, Repository!A:I, 8, 0), ""), "")</f>
        <v/>
      </c>
      <c r="R978" s="105" t="str">
        <f>IF(F978="Yes", IFERROR(VLOOKUP(D978, Repository!A:J, 9, 0), ""), "")</f>
        <v/>
      </c>
      <c r="S978" s="105"/>
      <c r="T978" s="105"/>
      <c r="U978" s="105"/>
      <c r="V978" s="105"/>
      <c r="W978" s="105"/>
      <c r="X978" s="105"/>
      <c r="Y978" s="105"/>
      <c r="Z978" s="105"/>
      <c r="AA978" s="105"/>
      <c r="AB978" s="105"/>
      <c r="AC978" s="91"/>
      <c r="AD978" s="105"/>
      <c r="AE978" s="105"/>
      <c r="AF978" s="91"/>
      <c r="AG978" s="105"/>
      <c r="AH978" s="105"/>
      <c r="AI978" s="105" t="str">
        <f t="shared" si="1"/>
        <v/>
      </c>
      <c r="AJ978" s="108" t="str">
        <f t="shared" si="2"/>
        <v/>
      </c>
    </row>
    <row r="979" ht="15.75" customHeight="1">
      <c r="A979" s="104"/>
      <c r="B979" s="105" t="str">
        <f>IFERROR(__xludf.DUMMYFUNCTION("ARRAY_CONSTRAIN(
  ARRAYFORMULA(
    IF(
      'Final Report'!A979="""",
      """",
      TEXTJOIN(
        "", "" &amp; CHAR(10),
        TRUE,
        IFERROR(
          VLOOKUP(
            TRIM(
              SPLIT('Final Report'!A979, "","")
           "&amp;" ),
            'URL Details'!A:B,
            2,
            FALSE
          ),
          """"
        )
      )
    )
  ),
  1,
  1
)
"),"")</f>
        <v/>
      </c>
      <c r="C979" s="105" t="str">
        <f>IFERROR(__xludf.DUMMYFUNCTION("IFERROR(IF('Final Report'!A979="""","""", TEXTJOIN(CHAR(10), TRUE, ARRAYFORMULA( ""• ""&amp; FILTER( TRIM(FLATTEN(SPLIT( REGEXREPLACE( SUBSTITUTE(TEXTJOIN("","", TRUE, IFERROR(ARRAYFORMULA(VLOOKUP(TRIM(SPLIT('Final Report'!A979, "","")), 'URL Details'!A:D, 4,"&amp;" FALSE)),"""") ), CHAR(10), "",""), ""\s*,\s*"", "",""), "",""))), TRIM(FLATTEN(SPLIT( REGEXREPLACE( SUBSTITUTE(TEXTJOIN("","", TRUE, IFERROR(ARRAYFORMULA(VLOOKUP(TRIM(SPLIT('Final Report'!A979, "","")), 'URL Details'!A:D, 4, FALSE)),"""") ), CHAR(10), """&amp;",""), ""\s*,\s*"", "",""), "","")))&lt;&gt;"""" ) ) ) ),"""")
"),"")</f>
        <v/>
      </c>
      <c r="D979" s="105"/>
      <c r="E979" s="105"/>
      <c r="F979" s="110" t="b">
        <v>0</v>
      </c>
      <c r="G979" s="105" t="str">
        <f>IF(F979=True, IFERROR(VLOOKUP(D979, Repository!A:B, 2, 0), ""), "")</f>
        <v/>
      </c>
      <c r="H979" s="105"/>
      <c r="I979" s="105"/>
      <c r="J979" s="105" t="str">
        <f>IF(F979=True, IFERROR(VLOOKUP(D979, Repository!A:C, 3, 0), ""), "")</f>
        <v/>
      </c>
      <c r="K979" s="105"/>
      <c r="L979" s="105" t="str">
        <f>IF(F979=True, IFERROR(VLOOKUP(D979, Repository!A:E, 5, 0), ""), "")</f>
        <v/>
      </c>
      <c r="M979" s="105"/>
      <c r="N979" s="105" t="str">
        <f>IF(F979=True, IFERROR(VLOOKUP(D979, Repository!A:G, 7, 0), ""), "")</f>
        <v/>
      </c>
      <c r="O979" s="105" t="str">
        <f>IFERROR(__xludf.DUMMYFUNCTION("ARRAY_CONSTRAIN(
  ARRAYFORMULA(
    IFERROR(
      LET(
        list, N979,
        arr, TRIM(SPLIT(list, "","")),
        names, XLOOKUP(
          arr,
          'Conformance Score'!A:A,
          'Conformance Score'!B:B,
          ""Not found""
      "&amp;"  ),
        TEXTJOIN("", "", TRUE, names)
      ),
      """"
    )
  ),
  1,
  1
)
"),"")</f>
        <v/>
      </c>
      <c r="P979" s="105" t="str">
        <f>IF(F979="Yes", IFERROR(VLOOKUP(D979, Repository!A:F, 6, 0), ""), "")</f>
        <v/>
      </c>
      <c r="Q979" s="105" t="str">
        <f>IF(F979="Yes", IFERROR(VLOOKUP(D979, Repository!A:I, 8, 0), ""), "")</f>
        <v/>
      </c>
      <c r="R979" s="105" t="str">
        <f>IF(F979="Yes", IFERROR(VLOOKUP(D979, Repository!A:J, 9, 0), ""), "")</f>
        <v/>
      </c>
      <c r="S979" s="105"/>
      <c r="T979" s="105"/>
      <c r="U979" s="105"/>
      <c r="V979" s="105"/>
      <c r="W979" s="105"/>
      <c r="X979" s="105"/>
      <c r="Y979" s="105"/>
      <c r="Z979" s="105"/>
      <c r="AA979" s="105"/>
      <c r="AB979" s="105"/>
      <c r="AC979" s="91"/>
      <c r="AD979" s="105"/>
      <c r="AE979" s="105"/>
      <c r="AF979" s="91"/>
      <c r="AG979" s="105"/>
      <c r="AH979" s="105"/>
      <c r="AI979" s="105" t="str">
        <f t="shared" si="1"/>
        <v/>
      </c>
      <c r="AJ979" s="108" t="str">
        <f t="shared" si="2"/>
        <v/>
      </c>
    </row>
    <row r="980" ht="15.75" customHeight="1">
      <c r="A980" s="104"/>
      <c r="B980" s="105" t="str">
        <f>IFERROR(__xludf.DUMMYFUNCTION("ARRAY_CONSTRAIN(
  ARRAYFORMULA(
    IF(
      'Final Report'!A980="""",
      """",
      TEXTJOIN(
        "", "" &amp; CHAR(10),
        TRUE,
        IFERROR(
          VLOOKUP(
            TRIM(
              SPLIT('Final Report'!A980, "","")
           "&amp;" ),
            'URL Details'!A:B,
            2,
            FALSE
          ),
          """"
        )
      )
    )
  ),
  1,
  1
)
"),"")</f>
        <v/>
      </c>
      <c r="C980" s="105" t="str">
        <f>IFERROR(__xludf.DUMMYFUNCTION("IFERROR(IF('Final Report'!A980="""","""", TEXTJOIN(CHAR(10), TRUE, ARRAYFORMULA( ""• ""&amp; FILTER( TRIM(FLATTEN(SPLIT( REGEXREPLACE( SUBSTITUTE(TEXTJOIN("","", TRUE, IFERROR(ARRAYFORMULA(VLOOKUP(TRIM(SPLIT('Final Report'!A980, "","")), 'URL Details'!A:D, 4,"&amp;" FALSE)),"""") ), CHAR(10), "",""), ""\s*,\s*"", "",""), "",""))), TRIM(FLATTEN(SPLIT( REGEXREPLACE( SUBSTITUTE(TEXTJOIN("","", TRUE, IFERROR(ARRAYFORMULA(VLOOKUP(TRIM(SPLIT('Final Report'!A980, "","")), 'URL Details'!A:D, 4, FALSE)),"""") ), CHAR(10), """&amp;",""), ""\s*,\s*"", "",""), "","")))&lt;&gt;"""" ) ) ) ),"""")
"),"")</f>
        <v/>
      </c>
      <c r="D980" s="105"/>
      <c r="E980" s="105"/>
      <c r="F980" s="110" t="b">
        <v>0</v>
      </c>
      <c r="G980" s="105" t="str">
        <f>IF(F980=True, IFERROR(VLOOKUP(D980, Repository!A:B, 2, 0), ""), "")</f>
        <v/>
      </c>
      <c r="H980" s="105"/>
      <c r="I980" s="105"/>
      <c r="J980" s="105" t="str">
        <f>IF(F980=True, IFERROR(VLOOKUP(D980, Repository!A:C, 3, 0), ""), "")</f>
        <v/>
      </c>
      <c r="K980" s="105"/>
      <c r="L980" s="105" t="str">
        <f>IF(F980=True, IFERROR(VLOOKUP(D980, Repository!A:E, 5, 0), ""), "")</f>
        <v/>
      </c>
      <c r="M980" s="105"/>
      <c r="N980" s="105" t="str">
        <f>IF(F980=True, IFERROR(VLOOKUP(D980, Repository!A:G, 7, 0), ""), "")</f>
        <v/>
      </c>
      <c r="O980" s="105" t="str">
        <f>IFERROR(__xludf.DUMMYFUNCTION("ARRAY_CONSTRAIN(
  ARRAYFORMULA(
    IFERROR(
      LET(
        list, N980,
        arr, TRIM(SPLIT(list, "","")),
        names, XLOOKUP(
          arr,
          'Conformance Score'!A:A,
          'Conformance Score'!B:B,
          ""Not found""
      "&amp;"  ),
        TEXTJOIN("", "", TRUE, names)
      ),
      """"
    )
  ),
  1,
  1
)
"),"")</f>
        <v/>
      </c>
      <c r="P980" s="105" t="str">
        <f>IF(F980="Yes", IFERROR(VLOOKUP(D980, Repository!A:F, 6, 0), ""), "")</f>
        <v/>
      </c>
      <c r="Q980" s="105" t="str">
        <f>IF(F980="Yes", IFERROR(VLOOKUP(D980, Repository!A:I, 8, 0), ""), "")</f>
        <v/>
      </c>
      <c r="R980" s="105" t="str">
        <f>IF(F980="Yes", IFERROR(VLOOKUP(D980, Repository!A:J, 9, 0), ""), "")</f>
        <v/>
      </c>
      <c r="S980" s="105"/>
      <c r="T980" s="105"/>
      <c r="U980" s="105"/>
      <c r="V980" s="105"/>
      <c r="W980" s="105"/>
      <c r="X980" s="105"/>
      <c r="Y980" s="105"/>
      <c r="Z980" s="105"/>
      <c r="AA980" s="105"/>
      <c r="AB980" s="105"/>
      <c r="AC980" s="91"/>
      <c r="AD980" s="105"/>
      <c r="AE980" s="105"/>
      <c r="AF980" s="91"/>
      <c r="AG980" s="105"/>
      <c r="AH980" s="105"/>
      <c r="AI980" s="105" t="str">
        <f t="shared" si="1"/>
        <v/>
      </c>
      <c r="AJ980" s="108" t="str">
        <f t="shared" si="2"/>
        <v/>
      </c>
    </row>
    <row r="981" ht="15.75" customHeight="1">
      <c r="A981" s="104"/>
      <c r="B981" s="105" t="str">
        <f>IFERROR(__xludf.DUMMYFUNCTION("ARRAY_CONSTRAIN(
  ARRAYFORMULA(
    IF(
      'Final Report'!A981="""",
      """",
      TEXTJOIN(
        "", "" &amp; CHAR(10),
        TRUE,
        IFERROR(
          VLOOKUP(
            TRIM(
              SPLIT('Final Report'!A981, "","")
           "&amp;" ),
            'URL Details'!A:B,
            2,
            FALSE
          ),
          """"
        )
      )
    )
  ),
  1,
  1
)
"),"")</f>
        <v/>
      </c>
      <c r="C981" s="105" t="str">
        <f>IFERROR(__xludf.DUMMYFUNCTION("IFERROR(IF('Final Report'!A981="""","""", TEXTJOIN(CHAR(10), TRUE, ARRAYFORMULA( ""• ""&amp; FILTER( TRIM(FLATTEN(SPLIT( REGEXREPLACE( SUBSTITUTE(TEXTJOIN("","", TRUE, IFERROR(ARRAYFORMULA(VLOOKUP(TRIM(SPLIT('Final Report'!A981, "","")), 'URL Details'!A:D, 4,"&amp;" FALSE)),"""") ), CHAR(10), "",""), ""\s*,\s*"", "",""), "",""))), TRIM(FLATTEN(SPLIT( REGEXREPLACE( SUBSTITUTE(TEXTJOIN("","", TRUE, IFERROR(ARRAYFORMULA(VLOOKUP(TRIM(SPLIT('Final Report'!A981, "","")), 'URL Details'!A:D, 4, FALSE)),"""") ), CHAR(10), """&amp;",""), ""\s*,\s*"", "",""), "","")))&lt;&gt;"""" ) ) ) ),"""")
"),"")</f>
        <v/>
      </c>
      <c r="D981" s="105"/>
      <c r="E981" s="105"/>
      <c r="F981" s="110" t="b">
        <v>0</v>
      </c>
      <c r="G981" s="105" t="str">
        <f>IF(F981=True, IFERROR(VLOOKUP(D981, Repository!A:B, 2, 0), ""), "")</f>
        <v/>
      </c>
      <c r="H981" s="105"/>
      <c r="I981" s="105"/>
      <c r="J981" s="105" t="str">
        <f>IF(F981=True, IFERROR(VLOOKUP(D981, Repository!A:C, 3, 0), ""), "")</f>
        <v/>
      </c>
      <c r="K981" s="105"/>
      <c r="L981" s="105" t="str">
        <f>IF(F981=True, IFERROR(VLOOKUP(D981, Repository!A:E, 5, 0), ""), "")</f>
        <v/>
      </c>
      <c r="M981" s="105"/>
      <c r="N981" s="105" t="str">
        <f>IF(F981=True, IFERROR(VLOOKUP(D981, Repository!A:G, 7, 0), ""), "")</f>
        <v/>
      </c>
      <c r="O981" s="105" t="str">
        <f>IFERROR(__xludf.DUMMYFUNCTION("ARRAY_CONSTRAIN(
  ARRAYFORMULA(
    IFERROR(
      LET(
        list, N981,
        arr, TRIM(SPLIT(list, "","")),
        names, XLOOKUP(
          arr,
          'Conformance Score'!A:A,
          'Conformance Score'!B:B,
          ""Not found""
      "&amp;"  ),
        TEXTJOIN("", "", TRUE, names)
      ),
      """"
    )
  ),
  1,
  1
)
"),"")</f>
        <v/>
      </c>
      <c r="P981" s="105" t="str">
        <f>IF(F981="Yes", IFERROR(VLOOKUP(D981, Repository!A:F, 6, 0), ""), "")</f>
        <v/>
      </c>
      <c r="Q981" s="105" t="str">
        <f>IF(F981="Yes", IFERROR(VLOOKUP(D981, Repository!A:I, 8, 0), ""), "")</f>
        <v/>
      </c>
      <c r="R981" s="105" t="str">
        <f>IF(F981="Yes", IFERROR(VLOOKUP(D981, Repository!A:J, 9, 0), ""), "")</f>
        <v/>
      </c>
      <c r="S981" s="105"/>
      <c r="T981" s="105"/>
      <c r="U981" s="105"/>
      <c r="V981" s="105"/>
      <c r="W981" s="105"/>
      <c r="X981" s="105"/>
      <c r="Y981" s="105"/>
      <c r="Z981" s="105"/>
      <c r="AA981" s="105"/>
      <c r="AB981" s="105"/>
      <c r="AC981" s="91"/>
      <c r="AD981" s="105"/>
      <c r="AE981" s="105"/>
      <c r="AF981" s="91"/>
      <c r="AG981" s="105"/>
      <c r="AH981" s="105"/>
      <c r="AI981" s="105" t="str">
        <f t="shared" si="1"/>
        <v/>
      </c>
      <c r="AJ981" s="108" t="str">
        <f t="shared" si="2"/>
        <v/>
      </c>
    </row>
    <row r="982" ht="15.75" customHeight="1">
      <c r="A982" s="104"/>
      <c r="B982" s="105" t="str">
        <f>IFERROR(__xludf.DUMMYFUNCTION("ARRAY_CONSTRAIN(
  ARRAYFORMULA(
    IF(
      'Final Report'!A982="""",
      """",
      TEXTJOIN(
        "", "" &amp; CHAR(10),
        TRUE,
        IFERROR(
          VLOOKUP(
            TRIM(
              SPLIT('Final Report'!A982, "","")
           "&amp;" ),
            'URL Details'!A:B,
            2,
            FALSE
          ),
          """"
        )
      )
    )
  ),
  1,
  1
)
"),"")</f>
        <v/>
      </c>
      <c r="C982" s="105" t="str">
        <f>IFERROR(__xludf.DUMMYFUNCTION("IFERROR(IF('Final Report'!A982="""","""", TEXTJOIN(CHAR(10), TRUE, ARRAYFORMULA( ""• ""&amp; FILTER( TRIM(FLATTEN(SPLIT( REGEXREPLACE( SUBSTITUTE(TEXTJOIN("","", TRUE, IFERROR(ARRAYFORMULA(VLOOKUP(TRIM(SPLIT('Final Report'!A982, "","")), 'URL Details'!A:D, 4,"&amp;" FALSE)),"""") ), CHAR(10), "",""), ""\s*,\s*"", "",""), "",""))), TRIM(FLATTEN(SPLIT( REGEXREPLACE( SUBSTITUTE(TEXTJOIN("","", TRUE, IFERROR(ARRAYFORMULA(VLOOKUP(TRIM(SPLIT('Final Report'!A982, "","")), 'URL Details'!A:D, 4, FALSE)),"""") ), CHAR(10), """&amp;",""), ""\s*,\s*"", "",""), "","")))&lt;&gt;"""" ) ) ) ),"""")
"),"")</f>
        <v/>
      </c>
      <c r="D982" s="105"/>
      <c r="E982" s="105"/>
      <c r="F982" s="110" t="b">
        <v>0</v>
      </c>
      <c r="G982" s="105" t="str">
        <f>IF(F982=True, IFERROR(VLOOKUP(D982, Repository!A:B, 2, 0), ""), "")</f>
        <v/>
      </c>
      <c r="H982" s="105"/>
      <c r="I982" s="105"/>
      <c r="J982" s="105" t="str">
        <f>IF(F982=True, IFERROR(VLOOKUP(D982, Repository!A:C, 3, 0), ""), "")</f>
        <v/>
      </c>
      <c r="K982" s="105"/>
      <c r="L982" s="105" t="str">
        <f>IF(F982=True, IFERROR(VLOOKUP(D982, Repository!A:E, 5, 0), ""), "")</f>
        <v/>
      </c>
      <c r="M982" s="105"/>
      <c r="N982" s="105" t="str">
        <f>IF(F982=True, IFERROR(VLOOKUP(D982, Repository!A:G, 7, 0), ""), "")</f>
        <v/>
      </c>
      <c r="O982" s="105" t="str">
        <f>IFERROR(__xludf.DUMMYFUNCTION("ARRAY_CONSTRAIN(
  ARRAYFORMULA(
    IFERROR(
      LET(
        list, N982,
        arr, TRIM(SPLIT(list, "","")),
        names, XLOOKUP(
          arr,
          'Conformance Score'!A:A,
          'Conformance Score'!B:B,
          ""Not found""
      "&amp;"  ),
        TEXTJOIN("", "", TRUE, names)
      ),
      """"
    )
  ),
  1,
  1
)
"),"")</f>
        <v/>
      </c>
      <c r="P982" s="105" t="str">
        <f>IF(F982="Yes", IFERROR(VLOOKUP(D982, Repository!A:F, 6, 0), ""), "")</f>
        <v/>
      </c>
      <c r="Q982" s="105" t="str">
        <f>IF(F982="Yes", IFERROR(VLOOKUP(D982, Repository!A:I, 8, 0), ""), "")</f>
        <v/>
      </c>
      <c r="R982" s="105" t="str">
        <f>IF(F982="Yes", IFERROR(VLOOKUP(D982, Repository!A:J, 9, 0), ""), "")</f>
        <v/>
      </c>
      <c r="S982" s="105"/>
      <c r="T982" s="105"/>
      <c r="U982" s="105"/>
      <c r="V982" s="105"/>
      <c r="W982" s="105"/>
      <c r="X982" s="105"/>
      <c r="Y982" s="105"/>
      <c r="Z982" s="105"/>
      <c r="AA982" s="105"/>
      <c r="AB982" s="105"/>
      <c r="AC982" s="91"/>
      <c r="AD982" s="105"/>
      <c r="AE982" s="105"/>
      <c r="AF982" s="91"/>
      <c r="AG982" s="105"/>
      <c r="AH982" s="105"/>
      <c r="AI982" s="105" t="str">
        <f t="shared" si="1"/>
        <v/>
      </c>
      <c r="AJ982" s="108" t="str">
        <f t="shared" si="2"/>
        <v/>
      </c>
    </row>
    <row r="983" ht="15.75" customHeight="1">
      <c r="A983" s="104"/>
      <c r="B983" s="105" t="str">
        <f>IFERROR(__xludf.DUMMYFUNCTION("ARRAY_CONSTRAIN(
  ARRAYFORMULA(
    IF(
      'Final Report'!A983="""",
      """",
      TEXTJOIN(
        "", "" &amp; CHAR(10),
        TRUE,
        IFERROR(
          VLOOKUP(
            TRIM(
              SPLIT('Final Report'!A983, "","")
           "&amp;" ),
            'URL Details'!A:B,
            2,
            FALSE
          ),
          """"
        )
      )
    )
  ),
  1,
  1
)
"),"")</f>
        <v/>
      </c>
      <c r="C983" s="105" t="str">
        <f>IFERROR(__xludf.DUMMYFUNCTION("IFERROR(IF('Final Report'!A983="""","""", TEXTJOIN(CHAR(10), TRUE, ARRAYFORMULA( ""• ""&amp; FILTER( TRIM(FLATTEN(SPLIT( REGEXREPLACE( SUBSTITUTE(TEXTJOIN("","", TRUE, IFERROR(ARRAYFORMULA(VLOOKUP(TRIM(SPLIT('Final Report'!A983, "","")), 'URL Details'!A:D, 4,"&amp;" FALSE)),"""") ), CHAR(10), "",""), ""\s*,\s*"", "",""), "",""))), TRIM(FLATTEN(SPLIT( REGEXREPLACE( SUBSTITUTE(TEXTJOIN("","", TRUE, IFERROR(ARRAYFORMULA(VLOOKUP(TRIM(SPLIT('Final Report'!A983, "","")), 'URL Details'!A:D, 4, FALSE)),"""") ), CHAR(10), """&amp;",""), ""\s*,\s*"", "",""), "","")))&lt;&gt;"""" ) ) ) ),"""")
"),"")</f>
        <v/>
      </c>
      <c r="D983" s="105"/>
      <c r="E983" s="105"/>
      <c r="F983" s="110" t="b">
        <v>0</v>
      </c>
      <c r="G983" s="105" t="str">
        <f>IF(F983=True, IFERROR(VLOOKUP(D983, Repository!A:B, 2, 0), ""), "")</f>
        <v/>
      </c>
      <c r="H983" s="105"/>
      <c r="I983" s="105"/>
      <c r="J983" s="105" t="str">
        <f>IF(F983=True, IFERROR(VLOOKUP(D983, Repository!A:C, 3, 0), ""), "")</f>
        <v/>
      </c>
      <c r="K983" s="105"/>
      <c r="L983" s="105" t="str">
        <f>IF(F983=True, IFERROR(VLOOKUP(D983, Repository!A:E, 5, 0), ""), "")</f>
        <v/>
      </c>
      <c r="M983" s="105"/>
      <c r="N983" s="105" t="str">
        <f>IF(F983=True, IFERROR(VLOOKUP(D983, Repository!A:G, 7, 0), ""), "")</f>
        <v/>
      </c>
      <c r="O983" s="105" t="str">
        <f>IFERROR(__xludf.DUMMYFUNCTION("ARRAY_CONSTRAIN(
  ARRAYFORMULA(
    IFERROR(
      LET(
        list, N983,
        arr, TRIM(SPLIT(list, "","")),
        names, XLOOKUP(
          arr,
          'Conformance Score'!A:A,
          'Conformance Score'!B:B,
          ""Not found""
      "&amp;"  ),
        TEXTJOIN("", "", TRUE, names)
      ),
      """"
    )
  ),
  1,
  1
)
"),"")</f>
        <v/>
      </c>
      <c r="P983" s="105" t="str">
        <f>IF(F983="Yes", IFERROR(VLOOKUP(D983, Repository!A:F, 6, 0), ""), "")</f>
        <v/>
      </c>
      <c r="Q983" s="105" t="str">
        <f>IF(F983="Yes", IFERROR(VLOOKUP(D983, Repository!A:I, 8, 0), ""), "")</f>
        <v/>
      </c>
      <c r="R983" s="105" t="str">
        <f>IF(F983="Yes", IFERROR(VLOOKUP(D983, Repository!A:J, 9, 0), ""), "")</f>
        <v/>
      </c>
      <c r="S983" s="105"/>
      <c r="T983" s="105"/>
      <c r="U983" s="105"/>
      <c r="V983" s="105"/>
      <c r="W983" s="105"/>
      <c r="X983" s="105"/>
      <c r="Y983" s="105"/>
      <c r="Z983" s="105"/>
      <c r="AA983" s="105"/>
      <c r="AB983" s="105"/>
      <c r="AC983" s="91"/>
      <c r="AD983" s="105"/>
      <c r="AE983" s="105"/>
      <c r="AF983" s="91"/>
      <c r="AG983" s="105"/>
      <c r="AH983" s="105"/>
      <c r="AI983" s="105" t="str">
        <f t="shared" si="1"/>
        <v/>
      </c>
      <c r="AJ983" s="108" t="str">
        <f t="shared" si="2"/>
        <v/>
      </c>
    </row>
    <row r="984" ht="15.75" customHeight="1">
      <c r="A984" s="104"/>
      <c r="B984" s="105" t="str">
        <f>IFERROR(__xludf.DUMMYFUNCTION("ARRAY_CONSTRAIN(
  ARRAYFORMULA(
    IF(
      'Final Report'!A984="""",
      """",
      TEXTJOIN(
        "", "" &amp; CHAR(10),
        TRUE,
        IFERROR(
          VLOOKUP(
            TRIM(
              SPLIT('Final Report'!A984, "","")
           "&amp;" ),
            'URL Details'!A:B,
            2,
            FALSE
          ),
          """"
        )
      )
    )
  ),
  1,
  1
)
"),"")</f>
        <v/>
      </c>
      <c r="C984" s="105" t="str">
        <f>IFERROR(__xludf.DUMMYFUNCTION("IFERROR(IF('Final Report'!A984="""","""", TEXTJOIN(CHAR(10), TRUE, ARRAYFORMULA( ""• ""&amp; FILTER( TRIM(FLATTEN(SPLIT( REGEXREPLACE( SUBSTITUTE(TEXTJOIN("","", TRUE, IFERROR(ARRAYFORMULA(VLOOKUP(TRIM(SPLIT('Final Report'!A984, "","")), 'URL Details'!A:D, 4,"&amp;" FALSE)),"""") ), CHAR(10), "",""), ""\s*,\s*"", "",""), "",""))), TRIM(FLATTEN(SPLIT( REGEXREPLACE( SUBSTITUTE(TEXTJOIN("","", TRUE, IFERROR(ARRAYFORMULA(VLOOKUP(TRIM(SPLIT('Final Report'!A984, "","")), 'URL Details'!A:D, 4, FALSE)),"""") ), CHAR(10), """&amp;",""), ""\s*,\s*"", "",""), "","")))&lt;&gt;"""" ) ) ) ),"""")
"),"")</f>
        <v/>
      </c>
      <c r="D984" s="105"/>
      <c r="E984" s="105"/>
      <c r="F984" s="110" t="b">
        <v>0</v>
      </c>
      <c r="G984" s="105" t="str">
        <f>IF(F984=True, IFERROR(VLOOKUP(D984, Repository!A:B, 2, 0), ""), "")</f>
        <v/>
      </c>
      <c r="H984" s="105"/>
      <c r="I984" s="105"/>
      <c r="J984" s="105" t="str">
        <f>IF(F984=True, IFERROR(VLOOKUP(D984, Repository!A:C, 3, 0), ""), "")</f>
        <v/>
      </c>
      <c r="K984" s="105"/>
      <c r="L984" s="105" t="str">
        <f>IF(F984=True, IFERROR(VLOOKUP(D984, Repository!A:E, 5, 0), ""), "")</f>
        <v/>
      </c>
      <c r="M984" s="105"/>
      <c r="N984" s="105" t="str">
        <f>IF(F984=True, IFERROR(VLOOKUP(D984, Repository!A:G, 7, 0), ""), "")</f>
        <v/>
      </c>
      <c r="O984" s="105" t="str">
        <f>IFERROR(__xludf.DUMMYFUNCTION("ARRAY_CONSTRAIN(
  ARRAYFORMULA(
    IFERROR(
      LET(
        list, N984,
        arr, TRIM(SPLIT(list, "","")),
        names, XLOOKUP(
          arr,
          'Conformance Score'!A:A,
          'Conformance Score'!B:B,
          ""Not found""
      "&amp;"  ),
        TEXTJOIN("", "", TRUE, names)
      ),
      """"
    )
  ),
  1,
  1
)
"),"")</f>
        <v/>
      </c>
      <c r="P984" s="105" t="str">
        <f>IF(F984="Yes", IFERROR(VLOOKUP(D984, Repository!A:F, 6, 0), ""), "")</f>
        <v/>
      </c>
      <c r="Q984" s="105" t="str">
        <f>IF(F984="Yes", IFERROR(VLOOKUP(D984, Repository!A:I, 8, 0), ""), "")</f>
        <v/>
      </c>
      <c r="R984" s="105" t="str">
        <f>IF(F984="Yes", IFERROR(VLOOKUP(D984, Repository!A:J, 9, 0), ""), "")</f>
        <v/>
      </c>
      <c r="S984" s="105"/>
      <c r="T984" s="105"/>
      <c r="U984" s="105"/>
      <c r="V984" s="105"/>
      <c r="W984" s="105"/>
      <c r="X984" s="105"/>
      <c r="Y984" s="105"/>
      <c r="Z984" s="105"/>
      <c r="AA984" s="105"/>
      <c r="AB984" s="105"/>
      <c r="AC984" s="91"/>
      <c r="AD984" s="105"/>
      <c r="AE984" s="105"/>
      <c r="AF984" s="91"/>
      <c r="AG984" s="105"/>
      <c r="AH984" s="105"/>
      <c r="AI984" s="105" t="str">
        <f t="shared" si="1"/>
        <v/>
      </c>
      <c r="AJ984" s="108" t="str">
        <f t="shared" si="2"/>
        <v/>
      </c>
    </row>
    <row r="985" ht="15.75" customHeight="1">
      <c r="A985" s="104"/>
      <c r="B985" s="105" t="str">
        <f>IFERROR(__xludf.DUMMYFUNCTION("ARRAY_CONSTRAIN(
  ARRAYFORMULA(
    IF(
      'Final Report'!A985="""",
      """",
      TEXTJOIN(
        "", "" &amp; CHAR(10),
        TRUE,
        IFERROR(
          VLOOKUP(
            TRIM(
              SPLIT('Final Report'!A985, "","")
           "&amp;" ),
            'URL Details'!A:B,
            2,
            FALSE
          ),
          """"
        )
      )
    )
  ),
  1,
  1
)
"),"")</f>
        <v/>
      </c>
      <c r="C985" s="105" t="str">
        <f>IFERROR(__xludf.DUMMYFUNCTION("IFERROR(IF('Final Report'!A985="""","""", TEXTJOIN(CHAR(10), TRUE, ARRAYFORMULA( ""• ""&amp; FILTER( TRIM(FLATTEN(SPLIT( REGEXREPLACE( SUBSTITUTE(TEXTJOIN("","", TRUE, IFERROR(ARRAYFORMULA(VLOOKUP(TRIM(SPLIT('Final Report'!A985, "","")), 'URL Details'!A:D, 4,"&amp;" FALSE)),"""") ), CHAR(10), "",""), ""\s*,\s*"", "",""), "",""))), TRIM(FLATTEN(SPLIT( REGEXREPLACE( SUBSTITUTE(TEXTJOIN("","", TRUE, IFERROR(ARRAYFORMULA(VLOOKUP(TRIM(SPLIT('Final Report'!A985, "","")), 'URL Details'!A:D, 4, FALSE)),"""") ), CHAR(10), """&amp;",""), ""\s*,\s*"", "",""), "","")))&lt;&gt;"""" ) ) ) ),"""")
"),"")</f>
        <v/>
      </c>
      <c r="D985" s="105"/>
      <c r="E985" s="105"/>
      <c r="F985" s="110" t="b">
        <v>0</v>
      </c>
      <c r="G985" s="105" t="str">
        <f>IF(F985=True, IFERROR(VLOOKUP(D985, Repository!A:B, 2, 0), ""), "")</f>
        <v/>
      </c>
      <c r="H985" s="105"/>
      <c r="I985" s="105"/>
      <c r="J985" s="105" t="str">
        <f>IF(F985=True, IFERROR(VLOOKUP(D985, Repository!A:C, 3, 0), ""), "")</f>
        <v/>
      </c>
      <c r="K985" s="105"/>
      <c r="L985" s="105" t="str">
        <f>IF(F985=True, IFERROR(VLOOKUP(D985, Repository!A:E, 5, 0), ""), "")</f>
        <v/>
      </c>
      <c r="M985" s="105"/>
      <c r="N985" s="105" t="str">
        <f>IF(F985=True, IFERROR(VLOOKUP(D985, Repository!A:G, 7, 0), ""), "")</f>
        <v/>
      </c>
      <c r="O985" s="105" t="str">
        <f>IFERROR(__xludf.DUMMYFUNCTION("ARRAY_CONSTRAIN(
  ARRAYFORMULA(
    IFERROR(
      LET(
        list, N985,
        arr, TRIM(SPLIT(list, "","")),
        names, XLOOKUP(
          arr,
          'Conformance Score'!A:A,
          'Conformance Score'!B:B,
          ""Not found""
      "&amp;"  ),
        TEXTJOIN("", "", TRUE, names)
      ),
      """"
    )
  ),
  1,
  1
)
"),"")</f>
        <v/>
      </c>
      <c r="P985" s="105" t="str">
        <f>IF(F985="Yes", IFERROR(VLOOKUP(D985, Repository!A:F, 6, 0), ""), "")</f>
        <v/>
      </c>
      <c r="Q985" s="105" t="str">
        <f>IF(F985="Yes", IFERROR(VLOOKUP(D985, Repository!A:I, 8, 0), ""), "")</f>
        <v/>
      </c>
      <c r="R985" s="105" t="str">
        <f>IF(F985="Yes", IFERROR(VLOOKUP(D985, Repository!A:J, 9, 0), ""), "")</f>
        <v/>
      </c>
      <c r="S985" s="105"/>
      <c r="T985" s="105"/>
      <c r="U985" s="105"/>
      <c r="V985" s="105"/>
      <c r="W985" s="105"/>
      <c r="X985" s="105"/>
      <c r="Y985" s="105"/>
      <c r="Z985" s="105"/>
      <c r="AA985" s="105"/>
      <c r="AB985" s="105"/>
      <c r="AC985" s="91"/>
      <c r="AD985" s="105"/>
      <c r="AE985" s="105"/>
      <c r="AF985" s="91"/>
      <c r="AG985" s="105"/>
      <c r="AH985" s="105"/>
      <c r="AI985" s="105" t="str">
        <f t="shared" si="1"/>
        <v/>
      </c>
      <c r="AJ985" s="108" t="str">
        <f t="shared" si="2"/>
        <v/>
      </c>
    </row>
    <row r="986" ht="15.75" customHeight="1">
      <c r="A986" s="104"/>
      <c r="B986" s="105" t="str">
        <f>IFERROR(__xludf.DUMMYFUNCTION("ARRAY_CONSTRAIN(
  ARRAYFORMULA(
    IF(
      'Final Report'!A986="""",
      """",
      TEXTJOIN(
        "", "" &amp; CHAR(10),
        TRUE,
        IFERROR(
          VLOOKUP(
            TRIM(
              SPLIT('Final Report'!A986, "","")
           "&amp;" ),
            'URL Details'!A:B,
            2,
            FALSE
          ),
          """"
        )
      )
    )
  ),
  1,
  1
)
"),"")</f>
        <v/>
      </c>
      <c r="C986" s="105" t="str">
        <f>IFERROR(__xludf.DUMMYFUNCTION("IFERROR(IF('Final Report'!A986="""","""", TEXTJOIN(CHAR(10), TRUE, ARRAYFORMULA( ""• ""&amp; FILTER( TRIM(FLATTEN(SPLIT( REGEXREPLACE( SUBSTITUTE(TEXTJOIN("","", TRUE, IFERROR(ARRAYFORMULA(VLOOKUP(TRIM(SPLIT('Final Report'!A986, "","")), 'URL Details'!A:D, 4,"&amp;" FALSE)),"""") ), CHAR(10), "",""), ""\s*,\s*"", "",""), "",""))), TRIM(FLATTEN(SPLIT( REGEXREPLACE( SUBSTITUTE(TEXTJOIN("","", TRUE, IFERROR(ARRAYFORMULA(VLOOKUP(TRIM(SPLIT('Final Report'!A986, "","")), 'URL Details'!A:D, 4, FALSE)),"""") ), CHAR(10), """&amp;",""), ""\s*,\s*"", "",""), "","")))&lt;&gt;"""" ) ) ) ),"""")
"),"")</f>
        <v/>
      </c>
      <c r="D986" s="105"/>
      <c r="E986" s="105"/>
      <c r="F986" s="110" t="b">
        <v>0</v>
      </c>
      <c r="G986" s="105" t="str">
        <f>IF(F986=True, IFERROR(VLOOKUP(D986, Repository!A:B, 2, 0), ""), "")</f>
        <v/>
      </c>
      <c r="H986" s="105"/>
      <c r="I986" s="105"/>
      <c r="J986" s="105" t="str">
        <f>IF(F986=True, IFERROR(VLOOKUP(D986, Repository!A:C, 3, 0), ""), "")</f>
        <v/>
      </c>
      <c r="K986" s="105"/>
      <c r="L986" s="105" t="str">
        <f>IF(F986=True, IFERROR(VLOOKUP(D986, Repository!A:E, 5, 0), ""), "")</f>
        <v/>
      </c>
      <c r="M986" s="105"/>
      <c r="N986" s="105" t="str">
        <f>IF(F986=True, IFERROR(VLOOKUP(D986, Repository!A:G, 7, 0), ""), "")</f>
        <v/>
      </c>
      <c r="O986" s="105" t="str">
        <f>IFERROR(__xludf.DUMMYFUNCTION("ARRAY_CONSTRAIN(
  ARRAYFORMULA(
    IFERROR(
      LET(
        list, N986,
        arr, TRIM(SPLIT(list, "","")),
        names, XLOOKUP(
          arr,
          'Conformance Score'!A:A,
          'Conformance Score'!B:B,
          ""Not found""
      "&amp;"  ),
        TEXTJOIN("", "", TRUE, names)
      ),
      """"
    )
  ),
  1,
  1
)
"),"")</f>
        <v/>
      </c>
      <c r="P986" s="105" t="str">
        <f>IF(F986="Yes", IFERROR(VLOOKUP(D986, Repository!A:F, 6, 0), ""), "")</f>
        <v/>
      </c>
      <c r="Q986" s="105" t="str">
        <f>IF(F986="Yes", IFERROR(VLOOKUP(D986, Repository!A:I, 8, 0), ""), "")</f>
        <v/>
      </c>
      <c r="R986" s="105" t="str">
        <f>IF(F986="Yes", IFERROR(VLOOKUP(D986, Repository!A:J, 9, 0), ""), "")</f>
        <v/>
      </c>
      <c r="S986" s="105"/>
      <c r="T986" s="105"/>
      <c r="U986" s="105"/>
      <c r="V986" s="105"/>
      <c r="W986" s="105"/>
      <c r="X986" s="105"/>
      <c r="Y986" s="105"/>
      <c r="Z986" s="105"/>
      <c r="AA986" s="105"/>
      <c r="AB986" s="105"/>
      <c r="AC986" s="91"/>
      <c r="AD986" s="105"/>
      <c r="AE986" s="105"/>
      <c r="AF986" s="91"/>
      <c r="AG986" s="105"/>
      <c r="AH986" s="105"/>
      <c r="AI986" s="105" t="str">
        <f t="shared" si="1"/>
        <v/>
      </c>
      <c r="AJ986" s="108" t="str">
        <f t="shared" si="2"/>
        <v/>
      </c>
    </row>
    <row r="987" ht="15.75" customHeight="1">
      <c r="A987" s="104"/>
      <c r="B987" s="105" t="str">
        <f>IFERROR(__xludf.DUMMYFUNCTION("ARRAY_CONSTRAIN(
  ARRAYFORMULA(
    IF(
      'Final Report'!A987="""",
      """",
      TEXTJOIN(
        "", "" &amp; CHAR(10),
        TRUE,
        IFERROR(
          VLOOKUP(
            TRIM(
              SPLIT('Final Report'!A987, "","")
           "&amp;" ),
            'URL Details'!A:B,
            2,
            FALSE
          ),
          """"
        )
      )
    )
  ),
  1,
  1
)
"),"")</f>
        <v/>
      </c>
      <c r="C987" s="105" t="str">
        <f>IFERROR(__xludf.DUMMYFUNCTION("IFERROR(IF('Final Report'!A987="""","""", TEXTJOIN(CHAR(10), TRUE, ARRAYFORMULA( ""• ""&amp; FILTER( TRIM(FLATTEN(SPLIT( REGEXREPLACE( SUBSTITUTE(TEXTJOIN("","", TRUE, IFERROR(ARRAYFORMULA(VLOOKUP(TRIM(SPLIT('Final Report'!A987, "","")), 'URL Details'!A:D, 4,"&amp;" FALSE)),"""") ), CHAR(10), "",""), ""\s*,\s*"", "",""), "",""))), TRIM(FLATTEN(SPLIT( REGEXREPLACE( SUBSTITUTE(TEXTJOIN("","", TRUE, IFERROR(ARRAYFORMULA(VLOOKUP(TRIM(SPLIT('Final Report'!A987, "","")), 'URL Details'!A:D, 4, FALSE)),"""") ), CHAR(10), """&amp;",""), ""\s*,\s*"", "",""), "","")))&lt;&gt;"""" ) ) ) ),"""")
"),"")</f>
        <v/>
      </c>
      <c r="D987" s="105"/>
      <c r="E987" s="105"/>
      <c r="F987" s="110" t="b">
        <v>0</v>
      </c>
      <c r="G987" s="105" t="str">
        <f>IF(F987=True, IFERROR(VLOOKUP(D987, Repository!A:B, 2, 0), ""), "")</f>
        <v/>
      </c>
      <c r="H987" s="105"/>
      <c r="I987" s="105"/>
      <c r="J987" s="105" t="str">
        <f>IF(F987=True, IFERROR(VLOOKUP(D987, Repository!A:C, 3, 0), ""), "")</f>
        <v/>
      </c>
      <c r="K987" s="105"/>
      <c r="L987" s="105" t="str">
        <f>IF(F987=True, IFERROR(VLOOKUP(D987, Repository!A:E, 5, 0), ""), "")</f>
        <v/>
      </c>
      <c r="M987" s="105"/>
      <c r="N987" s="105" t="str">
        <f>IF(F987=True, IFERROR(VLOOKUP(D987, Repository!A:G, 7, 0), ""), "")</f>
        <v/>
      </c>
      <c r="O987" s="105" t="str">
        <f>IFERROR(__xludf.DUMMYFUNCTION("ARRAY_CONSTRAIN(
  ARRAYFORMULA(
    IFERROR(
      LET(
        list, N987,
        arr, TRIM(SPLIT(list, "","")),
        names, XLOOKUP(
          arr,
          'Conformance Score'!A:A,
          'Conformance Score'!B:B,
          ""Not found""
      "&amp;"  ),
        TEXTJOIN("", "", TRUE, names)
      ),
      """"
    )
  ),
  1,
  1
)
"),"")</f>
        <v/>
      </c>
      <c r="P987" s="105" t="str">
        <f>IF(F987="Yes", IFERROR(VLOOKUP(D987, Repository!A:F, 6, 0), ""), "")</f>
        <v/>
      </c>
      <c r="Q987" s="105" t="str">
        <f>IF(F987="Yes", IFERROR(VLOOKUP(D987, Repository!A:I, 8, 0), ""), "")</f>
        <v/>
      </c>
      <c r="R987" s="105" t="str">
        <f>IF(F987="Yes", IFERROR(VLOOKUP(D987, Repository!A:J, 9, 0), ""), "")</f>
        <v/>
      </c>
      <c r="S987" s="105"/>
      <c r="T987" s="105"/>
      <c r="U987" s="105"/>
      <c r="V987" s="105"/>
      <c r="W987" s="105"/>
      <c r="X987" s="105"/>
      <c r="Y987" s="105"/>
      <c r="Z987" s="105"/>
      <c r="AA987" s="105"/>
      <c r="AB987" s="105"/>
      <c r="AC987" s="91"/>
      <c r="AD987" s="105"/>
      <c r="AE987" s="105"/>
      <c r="AF987" s="91"/>
      <c r="AG987" s="105"/>
      <c r="AH987" s="105"/>
      <c r="AI987" s="105" t="str">
        <f t="shared" si="1"/>
        <v/>
      </c>
      <c r="AJ987" s="108" t="str">
        <f t="shared" si="2"/>
        <v/>
      </c>
    </row>
    <row r="988" ht="15.75" customHeight="1">
      <c r="A988" s="104"/>
      <c r="B988" s="105" t="str">
        <f>IFERROR(__xludf.DUMMYFUNCTION("ARRAY_CONSTRAIN(
  ARRAYFORMULA(
    IF(
      'Final Report'!A988="""",
      """",
      TEXTJOIN(
        "", "" &amp; CHAR(10),
        TRUE,
        IFERROR(
          VLOOKUP(
            TRIM(
              SPLIT('Final Report'!A988, "","")
           "&amp;" ),
            'URL Details'!A:B,
            2,
            FALSE
          ),
          """"
        )
      )
    )
  ),
  1,
  1
)
"),"")</f>
        <v/>
      </c>
      <c r="C988" s="105" t="str">
        <f>IFERROR(__xludf.DUMMYFUNCTION("IFERROR(IF('Final Report'!A988="""","""", TEXTJOIN(CHAR(10), TRUE, ARRAYFORMULA( ""• ""&amp; FILTER( TRIM(FLATTEN(SPLIT( REGEXREPLACE( SUBSTITUTE(TEXTJOIN("","", TRUE, IFERROR(ARRAYFORMULA(VLOOKUP(TRIM(SPLIT('Final Report'!A988, "","")), 'URL Details'!A:D, 4,"&amp;" FALSE)),"""") ), CHAR(10), "",""), ""\s*,\s*"", "",""), "",""))), TRIM(FLATTEN(SPLIT( REGEXREPLACE( SUBSTITUTE(TEXTJOIN("","", TRUE, IFERROR(ARRAYFORMULA(VLOOKUP(TRIM(SPLIT('Final Report'!A988, "","")), 'URL Details'!A:D, 4, FALSE)),"""") ), CHAR(10), """&amp;",""), ""\s*,\s*"", "",""), "","")))&lt;&gt;"""" ) ) ) ),"""")
"),"")</f>
        <v/>
      </c>
      <c r="D988" s="105"/>
      <c r="E988" s="105"/>
      <c r="F988" s="110" t="b">
        <v>0</v>
      </c>
      <c r="G988" s="105" t="str">
        <f>IF(F988=True, IFERROR(VLOOKUP(D988, Repository!A:B, 2, 0), ""), "")</f>
        <v/>
      </c>
      <c r="H988" s="105"/>
      <c r="I988" s="105"/>
      <c r="J988" s="105" t="str">
        <f>IF(F988=True, IFERROR(VLOOKUP(D988, Repository!A:C, 3, 0), ""), "")</f>
        <v/>
      </c>
      <c r="K988" s="105"/>
      <c r="L988" s="105" t="str">
        <f>IF(F988=True, IFERROR(VLOOKUP(D988, Repository!A:E, 5, 0), ""), "")</f>
        <v/>
      </c>
      <c r="M988" s="105"/>
      <c r="N988" s="105" t="str">
        <f>IF(F988=True, IFERROR(VLOOKUP(D988, Repository!A:G, 7, 0), ""), "")</f>
        <v/>
      </c>
      <c r="O988" s="105" t="str">
        <f>IFERROR(__xludf.DUMMYFUNCTION("ARRAY_CONSTRAIN(
  ARRAYFORMULA(
    IFERROR(
      LET(
        list, N988,
        arr, TRIM(SPLIT(list, "","")),
        names, XLOOKUP(
          arr,
          'Conformance Score'!A:A,
          'Conformance Score'!B:B,
          ""Not found""
      "&amp;"  ),
        TEXTJOIN("", "", TRUE, names)
      ),
      """"
    )
  ),
  1,
  1
)
"),"")</f>
        <v/>
      </c>
      <c r="P988" s="105" t="str">
        <f>IF(F988="Yes", IFERROR(VLOOKUP(D988, Repository!A:F, 6, 0), ""), "")</f>
        <v/>
      </c>
      <c r="Q988" s="105" t="str">
        <f>IF(F988="Yes", IFERROR(VLOOKUP(D988, Repository!A:I, 8, 0), ""), "")</f>
        <v/>
      </c>
      <c r="R988" s="105" t="str">
        <f>IF(F988="Yes", IFERROR(VLOOKUP(D988, Repository!A:J, 9, 0), ""), "")</f>
        <v/>
      </c>
      <c r="S988" s="105"/>
      <c r="T988" s="105"/>
      <c r="U988" s="105"/>
      <c r="V988" s="105"/>
      <c r="W988" s="105"/>
      <c r="X988" s="105"/>
      <c r="Y988" s="105"/>
      <c r="Z988" s="105"/>
      <c r="AA988" s="105"/>
      <c r="AB988" s="105"/>
      <c r="AC988" s="91"/>
      <c r="AD988" s="105"/>
      <c r="AE988" s="105"/>
      <c r="AF988" s="91"/>
      <c r="AG988" s="105"/>
      <c r="AH988" s="105"/>
      <c r="AI988" s="105" t="str">
        <f t="shared" si="1"/>
        <v/>
      </c>
      <c r="AJ988" s="108" t="str">
        <f t="shared" si="2"/>
        <v/>
      </c>
    </row>
    <row r="989" ht="15.75" customHeight="1">
      <c r="A989" s="104"/>
      <c r="B989" s="105" t="str">
        <f>IFERROR(__xludf.DUMMYFUNCTION("ARRAY_CONSTRAIN(
  ARRAYFORMULA(
    IF(
      'Final Report'!A989="""",
      """",
      TEXTJOIN(
        "", "" &amp; CHAR(10),
        TRUE,
        IFERROR(
          VLOOKUP(
            TRIM(
              SPLIT('Final Report'!A989, "","")
           "&amp;" ),
            'URL Details'!A:B,
            2,
            FALSE
          ),
          """"
        )
      )
    )
  ),
  1,
  1
)
"),"")</f>
        <v/>
      </c>
      <c r="C989" s="105" t="str">
        <f>IFERROR(__xludf.DUMMYFUNCTION("IFERROR(IF('Final Report'!A989="""","""", TEXTJOIN(CHAR(10), TRUE, ARRAYFORMULA( ""• ""&amp; FILTER( TRIM(FLATTEN(SPLIT( REGEXREPLACE( SUBSTITUTE(TEXTJOIN("","", TRUE, IFERROR(ARRAYFORMULA(VLOOKUP(TRIM(SPLIT('Final Report'!A989, "","")), 'URL Details'!A:D, 4,"&amp;" FALSE)),"""") ), CHAR(10), "",""), ""\s*,\s*"", "",""), "",""))), TRIM(FLATTEN(SPLIT( REGEXREPLACE( SUBSTITUTE(TEXTJOIN("","", TRUE, IFERROR(ARRAYFORMULA(VLOOKUP(TRIM(SPLIT('Final Report'!A989, "","")), 'URL Details'!A:D, 4, FALSE)),"""") ), CHAR(10), """&amp;",""), ""\s*,\s*"", "",""), "","")))&lt;&gt;"""" ) ) ) ),"""")
"),"")</f>
        <v/>
      </c>
      <c r="D989" s="105"/>
      <c r="E989" s="105"/>
      <c r="F989" s="110" t="b">
        <v>0</v>
      </c>
      <c r="G989" s="105" t="str">
        <f>IF(F989=True, IFERROR(VLOOKUP(D989, Repository!A:B, 2, 0), ""), "")</f>
        <v/>
      </c>
      <c r="H989" s="105"/>
      <c r="I989" s="105"/>
      <c r="J989" s="105" t="str">
        <f>IF(F989=True, IFERROR(VLOOKUP(D989, Repository!A:C, 3, 0), ""), "")</f>
        <v/>
      </c>
      <c r="K989" s="105"/>
      <c r="L989" s="105" t="str">
        <f>IF(F989=True, IFERROR(VLOOKUP(D989, Repository!A:E, 5, 0), ""), "")</f>
        <v/>
      </c>
      <c r="M989" s="105"/>
      <c r="N989" s="105" t="str">
        <f>IF(F989=True, IFERROR(VLOOKUP(D989, Repository!A:G, 7, 0), ""), "")</f>
        <v/>
      </c>
      <c r="O989" s="105" t="str">
        <f>IFERROR(__xludf.DUMMYFUNCTION("ARRAY_CONSTRAIN(
  ARRAYFORMULA(
    IFERROR(
      LET(
        list, N989,
        arr, TRIM(SPLIT(list, "","")),
        names, XLOOKUP(
          arr,
          'Conformance Score'!A:A,
          'Conformance Score'!B:B,
          ""Not found""
      "&amp;"  ),
        TEXTJOIN("", "", TRUE, names)
      ),
      """"
    )
  ),
  1,
  1
)
"),"")</f>
        <v/>
      </c>
      <c r="P989" s="105" t="str">
        <f>IF(F989="Yes", IFERROR(VLOOKUP(D989, Repository!A:F, 6, 0), ""), "")</f>
        <v/>
      </c>
      <c r="Q989" s="105" t="str">
        <f>IF(F989="Yes", IFERROR(VLOOKUP(D989, Repository!A:I, 8, 0), ""), "")</f>
        <v/>
      </c>
      <c r="R989" s="105" t="str">
        <f>IF(F989="Yes", IFERROR(VLOOKUP(D989, Repository!A:J, 9, 0), ""), "")</f>
        <v/>
      </c>
      <c r="S989" s="105"/>
      <c r="T989" s="105"/>
      <c r="U989" s="105"/>
      <c r="V989" s="105"/>
      <c r="W989" s="105"/>
      <c r="X989" s="105"/>
      <c r="Y989" s="105"/>
      <c r="Z989" s="105"/>
      <c r="AA989" s="105"/>
      <c r="AB989" s="105"/>
      <c r="AC989" s="91"/>
      <c r="AD989" s="105"/>
      <c r="AE989" s="105"/>
      <c r="AF989" s="91"/>
      <c r="AG989" s="105"/>
      <c r="AH989" s="105"/>
      <c r="AI989" s="105" t="str">
        <f t="shared" si="1"/>
        <v/>
      </c>
      <c r="AJ989" s="108" t="str">
        <f t="shared" si="2"/>
        <v/>
      </c>
    </row>
    <row r="990" ht="15.75" customHeight="1">
      <c r="A990" s="104"/>
      <c r="B990" s="105" t="str">
        <f>IFERROR(__xludf.DUMMYFUNCTION("ARRAY_CONSTRAIN(
  ARRAYFORMULA(
    IF(
      'Final Report'!A990="""",
      """",
      TEXTJOIN(
        "", "" &amp; CHAR(10),
        TRUE,
        IFERROR(
          VLOOKUP(
            TRIM(
              SPLIT('Final Report'!A990, "","")
           "&amp;" ),
            'URL Details'!A:B,
            2,
            FALSE
          ),
          """"
        )
      )
    )
  ),
  1,
  1
)
"),"")</f>
        <v/>
      </c>
      <c r="C990" s="105" t="str">
        <f>IFERROR(__xludf.DUMMYFUNCTION("IFERROR(IF('Final Report'!A990="""","""", TEXTJOIN(CHAR(10), TRUE, ARRAYFORMULA( ""• ""&amp; FILTER( TRIM(FLATTEN(SPLIT( REGEXREPLACE( SUBSTITUTE(TEXTJOIN("","", TRUE, IFERROR(ARRAYFORMULA(VLOOKUP(TRIM(SPLIT('Final Report'!A990, "","")), 'URL Details'!A:D, 4,"&amp;" FALSE)),"""") ), CHAR(10), "",""), ""\s*,\s*"", "",""), "",""))), TRIM(FLATTEN(SPLIT( REGEXREPLACE( SUBSTITUTE(TEXTJOIN("","", TRUE, IFERROR(ARRAYFORMULA(VLOOKUP(TRIM(SPLIT('Final Report'!A990, "","")), 'URL Details'!A:D, 4, FALSE)),"""") ), CHAR(10), """&amp;",""), ""\s*,\s*"", "",""), "","")))&lt;&gt;"""" ) ) ) ),"""")
"),"")</f>
        <v/>
      </c>
      <c r="D990" s="105"/>
      <c r="E990" s="105"/>
      <c r="F990" s="110" t="b">
        <v>0</v>
      </c>
      <c r="G990" s="105" t="str">
        <f>IF(F990=True, IFERROR(VLOOKUP(D990, Repository!A:B, 2, 0), ""), "")</f>
        <v/>
      </c>
      <c r="H990" s="105"/>
      <c r="I990" s="105"/>
      <c r="J990" s="105" t="str">
        <f>IF(F990=True, IFERROR(VLOOKUP(D990, Repository!A:C, 3, 0), ""), "")</f>
        <v/>
      </c>
      <c r="K990" s="105"/>
      <c r="L990" s="105" t="str">
        <f>IF(F990=True, IFERROR(VLOOKUP(D990, Repository!A:E, 5, 0), ""), "")</f>
        <v/>
      </c>
      <c r="M990" s="105"/>
      <c r="N990" s="105" t="str">
        <f>IF(F990=True, IFERROR(VLOOKUP(D990, Repository!A:G, 7, 0), ""), "")</f>
        <v/>
      </c>
      <c r="O990" s="105" t="str">
        <f>IFERROR(__xludf.DUMMYFUNCTION("ARRAY_CONSTRAIN(
  ARRAYFORMULA(
    IFERROR(
      LET(
        list, N990,
        arr, TRIM(SPLIT(list, "","")),
        names, XLOOKUP(
          arr,
          'Conformance Score'!A:A,
          'Conformance Score'!B:B,
          ""Not found""
      "&amp;"  ),
        TEXTJOIN("", "", TRUE, names)
      ),
      """"
    )
  ),
  1,
  1
)
"),"")</f>
        <v/>
      </c>
      <c r="P990" s="105" t="str">
        <f>IF(F990="Yes", IFERROR(VLOOKUP(D990, Repository!A:F, 6, 0), ""), "")</f>
        <v/>
      </c>
      <c r="Q990" s="105" t="str">
        <f>IF(F990="Yes", IFERROR(VLOOKUP(D990, Repository!A:I, 8, 0), ""), "")</f>
        <v/>
      </c>
      <c r="R990" s="105" t="str">
        <f>IF(F990="Yes", IFERROR(VLOOKUP(D990, Repository!A:J, 9, 0), ""), "")</f>
        <v/>
      </c>
      <c r="S990" s="105"/>
      <c r="T990" s="105"/>
      <c r="U990" s="105"/>
      <c r="V990" s="105"/>
      <c r="W990" s="105"/>
      <c r="X990" s="105"/>
      <c r="Y990" s="105"/>
      <c r="Z990" s="105"/>
      <c r="AA990" s="105"/>
      <c r="AB990" s="105"/>
      <c r="AC990" s="91"/>
      <c r="AD990" s="105"/>
      <c r="AE990" s="105"/>
      <c r="AF990" s="91"/>
      <c r="AG990" s="105"/>
      <c r="AH990" s="105"/>
      <c r="AI990" s="105" t="str">
        <f t="shared" si="1"/>
        <v/>
      </c>
      <c r="AJ990" s="108" t="str">
        <f t="shared" si="2"/>
        <v/>
      </c>
    </row>
    <row r="991" ht="15.75" customHeight="1">
      <c r="A991" s="104"/>
      <c r="B991" s="105" t="str">
        <f>IFERROR(__xludf.DUMMYFUNCTION("ARRAY_CONSTRAIN(
  ARRAYFORMULA(
    IF(
      'Final Report'!A991="""",
      """",
      TEXTJOIN(
        "", "" &amp; CHAR(10),
        TRUE,
        IFERROR(
          VLOOKUP(
            TRIM(
              SPLIT('Final Report'!A991, "","")
           "&amp;" ),
            'URL Details'!A:B,
            2,
            FALSE
          ),
          """"
        )
      )
    )
  ),
  1,
  1
)
"),"")</f>
        <v/>
      </c>
      <c r="C991" s="105" t="str">
        <f>IFERROR(__xludf.DUMMYFUNCTION("IFERROR(IF('Final Report'!A991="""","""", TEXTJOIN(CHAR(10), TRUE, ARRAYFORMULA( ""• ""&amp; FILTER( TRIM(FLATTEN(SPLIT( REGEXREPLACE( SUBSTITUTE(TEXTJOIN("","", TRUE, IFERROR(ARRAYFORMULA(VLOOKUP(TRIM(SPLIT('Final Report'!A991, "","")), 'URL Details'!A:D, 4,"&amp;" FALSE)),"""") ), CHAR(10), "",""), ""\s*,\s*"", "",""), "",""))), TRIM(FLATTEN(SPLIT( REGEXREPLACE( SUBSTITUTE(TEXTJOIN("","", TRUE, IFERROR(ARRAYFORMULA(VLOOKUP(TRIM(SPLIT('Final Report'!A991, "","")), 'URL Details'!A:D, 4, FALSE)),"""") ), CHAR(10), """&amp;",""), ""\s*,\s*"", "",""), "","")))&lt;&gt;"""" ) ) ) ),"""")
"),"")</f>
        <v/>
      </c>
      <c r="D991" s="105"/>
      <c r="E991" s="105"/>
      <c r="F991" s="110" t="b">
        <v>0</v>
      </c>
      <c r="G991" s="105" t="str">
        <f>IF(F991=True, IFERROR(VLOOKUP(D991, Repository!A:B, 2, 0), ""), "")</f>
        <v/>
      </c>
      <c r="H991" s="105"/>
      <c r="I991" s="105"/>
      <c r="J991" s="105" t="str">
        <f>IF(F991=True, IFERROR(VLOOKUP(D991, Repository!A:C, 3, 0), ""), "")</f>
        <v/>
      </c>
      <c r="K991" s="105"/>
      <c r="L991" s="105" t="str">
        <f>IF(F991=True, IFERROR(VLOOKUP(D991, Repository!A:E, 5, 0), ""), "")</f>
        <v/>
      </c>
      <c r="M991" s="105"/>
      <c r="N991" s="105" t="str">
        <f>IF(F991=True, IFERROR(VLOOKUP(D991, Repository!A:G, 7, 0), ""), "")</f>
        <v/>
      </c>
      <c r="O991" s="105" t="str">
        <f>IFERROR(__xludf.DUMMYFUNCTION("ARRAY_CONSTRAIN(
  ARRAYFORMULA(
    IFERROR(
      LET(
        list, N991,
        arr, TRIM(SPLIT(list, "","")),
        names, XLOOKUP(
          arr,
          'Conformance Score'!A:A,
          'Conformance Score'!B:B,
          ""Not found""
      "&amp;"  ),
        TEXTJOIN("", "", TRUE, names)
      ),
      """"
    )
  ),
  1,
  1
)
"),"")</f>
        <v/>
      </c>
      <c r="P991" s="105" t="str">
        <f>IF(F991="Yes", IFERROR(VLOOKUP(D991, Repository!A:F, 6, 0), ""), "")</f>
        <v/>
      </c>
      <c r="Q991" s="105" t="str">
        <f>IF(F991="Yes", IFERROR(VLOOKUP(D991, Repository!A:I, 8, 0), ""), "")</f>
        <v/>
      </c>
      <c r="R991" s="105" t="str">
        <f>IF(F991="Yes", IFERROR(VLOOKUP(D991, Repository!A:J, 9, 0), ""), "")</f>
        <v/>
      </c>
      <c r="S991" s="105"/>
      <c r="T991" s="105"/>
      <c r="U991" s="105"/>
      <c r="V991" s="105"/>
      <c r="W991" s="105"/>
      <c r="X991" s="105"/>
      <c r="Y991" s="105"/>
      <c r="Z991" s="105"/>
      <c r="AA991" s="105"/>
      <c r="AB991" s="105"/>
      <c r="AC991" s="91"/>
      <c r="AD991" s="105"/>
      <c r="AE991" s="105"/>
      <c r="AF991" s="91"/>
      <c r="AG991" s="105"/>
      <c r="AH991" s="105"/>
      <c r="AI991" s="105" t="str">
        <f t="shared" si="1"/>
        <v/>
      </c>
      <c r="AJ991" s="108" t="str">
        <f t="shared" si="2"/>
        <v/>
      </c>
    </row>
    <row r="992" ht="15.75" customHeight="1">
      <c r="A992" s="104"/>
      <c r="B992" s="105" t="str">
        <f>IFERROR(__xludf.DUMMYFUNCTION("ARRAY_CONSTRAIN(
  ARRAYFORMULA(
    IF(
      'Final Report'!A992="""",
      """",
      TEXTJOIN(
        "", "" &amp; CHAR(10),
        TRUE,
        IFERROR(
          VLOOKUP(
            TRIM(
              SPLIT('Final Report'!A992, "","")
           "&amp;" ),
            'URL Details'!A:B,
            2,
            FALSE
          ),
          """"
        )
      )
    )
  ),
  1,
  1
)
"),"")</f>
        <v/>
      </c>
      <c r="C992" s="105" t="str">
        <f>IFERROR(__xludf.DUMMYFUNCTION("IFERROR(IF('Final Report'!A992="""","""", TEXTJOIN(CHAR(10), TRUE, ARRAYFORMULA( ""• ""&amp; FILTER( TRIM(FLATTEN(SPLIT( REGEXREPLACE( SUBSTITUTE(TEXTJOIN("","", TRUE, IFERROR(ARRAYFORMULA(VLOOKUP(TRIM(SPLIT('Final Report'!A992, "","")), 'URL Details'!A:D, 4,"&amp;" FALSE)),"""") ), CHAR(10), "",""), ""\s*,\s*"", "",""), "",""))), TRIM(FLATTEN(SPLIT( REGEXREPLACE( SUBSTITUTE(TEXTJOIN("","", TRUE, IFERROR(ARRAYFORMULA(VLOOKUP(TRIM(SPLIT('Final Report'!A992, "","")), 'URL Details'!A:D, 4, FALSE)),"""") ), CHAR(10), """&amp;",""), ""\s*,\s*"", "",""), "","")))&lt;&gt;"""" ) ) ) ),"""")
"),"")</f>
        <v/>
      </c>
      <c r="D992" s="105"/>
      <c r="E992" s="105"/>
      <c r="F992" s="110" t="b">
        <v>0</v>
      </c>
      <c r="G992" s="105" t="str">
        <f>IF(F992=True, IFERROR(VLOOKUP(D992, Repository!A:B, 2, 0), ""), "")</f>
        <v/>
      </c>
      <c r="H992" s="105"/>
      <c r="I992" s="105"/>
      <c r="J992" s="105" t="str">
        <f>IF(F992=True, IFERROR(VLOOKUP(D992, Repository!A:C, 3, 0), ""), "")</f>
        <v/>
      </c>
      <c r="K992" s="105"/>
      <c r="L992" s="105" t="str">
        <f>IF(F992=True, IFERROR(VLOOKUP(D992, Repository!A:E, 5, 0), ""), "")</f>
        <v/>
      </c>
      <c r="M992" s="105"/>
      <c r="N992" s="105" t="str">
        <f>IF(F992=True, IFERROR(VLOOKUP(D992, Repository!A:G, 7, 0), ""), "")</f>
        <v/>
      </c>
      <c r="O992" s="105" t="str">
        <f>IFERROR(__xludf.DUMMYFUNCTION("ARRAY_CONSTRAIN(
  ARRAYFORMULA(
    IFERROR(
      LET(
        list, N992,
        arr, TRIM(SPLIT(list, "","")),
        names, XLOOKUP(
          arr,
          'Conformance Score'!A:A,
          'Conformance Score'!B:B,
          ""Not found""
      "&amp;"  ),
        TEXTJOIN("", "", TRUE, names)
      ),
      """"
    )
  ),
  1,
  1
)
"),"")</f>
        <v/>
      </c>
      <c r="P992" s="105" t="str">
        <f>IF(F992="Yes", IFERROR(VLOOKUP(D992, Repository!A:F, 6, 0), ""), "")</f>
        <v/>
      </c>
      <c r="Q992" s="105" t="str">
        <f>IF(F992="Yes", IFERROR(VLOOKUP(D992, Repository!A:I, 8, 0), ""), "")</f>
        <v/>
      </c>
      <c r="R992" s="105" t="str">
        <f>IF(F992="Yes", IFERROR(VLOOKUP(D992, Repository!A:J, 9, 0), ""), "")</f>
        <v/>
      </c>
      <c r="S992" s="105"/>
      <c r="T992" s="105"/>
      <c r="U992" s="105"/>
      <c r="V992" s="105"/>
      <c r="W992" s="105"/>
      <c r="X992" s="105"/>
      <c r="Y992" s="105"/>
      <c r="Z992" s="105"/>
      <c r="AA992" s="105"/>
      <c r="AB992" s="105"/>
      <c r="AC992" s="91"/>
      <c r="AD992" s="105"/>
      <c r="AE992" s="105"/>
      <c r="AF992" s="91"/>
      <c r="AG992" s="105"/>
      <c r="AH992" s="105"/>
      <c r="AI992" s="105" t="str">
        <f t="shared" si="1"/>
        <v/>
      </c>
      <c r="AJ992" s="108" t="str">
        <f t="shared" si="2"/>
        <v/>
      </c>
    </row>
    <row r="993" ht="15.75" customHeight="1">
      <c r="A993" s="104"/>
      <c r="B993" s="105" t="str">
        <f>IFERROR(__xludf.DUMMYFUNCTION("ARRAY_CONSTRAIN(
  ARRAYFORMULA(
    IF(
      'Final Report'!A993="""",
      """",
      TEXTJOIN(
        "", "" &amp; CHAR(10),
        TRUE,
        IFERROR(
          VLOOKUP(
            TRIM(
              SPLIT('Final Report'!A993, "","")
           "&amp;" ),
            'URL Details'!A:B,
            2,
            FALSE
          ),
          """"
        )
      )
    )
  ),
  1,
  1
)
"),"")</f>
        <v/>
      </c>
      <c r="C993" s="105" t="str">
        <f>IFERROR(__xludf.DUMMYFUNCTION("IFERROR(IF('Final Report'!A993="""","""", TEXTJOIN(CHAR(10), TRUE, ARRAYFORMULA( ""• ""&amp; FILTER( TRIM(FLATTEN(SPLIT( REGEXREPLACE( SUBSTITUTE(TEXTJOIN("","", TRUE, IFERROR(ARRAYFORMULA(VLOOKUP(TRIM(SPLIT('Final Report'!A993, "","")), 'URL Details'!A:D, 4,"&amp;" FALSE)),"""") ), CHAR(10), "",""), ""\s*,\s*"", "",""), "",""))), TRIM(FLATTEN(SPLIT( REGEXREPLACE( SUBSTITUTE(TEXTJOIN("","", TRUE, IFERROR(ARRAYFORMULA(VLOOKUP(TRIM(SPLIT('Final Report'!A993, "","")), 'URL Details'!A:D, 4, FALSE)),"""") ), CHAR(10), """&amp;",""), ""\s*,\s*"", "",""), "","")))&lt;&gt;"""" ) ) ) ),"""")
"),"")</f>
        <v/>
      </c>
      <c r="D993" s="105"/>
      <c r="E993" s="105"/>
      <c r="F993" s="110" t="b">
        <v>0</v>
      </c>
      <c r="G993" s="105" t="str">
        <f>IF(F993=True, IFERROR(VLOOKUP(D993, Repository!A:B, 2, 0), ""), "")</f>
        <v/>
      </c>
      <c r="H993" s="105"/>
      <c r="I993" s="105"/>
      <c r="J993" s="105" t="str">
        <f>IF(F993=True, IFERROR(VLOOKUP(D993, Repository!A:C, 3, 0), ""), "")</f>
        <v/>
      </c>
      <c r="K993" s="105"/>
      <c r="L993" s="105" t="str">
        <f>IF(F993=True, IFERROR(VLOOKUP(D993, Repository!A:E, 5, 0), ""), "")</f>
        <v/>
      </c>
      <c r="M993" s="105"/>
      <c r="N993" s="105" t="str">
        <f>IF(F993=True, IFERROR(VLOOKUP(D993, Repository!A:G, 7, 0), ""), "")</f>
        <v/>
      </c>
      <c r="O993" s="105" t="str">
        <f>IFERROR(__xludf.DUMMYFUNCTION("ARRAY_CONSTRAIN(
  ARRAYFORMULA(
    IFERROR(
      LET(
        list, N993,
        arr, TRIM(SPLIT(list, "","")),
        names, XLOOKUP(
          arr,
          'Conformance Score'!A:A,
          'Conformance Score'!B:B,
          ""Not found""
      "&amp;"  ),
        TEXTJOIN("", "", TRUE, names)
      ),
      """"
    )
  ),
  1,
  1
)
"),"")</f>
        <v/>
      </c>
      <c r="P993" s="105" t="str">
        <f>IF(F993="Yes", IFERROR(VLOOKUP(D993, Repository!A:F, 6, 0), ""), "")</f>
        <v/>
      </c>
      <c r="Q993" s="105" t="str">
        <f>IF(F993="Yes", IFERROR(VLOOKUP(D993, Repository!A:I, 8, 0), ""), "")</f>
        <v/>
      </c>
      <c r="R993" s="105" t="str">
        <f>IF(F993="Yes", IFERROR(VLOOKUP(D993, Repository!A:J, 9, 0), ""), "")</f>
        <v/>
      </c>
      <c r="S993" s="105"/>
      <c r="T993" s="105"/>
      <c r="U993" s="105"/>
      <c r="V993" s="105"/>
      <c r="W993" s="105"/>
      <c r="X993" s="105"/>
      <c r="Y993" s="105"/>
      <c r="Z993" s="105"/>
      <c r="AA993" s="105"/>
      <c r="AB993" s="105"/>
      <c r="AC993" s="91"/>
      <c r="AD993" s="105"/>
      <c r="AE993" s="105"/>
      <c r="AF993" s="91"/>
      <c r="AG993" s="105"/>
      <c r="AH993" s="105"/>
      <c r="AI993" s="105" t="str">
        <f t="shared" si="1"/>
        <v/>
      </c>
      <c r="AJ993" s="108" t="str">
        <f t="shared" si="2"/>
        <v/>
      </c>
    </row>
    <row r="994" ht="15.75" customHeight="1">
      <c r="A994" s="104"/>
      <c r="B994" s="105" t="str">
        <f>IFERROR(__xludf.DUMMYFUNCTION("ARRAY_CONSTRAIN(
  ARRAYFORMULA(
    IF(
      'Final Report'!A994="""",
      """",
      TEXTJOIN(
        "", "" &amp; CHAR(10),
        TRUE,
        IFERROR(
          VLOOKUP(
            TRIM(
              SPLIT('Final Report'!A994, "","")
           "&amp;" ),
            'URL Details'!A:B,
            2,
            FALSE
          ),
          """"
        )
      )
    )
  ),
  1,
  1
)
"),"")</f>
        <v/>
      </c>
      <c r="C994" s="105" t="str">
        <f>IFERROR(__xludf.DUMMYFUNCTION("IFERROR(IF('Final Report'!A994="""","""", TEXTJOIN(CHAR(10), TRUE, ARRAYFORMULA( ""• ""&amp; FILTER( TRIM(FLATTEN(SPLIT( REGEXREPLACE( SUBSTITUTE(TEXTJOIN("","", TRUE, IFERROR(ARRAYFORMULA(VLOOKUP(TRIM(SPLIT('Final Report'!A994, "","")), 'URL Details'!A:D, 4,"&amp;" FALSE)),"""") ), CHAR(10), "",""), ""\s*,\s*"", "",""), "",""))), TRIM(FLATTEN(SPLIT( REGEXREPLACE( SUBSTITUTE(TEXTJOIN("","", TRUE, IFERROR(ARRAYFORMULA(VLOOKUP(TRIM(SPLIT('Final Report'!A994, "","")), 'URL Details'!A:D, 4, FALSE)),"""") ), CHAR(10), """&amp;",""), ""\s*,\s*"", "",""), "","")))&lt;&gt;"""" ) ) ) ),"""")
"),"")</f>
        <v/>
      </c>
      <c r="D994" s="105"/>
      <c r="E994" s="105"/>
      <c r="F994" s="110" t="b">
        <v>0</v>
      </c>
      <c r="G994" s="105" t="str">
        <f>IF(F994=True, IFERROR(VLOOKUP(D994, Repository!A:B, 2, 0), ""), "")</f>
        <v/>
      </c>
      <c r="H994" s="105"/>
      <c r="I994" s="105"/>
      <c r="J994" s="105" t="str">
        <f>IF(F994=True, IFERROR(VLOOKUP(D994, Repository!A:C, 3, 0), ""), "")</f>
        <v/>
      </c>
      <c r="K994" s="105"/>
      <c r="L994" s="105" t="str">
        <f>IF(F994=True, IFERROR(VLOOKUP(D994, Repository!A:E, 5, 0), ""), "")</f>
        <v/>
      </c>
      <c r="M994" s="105"/>
      <c r="N994" s="105" t="str">
        <f>IF(F994=True, IFERROR(VLOOKUP(D994, Repository!A:G, 7, 0), ""), "")</f>
        <v/>
      </c>
      <c r="O994" s="105" t="str">
        <f>IFERROR(__xludf.DUMMYFUNCTION("ARRAY_CONSTRAIN(
  ARRAYFORMULA(
    IFERROR(
      LET(
        list, N994,
        arr, TRIM(SPLIT(list, "","")),
        names, XLOOKUP(
          arr,
          'Conformance Score'!A:A,
          'Conformance Score'!B:B,
          ""Not found""
      "&amp;"  ),
        TEXTJOIN("", "", TRUE, names)
      ),
      """"
    )
  ),
  1,
  1
)
"),"")</f>
        <v/>
      </c>
      <c r="P994" s="105" t="str">
        <f>IF(F994="Yes", IFERROR(VLOOKUP(D994, Repository!A:F, 6, 0), ""), "")</f>
        <v/>
      </c>
      <c r="Q994" s="105" t="str">
        <f>IF(F994="Yes", IFERROR(VLOOKUP(D994, Repository!A:I, 8, 0), ""), "")</f>
        <v/>
      </c>
      <c r="R994" s="105" t="str">
        <f>IF(F994="Yes", IFERROR(VLOOKUP(D994, Repository!A:J, 9, 0), ""), "")</f>
        <v/>
      </c>
      <c r="S994" s="105"/>
      <c r="T994" s="105"/>
      <c r="U994" s="105"/>
      <c r="V994" s="105"/>
      <c r="W994" s="105"/>
      <c r="X994" s="105"/>
      <c r="Y994" s="105"/>
      <c r="Z994" s="105"/>
      <c r="AA994" s="105"/>
      <c r="AB994" s="105"/>
      <c r="AC994" s="91"/>
      <c r="AD994" s="105"/>
      <c r="AE994" s="105"/>
      <c r="AF994" s="91"/>
      <c r="AG994" s="105"/>
      <c r="AH994" s="105"/>
      <c r="AI994" s="105" t="str">
        <f t="shared" si="1"/>
        <v/>
      </c>
      <c r="AJ994" s="108" t="str">
        <f t="shared" si="2"/>
        <v/>
      </c>
    </row>
    <row r="995" ht="15.75" customHeight="1">
      <c r="A995" s="104"/>
      <c r="B995" s="105" t="str">
        <f>IFERROR(__xludf.DUMMYFUNCTION("ARRAY_CONSTRAIN(
  ARRAYFORMULA(
    IF(
      'Final Report'!A995="""",
      """",
      TEXTJOIN(
        "", "" &amp; CHAR(10),
        TRUE,
        IFERROR(
          VLOOKUP(
            TRIM(
              SPLIT('Final Report'!A995, "","")
           "&amp;" ),
            'URL Details'!A:B,
            2,
            FALSE
          ),
          """"
        )
      )
    )
  ),
  1,
  1
)
"),"")</f>
        <v/>
      </c>
      <c r="C995" s="105" t="str">
        <f>IFERROR(__xludf.DUMMYFUNCTION("IFERROR(IF('Final Report'!A995="""","""", TEXTJOIN(CHAR(10), TRUE, ARRAYFORMULA( ""• ""&amp; FILTER( TRIM(FLATTEN(SPLIT( REGEXREPLACE( SUBSTITUTE(TEXTJOIN("","", TRUE, IFERROR(ARRAYFORMULA(VLOOKUP(TRIM(SPLIT('Final Report'!A995, "","")), 'URL Details'!A:D, 4,"&amp;" FALSE)),"""") ), CHAR(10), "",""), ""\s*,\s*"", "",""), "",""))), TRIM(FLATTEN(SPLIT( REGEXREPLACE( SUBSTITUTE(TEXTJOIN("","", TRUE, IFERROR(ARRAYFORMULA(VLOOKUP(TRIM(SPLIT('Final Report'!A995, "","")), 'URL Details'!A:D, 4, FALSE)),"""") ), CHAR(10), """&amp;",""), ""\s*,\s*"", "",""), "","")))&lt;&gt;"""" ) ) ) ),"""")
"),"")</f>
        <v/>
      </c>
      <c r="D995" s="105"/>
      <c r="E995" s="105"/>
      <c r="F995" s="110" t="b">
        <v>0</v>
      </c>
      <c r="G995" s="105" t="str">
        <f>IF(F995=True, IFERROR(VLOOKUP(D995, Repository!A:B, 2, 0), ""), "")</f>
        <v/>
      </c>
      <c r="H995" s="105"/>
      <c r="I995" s="105"/>
      <c r="J995" s="105" t="str">
        <f>IF(F995=True, IFERROR(VLOOKUP(D995, Repository!A:C, 3, 0), ""), "")</f>
        <v/>
      </c>
      <c r="K995" s="105"/>
      <c r="L995" s="105" t="str">
        <f>IF(F995=True, IFERROR(VLOOKUP(D995, Repository!A:E, 5, 0), ""), "")</f>
        <v/>
      </c>
      <c r="M995" s="105"/>
      <c r="N995" s="105" t="str">
        <f>IF(F995=True, IFERROR(VLOOKUP(D995, Repository!A:G, 7, 0), ""), "")</f>
        <v/>
      </c>
      <c r="O995" s="105" t="str">
        <f>IFERROR(__xludf.DUMMYFUNCTION("ARRAY_CONSTRAIN(
  ARRAYFORMULA(
    IFERROR(
      LET(
        list, N995,
        arr, TRIM(SPLIT(list, "","")),
        names, XLOOKUP(
          arr,
          'Conformance Score'!A:A,
          'Conformance Score'!B:B,
          ""Not found""
      "&amp;"  ),
        TEXTJOIN("", "", TRUE, names)
      ),
      """"
    )
  ),
  1,
  1
)
"),"")</f>
        <v/>
      </c>
      <c r="P995" s="105" t="str">
        <f>IF(F995="Yes", IFERROR(VLOOKUP(D995, Repository!A:F, 6, 0), ""), "")</f>
        <v/>
      </c>
      <c r="Q995" s="105" t="str">
        <f>IF(F995="Yes", IFERROR(VLOOKUP(D995, Repository!A:I, 8, 0), ""), "")</f>
        <v/>
      </c>
      <c r="R995" s="105" t="str">
        <f>IF(F995="Yes", IFERROR(VLOOKUP(D995, Repository!A:J, 9, 0), ""), "")</f>
        <v/>
      </c>
      <c r="S995" s="105"/>
      <c r="T995" s="105"/>
      <c r="U995" s="105"/>
      <c r="V995" s="105"/>
      <c r="W995" s="105"/>
      <c r="X995" s="105"/>
      <c r="Y995" s="105"/>
      <c r="Z995" s="105"/>
      <c r="AA995" s="105"/>
      <c r="AB995" s="105"/>
      <c r="AC995" s="91"/>
      <c r="AD995" s="105"/>
      <c r="AE995" s="105"/>
      <c r="AF995" s="91"/>
      <c r="AG995" s="105"/>
      <c r="AH995" s="105"/>
      <c r="AI995" s="105" t="str">
        <f t="shared" si="1"/>
        <v/>
      </c>
      <c r="AJ995" s="108" t="str">
        <f t="shared" si="2"/>
        <v/>
      </c>
    </row>
    <row r="996" ht="15.75" customHeight="1">
      <c r="A996" s="104"/>
      <c r="B996" s="105" t="str">
        <f>IFERROR(__xludf.DUMMYFUNCTION("ARRAY_CONSTRAIN(
  ARRAYFORMULA(
    IF(
      'Final Report'!A996="""",
      """",
      TEXTJOIN(
        "", "" &amp; CHAR(10),
        TRUE,
        IFERROR(
          VLOOKUP(
            TRIM(
              SPLIT('Final Report'!A996, "","")
           "&amp;" ),
            'URL Details'!A:B,
            2,
            FALSE
          ),
          """"
        )
      )
    )
  ),
  1,
  1
)
"),"")</f>
        <v/>
      </c>
      <c r="C996" s="105" t="str">
        <f>IFERROR(__xludf.DUMMYFUNCTION("IFERROR(IF('Final Report'!A996="""","""", TEXTJOIN(CHAR(10), TRUE, ARRAYFORMULA( ""• ""&amp; FILTER( TRIM(FLATTEN(SPLIT( REGEXREPLACE( SUBSTITUTE(TEXTJOIN("","", TRUE, IFERROR(ARRAYFORMULA(VLOOKUP(TRIM(SPLIT('Final Report'!A996, "","")), 'URL Details'!A:D, 4,"&amp;" FALSE)),"""") ), CHAR(10), "",""), ""\s*,\s*"", "",""), "",""))), TRIM(FLATTEN(SPLIT( REGEXREPLACE( SUBSTITUTE(TEXTJOIN("","", TRUE, IFERROR(ARRAYFORMULA(VLOOKUP(TRIM(SPLIT('Final Report'!A996, "","")), 'URL Details'!A:D, 4, FALSE)),"""") ), CHAR(10), """&amp;",""), ""\s*,\s*"", "",""), "","")))&lt;&gt;"""" ) ) ) ),"""")
"),"")</f>
        <v/>
      </c>
      <c r="D996" s="105"/>
      <c r="E996" s="105"/>
      <c r="F996" s="110" t="b">
        <v>0</v>
      </c>
      <c r="G996" s="105" t="str">
        <f>IF(F996=True, IFERROR(VLOOKUP(D996, Repository!A:B, 2, 0), ""), "")</f>
        <v/>
      </c>
      <c r="H996" s="105"/>
      <c r="I996" s="105"/>
      <c r="J996" s="105" t="str">
        <f>IF(F996=True, IFERROR(VLOOKUP(D996, Repository!A:C, 3, 0), ""), "")</f>
        <v/>
      </c>
      <c r="K996" s="105"/>
      <c r="L996" s="105" t="str">
        <f>IF(F996=True, IFERROR(VLOOKUP(D996, Repository!A:E, 5, 0), ""), "")</f>
        <v/>
      </c>
      <c r="M996" s="105"/>
      <c r="N996" s="105" t="str">
        <f>IF(F996=True, IFERROR(VLOOKUP(D996, Repository!A:G, 7, 0), ""), "")</f>
        <v/>
      </c>
      <c r="O996" s="105" t="str">
        <f>IFERROR(__xludf.DUMMYFUNCTION("ARRAY_CONSTRAIN(
  ARRAYFORMULA(
    IFERROR(
      LET(
        list, N996,
        arr, TRIM(SPLIT(list, "","")),
        names, XLOOKUP(
          arr,
          'Conformance Score'!A:A,
          'Conformance Score'!B:B,
          ""Not found""
      "&amp;"  ),
        TEXTJOIN("", "", TRUE, names)
      ),
      """"
    )
  ),
  1,
  1
)
"),"")</f>
        <v/>
      </c>
      <c r="P996" s="105" t="str">
        <f>IF(F996="Yes", IFERROR(VLOOKUP(D996, Repository!A:F, 6, 0), ""), "")</f>
        <v/>
      </c>
      <c r="Q996" s="105" t="str">
        <f>IF(F996="Yes", IFERROR(VLOOKUP(D996, Repository!A:I, 8, 0), ""), "")</f>
        <v/>
      </c>
      <c r="R996" s="105" t="str">
        <f>IF(F996="Yes", IFERROR(VLOOKUP(D996, Repository!A:J, 9, 0), ""), "")</f>
        <v/>
      </c>
      <c r="S996" s="105"/>
      <c r="T996" s="105"/>
      <c r="U996" s="105"/>
      <c r="V996" s="105"/>
      <c r="W996" s="105"/>
      <c r="X996" s="105"/>
      <c r="Y996" s="105"/>
      <c r="Z996" s="105"/>
      <c r="AA996" s="105"/>
      <c r="AB996" s="105"/>
      <c r="AC996" s="91"/>
      <c r="AD996" s="105"/>
      <c r="AE996" s="105"/>
      <c r="AF996" s="91"/>
      <c r="AG996" s="105"/>
      <c r="AH996" s="105"/>
      <c r="AI996" s="105" t="str">
        <f t="shared" si="1"/>
        <v/>
      </c>
      <c r="AJ996" s="108" t="str">
        <f t="shared" si="2"/>
        <v/>
      </c>
    </row>
    <row r="997" ht="15.75" customHeight="1">
      <c r="A997" s="104"/>
      <c r="B997" s="105" t="str">
        <f>IFERROR(__xludf.DUMMYFUNCTION("ARRAY_CONSTRAIN(
  ARRAYFORMULA(
    IF(
      'Final Report'!A997="""",
      """",
      TEXTJOIN(
        "", "" &amp; CHAR(10),
        TRUE,
        IFERROR(
          VLOOKUP(
            TRIM(
              SPLIT('Final Report'!A997, "","")
           "&amp;" ),
            'URL Details'!A:B,
            2,
            FALSE
          ),
          """"
        )
      )
    )
  ),
  1,
  1
)
"),"")</f>
        <v/>
      </c>
      <c r="C997" s="105" t="str">
        <f>IFERROR(__xludf.DUMMYFUNCTION("IFERROR(IF('Final Report'!A997="""","""", TEXTJOIN(CHAR(10), TRUE, ARRAYFORMULA( ""• ""&amp; FILTER( TRIM(FLATTEN(SPLIT( REGEXREPLACE( SUBSTITUTE(TEXTJOIN("","", TRUE, IFERROR(ARRAYFORMULA(VLOOKUP(TRIM(SPLIT('Final Report'!A997, "","")), 'URL Details'!A:D, 4,"&amp;" FALSE)),"""") ), CHAR(10), "",""), ""\s*,\s*"", "",""), "",""))), TRIM(FLATTEN(SPLIT( REGEXREPLACE( SUBSTITUTE(TEXTJOIN("","", TRUE, IFERROR(ARRAYFORMULA(VLOOKUP(TRIM(SPLIT('Final Report'!A997, "","")), 'URL Details'!A:D, 4, FALSE)),"""") ), CHAR(10), """&amp;",""), ""\s*,\s*"", "",""), "","")))&lt;&gt;"""" ) ) ) ),"""")
"),"")</f>
        <v/>
      </c>
      <c r="D997" s="105"/>
      <c r="E997" s="105"/>
      <c r="F997" s="110" t="b">
        <v>0</v>
      </c>
      <c r="G997" s="105" t="str">
        <f>IF(F997=True, IFERROR(VLOOKUP(D997, Repository!A:B, 2, 0), ""), "")</f>
        <v/>
      </c>
      <c r="H997" s="105"/>
      <c r="I997" s="105"/>
      <c r="J997" s="105" t="str">
        <f>IF(F997=True, IFERROR(VLOOKUP(D997, Repository!A:C, 3, 0), ""), "")</f>
        <v/>
      </c>
      <c r="K997" s="105"/>
      <c r="L997" s="105" t="str">
        <f>IF(F997=True, IFERROR(VLOOKUP(D997, Repository!A:E, 5, 0), ""), "")</f>
        <v/>
      </c>
      <c r="M997" s="105"/>
      <c r="N997" s="105" t="str">
        <f>IF(F997=True, IFERROR(VLOOKUP(D997, Repository!A:G, 7, 0), ""), "")</f>
        <v/>
      </c>
      <c r="O997" s="105" t="str">
        <f>IFERROR(__xludf.DUMMYFUNCTION("ARRAY_CONSTRAIN(
  ARRAYFORMULA(
    IFERROR(
      LET(
        list, N997,
        arr, TRIM(SPLIT(list, "","")),
        names, XLOOKUP(
          arr,
          'Conformance Score'!A:A,
          'Conformance Score'!B:B,
          ""Not found""
      "&amp;"  ),
        TEXTJOIN("", "", TRUE, names)
      ),
      """"
    )
  ),
  1,
  1
)
"),"")</f>
        <v/>
      </c>
      <c r="P997" s="105" t="str">
        <f>IF(F997="Yes", IFERROR(VLOOKUP(D997, Repository!A:F, 6, 0), ""), "")</f>
        <v/>
      </c>
      <c r="Q997" s="105" t="str">
        <f>IF(F997="Yes", IFERROR(VLOOKUP(D997, Repository!A:I, 8, 0), ""), "")</f>
        <v/>
      </c>
      <c r="R997" s="105" t="str">
        <f>IF(F997="Yes", IFERROR(VLOOKUP(D997, Repository!A:J, 9, 0), ""), "")</f>
        <v/>
      </c>
      <c r="S997" s="105"/>
      <c r="T997" s="105"/>
      <c r="U997" s="105"/>
      <c r="V997" s="105"/>
      <c r="W997" s="105"/>
      <c r="X997" s="105"/>
      <c r="Y997" s="105"/>
      <c r="Z997" s="105"/>
      <c r="AA997" s="105"/>
      <c r="AB997" s="105"/>
      <c r="AC997" s="91"/>
      <c r="AD997" s="105"/>
      <c r="AE997" s="105"/>
      <c r="AF997" s="91"/>
      <c r="AG997" s="105"/>
      <c r="AH997" s="105"/>
      <c r="AI997" s="105" t="str">
        <f t="shared" si="1"/>
        <v/>
      </c>
      <c r="AJ997" s="108" t="str">
        <f t="shared" si="2"/>
        <v/>
      </c>
    </row>
    <row r="998" ht="15.75" customHeight="1">
      <c r="A998" s="104"/>
      <c r="B998" s="105" t="str">
        <f>IFERROR(__xludf.DUMMYFUNCTION("ARRAY_CONSTRAIN(
  ARRAYFORMULA(
    IF(
      'Final Report'!A998="""",
      """",
      TEXTJOIN(
        "", "" &amp; CHAR(10),
        TRUE,
        IFERROR(
          VLOOKUP(
            TRIM(
              SPLIT('Final Report'!A998, "","")
           "&amp;" ),
            'URL Details'!A:B,
            2,
            FALSE
          ),
          """"
        )
      )
    )
  ),
  1,
  1
)
"),"")</f>
        <v/>
      </c>
      <c r="C998" s="105" t="str">
        <f>IFERROR(__xludf.DUMMYFUNCTION("IFERROR(IF('Final Report'!A998="""","""", TEXTJOIN(CHAR(10), TRUE, ARRAYFORMULA( ""• ""&amp; FILTER( TRIM(FLATTEN(SPLIT( REGEXREPLACE( SUBSTITUTE(TEXTJOIN("","", TRUE, IFERROR(ARRAYFORMULA(VLOOKUP(TRIM(SPLIT('Final Report'!A998, "","")), 'URL Details'!A:D, 4,"&amp;" FALSE)),"""") ), CHAR(10), "",""), ""\s*,\s*"", "",""), "",""))), TRIM(FLATTEN(SPLIT( REGEXREPLACE( SUBSTITUTE(TEXTJOIN("","", TRUE, IFERROR(ARRAYFORMULA(VLOOKUP(TRIM(SPLIT('Final Report'!A998, "","")), 'URL Details'!A:D, 4, FALSE)),"""") ), CHAR(10), """&amp;",""), ""\s*,\s*"", "",""), "","")))&lt;&gt;"""" ) ) ) ),"""")
"),"")</f>
        <v/>
      </c>
      <c r="D998" s="105"/>
      <c r="E998" s="105"/>
      <c r="F998" s="110" t="b">
        <v>0</v>
      </c>
      <c r="G998" s="105" t="str">
        <f>IF(F998=True, IFERROR(VLOOKUP(D998, Repository!A:B, 2, 0), ""), "")</f>
        <v/>
      </c>
      <c r="H998" s="105"/>
      <c r="I998" s="105"/>
      <c r="J998" s="105" t="str">
        <f>IF(F998=True, IFERROR(VLOOKUP(D998, Repository!A:C, 3, 0), ""), "")</f>
        <v/>
      </c>
      <c r="K998" s="105"/>
      <c r="L998" s="105" t="str">
        <f>IF(F998=True, IFERROR(VLOOKUP(D998, Repository!A:E, 5, 0), ""), "")</f>
        <v/>
      </c>
      <c r="M998" s="105"/>
      <c r="N998" s="105" t="str">
        <f>IF(F998=True, IFERROR(VLOOKUP(D998, Repository!A:G, 7, 0), ""), "")</f>
        <v/>
      </c>
      <c r="O998" s="105" t="str">
        <f>IFERROR(__xludf.DUMMYFUNCTION("ARRAY_CONSTRAIN(
  ARRAYFORMULA(
    IFERROR(
      LET(
        list, N998,
        arr, TRIM(SPLIT(list, "","")),
        names, XLOOKUP(
          arr,
          'Conformance Score'!A:A,
          'Conformance Score'!B:B,
          ""Not found""
      "&amp;"  ),
        TEXTJOIN("", "", TRUE, names)
      ),
      """"
    )
  ),
  1,
  1
)
"),"")</f>
        <v/>
      </c>
      <c r="P998" s="105" t="str">
        <f>IF(F998="Yes", IFERROR(VLOOKUP(D998, Repository!A:F, 6, 0), ""), "")</f>
        <v/>
      </c>
      <c r="Q998" s="105" t="str">
        <f>IF(F998="Yes", IFERROR(VLOOKUP(D998, Repository!A:I, 8, 0), ""), "")</f>
        <v/>
      </c>
      <c r="R998" s="105" t="str">
        <f>IF(F998="Yes", IFERROR(VLOOKUP(D998, Repository!A:J, 9, 0), ""), "")</f>
        <v/>
      </c>
      <c r="S998" s="105"/>
      <c r="T998" s="105"/>
      <c r="U998" s="105"/>
      <c r="V998" s="105"/>
      <c r="W998" s="105"/>
      <c r="X998" s="105"/>
      <c r="Y998" s="105"/>
      <c r="Z998" s="105"/>
      <c r="AA998" s="105"/>
      <c r="AB998" s="105"/>
      <c r="AC998" s="91"/>
      <c r="AD998" s="105"/>
      <c r="AE998" s="105"/>
      <c r="AF998" s="91"/>
      <c r="AG998" s="105"/>
      <c r="AH998" s="105"/>
      <c r="AI998" s="105" t="str">
        <f t="shared" si="1"/>
        <v/>
      </c>
      <c r="AJ998" s="108" t="str">
        <f t="shared" si="2"/>
        <v/>
      </c>
    </row>
    <row r="999" ht="15.75" customHeight="1">
      <c r="A999" s="104"/>
      <c r="B999" s="105" t="str">
        <f>IFERROR(__xludf.DUMMYFUNCTION("ARRAY_CONSTRAIN(
  ARRAYFORMULA(
    IF(
      'Final Report'!A999="""",
      """",
      TEXTJOIN(
        "", "" &amp; CHAR(10),
        TRUE,
        IFERROR(
          VLOOKUP(
            TRIM(
              SPLIT('Final Report'!A999, "","")
           "&amp;" ),
            'URL Details'!A:B,
            2,
            FALSE
          ),
          """"
        )
      )
    )
  ),
  1,
  1
)
"),"")</f>
        <v/>
      </c>
      <c r="C999" s="105" t="str">
        <f>IFERROR(__xludf.DUMMYFUNCTION("IFERROR(IF('Final Report'!A999="""","""", TEXTJOIN(CHAR(10), TRUE, ARRAYFORMULA( ""• ""&amp; FILTER( TRIM(FLATTEN(SPLIT( REGEXREPLACE( SUBSTITUTE(TEXTJOIN("","", TRUE, IFERROR(ARRAYFORMULA(VLOOKUP(TRIM(SPLIT('Final Report'!A999, "","")), 'URL Details'!A:D, 4,"&amp;" FALSE)),"""") ), CHAR(10), "",""), ""\s*,\s*"", "",""), "",""))), TRIM(FLATTEN(SPLIT( REGEXREPLACE( SUBSTITUTE(TEXTJOIN("","", TRUE, IFERROR(ARRAYFORMULA(VLOOKUP(TRIM(SPLIT('Final Report'!A999, "","")), 'URL Details'!A:D, 4, FALSE)),"""") ), CHAR(10), """&amp;",""), ""\s*,\s*"", "",""), "","")))&lt;&gt;"""" ) ) ) ),"""")
"),"")</f>
        <v/>
      </c>
      <c r="D999" s="105"/>
      <c r="E999" s="105"/>
      <c r="F999" s="110" t="b">
        <v>0</v>
      </c>
      <c r="G999" s="105" t="str">
        <f>IF(F999=True, IFERROR(VLOOKUP(D999, Repository!A:B, 2, 0), ""), "")</f>
        <v/>
      </c>
      <c r="H999" s="105"/>
      <c r="I999" s="105"/>
      <c r="J999" s="105" t="str">
        <f>IF(F999=True, IFERROR(VLOOKUP(D999, Repository!A:C, 3, 0), ""), "")</f>
        <v/>
      </c>
      <c r="K999" s="105"/>
      <c r="L999" s="105" t="str">
        <f>IF(F999=True, IFERROR(VLOOKUP(D999, Repository!A:E, 5, 0), ""), "")</f>
        <v/>
      </c>
      <c r="M999" s="105"/>
      <c r="N999" s="105" t="str">
        <f>IF(F999=True, IFERROR(VLOOKUP(D999, Repository!A:G, 7, 0), ""), "")</f>
        <v/>
      </c>
      <c r="O999" s="105" t="str">
        <f>IFERROR(__xludf.DUMMYFUNCTION("ARRAY_CONSTRAIN(
  ARRAYFORMULA(
    IFERROR(
      LET(
        list, N999,
        arr, TRIM(SPLIT(list, "","")),
        names, XLOOKUP(
          arr,
          'Conformance Score'!A:A,
          'Conformance Score'!B:B,
          ""Not found""
      "&amp;"  ),
        TEXTJOIN("", "", TRUE, names)
      ),
      """"
    )
  ),
  1,
  1
)
"),"")</f>
        <v/>
      </c>
      <c r="P999" s="105" t="str">
        <f>IF(F999="Yes", IFERROR(VLOOKUP(D999, Repository!A:F, 6, 0), ""), "")</f>
        <v/>
      </c>
      <c r="Q999" s="105" t="str">
        <f>IF(F999="Yes", IFERROR(VLOOKUP(D999, Repository!A:I, 8, 0), ""), "")</f>
        <v/>
      </c>
      <c r="R999" s="105" t="str">
        <f>IF(F999="Yes", IFERROR(VLOOKUP(D999, Repository!A:J, 9, 0), ""), "")</f>
        <v/>
      </c>
      <c r="S999" s="105"/>
      <c r="T999" s="105"/>
      <c r="U999" s="105"/>
      <c r="V999" s="105"/>
      <c r="W999" s="105"/>
      <c r="X999" s="105"/>
      <c r="Y999" s="105"/>
      <c r="Z999" s="105"/>
      <c r="AA999" s="105"/>
      <c r="AB999" s="105"/>
      <c r="AC999" s="91"/>
      <c r="AD999" s="105"/>
      <c r="AE999" s="105"/>
      <c r="AF999" s="91"/>
      <c r="AG999" s="105"/>
      <c r="AH999" s="105"/>
      <c r="AI999" s="105" t="str">
        <f t="shared" si="1"/>
        <v/>
      </c>
      <c r="AJ999" s="108" t="str">
        <f t="shared" si="2"/>
        <v/>
      </c>
    </row>
    <row r="1000" ht="15.75" customHeight="1">
      <c r="A1000" s="104"/>
      <c r="B1000" s="105" t="str">
        <f>IFERROR(__xludf.DUMMYFUNCTION("ARRAY_CONSTRAIN(
  ARRAYFORMULA(
    IF(
      'Final Report'!A1000="""",
      """",
      TEXTJOIN(
        "", "" &amp; CHAR(10),
        TRUE,
        IFERROR(
          VLOOKUP(
            TRIM(
              SPLIT('Final Report'!A1000, "","")
         "&amp;"   ),
            'URL Details'!A:B,
            2,
            FALSE
          ),
          """"
        )
      )
    )
  ),
  1,
  1
)
"),"")</f>
        <v/>
      </c>
      <c r="C1000" s="105" t="str">
        <f>IFERROR(__xludf.DUMMYFUNCTION("IFERROR(IF('Final Report'!A1000="""","""", TEXTJOIN(CHAR(10), TRUE, ARRAYFORMULA( ""• ""&amp; FILTER( TRIM(FLATTEN(SPLIT( REGEXREPLACE( SUBSTITUTE(TEXTJOIN("","", TRUE, IFERROR(ARRAYFORMULA(VLOOKUP(TRIM(SPLIT('Final Report'!A1000, "","")), 'URL Details'!A:D, "&amp;"4, FALSE)),"""") ), CHAR(10), "",""), ""\s*,\s*"", "",""), "",""))), TRIM(FLATTEN(SPLIT( REGEXREPLACE( SUBSTITUTE(TEXTJOIN("","", TRUE, IFERROR(ARRAYFORMULA(VLOOKUP(TRIM(SPLIT('Final Report'!A1000, "","")), 'URL Details'!A:D, 4, FALSE)),"""") ), CHAR(10),"&amp;" "",""), ""\s*,\s*"", "",""), "","")))&lt;&gt;"""" ) ) ) ),"""")
"),"")</f>
        <v/>
      </c>
      <c r="D1000" s="105"/>
      <c r="E1000" s="105"/>
      <c r="F1000" s="110" t="b">
        <v>0</v>
      </c>
      <c r="G1000" s="105" t="str">
        <f>IF(F1000=True, IFERROR(VLOOKUP(D1000, Repository!A:B, 2, 0), ""), "")</f>
        <v/>
      </c>
      <c r="H1000" s="105"/>
      <c r="I1000" s="105"/>
      <c r="J1000" s="105" t="str">
        <f>IF(F1000=True, IFERROR(VLOOKUP(D1000, Repository!A:C, 3, 0), ""), "")</f>
        <v/>
      </c>
      <c r="K1000" s="105"/>
      <c r="L1000" s="105" t="str">
        <f>IF(F1000=True, IFERROR(VLOOKUP(D1000, Repository!A:E, 5, 0), ""), "")</f>
        <v/>
      </c>
      <c r="M1000" s="105"/>
      <c r="N1000" s="105" t="str">
        <f>IF(F1000=True, IFERROR(VLOOKUP(D1000, Repository!A:G, 7, 0), ""), "")</f>
        <v/>
      </c>
      <c r="O1000" s="105" t="str">
        <f>IFERROR(__xludf.DUMMYFUNCTION("ARRAY_CONSTRAIN(
  ARRAYFORMULA(
    IFERROR(
      LET(
        list, N1000,
        arr, TRIM(SPLIT(list, "","")),
        names, XLOOKUP(
          arr,
          'Conformance Score'!A:A,
          'Conformance Score'!B:B,
          ""Not found""
     "&amp;"   ),
        TEXTJOIN("", "", TRUE, names)
      ),
      """"
    )
  ),
  1,
  1
)
"),"")</f>
        <v/>
      </c>
      <c r="P1000" s="105" t="str">
        <f>IF(F1000="Yes", IFERROR(VLOOKUP(D1000, Repository!A:F, 6, 0), ""), "")</f>
        <v/>
      </c>
      <c r="Q1000" s="105" t="str">
        <f>IF(F1000="Yes", IFERROR(VLOOKUP(D1000, Repository!A:I, 8, 0), ""), "")</f>
        <v/>
      </c>
      <c r="R1000" s="105" t="str">
        <f>IF(F1000="Yes", IFERROR(VLOOKUP(D1000, Repository!A:J, 9, 0), ""), "")</f>
        <v/>
      </c>
      <c r="S1000" s="105"/>
      <c r="T1000" s="105"/>
      <c r="U1000" s="105"/>
      <c r="V1000" s="105"/>
      <c r="W1000" s="105"/>
      <c r="X1000" s="105"/>
      <c r="Y1000" s="105"/>
      <c r="Z1000" s="105"/>
      <c r="AA1000" s="105"/>
      <c r="AB1000" s="105"/>
      <c r="AC1000" s="91"/>
      <c r="AD1000" s="105"/>
      <c r="AE1000" s="105"/>
      <c r="AF1000" s="91"/>
      <c r="AG1000" s="105"/>
      <c r="AH1000" s="105"/>
      <c r="AI1000" s="105" t="str">
        <f t="shared" si="1"/>
        <v/>
      </c>
      <c r="AJ1000" s="108" t="str">
        <f t="shared" si="2"/>
        <v/>
      </c>
    </row>
    <row r="1001" ht="15.75" customHeight="1">
      <c r="A1001" s="104"/>
      <c r="B1001" s="105" t="str">
        <f>IFERROR(__xludf.DUMMYFUNCTION("ARRAY_CONSTRAIN(
  ARRAYFORMULA(
    IF(
      'Final Report'!A1001="""",
      """",
      TEXTJOIN(
        "", "" &amp; CHAR(10),
        TRUE,
        IFERROR(
          VLOOKUP(
            TRIM(
              SPLIT('Final Report'!A1001, "","")
         "&amp;"   ),
            'URL Details'!A:B,
            2,
            FALSE
          ),
          """"
        )
      )
    )
  ),
  1,
  1
)
"),"")</f>
        <v/>
      </c>
      <c r="C1001" s="105" t="str">
        <f>IFERROR(__xludf.DUMMYFUNCTION("IFERROR(IF('Final Report'!A1001="""","""", TEXTJOIN(CHAR(10), TRUE, ARRAYFORMULA( ""• ""&amp; FILTER( TRIM(FLATTEN(SPLIT( REGEXREPLACE( SUBSTITUTE(TEXTJOIN("","", TRUE, IFERROR(ARRAYFORMULA(VLOOKUP(TRIM(SPLIT('Final Report'!A1001, "","")), 'URL Details'!A:D, "&amp;"4, FALSE)),"""") ), CHAR(10), "",""), ""\s*,\s*"", "",""), "",""))), TRIM(FLATTEN(SPLIT( REGEXREPLACE( SUBSTITUTE(TEXTJOIN("","", TRUE, IFERROR(ARRAYFORMULA(VLOOKUP(TRIM(SPLIT('Final Report'!A1001, "","")), 'URL Details'!A:D, 4, FALSE)),"""") ), CHAR(10),"&amp;" "",""), ""\s*,\s*"", "",""), "","")))&lt;&gt;"""" ) ) ) ),"""")
"),"")</f>
        <v/>
      </c>
      <c r="D1001" s="105"/>
      <c r="E1001" s="105"/>
      <c r="F1001" s="110" t="b">
        <v>0</v>
      </c>
      <c r="G1001" s="105" t="str">
        <f>IF(F1001=True, IFERROR(VLOOKUP(D1001, Repository!A:B, 2, 0), ""), "")</f>
        <v/>
      </c>
      <c r="H1001" s="105"/>
      <c r="I1001" s="105"/>
      <c r="J1001" s="105" t="str">
        <f>IF(F1001=True, IFERROR(VLOOKUP(D1001, Repository!A:C, 3, 0), ""), "")</f>
        <v/>
      </c>
      <c r="K1001" s="105"/>
      <c r="L1001" s="105" t="str">
        <f>IF(F1001=True, IFERROR(VLOOKUP(D1001, Repository!A:E, 5, 0), ""), "")</f>
        <v/>
      </c>
      <c r="M1001" s="105"/>
      <c r="N1001" s="105" t="str">
        <f>IF(F1001=True, IFERROR(VLOOKUP(D1001, Repository!A:G, 7, 0), ""), "")</f>
        <v/>
      </c>
      <c r="O1001" s="105" t="str">
        <f>IFERROR(__xludf.DUMMYFUNCTION("ARRAY_CONSTRAIN(
  ARRAYFORMULA(
    IFERROR(
      LET(
        list, N1001,
        arr, TRIM(SPLIT(list, "","")),
        names, XLOOKUP(
          arr,
          'Conformance Score'!A:A,
          'Conformance Score'!B:B,
          ""Not found""
     "&amp;"   ),
        TEXTJOIN("", "", TRUE, names)
      ),
      """"
    )
  ),
  1,
  1
)
"),"")</f>
        <v/>
      </c>
      <c r="P1001" s="105" t="str">
        <f>IF(F1001="Yes", IFERROR(VLOOKUP(D1001, Repository!A:F, 6, 0), ""), "")</f>
        <v/>
      </c>
      <c r="Q1001" s="105" t="str">
        <f>IF(F1001="Yes", IFERROR(VLOOKUP(D1001, Repository!A:I, 8, 0), ""), "")</f>
        <v/>
      </c>
      <c r="R1001" s="105" t="str">
        <f>IF(F1001="Yes", IFERROR(VLOOKUP(D1001, Repository!A:J, 9, 0), ""), "")</f>
        <v/>
      </c>
      <c r="S1001" s="105"/>
      <c r="T1001" s="105"/>
      <c r="U1001" s="105"/>
      <c r="V1001" s="105"/>
      <c r="W1001" s="105"/>
      <c r="X1001" s="105"/>
      <c r="Y1001" s="105"/>
      <c r="Z1001" s="105"/>
      <c r="AA1001" s="105"/>
      <c r="AB1001" s="105"/>
      <c r="AC1001" s="91"/>
      <c r="AD1001" s="105"/>
      <c r="AE1001" s="105"/>
      <c r="AF1001" s="91"/>
      <c r="AG1001" s="105"/>
      <c r="AH1001" s="105"/>
      <c r="AI1001" s="105" t="str">
        <f t="shared" si="1"/>
        <v/>
      </c>
      <c r="AJ1001" s="108" t="str">
        <f t="shared" si="2"/>
        <v/>
      </c>
    </row>
    <row r="1002" ht="15.75" customHeight="1">
      <c r="A1002" s="104"/>
      <c r="B1002" s="105" t="str">
        <f>IFERROR(__xludf.DUMMYFUNCTION("ARRAY_CONSTRAIN(
  ARRAYFORMULA(
    IF(
      'Final Report'!A1002="""",
      """",
      TEXTJOIN(
        "", "" &amp; CHAR(10),
        TRUE,
        IFERROR(
          VLOOKUP(
            TRIM(
              SPLIT('Final Report'!A1002, "","")
         "&amp;"   ),
            'URL Details'!A:B,
            2,
            FALSE
          ),
          """"
        )
      )
    )
  ),
  1,
  1
)
"),"")</f>
        <v/>
      </c>
      <c r="C1002" s="105" t="str">
        <f>IFERROR(__xludf.DUMMYFUNCTION("IFERROR(IF('Final Report'!A1002="""","""", TEXTJOIN(CHAR(10), TRUE, ARRAYFORMULA( ""• ""&amp; FILTER( TRIM(FLATTEN(SPLIT( REGEXREPLACE( SUBSTITUTE(TEXTJOIN("","", TRUE, IFERROR(ARRAYFORMULA(VLOOKUP(TRIM(SPLIT('Final Report'!A1002, "","")), 'URL Details'!A:D, "&amp;"4, FALSE)),"""") ), CHAR(10), "",""), ""\s*,\s*"", "",""), "",""))), TRIM(FLATTEN(SPLIT( REGEXREPLACE( SUBSTITUTE(TEXTJOIN("","", TRUE, IFERROR(ARRAYFORMULA(VLOOKUP(TRIM(SPLIT('Final Report'!A1002, "","")), 'URL Details'!A:D, 4, FALSE)),"""") ), CHAR(10),"&amp;" "",""), ""\s*,\s*"", "",""), "","")))&lt;&gt;"""" ) ) ) ),"""")
"),"")</f>
        <v/>
      </c>
      <c r="D1002" s="105"/>
      <c r="E1002" s="105"/>
      <c r="F1002" s="110" t="b">
        <v>0</v>
      </c>
      <c r="G1002" s="105" t="str">
        <f>IF(F1002=True, IFERROR(VLOOKUP(D1002, Repository!A:B, 2, 0), ""), "")</f>
        <v/>
      </c>
      <c r="H1002" s="105"/>
      <c r="I1002" s="105"/>
      <c r="J1002" s="105" t="str">
        <f>IF(F1002=True, IFERROR(VLOOKUP(D1002, Repository!A:C, 3, 0), ""), "")</f>
        <v/>
      </c>
      <c r="K1002" s="105"/>
      <c r="L1002" s="105" t="str">
        <f>IF(F1002=True, IFERROR(VLOOKUP(D1002, Repository!A:E, 5, 0), ""), "")</f>
        <v/>
      </c>
      <c r="M1002" s="105"/>
      <c r="N1002" s="105" t="str">
        <f>IF(F1002=True, IFERROR(VLOOKUP(D1002, Repository!A:G, 7, 0), ""), "")</f>
        <v/>
      </c>
      <c r="O1002" s="105" t="str">
        <f>IFERROR(__xludf.DUMMYFUNCTION("ARRAY_CONSTRAIN(
  ARRAYFORMULA(
    IFERROR(
      LET(
        list, N1002,
        arr, TRIM(SPLIT(list, "","")),
        names, XLOOKUP(
          arr,
          'Conformance Score'!A:A,
          'Conformance Score'!B:B,
          ""Not found""
     "&amp;"   ),
        TEXTJOIN("", "", TRUE, names)
      ),
      """"
    )
  ),
  1,
  1
)
"),"")</f>
        <v/>
      </c>
      <c r="P1002" s="105" t="str">
        <f>IF(F1002="Yes", IFERROR(VLOOKUP(D1002, Repository!A:F, 6, 0), ""), "")</f>
        <v/>
      </c>
      <c r="Q1002" s="105" t="str">
        <f>IF(F1002="Yes", IFERROR(VLOOKUP(D1002, Repository!A:I, 8, 0), ""), "")</f>
        <v/>
      </c>
      <c r="R1002" s="105" t="str">
        <f>IF(F1002="Yes", IFERROR(VLOOKUP(D1002, Repository!A:J, 9, 0), ""), "")</f>
        <v/>
      </c>
      <c r="S1002" s="105"/>
      <c r="T1002" s="105"/>
      <c r="U1002" s="105"/>
      <c r="V1002" s="105"/>
      <c r="W1002" s="105"/>
      <c r="X1002" s="105"/>
      <c r="Y1002" s="105"/>
      <c r="Z1002" s="105"/>
      <c r="AA1002" s="105"/>
      <c r="AB1002" s="105"/>
      <c r="AC1002" s="91"/>
      <c r="AD1002" s="105"/>
      <c r="AE1002" s="105"/>
      <c r="AF1002" s="91"/>
      <c r="AG1002" s="105"/>
      <c r="AH1002" s="105"/>
      <c r="AI1002" s="105" t="str">
        <f t="shared" si="1"/>
        <v/>
      </c>
      <c r="AJ1002" s="108" t="str">
        <f t="shared" si="2"/>
        <v/>
      </c>
    </row>
    <row r="1003" ht="15.75" customHeight="1">
      <c r="A1003" s="104"/>
      <c r="B1003" s="105" t="str">
        <f>IFERROR(__xludf.DUMMYFUNCTION("ARRAY_CONSTRAIN(
  ARRAYFORMULA(
    IF(
      'Final Report'!A1003="""",
      """",
      TEXTJOIN(
        "", "" &amp; CHAR(10),
        TRUE,
        IFERROR(
          VLOOKUP(
            TRIM(
              SPLIT('Final Report'!A1003, "","")
         "&amp;"   ),
            'URL Details'!A:B,
            2,
            FALSE
          ),
          """"
        )
      )
    )
  ),
  1,
  1
)
"),"")</f>
        <v/>
      </c>
      <c r="C1003" s="105" t="str">
        <f>IFERROR(__xludf.DUMMYFUNCTION("IFERROR(IF('Final Report'!A1003="""","""", TEXTJOIN(CHAR(10), TRUE, ARRAYFORMULA( ""• ""&amp; FILTER( TRIM(FLATTEN(SPLIT( REGEXREPLACE( SUBSTITUTE(TEXTJOIN("","", TRUE, IFERROR(ARRAYFORMULA(VLOOKUP(TRIM(SPLIT('Final Report'!A1003, "","")), 'URL Details'!A:D, "&amp;"4, FALSE)),"""") ), CHAR(10), "",""), ""\s*,\s*"", "",""), "",""))), TRIM(FLATTEN(SPLIT( REGEXREPLACE( SUBSTITUTE(TEXTJOIN("","", TRUE, IFERROR(ARRAYFORMULA(VLOOKUP(TRIM(SPLIT('Final Report'!A1003, "","")), 'URL Details'!A:D, 4, FALSE)),"""") ), CHAR(10),"&amp;" "",""), ""\s*,\s*"", "",""), "","")))&lt;&gt;"""" ) ) ) ),"""")
"),"")</f>
        <v/>
      </c>
      <c r="D1003" s="105"/>
      <c r="E1003" s="105"/>
      <c r="F1003" s="110" t="b">
        <v>0</v>
      </c>
      <c r="G1003" s="105" t="str">
        <f>IF(F1003=True, IFERROR(VLOOKUP(D1003, Repository!A:B, 2, 0), ""), "")</f>
        <v/>
      </c>
      <c r="H1003" s="105"/>
      <c r="I1003" s="105"/>
      <c r="J1003" s="105" t="str">
        <f>IF(F1003=True, IFERROR(VLOOKUP(D1003, Repository!A:C, 3, 0), ""), "")</f>
        <v/>
      </c>
      <c r="K1003" s="105"/>
      <c r="L1003" s="105" t="str">
        <f>IF(F1003=True, IFERROR(VLOOKUP(D1003, Repository!A:E, 5, 0), ""), "")</f>
        <v/>
      </c>
      <c r="M1003" s="105"/>
      <c r="N1003" s="105" t="str">
        <f>IF(F1003=True, IFERROR(VLOOKUP(D1003, Repository!A:G, 7, 0), ""), "")</f>
        <v/>
      </c>
      <c r="O1003" s="105" t="str">
        <f>IFERROR(__xludf.DUMMYFUNCTION("ARRAY_CONSTRAIN(
  ARRAYFORMULA(
    IFERROR(
      LET(
        list, N1003,
        arr, TRIM(SPLIT(list, "","")),
        names, XLOOKUP(
          arr,
          'Conformance Score'!A:A,
          'Conformance Score'!B:B,
          ""Not found""
     "&amp;"   ),
        TEXTJOIN("", "", TRUE, names)
      ),
      """"
    )
  ),
  1,
  1
)
"),"")</f>
        <v/>
      </c>
      <c r="P1003" s="105" t="str">
        <f>IF(F1003="Yes", IFERROR(VLOOKUP(D1003, Repository!A:F, 6, 0), ""), "")</f>
        <v/>
      </c>
      <c r="Q1003" s="105" t="str">
        <f>IF(F1003="Yes", IFERROR(VLOOKUP(D1003, Repository!A:I, 8, 0), ""), "")</f>
        <v/>
      </c>
      <c r="R1003" s="105" t="str">
        <f>IF(F1003="Yes", IFERROR(VLOOKUP(D1003, Repository!A:J, 9, 0), ""), "")</f>
        <v/>
      </c>
      <c r="S1003" s="105"/>
      <c r="T1003" s="105"/>
      <c r="U1003" s="105"/>
      <c r="V1003" s="105"/>
      <c r="W1003" s="105"/>
      <c r="X1003" s="105"/>
      <c r="Y1003" s="105"/>
      <c r="Z1003" s="105"/>
      <c r="AA1003" s="105"/>
      <c r="AB1003" s="105"/>
      <c r="AC1003" s="91"/>
      <c r="AD1003" s="105"/>
      <c r="AE1003" s="105"/>
      <c r="AF1003" s="91"/>
      <c r="AG1003" s="105"/>
      <c r="AH1003" s="105"/>
      <c r="AI1003" s="105" t="str">
        <f t="shared" si="1"/>
        <v/>
      </c>
      <c r="AJ1003" s="108" t="str">
        <f t="shared" si="2"/>
        <v/>
      </c>
    </row>
    <row r="1004" ht="15.75" customHeight="1">
      <c r="A1004" s="104"/>
      <c r="B1004" s="105" t="str">
        <f>IFERROR(__xludf.DUMMYFUNCTION("ARRAY_CONSTRAIN(
  ARRAYFORMULA(
    IF(
      'Final Report'!A1004="""",
      """",
      TEXTJOIN(
        "", "" &amp; CHAR(10),
        TRUE,
        IFERROR(
          VLOOKUP(
            TRIM(
              SPLIT('Final Report'!A1004, "","")
         "&amp;"   ),
            'URL Details'!A:B,
            2,
            FALSE
          ),
          """"
        )
      )
    )
  ),
  1,
  1
)
"),"")</f>
        <v/>
      </c>
      <c r="C1004" s="105" t="str">
        <f>IFERROR(__xludf.DUMMYFUNCTION("IFERROR(IF('Final Report'!A1004="""","""", TEXTJOIN(CHAR(10), TRUE, ARRAYFORMULA( ""• ""&amp; FILTER( TRIM(FLATTEN(SPLIT( REGEXREPLACE( SUBSTITUTE(TEXTJOIN("","", TRUE, IFERROR(ARRAYFORMULA(VLOOKUP(TRIM(SPLIT('Final Report'!A1004, "","")), 'URL Details'!A:D, "&amp;"4, FALSE)),"""") ), CHAR(10), "",""), ""\s*,\s*"", "",""), "",""))), TRIM(FLATTEN(SPLIT( REGEXREPLACE( SUBSTITUTE(TEXTJOIN("","", TRUE, IFERROR(ARRAYFORMULA(VLOOKUP(TRIM(SPLIT('Final Report'!A1004, "","")), 'URL Details'!A:D, 4, FALSE)),"""") ), CHAR(10),"&amp;" "",""), ""\s*,\s*"", "",""), "","")))&lt;&gt;"""" ) ) ) ),"""")
"),"")</f>
        <v/>
      </c>
      <c r="D1004" s="105"/>
      <c r="E1004" s="105"/>
      <c r="F1004" s="110" t="b">
        <v>0</v>
      </c>
      <c r="G1004" s="105" t="str">
        <f>IF(F1004=True, IFERROR(VLOOKUP(D1004, Repository!A:B, 2, 0), ""), "")</f>
        <v/>
      </c>
      <c r="H1004" s="105"/>
      <c r="I1004" s="105"/>
      <c r="J1004" s="105" t="str">
        <f>IF(F1004=True, IFERROR(VLOOKUP(D1004, Repository!A:C, 3, 0), ""), "")</f>
        <v/>
      </c>
      <c r="K1004" s="105"/>
      <c r="L1004" s="105" t="str">
        <f>IF(F1004=True, IFERROR(VLOOKUP(D1004, Repository!A:E, 5, 0), ""), "")</f>
        <v/>
      </c>
      <c r="M1004" s="105"/>
      <c r="N1004" s="105" t="str">
        <f>IF(F1004=True, IFERROR(VLOOKUP(D1004, Repository!A:G, 7, 0), ""), "")</f>
        <v/>
      </c>
      <c r="O1004" s="105" t="str">
        <f>IFERROR(__xludf.DUMMYFUNCTION("ARRAY_CONSTRAIN(
  ARRAYFORMULA(
    IFERROR(
      LET(
        list, N1004,
        arr, TRIM(SPLIT(list, "","")),
        names, XLOOKUP(
          arr,
          'Conformance Score'!A:A,
          'Conformance Score'!B:B,
          ""Not found""
     "&amp;"   ),
        TEXTJOIN("", "", TRUE, names)
      ),
      """"
    )
  ),
  1,
  1
)
"),"")</f>
        <v/>
      </c>
      <c r="P1004" s="105" t="str">
        <f>IF(F1004="Yes", IFERROR(VLOOKUP(D1004, Repository!A:F, 6, 0), ""), "")</f>
        <v/>
      </c>
      <c r="Q1004" s="105" t="str">
        <f>IF(F1004="Yes", IFERROR(VLOOKUP(D1004, Repository!A:I, 8, 0), ""), "")</f>
        <v/>
      </c>
      <c r="R1004" s="105" t="str">
        <f>IF(F1004="Yes", IFERROR(VLOOKUP(D1004, Repository!A:J, 9, 0), ""), "")</f>
        <v/>
      </c>
      <c r="S1004" s="105"/>
      <c r="T1004" s="105"/>
      <c r="U1004" s="105"/>
      <c r="V1004" s="105"/>
      <c r="W1004" s="105"/>
      <c r="X1004" s="105"/>
      <c r="Y1004" s="105"/>
      <c r="Z1004" s="105"/>
      <c r="AA1004" s="105"/>
      <c r="AB1004" s="105"/>
      <c r="AC1004" s="91"/>
      <c r="AD1004" s="105"/>
      <c r="AE1004" s="105"/>
      <c r="AF1004" s="91"/>
      <c r="AG1004" s="105"/>
      <c r="AH1004" s="105"/>
      <c r="AI1004" s="105" t="str">
        <f t="shared" si="1"/>
        <v/>
      </c>
      <c r="AJ1004" s="108" t="str">
        <f t="shared" si="2"/>
        <v/>
      </c>
    </row>
    <row r="1005" ht="15.75" customHeight="1">
      <c r="A1005" s="104"/>
      <c r="B1005" s="105" t="str">
        <f>IFERROR(__xludf.DUMMYFUNCTION("ARRAY_CONSTRAIN(
  ARRAYFORMULA(
    IF(
      'Final Report'!A1005="""",
      """",
      TEXTJOIN(
        "", "" &amp; CHAR(10),
        TRUE,
        IFERROR(
          VLOOKUP(
            TRIM(
              SPLIT('Final Report'!A1005, "","")
         "&amp;"   ),
            'URL Details'!A:B,
            2,
            FALSE
          ),
          """"
        )
      )
    )
  ),
  1,
  1
)
"),"")</f>
        <v/>
      </c>
      <c r="C1005" s="105" t="str">
        <f>IFERROR(__xludf.DUMMYFUNCTION("IFERROR(IF('Final Report'!A1005="""","""", TEXTJOIN(CHAR(10), TRUE, ARRAYFORMULA( ""• ""&amp; FILTER( TRIM(FLATTEN(SPLIT( REGEXREPLACE( SUBSTITUTE(TEXTJOIN("","", TRUE, IFERROR(ARRAYFORMULA(VLOOKUP(TRIM(SPLIT('Final Report'!A1005, "","")), 'URL Details'!A:D, "&amp;"4, FALSE)),"""") ), CHAR(10), "",""), ""\s*,\s*"", "",""), "",""))), TRIM(FLATTEN(SPLIT( REGEXREPLACE( SUBSTITUTE(TEXTJOIN("","", TRUE, IFERROR(ARRAYFORMULA(VLOOKUP(TRIM(SPLIT('Final Report'!A1005, "","")), 'URL Details'!A:D, 4, FALSE)),"""") ), CHAR(10),"&amp;" "",""), ""\s*,\s*"", "",""), "","")))&lt;&gt;"""" ) ) ) ),"""")
"),"")</f>
        <v/>
      </c>
      <c r="D1005" s="105"/>
      <c r="E1005" s="105"/>
      <c r="F1005" s="110" t="b">
        <v>0</v>
      </c>
      <c r="G1005" s="105" t="str">
        <f>IF(F1005=True, IFERROR(VLOOKUP(D1005, Repository!A:B, 2, 0), ""), "")</f>
        <v/>
      </c>
      <c r="H1005" s="105"/>
      <c r="I1005" s="105"/>
      <c r="J1005" s="105" t="str">
        <f>IF(F1005=True, IFERROR(VLOOKUP(D1005, Repository!A:C, 3, 0), ""), "")</f>
        <v/>
      </c>
      <c r="K1005" s="105"/>
      <c r="L1005" s="105" t="str">
        <f>IF(F1005=True, IFERROR(VLOOKUP(D1005, Repository!A:E, 5, 0), ""), "")</f>
        <v/>
      </c>
      <c r="M1005" s="105"/>
      <c r="N1005" s="105" t="str">
        <f>IF(F1005=True, IFERROR(VLOOKUP(D1005, Repository!A:G, 7, 0), ""), "")</f>
        <v/>
      </c>
      <c r="O1005" s="105" t="str">
        <f>IFERROR(__xludf.DUMMYFUNCTION("ARRAY_CONSTRAIN(
  ARRAYFORMULA(
    IFERROR(
      LET(
        list, N1005,
        arr, TRIM(SPLIT(list, "","")),
        names, XLOOKUP(
          arr,
          'Conformance Score'!A:A,
          'Conformance Score'!B:B,
          ""Not found""
     "&amp;"   ),
        TEXTJOIN("", "", TRUE, names)
      ),
      """"
    )
  ),
  1,
  1
)
"),"")</f>
        <v/>
      </c>
      <c r="P1005" s="105" t="str">
        <f>IF(F1005="Yes", IFERROR(VLOOKUP(D1005, Repository!A:F, 6, 0), ""), "")</f>
        <v/>
      </c>
      <c r="Q1005" s="105" t="str">
        <f>IF(F1005="Yes", IFERROR(VLOOKUP(D1005, Repository!A:I, 8, 0), ""), "")</f>
        <v/>
      </c>
      <c r="R1005" s="105" t="str">
        <f>IF(F1005="Yes", IFERROR(VLOOKUP(D1005, Repository!A:J, 9, 0), ""), "")</f>
        <v/>
      </c>
      <c r="S1005" s="105"/>
      <c r="T1005" s="105"/>
      <c r="U1005" s="105"/>
      <c r="V1005" s="105"/>
      <c r="W1005" s="105"/>
      <c r="X1005" s="105"/>
      <c r="Y1005" s="105"/>
      <c r="Z1005" s="105"/>
      <c r="AA1005" s="105"/>
      <c r="AB1005" s="105"/>
      <c r="AC1005" s="91"/>
      <c r="AD1005" s="105"/>
      <c r="AE1005" s="105"/>
      <c r="AF1005" s="91"/>
      <c r="AG1005" s="105"/>
      <c r="AH1005" s="105"/>
      <c r="AI1005" s="105" t="str">
        <f t="shared" si="1"/>
        <v/>
      </c>
      <c r="AJ1005" s="108" t="str">
        <f t="shared" si="2"/>
        <v/>
      </c>
    </row>
    <row r="1006" ht="15.75" customHeight="1">
      <c r="A1006" s="104"/>
      <c r="B1006" s="105" t="str">
        <f>IFERROR(__xludf.DUMMYFUNCTION("ARRAY_CONSTRAIN(
  ARRAYFORMULA(
    IF(
      'Final Report'!A1006="""",
      """",
      TEXTJOIN(
        "", "" &amp; CHAR(10),
        TRUE,
        IFERROR(
          VLOOKUP(
            TRIM(
              SPLIT('Final Report'!A1006, "","")
         "&amp;"   ),
            'URL Details'!A:B,
            2,
            FALSE
          ),
          """"
        )
      )
    )
  ),
  1,
  1
)
"),"")</f>
        <v/>
      </c>
      <c r="C1006" s="105" t="str">
        <f>IFERROR(__xludf.DUMMYFUNCTION("IFERROR(IF('Final Report'!A1006="""","""", TEXTJOIN(CHAR(10), TRUE, ARRAYFORMULA( ""• ""&amp; FILTER( TRIM(FLATTEN(SPLIT( REGEXREPLACE( SUBSTITUTE(TEXTJOIN("","", TRUE, IFERROR(ARRAYFORMULA(VLOOKUP(TRIM(SPLIT('Final Report'!A1006, "","")), 'URL Details'!A:D, "&amp;"4, FALSE)),"""") ), CHAR(10), "",""), ""\s*,\s*"", "",""), "",""))), TRIM(FLATTEN(SPLIT( REGEXREPLACE( SUBSTITUTE(TEXTJOIN("","", TRUE, IFERROR(ARRAYFORMULA(VLOOKUP(TRIM(SPLIT('Final Report'!A1006, "","")), 'URL Details'!A:D, 4, FALSE)),"""") ), CHAR(10),"&amp;" "",""), ""\s*,\s*"", "",""), "","")))&lt;&gt;"""" ) ) ) ),"""")
"),"")</f>
        <v/>
      </c>
      <c r="D1006" s="105"/>
      <c r="E1006" s="105"/>
      <c r="F1006" s="110" t="b">
        <v>0</v>
      </c>
      <c r="G1006" s="105" t="str">
        <f>IF(F1006=True, IFERROR(VLOOKUP(D1006, Repository!A:B, 2, 0), ""), "")</f>
        <v/>
      </c>
      <c r="H1006" s="105"/>
      <c r="I1006" s="105"/>
      <c r="J1006" s="105" t="str">
        <f>IF(F1006=True, IFERROR(VLOOKUP(D1006, Repository!A:C, 3, 0), ""), "")</f>
        <v/>
      </c>
      <c r="K1006" s="105"/>
      <c r="L1006" s="105" t="str">
        <f>IF(F1006=True, IFERROR(VLOOKUP(D1006, Repository!A:E, 5, 0), ""), "")</f>
        <v/>
      </c>
      <c r="M1006" s="105"/>
      <c r="N1006" s="105" t="str">
        <f>IF(F1006=True, IFERROR(VLOOKUP(D1006, Repository!A:G, 7, 0), ""), "")</f>
        <v/>
      </c>
      <c r="O1006" s="105" t="str">
        <f>IFERROR(__xludf.DUMMYFUNCTION("ARRAY_CONSTRAIN(
  ARRAYFORMULA(
    IFERROR(
      LET(
        list, N1006,
        arr, TRIM(SPLIT(list, "","")),
        names, XLOOKUP(
          arr,
          'Conformance Score'!A:A,
          'Conformance Score'!B:B,
          ""Not found""
     "&amp;"   ),
        TEXTJOIN("", "", TRUE, names)
      ),
      """"
    )
  ),
  1,
  1
)
"),"")</f>
        <v/>
      </c>
      <c r="P1006" s="105" t="str">
        <f>IF(F1006="Yes", IFERROR(VLOOKUP(D1006, Repository!A:F, 6, 0), ""), "")</f>
        <v/>
      </c>
      <c r="Q1006" s="105" t="str">
        <f>IF(F1006="Yes", IFERROR(VLOOKUP(D1006, Repository!A:I, 8, 0), ""), "")</f>
        <v/>
      </c>
      <c r="R1006" s="105" t="str">
        <f>IF(F1006="Yes", IFERROR(VLOOKUP(D1006, Repository!A:J, 9, 0), ""), "")</f>
        <v/>
      </c>
      <c r="S1006" s="105"/>
      <c r="T1006" s="105"/>
      <c r="U1006" s="105"/>
      <c r="V1006" s="105"/>
      <c r="W1006" s="105"/>
      <c r="X1006" s="105"/>
      <c r="Y1006" s="105"/>
      <c r="Z1006" s="105"/>
      <c r="AA1006" s="105"/>
      <c r="AB1006" s="105"/>
      <c r="AC1006" s="91"/>
      <c r="AD1006" s="105"/>
      <c r="AE1006" s="105"/>
      <c r="AF1006" s="91"/>
      <c r="AG1006" s="105"/>
      <c r="AH1006" s="105"/>
      <c r="AI1006" s="105" t="str">
        <f t="shared" si="1"/>
        <v/>
      </c>
      <c r="AJ1006" s="108" t="str">
        <f t="shared" si="2"/>
        <v/>
      </c>
    </row>
    <row r="1007" ht="15.75" customHeight="1">
      <c r="A1007" s="104"/>
      <c r="B1007" s="105" t="str">
        <f>IFERROR(__xludf.DUMMYFUNCTION("ARRAY_CONSTRAIN(
  ARRAYFORMULA(
    IF(
      'Final Report'!A1007="""",
      """",
      TEXTJOIN(
        "", "" &amp; CHAR(10),
        TRUE,
        IFERROR(
          VLOOKUP(
            TRIM(
              SPLIT('Final Report'!A1007, "","")
         "&amp;"   ),
            'URL Details'!A:B,
            2,
            FALSE
          ),
          """"
        )
      )
    )
  ),
  1,
  1
)
"),"")</f>
        <v/>
      </c>
      <c r="C1007" s="105" t="str">
        <f>IFERROR(__xludf.DUMMYFUNCTION("IFERROR(IF('Final Report'!A1007="""","""", TEXTJOIN(CHAR(10), TRUE, ARRAYFORMULA( ""• ""&amp; FILTER( TRIM(FLATTEN(SPLIT( REGEXREPLACE( SUBSTITUTE(TEXTJOIN("","", TRUE, IFERROR(ARRAYFORMULA(VLOOKUP(TRIM(SPLIT('Final Report'!A1007, "","")), 'URL Details'!A:D, "&amp;"4, FALSE)),"""") ), CHAR(10), "",""), ""\s*,\s*"", "",""), "",""))), TRIM(FLATTEN(SPLIT( REGEXREPLACE( SUBSTITUTE(TEXTJOIN("","", TRUE, IFERROR(ARRAYFORMULA(VLOOKUP(TRIM(SPLIT('Final Report'!A1007, "","")), 'URL Details'!A:D, 4, FALSE)),"""") ), CHAR(10),"&amp;" "",""), ""\s*,\s*"", "",""), "","")))&lt;&gt;"""" ) ) ) ),"""")
"),"")</f>
        <v/>
      </c>
      <c r="D1007" s="105"/>
      <c r="E1007" s="105"/>
      <c r="F1007" s="110" t="b">
        <v>0</v>
      </c>
      <c r="G1007" s="105" t="str">
        <f>IF(F1007=True, IFERROR(VLOOKUP(D1007, Repository!A:B, 2, 0), ""), "")</f>
        <v/>
      </c>
      <c r="H1007" s="105"/>
      <c r="I1007" s="105"/>
      <c r="J1007" s="105" t="str">
        <f>IF(F1007=True, IFERROR(VLOOKUP(D1007, Repository!A:C, 3, 0), ""), "")</f>
        <v/>
      </c>
      <c r="K1007" s="105"/>
      <c r="L1007" s="105" t="str">
        <f>IF(F1007=True, IFERROR(VLOOKUP(D1007, Repository!A:E, 5, 0), ""), "")</f>
        <v/>
      </c>
      <c r="M1007" s="105"/>
      <c r="N1007" s="105" t="str">
        <f>IF(F1007=True, IFERROR(VLOOKUP(D1007, Repository!A:G, 7, 0), ""), "")</f>
        <v/>
      </c>
      <c r="O1007" s="105" t="str">
        <f>IFERROR(__xludf.DUMMYFUNCTION("ARRAY_CONSTRAIN(
  ARRAYFORMULA(
    IFERROR(
      LET(
        list, N1007,
        arr, TRIM(SPLIT(list, "","")),
        names, XLOOKUP(
          arr,
          'Conformance Score'!A:A,
          'Conformance Score'!B:B,
          ""Not found""
     "&amp;"   ),
        TEXTJOIN("", "", TRUE, names)
      ),
      """"
    )
  ),
  1,
  1
)
"),"")</f>
        <v/>
      </c>
      <c r="P1007" s="105" t="str">
        <f>IF(F1007="Yes", IFERROR(VLOOKUP(D1007, Repository!A:F, 6, 0), ""), "")</f>
        <v/>
      </c>
      <c r="Q1007" s="105" t="str">
        <f>IF(F1007="Yes", IFERROR(VLOOKUP(D1007, Repository!A:I, 8, 0), ""), "")</f>
        <v/>
      </c>
      <c r="R1007" s="105" t="str">
        <f>IF(F1007="Yes", IFERROR(VLOOKUP(D1007, Repository!A:J, 9, 0), ""), "")</f>
        <v/>
      </c>
      <c r="S1007" s="105"/>
      <c r="T1007" s="105"/>
      <c r="U1007" s="105"/>
      <c r="V1007" s="105"/>
      <c r="W1007" s="105"/>
      <c r="X1007" s="105"/>
      <c r="Y1007" s="105"/>
      <c r="Z1007" s="105"/>
      <c r="AA1007" s="105"/>
      <c r="AB1007" s="105"/>
      <c r="AC1007" s="91"/>
      <c r="AD1007" s="105"/>
      <c r="AE1007" s="105"/>
      <c r="AF1007" s="91"/>
      <c r="AG1007" s="105"/>
      <c r="AH1007" s="105"/>
      <c r="AI1007" s="105" t="str">
        <f t="shared" si="1"/>
        <v/>
      </c>
      <c r="AJ1007" s="108" t="str">
        <f t="shared" si="2"/>
        <v/>
      </c>
    </row>
    <row r="1008" ht="15.75" customHeight="1">
      <c r="A1008" s="104"/>
      <c r="B1008" s="105" t="str">
        <f>IFERROR(__xludf.DUMMYFUNCTION("ARRAY_CONSTRAIN(
  ARRAYFORMULA(
    IF(
      'Final Report'!A1008="""",
      """",
      TEXTJOIN(
        "", "" &amp; CHAR(10),
        TRUE,
        IFERROR(
          VLOOKUP(
            TRIM(
              SPLIT('Final Report'!A1008, "","")
         "&amp;"   ),
            'URL Details'!A:B,
            2,
            FALSE
          ),
          """"
        )
      )
    )
  ),
  1,
  1
)
"),"")</f>
        <v/>
      </c>
      <c r="C1008" s="105" t="str">
        <f>IFERROR(__xludf.DUMMYFUNCTION("IFERROR(IF('Final Report'!A1008="""","""", TEXTJOIN(CHAR(10), TRUE, ARRAYFORMULA( ""• ""&amp; FILTER( TRIM(FLATTEN(SPLIT( REGEXREPLACE( SUBSTITUTE(TEXTJOIN("","", TRUE, IFERROR(ARRAYFORMULA(VLOOKUP(TRIM(SPLIT('Final Report'!A1008, "","")), 'URL Details'!A:D, "&amp;"4, FALSE)),"""") ), CHAR(10), "",""), ""\s*,\s*"", "",""), "",""))), TRIM(FLATTEN(SPLIT( REGEXREPLACE( SUBSTITUTE(TEXTJOIN("","", TRUE, IFERROR(ARRAYFORMULA(VLOOKUP(TRIM(SPLIT('Final Report'!A1008, "","")), 'URL Details'!A:D, 4, FALSE)),"""") ), CHAR(10),"&amp;" "",""), ""\s*,\s*"", "",""), "","")))&lt;&gt;"""" ) ) ) ),"""")
"),"")</f>
        <v/>
      </c>
      <c r="D1008" s="105"/>
      <c r="E1008" s="105"/>
      <c r="F1008" s="110" t="b">
        <v>0</v>
      </c>
      <c r="G1008" s="105" t="str">
        <f>IF(F1008=True, IFERROR(VLOOKUP(D1008, Repository!A:B, 2, 0), ""), "")</f>
        <v/>
      </c>
      <c r="H1008" s="105"/>
      <c r="I1008" s="105"/>
      <c r="J1008" s="105" t="str">
        <f>IF(F1008=True, IFERROR(VLOOKUP(D1008, Repository!A:C, 3, 0), ""), "")</f>
        <v/>
      </c>
      <c r="K1008" s="105"/>
      <c r="L1008" s="105" t="str">
        <f>IF(F1008=True, IFERROR(VLOOKUP(D1008, Repository!A:E, 5, 0), ""), "")</f>
        <v/>
      </c>
      <c r="M1008" s="105"/>
      <c r="N1008" s="105" t="str">
        <f>IF(F1008=True, IFERROR(VLOOKUP(D1008, Repository!A:G, 7, 0), ""), "")</f>
        <v/>
      </c>
      <c r="O1008" s="105" t="str">
        <f>IFERROR(__xludf.DUMMYFUNCTION("ARRAY_CONSTRAIN(
  ARRAYFORMULA(
    IFERROR(
      LET(
        list, N1008,
        arr, TRIM(SPLIT(list, "","")),
        names, XLOOKUP(
          arr,
          'Conformance Score'!A:A,
          'Conformance Score'!B:B,
          ""Not found""
     "&amp;"   ),
        TEXTJOIN("", "", TRUE, names)
      ),
      """"
    )
  ),
  1,
  1
)
"),"")</f>
        <v/>
      </c>
      <c r="P1008" s="105" t="str">
        <f>IF(F1008="Yes", IFERROR(VLOOKUP(D1008, Repository!A:F, 6, 0), ""), "")</f>
        <v/>
      </c>
      <c r="Q1008" s="105" t="str">
        <f>IF(F1008="Yes", IFERROR(VLOOKUP(D1008, Repository!A:I, 8, 0), ""), "")</f>
        <v/>
      </c>
      <c r="R1008" s="105" t="str">
        <f>IF(F1008="Yes", IFERROR(VLOOKUP(D1008, Repository!A:J, 9, 0), ""), "")</f>
        <v/>
      </c>
      <c r="S1008" s="105"/>
      <c r="T1008" s="105"/>
      <c r="U1008" s="105"/>
      <c r="V1008" s="105"/>
      <c r="W1008" s="105"/>
      <c r="X1008" s="105"/>
      <c r="Y1008" s="105"/>
      <c r="Z1008" s="105"/>
      <c r="AA1008" s="105"/>
      <c r="AB1008" s="105"/>
      <c r="AC1008" s="91"/>
      <c r="AD1008" s="105"/>
      <c r="AE1008" s="105"/>
      <c r="AF1008" s="91"/>
      <c r="AG1008" s="105"/>
      <c r="AH1008" s="105"/>
      <c r="AI1008" s="105" t="str">
        <f t="shared" si="1"/>
        <v/>
      </c>
      <c r="AJ1008" s="108" t="str">
        <f t="shared" si="2"/>
        <v/>
      </c>
    </row>
    <row r="1009" ht="15.75" customHeight="1">
      <c r="A1009" s="104"/>
      <c r="B1009" s="105" t="str">
        <f>IFERROR(__xludf.DUMMYFUNCTION("ARRAY_CONSTRAIN(
  ARRAYFORMULA(
    IF(
      'Final Report'!A1009="""",
      """",
      TEXTJOIN(
        "", "" &amp; CHAR(10),
        TRUE,
        IFERROR(
          VLOOKUP(
            TRIM(
              SPLIT('Final Report'!A1009, "","")
         "&amp;"   ),
            'URL Details'!A:B,
            2,
            FALSE
          ),
          """"
        )
      )
    )
  ),
  1,
  1
)
"),"")</f>
        <v/>
      </c>
      <c r="C1009" s="105" t="str">
        <f>IFERROR(__xludf.DUMMYFUNCTION("IFERROR(IF('Final Report'!A1009="""","""", TEXTJOIN(CHAR(10), TRUE, ARRAYFORMULA( ""• ""&amp; FILTER( TRIM(FLATTEN(SPLIT( REGEXREPLACE( SUBSTITUTE(TEXTJOIN("","", TRUE, IFERROR(ARRAYFORMULA(VLOOKUP(TRIM(SPLIT('Final Report'!A1009, "","")), 'URL Details'!A:D, "&amp;"4, FALSE)),"""") ), CHAR(10), "",""), ""\s*,\s*"", "",""), "",""))), TRIM(FLATTEN(SPLIT( REGEXREPLACE( SUBSTITUTE(TEXTJOIN("","", TRUE, IFERROR(ARRAYFORMULA(VLOOKUP(TRIM(SPLIT('Final Report'!A1009, "","")), 'URL Details'!A:D, 4, FALSE)),"""") ), CHAR(10),"&amp;" "",""), ""\s*,\s*"", "",""), "","")))&lt;&gt;"""" ) ) ) ),"""")
"),"")</f>
        <v/>
      </c>
      <c r="D1009" s="105"/>
      <c r="E1009" s="105"/>
      <c r="F1009" s="110" t="b">
        <v>0</v>
      </c>
      <c r="G1009" s="105" t="str">
        <f>IF(F1009=True, IFERROR(VLOOKUP(D1009, Repository!A:B, 2, 0), ""), "")</f>
        <v/>
      </c>
      <c r="H1009" s="105"/>
      <c r="I1009" s="105"/>
      <c r="J1009" s="105" t="str">
        <f>IF(F1009=True, IFERROR(VLOOKUP(D1009, Repository!A:C, 3, 0), ""), "")</f>
        <v/>
      </c>
      <c r="K1009" s="105"/>
      <c r="L1009" s="105" t="str">
        <f>IF(F1009=True, IFERROR(VLOOKUP(D1009, Repository!A:E, 5, 0), ""), "")</f>
        <v/>
      </c>
      <c r="M1009" s="105"/>
      <c r="N1009" s="105" t="str">
        <f>IF(F1009=True, IFERROR(VLOOKUP(D1009, Repository!A:G, 7, 0), ""), "")</f>
        <v/>
      </c>
      <c r="O1009" s="105" t="str">
        <f>IFERROR(__xludf.DUMMYFUNCTION("ARRAY_CONSTRAIN(
  ARRAYFORMULA(
    IFERROR(
      LET(
        list, N1009,
        arr, TRIM(SPLIT(list, "","")),
        names, XLOOKUP(
          arr,
          'Conformance Score'!A:A,
          'Conformance Score'!B:B,
          ""Not found""
     "&amp;"   ),
        TEXTJOIN("", "", TRUE, names)
      ),
      """"
    )
  ),
  1,
  1
)
"),"")</f>
        <v/>
      </c>
      <c r="P1009" s="105" t="str">
        <f>IF(F1009="Yes", IFERROR(VLOOKUP(D1009, Repository!A:F, 6, 0), ""), "")</f>
        <v/>
      </c>
      <c r="Q1009" s="105" t="str">
        <f>IF(F1009="Yes", IFERROR(VLOOKUP(D1009, Repository!A:I, 8, 0), ""), "")</f>
        <v/>
      </c>
      <c r="R1009" s="105" t="str">
        <f>IF(F1009="Yes", IFERROR(VLOOKUP(D1009, Repository!A:J, 9, 0), ""), "")</f>
        <v/>
      </c>
      <c r="S1009" s="105"/>
      <c r="T1009" s="105"/>
      <c r="U1009" s="105"/>
      <c r="V1009" s="105"/>
      <c r="W1009" s="105"/>
      <c r="X1009" s="105"/>
      <c r="Y1009" s="105"/>
      <c r="Z1009" s="105"/>
      <c r="AA1009" s="105"/>
      <c r="AB1009" s="105"/>
      <c r="AC1009" s="91"/>
      <c r="AD1009" s="105"/>
      <c r="AE1009" s="105"/>
      <c r="AF1009" s="91"/>
      <c r="AG1009" s="105"/>
      <c r="AH1009" s="105"/>
      <c r="AI1009" s="105" t="str">
        <f t="shared" si="1"/>
        <v/>
      </c>
      <c r="AJ1009" s="108" t="str">
        <f t="shared" si="2"/>
        <v/>
      </c>
    </row>
    <row r="1010" ht="15.75" customHeight="1">
      <c r="A1010" s="104"/>
      <c r="B1010" s="105" t="str">
        <f>IFERROR(__xludf.DUMMYFUNCTION("ARRAY_CONSTRAIN(
  ARRAYFORMULA(
    IF(
      'Final Report'!A1010="""",
      """",
      TEXTJOIN(
        "", "" &amp; CHAR(10),
        TRUE,
        IFERROR(
          VLOOKUP(
            TRIM(
              SPLIT('Final Report'!A1010, "","")
         "&amp;"   ),
            'URL Details'!A:B,
            2,
            FALSE
          ),
          """"
        )
      )
    )
  ),
  1,
  1
)
"),"")</f>
        <v/>
      </c>
      <c r="C1010" s="105" t="str">
        <f>IFERROR(__xludf.DUMMYFUNCTION("IFERROR(IF('Final Report'!A1010="""","""", TEXTJOIN(CHAR(10), TRUE, ARRAYFORMULA( ""• ""&amp; FILTER( TRIM(FLATTEN(SPLIT( REGEXREPLACE( SUBSTITUTE(TEXTJOIN("","", TRUE, IFERROR(ARRAYFORMULA(VLOOKUP(TRIM(SPLIT('Final Report'!A1010, "","")), 'URL Details'!A:D, "&amp;"4, FALSE)),"""") ), CHAR(10), "",""), ""\s*,\s*"", "",""), "",""))), TRIM(FLATTEN(SPLIT( REGEXREPLACE( SUBSTITUTE(TEXTJOIN("","", TRUE, IFERROR(ARRAYFORMULA(VLOOKUP(TRIM(SPLIT('Final Report'!A1010, "","")), 'URL Details'!A:D, 4, FALSE)),"""") ), CHAR(10),"&amp;" "",""), ""\s*,\s*"", "",""), "","")))&lt;&gt;"""" ) ) ) ),"""")
"),"")</f>
        <v/>
      </c>
      <c r="D1010" s="105"/>
      <c r="E1010" s="105"/>
      <c r="F1010" s="110" t="b">
        <v>0</v>
      </c>
      <c r="G1010" s="105" t="str">
        <f>IF(F1010=True, IFERROR(VLOOKUP(D1010, Repository!A:B, 2, 0), ""), "")</f>
        <v/>
      </c>
      <c r="H1010" s="105"/>
      <c r="I1010" s="105"/>
      <c r="J1010" s="105" t="str">
        <f>IF(F1010=True, IFERROR(VLOOKUP(D1010, Repository!A:C, 3, 0), ""), "")</f>
        <v/>
      </c>
      <c r="K1010" s="105"/>
      <c r="L1010" s="105" t="str">
        <f>IF(F1010=True, IFERROR(VLOOKUP(D1010, Repository!A:E, 5, 0), ""), "")</f>
        <v/>
      </c>
      <c r="M1010" s="105"/>
      <c r="N1010" s="105" t="str">
        <f>IF(F1010=True, IFERROR(VLOOKUP(D1010, Repository!A:G, 7, 0), ""), "")</f>
        <v/>
      </c>
      <c r="O1010" s="105" t="str">
        <f>IFERROR(__xludf.DUMMYFUNCTION("ARRAY_CONSTRAIN(
  ARRAYFORMULA(
    IFERROR(
      LET(
        list, N1010,
        arr, TRIM(SPLIT(list, "","")),
        names, XLOOKUP(
          arr,
          'Conformance Score'!A:A,
          'Conformance Score'!B:B,
          ""Not found""
     "&amp;"   ),
        TEXTJOIN("", "", TRUE, names)
      ),
      """"
    )
  ),
  1,
  1
)
"),"")</f>
        <v/>
      </c>
      <c r="P1010" s="105" t="str">
        <f>IF(F1010="Yes", IFERROR(VLOOKUP(D1010, Repository!A:F, 6, 0), ""), "")</f>
        <v/>
      </c>
      <c r="Q1010" s="105" t="str">
        <f>IF(F1010="Yes", IFERROR(VLOOKUP(D1010, Repository!A:I, 8, 0), ""), "")</f>
        <v/>
      </c>
      <c r="R1010" s="105" t="str">
        <f>IF(F1010="Yes", IFERROR(VLOOKUP(D1010, Repository!A:J, 9, 0), ""), "")</f>
        <v/>
      </c>
      <c r="S1010" s="105"/>
      <c r="T1010" s="105"/>
      <c r="U1010" s="105"/>
      <c r="V1010" s="105"/>
      <c r="W1010" s="105"/>
      <c r="X1010" s="105"/>
      <c r="Y1010" s="105"/>
      <c r="Z1010" s="105"/>
      <c r="AA1010" s="105"/>
      <c r="AB1010" s="105"/>
      <c r="AC1010" s="91"/>
      <c r="AD1010" s="105"/>
      <c r="AE1010" s="105"/>
      <c r="AF1010" s="91"/>
      <c r="AG1010" s="105"/>
      <c r="AH1010" s="105"/>
      <c r="AI1010" s="105" t="str">
        <f t="shared" si="1"/>
        <v/>
      </c>
      <c r="AJ1010" s="108" t="str">
        <f t="shared" si="2"/>
        <v/>
      </c>
    </row>
    <row r="1011" ht="15.75" customHeight="1">
      <c r="A1011" s="104"/>
      <c r="B1011" s="105" t="str">
        <f>IFERROR(__xludf.DUMMYFUNCTION("ARRAY_CONSTRAIN(
  ARRAYFORMULA(
    IF(
      'Final Report'!A1011="""",
      """",
      TEXTJOIN(
        "", "" &amp; CHAR(10),
        TRUE,
        IFERROR(
          VLOOKUP(
            TRIM(
              SPLIT('Final Report'!A1011, "","")
         "&amp;"   ),
            'URL Details'!A:B,
            2,
            FALSE
          ),
          """"
        )
      )
    )
  ),
  1,
  1
)
"),"")</f>
        <v/>
      </c>
      <c r="C1011" s="105" t="str">
        <f>IFERROR(__xludf.DUMMYFUNCTION("IFERROR(IF('Final Report'!A1011="""","""", TEXTJOIN(CHAR(10), TRUE, ARRAYFORMULA( ""• ""&amp; FILTER( TRIM(FLATTEN(SPLIT( REGEXREPLACE( SUBSTITUTE(TEXTJOIN("","", TRUE, IFERROR(ARRAYFORMULA(VLOOKUP(TRIM(SPLIT('Final Report'!A1011, "","")), 'URL Details'!A:D, "&amp;"4, FALSE)),"""") ), CHAR(10), "",""), ""\s*,\s*"", "",""), "",""))), TRIM(FLATTEN(SPLIT( REGEXREPLACE( SUBSTITUTE(TEXTJOIN("","", TRUE, IFERROR(ARRAYFORMULA(VLOOKUP(TRIM(SPLIT('Final Report'!A1011, "","")), 'URL Details'!A:D, 4, FALSE)),"""") ), CHAR(10),"&amp;" "",""), ""\s*,\s*"", "",""), "","")))&lt;&gt;"""" ) ) ) ),"""")
"),"")</f>
        <v/>
      </c>
      <c r="D1011" s="105"/>
      <c r="E1011" s="105"/>
      <c r="F1011" s="110" t="b">
        <v>0</v>
      </c>
      <c r="G1011" s="105" t="str">
        <f>IF(F1011=True, IFERROR(VLOOKUP(D1011, Repository!A:B, 2, 0), ""), "")</f>
        <v/>
      </c>
      <c r="H1011" s="105"/>
      <c r="I1011" s="105"/>
      <c r="J1011" s="105" t="str">
        <f>IF(F1011=True, IFERROR(VLOOKUP(D1011, Repository!A:C, 3, 0), ""), "")</f>
        <v/>
      </c>
      <c r="K1011" s="105"/>
      <c r="L1011" s="105" t="str">
        <f>IF(F1011=True, IFERROR(VLOOKUP(D1011, Repository!A:E, 5, 0), ""), "")</f>
        <v/>
      </c>
      <c r="M1011" s="105"/>
      <c r="N1011" s="105" t="str">
        <f>IF(F1011=True, IFERROR(VLOOKUP(D1011, Repository!A:G, 7, 0), ""), "")</f>
        <v/>
      </c>
      <c r="O1011" s="105" t="str">
        <f>IFERROR(__xludf.DUMMYFUNCTION("ARRAY_CONSTRAIN(
  ARRAYFORMULA(
    IFERROR(
      LET(
        list, N1011,
        arr, TRIM(SPLIT(list, "","")),
        names, XLOOKUP(
          arr,
          'Conformance Score'!A:A,
          'Conformance Score'!B:B,
          ""Not found""
     "&amp;"   ),
        TEXTJOIN("", "", TRUE, names)
      ),
      """"
    )
  ),
  1,
  1
)
"),"")</f>
        <v/>
      </c>
      <c r="P1011" s="105" t="str">
        <f>IF(F1011="Yes", IFERROR(VLOOKUP(D1011, Repository!A:F, 6, 0), ""), "")</f>
        <v/>
      </c>
      <c r="Q1011" s="105" t="str">
        <f>IF(F1011="Yes", IFERROR(VLOOKUP(D1011, Repository!A:I, 8, 0), ""), "")</f>
        <v/>
      </c>
      <c r="R1011" s="105" t="str">
        <f>IF(F1011="Yes", IFERROR(VLOOKUP(D1011, Repository!A:J, 9, 0), ""), "")</f>
        <v/>
      </c>
      <c r="S1011" s="105"/>
      <c r="T1011" s="105"/>
      <c r="U1011" s="105"/>
      <c r="V1011" s="105"/>
      <c r="W1011" s="105"/>
      <c r="X1011" s="105"/>
      <c r="Y1011" s="105"/>
      <c r="Z1011" s="105"/>
      <c r="AA1011" s="105"/>
      <c r="AB1011" s="105"/>
      <c r="AC1011" s="91"/>
      <c r="AD1011" s="105"/>
      <c r="AE1011" s="105"/>
      <c r="AF1011" s="91"/>
      <c r="AG1011" s="105"/>
      <c r="AH1011" s="105"/>
      <c r="AI1011" s="105" t="str">
        <f t="shared" si="1"/>
        <v/>
      </c>
      <c r="AJ1011" s="108" t="str">
        <f t="shared" si="2"/>
        <v/>
      </c>
    </row>
    <row r="1012" ht="15.75" customHeight="1">
      <c r="A1012" s="104"/>
      <c r="B1012" s="105" t="str">
        <f>IFERROR(__xludf.DUMMYFUNCTION("ARRAY_CONSTRAIN(
  ARRAYFORMULA(
    IF(
      'Final Report'!A1012="""",
      """",
      TEXTJOIN(
        "", "" &amp; CHAR(10),
        TRUE,
        IFERROR(
          VLOOKUP(
            TRIM(
              SPLIT('Final Report'!A1012, "","")
         "&amp;"   ),
            'URL Details'!A:B,
            2,
            FALSE
          ),
          """"
        )
      )
    )
  ),
  1,
  1
)
"),"")</f>
        <v/>
      </c>
      <c r="C1012" s="105" t="str">
        <f>IFERROR(__xludf.DUMMYFUNCTION("IFERROR(IF('Final Report'!A1012="""","""", TEXTJOIN(CHAR(10), TRUE, ARRAYFORMULA( ""• ""&amp; FILTER( TRIM(FLATTEN(SPLIT( REGEXREPLACE( SUBSTITUTE(TEXTJOIN("","", TRUE, IFERROR(ARRAYFORMULA(VLOOKUP(TRIM(SPLIT('Final Report'!A1012, "","")), 'URL Details'!A:D, "&amp;"4, FALSE)),"""") ), CHAR(10), "",""), ""\s*,\s*"", "",""), "",""))), TRIM(FLATTEN(SPLIT( REGEXREPLACE( SUBSTITUTE(TEXTJOIN("","", TRUE, IFERROR(ARRAYFORMULA(VLOOKUP(TRIM(SPLIT('Final Report'!A1012, "","")), 'URL Details'!A:D, 4, FALSE)),"""") ), CHAR(10),"&amp;" "",""), ""\s*,\s*"", "",""), "","")))&lt;&gt;"""" ) ) ) ),"""")
"),"")</f>
        <v/>
      </c>
      <c r="D1012" s="105"/>
      <c r="E1012" s="105"/>
      <c r="F1012" s="110" t="b">
        <v>0</v>
      </c>
      <c r="G1012" s="105" t="str">
        <f>IF(F1012=True, IFERROR(VLOOKUP(D1012, Repository!A:B, 2, 0), ""), "")</f>
        <v/>
      </c>
      <c r="H1012" s="105"/>
      <c r="I1012" s="105"/>
      <c r="J1012" s="105" t="str">
        <f>IF(F1012=True, IFERROR(VLOOKUP(D1012, Repository!A:C, 3, 0), ""), "")</f>
        <v/>
      </c>
      <c r="K1012" s="105"/>
      <c r="L1012" s="105" t="str">
        <f>IF(F1012=True, IFERROR(VLOOKUP(D1012, Repository!A:E, 5, 0), ""), "")</f>
        <v/>
      </c>
      <c r="M1012" s="105"/>
      <c r="N1012" s="105" t="str">
        <f>IF(F1012=True, IFERROR(VLOOKUP(D1012, Repository!A:G, 7, 0), ""), "")</f>
        <v/>
      </c>
      <c r="O1012" s="105" t="str">
        <f>IFERROR(__xludf.DUMMYFUNCTION("ARRAY_CONSTRAIN(
  ARRAYFORMULA(
    IFERROR(
      LET(
        list, N1012,
        arr, TRIM(SPLIT(list, "","")),
        names, XLOOKUP(
          arr,
          'Conformance Score'!A:A,
          'Conformance Score'!B:B,
          ""Not found""
     "&amp;"   ),
        TEXTJOIN("", "", TRUE, names)
      ),
      """"
    )
  ),
  1,
  1
)
"),"")</f>
        <v/>
      </c>
      <c r="P1012" s="105" t="str">
        <f>IF(F1012="Yes", IFERROR(VLOOKUP(D1012, Repository!A:F, 6, 0), ""), "")</f>
        <v/>
      </c>
      <c r="Q1012" s="105" t="str">
        <f>IF(F1012="Yes", IFERROR(VLOOKUP(D1012, Repository!A:I, 8, 0), ""), "")</f>
        <v/>
      </c>
      <c r="R1012" s="105" t="str">
        <f>IF(F1012="Yes", IFERROR(VLOOKUP(D1012, Repository!A:J, 9, 0), ""), "")</f>
        <v/>
      </c>
      <c r="S1012" s="105"/>
      <c r="T1012" s="105"/>
      <c r="U1012" s="105"/>
      <c r="V1012" s="105"/>
      <c r="W1012" s="105"/>
      <c r="X1012" s="105"/>
      <c r="Y1012" s="105"/>
      <c r="Z1012" s="105"/>
      <c r="AA1012" s="105"/>
      <c r="AB1012" s="105"/>
      <c r="AC1012" s="91"/>
      <c r="AD1012" s="105"/>
      <c r="AE1012" s="105"/>
      <c r="AF1012" s="91"/>
      <c r="AG1012" s="105"/>
      <c r="AH1012" s="105"/>
      <c r="AI1012" s="105" t="str">
        <f t="shared" si="1"/>
        <v/>
      </c>
      <c r="AJ1012" s="108" t="str">
        <f t="shared" si="2"/>
        <v/>
      </c>
    </row>
    <row r="1013" ht="15.75" customHeight="1">
      <c r="A1013" s="104"/>
      <c r="B1013" s="105" t="str">
        <f>IFERROR(__xludf.DUMMYFUNCTION("ARRAY_CONSTRAIN(
  ARRAYFORMULA(
    IF(
      'Final Report'!A1013="""",
      """",
      TEXTJOIN(
        "", "" &amp; CHAR(10),
        TRUE,
        IFERROR(
          VLOOKUP(
            TRIM(
              SPLIT('Final Report'!A1013, "","")
         "&amp;"   ),
            'URL Details'!A:B,
            2,
            FALSE
          ),
          """"
        )
      )
    )
  ),
  1,
  1
)
"),"")</f>
        <v/>
      </c>
      <c r="C1013" s="105" t="str">
        <f>IFERROR(__xludf.DUMMYFUNCTION("IFERROR(IF('Final Report'!A1013="""","""", TEXTJOIN(CHAR(10), TRUE, ARRAYFORMULA( ""• ""&amp; FILTER( TRIM(FLATTEN(SPLIT( REGEXREPLACE( SUBSTITUTE(TEXTJOIN("","", TRUE, IFERROR(ARRAYFORMULA(VLOOKUP(TRIM(SPLIT('Final Report'!A1013, "","")), 'URL Details'!A:D, "&amp;"4, FALSE)),"""") ), CHAR(10), "",""), ""\s*,\s*"", "",""), "",""))), TRIM(FLATTEN(SPLIT( REGEXREPLACE( SUBSTITUTE(TEXTJOIN("","", TRUE, IFERROR(ARRAYFORMULA(VLOOKUP(TRIM(SPLIT('Final Report'!A1013, "","")), 'URL Details'!A:D, 4, FALSE)),"""") ), CHAR(10),"&amp;" "",""), ""\s*,\s*"", "",""), "","")))&lt;&gt;"""" ) ) ) ),"""")
"),"")</f>
        <v/>
      </c>
      <c r="D1013" s="105"/>
      <c r="E1013" s="105"/>
      <c r="F1013" s="110" t="b">
        <v>0</v>
      </c>
      <c r="G1013" s="105" t="str">
        <f>IF(F1013=True, IFERROR(VLOOKUP(D1013, Repository!A:B, 2, 0), ""), "")</f>
        <v/>
      </c>
      <c r="H1013" s="105"/>
      <c r="I1013" s="105"/>
      <c r="J1013" s="105" t="str">
        <f>IF(F1013=True, IFERROR(VLOOKUP(D1013, Repository!A:C, 3, 0), ""), "")</f>
        <v/>
      </c>
      <c r="K1013" s="105"/>
      <c r="L1013" s="105" t="str">
        <f>IF(F1013=True, IFERROR(VLOOKUP(D1013, Repository!A:E, 5, 0), ""), "")</f>
        <v/>
      </c>
      <c r="M1013" s="105"/>
      <c r="N1013" s="105" t="str">
        <f>IF(F1013=True, IFERROR(VLOOKUP(D1013, Repository!A:G, 7, 0), ""), "")</f>
        <v/>
      </c>
      <c r="O1013" s="105" t="str">
        <f>IFERROR(__xludf.DUMMYFUNCTION("ARRAY_CONSTRAIN(
  ARRAYFORMULA(
    IFERROR(
      LET(
        list, N1013,
        arr, TRIM(SPLIT(list, "","")),
        names, XLOOKUP(
          arr,
          'Conformance Score'!A:A,
          'Conformance Score'!B:B,
          ""Not found""
     "&amp;"   ),
        TEXTJOIN("", "", TRUE, names)
      ),
      """"
    )
  ),
  1,
  1
)
"),"")</f>
        <v/>
      </c>
      <c r="P1013" s="105" t="str">
        <f>IF(F1013="Yes", IFERROR(VLOOKUP(D1013, Repository!A:F, 6, 0), ""), "")</f>
        <v/>
      </c>
      <c r="Q1013" s="105" t="str">
        <f>IF(F1013="Yes", IFERROR(VLOOKUP(D1013, Repository!A:I, 8, 0), ""), "")</f>
        <v/>
      </c>
      <c r="R1013" s="105" t="str">
        <f>IF(F1013="Yes", IFERROR(VLOOKUP(D1013, Repository!A:J, 9, 0), ""), "")</f>
        <v/>
      </c>
      <c r="S1013" s="105"/>
      <c r="T1013" s="105"/>
      <c r="U1013" s="105"/>
      <c r="V1013" s="105"/>
      <c r="W1013" s="105"/>
      <c r="X1013" s="105"/>
      <c r="Y1013" s="105"/>
      <c r="Z1013" s="105"/>
      <c r="AA1013" s="105"/>
      <c r="AB1013" s="105"/>
      <c r="AC1013" s="91"/>
      <c r="AD1013" s="105"/>
      <c r="AE1013" s="105"/>
      <c r="AF1013" s="91"/>
      <c r="AG1013" s="105"/>
      <c r="AH1013" s="105"/>
      <c r="AI1013" s="105" t="str">
        <f t="shared" si="1"/>
        <v/>
      </c>
      <c r="AJ1013" s="108" t="str">
        <f t="shared" si="2"/>
        <v/>
      </c>
    </row>
    <row r="1014" ht="15.75" customHeight="1">
      <c r="A1014" s="104"/>
      <c r="B1014" s="105" t="str">
        <f>IFERROR(__xludf.DUMMYFUNCTION("ARRAY_CONSTRAIN(
  ARRAYFORMULA(
    IF(
      'Final Report'!A1014="""",
      """",
      TEXTJOIN(
        "", "" &amp; CHAR(10),
        TRUE,
        IFERROR(
          VLOOKUP(
            TRIM(
              SPLIT('Final Report'!A1014, "","")
         "&amp;"   ),
            'URL Details'!A:B,
            2,
            FALSE
          ),
          """"
        )
      )
    )
  ),
  1,
  1
)
"),"")</f>
        <v/>
      </c>
      <c r="C1014" s="105" t="str">
        <f>IFERROR(__xludf.DUMMYFUNCTION("IFERROR(IF('Final Report'!A1014="""","""", TEXTJOIN(CHAR(10), TRUE, ARRAYFORMULA( ""• ""&amp; FILTER( TRIM(FLATTEN(SPLIT( REGEXREPLACE( SUBSTITUTE(TEXTJOIN("","", TRUE, IFERROR(ARRAYFORMULA(VLOOKUP(TRIM(SPLIT('Final Report'!A1014, "","")), 'URL Details'!A:D, "&amp;"4, FALSE)),"""") ), CHAR(10), "",""), ""\s*,\s*"", "",""), "",""))), TRIM(FLATTEN(SPLIT( REGEXREPLACE( SUBSTITUTE(TEXTJOIN("","", TRUE, IFERROR(ARRAYFORMULA(VLOOKUP(TRIM(SPLIT('Final Report'!A1014, "","")), 'URL Details'!A:D, 4, FALSE)),"""") ), CHAR(10),"&amp;" "",""), ""\s*,\s*"", "",""), "","")))&lt;&gt;"""" ) ) ) ),"""")
"),"")</f>
        <v/>
      </c>
      <c r="D1014" s="105"/>
      <c r="E1014" s="105"/>
      <c r="F1014" s="110" t="b">
        <v>0</v>
      </c>
      <c r="G1014" s="105" t="str">
        <f>IF(F1014=True, IFERROR(VLOOKUP(D1014, Repository!A:B, 2, 0), ""), "")</f>
        <v/>
      </c>
      <c r="H1014" s="105"/>
      <c r="I1014" s="105"/>
      <c r="J1014" s="105" t="str">
        <f>IF(F1014=True, IFERROR(VLOOKUP(D1014, Repository!A:C, 3, 0), ""), "")</f>
        <v/>
      </c>
      <c r="K1014" s="105"/>
      <c r="L1014" s="105" t="str">
        <f>IF(F1014=True, IFERROR(VLOOKUP(D1014, Repository!A:E, 5, 0), ""), "")</f>
        <v/>
      </c>
      <c r="M1014" s="105"/>
      <c r="N1014" s="105" t="str">
        <f>IF(F1014=True, IFERROR(VLOOKUP(D1014, Repository!A:G, 7, 0), ""), "")</f>
        <v/>
      </c>
      <c r="O1014" s="105" t="str">
        <f>IFERROR(__xludf.DUMMYFUNCTION("ARRAY_CONSTRAIN(
  ARRAYFORMULA(
    IFERROR(
      LET(
        list, N1014,
        arr, TRIM(SPLIT(list, "","")),
        names, XLOOKUP(
          arr,
          'Conformance Score'!A:A,
          'Conformance Score'!B:B,
          ""Not found""
     "&amp;"   ),
        TEXTJOIN("", "", TRUE, names)
      ),
      """"
    )
  ),
  1,
  1
)
"),"")</f>
        <v/>
      </c>
      <c r="P1014" s="105" t="str">
        <f>IF(F1014="Yes", IFERROR(VLOOKUP(D1014, Repository!A:F, 6, 0), ""), "")</f>
        <v/>
      </c>
      <c r="Q1014" s="105" t="str">
        <f>IF(F1014="Yes", IFERROR(VLOOKUP(D1014, Repository!A:I, 8, 0), ""), "")</f>
        <v/>
      </c>
      <c r="R1014" s="105" t="str">
        <f>IF(F1014="Yes", IFERROR(VLOOKUP(D1014, Repository!A:J, 9, 0), ""), "")</f>
        <v/>
      </c>
      <c r="S1014" s="105"/>
      <c r="T1014" s="105"/>
      <c r="U1014" s="105"/>
      <c r="V1014" s="105"/>
      <c r="W1014" s="105"/>
      <c r="X1014" s="105"/>
      <c r="Y1014" s="105"/>
      <c r="Z1014" s="105"/>
      <c r="AA1014" s="105"/>
      <c r="AB1014" s="105"/>
      <c r="AC1014" s="91"/>
      <c r="AD1014" s="105"/>
      <c r="AE1014" s="105"/>
      <c r="AF1014" s="91"/>
      <c r="AG1014" s="105"/>
      <c r="AH1014" s="105"/>
      <c r="AI1014" s="105" t="str">
        <f t="shared" si="1"/>
        <v/>
      </c>
      <c r="AJ1014" s="108" t="str">
        <f t="shared" si="2"/>
        <v/>
      </c>
    </row>
    <row r="1015" ht="15.75" customHeight="1">
      <c r="A1015" s="104"/>
      <c r="B1015" s="105" t="str">
        <f>IFERROR(__xludf.DUMMYFUNCTION("ARRAY_CONSTRAIN(
  ARRAYFORMULA(
    IF(
      'Final Report'!A1015="""",
      """",
      TEXTJOIN(
        "", "" &amp; CHAR(10),
        TRUE,
        IFERROR(
          VLOOKUP(
            TRIM(
              SPLIT('Final Report'!A1015, "","")
         "&amp;"   ),
            'URL Details'!A:B,
            2,
            FALSE
          ),
          """"
        )
      )
    )
  ),
  1,
  1
)
"),"")</f>
        <v/>
      </c>
      <c r="C1015" s="105" t="str">
        <f>IFERROR(__xludf.DUMMYFUNCTION("IFERROR(IF('Final Report'!A1015="""","""", TEXTJOIN(CHAR(10), TRUE, ARRAYFORMULA( ""• ""&amp; FILTER( TRIM(FLATTEN(SPLIT( REGEXREPLACE( SUBSTITUTE(TEXTJOIN("","", TRUE, IFERROR(ARRAYFORMULA(VLOOKUP(TRIM(SPLIT('Final Report'!A1015, "","")), 'URL Details'!A:D, "&amp;"4, FALSE)),"""") ), CHAR(10), "",""), ""\s*,\s*"", "",""), "",""))), TRIM(FLATTEN(SPLIT( REGEXREPLACE( SUBSTITUTE(TEXTJOIN("","", TRUE, IFERROR(ARRAYFORMULA(VLOOKUP(TRIM(SPLIT('Final Report'!A1015, "","")), 'URL Details'!A:D, 4, FALSE)),"""") ), CHAR(10),"&amp;" "",""), ""\s*,\s*"", "",""), "","")))&lt;&gt;"""" ) ) ) ),"""")
"),"")</f>
        <v/>
      </c>
      <c r="D1015" s="105"/>
      <c r="E1015" s="105"/>
      <c r="F1015" s="110" t="b">
        <v>0</v>
      </c>
      <c r="G1015" s="105" t="str">
        <f>IF(F1015=True, IFERROR(VLOOKUP(D1015, Repository!A:B, 2, 0), ""), "")</f>
        <v/>
      </c>
      <c r="H1015" s="105"/>
      <c r="I1015" s="105"/>
      <c r="J1015" s="105" t="str">
        <f>IF(F1015=True, IFERROR(VLOOKUP(D1015, Repository!A:C, 3, 0), ""), "")</f>
        <v/>
      </c>
      <c r="K1015" s="105"/>
      <c r="L1015" s="105" t="str">
        <f>IF(F1015=True, IFERROR(VLOOKUP(D1015, Repository!A:E, 5, 0), ""), "")</f>
        <v/>
      </c>
      <c r="M1015" s="105"/>
      <c r="N1015" s="105" t="str">
        <f>IF(F1015=True, IFERROR(VLOOKUP(D1015, Repository!A:G, 7, 0), ""), "")</f>
        <v/>
      </c>
      <c r="O1015" s="105" t="str">
        <f>IFERROR(__xludf.DUMMYFUNCTION("ARRAY_CONSTRAIN(
  ARRAYFORMULA(
    IFERROR(
      LET(
        list, N1015,
        arr, TRIM(SPLIT(list, "","")),
        names, XLOOKUP(
          arr,
          'Conformance Score'!A:A,
          'Conformance Score'!B:B,
          ""Not found""
     "&amp;"   ),
        TEXTJOIN("", "", TRUE, names)
      ),
      """"
    )
  ),
  1,
  1
)
"),"")</f>
        <v/>
      </c>
      <c r="P1015" s="105" t="str">
        <f>IF(F1015="Yes", IFERROR(VLOOKUP(D1015, Repository!A:F, 6, 0), ""), "")</f>
        <v/>
      </c>
      <c r="Q1015" s="105" t="str">
        <f>IF(F1015="Yes", IFERROR(VLOOKUP(D1015, Repository!A:I, 8, 0), ""), "")</f>
        <v/>
      </c>
      <c r="R1015" s="105" t="str">
        <f>IF(F1015="Yes", IFERROR(VLOOKUP(D1015, Repository!A:J, 9, 0), ""), "")</f>
        <v/>
      </c>
      <c r="S1015" s="105"/>
      <c r="T1015" s="105"/>
      <c r="U1015" s="105"/>
      <c r="V1015" s="105"/>
      <c r="W1015" s="105"/>
      <c r="X1015" s="105"/>
      <c r="Y1015" s="105"/>
      <c r="Z1015" s="105"/>
      <c r="AA1015" s="105"/>
      <c r="AB1015" s="105"/>
      <c r="AC1015" s="91"/>
      <c r="AD1015" s="105"/>
      <c r="AE1015" s="105"/>
      <c r="AF1015" s="91"/>
      <c r="AG1015" s="105"/>
      <c r="AH1015" s="105"/>
      <c r="AI1015" s="105" t="str">
        <f t="shared" si="1"/>
        <v/>
      </c>
      <c r="AJ1015" s="108" t="str">
        <f t="shared" si="2"/>
        <v/>
      </c>
    </row>
    <row r="1016" ht="15.75" customHeight="1">
      <c r="A1016" s="104"/>
      <c r="B1016" s="105" t="str">
        <f>IFERROR(__xludf.DUMMYFUNCTION("ARRAY_CONSTRAIN(
  ARRAYFORMULA(
    IF(
      'Final Report'!A1016="""",
      """",
      TEXTJOIN(
        "", "" &amp; CHAR(10),
        TRUE,
        IFERROR(
          VLOOKUP(
            TRIM(
              SPLIT('Final Report'!A1016, "","")
         "&amp;"   ),
            'URL Details'!A:B,
            2,
            FALSE
          ),
          """"
        )
      )
    )
  ),
  1,
  1
)
"),"")</f>
        <v/>
      </c>
      <c r="C1016" s="105" t="str">
        <f>IFERROR(__xludf.DUMMYFUNCTION("IFERROR(IF('Final Report'!A1016="""","""", TEXTJOIN(CHAR(10), TRUE, ARRAYFORMULA( ""• ""&amp; FILTER( TRIM(FLATTEN(SPLIT( REGEXREPLACE( SUBSTITUTE(TEXTJOIN("","", TRUE, IFERROR(ARRAYFORMULA(VLOOKUP(TRIM(SPLIT('Final Report'!A1016, "","")), 'URL Details'!A:D, "&amp;"4, FALSE)),"""") ), CHAR(10), "",""), ""\s*,\s*"", "",""), "",""))), TRIM(FLATTEN(SPLIT( REGEXREPLACE( SUBSTITUTE(TEXTJOIN("","", TRUE, IFERROR(ARRAYFORMULA(VLOOKUP(TRIM(SPLIT('Final Report'!A1016, "","")), 'URL Details'!A:D, 4, FALSE)),"""") ), CHAR(10),"&amp;" "",""), ""\s*,\s*"", "",""), "","")))&lt;&gt;"""" ) ) ) ),"""")
"),"")</f>
        <v/>
      </c>
      <c r="D1016" s="105"/>
      <c r="E1016" s="105"/>
      <c r="F1016" s="110" t="b">
        <v>0</v>
      </c>
      <c r="G1016" s="105" t="str">
        <f>IF(F1016=True, IFERROR(VLOOKUP(D1016, Repository!A:B, 2, 0), ""), "")</f>
        <v/>
      </c>
      <c r="H1016" s="105"/>
      <c r="I1016" s="105"/>
      <c r="J1016" s="105" t="str">
        <f>IF(F1016=True, IFERROR(VLOOKUP(D1016, Repository!A:C, 3, 0), ""), "")</f>
        <v/>
      </c>
      <c r="K1016" s="105"/>
      <c r="L1016" s="105" t="str">
        <f>IF(F1016=True, IFERROR(VLOOKUP(D1016, Repository!A:E, 5, 0), ""), "")</f>
        <v/>
      </c>
      <c r="M1016" s="105"/>
      <c r="N1016" s="105" t="str">
        <f>IF(F1016=True, IFERROR(VLOOKUP(D1016, Repository!A:G, 7, 0), ""), "")</f>
        <v/>
      </c>
      <c r="O1016" s="105" t="str">
        <f>IFERROR(__xludf.DUMMYFUNCTION("ARRAY_CONSTRAIN(
  ARRAYFORMULA(
    IFERROR(
      LET(
        list, N1016,
        arr, TRIM(SPLIT(list, "","")),
        names, XLOOKUP(
          arr,
          'Conformance Score'!A:A,
          'Conformance Score'!B:B,
          ""Not found""
     "&amp;"   ),
        TEXTJOIN("", "", TRUE, names)
      ),
      """"
    )
  ),
  1,
  1
)
"),"")</f>
        <v/>
      </c>
      <c r="P1016" s="105" t="str">
        <f>IF(F1016="Yes", IFERROR(VLOOKUP(D1016, Repository!A:F, 6, 0), ""), "")</f>
        <v/>
      </c>
      <c r="Q1016" s="105" t="str">
        <f>IF(F1016="Yes", IFERROR(VLOOKUP(D1016, Repository!A:I, 8, 0), ""), "")</f>
        <v/>
      </c>
      <c r="R1016" s="105" t="str">
        <f>IF(F1016="Yes", IFERROR(VLOOKUP(D1016, Repository!A:J, 9, 0), ""), "")</f>
        <v/>
      </c>
      <c r="S1016" s="105"/>
      <c r="T1016" s="105"/>
      <c r="U1016" s="105"/>
      <c r="V1016" s="105"/>
      <c r="W1016" s="105"/>
      <c r="X1016" s="105"/>
      <c r="Y1016" s="105"/>
      <c r="Z1016" s="105"/>
      <c r="AA1016" s="105"/>
      <c r="AB1016" s="105"/>
      <c r="AC1016" s="91"/>
      <c r="AD1016" s="105"/>
      <c r="AE1016" s="105"/>
      <c r="AF1016" s="91"/>
      <c r="AG1016" s="105"/>
      <c r="AH1016" s="105"/>
      <c r="AI1016" s="105" t="str">
        <f t="shared" si="1"/>
        <v/>
      </c>
      <c r="AJ1016" s="108" t="str">
        <f t="shared" si="2"/>
        <v/>
      </c>
    </row>
    <row r="1017" ht="15.75" customHeight="1">
      <c r="A1017" s="104"/>
      <c r="B1017" s="105" t="str">
        <f>IFERROR(__xludf.DUMMYFUNCTION("ARRAY_CONSTRAIN(
  ARRAYFORMULA(
    IF(
      'Final Report'!A1017="""",
      """",
      TEXTJOIN(
        "", "" &amp; CHAR(10),
        TRUE,
        IFERROR(
          VLOOKUP(
            TRIM(
              SPLIT('Final Report'!A1017, "","")
         "&amp;"   ),
            'URL Details'!A:B,
            2,
            FALSE
          ),
          """"
        )
      )
    )
  ),
  1,
  1
)
"),"")</f>
        <v/>
      </c>
      <c r="C1017" s="105" t="str">
        <f>IFERROR(__xludf.DUMMYFUNCTION("IFERROR(IF('Final Report'!A1017="""","""", TEXTJOIN(CHAR(10), TRUE, ARRAYFORMULA( ""• ""&amp; FILTER( TRIM(FLATTEN(SPLIT( REGEXREPLACE( SUBSTITUTE(TEXTJOIN("","", TRUE, IFERROR(ARRAYFORMULA(VLOOKUP(TRIM(SPLIT('Final Report'!A1017, "","")), 'URL Details'!A:D, "&amp;"4, FALSE)),"""") ), CHAR(10), "",""), ""\s*,\s*"", "",""), "",""))), TRIM(FLATTEN(SPLIT( REGEXREPLACE( SUBSTITUTE(TEXTJOIN("","", TRUE, IFERROR(ARRAYFORMULA(VLOOKUP(TRIM(SPLIT('Final Report'!A1017, "","")), 'URL Details'!A:D, 4, FALSE)),"""") ), CHAR(10),"&amp;" "",""), ""\s*,\s*"", "",""), "","")))&lt;&gt;"""" ) ) ) ),"""")
"),"")</f>
        <v/>
      </c>
      <c r="D1017" s="105"/>
      <c r="E1017" s="105"/>
      <c r="F1017" s="110" t="b">
        <v>0</v>
      </c>
      <c r="G1017" s="105" t="str">
        <f>IF(F1017=True, IFERROR(VLOOKUP(D1017, Repository!A:B, 2, 0), ""), "")</f>
        <v/>
      </c>
      <c r="H1017" s="105"/>
      <c r="I1017" s="105"/>
      <c r="J1017" s="105" t="str">
        <f>IF(F1017=True, IFERROR(VLOOKUP(D1017, Repository!A:C, 3, 0), ""), "")</f>
        <v/>
      </c>
      <c r="K1017" s="105"/>
      <c r="L1017" s="105" t="str">
        <f>IF(F1017=True, IFERROR(VLOOKUP(D1017, Repository!A:E, 5, 0), ""), "")</f>
        <v/>
      </c>
      <c r="M1017" s="105"/>
      <c r="N1017" s="105" t="str">
        <f>IF(F1017=True, IFERROR(VLOOKUP(D1017, Repository!A:G, 7, 0), ""), "")</f>
        <v/>
      </c>
      <c r="O1017" s="105" t="str">
        <f>IFERROR(__xludf.DUMMYFUNCTION("ARRAY_CONSTRAIN(
  ARRAYFORMULA(
    IFERROR(
      LET(
        list, N1017,
        arr, TRIM(SPLIT(list, "","")),
        names, XLOOKUP(
          arr,
          'Conformance Score'!A:A,
          'Conformance Score'!B:B,
          ""Not found""
     "&amp;"   ),
        TEXTJOIN("", "", TRUE, names)
      ),
      """"
    )
  ),
  1,
  1
)
"),"")</f>
        <v/>
      </c>
      <c r="P1017" s="105" t="str">
        <f>IF(F1017="Yes", IFERROR(VLOOKUP(D1017, Repository!A:F, 6, 0), ""), "")</f>
        <v/>
      </c>
      <c r="Q1017" s="105" t="str">
        <f>IF(F1017="Yes", IFERROR(VLOOKUP(D1017, Repository!A:I, 8, 0), ""), "")</f>
        <v/>
      </c>
      <c r="R1017" s="105" t="str">
        <f>IF(F1017="Yes", IFERROR(VLOOKUP(D1017, Repository!A:J, 9, 0), ""), "")</f>
        <v/>
      </c>
      <c r="S1017" s="105"/>
      <c r="T1017" s="105"/>
      <c r="U1017" s="105"/>
      <c r="V1017" s="105"/>
      <c r="W1017" s="105"/>
      <c r="X1017" s="105"/>
      <c r="Y1017" s="105"/>
      <c r="Z1017" s="105"/>
      <c r="AA1017" s="105"/>
      <c r="AB1017" s="105"/>
      <c r="AC1017" s="91"/>
      <c r="AD1017" s="105"/>
      <c r="AE1017" s="105"/>
      <c r="AF1017" s="91"/>
      <c r="AG1017" s="105"/>
      <c r="AH1017" s="105"/>
      <c r="AI1017" s="105" t="str">
        <f t="shared" si="1"/>
        <v/>
      </c>
      <c r="AJ1017" s="108" t="str">
        <f t="shared" si="2"/>
        <v/>
      </c>
    </row>
    <row r="1018" ht="15.75" customHeight="1">
      <c r="A1018" s="104"/>
      <c r="B1018" s="105" t="str">
        <f>IFERROR(__xludf.DUMMYFUNCTION("ARRAY_CONSTRAIN(
  ARRAYFORMULA(
    IF(
      'Final Report'!A1018="""",
      """",
      TEXTJOIN(
        "", "" &amp; CHAR(10),
        TRUE,
        IFERROR(
          VLOOKUP(
            TRIM(
              SPLIT('Final Report'!A1018, "","")
         "&amp;"   ),
            'URL Details'!A:B,
            2,
            FALSE
          ),
          """"
        )
      )
    )
  ),
  1,
  1
)
"),"")</f>
        <v/>
      </c>
      <c r="C1018" s="105" t="str">
        <f>IFERROR(__xludf.DUMMYFUNCTION("IFERROR(IF('Final Report'!A1018="""","""", TEXTJOIN(CHAR(10), TRUE, ARRAYFORMULA( ""• ""&amp; FILTER( TRIM(FLATTEN(SPLIT( REGEXREPLACE( SUBSTITUTE(TEXTJOIN("","", TRUE, IFERROR(ARRAYFORMULA(VLOOKUP(TRIM(SPLIT('Final Report'!A1018, "","")), 'URL Details'!A:D, "&amp;"4, FALSE)),"""") ), CHAR(10), "",""), ""\s*,\s*"", "",""), "",""))), TRIM(FLATTEN(SPLIT( REGEXREPLACE( SUBSTITUTE(TEXTJOIN("","", TRUE, IFERROR(ARRAYFORMULA(VLOOKUP(TRIM(SPLIT('Final Report'!A1018, "","")), 'URL Details'!A:D, 4, FALSE)),"""") ), CHAR(10),"&amp;" "",""), ""\s*,\s*"", "",""), "","")))&lt;&gt;"""" ) ) ) ),"""")
"),"")</f>
        <v/>
      </c>
      <c r="D1018" s="105"/>
      <c r="E1018" s="105"/>
      <c r="F1018" s="110" t="b">
        <v>0</v>
      </c>
      <c r="G1018" s="105" t="str">
        <f>IF(F1018=True, IFERROR(VLOOKUP(D1018, Repository!A:B, 2, 0), ""), "")</f>
        <v/>
      </c>
      <c r="H1018" s="105"/>
      <c r="I1018" s="105"/>
      <c r="J1018" s="105" t="str">
        <f>IF(F1018=True, IFERROR(VLOOKUP(D1018, Repository!A:C, 3, 0), ""), "")</f>
        <v/>
      </c>
      <c r="K1018" s="105"/>
      <c r="L1018" s="105" t="str">
        <f>IF(F1018=True, IFERROR(VLOOKUP(D1018, Repository!A:E, 5, 0), ""), "")</f>
        <v/>
      </c>
      <c r="M1018" s="105"/>
      <c r="N1018" s="105" t="str">
        <f>IF(F1018=True, IFERROR(VLOOKUP(D1018, Repository!A:G, 7, 0), ""), "")</f>
        <v/>
      </c>
      <c r="O1018" s="105" t="str">
        <f>IFERROR(__xludf.DUMMYFUNCTION("ARRAY_CONSTRAIN(
  ARRAYFORMULA(
    IFERROR(
      LET(
        list, N1018,
        arr, TRIM(SPLIT(list, "","")),
        names, XLOOKUP(
          arr,
          'Conformance Score'!A:A,
          'Conformance Score'!B:B,
          ""Not found""
     "&amp;"   ),
        TEXTJOIN("", "", TRUE, names)
      ),
      """"
    )
  ),
  1,
  1
)
"),"")</f>
        <v/>
      </c>
      <c r="P1018" s="105" t="str">
        <f>IF(F1018="Yes", IFERROR(VLOOKUP(D1018, Repository!A:F, 6, 0), ""), "")</f>
        <v/>
      </c>
      <c r="Q1018" s="105" t="str">
        <f>IF(F1018="Yes", IFERROR(VLOOKUP(D1018, Repository!A:I, 8, 0), ""), "")</f>
        <v/>
      </c>
      <c r="R1018" s="105" t="str">
        <f>IF(F1018="Yes", IFERROR(VLOOKUP(D1018, Repository!A:J, 9, 0), ""), "")</f>
        <v/>
      </c>
      <c r="S1018" s="105"/>
      <c r="T1018" s="105"/>
      <c r="U1018" s="105"/>
      <c r="V1018" s="105"/>
      <c r="W1018" s="105"/>
      <c r="X1018" s="105"/>
      <c r="Y1018" s="105"/>
      <c r="Z1018" s="105"/>
      <c r="AA1018" s="105"/>
      <c r="AB1018" s="105"/>
      <c r="AC1018" s="91"/>
      <c r="AD1018" s="105"/>
      <c r="AE1018" s="105"/>
      <c r="AF1018" s="91"/>
      <c r="AG1018" s="105"/>
      <c r="AH1018" s="105"/>
      <c r="AI1018" s="105" t="str">
        <f t="shared" si="1"/>
        <v/>
      </c>
      <c r="AJ1018" s="108" t="str">
        <f t="shared" si="2"/>
        <v/>
      </c>
    </row>
    <row r="1019" ht="15.75" customHeight="1">
      <c r="A1019" s="104"/>
      <c r="B1019" s="105" t="str">
        <f>IFERROR(__xludf.DUMMYFUNCTION("ARRAY_CONSTRAIN(
  ARRAYFORMULA(
    IF(
      'Final Report'!A1019="""",
      """",
      TEXTJOIN(
        "", "" &amp; CHAR(10),
        TRUE,
        IFERROR(
          VLOOKUP(
            TRIM(
              SPLIT('Final Report'!A1019, "","")
         "&amp;"   ),
            'URL Details'!A:B,
            2,
            FALSE
          ),
          """"
        )
      )
    )
  ),
  1,
  1
)
"),"")</f>
        <v/>
      </c>
      <c r="C1019" s="105" t="str">
        <f>IFERROR(__xludf.DUMMYFUNCTION("IFERROR(IF('Final Report'!A1019="""","""", TEXTJOIN(CHAR(10), TRUE, ARRAYFORMULA( ""• ""&amp; FILTER( TRIM(FLATTEN(SPLIT( REGEXREPLACE( SUBSTITUTE(TEXTJOIN("","", TRUE, IFERROR(ARRAYFORMULA(VLOOKUP(TRIM(SPLIT('Final Report'!A1019, "","")), 'URL Details'!A:D, "&amp;"4, FALSE)),"""") ), CHAR(10), "",""), ""\s*,\s*"", "",""), "",""))), TRIM(FLATTEN(SPLIT( REGEXREPLACE( SUBSTITUTE(TEXTJOIN("","", TRUE, IFERROR(ARRAYFORMULA(VLOOKUP(TRIM(SPLIT('Final Report'!A1019, "","")), 'URL Details'!A:D, 4, FALSE)),"""") ), CHAR(10),"&amp;" "",""), ""\s*,\s*"", "",""), "","")))&lt;&gt;"""" ) ) ) ),"""")
"),"")</f>
        <v/>
      </c>
      <c r="D1019" s="105"/>
      <c r="E1019" s="105"/>
      <c r="F1019" s="110" t="b">
        <v>0</v>
      </c>
      <c r="G1019" s="105" t="str">
        <f>IF(F1019=True, IFERROR(VLOOKUP(D1019, Repository!A:B, 2, 0), ""), "")</f>
        <v/>
      </c>
      <c r="H1019" s="105"/>
      <c r="I1019" s="105"/>
      <c r="J1019" s="105" t="str">
        <f>IF(F1019=True, IFERROR(VLOOKUP(D1019, Repository!A:C, 3, 0), ""), "")</f>
        <v/>
      </c>
      <c r="K1019" s="105"/>
      <c r="L1019" s="105" t="str">
        <f>IF(F1019=True, IFERROR(VLOOKUP(D1019, Repository!A:E, 5, 0), ""), "")</f>
        <v/>
      </c>
      <c r="M1019" s="105"/>
      <c r="N1019" s="105" t="str">
        <f>IF(F1019=True, IFERROR(VLOOKUP(D1019, Repository!A:G, 7, 0), ""), "")</f>
        <v/>
      </c>
      <c r="O1019" s="105" t="str">
        <f>IFERROR(__xludf.DUMMYFUNCTION("ARRAY_CONSTRAIN(
  ARRAYFORMULA(
    IFERROR(
      LET(
        list, N1019,
        arr, TRIM(SPLIT(list, "","")),
        names, XLOOKUP(
          arr,
          'Conformance Score'!A:A,
          'Conformance Score'!B:B,
          ""Not found""
     "&amp;"   ),
        TEXTJOIN("", "", TRUE, names)
      ),
      """"
    )
  ),
  1,
  1
)
"),"")</f>
        <v/>
      </c>
      <c r="P1019" s="105" t="str">
        <f>IF(F1019="Yes", IFERROR(VLOOKUP(D1019, Repository!A:F, 6, 0), ""), "")</f>
        <v/>
      </c>
      <c r="Q1019" s="105" t="str">
        <f>IF(F1019="Yes", IFERROR(VLOOKUP(D1019, Repository!A:I, 8, 0), ""), "")</f>
        <v/>
      </c>
      <c r="R1019" s="105" t="str">
        <f>IF(F1019="Yes", IFERROR(VLOOKUP(D1019, Repository!A:J, 9, 0), ""), "")</f>
        <v/>
      </c>
      <c r="S1019" s="105"/>
      <c r="T1019" s="105"/>
      <c r="U1019" s="105"/>
      <c r="V1019" s="105"/>
      <c r="W1019" s="105"/>
      <c r="X1019" s="105"/>
      <c r="Y1019" s="105"/>
      <c r="Z1019" s="105"/>
      <c r="AA1019" s="105"/>
      <c r="AB1019" s="105"/>
      <c r="AC1019" s="91"/>
      <c r="AD1019" s="105"/>
      <c r="AE1019" s="105"/>
      <c r="AF1019" s="91"/>
      <c r="AG1019" s="105"/>
      <c r="AH1019" s="105"/>
      <c r="AI1019" s="105" t="str">
        <f t="shared" si="1"/>
        <v/>
      </c>
      <c r="AJ1019" s="108" t="str">
        <f t="shared" si="2"/>
        <v/>
      </c>
    </row>
    <row r="1020" ht="15.75" customHeight="1">
      <c r="A1020" s="104"/>
      <c r="B1020" s="105" t="str">
        <f>IFERROR(__xludf.DUMMYFUNCTION("ARRAY_CONSTRAIN(
  ARRAYFORMULA(
    IF(
      'Final Report'!A1020="""",
      """",
      TEXTJOIN(
        "", "" &amp; CHAR(10),
        TRUE,
        IFERROR(
          VLOOKUP(
            TRIM(
              SPLIT('Final Report'!A1020, "","")
         "&amp;"   ),
            'URL Details'!A:B,
            2,
            FALSE
          ),
          """"
        )
      )
    )
  ),
  1,
  1
)
"),"")</f>
        <v/>
      </c>
      <c r="C1020" s="105" t="str">
        <f>IFERROR(__xludf.DUMMYFUNCTION("IFERROR(IF('Final Report'!A1020="""","""", TEXTJOIN(CHAR(10), TRUE, ARRAYFORMULA( ""• ""&amp; FILTER( TRIM(FLATTEN(SPLIT( REGEXREPLACE( SUBSTITUTE(TEXTJOIN("","", TRUE, IFERROR(ARRAYFORMULA(VLOOKUP(TRIM(SPLIT('Final Report'!A1020, "","")), 'URL Details'!A:D, "&amp;"4, FALSE)),"""") ), CHAR(10), "",""), ""\s*,\s*"", "",""), "",""))), TRIM(FLATTEN(SPLIT( REGEXREPLACE( SUBSTITUTE(TEXTJOIN("","", TRUE, IFERROR(ARRAYFORMULA(VLOOKUP(TRIM(SPLIT('Final Report'!A1020, "","")), 'URL Details'!A:D, 4, FALSE)),"""") ), CHAR(10),"&amp;" "",""), ""\s*,\s*"", "",""), "","")))&lt;&gt;"""" ) ) ) ),"""")
"),"")</f>
        <v/>
      </c>
      <c r="D1020" s="105"/>
      <c r="E1020" s="105"/>
      <c r="F1020" s="110" t="b">
        <v>0</v>
      </c>
      <c r="G1020" s="105" t="str">
        <f>IF(F1020=True, IFERROR(VLOOKUP(D1020, Repository!A:B, 2, 0), ""), "")</f>
        <v/>
      </c>
      <c r="H1020" s="105"/>
      <c r="I1020" s="105"/>
      <c r="J1020" s="105" t="str">
        <f>IF(F1020=True, IFERROR(VLOOKUP(D1020, Repository!A:C, 3, 0), ""), "")</f>
        <v/>
      </c>
      <c r="K1020" s="105"/>
      <c r="L1020" s="105" t="str">
        <f>IF(F1020=True, IFERROR(VLOOKUP(D1020, Repository!A:E, 5, 0), ""), "")</f>
        <v/>
      </c>
      <c r="M1020" s="105"/>
      <c r="N1020" s="105" t="str">
        <f>IF(F1020=True, IFERROR(VLOOKUP(D1020, Repository!A:G, 7, 0), ""), "")</f>
        <v/>
      </c>
      <c r="O1020" s="105" t="str">
        <f>IFERROR(__xludf.DUMMYFUNCTION("ARRAY_CONSTRAIN(
  ARRAYFORMULA(
    IFERROR(
      LET(
        list, N1020,
        arr, TRIM(SPLIT(list, "","")),
        names, XLOOKUP(
          arr,
          'Conformance Score'!A:A,
          'Conformance Score'!B:B,
          ""Not found""
     "&amp;"   ),
        TEXTJOIN("", "", TRUE, names)
      ),
      """"
    )
  ),
  1,
  1
)
"),"")</f>
        <v/>
      </c>
      <c r="P1020" s="105" t="str">
        <f>IF(F1020="Yes", IFERROR(VLOOKUP(D1020, Repository!A:F, 6, 0), ""), "")</f>
        <v/>
      </c>
      <c r="Q1020" s="105" t="str">
        <f>IF(F1020="Yes", IFERROR(VLOOKUP(D1020, Repository!A:I, 8, 0), ""), "")</f>
        <v/>
      </c>
      <c r="R1020" s="105" t="str">
        <f>IF(F1020="Yes", IFERROR(VLOOKUP(D1020, Repository!A:J, 9, 0), ""), "")</f>
        <v/>
      </c>
      <c r="S1020" s="105"/>
      <c r="T1020" s="105"/>
      <c r="U1020" s="105"/>
      <c r="V1020" s="105"/>
      <c r="W1020" s="105"/>
      <c r="X1020" s="105"/>
      <c r="Y1020" s="105"/>
      <c r="Z1020" s="105"/>
      <c r="AA1020" s="105"/>
      <c r="AB1020" s="105"/>
      <c r="AC1020" s="91"/>
      <c r="AD1020" s="105"/>
      <c r="AE1020" s="105"/>
      <c r="AF1020" s="91"/>
      <c r="AG1020" s="105"/>
      <c r="AH1020" s="105"/>
      <c r="AI1020" s="105" t="str">
        <f t="shared" si="1"/>
        <v/>
      </c>
      <c r="AJ1020" s="108" t="str">
        <f t="shared" si="2"/>
        <v/>
      </c>
    </row>
    <row r="1021" ht="15.75" customHeight="1">
      <c r="A1021" s="104"/>
      <c r="B1021" s="105" t="str">
        <f>IFERROR(__xludf.DUMMYFUNCTION("ARRAY_CONSTRAIN(
  ARRAYFORMULA(
    IF(
      'Final Report'!A1021="""",
      """",
      TEXTJOIN(
        "", "" &amp; CHAR(10),
        TRUE,
        IFERROR(
          VLOOKUP(
            TRIM(
              SPLIT('Final Report'!A1021, "","")
         "&amp;"   ),
            'URL Details'!A:B,
            2,
            FALSE
          ),
          """"
        )
      )
    )
  ),
  1,
  1
)
"),"")</f>
        <v/>
      </c>
      <c r="C1021" s="105" t="str">
        <f>IFERROR(__xludf.DUMMYFUNCTION("IFERROR(IF('Final Report'!A1021="""","""", TEXTJOIN(CHAR(10), TRUE, ARRAYFORMULA( ""• ""&amp; FILTER( TRIM(FLATTEN(SPLIT( REGEXREPLACE( SUBSTITUTE(TEXTJOIN("","", TRUE, IFERROR(ARRAYFORMULA(VLOOKUP(TRIM(SPLIT('Final Report'!A1021, "","")), 'URL Details'!A:D, "&amp;"4, FALSE)),"""") ), CHAR(10), "",""), ""\s*,\s*"", "",""), "",""))), TRIM(FLATTEN(SPLIT( REGEXREPLACE( SUBSTITUTE(TEXTJOIN("","", TRUE, IFERROR(ARRAYFORMULA(VLOOKUP(TRIM(SPLIT('Final Report'!A1021, "","")), 'URL Details'!A:D, 4, FALSE)),"""") ), CHAR(10),"&amp;" "",""), ""\s*,\s*"", "",""), "","")))&lt;&gt;"""" ) ) ) ),"""")
"),"")</f>
        <v/>
      </c>
      <c r="D1021" s="105"/>
      <c r="E1021" s="105"/>
      <c r="F1021" s="110" t="b">
        <v>0</v>
      </c>
      <c r="G1021" s="105" t="str">
        <f>IF(F1021=True, IFERROR(VLOOKUP(D1021, Repository!A:B, 2, 0), ""), "")</f>
        <v/>
      </c>
      <c r="H1021" s="105"/>
      <c r="I1021" s="105"/>
      <c r="J1021" s="105" t="str">
        <f>IF(F1021=True, IFERROR(VLOOKUP(D1021, Repository!A:C, 3, 0), ""), "")</f>
        <v/>
      </c>
      <c r="K1021" s="105"/>
      <c r="L1021" s="105" t="str">
        <f>IF(F1021=True, IFERROR(VLOOKUP(D1021, Repository!A:E, 5, 0), ""), "")</f>
        <v/>
      </c>
      <c r="M1021" s="105"/>
      <c r="N1021" s="105" t="str">
        <f>IF(F1021=True, IFERROR(VLOOKUP(D1021, Repository!A:G, 7, 0), ""), "")</f>
        <v/>
      </c>
      <c r="O1021" s="105" t="str">
        <f>IFERROR(__xludf.DUMMYFUNCTION("ARRAY_CONSTRAIN(
  ARRAYFORMULA(
    IFERROR(
      LET(
        list, N1021,
        arr, TRIM(SPLIT(list, "","")),
        names, XLOOKUP(
          arr,
          'Conformance Score'!A:A,
          'Conformance Score'!B:B,
          ""Not found""
     "&amp;"   ),
        TEXTJOIN("", "", TRUE, names)
      ),
      """"
    )
  ),
  1,
  1
)
"),"")</f>
        <v/>
      </c>
      <c r="P1021" s="105" t="str">
        <f>IF(F1021="Yes", IFERROR(VLOOKUP(D1021, Repository!A:F, 6, 0), ""), "")</f>
        <v/>
      </c>
      <c r="Q1021" s="105" t="str">
        <f>IF(F1021="Yes", IFERROR(VLOOKUP(D1021, Repository!A:I, 8, 0), ""), "")</f>
        <v/>
      </c>
      <c r="R1021" s="105" t="str">
        <f>IF(F1021="Yes", IFERROR(VLOOKUP(D1021, Repository!A:J, 9, 0), ""), "")</f>
        <v/>
      </c>
      <c r="S1021" s="105"/>
      <c r="T1021" s="105"/>
      <c r="U1021" s="105"/>
      <c r="V1021" s="105"/>
      <c r="W1021" s="105"/>
      <c r="X1021" s="105"/>
      <c r="Y1021" s="105"/>
      <c r="Z1021" s="105"/>
      <c r="AA1021" s="105"/>
      <c r="AB1021" s="105"/>
      <c r="AC1021" s="91"/>
      <c r="AD1021" s="105"/>
      <c r="AE1021" s="105"/>
      <c r="AF1021" s="91"/>
      <c r="AG1021" s="105"/>
      <c r="AH1021" s="105"/>
      <c r="AI1021" s="105" t="str">
        <f t="shared" si="1"/>
        <v/>
      </c>
      <c r="AJ1021" s="108" t="str">
        <f t="shared" si="2"/>
        <v/>
      </c>
    </row>
    <row r="1022" ht="15.75" customHeight="1">
      <c r="A1022" s="104"/>
      <c r="B1022" s="105" t="str">
        <f>IFERROR(__xludf.DUMMYFUNCTION("ARRAY_CONSTRAIN(
  ARRAYFORMULA(
    IF(
      'Final Report'!A1022="""",
      """",
      TEXTJOIN(
        "", "" &amp; CHAR(10),
        TRUE,
        IFERROR(
          VLOOKUP(
            TRIM(
              SPLIT('Final Report'!A1022, "","")
         "&amp;"   ),
            'URL Details'!A:B,
            2,
            FALSE
          ),
          """"
        )
      )
    )
  ),
  1,
  1
)
"),"")</f>
        <v/>
      </c>
      <c r="C1022" s="105" t="str">
        <f>IFERROR(__xludf.DUMMYFUNCTION("IFERROR(IF('Final Report'!A1022="""","""", TEXTJOIN(CHAR(10), TRUE, ARRAYFORMULA( ""• ""&amp; FILTER( TRIM(FLATTEN(SPLIT( REGEXREPLACE( SUBSTITUTE(TEXTJOIN("","", TRUE, IFERROR(ARRAYFORMULA(VLOOKUP(TRIM(SPLIT('Final Report'!A1022, "","")), 'URL Details'!A:D, "&amp;"4, FALSE)),"""") ), CHAR(10), "",""), ""\s*,\s*"", "",""), "",""))), TRIM(FLATTEN(SPLIT( REGEXREPLACE( SUBSTITUTE(TEXTJOIN("","", TRUE, IFERROR(ARRAYFORMULA(VLOOKUP(TRIM(SPLIT('Final Report'!A1022, "","")), 'URL Details'!A:D, 4, FALSE)),"""") ), CHAR(10),"&amp;" "",""), ""\s*,\s*"", "",""), "","")))&lt;&gt;"""" ) ) ) ),"""")
"),"")</f>
        <v/>
      </c>
      <c r="D1022" s="105"/>
      <c r="E1022" s="105"/>
      <c r="F1022" s="110" t="b">
        <v>0</v>
      </c>
      <c r="G1022" s="105" t="str">
        <f>IF(F1022=True, IFERROR(VLOOKUP(D1022, Repository!A:B, 2, 0), ""), "")</f>
        <v/>
      </c>
      <c r="H1022" s="105"/>
      <c r="I1022" s="105"/>
      <c r="J1022" s="105" t="str">
        <f>IF(F1022=True, IFERROR(VLOOKUP(D1022, Repository!A:C, 3, 0), ""), "")</f>
        <v/>
      </c>
      <c r="K1022" s="105"/>
      <c r="L1022" s="105" t="str">
        <f>IF(F1022=True, IFERROR(VLOOKUP(D1022, Repository!A:E, 5, 0), ""), "")</f>
        <v/>
      </c>
      <c r="M1022" s="105"/>
      <c r="N1022" s="105" t="str">
        <f>IF(F1022=True, IFERROR(VLOOKUP(D1022, Repository!A:G, 7, 0), ""), "")</f>
        <v/>
      </c>
      <c r="O1022" s="105" t="str">
        <f>IFERROR(__xludf.DUMMYFUNCTION("ARRAY_CONSTRAIN(
  ARRAYFORMULA(
    IFERROR(
      LET(
        list, N1022,
        arr, TRIM(SPLIT(list, "","")),
        names, XLOOKUP(
          arr,
          'Conformance Score'!A:A,
          'Conformance Score'!B:B,
          ""Not found""
     "&amp;"   ),
        TEXTJOIN("", "", TRUE, names)
      ),
      """"
    )
  ),
  1,
  1
)
"),"")</f>
        <v/>
      </c>
      <c r="P1022" s="105" t="str">
        <f>IF(F1022="Yes", IFERROR(VLOOKUP(D1022, Repository!A:F, 6, 0), ""), "")</f>
        <v/>
      </c>
      <c r="Q1022" s="105" t="str">
        <f>IF(F1022="Yes", IFERROR(VLOOKUP(D1022, Repository!A:I, 8, 0), ""), "")</f>
        <v/>
      </c>
      <c r="R1022" s="105" t="str">
        <f>IF(F1022="Yes", IFERROR(VLOOKUP(D1022, Repository!A:J, 9, 0), ""), "")</f>
        <v/>
      </c>
      <c r="S1022" s="105"/>
      <c r="T1022" s="105"/>
      <c r="U1022" s="105"/>
      <c r="V1022" s="105"/>
      <c r="W1022" s="105"/>
      <c r="X1022" s="105"/>
      <c r="Y1022" s="105"/>
      <c r="Z1022" s="105"/>
      <c r="AA1022" s="105"/>
      <c r="AB1022" s="105"/>
      <c r="AC1022" s="91"/>
      <c r="AD1022" s="105"/>
      <c r="AE1022" s="105"/>
      <c r="AF1022" s="91"/>
      <c r="AG1022" s="105"/>
      <c r="AH1022" s="105"/>
      <c r="AI1022" s="105" t="str">
        <f t="shared" si="1"/>
        <v/>
      </c>
      <c r="AJ1022" s="108" t="str">
        <f t="shared" si="2"/>
        <v/>
      </c>
    </row>
    <row r="1023" ht="15.75" customHeight="1">
      <c r="A1023" s="104"/>
      <c r="B1023" s="105" t="str">
        <f>IFERROR(__xludf.DUMMYFUNCTION("ARRAY_CONSTRAIN(
  ARRAYFORMULA(
    IF(
      'Final Report'!A1023="""",
      """",
      TEXTJOIN(
        "", "" &amp; CHAR(10),
        TRUE,
        IFERROR(
          VLOOKUP(
            TRIM(
              SPLIT('Final Report'!A1023, "","")
         "&amp;"   ),
            'URL Details'!A:B,
            2,
            FALSE
          ),
          """"
        )
      )
    )
  ),
  1,
  1
)
"),"")</f>
        <v/>
      </c>
      <c r="C1023" s="105" t="str">
        <f>IFERROR(__xludf.DUMMYFUNCTION("IFERROR(IF('Final Report'!A1023="""","""", TEXTJOIN(CHAR(10), TRUE, ARRAYFORMULA( ""• ""&amp; FILTER( TRIM(FLATTEN(SPLIT( REGEXREPLACE( SUBSTITUTE(TEXTJOIN("","", TRUE, IFERROR(ARRAYFORMULA(VLOOKUP(TRIM(SPLIT('Final Report'!A1023, "","")), 'URL Details'!A:D, "&amp;"4, FALSE)),"""") ), CHAR(10), "",""), ""\s*,\s*"", "",""), "",""))), TRIM(FLATTEN(SPLIT( REGEXREPLACE( SUBSTITUTE(TEXTJOIN("","", TRUE, IFERROR(ARRAYFORMULA(VLOOKUP(TRIM(SPLIT('Final Report'!A1023, "","")), 'URL Details'!A:D, 4, FALSE)),"""") ), CHAR(10),"&amp;" "",""), ""\s*,\s*"", "",""), "","")))&lt;&gt;"""" ) ) ) ),"""")
"),"")</f>
        <v/>
      </c>
      <c r="D1023" s="105"/>
      <c r="E1023" s="105"/>
      <c r="F1023" s="110" t="b">
        <v>0</v>
      </c>
      <c r="G1023" s="105" t="str">
        <f>IF(F1023=True, IFERROR(VLOOKUP(D1023, Repository!A:B, 2, 0), ""), "")</f>
        <v/>
      </c>
      <c r="H1023" s="105"/>
      <c r="I1023" s="105"/>
      <c r="J1023" s="105" t="str">
        <f>IF(F1023=True, IFERROR(VLOOKUP(D1023, Repository!A:C, 3, 0), ""), "")</f>
        <v/>
      </c>
      <c r="K1023" s="105"/>
      <c r="L1023" s="105" t="str">
        <f>IF(F1023=True, IFERROR(VLOOKUP(D1023, Repository!A:E, 5, 0), ""), "")</f>
        <v/>
      </c>
      <c r="M1023" s="105"/>
      <c r="N1023" s="105" t="str">
        <f>IF(F1023=True, IFERROR(VLOOKUP(D1023, Repository!A:G, 7, 0), ""), "")</f>
        <v/>
      </c>
      <c r="O1023" s="105" t="str">
        <f>IFERROR(__xludf.DUMMYFUNCTION("ARRAY_CONSTRAIN(
  ARRAYFORMULA(
    IFERROR(
      LET(
        list, N1023,
        arr, TRIM(SPLIT(list, "","")),
        names, XLOOKUP(
          arr,
          'Conformance Score'!A:A,
          'Conformance Score'!B:B,
          ""Not found""
     "&amp;"   ),
        TEXTJOIN("", "", TRUE, names)
      ),
      """"
    )
  ),
  1,
  1
)
"),"")</f>
        <v/>
      </c>
      <c r="P1023" s="105" t="str">
        <f>IF(F1023="Yes", IFERROR(VLOOKUP(D1023, Repository!A:F, 6, 0), ""), "")</f>
        <v/>
      </c>
      <c r="Q1023" s="105" t="str">
        <f>IF(F1023="Yes", IFERROR(VLOOKUP(D1023, Repository!A:I, 8, 0), ""), "")</f>
        <v/>
      </c>
      <c r="R1023" s="105" t="str">
        <f>IF(F1023="Yes", IFERROR(VLOOKUP(D1023, Repository!A:J, 9, 0), ""), "")</f>
        <v/>
      </c>
      <c r="S1023" s="105"/>
      <c r="T1023" s="105"/>
      <c r="U1023" s="105"/>
      <c r="V1023" s="105"/>
      <c r="W1023" s="105"/>
      <c r="X1023" s="105"/>
      <c r="Y1023" s="105"/>
      <c r="Z1023" s="105"/>
      <c r="AA1023" s="105"/>
      <c r="AB1023" s="105"/>
      <c r="AC1023" s="91"/>
      <c r="AD1023" s="105"/>
      <c r="AE1023" s="105"/>
      <c r="AF1023" s="91"/>
      <c r="AG1023" s="105"/>
      <c r="AH1023" s="105"/>
      <c r="AI1023" s="105" t="str">
        <f t="shared" si="1"/>
        <v/>
      </c>
      <c r="AJ1023" s="108" t="str">
        <f t="shared" si="2"/>
        <v/>
      </c>
    </row>
    <row r="1024" ht="15.75" customHeight="1">
      <c r="A1024" s="104"/>
      <c r="B1024" s="105" t="str">
        <f>IFERROR(__xludf.DUMMYFUNCTION("ARRAY_CONSTRAIN(
  ARRAYFORMULA(
    IF(
      'Final Report'!A1024="""",
      """",
      TEXTJOIN(
        "", "" &amp; CHAR(10),
        TRUE,
        IFERROR(
          VLOOKUP(
            TRIM(
              SPLIT('Final Report'!A1024, "","")
         "&amp;"   ),
            'URL Details'!A:B,
            2,
            FALSE
          ),
          """"
        )
      )
    )
  ),
  1,
  1
)
"),"")</f>
        <v/>
      </c>
      <c r="C1024" s="105" t="str">
        <f>IFERROR(__xludf.DUMMYFUNCTION("IFERROR(IF('Final Report'!A1024="""","""", TEXTJOIN(CHAR(10), TRUE, ARRAYFORMULA( ""• ""&amp; FILTER( TRIM(FLATTEN(SPLIT( REGEXREPLACE( SUBSTITUTE(TEXTJOIN("","", TRUE, IFERROR(ARRAYFORMULA(VLOOKUP(TRIM(SPLIT('Final Report'!A1024, "","")), 'URL Details'!A:D, "&amp;"4, FALSE)),"""") ), CHAR(10), "",""), ""\s*,\s*"", "",""), "",""))), TRIM(FLATTEN(SPLIT( REGEXREPLACE( SUBSTITUTE(TEXTJOIN("","", TRUE, IFERROR(ARRAYFORMULA(VLOOKUP(TRIM(SPLIT('Final Report'!A1024, "","")), 'URL Details'!A:D, 4, FALSE)),"""") ), CHAR(10),"&amp;" "",""), ""\s*,\s*"", "",""), "","")))&lt;&gt;"""" ) ) ) ),"""")
"),"")</f>
        <v/>
      </c>
      <c r="D1024" s="105"/>
      <c r="E1024" s="105"/>
      <c r="F1024" s="110" t="b">
        <v>0</v>
      </c>
      <c r="G1024" s="105" t="str">
        <f>IF(F1024=True, IFERROR(VLOOKUP(D1024, Repository!A:B, 2, 0), ""), "")</f>
        <v/>
      </c>
      <c r="H1024" s="105"/>
      <c r="I1024" s="105"/>
      <c r="J1024" s="105" t="str">
        <f>IF(F1024=True, IFERROR(VLOOKUP(D1024, Repository!A:C, 3, 0), ""), "")</f>
        <v/>
      </c>
      <c r="K1024" s="105"/>
      <c r="L1024" s="105" t="str">
        <f>IF(F1024=True, IFERROR(VLOOKUP(D1024, Repository!A:E, 5, 0), ""), "")</f>
        <v/>
      </c>
      <c r="M1024" s="105"/>
      <c r="N1024" s="105" t="str">
        <f>IF(F1024=True, IFERROR(VLOOKUP(D1024, Repository!A:G, 7, 0), ""), "")</f>
        <v/>
      </c>
      <c r="O1024" s="105" t="str">
        <f>IFERROR(__xludf.DUMMYFUNCTION("ARRAY_CONSTRAIN(
  ARRAYFORMULA(
    IFERROR(
      LET(
        list, N1024,
        arr, TRIM(SPLIT(list, "","")),
        names, XLOOKUP(
          arr,
          'Conformance Score'!A:A,
          'Conformance Score'!B:B,
          ""Not found""
     "&amp;"   ),
        TEXTJOIN("", "", TRUE, names)
      ),
      """"
    )
  ),
  1,
  1
)
"),"")</f>
        <v/>
      </c>
      <c r="P1024" s="105" t="str">
        <f>IF(F1024="Yes", IFERROR(VLOOKUP(D1024, Repository!A:F, 6, 0), ""), "")</f>
        <v/>
      </c>
      <c r="Q1024" s="105" t="str">
        <f>IF(F1024="Yes", IFERROR(VLOOKUP(D1024, Repository!A:I, 8, 0), ""), "")</f>
        <v/>
      </c>
      <c r="R1024" s="105" t="str">
        <f>IF(F1024="Yes", IFERROR(VLOOKUP(D1024, Repository!A:J, 9, 0), ""), "")</f>
        <v/>
      </c>
      <c r="S1024" s="105"/>
      <c r="T1024" s="105"/>
      <c r="U1024" s="105"/>
      <c r="V1024" s="105"/>
      <c r="W1024" s="105"/>
      <c r="X1024" s="105"/>
      <c r="Y1024" s="105"/>
      <c r="Z1024" s="105"/>
      <c r="AA1024" s="105"/>
      <c r="AB1024" s="105"/>
      <c r="AC1024" s="91"/>
      <c r="AD1024" s="105"/>
      <c r="AE1024" s="105"/>
      <c r="AF1024" s="91"/>
      <c r="AG1024" s="105"/>
      <c r="AH1024" s="105"/>
      <c r="AI1024" s="105" t="str">
        <f t="shared" si="1"/>
        <v/>
      </c>
      <c r="AJ1024" s="108" t="str">
        <f t="shared" si="2"/>
        <v/>
      </c>
    </row>
    <row r="1025" ht="15.75" customHeight="1">
      <c r="A1025" s="104"/>
      <c r="B1025" s="105" t="str">
        <f>IFERROR(__xludf.DUMMYFUNCTION("ARRAY_CONSTRAIN(
  ARRAYFORMULA(
    IF(
      'Final Report'!A1025="""",
      """",
      TEXTJOIN(
        "", "" &amp; CHAR(10),
        TRUE,
        IFERROR(
          VLOOKUP(
            TRIM(
              SPLIT('Final Report'!A1025, "","")
         "&amp;"   ),
            'URL Details'!A:B,
            2,
            FALSE
          ),
          """"
        )
      )
    )
  ),
  1,
  1
)
"),"")</f>
        <v/>
      </c>
      <c r="C1025" s="105" t="str">
        <f>IFERROR(__xludf.DUMMYFUNCTION("IFERROR(IF('Final Report'!A1025="""","""", TEXTJOIN(CHAR(10), TRUE, ARRAYFORMULA( ""• ""&amp; FILTER( TRIM(FLATTEN(SPLIT( REGEXREPLACE( SUBSTITUTE(TEXTJOIN("","", TRUE, IFERROR(ARRAYFORMULA(VLOOKUP(TRIM(SPLIT('Final Report'!A1025, "","")), 'URL Details'!A:D, "&amp;"4, FALSE)),"""") ), CHAR(10), "",""), ""\s*,\s*"", "",""), "",""))), TRIM(FLATTEN(SPLIT( REGEXREPLACE( SUBSTITUTE(TEXTJOIN("","", TRUE, IFERROR(ARRAYFORMULA(VLOOKUP(TRIM(SPLIT('Final Report'!A1025, "","")), 'URL Details'!A:D, 4, FALSE)),"""") ), CHAR(10),"&amp;" "",""), ""\s*,\s*"", "",""), "","")))&lt;&gt;"""" ) ) ) ),"""")
"),"")</f>
        <v/>
      </c>
      <c r="D1025" s="105"/>
      <c r="E1025" s="105"/>
      <c r="F1025" s="110" t="b">
        <v>0</v>
      </c>
      <c r="G1025" s="105" t="str">
        <f>IF(F1025=True, IFERROR(VLOOKUP(D1025, Repository!A:B, 2, 0), ""), "")</f>
        <v/>
      </c>
      <c r="H1025" s="105"/>
      <c r="I1025" s="105"/>
      <c r="J1025" s="105" t="str">
        <f>IF(F1025=True, IFERROR(VLOOKUP(D1025, Repository!A:C, 3, 0), ""), "")</f>
        <v/>
      </c>
      <c r="K1025" s="105"/>
      <c r="L1025" s="105" t="str">
        <f>IF(F1025=True, IFERROR(VLOOKUP(D1025, Repository!A:E, 5, 0), ""), "")</f>
        <v/>
      </c>
      <c r="M1025" s="105"/>
      <c r="N1025" s="105" t="str">
        <f>IF(F1025=True, IFERROR(VLOOKUP(D1025, Repository!A:G, 7, 0), ""), "")</f>
        <v/>
      </c>
      <c r="O1025" s="105" t="str">
        <f>IFERROR(__xludf.DUMMYFUNCTION("ARRAY_CONSTRAIN(
  ARRAYFORMULA(
    IFERROR(
      LET(
        list, N1025,
        arr, TRIM(SPLIT(list, "","")),
        names, XLOOKUP(
          arr,
          'Conformance Score'!A:A,
          'Conformance Score'!B:B,
          ""Not found""
     "&amp;"   ),
        TEXTJOIN("", "", TRUE, names)
      ),
      """"
    )
  ),
  1,
  1
)
"),"")</f>
        <v/>
      </c>
      <c r="P1025" s="105" t="str">
        <f>IF(F1025="Yes", IFERROR(VLOOKUP(D1025, Repository!A:F, 6, 0), ""), "")</f>
        <v/>
      </c>
      <c r="Q1025" s="105" t="str">
        <f>IF(F1025="Yes", IFERROR(VLOOKUP(D1025, Repository!A:I, 8, 0), ""), "")</f>
        <v/>
      </c>
      <c r="R1025" s="105" t="str">
        <f>IF(F1025="Yes", IFERROR(VLOOKUP(D1025, Repository!A:J, 9, 0), ""), "")</f>
        <v/>
      </c>
      <c r="S1025" s="105"/>
      <c r="T1025" s="105"/>
      <c r="U1025" s="105"/>
      <c r="V1025" s="105"/>
      <c r="W1025" s="105"/>
      <c r="X1025" s="105"/>
      <c r="Y1025" s="105"/>
      <c r="Z1025" s="105"/>
      <c r="AA1025" s="105"/>
      <c r="AB1025" s="105"/>
      <c r="AC1025" s="91"/>
      <c r="AD1025" s="105"/>
      <c r="AE1025" s="105"/>
      <c r="AF1025" s="91"/>
      <c r="AG1025" s="105"/>
      <c r="AH1025" s="105"/>
      <c r="AI1025" s="105" t="str">
        <f t="shared" si="1"/>
        <v/>
      </c>
      <c r="AJ1025" s="108" t="str">
        <f t="shared" si="2"/>
        <v/>
      </c>
    </row>
    <row r="1026" ht="15.75" customHeight="1">
      <c r="A1026" s="104"/>
      <c r="B1026" s="105" t="str">
        <f>IFERROR(__xludf.DUMMYFUNCTION("ARRAY_CONSTRAIN(
  ARRAYFORMULA(
    IF(
      'Final Report'!A1026="""",
      """",
      TEXTJOIN(
        "", "" &amp; CHAR(10),
        TRUE,
        IFERROR(
          VLOOKUP(
            TRIM(
              SPLIT('Final Report'!A1026, "","")
         "&amp;"   ),
            'URL Details'!A:B,
            2,
            FALSE
          ),
          """"
        )
      )
    )
  ),
  1,
  1
)
"),"")</f>
        <v/>
      </c>
      <c r="C1026" s="105" t="str">
        <f>IFERROR(__xludf.DUMMYFUNCTION("IFERROR(IF('Final Report'!A1026="""","""", TEXTJOIN(CHAR(10), TRUE, ARRAYFORMULA( ""• ""&amp; FILTER( TRIM(FLATTEN(SPLIT( REGEXREPLACE( SUBSTITUTE(TEXTJOIN("","", TRUE, IFERROR(ARRAYFORMULA(VLOOKUP(TRIM(SPLIT('Final Report'!A1026, "","")), 'URL Details'!A:D, "&amp;"4, FALSE)),"""") ), CHAR(10), "",""), ""\s*,\s*"", "",""), "",""))), TRIM(FLATTEN(SPLIT( REGEXREPLACE( SUBSTITUTE(TEXTJOIN("","", TRUE, IFERROR(ARRAYFORMULA(VLOOKUP(TRIM(SPLIT('Final Report'!A1026, "","")), 'URL Details'!A:D, 4, FALSE)),"""") ), CHAR(10),"&amp;" "",""), ""\s*,\s*"", "",""), "","")))&lt;&gt;"""" ) ) ) ),"""")
"),"")</f>
        <v/>
      </c>
      <c r="D1026" s="105"/>
      <c r="E1026" s="105"/>
      <c r="F1026" s="110" t="b">
        <v>0</v>
      </c>
      <c r="G1026" s="105" t="str">
        <f>IF(F1026=True, IFERROR(VLOOKUP(D1026, Repository!A:B, 2, 0), ""), "")</f>
        <v/>
      </c>
      <c r="H1026" s="105"/>
      <c r="I1026" s="105"/>
      <c r="J1026" s="105" t="str">
        <f>IF(F1026=True, IFERROR(VLOOKUP(D1026, Repository!A:C, 3, 0), ""), "")</f>
        <v/>
      </c>
      <c r="K1026" s="105"/>
      <c r="L1026" s="105" t="str">
        <f>IF(F1026=True, IFERROR(VLOOKUP(D1026, Repository!A:E, 5, 0), ""), "")</f>
        <v/>
      </c>
      <c r="M1026" s="105"/>
      <c r="N1026" s="105" t="str">
        <f>IF(F1026=True, IFERROR(VLOOKUP(D1026, Repository!A:G, 7, 0), ""), "")</f>
        <v/>
      </c>
      <c r="O1026" s="105" t="str">
        <f>IFERROR(__xludf.DUMMYFUNCTION("ARRAY_CONSTRAIN(
  ARRAYFORMULA(
    IFERROR(
      LET(
        list, N1026,
        arr, TRIM(SPLIT(list, "","")),
        names, XLOOKUP(
          arr,
          'Conformance Score'!A:A,
          'Conformance Score'!B:B,
          ""Not found""
     "&amp;"   ),
        TEXTJOIN("", "", TRUE, names)
      ),
      """"
    )
  ),
  1,
  1
)
"),"")</f>
        <v/>
      </c>
      <c r="P1026" s="105" t="str">
        <f>IF(F1026="Yes", IFERROR(VLOOKUP(D1026, Repository!A:F, 6, 0), ""), "")</f>
        <v/>
      </c>
      <c r="Q1026" s="105" t="str">
        <f>IF(F1026="Yes", IFERROR(VLOOKUP(D1026, Repository!A:I, 8, 0), ""), "")</f>
        <v/>
      </c>
      <c r="R1026" s="105" t="str">
        <f>IF(F1026="Yes", IFERROR(VLOOKUP(D1026, Repository!A:J, 9, 0), ""), "")</f>
        <v/>
      </c>
      <c r="S1026" s="105"/>
      <c r="T1026" s="105"/>
      <c r="U1026" s="105"/>
      <c r="V1026" s="105"/>
      <c r="W1026" s="105"/>
      <c r="X1026" s="105"/>
      <c r="Y1026" s="105"/>
      <c r="Z1026" s="105"/>
      <c r="AA1026" s="105"/>
      <c r="AB1026" s="105"/>
      <c r="AC1026" s="91"/>
      <c r="AD1026" s="105"/>
      <c r="AE1026" s="105"/>
      <c r="AF1026" s="91"/>
      <c r="AG1026" s="105"/>
      <c r="AH1026" s="105"/>
      <c r="AI1026" s="105" t="str">
        <f t="shared" si="1"/>
        <v/>
      </c>
      <c r="AJ1026" s="108" t="str">
        <f t="shared" si="2"/>
        <v/>
      </c>
    </row>
    <row r="1027" ht="15.75" customHeight="1">
      <c r="A1027" s="104"/>
      <c r="B1027" s="105" t="str">
        <f>IFERROR(__xludf.DUMMYFUNCTION("ARRAY_CONSTRAIN(
  ARRAYFORMULA(
    IF(
      'Final Report'!A1027="""",
      """",
      TEXTJOIN(
        "", "" &amp; CHAR(10),
        TRUE,
        IFERROR(
          VLOOKUP(
            TRIM(
              SPLIT('Final Report'!A1027, "","")
         "&amp;"   ),
            'URL Details'!A:B,
            2,
            FALSE
          ),
          """"
        )
      )
    )
  ),
  1,
  1
)
"),"")</f>
        <v/>
      </c>
      <c r="C1027" s="105" t="str">
        <f>IFERROR(__xludf.DUMMYFUNCTION("IFERROR(IF('Final Report'!A1027="""","""", TEXTJOIN(CHAR(10), TRUE, ARRAYFORMULA( ""• ""&amp; FILTER( TRIM(FLATTEN(SPLIT( REGEXREPLACE( SUBSTITUTE(TEXTJOIN("","", TRUE, IFERROR(ARRAYFORMULA(VLOOKUP(TRIM(SPLIT('Final Report'!A1027, "","")), 'URL Details'!A:D, "&amp;"4, FALSE)),"""") ), CHAR(10), "",""), ""\s*,\s*"", "",""), "",""))), TRIM(FLATTEN(SPLIT( REGEXREPLACE( SUBSTITUTE(TEXTJOIN("","", TRUE, IFERROR(ARRAYFORMULA(VLOOKUP(TRIM(SPLIT('Final Report'!A1027, "","")), 'URL Details'!A:D, 4, FALSE)),"""") ), CHAR(10),"&amp;" "",""), ""\s*,\s*"", "",""), "","")))&lt;&gt;"""" ) ) ) ),"""")
"),"")</f>
        <v/>
      </c>
      <c r="D1027" s="105"/>
      <c r="E1027" s="105"/>
      <c r="F1027" s="110" t="b">
        <v>0</v>
      </c>
      <c r="G1027" s="105" t="str">
        <f>IF(F1027=True, IFERROR(VLOOKUP(D1027, Repository!A:B, 2, 0), ""), "")</f>
        <v/>
      </c>
      <c r="H1027" s="105"/>
      <c r="I1027" s="105"/>
      <c r="J1027" s="105" t="str">
        <f>IF(F1027=True, IFERROR(VLOOKUP(D1027, Repository!A:C, 3, 0), ""), "")</f>
        <v/>
      </c>
      <c r="K1027" s="105"/>
      <c r="L1027" s="105" t="str">
        <f>IF(F1027=True, IFERROR(VLOOKUP(D1027, Repository!A:E, 5, 0), ""), "")</f>
        <v/>
      </c>
      <c r="M1027" s="105"/>
      <c r="N1027" s="105" t="str">
        <f>IF(F1027=True, IFERROR(VLOOKUP(D1027, Repository!A:G, 7, 0), ""), "")</f>
        <v/>
      </c>
      <c r="O1027" s="105" t="str">
        <f>IFERROR(__xludf.DUMMYFUNCTION("ARRAY_CONSTRAIN(
  ARRAYFORMULA(
    IFERROR(
      LET(
        list, N1027,
        arr, TRIM(SPLIT(list, "","")),
        names, XLOOKUP(
          arr,
          'Conformance Score'!A:A,
          'Conformance Score'!B:B,
          ""Not found""
     "&amp;"   ),
        TEXTJOIN("", "", TRUE, names)
      ),
      """"
    )
  ),
  1,
  1
)
"),"")</f>
        <v/>
      </c>
      <c r="P1027" s="105" t="str">
        <f>IF(F1027="Yes", IFERROR(VLOOKUP(D1027, Repository!A:F, 6, 0), ""), "")</f>
        <v/>
      </c>
      <c r="Q1027" s="105" t="str">
        <f>IF(F1027="Yes", IFERROR(VLOOKUP(D1027, Repository!A:I, 8, 0), ""), "")</f>
        <v/>
      </c>
      <c r="R1027" s="105" t="str">
        <f>IF(F1027="Yes", IFERROR(VLOOKUP(D1027, Repository!A:J, 9, 0), ""), "")</f>
        <v/>
      </c>
      <c r="S1027" s="105"/>
      <c r="T1027" s="105"/>
      <c r="U1027" s="105"/>
      <c r="V1027" s="105"/>
      <c r="W1027" s="105"/>
      <c r="X1027" s="105"/>
      <c r="Y1027" s="105"/>
      <c r="Z1027" s="105"/>
      <c r="AA1027" s="105"/>
      <c r="AB1027" s="105"/>
      <c r="AC1027" s="91"/>
      <c r="AD1027" s="105"/>
      <c r="AE1027" s="105"/>
      <c r="AF1027" s="91"/>
      <c r="AG1027" s="105"/>
      <c r="AH1027" s="105"/>
      <c r="AI1027" s="105" t="str">
        <f t="shared" si="1"/>
        <v/>
      </c>
      <c r="AJ1027" s="108" t="str">
        <f t="shared" si="2"/>
        <v/>
      </c>
    </row>
    <row r="1028" ht="15.75" customHeight="1">
      <c r="A1028" s="104"/>
      <c r="B1028" s="105" t="str">
        <f>IFERROR(__xludf.DUMMYFUNCTION("ARRAY_CONSTRAIN(
  ARRAYFORMULA(
    IF(
      'Final Report'!A1028="""",
      """",
      TEXTJOIN(
        "", "" &amp; CHAR(10),
        TRUE,
        IFERROR(
          VLOOKUP(
            TRIM(
              SPLIT('Final Report'!A1028, "","")
         "&amp;"   ),
            'URL Details'!A:B,
            2,
            FALSE
          ),
          """"
        )
      )
    )
  ),
  1,
  1
)
"),"")</f>
        <v/>
      </c>
      <c r="C1028" s="105" t="str">
        <f>IFERROR(__xludf.DUMMYFUNCTION("IFERROR(IF('Final Report'!A1028="""","""", TEXTJOIN(CHAR(10), TRUE, ARRAYFORMULA( ""• ""&amp; FILTER( TRIM(FLATTEN(SPLIT( REGEXREPLACE( SUBSTITUTE(TEXTJOIN("","", TRUE, IFERROR(ARRAYFORMULA(VLOOKUP(TRIM(SPLIT('Final Report'!A1028, "","")), 'URL Details'!A:D, "&amp;"4, FALSE)),"""") ), CHAR(10), "",""), ""\s*,\s*"", "",""), "",""))), TRIM(FLATTEN(SPLIT( REGEXREPLACE( SUBSTITUTE(TEXTJOIN("","", TRUE, IFERROR(ARRAYFORMULA(VLOOKUP(TRIM(SPLIT('Final Report'!A1028, "","")), 'URL Details'!A:D, 4, FALSE)),"""") ), CHAR(10),"&amp;" "",""), ""\s*,\s*"", "",""), "","")))&lt;&gt;"""" ) ) ) ),"""")
"),"")</f>
        <v/>
      </c>
      <c r="D1028" s="105"/>
      <c r="E1028" s="105"/>
      <c r="F1028" s="110" t="b">
        <v>0</v>
      </c>
      <c r="G1028" s="105" t="str">
        <f>IF(F1028=True, IFERROR(VLOOKUP(D1028, Repository!A:B, 2, 0), ""), "")</f>
        <v/>
      </c>
      <c r="H1028" s="105"/>
      <c r="I1028" s="105"/>
      <c r="J1028" s="105" t="str">
        <f>IF(F1028=True, IFERROR(VLOOKUP(D1028, Repository!A:C, 3, 0), ""), "")</f>
        <v/>
      </c>
      <c r="K1028" s="105"/>
      <c r="L1028" s="105" t="str">
        <f>IF(F1028=True, IFERROR(VLOOKUP(D1028, Repository!A:E, 5, 0), ""), "")</f>
        <v/>
      </c>
      <c r="M1028" s="105"/>
      <c r="N1028" s="105" t="str">
        <f>IF(F1028=True, IFERROR(VLOOKUP(D1028, Repository!A:G, 7, 0), ""), "")</f>
        <v/>
      </c>
      <c r="O1028" s="105" t="str">
        <f>IFERROR(__xludf.DUMMYFUNCTION("ARRAY_CONSTRAIN(
  ARRAYFORMULA(
    IFERROR(
      LET(
        list, N1028,
        arr, TRIM(SPLIT(list, "","")),
        names, XLOOKUP(
          arr,
          'Conformance Score'!A:A,
          'Conformance Score'!B:B,
          ""Not found""
     "&amp;"   ),
        TEXTJOIN("", "", TRUE, names)
      ),
      """"
    )
  ),
  1,
  1
)
"),"")</f>
        <v/>
      </c>
      <c r="P1028" s="105" t="str">
        <f>IF(F1028="Yes", IFERROR(VLOOKUP(D1028, Repository!A:F, 6, 0), ""), "")</f>
        <v/>
      </c>
      <c r="Q1028" s="105" t="str">
        <f>IF(F1028="Yes", IFERROR(VLOOKUP(D1028, Repository!A:I, 8, 0), ""), "")</f>
        <v/>
      </c>
      <c r="R1028" s="105" t="str">
        <f>IF(F1028="Yes", IFERROR(VLOOKUP(D1028, Repository!A:J, 9, 0), ""), "")</f>
        <v/>
      </c>
      <c r="S1028" s="105"/>
      <c r="T1028" s="105"/>
      <c r="U1028" s="105"/>
      <c r="V1028" s="105"/>
      <c r="W1028" s="105"/>
      <c r="X1028" s="105"/>
      <c r="Y1028" s="105"/>
      <c r="Z1028" s="105"/>
      <c r="AA1028" s="105"/>
      <c r="AB1028" s="105"/>
      <c r="AC1028" s="91"/>
      <c r="AD1028" s="105"/>
      <c r="AE1028" s="105"/>
      <c r="AF1028" s="91"/>
      <c r="AG1028" s="105"/>
      <c r="AH1028" s="105"/>
      <c r="AI1028" s="105" t="str">
        <f t="shared" si="1"/>
        <v/>
      </c>
      <c r="AJ1028" s="108" t="str">
        <f t="shared" si="2"/>
        <v/>
      </c>
    </row>
    <row r="1029" ht="15.75" customHeight="1">
      <c r="A1029" s="104"/>
      <c r="B1029" s="105" t="str">
        <f>IFERROR(__xludf.DUMMYFUNCTION("ARRAY_CONSTRAIN(
  ARRAYFORMULA(
    IF(
      'Final Report'!A1029="""",
      """",
      TEXTJOIN(
        "", "" &amp; CHAR(10),
        TRUE,
        IFERROR(
          VLOOKUP(
            TRIM(
              SPLIT('Final Report'!A1029, "","")
         "&amp;"   ),
            'URL Details'!A:B,
            2,
            FALSE
          ),
          """"
        )
      )
    )
  ),
  1,
  1
)
"),"")</f>
        <v/>
      </c>
      <c r="C1029" s="105" t="str">
        <f>IFERROR(__xludf.DUMMYFUNCTION("IFERROR(IF('Final Report'!A1029="""","""", TEXTJOIN(CHAR(10), TRUE, ARRAYFORMULA( ""• ""&amp; FILTER( TRIM(FLATTEN(SPLIT( REGEXREPLACE( SUBSTITUTE(TEXTJOIN("","", TRUE, IFERROR(ARRAYFORMULA(VLOOKUP(TRIM(SPLIT('Final Report'!A1029, "","")), 'URL Details'!A:D, "&amp;"4, FALSE)),"""") ), CHAR(10), "",""), ""\s*,\s*"", "",""), "",""))), TRIM(FLATTEN(SPLIT( REGEXREPLACE( SUBSTITUTE(TEXTJOIN("","", TRUE, IFERROR(ARRAYFORMULA(VLOOKUP(TRIM(SPLIT('Final Report'!A1029, "","")), 'URL Details'!A:D, 4, FALSE)),"""") ), CHAR(10),"&amp;" "",""), ""\s*,\s*"", "",""), "","")))&lt;&gt;"""" ) ) ) ),"""")
"),"")</f>
        <v/>
      </c>
      <c r="D1029" s="105"/>
      <c r="E1029" s="105"/>
      <c r="F1029" s="110" t="b">
        <v>0</v>
      </c>
      <c r="G1029" s="105" t="str">
        <f>IF(F1029=True, IFERROR(VLOOKUP(D1029, Repository!A:B, 2, 0), ""), "")</f>
        <v/>
      </c>
      <c r="H1029" s="105"/>
      <c r="I1029" s="105"/>
      <c r="J1029" s="105" t="str">
        <f>IF(F1029=True, IFERROR(VLOOKUP(D1029, Repository!A:C, 3, 0), ""), "")</f>
        <v/>
      </c>
      <c r="K1029" s="105"/>
      <c r="L1029" s="105" t="str">
        <f>IF(F1029=True, IFERROR(VLOOKUP(D1029, Repository!A:E, 5, 0), ""), "")</f>
        <v/>
      </c>
      <c r="M1029" s="105"/>
      <c r="N1029" s="105" t="str">
        <f>IF(F1029=True, IFERROR(VLOOKUP(D1029, Repository!A:G, 7, 0), ""), "")</f>
        <v/>
      </c>
      <c r="O1029" s="105" t="str">
        <f>IFERROR(__xludf.DUMMYFUNCTION("ARRAY_CONSTRAIN(
  ARRAYFORMULA(
    IFERROR(
      LET(
        list, N1029,
        arr, TRIM(SPLIT(list, "","")),
        names, XLOOKUP(
          arr,
          'Conformance Score'!A:A,
          'Conformance Score'!B:B,
          ""Not found""
     "&amp;"   ),
        TEXTJOIN("", "", TRUE, names)
      ),
      """"
    )
  ),
  1,
  1
)
"),"")</f>
        <v/>
      </c>
      <c r="P1029" s="105" t="str">
        <f>IF(F1029="Yes", IFERROR(VLOOKUP(D1029, Repository!A:F, 6, 0), ""), "")</f>
        <v/>
      </c>
      <c r="Q1029" s="105" t="str">
        <f>IF(F1029="Yes", IFERROR(VLOOKUP(D1029, Repository!A:I, 8, 0), ""), "")</f>
        <v/>
      </c>
      <c r="R1029" s="105" t="str">
        <f>IF(F1029="Yes", IFERROR(VLOOKUP(D1029, Repository!A:J, 9, 0), ""), "")</f>
        <v/>
      </c>
      <c r="S1029" s="105"/>
      <c r="T1029" s="105"/>
      <c r="U1029" s="105"/>
      <c r="V1029" s="105"/>
      <c r="W1029" s="105"/>
      <c r="X1029" s="105"/>
      <c r="Y1029" s="105"/>
      <c r="Z1029" s="105"/>
      <c r="AA1029" s="105"/>
      <c r="AB1029" s="105"/>
      <c r="AC1029" s="91"/>
      <c r="AD1029" s="105"/>
      <c r="AE1029" s="105"/>
      <c r="AF1029" s="91"/>
      <c r="AG1029" s="105"/>
      <c r="AH1029" s="105"/>
      <c r="AI1029" s="105" t="str">
        <f t="shared" si="1"/>
        <v/>
      </c>
      <c r="AJ1029" s="108" t="str">
        <f t="shared" si="2"/>
        <v/>
      </c>
    </row>
    <row r="1030" ht="15.75" customHeight="1">
      <c r="A1030" s="104"/>
      <c r="B1030" s="105" t="str">
        <f>IFERROR(__xludf.DUMMYFUNCTION("ARRAY_CONSTRAIN(
  ARRAYFORMULA(
    IF(
      'Final Report'!A1030="""",
      """",
      TEXTJOIN(
        "", "" &amp; CHAR(10),
        TRUE,
        IFERROR(
          VLOOKUP(
            TRIM(
              SPLIT('Final Report'!A1030, "","")
         "&amp;"   ),
            'URL Details'!A:B,
            2,
            FALSE
          ),
          """"
        )
      )
    )
  ),
  1,
  1
)
"),"")</f>
        <v/>
      </c>
      <c r="C1030" s="105" t="str">
        <f>IFERROR(__xludf.DUMMYFUNCTION("IFERROR(IF('Final Report'!A1030="""","""", TEXTJOIN(CHAR(10), TRUE, ARRAYFORMULA( ""• ""&amp; FILTER( TRIM(FLATTEN(SPLIT( REGEXREPLACE( SUBSTITUTE(TEXTJOIN("","", TRUE, IFERROR(ARRAYFORMULA(VLOOKUP(TRIM(SPLIT('Final Report'!A1030, "","")), 'URL Details'!A:D, "&amp;"4, FALSE)),"""") ), CHAR(10), "",""), ""\s*,\s*"", "",""), "",""))), TRIM(FLATTEN(SPLIT( REGEXREPLACE( SUBSTITUTE(TEXTJOIN("","", TRUE, IFERROR(ARRAYFORMULA(VLOOKUP(TRIM(SPLIT('Final Report'!A1030, "","")), 'URL Details'!A:D, 4, FALSE)),"""") ), CHAR(10),"&amp;" "",""), ""\s*,\s*"", "",""), "","")))&lt;&gt;"""" ) ) ) ),"""")
"),"")</f>
        <v/>
      </c>
      <c r="D1030" s="105"/>
      <c r="E1030" s="105"/>
      <c r="F1030" s="110" t="b">
        <v>0</v>
      </c>
      <c r="G1030" s="105" t="str">
        <f>IF(F1030=True, IFERROR(VLOOKUP(D1030, Repository!A:B, 2, 0), ""), "")</f>
        <v/>
      </c>
      <c r="H1030" s="105"/>
      <c r="I1030" s="105"/>
      <c r="J1030" s="105" t="str">
        <f>IF(F1030=True, IFERROR(VLOOKUP(D1030, Repository!A:C, 3, 0), ""), "")</f>
        <v/>
      </c>
      <c r="K1030" s="105"/>
      <c r="L1030" s="105" t="str">
        <f>IF(F1030=True, IFERROR(VLOOKUP(D1030, Repository!A:E, 5, 0), ""), "")</f>
        <v/>
      </c>
      <c r="M1030" s="105"/>
      <c r="N1030" s="105" t="str">
        <f>IF(F1030=True, IFERROR(VLOOKUP(D1030, Repository!A:G, 7, 0), ""), "")</f>
        <v/>
      </c>
      <c r="O1030" s="105" t="str">
        <f>IFERROR(__xludf.DUMMYFUNCTION("ARRAY_CONSTRAIN(
  ARRAYFORMULA(
    IFERROR(
      LET(
        list, N1030,
        arr, TRIM(SPLIT(list, "","")),
        names, XLOOKUP(
          arr,
          'Conformance Score'!A:A,
          'Conformance Score'!B:B,
          ""Not found""
     "&amp;"   ),
        TEXTJOIN("", "", TRUE, names)
      ),
      """"
    )
  ),
  1,
  1
)
"),"")</f>
        <v/>
      </c>
      <c r="P1030" s="105" t="str">
        <f>IF(F1030="Yes", IFERROR(VLOOKUP(D1030, Repository!A:F, 6, 0), ""), "")</f>
        <v/>
      </c>
      <c r="Q1030" s="105" t="str">
        <f>IF(F1030="Yes", IFERROR(VLOOKUP(D1030, Repository!A:I, 8, 0), ""), "")</f>
        <v/>
      </c>
      <c r="R1030" s="105" t="str">
        <f>IF(F1030="Yes", IFERROR(VLOOKUP(D1030, Repository!A:J, 9, 0), ""), "")</f>
        <v/>
      </c>
      <c r="S1030" s="105"/>
      <c r="T1030" s="105"/>
      <c r="U1030" s="105"/>
      <c r="V1030" s="105"/>
      <c r="W1030" s="105"/>
      <c r="X1030" s="105"/>
      <c r="Y1030" s="105"/>
      <c r="Z1030" s="105"/>
      <c r="AA1030" s="105"/>
      <c r="AB1030" s="105"/>
      <c r="AC1030" s="91"/>
      <c r="AD1030" s="105"/>
      <c r="AE1030" s="105"/>
      <c r="AF1030" s="91"/>
      <c r="AG1030" s="105"/>
      <c r="AH1030" s="105"/>
      <c r="AI1030" s="105" t="str">
        <f t="shared" si="1"/>
        <v/>
      </c>
      <c r="AJ1030" s="108" t="str">
        <f t="shared" si="2"/>
        <v/>
      </c>
    </row>
    <row r="1031" ht="15.75" customHeight="1">
      <c r="A1031" s="104"/>
      <c r="B1031" s="105" t="str">
        <f>IFERROR(__xludf.DUMMYFUNCTION("ARRAY_CONSTRAIN(
  ARRAYFORMULA(
    IF(
      'Final Report'!A1031="""",
      """",
      TEXTJOIN(
        "", "" &amp; CHAR(10),
        TRUE,
        IFERROR(
          VLOOKUP(
            TRIM(
              SPLIT('Final Report'!A1031, "","")
         "&amp;"   ),
            'URL Details'!A:B,
            2,
            FALSE
          ),
          """"
        )
      )
    )
  ),
  1,
  1
)
"),"")</f>
        <v/>
      </c>
      <c r="C1031" s="105" t="str">
        <f>IFERROR(__xludf.DUMMYFUNCTION("IFERROR(IF('Final Report'!A1031="""","""", TEXTJOIN(CHAR(10), TRUE, ARRAYFORMULA( ""• ""&amp; FILTER( TRIM(FLATTEN(SPLIT( REGEXREPLACE( SUBSTITUTE(TEXTJOIN("","", TRUE, IFERROR(ARRAYFORMULA(VLOOKUP(TRIM(SPLIT('Final Report'!A1031, "","")), 'URL Details'!A:D, "&amp;"4, FALSE)),"""") ), CHAR(10), "",""), ""\s*,\s*"", "",""), "",""))), TRIM(FLATTEN(SPLIT( REGEXREPLACE( SUBSTITUTE(TEXTJOIN("","", TRUE, IFERROR(ARRAYFORMULA(VLOOKUP(TRIM(SPLIT('Final Report'!A1031, "","")), 'URL Details'!A:D, 4, FALSE)),"""") ), CHAR(10),"&amp;" "",""), ""\s*,\s*"", "",""), "","")))&lt;&gt;"""" ) ) ) ),"""")
"),"")</f>
        <v/>
      </c>
      <c r="D1031" s="105"/>
      <c r="E1031" s="105"/>
      <c r="F1031" s="110" t="b">
        <v>0</v>
      </c>
      <c r="G1031" s="105" t="str">
        <f>IF(F1031=True, IFERROR(VLOOKUP(D1031, Repository!A:B, 2, 0), ""), "")</f>
        <v/>
      </c>
      <c r="H1031" s="105"/>
      <c r="I1031" s="105"/>
      <c r="J1031" s="105" t="str">
        <f>IF(F1031=True, IFERROR(VLOOKUP(D1031, Repository!A:C, 3, 0), ""), "")</f>
        <v/>
      </c>
      <c r="K1031" s="105"/>
      <c r="L1031" s="105" t="str">
        <f>IF(F1031=True, IFERROR(VLOOKUP(D1031, Repository!A:E, 5, 0), ""), "")</f>
        <v/>
      </c>
      <c r="M1031" s="105"/>
      <c r="N1031" s="105" t="str">
        <f>IF(F1031=True, IFERROR(VLOOKUP(D1031, Repository!A:G, 7, 0), ""), "")</f>
        <v/>
      </c>
      <c r="O1031" s="105" t="str">
        <f>IFERROR(__xludf.DUMMYFUNCTION("ARRAY_CONSTRAIN(
  ARRAYFORMULA(
    IFERROR(
      LET(
        list, N1031,
        arr, TRIM(SPLIT(list, "","")),
        names, XLOOKUP(
          arr,
          'Conformance Score'!A:A,
          'Conformance Score'!B:B,
          ""Not found""
     "&amp;"   ),
        TEXTJOIN("", "", TRUE, names)
      ),
      """"
    )
  ),
  1,
  1
)
"),"")</f>
        <v/>
      </c>
      <c r="P1031" s="105" t="str">
        <f>IF(F1031="Yes", IFERROR(VLOOKUP(D1031, Repository!A:F, 6, 0), ""), "")</f>
        <v/>
      </c>
      <c r="Q1031" s="105" t="str">
        <f>IF(F1031="Yes", IFERROR(VLOOKUP(D1031, Repository!A:I, 8, 0), ""), "")</f>
        <v/>
      </c>
      <c r="R1031" s="105" t="str">
        <f>IF(F1031="Yes", IFERROR(VLOOKUP(D1031, Repository!A:J, 9, 0), ""), "")</f>
        <v/>
      </c>
      <c r="S1031" s="105"/>
      <c r="T1031" s="105"/>
      <c r="U1031" s="105"/>
      <c r="V1031" s="105"/>
      <c r="W1031" s="105"/>
      <c r="X1031" s="105"/>
      <c r="Y1031" s="105"/>
      <c r="Z1031" s="105"/>
      <c r="AA1031" s="105"/>
      <c r="AB1031" s="105"/>
      <c r="AC1031" s="91"/>
      <c r="AD1031" s="105"/>
      <c r="AE1031" s="105"/>
      <c r="AF1031" s="91"/>
      <c r="AG1031" s="105"/>
      <c r="AH1031" s="105"/>
      <c r="AI1031" s="105" t="str">
        <f t="shared" si="1"/>
        <v/>
      </c>
      <c r="AJ1031" s="108" t="str">
        <f t="shared" si="2"/>
        <v/>
      </c>
    </row>
    <row r="1032" ht="15.75" customHeight="1">
      <c r="A1032" s="104"/>
      <c r="B1032" s="105" t="str">
        <f>IFERROR(__xludf.DUMMYFUNCTION("ARRAY_CONSTRAIN(
  ARRAYFORMULA(
    IF(
      'Final Report'!A1032="""",
      """",
      TEXTJOIN(
        "", "" &amp; CHAR(10),
        TRUE,
        IFERROR(
          VLOOKUP(
            TRIM(
              SPLIT('Final Report'!A1032, "","")
         "&amp;"   ),
            'URL Details'!A:B,
            2,
            FALSE
          ),
          """"
        )
      )
    )
  ),
  1,
  1
)
"),"")</f>
        <v/>
      </c>
      <c r="C1032" s="105" t="str">
        <f>IFERROR(__xludf.DUMMYFUNCTION("IFERROR(IF('Final Report'!A1032="""","""", TEXTJOIN(CHAR(10), TRUE, ARRAYFORMULA( ""• ""&amp; FILTER( TRIM(FLATTEN(SPLIT( REGEXREPLACE( SUBSTITUTE(TEXTJOIN("","", TRUE, IFERROR(ARRAYFORMULA(VLOOKUP(TRIM(SPLIT('Final Report'!A1032, "","")), 'URL Details'!A:D, "&amp;"4, FALSE)),"""") ), CHAR(10), "",""), ""\s*,\s*"", "",""), "",""))), TRIM(FLATTEN(SPLIT( REGEXREPLACE( SUBSTITUTE(TEXTJOIN("","", TRUE, IFERROR(ARRAYFORMULA(VLOOKUP(TRIM(SPLIT('Final Report'!A1032, "","")), 'URL Details'!A:D, 4, FALSE)),"""") ), CHAR(10),"&amp;" "",""), ""\s*,\s*"", "",""), "","")))&lt;&gt;"""" ) ) ) ),"""")
"),"")</f>
        <v/>
      </c>
      <c r="D1032" s="105"/>
      <c r="E1032" s="105"/>
      <c r="F1032" s="110" t="b">
        <v>0</v>
      </c>
      <c r="G1032" s="105" t="str">
        <f>IF(F1032=True, IFERROR(VLOOKUP(D1032, Repository!A:B, 2, 0), ""), "")</f>
        <v/>
      </c>
      <c r="H1032" s="105"/>
      <c r="I1032" s="105"/>
      <c r="J1032" s="105" t="str">
        <f>IF(F1032=True, IFERROR(VLOOKUP(D1032, Repository!A:C, 3, 0), ""), "")</f>
        <v/>
      </c>
      <c r="K1032" s="105"/>
      <c r="L1032" s="105" t="str">
        <f>IF(F1032=True, IFERROR(VLOOKUP(D1032, Repository!A:E, 5, 0), ""), "")</f>
        <v/>
      </c>
      <c r="M1032" s="105"/>
      <c r="N1032" s="105" t="str">
        <f>IF(F1032=True, IFERROR(VLOOKUP(D1032, Repository!A:G, 7, 0), ""), "")</f>
        <v/>
      </c>
      <c r="O1032" s="105" t="str">
        <f>IFERROR(__xludf.DUMMYFUNCTION("ARRAY_CONSTRAIN(
  ARRAYFORMULA(
    IFERROR(
      LET(
        list, N1032,
        arr, TRIM(SPLIT(list, "","")),
        names, XLOOKUP(
          arr,
          'Conformance Score'!A:A,
          'Conformance Score'!B:B,
          ""Not found""
     "&amp;"   ),
        TEXTJOIN("", "", TRUE, names)
      ),
      """"
    )
  ),
  1,
  1
)
"),"")</f>
        <v/>
      </c>
      <c r="P1032" s="105" t="str">
        <f>IF(F1032="Yes", IFERROR(VLOOKUP(D1032, Repository!A:F, 6, 0), ""), "")</f>
        <v/>
      </c>
      <c r="Q1032" s="105" t="str">
        <f>IF(F1032="Yes", IFERROR(VLOOKUP(D1032, Repository!A:I, 8, 0), ""), "")</f>
        <v/>
      </c>
      <c r="R1032" s="105" t="str">
        <f>IF(F1032="Yes", IFERROR(VLOOKUP(D1032, Repository!A:J, 9, 0), ""), "")</f>
        <v/>
      </c>
      <c r="S1032" s="105"/>
      <c r="T1032" s="105"/>
      <c r="U1032" s="105"/>
      <c r="V1032" s="105"/>
      <c r="W1032" s="105"/>
      <c r="X1032" s="105"/>
      <c r="Y1032" s="105"/>
      <c r="Z1032" s="105"/>
      <c r="AA1032" s="105"/>
      <c r="AB1032" s="105"/>
      <c r="AC1032" s="91"/>
      <c r="AD1032" s="105"/>
      <c r="AE1032" s="105"/>
      <c r="AF1032" s="91"/>
      <c r="AG1032" s="105"/>
      <c r="AH1032" s="105"/>
      <c r="AI1032" s="105" t="str">
        <f t="shared" si="1"/>
        <v/>
      </c>
      <c r="AJ1032" s="108" t="str">
        <f t="shared" si="2"/>
        <v/>
      </c>
    </row>
    <row r="1033" ht="15.75" customHeight="1">
      <c r="A1033" s="104"/>
      <c r="B1033" s="105" t="str">
        <f>IFERROR(__xludf.DUMMYFUNCTION("ARRAY_CONSTRAIN(
  ARRAYFORMULA(
    IF(
      'Final Report'!A1033="""",
      """",
      TEXTJOIN(
        "", "" &amp; CHAR(10),
        TRUE,
        IFERROR(
          VLOOKUP(
            TRIM(
              SPLIT('Final Report'!A1033, "","")
         "&amp;"   ),
            'URL Details'!A:B,
            2,
            FALSE
          ),
          """"
        )
      )
    )
  ),
  1,
  1
)
"),"")</f>
        <v/>
      </c>
      <c r="C1033" s="105" t="str">
        <f>IFERROR(__xludf.DUMMYFUNCTION("IFERROR(IF('Final Report'!A1033="""","""", TEXTJOIN(CHAR(10), TRUE, ARRAYFORMULA( ""• ""&amp; FILTER( TRIM(FLATTEN(SPLIT( REGEXREPLACE( SUBSTITUTE(TEXTJOIN("","", TRUE, IFERROR(ARRAYFORMULA(VLOOKUP(TRIM(SPLIT('Final Report'!A1033, "","")), 'URL Details'!A:D, "&amp;"4, FALSE)),"""") ), CHAR(10), "",""), ""\s*,\s*"", "",""), "",""))), TRIM(FLATTEN(SPLIT( REGEXREPLACE( SUBSTITUTE(TEXTJOIN("","", TRUE, IFERROR(ARRAYFORMULA(VLOOKUP(TRIM(SPLIT('Final Report'!A1033, "","")), 'URL Details'!A:D, 4, FALSE)),"""") ), CHAR(10),"&amp;" "",""), ""\s*,\s*"", "",""), "","")))&lt;&gt;"""" ) ) ) ),"""")
"),"")</f>
        <v/>
      </c>
      <c r="D1033" s="105"/>
      <c r="E1033" s="105"/>
      <c r="F1033" s="110" t="b">
        <v>0</v>
      </c>
      <c r="G1033" s="105" t="str">
        <f>IF(F1033=True, IFERROR(VLOOKUP(D1033, Repository!A:B, 2, 0), ""), "")</f>
        <v/>
      </c>
      <c r="H1033" s="105"/>
      <c r="I1033" s="105"/>
      <c r="J1033" s="105" t="str">
        <f>IF(F1033=True, IFERROR(VLOOKUP(D1033, Repository!A:C, 3, 0), ""), "")</f>
        <v/>
      </c>
      <c r="K1033" s="105"/>
      <c r="L1033" s="105" t="str">
        <f>IF(F1033=True, IFERROR(VLOOKUP(D1033, Repository!A:E, 5, 0), ""), "")</f>
        <v/>
      </c>
      <c r="M1033" s="105"/>
      <c r="N1033" s="105" t="str">
        <f>IF(F1033=True, IFERROR(VLOOKUP(D1033, Repository!A:G, 7, 0), ""), "")</f>
        <v/>
      </c>
      <c r="O1033" s="105" t="str">
        <f>IFERROR(__xludf.DUMMYFUNCTION("ARRAY_CONSTRAIN(
  ARRAYFORMULA(
    IFERROR(
      LET(
        list, N1033,
        arr, TRIM(SPLIT(list, "","")),
        names, XLOOKUP(
          arr,
          'Conformance Score'!A:A,
          'Conformance Score'!B:B,
          ""Not found""
     "&amp;"   ),
        TEXTJOIN("", "", TRUE, names)
      ),
      """"
    )
  ),
  1,
  1
)
"),"")</f>
        <v/>
      </c>
      <c r="P1033" s="105" t="str">
        <f>IF(F1033="Yes", IFERROR(VLOOKUP(D1033, Repository!A:F, 6, 0), ""), "")</f>
        <v/>
      </c>
      <c r="Q1033" s="105" t="str">
        <f>IF(F1033="Yes", IFERROR(VLOOKUP(D1033, Repository!A:I, 8, 0), ""), "")</f>
        <v/>
      </c>
      <c r="R1033" s="105" t="str">
        <f>IF(F1033="Yes", IFERROR(VLOOKUP(D1033, Repository!A:J, 9, 0), ""), "")</f>
        <v/>
      </c>
      <c r="S1033" s="105"/>
      <c r="T1033" s="105"/>
      <c r="U1033" s="105"/>
      <c r="V1033" s="105"/>
      <c r="W1033" s="105"/>
      <c r="X1033" s="105"/>
      <c r="Y1033" s="105"/>
      <c r="Z1033" s="105"/>
      <c r="AA1033" s="105"/>
      <c r="AB1033" s="105"/>
      <c r="AC1033" s="91"/>
      <c r="AD1033" s="105"/>
      <c r="AE1033" s="105"/>
      <c r="AF1033" s="91"/>
      <c r="AG1033" s="105"/>
      <c r="AH1033" s="105"/>
      <c r="AI1033" s="105" t="str">
        <f t="shared" si="1"/>
        <v/>
      </c>
      <c r="AJ1033" s="108" t="str">
        <f t="shared" si="2"/>
        <v/>
      </c>
    </row>
    <row r="1034" ht="15.75" customHeight="1">
      <c r="A1034" s="104"/>
      <c r="B1034" s="105" t="str">
        <f>IFERROR(__xludf.DUMMYFUNCTION("ARRAY_CONSTRAIN(
  ARRAYFORMULA(
    IF(
      'Final Report'!A1034="""",
      """",
      TEXTJOIN(
        "", "" &amp; CHAR(10),
        TRUE,
        IFERROR(
          VLOOKUP(
            TRIM(
              SPLIT('Final Report'!A1034, "","")
         "&amp;"   ),
            'URL Details'!A:B,
            2,
            FALSE
          ),
          """"
        )
      )
    )
  ),
  1,
  1
)
"),"")</f>
        <v/>
      </c>
      <c r="C1034" s="105" t="str">
        <f>IFERROR(__xludf.DUMMYFUNCTION("IFERROR(IF('Final Report'!A1034="""","""", TEXTJOIN(CHAR(10), TRUE, ARRAYFORMULA( ""• ""&amp; FILTER( TRIM(FLATTEN(SPLIT( REGEXREPLACE( SUBSTITUTE(TEXTJOIN("","", TRUE, IFERROR(ARRAYFORMULA(VLOOKUP(TRIM(SPLIT('Final Report'!A1034, "","")), 'URL Details'!A:D, "&amp;"4, FALSE)),"""") ), CHAR(10), "",""), ""\s*,\s*"", "",""), "",""))), TRIM(FLATTEN(SPLIT( REGEXREPLACE( SUBSTITUTE(TEXTJOIN("","", TRUE, IFERROR(ARRAYFORMULA(VLOOKUP(TRIM(SPLIT('Final Report'!A1034, "","")), 'URL Details'!A:D, 4, FALSE)),"""") ), CHAR(10),"&amp;" "",""), ""\s*,\s*"", "",""), "","")))&lt;&gt;"""" ) ) ) ),"""")
"),"")</f>
        <v/>
      </c>
      <c r="D1034" s="105"/>
      <c r="E1034" s="105"/>
      <c r="F1034" s="110" t="b">
        <v>0</v>
      </c>
      <c r="G1034" s="105" t="str">
        <f>IF(F1034=True, IFERROR(VLOOKUP(D1034, Repository!A:B, 2, 0), ""), "")</f>
        <v/>
      </c>
      <c r="H1034" s="105"/>
      <c r="I1034" s="105"/>
      <c r="J1034" s="105" t="str">
        <f>IF(F1034=True, IFERROR(VLOOKUP(D1034, Repository!A:C, 3, 0), ""), "")</f>
        <v/>
      </c>
      <c r="K1034" s="105"/>
      <c r="L1034" s="105" t="str">
        <f>IF(F1034=True, IFERROR(VLOOKUP(D1034, Repository!A:E, 5, 0), ""), "")</f>
        <v/>
      </c>
      <c r="M1034" s="105"/>
      <c r="N1034" s="105" t="str">
        <f>IF(F1034=True, IFERROR(VLOOKUP(D1034, Repository!A:G, 7, 0), ""), "")</f>
        <v/>
      </c>
      <c r="O1034" s="105" t="str">
        <f>IFERROR(__xludf.DUMMYFUNCTION("ARRAY_CONSTRAIN(
  ARRAYFORMULA(
    IFERROR(
      LET(
        list, N1034,
        arr, TRIM(SPLIT(list, "","")),
        names, XLOOKUP(
          arr,
          'Conformance Score'!A:A,
          'Conformance Score'!B:B,
          ""Not found""
     "&amp;"   ),
        TEXTJOIN("", "", TRUE, names)
      ),
      """"
    )
  ),
  1,
  1
)
"),"")</f>
        <v/>
      </c>
      <c r="P1034" s="105" t="str">
        <f>IF(F1034="Yes", IFERROR(VLOOKUP(D1034, Repository!A:F, 6, 0), ""), "")</f>
        <v/>
      </c>
      <c r="Q1034" s="105" t="str">
        <f>IF(F1034="Yes", IFERROR(VLOOKUP(D1034, Repository!A:I, 8, 0), ""), "")</f>
        <v/>
      </c>
      <c r="R1034" s="105" t="str">
        <f>IF(F1034="Yes", IFERROR(VLOOKUP(D1034, Repository!A:J, 9, 0), ""), "")</f>
        <v/>
      </c>
      <c r="S1034" s="105"/>
      <c r="T1034" s="105"/>
      <c r="U1034" s="105"/>
      <c r="V1034" s="105"/>
      <c r="W1034" s="105"/>
      <c r="X1034" s="105"/>
      <c r="Y1034" s="105"/>
      <c r="Z1034" s="105"/>
      <c r="AA1034" s="105"/>
      <c r="AB1034" s="105"/>
      <c r="AC1034" s="91"/>
      <c r="AD1034" s="105"/>
      <c r="AE1034" s="105"/>
      <c r="AF1034" s="91"/>
      <c r="AG1034" s="105"/>
      <c r="AH1034" s="105"/>
      <c r="AI1034" s="105" t="str">
        <f t="shared" si="1"/>
        <v/>
      </c>
      <c r="AJ1034" s="108" t="str">
        <f t="shared" si="2"/>
        <v/>
      </c>
    </row>
    <row r="1035" ht="15.75" customHeight="1">
      <c r="A1035" s="104"/>
      <c r="B1035" s="105" t="str">
        <f>IFERROR(__xludf.DUMMYFUNCTION("ARRAY_CONSTRAIN(
  ARRAYFORMULA(
    IF(
      'Final Report'!A1035="""",
      """",
      TEXTJOIN(
        "", "" &amp; CHAR(10),
        TRUE,
        IFERROR(
          VLOOKUP(
            TRIM(
              SPLIT('Final Report'!A1035, "","")
         "&amp;"   ),
            'URL Details'!A:B,
            2,
            FALSE
          ),
          """"
        )
      )
    )
  ),
  1,
  1
)
"),"")</f>
        <v/>
      </c>
      <c r="C1035" s="105" t="str">
        <f>IFERROR(__xludf.DUMMYFUNCTION("IFERROR(IF('Final Report'!A1035="""","""", TEXTJOIN(CHAR(10), TRUE, ARRAYFORMULA( ""• ""&amp; FILTER( TRIM(FLATTEN(SPLIT( REGEXREPLACE( SUBSTITUTE(TEXTJOIN("","", TRUE, IFERROR(ARRAYFORMULA(VLOOKUP(TRIM(SPLIT('Final Report'!A1035, "","")), 'URL Details'!A:D, "&amp;"4, FALSE)),"""") ), CHAR(10), "",""), ""\s*,\s*"", "",""), "",""))), TRIM(FLATTEN(SPLIT( REGEXREPLACE( SUBSTITUTE(TEXTJOIN("","", TRUE, IFERROR(ARRAYFORMULA(VLOOKUP(TRIM(SPLIT('Final Report'!A1035, "","")), 'URL Details'!A:D, 4, FALSE)),"""") ), CHAR(10),"&amp;" "",""), ""\s*,\s*"", "",""), "","")))&lt;&gt;"""" ) ) ) ),"""")
"),"")</f>
        <v/>
      </c>
      <c r="D1035" s="105"/>
      <c r="E1035" s="105"/>
      <c r="F1035" s="110" t="b">
        <v>0</v>
      </c>
      <c r="G1035" s="105" t="str">
        <f>IF(F1035=True, IFERROR(VLOOKUP(D1035, Repository!A:B, 2, 0), ""), "")</f>
        <v/>
      </c>
      <c r="H1035" s="105"/>
      <c r="I1035" s="105"/>
      <c r="J1035" s="105" t="str">
        <f>IF(F1035=True, IFERROR(VLOOKUP(D1035, Repository!A:C, 3, 0), ""), "")</f>
        <v/>
      </c>
      <c r="K1035" s="105"/>
      <c r="L1035" s="105" t="str">
        <f>IF(F1035=True, IFERROR(VLOOKUP(D1035, Repository!A:E, 5, 0), ""), "")</f>
        <v/>
      </c>
      <c r="M1035" s="105"/>
      <c r="N1035" s="105" t="str">
        <f>IF(F1035=True, IFERROR(VLOOKUP(D1035, Repository!A:G, 7, 0), ""), "")</f>
        <v/>
      </c>
      <c r="O1035" s="105" t="str">
        <f>IFERROR(__xludf.DUMMYFUNCTION("ARRAY_CONSTRAIN(
  ARRAYFORMULA(
    IFERROR(
      LET(
        list, N1035,
        arr, TRIM(SPLIT(list, "","")),
        names, XLOOKUP(
          arr,
          'Conformance Score'!A:A,
          'Conformance Score'!B:B,
          ""Not found""
     "&amp;"   ),
        TEXTJOIN("", "", TRUE, names)
      ),
      """"
    )
  ),
  1,
  1
)
"),"")</f>
        <v/>
      </c>
      <c r="P1035" s="105" t="str">
        <f>IF(F1035="Yes", IFERROR(VLOOKUP(D1035, Repository!A:F, 6, 0), ""), "")</f>
        <v/>
      </c>
      <c r="Q1035" s="105" t="str">
        <f>IF(F1035="Yes", IFERROR(VLOOKUP(D1035, Repository!A:I, 8, 0), ""), "")</f>
        <v/>
      </c>
      <c r="R1035" s="105" t="str">
        <f>IF(F1035="Yes", IFERROR(VLOOKUP(D1035, Repository!A:J, 9, 0), ""), "")</f>
        <v/>
      </c>
      <c r="S1035" s="105"/>
      <c r="T1035" s="105"/>
      <c r="U1035" s="105"/>
      <c r="V1035" s="105"/>
      <c r="W1035" s="105"/>
      <c r="X1035" s="105"/>
      <c r="Y1035" s="105"/>
      <c r="Z1035" s="105"/>
      <c r="AA1035" s="105"/>
      <c r="AB1035" s="105"/>
      <c r="AC1035" s="91"/>
      <c r="AD1035" s="105"/>
      <c r="AE1035" s="105"/>
      <c r="AF1035" s="91"/>
      <c r="AG1035" s="105"/>
      <c r="AH1035" s="105"/>
      <c r="AI1035" s="105" t="str">
        <f t="shared" si="1"/>
        <v/>
      </c>
      <c r="AJ1035" s="108" t="str">
        <f t="shared" si="2"/>
        <v/>
      </c>
    </row>
    <row r="1036" ht="15.75" customHeight="1">
      <c r="A1036" s="104"/>
      <c r="B1036" s="105" t="str">
        <f>IFERROR(__xludf.DUMMYFUNCTION("ARRAY_CONSTRAIN(
  ARRAYFORMULA(
    IF(
      'Final Report'!A1036="""",
      """",
      TEXTJOIN(
        "", "" &amp; CHAR(10),
        TRUE,
        IFERROR(
          VLOOKUP(
            TRIM(
              SPLIT('Final Report'!A1036, "","")
         "&amp;"   ),
            'URL Details'!A:B,
            2,
            FALSE
          ),
          """"
        )
      )
    )
  ),
  1,
  1
)
"),"")</f>
        <v/>
      </c>
      <c r="C1036" s="105" t="str">
        <f>IFERROR(__xludf.DUMMYFUNCTION("IFERROR(IF('Final Report'!A1036="""","""", TEXTJOIN(CHAR(10), TRUE, ARRAYFORMULA( ""• ""&amp; FILTER( TRIM(FLATTEN(SPLIT( REGEXREPLACE( SUBSTITUTE(TEXTJOIN("","", TRUE, IFERROR(ARRAYFORMULA(VLOOKUP(TRIM(SPLIT('Final Report'!A1036, "","")), 'URL Details'!A:D, "&amp;"4, FALSE)),"""") ), CHAR(10), "",""), ""\s*,\s*"", "",""), "",""))), TRIM(FLATTEN(SPLIT( REGEXREPLACE( SUBSTITUTE(TEXTJOIN("","", TRUE, IFERROR(ARRAYFORMULA(VLOOKUP(TRIM(SPLIT('Final Report'!A1036, "","")), 'URL Details'!A:D, 4, FALSE)),"""") ), CHAR(10),"&amp;" "",""), ""\s*,\s*"", "",""), "","")))&lt;&gt;"""" ) ) ) ),"""")
"),"")</f>
        <v/>
      </c>
      <c r="D1036" s="105"/>
      <c r="E1036" s="105"/>
      <c r="F1036" s="110" t="b">
        <v>0</v>
      </c>
      <c r="G1036" s="105" t="str">
        <f>IF(F1036=True, IFERROR(VLOOKUP(D1036, Repository!A:B, 2, 0), ""), "")</f>
        <v/>
      </c>
      <c r="H1036" s="105"/>
      <c r="I1036" s="105"/>
      <c r="J1036" s="105" t="str">
        <f>IF(F1036=True, IFERROR(VLOOKUP(D1036, Repository!A:C, 3, 0), ""), "")</f>
        <v/>
      </c>
      <c r="K1036" s="105"/>
      <c r="L1036" s="105" t="str">
        <f>IF(F1036=True, IFERROR(VLOOKUP(D1036, Repository!A:E, 5, 0), ""), "")</f>
        <v/>
      </c>
      <c r="M1036" s="105"/>
      <c r="N1036" s="105" t="str">
        <f>IF(F1036=True, IFERROR(VLOOKUP(D1036, Repository!A:G, 7, 0), ""), "")</f>
        <v/>
      </c>
      <c r="O1036" s="105" t="str">
        <f>IFERROR(__xludf.DUMMYFUNCTION("ARRAY_CONSTRAIN(
  ARRAYFORMULA(
    IFERROR(
      LET(
        list, N1036,
        arr, TRIM(SPLIT(list, "","")),
        names, XLOOKUP(
          arr,
          'Conformance Score'!A:A,
          'Conformance Score'!B:B,
          ""Not found""
     "&amp;"   ),
        TEXTJOIN("", "", TRUE, names)
      ),
      """"
    )
  ),
  1,
  1
)
"),"")</f>
        <v/>
      </c>
      <c r="P1036" s="105" t="str">
        <f>IF(F1036="Yes", IFERROR(VLOOKUP(D1036, Repository!A:F, 6, 0), ""), "")</f>
        <v/>
      </c>
      <c r="Q1036" s="105" t="str">
        <f>IF(F1036="Yes", IFERROR(VLOOKUP(D1036, Repository!A:I, 8, 0), ""), "")</f>
        <v/>
      </c>
      <c r="R1036" s="105" t="str">
        <f>IF(F1036="Yes", IFERROR(VLOOKUP(D1036, Repository!A:J, 9, 0), ""), "")</f>
        <v/>
      </c>
      <c r="S1036" s="105"/>
      <c r="T1036" s="105"/>
      <c r="U1036" s="105"/>
      <c r="V1036" s="105"/>
      <c r="W1036" s="105"/>
      <c r="X1036" s="105"/>
      <c r="Y1036" s="105"/>
      <c r="Z1036" s="105"/>
      <c r="AA1036" s="105"/>
      <c r="AB1036" s="105"/>
      <c r="AC1036" s="91"/>
      <c r="AD1036" s="105"/>
      <c r="AE1036" s="105"/>
      <c r="AF1036" s="91"/>
      <c r="AG1036" s="105"/>
      <c r="AH1036" s="105"/>
      <c r="AI1036" s="105" t="str">
        <f t="shared" si="1"/>
        <v/>
      </c>
      <c r="AJ1036" s="108" t="str">
        <f t="shared" si="2"/>
        <v/>
      </c>
    </row>
    <row r="1037" ht="15.75" customHeight="1">
      <c r="A1037" s="104"/>
      <c r="B1037" s="105" t="str">
        <f>IFERROR(__xludf.DUMMYFUNCTION("ARRAY_CONSTRAIN(
  ARRAYFORMULA(
    IF(
      'Final Report'!A1037="""",
      """",
      TEXTJOIN(
        "", "" &amp; CHAR(10),
        TRUE,
        IFERROR(
          VLOOKUP(
            TRIM(
              SPLIT('Final Report'!A1037, "","")
         "&amp;"   ),
            'URL Details'!A:B,
            2,
            FALSE
          ),
          """"
        )
      )
    )
  ),
  1,
  1
)
"),"")</f>
        <v/>
      </c>
      <c r="C1037" s="105" t="str">
        <f>IFERROR(__xludf.DUMMYFUNCTION("IFERROR(IF('Final Report'!A1037="""","""", TEXTJOIN(CHAR(10), TRUE, ARRAYFORMULA( ""• ""&amp; FILTER( TRIM(FLATTEN(SPLIT( REGEXREPLACE( SUBSTITUTE(TEXTJOIN("","", TRUE, IFERROR(ARRAYFORMULA(VLOOKUP(TRIM(SPLIT('Final Report'!A1037, "","")), 'URL Details'!A:D, "&amp;"4, FALSE)),"""") ), CHAR(10), "",""), ""\s*,\s*"", "",""), "",""))), TRIM(FLATTEN(SPLIT( REGEXREPLACE( SUBSTITUTE(TEXTJOIN("","", TRUE, IFERROR(ARRAYFORMULA(VLOOKUP(TRIM(SPLIT('Final Report'!A1037, "","")), 'URL Details'!A:D, 4, FALSE)),"""") ), CHAR(10),"&amp;" "",""), ""\s*,\s*"", "",""), "","")))&lt;&gt;"""" ) ) ) ),"""")
"),"")</f>
        <v/>
      </c>
      <c r="D1037" s="105"/>
      <c r="E1037" s="105"/>
      <c r="F1037" s="110" t="b">
        <v>0</v>
      </c>
      <c r="G1037" s="105" t="str">
        <f>IF(F1037=True, IFERROR(VLOOKUP(D1037, Repository!A:B, 2, 0), ""), "")</f>
        <v/>
      </c>
      <c r="H1037" s="105"/>
      <c r="I1037" s="105"/>
      <c r="J1037" s="105" t="str">
        <f>IF(F1037=True, IFERROR(VLOOKUP(D1037, Repository!A:C, 3, 0), ""), "")</f>
        <v/>
      </c>
      <c r="K1037" s="105"/>
      <c r="L1037" s="105" t="str">
        <f>IF(F1037=True, IFERROR(VLOOKUP(D1037, Repository!A:E, 5, 0), ""), "")</f>
        <v/>
      </c>
      <c r="M1037" s="105"/>
      <c r="N1037" s="105" t="str">
        <f>IF(F1037=True, IFERROR(VLOOKUP(D1037, Repository!A:G, 7, 0), ""), "")</f>
        <v/>
      </c>
      <c r="O1037" s="105" t="str">
        <f>IFERROR(__xludf.DUMMYFUNCTION("ARRAY_CONSTRAIN(
  ARRAYFORMULA(
    IFERROR(
      LET(
        list, N1037,
        arr, TRIM(SPLIT(list, "","")),
        names, XLOOKUP(
          arr,
          'Conformance Score'!A:A,
          'Conformance Score'!B:B,
          ""Not found""
     "&amp;"   ),
        TEXTJOIN("", "", TRUE, names)
      ),
      """"
    )
  ),
  1,
  1
)
"),"")</f>
        <v/>
      </c>
      <c r="P1037" s="105" t="str">
        <f>IF(F1037="Yes", IFERROR(VLOOKUP(D1037, Repository!A:F, 6, 0), ""), "")</f>
        <v/>
      </c>
      <c r="Q1037" s="105" t="str">
        <f>IF(F1037="Yes", IFERROR(VLOOKUP(D1037, Repository!A:I, 8, 0), ""), "")</f>
        <v/>
      </c>
      <c r="R1037" s="105" t="str">
        <f>IF(F1037="Yes", IFERROR(VLOOKUP(D1037, Repository!A:J, 9, 0), ""), "")</f>
        <v/>
      </c>
      <c r="S1037" s="105"/>
      <c r="T1037" s="105"/>
      <c r="U1037" s="105"/>
      <c r="V1037" s="105"/>
      <c r="W1037" s="105"/>
      <c r="X1037" s="105"/>
      <c r="Y1037" s="105"/>
      <c r="Z1037" s="105"/>
      <c r="AA1037" s="105"/>
      <c r="AB1037" s="105"/>
      <c r="AC1037" s="91"/>
      <c r="AD1037" s="105"/>
      <c r="AE1037" s="105"/>
      <c r="AF1037" s="91"/>
      <c r="AG1037" s="105"/>
      <c r="AH1037" s="105"/>
      <c r="AI1037" s="105" t="str">
        <f t="shared" si="1"/>
        <v/>
      </c>
      <c r="AJ1037" s="108" t="str">
        <f t="shared" si="2"/>
        <v/>
      </c>
    </row>
    <row r="1038" ht="15.75" customHeight="1">
      <c r="A1038" s="104"/>
      <c r="B1038" s="105" t="str">
        <f>IFERROR(__xludf.DUMMYFUNCTION("ARRAY_CONSTRAIN(
  ARRAYFORMULA(
    IF(
      'Final Report'!A1038="""",
      """",
      TEXTJOIN(
        "", "" &amp; CHAR(10),
        TRUE,
        IFERROR(
          VLOOKUP(
            TRIM(
              SPLIT('Final Report'!A1038, "","")
         "&amp;"   ),
            'URL Details'!A:B,
            2,
            FALSE
          ),
          """"
        )
      )
    )
  ),
  1,
  1
)
"),"")</f>
        <v/>
      </c>
      <c r="C1038" s="105" t="str">
        <f>IFERROR(__xludf.DUMMYFUNCTION("IFERROR(IF('Final Report'!A1038="""","""", TEXTJOIN(CHAR(10), TRUE, ARRAYFORMULA( ""• ""&amp; FILTER( TRIM(FLATTEN(SPLIT( REGEXREPLACE( SUBSTITUTE(TEXTJOIN("","", TRUE, IFERROR(ARRAYFORMULA(VLOOKUP(TRIM(SPLIT('Final Report'!A1038, "","")), 'URL Details'!A:D, "&amp;"4, FALSE)),"""") ), CHAR(10), "",""), ""\s*,\s*"", "",""), "",""))), TRIM(FLATTEN(SPLIT( REGEXREPLACE( SUBSTITUTE(TEXTJOIN("","", TRUE, IFERROR(ARRAYFORMULA(VLOOKUP(TRIM(SPLIT('Final Report'!A1038, "","")), 'URL Details'!A:D, 4, FALSE)),"""") ), CHAR(10),"&amp;" "",""), ""\s*,\s*"", "",""), "","")))&lt;&gt;"""" ) ) ) ),"""")
"),"")</f>
        <v/>
      </c>
      <c r="D1038" s="105"/>
      <c r="E1038" s="105"/>
      <c r="F1038" s="110" t="b">
        <v>0</v>
      </c>
      <c r="G1038" s="105" t="str">
        <f>IF(F1038=True, IFERROR(VLOOKUP(D1038, Repository!A:B, 2, 0), ""), "")</f>
        <v/>
      </c>
      <c r="H1038" s="105"/>
      <c r="I1038" s="105"/>
      <c r="J1038" s="105" t="str">
        <f>IF(F1038=True, IFERROR(VLOOKUP(D1038, Repository!A:C, 3, 0), ""), "")</f>
        <v/>
      </c>
      <c r="K1038" s="105"/>
      <c r="L1038" s="105" t="str">
        <f>IF(F1038=True, IFERROR(VLOOKUP(D1038, Repository!A:E, 5, 0), ""), "")</f>
        <v/>
      </c>
      <c r="M1038" s="105"/>
      <c r="N1038" s="105" t="str">
        <f>IF(F1038=True, IFERROR(VLOOKUP(D1038, Repository!A:G, 7, 0), ""), "")</f>
        <v/>
      </c>
      <c r="O1038" s="105" t="str">
        <f>IFERROR(__xludf.DUMMYFUNCTION("ARRAY_CONSTRAIN(
  ARRAYFORMULA(
    IFERROR(
      LET(
        list, N1038,
        arr, TRIM(SPLIT(list, "","")),
        names, XLOOKUP(
          arr,
          'Conformance Score'!A:A,
          'Conformance Score'!B:B,
          ""Not found""
     "&amp;"   ),
        TEXTJOIN("", "", TRUE, names)
      ),
      """"
    )
  ),
  1,
  1
)
"),"")</f>
        <v/>
      </c>
      <c r="P1038" s="105" t="str">
        <f>IF(F1038="Yes", IFERROR(VLOOKUP(D1038, Repository!A:F, 6, 0), ""), "")</f>
        <v/>
      </c>
      <c r="Q1038" s="105" t="str">
        <f>IF(F1038="Yes", IFERROR(VLOOKUP(D1038, Repository!A:I, 8, 0), ""), "")</f>
        <v/>
      </c>
      <c r="R1038" s="105" t="str">
        <f>IF(F1038="Yes", IFERROR(VLOOKUP(D1038, Repository!A:J, 9, 0), ""), "")</f>
        <v/>
      </c>
      <c r="S1038" s="105"/>
      <c r="T1038" s="105"/>
      <c r="U1038" s="105"/>
      <c r="V1038" s="105"/>
      <c r="W1038" s="105"/>
      <c r="X1038" s="105"/>
      <c r="Y1038" s="105"/>
      <c r="Z1038" s="105"/>
      <c r="AA1038" s="105"/>
      <c r="AB1038" s="105"/>
      <c r="AC1038" s="91"/>
      <c r="AD1038" s="105"/>
      <c r="AE1038" s="105"/>
      <c r="AF1038" s="91"/>
      <c r="AG1038" s="105"/>
      <c r="AH1038" s="105"/>
      <c r="AI1038" s="105" t="str">
        <f t="shared" si="1"/>
        <v/>
      </c>
      <c r="AJ1038" s="108" t="str">
        <f t="shared" si="2"/>
        <v/>
      </c>
    </row>
    <row r="1039" ht="15.75" customHeight="1">
      <c r="A1039" s="104"/>
      <c r="B1039" s="105" t="str">
        <f>IFERROR(__xludf.DUMMYFUNCTION("ARRAY_CONSTRAIN(
  ARRAYFORMULA(
    IF(
      'Final Report'!A1039="""",
      """",
      TEXTJOIN(
        "", "" &amp; CHAR(10),
        TRUE,
        IFERROR(
          VLOOKUP(
            TRIM(
              SPLIT('Final Report'!A1039, "","")
         "&amp;"   ),
            'URL Details'!A:B,
            2,
            FALSE
          ),
          """"
        )
      )
    )
  ),
  1,
  1
)
"),"")</f>
        <v/>
      </c>
      <c r="C1039" s="105" t="str">
        <f>IFERROR(__xludf.DUMMYFUNCTION("IFERROR(IF('Final Report'!A1039="""","""", TEXTJOIN(CHAR(10), TRUE, ARRAYFORMULA( ""• ""&amp; FILTER( TRIM(FLATTEN(SPLIT( REGEXREPLACE( SUBSTITUTE(TEXTJOIN("","", TRUE, IFERROR(ARRAYFORMULA(VLOOKUP(TRIM(SPLIT('Final Report'!A1039, "","")), 'URL Details'!A:D, "&amp;"4, FALSE)),"""") ), CHAR(10), "",""), ""\s*,\s*"", "",""), "",""))), TRIM(FLATTEN(SPLIT( REGEXREPLACE( SUBSTITUTE(TEXTJOIN("","", TRUE, IFERROR(ARRAYFORMULA(VLOOKUP(TRIM(SPLIT('Final Report'!A1039, "","")), 'URL Details'!A:D, 4, FALSE)),"""") ), CHAR(10),"&amp;" "",""), ""\s*,\s*"", "",""), "","")))&lt;&gt;"""" ) ) ) ),"""")
"),"")</f>
        <v/>
      </c>
      <c r="D1039" s="105"/>
      <c r="E1039" s="105"/>
      <c r="F1039" s="110" t="b">
        <v>0</v>
      </c>
      <c r="G1039" s="105" t="str">
        <f>IF(F1039=True, IFERROR(VLOOKUP(D1039, Repository!A:B, 2, 0), ""), "")</f>
        <v/>
      </c>
      <c r="H1039" s="105"/>
      <c r="I1039" s="105"/>
      <c r="J1039" s="105" t="str">
        <f>IF(F1039=True, IFERROR(VLOOKUP(D1039, Repository!A:C, 3, 0), ""), "")</f>
        <v/>
      </c>
      <c r="K1039" s="105"/>
      <c r="L1039" s="105" t="str">
        <f>IF(F1039=True, IFERROR(VLOOKUP(D1039, Repository!A:E, 5, 0), ""), "")</f>
        <v/>
      </c>
      <c r="M1039" s="105"/>
      <c r="N1039" s="105" t="str">
        <f>IF(F1039=True, IFERROR(VLOOKUP(D1039, Repository!A:G, 7, 0), ""), "")</f>
        <v/>
      </c>
      <c r="O1039" s="105" t="str">
        <f>IFERROR(__xludf.DUMMYFUNCTION("ARRAY_CONSTRAIN(
  ARRAYFORMULA(
    IFERROR(
      LET(
        list, N1039,
        arr, TRIM(SPLIT(list, "","")),
        names, XLOOKUP(
          arr,
          'Conformance Score'!A:A,
          'Conformance Score'!B:B,
          ""Not found""
     "&amp;"   ),
        TEXTJOIN("", "", TRUE, names)
      ),
      """"
    )
  ),
  1,
  1
)
"),"")</f>
        <v/>
      </c>
      <c r="P1039" s="105" t="str">
        <f>IF(F1039="Yes", IFERROR(VLOOKUP(D1039, Repository!A:F, 6, 0), ""), "")</f>
        <v/>
      </c>
      <c r="Q1039" s="105" t="str">
        <f>IF(F1039="Yes", IFERROR(VLOOKUP(D1039, Repository!A:I, 8, 0), ""), "")</f>
        <v/>
      </c>
      <c r="R1039" s="105" t="str">
        <f>IF(F1039="Yes", IFERROR(VLOOKUP(D1039, Repository!A:J, 9, 0), ""), "")</f>
        <v/>
      </c>
      <c r="S1039" s="105"/>
      <c r="T1039" s="105"/>
      <c r="U1039" s="105"/>
      <c r="V1039" s="105"/>
      <c r="W1039" s="105"/>
      <c r="X1039" s="105"/>
      <c r="Y1039" s="105"/>
      <c r="Z1039" s="105"/>
      <c r="AA1039" s="105"/>
      <c r="AB1039" s="105"/>
      <c r="AC1039" s="91"/>
      <c r="AD1039" s="105"/>
      <c r="AE1039" s="105"/>
      <c r="AF1039" s="91"/>
      <c r="AG1039" s="105"/>
      <c r="AH1039" s="105"/>
      <c r="AI1039" s="105" t="str">
        <f t="shared" si="1"/>
        <v/>
      </c>
      <c r="AJ1039" s="108" t="str">
        <f t="shared" si="2"/>
        <v/>
      </c>
    </row>
    <row r="1040" ht="15.75" customHeight="1">
      <c r="A1040" s="104"/>
      <c r="B1040" s="105" t="str">
        <f>IFERROR(__xludf.DUMMYFUNCTION("ARRAY_CONSTRAIN(
  ARRAYFORMULA(
    IF(
      'Final Report'!A1040="""",
      """",
      TEXTJOIN(
        "", "" &amp; CHAR(10),
        TRUE,
        IFERROR(
          VLOOKUP(
            TRIM(
              SPLIT('Final Report'!A1040, "","")
         "&amp;"   ),
            'URL Details'!A:B,
            2,
            FALSE
          ),
          """"
        )
      )
    )
  ),
  1,
  1
)
"),"")</f>
        <v/>
      </c>
      <c r="C1040" s="105" t="str">
        <f>IFERROR(__xludf.DUMMYFUNCTION("IFERROR(IF('Final Report'!A1040="""","""", TEXTJOIN(CHAR(10), TRUE, ARRAYFORMULA( ""• ""&amp; FILTER( TRIM(FLATTEN(SPLIT( REGEXREPLACE( SUBSTITUTE(TEXTJOIN("","", TRUE, IFERROR(ARRAYFORMULA(VLOOKUP(TRIM(SPLIT('Final Report'!A1040, "","")), 'URL Details'!A:D, "&amp;"4, FALSE)),"""") ), CHAR(10), "",""), ""\s*,\s*"", "",""), "",""))), TRIM(FLATTEN(SPLIT( REGEXREPLACE( SUBSTITUTE(TEXTJOIN("","", TRUE, IFERROR(ARRAYFORMULA(VLOOKUP(TRIM(SPLIT('Final Report'!A1040, "","")), 'URL Details'!A:D, 4, FALSE)),"""") ), CHAR(10),"&amp;" "",""), ""\s*,\s*"", "",""), "","")))&lt;&gt;"""" ) ) ) ),"""")
"),"")</f>
        <v/>
      </c>
      <c r="D1040" s="105"/>
      <c r="E1040" s="105"/>
      <c r="F1040" s="110" t="b">
        <v>0</v>
      </c>
      <c r="G1040" s="105" t="str">
        <f>IF(F1040=True, IFERROR(VLOOKUP(D1040, Repository!A:B, 2, 0), ""), "")</f>
        <v/>
      </c>
      <c r="H1040" s="105"/>
      <c r="I1040" s="105"/>
      <c r="J1040" s="105" t="str">
        <f>IF(F1040=True, IFERROR(VLOOKUP(D1040, Repository!A:C, 3, 0), ""), "")</f>
        <v/>
      </c>
      <c r="K1040" s="105"/>
      <c r="L1040" s="105" t="str">
        <f>IF(F1040=True, IFERROR(VLOOKUP(D1040, Repository!A:E, 5, 0), ""), "")</f>
        <v/>
      </c>
      <c r="M1040" s="105"/>
      <c r="N1040" s="105" t="str">
        <f>IF(F1040=True, IFERROR(VLOOKUP(D1040, Repository!A:G, 7, 0), ""), "")</f>
        <v/>
      </c>
      <c r="O1040" s="105" t="str">
        <f>IFERROR(__xludf.DUMMYFUNCTION("ARRAY_CONSTRAIN(
  ARRAYFORMULA(
    IFERROR(
      LET(
        list, N1040,
        arr, TRIM(SPLIT(list, "","")),
        names, XLOOKUP(
          arr,
          'Conformance Score'!A:A,
          'Conformance Score'!B:B,
          ""Not found""
     "&amp;"   ),
        TEXTJOIN("", "", TRUE, names)
      ),
      """"
    )
  ),
  1,
  1
)
"),"")</f>
        <v/>
      </c>
      <c r="P1040" s="105" t="str">
        <f>IF(F1040="Yes", IFERROR(VLOOKUP(D1040, Repository!A:F, 6, 0), ""), "")</f>
        <v/>
      </c>
      <c r="Q1040" s="105" t="str">
        <f>IF(F1040="Yes", IFERROR(VLOOKUP(D1040, Repository!A:I, 8, 0), ""), "")</f>
        <v/>
      </c>
      <c r="R1040" s="105" t="str">
        <f>IF(F1040="Yes", IFERROR(VLOOKUP(D1040, Repository!A:J, 9, 0), ""), "")</f>
        <v/>
      </c>
      <c r="S1040" s="105"/>
      <c r="T1040" s="105"/>
      <c r="U1040" s="105"/>
      <c r="V1040" s="105"/>
      <c r="W1040" s="105"/>
      <c r="X1040" s="105"/>
      <c r="Y1040" s="105"/>
      <c r="Z1040" s="105"/>
      <c r="AA1040" s="105"/>
      <c r="AB1040" s="105"/>
      <c r="AC1040" s="91"/>
      <c r="AD1040" s="105"/>
      <c r="AE1040" s="105"/>
      <c r="AF1040" s="91"/>
      <c r="AG1040" s="105"/>
      <c r="AH1040" s="105"/>
      <c r="AI1040" s="105" t="str">
        <f t="shared" si="1"/>
        <v/>
      </c>
      <c r="AJ1040" s="108" t="str">
        <f t="shared" si="2"/>
        <v/>
      </c>
    </row>
    <row r="1041" ht="15.75" customHeight="1">
      <c r="A1041" s="104"/>
      <c r="B1041" s="105" t="str">
        <f>IFERROR(__xludf.DUMMYFUNCTION("ARRAY_CONSTRAIN(
  ARRAYFORMULA(
    IF(
      'Final Report'!A1041="""",
      """",
      TEXTJOIN(
        "", "" &amp; CHAR(10),
        TRUE,
        IFERROR(
          VLOOKUP(
            TRIM(
              SPLIT('Final Report'!A1041, "","")
         "&amp;"   ),
            'URL Details'!A:B,
            2,
            FALSE
          ),
          """"
        )
      )
    )
  ),
  1,
  1
)
"),"")</f>
        <v/>
      </c>
      <c r="C1041" s="105" t="str">
        <f>IFERROR(__xludf.DUMMYFUNCTION("IFERROR(IF('Final Report'!A1041="""","""", TEXTJOIN(CHAR(10), TRUE, ARRAYFORMULA( ""• ""&amp; FILTER( TRIM(FLATTEN(SPLIT( REGEXREPLACE( SUBSTITUTE(TEXTJOIN("","", TRUE, IFERROR(ARRAYFORMULA(VLOOKUP(TRIM(SPLIT('Final Report'!A1041, "","")), 'URL Details'!A:D, "&amp;"4, FALSE)),"""") ), CHAR(10), "",""), ""\s*,\s*"", "",""), "",""))), TRIM(FLATTEN(SPLIT( REGEXREPLACE( SUBSTITUTE(TEXTJOIN("","", TRUE, IFERROR(ARRAYFORMULA(VLOOKUP(TRIM(SPLIT('Final Report'!A1041, "","")), 'URL Details'!A:D, 4, FALSE)),"""") ), CHAR(10),"&amp;" "",""), ""\s*,\s*"", "",""), "","")))&lt;&gt;"""" ) ) ) ),"""")
"),"")</f>
        <v/>
      </c>
      <c r="D1041" s="105"/>
      <c r="E1041" s="105"/>
      <c r="F1041" s="110" t="b">
        <v>0</v>
      </c>
      <c r="G1041" s="105" t="str">
        <f>IF(F1041=True, IFERROR(VLOOKUP(D1041, Repository!A:B, 2, 0), ""), "")</f>
        <v/>
      </c>
      <c r="H1041" s="105"/>
      <c r="I1041" s="105"/>
      <c r="J1041" s="105" t="str">
        <f>IF(F1041=True, IFERROR(VLOOKUP(D1041, Repository!A:C, 3, 0), ""), "")</f>
        <v/>
      </c>
      <c r="K1041" s="105"/>
      <c r="L1041" s="105" t="str">
        <f>IF(F1041=True, IFERROR(VLOOKUP(D1041, Repository!A:E, 5, 0), ""), "")</f>
        <v/>
      </c>
      <c r="M1041" s="105"/>
      <c r="N1041" s="105" t="str">
        <f>IF(F1041=True, IFERROR(VLOOKUP(D1041, Repository!A:G, 7, 0), ""), "")</f>
        <v/>
      </c>
      <c r="O1041" s="105" t="str">
        <f>IFERROR(__xludf.DUMMYFUNCTION("ARRAY_CONSTRAIN(
  ARRAYFORMULA(
    IFERROR(
      LET(
        list, N1041,
        arr, TRIM(SPLIT(list, "","")),
        names, XLOOKUP(
          arr,
          'Conformance Score'!A:A,
          'Conformance Score'!B:B,
          ""Not found""
     "&amp;"   ),
        TEXTJOIN("", "", TRUE, names)
      ),
      """"
    )
  ),
  1,
  1
)
"),"")</f>
        <v/>
      </c>
      <c r="P1041" s="105" t="str">
        <f>IF(F1041="Yes", IFERROR(VLOOKUP(D1041, Repository!A:F, 6, 0), ""), "")</f>
        <v/>
      </c>
      <c r="Q1041" s="105" t="str">
        <f>IF(F1041="Yes", IFERROR(VLOOKUP(D1041, Repository!A:I, 8, 0), ""), "")</f>
        <v/>
      </c>
      <c r="R1041" s="105" t="str">
        <f>IF(F1041="Yes", IFERROR(VLOOKUP(D1041, Repository!A:J, 9, 0), ""), "")</f>
        <v/>
      </c>
      <c r="S1041" s="105"/>
      <c r="T1041" s="105"/>
      <c r="U1041" s="105"/>
      <c r="V1041" s="105"/>
      <c r="W1041" s="105"/>
      <c r="X1041" s="105"/>
      <c r="Y1041" s="105"/>
      <c r="Z1041" s="105"/>
      <c r="AA1041" s="105"/>
      <c r="AB1041" s="105"/>
      <c r="AC1041" s="91"/>
      <c r="AD1041" s="105"/>
      <c r="AE1041" s="105"/>
      <c r="AF1041" s="91"/>
      <c r="AG1041" s="105"/>
      <c r="AH1041" s="105"/>
      <c r="AI1041" s="105" t="str">
        <f t="shared" si="1"/>
        <v/>
      </c>
      <c r="AJ1041" s="108" t="str">
        <f t="shared" si="2"/>
        <v/>
      </c>
    </row>
    <row r="1042" ht="15.75" customHeight="1">
      <c r="A1042" s="104"/>
      <c r="B1042" s="105" t="str">
        <f>IFERROR(__xludf.DUMMYFUNCTION("ARRAY_CONSTRAIN(
  ARRAYFORMULA(
    IF(
      'Final Report'!A1042="""",
      """",
      TEXTJOIN(
        "", "" &amp; CHAR(10),
        TRUE,
        IFERROR(
          VLOOKUP(
            TRIM(
              SPLIT('Final Report'!A1042, "","")
         "&amp;"   ),
            'URL Details'!A:B,
            2,
            FALSE
          ),
          """"
        )
      )
    )
  ),
  1,
  1
)
"),"")</f>
        <v/>
      </c>
      <c r="C1042" s="105" t="str">
        <f>IFERROR(__xludf.DUMMYFUNCTION("IFERROR(IF('Final Report'!A1042="""","""", TEXTJOIN(CHAR(10), TRUE, ARRAYFORMULA( ""• ""&amp; FILTER( TRIM(FLATTEN(SPLIT( REGEXREPLACE( SUBSTITUTE(TEXTJOIN("","", TRUE, IFERROR(ARRAYFORMULA(VLOOKUP(TRIM(SPLIT('Final Report'!A1042, "","")), 'URL Details'!A:D, "&amp;"4, FALSE)),"""") ), CHAR(10), "",""), ""\s*,\s*"", "",""), "",""))), TRIM(FLATTEN(SPLIT( REGEXREPLACE( SUBSTITUTE(TEXTJOIN("","", TRUE, IFERROR(ARRAYFORMULA(VLOOKUP(TRIM(SPLIT('Final Report'!A1042, "","")), 'URL Details'!A:D, 4, FALSE)),"""") ), CHAR(10),"&amp;" "",""), ""\s*,\s*"", "",""), "","")))&lt;&gt;"""" ) ) ) ),"""")
"),"")</f>
        <v/>
      </c>
      <c r="D1042" s="105"/>
      <c r="E1042" s="105"/>
      <c r="F1042" s="110" t="b">
        <v>0</v>
      </c>
      <c r="G1042" s="105" t="str">
        <f>IF(F1042=True, IFERROR(VLOOKUP(D1042, Repository!A:B, 2, 0), ""), "")</f>
        <v/>
      </c>
      <c r="H1042" s="105"/>
      <c r="I1042" s="105"/>
      <c r="J1042" s="105" t="str">
        <f>IF(F1042=True, IFERROR(VLOOKUP(D1042, Repository!A:C, 3, 0), ""), "")</f>
        <v/>
      </c>
      <c r="K1042" s="105"/>
      <c r="L1042" s="105" t="str">
        <f>IF(F1042=True, IFERROR(VLOOKUP(D1042, Repository!A:E, 5, 0), ""), "")</f>
        <v/>
      </c>
      <c r="M1042" s="105"/>
      <c r="N1042" s="105" t="str">
        <f>IF(F1042=True, IFERROR(VLOOKUP(D1042, Repository!A:G, 7, 0), ""), "")</f>
        <v/>
      </c>
      <c r="O1042" s="105" t="str">
        <f>IFERROR(__xludf.DUMMYFUNCTION("ARRAY_CONSTRAIN(
  ARRAYFORMULA(
    IFERROR(
      LET(
        list, N1042,
        arr, TRIM(SPLIT(list, "","")),
        names, XLOOKUP(
          arr,
          'Conformance Score'!A:A,
          'Conformance Score'!B:B,
          ""Not found""
     "&amp;"   ),
        TEXTJOIN("", "", TRUE, names)
      ),
      """"
    )
  ),
  1,
  1
)
"),"")</f>
        <v/>
      </c>
      <c r="P1042" s="105" t="str">
        <f>IF(F1042="Yes", IFERROR(VLOOKUP(D1042, Repository!A:F, 6, 0), ""), "")</f>
        <v/>
      </c>
      <c r="Q1042" s="105" t="str">
        <f>IF(F1042="Yes", IFERROR(VLOOKUP(D1042, Repository!A:I, 8, 0), ""), "")</f>
        <v/>
      </c>
      <c r="R1042" s="105" t="str">
        <f>IF(F1042="Yes", IFERROR(VLOOKUP(D1042, Repository!A:J, 9, 0), ""), "")</f>
        <v/>
      </c>
      <c r="S1042" s="105"/>
      <c r="T1042" s="105"/>
      <c r="U1042" s="105"/>
      <c r="V1042" s="105"/>
      <c r="W1042" s="105"/>
      <c r="X1042" s="105"/>
      <c r="Y1042" s="105"/>
      <c r="Z1042" s="105"/>
      <c r="AA1042" s="105"/>
      <c r="AB1042" s="105"/>
      <c r="AC1042" s="91"/>
      <c r="AD1042" s="105"/>
      <c r="AE1042" s="105"/>
      <c r="AF1042" s="91"/>
      <c r="AG1042" s="105"/>
      <c r="AH1042" s="105"/>
      <c r="AI1042" s="105" t="str">
        <f t="shared" si="1"/>
        <v/>
      </c>
      <c r="AJ1042" s="108" t="str">
        <f t="shared" si="2"/>
        <v/>
      </c>
    </row>
    <row r="1043" ht="15.75" customHeight="1">
      <c r="A1043" s="104"/>
      <c r="B1043" s="105" t="str">
        <f>IFERROR(__xludf.DUMMYFUNCTION("ARRAY_CONSTRAIN(
  ARRAYFORMULA(
    IF(
      'Final Report'!A1043="""",
      """",
      TEXTJOIN(
        "", "" &amp; CHAR(10),
        TRUE,
        IFERROR(
          VLOOKUP(
            TRIM(
              SPLIT('Final Report'!A1043, "","")
         "&amp;"   ),
            'URL Details'!A:B,
            2,
            FALSE
          ),
          """"
        )
      )
    )
  ),
  1,
  1
)
"),"")</f>
        <v/>
      </c>
      <c r="C1043" s="105" t="str">
        <f>IFERROR(__xludf.DUMMYFUNCTION("IFERROR(IF('Final Report'!A1043="""","""", TEXTJOIN(CHAR(10), TRUE, ARRAYFORMULA( ""• ""&amp; FILTER( TRIM(FLATTEN(SPLIT( REGEXREPLACE( SUBSTITUTE(TEXTJOIN("","", TRUE, IFERROR(ARRAYFORMULA(VLOOKUP(TRIM(SPLIT('Final Report'!A1043, "","")), 'URL Details'!A:D, "&amp;"4, FALSE)),"""") ), CHAR(10), "",""), ""\s*,\s*"", "",""), "",""))), TRIM(FLATTEN(SPLIT( REGEXREPLACE( SUBSTITUTE(TEXTJOIN("","", TRUE, IFERROR(ARRAYFORMULA(VLOOKUP(TRIM(SPLIT('Final Report'!A1043, "","")), 'URL Details'!A:D, 4, FALSE)),"""") ), CHAR(10),"&amp;" "",""), ""\s*,\s*"", "",""), "","")))&lt;&gt;"""" ) ) ) ),"""")
"),"")</f>
        <v/>
      </c>
      <c r="D1043" s="105"/>
      <c r="E1043" s="105"/>
      <c r="F1043" s="110" t="b">
        <v>0</v>
      </c>
      <c r="G1043" s="105" t="str">
        <f>IF(F1043=True, IFERROR(VLOOKUP(D1043, Repository!A:B, 2, 0), ""), "")</f>
        <v/>
      </c>
      <c r="H1043" s="105"/>
      <c r="I1043" s="105"/>
      <c r="J1043" s="105" t="str">
        <f>IF(F1043=True, IFERROR(VLOOKUP(D1043, Repository!A:C, 3, 0), ""), "")</f>
        <v/>
      </c>
      <c r="K1043" s="105"/>
      <c r="L1043" s="105" t="str">
        <f>IF(F1043=True, IFERROR(VLOOKUP(D1043, Repository!A:E, 5, 0), ""), "")</f>
        <v/>
      </c>
      <c r="M1043" s="105"/>
      <c r="N1043" s="105" t="str">
        <f>IF(F1043=True, IFERROR(VLOOKUP(D1043, Repository!A:G, 7, 0), ""), "")</f>
        <v/>
      </c>
      <c r="O1043" s="105" t="str">
        <f>IFERROR(__xludf.DUMMYFUNCTION("ARRAY_CONSTRAIN(
  ARRAYFORMULA(
    IFERROR(
      LET(
        list, N1043,
        arr, TRIM(SPLIT(list, "","")),
        names, XLOOKUP(
          arr,
          'Conformance Score'!A:A,
          'Conformance Score'!B:B,
          ""Not found""
     "&amp;"   ),
        TEXTJOIN("", "", TRUE, names)
      ),
      """"
    )
  ),
  1,
  1
)
"),"")</f>
        <v/>
      </c>
      <c r="P1043" s="105" t="str">
        <f>IF(F1043="Yes", IFERROR(VLOOKUP(D1043, Repository!A:F, 6, 0), ""), "")</f>
        <v/>
      </c>
      <c r="Q1043" s="105" t="str">
        <f>IF(F1043="Yes", IFERROR(VLOOKUP(D1043, Repository!A:I, 8, 0), ""), "")</f>
        <v/>
      </c>
      <c r="R1043" s="105" t="str">
        <f>IF(F1043="Yes", IFERROR(VLOOKUP(D1043, Repository!A:J, 9, 0), ""), "")</f>
        <v/>
      </c>
      <c r="S1043" s="105"/>
      <c r="T1043" s="105"/>
      <c r="U1043" s="105"/>
      <c r="V1043" s="105"/>
      <c r="W1043" s="105"/>
      <c r="X1043" s="105"/>
      <c r="Y1043" s="105"/>
      <c r="Z1043" s="105"/>
      <c r="AA1043" s="105"/>
      <c r="AB1043" s="105"/>
      <c r="AC1043" s="91"/>
      <c r="AD1043" s="105"/>
      <c r="AE1043" s="105"/>
      <c r="AF1043" s="91"/>
      <c r="AG1043" s="105"/>
      <c r="AH1043" s="105"/>
      <c r="AI1043" s="105" t="str">
        <f t="shared" si="1"/>
        <v/>
      </c>
      <c r="AJ1043" s="108" t="str">
        <f t="shared" si="2"/>
        <v/>
      </c>
    </row>
    <row r="1044" ht="15.75" customHeight="1">
      <c r="A1044" s="104"/>
      <c r="B1044" s="105" t="str">
        <f>IFERROR(__xludf.DUMMYFUNCTION("ARRAY_CONSTRAIN(
  ARRAYFORMULA(
    IF(
      'Final Report'!A1044="""",
      """",
      TEXTJOIN(
        "", "" &amp; CHAR(10),
        TRUE,
        IFERROR(
          VLOOKUP(
            TRIM(
              SPLIT('Final Report'!A1044, "","")
         "&amp;"   ),
            'URL Details'!A:B,
            2,
            FALSE
          ),
          """"
        )
      )
    )
  ),
  1,
  1
)
"),"")</f>
        <v/>
      </c>
      <c r="C1044" s="105" t="str">
        <f>IFERROR(__xludf.DUMMYFUNCTION("IFERROR(IF('Final Report'!A1044="""","""", TEXTJOIN(CHAR(10), TRUE, ARRAYFORMULA( ""• ""&amp; FILTER( TRIM(FLATTEN(SPLIT( REGEXREPLACE( SUBSTITUTE(TEXTJOIN("","", TRUE, IFERROR(ARRAYFORMULA(VLOOKUP(TRIM(SPLIT('Final Report'!A1044, "","")), 'URL Details'!A:D, "&amp;"4, FALSE)),"""") ), CHAR(10), "",""), ""\s*,\s*"", "",""), "",""))), TRIM(FLATTEN(SPLIT( REGEXREPLACE( SUBSTITUTE(TEXTJOIN("","", TRUE, IFERROR(ARRAYFORMULA(VLOOKUP(TRIM(SPLIT('Final Report'!A1044, "","")), 'URL Details'!A:D, 4, FALSE)),"""") ), CHAR(10),"&amp;" "",""), ""\s*,\s*"", "",""), "","")))&lt;&gt;"""" ) ) ) ),"""")
"),"")</f>
        <v/>
      </c>
      <c r="D1044" s="105"/>
      <c r="E1044" s="105"/>
      <c r="F1044" s="110" t="b">
        <v>0</v>
      </c>
      <c r="G1044" s="105" t="str">
        <f>IF(F1044=True, IFERROR(VLOOKUP(D1044, Repository!A:B, 2, 0), ""), "")</f>
        <v/>
      </c>
      <c r="H1044" s="105"/>
      <c r="I1044" s="105"/>
      <c r="J1044" s="105" t="str">
        <f>IF(F1044=True, IFERROR(VLOOKUP(D1044, Repository!A:C, 3, 0), ""), "")</f>
        <v/>
      </c>
      <c r="K1044" s="105"/>
      <c r="L1044" s="105" t="str">
        <f>IF(F1044=True, IFERROR(VLOOKUP(D1044, Repository!A:E, 5, 0), ""), "")</f>
        <v/>
      </c>
      <c r="M1044" s="105"/>
      <c r="N1044" s="105" t="str">
        <f>IF(F1044=True, IFERROR(VLOOKUP(D1044, Repository!A:G, 7, 0), ""), "")</f>
        <v/>
      </c>
      <c r="O1044" s="105" t="str">
        <f>IFERROR(__xludf.DUMMYFUNCTION("ARRAY_CONSTRAIN(
  ARRAYFORMULA(
    IFERROR(
      LET(
        list, N1044,
        arr, TRIM(SPLIT(list, "","")),
        names, XLOOKUP(
          arr,
          'Conformance Score'!A:A,
          'Conformance Score'!B:B,
          ""Not found""
     "&amp;"   ),
        TEXTJOIN("", "", TRUE, names)
      ),
      """"
    )
  ),
  1,
  1
)
"),"")</f>
        <v/>
      </c>
      <c r="P1044" s="105" t="str">
        <f>IF(F1044="Yes", IFERROR(VLOOKUP(D1044, Repository!A:F, 6, 0), ""), "")</f>
        <v/>
      </c>
      <c r="Q1044" s="105" t="str">
        <f>IF(F1044="Yes", IFERROR(VLOOKUP(D1044, Repository!A:I, 8, 0), ""), "")</f>
        <v/>
      </c>
      <c r="R1044" s="105" t="str">
        <f>IF(F1044="Yes", IFERROR(VLOOKUP(D1044, Repository!A:J, 9, 0), ""), "")</f>
        <v/>
      </c>
      <c r="S1044" s="105"/>
      <c r="T1044" s="105"/>
      <c r="U1044" s="105"/>
      <c r="V1044" s="105"/>
      <c r="W1044" s="105"/>
      <c r="X1044" s="105"/>
      <c r="Y1044" s="105"/>
      <c r="Z1044" s="105"/>
      <c r="AA1044" s="105"/>
      <c r="AB1044" s="105"/>
      <c r="AC1044" s="91"/>
      <c r="AD1044" s="105"/>
      <c r="AE1044" s="105"/>
      <c r="AF1044" s="91"/>
      <c r="AG1044" s="105"/>
      <c r="AH1044" s="105"/>
      <c r="AI1044" s="105" t="str">
        <f t="shared" si="1"/>
        <v/>
      </c>
      <c r="AJ1044" s="108" t="str">
        <f t="shared" si="2"/>
        <v/>
      </c>
    </row>
    <row r="1045" ht="15.75" customHeight="1">
      <c r="A1045" s="104"/>
      <c r="B1045" s="105" t="str">
        <f>IFERROR(__xludf.DUMMYFUNCTION("ARRAY_CONSTRAIN(
  ARRAYFORMULA(
    IF(
      'Final Report'!A1045="""",
      """",
      TEXTJOIN(
        "", "" &amp; CHAR(10),
        TRUE,
        IFERROR(
          VLOOKUP(
            TRIM(
              SPLIT('Final Report'!A1045, "","")
         "&amp;"   ),
            'URL Details'!A:B,
            2,
            FALSE
          ),
          """"
        )
      )
    )
  ),
  1,
  1
)
"),"")</f>
        <v/>
      </c>
      <c r="C1045" s="105" t="str">
        <f>IFERROR(__xludf.DUMMYFUNCTION("IFERROR(IF('Final Report'!A1045="""","""", TEXTJOIN(CHAR(10), TRUE, ARRAYFORMULA( ""• ""&amp; FILTER( TRIM(FLATTEN(SPLIT( REGEXREPLACE( SUBSTITUTE(TEXTJOIN("","", TRUE, IFERROR(ARRAYFORMULA(VLOOKUP(TRIM(SPLIT('Final Report'!A1045, "","")), 'URL Details'!A:D, "&amp;"4, FALSE)),"""") ), CHAR(10), "",""), ""\s*,\s*"", "",""), "",""))), TRIM(FLATTEN(SPLIT( REGEXREPLACE( SUBSTITUTE(TEXTJOIN("","", TRUE, IFERROR(ARRAYFORMULA(VLOOKUP(TRIM(SPLIT('Final Report'!A1045, "","")), 'URL Details'!A:D, 4, FALSE)),"""") ), CHAR(10),"&amp;" "",""), ""\s*,\s*"", "",""), "","")))&lt;&gt;"""" ) ) ) ),"""")
"),"")</f>
        <v/>
      </c>
      <c r="D1045" s="105"/>
      <c r="E1045" s="105"/>
      <c r="F1045" s="110" t="b">
        <v>0</v>
      </c>
      <c r="G1045" s="105" t="str">
        <f>IF(F1045=True, IFERROR(VLOOKUP(D1045, Repository!A:B, 2, 0), ""), "")</f>
        <v/>
      </c>
      <c r="H1045" s="105"/>
      <c r="I1045" s="105"/>
      <c r="J1045" s="105" t="str">
        <f>IF(F1045=True, IFERROR(VLOOKUP(D1045, Repository!A:C, 3, 0), ""), "")</f>
        <v/>
      </c>
      <c r="K1045" s="105"/>
      <c r="L1045" s="105" t="str">
        <f>IF(F1045=True, IFERROR(VLOOKUP(D1045, Repository!A:E, 5, 0), ""), "")</f>
        <v/>
      </c>
      <c r="M1045" s="105"/>
      <c r="N1045" s="105" t="str">
        <f>IF(F1045=True, IFERROR(VLOOKUP(D1045, Repository!A:G, 7, 0), ""), "")</f>
        <v/>
      </c>
      <c r="O1045" s="105" t="str">
        <f>IFERROR(__xludf.DUMMYFUNCTION("ARRAY_CONSTRAIN(
  ARRAYFORMULA(
    IFERROR(
      LET(
        list, N1045,
        arr, TRIM(SPLIT(list, "","")),
        names, XLOOKUP(
          arr,
          'Conformance Score'!A:A,
          'Conformance Score'!B:B,
          ""Not found""
     "&amp;"   ),
        TEXTJOIN("", "", TRUE, names)
      ),
      """"
    )
  ),
  1,
  1
)
"),"")</f>
        <v/>
      </c>
      <c r="P1045" s="105" t="str">
        <f>IF(F1045="Yes", IFERROR(VLOOKUP(D1045, Repository!A:F, 6, 0), ""), "")</f>
        <v/>
      </c>
      <c r="Q1045" s="105" t="str">
        <f>IF(F1045="Yes", IFERROR(VLOOKUP(D1045, Repository!A:I, 8, 0), ""), "")</f>
        <v/>
      </c>
      <c r="R1045" s="105" t="str">
        <f>IF(F1045="Yes", IFERROR(VLOOKUP(D1045, Repository!A:J, 9, 0), ""), "")</f>
        <v/>
      </c>
      <c r="S1045" s="105"/>
      <c r="T1045" s="105"/>
      <c r="U1045" s="105"/>
      <c r="V1045" s="105"/>
      <c r="W1045" s="105"/>
      <c r="X1045" s="105"/>
      <c r="Y1045" s="105"/>
      <c r="Z1045" s="105"/>
      <c r="AA1045" s="105"/>
      <c r="AB1045" s="105"/>
      <c r="AC1045" s="91"/>
      <c r="AD1045" s="105"/>
      <c r="AE1045" s="105"/>
      <c r="AF1045" s="91"/>
      <c r="AG1045" s="105"/>
      <c r="AH1045" s="105"/>
      <c r="AI1045" s="105" t="str">
        <f t="shared" si="1"/>
        <v/>
      </c>
      <c r="AJ1045" s="108" t="str">
        <f t="shared" si="2"/>
        <v/>
      </c>
    </row>
    <row r="1046" ht="15.75" customHeight="1">
      <c r="A1046" s="104"/>
      <c r="B1046" s="105" t="str">
        <f>IFERROR(__xludf.DUMMYFUNCTION("ARRAY_CONSTRAIN(
  ARRAYFORMULA(
    IF(
      'Final Report'!A1046="""",
      """",
      TEXTJOIN(
        "", "" &amp; CHAR(10),
        TRUE,
        IFERROR(
          VLOOKUP(
            TRIM(
              SPLIT('Final Report'!A1046, "","")
         "&amp;"   ),
            'URL Details'!A:B,
            2,
            FALSE
          ),
          """"
        )
      )
    )
  ),
  1,
  1
)
"),"")</f>
        <v/>
      </c>
      <c r="C1046" s="105" t="str">
        <f>IFERROR(__xludf.DUMMYFUNCTION("IFERROR(IF('Final Report'!A1046="""","""", TEXTJOIN(CHAR(10), TRUE, ARRAYFORMULA( ""• ""&amp; FILTER( TRIM(FLATTEN(SPLIT( REGEXREPLACE( SUBSTITUTE(TEXTJOIN("","", TRUE, IFERROR(ARRAYFORMULA(VLOOKUP(TRIM(SPLIT('Final Report'!A1046, "","")), 'URL Details'!A:D, "&amp;"4, FALSE)),"""") ), CHAR(10), "",""), ""\s*,\s*"", "",""), "",""))), TRIM(FLATTEN(SPLIT( REGEXREPLACE( SUBSTITUTE(TEXTJOIN("","", TRUE, IFERROR(ARRAYFORMULA(VLOOKUP(TRIM(SPLIT('Final Report'!A1046, "","")), 'URL Details'!A:D, 4, FALSE)),"""") ), CHAR(10),"&amp;" "",""), ""\s*,\s*"", "",""), "","")))&lt;&gt;"""" ) ) ) ),"""")
"),"")</f>
        <v/>
      </c>
      <c r="D1046" s="105"/>
      <c r="E1046" s="105"/>
      <c r="F1046" s="110" t="b">
        <v>0</v>
      </c>
      <c r="G1046" s="105" t="str">
        <f>IF(F1046=True, IFERROR(VLOOKUP(D1046, Repository!A:B, 2, 0), ""), "")</f>
        <v/>
      </c>
      <c r="H1046" s="105"/>
      <c r="I1046" s="105"/>
      <c r="J1046" s="105" t="str">
        <f>IF(F1046=True, IFERROR(VLOOKUP(D1046, Repository!A:C, 3, 0), ""), "")</f>
        <v/>
      </c>
      <c r="K1046" s="105"/>
      <c r="L1046" s="105" t="str">
        <f>IF(F1046=True, IFERROR(VLOOKUP(D1046, Repository!A:E, 5, 0), ""), "")</f>
        <v/>
      </c>
      <c r="M1046" s="105"/>
      <c r="N1046" s="105" t="str">
        <f>IF(F1046=True, IFERROR(VLOOKUP(D1046, Repository!A:G, 7, 0), ""), "")</f>
        <v/>
      </c>
      <c r="O1046" s="105" t="str">
        <f>IFERROR(__xludf.DUMMYFUNCTION("ARRAY_CONSTRAIN(
  ARRAYFORMULA(
    IFERROR(
      LET(
        list, N1046,
        arr, TRIM(SPLIT(list, "","")),
        names, XLOOKUP(
          arr,
          'Conformance Score'!A:A,
          'Conformance Score'!B:B,
          ""Not found""
     "&amp;"   ),
        TEXTJOIN("", "", TRUE, names)
      ),
      """"
    )
  ),
  1,
  1
)
"),"")</f>
        <v/>
      </c>
      <c r="P1046" s="105" t="str">
        <f>IF(F1046="Yes", IFERROR(VLOOKUP(D1046, Repository!A:F, 6, 0), ""), "")</f>
        <v/>
      </c>
      <c r="Q1046" s="105" t="str">
        <f>IF(F1046="Yes", IFERROR(VLOOKUP(D1046, Repository!A:I, 8, 0), ""), "")</f>
        <v/>
      </c>
      <c r="R1046" s="105" t="str">
        <f>IF(F1046="Yes", IFERROR(VLOOKUP(D1046, Repository!A:J, 9, 0), ""), "")</f>
        <v/>
      </c>
      <c r="S1046" s="105"/>
      <c r="T1046" s="105"/>
      <c r="U1046" s="105"/>
      <c r="V1046" s="105"/>
      <c r="W1046" s="105"/>
      <c r="X1046" s="105"/>
      <c r="Y1046" s="105"/>
      <c r="Z1046" s="105"/>
      <c r="AA1046" s="105"/>
      <c r="AB1046" s="105"/>
      <c r="AC1046" s="91"/>
      <c r="AD1046" s="105"/>
      <c r="AE1046" s="105"/>
      <c r="AF1046" s="91"/>
      <c r="AG1046" s="105"/>
      <c r="AH1046" s="105"/>
      <c r="AI1046" s="105" t="str">
        <f t="shared" si="1"/>
        <v/>
      </c>
      <c r="AJ1046" s="108" t="str">
        <f t="shared" si="2"/>
        <v/>
      </c>
    </row>
    <row r="1047" ht="15.75" customHeight="1">
      <c r="A1047" s="104"/>
      <c r="B1047" s="105" t="str">
        <f>IFERROR(__xludf.DUMMYFUNCTION("ARRAY_CONSTRAIN(
  ARRAYFORMULA(
    IF(
      'Final Report'!A1047="""",
      """",
      TEXTJOIN(
        "", "" &amp; CHAR(10),
        TRUE,
        IFERROR(
          VLOOKUP(
            TRIM(
              SPLIT('Final Report'!A1047, "","")
         "&amp;"   ),
            'URL Details'!A:B,
            2,
            FALSE
          ),
          """"
        )
      )
    )
  ),
  1,
  1
)
"),"")</f>
        <v/>
      </c>
      <c r="C1047" s="105" t="str">
        <f>IFERROR(__xludf.DUMMYFUNCTION("IFERROR(IF('Final Report'!A1047="""","""", TEXTJOIN(CHAR(10), TRUE, ARRAYFORMULA( ""• ""&amp; FILTER( TRIM(FLATTEN(SPLIT( REGEXREPLACE( SUBSTITUTE(TEXTJOIN("","", TRUE, IFERROR(ARRAYFORMULA(VLOOKUP(TRIM(SPLIT('Final Report'!A1047, "","")), 'URL Details'!A:D, "&amp;"4, FALSE)),"""") ), CHAR(10), "",""), ""\s*,\s*"", "",""), "",""))), TRIM(FLATTEN(SPLIT( REGEXREPLACE( SUBSTITUTE(TEXTJOIN("","", TRUE, IFERROR(ARRAYFORMULA(VLOOKUP(TRIM(SPLIT('Final Report'!A1047, "","")), 'URL Details'!A:D, 4, FALSE)),"""") ), CHAR(10),"&amp;" "",""), ""\s*,\s*"", "",""), "","")))&lt;&gt;"""" ) ) ) ),"""")
"),"")</f>
        <v/>
      </c>
      <c r="D1047" s="105"/>
      <c r="E1047" s="105"/>
      <c r="F1047" s="110" t="b">
        <v>0</v>
      </c>
      <c r="G1047" s="105" t="str">
        <f>IF(F1047=True, IFERROR(VLOOKUP(D1047, Repository!A:B, 2, 0), ""), "")</f>
        <v/>
      </c>
      <c r="H1047" s="105"/>
      <c r="I1047" s="105"/>
      <c r="J1047" s="105" t="str">
        <f>IF(F1047=True, IFERROR(VLOOKUP(D1047, Repository!A:C, 3, 0), ""), "")</f>
        <v/>
      </c>
      <c r="K1047" s="105"/>
      <c r="L1047" s="105" t="str">
        <f>IF(F1047=True, IFERROR(VLOOKUP(D1047, Repository!A:E, 5, 0), ""), "")</f>
        <v/>
      </c>
      <c r="M1047" s="105"/>
      <c r="N1047" s="105" t="str">
        <f>IF(F1047=True, IFERROR(VLOOKUP(D1047, Repository!A:G, 7, 0), ""), "")</f>
        <v/>
      </c>
      <c r="O1047" s="105" t="str">
        <f>IFERROR(__xludf.DUMMYFUNCTION("ARRAY_CONSTRAIN(
  ARRAYFORMULA(
    IFERROR(
      LET(
        list, N1047,
        arr, TRIM(SPLIT(list, "","")),
        names, XLOOKUP(
          arr,
          'Conformance Score'!A:A,
          'Conformance Score'!B:B,
          ""Not found""
     "&amp;"   ),
        TEXTJOIN("", "", TRUE, names)
      ),
      """"
    )
  ),
  1,
  1
)
"),"")</f>
        <v/>
      </c>
      <c r="P1047" s="105" t="str">
        <f>IF(F1047="Yes", IFERROR(VLOOKUP(D1047, Repository!A:F, 6, 0), ""), "")</f>
        <v/>
      </c>
      <c r="Q1047" s="105" t="str">
        <f>IF(F1047="Yes", IFERROR(VLOOKUP(D1047, Repository!A:I, 8, 0), ""), "")</f>
        <v/>
      </c>
      <c r="R1047" s="105" t="str">
        <f>IF(F1047="Yes", IFERROR(VLOOKUP(D1047, Repository!A:J, 9, 0), ""), "")</f>
        <v/>
      </c>
      <c r="S1047" s="105"/>
      <c r="T1047" s="105"/>
      <c r="U1047" s="105"/>
      <c r="V1047" s="105"/>
      <c r="W1047" s="105"/>
      <c r="X1047" s="105"/>
      <c r="Y1047" s="105"/>
      <c r="Z1047" s="105"/>
      <c r="AA1047" s="105"/>
      <c r="AB1047" s="105"/>
      <c r="AC1047" s="91"/>
      <c r="AD1047" s="105"/>
      <c r="AE1047" s="105"/>
      <c r="AF1047" s="91"/>
      <c r="AG1047" s="105"/>
      <c r="AH1047" s="105"/>
      <c r="AI1047" s="105" t="str">
        <f t="shared" si="1"/>
        <v/>
      </c>
      <c r="AJ1047" s="108" t="str">
        <f t="shared" si="2"/>
        <v/>
      </c>
    </row>
    <row r="1048" ht="15.75" customHeight="1">
      <c r="A1048" s="104"/>
      <c r="B1048" s="105" t="str">
        <f>IFERROR(__xludf.DUMMYFUNCTION("ARRAY_CONSTRAIN(
  ARRAYFORMULA(
    IF(
      'Final Report'!A1048="""",
      """",
      TEXTJOIN(
        "", "" &amp; CHAR(10),
        TRUE,
        IFERROR(
          VLOOKUP(
            TRIM(
              SPLIT('Final Report'!A1048, "","")
         "&amp;"   ),
            'URL Details'!A:B,
            2,
            FALSE
          ),
          """"
        )
      )
    )
  ),
  1,
  1
)
"),"")</f>
        <v/>
      </c>
      <c r="C1048" s="105" t="str">
        <f>IFERROR(__xludf.DUMMYFUNCTION("IFERROR(IF('Final Report'!A1048="""","""", TEXTJOIN(CHAR(10), TRUE, ARRAYFORMULA( ""• ""&amp; FILTER( TRIM(FLATTEN(SPLIT( REGEXREPLACE( SUBSTITUTE(TEXTJOIN("","", TRUE, IFERROR(ARRAYFORMULA(VLOOKUP(TRIM(SPLIT('Final Report'!A1048, "","")), 'URL Details'!A:D, "&amp;"4, FALSE)),"""") ), CHAR(10), "",""), ""\s*,\s*"", "",""), "",""))), TRIM(FLATTEN(SPLIT( REGEXREPLACE( SUBSTITUTE(TEXTJOIN("","", TRUE, IFERROR(ARRAYFORMULA(VLOOKUP(TRIM(SPLIT('Final Report'!A1048, "","")), 'URL Details'!A:D, 4, FALSE)),"""") ), CHAR(10),"&amp;" "",""), ""\s*,\s*"", "",""), "","")))&lt;&gt;"""" ) ) ) ),"""")
"),"")</f>
        <v/>
      </c>
      <c r="D1048" s="105"/>
      <c r="E1048" s="105"/>
      <c r="F1048" s="110" t="b">
        <v>0</v>
      </c>
      <c r="G1048" s="105" t="str">
        <f>IF(F1048=True, IFERROR(VLOOKUP(D1048, Repository!A:B, 2, 0), ""), "")</f>
        <v/>
      </c>
      <c r="H1048" s="105"/>
      <c r="I1048" s="105"/>
      <c r="J1048" s="105" t="str">
        <f>IF(F1048=True, IFERROR(VLOOKUP(D1048, Repository!A:C, 3, 0), ""), "")</f>
        <v/>
      </c>
      <c r="K1048" s="105"/>
      <c r="L1048" s="105" t="str">
        <f>IF(F1048=True, IFERROR(VLOOKUP(D1048, Repository!A:E, 5, 0), ""), "")</f>
        <v/>
      </c>
      <c r="M1048" s="105"/>
      <c r="N1048" s="105" t="str">
        <f>IF(F1048=True, IFERROR(VLOOKUP(D1048, Repository!A:G, 7, 0), ""), "")</f>
        <v/>
      </c>
      <c r="O1048" s="105" t="str">
        <f>IFERROR(__xludf.DUMMYFUNCTION("ARRAY_CONSTRAIN(
  ARRAYFORMULA(
    IFERROR(
      LET(
        list, N1048,
        arr, TRIM(SPLIT(list, "","")),
        names, XLOOKUP(
          arr,
          'Conformance Score'!A:A,
          'Conformance Score'!B:B,
          ""Not found""
     "&amp;"   ),
        TEXTJOIN("", "", TRUE, names)
      ),
      """"
    )
  ),
  1,
  1
)
"),"")</f>
        <v/>
      </c>
      <c r="P1048" s="105" t="str">
        <f>IF(F1048="Yes", IFERROR(VLOOKUP(D1048, Repository!A:F, 6, 0), ""), "")</f>
        <v/>
      </c>
      <c r="Q1048" s="105" t="str">
        <f>IF(F1048="Yes", IFERROR(VLOOKUP(D1048, Repository!A:I, 8, 0), ""), "")</f>
        <v/>
      </c>
      <c r="R1048" s="105" t="str">
        <f>IF(F1048="Yes", IFERROR(VLOOKUP(D1048, Repository!A:J, 9, 0), ""), "")</f>
        <v/>
      </c>
      <c r="S1048" s="105"/>
      <c r="T1048" s="105"/>
      <c r="U1048" s="105"/>
      <c r="V1048" s="105"/>
      <c r="W1048" s="105"/>
      <c r="X1048" s="105"/>
      <c r="Y1048" s="105"/>
      <c r="Z1048" s="105"/>
      <c r="AA1048" s="105"/>
      <c r="AB1048" s="105"/>
      <c r="AC1048" s="91"/>
      <c r="AD1048" s="105"/>
      <c r="AE1048" s="105"/>
      <c r="AF1048" s="91"/>
      <c r="AG1048" s="105"/>
      <c r="AH1048" s="105"/>
      <c r="AI1048" s="105" t="str">
        <f t="shared" si="1"/>
        <v/>
      </c>
      <c r="AJ1048" s="108" t="str">
        <f t="shared" si="2"/>
        <v/>
      </c>
    </row>
    <row r="1049" ht="15.75" customHeight="1">
      <c r="A1049" s="104"/>
      <c r="B1049" s="105" t="str">
        <f>IFERROR(__xludf.DUMMYFUNCTION("ARRAY_CONSTRAIN(
  ARRAYFORMULA(
    IF(
      'Final Report'!A1049="""",
      """",
      TEXTJOIN(
        "", "" &amp; CHAR(10),
        TRUE,
        IFERROR(
          VLOOKUP(
            TRIM(
              SPLIT('Final Report'!A1049, "","")
         "&amp;"   ),
            'URL Details'!A:B,
            2,
            FALSE
          ),
          """"
        )
      )
    )
  ),
  1,
  1
)
"),"")</f>
        <v/>
      </c>
      <c r="C1049" s="105" t="str">
        <f>IFERROR(__xludf.DUMMYFUNCTION("IFERROR(IF('Final Report'!A1049="""","""", TEXTJOIN(CHAR(10), TRUE, ARRAYFORMULA( ""• ""&amp; FILTER( TRIM(FLATTEN(SPLIT( REGEXREPLACE( SUBSTITUTE(TEXTJOIN("","", TRUE, IFERROR(ARRAYFORMULA(VLOOKUP(TRIM(SPLIT('Final Report'!A1049, "","")), 'URL Details'!A:D, "&amp;"4, FALSE)),"""") ), CHAR(10), "",""), ""\s*,\s*"", "",""), "",""))), TRIM(FLATTEN(SPLIT( REGEXREPLACE( SUBSTITUTE(TEXTJOIN("","", TRUE, IFERROR(ARRAYFORMULA(VLOOKUP(TRIM(SPLIT('Final Report'!A1049, "","")), 'URL Details'!A:D, 4, FALSE)),"""") ), CHAR(10),"&amp;" "",""), ""\s*,\s*"", "",""), "","")))&lt;&gt;"""" ) ) ) ),"""")
"),"")</f>
        <v/>
      </c>
      <c r="D1049" s="105"/>
      <c r="E1049" s="105"/>
      <c r="F1049" s="110" t="b">
        <v>0</v>
      </c>
      <c r="G1049" s="105" t="str">
        <f>IF(F1049=True, IFERROR(VLOOKUP(D1049, Repository!A:B, 2, 0), ""), "")</f>
        <v/>
      </c>
      <c r="H1049" s="105"/>
      <c r="I1049" s="105"/>
      <c r="J1049" s="105" t="str">
        <f>IF(F1049=True, IFERROR(VLOOKUP(D1049, Repository!A:C, 3, 0), ""), "")</f>
        <v/>
      </c>
      <c r="K1049" s="105"/>
      <c r="L1049" s="105" t="str">
        <f>IF(F1049=True, IFERROR(VLOOKUP(D1049, Repository!A:E, 5, 0), ""), "")</f>
        <v/>
      </c>
      <c r="M1049" s="105"/>
      <c r="N1049" s="105" t="str">
        <f>IF(F1049=True, IFERROR(VLOOKUP(D1049, Repository!A:G, 7, 0), ""), "")</f>
        <v/>
      </c>
      <c r="O1049" s="105" t="str">
        <f>IFERROR(__xludf.DUMMYFUNCTION("ARRAY_CONSTRAIN(
  ARRAYFORMULA(
    IFERROR(
      LET(
        list, N1049,
        arr, TRIM(SPLIT(list, "","")),
        names, XLOOKUP(
          arr,
          'Conformance Score'!A:A,
          'Conformance Score'!B:B,
          ""Not found""
     "&amp;"   ),
        TEXTJOIN("", "", TRUE, names)
      ),
      """"
    )
  ),
  1,
  1
)
"),"")</f>
        <v/>
      </c>
      <c r="P1049" s="105" t="str">
        <f>IF(F1049="Yes", IFERROR(VLOOKUP(D1049, Repository!A:F, 6, 0), ""), "")</f>
        <v/>
      </c>
      <c r="Q1049" s="105" t="str">
        <f>IF(F1049="Yes", IFERROR(VLOOKUP(D1049, Repository!A:I, 8, 0), ""), "")</f>
        <v/>
      </c>
      <c r="R1049" s="105" t="str">
        <f>IF(F1049="Yes", IFERROR(VLOOKUP(D1049, Repository!A:J, 9, 0), ""), "")</f>
        <v/>
      </c>
      <c r="S1049" s="105"/>
      <c r="T1049" s="105"/>
      <c r="U1049" s="105"/>
      <c r="V1049" s="105"/>
      <c r="W1049" s="105"/>
      <c r="X1049" s="105"/>
      <c r="Y1049" s="105"/>
      <c r="Z1049" s="105"/>
      <c r="AA1049" s="105"/>
      <c r="AB1049" s="105"/>
      <c r="AC1049" s="91"/>
      <c r="AD1049" s="105"/>
      <c r="AE1049" s="105"/>
      <c r="AF1049" s="91"/>
      <c r="AG1049" s="105"/>
      <c r="AH1049" s="105"/>
      <c r="AI1049" s="105" t="str">
        <f t="shared" si="1"/>
        <v/>
      </c>
      <c r="AJ1049" s="108" t="str">
        <f t="shared" si="2"/>
        <v/>
      </c>
    </row>
    <row r="1050" ht="15.75" customHeight="1">
      <c r="A1050" s="104"/>
      <c r="B1050" s="105" t="str">
        <f>IFERROR(__xludf.DUMMYFUNCTION("ARRAY_CONSTRAIN(
  ARRAYFORMULA(
    IF(
      'Final Report'!A1050="""",
      """",
      TEXTJOIN(
        "", "" &amp; CHAR(10),
        TRUE,
        IFERROR(
          VLOOKUP(
            TRIM(
              SPLIT('Final Report'!A1050, "","")
         "&amp;"   ),
            'URL Details'!A:B,
            2,
            FALSE
          ),
          """"
        )
      )
    )
  ),
  1,
  1
)
"),"")</f>
        <v/>
      </c>
      <c r="C1050" s="105" t="str">
        <f>IFERROR(__xludf.DUMMYFUNCTION("IFERROR(IF('Final Report'!A1050="""","""", TEXTJOIN(CHAR(10), TRUE, ARRAYFORMULA( ""• ""&amp; FILTER( TRIM(FLATTEN(SPLIT( REGEXREPLACE( SUBSTITUTE(TEXTJOIN("","", TRUE, IFERROR(ARRAYFORMULA(VLOOKUP(TRIM(SPLIT('Final Report'!A1050, "","")), 'URL Details'!A:D, "&amp;"4, FALSE)),"""") ), CHAR(10), "",""), ""\s*,\s*"", "",""), "",""))), TRIM(FLATTEN(SPLIT( REGEXREPLACE( SUBSTITUTE(TEXTJOIN("","", TRUE, IFERROR(ARRAYFORMULA(VLOOKUP(TRIM(SPLIT('Final Report'!A1050, "","")), 'URL Details'!A:D, 4, FALSE)),"""") ), CHAR(10),"&amp;" "",""), ""\s*,\s*"", "",""), "","")))&lt;&gt;"""" ) ) ) ),"""")
"),"")</f>
        <v/>
      </c>
      <c r="D1050" s="105"/>
      <c r="E1050" s="105"/>
      <c r="F1050" s="110" t="b">
        <v>0</v>
      </c>
      <c r="G1050" s="105" t="str">
        <f>IF(F1050=True, IFERROR(VLOOKUP(D1050, Repository!A:B, 2, 0), ""), "")</f>
        <v/>
      </c>
      <c r="H1050" s="105"/>
      <c r="I1050" s="105"/>
      <c r="J1050" s="105" t="str">
        <f>IF(F1050=True, IFERROR(VLOOKUP(D1050, Repository!A:C, 3, 0), ""), "")</f>
        <v/>
      </c>
      <c r="K1050" s="105"/>
      <c r="L1050" s="105" t="str">
        <f>IF(F1050=True, IFERROR(VLOOKUP(D1050, Repository!A:E, 5, 0), ""), "")</f>
        <v/>
      </c>
      <c r="M1050" s="105"/>
      <c r="N1050" s="105" t="str">
        <f>IF(F1050=True, IFERROR(VLOOKUP(D1050, Repository!A:G, 7, 0), ""), "")</f>
        <v/>
      </c>
      <c r="O1050" s="105" t="str">
        <f>IFERROR(__xludf.DUMMYFUNCTION("ARRAY_CONSTRAIN(
  ARRAYFORMULA(
    IFERROR(
      LET(
        list, N1050,
        arr, TRIM(SPLIT(list, "","")),
        names, XLOOKUP(
          arr,
          'Conformance Score'!A:A,
          'Conformance Score'!B:B,
          ""Not found""
     "&amp;"   ),
        TEXTJOIN("", "", TRUE, names)
      ),
      """"
    )
  ),
  1,
  1
)
"),"")</f>
        <v/>
      </c>
      <c r="P1050" s="105" t="str">
        <f>IF(F1050="Yes", IFERROR(VLOOKUP(D1050, Repository!A:F, 6, 0), ""), "")</f>
        <v/>
      </c>
      <c r="Q1050" s="105" t="str">
        <f>IF(F1050="Yes", IFERROR(VLOOKUP(D1050, Repository!A:I, 8, 0), ""), "")</f>
        <v/>
      </c>
      <c r="R1050" s="105" t="str">
        <f>IF(F1050="Yes", IFERROR(VLOOKUP(D1050, Repository!A:J, 9, 0), ""), "")</f>
        <v/>
      </c>
      <c r="S1050" s="105"/>
      <c r="T1050" s="105"/>
      <c r="U1050" s="105"/>
      <c r="V1050" s="105"/>
      <c r="W1050" s="105"/>
      <c r="X1050" s="105"/>
      <c r="Y1050" s="105"/>
      <c r="Z1050" s="105"/>
      <c r="AA1050" s="105"/>
      <c r="AB1050" s="105"/>
      <c r="AC1050" s="91"/>
      <c r="AD1050" s="105"/>
      <c r="AE1050" s="105"/>
      <c r="AF1050" s="91"/>
      <c r="AG1050" s="105"/>
      <c r="AH1050" s="105"/>
      <c r="AI1050" s="105" t="str">
        <f t="shared" si="1"/>
        <v/>
      </c>
      <c r="AJ1050" s="108" t="str">
        <f t="shared" si="2"/>
        <v/>
      </c>
    </row>
    <row r="1051" ht="15.75" customHeight="1">
      <c r="A1051" s="104"/>
      <c r="B1051" s="105" t="str">
        <f>IFERROR(__xludf.DUMMYFUNCTION("ARRAY_CONSTRAIN(
  ARRAYFORMULA(
    IF(
      'Final Report'!A1051="""",
      """",
      TEXTJOIN(
        "", "" &amp; CHAR(10),
        TRUE,
        IFERROR(
          VLOOKUP(
            TRIM(
              SPLIT('Final Report'!A1051, "","")
         "&amp;"   ),
            'URL Details'!A:B,
            2,
            FALSE
          ),
          """"
        )
      )
    )
  ),
  1,
  1
)
"),"")</f>
        <v/>
      </c>
      <c r="C1051" s="105" t="str">
        <f>IFERROR(__xludf.DUMMYFUNCTION("IFERROR(IF('Final Report'!A1051="""","""", TEXTJOIN(CHAR(10), TRUE, ARRAYFORMULA( ""• ""&amp; FILTER( TRIM(FLATTEN(SPLIT( REGEXREPLACE( SUBSTITUTE(TEXTJOIN("","", TRUE, IFERROR(ARRAYFORMULA(VLOOKUP(TRIM(SPLIT('Final Report'!A1051, "","")), 'URL Details'!A:D, "&amp;"4, FALSE)),"""") ), CHAR(10), "",""), ""\s*,\s*"", "",""), "",""))), TRIM(FLATTEN(SPLIT( REGEXREPLACE( SUBSTITUTE(TEXTJOIN("","", TRUE, IFERROR(ARRAYFORMULA(VLOOKUP(TRIM(SPLIT('Final Report'!A1051, "","")), 'URL Details'!A:D, 4, FALSE)),"""") ), CHAR(10),"&amp;" "",""), ""\s*,\s*"", "",""), "","")))&lt;&gt;"""" ) ) ) ),"""")
"),"")</f>
        <v/>
      </c>
      <c r="D1051" s="105"/>
      <c r="E1051" s="105"/>
      <c r="F1051" s="110" t="b">
        <v>0</v>
      </c>
      <c r="G1051" s="105" t="str">
        <f>IF(F1051=True, IFERROR(VLOOKUP(D1051, Repository!A:B, 2, 0), ""), "")</f>
        <v/>
      </c>
      <c r="H1051" s="105"/>
      <c r="I1051" s="105"/>
      <c r="J1051" s="105" t="str">
        <f>IF(F1051=True, IFERROR(VLOOKUP(D1051, Repository!A:C, 3, 0), ""), "")</f>
        <v/>
      </c>
      <c r="K1051" s="105"/>
      <c r="L1051" s="105" t="str">
        <f>IF(F1051=True, IFERROR(VLOOKUP(D1051, Repository!A:E, 5, 0), ""), "")</f>
        <v/>
      </c>
      <c r="M1051" s="105"/>
      <c r="N1051" s="105" t="str">
        <f>IF(F1051=True, IFERROR(VLOOKUP(D1051, Repository!A:G, 7, 0), ""), "")</f>
        <v/>
      </c>
      <c r="O1051" s="105" t="str">
        <f>IFERROR(__xludf.DUMMYFUNCTION("ARRAY_CONSTRAIN(
  ARRAYFORMULA(
    IFERROR(
      LET(
        list, N1051,
        arr, TRIM(SPLIT(list, "","")),
        names, XLOOKUP(
          arr,
          'Conformance Score'!A:A,
          'Conformance Score'!B:B,
          ""Not found""
     "&amp;"   ),
        TEXTJOIN("", "", TRUE, names)
      ),
      """"
    )
  ),
  1,
  1
)
"),"")</f>
        <v/>
      </c>
      <c r="P1051" s="105" t="str">
        <f>IF(F1051="Yes", IFERROR(VLOOKUP(D1051, Repository!A:F, 6, 0), ""), "")</f>
        <v/>
      </c>
      <c r="Q1051" s="105" t="str">
        <f>IF(F1051="Yes", IFERROR(VLOOKUP(D1051, Repository!A:I, 8, 0), ""), "")</f>
        <v/>
      </c>
      <c r="R1051" s="105" t="str">
        <f>IF(F1051="Yes", IFERROR(VLOOKUP(D1051, Repository!A:J, 9, 0), ""), "")</f>
        <v/>
      </c>
      <c r="S1051" s="105"/>
      <c r="T1051" s="105"/>
      <c r="U1051" s="105"/>
      <c r="V1051" s="105"/>
      <c r="W1051" s="105"/>
      <c r="X1051" s="105"/>
      <c r="Y1051" s="105"/>
      <c r="Z1051" s="105"/>
      <c r="AA1051" s="105"/>
      <c r="AB1051" s="105"/>
      <c r="AC1051" s="91"/>
      <c r="AD1051" s="105"/>
      <c r="AE1051" s="105"/>
      <c r="AF1051" s="91"/>
      <c r="AG1051" s="105"/>
      <c r="AH1051" s="105"/>
      <c r="AI1051" s="105" t="str">
        <f t="shared" si="1"/>
        <v/>
      </c>
      <c r="AJ1051" s="108" t="str">
        <f t="shared" si="2"/>
        <v/>
      </c>
    </row>
    <row r="1052" ht="15.75" customHeight="1">
      <c r="A1052" s="104"/>
      <c r="B1052" s="105" t="str">
        <f>IFERROR(__xludf.DUMMYFUNCTION("ARRAY_CONSTRAIN(
  ARRAYFORMULA(
    IF(
      'Final Report'!A1052="""",
      """",
      TEXTJOIN(
        "", "" &amp; CHAR(10),
        TRUE,
        IFERROR(
          VLOOKUP(
            TRIM(
              SPLIT('Final Report'!A1052, "","")
         "&amp;"   ),
            'URL Details'!A:B,
            2,
            FALSE
          ),
          """"
        )
      )
    )
  ),
  1,
  1
)
"),"")</f>
        <v/>
      </c>
      <c r="C1052" s="105" t="str">
        <f>IFERROR(__xludf.DUMMYFUNCTION("IFERROR(IF('Final Report'!A1052="""","""", TEXTJOIN(CHAR(10), TRUE, ARRAYFORMULA( ""• ""&amp; FILTER( TRIM(FLATTEN(SPLIT( REGEXREPLACE( SUBSTITUTE(TEXTJOIN("","", TRUE, IFERROR(ARRAYFORMULA(VLOOKUP(TRIM(SPLIT('Final Report'!A1052, "","")), 'URL Details'!A:D, "&amp;"4, FALSE)),"""") ), CHAR(10), "",""), ""\s*,\s*"", "",""), "",""))), TRIM(FLATTEN(SPLIT( REGEXREPLACE( SUBSTITUTE(TEXTJOIN("","", TRUE, IFERROR(ARRAYFORMULA(VLOOKUP(TRIM(SPLIT('Final Report'!A1052, "","")), 'URL Details'!A:D, 4, FALSE)),"""") ), CHAR(10),"&amp;" "",""), ""\s*,\s*"", "",""), "","")))&lt;&gt;"""" ) ) ) ),"""")
"),"")</f>
        <v/>
      </c>
      <c r="D1052" s="105"/>
      <c r="E1052" s="105"/>
      <c r="F1052" s="110" t="b">
        <v>0</v>
      </c>
      <c r="G1052" s="105" t="str">
        <f>IF(F1052=True, IFERROR(VLOOKUP(D1052, Repository!A:B, 2, 0), ""), "")</f>
        <v/>
      </c>
      <c r="H1052" s="105"/>
      <c r="I1052" s="105"/>
      <c r="J1052" s="105" t="str">
        <f>IF(F1052=True, IFERROR(VLOOKUP(D1052, Repository!A:C, 3, 0), ""), "")</f>
        <v/>
      </c>
      <c r="K1052" s="105"/>
      <c r="L1052" s="105" t="str">
        <f>IF(F1052=True, IFERROR(VLOOKUP(D1052, Repository!A:E, 5, 0), ""), "")</f>
        <v/>
      </c>
      <c r="M1052" s="105"/>
      <c r="N1052" s="105" t="str">
        <f>IF(F1052=True, IFERROR(VLOOKUP(D1052, Repository!A:G, 7, 0), ""), "")</f>
        <v/>
      </c>
      <c r="O1052" s="105" t="str">
        <f>IFERROR(__xludf.DUMMYFUNCTION("ARRAY_CONSTRAIN(
  ARRAYFORMULA(
    IFERROR(
      LET(
        list, N1052,
        arr, TRIM(SPLIT(list, "","")),
        names, XLOOKUP(
          arr,
          'Conformance Score'!A:A,
          'Conformance Score'!B:B,
          ""Not found""
     "&amp;"   ),
        TEXTJOIN("", "", TRUE, names)
      ),
      """"
    )
  ),
  1,
  1
)
"),"")</f>
        <v/>
      </c>
      <c r="P1052" s="105" t="str">
        <f>IF(F1052="Yes", IFERROR(VLOOKUP(D1052, Repository!A:F, 6, 0), ""), "")</f>
        <v/>
      </c>
      <c r="Q1052" s="105" t="str">
        <f>IF(F1052="Yes", IFERROR(VLOOKUP(D1052, Repository!A:I, 8, 0), ""), "")</f>
        <v/>
      </c>
      <c r="R1052" s="105" t="str">
        <f>IF(F1052="Yes", IFERROR(VLOOKUP(D1052, Repository!A:J, 9, 0), ""), "")</f>
        <v/>
      </c>
      <c r="S1052" s="105"/>
      <c r="T1052" s="105"/>
      <c r="U1052" s="105"/>
      <c r="V1052" s="105"/>
      <c r="W1052" s="105"/>
      <c r="X1052" s="105"/>
      <c r="Y1052" s="105"/>
      <c r="Z1052" s="105"/>
      <c r="AA1052" s="105"/>
      <c r="AB1052" s="105"/>
      <c r="AC1052" s="91"/>
      <c r="AD1052" s="105"/>
      <c r="AE1052" s="105"/>
      <c r="AF1052" s="91"/>
      <c r="AG1052" s="105"/>
      <c r="AH1052" s="105"/>
      <c r="AI1052" s="105" t="str">
        <f t="shared" si="1"/>
        <v/>
      </c>
      <c r="AJ1052" s="108" t="str">
        <f t="shared" si="2"/>
        <v/>
      </c>
    </row>
    <row r="1053" ht="15.75" customHeight="1">
      <c r="A1053" s="104"/>
      <c r="B1053" s="105" t="str">
        <f>IFERROR(__xludf.DUMMYFUNCTION("ARRAY_CONSTRAIN(
  ARRAYFORMULA(
    IF(
      'Final Report'!A1053="""",
      """",
      TEXTJOIN(
        "", "" &amp; CHAR(10),
        TRUE,
        IFERROR(
          VLOOKUP(
            TRIM(
              SPLIT('Final Report'!A1053, "","")
         "&amp;"   ),
            'URL Details'!A:B,
            2,
            FALSE
          ),
          """"
        )
      )
    )
  ),
  1,
  1
)
"),"")</f>
        <v/>
      </c>
      <c r="C1053" s="105" t="str">
        <f>IFERROR(__xludf.DUMMYFUNCTION("IFERROR(IF('Final Report'!A1053="""","""", TEXTJOIN(CHAR(10), TRUE, ARRAYFORMULA( ""• ""&amp; FILTER( TRIM(FLATTEN(SPLIT( REGEXREPLACE( SUBSTITUTE(TEXTJOIN("","", TRUE, IFERROR(ARRAYFORMULA(VLOOKUP(TRIM(SPLIT('Final Report'!A1053, "","")), 'URL Details'!A:D, "&amp;"4, FALSE)),"""") ), CHAR(10), "",""), ""\s*,\s*"", "",""), "",""))), TRIM(FLATTEN(SPLIT( REGEXREPLACE( SUBSTITUTE(TEXTJOIN("","", TRUE, IFERROR(ARRAYFORMULA(VLOOKUP(TRIM(SPLIT('Final Report'!A1053, "","")), 'URL Details'!A:D, 4, FALSE)),"""") ), CHAR(10),"&amp;" "",""), ""\s*,\s*"", "",""), "","")))&lt;&gt;"""" ) ) ) ),"""")
"),"")</f>
        <v/>
      </c>
      <c r="D1053" s="105"/>
      <c r="E1053" s="105"/>
      <c r="F1053" s="110" t="b">
        <v>0</v>
      </c>
      <c r="G1053" s="105" t="str">
        <f>IF(F1053=True, IFERROR(VLOOKUP(D1053, Repository!A:B, 2, 0), ""), "")</f>
        <v/>
      </c>
      <c r="H1053" s="105"/>
      <c r="I1053" s="105"/>
      <c r="J1053" s="105" t="str">
        <f>IF(F1053=True, IFERROR(VLOOKUP(D1053, Repository!A:C, 3, 0), ""), "")</f>
        <v/>
      </c>
      <c r="K1053" s="105"/>
      <c r="L1053" s="105" t="str">
        <f>IF(F1053=True, IFERROR(VLOOKUP(D1053, Repository!A:E, 5, 0), ""), "")</f>
        <v/>
      </c>
      <c r="M1053" s="105"/>
      <c r="N1053" s="105" t="str">
        <f>IF(F1053=True, IFERROR(VLOOKUP(D1053, Repository!A:G, 7, 0), ""), "")</f>
        <v/>
      </c>
      <c r="O1053" s="105" t="str">
        <f>IFERROR(__xludf.DUMMYFUNCTION("ARRAY_CONSTRAIN(
  ARRAYFORMULA(
    IFERROR(
      LET(
        list, N1053,
        arr, TRIM(SPLIT(list, "","")),
        names, XLOOKUP(
          arr,
          'Conformance Score'!A:A,
          'Conformance Score'!B:B,
          ""Not found""
     "&amp;"   ),
        TEXTJOIN("", "", TRUE, names)
      ),
      """"
    )
  ),
  1,
  1
)
"),"")</f>
        <v/>
      </c>
      <c r="P1053" s="105" t="str">
        <f>IF(F1053="Yes", IFERROR(VLOOKUP(D1053, Repository!A:F, 6, 0), ""), "")</f>
        <v/>
      </c>
      <c r="Q1053" s="105" t="str">
        <f>IF(F1053="Yes", IFERROR(VLOOKUP(D1053, Repository!A:I, 8, 0), ""), "")</f>
        <v/>
      </c>
      <c r="R1053" s="105" t="str">
        <f>IF(F1053="Yes", IFERROR(VLOOKUP(D1053, Repository!A:J, 9, 0), ""), "")</f>
        <v/>
      </c>
      <c r="S1053" s="105"/>
      <c r="T1053" s="105"/>
      <c r="U1053" s="105"/>
      <c r="V1053" s="105"/>
      <c r="W1053" s="105"/>
      <c r="X1053" s="105"/>
      <c r="Y1053" s="105"/>
      <c r="Z1053" s="105"/>
      <c r="AA1053" s="105"/>
      <c r="AB1053" s="105"/>
      <c r="AC1053" s="91"/>
      <c r="AD1053" s="105"/>
      <c r="AE1053" s="105"/>
      <c r="AF1053" s="91"/>
      <c r="AG1053" s="105"/>
      <c r="AH1053" s="105"/>
      <c r="AI1053" s="105" t="str">
        <f t="shared" si="1"/>
        <v/>
      </c>
      <c r="AJ1053" s="108" t="str">
        <f t="shared" si="2"/>
        <v/>
      </c>
    </row>
    <row r="1054" ht="15.75" customHeight="1">
      <c r="A1054" s="104"/>
      <c r="B1054" s="105" t="str">
        <f>IFERROR(__xludf.DUMMYFUNCTION("ARRAY_CONSTRAIN(
  ARRAYFORMULA(
    IF(
      'Final Report'!A1054="""",
      """",
      TEXTJOIN(
        "", "" &amp; CHAR(10),
        TRUE,
        IFERROR(
          VLOOKUP(
            TRIM(
              SPLIT('Final Report'!A1054, "","")
         "&amp;"   ),
            'URL Details'!A:B,
            2,
            FALSE
          ),
          """"
        )
      )
    )
  ),
  1,
  1
)
"),"")</f>
        <v/>
      </c>
      <c r="C1054" s="105" t="str">
        <f>IFERROR(__xludf.DUMMYFUNCTION("IFERROR(IF('Final Report'!A1054="""","""", TEXTJOIN(CHAR(10), TRUE, ARRAYFORMULA( ""• ""&amp; FILTER( TRIM(FLATTEN(SPLIT( REGEXREPLACE( SUBSTITUTE(TEXTJOIN("","", TRUE, IFERROR(ARRAYFORMULA(VLOOKUP(TRIM(SPLIT('Final Report'!A1054, "","")), 'URL Details'!A:D, "&amp;"4, FALSE)),"""") ), CHAR(10), "",""), ""\s*,\s*"", "",""), "",""))), TRIM(FLATTEN(SPLIT( REGEXREPLACE( SUBSTITUTE(TEXTJOIN("","", TRUE, IFERROR(ARRAYFORMULA(VLOOKUP(TRIM(SPLIT('Final Report'!A1054, "","")), 'URL Details'!A:D, 4, FALSE)),"""") ), CHAR(10),"&amp;" "",""), ""\s*,\s*"", "",""), "","")))&lt;&gt;"""" ) ) ) ),"""")
"),"")</f>
        <v/>
      </c>
      <c r="D1054" s="105"/>
      <c r="E1054" s="105"/>
      <c r="F1054" s="110" t="b">
        <v>0</v>
      </c>
      <c r="G1054" s="105" t="str">
        <f>IF(F1054=True, IFERROR(VLOOKUP(D1054, Repository!A:B, 2, 0), ""), "")</f>
        <v/>
      </c>
      <c r="H1054" s="105"/>
      <c r="I1054" s="105"/>
      <c r="J1054" s="105" t="str">
        <f>IF(F1054=True, IFERROR(VLOOKUP(D1054, Repository!A:C, 3, 0), ""), "")</f>
        <v/>
      </c>
      <c r="K1054" s="105"/>
      <c r="L1054" s="105" t="str">
        <f>IF(F1054=True, IFERROR(VLOOKUP(D1054, Repository!A:E, 5, 0), ""), "")</f>
        <v/>
      </c>
      <c r="M1054" s="105"/>
      <c r="N1054" s="105" t="str">
        <f>IF(F1054=True, IFERROR(VLOOKUP(D1054, Repository!A:G, 7, 0), ""), "")</f>
        <v/>
      </c>
      <c r="O1054" s="105" t="str">
        <f>IFERROR(__xludf.DUMMYFUNCTION("ARRAY_CONSTRAIN(
  ARRAYFORMULA(
    IFERROR(
      LET(
        list, N1054,
        arr, TRIM(SPLIT(list, "","")),
        names, XLOOKUP(
          arr,
          'Conformance Score'!A:A,
          'Conformance Score'!B:B,
          ""Not found""
     "&amp;"   ),
        TEXTJOIN("", "", TRUE, names)
      ),
      """"
    )
  ),
  1,
  1
)
"),"")</f>
        <v/>
      </c>
      <c r="P1054" s="105" t="str">
        <f>IF(F1054="Yes", IFERROR(VLOOKUP(D1054, Repository!A:F, 6, 0), ""), "")</f>
        <v/>
      </c>
      <c r="Q1054" s="105" t="str">
        <f>IF(F1054="Yes", IFERROR(VLOOKUP(D1054, Repository!A:I, 8, 0), ""), "")</f>
        <v/>
      </c>
      <c r="R1054" s="105" t="str">
        <f>IF(F1054="Yes", IFERROR(VLOOKUP(D1054, Repository!A:J, 9, 0), ""), "")</f>
        <v/>
      </c>
      <c r="S1054" s="105"/>
      <c r="T1054" s="105"/>
      <c r="U1054" s="105"/>
      <c r="V1054" s="105"/>
      <c r="W1054" s="105"/>
      <c r="X1054" s="105"/>
      <c r="Y1054" s="105"/>
      <c r="Z1054" s="105"/>
      <c r="AA1054" s="105"/>
      <c r="AB1054" s="105"/>
      <c r="AC1054" s="91"/>
      <c r="AD1054" s="105"/>
      <c r="AE1054" s="105"/>
      <c r="AF1054" s="91"/>
      <c r="AG1054" s="105"/>
      <c r="AH1054" s="105"/>
      <c r="AI1054" s="105" t="str">
        <f t="shared" si="1"/>
        <v/>
      </c>
      <c r="AJ1054" s="108" t="str">
        <f t="shared" si="2"/>
        <v/>
      </c>
    </row>
    <row r="1055" ht="15.75" customHeight="1">
      <c r="A1055" s="104"/>
      <c r="B1055" s="105" t="str">
        <f>IFERROR(__xludf.DUMMYFUNCTION("ARRAY_CONSTRAIN(
  ARRAYFORMULA(
    IF(
      'Final Report'!A1055="""",
      """",
      TEXTJOIN(
        "", "" &amp; CHAR(10),
        TRUE,
        IFERROR(
          VLOOKUP(
            TRIM(
              SPLIT('Final Report'!A1055, "","")
         "&amp;"   ),
            'URL Details'!A:B,
            2,
            FALSE
          ),
          """"
        )
      )
    )
  ),
  1,
  1
)
"),"")</f>
        <v/>
      </c>
      <c r="C1055" s="105" t="str">
        <f>IFERROR(__xludf.DUMMYFUNCTION("IFERROR(IF('Final Report'!A1055="""","""", TEXTJOIN(CHAR(10), TRUE, ARRAYFORMULA( ""• ""&amp; FILTER( TRIM(FLATTEN(SPLIT( REGEXREPLACE( SUBSTITUTE(TEXTJOIN("","", TRUE, IFERROR(ARRAYFORMULA(VLOOKUP(TRIM(SPLIT('Final Report'!A1055, "","")), 'URL Details'!A:D, "&amp;"4, FALSE)),"""") ), CHAR(10), "",""), ""\s*,\s*"", "",""), "",""))), TRIM(FLATTEN(SPLIT( REGEXREPLACE( SUBSTITUTE(TEXTJOIN("","", TRUE, IFERROR(ARRAYFORMULA(VLOOKUP(TRIM(SPLIT('Final Report'!A1055, "","")), 'URL Details'!A:D, 4, FALSE)),"""") ), CHAR(10),"&amp;" "",""), ""\s*,\s*"", "",""), "","")))&lt;&gt;"""" ) ) ) ),"""")
"),"")</f>
        <v/>
      </c>
      <c r="D1055" s="105"/>
      <c r="E1055" s="105"/>
      <c r="F1055" s="110" t="b">
        <v>0</v>
      </c>
      <c r="G1055" s="105" t="str">
        <f>IF(F1055=True, IFERROR(VLOOKUP(D1055, Repository!A:B, 2, 0), ""), "")</f>
        <v/>
      </c>
      <c r="H1055" s="105"/>
      <c r="I1055" s="105"/>
      <c r="J1055" s="105" t="str">
        <f>IF(F1055=True, IFERROR(VLOOKUP(D1055, Repository!A:C, 3, 0), ""), "")</f>
        <v/>
      </c>
      <c r="K1055" s="105"/>
      <c r="L1055" s="105" t="str">
        <f>IF(F1055=True, IFERROR(VLOOKUP(D1055, Repository!A:E, 5, 0), ""), "")</f>
        <v/>
      </c>
      <c r="M1055" s="105"/>
      <c r="N1055" s="105" t="str">
        <f>IF(F1055=True, IFERROR(VLOOKUP(D1055, Repository!A:G, 7, 0), ""), "")</f>
        <v/>
      </c>
      <c r="O1055" s="105" t="str">
        <f>IFERROR(__xludf.DUMMYFUNCTION("ARRAY_CONSTRAIN(
  ARRAYFORMULA(
    IFERROR(
      LET(
        list, N1055,
        arr, TRIM(SPLIT(list, "","")),
        names, XLOOKUP(
          arr,
          'Conformance Score'!A:A,
          'Conformance Score'!B:B,
          ""Not found""
     "&amp;"   ),
        TEXTJOIN("", "", TRUE, names)
      ),
      """"
    )
  ),
  1,
  1
)
"),"")</f>
        <v/>
      </c>
      <c r="P1055" s="105" t="str">
        <f>IF(F1055="Yes", IFERROR(VLOOKUP(D1055, Repository!A:F, 6, 0), ""), "")</f>
        <v/>
      </c>
      <c r="Q1055" s="105" t="str">
        <f>IF(F1055="Yes", IFERROR(VLOOKUP(D1055, Repository!A:I, 8, 0), ""), "")</f>
        <v/>
      </c>
      <c r="R1055" s="105" t="str">
        <f>IF(F1055="Yes", IFERROR(VLOOKUP(D1055, Repository!A:J, 9, 0), ""), "")</f>
        <v/>
      </c>
      <c r="S1055" s="105"/>
      <c r="T1055" s="105"/>
      <c r="U1055" s="105"/>
      <c r="V1055" s="105"/>
      <c r="W1055" s="105"/>
      <c r="X1055" s="105"/>
      <c r="Y1055" s="105"/>
      <c r="Z1055" s="105"/>
      <c r="AA1055" s="105"/>
      <c r="AB1055" s="105"/>
      <c r="AC1055" s="91"/>
      <c r="AD1055" s="105"/>
      <c r="AE1055" s="105"/>
      <c r="AF1055" s="91"/>
      <c r="AG1055" s="105"/>
      <c r="AH1055" s="105"/>
      <c r="AI1055" s="105" t="str">
        <f t="shared" si="1"/>
        <v/>
      </c>
      <c r="AJ1055" s="108" t="str">
        <f t="shared" si="2"/>
        <v/>
      </c>
    </row>
    <row r="1056" ht="15.75" customHeight="1">
      <c r="A1056" s="104"/>
      <c r="B1056" s="105" t="str">
        <f>IFERROR(__xludf.DUMMYFUNCTION("ARRAY_CONSTRAIN(
  ARRAYFORMULA(
    IF(
      'Final Report'!A1056="""",
      """",
      TEXTJOIN(
        "", "" &amp; CHAR(10),
        TRUE,
        IFERROR(
          VLOOKUP(
            TRIM(
              SPLIT('Final Report'!A1056, "","")
         "&amp;"   ),
            'URL Details'!A:B,
            2,
            FALSE
          ),
          """"
        )
      )
    )
  ),
  1,
  1
)
"),"")</f>
        <v/>
      </c>
      <c r="C1056" s="105" t="str">
        <f>IFERROR(__xludf.DUMMYFUNCTION("IFERROR(IF('Final Report'!A1056="""","""", TEXTJOIN(CHAR(10), TRUE, ARRAYFORMULA( ""• ""&amp; FILTER( TRIM(FLATTEN(SPLIT( REGEXREPLACE( SUBSTITUTE(TEXTJOIN("","", TRUE, IFERROR(ARRAYFORMULA(VLOOKUP(TRIM(SPLIT('Final Report'!A1056, "","")), 'URL Details'!A:D, "&amp;"4, FALSE)),"""") ), CHAR(10), "",""), ""\s*,\s*"", "",""), "",""))), TRIM(FLATTEN(SPLIT( REGEXREPLACE( SUBSTITUTE(TEXTJOIN("","", TRUE, IFERROR(ARRAYFORMULA(VLOOKUP(TRIM(SPLIT('Final Report'!A1056, "","")), 'URL Details'!A:D, 4, FALSE)),"""") ), CHAR(10),"&amp;" "",""), ""\s*,\s*"", "",""), "","")))&lt;&gt;"""" ) ) ) ),"""")
"),"")</f>
        <v/>
      </c>
      <c r="D1056" s="105"/>
      <c r="E1056" s="105"/>
      <c r="F1056" s="110" t="b">
        <v>0</v>
      </c>
      <c r="G1056" s="105" t="str">
        <f>IF(F1056=True, IFERROR(VLOOKUP(D1056, Repository!A:B, 2, 0), ""), "")</f>
        <v/>
      </c>
      <c r="H1056" s="105"/>
      <c r="I1056" s="105"/>
      <c r="J1056" s="105" t="str">
        <f>IF(F1056=True, IFERROR(VLOOKUP(D1056, Repository!A:C, 3, 0), ""), "")</f>
        <v/>
      </c>
      <c r="K1056" s="105"/>
      <c r="L1056" s="105" t="str">
        <f>IF(F1056=True, IFERROR(VLOOKUP(D1056, Repository!A:E, 5, 0), ""), "")</f>
        <v/>
      </c>
      <c r="M1056" s="105"/>
      <c r="N1056" s="105" t="str">
        <f>IF(F1056=True, IFERROR(VLOOKUP(D1056, Repository!A:G, 7, 0), ""), "")</f>
        <v/>
      </c>
      <c r="O1056" s="105" t="str">
        <f>IFERROR(__xludf.DUMMYFUNCTION("ARRAY_CONSTRAIN(
  ARRAYFORMULA(
    IFERROR(
      LET(
        list, N1056,
        arr, TRIM(SPLIT(list, "","")),
        names, XLOOKUP(
          arr,
          'Conformance Score'!A:A,
          'Conformance Score'!B:B,
          ""Not found""
     "&amp;"   ),
        TEXTJOIN("", "", TRUE, names)
      ),
      """"
    )
  ),
  1,
  1
)
"),"")</f>
        <v/>
      </c>
      <c r="P1056" s="105" t="str">
        <f>IF(F1056="Yes", IFERROR(VLOOKUP(D1056, Repository!A:F, 6, 0), ""), "")</f>
        <v/>
      </c>
      <c r="Q1056" s="105" t="str">
        <f>IF(F1056="Yes", IFERROR(VLOOKUP(D1056, Repository!A:I, 8, 0), ""), "")</f>
        <v/>
      </c>
      <c r="R1056" s="105" t="str">
        <f>IF(F1056="Yes", IFERROR(VLOOKUP(D1056, Repository!A:J, 9, 0), ""), "")</f>
        <v/>
      </c>
      <c r="S1056" s="105"/>
      <c r="T1056" s="105"/>
      <c r="U1056" s="105"/>
      <c r="V1056" s="105"/>
      <c r="W1056" s="105"/>
      <c r="X1056" s="105"/>
      <c r="Y1056" s="105"/>
      <c r="Z1056" s="105"/>
      <c r="AA1056" s="105"/>
      <c r="AB1056" s="105"/>
      <c r="AC1056" s="91"/>
      <c r="AD1056" s="105"/>
      <c r="AE1056" s="105"/>
      <c r="AF1056" s="91"/>
      <c r="AG1056" s="105"/>
      <c r="AH1056" s="105"/>
      <c r="AI1056" s="105" t="str">
        <f t="shared" si="1"/>
        <v/>
      </c>
      <c r="AJ1056" s="108" t="str">
        <f t="shared" si="2"/>
        <v/>
      </c>
    </row>
    <row r="1057" ht="15.75" customHeight="1">
      <c r="A1057" s="104"/>
      <c r="B1057" s="105" t="str">
        <f>IFERROR(__xludf.DUMMYFUNCTION("ARRAY_CONSTRAIN(
  ARRAYFORMULA(
    IF(
      'Final Report'!A1057="""",
      """",
      TEXTJOIN(
        "", "" &amp; CHAR(10),
        TRUE,
        IFERROR(
          VLOOKUP(
            TRIM(
              SPLIT('Final Report'!A1057, "","")
         "&amp;"   ),
            'URL Details'!A:B,
            2,
            FALSE
          ),
          """"
        )
      )
    )
  ),
  1,
  1
)
"),"")</f>
        <v/>
      </c>
      <c r="C1057" s="105" t="str">
        <f>IFERROR(__xludf.DUMMYFUNCTION("IFERROR(IF('Final Report'!A1057="""","""", TEXTJOIN(CHAR(10), TRUE, ARRAYFORMULA( ""• ""&amp; FILTER( TRIM(FLATTEN(SPLIT( REGEXREPLACE( SUBSTITUTE(TEXTJOIN("","", TRUE, IFERROR(ARRAYFORMULA(VLOOKUP(TRIM(SPLIT('Final Report'!A1057, "","")), 'URL Details'!A:D, "&amp;"4, FALSE)),"""") ), CHAR(10), "",""), ""\s*,\s*"", "",""), "",""))), TRIM(FLATTEN(SPLIT( REGEXREPLACE( SUBSTITUTE(TEXTJOIN("","", TRUE, IFERROR(ARRAYFORMULA(VLOOKUP(TRIM(SPLIT('Final Report'!A1057, "","")), 'URL Details'!A:D, 4, FALSE)),"""") ), CHAR(10),"&amp;" "",""), ""\s*,\s*"", "",""), "","")))&lt;&gt;"""" ) ) ) ),"""")
"),"")</f>
        <v/>
      </c>
      <c r="D1057" s="105"/>
      <c r="E1057" s="105"/>
      <c r="F1057" s="110" t="b">
        <v>0</v>
      </c>
      <c r="G1057" s="105" t="str">
        <f>IF(F1057=True, IFERROR(VLOOKUP(D1057, Repository!A:B, 2, 0), ""), "")</f>
        <v/>
      </c>
      <c r="H1057" s="105"/>
      <c r="I1057" s="105"/>
      <c r="J1057" s="105" t="str">
        <f>IF(F1057=True, IFERROR(VLOOKUP(D1057, Repository!A:C, 3, 0), ""), "")</f>
        <v/>
      </c>
      <c r="K1057" s="105"/>
      <c r="L1057" s="105" t="str">
        <f>IF(F1057=True, IFERROR(VLOOKUP(D1057, Repository!A:E, 5, 0), ""), "")</f>
        <v/>
      </c>
      <c r="M1057" s="105"/>
      <c r="N1057" s="105" t="str">
        <f>IF(F1057=True, IFERROR(VLOOKUP(D1057, Repository!A:G, 7, 0), ""), "")</f>
        <v/>
      </c>
      <c r="O1057" s="105" t="str">
        <f>IFERROR(__xludf.DUMMYFUNCTION("ARRAY_CONSTRAIN(
  ARRAYFORMULA(
    IFERROR(
      LET(
        list, N1057,
        arr, TRIM(SPLIT(list, "","")),
        names, XLOOKUP(
          arr,
          'Conformance Score'!A:A,
          'Conformance Score'!B:B,
          ""Not found""
     "&amp;"   ),
        TEXTJOIN("", "", TRUE, names)
      ),
      """"
    )
  ),
  1,
  1
)
"),"")</f>
        <v/>
      </c>
      <c r="P1057" s="105" t="str">
        <f>IF(F1057="Yes", IFERROR(VLOOKUP(D1057, Repository!A:F, 6, 0), ""), "")</f>
        <v/>
      </c>
      <c r="Q1057" s="105" t="str">
        <f>IF(F1057="Yes", IFERROR(VLOOKUP(D1057, Repository!A:I, 8, 0), ""), "")</f>
        <v/>
      </c>
      <c r="R1057" s="105" t="str">
        <f>IF(F1057="Yes", IFERROR(VLOOKUP(D1057, Repository!A:J, 9, 0), ""), "")</f>
        <v/>
      </c>
      <c r="S1057" s="105"/>
      <c r="T1057" s="105"/>
      <c r="U1057" s="105"/>
      <c r="V1057" s="105"/>
      <c r="W1057" s="105"/>
      <c r="X1057" s="105"/>
      <c r="Y1057" s="105"/>
      <c r="Z1057" s="105"/>
      <c r="AA1057" s="105"/>
      <c r="AB1057" s="105"/>
      <c r="AC1057" s="91"/>
      <c r="AD1057" s="105"/>
      <c r="AE1057" s="105"/>
      <c r="AF1057" s="91"/>
      <c r="AG1057" s="105"/>
      <c r="AH1057" s="105"/>
      <c r="AI1057" s="105" t="str">
        <f t="shared" si="1"/>
        <v/>
      </c>
      <c r="AJ1057" s="108" t="str">
        <f t="shared" si="2"/>
        <v/>
      </c>
    </row>
    <row r="1058" ht="15.75" customHeight="1">
      <c r="A1058" s="104"/>
      <c r="B1058" s="105" t="str">
        <f>IFERROR(__xludf.DUMMYFUNCTION("ARRAY_CONSTRAIN(
  ARRAYFORMULA(
    IF(
      'Final Report'!A1058="""",
      """",
      TEXTJOIN(
        "", "" &amp; CHAR(10),
        TRUE,
        IFERROR(
          VLOOKUP(
            TRIM(
              SPLIT('Final Report'!A1058, "","")
         "&amp;"   ),
            'URL Details'!A:B,
            2,
            FALSE
          ),
          """"
        )
      )
    )
  ),
  1,
  1
)
"),"")</f>
        <v/>
      </c>
      <c r="C1058" s="105" t="str">
        <f>IFERROR(__xludf.DUMMYFUNCTION("IFERROR(IF('Final Report'!A1058="""","""", TEXTJOIN(CHAR(10), TRUE, ARRAYFORMULA( ""• ""&amp; FILTER( TRIM(FLATTEN(SPLIT( REGEXREPLACE( SUBSTITUTE(TEXTJOIN("","", TRUE, IFERROR(ARRAYFORMULA(VLOOKUP(TRIM(SPLIT('Final Report'!A1058, "","")), 'URL Details'!A:D, "&amp;"4, FALSE)),"""") ), CHAR(10), "",""), ""\s*,\s*"", "",""), "",""))), TRIM(FLATTEN(SPLIT( REGEXREPLACE( SUBSTITUTE(TEXTJOIN("","", TRUE, IFERROR(ARRAYFORMULA(VLOOKUP(TRIM(SPLIT('Final Report'!A1058, "","")), 'URL Details'!A:D, 4, FALSE)),"""") ), CHAR(10),"&amp;" "",""), ""\s*,\s*"", "",""), "","")))&lt;&gt;"""" ) ) ) ),"""")
"),"")</f>
        <v/>
      </c>
      <c r="D1058" s="105"/>
      <c r="E1058" s="105"/>
      <c r="F1058" s="110" t="b">
        <v>0</v>
      </c>
      <c r="G1058" s="105" t="str">
        <f>IF(F1058=True, IFERROR(VLOOKUP(D1058, Repository!A:B, 2, 0), ""), "")</f>
        <v/>
      </c>
      <c r="H1058" s="105"/>
      <c r="I1058" s="105"/>
      <c r="J1058" s="105" t="str">
        <f>IF(F1058=True, IFERROR(VLOOKUP(D1058, Repository!A:C, 3, 0), ""), "")</f>
        <v/>
      </c>
      <c r="K1058" s="105"/>
      <c r="L1058" s="105" t="str">
        <f>IF(F1058=True, IFERROR(VLOOKUP(D1058, Repository!A:E, 5, 0), ""), "")</f>
        <v/>
      </c>
      <c r="M1058" s="105"/>
      <c r="N1058" s="105" t="str">
        <f>IF(F1058=True, IFERROR(VLOOKUP(D1058, Repository!A:G, 7, 0), ""), "")</f>
        <v/>
      </c>
      <c r="O1058" s="105" t="str">
        <f>IFERROR(__xludf.DUMMYFUNCTION("ARRAY_CONSTRAIN(
  ARRAYFORMULA(
    IFERROR(
      LET(
        list, N1058,
        arr, TRIM(SPLIT(list, "","")),
        names, XLOOKUP(
          arr,
          'Conformance Score'!A:A,
          'Conformance Score'!B:B,
          ""Not found""
     "&amp;"   ),
        TEXTJOIN("", "", TRUE, names)
      ),
      """"
    )
  ),
  1,
  1
)
"),"")</f>
        <v/>
      </c>
      <c r="P1058" s="105" t="str">
        <f>IF(F1058="Yes", IFERROR(VLOOKUP(D1058, Repository!A:F, 6, 0), ""), "")</f>
        <v/>
      </c>
      <c r="Q1058" s="105" t="str">
        <f>IF(F1058="Yes", IFERROR(VLOOKUP(D1058, Repository!A:I, 8, 0), ""), "")</f>
        <v/>
      </c>
      <c r="R1058" s="105" t="str">
        <f>IF(F1058="Yes", IFERROR(VLOOKUP(D1058, Repository!A:J, 9, 0), ""), "")</f>
        <v/>
      </c>
      <c r="S1058" s="105"/>
      <c r="T1058" s="105"/>
      <c r="U1058" s="105"/>
      <c r="V1058" s="105"/>
      <c r="W1058" s="105"/>
      <c r="X1058" s="105"/>
      <c r="Y1058" s="105"/>
      <c r="Z1058" s="105"/>
      <c r="AA1058" s="105"/>
      <c r="AB1058" s="105"/>
      <c r="AC1058" s="91"/>
      <c r="AD1058" s="105"/>
      <c r="AE1058" s="105"/>
      <c r="AF1058" s="91"/>
      <c r="AG1058" s="105"/>
      <c r="AH1058" s="105"/>
      <c r="AI1058" s="105" t="str">
        <f t="shared" si="1"/>
        <v/>
      </c>
      <c r="AJ1058" s="108" t="str">
        <f t="shared" si="2"/>
        <v/>
      </c>
    </row>
    <row r="1059" ht="15.75" customHeight="1">
      <c r="A1059" s="104"/>
      <c r="B1059" s="105" t="str">
        <f>IFERROR(__xludf.DUMMYFUNCTION("ARRAY_CONSTRAIN(
  ARRAYFORMULA(
    IF(
      'Final Report'!A1059="""",
      """",
      TEXTJOIN(
        "", "" &amp; CHAR(10),
        TRUE,
        IFERROR(
          VLOOKUP(
            TRIM(
              SPLIT('Final Report'!A1059, "","")
         "&amp;"   ),
            'URL Details'!A:B,
            2,
            FALSE
          ),
          """"
        )
      )
    )
  ),
  1,
  1
)
"),"")</f>
        <v/>
      </c>
      <c r="C1059" s="105" t="str">
        <f>IFERROR(__xludf.DUMMYFUNCTION("IFERROR(IF('Final Report'!A1059="""","""", TEXTJOIN(CHAR(10), TRUE, ARRAYFORMULA( ""• ""&amp; FILTER( TRIM(FLATTEN(SPLIT( REGEXREPLACE( SUBSTITUTE(TEXTJOIN("","", TRUE, IFERROR(ARRAYFORMULA(VLOOKUP(TRIM(SPLIT('Final Report'!A1059, "","")), 'URL Details'!A:D, "&amp;"4, FALSE)),"""") ), CHAR(10), "",""), ""\s*,\s*"", "",""), "",""))), TRIM(FLATTEN(SPLIT( REGEXREPLACE( SUBSTITUTE(TEXTJOIN("","", TRUE, IFERROR(ARRAYFORMULA(VLOOKUP(TRIM(SPLIT('Final Report'!A1059, "","")), 'URL Details'!A:D, 4, FALSE)),"""") ), CHAR(10),"&amp;" "",""), ""\s*,\s*"", "",""), "","")))&lt;&gt;"""" ) ) ) ),"""")
"),"")</f>
        <v/>
      </c>
      <c r="D1059" s="105"/>
      <c r="E1059" s="105"/>
      <c r="F1059" s="110" t="b">
        <v>0</v>
      </c>
      <c r="G1059" s="105" t="str">
        <f>IF(F1059=True, IFERROR(VLOOKUP(D1059, Repository!A:B, 2, 0), ""), "")</f>
        <v/>
      </c>
      <c r="H1059" s="105"/>
      <c r="I1059" s="105"/>
      <c r="J1059" s="105" t="str">
        <f>IF(F1059=True, IFERROR(VLOOKUP(D1059, Repository!A:C, 3, 0), ""), "")</f>
        <v/>
      </c>
      <c r="K1059" s="105"/>
      <c r="L1059" s="105" t="str">
        <f>IF(F1059=True, IFERROR(VLOOKUP(D1059, Repository!A:E, 5, 0), ""), "")</f>
        <v/>
      </c>
      <c r="M1059" s="105"/>
      <c r="N1059" s="105" t="str">
        <f>IF(F1059=True, IFERROR(VLOOKUP(D1059, Repository!A:G, 7, 0), ""), "")</f>
        <v/>
      </c>
      <c r="O1059" s="105" t="str">
        <f>IFERROR(__xludf.DUMMYFUNCTION("ARRAY_CONSTRAIN(
  ARRAYFORMULA(
    IFERROR(
      LET(
        list, N1059,
        arr, TRIM(SPLIT(list, "","")),
        names, XLOOKUP(
          arr,
          'Conformance Score'!A:A,
          'Conformance Score'!B:B,
          ""Not found""
     "&amp;"   ),
        TEXTJOIN("", "", TRUE, names)
      ),
      """"
    )
  ),
  1,
  1
)
"),"")</f>
        <v/>
      </c>
      <c r="P1059" s="105" t="str">
        <f>IF(F1059="Yes", IFERROR(VLOOKUP(D1059, Repository!A:F, 6, 0), ""), "")</f>
        <v/>
      </c>
      <c r="Q1059" s="105" t="str">
        <f>IF(F1059="Yes", IFERROR(VLOOKUP(D1059, Repository!A:I, 8, 0), ""), "")</f>
        <v/>
      </c>
      <c r="R1059" s="105" t="str">
        <f>IF(F1059="Yes", IFERROR(VLOOKUP(D1059, Repository!A:J, 9, 0), ""), "")</f>
        <v/>
      </c>
      <c r="S1059" s="105"/>
      <c r="T1059" s="105"/>
      <c r="U1059" s="105"/>
      <c r="V1059" s="105"/>
      <c r="W1059" s="105"/>
      <c r="X1059" s="105"/>
      <c r="Y1059" s="105"/>
      <c r="Z1059" s="105"/>
      <c r="AA1059" s="105"/>
      <c r="AB1059" s="105"/>
      <c r="AC1059" s="91"/>
      <c r="AD1059" s="105"/>
      <c r="AE1059" s="105"/>
      <c r="AF1059" s="91"/>
      <c r="AG1059" s="105"/>
      <c r="AH1059" s="105"/>
      <c r="AI1059" s="105" t="str">
        <f t="shared" si="1"/>
        <v/>
      </c>
      <c r="AJ1059" s="108" t="str">
        <f t="shared" si="2"/>
        <v/>
      </c>
    </row>
    <row r="1060" ht="15.75" customHeight="1">
      <c r="A1060" s="104"/>
      <c r="B1060" s="105" t="str">
        <f>IFERROR(__xludf.DUMMYFUNCTION("ARRAY_CONSTRAIN(
  ARRAYFORMULA(
    IF(
      'Final Report'!A1060="""",
      """",
      TEXTJOIN(
        "", "" &amp; CHAR(10),
        TRUE,
        IFERROR(
          VLOOKUP(
            TRIM(
              SPLIT('Final Report'!A1060, "","")
         "&amp;"   ),
            'URL Details'!A:B,
            2,
            FALSE
          ),
          """"
        )
      )
    )
  ),
  1,
  1
)
"),"")</f>
        <v/>
      </c>
      <c r="C1060" s="105" t="str">
        <f>IFERROR(__xludf.DUMMYFUNCTION("IFERROR(IF('Final Report'!A1060="""","""", TEXTJOIN(CHAR(10), TRUE, ARRAYFORMULA( ""• ""&amp; FILTER( TRIM(FLATTEN(SPLIT( REGEXREPLACE( SUBSTITUTE(TEXTJOIN("","", TRUE, IFERROR(ARRAYFORMULA(VLOOKUP(TRIM(SPLIT('Final Report'!A1060, "","")), 'URL Details'!A:D, "&amp;"4, FALSE)),"""") ), CHAR(10), "",""), ""\s*,\s*"", "",""), "",""))), TRIM(FLATTEN(SPLIT( REGEXREPLACE( SUBSTITUTE(TEXTJOIN("","", TRUE, IFERROR(ARRAYFORMULA(VLOOKUP(TRIM(SPLIT('Final Report'!A1060, "","")), 'URL Details'!A:D, 4, FALSE)),"""") ), CHAR(10),"&amp;" "",""), ""\s*,\s*"", "",""), "","")))&lt;&gt;"""" ) ) ) ),"""")
"),"")</f>
        <v/>
      </c>
      <c r="D1060" s="105"/>
      <c r="E1060" s="105"/>
      <c r="F1060" s="110" t="b">
        <v>0</v>
      </c>
      <c r="G1060" s="105" t="str">
        <f>IF(F1060=True, IFERROR(VLOOKUP(D1060, Repository!A:B, 2, 0), ""), "")</f>
        <v/>
      </c>
      <c r="H1060" s="105"/>
      <c r="I1060" s="105"/>
      <c r="J1060" s="105" t="str">
        <f>IF(F1060=True, IFERROR(VLOOKUP(D1060, Repository!A:C, 3, 0), ""), "")</f>
        <v/>
      </c>
      <c r="K1060" s="105"/>
      <c r="L1060" s="105" t="str">
        <f>IF(F1060=True, IFERROR(VLOOKUP(D1060, Repository!A:E, 5, 0), ""), "")</f>
        <v/>
      </c>
      <c r="M1060" s="105"/>
      <c r="N1060" s="105" t="str">
        <f>IF(F1060=True, IFERROR(VLOOKUP(D1060, Repository!A:G, 7, 0), ""), "")</f>
        <v/>
      </c>
      <c r="O1060" s="105" t="str">
        <f>IFERROR(__xludf.DUMMYFUNCTION("ARRAY_CONSTRAIN(
  ARRAYFORMULA(
    IFERROR(
      LET(
        list, N1060,
        arr, TRIM(SPLIT(list, "","")),
        names, XLOOKUP(
          arr,
          'Conformance Score'!A:A,
          'Conformance Score'!B:B,
          ""Not found""
     "&amp;"   ),
        TEXTJOIN("", "", TRUE, names)
      ),
      """"
    )
  ),
  1,
  1
)
"),"")</f>
        <v/>
      </c>
      <c r="P1060" s="105" t="str">
        <f>IF(F1060="Yes", IFERROR(VLOOKUP(D1060, Repository!A:F, 6, 0), ""), "")</f>
        <v/>
      </c>
      <c r="Q1060" s="105" t="str">
        <f>IF(F1060="Yes", IFERROR(VLOOKUP(D1060, Repository!A:I, 8, 0), ""), "")</f>
        <v/>
      </c>
      <c r="R1060" s="105" t="str">
        <f>IF(F1060="Yes", IFERROR(VLOOKUP(D1060, Repository!A:J, 9, 0), ""), "")</f>
        <v/>
      </c>
      <c r="S1060" s="105"/>
      <c r="T1060" s="105"/>
      <c r="U1060" s="105"/>
      <c r="V1060" s="105"/>
      <c r="W1060" s="105"/>
      <c r="X1060" s="105"/>
      <c r="Y1060" s="105"/>
      <c r="Z1060" s="105"/>
      <c r="AA1060" s="105"/>
      <c r="AB1060" s="105"/>
      <c r="AC1060" s="91"/>
      <c r="AD1060" s="105"/>
      <c r="AE1060" s="105"/>
      <c r="AF1060" s="91"/>
      <c r="AG1060" s="105"/>
      <c r="AH1060" s="105"/>
      <c r="AI1060" s="105" t="str">
        <f t="shared" si="1"/>
        <v/>
      </c>
      <c r="AJ1060" s="108" t="str">
        <f t="shared" si="2"/>
        <v/>
      </c>
    </row>
    <row r="1061" ht="15.75" customHeight="1">
      <c r="A1061" s="104"/>
      <c r="B1061" s="105" t="str">
        <f>IFERROR(__xludf.DUMMYFUNCTION("ARRAY_CONSTRAIN(
  ARRAYFORMULA(
    IF(
      'Final Report'!A1061="""",
      """",
      TEXTJOIN(
        "", "" &amp; CHAR(10),
        TRUE,
        IFERROR(
          VLOOKUP(
            TRIM(
              SPLIT('Final Report'!A1061, "","")
         "&amp;"   ),
            'URL Details'!A:B,
            2,
            FALSE
          ),
          """"
        )
      )
    )
  ),
  1,
  1
)
"),"")</f>
        <v/>
      </c>
      <c r="C1061" s="105" t="str">
        <f>IFERROR(__xludf.DUMMYFUNCTION("IFERROR(IF('Final Report'!A1061="""","""", TEXTJOIN(CHAR(10), TRUE, ARRAYFORMULA( ""• ""&amp; FILTER( TRIM(FLATTEN(SPLIT( REGEXREPLACE( SUBSTITUTE(TEXTJOIN("","", TRUE, IFERROR(ARRAYFORMULA(VLOOKUP(TRIM(SPLIT('Final Report'!A1061, "","")), 'URL Details'!A:D, "&amp;"4, FALSE)),"""") ), CHAR(10), "",""), ""\s*,\s*"", "",""), "",""))), TRIM(FLATTEN(SPLIT( REGEXREPLACE( SUBSTITUTE(TEXTJOIN("","", TRUE, IFERROR(ARRAYFORMULA(VLOOKUP(TRIM(SPLIT('Final Report'!A1061, "","")), 'URL Details'!A:D, 4, FALSE)),"""") ), CHAR(10),"&amp;" "",""), ""\s*,\s*"", "",""), "","")))&lt;&gt;"""" ) ) ) ),"""")
"),"")</f>
        <v/>
      </c>
      <c r="D1061" s="105"/>
      <c r="E1061" s="105"/>
      <c r="F1061" s="110" t="b">
        <v>0</v>
      </c>
      <c r="G1061" s="105" t="str">
        <f>IF(F1061=True, IFERROR(VLOOKUP(D1061, Repository!A:B, 2, 0), ""), "")</f>
        <v/>
      </c>
      <c r="H1061" s="105"/>
      <c r="I1061" s="105"/>
      <c r="J1061" s="105" t="str">
        <f>IF(F1061=True, IFERROR(VLOOKUP(D1061, Repository!A:C, 3, 0), ""), "")</f>
        <v/>
      </c>
      <c r="K1061" s="105"/>
      <c r="L1061" s="105" t="str">
        <f>IF(F1061=True, IFERROR(VLOOKUP(D1061, Repository!A:E, 5, 0), ""), "")</f>
        <v/>
      </c>
      <c r="M1061" s="105"/>
      <c r="N1061" s="105" t="str">
        <f>IF(F1061=True, IFERROR(VLOOKUP(D1061, Repository!A:G, 7, 0), ""), "")</f>
        <v/>
      </c>
      <c r="O1061" s="105" t="str">
        <f>IFERROR(__xludf.DUMMYFUNCTION("ARRAY_CONSTRAIN(
  ARRAYFORMULA(
    IFERROR(
      LET(
        list, N1061,
        arr, TRIM(SPLIT(list, "","")),
        names, XLOOKUP(
          arr,
          'Conformance Score'!A:A,
          'Conformance Score'!B:B,
          ""Not found""
     "&amp;"   ),
        TEXTJOIN("", "", TRUE, names)
      ),
      """"
    )
  ),
  1,
  1
)
"),"")</f>
        <v/>
      </c>
      <c r="P1061" s="105" t="str">
        <f>IF(F1061="Yes", IFERROR(VLOOKUP(D1061, Repository!A:F, 6, 0), ""), "")</f>
        <v/>
      </c>
      <c r="Q1061" s="105" t="str">
        <f>IF(F1061="Yes", IFERROR(VLOOKUP(D1061, Repository!A:I, 8, 0), ""), "")</f>
        <v/>
      </c>
      <c r="R1061" s="105" t="str">
        <f>IF(F1061="Yes", IFERROR(VLOOKUP(D1061, Repository!A:J, 9, 0), ""), "")</f>
        <v/>
      </c>
      <c r="S1061" s="105"/>
      <c r="T1061" s="105"/>
      <c r="U1061" s="105"/>
      <c r="V1061" s="105"/>
      <c r="W1061" s="105"/>
      <c r="X1061" s="105"/>
      <c r="Y1061" s="105"/>
      <c r="Z1061" s="105"/>
      <c r="AA1061" s="105"/>
      <c r="AB1061" s="105"/>
      <c r="AC1061" s="91"/>
      <c r="AD1061" s="105"/>
      <c r="AE1061" s="105"/>
      <c r="AF1061" s="91"/>
      <c r="AG1061" s="105"/>
      <c r="AH1061" s="105"/>
      <c r="AI1061" s="105" t="str">
        <f t="shared" si="1"/>
        <v/>
      </c>
      <c r="AJ1061" s="108" t="str">
        <f t="shared" si="2"/>
        <v/>
      </c>
    </row>
    <row r="1062" ht="15.75" customHeight="1">
      <c r="A1062" s="104"/>
      <c r="B1062" s="105" t="str">
        <f>IFERROR(__xludf.DUMMYFUNCTION("ARRAY_CONSTRAIN(
  ARRAYFORMULA(
    IF(
      'Final Report'!A1062="""",
      """",
      TEXTJOIN(
        "", "" &amp; CHAR(10),
        TRUE,
        IFERROR(
          VLOOKUP(
            TRIM(
              SPLIT('Final Report'!A1062, "","")
         "&amp;"   ),
            'URL Details'!A:B,
            2,
            FALSE
          ),
          """"
        )
      )
    )
  ),
  1,
  1
)
"),"")</f>
        <v/>
      </c>
      <c r="C1062" s="105" t="str">
        <f>IFERROR(__xludf.DUMMYFUNCTION("IFERROR(IF('Final Report'!A1062="""","""", TEXTJOIN(CHAR(10), TRUE, ARRAYFORMULA( ""• ""&amp; FILTER( TRIM(FLATTEN(SPLIT( REGEXREPLACE( SUBSTITUTE(TEXTJOIN("","", TRUE, IFERROR(ARRAYFORMULA(VLOOKUP(TRIM(SPLIT('Final Report'!A1062, "","")), 'URL Details'!A:D, "&amp;"4, FALSE)),"""") ), CHAR(10), "",""), ""\s*,\s*"", "",""), "",""))), TRIM(FLATTEN(SPLIT( REGEXREPLACE( SUBSTITUTE(TEXTJOIN("","", TRUE, IFERROR(ARRAYFORMULA(VLOOKUP(TRIM(SPLIT('Final Report'!A1062, "","")), 'URL Details'!A:D, 4, FALSE)),"""") ), CHAR(10),"&amp;" "",""), ""\s*,\s*"", "",""), "","")))&lt;&gt;"""" ) ) ) ),"""")
"),"")</f>
        <v/>
      </c>
      <c r="D1062" s="105"/>
      <c r="E1062" s="105"/>
      <c r="F1062" s="110" t="b">
        <v>0</v>
      </c>
      <c r="G1062" s="105" t="str">
        <f>IF(F1062=True, IFERROR(VLOOKUP(D1062, Repository!A:B, 2, 0), ""), "")</f>
        <v/>
      </c>
      <c r="H1062" s="105"/>
      <c r="I1062" s="105"/>
      <c r="J1062" s="105" t="str">
        <f>IF(F1062=True, IFERROR(VLOOKUP(D1062, Repository!A:C, 3, 0), ""), "")</f>
        <v/>
      </c>
      <c r="K1062" s="105"/>
      <c r="L1062" s="105" t="str">
        <f>IF(F1062=True, IFERROR(VLOOKUP(D1062, Repository!A:E, 5, 0), ""), "")</f>
        <v/>
      </c>
      <c r="M1062" s="105"/>
      <c r="N1062" s="105" t="str">
        <f>IF(F1062=True, IFERROR(VLOOKUP(D1062, Repository!A:G, 7, 0), ""), "")</f>
        <v/>
      </c>
      <c r="O1062" s="105" t="str">
        <f>IFERROR(__xludf.DUMMYFUNCTION("ARRAY_CONSTRAIN(
  ARRAYFORMULA(
    IFERROR(
      LET(
        list, N1062,
        arr, TRIM(SPLIT(list, "","")),
        names, XLOOKUP(
          arr,
          'Conformance Score'!A:A,
          'Conformance Score'!B:B,
          ""Not found""
     "&amp;"   ),
        TEXTJOIN("", "", TRUE, names)
      ),
      """"
    )
  ),
  1,
  1
)
"),"")</f>
        <v/>
      </c>
      <c r="P1062" s="105" t="str">
        <f>IF(F1062="Yes", IFERROR(VLOOKUP(D1062, Repository!A:F, 6, 0), ""), "")</f>
        <v/>
      </c>
      <c r="Q1062" s="105" t="str">
        <f>IF(F1062="Yes", IFERROR(VLOOKUP(D1062, Repository!A:I, 8, 0), ""), "")</f>
        <v/>
      </c>
      <c r="R1062" s="105" t="str">
        <f>IF(F1062="Yes", IFERROR(VLOOKUP(D1062, Repository!A:J, 9, 0), ""), "")</f>
        <v/>
      </c>
      <c r="S1062" s="105"/>
      <c r="T1062" s="105"/>
      <c r="U1062" s="105"/>
      <c r="V1062" s="105"/>
      <c r="W1062" s="105"/>
      <c r="X1062" s="105"/>
      <c r="Y1062" s="105"/>
      <c r="Z1062" s="105"/>
      <c r="AA1062" s="105"/>
      <c r="AB1062" s="105"/>
      <c r="AC1062" s="91"/>
      <c r="AD1062" s="105"/>
      <c r="AE1062" s="105"/>
      <c r="AF1062" s="91"/>
      <c r="AG1062" s="105"/>
      <c r="AH1062" s="105"/>
      <c r="AI1062" s="105" t="str">
        <f t="shared" si="1"/>
        <v/>
      </c>
      <c r="AJ1062" s="108" t="str">
        <f t="shared" si="2"/>
        <v/>
      </c>
    </row>
    <row r="1063" ht="15.75" customHeight="1">
      <c r="A1063" s="104"/>
      <c r="B1063" s="105" t="str">
        <f>IFERROR(__xludf.DUMMYFUNCTION("ARRAY_CONSTRAIN(
  ARRAYFORMULA(
    IF(
      'Final Report'!A1063="""",
      """",
      TEXTJOIN(
        "", "" &amp; CHAR(10),
        TRUE,
        IFERROR(
          VLOOKUP(
            TRIM(
              SPLIT('Final Report'!A1063, "","")
         "&amp;"   ),
            'URL Details'!A:B,
            2,
            FALSE
          ),
          """"
        )
      )
    )
  ),
  1,
  1
)
"),"")</f>
        <v/>
      </c>
      <c r="C1063" s="105" t="str">
        <f>IFERROR(__xludf.DUMMYFUNCTION("IFERROR(IF('Final Report'!A1063="""","""", TEXTJOIN(CHAR(10), TRUE, ARRAYFORMULA( ""• ""&amp; FILTER( TRIM(FLATTEN(SPLIT( REGEXREPLACE( SUBSTITUTE(TEXTJOIN("","", TRUE, IFERROR(ARRAYFORMULA(VLOOKUP(TRIM(SPLIT('Final Report'!A1063, "","")), 'URL Details'!A:D, "&amp;"4, FALSE)),"""") ), CHAR(10), "",""), ""\s*,\s*"", "",""), "",""))), TRIM(FLATTEN(SPLIT( REGEXREPLACE( SUBSTITUTE(TEXTJOIN("","", TRUE, IFERROR(ARRAYFORMULA(VLOOKUP(TRIM(SPLIT('Final Report'!A1063, "","")), 'URL Details'!A:D, 4, FALSE)),"""") ), CHAR(10),"&amp;" "",""), ""\s*,\s*"", "",""), "","")))&lt;&gt;"""" ) ) ) ),"""")
"),"")</f>
        <v/>
      </c>
      <c r="D1063" s="105"/>
      <c r="E1063" s="105"/>
      <c r="F1063" s="110" t="b">
        <v>0</v>
      </c>
      <c r="G1063" s="105" t="str">
        <f>IF(F1063=True, IFERROR(VLOOKUP(D1063, Repository!A:B, 2, 0), ""), "")</f>
        <v/>
      </c>
      <c r="H1063" s="105"/>
      <c r="I1063" s="105"/>
      <c r="J1063" s="105" t="str">
        <f>IF(F1063=True, IFERROR(VLOOKUP(D1063, Repository!A:C, 3, 0), ""), "")</f>
        <v/>
      </c>
      <c r="K1063" s="105"/>
      <c r="L1063" s="105" t="str">
        <f>IF(F1063=True, IFERROR(VLOOKUP(D1063, Repository!A:E, 5, 0), ""), "")</f>
        <v/>
      </c>
      <c r="M1063" s="105"/>
      <c r="N1063" s="105" t="str">
        <f>IF(F1063=True, IFERROR(VLOOKUP(D1063, Repository!A:G, 7, 0), ""), "")</f>
        <v/>
      </c>
      <c r="O1063" s="105" t="str">
        <f>IFERROR(__xludf.DUMMYFUNCTION("ARRAY_CONSTRAIN(
  ARRAYFORMULA(
    IFERROR(
      LET(
        list, N1063,
        arr, TRIM(SPLIT(list, "","")),
        names, XLOOKUP(
          arr,
          'Conformance Score'!A:A,
          'Conformance Score'!B:B,
          ""Not found""
     "&amp;"   ),
        TEXTJOIN("", "", TRUE, names)
      ),
      """"
    )
  ),
  1,
  1
)
"),"")</f>
        <v/>
      </c>
      <c r="P1063" s="105" t="str">
        <f>IF(F1063="Yes", IFERROR(VLOOKUP(D1063, Repository!A:F, 6, 0), ""), "")</f>
        <v/>
      </c>
      <c r="Q1063" s="105" t="str">
        <f>IF(F1063="Yes", IFERROR(VLOOKUP(D1063, Repository!A:I, 8, 0), ""), "")</f>
        <v/>
      </c>
      <c r="R1063" s="105" t="str">
        <f>IF(F1063="Yes", IFERROR(VLOOKUP(D1063, Repository!A:J, 9, 0), ""), "")</f>
        <v/>
      </c>
      <c r="S1063" s="105"/>
      <c r="T1063" s="105"/>
      <c r="U1063" s="105"/>
      <c r="V1063" s="105"/>
      <c r="W1063" s="105"/>
      <c r="X1063" s="105"/>
      <c r="Y1063" s="105"/>
      <c r="Z1063" s="105"/>
      <c r="AA1063" s="105"/>
      <c r="AB1063" s="105"/>
      <c r="AC1063" s="91"/>
      <c r="AD1063" s="105"/>
      <c r="AE1063" s="105"/>
      <c r="AF1063" s="91"/>
      <c r="AG1063" s="105"/>
      <c r="AH1063" s="105"/>
      <c r="AI1063" s="105" t="str">
        <f t="shared" si="1"/>
        <v/>
      </c>
      <c r="AJ1063" s="108" t="str">
        <f t="shared" si="2"/>
        <v/>
      </c>
    </row>
    <row r="1064" ht="15.75" customHeight="1">
      <c r="A1064" s="104"/>
      <c r="B1064" s="105" t="str">
        <f>IFERROR(__xludf.DUMMYFUNCTION("ARRAY_CONSTRAIN(
  ARRAYFORMULA(
    IF(
      'Final Report'!A1064="""",
      """",
      TEXTJOIN(
        "", "" &amp; CHAR(10),
        TRUE,
        IFERROR(
          VLOOKUP(
            TRIM(
              SPLIT('Final Report'!A1064, "","")
         "&amp;"   ),
            'URL Details'!A:B,
            2,
            FALSE
          ),
          """"
        )
      )
    )
  ),
  1,
  1
)
"),"")</f>
        <v/>
      </c>
      <c r="C1064" s="105" t="str">
        <f>IFERROR(__xludf.DUMMYFUNCTION("IFERROR(IF('Final Report'!A1064="""","""", TEXTJOIN(CHAR(10), TRUE, ARRAYFORMULA( ""• ""&amp; FILTER( TRIM(FLATTEN(SPLIT( REGEXREPLACE( SUBSTITUTE(TEXTJOIN("","", TRUE, IFERROR(ARRAYFORMULA(VLOOKUP(TRIM(SPLIT('Final Report'!A1064, "","")), 'URL Details'!A:D, "&amp;"4, FALSE)),"""") ), CHAR(10), "",""), ""\s*,\s*"", "",""), "",""))), TRIM(FLATTEN(SPLIT( REGEXREPLACE( SUBSTITUTE(TEXTJOIN("","", TRUE, IFERROR(ARRAYFORMULA(VLOOKUP(TRIM(SPLIT('Final Report'!A1064, "","")), 'URL Details'!A:D, 4, FALSE)),"""") ), CHAR(10),"&amp;" "",""), ""\s*,\s*"", "",""), "","")))&lt;&gt;"""" ) ) ) ),"""")
"),"")</f>
        <v/>
      </c>
      <c r="D1064" s="105"/>
      <c r="E1064" s="105"/>
      <c r="F1064" s="110" t="b">
        <v>0</v>
      </c>
      <c r="G1064" s="105" t="str">
        <f>IF(F1064=True, IFERROR(VLOOKUP(D1064, Repository!A:B, 2, 0), ""), "")</f>
        <v/>
      </c>
      <c r="H1064" s="105"/>
      <c r="I1064" s="105"/>
      <c r="J1064" s="105" t="str">
        <f>IF(F1064=True, IFERROR(VLOOKUP(D1064, Repository!A:C, 3, 0), ""), "")</f>
        <v/>
      </c>
      <c r="K1064" s="105"/>
      <c r="L1064" s="105" t="str">
        <f>IF(F1064=True, IFERROR(VLOOKUP(D1064, Repository!A:E, 5, 0), ""), "")</f>
        <v/>
      </c>
      <c r="M1064" s="105"/>
      <c r="N1064" s="105" t="str">
        <f>IF(F1064=True, IFERROR(VLOOKUP(D1064, Repository!A:G, 7, 0), ""), "")</f>
        <v/>
      </c>
      <c r="O1064" s="105" t="str">
        <f>IFERROR(__xludf.DUMMYFUNCTION("ARRAY_CONSTRAIN(
  ARRAYFORMULA(
    IFERROR(
      LET(
        list, N1064,
        arr, TRIM(SPLIT(list, "","")),
        names, XLOOKUP(
          arr,
          'Conformance Score'!A:A,
          'Conformance Score'!B:B,
          ""Not found""
     "&amp;"   ),
        TEXTJOIN("", "", TRUE, names)
      ),
      """"
    )
  ),
  1,
  1
)
"),"")</f>
        <v/>
      </c>
      <c r="P1064" s="105" t="str">
        <f>IF(F1064="Yes", IFERROR(VLOOKUP(D1064, Repository!A:F, 6, 0), ""), "")</f>
        <v/>
      </c>
      <c r="Q1064" s="105" t="str">
        <f>IF(F1064="Yes", IFERROR(VLOOKUP(D1064, Repository!A:I, 8, 0), ""), "")</f>
        <v/>
      </c>
      <c r="R1064" s="105" t="str">
        <f>IF(F1064="Yes", IFERROR(VLOOKUP(D1064, Repository!A:J, 9, 0), ""), "")</f>
        <v/>
      </c>
      <c r="S1064" s="105"/>
      <c r="T1064" s="105"/>
      <c r="U1064" s="105"/>
      <c r="V1064" s="105"/>
      <c r="W1064" s="105"/>
      <c r="X1064" s="105"/>
      <c r="Y1064" s="105"/>
      <c r="Z1064" s="105"/>
      <c r="AA1064" s="105"/>
      <c r="AB1064" s="105"/>
      <c r="AC1064" s="91"/>
      <c r="AD1064" s="105"/>
      <c r="AE1064" s="105"/>
      <c r="AF1064" s="91"/>
      <c r="AG1064" s="105"/>
      <c r="AH1064" s="105"/>
      <c r="AI1064" s="105" t="str">
        <f t="shared" si="1"/>
        <v/>
      </c>
      <c r="AJ1064" s="108" t="str">
        <f t="shared" si="2"/>
        <v/>
      </c>
    </row>
    <row r="1065" ht="15.75" customHeight="1">
      <c r="A1065" s="104"/>
      <c r="B1065" s="105" t="str">
        <f>IFERROR(__xludf.DUMMYFUNCTION("ARRAY_CONSTRAIN(
  ARRAYFORMULA(
    IF(
      'Final Report'!A1065="""",
      """",
      TEXTJOIN(
        "", "" &amp; CHAR(10),
        TRUE,
        IFERROR(
          VLOOKUP(
            TRIM(
              SPLIT('Final Report'!A1065, "","")
         "&amp;"   ),
            'URL Details'!A:B,
            2,
            FALSE
          ),
          """"
        )
      )
    )
  ),
  1,
  1
)
"),"")</f>
        <v/>
      </c>
      <c r="C1065" s="105" t="str">
        <f>IFERROR(__xludf.DUMMYFUNCTION("IFERROR(IF('Final Report'!A1065="""","""", TEXTJOIN(CHAR(10), TRUE, ARRAYFORMULA( ""• ""&amp; FILTER( TRIM(FLATTEN(SPLIT( REGEXREPLACE( SUBSTITUTE(TEXTJOIN("","", TRUE, IFERROR(ARRAYFORMULA(VLOOKUP(TRIM(SPLIT('Final Report'!A1065, "","")), 'URL Details'!A:D, "&amp;"4, FALSE)),"""") ), CHAR(10), "",""), ""\s*,\s*"", "",""), "",""))), TRIM(FLATTEN(SPLIT( REGEXREPLACE( SUBSTITUTE(TEXTJOIN("","", TRUE, IFERROR(ARRAYFORMULA(VLOOKUP(TRIM(SPLIT('Final Report'!A1065, "","")), 'URL Details'!A:D, 4, FALSE)),"""") ), CHAR(10),"&amp;" "",""), ""\s*,\s*"", "",""), "","")))&lt;&gt;"""" ) ) ) ),"""")
"),"")</f>
        <v/>
      </c>
      <c r="D1065" s="105"/>
      <c r="E1065" s="105"/>
      <c r="F1065" s="110" t="b">
        <v>0</v>
      </c>
      <c r="G1065" s="105" t="str">
        <f>IF(F1065=True, IFERROR(VLOOKUP(D1065, Repository!A:B, 2, 0), ""), "")</f>
        <v/>
      </c>
      <c r="H1065" s="105"/>
      <c r="I1065" s="105"/>
      <c r="J1065" s="105" t="str">
        <f>IF(F1065=True, IFERROR(VLOOKUP(D1065, Repository!A:C, 3, 0), ""), "")</f>
        <v/>
      </c>
      <c r="K1065" s="105"/>
      <c r="L1065" s="105" t="str">
        <f>IF(F1065=True, IFERROR(VLOOKUP(D1065, Repository!A:E, 5, 0), ""), "")</f>
        <v/>
      </c>
      <c r="M1065" s="105"/>
      <c r="N1065" s="105" t="str">
        <f>IF(F1065=True, IFERROR(VLOOKUP(D1065, Repository!A:G, 7, 0), ""), "")</f>
        <v/>
      </c>
      <c r="O1065" s="105" t="str">
        <f>IFERROR(__xludf.DUMMYFUNCTION("ARRAY_CONSTRAIN(
  ARRAYFORMULA(
    IFERROR(
      LET(
        list, N1065,
        arr, TRIM(SPLIT(list, "","")),
        names, XLOOKUP(
          arr,
          'Conformance Score'!A:A,
          'Conformance Score'!B:B,
          ""Not found""
     "&amp;"   ),
        TEXTJOIN("", "", TRUE, names)
      ),
      """"
    )
  ),
  1,
  1
)
"),"")</f>
        <v/>
      </c>
      <c r="P1065" s="105" t="str">
        <f>IF(F1065="Yes", IFERROR(VLOOKUP(D1065, Repository!A:F, 6, 0), ""), "")</f>
        <v/>
      </c>
      <c r="Q1065" s="105" t="str">
        <f>IF(F1065="Yes", IFERROR(VLOOKUP(D1065, Repository!A:I, 8, 0), ""), "")</f>
        <v/>
      </c>
      <c r="R1065" s="105" t="str">
        <f>IF(F1065="Yes", IFERROR(VLOOKUP(D1065, Repository!A:J, 9, 0), ""), "")</f>
        <v/>
      </c>
      <c r="S1065" s="105"/>
      <c r="T1065" s="105"/>
      <c r="U1065" s="105"/>
      <c r="V1065" s="105"/>
      <c r="W1065" s="105"/>
      <c r="X1065" s="105"/>
      <c r="Y1065" s="105"/>
      <c r="Z1065" s="105"/>
      <c r="AA1065" s="105"/>
      <c r="AB1065" s="105"/>
      <c r="AC1065" s="91"/>
      <c r="AD1065" s="105"/>
      <c r="AE1065" s="105"/>
      <c r="AF1065" s="91"/>
      <c r="AG1065" s="105"/>
      <c r="AH1065" s="105"/>
      <c r="AI1065" s="105" t="str">
        <f t="shared" si="1"/>
        <v/>
      </c>
      <c r="AJ1065" s="108" t="str">
        <f t="shared" si="2"/>
        <v/>
      </c>
    </row>
    <row r="1066" ht="15.75" customHeight="1">
      <c r="A1066" s="104"/>
      <c r="B1066" s="105" t="str">
        <f>IFERROR(__xludf.DUMMYFUNCTION("ARRAY_CONSTRAIN(
  ARRAYFORMULA(
    IF(
      'Final Report'!A1066="""",
      """",
      TEXTJOIN(
        "", "" &amp; CHAR(10),
        TRUE,
        IFERROR(
          VLOOKUP(
            TRIM(
              SPLIT('Final Report'!A1066, "","")
         "&amp;"   ),
            'URL Details'!A:B,
            2,
            FALSE
          ),
          """"
        )
      )
    )
  ),
  1,
  1
)
"),"")</f>
        <v/>
      </c>
      <c r="C1066" s="105" t="str">
        <f>IFERROR(__xludf.DUMMYFUNCTION("IFERROR(IF('Final Report'!A1066="""","""", TEXTJOIN(CHAR(10), TRUE, ARRAYFORMULA( ""• ""&amp; FILTER( TRIM(FLATTEN(SPLIT( REGEXREPLACE( SUBSTITUTE(TEXTJOIN("","", TRUE, IFERROR(ARRAYFORMULA(VLOOKUP(TRIM(SPLIT('Final Report'!A1066, "","")), 'URL Details'!A:D, "&amp;"4, FALSE)),"""") ), CHAR(10), "",""), ""\s*,\s*"", "",""), "",""))), TRIM(FLATTEN(SPLIT( REGEXREPLACE( SUBSTITUTE(TEXTJOIN("","", TRUE, IFERROR(ARRAYFORMULA(VLOOKUP(TRIM(SPLIT('Final Report'!A1066, "","")), 'URL Details'!A:D, 4, FALSE)),"""") ), CHAR(10),"&amp;" "",""), ""\s*,\s*"", "",""), "","")))&lt;&gt;"""" ) ) ) ),"""")
"),"")</f>
        <v/>
      </c>
      <c r="D1066" s="105"/>
      <c r="E1066" s="105"/>
      <c r="F1066" s="110" t="b">
        <v>0</v>
      </c>
      <c r="G1066" s="105" t="str">
        <f>IF(F1066=True, IFERROR(VLOOKUP(D1066, Repository!A:B, 2, 0), ""), "")</f>
        <v/>
      </c>
      <c r="H1066" s="105"/>
      <c r="I1066" s="105"/>
      <c r="J1066" s="105" t="str">
        <f>IF(F1066=True, IFERROR(VLOOKUP(D1066, Repository!A:C, 3, 0), ""), "")</f>
        <v/>
      </c>
      <c r="K1066" s="105"/>
      <c r="L1066" s="105" t="str">
        <f>IF(F1066=True, IFERROR(VLOOKUP(D1066, Repository!A:E, 5, 0), ""), "")</f>
        <v/>
      </c>
      <c r="M1066" s="105"/>
      <c r="N1066" s="105" t="str">
        <f>IF(F1066=True, IFERROR(VLOOKUP(D1066, Repository!A:G, 7, 0), ""), "")</f>
        <v/>
      </c>
      <c r="O1066" s="105" t="str">
        <f>IFERROR(__xludf.DUMMYFUNCTION("ARRAY_CONSTRAIN(
  ARRAYFORMULA(
    IFERROR(
      LET(
        list, N1066,
        arr, TRIM(SPLIT(list, "","")),
        names, XLOOKUP(
          arr,
          'Conformance Score'!A:A,
          'Conformance Score'!B:B,
          ""Not found""
     "&amp;"   ),
        TEXTJOIN("", "", TRUE, names)
      ),
      """"
    )
  ),
  1,
  1
)
"),"")</f>
        <v/>
      </c>
      <c r="P1066" s="105" t="str">
        <f>IF(F1066="Yes", IFERROR(VLOOKUP(D1066, Repository!A:F, 6, 0), ""), "")</f>
        <v/>
      </c>
      <c r="Q1066" s="105" t="str">
        <f>IF(F1066="Yes", IFERROR(VLOOKUP(D1066, Repository!A:I, 8, 0), ""), "")</f>
        <v/>
      </c>
      <c r="R1066" s="105" t="str">
        <f>IF(F1066="Yes", IFERROR(VLOOKUP(D1066, Repository!A:J, 9, 0), ""), "")</f>
        <v/>
      </c>
      <c r="S1066" s="105"/>
      <c r="T1066" s="105"/>
      <c r="U1066" s="105"/>
      <c r="V1066" s="105"/>
      <c r="W1066" s="105"/>
      <c r="X1066" s="105"/>
      <c r="Y1066" s="105"/>
      <c r="Z1066" s="105"/>
      <c r="AA1066" s="105"/>
      <c r="AB1066" s="105"/>
      <c r="AC1066" s="91"/>
      <c r="AD1066" s="105"/>
      <c r="AE1066" s="105"/>
      <c r="AF1066" s="91"/>
      <c r="AG1066" s="105"/>
      <c r="AH1066" s="105"/>
      <c r="AI1066" s="105" t="str">
        <f t="shared" si="1"/>
        <v/>
      </c>
      <c r="AJ1066" s="108" t="str">
        <f t="shared" si="2"/>
        <v/>
      </c>
    </row>
    <row r="1067" ht="15.75" customHeight="1">
      <c r="A1067" s="104"/>
      <c r="B1067" s="105" t="str">
        <f>IFERROR(__xludf.DUMMYFUNCTION("ARRAY_CONSTRAIN(
  ARRAYFORMULA(
    IF(
      'Final Report'!A1067="""",
      """",
      TEXTJOIN(
        "", "" &amp; CHAR(10),
        TRUE,
        IFERROR(
          VLOOKUP(
            TRIM(
              SPLIT('Final Report'!A1067, "","")
         "&amp;"   ),
            'URL Details'!A:B,
            2,
            FALSE
          ),
          """"
        )
      )
    )
  ),
  1,
  1
)
"),"")</f>
        <v/>
      </c>
      <c r="C1067" s="105" t="str">
        <f>IFERROR(__xludf.DUMMYFUNCTION("IFERROR(IF('Final Report'!A1067="""","""", TEXTJOIN(CHAR(10), TRUE, ARRAYFORMULA( ""• ""&amp; FILTER( TRIM(FLATTEN(SPLIT( REGEXREPLACE( SUBSTITUTE(TEXTJOIN("","", TRUE, IFERROR(ARRAYFORMULA(VLOOKUP(TRIM(SPLIT('Final Report'!A1067, "","")), 'URL Details'!A:D, "&amp;"4, FALSE)),"""") ), CHAR(10), "",""), ""\s*,\s*"", "",""), "",""))), TRIM(FLATTEN(SPLIT( REGEXREPLACE( SUBSTITUTE(TEXTJOIN("","", TRUE, IFERROR(ARRAYFORMULA(VLOOKUP(TRIM(SPLIT('Final Report'!A1067, "","")), 'URL Details'!A:D, 4, FALSE)),"""") ), CHAR(10),"&amp;" "",""), ""\s*,\s*"", "",""), "","")))&lt;&gt;"""" ) ) ) ),"""")
"),"")</f>
        <v/>
      </c>
      <c r="D1067" s="105"/>
      <c r="E1067" s="105"/>
      <c r="F1067" s="110" t="b">
        <v>0</v>
      </c>
      <c r="G1067" s="105" t="str">
        <f>IF(F1067=True, IFERROR(VLOOKUP(D1067, Repository!A:B, 2, 0), ""), "")</f>
        <v/>
      </c>
      <c r="H1067" s="105"/>
      <c r="I1067" s="105"/>
      <c r="J1067" s="105" t="str">
        <f>IF(F1067=True, IFERROR(VLOOKUP(D1067, Repository!A:C, 3, 0), ""), "")</f>
        <v/>
      </c>
      <c r="K1067" s="105"/>
      <c r="L1067" s="105" t="str">
        <f>IF(F1067=True, IFERROR(VLOOKUP(D1067, Repository!A:E, 5, 0), ""), "")</f>
        <v/>
      </c>
      <c r="M1067" s="105"/>
      <c r="N1067" s="105" t="str">
        <f>IF(F1067=True, IFERROR(VLOOKUP(D1067, Repository!A:G, 7, 0), ""), "")</f>
        <v/>
      </c>
      <c r="O1067" s="105" t="str">
        <f>IFERROR(__xludf.DUMMYFUNCTION("ARRAY_CONSTRAIN(
  ARRAYFORMULA(
    IFERROR(
      LET(
        list, N1067,
        arr, TRIM(SPLIT(list, "","")),
        names, XLOOKUP(
          arr,
          'Conformance Score'!A:A,
          'Conformance Score'!B:B,
          ""Not found""
     "&amp;"   ),
        TEXTJOIN("", "", TRUE, names)
      ),
      """"
    )
  ),
  1,
  1
)
"),"")</f>
        <v/>
      </c>
      <c r="P1067" s="105" t="str">
        <f>IF(F1067="Yes", IFERROR(VLOOKUP(D1067, Repository!A:F, 6, 0), ""), "")</f>
        <v/>
      </c>
      <c r="Q1067" s="105" t="str">
        <f>IF(F1067="Yes", IFERROR(VLOOKUP(D1067, Repository!A:I, 8, 0), ""), "")</f>
        <v/>
      </c>
      <c r="R1067" s="105" t="str">
        <f>IF(F1067="Yes", IFERROR(VLOOKUP(D1067, Repository!A:J, 9, 0), ""), "")</f>
        <v/>
      </c>
      <c r="S1067" s="105"/>
      <c r="T1067" s="105"/>
      <c r="U1067" s="105"/>
      <c r="V1067" s="105"/>
      <c r="W1067" s="105"/>
      <c r="X1067" s="105"/>
      <c r="Y1067" s="105"/>
      <c r="Z1067" s="105"/>
      <c r="AA1067" s="105"/>
      <c r="AB1067" s="105"/>
      <c r="AC1067" s="91"/>
      <c r="AD1067" s="105"/>
      <c r="AE1067" s="105"/>
      <c r="AF1067" s="91"/>
      <c r="AG1067" s="105"/>
      <c r="AH1067" s="105"/>
      <c r="AI1067" s="105" t="str">
        <f t="shared" si="1"/>
        <v/>
      </c>
      <c r="AJ1067" s="108" t="str">
        <f t="shared" si="2"/>
        <v/>
      </c>
    </row>
    <row r="1068" ht="15.75" customHeight="1">
      <c r="A1068" s="104"/>
      <c r="B1068" s="105" t="str">
        <f>IFERROR(__xludf.DUMMYFUNCTION("ARRAY_CONSTRAIN(
  ARRAYFORMULA(
    IF(
      'Final Report'!A1068="""",
      """",
      TEXTJOIN(
        "", "" &amp; CHAR(10),
        TRUE,
        IFERROR(
          VLOOKUP(
            TRIM(
              SPLIT('Final Report'!A1068, "","")
         "&amp;"   ),
            'URL Details'!A:B,
            2,
            FALSE
          ),
          """"
        )
      )
    )
  ),
  1,
  1
)
"),"")</f>
        <v/>
      </c>
      <c r="C1068" s="105" t="str">
        <f>IFERROR(__xludf.DUMMYFUNCTION("IFERROR(IF('Final Report'!A1068="""","""", TEXTJOIN(CHAR(10), TRUE, ARRAYFORMULA( ""• ""&amp; FILTER( TRIM(FLATTEN(SPLIT( REGEXREPLACE( SUBSTITUTE(TEXTJOIN("","", TRUE, IFERROR(ARRAYFORMULA(VLOOKUP(TRIM(SPLIT('Final Report'!A1068, "","")), 'URL Details'!A:D, "&amp;"4, FALSE)),"""") ), CHAR(10), "",""), ""\s*,\s*"", "",""), "",""))), TRIM(FLATTEN(SPLIT( REGEXREPLACE( SUBSTITUTE(TEXTJOIN("","", TRUE, IFERROR(ARRAYFORMULA(VLOOKUP(TRIM(SPLIT('Final Report'!A1068, "","")), 'URL Details'!A:D, 4, FALSE)),"""") ), CHAR(10),"&amp;" "",""), ""\s*,\s*"", "",""), "","")))&lt;&gt;"""" ) ) ) ),"""")
"),"")</f>
        <v/>
      </c>
      <c r="D1068" s="105"/>
      <c r="E1068" s="105"/>
      <c r="F1068" s="110" t="b">
        <v>0</v>
      </c>
      <c r="G1068" s="105" t="str">
        <f>IF(F1068=True, IFERROR(VLOOKUP(D1068, Repository!A:B, 2, 0), ""), "")</f>
        <v/>
      </c>
      <c r="H1068" s="105"/>
      <c r="I1068" s="105"/>
      <c r="J1068" s="105" t="str">
        <f>IF(F1068=True, IFERROR(VLOOKUP(D1068, Repository!A:C, 3, 0), ""), "")</f>
        <v/>
      </c>
      <c r="K1068" s="105"/>
      <c r="L1068" s="105" t="str">
        <f>IF(F1068=True, IFERROR(VLOOKUP(D1068, Repository!A:E, 5, 0), ""), "")</f>
        <v/>
      </c>
      <c r="M1068" s="105"/>
      <c r="N1068" s="105" t="str">
        <f>IF(F1068=True, IFERROR(VLOOKUP(D1068, Repository!A:G, 7, 0), ""), "")</f>
        <v/>
      </c>
      <c r="O1068" s="105" t="str">
        <f>IFERROR(__xludf.DUMMYFUNCTION("ARRAY_CONSTRAIN(
  ARRAYFORMULA(
    IFERROR(
      LET(
        list, N1068,
        arr, TRIM(SPLIT(list, "","")),
        names, XLOOKUP(
          arr,
          'Conformance Score'!A:A,
          'Conformance Score'!B:B,
          ""Not found""
     "&amp;"   ),
        TEXTJOIN("", "", TRUE, names)
      ),
      """"
    )
  ),
  1,
  1
)
"),"")</f>
        <v/>
      </c>
      <c r="P1068" s="105" t="str">
        <f>IF(F1068="Yes", IFERROR(VLOOKUP(D1068, Repository!A:F, 6, 0), ""), "")</f>
        <v/>
      </c>
      <c r="Q1068" s="105" t="str">
        <f>IF(F1068="Yes", IFERROR(VLOOKUP(D1068, Repository!A:I, 8, 0), ""), "")</f>
        <v/>
      </c>
      <c r="R1068" s="105" t="str">
        <f>IF(F1068="Yes", IFERROR(VLOOKUP(D1068, Repository!A:J, 9, 0), ""), "")</f>
        <v/>
      </c>
      <c r="S1068" s="105"/>
      <c r="T1068" s="105"/>
      <c r="U1068" s="105"/>
      <c r="V1068" s="105"/>
      <c r="W1068" s="105"/>
      <c r="X1068" s="105"/>
      <c r="Y1068" s="105"/>
      <c r="Z1068" s="105"/>
      <c r="AA1068" s="105"/>
      <c r="AB1068" s="105"/>
      <c r="AC1068" s="91"/>
      <c r="AD1068" s="105"/>
      <c r="AE1068" s="105"/>
      <c r="AF1068" s="91"/>
      <c r="AG1068" s="105"/>
      <c r="AH1068" s="105"/>
      <c r="AI1068" s="105" t="str">
        <f t="shared" si="1"/>
        <v/>
      </c>
      <c r="AJ1068" s="108" t="str">
        <f t="shared" si="2"/>
        <v/>
      </c>
    </row>
    <row r="1069" ht="15.75" customHeight="1">
      <c r="A1069" s="104"/>
      <c r="B1069" s="105" t="str">
        <f>IFERROR(__xludf.DUMMYFUNCTION("ARRAY_CONSTRAIN(
  ARRAYFORMULA(
    IF(
      'Final Report'!A1069="""",
      """",
      TEXTJOIN(
        "", "" &amp; CHAR(10),
        TRUE,
        IFERROR(
          VLOOKUP(
            TRIM(
              SPLIT('Final Report'!A1069, "","")
         "&amp;"   ),
            'URL Details'!A:B,
            2,
            FALSE
          ),
          """"
        )
      )
    )
  ),
  1,
  1
)
"),"")</f>
        <v/>
      </c>
      <c r="C1069" s="105" t="str">
        <f>IFERROR(__xludf.DUMMYFUNCTION("IFERROR(IF('Final Report'!A1069="""","""", TEXTJOIN(CHAR(10), TRUE, ARRAYFORMULA( ""• ""&amp; FILTER( TRIM(FLATTEN(SPLIT( REGEXREPLACE( SUBSTITUTE(TEXTJOIN("","", TRUE, IFERROR(ARRAYFORMULA(VLOOKUP(TRIM(SPLIT('Final Report'!A1069, "","")), 'URL Details'!A:D, "&amp;"4, FALSE)),"""") ), CHAR(10), "",""), ""\s*,\s*"", "",""), "",""))), TRIM(FLATTEN(SPLIT( REGEXREPLACE( SUBSTITUTE(TEXTJOIN("","", TRUE, IFERROR(ARRAYFORMULA(VLOOKUP(TRIM(SPLIT('Final Report'!A1069, "","")), 'URL Details'!A:D, 4, FALSE)),"""") ), CHAR(10),"&amp;" "",""), ""\s*,\s*"", "",""), "","")))&lt;&gt;"""" ) ) ) ),"""")
"),"")</f>
        <v/>
      </c>
      <c r="D1069" s="105"/>
      <c r="E1069" s="105"/>
      <c r="F1069" s="110" t="b">
        <v>0</v>
      </c>
      <c r="G1069" s="105" t="str">
        <f>IF(F1069=True, IFERROR(VLOOKUP(D1069, Repository!A:B, 2, 0), ""), "")</f>
        <v/>
      </c>
      <c r="H1069" s="105"/>
      <c r="I1069" s="105"/>
      <c r="J1069" s="105" t="str">
        <f>IF(F1069=True, IFERROR(VLOOKUP(D1069, Repository!A:C, 3, 0), ""), "")</f>
        <v/>
      </c>
      <c r="K1069" s="105"/>
      <c r="L1069" s="105" t="str">
        <f>IF(F1069=True, IFERROR(VLOOKUP(D1069, Repository!A:E, 5, 0), ""), "")</f>
        <v/>
      </c>
      <c r="M1069" s="105"/>
      <c r="N1069" s="105" t="str">
        <f>IF(F1069=True, IFERROR(VLOOKUP(D1069, Repository!A:G, 7, 0), ""), "")</f>
        <v/>
      </c>
      <c r="O1069" s="105" t="str">
        <f>IFERROR(__xludf.DUMMYFUNCTION("ARRAY_CONSTRAIN(
  ARRAYFORMULA(
    IFERROR(
      LET(
        list, N1069,
        arr, TRIM(SPLIT(list, "","")),
        names, XLOOKUP(
          arr,
          'Conformance Score'!A:A,
          'Conformance Score'!B:B,
          ""Not found""
     "&amp;"   ),
        TEXTJOIN("", "", TRUE, names)
      ),
      """"
    )
  ),
  1,
  1
)
"),"")</f>
        <v/>
      </c>
      <c r="P1069" s="105" t="str">
        <f>IF(F1069="Yes", IFERROR(VLOOKUP(D1069, Repository!A:F, 6, 0), ""), "")</f>
        <v/>
      </c>
      <c r="Q1069" s="105" t="str">
        <f>IF(F1069="Yes", IFERROR(VLOOKUP(D1069, Repository!A:I, 8, 0), ""), "")</f>
        <v/>
      </c>
      <c r="R1069" s="105" t="str">
        <f>IF(F1069="Yes", IFERROR(VLOOKUP(D1069, Repository!A:J, 9, 0), ""), "")</f>
        <v/>
      </c>
      <c r="S1069" s="105"/>
      <c r="T1069" s="105"/>
      <c r="U1069" s="105"/>
      <c r="V1069" s="105"/>
      <c r="W1069" s="105"/>
      <c r="X1069" s="105"/>
      <c r="Y1069" s="105"/>
      <c r="Z1069" s="105"/>
      <c r="AA1069" s="105"/>
      <c r="AB1069" s="105"/>
      <c r="AC1069" s="91"/>
      <c r="AD1069" s="105"/>
      <c r="AE1069" s="105"/>
      <c r="AF1069" s="91"/>
      <c r="AG1069" s="105"/>
      <c r="AH1069" s="105"/>
      <c r="AI1069" s="105" t="str">
        <f t="shared" si="1"/>
        <v/>
      </c>
      <c r="AJ1069" s="108" t="str">
        <f t="shared" si="2"/>
        <v/>
      </c>
    </row>
    <row r="1070" ht="15.75" customHeight="1">
      <c r="A1070" s="104"/>
      <c r="B1070" s="105" t="str">
        <f>IFERROR(__xludf.DUMMYFUNCTION("ARRAY_CONSTRAIN(
  ARRAYFORMULA(
    IF(
      'Final Report'!A1070="""",
      """",
      TEXTJOIN(
        "", "" &amp; CHAR(10),
        TRUE,
        IFERROR(
          VLOOKUP(
            TRIM(
              SPLIT('Final Report'!A1070, "","")
         "&amp;"   ),
            'URL Details'!A:B,
            2,
            FALSE
          ),
          """"
        )
      )
    )
  ),
  1,
  1
)
"),"")</f>
        <v/>
      </c>
      <c r="C1070" s="105" t="str">
        <f>IFERROR(__xludf.DUMMYFUNCTION("IFERROR(IF('Final Report'!A1070="""","""", TEXTJOIN(CHAR(10), TRUE, ARRAYFORMULA( ""• ""&amp; FILTER( TRIM(FLATTEN(SPLIT( REGEXREPLACE( SUBSTITUTE(TEXTJOIN("","", TRUE, IFERROR(ARRAYFORMULA(VLOOKUP(TRIM(SPLIT('Final Report'!A1070, "","")), 'URL Details'!A:D, "&amp;"4, FALSE)),"""") ), CHAR(10), "",""), ""\s*,\s*"", "",""), "",""))), TRIM(FLATTEN(SPLIT( REGEXREPLACE( SUBSTITUTE(TEXTJOIN("","", TRUE, IFERROR(ARRAYFORMULA(VLOOKUP(TRIM(SPLIT('Final Report'!A1070, "","")), 'URL Details'!A:D, 4, FALSE)),"""") ), CHAR(10),"&amp;" "",""), ""\s*,\s*"", "",""), "","")))&lt;&gt;"""" ) ) ) ),"""")
"),"")</f>
        <v/>
      </c>
      <c r="D1070" s="105"/>
      <c r="E1070" s="105"/>
      <c r="F1070" s="110" t="b">
        <v>0</v>
      </c>
      <c r="G1070" s="105" t="str">
        <f>IF(F1070=True, IFERROR(VLOOKUP(D1070, Repository!A:B, 2, 0), ""), "")</f>
        <v/>
      </c>
      <c r="H1070" s="105"/>
      <c r="I1070" s="105"/>
      <c r="J1070" s="105" t="str">
        <f>IF(F1070=True, IFERROR(VLOOKUP(D1070, Repository!A:C, 3, 0), ""), "")</f>
        <v/>
      </c>
      <c r="K1070" s="105"/>
      <c r="L1070" s="105" t="str">
        <f>IF(F1070=True, IFERROR(VLOOKUP(D1070, Repository!A:E, 5, 0), ""), "")</f>
        <v/>
      </c>
      <c r="M1070" s="105"/>
      <c r="N1070" s="105" t="str">
        <f>IF(F1070=True, IFERROR(VLOOKUP(D1070, Repository!A:G, 7, 0), ""), "")</f>
        <v/>
      </c>
      <c r="O1070" s="105" t="str">
        <f>IFERROR(__xludf.DUMMYFUNCTION("ARRAY_CONSTRAIN(
  ARRAYFORMULA(
    IFERROR(
      LET(
        list, N1070,
        arr, TRIM(SPLIT(list, "","")),
        names, XLOOKUP(
          arr,
          'Conformance Score'!A:A,
          'Conformance Score'!B:B,
          ""Not found""
     "&amp;"   ),
        TEXTJOIN("", "", TRUE, names)
      ),
      """"
    )
  ),
  1,
  1
)
"),"")</f>
        <v/>
      </c>
      <c r="P1070" s="105" t="str">
        <f>IF(F1070="Yes", IFERROR(VLOOKUP(D1070, Repository!A:F, 6, 0), ""), "")</f>
        <v/>
      </c>
      <c r="Q1070" s="105" t="str">
        <f>IF(F1070="Yes", IFERROR(VLOOKUP(D1070, Repository!A:I, 8, 0), ""), "")</f>
        <v/>
      </c>
      <c r="R1070" s="105" t="str">
        <f>IF(F1070="Yes", IFERROR(VLOOKUP(D1070, Repository!A:J, 9, 0), ""), "")</f>
        <v/>
      </c>
      <c r="S1070" s="105"/>
      <c r="T1070" s="105"/>
      <c r="U1070" s="105"/>
      <c r="V1070" s="105"/>
      <c r="W1070" s="105"/>
      <c r="X1070" s="105"/>
      <c r="Y1070" s="105"/>
      <c r="Z1070" s="105"/>
      <c r="AA1070" s="105"/>
      <c r="AB1070" s="105"/>
      <c r="AC1070" s="91"/>
      <c r="AD1070" s="105"/>
      <c r="AE1070" s="105"/>
      <c r="AF1070" s="91"/>
      <c r="AG1070" s="105"/>
      <c r="AH1070" s="105"/>
      <c r="AI1070" s="105" t="str">
        <f t="shared" si="1"/>
        <v/>
      </c>
      <c r="AJ1070" s="108" t="str">
        <f t="shared" si="2"/>
        <v/>
      </c>
    </row>
    <row r="1071" ht="15.75" customHeight="1">
      <c r="A1071" s="104"/>
      <c r="B1071" s="105" t="str">
        <f>IFERROR(__xludf.DUMMYFUNCTION("ARRAY_CONSTRAIN(
  ARRAYFORMULA(
    IF(
      'Final Report'!A1071="""",
      """",
      TEXTJOIN(
        "", "" &amp; CHAR(10),
        TRUE,
        IFERROR(
          VLOOKUP(
            TRIM(
              SPLIT('Final Report'!A1071, "","")
         "&amp;"   ),
            'URL Details'!A:B,
            2,
            FALSE
          ),
          """"
        )
      )
    )
  ),
  1,
  1
)
"),"")</f>
        <v/>
      </c>
      <c r="C1071" s="105" t="str">
        <f>IFERROR(__xludf.DUMMYFUNCTION("IFERROR(IF('Final Report'!A1071="""","""", TEXTJOIN(CHAR(10), TRUE, ARRAYFORMULA( ""• ""&amp; FILTER( TRIM(FLATTEN(SPLIT( REGEXREPLACE( SUBSTITUTE(TEXTJOIN("","", TRUE, IFERROR(ARRAYFORMULA(VLOOKUP(TRIM(SPLIT('Final Report'!A1071, "","")), 'URL Details'!A:D, "&amp;"4, FALSE)),"""") ), CHAR(10), "",""), ""\s*,\s*"", "",""), "",""))), TRIM(FLATTEN(SPLIT( REGEXREPLACE( SUBSTITUTE(TEXTJOIN("","", TRUE, IFERROR(ARRAYFORMULA(VLOOKUP(TRIM(SPLIT('Final Report'!A1071, "","")), 'URL Details'!A:D, 4, FALSE)),"""") ), CHAR(10),"&amp;" "",""), ""\s*,\s*"", "",""), "","")))&lt;&gt;"""" ) ) ) ),"""")
"),"")</f>
        <v/>
      </c>
      <c r="D1071" s="105"/>
      <c r="E1071" s="105"/>
      <c r="F1071" s="110" t="b">
        <v>0</v>
      </c>
      <c r="G1071" s="105" t="str">
        <f>IF(F1071=True, IFERROR(VLOOKUP(D1071, Repository!A:B, 2, 0), ""), "")</f>
        <v/>
      </c>
      <c r="H1071" s="105"/>
      <c r="I1071" s="105"/>
      <c r="J1071" s="105" t="str">
        <f>IF(F1071=True, IFERROR(VLOOKUP(D1071, Repository!A:C, 3, 0), ""), "")</f>
        <v/>
      </c>
      <c r="K1071" s="105"/>
      <c r="L1071" s="105" t="str">
        <f>IF(F1071=True, IFERROR(VLOOKUP(D1071, Repository!A:E, 5, 0), ""), "")</f>
        <v/>
      </c>
      <c r="M1071" s="105"/>
      <c r="N1071" s="105" t="str">
        <f>IF(F1071=True, IFERROR(VLOOKUP(D1071, Repository!A:G, 7, 0), ""), "")</f>
        <v/>
      </c>
      <c r="O1071" s="105" t="str">
        <f>IFERROR(__xludf.DUMMYFUNCTION("ARRAY_CONSTRAIN(
  ARRAYFORMULA(
    IFERROR(
      LET(
        list, N1071,
        arr, TRIM(SPLIT(list, "","")),
        names, XLOOKUP(
          arr,
          'Conformance Score'!A:A,
          'Conformance Score'!B:B,
          ""Not found""
     "&amp;"   ),
        TEXTJOIN("", "", TRUE, names)
      ),
      """"
    )
  ),
  1,
  1
)
"),"")</f>
        <v/>
      </c>
      <c r="P1071" s="105" t="str">
        <f>IF(F1071="Yes", IFERROR(VLOOKUP(D1071, Repository!A:F, 6, 0), ""), "")</f>
        <v/>
      </c>
      <c r="Q1071" s="105" t="str">
        <f>IF(F1071="Yes", IFERROR(VLOOKUP(D1071, Repository!A:I, 8, 0), ""), "")</f>
        <v/>
      </c>
      <c r="R1071" s="105" t="str">
        <f>IF(F1071="Yes", IFERROR(VLOOKUP(D1071, Repository!A:J, 9, 0), ""), "")</f>
        <v/>
      </c>
      <c r="S1071" s="105"/>
      <c r="T1071" s="105"/>
      <c r="U1071" s="105"/>
      <c r="V1071" s="105"/>
      <c r="W1071" s="105"/>
      <c r="X1071" s="105"/>
      <c r="Y1071" s="105"/>
      <c r="Z1071" s="105"/>
      <c r="AA1071" s="105"/>
      <c r="AB1071" s="105"/>
      <c r="AC1071" s="91"/>
      <c r="AD1071" s="105"/>
      <c r="AE1071" s="105"/>
      <c r="AF1071" s="91"/>
      <c r="AG1071" s="105"/>
      <c r="AH1071" s="105"/>
      <c r="AI1071" s="105" t="str">
        <f t="shared" si="1"/>
        <v/>
      </c>
      <c r="AJ1071" s="108" t="str">
        <f t="shared" si="2"/>
        <v/>
      </c>
    </row>
    <row r="1072" ht="15.75" customHeight="1">
      <c r="A1072" s="104"/>
      <c r="B1072" s="105" t="str">
        <f>IFERROR(__xludf.DUMMYFUNCTION("ARRAY_CONSTRAIN(
  ARRAYFORMULA(
    IF(
      'Final Report'!A1072="""",
      """",
      TEXTJOIN(
        "", "" &amp; CHAR(10),
        TRUE,
        IFERROR(
          VLOOKUP(
            TRIM(
              SPLIT('Final Report'!A1072, "","")
         "&amp;"   ),
            'URL Details'!A:B,
            2,
            FALSE
          ),
          """"
        )
      )
    )
  ),
  1,
  1
)
"),"")</f>
        <v/>
      </c>
      <c r="C1072" s="105" t="str">
        <f>IFERROR(__xludf.DUMMYFUNCTION("IFERROR(IF('Final Report'!A1072="""","""", TEXTJOIN(CHAR(10), TRUE, ARRAYFORMULA( ""• ""&amp; FILTER( TRIM(FLATTEN(SPLIT( REGEXREPLACE( SUBSTITUTE(TEXTJOIN("","", TRUE, IFERROR(ARRAYFORMULA(VLOOKUP(TRIM(SPLIT('Final Report'!A1072, "","")), 'URL Details'!A:D, "&amp;"4, FALSE)),"""") ), CHAR(10), "",""), ""\s*,\s*"", "",""), "",""))), TRIM(FLATTEN(SPLIT( REGEXREPLACE( SUBSTITUTE(TEXTJOIN("","", TRUE, IFERROR(ARRAYFORMULA(VLOOKUP(TRIM(SPLIT('Final Report'!A1072, "","")), 'URL Details'!A:D, 4, FALSE)),"""") ), CHAR(10),"&amp;" "",""), ""\s*,\s*"", "",""), "","")))&lt;&gt;"""" ) ) ) ),"""")
"),"")</f>
        <v/>
      </c>
      <c r="D1072" s="105"/>
      <c r="E1072" s="105"/>
      <c r="F1072" s="110" t="b">
        <v>0</v>
      </c>
      <c r="G1072" s="105" t="str">
        <f>IF(F1072=True, IFERROR(VLOOKUP(D1072, Repository!A:B, 2, 0), ""), "")</f>
        <v/>
      </c>
      <c r="H1072" s="105"/>
      <c r="I1072" s="105"/>
      <c r="J1072" s="105" t="str">
        <f>IF(F1072=True, IFERROR(VLOOKUP(D1072, Repository!A:C, 3, 0), ""), "")</f>
        <v/>
      </c>
      <c r="K1072" s="105"/>
      <c r="L1072" s="105" t="str">
        <f>IF(F1072=True, IFERROR(VLOOKUP(D1072, Repository!A:E, 5, 0), ""), "")</f>
        <v/>
      </c>
      <c r="M1072" s="105"/>
      <c r="N1072" s="105" t="str">
        <f>IF(F1072=True, IFERROR(VLOOKUP(D1072, Repository!A:G, 7, 0), ""), "")</f>
        <v/>
      </c>
      <c r="O1072" s="105" t="str">
        <f>IFERROR(__xludf.DUMMYFUNCTION("ARRAY_CONSTRAIN(
  ARRAYFORMULA(
    IFERROR(
      LET(
        list, N1072,
        arr, TRIM(SPLIT(list, "","")),
        names, XLOOKUP(
          arr,
          'Conformance Score'!A:A,
          'Conformance Score'!B:B,
          ""Not found""
     "&amp;"   ),
        TEXTJOIN("", "", TRUE, names)
      ),
      """"
    )
  ),
  1,
  1
)
"),"")</f>
        <v/>
      </c>
      <c r="P1072" s="105" t="str">
        <f>IF(F1072="Yes", IFERROR(VLOOKUP(D1072, Repository!A:F, 6, 0), ""), "")</f>
        <v/>
      </c>
      <c r="Q1072" s="105" t="str">
        <f>IF(F1072="Yes", IFERROR(VLOOKUP(D1072, Repository!A:I, 8, 0), ""), "")</f>
        <v/>
      </c>
      <c r="R1072" s="105" t="str">
        <f>IF(F1072="Yes", IFERROR(VLOOKUP(D1072, Repository!A:J, 9, 0), ""), "")</f>
        <v/>
      </c>
      <c r="S1072" s="105"/>
      <c r="T1072" s="105"/>
      <c r="U1072" s="105"/>
      <c r="V1072" s="105"/>
      <c r="W1072" s="105"/>
      <c r="X1072" s="105"/>
      <c r="Y1072" s="105"/>
      <c r="Z1072" s="105"/>
      <c r="AA1072" s="105"/>
      <c r="AB1072" s="105"/>
      <c r="AC1072" s="91"/>
      <c r="AD1072" s="105"/>
      <c r="AE1072" s="105"/>
      <c r="AF1072" s="91"/>
      <c r="AG1072" s="105"/>
      <c r="AH1072" s="105"/>
      <c r="AI1072" s="105" t="str">
        <f t="shared" si="1"/>
        <v/>
      </c>
      <c r="AJ1072" s="108" t="str">
        <f t="shared" si="2"/>
        <v/>
      </c>
    </row>
    <row r="1073" ht="15.75" customHeight="1">
      <c r="A1073" s="104"/>
      <c r="B1073" s="105" t="str">
        <f>IFERROR(__xludf.DUMMYFUNCTION("ARRAY_CONSTRAIN(
  ARRAYFORMULA(
    IF(
      'Final Report'!A1073="""",
      """",
      TEXTJOIN(
        "", "" &amp; CHAR(10),
        TRUE,
        IFERROR(
          VLOOKUP(
            TRIM(
              SPLIT('Final Report'!A1073, "","")
         "&amp;"   ),
            'URL Details'!A:B,
            2,
            FALSE
          ),
          """"
        )
      )
    )
  ),
  1,
  1
)
"),"")</f>
        <v/>
      </c>
      <c r="C1073" s="105" t="str">
        <f>IFERROR(__xludf.DUMMYFUNCTION("IFERROR(IF('Final Report'!A1073="""","""", TEXTJOIN(CHAR(10), TRUE, ARRAYFORMULA( ""• ""&amp; FILTER( TRIM(FLATTEN(SPLIT( REGEXREPLACE( SUBSTITUTE(TEXTJOIN("","", TRUE, IFERROR(ARRAYFORMULA(VLOOKUP(TRIM(SPLIT('Final Report'!A1073, "","")), 'URL Details'!A:D, "&amp;"4, FALSE)),"""") ), CHAR(10), "",""), ""\s*,\s*"", "",""), "",""))), TRIM(FLATTEN(SPLIT( REGEXREPLACE( SUBSTITUTE(TEXTJOIN("","", TRUE, IFERROR(ARRAYFORMULA(VLOOKUP(TRIM(SPLIT('Final Report'!A1073, "","")), 'URL Details'!A:D, 4, FALSE)),"""") ), CHAR(10),"&amp;" "",""), ""\s*,\s*"", "",""), "","")))&lt;&gt;"""" ) ) ) ),"""")
"),"")</f>
        <v/>
      </c>
      <c r="D1073" s="105"/>
      <c r="E1073" s="105"/>
      <c r="F1073" s="110" t="b">
        <v>0</v>
      </c>
      <c r="G1073" s="105" t="str">
        <f>IF(F1073=True, IFERROR(VLOOKUP(D1073, Repository!A:B, 2, 0), ""), "")</f>
        <v/>
      </c>
      <c r="H1073" s="105"/>
      <c r="I1073" s="105"/>
      <c r="J1073" s="105" t="str">
        <f>IF(F1073=True, IFERROR(VLOOKUP(D1073, Repository!A:C, 3, 0), ""), "")</f>
        <v/>
      </c>
      <c r="K1073" s="105"/>
      <c r="L1073" s="105" t="str">
        <f>IF(F1073=True, IFERROR(VLOOKUP(D1073, Repository!A:E, 5, 0), ""), "")</f>
        <v/>
      </c>
      <c r="M1073" s="105"/>
      <c r="N1073" s="105" t="str">
        <f>IF(F1073=True, IFERROR(VLOOKUP(D1073, Repository!A:G, 7, 0), ""), "")</f>
        <v/>
      </c>
      <c r="O1073" s="105" t="str">
        <f>IFERROR(__xludf.DUMMYFUNCTION("ARRAY_CONSTRAIN(
  ARRAYFORMULA(
    IFERROR(
      LET(
        list, N1073,
        arr, TRIM(SPLIT(list, "","")),
        names, XLOOKUP(
          arr,
          'Conformance Score'!A:A,
          'Conformance Score'!B:B,
          ""Not found""
     "&amp;"   ),
        TEXTJOIN("", "", TRUE, names)
      ),
      """"
    )
  ),
  1,
  1
)
"),"")</f>
        <v/>
      </c>
      <c r="P1073" s="105" t="str">
        <f>IF(F1073="Yes", IFERROR(VLOOKUP(D1073, Repository!A:F, 6, 0), ""), "")</f>
        <v/>
      </c>
      <c r="Q1073" s="105" t="str">
        <f>IF(F1073="Yes", IFERROR(VLOOKUP(D1073, Repository!A:I, 8, 0), ""), "")</f>
        <v/>
      </c>
      <c r="R1073" s="105" t="str">
        <f>IF(F1073="Yes", IFERROR(VLOOKUP(D1073, Repository!A:J, 9, 0), ""), "")</f>
        <v/>
      </c>
      <c r="S1073" s="105"/>
      <c r="T1073" s="105"/>
      <c r="U1073" s="105"/>
      <c r="V1073" s="105"/>
      <c r="W1073" s="105"/>
      <c r="X1073" s="105"/>
      <c r="Y1073" s="105"/>
      <c r="Z1073" s="105"/>
      <c r="AA1073" s="105"/>
      <c r="AB1073" s="105"/>
      <c r="AC1073" s="91"/>
      <c r="AD1073" s="105"/>
      <c r="AE1073" s="105"/>
      <c r="AF1073" s="91"/>
      <c r="AG1073" s="105"/>
      <c r="AH1073" s="105"/>
      <c r="AI1073" s="105" t="str">
        <f t="shared" si="1"/>
        <v/>
      </c>
      <c r="AJ1073" s="108" t="str">
        <f t="shared" si="2"/>
        <v/>
      </c>
    </row>
    <row r="1074" ht="15.75" customHeight="1">
      <c r="A1074" s="104"/>
      <c r="B1074" s="105" t="str">
        <f>IFERROR(__xludf.DUMMYFUNCTION("ARRAY_CONSTRAIN(
  ARRAYFORMULA(
    IF(
      'Final Report'!A1074="""",
      """",
      TEXTJOIN(
        "", "" &amp; CHAR(10),
        TRUE,
        IFERROR(
          VLOOKUP(
            TRIM(
              SPLIT('Final Report'!A1074, "","")
         "&amp;"   ),
            'URL Details'!A:B,
            2,
            FALSE
          ),
          """"
        )
      )
    )
  ),
  1,
  1
)
"),"")</f>
        <v/>
      </c>
      <c r="C1074" s="105" t="str">
        <f>IFERROR(__xludf.DUMMYFUNCTION("IFERROR(IF('Final Report'!A1074="""","""", TEXTJOIN(CHAR(10), TRUE, ARRAYFORMULA( ""• ""&amp; FILTER( TRIM(FLATTEN(SPLIT( REGEXREPLACE( SUBSTITUTE(TEXTJOIN("","", TRUE, IFERROR(ARRAYFORMULA(VLOOKUP(TRIM(SPLIT('Final Report'!A1074, "","")), 'URL Details'!A:D, "&amp;"4, FALSE)),"""") ), CHAR(10), "",""), ""\s*,\s*"", "",""), "",""))), TRIM(FLATTEN(SPLIT( REGEXREPLACE( SUBSTITUTE(TEXTJOIN("","", TRUE, IFERROR(ARRAYFORMULA(VLOOKUP(TRIM(SPLIT('Final Report'!A1074, "","")), 'URL Details'!A:D, 4, FALSE)),"""") ), CHAR(10),"&amp;" "",""), ""\s*,\s*"", "",""), "","")))&lt;&gt;"""" ) ) ) ),"""")
"),"")</f>
        <v/>
      </c>
      <c r="D1074" s="105"/>
      <c r="E1074" s="105"/>
      <c r="F1074" s="110" t="b">
        <v>0</v>
      </c>
      <c r="G1074" s="105" t="str">
        <f>IF(F1074=True, IFERROR(VLOOKUP(D1074, Repository!A:B, 2, 0), ""), "")</f>
        <v/>
      </c>
      <c r="H1074" s="105"/>
      <c r="I1074" s="105"/>
      <c r="J1074" s="105" t="str">
        <f>IF(F1074=True, IFERROR(VLOOKUP(D1074, Repository!A:C, 3, 0), ""), "")</f>
        <v/>
      </c>
      <c r="K1074" s="105"/>
      <c r="L1074" s="105" t="str">
        <f>IF(F1074=True, IFERROR(VLOOKUP(D1074, Repository!A:E, 5, 0), ""), "")</f>
        <v/>
      </c>
      <c r="M1074" s="105"/>
      <c r="N1074" s="105" t="str">
        <f>IF(F1074=True, IFERROR(VLOOKUP(D1074, Repository!A:G, 7, 0), ""), "")</f>
        <v/>
      </c>
      <c r="O1074" s="105" t="str">
        <f>IFERROR(__xludf.DUMMYFUNCTION("ARRAY_CONSTRAIN(
  ARRAYFORMULA(
    IFERROR(
      LET(
        list, N1074,
        arr, TRIM(SPLIT(list, "","")),
        names, XLOOKUP(
          arr,
          'Conformance Score'!A:A,
          'Conformance Score'!B:B,
          ""Not found""
     "&amp;"   ),
        TEXTJOIN("", "", TRUE, names)
      ),
      """"
    )
  ),
  1,
  1
)
"),"")</f>
        <v/>
      </c>
      <c r="P1074" s="105" t="str">
        <f>IF(F1074="Yes", IFERROR(VLOOKUP(D1074, Repository!A:F, 6, 0), ""), "")</f>
        <v/>
      </c>
      <c r="Q1074" s="105" t="str">
        <f>IF(F1074="Yes", IFERROR(VLOOKUP(D1074, Repository!A:I, 8, 0), ""), "")</f>
        <v/>
      </c>
      <c r="R1074" s="105" t="str">
        <f>IF(F1074="Yes", IFERROR(VLOOKUP(D1074, Repository!A:J, 9, 0), ""), "")</f>
        <v/>
      </c>
      <c r="S1074" s="105"/>
      <c r="T1074" s="105"/>
      <c r="U1074" s="105"/>
      <c r="V1074" s="105"/>
      <c r="W1074" s="105"/>
      <c r="X1074" s="105"/>
      <c r="Y1074" s="105"/>
      <c r="Z1074" s="105"/>
      <c r="AA1074" s="105"/>
      <c r="AB1074" s="105"/>
      <c r="AC1074" s="91"/>
      <c r="AD1074" s="105"/>
      <c r="AE1074" s="105"/>
      <c r="AF1074" s="91"/>
      <c r="AG1074" s="105"/>
      <c r="AH1074" s="105"/>
      <c r="AI1074" s="105" t="str">
        <f t="shared" si="1"/>
        <v/>
      </c>
      <c r="AJ1074" s="108" t="str">
        <f t="shared" si="2"/>
        <v/>
      </c>
    </row>
    <row r="1075" ht="15.75" customHeight="1">
      <c r="A1075" s="104"/>
      <c r="B1075" s="105" t="str">
        <f>IFERROR(__xludf.DUMMYFUNCTION("ARRAY_CONSTRAIN(
  ARRAYFORMULA(
    IF(
      'Final Report'!A1075="""",
      """",
      TEXTJOIN(
        "", "" &amp; CHAR(10),
        TRUE,
        IFERROR(
          VLOOKUP(
            TRIM(
              SPLIT('Final Report'!A1075, "","")
         "&amp;"   ),
            'URL Details'!A:B,
            2,
            FALSE
          ),
          """"
        )
      )
    )
  ),
  1,
  1
)
"),"")</f>
        <v/>
      </c>
      <c r="C1075" s="105" t="str">
        <f>IFERROR(__xludf.DUMMYFUNCTION("IFERROR(IF('Final Report'!A1075="""","""", TEXTJOIN(CHAR(10), TRUE, ARRAYFORMULA( ""• ""&amp; FILTER( TRIM(FLATTEN(SPLIT( REGEXREPLACE( SUBSTITUTE(TEXTJOIN("","", TRUE, IFERROR(ARRAYFORMULA(VLOOKUP(TRIM(SPLIT('Final Report'!A1075, "","")), 'URL Details'!A:D, "&amp;"4, FALSE)),"""") ), CHAR(10), "",""), ""\s*,\s*"", "",""), "",""))), TRIM(FLATTEN(SPLIT( REGEXREPLACE( SUBSTITUTE(TEXTJOIN("","", TRUE, IFERROR(ARRAYFORMULA(VLOOKUP(TRIM(SPLIT('Final Report'!A1075, "","")), 'URL Details'!A:D, 4, FALSE)),"""") ), CHAR(10),"&amp;" "",""), ""\s*,\s*"", "",""), "","")))&lt;&gt;"""" ) ) ) ),"""")
"),"")</f>
        <v/>
      </c>
      <c r="D1075" s="105"/>
      <c r="E1075" s="105"/>
      <c r="F1075" s="110" t="b">
        <v>0</v>
      </c>
      <c r="G1075" s="105" t="str">
        <f>IF(F1075=True, IFERROR(VLOOKUP(D1075, Repository!A:B, 2, 0), ""), "")</f>
        <v/>
      </c>
      <c r="H1075" s="105"/>
      <c r="I1075" s="105"/>
      <c r="J1075" s="105" t="str">
        <f>IF(F1075=True, IFERROR(VLOOKUP(D1075, Repository!A:C, 3, 0), ""), "")</f>
        <v/>
      </c>
      <c r="K1075" s="105"/>
      <c r="L1075" s="105" t="str">
        <f>IF(F1075=True, IFERROR(VLOOKUP(D1075, Repository!A:E, 5, 0), ""), "")</f>
        <v/>
      </c>
      <c r="M1075" s="105"/>
      <c r="N1075" s="105" t="str">
        <f>IF(F1075=True, IFERROR(VLOOKUP(D1075, Repository!A:G, 7, 0), ""), "")</f>
        <v/>
      </c>
      <c r="O1075" s="105" t="str">
        <f>IFERROR(__xludf.DUMMYFUNCTION("ARRAY_CONSTRAIN(
  ARRAYFORMULA(
    IFERROR(
      LET(
        list, N1075,
        arr, TRIM(SPLIT(list, "","")),
        names, XLOOKUP(
          arr,
          'Conformance Score'!A:A,
          'Conformance Score'!B:B,
          ""Not found""
     "&amp;"   ),
        TEXTJOIN("", "", TRUE, names)
      ),
      """"
    )
  ),
  1,
  1
)
"),"")</f>
        <v/>
      </c>
      <c r="P1075" s="105" t="str">
        <f>IF(F1075="Yes", IFERROR(VLOOKUP(D1075, Repository!A:F, 6, 0), ""), "")</f>
        <v/>
      </c>
      <c r="Q1075" s="105" t="str">
        <f>IF(F1075="Yes", IFERROR(VLOOKUP(D1075, Repository!A:I, 8, 0), ""), "")</f>
        <v/>
      </c>
      <c r="R1075" s="105" t="str">
        <f>IF(F1075="Yes", IFERROR(VLOOKUP(D1075, Repository!A:J, 9, 0), ""), "")</f>
        <v/>
      </c>
      <c r="S1075" s="105"/>
      <c r="T1075" s="105"/>
      <c r="U1075" s="105"/>
      <c r="V1075" s="105"/>
      <c r="W1075" s="105"/>
      <c r="X1075" s="105"/>
      <c r="Y1075" s="105"/>
      <c r="Z1075" s="105"/>
      <c r="AA1075" s="105"/>
      <c r="AB1075" s="105"/>
      <c r="AC1075" s="91"/>
      <c r="AD1075" s="105"/>
      <c r="AE1075" s="105"/>
      <c r="AF1075" s="91"/>
      <c r="AG1075" s="105"/>
      <c r="AH1075" s="105"/>
      <c r="AI1075" s="105" t="str">
        <f t="shared" si="1"/>
        <v/>
      </c>
      <c r="AJ1075" s="108" t="str">
        <f t="shared" si="2"/>
        <v/>
      </c>
    </row>
    <row r="1076" ht="15.75" customHeight="1">
      <c r="A1076" s="104"/>
      <c r="B1076" s="105" t="str">
        <f>IFERROR(__xludf.DUMMYFUNCTION("ARRAY_CONSTRAIN(
  ARRAYFORMULA(
    IF(
      'Final Report'!A1076="""",
      """",
      TEXTJOIN(
        "", "" &amp; CHAR(10),
        TRUE,
        IFERROR(
          VLOOKUP(
            TRIM(
              SPLIT('Final Report'!A1076, "","")
         "&amp;"   ),
            'URL Details'!A:B,
            2,
            FALSE
          ),
          """"
        )
      )
    )
  ),
  1,
  1
)
"),"")</f>
        <v/>
      </c>
      <c r="C1076" s="105" t="str">
        <f>IFERROR(__xludf.DUMMYFUNCTION("IFERROR(IF('Final Report'!A1076="""","""", TEXTJOIN(CHAR(10), TRUE, ARRAYFORMULA( ""• ""&amp; FILTER( TRIM(FLATTEN(SPLIT( REGEXREPLACE( SUBSTITUTE(TEXTJOIN("","", TRUE, IFERROR(ARRAYFORMULA(VLOOKUP(TRIM(SPLIT('Final Report'!A1076, "","")), 'URL Details'!A:D, "&amp;"4, FALSE)),"""") ), CHAR(10), "",""), ""\s*,\s*"", "",""), "",""))), TRIM(FLATTEN(SPLIT( REGEXREPLACE( SUBSTITUTE(TEXTJOIN("","", TRUE, IFERROR(ARRAYFORMULA(VLOOKUP(TRIM(SPLIT('Final Report'!A1076, "","")), 'URL Details'!A:D, 4, FALSE)),"""") ), CHAR(10),"&amp;" "",""), ""\s*,\s*"", "",""), "","")))&lt;&gt;"""" ) ) ) ),"""")
"),"")</f>
        <v/>
      </c>
      <c r="D1076" s="105"/>
      <c r="E1076" s="105"/>
      <c r="F1076" s="110" t="b">
        <v>0</v>
      </c>
      <c r="G1076" s="105" t="str">
        <f>IF(F1076=True, IFERROR(VLOOKUP(D1076, Repository!A:B, 2, 0), ""), "")</f>
        <v/>
      </c>
      <c r="H1076" s="105"/>
      <c r="I1076" s="105"/>
      <c r="J1076" s="105" t="str">
        <f>IF(F1076=True, IFERROR(VLOOKUP(D1076, Repository!A:C, 3, 0), ""), "")</f>
        <v/>
      </c>
      <c r="K1076" s="105"/>
      <c r="L1076" s="105" t="str">
        <f>IF(F1076=True, IFERROR(VLOOKUP(D1076, Repository!A:E, 5, 0), ""), "")</f>
        <v/>
      </c>
      <c r="M1076" s="105"/>
      <c r="N1076" s="105" t="str">
        <f>IF(F1076=True, IFERROR(VLOOKUP(D1076, Repository!A:G, 7, 0), ""), "")</f>
        <v/>
      </c>
      <c r="O1076" s="105" t="str">
        <f>IFERROR(__xludf.DUMMYFUNCTION("ARRAY_CONSTRAIN(
  ARRAYFORMULA(
    IFERROR(
      LET(
        list, N1076,
        arr, TRIM(SPLIT(list, "","")),
        names, XLOOKUP(
          arr,
          'Conformance Score'!A:A,
          'Conformance Score'!B:B,
          ""Not found""
     "&amp;"   ),
        TEXTJOIN("", "", TRUE, names)
      ),
      """"
    )
  ),
  1,
  1
)
"),"")</f>
        <v/>
      </c>
      <c r="P1076" s="105" t="str">
        <f>IF(F1076="Yes", IFERROR(VLOOKUP(D1076, Repository!A:F, 6, 0), ""), "")</f>
        <v/>
      </c>
      <c r="Q1076" s="105" t="str">
        <f>IF(F1076="Yes", IFERROR(VLOOKUP(D1076, Repository!A:I, 8, 0), ""), "")</f>
        <v/>
      </c>
      <c r="R1076" s="105" t="str">
        <f>IF(F1076="Yes", IFERROR(VLOOKUP(D1076, Repository!A:J, 9, 0), ""), "")</f>
        <v/>
      </c>
      <c r="S1076" s="105"/>
      <c r="T1076" s="105"/>
      <c r="U1076" s="105"/>
      <c r="V1076" s="105"/>
      <c r="W1076" s="105"/>
      <c r="X1076" s="105"/>
      <c r="Y1076" s="105"/>
      <c r="Z1076" s="105"/>
      <c r="AA1076" s="105"/>
      <c r="AB1076" s="105"/>
      <c r="AC1076" s="91"/>
      <c r="AD1076" s="105"/>
      <c r="AE1076" s="105"/>
      <c r="AF1076" s="91"/>
      <c r="AG1076" s="105"/>
      <c r="AH1076" s="105"/>
      <c r="AI1076" s="105" t="str">
        <f t="shared" si="1"/>
        <v/>
      </c>
      <c r="AJ1076" s="108" t="str">
        <f t="shared" si="2"/>
        <v/>
      </c>
    </row>
    <row r="1077" ht="15.75" customHeight="1">
      <c r="A1077" s="104"/>
      <c r="B1077" s="105" t="str">
        <f>IFERROR(__xludf.DUMMYFUNCTION("ARRAY_CONSTRAIN(
  ARRAYFORMULA(
    IF(
      'Final Report'!A1077="""",
      """",
      TEXTJOIN(
        "", "" &amp; CHAR(10),
        TRUE,
        IFERROR(
          VLOOKUP(
            TRIM(
              SPLIT('Final Report'!A1077, "","")
         "&amp;"   ),
            'URL Details'!A:B,
            2,
            FALSE
          ),
          """"
        )
      )
    )
  ),
  1,
  1
)
"),"")</f>
        <v/>
      </c>
      <c r="C1077" s="105" t="str">
        <f>IFERROR(__xludf.DUMMYFUNCTION("IFERROR(IF('Final Report'!A1077="""","""", TEXTJOIN(CHAR(10), TRUE, ARRAYFORMULA( ""• ""&amp; FILTER( TRIM(FLATTEN(SPLIT( REGEXREPLACE( SUBSTITUTE(TEXTJOIN("","", TRUE, IFERROR(ARRAYFORMULA(VLOOKUP(TRIM(SPLIT('Final Report'!A1077, "","")), 'URL Details'!A:D, "&amp;"4, FALSE)),"""") ), CHAR(10), "",""), ""\s*,\s*"", "",""), "",""))), TRIM(FLATTEN(SPLIT( REGEXREPLACE( SUBSTITUTE(TEXTJOIN("","", TRUE, IFERROR(ARRAYFORMULA(VLOOKUP(TRIM(SPLIT('Final Report'!A1077, "","")), 'URL Details'!A:D, 4, FALSE)),"""") ), CHAR(10),"&amp;" "",""), ""\s*,\s*"", "",""), "","")))&lt;&gt;"""" ) ) ) ),"""")
"),"")</f>
        <v/>
      </c>
      <c r="D1077" s="105"/>
      <c r="E1077" s="105"/>
      <c r="F1077" s="110" t="b">
        <v>0</v>
      </c>
      <c r="G1077" s="105" t="str">
        <f>IF(F1077=True, IFERROR(VLOOKUP(D1077, Repository!A:B, 2, 0), ""), "")</f>
        <v/>
      </c>
      <c r="H1077" s="105"/>
      <c r="I1077" s="105"/>
      <c r="J1077" s="105" t="str">
        <f>IF(F1077=True, IFERROR(VLOOKUP(D1077, Repository!A:C, 3, 0), ""), "")</f>
        <v/>
      </c>
      <c r="K1077" s="105"/>
      <c r="L1077" s="105" t="str">
        <f>IF(F1077=True, IFERROR(VLOOKUP(D1077, Repository!A:E, 5, 0), ""), "")</f>
        <v/>
      </c>
      <c r="M1077" s="105"/>
      <c r="N1077" s="105" t="str">
        <f>IF(F1077=True, IFERROR(VLOOKUP(D1077, Repository!A:G, 7, 0), ""), "")</f>
        <v/>
      </c>
      <c r="O1077" s="105" t="str">
        <f>IFERROR(__xludf.DUMMYFUNCTION("ARRAY_CONSTRAIN(
  ARRAYFORMULA(
    IFERROR(
      LET(
        list, N1077,
        arr, TRIM(SPLIT(list, "","")),
        names, XLOOKUP(
          arr,
          'Conformance Score'!A:A,
          'Conformance Score'!B:B,
          ""Not found""
     "&amp;"   ),
        TEXTJOIN("", "", TRUE, names)
      ),
      """"
    )
  ),
  1,
  1
)
"),"")</f>
        <v/>
      </c>
      <c r="P1077" s="105" t="str">
        <f>IF(F1077="Yes", IFERROR(VLOOKUP(D1077, Repository!A:F, 6, 0), ""), "")</f>
        <v/>
      </c>
      <c r="Q1077" s="105" t="str">
        <f>IF(F1077="Yes", IFERROR(VLOOKUP(D1077, Repository!A:I, 8, 0), ""), "")</f>
        <v/>
      </c>
      <c r="R1077" s="105" t="str">
        <f>IF(F1077="Yes", IFERROR(VLOOKUP(D1077, Repository!A:J, 9, 0), ""), "")</f>
        <v/>
      </c>
      <c r="S1077" s="105"/>
      <c r="T1077" s="105"/>
      <c r="U1077" s="105"/>
      <c r="V1077" s="105"/>
      <c r="W1077" s="105"/>
      <c r="X1077" s="105"/>
      <c r="Y1077" s="105"/>
      <c r="Z1077" s="105"/>
      <c r="AA1077" s="105"/>
      <c r="AB1077" s="105"/>
      <c r="AC1077" s="91"/>
      <c r="AD1077" s="105"/>
      <c r="AE1077" s="105"/>
      <c r="AF1077" s="91"/>
      <c r="AG1077" s="105"/>
      <c r="AH1077" s="105"/>
      <c r="AI1077" s="105" t="str">
        <f t="shared" si="1"/>
        <v/>
      </c>
      <c r="AJ1077" s="108" t="str">
        <f t="shared" si="2"/>
        <v/>
      </c>
    </row>
    <row r="1078" ht="15.75" customHeight="1">
      <c r="A1078" s="104"/>
      <c r="B1078" s="105" t="str">
        <f>IFERROR(__xludf.DUMMYFUNCTION("ARRAY_CONSTRAIN(
  ARRAYFORMULA(
    IF(
      'Final Report'!A1078="""",
      """",
      TEXTJOIN(
        "", "" &amp; CHAR(10),
        TRUE,
        IFERROR(
          VLOOKUP(
            TRIM(
              SPLIT('Final Report'!A1078, "","")
         "&amp;"   ),
            'URL Details'!A:B,
            2,
            FALSE
          ),
          """"
        )
      )
    )
  ),
  1,
  1
)
"),"")</f>
        <v/>
      </c>
      <c r="C1078" s="105" t="str">
        <f>IFERROR(__xludf.DUMMYFUNCTION("IFERROR(IF('Final Report'!A1078="""","""", TEXTJOIN(CHAR(10), TRUE, ARRAYFORMULA( ""• ""&amp; FILTER( TRIM(FLATTEN(SPLIT( REGEXREPLACE( SUBSTITUTE(TEXTJOIN("","", TRUE, IFERROR(ARRAYFORMULA(VLOOKUP(TRIM(SPLIT('Final Report'!A1078, "","")), 'URL Details'!A:D, "&amp;"4, FALSE)),"""") ), CHAR(10), "",""), ""\s*,\s*"", "",""), "",""))), TRIM(FLATTEN(SPLIT( REGEXREPLACE( SUBSTITUTE(TEXTJOIN("","", TRUE, IFERROR(ARRAYFORMULA(VLOOKUP(TRIM(SPLIT('Final Report'!A1078, "","")), 'URL Details'!A:D, 4, FALSE)),"""") ), CHAR(10),"&amp;" "",""), ""\s*,\s*"", "",""), "","")))&lt;&gt;"""" ) ) ) ),"""")
"),"")</f>
        <v/>
      </c>
      <c r="D1078" s="105"/>
      <c r="E1078" s="105"/>
      <c r="F1078" s="110" t="b">
        <v>0</v>
      </c>
      <c r="G1078" s="105" t="str">
        <f>IF(F1078=True, IFERROR(VLOOKUP(D1078, Repository!A:B, 2, 0), ""), "")</f>
        <v/>
      </c>
      <c r="H1078" s="105"/>
      <c r="I1078" s="105"/>
      <c r="J1078" s="105" t="str">
        <f>IF(F1078=True, IFERROR(VLOOKUP(D1078, Repository!A:C, 3, 0), ""), "")</f>
        <v/>
      </c>
      <c r="K1078" s="105"/>
      <c r="L1078" s="105" t="str">
        <f>IF(F1078=True, IFERROR(VLOOKUP(D1078, Repository!A:E, 5, 0), ""), "")</f>
        <v/>
      </c>
      <c r="M1078" s="105"/>
      <c r="N1078" s="105" t="str">
        <f>IF(F1078=True, IFERROR(VLOOKUP(D1078, Repository!A:G, 7, 0), ""), "")</f>
        <v/>
      </c>
      <c r="O1078" s="105" t="str">
        <f>IFERROR(__xludf.DUMMYFUNCTION("ARRAY_CONSTRAIN(
  ARRAYFORMULA(
    IFERROR(
      LET(
        list, N1078,
        arr, TRIM(SPLIT(list, "","")),
        names, XLOOKUP(
          arr,
          'Conformance Score'!A:A,
          'Conformance Score'!B:B,
          ""Not found""
     "&amp;"   ),
        TEXTJOIN("", "", TRUE, names)
      ),
      """"
    )
  ),
  1,
  1
)
"),"")</f>
        <v/>
      </c>
      <c r="P1078" s="105" t="str">
        <f>IF(F1078="Yes", IFERROR(VLOOKUP(D1078, Repository!A:F, 6, 0), ""), "")</f>
        <v/>
      </c>
      <c r="Q1078" s="105" t="str">
        <f>IF(F1078="Yes", IFERROR(VLOOKUP(D1078, Repository!A:I, 8, 0), ""), "")</f>
        <v/>
      </c>
      <c r="R1078" s="105" t="str">
        <f>IF(F1078="Yes", IFERROR(VLOOKUP(D1078, Repository!A:J, 9, 0), ""), "")</f>
        <v/>
      </c>
      <c r="S1078" s="105"/>
      <c r="T1078" s="105"/>
      <c r="U1078" s="105"/>
      <c r="V1078" s="105"/>
      <c r="W1078" s="105"/>
      <c r="X1078" s="105"/>
      <c r="Y1078" s="105"/>
      <c r="Z1078" s="105"/>
      <c r="AA1078" s="105"/>
      <c r="AB1078" s="105"/>
      <c r="AC1078" s="91"/>
      <c r="AD1078" s="105"/>
      <c r="AE1078" s="105"/>
      <c r="AF1078" s="91"/>
      <c r="AG1078" s="105"/>
      <c r="AH1078" s="105"/>
      <c r="AI1078" s="105" t="str">
        <f t="shared" si="1"/>
        <v/>
      </c>
      <c r="AJ1078" s="108" t="str">
        <f t="shared" si="2"/>
        <v/>
      </c>
    </row>
    <row r="1079" ht="15.75" customHeight="1">
      <c r="A1079" s="104"/>
      <c r="B1079" s="105" t="str">
        <f>IFERROR(__xludf.DUMMYFUNCTION("ARRAY_CONSTRAIN(
  ARRAYFORMULA(
    IF(
      'Final Report'!A1079="""",
      """",
      TEXTJOIN(
        "", "" &amp; CHAR(10),
        TRUE,
        IFERROR(
          VLOOKUP(
            TRIM(
              SPLIT('Final Report'!A1079, "","")
         "&amp;"   ),
            'URL Details'!A:B,
            2,
            FALSE
          ),
          """"
        )
      )
    )
  ),
  1,
  1
)
"),"")</f>
        <v/>
      </c>
      <c r="C1079" s="105" t="str">
        <f>IFERROR(__xludf.DUMMYFUNCTION("IFERROR(IF('Final Report'!A1079="""","""", TEXTJOIN(CHAR(10), TRUE, ARRAYFORMULA( ""• ""&amp; FILTER( TRIM(FLATTEN(SPLIT( REGEXREPLACE( SUBSTITUTE(TEXTJOIN("","", TRUE, IFERROR(ARRAYFORMULA(VLOOKUP(TRIM(SPLIT('Final Report'!A1079, "","")), 'URL Details'!A:D, "&amp;"4, FALSE)),"""") ), CHAR(10), "",""), ""\s*,\s*"", "",""), "",""))), TRIM(FLATTEN(SPLIT( REGEXREPLACE( SUBSTITUTE(TEXTJOIN("","", TRUE, IFERROR(ARRAYFORMULA(VLOOKUP(TRIM(SPLIT('Final Report'!A1079, "","")), 'URL Details'!A:D, 4, FALSE)),"""") ), CHAR(10),"&amp;" "",""), ""\s*,\s*"", "",""), "","")))&lt;&gt;"""" ) ) ) ),"""")
"),"")</f>
        <v/>
      </c>
      <c r="D1079" s="105"/>
      <c r="E1079" s="105"/>
      <c r="F1079" s="110" t="b">
        <v>0</v>
      </c>
      <c r="G1079" s="105" t="str">
        <f>IF(F1079=True, IFERROR(VLOOKUP(D1079, Repository!A:B, 2, 0), ""), "")</f>
        <v/>
      </c>
      <c r="H1079" s="105"/>
      <c r="I1079" s="105"/>
      <c r="J1079" s="105" t="str">
        <f>IF(F1079=True, IFERROR(VLOOKUP(D1079, Repository!A:C, 3, 0), ""), "")</f>
        <v/>
      </c>
      <c r="K1079" s="105"/>
      <c r="L1079" s="105" t="str">
        <f>IF(F1079=True, IFERROR(VLOOKUP(D1079, Repository!A:E, 5, 0), ""), "")</f>
        <v/>
      </c>
      <c r="M1079" s="105"/>
      <c r="N1079" s="105" t="str">
        <f>IF(F1079=True, IFERROR(VLOOKUP(D1079, Repository!A:G, 7, 0), ""), "")</f>
        <v/>
      </c>
      <c r="O1079" s="105" t="str">
        <f>IFERROR(__xludf.DUMMYFUNCTION("ARRAY_CONSTRAIN(
  ARRAYFORMULA(
    IFERROR(
      LET(
        list, N1079,
        arr, TRIM(SPLIT(list, "","")),
        names, XLOOKUP(
          arr,
          'Conformance Score'!A:A,
          'Conformance Score'!B:B,
          ""Not found""
     "&amp;"   ),
        TEXTJOIN("", "", TRUE, names)
      ),
      """"
    )
  ),
  1,
  1
)
"),"")</f>
        <v/>
      </c>
      <c r="P1079" s="105" t="str">
        <f>IF(F1079="Yes", IFERROR(VLOOKUP(D1079, Repository!A:F, 6, 0), ""), "")</f>
        <v/>
      </c>
      <c r="Q1079" s="105" t="str">
        <f>IF(F1079="Yes", IFERROR(VLOOKUP(D1079, Repository!A:I, 8, 0), ""), "")</f>
        <v/>
      </c>
      <c r="R1079" s="105" t="str">
        <f>IF(F1079="Yes", IFERROR(VLOOKUP(D1079, Repository!A:J, 9, 0), ""), "")</f>
        <v/>
      </c>
      <c r="S1079" s="105"/>
      <c r="T1079" s="105"/>
      <c r="U1079" s="105"/>
      <c r="V1079" s="105"/>
      <c r="W1079" s="105"/>
      <c r="X1079" s="105"/>
      <c r="Y1079" s="105"/>
      <c r="Z1079" s="105"/>
      <c r="AA1079" s="105"/>
      <c r="AB1079" s="105"/>
      <c r="AC1079" s="91"/>
      <c r="AD1079" s="105"/>
      <c r="AE1079" s="105"/>
      <c r="AF1079" s="91"/>
      <c r="AG1079" s="105"/>
      <c r="AH1079" s="105"/>
      <c r="AI1079" s="105" t="str">
        <f t="shared" si="1"/>
        <v/>
      </c>
      <c r="AJ1079" s="108" t="str">
        <f t="shared" si="2"/>
        <v/>
      </c>
    </row>
    <row r="1080" ht="15.75" customHeight="1">
      <c r="A1080" s="104"/>
      <c r="B1080" s="105" t="str">
        <f>IFERROR(__xludf.DUMMYFUNCTION("ARRAY_CONSTRAIN(
  ARRAYFORMULA(
    IF(
      'Final Report'!A1080="""",
      """",
      TEXTJOIN(
        "", "" &amp; CHAR(10),
        TRUE,
        IFERROR(
          VLOOKUP(
            TRIM(
              SPLIT('Final Report'!A1080, "","")
         "&amp;"   ),
            'URL Details'!A:B,
            2,
            FALSE
          ),
          """"
        )
      )
    )
  ),
  1,
  1
)
"),"")</f>
        <v/>
      </c>
      <c r="C1080" s="105" t="str">
        <f>IFERROR(__xludf.DUMMYFUNCTION("IFERROR(IF('Final Report'!A1080="""","""", TEXTJOIN(CHAR(10), TRUE, ARRAYFORMULA( ""• ""&amp; FILTER( TRIM(FLATTEN(SPLIT( REGEXREPLACE( SUBSTITUTE(TEXTJOIN("","", TRUE, IFERROR(ARRAYFORMULA(VLOOKUP(TRIM(SPLIT('Final Report'!A1080, "","")), 'URL Details'!A:D, "&amp;"4, FALSE)),"""") ), CHAR(10), "",""), ""\s*,\s*"", "",""), "",""))), TRIM(FLATTEN(SPLIT( REGEXREPLACE( SUBSTITUTE(TEXTJOIN("","", TRUE, IFERROR(ARRAYFORMULA(VLOOKUP(TRIM(SPLIT('Final Report'!A1080, "","")), 'URL Details'!A:D, 4, FALSE)),"""") ), CHAR(10),"&amp;" "",""), ""\s*,\s*"", "",""), "","")))&lt;&gt;"""" ) ) ) ),"""")
"),"")</f>
        <v/>
      </c>
      <c r="D1080" s="105"/>
      <c r="E1080" s="105"/>
      <c r="F1080" s="110" t="b">
        <v>0</v>
      </c>
      <c r="G1080" s="105" t="str">
        <f>IF(F1080=True, IFERROR(VLOOKUP(D1080, Repository!A:B, 2, 0), ""), "")</f>
        <v/>
      </c>
      <c r="H1080" s="105"/>
      <c r="I1080" s="105"/>
      <c r="J1080" s="105" t="str">
        <f>IF(F1080=True, IFERROR(VLOOKUP(D1080, Repository!A:C, 3, 0), ""), "")</f>
        <v/>
      </c>
      <c r="K1080" s="105"/>
      <c r="L1080" s="105" t="str">
        <f>IF(F1080=True, IFERROR(VLOOKUP(D1080, Repository!A:E, 5, 0), ""), "")</f>
        <v/>
      </c>
      <c r="M1080" s="105"/>
      <c r="N1080" s="105" t="str">
        <f>IF(F1080=True, IFERROR(VLOOKUP(D1080, Repository!A:G, 7, 0), ""), "")</f>
        <v/>
      </c>
      <c r="O1080" s="105" t="str">
        <f>IFERROR(__xludf.DUMMYFUNCTION("ARRAY_CONSTRAIN(
  ARRAYFORMULA(
    IFERROR(
      LET(
        list, N1080,
        arr, TRIM(SPLIT(list, "","")),
        names, XLOOKUP(
          arr,
          'Conformance Score'!A:A,
          'Conformance Score'!B:B,
          ""Not found""
     "&amp;"   ),
        TEXTJOIN("", "", TRUE, names)
      ),
      """"
    )
  ),
  1,
  1
)
"),"")</f>
        <v/>
      </c>
      <c r="P1080" s="105" t="str">
        <f>IF(F1080="Yes", IFERROR(VLOOKUP(D1080, Repository!A:F, 6, 0), ""), "")</f>
        <v/>
      </c>
      <c r="Q1080" s="105" t="str">
        <f>IF(F1080="Yes", IFERROR(VLOOKUP(D1080, Repository!A:I, 8, 0), ""), "")</f>
        <v/>
      </c>
      <c r="R1080" s="105" t="str">
        <f>IF(F1080="Yes", IFERROR(VLOOKUP(D1080, Repository!A:J, 9, 0), ""), "")</f>
        <v/>
      </c>
      <c r="S1080" s="105"/>
      <c r="T1080" s="105"/>
      <c r="U1080" s="105"/>
      <c r="V1080" s="105"/>
      <c r="W1080" s="105"/>
      <c r="X1080" s="105"/>
      <c r="Y1080" s="105"/>
      <c r="Z1080" s="105"/>
      <c r="AA1080" s="105"/>
      <c r="AB1080" s="105"/>
      <c r="AC1080" s="91"/>
      <c r="AD1080" s="105"/>
      <c r="AE1080" s="105"/>
      <c r="AF1080" s="91"/>
      <c r="AG1080" s="105"/>
      <c r="AH1080" s="105"/>
      <c r="AI1080" s="105" t="str">
        <f t="shared" si="1"/>
        <v/>
      </c>
      <c r="AJ1080" s="108" t="str">
        <f t="shared" si="2"/>
        <v/>
      </c>
    </row>
    <row r="1081" ht="15.75" customHeight="1">
      <c r="A1081" s="104"/>
      <c r="B1081" s="105" t="str">
        <f>IFERROR(__xludf.DUMMYFUNCTION("ARRAY_CONSTRAIN(
  ARRAYFORMULA(
    IF(
      'Final Report'!A1081="""",
      """",
      TEXTJOIN(
        "", "" &amp; CHAR(10),
        TRUE,
        IFERROR(
          VLOOKUP(
            TRIM(
              SPLIT('Final Report'!A1081, "","")
         "&amp;"   ),
            'URL Details'!A:B,
            2,
            FALSE
          ),
          """"
        )
      )
    )
  ),
  1,
  1
)
"),"")</f>
        <v/>
      </c>
      <c r="C1081" s="105" t="str">
        <f>IFERROR(__xludf.DUMMYFUNCTION("IFERROR(IF('Final Report'!A1081="""","""", TEXTJOIN(CHAR(10), TRUE, ARRAYFORMULA( ""• ""&amp; FILTER( TRIM(FLATTEN(SPLIT( REGEXREPLACE( SUBSTITUTE(TEXTJOIN("","", TRUE, IFERROR(ARRAYFORMULA(VLOOKUP(TRIM(SPLIT('Final Report'!A1081, "","")), 'URL Details'!A:D, "&amp;"4, FALSE)),"""") ), CHAR(10), "",""), ""\s*,\s*"", "",""), "",""))), TRIM(FLATTEN(SPLIT( REGEXREPLACE( SUBSTITUTE(TEXTJOIN("","", TRUE, IFERROR(ARRAYFORMULA(VLOOKUP(TRIM(SPLIT('Final Report'!A1081, "","")), 'URL Details'!A:D, 4, FALSE)),"""") ), CHAR(10),"&amp;" "",""), ""\s*,\s*"", "",""), "","")))&lt;&gt;"""" ) ) ) ),"""")
"),"")</f>
        <v/>
      </c>
      <c r="D1081" s="105"/>
      <c r="E1081" s="105"/>
      <c r="F1081" s="110" t="b">
        <v>0</v>
      </c>
      <c r="G1081" s="105" t="str">
        <f>IF(F1081=True, IFERROR(VLOOKUP(D1081, Repository!A:B, 2, 0), ""), "")</f>
        <v/>
      </c>
      <c r="H1081" s="105"/>
      <c r="I1081" s="105"/>
      <c r="J1081" s="105" t="str">
        <f>IF(F1081=True, IFERROR(VLOOKUP(D1081, Repository!A:C, 3, 0), ""), "")</f>
        <v/>
      </c>
      <c r="K1081" s="105"/>
      <c r="L1081" s="105" t="str">
        <f>IF(F1081=True, IFERROR(VLOOKUP(D1081, Repository!A:E, 5, 0), ""), "")</f>
        <v/>
      </c>
      <c r="M1081" s="105"/>
      <c r="N1081" s="105" t="str">
        <f>IF(F1081=True, IFERROR(VLOOKUP(D1081, Repository!A:G, 7, 0), ""), "")</f>
        <v/>
      </c>
      <c r="O1081" s="105" t="str">
        <f>IFERROR(__xludf.DUMMYFUNCTION("ARRAY_CONSTRAIN(
  ARRAYFORMULA(
    IFERROR(
      LET(
        list, N1081,
        arr, TRIM(SPLIT(list, "","")),
        names, XLOOKUP(
          arr,
          'Conformance Score'!A:A,
          'Conformance Score'!B:B,
          ""Not found""
     "&amp;"   ),
        TEXTJOIN("", "", TRUE, names)
      ),
      """"
    )
  ),
  1,
  1
)
"),"")</f>
        <v/>
      </c>
      <c r="P1081" s="105" t="str">
        <f>IF(F1081="Yes", IFERROR(VLOOKUP(D1081, Repository!A:F, 6, 0), ""), "")</f>
        <v/>
      </c>
      <c r="Q1081" s="105" t="str">
        <f>IF(F1081="Yes", IFERROR(VLOOKUP(D1081, Repository!A:I, 8, 0), ""), "")</f>
        <v/>
      </c>
      <c r="R1081" s="105" t="str">
        <f>IF(F1081="Yes", IFERROR(VLOOKUP(D1081, Repository!A:J, 9, 0), ""), "")</f>
        <v/>
      </c>
      <c r="S1081" s="105"/>
      <c r="T1081" s="105"/>
      <c r="U1081" s="105"/>
      <c r="V1081" s="105"/>
      <c r="W1081" s="105"/>
      <c r="X1081" s="105"/>
      <c r="Y1081" s="105"/>
      <c r="Z1081" s="105"/>
      <c r="AA1081" s="105"/>
      <c r="AB1081" s="105"/>
      <c r="AC1081" s="91"/>
      <c r="AD1081" s="105"/>
      <c r="AE1081" s="105"/>
      <c r="AF1081" s="91"/>
      <c r="AG1081" s="105"/>
      <c r="AH1081" s="105"/>
      <c r="AI1081" s="105" t="str">
        <f t="shared" si="1"/>
        <v/>
      </c>
      <c r="AJ1081" s="108" t="str">
        <f t="shared" si="2"/>
        <v/>
      </c>
    </row>
    <row r="1082" ht="15.75" customHeight="1">
      <c r="A1082" s="104"/>
      <c r="B1082" s="105" t="str">
        <f>IFERROR(__xludf.DUMMYFUNCTION("ARRAY_CONSTRAIN(
  ARRAYFORMULA(
    IF(
      'Final Report'!A1082="""",
      """",
      TEXTJOIN(
        "", "" &amp; CHAR(10),
        TRUE,
        IFERROR(
          VLOOKUP(
            TRIM(
              SPLIT('Final Report'!A1082, "","")
         "&amp;"   ),
            'URL Details'!A:B,
            2,
            FALSE
          ),
          """"
        )
      )
    )
  ),
  1,
  1
)
"),"")</f>
        <v/>
      </c>
      <c r="C1082" s="105" t="str">
        <f>IFERROR(__xludf.DUMMYFUNCTION("IFERROR(IF('Final Report'!A1082="""","""", TEXTJOIN(CHAR(10), TRUE, ARRAYFORMULA( ""• ""&amp; FILTER( TRIM(FLATTEN(SPLIT( REGEXREPLACE( SUBSTITUTE(TEXTJOIN("","", TRUE, IFERROR(ARRAYFORMULA(VLOOKUP(TRIM(SPLIT('Final Report'!A1082, "","")), 'URL Details'!A:D, "&amp;"4, FALSE)),"""") ), CHAR(10), "",""), ""\s*,\s*"", "",""), "",""))), TRIM(FLATTEN(SPLIT( REGEXREPLACE( SUBSTITUTE(TEXTJOIN("","", TRUE, IFERROR(ARRAYFORMULA(VLOOKUP(TRIM(SPLIT('Final Report'!A1082, "","")), 'URL Details'!A:D, 4, FALSE)),"""") ), CHAR(10),"&amp;" "",""), ""\s*,\s*"", "",""), "","")))&lt;&gt;"""" ) ) ) ),"""")
"),"")</f>
        <v/>
      </c>
      <c r="D1082" s="105"/>
      <c r="E1082" s="105"/>
      <c r="F1082" s="110" t="b">
        <v>0</v>
      </c>
      <c r="G1082" s="105" t="str">
        <f>IF(F1082=True, IFERROR(VLOOKUP(D1082, Repository!A:B, 2, 0), ""), "")</f>
        <v/>
      </c>
      <c r="H1082" s="105"/>
      <c r="I1082" s="105"/>
      <c r="J1082" s="105" t="str">
        <f>IF(F1082=True, IFERROR(VLOOKUP(D1082, Repository!A:C, 3, 0), ""), "")</f>
        <v/>
      </c>
      <c r="K1082" s="105"/>
      <c r="L1082" s="105" t="str">
        <f>IF(F1082=True, IFERROR(VLOOKUP(D1082, Repository!A:E, 5, 0), ""), "")</f>
        <v/>
      </c>
      <c r="M1082" s="105"/>
      <c r="N1082" s="105" t="str">
        <f>IF(F1082=True, IFERROR(VLOOKUP(D1082, Repository!A:G, 7, 0), ""), "")</f>
        <v/>
      </c>
      <c r="O1082" s="105" t="str">
        <f>IFERROR(__xludf.DUMMYFUNCTION("ARRAY_CONSTRAIN(
  ARRAYFORMULA(
    IFERROR(
      LET(
        list, N1082,
        arr, TRIM(SPLIT(list, "","")),
        names, XLOOKUP(
          arr,
          'Conformance Score'!A:A,
          'Conformance Score'!B:B,
          ""Not found""
     "&amp;"   ),
        TEXTJOIN("", "", TRUE, names)
      ),
      """"
    )
  ),
  1,
  1
)
"),"")</f>
        <v/>
      </c>
      <c r="P1082" s="105" t="str">
        <f>IF(F1082="Yes", IFERROR(VLOOKUP(D1082, Repository!A:F, 6, 0), ""), "")</f>
        <v/>
      </c>
      <c r="Q1082" s="105" t="str">
        <f>IF(F1082="Yes", IFERROR(VLOOKUP(D1082, Repository!A:I, 8, 0), ""), "")</f>
        <v/>
      </c>
      <c r="R1082" s="105" t="str">
        <f>IF(F1082="Yes", IFERROR(VLOOKUP(D1082, Repository!A:J, 9, 0), ""), "")</f>
        <v/>
      </c>
      <c r="S1082" s="105"/>
      <c r="T1082" s="105"/>
      <c r="U1082" s="105"/>
      <c r="V1082" s="105"/>
      <c r="W1082" s="105"/>
      <c r="X1082" s="105"/>
      <c r="Y1082" s="105"/>
      <c r="Z1082" s="105"/>
      <c r="AA1082" s="105"/>
      <c r="AB1082" s="105"/>
      <c r="AC1082" s="91"/>
      <c r="AD1082" s="105"/>
      <c r="AE1082" s="105"/>
      <c r="AF1082" s="91"/>
      <c r="AG1082" s="105"/>
      <c r="AH1082" s="105"/>
      <c r="AI1082" s="105" t="str">
        <f t="shared" si="1"/>
        <v/>
      </c>
      <c r="AJ1082" s="108" t="str">
        <f t="shared" si="2"/>
        <v/>
      </c>
    </row>
    <row r="1083" ht="15.75" customHeight="1">
      <c r="A1083" s="104"/>
      <c r="B1083" s="105" t="str">
        <f>IFERROR(__xludf.DUMMYFUNCTION("ARRAY_CONSTRAIN(
  ARRAYFORMULA(
    IF(
      'Final Report'!A1083="""",
      """",
      TEXTJOIN(
        "", "" &amp; CHAR(10),
        TRUE,
        IFERROR(
          VLOOKUP(
            TRIM(
              SPLIT('Final Report'!A1083, "","")
         "&amp;"   ),
            'URL Details'!A:B,
            2,
            FALSE
          ),
          """"
        )
      )
    )
  ),
  1,
  1
)
"),"")</f>
        <v/>
      </c>
      <c r="C1083" s="105" t="str">
        <f>IFERROR(__xludf.DUMMYFUNCTION("IFERROR(IF('Final Report'!A1083="""","""", TEXTJOIN(CHAR(10), TRUE, ARRAYFORMULA( ""• ""&amp; FILTER( TRIM(FLATTEN(SPLIT( REGEXREPLACE( SUBSTITUTE(TEXTJOIN("","", TRUE, IFERROR(ARRAYFORMULA(VLOOKUP(TRIM(SPLIT('Final Report'!A1083, "","")), 'URL Details'!A:D, "&amp;"4, FALSE)),"""") ), CHAR(10), "",""), ""\s*,\s*"", "",""), "",""))), TRIM(FLATTEN(SPLIT( REGEXREPLACE( SUBSTITUTE(TEXTJOIN("","", TRUE, IFERROR(ARRAYFORMULA(VLOOKUP(TRIM(SPLIT('Final Report'!A1083, "","")), 'URL Details'!A:D, 4, FALSE)),"""") ), CHAR(10),"&amp;" "",""), ""\s*,\s*"", "",""), "","")))&lt;&gt;"""" ) ) ) ),"""")
"),"")</f>
        <v/>
      </c>
      <c r="D1083" s="105"/>
      <c r="E1083" s="105"/>
      <c r="F1083" s="110" t="b">
        <v>0</v>
      </c>
      <c r="G1083" s="105" t="str">
        <f>IF(F1083=True, IFERROR(VLOOKUP(D1083, Repository!A:B, 2, 0), ""), "")</f>
        <v/>
      </c>
      <c r="H1083" s="105"/>
      <c r="I1083" s="105"/>
      <c r="J1083" s="105" t="str">
        <f>IF(F1083=True, IFERROR(VLOOKUP(D1083, Repository!A:C, 3, 0), ""), "")</f>
        <v/>
      </c>
      <c r="K1083" s="105"/>
      <c r="L1083" s="105" t="str">
        <f>IF(F1083=True, IFERROR(VLOOKUP(D1083, Repository!A:E, 5, 0), ""), "")</f>
        <v/>
      </c>
      <c r="M1083" s="105"/>
      <c r="N1083" s="105" t="str">
        <f>IF(F1083=True, IFERROR(VLOOKUP(D1083, Repository!A:G, 7, 0), ""), "")</f>
        <v/>
      </c>
      <c r="O1083" s="105" t="str">
        <f>IFERROR(__xludf.DUMMYFUNCTION("ARRAY_CONSTRAIN(
  ARRAYFORMULA(
    IFERROR(
      LET(
        list, N1083,
        arr, TRIM(SPLIT(list, "","")),
        names, XLOOKUP(
          arr,
          'Conformance Score'!A:A,
          'Conformance Score'!B:B,
          ""Not found""
     "&amp;"   ),
        TEXTJOIN("", "", TRUE, names)
      ),
      """"
    )
  ),
  1,
  1
)
"),"")</f>
        <v/>
      </c>
      <c r="P1083" s="105" t="str">
        <f>IF(F1083="Yes", IFERROR(VLOOKUP(D1083, Repository!A:F, 6, 0), ""), "")</f>
        <v/>
      </c>
      <c r="Q1083" s="105" t="str">
        <f>IF(F1083="Yes", IFERROR(VLOOKUP(D1083, Repository!A:I, 8, 0), ""), "")</f>
        <v/>
      </c>
      <c r="R1083" s="105" t="str">
        <f>IF(F1083="Yes", IFERROR(VLOOKUP(D1083, Repository!A:J, 9, 0), ""), "")</f>
        <v/>
      </c>
      <c r="S1083" s="105"/>
      <c r="T1083" s="105"/>
      <c r="U1083" s="105"/>
      <c r="V1083" s="105"/>
      <c r="W1083" s="105"/>
      <c r="X1083" s="105"/>
      <c r="Y1083" s="105"/>
      <c r="Z1083" s="105"/>
      <c r="AA1083" s="105"/>
      <c r="AB1083" s="105"/>
      <c r="AC1083" s="91"/>
      <c r="AD1083" s="105"/>
      <c r="AE1083" s="105"/>
      <c r="AF1083" s="91"/>
      <c r="AG1083" s="105"/>
      <c r="AH1083" s="105"/>
      <c r="AI1083" s="105" t="str">
        <f t="shared" si="1"/>
        <v/>
      </c>
      <c r="AJ1083" s="108" t="str">
        <f t="shared" si="2"/>
        <v/>
      </c>
    </row>
    <row r="1084" ht="15.75" customHeight="1">
      <c r="A1084" s="104"/>
      <c r="B1084" s="105" t="str">
        <f>IFERROR(__xludf.DUMMYFUNCTION("ARRAY_CONSTRAIN(
  ARRAYFORMULA(
    IF(
      'Final Report'!A1084="""",
      """",
      TEXTJOIN(
        "", "" &amp; CHAR(10),
        TRUE,
        IFERROR(
          VLOOKUP(
            TRIM(
              SPLIT('Final Report'!A1084, "","")
         "&amp;"   ),
            'URL Details'!A:B,
            2,
            FALSE
          ),
          """"
        )
      )
    )
  ),
  1,
  1
)
"),"")</f>
        <v/>
      </c>
      <c r="C1084" s="105" t="str">
        <f>IFERROR(__xludf.DUMMYFUNCTION("IFERROR(IF('Final Report'!A1084="""","""", TEXTJOIN(CHAR(10), TRUE, ARRAYFORMULA( ""• ""&amp; FILTER( TRIM(FLATTEN(SPLIT( REGEXREPLACE( SUBSTITUTE(TEXTJOIN("","", TRUE, IFERROR(ARRAYFORMULA(VLOOKUP(TRIM(SPLIT('Final Report'!A1084, "","")), 'URL Details'!A:D, "&amp;"4, FALSE)),"""") ), CHAR(10), "",""), ""\s*,\s*"", "",""), "",""))), TRIM(FLATTEN(SPLIT( REGEXREPLACE( SUBSTITUTE(TEXTJOIN("","", TRUE, IFERROR(ARRAYFORMULA(VLOOKUP(TRIM(SPLIT('Final Report'!A1084, "","")), 'URL Details'!A:D, 4, FALSE)),"""") ), CHAR(10),"&amp;" "",""), ""\s*,\s*"", "",""), "","")))&lt;&gt;"""" ) ) ) ),"""")
"),"")</f>
        <v/>
      </c>
      <c r="D1084" s="105"/>
      <c r="E1084" s="105"/>
      <c r="F1084" s="110" t="b">
        <v>0</v>
      </c>
      <c r="G1084" s="105" t="str">
        <f>IF(F1084=True, IFERROR(VLOOKUP(D1084, Repository!A:B, 2, 0), ""), "")</f>
        <v/>
      </c>
      <c r="H1084" s="105"/>
      <c r="I1084" s="105"/>
      <c r="J1084" s="105" t="str">
        <f>IF(F1084=True, IFERROR(VLOOKUP(D1084, Repository!A:C, 3, 0), ""), "")</f>
        <v/>
      </c>
      <c r="K1084" s="105"/>
      <c r="L1084" s="105" t="str">
        <f>IF(F1084=True, IFERROR(VLOOKUP(D1084, Repository!A:E, 5, 0), ""), "")</f>
        <v/>
      </c>
      <c r="M1084" s="105"/>
      <c r="N1084" s="105" t="str">
        <f>IF(F1084=True, IFERROR(VLOOKUP(D1084, Repository!A:G, 7, 0), ""), "")</f>
        <v/>
      </c>
      <c r="O1084" s="105" t="str">
        <f>IFERROR(__xludf.DUMMYFUNCTION("ARRAY_CONSTRAIN(
  ARRAYFORMULA(
    IFERROR(
      LET(
        list, N1084,
        arr, TRIM(SPLIT(list, "","")),
        names, XLOOKUP(
          arr,
          'Conformance Score'!A:A,
          'Conformance Score'!B:B,
          ""Not found""
     "&amp;"   ),
        TEXTJOIN("", "", TRUE, names)
      ),
      """"
    )
  ),
  1,
  1
)
"),"")</f>
        <v/>
      </c>
      <c r="P1084" s="105" t="str">
        <f>IF(F1084="Yes", IFERROR(VLOOKUP(D1084, Repository!A:F, 6, 0), ""), "")</f>
        <v/>
      </c>
      <c r="Q1084" s="105" t="str">
        <f>IF(F1084="Yes", IFERROR(VLOOKUP(D1084, Repository!A:I, 8, 0), ""), "")</f>
        <v/>
      </c>
      <c r="R1084" s="105" t="str">
        <f>IF(F1084="Yes", IFERROR(VLOOKUP(D1084, Repository!A:J, 9, 0), ""), "")</f>
        <v/>
      </c>
      <c r="S1084" s="105"/>
      <c r="T1084" s="105"/>
      <c r="U1084" s="105"/>
      <c r="V1084" s="105"/>
      <c r="W1084" s="105"/>
      <c r="X1084" s="105"/>
      <c r="Y1084" s="105"/>
      <c r="Z1084" s="105"/>
      <c r="AA1084" s="105"/>
      <c r="AB1084" s="105"/>
      <c r="AC1084" s="91"/>
      <c r="AD1084" s="105"/>
      <c r="AE1084" s="105"/>
      <c r="AF1084" s="91"/>
      <c r="AG1084" s="105"/>
      <c r="AH1084" s="105"/>
      <c r="AI1084" s="105" t="str">
        <f t="shared" si="1"/>
        <v/>
      </c>
      <c r="AJ1084" s="108" t="str">
        <f t="shared" si="2"/>
        <v/>
      </c>
    </row>
    <row r="1085" ht="15.75" customHeight="1">
      <c r="A1085" s="104"/>
      <c r="B1085" s="105" t="str">
        <f>IFERROR(__xludf.DUMMYFUNCTION("ARRAY_CONSTRAIN(
  ARRAYFORMULA(
    IF(
      'Final Report'!A1085="""",
      """",
      TEXTJOIN(
        "", "" &amp; CHAR(10),
        TRUE,
        IFERROR(
          VLOOKUP(
            TRIM(
              SPLIT('Final Report'!A1085, "","")
         "&amp;"   ),
            'URL Details'!A:B,
            2,
            FALSE
          ),
          """"
        )
      )
    )
  ),
  1,
  1
)
"),"")</f>
        <v/>
      </c>
      <c r="C1085" s="105" t="str">
        <f>IFERROR(__xludf.DUMMYFUNCTION("IFERROR(IF('Final Report'!A1085="""","""", TEXTJOIN(CHAR(10), TRUE, ARRAYFORMULA( ""• ""&amp; FILTER( TRIM(FLATTEN(SPLIT( REGEXREPLACE( SUBSTITUTE(TEXTJOIN("","", TRUE, IFERROR(ARRAYFORMULA(VLOOKUP(TRIM(SPLIT('Final Report'!A1085, "","")), 'URL Details'!A:D, "&amp;"4, FALSE)),"""") ), CHAR(10), "",""), ""\s*,\s*"", "",""), "",""))), TRIM(FLATTEN(SPLIT( REGEXREPLACE( SUBSTITUTE(TEXTJOIN("","", TRUE, IFERROR(ARRAYFORMULA(VLOOKUP(TRIM(SPLIT('Final Report'!A1085, "","")), 'URL Details'!A:D, 4, FALSE)),"""") ), CHAR(10),"&amp;" "",""), ""\s*,\s*"", "",""), "","")))&lt;&gt;"""" ) ) ) ),"""")
"),"")</f>
        <v/>
      </c>
      <c r="D1085" s="105"/>
      <c r="E1085" s="105"/>
      <c r="F1085" s="110" t="b">
        <v>0</v>
      </c>
      <c r="G1085" s="105" t="str">
        <f>IF(F1085=True, IFERROR(VLOOKUP(D1085, Repository!A:B, 2, 0), ""), "")</f>
        <v/>
      </c>
      <c r="H1085" s="105"/>
      <c r="I1085" s="105"/>
      <c r="J1085" s="105" t="str">
        <f>IF(F1085=True, IFERROR(VLOOKUP(D1085, Repository!A:C, 3, 0), ""), "")</f>
        <v/>
      </c>
      <c r="K1085" s="105"/>
      <c r="L1085" s="105" t="str">
        <f>IF(F1085=True, IFERROR(VLOOKUP(D1085, Repository!A:E, 5, 0), ""), "")</f>
        <v/>
      </c>
      <c r="M1085" s="105"/>
      <c r="N1085" s="105" t="str">
        <f>IF(F1085=True, IFERROR(VLOOKUP(D1085, Repository!A:G, 7, 0), ""), "")</f>
        <v/>
      </c>
      <c r="O1085" s="105" t="str">
        <f>IFERROR(__xludf.DUMMYFUNCTION("ARRAY_CONSTRAIN(
  ARRAYFORMULA(
    IFERROR(
      LET(
        list, N1085,
        arr, TRIM(SPLIT(list, "","")),
        names, XLOOKUP(
          arr,
          'Conformance Score'!A:A,
          'Conformance Score'!B:B,
          ""Not found""
     "&amp;"   ),
        TEXTJOIN("", "", TRUE, names)
      ),
      """"
    )
  ),
  1,
  1
)
"),"")</f>
        <v/>
      </c>
      <c r="P1085" s="105" t="str">
        <f>IF(F1085="Yes", IFERROR(VLOOKUP(D1085, Repository!A:F, 6, 0), ""), "")</f>
        <v/>
      </c>
      <c r="Q1085" s="105" t="str">
        <f>IF(F1085="Yes", IFERROR(VLOOKUP(D1085, Repository!A:I, 8, 0), ""), "")</f>
        <v/>
      </c>
      <c r="R1085" s="105" t="str">
        <f>IF(F1085="Yes", IFERROR(VLOOKUP(D1085, Repository!A:J, 9, 0), ""), "")</f>
        <v/>
      </c>
      <c r="S1085" s="105"/>
      <c r="T1085" s="105"/>
      <c r="U1085" s="105"/>
      <c r="V1085" s="105"/>
      <c r="W1085" s="105"/>
      <c r="X1085" s="105"/>
      <c r="Y1085" s="105"/>
      <c r="Z1085" s="105"/>
      <c r="AA1085" s="105"/>
      <c r="AB1085" s="105"/>
      <c r="AC1085" s="91"/>
      <c r="AD1085" s="105"/>
      <c r="AE1085" s="105"/>
      <c r="AF1085" s="91"/>
      <c r="AG1085" s="105"/>
      <c r="AH1085" s="105"/>
      <c r="AI1085" s="105" t="str">
        <f t="shared" si="1"/>
        <v/>
      </c>
      <c r="AJ1085" s="108" t="str">
        <f t="shared" si="2"/>
        <v/>
      </c>
    </row>
    <row r="1086" ht="15.75" customHeight="1">
      <c r="A1086" s="104"/>
      <c r="B1086" s="105" t="str">
        <f>IFERROR(__xludf.DUMMYFUNCTION("ARRAY_CONSTRAIN(
  ARRAYFORMULA(
    IF(
      'Final Report'!A1086="""",
      """",
      TEXTJOIN(
        "", "" &amp; CHAR(10),
        TRUE,
        IFERROR(
          VLOOKUP(
            TRIM(
              SPLIT('Final Report'!A1086, "","")
         "&amp;"   ),
            'URL Details'!A:B,
            2,
            FALSE
          ),
          """"
        )
      )
    )
  ),
  1,
  1
)
"),"")</f>
        <v/>
      </c>
      <c r="C1086" s="105" t="str">
        <f>IFERROR(__xludf.DUMMYFUNCTION("IFERROR(IF('Final Report'!A1086="""","""", TEXTJOIN(CHAR(10), TRUE, ARRAYFORMULA( ""• ""&amp; FILTER( TRIM(FLATTEN(SPLIT( REGEXREPLACE( SUBSTITUTE(TEXTJOIN("","", TRUE, IFERROR(ARRAYFORMULA(VLOOKUP(TRIM(SPLIT('Final Report'!A1086, "","")), 'URL Details'!A:D, "&amp;"4, FALSE)),"""") ), CHAR(10), "",""), ""\s*,\s*"", "",""), "",""))), TRIM(FLATTEN(SPLIT( REGEXREPLACE( SUBSTITUTE(TEXTJOIN("","", TRUE, IFERROR(ARRAYFORMULA(VLOOKUP(TRIM(SPLIT('Final Report'!A1086, "","")), 'URL Details'!A:D, 4, FALSE)),"""") ), CHAR(10),"&amp;" "",""), ""\s*,\s*"", "",""), "","")))&lt;&gt;"""" ) ) ) ),"""")
"),"")</f>
        <v/>
      </c>
      <c r="D1086" s="105"/>
      <c r="E1086" s="105"/>
      <c r="F1086" s="110" t="b">
        <v>0</v>
      </c>
      <c r="G1086" s="105" t="str">
        <f>IF(F1086=True, IFERROR(VLOOKUP(D1086, Repository!A:B, 2, 0), ""), "")</f>
        <v/>
      </c>
      <c r="H1086" s="105"/>
      <c r="I1086" s="105"/>
      <c r="J1086" s="105" t="str">
        <f>IF(F1086=True, IFERROR(VLOOKUP(D1086, Repository!A:C, 3, 0), ""), "")</f>
        <v/>
      </c>
      <c r="K1086" s="105"/>
      <c r="L1086" s="105" t="str">
        <f>IF(F1086=True, IFERROR(VLOOKUP(D1086, Repository!A:E, 5, 0), ""), "")</f>
        <v/>
      </c>
      <c r="M1086" s="105"/>
      <c r="N1086" s="105" t="str">
        <f>IF(F1086=True, IFERROR(VLOOKUP(D1086, Repository!A:G, 7, 0), ""), "")</f>
        <v/>
      </c>
      <c r="O1086" s="105" t="str">
        <f>IFERROR(__xludf.DUMMYFUNCTION("ARRAY_CONSTRAIN(
  ARRAYFORMULA(
    IFERROR(
      LET(
        list, N1086,
        arr, TRIM(SPLIT(list, "","")),
        names, XLOOKUP(
          arr,
          'Conformance Score'!A:A,
          'Conformance Score'!B:B,
          ""Not found""
     "&amp;"   ),
        TEXTJOIN("", "", TRUE, names)
      ),
      """"
    )
  ),
  1,
  1
)
"),"")</f>
        <v/>
      </c>
      <c r="P1086" s="105" t="str">
        <f>IF(F1086="Yes", IFERROR(VLOOKUP(D1086, Repository!A:F, 6, 0), ""), "")</f>
        <v/>
      </c>
      <c r="Q1086" s="105" t="str">
        <f>IF(F1086="Yes", IFERROR(VLOOKUP(D1086, Repository!A:I, 8, 0), ""), "")</f>
        <v/>
      </c>
      <c r="R1086" s="105" t="str">
        <f>IF(F1086="Yes", IFERROR(VLOOKUP(D1086, Repository!A:J, 9, 0), ""), "")</f>
        <v/>
      </c>
      <c r="S1086" s="105"/>
      <c r="T1086" s="105"/>
      <c r="U1086" s="105"/>
      <c r="V1086" s="105"/>
      <c r="W1086" s="105"/>
      <c r="X1086" s="105"/>
      <c r="Y1086" s="105"/>
      <c r="Z1086" s="105"/>
      <c r="AA1086" s="105"/>
      <c r="AB1086" s="105"/>
      <c r="AC1086" s="91"/>
      <c r="AD1086" s="105"/>
      <c r="AE1086" s="105"/>
      <c r="AF1086" s="91"/>
      <c r="AG1086" s="105"/>
      <c r="AH1086" s="105"/>
      <c r="AI1086" s="105" t="str">
        <f t="shared" si="1"/>
        <v/>
      </c>
      <c r="AJ1086" s="108" t="str">
        <f t="shared" si="2"/>
        <v/>
      </c>
    </row>
    <row r="1087" ht="15.75" customHeight="1">
      <c r="A1087" s="104"/>
      <c r="B1087" s="105" t="str">
        <f>IFERROR(__xludf.DUMMYFUNCTION("ARRAY_CONSTRAIN(
  ARRAYFORMULA(
    IF(
      'Final Report'!A1087="""",
      """",
      TEXTJOIN(
        "", "" &amp; CHAR(10),
        TRUE,
        IFERROR(
          VLOOKUP(
            TRIM(
              SPLIT('Final Report'!A1087, "","")
         "&amp;"   ),
            'URL Details'!A:B,
            2,
            FALSE
          ),
          """"
        )
      )
    )
  ),
  1,
  1
)
"),"")</f>
        <v/>
      </c>
      <c r="C1087" s="105" t="str">
        <f>IFERROR(__xludf.DUMMYFUNCTION("IFERROR(IF('Final Report'!A1087="""","""", TEXTJOIN(CHAR(10), TRUE, ARRAYFORMULA( ""• ""&amp; FILTER( TRIM(FLATTEN(SPLIT( REGEXREPLACE( SUBSTITUTE(TEXTJOIN("","", TRUE, IFERROR(ARRAYFORMULA(VLOOKUP(TRIM(SPLIT('Final Report'!A1087, "","")), 'URL Details'!A:D, "&amp;"4, FALSE)),"""") ), CHAR(10), "",""), ""\s*,\s*"", "",""), "",""))), TRIM(FLATTEN(SPLIT( REGEXREPLACE( SUBSTITUTE(TEXTJOIN("","", TRUE, IFERROR(ARRAYFORMULA(VLOOKUP(TRIM(SPLIT('Final Report'!A1087, "","")), 'URL Details'!A:D, 4, FALSE)),"""") ), CHAR(10),"&amp;" "",""), ""\s*,\s*"", "",""), "","")))&lt;&gt;"""" ) ) ) ),"""")
"),"")</f>
        <v/>
      </c>
      <c r="D1087" s="105"/>
      <c r="E1087" s="105"/>
      <c r="F1087" s="110" t="b">
        <v>0</v>
      </c>
      <c r="G1087" s="105" t="str">
        <f>IF(F1087=True, IFERROR(VLOOKUP(D1087, Repository!A:B, 2, 0), ""), "")</f>
        <v/>
      </c>
      <c r="H1087" s="105"/>
      <c r="I1087" s="105"/>
      <c r="J1087" s="105" t="str">
        <f>IF(F1087=True, IFERROR(VLOOKUP(D1087, Repository!A:C, 3, 0), ""), "")</f>
        <v/>
      </c>
      <c r="K1087" s="105"/>
      <c r="L1087" s="105" t="str">
        <f>IF(F1087=True, IFERROR(VLOOKUP(D1087, Repository!A:E, 5, 0), ""), "")</f>
        <v/>
      </c>
      <c r="M1087" s="105"/>
      <c r="N1087" s="105" t="str">
        <f>IF(F1087=True, IFERROR(VLOOKUP(D1087, Repository!A:G, 7, 0), ""), "")</f>
        <v/>
      </c>
      <c r="O1087" s="105" t="str">
        <f>IFERROR(__xludf.DUMMYFUNCTION("ARRAY_CONSTRAIN(
  ARRAYFORMULA(
    IFERROR(
      LET(
        list, N1087,
        arr, TRIM(SPLIT(list, "","")),
        names, XLOOKUP(
          arr,
          'Conformance Score'!A:A,
          'Conformance Score'!B:B,
          ""Not found""
     "&amp;"   ),
        TEXTJOIN("", "", TRUE, names)
      ),
      """"
    )
  ),
  1,
  1
)
"),"")</f>
        <v/>
      </c>
      <c r="P1087" s="105" t="str">
        <f>IF(F1087="Yes", IFERROR(VLOOKUP(D1087, Repository!A:F, 6, 0), ""), "")</f>
        <v/>
      </c>
      <c r="Q1087" s="105" t="str">
        <f>IF(F1087="Yes", IFERROR(VLOOKUP(D1087, Repository!A:I, 8, 0), ""), "")</f>
        <v/>
      </c>
      <c r="R1087" s="105" t="str">
        <f>IF(F1087="Yes", IFERROR(VLOOKUP(D1087, Repository!A:J, 9, 0), ""), "")</f>
        <v/>
      </c>
      <c r="S1087" s="105"/>
      <c r="T1087" s="105"/>
      <c r="U1087" s="105"/>
      <c r="V1087" s="105"/>
      <c r="W1087" s="105"/>
      <c r="X1087" s="105"/>
      <c r="Y1087" s="105"/>
      <c r="Z1087" s="105"/>
      <c r="AA1087" s="105"/>
      <c r="AB1087" s="105"/>
      <c r="AC1087" s="91"/>
      <c r="AD1087" s="105"/>
      <c r="AE1087" s="105"/>
      <c r="AF1087" s="91"/>
      <c r="AG1087" s="105"/>
      <c r="AH1087" s="105"/>
      <c r="AI1087" s="105" t="str">
        <f t="shared" si="1"/>
        <v/>
      </c>
      <c r="AJ1087" s="108" t="str">
        <f t="shared" si="2"/>
        <v/>
      </c>
    </row>
    <row r="1088" ht="15.75" customHeight="1">
      <c r="A1088" s="104"/>
      <c r="B1088" s="105" t="str">
        <f>IFERROR(__xludf.DUMMYFUNCTION("ARRAY_CONSTRAIN(
  ARRAYFORMULA(
    IF(
      'Final Report'!A1088="""",
      """",
      TEXTJOIN(
        "", "" &amp; CHAR(10),
        TRUE,
        IFERROR(
          VLOOKUP(
            TRIM(
              SPLIT('Final Report'!A1088, "","")
         "&amp;"   ),
            'URL Details'!A:B,
            2,
            FALSE
          ),
          """"
        )
      )
    )
  ),
  1,
  1
)
"),"")</f>
        <v/>
      </c>
      <c r="C1088" s="105" t="str">
        <f>IFERROR(__xludf.DUMMYFUNCTION("IFERROR(IF('Final Report'!A1088="""","""", TEXTJOIN(CHAR(10), TRUE, ARRAYFORMULA( ""• ""&amp; FILTER( TRIM(FLATTEN(SPLIT( REGEXREPLACE( SUBSTITUTE(TEXTJOIN("","", TRUE, IFERROR(ARRAYFORMULA(VLOOKUP(TRIM(SPLIT('Final Report'!A1088, "","")), 'URL Details'!A:D, "&amp;"4, FALSE)),"""") ), CHAR(10), "",""), ""\s*,\s*"", "",""), "",""))), TRIM(FLATTEN(SPLIT( REGEXREPLACE( SUBSTITUTE(TEXTJOIN("","", TRUE, IFERROR(ARRAYFORMULA(VLOOKUP(TRIM(SPLIT('Final Report'!A1088, "","")), 'URL Details'!A:D, 4, FALSE)),"""") ), CHAR(10),"&amp;" "",""), ""\s*,\s*"", "",""), "","")))&lt;&gt;"""" ) ) ) ),"""")
"),"")</f>
        <v/>
      </c>
      <c r="D1088" s="105"/>
      <c r="E1088" s="105"/>
      <c r="F1088" s="110" t="b">
        <v>0</v>
      </c>
      <c r="G1088" s="105" t="str">
        <f>IF(F1088=True, IFERROR(VLOOKUP(D1088, Repository!A:B, 2, 0), ""), "")</f>
        <v/>
      </c>
      <c r="H1088" s="105"/>
      <c r="I1088" s="105"/>
      <c r="J1088" s="105" t="str">
        <f>IF(F1088=True, IFERROR(VLOOKUP(D1088, Repository!A:C, 3, 0), ""), "")</f>
        <v/>
      </c>
      <c r="K1088" s="105"/>
      <c r="L1088" s="105" t="str">
        <f>IF(F1088=True, IFERROR(VLOOKUP(D1088, Repository!A:E, 5, 0), ""), "")</f>
        <v/>
      </c>
      <c r="M1088" s="105"/>
      <c r="N1088" s="105" t="str">
        <f>IF(F1088=True, IFERROR(VLOOKUP(D1088, Repository!A:G, 7, 0), ""), "")</f>
        <v/>
      </c>
      <c r="O1088" s="105" t="str">
        <f>IFERROR(__xludf.DUMMYFUNCTION("ARRAY_CONSTRAIN(
  ARRAYFORMULA(
    IFERROR(
      LET(
        list, N1088,
        arr, TRIM(SPLIT(list, "","")),
        names, XLOOKUP(
          arr,
          'Conformance Score'!A:A,
          'Conformance Score'!B:B,
          ""Not found""
     "&amp;"   ),
        TEXTJOIN("", "", TRUE, names)
      ),
      """"
    )
  ),
  1,
  1
)
"),"")</f>
        <v/>
      </c>
      <c r="P1088" s="105" t="str">
        <f>IF(F1088="Yes", IFERROR(VLOOKUP(D1088, Repository!A:F, 6, 0), ""), "")</f>
        <v/>
      </c>
      <c r="Q1088" s="105" t="str">
        <f>IF(F1088="Yes", IFERROR(VLOOKUP(D1088, Repository!A:I, 8, 0), ""), "")</f>
        <v/>
      </c>
      <c r="R1088" s="105" t="str">
        <f>IF(F1088="Yes", IFERROR(VLOOKUP(D1088, Repository!A:J, 9, 0), ""), "")</f>
        <v/>
      </c>
      <c r="S1088" s="105"/>
      <c r="T1088" s="105"/>
      <c r="U1088" s="105"/>
      <c r="V1088" s="105"/>
      <c r="W1088" s="105"/>
      <c r="X1088" s="105"/>
      <c r="Y1088" s="105"/>
      <c r="Z1088" s="105"/>
      <c r="AA1088" s="105"/>
      <c r="AB1088" s="105"/>
      <c r="AC1088" s="91"/>
      <c r="AD1088" s="105"/>
      <c r="AE1088" s="105"/>
      <c r="AF1088" s="91"/>
      <c r="AG1088" s="105"/>
      <c r="AH1088" s="105"/>
      <c r="AI1088" s="105" t="str">
        <f t="shared" si="1"/>
        <v/>
      </c>
      <c r="AJ1088" s="108" t="str">
        <f t="shared" si="2"/>
        <v/>
      </c>
    </row>
    <row r="1089" ht="15.75" customHeight="1">
      <c r="A1089" s="104"/>
      <c r="B1089" s="105" t="str">
        <f>IFERROR(__xludf.DUMMYFUNCTION("ARRAY_CONSTRAIN(
  ARRAYFORMULA(
    IF(
      'Final Report'!A1089="""",
      """",
      TEXTJOIN(
        "", "" &amp; CHAR(10),
        TRUE,
        IFERROR(
          VLOOKUP(
            TRIM(
              SPLIT('Final Report'!A1089, "","")
         "&amp;"   ),
            'URL Details'!A:B,
            2,
            FALSE
          ),
          """"
        )
      )
    )
  ),
  1,
  1
)
"),"")</f>
        <v/>
      </c>
      <c r="C1089" s="105" t="str">
        <f>IFERROR(__xludf.DUMMYFUNCTION("IFERROR(IF('Final Report'!A1089="""","""", TEXTJOIN(CHAR(10), TRUE, ARRAYFORMULA( ""• ""&amp; FILTER( TRIM(FLATTEN(SPLIT( REGEXREPLACE( SUBSTITUTE(TEXTJOIN("","", TRUE, IFERROR(ARRAYFORMULA(VLOOKUP(TRIM(SPLIT('Final Report'!A1089, "","")), 'URL Details'!A:D, "&amp;"4, FALSE)),"""") ), CHAR(10), "",""), ""\s*,\s*"", "",""), "",""))), TRIM(FLATTEN(SPLIT( REGEXREPLACE( SUBSTITUTE(TEXTJOIN("","", TRUE, IFERROR(ARRAYFORMULA(VLOOKUP(TRIM(SPLIT('Final Report'!A1089, "","")), 'URL Details'!A:D, 4, FALSE)),"""") ), CHAR(10),"&amp;" "",""), ""\s*,\s*"", "",""), "","")))&lt;&gt;"""" ) ) ) ),"""")
"),"")</f>
        <v/>
      </c>
      <c r="D1089" s="105"/>
      <c r="E1089" s="105"/>
      <c r="F1089" s="110" t="b">
        <v>0</v>
      </c>
      <c r="G1089" s="105" t="str">
        <f>IF(F1089=True, IFERROR(VLOOKUP(D1089, Repository!A:B, 2, 0), ""), "")</f>
        <v/>
      </c>
      <c r="H1089" s="105"/>
      <c r="I1089" s="105"/>
      <c r="J1089" s="105" t="str">
        <f>IF(F1089=True, IFERROR(VLOOKUP(D1089, Repository!A:C, 3, 0), ""), "")</f>
        <v/>
      </c>
      <c r="K1089" s="105"/>
      <c r="L1089" s="105" t="str">
        <f>IF(F1089=True, IFERROR(VLOOKUP(D1089, Repository!A:E, 5, 0), ""), "")</f>
        <v/>
      </c>
      <c r="M1089" s="105"/>
      <c r="N1089" s="105" t="str">
        <f>IF(F1089=True, IFERROR(VLOOKUP(D1089, Repository!A:G, 7, 0), ""), "")</f>
        <v/>
      </c>
      <c r="O1089" s="105" t="str">
        <f>IFERROR(__xludf.DUMMYFUNCTION("ARRAY_CONSTRAIN(
  ARRAYFORMULA(
    IFERROR(
      LET(
        list, N1089,
        arr, TRIM(SPLIT(list, "","")),
        names, XLOOKUP(
          arr,
          'Conformance Score'!A:A,
          'Conformance Score'!B:B,
          ""Not found""
     "&amp;"   ),
        TEXTJOIN("", "", TRUE, names)
      ),
      """"
    )
  ),
  1,
  1
)
"),"")</f>
        <v/>
      </c>
      <c r="P1089" s="105" t="str">
        <f>IF(F1089="Yes", IFERROR(VLOOKUP(D1089, Repository!A:F, 6, 0), ""), "")</f>
        <v/>
      </c>
      <c r="Q1089" s="105" t="str">
        <f>IF(F1089="Yes", IFERROR(VLOOKUP(D1089, Repository!A:I, 8, 0), ""), "")</f>
        <v/>
      </c>
      <c r="R1089" s="105" t="str">
        <f>IF(F1089="Yes", IFERROR(VLOOKUP(D1089, Repository!A:J, 9, 0), ""), "")</f>
        <v/>
      </c>
      <c r="S1089" s="105"/>
      <c r="T1089" s="105"/>
      <c r="U1089" s="105"/>
      <c r="V1089" s="105"/>
      <c r="W1089" s="105"/>
      <c r="X1089" s="105"/>
      <c r="Y1089" s="105"/>
      <c r="Z1089" s="105"/>
      <c r="AA1089" s="105"/>
      <c r="AB1089" s="105"/>
      <c r="AC1089" s="91"/>
      <c r="AD1089" s="105"/>
      <c r="AE1089" s="105"/>
      <c r="AF1089" s="91"/>
      <c r="AG1089" s="105"/>
      <c r="AH1089" s="105"/>
      <c r="AI1089" s="105" t="str">
        <f t="shared" si="1"/>
        <v/>
      </c>
      <c r="AJ1089" s="108" t="str">
        <f t="shared" si="2"/>
        <v/>
      </c>
    </row>
    <row r="1090" ht="15.75" customHeight="1">
      <c r="A1090" s="104"/>
      <c r="B1090" s="105" t="str">
        <f>IFERROR(__xludf.DUMMYFUNCTION("ARRAY_CONSTRAIN(
  ARRAYFORMULA(
    IF(
      'Final Report'!A1090="""",
      """",
      TEXTJOIN(
        "", "" &amp; CHAR(10),
        TRUE,
        IFERROR(
          VLOOKUP(
            TRIM(
              SPLIT('Final Report'!A1090, "","")
         "&amp;"   ),
            'URL Details'!A:B,
            2,
            FALSE
          ),
          """"
        )
      )
    )
  ),
  1,
  1
)
"),"")</f>
        <v/>
      </c>
      <c r="C1090" s="105" t="str">
        <f>IFERROR(__xludf.DUMMYFUNCTION("IFERROR(IF('Final Report'!A1090="""","""", TEXTJOIN(CHAR(10), TRUE, ARRAYFORMULA( ""• ""&amp; FILTER( TRIM(FLATTEN(SPLIT( REGEXREPLACE( SUBSTITUTE(TEXTJOIN("","", TRUE, IFERROR(ARRAYFORMULA(VLOOKUP(TRIM(SPLIT('Final Report'!A1090, "","")), 'URL Details'!A:D, "&amp;"4, FALSE)),"""") ), CHAR(10), "",""), ""\s*,\s*"", "",""), "",""))), TRIM(FLATTEN(SPLIT( REGEXREPLACE( SUBSTITUTE(TEXTJOIN("","", TRUE, IFERROR(ARRAYFORMULA(VLOOKUP(TRIM(SPLIT('Final Report'!A1090, "","")), 'URL Details'!A:D, 4, FALSE)),"""") ), CHAR(10),"&amp;" "",""), ""\s*,\s*"", "",""), "","")))&lt;&gt;"""" ) ) ) ),"""")
"),"")</f>
        <v/>
      </c>
      <c r="D1090" s="105"/>
      <c r="E1090" s="105"/>
      <c r="F1090" s="110" t="b">
        <v>0</v>
      </c>
      <c r="G1090" s="105" t="str">
        <f>IF(F1090=True, IFERROR(VLOOKUP(D1090, Repository!A:B, 2, 0), ""), "")</f>
        <v/>
      </c>
      <c r="H1090" s="105"/>
      <c r="I1090" s="105"/>
      <c r="J1090" s="105" t="str">
        <f>IF(F1090=True, IFERROR(VLOOKUP(D1090, Repository!A:C, 3, 0), ""), "")</f>
        <v/>
      </c>
      <c r="K1090" s="105"/>
      <c r="L1090" s="105" t="str">
        <f>IF(F1090=True, IFERROR(VLOOKUP(D1090, Repository!A:E, 5, 0), ""), "")</f>
        <v/>
      </c>
      <c r="M1090" s="105"/>
      <c r="N1090" s="105" t="str">
        <f>IF(F1090=True, IFERROR(VLOOKUP(D1090, Repository!A:G, 7, 0), ""), "")</f>
        <v/>
      </c>
      <c r="O1090" s="105" t="str">
        <f>IFERROR(__xludf.DUMMYFUNCTION("ARRAY_CONSTRAIN(
  ARRAYFORMULA(
    IFERROR(
      LET(
        list, N1090,
        arr, TRIM(SPLIT(list, "","")),
        names, XLOOKUP(
          arr,
          'Conformance Score'!A:A,
          'Conformance Score'!B:B,
          ""Not found""
     "&amp;"   ),
        TEXTJOIN("", "", TRUE, names)
      ),
      """"
    )
  ),
  1,
  1
)
"),"")</f>
        <v/>
      </c>
      <c r="P1090" s="105" t="str">
        <f>IF(F1090="Yes", IFERROR(VLOOKUP(D1090, Repository!A:F, 6, 0), ""), "")</f>
        <v/>
      </c>
      <c r="Q1090" s="105" t="str">
        <f>IF(F1090="Yes", IFERROR(VLOOKUP(D1090, Repository!A:I, 8, 0), ""), "")</f>
        <v/>
      </c>
      <c r="R1090" s="105" t="str">
        <f>IF(F1090="Yes", IFERROR(VLOOKUP(D1090, Repository!A:J, 9, 0), ""), "")</f>
        <v/>
      </c>
      <c r="S1090" s="105"/>
      <c r="T1090" s="105"/>
      <c r="U1090" s="105"/>
      <c r="V1090" s="105"/>
      <c r="W1090" s="105"/>
      <c r="X1090" s="105"/>
      <c r="Y1090" s="105"/>
      <c r="Z1090" s="105"/>
      <c r="AA1090" s="105"/>
      <c r="AB1090" s="105"/>
      <c r="AC1090" s="91"/>
      <c r="AD1090" s="105"/>
      <c r="AE1090" s="105"/>
      <c r="AF1090" s="91"/>
      <c r="AG1090" s="105"/>
      <c r="AH1090" s="105"/>
      <c r="AI1090" s="105" t="str">
        <f t="shared" si="1"/>
        <v/>
      </c>
      <c r="AJ1090" s="108" t="str">
        <f t="shared" si="2"/>
        <v/>
      </c>
    </row>
    <row r="1091" ht="15.75" customHeight="1">
      <c r="A1091" s="104"/>
      <c r="B1091" s="105" t="str">
        <f>IFERROR(__xludf.DUMMYFUNCTION("ARRAY_CONSTRAIN(
  ARRAYFORMULA(
    IF(
      'Final Report'!A1091="""",
      """",
      TEXTJOIN(
        "", "" &amp; CHAR(10),
        TRUE,
        IFERROR(
          VLOOKUP(
            TRIM(
              SPLIT('Final Report'!A1091, "","")
         "&amp;"   ),
            'URL Details'!A:B,
            2,
            FALSE
          ),
          """"
        )
      )
    )
  ),
  1,
  1
)
"),"")</f>
        <v/>
      </c>
      <c r="C1091" s="105" t="str">
        <f>IFERROR(__xludf.DUMMYFUNCTION("IFERROR(IF('Final Report'!A1091="""","""", TEXTJOIN(CHAR(10), TRUE, ARRAYFORMULA( ""• ""&amp; FILTER( TRIM(FLATTEN(SPLIT( REGEXREPLACE( SUBSTITUTE(TEXTJOIN("","", TRUE, IFERROR(ARRAYFORMULA(VLOOKUP(TRIM(SPLIT('Final Report'!A1091, "","")), 'URL Details'!A:D, "&amp;"4, FALSE)),"""") ), CHAR(10), "",""), ""\s*,\s*"", "",""), "",""))), TRIM(FLATTEN(SPLIT( REGEXREPLACE( SUBSTITUTE(TEXTJOIN("","", TRUE, IFERROR(ARRAYFORMULA(VLOOKUP(TRIM(SPLIT('Final Report'!A1091, "","")), 'URL Details'!A:D, 4, FALSE)),"""") ), CHAR(10),"&amp;" "",""), ""\s*,\s*"", "",""), "","")))&lt;&gt;"""" ) ) ) ),"""")
"),"")</f>
        <v/>
      </c>
      <c r="D1091" s="105"/>
      <c r="E1091" s="105"/>
      <c r="F1091" s="110" t="b">
        <v>0</v>
      </c>
      <c r="G1091" s="105" t="str">
        <f>IF(F1091=True, IFERROR(VLOOKUP(D1091, Repository!A:B, 2, 0), ""), "")</f>
        <v/>
      </c>
      <c r="H1091" s="105"/>
      <c r="I1091" s="105"/>
      <c r="J1091" s="105" t="str">
        <f>IF(F1091=True, IFERROR(VLOOKUP(D1091, Repository!A:C, 3, 0), ""), "")</f>
        <v/>
      </c>
      <c r="K1091" s="105"/>
      <c r="L1091" s="105" t="str">
        <f>IF(F1091=True, IFERROR(VLOOKUP(D1091, Repository!A:E, 5, 0), ""), "")</f>
        <v/>
      </c>
      <c r="M1091" s="105"/>
      <c r="N1091" s="105" t="str">
        <f>IF(F1091=True, IFERROR(VLOOKUP(D1091, Repository!A:G, 7, 0), ""), "")</f>
        <v/>
      </c>
      <c r="O1091" s="105" t="str">
        <f>IFERROR(__xludf.DUMMYFUNCTION("ARRAY_CONSTRAIN(
  ARRAYFORMULA(
    IFERROR(
      LET(
        list, N1091,
        arr, TRIM(SPLIT(list, "","")),
        names, XLOOKUP(
          arr,
          'Conformance Score'!A:A,
          'Conformance Score'!B:B,
          ""Not found""
     "&amp;"   ),
        TEXTJOIN("", "", TRUE, names)
      ),
      """"
    )
  ),
  1,
  1
)
"),"")</f>
        <v/>
      </c>
      <c r="P1091" s="105" t="str">
        <f>IF(F1091="Yes", IFERROR(VLOOKUP(D1091, Repository!A:F, 6, 0), ""), "")</f>
        <v/>
      </c>
      <c r="Q1091" s="105" t="str">
        <f>IF(F1091="Yes", IFERROR(VLOOKUP(D1091, Repository!A:I, 8, 0), ""), "")</f>
        <v/>
      </c>
      <c r="R1091" s="105" t="str">
        <f>IF(F1091="Yes", IFERROR(VLOOKUP(D1091, Repository!A:J, 9, 0), ""), "")</f>
        <v/>
      </c>
      <c r="S1091" s="105"/>
      <c r="T1091" s="105"/>
      <c r="U1091" s="105"/>
      <c r="V1091" s="105"/>
      <c r="W1091" s="105"/>
      <c r="X1091" s="105"/>
      <c r="Y1091" s="105"/>
      <c r="Z1091" s="105"/>
      <c r="AA1091" s="105"/>
      <c r="AB1091" s="105"/>
      <c r="AC1091" s="91"/>
      <c r="AD1091" s="105"/>
      <c r="AE1091" s="105"/>
      <c r="AF1091" s="91"/>
      <c r="AG1091" s="105"/>
      <c r="AH1091" s="105"/>
      <c r="AI1091" s="105" t="str">
        <f t="shared" si="1"/>
        <v/>
      </c>
      <c r="AJ1091" s="108" t="str">
        <f t="shared" si="2"/>
        <v/>
      </c>
    </row>
    <row r="1092" ht="15.75" customHeight="1">
      <c r="A1092" s="104"/>
      <c r="B1092" s="105" t="str">
        <f>IFERROR(__xludf.DUMMYFUNCTION("ARRAY_CONSTRAIN(
  ARRAYFORMULA(
    IF(
      'Final Report'!A1092="""",
      """",
      TEXTJOIN(
        "", "" &amp; CHAR(10),
        TRUE,
        IFERROR(
          VLOOKUP(
            TRIM(
              SPLIT('Final Report'!A1092, "","")
         "&amp;"   ),
            'URL Details'!A:B,
            2,
            FALSE
          ),
          """"
        )
      )
    )
  ),
  1,
  1
)
"),"")</f>
        <v/>
      </c>
      <c r="C1092" s="105" t="str">
        <f>IFERROR(__xludf.DUMMYFUNCTION("IFERROR(IF('Final Report'!A1092="""","""", TEXTJOIN(CHAR(10), TRUE, ARRAYFORMULA( ""• ""&amp; FILTER( TRIM(FLATTEN(SPLIT( REGEXREPLACE( SUBSTITUTE(TEXTJOIN("","", TRUE, IFERROR(ARRAYFORMULA(VLOOKUP(TRIM(SPLIT('Final Report'!A1092, "","")), 'URL Details'!A:D, "&amp;"4, FALSE)),"""") ), CHAR(10), "",""), ""\s*,\s*"", "",""), "",""))), TRIM(FLATTEN(SPLIT( REGEXREPLACE( SUBSTITUTE(TEXTJOIN("","", TRUE, IFERROR(ARRAYFORMULA(VLOOKUP(TRIM(SPLIT('Final Report'!A1092, "","")), 'URL Details'!A:D, 4, FALSE)),"""") ), CHAR(10),"&amp;" "",""), ""\s*,\s*"", "",""), "","")))&lt;&gt;"""" ) ) ) ),"""")
"),"")</f>
        <v/>
      </c>
      <c r="D1092" s="105"/>
      <c r="E1092" s="105"/>
      <c r="F1092" s="110" t="b">
        <v>0</v>
      </c>
      <c r="G1092" s="105" t="str">
        <f>IF(F1092=True, IFERROR(VLOOKUP(D1092, Repository!A:B, 2, 0), ""), "")</f>
        <v/>
      </c>
      <c r="H1092" s="105"/>
      <c r="I1092" s="105"/>
      <c r="J1092" s="105" t="str">
        <f>IF(F1092=True, IFERROR(VLOOKUP(D1092, Repository!A:C, 3, 0), ""), "")</f>
        <v/>
      </c>
      <c r="K1092" s="105"/>
      <c r="L1092" s="105" t="str">
        <f>IF(F1092=True, IFERROR(VLOOKUP(D1092, Repository!A:E, 5, 0), ""), "")</f>
        <v/>
      </c>
      <c r="M1092" s="105"/>
      <c r="N1092" s="105" t="str">
        <f>IF(F1092=True, IFERROR(VLOOKUP(D1092, Repository!A:G, 7, 0), ""), "")</f>
        <v/>
      </c>
      <c r="O1092" s="105" t="str">
        <f>IFERROR(__xludf.DUMMYFUNCTION("ARRAY_CONSTRAIN(
  ARRAYFORMULA(
    IFERROR(
      LET(
        list, N1092,
        arr, TRIM(SPLIT(list, "","")),
        names, XLOOKUP(
          arr,
          'Conformance Score'!A:A,
          'Conformance Score'!B:B,
          ""Not found""
     "&amp;"   ),
        TEXTJOIN("", "", TRUE, names)
      ),
      """"
    )
  ),
  1,
  1
)
"),"")</f>
        <v/>
      </c>
      <c r="P1092" s="105" t="str">
        <f>IF(F1092="Yes", IFERROR(VLOOKUP(D1092, Repository!A:F, 6, 0), ""), "")</f>
        <v/>
      </c>
      <c r="Q1092" s="105" t="str">
        <f>IF(F1092="Yes", IFERROR(VLOOKUP(D1092, Repository!A:I, 8, 0), ""), "")</f>
        <v/>
      </c>
      <c r="R1092" s="105" t="str">
        <f>IF(F1092="Yes", IFERROR(VLOOKUP(D1092, Repository!A:J, 9, 0), ""), "")</f>
        <v/>
      </c>
      <c r="S1092" s="105"/>
      <c r="T1092" s="105"/>
      <c r="U1092" s="105"/>
      <c r="V1092" s="105"/>
      <c r="W1092" s="105"/>
      <c r="X1092" s="105"/>
      <c r="Y1092" s="105"/>
      <c r="Z1092" s="105"/>
      <c r="AA1092" s="105"/>
      <c r="AB1092" s="105"/>
      <c r="AC1092" s="91"/>
      <c r="AD1092" s="105"/>
      <c r="AE1092" s="105"/>
      <c r="AF1092" s="91"/>
      <c r="AG1092" s="105"/>
      <c r="AH1092" s="105"/>
      <c r="AI1092" s="105" t="str">
        <f t="shared" si="1"/>
        <v/>
      </c>
      <c r="AJ1092" s="108" t="str">
        <f t="shared" si="2"/>
        <v/>
      </c>
    </row>
    <row r="1093" ht="15.75" customHeight="1">
      <c r="A1093" s="104"/>
      <c r="B1093" s="105" t="str">
        <f>IFERROR(__xludf.DUMMYFUNCTION("ARRAY_CONSTRAIN(
  ARRAYFORMULA(
    IF(
      'Final Report'!A1093="""",
      """",
      TEXTJOIN(
        "", "" &amp; CHAR(10),
        TRUE,
        IFERROR(
          VLOOKUP(
            TRIM(
              SPLIT('Final Report'!A1093, "","")
         "&amp;"   ),
            'URL Details'!A:B,
            2,
            FALSE
          ),
          """"
        )
      )
    )
  ),
  1,
  1
)
"),"")</f>
        <v/>
      </c>
      <c r="C1093" s="105" t="str">
        <f>IFERROR(__xludf.DUMMYFUNCTION("IFERROR(IF('Final Report'!A1093="""","""", TEXTJOIN(CHAR(10), TRUE, ARRAYFORMULA( ""• ""&amp; FILTER( TRIM(FLATTEN(SPLIT( REGEXREPLACE( SUBSTITUTE(TEXTJOIN("","", TRUE, IFERROR(ARRAYFORMULA(VLOOKUP(TRIM(SPLIT('Final Report'!A1093, "","")), 'URL Details'!A:D, "&amp;"4, FALSE)),"""") ), CHAR(10), "",""), ""\s*,\s*"", "",""), "",""))), TRIM(FLATTEN(SPLIT( REGEXREPLACE( SUBSTITUTE(TEXTJOIN("","", TRUE, IFERROR(ARRAYFORMULA(VLOOKUP(TRIM(SPLIT('Final Report'!A1093, "","")), 'URL Details'!A:D, 4, FALSE)),"""") ), CHAR(10),"&amp;" "",""), ""\s*,\s*"", "",""), "","")))&lt;&gt;"""" ) ) ) ),"""")
"),"")</f>
        <v/>
      </c>
      <c r="D1093" s="105"/>
      <c r="E1093" s="105"/>
      <c r="F1093" s="110" t="b">
        <v>0</v>
      </c>
      <c r="G1093" s="105" t="str">
        <f>IF(F1093=True, IFERROR(VLOOKUP(D1093, Repository!A:B, 2, 0), ""), "")</f>
        <v/>
      </c>
      <c r="H1093" s="105"/>
      <c r="I1093" s="105"/>
      <c r="J1093" s="105" t="str">
        <f>IF(F1093=True, IFERROR(VLOOKUP(D1093, Repository!A:C, 3, 0), ""), "")</f>
        <v/>
      </c>
      <c r="K1093" s="105"/>
      <c r="L1093" s="105" t="str">
        <f>IF(F1093=True, IFERROR(VLOOKUP(D1093, Repository!A:E, 5, 0), ""), "")</f>
        <v/>
      </c>
      <c r="M1093" s="105"/>
      <c r="N1093" s="105" t="str">
        <f>IF(F1093=True, IFERROR(VLOOKUP(D1093, Repository!A:G, 7, 0), ""), "")</f>
        <v/>
      </c>
      <c r="O1093" s="105" t="str">
        <f>IFERROR(__xludf.DUMMYFUNCTION("ARRAY_CONSTRAIN(
  ARRAYFORMULA(
    IFERROR(
      LET(
        list, N1093,
        arr, TRIM(SPLIT(list, "","")),
        names, XLOOKUP(
          arr,
          'Conformance Score'!A:A,
          'Conformance Score'!B:B,
          ""Not found""
     "&amp;"   ),
        TEXTJOIN("", "", TRUE, names)
      ),
      """"
    )
  ),
  1,
  1
)
"),"")</f>
        <v/>
      </c>
      <c r="P1093" s="105" t="str">
        <f>IF(F1093="Yes", IFERROR(VLOOKUP(D1093, Repository!A:F, 6, 0), ""), "")</f>
        <v/>
      </c>
      <c r="Q1093" s="105" t="str">
        <f>IF(F1093="Yes", IFERROR(VLOOKUP(D1093, Repository!A:I, 8, 0), ""), "")</f>
        <v/>
      </c>
      <c r="R1093" s="105" t="str">
        <f>IF(F1093="Yes", IFERROR(VLOOKUP(D1093, Repository!A:J, 9, 0), ""), "")</f>
        <v/>
      </c>
      <c r="S1093" s="105"/>
      <c r="T1093" s="105"/>
      <c r="U1093" s="105"/>
      <c r="V1093" s="105"/>
      <c r="W1093" s="105"/>
      <c r="X1093" s="105"/>
      <c r="Y1093" s="105"/>
      <c r="Z1093" s="105"/>
      <c r="AA1093" s="105"/>
      <c r="AB1093" s="105"/>
      <c r="AC1093" s="91"/>
      <c r="AD1093" s="105"/>
      <c r="AE1093" s="105"/>
      <c r="AF1093" s="91"/>
      <c r="AG1093" s="105"/>
      <c r="AH1093" s="105"/>
      <c r="AI1093" s="105" t="str">
        <f t="shared" si="1"/>
        <v/>
      </c>
      <c r="AJ1093" s="108" t="str">
        <f t="shared" si="2"/>
        <v/>
      </c>
    </row>
    <row r="1094" ht="15.75" customHeight="1">
      <c r="A1094" s="104"/>
      <c r="B1094" s="105" t="str">
        <f>IFERROR(__xludf.DUMMYFUNCTION("ARRAY_CONSTRAIN(
  ARRAYFORMULA(
    IF(
      'Final Report'!A1094="""",
      """",
      TEXTJOIN(
        "", "" &amp; CHAR(10),
        TRUE,
        IFERROR(
          VLOOKUP(
            TRIM(
              SPLIT('Final Report'!A1094, "","")
         "&amp;"   ),
            'URL Details'!A:B,
            2,
            FALSE
          ),
          """"
        )
      )
    )
  ),
  1,
  1
)
"),"")</f>
        <v/>
      </c>
      <c r="C1094" s="105" t="str">
        <f>IFERROR(__xludf.DUMMYFUNCTION("IFERROR(IF('Final Report'!A1094="""","""", TEXTJOIN(CHAR(10), TRUE, ARRAYFORMULA( ""• ""&amp; FILTER( TRIM(FLATTEN(SPLIT( REGEXREPLACE( SUBSTITUTE(TEXTJOIN("","", TRUE, IFERROR(ARRAYFORMULA(VLOOKUP(TRIM(SPLIT('Final Report'!A1094, "","")), 'URL Details'!A:D, "&amp;"4, FALSE)),"""") ), CHAR(10), "",""), ""\s*,\s*"", "",""), "",""))), TRIM(FLATTEN(SPLIT( REGEXREPLACE( SUBSTITUTE(TEXTJOIN("","", TRUE, IFERROR(ARRAYFORMULA(VLOOKUP(TRIM(SPLIT('Final Report'!A1094, "","")), 'URL Details'!A:D, 4, FALSE)),"""") ), CHAR(10),"&amp;" "",""), ""\s*,\s*"", "",""), "","")))&lt;&gt;"""" ) ) ) ),"""")
"),"")</f>
        <v/>
      </c>
      <c r="D1094" s="105"/>
      <c r="E1094" s="105"/>
      <c r="F1094" s="110" t="b">
        <v>0</v>
      </c>
      <c r="G1094" s="105" t="str">
        <f>IF(F1094=True, IFERROR(VLOOKUP(D1094, Repository!A:B, 2, 0), ""), "")</f>
        <v/>
      </c>
      <c r="H1094" s="105"/>
      <c r="I1094" s="105"/>
      <c r="J1094" s="105" t="str">
        <f>IF(F1094=True, IFERROR(VLOOKUP(D1094, Repository!A:C, 3, 0), ""), "")</f>
        <v/>
      </c>
      <c r="K1094" s="105"/>
      <c r="L1094" s="105" t="str">
        <f>IF(F1094=True, IFERROR(VLOOKUP(D1094, Repository!A:E, 5, 0), ""), "")</f>
        <v/>
      </c>
      <c r="M1094" s="105"/>
      <c r="N1094" s="105" t="str">
        <f>IF(F1094=True, IFERROR(VLOOKUP(D1094, Repository!A:G, 7, 0), ""), "")</f>
        <v/>
      </c>
      <c r="O1094" s="105" t="str">
        <f>IFERROR(__xludf.DUMMYFUNCTION("ARRAY_CONSTRAIN(
  ARRAYFORMULA(
    IFERROR(
      LET(
        list, N1094,
        arr, TRIM(SPLIT(list, "","")),
        names, XLOOKUP(
          arr,
          'Conformance Score'!A:A,
          'Conformance Score'!B:B,
          ""Not found""
     "&amp;"   ),
        TEXTJOIN("", "", TRUE, names)
      ),
      """"
    )
  ),
  1,
  1
)
"),"")</f>
        <v/>
      </c>
      <c r="P1094" s="105" t="str">
        <f>IF(F1094="Yes", IFERROR(VLOOKUP(D1094, Repository!A:F, 6, 0), ""), "")</f>
        <v/>
      </c>
      <c r="Q1094" s="105" t="str">
        <f>IF(F1094="Yes", IFERROR(VLOOKUP(D1094, Repository!A:I, 8, 0), ""), "")</f>
        <v/>
      </c>
      <c r="R1094" s="105" t="str">
        <f>IF(F1094="Yes", IFERROR(VLOOKUP(D1094, Repository!A:J, 9, 0), ""), "")</f>
        <v/>
      </c>
      <c r="S1094" s="105"/>
      <c r="T1094" s="105"/>
      <c r="U1094" s="105"/>
      <c r="V1094" s="105"/>
      <c r="W1094" s="105"/>
      <c r="X1094" s="105"/>
      <c r="Y1094" s="105"/>
      <c r="Z1094" s="105"/>
      <c r="AA1094" s="105"/>
      <c r="AB1094" s="105"/>
      <c r="AC1094" s="91"/>
      <c r="AD1094" s="105"/>
      <c r="AE1094" s="105"/>
      <c r="AF1094" s="91"/>
      <c r="AG1094" s="105"/>
      <c r="AH1094" s="105"/>
      <c r="AI1094" s="105" t="str">
        <f t="shared" si="1"/>
        <v/>
      </c>
      <c r="AJ1094" s="108" t="str">
        <f t="shared" si="2"/>
        <v/>
      </c>
    </row>
    <row r="1095" ht="15.75" customHeight="1">
      <c r="A1095" s="104"/>
      <c r="B1095" s="105" t="str">
        <f>IFERROR(__xludf.DUMMYFUNCTION("ARRAY_CONSTRAIN(
  ARRAYFORMULA(
    IF(
      'Final Report'!A1095="""",
      """",
      TEXTJOIN(
        "", "" &amp; CHAR(10),
        TRUE,
        IFERROR(
          VLOOKUP(
            TRIM(
              SPLIT('Final Report'!A1095, "","")
         "&amp;"   ),
            'URL Details'!A:B,
            2,
            FALSE
          ),
          """"
        )
      )
    )
  ),
  1,
  1
)
"),"")</f>
        <v/>
      </c>
      <c r="C1095" s="105" t="str">
        <f>IFERROR(__xludf.DUMMYFUNCTION("IFERROR(IF('Final Report'!A1095="""","""", TEXTJOIN(CHAR(10), TRUE, ARRAYFORMULA( ""• ""&amp; FILTER( TRIM(FLATTEN(SPLIT( REGEXREPLACE( SUBSTITUTE(TEXTJOIN("","", TRUE, IFERROR(ARRAYFORMULA(VLOOKUP(TRIM(SPLIT('Final Report'!A1095, "","")), 'URL Details'!A:D, "&amp;"4, FALSE)),"""") ), CHAR(10), "",""), ""\s*,\s*"", "",""), "",""))), TRIM(FLATTEN(SPLIT( REGEXREPLACE( SUBSTITUTE(TEXTJOIN("","", TRUE, IFERROR(ARRAYFORMULA(VLOOKUP(TRIM(SPLIT('Final Report'!A1095, "","")), 'URL Details'!A:D, 4, FALSE)),"""") ), CHAR(10),"&amp;" "",""), ""\s*,\s*"", "",""), "","")))&lt;&gt;"""" ) ) ) ),"""")
"),"")</f>
        <v/>
      </c>
      <c r="D1095" s="105"/>
      <c r="E1095" s="105"/>
      <c r="F1095" s="110" t="b">
        <v>0</v>
      </c>
      <c r="G1095" s="105" t="str">
        <f>IF(F1095=True, IFERROR(VLOOKUP(D1095, Repository!A:B, 2, 0), ""), "")</f>
        <v/>
      </c>
      <c r="H1095" s="105"/>
      <c r="I1095" s="105"/>
      <c r="J1095" s="105" t="str">
        <f>IF(F1095=True, IFERROR(VLOOKUP(D1095, Repository!A:C, 3, 0), ""), "")</f>
        <v/>
      </c>
      <c r="K1095" s="105"/>
      <c r="L1095" s="105" t="str">
        <f>IF(F1095=True, IFERROR(VLOOKUP(D1095, Repository!A:E, 5, 0), ""), "")</f>
        <v/>
      </c>
      <c r="M1095" s="105"/>
      <c r="N1095" s="105" t="str">
        <f>IF(F1095=True, IFERROR(VLOOKUP(D1095, Repository!A:G, 7, 0), ""), "")</f>
        <v/>
      </c>
      <c r="O1095" s="105" t="str">
        <f>IFERROR(__xludf.DUMMYFUNCTION("ARRAY_CONSTRAIN(
  ARRAYFORMULA(
    IFERROR(
      LET(
        list, N1095,
        arr, TRIM(SPLIT(list, "","")),
        names, XLOOKUP(
          arr,
          'Conformance Score'!A:A,
          'Conformance Score'!B:B,
          ""Not found""
     "&amp;"   ),
        TEXTJOIN("", "", TRUE, names)
      ),
      """"
    )
  ),
  1,
  1
)
"),"")</f>
        <v/>
      </c>
      <c r="P1095" s="105" t="str">
        <f>IF(F1095="Yes", IFERROR(VLOOKUP(D1095, Repository!A:F, 6, 0), ""), "")</f>
        <v/>
      </c>
      <c r="Q1095" s="105" t="str">
        <f>IF(F1095="Yes", IFERROR(VLOOKUP(D1095, Repository!A:I, 8, 0), ""), "")</f>
        <v/>
      </c>
      <c r="R1095" s="105" t="str">
        <f>IF(F1095="Yes", IFERROR(VLOOKUP(D1095, Repository!A:J, 9, 0), ""), "")</f>
        <v/>
      </c>
      <c r="S1095" s="105"/>
      <c r="T1095" s="105"/>
      <c r="U1095" s="105"/>
      <c r="V1095" s="105"/>
      <c r="W1095" s="105"/>
      <c r="X1095" s="105"/>
      <c r="Y1095" s="105"/>
      <c r="Z1095" s="105"/>
      <c r="AA1095" s="105"/>
      <c r="AB1095" s="105"/>
      <c r="AC1095" s="91"/>
      <c r="AD1095" s="105"/>
      <c r="AE1095" s="105"/>
      <c r="AF1095" s="91"/>
      <c r="AG1095" s="105"/>
      <c r="AH1095" s="105"/>
      <c r="AI1095" s="105" t="str">
        <f t="shared" si="1"/>
        <v/>
      </c>
      <c r="AJ1095" s="108" t="str">
        <f t="shared" si="2"/>
        <v/>
      </c>
    </row>
    <row r="1096" ht="15.75" customHeight="1">
      <c r="A1096" s="104"/>
      <c r="B1096" s="105" t="str">
        <f>IFERROR(__xludf.DUMMYFUNCTION("ARRAY_CONSTRAIN(
  ARRAYFORMULA(
    IF(
      'Final Report'!A1096="""",
      """",
      TEXTJOIN(
        "", "" &amp; CHAR(10),
        TRUE,
        IFERROR(
          VLOOKUP(
            TRIM(
              SPLIT('Final Report'!A1096, "","")
         "&amp;"   ),
            'URL Details'!A:B,
            2,
            FALSE
          ),
          """"
        )
      )
    )
  ),
  1,
  1
)
"),"")</f>
        <v/>
      </c>
      <c r="C1096" s="105" t="str">
        <f>IFERROR(__xludf.DUMMYFUNCTION("IFERROR(IF('Final Report'!A1096="""","""", TEXTJOIN(CHAR(10), TRUE, ARRAYFORMULA( ""• ""&amp; FILTER( TRIM(FLATTEN(SPLIT( REGEXREPLACE( SUBSTITUTE(TEXTJOIN("","", TRUE, IFERROR(ARRAYFORMULA(VLOOKUP(TRIM(SPLIT('Final Report'!A1096, "","")), 'URL Details'!A:D, "&amp;"4, FALSE)),"""") ), CHAR(10), "",""), ""\s*,\s*"", "",""), "",""))), TRIM(FLATTEN(SPLIT( REGEXREPLACE( SUBSTITUTE(TEXTJOIN("","", TRUE, IFERROR(ARRAYFORMULA(VLOOKUP(TRIM(SPLIT('Final Report'!A1096, "","")), 'URL Details'!A:D, 4, FALSE)),"""") ), CHAR(10),"&amp;" "",""), ""\s*,\s*"", "",""), "","")))&lt;&gt;"""" ) ) ) ),"""")
"),"")</f>
        <v/>
      </c>
      <c r="D1096" s="105"/>
      <c r="E1096" s="105"/>
      <c r="F1096" s="110" t="b">
        <v>0</v>
      </c>
      <c r="G1096" s="105" t="str">
        <f>IF(F1096=True, IFERROR(VLOOKUP(D1096, Repository!A:B, 2, 0), ""), "")</f>
        <v/>
      </c>
      <c r="H1096" s="105"/>
      <c r="I1096" s="105"/>
      <c r="J1096" s="105" t="str">
        <f>IF(F1096=True, IFERROR(VLOOKUP(D1096, Repository!A:C, 3, 0), ""), "")</f>
        <v/>
      </c>
      <c r="K1096" s="105"/>
      <c r="L1096" s="105" t="str">
        <f>IF(F1096=True, IFERROR(VLOOKUP(D1096, Repository!A:E, 5, 0), ""), "")</f>
        <v/>
      </c>
      <c r="M1096" s="105"/>
      <c r="N1096" s="105" t="str">
        <f>IF(F1096=True, IFERROR(VLOOKUP(D1096, Repository!A:G, 7, 0), ""), "")</f>
        <v/>
      </c>
      <c r="O1096" s="105" t="str">
        <f>IFERROR(__xludf.DUMMYFUNCTION("ARRAY_CONSTRAIN(
  ARRAYFORMULA(
    IFERROR(
      LET(
        list, N1096,
        arr, TRIM(SPLIT(list, "","")),
        names, XLOOKUP(
          arr,
          'Conformance Score'!A:A,
          'Conformance Score'!B:B,
          ""Not found""
     "&amp;"   ),
        TEXTJOIN("", "", TRUE, names)
      ),
      """"
    )
  ),
  1,
  1
)
"),"")</f>
        <v/>
      </c>
      <c r="P1096" s="105" t="str">
        <f>IF(F1096="Yes", IFERROR(VLOOKUP(D1096, Repository!A:F, 6, 0), ""), "")</f>
        <v/>
      </c>
      <c r="Q1096" s="105" t="str">
        <f>IF(F1096="Yes", IFERROR(VLOOKUP(D1096, Repository!A:I, 8, 0), ""), "")</f>
        <v/>
      </c>
      <c r="R1096" s="105" t="str">
        <f>IF(F1096="Yes", IFERROR(VLOOKUP(D1096, Repository!A:J, 9, 0), ""), "")</f>
        <v/>
      </c>
      <c r="S1096" s="105"/>
      <c r="T1096" s="105"/>
      <c r="U1096" s="105"/>
      <c r="V1096" s="105"/>
      <c r="W1096" s="105"/>
      <c r="X1096" s="105"/>
      <c r="Y1096" s="105"/>
      <c r="Z1096" s="105"/>
      <c r="AA1096" s="105"/>
      <c r="AB1096" s="105"/>
      <c r="AC1096" s="91"/>
      <c r="AD1096" s="105"/>
      <c r="AE1096" s="105"/>
      <c r="AF1096" s="91"/>
      <c r="AG1096" s="105"/>
      <c r="AH1096" s="105"/>
      <c r="AI1096" s="105" t="str">
        <f t="shared" si="1"/>
        <v/>
      </c>
      <c r="AJ1096" s="108" t="str">
        <f t="shared" si="2"/>
        <v/>
      </c>
    </row>
    <row r="1097" ht="15.75" customHeight="1">
      <c r="A1097" s="104"/>
      <c r="B1097" s="105" t="str">
        <f>IFERROR(__xludf.DUMMYFUNCTION("ARRAY_CONSTRAIN(
  ARRAYFORMULA(
    IF(
      'Final Report'!A1097="""",
      """",
      TEXTJOIN(
        "", "" &amp; CHAR(10),
        TRUE,
        IFERROR(
          VLOOKUP(
            TRIM(
              SPLIT('Final Report'!A1097, "","")
         "&amp;"   ),
            'URL Details'!A:B,
            2,
            FALSE
          ),
          """"
        )
      )
    )
  ),
  1,
  1
)
"),"")</f>
        <v/>
      </c>
      <c r="C1097" s="105" t="str">
        <f>IFERROR(__xludf.DUMMYFUNCTION("IFERROR(IF('Final Report'!A1097="""","""", TEXTJOIN(CHAR(10), TRUE, ARRAYFORMULA( ""• ""&amp; FILTER( TRIM(FLATTEN(SPLIT( REGEXREPLACE( SUBSTITUTE(TEXTJOIN("","", TRUE, IFERROR(ARRAYFORMULA(VLOOKUP(TRIM(SPLIT('Final Report'!A1097, "","")), 'URL Details'!A:D, "&amp;"4, FALSE)),"""") ), CHAR(10), "",""), ""\s*,\s*"", "",""), "",""))), TRIM(FLATTEN(SPLIT( REGEXREPLACE( SUBSTITUTE(TEXTJOIN("","", TRUE, IFERROR(ARRAYFORMULA(VLOOKUP(TRIM(SPLIT('Final Report'!A1097, "","")), 'URL Details'!A:D, 4, FALSE)),"""") ), CHAR(10),"&amp;" "",""), ""\s*,\s*"", "",""), "","")))&lt;&gt;"""" ) ) ) ),"""")
"),"")</f>
        <v/>
      </c>
      <c r="D1097" s="105"/>
      <c r="E1097" s="105"/>
      <c r="F1097" s="110" t="b">
        <v>0</v>
      </c>
      <c r="G1097" s="105" t="str">
        <f>IF(F1097=True, IFERROR(VLOOKUP(D1097, Repository!A:B, 2, 0), ""), "")</f>
        <v/>
      </c>
      <c r="H1097" s="105"/>
      <c r="I1097" s="105"/>
      <c r="J1097" s="105" t="str">
        <f>IF(F1097=True, IFERROR(VLOOKUP(D1097, Repository!A:C, 3, 0), ""), "")</f>
        <v/>
      </c>
      <c r="K1097" s="105"/>
      <c r="L1097" s="105" t="str">
        <f>IF(F1097=True, IFERROR(VLOOKUP(D1097, Repository!A:E, 5, 0), ""), "")</f>
        <v/>
      </c>
      <c r="M1097" s="105"/>
      <c r="N1097" s="105" t="str">
        <f>IF(F1097=True, IFERROR(VLOOKUP(D1097, Repository!A:G, 7, 0), ""), "")</f>
        <v/>
      </c>
      <c r="O1097" s="105" t="str">
        <f>IFERROR(__xludf.DUMMYFUNCTION("ARRAY_CONSTRAIN(
  ARRAYFORMULA(
    IFERROR(
      LET(
        list, N1097,
        arr, TRIM(SPLIT(list, "","")),
        names, XLOOKUP(
          arr,
          'Conformance Score'!A:A,
          'Conformance Score'!B:B,
          ""Not found""
     "&amp;"   ),
        TEXTJOIN("", "", TRUE, names)
      ),
      """"
    )
  ),
  1,
  1
)
"),"")</f>
        <v/>
      </c>
      <c r="P1097" s="105" t="str">
        <f>IF(F1097="Yes", IFERROR(VLOOKUP(D1097, Repository!A:F, 6, 0), ""), "")</f>
        <v/>
      </c>
      <c r="Q1097" s="105" t="str">
        <f>IF(F1097="Yes", IFERROR(VLOOKUP(D1097, Repository!A:I, 8, 0), ""), "")</f>
        <v/>
      </c>
      <c r="R1097" s="105" t="str">
        <f>IF(F1097="Yes", IFERROR(VLOOKUP(D1097, Repository!A:J, 9, 0), ""), "")</f>
        <v/>
      </c>
      <c r="S1097" s="105"/>
      <c r="T1097" s="105"/>
      <c r="U1097" s="105"/>
      <c r="V1097" s="105"/>
      <c r="W1097" s="105"/>
      <c r="X1097" s="105"/>
      <c r="Y1097" s="105"/>
      <c r="Z1097" s="105"/>
      <c r="AA1097" s="105"/>
      <c r="AB1097" s="105"/>
      <c r="AC1097" s="91"/>
      <c r="AD1097" s="105"/>
      <c r="AE1097" s="105"/>
      <c r="AF1097" s="91"/>
      <c r="AG1097" s="105"/>
      <c r="AH1097" s="105"/>
      <c r="AI1097" s="105" t="str">
        <f t="shared" si="1"/>
        <v/>
      </c>
      <c r="AJ1097" s="108" t="str">
        <f t="shared" si="2"/>
        <v/>
      </c>
    </row>
    <row r="1098" ht="15.75" customHeight="1">
      <c r="A1098" s="104"/>
      <c r="B1098" s="105" t="str">
        <f>IFERROR(__xludf.DUMMYFUNCTION("ARRAY_CONSTRAIN(
  ARRAYFORMULA(
    IF(
      'Final Report'!A1098="""",
      """",
      TEXTJOIN(
        "", "" &amp; CHAR(10),
        TRUE,
        IFERROR(
          VLOOKUP(
            TRIM(
              SPLIT('Final Report'!A1098, "","")
         "&amp;"   ),
            'URL Details'!A:B,
            2,
            FALSE
          ),
          """"
        )
      )
    )
  ),
  1,
  1
)
"),"")</f>
        <v/>
      </c>
      <c r="C1098" s="105" t="str">
        <f>IFERROR(__xludf.DUMMYFUNCTION("IFERROR(IF('Final Report'!A1098="""","""", TEXTJOIN(CHAR(10), TRUE, ARRAYFORMULA( ""• ""&amp; FILTER( TRIM(FLATTEN(SPLIT( REGEXREPLACE( SUBSTITUTE(TEXTJOIN("","", TRUE, IFERROR(ARRAYFORMULA(VLOOKUP(TRIM(SPLIT('Final Report'!A1098, "","")), 'URL Details'!A:D, "&amp;"4, FALSE)),"""") ), CHAR(10), "",""), ""\s*,\s*"", "",""), "",""))), TRIM(FLATTEN(SPLIT( REGEXREPLACE( SUBSTITUTE(TEXTJOIN("","", TRUE, IFERROR(ARRAYFORMULA(VLOOKUP(TRIM(SPLIT('Final Report'!A1098, "","")), 'URL Details'!A:D, 4, FALSE)),"""") ), CHAR(10),"&amp;" "",""), ""\s*,\s*"", "",""), "","")))&lt;&gt;"""" ) ) ) ),"""")
"),"")</f>
        <v/>
      </c>
      <c r="D1098" s="105"/>
      <c r="E1098" s="105"/>
      <c r="F1098" s="110" t="b">
        <v>0</v>
      </c>
      <c r="G1098" s="105" t="str">
        <f>IF(F1098=True, IFERROR(VLOOKUP(D1098, Repository!A:B, 2, 0), ""), "")</f>
        <v/>
      </c>
      <c r="H1098" s="105"/>
      <c r="I1098" s="105"/>
      <c r="J1098" s="105" t="str">
        <f>IF(F1098=True, IFERROR(VLOOKUP(D1098, Repository!A:C, 3, 0), ""), "")</f>
        <v/>
      </c>
      <c r="K1098" s="105"/>
      <c r="L1098" s="105" t="str">
        <f>IF(F1098=True, IFERROR(VLOOKUP(D1098, Repository!A:E, 5, 0), ""), "")</f>
        <v/>
      </c>
      <c r="M1098" s="105"/>
      <c r="N1098" s="105" t="str">
        <f>IF(F1098=True, IFERROR(VLOOKUP(D1098, Repository!A:G, 7, 0), ""), "")</f>
        <v/>
      </c>
      <c r="O1098" s="105" t="str">
        <f>IFERROR(__xludf.DUMMYFUNCTION("ARRAY_CONSTRAIN(
  ARRAYFORMULA(
    IFERROR(
      LET(
        list, N1098,
        arr, TRIM(SPLIT(list, "","")),
        names, XLOOKUP(
          arr,
          'Conformance Score'!A:A,
          'Conformance Score'!B:B,
          ""Not found""
     "&amp;"   ),
        TEXTJOIN("", "", TRUE, names)
      ),
      """"
    )
  ),
  1,
  1
)
"),"")</f>
        <v/>
      </c>
      <c r="P1098" s="105" t="str">
        <f>IF(F1098="Yes", IFERROR(VLOOKUP(D1098, Repository!A:F, 6, 0), ""), "")</f>
        <v/>
      </c>
      <c r="Q1098" s="105" t="str">
        <f>IF(F1098="Yes", IFERROR(VLOOKUP(D1098, Repository!A:I, 8, 0), ""), "")</f>
        <v/>
      </c>
      <c r="R1098" s="105" t="str">
        <f>IF(F1098="Yes", IFERROR(VLOOKUP(D1098, Repository!A:J, 9, 0), ""), "")</f>
        <v/>
      </c>
      <c r="S1098" s="105"/>
      <c r="T1098" s="105"/>
      <c r="U1098" s="105"/>
      <c r="V1098" s="105"/>
      <c r="W1098" s="105"/>
      <c r="X1098" s="105"/>
      <c r="Y1098" s="105"/>
      <c r="Z1098" s="105"/>
      <c r="AA1098" s="105"/>
      <c r="AB1098" s="105"/>
      <c r="AC1098" s="91"/>
      <c r="AD1098" s="105"/>
      <c r="AE1098" s="105"/>
      <c r="AF1098" s="91"/>
      <c r="AG1098" s="105"/>
      <c r="AH1098" s="105"/>
      <c r="AI1098" s="105" t="str">
        <f t="shared" si="1"/>
        <v/>
      </c>
      <c r="AJ1098" s="108" t="str">
        <f t="shared" si="2"/>
        <v/>
      </c>
    </row>
    <row r="1099" ht="15.75" customHeight="1">
      <c r="A1099" s="104"/>
      <c r="B1099" s="105" t="str">
        <f>IFERROR(__xludf.DUMMYFUNCTION("ARRAY_CONSTRAIN(
  ARRAYFORMULA(
    IF(
      'Final Report'!A1099="""",
      """",
      TEXTJOIN(
        "", "" &amp; CHAR(10),
        TRUE,
        IFERROR(
          VLOOKUP(
            TRIM(
              SPLIT('Final Report'!A1099, "","")
         "&amp;"   ),
            'URL Details'!A:B,
            2,
            FALSE
          ),
          """"
        )
      )
    )
  ),
  1,
  1
)
"),"")</f>
        <v/>
      </c>
      <c r="C1099" s="105" t="str">
        <f>IFERROR(__xludf.DUMMYFUNCTION("IFERROR(IF('Final Report'!A1099="""","""", TEXTJOIN(CHAR(10), TRUE, ARRAYFORMULA( ""• ""&amp; FILTER( TRIM(FLATTEN(SPLIT( REGEXREPLACE( SUBSTITUTE(TEXTJOIN("","", TRUE, IFERROR(ARRAYFORMULA(VLOOKUP(TRIM(SPLIT('Final Report'!A1099, "","")), 'URL Details'!A:D, "&amp;"4, FALSE)),"""") ), CHAR(10), "",""), ""\s*,\s*"", "",""), "",""))), TRIM(FLATTEN(SPLIT( REGEXREPLACE( SUBSTITUTE(TEXTJOIN("","", TRUE, IFERROR(ARRAYFORMULA(VLOOKUP(TRIM(SPLIT('Final Report'!A1099, "","")), 'URL Details'!A:D, 4, FALSE)),"""") ), CHAR(10),"&amp;" "",""), ""\s*,\s*"", "",""), "","")))&lt;&gt;"""" ) ) ) ),"""")
"),"")</f>
        <v/>
      </c>
      <c r="D1099" s="105"/>
      <c r="E1099" s="105"/>
      <c r="F1099" s="110" t="b">
        <v>0</v>
      </c>
      <c r="G1099" s="105" t="str">
        <f>IF(F1099=True, IFERROR(VLOOKUP(D1099, Repository!A:B, 2, 0), ""), "")</f>
        <v/>
      </c>
      <c r="H1099" s="105"/>
      <c r="I1099" s="105"/>
      <c r="J1099" s="105" t="str">
        <f>IF(F1099=True, IFERROR(VLOOKUP(D1099, Repository!A:C, 3, 0), ""), "")</f>
        <v/>
      </c>
      <c r="K1099" s="105"/>
      <c r="L1099" s="105" t="str">
        <f>IF(F1099=True, IFERROR(VLOOKUP(D1099, Repository!A:E, 5, 0), ""), "")</f>
        <v/>
      </c>
      <c r="M1099" s="105"/>
      <c r="N1099" s="105" t="str">
        <f>IF(F1099=True, IFERROR(VLOOKUP(D1099, Repository!A:G, 7, 0), ""), "")</f>
        <v/>
      </c>
      <c r="O1099" s="105" t="str">
        <f>IFERROR(__xludf.DUMMYFUNCTION("ARRAY_CONSTRAIN(
  ARRAYFORMULA(
    IFERROR(
      LET(
        list, N1099,
        arr, TRIM(SPLIT(list, "","")),
        names, XLOOKUP(
          arr,
          'Conformance Score'!A:A,
          'Conformance Score'!B:B,
          ""Not found""
     "&amp;"   ),
        TEXTJOIN("", "", TRUE, names)
      ),
      """"
    )
  ),
  1,
  1
)
"),"")</f>
        <v/>
      </c>
      <c r="P1099" s="105" t="str">
        <f>IF(F1099="Yes", IFERROR(VLOOKUP(D1099, Repository!A:F, 6, 0), ""), "")</f>
        <v/>
      </c>
      <c r="Q1099" s="105" t="str">
        <f>IF(F1099="Yes", IFERROR(VLOOKUP(D1099, Repository!A:I, 8, 0), ""), "")</f>
        <v/>
      </c>
      <c r="R1099" s="105" t="str">
        <f>IF(F1099="Yes", IFERROR(VLOOKUP(D1099, Repository!A:J, 9, 0), ""), "")</f>
        <v/>
      </c>
      <c r="S1099" s="105"/>
      <c r="T1099" s="105"/>
      <c r="U1099" s="105"/>
      <c r="V1099" s="105"/>
      <c r="W1099" s="105"/>
      <c r="X1099" s="105"/>
      <c r="Y1099" s="105"/>
      <c r="Z1099" s="105"/>
      <c r="AA1099" s="105"/>
      <c r="AB1099" s="105"/>
      <c r="AC1099" s="91"/>
      <c r="AD1099" s="105"/>
      <c r="AE1099" s="105"/>
      <c r="AF1099" s="91"/>
      <c r="AG1099" s="105"/>
      <c r="AH1099" s="105"/>
      <c r="AI1099" s="105" t="str">
        <f t="shared" si="1"/>
        <v/>
      </c>
      <c r="AJ1099" s="108" t="str">
        <f t="shared" si="2"/>
        <v/>
      </c>
    </row>
    <row r="1100" ht="15.75" customHeight="1">
      <c r="A1100" s="104"/>
      <c r="B1100" s="105" t="str">
        <f>IFERROR(__xludf.DUMMYFUNCTION("ARRAY_CONSTRAIN(
  ARRAYFORMULA(
    IF(
      'Final Report'!A1100="""",
      """",
      TEXTJOIN(
        "", "" &amp; CHAR(10),
        TRUE,
        IFERROR(
          VLOOKUP(
            TRIM(
              SPLIT('Final Report'!A1100, "","")
         "&amp;"   ),
            'URL Details'!A:B,
            2,
            FALSE
          ),
          """"
        )
      )
    )
  ),
  1,
  1
)
"),"")</f>
        <v/>
      </c>
      <c r="C1100" s="105" t="str">
        <f>IFERROR(__xludf.DUMMYFUNCTION("IFERROR(IF('Final Report'!A1100="""","""", TEXTJOIN(CHAR(10), TRUE, ARRAYFORMULA( ""• ""&amp; FILTER( TRIM(FLATTEN(SPLIT( REGEXREPLACE( SUBSTITUTE(TEXTJOIN("","", TRUE, IFERROR(ARRAYFORMULA(VLOOKUP(TRIM(SPLIT('Final Report'!A1100, "","")), 'URL Details'!A:D, "&amp;"4, FALSE)),"""") ), CHAR(10), "",""), ""\s*,\s*"", "",""), "",""))), TRIM(FLATTEN(SPLIT( REGEXREPLACE( SUBSTITUTE(TEXTJOIN("","", TRUE, IFERROR(ARRAYFORMULA(VLOOKUP(TRIM(SPLIT('Final Report'!A1100, "","")), 'URL Details'!A:D, 4, FALSE)),"""") ), CHAR(10),"&amp;" "",""), ""\s*,\s*"", "",""), "","")))&lt;&gt;"""" ) ) ) ),"""")
"),"")</f>
        <v/>
      </c>
      <c r="D1100" s="105"/>
      <c r="E1100" s="105"/>
      <c r="F1100" s="110" t="b">
        <v>0</v>
      </c>
      <c r="G1100" s="105" t="str">
        <f>IF(F1100=True, IFERROR(VLOOKUP(D1100, Repository!A:B, 2, 0), ""), "")</f>
        <v/>
      </c>
      <c r="H1100" s="105"/>
      <c r="I1100" s="105"/>
      <c r="J1100" s="105" t="str">
        <f>IF(F1100=True, IFERROR(VLOOKUP(D1100, Repository!A:C, 3, 0), ""), "")</f>
        <v/>
      </c>
      <c r="K1100" s="105"/>
      <c r="L1100" s="105" t="str">
        <f>IF(F1100=True, IFERROR(VLOOKUP(D1100, Repository!A:E, 5, 0), ""), "")</f>
        <v/>
      </c>
      <c r="M1100" s="105"/>
      <c r="N1100" s="105" t="str">
        <f>IF(F1100=True, IFERROR(VLOOKUP(D1100, Repository!A:G, 7, 0), ""), "")</f>
        <v/>
      </c>
      <c r="O1100" s="105" t="str">
        <f>IFERROR(__xludf.DUMMYFUNCTION("ARRAY_CONSTRAIN(
  ARRAYFORMULA(
    IFERROR(
      LET(
        list, N1100,
        arr, TRIM(SPLIT(list, "","")),
        names, XLOOKUP(
          arr,
          'Conformance Score'!A:A,
          'Conformance Score'!B:B,
          ""Not found""
     "&amp;"   ),
        TEXTJOIN("", "", TRUE, names)
      ),
      """"
    )
  ),
  1,
  1
)
"),"")</f>
        <v/>
      </c>
      <c r="P1100" s="105" t="str">
        <f>IF(F1100="Yes", IFERROR(VLOOKUP(D1100, Repository!A:F, 6, 0), ""), "")</f>
        <v/>
      </c>
      <c r="Q1100" s="105" t="str">
        <f>IF(F1100="Yes", IFERROR(VLOOKUP(D1100, Repository!A:I, 8, 0), ""), "")</f>
        <v/>
      </c>
      <c r="R1100" s="105" t="str">
        <f>IF(F1100="Yes", IFERROR(VLOOKUP(D1100, Repository!A:J, 9, 0), ""), "")</f>
        <v/>
      </c>
      <c r="S1100" s="105"/>
      <c r="T1100" s="105"/>
      <c r="U1100" s="105"/>
      <c r="V1100" s="105"/>
      <c r="W1100" s="105"/>
      <c r="X1100" s="105"/>
      <c r="Y1100" s="105"/>
      <c r="Z1100" s="105"/>
      <c r="AA1100" s="105"/>
      <c r="AB1100" s="105"/>
      <c r="AC1100" s="91"/>
      <c r="AD1100" s="105"/>
      <c r="AE1100" s="105"/>
      <c r="AF1100" s="91"/>
      <c r="AG1100" s="105"/>
      <c r="AH1100" s="105"/>
      <c r="AI1100" s="105" t="str">
        <f t="shared" si="1"/>
        <v/>
      </c>
      <c r="AJ1100" s="108" t="str">
        <f t="shared" si="2"/>
        <v/>
      </c>
    </row>
    <row r="1101" ht="15.75" customHeight="1">
      <c r="A1101" s="104"/>
      <c r="B1101" s="105" t="str">
        <f>IFERROR(__xludf.DUMMYFUNCTION("ARRAY_CONSTRAIN(
  ARRAYFORMULA(
    IF(
      'Final Report'!A1101="""",
      """",
      TEXTJOIN(
        "", "" &amp; CHAR(10),
        TRUE,
        IFERROR(
          VLOOKUP(
            TRIM(
              SPLIT('Final Report'!A1101, "","")
         "&amp;"   ),
            'URL Details'!A:B,
            2,
            FALSE
          ),
          """"
        )
      )
    )
  ),
  1,
  1
)
"),"")</f>
        <v/>
      </c>
      <c r="C1101" s="105" t="str">
        <f>IFERROR(__xludf.DUMMYFUNCTION("IFERROR(IF('Final Report'!A1101="""","""", TEXTJOIN(CHAR(10), TRUE, ARRAYFORMULA( ""• ""&amp; FILTER( TRIM(FLATTEN(SPLIT( REGEXREPLACE( SUBSTITUTE(TEXTJOIN("","", TRUE, IFERROR(ARRAYFORMULA(VLOOKUP(TRIM(SPLIT('Final Report'!A1101, "","")), 'URL Details'!A:D, "&amp;"4, FALSE)),"""") ), CHAR(10), "",""), ""\s*,\s*"", "",""), "",""))), TRIM(FLATTEN(SPLIT( REGEXREPLACE( SUBSTITUTE(TEXTJOIN("","", TRUE, IFERROR(ARRAYFORMULA(VLOOKUP(TRIM(SPLIT('Final Report'!A1101, "","")), 'URL Details'!A:D, 4, FALSE)),"""") ), CHAR(10),"&amp;" "",""), ""\s*,\s*"", "",""), "","")))&lt;&gt;"""" ) ) ) ),"""")
"),"")</f>
        <v/>
      </c>
      <c r="D1101" s="105"/>
      <c r="E1101" s="105"/>
      <c r="F1101" s="110" t="b">
        <v>0</v>
      </c>
      <c r="G1101" s="105" t="str">
        <f>IF(F1101=True, IFERROR(VLOOKUP(D1101, Repository!A:B, 2, 0), ""), "")</f>
        <v/>
      </c>
      <c r="H1101" s="105"/>
      <c r="I1101" s="105"/>
      <c r="J1101" s="105" t="str">
        <f>IF(F1101=True, IFERROR(VLOOKUP(D1101, Repository!A:C, 3, 0), ""), "")</f>
        <v/>
      </c>
      <c r="K1101" s="105"/>
      <c r="L1101" s="105" t="str">
        <f>IF(F1101=True, IFERROR(VLOOKUP(D1101, Repository!A:E, 5, 0), ""), "")</f>
        <v/>
      </c>
      <c r="M1101" s="105"/>
      <c r="N1101" s="105" t="str">
        <f>IF(F1101=True, IFERROR(VLOOKUP(D1101, Repository!A:G, 7, 0), ""), "")</f>
        <v/>
      </c>
      <c r="O1101" s="105" t="str">
        <f>IFERROR(__xludf.DUMMYFUNCTION("ARRAY_CONSTRAIN(
  ARRAYFORMULA(
    IFERROR(
      LET(
        list, N1101,
        arr, TRIM(SPLIT(list, "","")),
        names, XLOOKUP(
          arr,
          'Conformance Score'!A:A,
          'Conformance Score'!B:B,
          ""Not found""
     "&amp;"   ),
        TEXTJOIN("", "", TRUE, names)
      ),
      """"
    )
  ),
  1,
  1
)
"),"")</f>
        <v/>
      </c>
      <c r="P1101" s="105" t="str">
        <f>IF(F1101="Yes", IFERROR(VLOOKUP(D1101, Repository!A:F, 6, 0), ""), "")</f>
        <v/>
      </c>
      <c r="Q1101" s="105" t="str">
        <f>IF(F1101="Yes", IFERROR(VLOOKUP(D1101, Repository!A:I, 8, 0), ""), "")</f>
        <v/>
      </c>
      <c r="R1101" s="105" t="str">
        <f>IF(F1101="Yes", IFERROR(VLOOKUP(D1101, Repository!A:J, 9, 0), ""), "")</f>
        <v/>
      </c>
      <c r="S1101" s="105"/>
      <c r="T1101" s="105"/>
      <c r="U1101" s="105"/>
      <c r="V1101" s="105"/>
      <c r="W1101" s="105"/>
      <c r="X1101" s="105"/>
      <c r="Y1101" s="105"/>
      <c r="Z1101" s="105"/>
      <c r="AA1101" s="105"/>
      <c r="AB1101" s="105"/>
      <c r="AC1101" s="91"/>
      <c r="AD1101" s="105"/>
      <c r="AE1101" s="105"/>
      <c r="AF1101" s="91"/>
      <c r="AG1101" s="105"/>
      <c r="AH1101" s="105"/>
      <c r="AI1101" s="105" t="str">
        <f t="shared" si="1"/>
        <v/>
      </c>
      <c r="AJ1101" s="108" t="str">
        <f t="shared" si="2"/>
        <v/>
      </c>
    </row>
    <row r="1102" ht="15.75" customHeight="1">
      <c r="A1102" s="104"/>
      <c r="B1102" s="105" t="str">
        <f>IFERROR(__xludf.DUMMYFUNCTION("ARRAY_CONSTRAIN(
  ARRAYFORMULA(
    IF(
      'Final Report'!A1102="""",
      """",
      TEXTJOIN(
        "", "" &amp; CHAR(10),
        TRUE,
        IFERROR(
          VLOOKUP(
            TRIM(
              SPLIT('Final Report'!A1102, "","")
         "&amp;"   ),
            'URL Details'!A:B,
            2,
            FALSE
          ),
          """"
        )
      )
    )
  ),
  1,
  1
)
"),"")</f>
        <v/>
      </c>
      <c r="C1102" s="105" t="str">
        <f>IFERROR(__xludf.DUMMYFUNCTION("IFERROR(IF('Final Report'!A1102="""","""", TEXTJOIN(CHAR(10), TRUE, ARRAYFORMULA( ""• ""&amp; FILTER( TRIM(FLATTEN(SPLIT( REGEXREPLACE( SUBSTITUTE(TEXTJOIN("","", TRUE, IFERROR(ARRAYFORMULA(VLOOKUP(TRIM(SPLIT('Final Report'!A1102, "","")), 'URL Details'!A:D, "&amp;"4, FALSE)),"""") ), CHAR(10), "",""), ""\s*,\s*"", "",""), "",""))), TRIM(FLATTEN(SPLIT( REGEXREPLACE( SUBSTITUTE(TEXTJOIN("","", TRUE, IFERROR(ARRAYFORMULA(VLOOKUP(TRIM(SPLIT('Final Report'!A1102, "","")), 'URL Details'!A:D, 4, FALSE)),"""") ), CHAR(10),"&amp;" "",""), ""\s*,\s*"", "",""), "","")))&lt;&gt;"""" ) ) ) ),"""")
"),"")</f>
        <v/>
      </c>
      <c r="D1102" s="105"/>
      <c r="E1102" s="105"/>
      <c r="F1102" s="110" t="b">
        <v>0</v>
      </c>
      <c r="G1102" s="105" t="str">
        <f>IF(F1102=True, IFERROR(VLOOKUP(D1102, Repository!A:B, 2, 0), ""), "")</f>
        <v/>
      </c>
      <c r="H1102" s="105"/>
      <c r="I1102" s="105"/>
      <c r="J1102" s="105" t="str">
        <f>IF(F1102=True, IFERROR(VLOOKUP(D1102, Repository!A:C, 3, 0), ""), "")</f>
        <v/>
      </c>
      <c r="K1102" s="105"/>
      <c r="L1102" s="105" t="str">
        <f>IF(F1102=True, IFERROR(VLOOKUP(D1102, Repository!A:E, 5, 0), ""), "")</f>
        <v/>
      </c>
      <c r="M1102" s="105"/>
      <c r="N1102" s="105" t="str">
        <f>IF(F1102=True, IFERROR(VLOOKUP(D1102, Repository!A:G, 7, 0), ""), "")</f>
        <v/>
      </c>
      <c r="O1102" s="105" t="str">
        <f>IFERROR(__xludf.DUMMYFUNCTION("ARRAY_CONSTRAIN(
  ARRAYFORMULA(
    IFERROR(
      LET(
        list, N1102,
        arr, TRIM(SPLIT(list, "","")),
        names, XLOOKUP(
          arr,
          'Conformance Score'!A:A,
          'Conformance Score'!B:B,
          ""Not found""
     "&amp;"   ),
        TEXTJOIN("", "", TRUE, names)
      ),
      """"
    )
  ),
  1,
  1
)
"),"")</f>
        <v/>
      </c>
      <c r="P1102" s="105" t="str">
        <f>IF(F1102="Yes", IFERROR(VLOOKUP(D1102, Repository!A:F, 6, 0), ""), "")</f>
        <v/>
      </c>
      <c r="Q1102" s="105" t="str">
        <f>IF(F1102="Yes", IFERROR(VLOOKUP(D1102, Repository!A:I, 8, 0), ""), "")</f>
        <v/>
      </c>
      <c r="R1102" s="105" t="str">
        <f>IF(F1102="Yes", IFERROR(VLOOKUP(D1102, Repository!A:J, 9, 0), ""), "")</f>
        <v/>
      </c>
      <c r="S1102" s="105"/>
      <c r="T1102" s="105"/>
      <c r="U1102" s="105"/>
      <c r="V1102" s="105"/>
      <c r="W1102" s="105"/>
      <c r="X1102" s="105"/>
      <c r="Y1102" s="105"/>
      <c r="Z1102" s="105"/>
      <c r="AA1102" s="105"/>
      <c r="AB1102" s="105"/>
      <c r="AC1102" s="91"/>
      <c r="AD1102" s="105"/>
      <c r="AE1102" s="105"/>
      <c r="AF1102" s="91"/>
      <c r="AG1102" s="105"/>
      <c r="AH1102" s="105"/>
      <c r="AI1102" s="105" t="str">
        <f t="shared" si="1"/>
        <v/>
      </c>
      <c r="AJ1102" s="108" t="str">
        <f t="shared" si="2"/>
        <v/>
      </c>
    </row>
    <row r="1103" ht="15.75" customHeight="1">
      <c r="A1103" s="104"/>
      <c r="B1103" s="105" t="str">
        <f>IFERROR(__xludf.DUMMYFUNCTION("ARRAY_CONSTRAIN(
  ARRAYFORMULA(
    IF(
      'Final Report'!A1103="""",
      """",
      TEXTJOIN(
        "", "" &amp; CHAR(10),
        TRUE,
        IFERROR(
          VLOOKUP(
            TRIM(
              SPLIT('Final Report'!A1103, "","")
         "&amp;"   ),
            'URL Details'!A:B,
            2,
            FALSE
          ),
          """"
        )
      )
    )
  ),
  1,
  1
)
"),"")</f>
        <v/>
      </c>
      <c r="C1103" s="105" t="str">
        <f>IFERROR(__xludf.DUMMYFUNCTION("IFERROR(IF('Final Report'!A1103="""","""", TEXTJOIN(CHAR(10), TRUE, ARRAYFORMULA( ""• ""&amp; FILTER( TRIM(FLATTEN(SPLIT( REGEXREPLACE( SUBSTITUTE(TEXTJOIN("","", TRUE, IFERROR(ARRAYFORMULA(VLOOKUP(TRIM(SPLIT('Final Report'!A1103, "","")), 'URL Details'!A:D, "&amp;"4, FALSE)),"""") ), CHAR(10), "",""), ""\s*,\s*"", "",""), "",""))), TRIM(FLATTEN(SPLIT( REGEXREPLACE( SUBSTITUTE(TEXTJOIN("","", TRUE, IFERROR(ARRAYFORMULA(VLOOKUP(TRIM(SPLIT('Final Report'!A1103, "","")), 'URL Details'!A:D, 4, FALSE)),"""") ), CHAR(10),"&amp;" "",""), ""\s*,\s*"", "",""), "","")))&lt;&gt;"""" ) ) ) ),"""")
"),"")</f>
        <v/>
      </c>
      <c r="D1103" s="105"/>
      <c r="E1103" s="105"/>
      <c r="F1103" s="110" t="b">
        <v>0</v>
      </c>
      <c r="G1103" s="105" t="str">
        <f>IF(F1103=True, IFERROR(VLOOKUP(D1103, Repository!A:B, 2, 0), ""), "")</f>
        <v/>
      </c>
      <c r="H1103" s="105"/>
      <c r="I1103" s="105"/>
      <c r="J1103" s="105" t="str">
        <f>IF(F1103=True, IFERROR(VLOOKUP(D1103, Repository!A:C, 3, 0), ""), "")</f>
        <v/>
      </c>
      <c r="K1103" s="105"/>
      <c r="L1103" s="105" t="str">
        <f>IF(F1103=True, IFERROR(VLOOKUP(D1103, Repository!A:E, 5, 0), ""), "")</f>
        <v/>
      </c>
      <c r="M1103" s="105"/>
      <c r="N1103" s="105" t="str">
        <f>IF(F1103=True, IFERROR(VLOOKUP(D1103, Repository!A:G, 7, 0), ""), "")</f>
        <v/>
      </c>
      <c r="O1103" s="105" t="str">
        <f>IFERROR(__xludf.DUMMYFUNCTION("ARRAY_CONSTRAIN(
  ARRAYFORMULA(
    IFERROR(
      LET(
        list, N1103,
        arr, TRIM(SPLIT(list, "","")),
        names, XLOOKUP(
          arr,
          'Conformance Score'!A:A,
          'Conformance Score'!B:B,
          ""Not found""
     "&amp;"   ),
        TEXTJOIN("", "", TRUE, names)
      ),
      """"
    )
  ),
  1,
  1
)
"),"")</f>
        <v/>
      </c>
      <c r="P1103" s="105" t="str">
        <f>IF(F1103="Yes", IFERROR(VLOOKUP(D1103, Repository!A:F, 6, 0), ""), "")</f>
        <v/>
      </c>
      <c r="Q1103" s="105" t="str">
        <f>IF(F1103="Yes", IFERROR(VLOOKUP(D1103, Repository!A:I, 8, 0), ""), "")</f>
        <v/>
      </c>
      <c r="R1103" s="105" t="str">
        <f>IF(F1103="Yes", IFERROR(VLOOKUP(D1103, Repository!A:J, 9, 0), ""), "")</f>
        <v/>
      </c>
      <c r="S1103" s="105"/>
      <c r="T1103" s="105"/>
      <c r="U1103" s="105"/>
      <c r="V1103" s="105"/>
      <c r="W1103" s="105"/>
      <c r="X1103" s="105"/>
      <c r="Y1103" s="105"/>
      <c r="Z1103" s="105"/>
      <c r="AA1103" s="105"/>
      <c r="AB1103" s="105"/>
      <c r="AC1103" s="91"/>
      <c r="AD1103" s="105"/>
      <c r="AE1103" s="105"/>
      <c r="AF1103" s="91"/>
      <c r="AG1103" s="105"/>
      <c r="AH1103" s="105"/>
      <c r="AI1103" s="105" t="str">
        <f t="shared" si="1"/>
        <v/>
      </c>
      <c r="AJ1103" s="108" t="str">
        <f t="shared" si="2"/>
        <v/>
      </c>
    </row>
    <row r="1104" ht="15.75" customHeight="1">
      <c r="A1104" s="104"/>
      <c r="B1104" s="105" t="str">
        <f>IFERROR(__xludf.DUMMYFUNCTION("ARRAY_CONSTRAIN(
  ARRAYFORMULA(
    IF(
      'Final Report'!A1104="""",
      """",
      TEXTJOIN(
        "", "" &amp; CHAR(10),
        TRUE,
        IFERROR(
          VLOOKUP(
            TRIM(
              SPLIT('Final Report'!A1104, "","")
         "&amp;"   ),
            'URL Details'!A:B,
            2,
            FALSE
          ),
          """"
        )
      )
    )
  ),
  1,
  1
)
"),"")</f>
        <v/>
      </c>
      <c r="C1104" s="105" t="str">
        <f>IFERROR(__xludf.DUMMYFUNCTION("IFERROR(IF('Final Report'!A1104="""","""", TEXTJOIN(CHAR(10), TRUE, ARRAYFORMULA( ""• ""&amp; FILTER( TRIM(FLATTEN(SPLIT( REGEXREPLACE( SUBSTITUTE(TEXTJOIN("","", TRUE, IFERROR(ARRAYFORMULA(VLOOKUP(TRIM(SPLIT('Final Report'!A1104, "","")), 'URL Details'!A:D, "&amp;"4, FALSE)),"""") ), CHAR(10), "",""), ""\s*,\s*"", "",""), "",""))), TRIM(FLATTEN(SPLIT( REGEXREPLACE( SUBSTITUTE(TEXTJOIN("","", TRUE, IFERROR(ARRAYFORMULA(VLOOKUP(TRIM(SPLIT('Final Report'!A1104, "","")), 'URL Details'!A:D, 4, FALSE)),"""") ), CHAR(10),"&amp;" "",""), ""\s*,\s*"", "",""), "","")))&lt;&gt;"""" ) ) ) ),"""")
"),"")</f>
        <v/>
      </c>
      <c r="D1104" s="105"/>
      <c r="E1104" s="105"/>
      <c r="F1104" s="110" t="b">
        <v>0</v>
      </c>
      <c r="G1104" s="105" t="str">
        <f>IF(F1104=True, IFERROR(VLOOKUP(D1104, Repository!A:B, 2, 0), ""), "")</f>
        <v/>
      </c>
      <c r="H1104" s="105"/>
      <c r="I1104" s="105"/>
      <c r="J1104" s="105" t="str">
        <f>IF(F1104=True, IFERROR(VLOOKUP(D1104, Repository!A:C, 3, 0), ""), "")</f>
        <v/>
      </c>
      <c r="K1104" s="105"/>
      <c r="L1104" s="105" t="str">
        <f>IF(F1104=True, IFERROR(VLOOKUP(D1104, Repository!A:E, 5, 0), ""), "")</f>
        <v/>
      </c>
      <c r="M1104" s="105"/>
      <c r="N1104" s="105" t="str">
        <f>IF(F1104=True, IFERROR(VLOOKUP(D1104, Repository!A:G, 7, 0), ""), "")</f>
        <v/>
      </c>
      <c r="O1104" s="105" t="str">
        <f>IFERROR(__xludf.DUMMYFUNCTION("ARRAY_CONSTRAIN(
  ARRAYFORMULA(
    IFERROR(
      LET(
        list, N1104,
        arr, TRIM(SPLIT(list, "","")),
        names, XLOOKUP(
          arr,
          'Conformance Score'!A:A,
          'Conformance Score'!B:B,
          ""Not found""
     "&amp;"   ),
        TEXTJOIN("", "", TRUE, names)
      ),
      """"
    )
  ),
  1,
  1
)
"),"")</f>
        <v/>
      </c>
      <c r="P1104" s="105" t="str">
        <f>IF(F1104="Yes", IFERROR(VLOOKUP(D1104, Repository!A:F, 6, 0), ""), "")</f>
        <v/>
      </c>
      <c r="Q1104" s="105" t="str">
        <f>IF(F1104="Yes", IFERROR(VLOOKUP(D1104, Repository!A:I, 8, 0), ""), "")</f>
        <v/>
      </c>
      <c r="R1104" s="105" t="str">
        <f>IF(F1104="Yes", IFERROR(VLOOKUP(D1104, Repository!A:J, 9, 0), ""), "")</f>
        <v/>
      </c>
      <c r="S1104" s="105"/>
      <c r="T1104" s="105"/>
      <c r="U1104" s="105"/>
      <c r="V1104" s="105"/>
      <c r="W1104" s="105"/>
      <c r="X1104" s="105"/>
      <c r="Y1104" s="105"/>
      <c r="Z1104" s="105"/>
      <c r="AA1104" s="105"/>
      <c r="AB1104" s="105"/>
      <c r="AC1104" s="91"/>
      <c r="AD1104" s="105"/>
      <c r="AE1104" s="105"/>
      <c r="AF1104" s="91"/>
      <c r="AG1104" s="105"/>
      <c r="AH1104" s="105"/>
      <c r="AI1104" s="105" t="str">
        <f t="shared" si="1"/>
        <v/>
      </c>
      <c r="AJ1104" s="108" t="str">
        <f t="shared" si="2"/>
        <v/>
      </c>
    </row>
    <row r="1105" ht="15.75" customHeight="1">
      <c r="A1105" s="104"/>
      <c r="B1105" s="105" t="str">
        <f>IFERROR(__xludf.DUMMYFUNCTION("ARRAY_CONSTRAIN(
  ARRAYFORMULA(
    IF(
      'Final Report'!A1105="""",
      """",
      TEXTJOIN(
        "", "" &amp; CHAR(10),
        TRUE,
        IFERROR(
          VLOOKUP(
            TRIM(
              SPLIT('Final Report'!A1105, "","")
         "&amp;"   ),
            'URL Details'!A:B,
            2,
            FALSE
          ),
          """"
        )
      )
    )
  ),
  1,
  1
)
"),"")</f>
        <v/>
      </c>
      <c r="C1105" s="105" t="str">
        <f>IFERROR(__xludf.DUMMYFUNCTION("IFERROR(IF('Final Report'!A1105="""","""", TEXTJOIN(CHAR(10), TRUE, ARRAYFORMULA( ""• ""&amp; FILTER( TRIM(FLATTEN(SPLIT( REGEXREPLACE( SUBSTITUTE(TEXTJOIN("","", TRUE, IFERROR(ARRAYFORMULA(VLOOKUP(TRIM(SPLIT('Final Report'!A1105, "","")), 'URL Details'!A:D, "&amp;"4, FALSE)),"""") ), CHAR(10), "",""), ""\s*,\s*"", "",""), "",""))), TRIM(FLATTEN(SPLIT( REGEXREPLACE( SUBSTITUTE(TEXTJOIN("","", TRUE, IFERROR(ARRAYFORMULA(VLOOKUP(TRIM(SPLIT('Final Report'!A1105, "","")), 'URL Details'!A:D, 4, FALSE)),"""") ), CHAR(10),"&amp;" "",""), ""\s*,\s*"", "",""), "","")))&lt;&gt;"""" ) ) ) ),"""")
"),"")</f>
        <v/>
      </c>
      <c r="D1105" s="105"/>
      <c r="E1105" s="105"/>
      <c r="F1105" s="110" t="b">
        <v>0</v>
      </c>
      <c r="G1105" s="105" t="str">
        <f>IF(F1105=True, IFERROR(VLOOKUP(D1105, Repository!A:B, 2, 0), ""), "")</f>
        <v/>
      </c>
      <c r="H1105" s="105"/>
      <c r="I1105" s="105"/>
      <c r="J1105" s="105" t="str">
        <f>IF(F1105=True, IFERROR(VLOOKUP(D1105, Repository!A:C, 3, 0), ""), "")</f>
        <v/>
      </c>
      <c r="K1105" s="105"/>
      <c r="L1105" s="105" t="str">
        <f>IF(F1105=True, IFERROR(VLOOKUP(D1105, Repository!A:E, 5, 0), ""), "")</f>
        <v/>
      </c>
      <c r="M1105" s="105"/>
      <c r="N1105" s="105" t="str">
        <f>IF(F1105=True, IFERROR(VLOOKUP(D1105, Repository!A:G, 7, 0), ""), "")</f>
        <v/>
      </c>
      <c r="O1105" s="105" t="str">
        <f>IFERROR(__xludf.DUMMYFUNCTION("ARRAY_CONSTRAIN(
  ARRAYFORMULA(
    IFERROR(
      LET(
        list, N1105,
        arr, TRIM(SPLIT(list, "","")),
        names, XLOOKUP(
          arr,
          'Conformance Score'!A:A,
          'Conformance Score'!B:B,
          ""Not found""
     "&amp;"   ),
        TEXTJOIN("", "", TRUE, names)
      ),
      """"
    )
  ),
  1,
  1
)
"),"")</f>
        <v/>
      </c>
      <c r="P1105" s="105" t="str">
        <f>IF(F1105="Yes", IFERROR(VLOOKUP(D1105, Repository!A:F, 6, 0), ""), "")</f>
        <v/>
      </c>
      <c r="Q1105" s="105" t="str">
        <f>IF(F1105="Yes", IFERROR(VLOOKUP(D1105, Repository!A:I, 8, 0), ""), "")</f>
        <v/>
      </c>
      <c r="R1105" s="105" t="str">
        <f>IF(F1105="Yes", IFERROR(VLOOKUP(D1105, Repository!A:J, 9, 0), ""), "")</f>
        <v/>
      </c>
      <c r="S1105" s="105"/>
      <c r="T1105" s="105"/>
      <c r="U1105" s="105"/>
      <c r="V1105" s="105"/>
      <c r="W1105" s="105"/>
      <c r="X1105" s="105"/>
      <c r="Y1105" s="105"/>
      <c r="Z1105" s="105"/>
      <c r="AA1105" s="105"/>
      <c r="AB1105" s="105"/>
      <c r="AC1105" s="91"/>
      <c r="AD1105" s="105"/>
      <c r="AE1105" s="105"/>
      <c r="AF1105" s="91"/>
      <c r="AG1105" s="105"/>
      <c r="AH1105" s="105"/>
      <c r="AI1105" s="105" t="str">
        <f t="shared" si="1"/>
        <v/>
      </c>
      <c r="AJ1105" s="108" t="str">
        <f t="shared" si="2"/>
        <v/>
      </c>
    </row>
    <row r="1106" ht="15.75" customHeight="1">
      <c r="A1106" s="104"/>
      <c r="B1106" s="105" t="str">
        <f>IFERROR(__xludf.DUMMYFUNCTION("ARRAY_CONSTRAIN(
  ARRAYFORMULA(
    IF(
      'Final Report'!A1106="""",
      """",
      TEXTJOIN(
        "", "" &amp; CHAR(10),
        TRUE,
        IFERROR(
          VLOOKUP(
            TRIM(
              SPLIT('Final Report'!A1106, "","")
         "&amp;"   ),
            'URL Details'!A:B,
            2,
            FALSE
          ),
          """"
        )
      )
    )
  ),
  1,
  1
)
"),"")</f>
        <v/>
      </c>
      <c r="C1106" s="105" t="str">
        <f>IFERROR(__xludf.DUMMYFUNCTION("IFERROR(IF('Final Report'!A1106="""","""", TEXTJOIN(CHAR(10), TRUE, ARRAYFORMULA( ""• ""&amp; FILTER( TRIM(FLATTEN(SPLIT( REGEXREPLACE( SUBSTITUTE(TEXTJOIN("","", TRUE, IFERROR(ARRAYFORMULA(VLOOKUP(TRIM(SPLIT('Final Report'!A1106, "","")), 'URL Details'!A:D, "&amp;"4, FALSE)),"""") ), CHAR(10), "",""), ""\s*,\s*"", "",""), "",""))), TRIM(FLATTEN(SPLIT( REGEXREPLACE( SUBSTITUTE(TEXTJOIN("","", TRUE, IFERROR(ARRAYFORMULA(VLOOKUP(TRIM(SPLIT('Final Report'!A1106, "","")), 'URL Details'!A:D, 4, FALSE)),"""") ), CHAR(10),"&amp;" "",""), ""\s*,\s*"", "",""), "","")))&lt;&gt;"""" ) ) ) ),"""")
"),"")</f>
        <v/>
      </c>
      <c r="D1106" s="105"/>
      <c r="E1106" s="105"/>
      <c r="F1106" s="110" t="b">
        <v>0</v>
      </c>
      <c r="G1106" s="105" t="str">
        <f>IF(F1106=True, IFERROR(VLOOKUP(D1106, Repository!A:B, 2, 0), ""), "")</f>
        <v/>
      </c>
      <c r="H1106" s="105"/>
      <c r="I1106" s="105"/>
      <c r="J1106" s="105" t="str">
        <f>IF(F1106=True, IFERROR(VLOOKUP(D1106, Repository!A:C, 3, 0), ""), "")</f>
        <v/>
      </c>
      <c r="K1106" s="105"/>
      <c r="L1106" s="105" t="str">
        <f>IF(F1106=True, IFERROR(VLOOKUP(D1106, Repository!A:E, 5, 0), ""), "")</f>
        <v/>
      </c>
      <c r="M1106" s="105"/>
      <c r="N1106" s="105" t="str">
        <f>IF(F1106=True, IFERROR(VLOOKUP(D1106, Repository!A:G, 7, 0), ""), "")</f>
        <v/>
      </c>
      <c r="O1106" s="105" t="str">
        <f>IFERROR(__xludf.DUMMYFUNCTION("ARRAY_CONSTRAIN(
  ARRAYFORMULA(
    IFERROR(
      LET(
        list, N1106,
        arr, TRIM(SPLIT(list, "","")),
        names, XLOOKUP(
          arr,
          'Conformance Score'!A:A,
          'Conformance Score'!B:B,
          ""Not found""
     "&amp;"   ),
        TEXTJOIN("", "", TRUE, names)
      ),
      """"
    )
  ),
  1,
  1
)
"),"")</f>
        <v/>
      </c>
      <c r="P1106" s="105" t="str">
        <f>IF(F1106="Yes", IFERROR(VLOOKUP(D1106, Repository!A:F, 6, 0), ""), "")</f>
        <v/>
      </c>
      <c r="Q1106" s="105" t="str">
        <f>IF(F1106="Yes", IFERROR(VLOOKUP(D1106, Repository!A:I, 8, 0), ""), "")</f>
        <v/>
      </c>
      <c r="R1106" s="105" t="str">
        <f>IF(F1106="Yes", IFERROR(VLOOKUP(D1106, Repository!A:J, 9, 0), ""), "")</f>
        <v/>
      </c>
      <c r="S1106" s="105"/>
      <c r="T1106" s="105"/>
      <c r="U1106" s="105"/>
      <c r="V1106" s="105"/>
      <c r="W1106" s="105"/>
      <c r="X1106" s="105"/>
      <c r="Y1106" s="105"/>
      <c r="Z1106" s="105"/>
      <c r="AA1106" s="105"/>
      <c r="AB1106" s="105"/>
      <c r="AC1106" s="91"/>
      <c r="AD1106" s="105"/>
      <c r="AE1106" s="105"/>
      <c r="AF1106" s="91"/>
      <c r="AG1106" s="105"/>
      <c r="AH1106" s="105"/>
      <c r="AI1106" s="105" t="str">
        <f t="shared" si="1"/>
        <v/>
      </c>
      <c r="AJ1106" s="108" t="str">
        <f t="shared" si="2"/>
        <v/>
      </c>
    </row>
    <row r="1107" ht="15.75" customHeight="1">
      <c r="A1107" s="104"/>
      <c r="B1107" s="105" t="str">
        <f>IFERROR(__xludf.DUMMYFUNCTION("ARRAY_CONSTRAIN(
  ARRAYFORMULA(
    IF(
      'Final Report'!A1107="""",
      """",
      TEXTJOIN(
        "", "" &amp; CHAR(10),
        TRUE,
        IFERROR(
          VLOOKUP(
            TRIM(
              SPLIT('Final Report'!A1107, "","")
         "&amp;"   ),
            'URL Details'!A:B,
            2,
            FALSE
          ),
          """"
        )
      )
    )
  ),
  1,
  1
)
"),"")</f>
        <v/>
      </c>
      <c r="C1107" s="105" t="str">
        <f>IFERROR(__xludf.DUMMYFUNCTION("IFERROR(IF('Final Report'!A1107="""","""", TEXTJOIN(CHAR(10), TRUE, ARRAYFORMULA( ""• ""&amp; FILTER( TRIM(FLATTEN(SPLIT( REGEXREPLACE( SUBSTITUTE(TEXTJOIN("","", TRUE, IFERROR(ARRAYFORMULA(VLOOKUP(TRIM(SPLIT('Final Report'!A1107, "","")), 'URL Details'!A:D, "&amp;"4, FALSE)),"""") ), CHAR(10), "",""), ""\s*,\s*"", "",""), "",""))), TRIM(FLATTEN(SPLIT( REGEXREPLACE( SUBSTITUTE(TEXTJOIN("","", TRUE, IFERROR(ARRAYFORMULA(VLOOKUP(TRIM(SPLIT('Final Report'!A1107, "","")), 'URL Details'!A:D, 4, FALSE)),"""") ), CHAR(10),"&amp;" "",""), ""\s*,\s*"", "",""), "","")))&lt;&gt;"""" ) ) ) ),"""")
"),"")</f>
        <v/>
      </c>
      <c r="D1107" s="105"/>
      <c r="E1107" s="105"/>
      <c r="F1107" s="110" t="b">
        <v>0</v>
      </c>
      <c r="G1107" s="105" t="str">
        <f>IF(F1107=True, IFERROR(VLOOKUP(D1107, Repository!A:B, 2, 0), ""), "")</f>
        <v/>
      </c>
      <c r="H1107" s="105"/>
      <c r="I1107" s="105"/>
      <c r="J1107" s="105" t="str">
        <f>IF(F1107=True, IFERROR(VLOOKUP(D1107, Repository!A:C, 3, 0), ""), "")</f>
        <v/>
      </c>
      <c r="K1107" s="105"/>
      <c r="L1107" s="105" t="str">
        <f>IF(F1107=True, IFERROR(VLOOKUP(D1107, Repository!A:E, 5, 0), ""), "")</f>
        <v/>
      </c>
      <c r="M1107" s="105"/>
      <c r="N1107" s="105" t="str">
        <f>IF(F1107=True, IFERROR(VLOOKUP(D1107, Repository!A:G, 7, 0), ""), "")</f>
        <v/>
      </c>
      <c r="O1107" s="105" t="str">
        <f>IFERROR(__xludf.DUMMYFUNCTION("ARRAY_CONSTRAIN(
  ARRAYFORMULA(
    IFERROR(
      LET(
        list, N1107,
        arr, TRIM(SPLIT(list, "","")),
        names, XLOOKUP(
          arr,
          'Conformance Score'!A:A,
          'Conformance Score'!B:B,
          ""Not found""
     "&amp;"   ),
        TEXTJOIN("", "", TRUE, names)
      ),
      """"
    )
  ),
  1,
  1
)
"),"")</f>
        <v/>
      </c>
      <c r="P1107" s="105" t="str">
        <f>IF(F1107="Yes", IFERROR(VLOOKUP(D1107, Repository!A:F, 6, 0), ""), "")</f>
        <v/>
      </c>
      <c r="Q1107" s="105" t="str">
        <f>IF(F1107="Yes", IFERROR(VLOOKUP(D1107, Repository!A:I, 8, 0), ""), "")</f>
        <v/>
      </c>
      <c r="R1107" s="105" t="str">
        <f>IF(F1107="Yes", IFERROR(VLOOKUP(D1107, Repository!A:J, 9, 0), ""), "")</f>
        <v/>
      </c>
      <c r="S1107" s="105"/>
      <c r="T1107" s="105"/>
      <c r="U1107" s="105"/>
      <c r="V1107" s="105"/>
      <c r="W1107" s="105"/>
      <c r="X1107" s="105"/>
      <c r="Y1107" s="105"/>
      <c r="Z1107" s="105"/>
      <c r="AA1107" s="105"/>
      <c r="AB1107" s="105"/>
      <c r="AC1107" s="91"/>
      <c r="AD1107" s="105"/>
      <c r="AE1107" s="105"/>
      <c r="AF1107" s="91"/>
      <c r="AG1107" s="105"/>
      <c r="AH1107" s="105"/>
      <c r="AI1107" s="105" t="str">
        <f t="shared" si="1"/>
        <v/>
      </c>
      <c r="AJ1107" s="108" t="str">
        <f t="shared" si="2"/>
        <v/>
      </c>
    </row>
    <row r="1108" ht="15.75" customHeight="1">
      <c r="A1108" s="104"/>
      <c r="B1108" s="105" t="str">
        <f>IFERROR(__xludf.DUMMYFUNCTION("ARRAY_CONSTRAIN(
  ARRAYFORMULA(
    IF(
      'Final Report'!A1108="""",
      """",
      TEXTJOIN(
        "", "" &amp; CHAR(10),
        TRUE,
        IFERROR(
          VLOOKUP(
            TRIM(
              SPLIT('Final Report'!A1108, "","")
         "&amp;"   ),
            'URL Details'!A:B,
            2,
            FALSE
          ),
          """"
        )
      )
    )
  ),
  1,
  1
)
"),"")</f>
        <v/>
      </c>
      <c r="C1108" s="105" t="str">
        <f>IFERROR(__xludf.DUMMYFUNCTION("IFERROR(IF('Final Report'!A1108="""","""", TEXTJOIN(CHAR(10), TRUE, ARRAYFORMULA( ""• ""&amp; FILTER( TRIM(FLATTEN(SPLIT( REGEXREPLACE( SUBSTITUTE(TEXTJOIN("","", TRUE, IFERROR(ARRAYFORMULA(VLOOKUP(TRIM(SPLIT('Final Report'!A1108, "","")), 'URL Details'!A:D, "&amp;"4, FALSE)),"""") ), CHAR(10), "",""), ""\s*,\s*"", "",""), "",""))), TRIM(FLATTEN(SPLIT( REGEXREPLACE( SUBSTITUTE(TEXTJOIN("","", TRUE, IFERROR(ARRAYFORMULA(VLOOKUP(TRIM(SPLIT('Final Report'!A1108, "","")), 'URL Details'!A:D, 4, FALSE)),"""") ), CHAR(10),"&amp;" "",""), ""\s*,\s*"", "",""), "","")))&lt;&gt;"""" ) ) ) ),"""")
"),"")</f>
        <v/>
      </c>
      <c r="D1108" s="105"/>
      <c r="E1108" s="105"/>
      <c r="F1108" s="110" t="b">
        <v>0</v>
      </c>
      <c r="G1108" s="105" t="str">
        <f>IF(F1108=True, IFERROR(VLOOKUP(D1108, Repository!A:B, 2, 0), ""), "")</f>
        <v/>
      </c>
      <c r="H1108" s="105"/>
      <c r="I1108" s="105"/>
      <c r="J1108" s="105" t="str">
        <f>IF(F1108=True, IFERROR(VLOOKUP(D1108, Repository!A:C, 3, 0), ""), "")</f>
        <v/>
      </c>
      <c r="K1108" s="105"/>
      <c r="L1108" s="105" t="str">
        <f>IF(F1108=True, IFERROR(VLOOKUP(D1108, Repository!A:E, 5, 0), ""), "")</f>
        <v/>
      </c>
      <c r="M1108" s="105"/>
      <c r="N1108" s="105" t="str">
        <f>IF(F1108=True, IFERROR(VLOOKUP(D1108, Repository!A:G, 7, 0), ""), "")</f>
        <v/>
      </c>
      <c r="O1108" s="105" t="str">
        <f>IFERROR(__xludf.DUMMYFUNCTION("ARRAY_CONSTRAIN(
  ARRAYFORMULA(
    IFERROR(
      LET(
        list, N1108,
        arr, TRIM(SPLIT(list, "","")),
        names, XLOOKUP(
          arr,
          'Conformance Score'!A:A,
          'Conformance Score'!B:B,
          ""Not found""
     "&amp;"   ),
        TEXTJOIN("", "", TRUE, names)
      ),
      """"
    )
  ),
  1,
  1
)
"),"")</f>
        <v/>
      </c>
      <c r="P1108" s="105" t="str">
        <f>IF(F1108="Yes", IFERROR(VLOOKUP(D1108, Repository!A:F, 6, 0), ""), "")</f>
        <v/>
      </c>
      <c r="Q1108" s="105" t="str">
        <f>IF(F1108="Yes", IFERROR(VLOOKUP(D1108, Repository!A:I, 8, 0), ""), "")</f>
        <v/>
      </c>
      <c r="R1108" s="105" t="str">
        <f>IF(F1108="Yes", IFERROR(VLOOKUP(D1108, Repository!A:J, 9, 0), ""), "")</f>
        <v/>
      </c>
      <c r="S1108" s="105"/>
      <c r="T1108" s="105"/>
      <c r="U1108" s="105"/>
      <c r="V1108" s="105"/>
      <c r="W1108" s="105"/>
      <c r="X1108" s="105"/>
      <c r="Y1108" s="105"/>
      <c r="Z1108" s="105"/>
      <c r="AA1108" s="105"/>
      <c r="AB1108" s="105"/>
      <c r="AC1108" s="91"/>
      <c r="AD1108" s="105"/>
      <c r="AE1108" s="105"/>
      <c r="AF1108" s="91"/>
      <c r="AG1108" s="105"/>
      <c r="AH1108" s="105"/>
      <c r="AI1108" s="105" t="str">
        <f t="shared" si="1"/>
        <v/>
      </c>
      <c r="AJ1108" s="108" t="str">
        <f t="shared" si="2"/>
        <v/>
      </c>
    </row>
    <row r="1109" ht="15.75" customHeight="1">
      <c r="A1109" s="104"/>
      <c r="B1109" s="105" t="str">
        <f>IFERROR(__xludf.DUMMYFUNCTION("ARRAY_CONSTRAIN(
  ARRAYFORMULA(
    IF(
      'Final Report'!A1109="""",
      """",
      TEXTJOIN(
        "", "" &amp; CHAR(10),
        TRUE,
        IFERROR(
          VLOOKUP(
            TRIM(
              SPLIT('Final Report'!A1109, "","")
         "&amp;"   ),
            'URL Details'!A:B,
            2,
            FALSE
          ),
          """"
        )
      )
    )
  ),
  1,
  1
)
"),"")</f>
        <v/>
      </c>
      <c r="C1109" s="105" t="str">
        <f>IFERROR(__xludf.DUMMYFUNCTION("IFERROR(IF('Final Report'!A1109="""","""", TEXTJOIN(CHAR(10), TRUE, ARRAYFORMULA( ""• ""&amp; FILTER( TRIM(FLATTEN(SPLIT( REGEXREPLACE( SUBSTITUTE(TEXTJOIN("","", TRUE, IFERROR(ARRAYFORMULA(VLOOKUP(TRIM(SPLIT('Final Report'!A1109, "","")), 'URL Details'!A:D, "&amp;"4, FALSE)),"""") ), CHAR(10), "",""), ""\s*,\s*"", "",""), "",""))), TRIM(FLATTEN(SPLIT( REGEXREPLACE( SUBSTITUTE(TEXTJOIN("","", TRUE, IFERROR(ARRAYFORMULA(VLOOKUP(TRIM(SPLIT('Final Report'!A1109, "","")), 'URL Details'!A:D, 4, FALSE)),"""") ), CHAR(10),"&amp;" "",""), ""\s*,\s*"", "",""), "","")))&lt;&gt;"""" ) ) ) ),"""")
"),"")</f>
        <v/>
      </c>
      <c r="D1109" s="105"/>
      <c r="E1109" s="105"/>
      <c r="F1109" s="110" t="b">
        <v>0</v>
      </c>
      <c r="G1109" s="105" t="str">
        <f>IF(F1109=True, IFERROR(VLOOKUP(D1109, Repository!A:B, 2, 0), ""), "")</f>
        <v/>
      </c>
      <c r="H1109" s="105"/>
      <c r="I1109" s="105"/>
      <c r="J1109" s="105" t="str">
        <f>IF(F1109=True, IFERROR(VLOOKUP(D1109, Repository!A:C, 3, 0), ""), "")</f>
        <v/>
      </c>
      <c r="K1109" s="105"/>
      <c r="L1109" s="105" t="str">
        <f>IF(F1109=True, IFERROR(VLOOKUP(D1109, Repository!A:E, 5, 0), ""), "")</f>
        <v/>
      </c>
      <c r="M1109" s="105"/>
      <c r="N1109" s="105" t="str">
        <f>IF(F1109=True, IFERROR(VLOOKUP(D1109, Repository!A:G, 7, 0), ""), "")</f>
        <v/>
      </c>
      <c r="O1109" s="105" t="str">
        <f>IFERROR(__xludf.DUMMYFUNCTION("ARRAY_CONSTRAIN(
  ARRAYFORMULA(
    IFERROR(
      LET(
        list, N1109,
        arr, TRIM(SPLIT(list, "","")),
        names, XLOOKUP(
          arr,
          'Conformance Score'!A:A,
          'Conformance Score'!B:B,
          ""Not found""
     "&amp;"   ),
        TEXTJOIN("", "", TRUE, names)
      ),
      """"
    )
  ),
  1,
  1
)
"),"")</f>
        <v/>
      </c>
      <c r="P1109" s="105" t="str">
        <f>IF(F1109="Yes", IFERROR(VLOOKUP(D1109, Repository!A:F, 6, 0), ""), "")</f>
        <v/>
      </c>
      <c r="Q1109" s="105" t="str">
        <f>IF(F1109="Yes", IFERROR(VLOOKUP(D1109, Repository!A:I, 8, 0), ""), "")</f>
        <v/>
      </c>
      <c r="R1109" s="105" t="str">
        <f>IF(F1109="Yes", IFERROR(VLOOKUP(D1109, Repository!A:J, 9, 0), ""), "")</f>
        <v/>
      </c>
      <c r="S1109" s="105"/>
      <c r="T1109" s="105"/>
      <c r="U1109" s="105"/>
      <c r="V1109" s="105"/>
      <c r="W1109" s="105"/>
      <c r="X1109" s="105"/>
      <c r="Y1109" s="105"/>
      <c r="Z1109" s="105"/>
      <c r="AA1109" s="105"/>
      <c r="AB1109" s="105"/>
      <c r="AC1109" s="91"/>
      <c r="AD1109" s="105"/>
      <c r="AE1109" s="105"/>
      <c r="AF1109" s="91"/>
      <c r="AG1109" s="105"/>
      <c r="AH1109" s="105"/>
      <c r="AI1109" s="105" t="str">
        <f t="shared" si="1"/>
        <v/>
      </c>
      <c r="AJ1109" s="108" t="str">
        <f t="shared" si="2"/>
        <v/>
      </c>
    </row>
    <row r="1110" ht="15.75" customHeight="1">
      <c r="A1110" s="104"/>
      <c r="B1110" s="105" t="str">
        <f>IFERROR(__xludf.DUMMYFUNCTION("ARRAY_CONSTRAIN(
  ARRAYFORMULA(
    IF(
      'Final Report'!A1110="""",
      """",
      TEXTJOIN(
        "", "" &amp; CHAR(10),
        TRUE,
        IFERROR(
          VLOOKUP(
            TRIM(
              SPLIT('Final Report'!A1110, "","")
         "&amp;"   ),
            'URL Details'!A:B,
            2,
            FALSE
          ),
          """"
        )
      )
    )
  ),
  1,
  1
)
"),"")</f>
        <v/>
      </c>
      <c r="C1110" s="105" t="str">
        <f>IFERROR(__xludf.DUMMYFUNCTION("IFERROR(IF('Final Report'!A1110="""","""", TEXTJOIN(CHAR(10), TRUE, ARRAYFORMULA( ""• ""&amp; FILTER( TRIM(FLATTEN(SPLIT( REGEXREPLACE( SUBSTITUTE(TEXTJOIN("","", TRUE, IFERROR(ARRAYFORMULA(VLOOKUP(TRIM(SPLIT('Final Report'!A1110, "","")), 'URL Details'!A:D, "&amp;"4, FALSE)),"""") ), CHAR(10), "",""), ""\s*,\s*"", "",""), "",""))), TRIM(FLATTEN(SPLIT( REGEXREPLACE( SUBSTITUTE(TEXTJOIN("","", TRUE, IFERROR(ARRAYFORMULA(VLOOKUP(TRIM(SPLIT('Final Report'!A1110, "","")), 'URL Details'!A:D, 4, FALSE)),"""") ), CHAR(10),"&amp;" "",""), ""\s*,\s*"", "",""), "","")))&lt;&gt;"""" ) ) ) ),"""")
"),"")</f>
        <v/>
      </c>
      <c r="D1110" s="105"/>
      <c r="E1110" s="105"/>
      <c r="F1110" s="110" t="b">
        <v>0</v>
      </c>
      <c r="G1110" s="105" t="str">
        <f>IF(F1110=True, IFERROR(VLOOKUP(D1110, Repository!A:B, 2, 0), ""), "")</f>
        <v/>
      </c>
      <c r="H1110" s="105"/>
      <c r="I1110" s="105"/>
      <c r="J1110" s="105" t="str">
        <f>IF(F1110=True, IFERROR(VLOOKUP(D1110, Repository!A:C, 3, 0), ""), "")</f>
        <v/>
      </c>
      <c r="K1110" s="105"/>
      <c r="L1110" s="105" t="str">
        <f>IF(F1110=True, IFERROR(VLOOKUP(D1110, Repository!A:E, 5, 0), ""), "")</f>
        <v/>
      </c>
      <c r="M1110" s="105"/>
      <c r="N1110" s="105" t="str">
        <f>IF(F1110=True, IFERROR(VLOOKUP(D1110, Repository!A:G, 7, 0), ""), "")</f>
        <v/>
      </c>
      <c r="O1110" s="105" t="str">
        <f>IFERROR(__xludf.DUMMYFUNCTION("ARRAY_CONSTRAIN(
  ARRAYFORMULA(
    IFERROR(
      LET(
        list, N1110,
        arr, TRIM(SPLIT(list, "","")),
        names, XLOOKUP(
          arr,
          'Conformance Score'!A:A,
          'Conformance Score'!B:B,
          ""Not found""
     "&amp;"   ),
        TEXTJOIN("", "", TRUE, names)
      ),
      """"
    )
  ),
  1,
  1
)
"),"")</f>
        <v/>
      </c>
      <c r="P1110" s="105" t="str">
        <f>IF(F1110="Yes", IFERROR(VLOOKUP(D1110, Repository!A:F, 6, 0), ""), "")</f>
        <v/>
      </c>
      <c r="Q1110" s="105" t="str">
        <f>IF(F1110="Yes", IFERROR(VLOOKUP(D1110, Repository!A:I, 8, 0), ""), "")</f>
        <v/>
      </c>
      <c r="R1110" s="105" t="str">
        <f>IF(F1110="Yes", IFERROR(VLOOKUP(D1110, Repository!A:J, 9, 0), ""), "")</f>
        <v/>
      </c>
      <c r="S1110" s="105"/>
      <c r="T1110" s="105"/>
      <c r="U1110" s="105"/>
      <c r="V1110" s="105"/>
      <c r="W1110" s="105"/>
      <c r="X1110" s="105"/>
      <c r="Y1110" s="105"/>
      <c r="Z1110" s="105"/>
      <c r="AA1110" s="105"/>
      <c r="AB1110" s="105"/>
      <c r="AC1110" s="91"/>
      <c r="AD1110" s="105"/>
      <c r="AE1110" s="105"/>
      <c r="AF1110" s="91"/>
      <c r="AG1110" s="105"/>
      <c r="AH1110" s="105"/>
      <c r="AI1110" s="105" t="str">
        <f t="shared" si="1"/>
        <v/>
      </c>
      <c r="AJ1110" s="108" t="str">
        <f t="shared" si="2"/>
        <v/>
      </c>
    </row>
    <row r="1111" ht="15.75" customHeight="1">
      <c r="A1111" s="104"/>
      <c r="B1111" s="105" t="str">
        <f>IFERROR(__xludf.DUMMYFUNCTION("ARRAY_CONSTRAIN(
  ARRAYFORMULA(
    IF(
      'Final Report'!A1111="""",
      """",
      TEXTJOIN(
        "", "" &amp; CHAR(10),
        TRUE,
        IFERROR(
          VLOOKUP(
            TRIM(
              SPLIT('Final Report'!A1111, "","")
         "&amp;"   ),
            'URL Details'!A:B,
            2,
            FALSE
          ),
          """"
        )
      )
    )
  ),
  1,
  1
)
"),"")</f>
        <v/>
      </c>
      <c r="C1111" s="105" t="str">
        <f>IFERROR(__xludf.DUMMYFUNCTION("IFERROR(IF('Final Report'!A1111="""","""", TEXTJOIN(CHAR(10), TRUE, ARRAYFORMULA( ""• ""&amp; FILTER( TRIM(FLATTEN(SPLIT( REGEXREPLACE( SUBSTITUTE(TEXTJOIN("","", TRUE, IFERROR(ARRAYFORMULA(VLOOKUP(TRIM(SPLIT('Final Report'!A1111, "","")), 'URL Details'!A:D, "&amp;"4, FALSE)),"""") ), CHAR(10), "",""), ""\s*,\s*"", "",""), "",""))), TRIM(FLATTEN(SPLIT( REGEXREPLACE( SUBSTITUTE(TEXTJOIN("","", TRUE, IFERROR(ARRAYFORMULA(VLOOKUP(TRIM(SPLIT('Final Report'!A1111, "","")), 'URL Details'!A:D, 4, FALSE)),"""") ), CHAR(10),"&amp;" "",""), ""\s*,\s*"", "",""), "","")))&lt;&gt;"""" ) ) ) ),"""")
"),"")</f>
        <v/>
      </c>
      <c r="D1111" s="105"/>
      <c r="E1111" s="105"/>
      <c r="F1111" s="110" t="b">
        <v>0</v>
      </c>
      <c r="G1111" s="105" t="str">
        <f>IF(F1111=True, IFERROR(VLOOKUP(D1111, Repository!A:B, 2, 0), ""), "")</f>
        <v/>
      </c>
      <c r="H1111" s="105"/>
      <c r="I1111" s="105"/>
      <c r="J1111" s="105" t="str">
        <f>IF(F1111=True, IFERROR(VLOOKUP(D1111, Repository!A:C, 3, 0), ""), "")</f>
        <v/>
      </c>
      <c r="K1111" s="105"/>
      <c r="L1111" s="105" t="str">
        <f>IF(F1111=True, IFERROR(VLOOKUP(D1111, Repository!A:E, 5, 0), ""), "")</f>
        <v/>
      </c>
      <c r="M1111" s="105"/>
      <c r="N1111" s="105" t="str">
        <f>IF(F1111=True, IFERROR(VLOOKUP(D1111, Repository!A:G, 7, 0), ""), "")</f>
        <v/>
      </c>
      <c r="O1111" s="105" t="str">
        <f>IFERROR(__xludf.DUMMYFUNCTION("ARRAY_CONSTRAIN(
  ARRAYFORMULA(
    IFERROR(
      LET(
        list, N1111,
        arr, TRIM(SPLIT(list, "","")),
        names, XLOOKUP(
          arr,
          'Conformance Score'!A:A,
          'Conformance Score'!B:B,
          ""Not found""
     "&amp;"   ),
        TEXTJOIN("", "", TRUE, names)
      ),
      """"
    )
  ),
  1,
  1
)
"),"")</f>
        <v/>
      </c>
      <c r="P1111" s="105" t="str">
        <f>IF(F1111="Yes", IFERROR(VLOOKUP(D1111, Repository!A:F, 6, 0), ""), "")</f>
        <v/>
      </c>
      <c r="Q1111" s="105" t="str">
        <f>IF(F1111="Yes", IFERROR(VLOOKUP(D1111, Repository!A:I, 8, 0), ""), "")</f>
        <v/>
      </c>
      <c r="R1111" s="105" t="str">
        <f>IF(F1111="Yes", IFERROR(VLOOKUP(D1111, Repository!A:J, 9, 0), ""), "")</f>
        <v/>
      </c>
      <c r="S1111" s="105"/>
      <c r="T1111" s="105"/>
      <c r="U1111" s="105"/>
      <c r="V1111" s="105"/>
      <c r="W1111" s="105"/>
      <c r="X1111" s="105"/>
      <c r="Y1111" s="105"/>
      <c r="Z1111" s="105"/>
      <c r="AA1111" s="105"/>
      <c r="AB1111" s="105"/>
      <c r="AC1111" s="91"/>
      <c r="AD1111" s="105"/>
      <c r="AE1111" s="105"/>
      <c r="AF1111" s="91"/>
      <c r="AG1111" s="105"/>
      <c r="AH1111" s="105"/>
      <c r="AI1111" s="105" t="str">
        <f t="shared" si="1"/>
        <v/>
      </c>
      <c r="AJ1111" s="108" t="str">
        <f t="shared" si="2"/>
        <v/>
      </c>
    </row>
    <row r="1112" ht="15.75" customHeight="1">
      <c r="A1112" s="104"/>
      <c r="B1112" s="105" t="str">
        <f>IFERROR(__xludf.DUMMYFUNCTION("ARRAY_CONSTRAIN(
  ARRAYFORMULA(
    IF(
      'Final Report'!A1112="""",
      """",
      TEXTJOIN(
        "", "" &amp; CHAR(10),
        TRUE,
        IFERROR(
          VLOOKUP(
            TRIM(
              SPLIT('Final Report'!A1112, "","")
         "&amp;"   ),
            'URL Details'!A:B,
            2,
            FALSE
          ),
          """"
        )
      )
    )
  ),
  1,
  1
)
"),"")</f>
        <v/>
      </c>
      <c r="C1112" s="105" t="str">
        <f>IFERROR(__xludf.DUMMYFUNCTION("IFERROR(IF('Final Report'!A1112="""","""", TEXTJOIN(CHAR(10), TRUE, ARRAYFORMULA( ""• ""&amp; FILTER( TRIM(FLATTEN(SPLIT( REGEXREPLACE( SUBSTITUTE(TEXTJOIN("","", TRUE, IFERROR(ARRAYFORMULA(VLOOKUP(TRIM(SPLIT('Final Report'!A1112, "","")), 'URL Details'!A:D, "&amp;"4, FALSE)),"""") ), CHAR(10), "",""), ""\s*,\s*"", "",""), "",""))), TRIM(FLATTEN(SPLIT( REGEXREPLACE( SUBSTITUTE(TEXTJOIN("","", TRUE, IFERROR(ARRAYFORMULA(VLOOKUP(TRIM(SPLIT('Final Report'!A1112, "","")), 'URL Details'!A:D, 4, FALSE)),"""") ), CHAR(10),"&amp;" "",""), ""\s*,\s*"", "",""), "","")))&lt;&gt;"""" ) ) ) ),"""")
"),"")</f>
        <v/>
      </c>
      <c r="D1112" s="105"/>
      <c r="E1112" s="105"/>
      <c r="F1112" s="110" t="b">
        <v>0</v>
      </c>
      <c r="G1112" s="105" t="str">
        <f>IF(F1112=True, IFERROR(VLOOKUP(D1112, Repository!A:B, 2, 0), ""), "")</f>
        <v/>
      </c>
      <c r="H1112" s="105"/>
      <c r="I1112" s="105"/>
      <c r="J1112" s="105" t="str">
        <f>IF(F1112=True, IFERROR(VLOOKUP(D1112, Repository!A:C, 3, 0), ""), "")</f>
        <v/>
      </c>
      <c r="K1112" s="105"/>
      <c r="L1112" s="105" t="str">
        <f>IF(F1112=True, IFERROR(VLOOKUP(D1112, Repository!A:E, 5, 0), ""), "")</f>
        <v/>
      </c>
      <c r="M1112" s="105"/>
      <c r="N1112" s="105" t="str">
        <f>IF(F1112=True, IFERROR(VLOOKUP(D1112, Repository!A:G, 7, 0), ""), "")</f>
        <v/>
      </c>
      <c r="O1112" s="105" t="str">
        <f>IFERROR(__xludf.DUMMYFUNCTION("ARRAY_CONSTRAIN(
  ARRAYFORMULA(
    IFERROR(
      LET(
        list, N1112,
        arr, TRIM(SPLIT(list, "","")),
        names, XLOOKUP(
          arr,
          'Conformance Score'!A:A,
          'Conformance Score'!B:B,
          ""Not found""
     "&amp;"   ),
        TEXTJOIN("", "", TRUE, names)
      ),
      """"
    )
  ),
  1,
  1
)
"),"")</f>
        <v/>
      </c>
      <c r="P1112" s="105" t="str">
        <f>IF(F1112="Yes", IFERROR(VLOOKUP(D1112, Repository!A:F, 6, 0), ""), "")</f>
        <v/>
      </c>
      <c r="Q1112" s="105" t="str">
        <f>IF(F1112="Yes", IFERROR(VLOOKUP(D1112, Repository!A:I, 8, 0), ""), "")</f>
        <v/>
      </c>
      <c r="R1112" s="105" t="str">
        <f>IF(F1112="Yes", IFERROR(VLOOKUP(D1112, Repository!A:J, 9, 0), ""), "")</f>
        <v/>
      </c>
      <c r="S1112" s="105"/>
      <c r="T1112" s="105"/>
      <c r="U1112" s="105"/>
      <c r="V1112" s="105"/>
      <c r="W1112" s="105"/>
      <c r="X1112" s="105"/>
      <c r="Y1112" s="105"/>
      <c r="Z1112" s="105"/>
      <c r="AA1112" s="105"/>
      <c r="AB1112" s="105"/>
      <c r="AC1112" s="91"/>
      <c r="AD1112" s="105"/>
      <c r="AE1112" s="105"/>
      <c r="AF1112" s="91"/>
      <c r="AG1112" s="105"/>
      <c r="AH1112" s="105"/>
      <c r="AI1112" s="105" t="str">
        <f t="shared" si="1"/>
        <v/>
      </c>
      <c r="AJ1112" s="108" t="str">
        <f t="shared" si="2"/>
        <v/>
      </c>
    </row>
    <row r="1113" ht="15.75" customHeight="1">
      <c r="A1113" s="104"/>
      <c r="B1113" s="105" t="str">
        <f>IFERROR(__xludf.DUMMYFUNCTION("ARRAY_CONSTRAIN(
  ARRAYFORMULA(
    IF(
      'Final Report'!A1113="""",
      """",
      TEXTJOIN(
        "", "" &amp; CHAR(10),
        TRUE,
        IFERROR(
          VLOOKUP(
            TRIM(
              SPLIT('Final Report'!A1113, "","")
         "&amp;"   ),
            'URL Details'!A:B,
            2,
            FALSE
          ),
          """"
        )
      )
    )
  ),
  1,
  1
)
"),"")</f>
        <v/>
      </c>
      <c r="C1113" s="105" t="str">
        <f>IFERROR(__xludf.DUMMYFUNCTION("IFERROR(IF('Final Report'!A1113="""","""", TEXTJOIN(CHAR(10), TRUE, ARRAYFORMULA( ""• ""&amp; FILTER( TRIM(FLATTEN(SPLIT( REGEXREPLACE( SUBSTITUTE(TEXTJOIN("","", TRUE, IFERROR(ARRAYFORMULA(VLOOKUP(TRIM(SPLIT('Final Report'!A1113, "","")), 'URL Details'!A:D, "&amp;"4, FALSE)),"""") ), CHAR(10), "",""), ""\s*,\s*"", "",""), "",""))), TRIM(FLATTEN(SPLIT( REGEXREPLACE( SUBSTITUTE(TEXTJOIN("","", TRUE, IFERROR(ARRAYFORMULA(VLOOKUP(TRIM(SPLIT('Final Report'!A1113, "","")), 'URL Details'!A:D, 4, FALSE)),"""") ), CHAR(10),"&amp;" "",""), ""\s*,\s*"", "",""), "","")))&lt;&gt;"""" ) ) ) ),"""")
"),"")</f>
        <v/>
      </c>
      <c r="D1113" s="105"/>
      <c r="E1113" s="105"/>
      <c r="F1113" s="110" t="b">
        <v>0</v>
      </c>
      <c r="G1113" s="105" t="str">
        <f>IF(F1113=True, IFERROR(VLOOKUP(D1113, Repository!A:B, 2, 0), ""), "")</f>
        <v/>
      </c>
      <c r="H1113" s="105"/>
      <c r="I1113" s="105"/>
      <c r="J1113" s="105" t="str">
        <f>IF(F1113=True, IFERROR(VLOOKUP(D1113, Repository!A:C, 3, 0), ""), "")</f>
        <v/>
      </c>
      <c r="K1113" s="105"/>
      <c r="L1113" s="105" t="str">
        <f>IF(F1113=True, IFERROR(VLOOKUP(D1113, Repository!A:E, 5, 0), ""), "")</f>
        <v/>
      </c>
      <c r="M1113" s="105"/>
      <c r="N1113" s="105" t="str">
        <f>IF(F1113=True, IFERROR(VLOOKUP(D1113, Repository!A:G, 7, 0), ""), "")</f>
        <v/>
      </c>
      <c r="O1113" s="105" t="str">
        <f>IFERROR(__xludf.DUMMYFUNCTION("ARRAY_CONSTRAIN(
  ARRAYFORMULA(
    IFERROR(
      LET(
        list, N1113,
        arr, TRIM(SPLIT(list, "","")),
        names, XLOOKUP(
          arr,
          'Conformance Score'!A:A,
          'Conformance Score'!B:B,
          ""Not found""
     "&amp;"   ),
        TEXTJOIN("", "", TRUE, names)
      ),
      """"
    )
  ),
  1,
  1
)
"),"")</f>
        <v/>
      </c>
      <c r="P1113" s="105" t="str">
        <f>IF(F1113="Yes", IFERROR(VLOOKUP(D1113, Repository!A:F, 6, 0), ""), "")</f>
        <v/>
      </c>
      <c r="Q1113" s="105" t="str">
        <f>IF(F1113="Yes", IFERROR(VLOOKUP(D1113, Repository!A:I, 8, 0), ""), "")</f>
        <v/>
      </c>
      <c r="R1113" s="105" t="str">
        <f>IF(F1113="Yes", IFERROR(VLOOKUP(D1113, Repository!A:J, 9, 0), ""), "")</f>
        <v/>
      </c>
      <c r="S1113" s="105"/>
      <c r="T1113" s="105"/>
      <c r="U1113" s="105"/>
      <c r="V1113" s="105"/>
      <c r="W1113" s="105"/>
      <c r="X1113" s="105"/>
      <c r="Y1113" s="105"/>
      <c r="Z1113" s="105"/>
      <c r="AA1113" s="105"/>
      <c r="AB1113" s="105"/>
      <c r="AC1113" s="91"/>
      <c r="AD1113" s="105"/>
      <c r="AE1113" s="105"/>
      <c r="AF1113" s="91"/>
      <c r="AG1113" s="105"/>
      <c r="AH1113" s="105"/>
      <c r="AI1113" s="105" t="str">
        <f t="shared" si="1"/>
        <v/>
      </c>
      <c r="AJ1113" s="108" t="str">
        <f t="shared" si="2"/>
        <v/>
      </c>
    </row>
    <row r="1114" ht="15.75" customHeight="1">
      <c r="A1114" s="104"/>
      <c r="B1114" s="105" t="str">
        <f>IFERROR(__xludf.DUMMYFUNCTION("ARRAY_CONSTRAIN(
  ARRAYFORMULA(
    IF(
      'Final Report'!A1114="""",
      """",
      TEXTJOIN(
        "", "" &amp; CHAR(10),
        TRUE,
        IFERROR(
          VLOOKUP(
            TRIM(
              SPLIT('Final Report'!A1114, "","")
         "&amp;"   ),
            'URL Details'!A:B,
            2,
            FALSE
          ),
          """"
        )
      )
    )
  ),
  1,
  1
)
"),"")</f>
        <v/>
      </c>
      <c r="C1114" s="105" t="str">
        <f>IFERROR(__xludf.DUMMYFUNCTION("IFERROR(IF('Final Report'!A1114="""","""", TEXTJOIN(CHAR(10), TRUE, ARRAYFORMULA( ""• ""&amp; FILTER( TRIM(FLATTEN(SPLIT( REGEXREPLACE( SUBSTITUTE(TEXTJOIN("","", TRUE, IFERROR(ARRAYFORMULA(VLOOKUP(TRIM(SPLIT('Final Report'!A1114, "","")), 'URL Details'!A:D, "&amp;"4, FALSE)),"""") ), CHAR(10), "",""), ""\s*,\s*"", "",""), "",""))), TRIM(FLATTEN(SPLIT( REGEXREPLACE( SUBSTITUTE(TEXTJOIN("","", TRUE, IFERROR(ARRAYFORMULA(VLOOKUP(TRIM(SPLIT('Final Report'!A1114, "","")), 'URL Details'!A:D, 4, FALSE)),"""") ), CHAR(10),"&amp;" "",""), ""\s*,\s*"", "",""), "","")))&lt;&gt;"""" ) ) ) ),"""")
"),"")</f>
        <v/>
      </c>
      <c r="D1114" s="105"/>
      <c r="E1114" s="105"/>
      <c r="F1114" s="110" t="b">
        <v>0</v>
      </c>
      <c r="G1114" s="105" t="str">
        <f>IF(F1114=True, IFERROR(VLOOKUP(D1114, Repository!A:B, 2, 0), ""), "")</f>
        <v/>
      </c>
      <c r="H1114" s="105"/>
      <c r="I1114" s="105"/>
      <c r="J1114" s="105" t="str">
        <f>IF(F1114=True, IFERROR(VLOOKUP(D1114, Repository!A:C, 3, 0), ""), "")</f>
        <v/>
      </c>
      <c r="K1114" s="105"/>
      <c r="L1114" s="105" t="str">
        <f>IF(F1114=True, IFERROR(VLOOKUP(D1114, Repository!A:E, 5, 0), ""), "")</f>
        <v/>
      </c>
      <c r="M1114" s="105"/>
      <c r="N1114" s="105" t="str">
        <f>IF(F1114=True, IFERROR(VLOOKUP(D1114, Repository!A:G, 7, 0), ""), "")</f>
        <v/>
      </c>
      <c r="O1114" s="105" t="str">
        <f>IFERROR(__xludf.DUMMYFUNCTION("ARRAY_CONSTRAIN(
  ARRAYFORMULA(
    IFERROR(
      LET(
        list, N1114,
        arr, TRIM(SPLIT(list, "","")),
        names, XLOOKUP(
          arr,
          'Conformance Score'!A:A,
          'Conformance Score'!B:B,
          ""Not found""
     "&amp;"   ),
        TEXTJOIN("", "", TRUE, names)
      ),
      """"
    )
  ),
  1,
  1
)
"),"")</f>
        <v/>
      </c>
      <c r="P1114" s="105" t="str">
        <f>IF(F1114="Yes", IFERROR(VLOOKUP(D1114, Repository!A:F, 6, 0), ""), "")</f>
        <v/>
      </c>
      <c r="Q1114" s="105" t="str">
        <f>IF(F1114="Yes", IFERROR(VLOOKUP(D1114, Repository!A:I, 8, 0), ""), "")</f>
        <v/>
      </c>
      <c r="R1114" s="105" t="str">
        <f>IF(F1114="Yes", IFERROR(VLOOKUP(D1114, Repository!A:J, 9, 0), ""), "")</f>
        <v/>
      </c>
      <c r="S1114" s="105"/>
      <c r="T1114" s="105"/>
      <c r="U1114" s="105"/>
      <c r="V1114" s="105"/>
      <c r="W1114" s="105"/>
      <c r="X1114" s="105"/>
      <c r="Y1114" s="105"/>
      <c r="Z1114" s="105"/>
      <c r="AA1114" s="105"/>
      <c r="AB1114" s="105"/>
      <c r="AC1114" s="91"/>
      <c r="AD1114" s="105"/>
      <c r="AE1114" s="105"/>
      <c r="AF1114" s="91"/>
      <c r="AG1114" s="105"/>
      <c r="AH1114" s="105"/>
      <c r="AI1114" s="105" t="str">
        <f t="shared" si="1"/>
        <v/>
      </c>
      <c r="AJ1114" s="108" t="str">
        <f t="shared" si="2"/>
        <v/>
      </c>
    </row>
    <row r="1115" ht="15.75" customHeight="1">
      <c r="A1115" s="104"/>
      <c r="B1115" s="105" t="str">
        <f>IFERROR(__xludf.DUMMYFUNCTION("ARRAY_CONSTRAIN(
  ARRAYFORMULA(
    IF(
      'Final Report'!A1115="""",
      """",
      TEXTJOIN(
        "", "" &amp; CHAR(10),
        TRUE,
        IFERROR(
          VLOOKUP(
            TRIM(
              SPLIT('Final Report'!A1115, "","")
         "&amp;"   ),
            'URL Details'!A:B,
            2,
            FALSE
          ),
          """"
        )
      )
    )
  ),
  1,
  1
)
"),"")</f>
        <v/>
      </c>
      <c r="C1115" s="105" t="str">
        <f>IFERROR(__xludf.DUMMYFUNCTION("IFERROR(IF('Final Report'!A1115="""","""", TEXTJOIN(CHAR(10), TRUE, ARRAYFORMULA( ""• ""&amp; FILTER( TRIM(FLATTEN(SPLIT( REGEXREPLACE( SUBSTITUTE(TEXTJOIN("","", TRUE, IFERROR(ARRAYFORMULA(VLOOKUP(TRIM(SPLIT('Final Report'!A1115, "","")), 'URL Details'!A:D, "&amp;"4, FALSE)),"""") ), CHAR(10), "",""), ""\s*,\s*"", "",""), "",""))), TRIM(FLATTEN(SPLIT( REGEXREPLACE( SUBSTITUTE(TEXTJOIN("","", TRUE, IFERROR(ARRAYFORMULA(VLOOKUP(TRIM(SPLIT('Final Report'!A1115, "","")), 'URL Details'!A:D, 4, FALSE)),"""") ), CHAR(10),"&amp;" "",""), ""\s*,\s*"", "",""), "","")))&lt;&gt;"""" ) ) ) ),"""")
"),"")</f>
        <v/>
      </c>
      <c r="D1115" s="105"/>
      <c r="E1115" s="105"/>
      <c r="F1115" s="110" t="b">
        <v>0</v>
      </c>
      <c r="G1115" s="105" t="str">
        <f>IF(F1115=True, IFERROR(VLOOKUP(D1115, Repository!A:B, 2, 0), ""), "")</f>
        <v/>
      </c>
      <c r="H1115" s="105"/>
      <c r="I1115" s="105"/>
      <c r="J1115" s="105" t="str">
        <f>IF(F1115=True, IFERROR(VLOOKUP(D1115, Repository!A:C, 3, 0), ""), "")</f>
        <v/>
      </c>
      <c r="K1115" s="105"/>
      <c r="L1115" s="105" t="str">
        <f>IF(F1115=True, IFERROR(VLOOKUP(D1115, Repository!A:E, 5, 0), ""), "")</f>
        <v/>
      </c>
      <c r="M1115" s="105"/>
      <c r="N1115" s="105" t="str">
        <f>IF(F1115=True, IFERROR(VLOOKUP(D1115, Repository!A:G, 7, 0), ""), "")</f>
        <v/>
      </c>
      <c r="O1115" s="105" t="str">
        <f>IFERROR(__xludf.DUMMYFUNCTION("ARRAY_CONSTRAIN(
  ARRAYFORMULA(
    IFERROR(
      LET(
        list, N1115,
        arr, TRIM(SPLIT(list, "","")),
        names, XLOOKUP(
          arr,
          'Conformance Score'!A:A,
          'Conformance Score'!B:B,
          ""Not found""
     "&amp;"   ),
        TEXTJOIN("", "", TRUE, names)
      ),
      """"
    )
  ),
  1,
  1
)
"),"")</f>
        <v/>
      </c>
      <c r="P1115" s="105" t="str">
        <f>IF(F1115="Yes", IFERROR(VLOOKUP(D1115, Repository!A:F, 6, 0), ""), "")</f>
        <v/>
      </c>
      <c r="Q1115" s="105" t="str">
        <f>IF(F1115="Yes", IFERROR(VLOOKUP(D1115, Repository!A:I, 8, 0), ""), "")</f>
        <v/>
      </c>
      <c r="R1115" s="105" t="str">
        <f>IF(F1115="Yes", IFERROR(VLOOKUP(D1115, Repository!A:J, 9, 0), ""), "")</f>
        <v/>
      </c>
      <c r="S1115" s="105"/>
      <c r="T1115" s="105"/>
      <c r="U1115" s="105"/>
      <c r="V1115" s="105"/>
      <c r="W1115" s="105"/>
      <c r="X1115" s="105"/>
      <c r="Y1115" s="105"/>
      <c r="Z1115" s="105"/>
      <c r="AA1115" s="105"/>
      <c r="AB1115" s="105"/>
      <c r="AC1115" s="91"/>
      <c r="AD1115" s="105"/>
      <c r="AE1115" s="105"/>
      <c r="AF1115" s="91"/>
      <c r="AG1115" s="105"/>
      <c r="AH1115" s="105"/>
      <c r="AI1115" s="105" t="str">
        <f t="shared" si="1"/>
        <v/>
      </c>
      <c r="AJ1115" s="108" t="str">
        <f t="shared" si="2"/>
        <v/>
      </c>
    </row>
    <row r="1116" ht="15.75" customHeight="1">
      <c r="A1116" s="104"/>
      <c r="B1116" s="105" t="str">
        <f>IFERROR(__xludf.DUMMYFUNCTION("ARRAY_CONSTRAIN(
  ARRAYFORMULA(
    IF(
      'Final Report'!A1116="""",
      """",
      TEXTJOIN(
        "", "" &amp; CHAR(10),
        TRUE,
        IFERROR(
          VLOOKUP(
            TRIM(
              SPLIT('Final Report'!A1116, "","")
         "&amp;"   ),
            'URL Details'!A:B,
            2,
            FALSE
          ),
          """"
        )
      )
    )
  ),
  1,
  1
)
"),"")</f>
        <v/>
      </c>
      <c r="C1116" s="105" t="str">
        <f>IFERROR(__xludf.DUMMYFUNCTION("IFERROR(IF('Final Report'!A1116="""","""", TEXTJOIN(CHAR(10), TRUE, ARRAYFORMULA( ""• ""&amp; FILTER( TRIM(FLATTEN(SPLIT( REGEXREPLACE( SUBSTITUTE(TEXTJOIN("","", TRUE, IFERROR(ARRAYFORMULA(VLOOKUP(TRIM(SPLIT('Final Report'!A1116, "","")), 'URL Details'!A:D, "&amp;"4, FALSE)),"""") ), CHAR(10), "",""), ""\s*,\s*"", "",""), "",""))), TRIM(FLATTEN(SPLIT( REGEXREPLACE( SUBSTITUTE(TEXTJOIN("","", TRUE, IFERROR(ARRAYFORMULA(VLOOKUP(TRIM(SPLIT('Final Report'!A1116, "","")), 'URL Details'!A:D, 4, FALSE)),"""") ), CHAR(10),"&amp;" "",""), ""\s*,\s*"", "",""), "","")))&lt;&gt;"""" ) ) ) ),"""")
"),"")</f>
        <v/>
      </c>
      <c r="D1116" s="105"/>
      <c r="E1116" s="105"/>
      <c r="F1116" s="110" t="b">
        <v>0</v>
      </c>
      <c r="G1116" s="105" t="str">
        <f>IF(F1116=True, IFERROR(VLOOKUP(D1116, Repository!A:B, 2, 0), ""), "")</f>
        <v/>
      </c>
      <c r="H1116" s="105"/>
      <c r="I1116" s="105"/>
      <c r="J1116" s="105" t="str">
        <f>IF(F1116=True, IFERROR(VLOOKUP(D1116, Repository!A:C, 3, 0), ""), "")</f>
        <v/>
      </c>
      <c r="K1116" s="105"/>
      <c r="L1116" s="105" t="str">
        <f>IF(F1116=True, IFERROR(VLOOKUP(D1116, Repository!A:E, 5, 0), ""), "")</f>
        <v/>
      </c>
      <c r="M1116" s="105"/>
      <c r="N1116" s="105" t="str">
        <f>IF(F1116=True, IFERROR(VLOOKUP(D1116, Repository!A:G, 7, 0), ""), "")</f>
        <v/>
      </c>
      <c r="O1116" s="105" t="str">
        <f>IFERROR(__xludf.DUMMYFUNCTION("ARRAY_CONSTRAIN(
  ARRAYFORMULA(
    IFERROR(
      LET(
        list, N1116,
        arr, TRIM(SPLIT(list, "","")),
        names, XLOOKUP(
          arr,
          'Conformance Score'!A:A,
          'Conformance Score'!B:B,
          ""Not found""
     "&amp;"   ),
        TEXTJOIN("", "", TRUE, names)
      ),
      """"
    )
  ),
  1,
  1
)
"),"")</f>
        <v/>
      </c>
      <c r="P1116" s="105" t="str">
        <f>IF(F1116="Yes", IFERROR(VLOOKUP(D1116, Repository!A:F, 6, 0), ""), "")</f>
        <v/>
      </c>
      <c r="Q1116" s="105" t="str">
        <f>IF(F1116="Yes", IFERROR(VLOOKUP(D1116, Repository!A:I, 8, 0), ""), "")</f>
        <v/>
      </c>
      <c r="R1116" s="105" t="str">
        <f>IF(F1116="Yes", IFERROR(VLOOKUP(D1116, Repository!A:J, 9, 0), ""), "")</f>
        <v/>
      </c>
      <c r="S1116" s="105"/>
      <c r="T1116" s="105"/>
      <c r="U1116" s="105"/>
      <c r="V1116" s="105"/>
      <c r="W1116" s="105"/>
      <c r="X1116" s="105"/>
      <c r="Y1116" s="105"/>
      <c r="Z1116" s="105"/>
      <c r="AA1116" s="105"/>
      <c r="AB1116" s="105"/>
      <c r="AC1116" s="91"/>
      <c r="AD1116" s="105"/>
      <c r="AE1116" s="105"/>
      <c r="AF1116" s="91"/>
      <c r="AG1116" s="105"/>
      <c r="AH1116" s="105"/>
      <c r="AI1116" s="105" t="str">
        <f t="shared" si="1"/>
        <v/>
      </c>
      <c r="AJ1116" s="108" t="str">
        <f t="shared" si="2"/>
        <v/>
      </c>
    </row>
    <row r="1117" ht="15.75" customHeight="1">
      <c r="A1117" s="104"/>
      <c r="B1117" s="105" t="str">
        <f>IFERROR(__xludf.DUMMYFUNCTION("ARRAY_CONSTRAIN(
  ARRAYFORMULA(
    IF(
      'Final Report'!A1117="""",
      """",
      TEXTJOIN(
        "", "" &amp; CHAR(10),
        TRUE,
        IFERROR(
          VLOOKUP(
            TRIM(
              SPLIT('Final Report'!A1117, "","")
         "&amp;"   ),
            'URL Details'!A:B,
            2,
            FALSE
          ),
          """"
        )
      )
    )
  ),
  1,
  1
)
"),"")</f>
        <v/>
      </c>
      <c r="C1117" s="105" t="str">
        <f>IFERROR(__xludf.DUMMYFUNCTION("IFERROR(IF('Final Report'!A1117="""","""", TEXTJOIN(CHAR(10), TRUE, ARRAYFORMULA( ""• ""&amp; FILTER( TRIM(FLATTEN(SPLIT( REGEXREPLACE( SUBSTITUTE(TEXTJOIN("","", TRUE, IFERROR(ARRAYFORMULA(VLOOKUP(TRIM(SPLIT('Final Report'!A1117, "","")), 'URL Details'!A:D, "&amp;"4, FALSE)),"""") ), CHAR(10), "",""), ""\s*,\s*"", "",""), "",""))), TRIM(FLATTEN(SPLIT( REGEXREPLACE( SUBSTITUTE(TEXTJOIN("","", TRUE, IFERROR(ARRAYFORMULA(VLOOKUP(TRIM(SPLIT('Final Report'!A1117, "","")), 'URL Details'!A:D, 4, FALSE)),"""") ), CHAR(10),"&amp;" "",""), ""\s*,\s*"", "",""), "","")))&lt;&gt;"""" ) ) ) ),"""")
"),"")</f>
        <v/>
      </c>
      <c r="D1117" s="105"/>
      <c r="E1117" s="105"/>
      <c r="F1117" s="110" t="b">
        <v>0</v>
      </c>
      <c r="G1117" s="105" t="str">
        <f>IF(F1117=True, IFERROR(VLOOKUP(D1117, Repository!A:B, 2, 0), ""), "")</f>
        <v/>
      </c>
      <c r="H1117" s="105"/>
      <c r="I1117" s="105"/>
      <c r="J1117" s="105" t="str">
        <f>IF(F1117=True, IFERROR(VLOOKUP(D1117, Repository!A:C, 3, 0), ""), "")</f>
        <v/>
      </c>
      <c r="K1117" s="105"/>
      <c r="L1117" s="105" t="str">
        <f>IF(F1117=True, IFERROR(VLOOKUP(D1117, Repository!A:E, 5, 0), ""), "")</f>
        <v/>
      </c>
      <c r="M1117" s="105"/>
      <c r="N1117" s="105" t="str">
        <f>IF(F1117=True, IFERROR(VLOOKUP(D1117, Repository!A:G, 7, 0), ""), "")</f>
        <v/>
      </c>
      <c r="O1117" s="105" t="str">
        <f>IFERROR(__xludf.DUMMYFUNCTION("ARRAY_CONSTRAIN(
  ARRAYFORMULA(
    IFERROR(
      LET(
        list, N1117,
        arr, TRIM(SPLIT(list, "","")),
        names, XLOOKUP(
          arr,
          'Conformance Score'!A:A,
          'Conformance Score'!B:B,
          ""Not found""
     "&amp;"   ),
        TEXTJOIN("", "", TRUE, names)
      ),
      """"
    )
  ),
  1,
  1
)
"),"")</f>
        <v/>
      </c>
      <c r="P1117" s="105" t="str">
        <f>IF(F1117="Yes", IFERROR(VLOOKUP(D1117, Repository!A:F, 6, 0), ""), "")</f>
        <v/>
      </c>
      <c r="Q1117" s="105" t="str">
        <f>IF(F1117="Yes", IFERROR(VLOOKUP(D1117, Repository!A:I, 8, 0), ""), "")</f>
        <v/>
      </c>
      <c r="R1117" s="105" t="str">
        <f>IF(F1117="Yes", IFERROR(VLOOKUP(D1117, Repository!A:J, 9, 0), ""), "")</f>
        <v/>
      </c>
      <c r="S1117" s="105"/>
      <c r="T1117" s="105"/>
      <c r="U1117" s="105"/>
      <c r="V1117" s="105"/>
      <c r="W1117" s="105"/>
      <c r="X1117" s="105"/>
      <c r="Y1117" s="105"/>
      <c r="Z1117" s="105"/>
      <c r="AA1117" s="105"/>
      <c r="AB1117" s="105"/>
      <c r="AC1117" s="91"/>
      <c r="AD1117" s="105"/>
      <c r="AE1117" s="105"/>
      <c r="AF1117" s="91"/>
      <c r="AG1117" s="105"/>
      <c r="AH1117" s="105"/>
      <c r="AI1117" s="105" t="str">
        <f t="shared" si="1"/>
        <v/>
      </c>
      <c r="AJ1117" s="108" t="str">
        <f t="shared" si="2"/>
        <v/>
      </c>
    </row>
    <row r="1118" ht="15.75" customHeight="1">
      <c r="A1118" s="104"/>
      <c r="B1118" s="105" t="str">
        <f>IFERROR(__xludf.DUMMYFUNCTION("ARRAY_CONSTRAIN(
  ARRAYFORMULA(
    IF(
      'Final Report'!A1118="""",
      """",
      TEXTJOIN(
        "", "" &amp; CHAR(10),
        TRUE,
        IFERROR(
          VLOOKUP(
            TRIM(
              SPLIT('Final Report'!A1118, "","")
         "&amp;"   ),
            'URL Details'!A:B,
            2,
            FALSE
          ),
          """"
        )
      )
    )
  ),
  1,
  1
)
"),"")</f>
        <v/>
      </c>
      <c r="C1118" s="105" t="str">
        <f>IFERROR(__xludf.DUMMYFUNCTION("IFERROR(IF('Final Report'!A1118="""","""", TEXTJOIN(CHAR(10), TRUE, ARRAYFORMULA( ""• ""&amp; FILTER( TRIM(FLATTEN(SPLIT( REGEXREPLACE( SUBSTITUTE(TEXTJOIN("","", TRUE, IFERROR(ARRAYFORMULA(VLOOKUP(TRIM(SPLIT('Final Report'!A1118, "","")), 'URL Details'!A:D, "&amp;"4, FALSE)),"""") ), CHAR(10), "",""), ""\s*,\s*"", "",""), "",""))), TRIM(FLATTEN(SPLIT( REGEXREPLACE( SUBSTITUTE(TEXTJOIN("","", TRUE, IFERROR(ARRAYFORMULA(VLOOKUP(TRIM(SPLIT('Final Report'!A1118, "","")), 'URL Details'!A:D, 4, FALSE)),"""") ), CHAR(10),"&amp;" "",""), ""\s*,\s*"", "",""), "","")))&lt;&gt;"""" ) ) ) ),"""")
"),"")</f>
        <v/>
      </c>
      <c r="D1118" s="105"/>
      <c r="E1118" s="105"/>
      <c r="F1118" s="110" t="b">
        <v>0</v>
      </c>
      <c r="G1118" s="105" t="str">
        <f>IF(F1118=True, IFERROR(VLOOKUP(D1118, Repository!A:B, 2, 0), ""), "")</f>
        <v/>
      </c>
      <c r="H1118" s="105"/>
      <c r="I1118" s="105"/>
      <c r="J1118" s="105" t="str">
        <f>IF(F1118=True, IFERROR(VLOOKUP(D1118, Repository!A:C, 3, 0), ""), "")</f>
        <v/>
      </c>
      <c r="K1118" s="105"/>
      <c r="L1118" s="105" t="str">
        <f>IF(F1118=True, IFERROR(VLOOKUP(D1118, Repository!A:E, 5, 0), ""), "")</f>
        <v/>
      </c>
      <c r="M1118" s="105"/>
      <c r="N1118" s="105" t="str">
        <f>IF(F1118=True, IFERROR(VLOOKUP(D1118, Repository!A:G, 7, 0), ""), "")</f>
        <v/>
      </c>
      <c r="O1118" s="105" t="str">
        <f>IFERROR(__xludf.DUMMYFUNCTION("ARRAY_CONSTRAIN(
  ARRAYFORMULA(
    IFERROR(
      LET(
        list, N1118,
        arr, TRIM(SPLIT(list, "","")),
        names, XLOOKUP(
          arr,
          'Conformance Score'!A:A,
          'Conformance Score'!B:B,
          ""Not found""
     "&amp;"   ),
        TEXTJOIN("", "", TRUE, names)
      ),
      """"
    )
  ),
  1,
  1
)
"),"")</f>
        <v/>
      </c>
      <c r="P1118" s="105" t="str">
        <f>IF(F1118="Yes", IFERROR(VLOOKUP(D1118, Repository!A:F, 6, 0), ""), "")</f>
        <v/>
      </c>
      <c r="Q1118" s="105" t="str">
        <f>IF(F1118="Yes", IFERROR(VLOOKUP(D1118, Repository!A:I, 8, 0), ""), "")</f>
        <v/>
      </c>
      <c r="R1118" s="105" t="str">
        <f>IF(F1118="Yes", IFERROR(VLOOKUP(D1118, Repository!A:J, 9, 0), ""), "")</f>
        <v/>
      </c>
      <c r="S1118" s="105"/>
      <c r="T1118" s="105"/>
      <c r="U1118" s="105"/>
      <c r="V1118" s="105"/>
      <c r="W1118" s="105"/>
      <c r="X1118" s="105"/>
      <c r="Y1118" s="105"/>
      <c r="Z1118" s="105"/>
      <c r="AA1118" s="105"/>
      <c r="AB1118" s="105"/>
      <c r="AC1118" s="91"/>
      <c r="AD1118" s="105"/>
      <c r="AE1118" s="105"/>
      <c r="AF1118" s="91"/>
      <c r="AG1118" s="105"/>
      <c r="AH1118" s="105"/>
      <c r="AI1118" s="105" t="str">
        <f t="shared" si="1"/>
        <v/>
      </c>
      <c r="AJ1118" s="108" t="str">
        <f t="shared" si="2"/>
        <v/>
      </c>
    </row>
    <row r="1119" ht="15.75" customHeight="1">
      <c r="A1119" s="104"/>
      <c r="B1119" s="105" t="str">
        <f>IFERROR(__xludf.DUMMYFUNCTION("ARRAY_CONSTRAIN(
  ARRAYFORMULA(
    IF(
      'Final Report'!A1119="""",
      """",
      TEXTJOIN(
        "", "" &amp; CHAR(10),
        TRUE,
        IFERROR(
          VLOOKUP(
            TRIM(
              SPLIT('Final Report'!A1119, "","")
         "&amp;"   ),
            'URL Details'!A:B,
            2,
            FALSE
          ),
          """"
        )
      )
    )
  ),
  1,
  1
)
"),"")</f>
        <v/>
      </c>
      <c r="C1119" s="105" t="str">
        <f>IFERROR(__xludf.DUMMYFUNCTION("IFERROR(IF('Final Report'!A1119="""","""", TEXTJOIN(CHAR(10), TRUE, ARRAYFORMULA( ""• ""&amp; FILTER( TRIM(FLATTEN(SPLIT( REGEXREPLACE( SUBSTITUTE(TEXTJOIN("","", TRUE, IFERROR(ARRAYFORMULA(VLOOKUP(TRIM(SPLIT('Final Report'!A1119, "","")), 'URL Details'!A:D, "&amp;"4, FALSE)),"""") ), CHAR(10), "",""), ""\s*,\s*"", "",""), "",""))), TRIM(FLATTEN(SPLIT( REGEXREPLACE( SUBSTITUTE(TEXTJOIN("","", TRUE, IFERROR(ARRAYFORMULA(VLOOKUP(TRIM(SPLIT('Final Report'!A1119, "","")), 'URL Details'!A:D, 4, FALSE)),"""") ), CHAR(10),"&amp;" "",""), ""\s*,\s*"", "",""), "","")))&lt;&gt;"""" ) ) ) ),"""")
"),"")</f>
        <v/>
      </c>
      <c r="D1119" s="105"/>
      <c r="E1119" s="105"/>
      <c r="F1119" s="110" t="b">
        <v>0</v>
      </c>
      <c r="G1119" s="105" t="str">
        <f>IF(F1119=True, IFERROR(VLOOKUP(D1119, Repository!A:B, 2, 0), ""), "")</f>
        <v/>
      </c>
      <c r="H1119" s="105"/>
      <c r="I1119" s="105"/>
      <c r="J1119" s="105" t="str">
        <f>IF(F1119=True, IFERROR(VLOOKUP(D1119, Repository!A:C, 3, 0), ""), "")</f>
        <v/>
      </c>
      <c r="K1119" s="105"/>
      <c r="L1119" s="105" t="str">
        <f>IF(F1119=True, IFERROR(VLOOKUP(D1119, Repository!A:E, 5, 0), ""), "")</f>
        <v/>
      </c>
      <c r="M1119" s="105"/>
      <c r="N1119" s="105" t="str">
        <f>IF(F1119=True, IFERROR(VLOOKUP(D1119, Repository!A:G, 7, 0), ""), "")</f>
        <v/>
      </c>
      <c r="O1119" s="105" t="str">
        <f>IFERROR(__xludf.DUMMYFUNCTION("ARRAY_CONSTRAIN(
  ARRAYFORMULA(
    IFERROR(
      LET(
        list, N1119,
        arr, TRIM(SPLIT(list, "","")),
        names, XLOOKUP(
          arr,
          'Conformance Score'!A:A,
          'Conformance Score'!B:B,
          ""Not found""
     "&amp;"   ),
        TEXTJOIN("", "", TRUE, names)
      ),
      """"
    )
  ),
  1,
  1
)
"),"")</f>
        <v/>
      </c>
      <c r="P1119" s="105" t="str">
        <f>IF(F1119="Yes", IFERROR(VLOOKUP(D1119, Repository!A:F, 6, 0), ""), "")</f>
        <v/>
      </c>
      <c r="Q1119" s="105" t="str">
        <f>IF(F1119="Yes", IFERROR(VLOOKUP(D1119, Repository!A:I, 8, 0), ""), "")</f>
        <v/>
      </c>
      <c r="R1119" s="105" t="str">
        <f>IF(F1119="Yes", IFERROR(VLOOKUP(D1119, Repository!A:J, 9, 0), ""), "")</f>
        <v/>
      </c>
      <c r="S1119" s="105"/>
      <c r="T1119" s="105"/>
      <c r="U1119" s="105"/>
      <c r="V1119" s="105"/>
      <c r="W1119" s="105"/>
      <c r="X1119" s="105"/>
      <c r="Y1119" s="105"/>
      <c r="Z1119" s="105"/>
      <c r="AA1119" s="105"/>
      <c r="AB1119" s="105"/>
      <c r="AC1119" s="91"/>
      <c r="AD1119" s="105"/>
      <c r="AE1119" s="105"/>
      <c r="AF1119" s="91"/>
      <c r="AG1119" s="105"/>
      <c r="AH1119" s="105"/>
      <c r="AI1119" s="105" t="str">
        <f t="shared" si="1"/>
        <v/>
      </c>
      <c r="AJ1119" s="108" t="str">
        <f t="shared" si="2"/>
        <v/>
      </c>
    </row>
    <row r="1120" ht="15.75" customHeight="1">
      <c r="A1120" s="104"/>
      <c r="B1120" s="105" t="str">
        <f>IFERROR(__xludf.DUMMYFUNCTION("ARRAY_CONSTRAIN(
  ARRAYFORMULA(
    IF(
      'Final Report'!A1120="""",
      """",
      TEXTJOIN(
        "", "" &amp; CHAR(10),
        TRUE,
        IFERROR(
          VLOOKUP(
            TRIM(
              SPLIT('Final Report'!A1120, "","")
         "&amp;"   ),
            'URL Details'!A:B,
            2,
            FALSE
          ),
          """"
        )
      )
    )
  ),
  1,
  1
)
"),"")</f>
        <v/>
      </c>
      <c r="C1120" s="105" t="str">
        <f>IFERROR(__xludf.DUMMYFUNCTION("IFERROR(IF('Final Report'!A1120="""","""", TEXTJOIN(CHAR(10), TRUE, ARRAYFORMULA( ""• ""&amp; FILTER( TRIM(FLATTEN(SPLIT( REGEXREPLACE( SUBSTITUTE(TEXTJOIN("","", TRUE, IFERROR(ARRAYFORMULA(VLOOKUP(TRIM(SPLIT('Final Report'!A1120, "","")), 'URL Details'!A:D, "&amp;"4, FALSE)),"""") ), CHAR(10), "",""), ""\s*,\s*"", "",""), "",""))), TRIM(FLATTEN(SPLIT( REGEXREPLACE( SUBSTITUTE(TEXTJOIN("","", TRUE, IFERROR(ARRAYFORMULA(VLOOKUP(TRIM(SPLIT('Final Report'!A1120, "","")), 'URL Details'!A:D, 4, FALSE)),"""") ), CHAR(10),"&amp;" "",""), ""\s*,\s*"", "",""), "","")))&lt;&gt;"""" ) ) ) ),"""")
"),"")</f>
        <v/>
      </c>
      <c r="D1120" s="105"/>
      <c r="E1120" s="105"/>
      <c r="F1120" s="110" t="b">
        <v>0</v>
      </c>
      <c r="G1120" s="105" t="str">
        <f>IF(F1120=True, IFERROR(VLOOKUP(D1120, Repository!A:B, 2, 0), ""), "")</f>
        <v/>
      </c>
      <c r="H1120" s="105"/>
      <c r="I1120" s="105"/>
      <c r="J1120" s="105" t="str">
        <f>IF(F1120=True, IFERROR(VLOOKUP(D1120, Repository!A:C, 3, 0), ""), "")</f>
        <v/>
      </c>
      <c r="K1120" s="105"/>
      <c r="L1120" s="105" t="str">
        <f>IF(F1120=True, IFERROR(VLOOKUP(D1120, Repository!A:E, 5, 0), ""), "")</f>
        <v/>
      </c>
      <c r="M1120" s="105"/>
      <c r="N1120" s="105" t="str">
        <f>IF(F1120=True, IFERROR(VLOOKUP(D1120, Repository!A:G, 7, 0), ""), "")</f>
        <v/>
      </c>
      <c r="O1120" s="105" t="str">
        <f>IFERROR(__xludf.DUMMYFUNCTION("ARRAY_CONSTRAIN(
  ARRAYFORMULA(
    IFERROR(
      LET(
        list, N1120,
        arr, TRIM(SPLIT(list, "","")),
        names, XLOOKUP(
          arr,
          'Conformance Score'!A:A,
          'Conformance Score'!B:B,
          ""Not found""
     "&amp;"   ),
        TEXTJOIN("", "", TRUE, names)
      ),
      """"
    )
  ),
  1,
  1
)
"),"")</f>
        <v/>
      </c>
      <c r="P1120" s="105" t="str">
        <f>IF(F1120="Yes", IFERROR(VLOOKUP(D1120, Repository!A:F, 6, 0), ""), "")</f>
        <v/>
      </c>
      <c r="Q1120" s="105" t="str">
        <f>IF(F1120="Yes", IFERROR(VLOOKUP(D1120, Repository!A:I, 8, 0), ""), "")</f>
        <v/>
      </c>
      <c r="R1120" s="105" t="str">
        <f>IF(F1120="Yes", IFERROR(VLOOKUP(D1120, Repository!A:J, 9, 0), ""), "")</f>
        <v/>
      </c>
      <c r="S1120" s="105"/>
      <c r="T1120" s="105"/>
      <c r="U1120" s="105"/>
      <c r="V1120" s="105"/>
      <c r="W1120" s="105"/>
      <c r="X1120" s="105"/>
      <c r="Y1120" s="105"/>
      <c r="Z1120" s="105"/>
      <c r="AA1120" s="105"/>
      <c r="AB1120" s="105"/>
      <c r="AC1120" s="91"/>
      <c r="AD1120" s="105"/>
      <c r="AE1120" s="105"/>
      <c r="AF1120" s="91"/>
      <c r="AG1120" s="105"/>
      <c r="AH1120" s="105"/>
      <c r="AI1120" s="105" t="str">
        <f t="shared" si="1"/>
        <v/>
      </c>
      <c r="AJ1120" s="108" t="str">
        <f t="shared" si="2"/>
        <v/>
      </c>
    </row>
    <row r="1121" ht="15.75" customHeight="1">
      <c r="A1121" s="104"/>
      <c r="B1121" s="105" t="str">
        <f>IFERROR(__xludf.DUMMYFUNCTION("ARRAY_CONSTRAIN(
  ARRAYFORMULA(
    IF(
      'Final Report'!A1121="""",
      """",
      TEXTJOIN(
        "", "" &amp; CHAR(10),
        TRUE,
        IFERROR(
          VLOOKUP(
            TRIM(
              SPLIT('Final Report'!A1121, "","")
         "&amp;"   ),
            'URL Details'!A:B,
            2,
            FALSE
          ),
          """"
        )
      )
    )
  ),
  1,
  1
)
"),"")</f>
        <v/>
      </c>
      <c r="C1121" s="105" t="str">
        <f>IFERROR(__xludf.DUMMYFUNCTION("IFERROR(IF('Final Report'!A1121="""","""", TEXTJOIN(CHAR(10), TRUE, ARRAYFORMULA( ""• ""&amp; FILTER( TRIM(FLATTEN(SPLIT( REGEXREPLACE( SUBSTITUTE(TEXTJOIN("","", TRUE, IFERROR(ARRAYFORMULA(VLOOKUP(TRIM(SPLIT('Final Report'!A1121, "","")), 'URL Details'!A:D, "&amp;"4, FALSE)),"""") ), CHAR(10), "",""), ""\s*,\s*"", "",""), "",""))), TRIM(FLATTEN(SPLIT( REGEXREPLACE( SUBSTITUTE(TEXTJOIN("","", TRUE, IFERROR(ARRAYFORMULA(VLOOKUP(TRIM(SPLIT('Final Report'!A1121, "","")), 'URL Details'!A:D, 4, FALSE)),"""") ), CHAR(10),"&amp;" "",""), ""\s*,\s*"", "",""), "","")))&lt;&gt;"""" ) ) ) ),"""")
"),"")</f>
        <v/>
      </c>
      <c r="D1121" s="105"/>
      <c r="E1121" s="105"/>
      <c r="F1121" s="110" t="b">
        <v>0</v>
      </c>
      <c r="G1121" s="105" t="str">
        <f>IF(F1121=True, IFERROR(VLOOKUP(D1121, Repository!A:B, 2, 0), ""), "")</f>
        <v/>
      </c>
      <c r="H1121" s="105"/>
      <c r="I1121" s="105"/>
      <c r="J1121" s="105" t="str">
        <f>IF(F1121=True, IFERROR(VLOOKUP(D1121, Repository!A:C, 3, 0), ""), "")</f>
        <v/>
      </c>
      <c r="K1121" s="105"/>
      <c r="L1121" s="105" t="str">
        <f>IF(F1121=True, IFERROR(VLOOKUP(D1121, Repository!A:E, 5, 0), ""), "")</f>
        <v/>
      </c>
      <c r="M1121" s="105"/>
      <c r="N1121" s="105" t="str">
        <f>IF(F1121=True, IFERROR(VLOOKUP(D1121, Repository!A:G, 7, 0), ""), "")</f>
        <v/>
      </c>
      <c r="O1121" s="105" t="str">
        <f>IFERROR(__xludf.DUMMYFUNCTION("ARRAY_CONSTRAIN(
  ARRAYFORMULA(
    IFERROR(
      LET(
        list, N1121,
        arr, TRIM(SPLIT(list, "","")),
        names, XLOOKUP(
          arr,
          'Conformance Score'!A:A,
          'Conformance Score'!B:B,
          ""Not found""
     "&amp;"   ),
        TEXTJOIN("", "", TRUE, names)
      ),
      """"
    )
  ),
  1,
  1
)
"),"")</f>
        <v/>
      </c>
      <c r="P1121" s="105" t="str">
        <f>IF(F1121="Yes", IFERROR(VLOOKUP(D1121, Repository!A:F, 6, 0), ""), "")</f>
        <v/>
      </c>
      <c r="Q1121" s="105" t="str">
        <f>IF(F1121="Yes", IFERROR(VLOOKUP(D1121, Repository!A:I, 8, 0), ""), "")</f>
        <v/>
      </c>
      <c r="R1121" s="105" t="str">
        <f>IF(F1121="Yes", IFERROR(VLOOKUP(D1121, Repository!A:J, 9, 0), ""), "")</f>
        <v/>
      </c>
      <c r="S1121" s="105"/>
      <c r="T1121" s="105"/>
      <c r="U1121" s="105"/>
      <c r="V1121" s="105"/>
      <c r="W1121" s="105"/>
      <c r="X1121" s="105"/>
      <c r="Y1121" s="105"/>
      <c r="Z1121" s="105"/>
      <c r="AA1121" s="105"/>
      <c r="AB1121" s="105"/>
      <c r="AC1121" s="91"/>
      <c r="AD1121" s="105"/>
      <c r="AE1121" s="105"/>
      <c r="AF1121" s="91"/>
      <c r="AG1121" s="105"/>
      <c r="AH1121" s="105"/>
      <c r="AI1121" s="105" t="str">
        <f t="shared" si="1"/>
        <v/>
      </c>
      <c r="AJ1121" s="108" t="str">
        <f t="shared" si="2"/>
        <v/>
      </c>
    </row>
    <row r="1122" ht="15.75" customHeight="1">
      <c r="A1122" s="104"/>
      <c r="B1122" s="105" t="str">
        <f>IFERROR(__xludf.DUMMYFUNCTION("ARRAY_CONSTRAIN(
  ARRAYFORMULA(
    IF(
      'Final Report'!A1122="""",
      """",
      TEXTJOIN(
        "", "" &amp; CHAR(10),
        TRUE,
        IFERROR(
          VLOOKUP(
            TRIM(
              SPLIT('Final Report'!A1122, "","")
         "&amp;"   ),
            'URL Details'!A:B,
            2,
            FALSE
          ),
          """"
        )
      )
    )
  ),
  1,
  1
)
"),"")</f>
        <v/>
      </c>
      <c r="C1122" s="105" t="str">
        <f>IFERROR(__xludf.DUMMYFUNCTION("IFERROR(IF('Final Report'!A1122="""","""", TEXTJOIN(CHAR(10), TRUE, ARRAYFORMULA( ""• ""&amp; FILTER( TRIM(FLATTEN(SPLIT( REGEXREPLACE( SUBSTITUTE(TEXTJOIN("","", TRUE, IFERROR(ARRAYFORMULA(VLOOKUP(TRIM(SPLIT('Final Report'!A1122, "","")), 'URL Details'!A:D, "&amp;"4, FALSE)),"""") ), CHAR(10), "",""), ""\s*,\s*"", "",""), "",""))), TRIM(FLATTEN(SPLIT( REGEXREPLACE( SUBSTITUTE(TEXTJOIN("","", TRUE, IFERROR(ARRAYFORMULA(VLOOKUP(TRIM(SPLIT('Final Report'!A1122, "","")), 'URL Details'!A:D, 4, FALSE)),"""") ), CHAR(10),"&amp;" "",""), ""\s*,\s*"", "",""), "","")))&lt;&gt;"""" ) ) ) ),"""")
"),"")</f>
        <v/>
      </c>
      <c r="D1122" s="105"/>
      <c r="E1122" s="105"/>
      <c r="F1122" s="110" t="b">
        <v>0</v>
      </c>
      <c r="G1122" s="105" t="str">
        <f>IF(F1122=True, IFERROR(VLOOKUP(D1122, Repository!A:B, 2, 0), ""), "")</f>
        <v/>
      </c>
      <c r="H1122" s="105"/>
      <c r="I1122" s="105"/>
      <c r="J1122" s="105" t="str">
        <f>IF(F1122=True, IFERROR(VLOOKUP(D1122, Repository!A:C, 3, 0), ""), "")</f>
        <v/>
      </c>
      <c r="K1122" s="105"/>
      <c r="L1122" s="105" t="str">
        <f>IF(F1122=True, IFERROR(VLOOKUP(D1122, Repository!A:E, 5, 0), ""), "")</f>
        <v/>
      </c>
      <c r="M1122" s="105"/>
      <c r="N1122" s="105" t="str">
        <f>IF(F1122=True, IFERROR(VLOOKUP(D1122, Repository!A:G, 7, 0), ""), "")</f>
        <v/>
      </c>
      <c r="O1122" s="105" t="str">
        <f>IFERROR(__xludf.DUMMYFUNCTION("ARRAY_CONSTRAIN(
  ARRAYFORMULA(
    IFERROR(
      LET(
        list, N1122,
        arr, TRIM(SPLIT(list, "","")),
        names, XLOOKUP(
          arr,
          'Conformance Score'!A:A,
          'Conformance Score'!B:B,
          ""Not found""
     "&amp;"   ),
        TEXTJOIN("", "", TRUE, names)
      ),
      """"
    )
  ),
  1,
  1
)
"),"")</f>
        <v/>
      </c>
      <c r="P1122" s="105" t="str">
        <f>IF(F1122="Yes", IFERROR(VLOOKUP(D1122, Repository!A:F, 6, 0), ""), "")</f>
        <v/>
      </c>
      <c r="Q1122" s="105" t="str">
        <f>IF(F1122="Yes", IFERROR(VLOOKUP(D1122, Repository!A:I, 8, 0), ""), "")</f>
        <v/>
      </c>
      <c r="R1122" s="105" t="str">
        <f>IF(F1122="Yes", IFERROR(VLOOKUP(D1122, Repository!A:J, 9, 0), ""), "")</f>
        <v/>
      </c>
      <c r="S1122" s="105"/>
      <c r="T1122" s="105"/>
      <c r="U1122" s="105"/>
      <c r="V1122" s="105"/>
      <c r="W1122" s="105"/>
      <c r="X1122" s="105"/>
      <c r="Y1122" s="105"/>
      <c r="Z1122" s="105"/>
      <c r="AA1122" s="105"/>
      <c r="AB1122" s="105"/>
      <c r="AC1122" s="91"/>
      <c r="AD1122" s="105"/>
      <c r="AE1122" s="105"/>
      <c r="AF1122" s="91"/>
      <c r="AG1122" s="105"/>
      <c r="AH1122" s="105"/>
      <c r="AI1122" s="105" t="str">
        <f t="shared" si="1"/>
        <v/>
      </c>
      <c r="AJ1122" s="108" t="str">
        <f t="shared" si="2"/>
        <v/>
      </c>
    </row>
    <row r="1123" ht="15.75" customHeight="1">
      <c r="A1123" s="104"/>
      <c r="B1123" s="105" t="str">
        <f>IFERROR(__xludf.DUMMYFUNCTION("ARRAY_CONSTRAIN(
  ARRAYFORMULA(
    IF(
      'Final Report'!A1123="""",
      """",
      TEXTJOIN(
        "", "" &amp; CHAR(10),
        TRUE,
        IFERROR(
          VLOOKUP(
            TRIM(
              SPLIT('Final Report'!A1123, "","")
         "&amp;"   ),
            'URL Details'!A:B,
            2,
            FALSE
          ),
          """"
        )
      )
    )
  ),
  1,
  1
)
"),"")</f>
        <v/>
      </c>
      <c r="C1123" s="105" t="str">
        <f>IFERROR(__xludf.DUMMYFUNCTION("IFERROR(IF('Final Report'!A1123="""","""", TEXTJOIN(CHAR(10), TRUE, ARRAYFORMULA( ""• ""&amp; FILTER( TRIM(FLATTEN(SPLIT( REGEXREPLACE( SUBSTITUTE(TEXTJOIN("","", TRUE, IFERROR(ARRAYFORMULA(VLOOKUP(TRIM(SPLIT('Final Report'!A1123, "","")), 'URL Details'!A:D, "&amp;"4, FALSE)),"""") ), CHAR(10), "",""), ""\s*,\s*"", "",""), "",""))), TRIM(FLATTEN(SPLIT( REGEXREPLACE( SUBSTITUTE(TEXTJOIN("","", TRUE, IFERROR(ARRAYFORMULA(VLOOKUP(TRIM(SPLIT('Final Report'!A1123, "","")), 'URL Details'!A:D, 4, FALSE)),"""") ), CHAR(10),"&amp;" "",""), ""\s*,\s*"", "",""), "","")))&lt;&gt;"""" ) ) ) ),"""")
"),"")</f>
        <v/>
      </c>
      <c r="D1123" s="105"/>
      <c r="E1123" s="105"/>
      <c r="F1123" s="110" t="b">
        <v>0</v>
      </c>
      <c r="G1123" s="105" t="str">
        <f>IF(F1123=True, IFERROR(VLOOKUP(D1123, Repository!A:B, 2, 0), ""), "")</f>
        <v/>
      </c>
      <c r="H1123" s="105"/>
      <c r="I1123" s="105"/>
      <c r="J1123" s="105" t="str">
        <f>IF(F1123=True, IFERROR(VLOOKUP(D1123, Repository!A:C, 3, 0), ""), "")</f>
        <v/>
      </c>
      <c r="K1123" s="105"/>
      <c r="L1123" s="105" t="str">
        <f>IF(F1123=True, IFERROR(VLOOKUP(D1123, Repository!A:E, 5, 0), ""), "")</f>
        <v/>
      </c>
      <c r="M1123" s="105"/>
      <c r="N1123" s="105" t="str">
        <f>IF(F1123=True, IFERROR(VLOOKUP(D1123, Repository!A:G, 7, 0), ""), "")</f>
        <v/>
      </c>
      <c r="O1123" s="105" t="str">
        <f>IFERROR(__xludf.DUMMYFUNCTION("ARRAY_CONSTRAIN(
  ARRAYFORMULA(
    IFERROR(
      LET(
        list, N1123,
        arr, TRIM(SPLIT(list, "","")),
        names, XLOOKUP(
          arr,
          'Conformance Score'!A:A,
          'Conformance Score'!B:B,
          ""Not found""
     "&amp;"   ),
        TEXTJOIN("", "", TRUE, names)
      ),
      """"
    )
  ),
  1,
  1
)
"),"")</f>
        <v/>
      </c>
      <c r="P1123" s="105" t="str">
        <f>IF(F1123="Yes", IFERROR(VLOOKUP(D1123, Repository!A:F, 6, 0), ""), "")</f>
        <v/>
      </c>
      <c r="Q1123" s="105" t="str">
        <f>IF(F1123="Yes", IFERROR(VLOOKUP(D1123, Repository!A:I, 8, 0), ""), "")</f>
        <v/>
      </c>
      <c r="R1123" s="105" t="str">
        <f>IF(F1123="Yes", IFERROR(VLOOKUP(D1123, Repository!A:J, 9, 0), ""), "")</f>
        <v/>
      </c>
      <c r="S1123" s="105"/>
      <c r="T1123" s="105"/>
      <c r="U1123" s="105"/>
      <c r="V1123" s="105"/>
      <c r="W1123" s="105"/>
      <c r="X1123" s="105"/>
      <c r="Y1123" s="105"/>
      <c r="Z1123" s="105"/>
      <c r="AA1123" s="105"/>
      <c r="AB1123" s="105"/>
      <c r="AC1123" s="91"/>
      <c r="AD1123" s="105"/>
      <c r="AE1123" s="105"/>
      <c r="AF1123" s="91"/>
      <c r="AG1123" s="105"/>
      <c r="AH1123" s="105"/>
      <c r="AI1123" s="105" t="str">
        <f t="shared" si="1"/>
        <v/>
      </c>
      <c r="AJ1123" s="108" t="str">
        <f t="shared" si="2"/>
        <v/>
      </c>
    </row>
    <row r="1124" ht="15.75" customHeight="1">
      <c r="A1124" s="104"/>
      <c r="B1124" s="105" t="str">
        <f>IFERROR(__xludf.DUMMYFUNCTION("ARRAY_CONSTRAIN(
  ARRAYFORMULA(
    IF(
      'Final Report'!A1124="""",
      """",
      TEXTJOIN(
        "", "" &amp; CHAR(10),
        TRUE,
        IFERROR(
          VLOOKUP(
            TRIM(
              SPLIT('Final Report'!A1124, "","")
         "&amp;"   ),
            'URL Details'!A:B,
            2,
            FALSE
          ),
          """"
        )
      )
    )
  ),
  1,
  1
)
"),"")</f>
        <v/>
      </c>
      <c r="C1124" s="105" t="str">
        <f>IFERROR(__xludf.DUMMYFUNCTION("IFERROR(IF('Final Report'!A1124="""","""", TEXTJOIN(CHAR(10), TRUE, ARRAYFORMULA( ""• ""&amp; FILTER( TRIM(FLATTEN(SPLIT( REGEXREPLACE( SUBSTITUTE(TEXTJOIN("","", TRUE, IFERROR(ARRAYFORMULA(VLOOKUP(TRIM(SPLIT('Final Report'!A1124, "","")), 'URL Details'!A:D, "&amp;"4, FALSE)),"""") ), CHAR(10), "",""), ""\s*,\s*"", "",""), "",""))), TRIM(FLATTEN(SPLIT( REGEXREPLACE( SUBSTITUTE(TEXTJOIN("","", TRUE, IFERROR(ARRAYFORMULA(VLOOKUP(TRIM(SPLIT('Final Report'!A1124, "","")), 'URL Details'!A:D, 4, FALSE)),"""") ), CHAR(10),"&amp;" "",""), ""\s*,\s*"", "",""), "","")))&lt;&gt;"""" ) ) ) ),"""")
"),"")</f>
        <v/>
      </c>
      <c r="D1124" s="105"/>
      <c r="E1124" s="105"/>
      <c r="F1124" s="110" t="b">
        <v>0</v>
      </c>
      <c r="G1124" s="105" t="str">
        <f>IF(F1124=True, IFERROR(VLOOKUP(D1124, Repository!A:B, 2, 0), ""), "")</f>
        <v/>
      </c>
      <c r="H1124" s="105"/>
      <c r="I1124" s="105"/>
      <c r="J1124" s="105" t="str">
        <f>IF(F1124=True, IFERROR(VLOOKUP(D1124, Repository!A:C, 3, 0), ""), "")</f>
        <v/>
      </c>
      <c r="K1124" s="105"/>
      <c r="L1124" s="105" t="str">
        <f>IF(F1124=True, IFERROR(VLOOKUP(D1124, Repository!A:E, 5, 0), ""), "")</f>
        <v/>
      </c>
      <c r="M1124" s="105"/>
      <c r="N1124" s="105" t="str">
        <f>IF(F1124=True, IFERROR(VLOOKUP(D1124, Repository!A:G, 7, 0), ""), "")</f>
        <v/>
      </c>
      <c r="O1124" s="105" t="str">
        <f>IFERROR(__xludf.DUMMYFUNCTION("ARRAY_CONSTRAIN(
  ARRAYFORMULA(
    IFERROR(
      LET(
        list, N1124,
        arr, TRIM(SPLIT(list, "","")),
        names, XLOOKUP(
          arr,
          'Conformance Score'!A:A,
          'Conformance Score'!B:B,
          ""Not found""
     "&amp;"   ),
        TEXTJOIN("", "", TRUE, names)
      ),
      """"
    )
  ),
  1,
  1
)
"),"")</f>
        <v/>
      </c>
      <c r="P1124" s="105" t="str">
        <f>IF(F1124="Yes", IFERROR(VLOOKUP(D1124, Repository!A:F, 6, 0), ""), "")</f>
        <v/>
      </c>
      <c r="Q1124" s="105" t="str">
        <f>IF(F1124="Yes", IFERROR(VLOOKUP(D1124, Repository!A:I, 8, 0), ""), "")</f>
        <v/>
      </c>
      <c r="R1124" s="105" t="str">
        <f>IF(F1124="Yes", IFERROR(VLOOKUP(D1124, Repository!A:J, 9, 0), ""), "")</f>
        <v/>
      </c>
      <c r="S1124" s="105"/>
      <c r="T1124" s="105"/>
      <c r="U1124" s="105"/>
      <c r="V1124" s="105"/>
      <c r="W1124" s="105"/>
      <c r="X1124" s="105"/>
      <c r="Y1124" s="105"/>
      <c r="Z1124" s="105"/>
      <c r="AA1124" s="105"/>
      <c r="AB1124" s="105"/>
      <c r="AC1124" s="91"/>
      <c r="AD1124" s="105"/>
      <c r="AE1124" s="105"/>
      <c r="AF1124" s="91"/>
      <c r="AG1124" s="105"/>
      <c r="AH1124" s="105"/>
      <c r="AI1124" s="105" t="str">
        <f t="shared" si="1"/>
        <v/>
      </c>
      <c r="AJ1124" s="108" t="str">
        <f t="shared" si="2"/>
        <v/>
      </c>
    </row>
    <row r="1125" ht="15.75" customHeight="1">
      <c r="A1125" s="104"/>
      <c r="B1125" s="105" t="str">
        <f>IFERROR(__xludf.DUMMYFUNCTION("ARRAY_CONSTRAIN(
  ARRAYFORMULA(
    IF(
      'Final Report'!A1125="""",
      """",
      TEXTJOIN(
        "", "" &amp; CHAR(10),
        TRUE,
        IFERROR(
          VLOOKUP(
            TRIM(
              SPLIT('Final Report'!A1125, "","")
         "&amp;"   ),
            'URL Details'!A:B,
            2,
            FALSE
          ),
          """"
        )
      )
    )
  ),
  1,
  1
)
"),"")</f>
        <v/>
      </c>
      <c r="C1125" s="105" t="str">
        <f>IFERROR(__xludf.DUMMYFUNCTION("IFERROR(IF('Final Report'!A1125="""","""", TEXTJOIN(CHAR(10), TRUE, ARRAYFORMULA( ""• ""&amp; FILTER( TRIM(FLATTEN(SPLIT( REGEXREPLACE( SUBSTITUTE(TEXTJOIN("","", TRUE, IFERROR(ARRAYFORMULA(VLOOKUP(TRIM(SPLIT('Final Report'!A1125, "","")), 'URL Details'!A:D, "&amp;"4, FALSE)),"""") ), CHAR(10), "",""), ""\s*,\s*"", "",""), "",""))), TRIM(FLATTEN(SPLIT( REGEXREPLACE( SUBSTITUTE(TEXTJOIN("","", TRUE, IFERROR(ARRAYFORMULA(VLOOKUP(TRIM(SPLIT('Final Report'!A1125, "","")), 'URL Details'!A:D, 4, FALSE)),"""") ), CHAR(10),"&amp;" "",""), ""\s*,\s*"", "",""), "","")))&lt;&gt;"""" ) ) ) ),"""")
"),"")</f>
        <v/>
      </c>
      <c r="D1125" s="105"/>
      <c r="E1125" s="105"/>
      <c r="F1125" s="110" t="b">
        <v>0</v>
      </c>
      <c r="G1125" s="105" t="str">
        <f>IF(F1125=True, IFERROR(VLOOKUP(D1125, Repository!A:B, 2, 0), ""), "")</f>
        <v/>
      </c>
      <c r="H1125" s="105"/>
      <c r="I1125" s="105"/>
      <c r="J1125" s="105" t="str">
        <f>IF(F1125=True, IFERROR(VLOOKUP(D1125, Repository!A:C, 3, 0), ""), "")</f>
        <v/>
      </c>
      <c r="K1125" s="105"/>
      <c r="L1125" s="105" t="str">
        <f>IF(F1125=True, IFERROR(VLOOKUP(D1125, Repository!A:E, 5, 0), ""), "")</f>
        <v/>
      </c>
      <c r="M1125" s="105"/>
      <c r="N1125" s="105" t="str">
        <f>IF(F1125=True, IFERROR(VLOOKUP(D1125, Repository!A:G, 7, 0), ""), "")</f>
        <v/>
      </c>
      <c r="O1125" s="105" t="str">
        <f>IFERROR(__xludf.DUMMYFUNCTION("ARRAY_CONSTRAIN(
  ARRAYFORMULA(
    IFERROR(
      LET(
        list, N1125,
        arr, TRIM(SPLIT(list, "","")),
        names, XLOOKUP(
          arr,
          'Conformance Score'!A:A,
          'Conformance Score'!B:B,
          ""Not found""
     "&amp;"   ),
        TEXTJOIN("", "", TRUE, names)
      ),
      """"
    )
  ),
  1,
  1
)
"),"")</f>
        <v/>
      </c>
      <c r="P1125" s="105" t="str">
        <f>IF(F1125="Yes", IFERROR(VLOOKUP(D1125, Repository!A:F, 6, 0), ""), "")</f>
        <v/>
      </c>
      <c r="Q1125" s="105" t="str">
        <f>IF(F1125="Yes", IFERROR(VLOOKUP(D1125, Repository!A:I, 8, 0), ""), "")</f>
        <v/>
      </c>
      <c r="R1125" s="105" t="str">
        <f>IF(F1125="Yes", IFERROR(VLOOKUP(D1125, Repository!A:J, 9, 0), ""), "")</f>
        <v/>
      </c>
      <c r="S1125" s="105"/>
      <c r="T1125" s="105"/>
      <c r="U1125" s="105"/>
      <c r="V1125" s="105"/>
      <c r="W1125" s="105"/>
      <c r="X1125" s="105"/>
      <c r="Y1125" s="105"/>
      <c r="Z1125" s="105"/>
      <c r="AA1125" s="105"/>
      <c r="AB1125" s="105"/>
      <c r="AC1125" s="91"/>
      <c r="AD1125" s="105"/>
      <c r="AE1125" s="105"/>
      <c r="AF1125" s="91"/>
      <c r="AG1125" s="105"/>
      <c r="AH1125" s="105"/>
      <c r="AI1125" s="105" t="str">
        <f t="shared" si="1"/>
        <v/>
      </c>
      <c r="AJ1125" s="108" t="str">
        <f t="shared" si="2"/>
        <v/>
      </c>
    </row>
    <row r="1126" ht="15.75" customHeight="1">
      <c r="A1126" s="104"/>
      <c r="B1126" s="105" t="str">
        <f>IFERROR(__xludf.DUMMYFUNCTION("ARRAY_CONSTRAIN(
  ARRAYFORMULA(
    IF(
      'Final Report'!A1126="""",
      """",
      TEXTJOIN(
        "", "" &amp; CHAR(10),
        TRUE,
        IFERROR(
          VLOOKUP(
            TRIM(
              SPLIT('Final Report'!A1126, "","")
         "&amp;"   ),
            'URL Details'!A:B,
            2,
            FALSE
          ),
          """"
        )
      )
    )
  ),
  1,
  1
)
"),"")</f>
        <v/>
      </c>
      <c r="C1126" s="105" t="str">
        <f>IFERROR(__xludf.DUMMYFUNCTION("IFERROR(IF('Final Report'!A1126="""","""", TEXTJOIN(CHAR(10), TRUE, ARRAYFORMULA( ""• ""&amp; FILTER( TRIM(FLATTEN(SPLIT( REGEXREPLACE( SUBSTITUTE(TEXTJOIN("","", TRUE, IFERROR(ARRAYFORMULA(VLOOKUP(TRIM(SPLIT('Final Report'!A1126, "","")), 'URL Details'!A:D, "&amp;"4, FALSE)),"""") ), CHAR(10), "",""), ""\s*,\s*"", "",""), "",""))), TRIM(FLATTEN(SPLIT( REGEXREPLACE( SUBSTITUTE(TEXTJOIN("","", TRUE, IFERROR(ARRAYFORMULA(VLOOKUP(TRIM(SPLIT('Final Report'!A1126, "","")), 'URL Details'!A:D, 4, FALSE)),"""") ), CHAR(10),"&amp;" "",""), ""\s*,\s*"", "",""), "","")))&lt;&gt;"""" ) ) ) ),"""")
"),"")</f>
        <v/>
      </c>
      <c r="D1126" s="105"/>
      <c r="E1126" s="105"/>
      <c r="F1126" s="110" t="b">
        <v>0</v>
      </c>
      <c r="G1126" s="105" t="str">
        <f>IF(F1126=True, IFERROR(VLOOKUP(D1126, Repository!A:B, 2, 0), ""), "")</f>
        <v/>
      </c>
      <c r="H1126" s="105"/>
      <c r="I1126" s="105"/>
      <c r="J1126" s="105" t="str">
        <f>IF(F1126=True, IFERROR(VLOOKUP(D1126, Repository!A:C, 3, 0), ""), "")</f>
        <v/>
      </c>
      <c r="K1126" s="105"/>
      <c r="L1126" s="105" t="str">
        <f>IF(F1126=True, IFERROR(VLOOKUP(D1126, Repository!A:E, 5, 0), ""), "")</f>
        <v/>
      </c>
      <c r="M1126" s="105"/>
      <c r="N1126" s="105" t="str">
        <f>IF(F1126=True, IFERROR(VLOOKUP(D1126, Repository!A:G, 7, 0), ""), "")</f>
        <v/>
      </c>
      <c r="O1126" s="105" t="str">
        <f>IFERROR(__xludf.DUMMYFUNCTION("ARRAY_CONSTRAIN(
  ARRAYFORMULA(
    IFERROR(
      LET(
        list, N1126,
        arr, TRIM(SPLIT(list, "","")),
        names, XLOOKUP(
          arr,
          'Conformance Score'!A:A,
          'Conformance Score'!B:B,
          ""Not found""
     "&amp;"   ),
        TEXTJOIN("", "", TRUE, names)
      ),
      """"
    )
  ),
  1,
  1
)
"),"")</f>
        <v/>
      </c>
      <c r="P1126" s="105" t="str">
        <f>IF(F1126="Yes", IFERROR(VLOOKUP(D1126, Repository!A:F, 6, 0), ""), "")</f>
        <v/>
      </c>
      <c r="Q1126" s="105" t="str">
        <f>IF(F1126="Yes", IFERROR(VLOOKUP(D1126, Repository!A:I, 8, 0), ""), "")</f>
        <v/>
      </c>
      <c r="R1126" s="105" t="str">
        <f>IF(F1126="Yes", IFERROR(VLOOKUP(D1126, Repository!A:J, 9, 0), ""), "")</f>
        <v/>
      </c>
      <c r="S1126" s="105"/>
      <c r="T1126" s="105"/>
      <c r="U1126" s="105"/>
      <c r="V1126" s="105"/>
      <c r="W1126" s="105"/>
      <c r="X1126" s="105"/>
      <c r="Y1126" s="105"/>
      <c r="Z1126" s="105"/>
      <c r="AA1126" s="105"/>
      <c r="AB1126" s="105"/>
      <c r="AC1126" s="91"/>
      <c r="AD1126" s="105"/>
      <c r="AE1126" s="105"/>
      <c r="AF1126" s="91"/>
      <c r="AG1126" s="105"/>
      <c r="AH1126" s="105"/>
      <c r="AI1126" s="105" t="str">
        <f t="shared" si="1"/>
        <v/>
      </c>
      <c r="AJ1126" s="108" t="str">
        <f t="shared" si="2"/>
        <v/>
      </c>
    </row>
    <row r="1127" ht="15.75" customHeight="1">
      <c r="A1127" s="104"/>
      <c r="B1127" s="105" t="str">
        <f>IFERROR(__xludf.DUMMYFUNCTION("ARRAY_CONSTRAIN(
  ARRAYFORMULA(
    IF(
      'Final Report'!A1127="""",
      """",
      TEXTJOIN(
        "", "" &amp; CHAR(10),
        TRUE,
        IFERROR(
          VLOOKUP(
            TRIM(
              SPLIT('Final Report'!A1127, "","")
         "&amp;"   ),
            'URL Details'!A:B,
            2,
            FALSE
          ),
          """"
        )
      )
    )
  ),
  1,
  1
)
"),"")</f>
        <v/>
      </c>
      <c r="C1127" s="105" t="str">
        <f>IFERROR(__xludf.DUMMYFUNCTION("IFERROR(IF('Final Report'!A1127="""","""", TEXTJOIN(CHAR(10), TRUE, ARRAYFORMULA( ""• ""&amp; FILTER( TRIM(FLATTEN(SPLIT( REGEXREPLACE( SUBSTITUTE(TEXTJOIN("","", TRUE, IFERROR(ARRAYFORMULA(VLOOKUP(TRIM(SPLIT('Final Report'!A1127, "","")), 'URL Details'!A:D, "&amp;"4, FALSE)),"""") ), CHAR(10), "",""), ""\s*,\s*"", "",""), "",""))), TRIM(FLATTEN(SPLIT( REGEXREPLACE( SUBSTITUTE(TEXTJOIN("","", TRUE, IFERROR(ARRAYFORMULA(VLOOKUP(TRIM(SPLIT('Final Report'!A1127, "","")), 'URL Details'!A:D, 4, FALSE)),"""") ), CHAR(10),"&amp;" "",""), ""\s*,\s*"", "",""), "","")))&lt;&gt;"""" ) ) ) ),"""")
"),"")</f>
        <v/>
      </c>
      <c r="D1127" s="105"/>
      <c r="E1127" s="105"/>
      <c r="F1127" s="110" t="b">
        <v>0</v>
      </c>
      <c r="G1127" s="105" t="str">
        <f>IF(F1127=True, IFERROR(VLOOKUP(D1127, Repository!A:B, 2, 0), ""), "")</f>
        <v/>
      </c>
      <c r="H1127" s="105"/>
      <c r="I1127" s="105"/>
      <c r="J1127" s="105" t="str">
        <f>IF(F1127=True, IFERROR(VLOOKUP(D1127, Repository!A:C, 3, 0), ""), "")</f>
        <v/>
      </c>
      <c r="K1127" s="105"/>
      <c r="L1127" s="105" t="str">
        <f>IF(F1127=True, IFERROR(VLOOKUP(D1127, Repository!A:E, 5, 0), ""), "")</f>
        <v/>
      </c>
      <c r="M1127" s="105"/>
      <c r="N1127" s="105" t="str">
        <f>IF(F1127=True, IFERROR(VLOOKUP(D1127, Repository!A:G, 7, 0), ""), "")</f>
        <v/>
      </c>
      <c r="O1127" s="105" t="str">
        <f>IFERROR(__xludf.DUMMYFUNCTION("ARRAY_CONSTRAIN(
  ARRAYFORMULA(
    IFERROR(
      LET(
        list, N1127,
        arr, TRIM(SPLIT(list, "","")),
        names, XLOOKUP(
          arr,
          'Conformance Score'!A:A,
          'Conformance Score'!B:B,
          ""Not found""
     "&amp;"   ),
        TEXTJOIN("", "", TRUE, names)
      ),
      """"
    )
  ),
  1,
  1
)
"),"")</f>
        <v/>
      </c>
      <c r="P1127" s="105" t="str">
        <f>IF(F1127="Yes", IFERROR(VLOOKUP(D1127, Repository!A:F, 6, 0), ""), "")</f>
        <v/>
      </c>
      <c r="Q1127" s="105" t="str">
        <f>IF(F1127="Yes", IFERROR(VLOOKUP(D1127, Repository!A:I, 8, 0), ""), "")</f>
        <v/>
      </c>
      <c r="R1127" s="105" t="str">
        <f>IF(F1127="Yes", IFERROR(VLOOKUP(D1127, Repository!A:J, 9, 0), ""), "")</f>
        <v/>
      </c>
      <c r="S1127" s="105"/>
      <c r="T1127" s="105"/>
      <c r="U1127" s="105"/>
      <c r="V1127" s="105"/>
      <c r="W1127" s="105"/>
      <c r="X1127" s="105"/>
      <c r="Y1127" s="105"/>
      <c r="Z1127" s="105"/>
      <c r="AA1127" s="105"/>
      <c r="AB1127" s="105"/>
      <c r="AC1127" s="91"/>
      <c r="AD1127" s="105"/>
      <c r="AE1127" s="105"/>
      <c r="AF1127" s="91"/>
      <c r="AG1127" s="105"/>
      <c r="AH1127" s="105"/>
      <c r="AI1127" s="105" t="str">
        <f t="shared" si="1"/>
        <v/>
      </c>
      <c r="AJ1127" s="108" t="str">
        <f t="shared" si="2"/>
        <v/>
      </c>
    </row>
    <row r="1128" ht="15.75" customHeight="1">
      <c r="A1128" s="104"/>
      <c r="B1128" s="105" t="str">
        <f>IFERROR(__xludf.DUMMYFUNCTION("ARRAY_CONSTRAIN(
  ARRAYFORMULA(
    IF(
      'Final Report'!A1128="""",
      """",
      TEXTJOIN(
        "", "" &amp; CHAR(10),
        TRUE,
        IFERROR(
          VLOOKUP(
            TRIM(
              SPLIT('Final Report'!A1128, "","")
         "&amp;"   ),
            'URL Details'!A:B,
            2,
            FALSE
          ),
          """"
        )
      )
    )
  ),
  1,
  1
)
"),"")</f>
        <v/>
      </c>
      <c r="C1128" s="105" t="str">
        <f>IFERROR(__xludf.DUMMYFUNCTION("IFERROR(IF('Final Report'!A1128="""","""", TEXTJOIN(CHAR(10), TRUE, ARRAYFORMULA( ""• ""&amp; FILTER( TRIM(FLATTEN(SPLIT( REGEXREPLACE( SUBSTITUTE(TEXTJOIN("","", TRUE, IFERROR(ARRAYFORMULA(VLOOKUP(TRIM(SPLIT('Final Report'!A1128, "","")), 'URL Details'!A:D, "&amp;"4, FALSE)),"""") ), CHAR(10), "",""), ""\s*,\s*"", "",""), "",""))), TRIM(FLATTEN(SPLIT( REGEXREPLACE( SUBSTITUTE(TEXTJOIN("","", TRUE, IFERROR(ARRAYFORMULA(VLOOKUP(TRIM(SPLIT('Final Report'!A1128, "","")), 'URL Details'!A:D, 4, FALSE)),"""") ), CHAR(10),"&amp;" "",""), ""\s*,\s*"", "",""), "","")))&lt;&gt;"""" ) ) ) ),"""")
"),"")</f>
        <v/>
      </c>
      <c r="D1128" s="105"/>
      <c r="E1128" s="105"/>
      <c r="F1128" s="110" t="b">
        <v>0</v>
      </c>
      <c r="G1128" s="105" t="str">
        <f>IF(F1128=True, IFERROR(VLOOKUP(D1128, Repository!A:B, 2, 0), ""), "")</f>
        <v/>
      </c>
      <c r="H1128" s="105"/>
      <c r="I1128" s="105"/>
      <c r="J1128" s="105" t="str">
        <f>IF(F1128=True, IFERROR(VLOOKUP(D1128, Repository!A:C, 3, 0), ""), "")</f>
        <v/>
      </c>
      <c r="K1128" s="105"/>
      <c r="L1128" s="105" t="str">
        <f>IF(F1128=True, IFERROR(VLOOKUP(D1128, Repository!A:E, 5, 0), ""), "")</f>
        <v/>
      </c>
      <c r="M1128" s="105"/>
      <c r="N1128" s="105" t="str">
        <f>IF(F1128=True, IFERROR(VLOOKUP(D1128, Repository!A:G, 7, 0), ""), "")</f>
        <v/>
      </c>
      <c r="O1128" s="105" t="str">
        <f>IFERROR(__xludf.DUMMYFUNCTION("ARRAY_CONSTRAIN(
  ARRAYFORMULA(
    IFERROR(
      LET(
        list, N1128,
        arr, TRIM(SPLIT(list, "","")),
        names, XLOOKUP(
          arr,
          'Conformance Score'!A:A,
          'Conformance Score'!B:B,
          ""Not found""
     "&amp;"   ),
        TEXTJOIN("", "", TRUE, names)
      ),
      """"
    )
  ),
  1,
  1
)
"),"")</f>
        <v/>
      </c>
      <c r="P1128" s="105" t="str">
        <f>IF(F1128="Yes", IFERROR(VLOOKUP(D1128, Repository!A:F, 6, 0), ""), "")</f>
        <v/>
      </c>
      <c r="Q1128" s="105" t="str">
        <f>IF(F1128="Yes", IFERROR(VLOOKUP(D1128, Repository!A:I, 8, 0), ""), "")</f>
        <v/>
      </c>
      <c r="R1128" s="105" t="str">
        <f>IF(F1128="Yes", IFERROR(VLOOKUP(D1128, Repository!A:J, 9, 0), ""), "")</f>
        <v/>
      </c>
      <c r="S1128" s="105"/>
      <c r="T1128" s="105"/>
      <c r="U1128" s="105"/>
      <c r="V1128" s="105"/>
      <c r="W1128" s="105"/>
      <c r="X1128" s="105"/>
      <c r="Y1128" s="105"/>
      <c r="Z1128" s="105"/>
      <c r="AA1128" s="105"/>
      <c r="AB1128" s="105"/>
      <c r="AC1128" s="91"/>
      <c r="AD1128" s="105"/>
      <c r="AE1128" s="105"/>
      <c r="AF1128" s="91"/>
      <c r="AG1128" s="105"/>
      <c r="AH1128" s="105"/>
      <c r="AI1128" s="105" t="str">
        <f t="shared" si="1"/>
        <v/>
      </c>
      <c r="AJ1128" s="108" t="str">
        <f t="shared" si="2"/>
        <v/>
      </c>
    </row>
    <row r="1129" ht="15.75" customHeight="1">
      <c r="A1129" s="104"/>
      <c r="B1129" s="105" t="str">
        <f>IFERROR(__xludf.DUMMYFUNCTION("ARRAY_CONSTRAIN(
  ARRAYFORMULA(
    IF(
      'Final Report'!A1129="""",
      """",
      TEXTJOIN(
        "", "" &amp; CHAR(10),
        TRUE,
        IFERROR(
          VLOOKUP(
            TRIM(
              SPLIT('Final Report'!A1129, "","")
         "&amp;"   ),
            'URL Details'!A:B,
            2,
            FALSE
          ),
          """"
        )
      )
    )
  ),
  1,
  1
)
"),"")</f>
        <v/>
      </c>
      <c r="C1129" s="105" t="str">
        <f>IFERROR(__xludf.DUMMYFUNCTION("IFERROR(IF('Final Report'!A1129="""","""", TEXTJOIN(CHAR(10), TRUE, ARRAYFORMULA( ""• ""&amp; FILTER( TRIM(FLATTEN(SPLIT( REGEXREPLACE( SUBSTITUTE(TEXTJOIN("","", TRUE, IFERROR(ARRAYFORMULA(VLOOKUP(TRIM(SPLIT('Final Report'!A1129, "","")), 'URL Details'!A:D, "&amp;"4, FALSE)),"""") ), CHAR(10), "",""), ""\s*,\s*"", "",""), "",""))), TRIM(FLATTEN(SPLIT( REGEXREPLACE( SUBSTITUTE(TEXTJOIN("","", TRUE, IFERROR(ARRAYFORMULA(VLOOKUP(TRIM(SPLIT('Final Report'!A1129, "","")), 'URL Details'!A:D, 4, FALSE)),"""") ), CHAR(10),"&amp;" "",""), ""\s*,\s*"", "",""), "","")))&lt;&gt;"""" ) ) ) ),"""")
"),"")</f>
        <v/>
      </c>
      <c r="D1129" s="105"/>
      <c r="E1129" s="105"/>
      <c r="F1129" s="110" t="b">
        <v>0</v>
      </c>
      <c r="G1129" s="105" t="str">
        <f>IF(F1129=True, IFERROR(VLOOKUP(D1129, Repository!A:B, 2, 0), ""), "")</f>
        <v/>
      </c>
      <c r="H1129" s="105"/>
      <c r="I1129" s="105"/>
      <c r="J1129" s="105" t="str">
        <f>IF(F1129=True, IFERROR(VLOOKUP(D1129, Repository!A:C, 3, 0), ""), "")</f>
        <v/>
      </c>
      <c r="K1129" s="105"/>
      <c r="L1129" s="105" t="str">
        <f>IF(F1129=True, IFERROR(VLOOKUP(D1129, Repository!A:E, 5, 0), ""), "")</f>
        <v/>
      </c>
      <c r="M1129" s="105"/>
      <c r="N1129" s="105" t="str">
        <f>IF(F1129=True, IFERROR(VLOOKUP(D1129, Repository!A:G, 7, 0), ""), "")</f>
        <v/>
      </c>
      <c r="O1129" s="105" t="str">
        <f>IFERROR(__xludf.DUMMYFUNCTION("ARRAY_CONSTRAIN(
  ARRAYFORMULA(
    IFERROR(
      LET(
        list, N1129,
        arr, TRIM(SPLIT(list, "","")),
        names, XLOOKUP(
          arr,
          'Conformance Score'!A:A,
          'Conformance Score'!B:B,
          ""Not found""
     "&amp;"   ),
        TEXTJOIN("", "", TRUE, names)
      ),
      """"
    )
  ),
  1,
  1
)
"),"")</f>
        <v/>
      </c>
      <c r="P1129" s="105" t="str">
        <f>IF(F1129="Yes", IFERROR(VLOOKUP(D1129, Repository!A:F, 6, 0), ""), "")</f>
        <v/>
      </c>
      <c r="Q1129" s="105" t="str">
        <f>IF(F1129="Yes", IFERROR(VLOOKUP(D1129, Repository!A:I, 8, 0), ""), "")</f>
        <v/>
      </c>
      <c r="R1129" s="105" t="str">
        <f>IF(F1129="Yes", IFERROR(VLOOKUP(D1129, Repository!A:J, 9, 0), ""), "")</f>
        <v/>
      </c>
      <c r="S1129" s="105"/>
      <c r="T1129" s="105"/>
      <c r="U1129" s="105"/>
      <c r="V1129" s="105"/>
      <c r="W1129" s="105"/>
      <c r="X1129" s="105"/>
      <c r="Y1129" s="105"/>
      <c r="Z1129" s="105"/>
      <c r="AA1129" s="105"/>
      <c r="AB1129" s="105"/>
      <c r="AC1129" s="91"/>
      <c r="AD1129" s="105"/>
      <c r="AE1129" s="105"/>
      <c r="AF1129" s="91"/>
      <c r="AG1129" s="105"/>
      <c r="AH1129" s="105"/>
      <c r="AI1129" s="105" t="str">
        <f t="shared" si="1"/>
        <v/>
      </c>
      <c r="AJ1129" s="108" t="str">
        <f t="shared" si="2"/>
        <v/>
      </c>
    </row>
    <row r="1130" ht="15.75" customHeight="1">
      <c r="A1130" s="104"/>
      <c r="B1130" s="105" t="str">
        <f>IFERROR(__xludf.DUMMYFUNCTION("ARRAY_CONSTRAIN(
  ARRAYFORMULA(
    IF(
      'Final Report'!A1130="""",
      """",
      TEXTJOIN(
        "", "" &amp; CHAR(10),
        TRUE,
        IFERROR(
          VLOOKUP(
            TRIM(
              SPLIT('Final Report'!A1130, "","")
         "&amp;"   ),
            'URL Details'!A:B,
            2,
            FALSE
          ),
          """"
        )
      )
    )
  ),
  1,
  1
)
"),"")</f>
        <v/>
      </c>
      <c r="C1130" s="105" t="str">
        <f>IFERROR(__xludf.DUMMYFUNCTION("IFERROR(IF('Final Report'!A1130="""","""", TEXTJOIN(CHAR(10), TRUE, ARRAYFORMULA( ""• ""&amp; FILTER( TRIM(FLATTEN(SPLIT( REGEXREPLACE( SUBSTITUTE(TEXTJOIN("","", TRUE, IFERROR(ARRAYFORMULA(VLOOKUP(TRIM(SPLIT('Final Report'!A1130, "","")), 'URL Details'!A:D, "&amp;"4, FALSE)),"""") ), CHAR(10), "",""), ""\s*,\s*"", "",""), "",""))), TRIM(FLATTEN(SPLIT( REGEXREPLACE( SUBSTITUTE(TEXTJOIN("","", TRUE, IFERROR(ARRAYFORMULA(VLOOKUP(TRIM(SPLIT('Final Report'!A1130, "","")), 'URL Details'!A:D, 4, FALSE)),"""") ), CHAR(10),"&amp;" "",""), ""\s*,\s*"", "",""), "","")))&lt;&gt;"""" ) ) ) ),"""")
"),"")</f>
        <v/>
      </c>
      <c r="D1130" s="105"/>
      <c r="E1130" s="105"/>
      <c r="F1130" s="110" t="b">
        <v>0</v>
      </c>
      <c r="G1130" s="105" t="str">
        <f>IF(F1130=True, IFERROR(VLOOKUP(D1130, Repository!A:B, 2, 0), ""), "")</f>
        <v/>
      </c>
      <c r="H1130" s="105"/>
      <c r="I1130" s="105"/>
      <c r="J1130" s="105" t="str">
        <f>IF(F1130=True, IFERROR(VLOOKUP(D1130, Repository!A:C, 3, 0), ""), "")</f>
        <v/>
      </c>
      <c r="K1130" s="105"/>
      <c r="L1130" s="105" t="str">
        <f>IF(F1130=True, IFERROR(VLOOKUP(D1130, Repository!A:E, 5, 0), ""), "")</f>
        <v/>
      </c>
      <c r="M1130" s="105"/>
      <c r="N1130" s="105" t="str">
        <f>IF(F1130=True, IFERROR(VLOOKUP(D1130, Repository!A:G, 7, 0), ""), "")</f>
        <v/>
      </c>
      <c r="O1130" s="105" t="str">
        <f>IFERROR(__xludf.DUMMYFUNCTION("ARRAY_CONSTRAIN(
  ARRAYFORMULA(
    IFERROR(
      LET(
        list, N1130,
        arr, TRIM(SPLIT(list, "","")),
        names, XLOOKUP(
          arr,
          'Conformance Score'!A:A,
          'Conformance Score'!B:B,
          ""Not found""
     "&amp;"   ),
        TEXTJOIN("", "", TRUE, names)
      ),
      """"
    )
  ),
  1,
  1
)
"),"")</f>
        <v/>
      </c>
      <c r="P1130" s="105" t="str">
        <f>IF(F1130="Yes", IFERROR(VLOOKUP(D1130, Repository!A:F, 6, 0), ""), "")</f>
        <v/>
      </c>
      <c r="Q1130" s="105" t="str">
        <f>IF(F1130="Yes", IFERROR(VLOOKUP(D1130, Repository!A:I, 8, 0), ""), "")</f>
        <v/>
      </c>
      <c r="R1130" s="105" t="str">
        <f>IF(F1130="Yes", IFERROR(VLOOKUP(D1130, Repository!A:J, 9, 0), ""), "")</f>
        <v/>
      </c>
      <c r="S1130" s="105"/>
      <c r="T1130" s="105"/>
      <c r="U1130" s="105"/>
      <c r="V1130" s="105"/>
      <c r="W1130" s="105"/>
      <c r="X1130" s="105"/>
      <c r="Y1130" s="105"/>
      <c r="Z1130" s="105"/>
      <c r="AA1130" s="105"/>
      <c r="AB1130" s="105"/>
      <c r="AC1130" s="91"/>
      <c r="AD1130" s="105"/>
      <c r="AE1130" s="105"/>
      <c r="AF1130" s="91"/>
      <c r="AG1130" s="105"/>
      <c r="AH1130" s="105"/>
      <c r="AI1130" s="105" t="str">
        <f t="shared" si="1"/>
        <v/>
      </c>
      <c r="AJ1130" s="108" t="str">
        <f t="shared" si="2"/>
        <v/>
      </c>
    </row>
    <row r="1131" ht="15.75" customHeight="1">
      <c r="A1131" s="104"/>
      <c r="B1131" s="105" t="str">
        <f>IFERROR(__xludf.DUMMYFUNCTION("ARRAY_CONSTRAIN(
  ARRAYFORMULA(
    IF(
      'Final Report'!A1131="""",
      """",
      TEXTJOIN(
        "", "" &amp; CHAR(10),
        TRUE,
        IFERROR(
          VLOOKUP(
            TRIM(
              SPLIT('Final Report'!A1131, "","")
         "&amp;"   ),
            'URL Details'!A:B,
            2,
            FALSE
          ),
          """"
        )
      )
    )
  ),
  1,
  1
)
"),"")</f>
        <v/>
      </c>
      <c r="C1131" s="105" t="str">
        <f>IFERROR(__xludf.DUMMYFUNCTION("IFERROR(IF('Final Report'!A1131="""","""", TEXTJOIN(CHAR(10), TRUE, ARRAYFORMULA( ""• ""&amp; FILTER( TRIM(FLATTEN(SPLIT( REGEXREPLACE( SUBSTITUTE(TEXTJOIN("","", TRUE, IFERROR(ARRAYFORMULA(VLOOKUP(TRIM(SPLIT('Final Report'!A1131, "","")), 'URL Details'!A:D, "&amp;"4, FALSE)),"""") ), CHAR(10), "",""), ""\s*,\s*"", "",""), "",""))), TRIM(FLATTEN(SPLIT( REGEXREPLACE( SUBSTITUTE(TEXTJOIN("","", TRUE, IFERROR(ARRAYFORMULA(VLOOKUP(TRIM(SPLIT('Final Report'!A1131, "","")), 'URL Details'!A:D, 4, FALSE)),"""") ), CHAR(10),"&amp;" "",""), ""\s*,\s*"", "",""), "","")))&lt;&gt;"""" ) ) ) ),"""")
"),"")</f>
        <v/>
      </c>
      <c r="D1131" s="105"/>
      <c r="E1131" s="105"/>
      <c r="F1131" s="110" t="b">
        <v>0</v>
      </c>
      <c r="G1131" s="105" t="str">
        <f>IF(F1131=True, IFERROR(VLOOKUP(D1131, Repository!A:B, 2, 0), ""), "")</f>
        <v/>
      </c>
      <c r="H1131" s="105"/>
      <c r="I1131" s="105"/>
      <c r="J1131" s="105" t="str">
        <f>IF(F1131=True, IFERROR(VLOOKUP(D1131, Repository!A:C, 3, 0), ""), "")</f>
        <v/>
      </c>
      <c r="K1131" s="105"/>
      <c r="L1131" s="105" t="str">
        <f>IF(F1131=True, IFERROR(VLOOKUP(D1131, Repository!A:E, 5, 0), ""), "")</f>
        <v/>
      </c>
      <c r="M1131" s="105"/>
      <c r="N1131" s="105" t="str">
        <f>IF(F1131=True, IFERROR(VLOOKUP(D1131, Repository!A:G, 7, 0), ""), "")</f>
        <v/>
      </c>
      <c r="O1131" s="105" t="str">
        <f>IFERROR(__xludf.DUMMYFUNCTION("ARRAY_CONSTRAIN(
  ARRAYFORMULA(
    IFERROR(
      LET(
        list, N1131,
        arr, TRIM(SPLIT(list, "","")),
        names, XLOOKUP(
          arr,
          'Conformance Score'!A:A,
          'Conformance Score'!B:B,
          ""Not found""
     "&amp;"   ),
        TEXTJOIN("", "", TRUE, names)
      ),
      """"
    )
  ),
  1,
  1
)
"),"")</f>
        <v/>
      </c>
      <c r="P1131" s="105" t="str">
        <f>IF(F1131="Yes", IFERROR(VLOOKUP(D1131, Repository!A:F, 6, 0), ""), "")</f>
        <v/>
      </c>
      <c r="Q1131" s="105" t="str">
        <f>IF(F1131="Yes", IFERROR(VLOOKUP(D1131, Repository!A:I, 8, 0), ""), "")</f>
        <v/>
      </c>
      <c r="R1131" s="105" t="str">
        <f>IF(F1131="Yes", IFERROR(VLOOKUP(D1131, Repository!A:J, 9, 0), ""), "")</f>
        <v/>
      </c>
      <c r="S1131" s="105"/>
      <c r="T1131" s="105"/>
      <c r="U1131" s="105"/>
      <c r="V1131" s="105"/>
      <c r="W1131" s="105"/>
      <c r="X1131" s="105"/>
      <c r="Y1131" s="105"/>
      <c r="Z1131" s="105"/>
      <c r="AA1131" s="105"/>
      <c r="AB1131" s="105"/>
      <c r="AC1131" s="91"/>
      <c r="AD1131" s="105"/>
      <c r="AE1131" s="105"/>
      <c r="AF1131" s="91"/>
      <c r="AG1131" s="105"/>
      <c r="AH1131" s="105"/>
      <c r="AI1131" s="105" t="str">
        <f t="shared" si="1"/>
        <v/>
      </c>
      <c r="AJ1131" s="108" t="str">
        <f t="shared" si="2"/>
        <v/>
      </c>
    </row>
    <row r="1132" ht="15.75" customHeight="1">
      <c r="A1132" s="104"/>
      <c r="B1132" s="105" t="str">
        <f>IFERROR(__xludf.DUMMYFUNCTION("ARRAY_CONSTRAIN(
  ARRAYFORMULA(
    IF(
      'Final Report'!A1132="""",
      """",
      TEXTJOIN(
        "", "" &amp; CHAR(10),
        TRUE,
        IFERROR(
          VLOOKUP(
            TRIM(
              SPLIT('Final Report'!A1132, "","")
         "&amp;"   ),
            'URL Details'!A:B,
            2,
            FALSE
          ),
          """"
        )
      )
    )
  ),
  1,
  1
)
"),"")</f>
        <v/>
      </c>
      <c r="C1132" s="105" t="str">
        <f>IFERROR(__xludf.DUMMYFUNCTION("IFERROR(IF('Final Report'!A1132="""","""", TEXTJOIN(CHAR(10), TRUE, ARRAYFORMULA( ""• ""&amp; FILTER( TRIM(FLATTEN(SPLIT( REGEXREPLACE( SUBSTITUTE(TEXTJOIN("","", TRUE, IFERROR(ARRAYFORMULA(VLOOKUP(TRIM(SPLIT('Final Report'!A1132, "","")), 'URL Details'!A:D, "&amp;"4, FALSE)),"""") ), CHAR(10), "",""), ""\s*,\s*"", "",""), "",""))), TRIM(FLATTEN(SPLIT( REGEXREPLACE( SUBSTITUTE(TEXTJOIN("","", TRUE, IFERROR(ARRAYFORMULA(VLOOKUP(TRIM(SPLIT('Final Report'!A1132, "","")), 'URL Details'!A:D, 4, FALSE)),"""") ), CHAR(10),"&amp;" "",""), ""\s*,\s*"", "",""), "","")))&lt;&gt;"""" ) ) ) ),"""")
"),"")</f>
        <v/>
      </c>
      <c r="D1132" s="105"/>
      <c r="E1132" s="105"/>
      <c r="F1132" s="110" t="b">
        <v>0</v>
      </c>
      <c r="G1132" s="105" t="str">
        <f>IF(F1132=True, IFERROR(VLOOKUP(D1132, Repository!A:B, 2, 0), ""), "")</f>
        <v/>
      </c>
      <c r="H1132" s="105"/>
      <c r="I1132" s="105"/>
      <c r="J1132" s="105" t="str">
        <f>IF(F1132=True, IFERROR(VLOOKUP(D1132, Repository!A:C, 3, 0), ""), "")</f>
        <v/>
      </c>
      <c r="K1132" s="105"/>
      <c r="L1132" s="105" t="str">
        <f>IF(F1132=True, IFERROR(VLOOKUP(D1132, Repository!A:E, 5, 0), ""), "")</f>
        <v/>
      </c>
      <c r="M1132" s="105"/>
      <c r="N1132" s="105" t="str">
        <f>IF(F1132=True, IFERROR(VLOOKUP(D1132, Repository!A:G, 7, 0), ""), "")</f>
        <v/>
      </c>
      <c r="O1132" s="105" t="str">
        <f>IFERROR(__xludf.DUMMYFUNCTION("ARRAY_CONSTRAIN(
  ARRAYFORMULA(
    IFERROR(
      LET(
        list, N1132,
        arr, TRIM(SPLIT(list, "","")),
        names, XLOOKUP(
          arr,
          'Conformance Score'!A:A,
          'Conformance Score'!B:B,
          ""Not found""
     "&amp;"   ),
        TEXTJOIN("", "", TRUE, names)
      ),
      """"
    )
  ),
  1,
  1
)
"),"")</f>
        <v/>
      </c>
      <c r="P1132" s="105" t="str">
        <f>IF(F1132="Yes", IFERROR(VLOOKUP(D1132, Repository!A:F, 6, 0), ""), "")</f>
        <v/>
      </c>
      <c r="Q1132" s="105" t="str">
        <f>IF(F1132="Yes", IFERROR(VLOOKUP(D1132, Repository!A:I, 8, 0), ""), "")</f>
        <v/>
      </c>
      <c r="R1132" s="105" t="str">
        <f>IF(F1132="Yes", IFERROR(VLOOKUP(D1132, Repository!A:J, 9, 0), ""), "")</f>
        <v/>
      </c>
      <c r="S1132" s="105"/>
      <c r="T1132" s="105"/>
      <c r="U1132" s="105"/>
      <c r="V1132" s="105"/>
      <c r="W1132" s="105"/>
      <c r="X1132" s="105"/>
      <c r="Y1132" s="105"/>
      <c r="Z1132" s="105"/>
      <c r="AA1132" s="105"/>
      <c r="AB1132" s="105"/>
      <c r="AC1132" s="91"/>
      <c r="AD1132" s="105"/>
      <c r="AE1132" s="105"/>
      <c r="AF1132" s="91"/>
      <c r="AG1132" s="105"/>
      <c r="AH1132" s="105"/>
      <c r="AI1132" s="105" t="str">
        <f t="shared" si="1"/>
        <v/>
      </c>
      <c r="AJ1132" s="108" t="str">
        <f t="shared" si="2"/>
        <v/>
      </c>
    </row>
    <row r="1133" ht="15.75" customHeight="1">
      <c r="A1133" s="104"/>
      <c r="B1133" s="105" t="str">
        <f>IFERROR(__xludf.DUMMYFUNCTION("ARRAY_CONSTRAIN(
  ARRAYFORMULA(
    IF(
      'Final Report'!A1133="""",
      """",
      TEXTJOIN(
        "", "" &amp; CHAR(10),
        TRUE,
        IFERROR(
          VLOOKUP(
            TRIM(
              SPLIT('Final Report'!A1133, "","")
         "&amp;"   ),
            'URL Details'!A:B,
            2,
            FALSE
          ),
          """"
        )
      )
    )
  ),
  1,
  1
)
"),"")</f>
        <v/>
      </c>
      <c r="C1133" s="105" t="str">
        <f>IFERROR(__xludf.DUMMYFUNCTION("IFERROR(IF('Final Report'!A1133="""","""", TEXTJOIN(CHAR(10), TRUE, ARRAYFORMULA( ""• ""&amp; FILTER( TRIM(FLATTEN(SPLIT( REGEXREPLACE( SUBSTITUTE(TEXTJOIN("","", TRUE, IFERROR(ARRAYFORMULA(VLOOKUP(TRIM(SPLIT('Final Report'!A1133, "","")), 'URL Details'!A:D, "&amp;"4, FALSE)),"""") ), CHAR(10), "",""), ""\s*,\s*"", "",""), "",""))), TRIM(FLATTEN(SPLIT( REGEXREPLACE( SUBSTITUTE(TEXTJOIN("","", TRUE, IFERROR(ARRAYFORMULA(VLOOKUP(TRIM(SPLIT('Final Report'!A1133, "","")), 'URL Details'!A:D, 4, FALSE)),"""") ), CHAR(10),"&amp;" "",""), ""\s*,\s*"", "",""), "","")))&lt;&gt;"""" ) ) ) ),"""")
"),"")</f>
        <v/>
      </c>
      <c r="D1133" s="105"/>
      <c r="E1133" s="105"/>
      <c r="F1133" s="110" t="b">
        <v>0</v>
      </c>
      <c r="G1133" s="105" t="str">
        <f>IF(F1133=True, IFERROR(VLOOKUP(D1133, Repository!A:B, 2, 0), ""), "")</f>
        <v/>
      </c>
      <c r="H1133" s="105"/>
      <c r="I1133" s="105"/>
      <c r="J1133" s="105" t="str">
        <f>IF(F1133=True, IFERROR(VLOOKUP(D1133, Repository!A:C, 3, 0), ""), "")</f>
        <v/>
      </c>
      <c r="K1133" s="105"/>
      <c r="L1133" s="105" t="str">
        <f>IF(F1133=True, IFERROR(VLOOKUP(D1133, Repository!A:E, 5, 0), ""), "")</f>
        <v/>
      </c>
      <c r="M1133" s="105"/>
      <c r="N1133" s="105" t="str">
        <f>IF(F1133=True, IFERROR(VLOOKUP(D1133, Repository!A:G, 7, 0), ""), "")</f>
        <v/>
      </c>
      <c r="O1133" s="105" t="str">
        <f>IFERROR(__xludf.DUMMYFUNCTION("ARRAY_CONSTRAIN(
  ARRAYFORMULA(
    IFERROR(
      LET(
        list, N1133,
        arr, TRIM(SPLIT(list, "","")),
        names, XLOOKUP(
          arr,
          'Conformance Score'!A:A,
          'Conformance Score'!B:B,
          ""Not found""
     "&amp;"   ),
        TEXTJOIN("", "", TRUE, names)
      ),
      """"
    )
  ),
  1,
  1
)
"),"")</f>
        <v/>
      </c>
      <c r="P1133" s="105" t="str">
        <f>IF(F1133="Yes", IFERROR(VLOOKUP(D1133, Repository!A:F, 6, 0), ""), "")</f>
        <v/>
      </c>
      <c r="Q1133" s="105" t="str">
        <f>IF(F1133="Yes", IFERROR(VLOOKUP(D1133, Repository!A:I, 8, 0), ""), "")</f>
        <v/>
      </c>
      <c r="R1133" s="105" t="str">
        <f>IF(F1133="Yes", IFERROR(VLOOKUP(D1133, Repository!A:J, 9, 0), ""), "")</f>
        <v/>
      </c>
      <c r="S1133" s="105"/>
      <c r="T1133" s="105"/>
      <c r="U1133" s="105"/>
      <c r="V1133" s="105"/>
      <c r="W1133" s="105"/>
      <c r="X1133" s="105"/>
      <c r="Y1133" s="105"/>
      <c r="Z1133" s="105"/>
      <c r="AA1133" s="105"/>
      <c r="AB1133" s="105"/>
      <c r="AC1133" s="91"/>
      <c r="AD1133" s="105"/>
      <c r="AE1133" s="105"/>
      <c r="AF1133" s="91"/>
      <c r="AG1133" s="105"/>
      <c r="AH1133" s="105"/>
      <c r="AI1133" s="105" t="str">
        <f t="shared" si="1"/>
        <v/>
      </c>
      <c r="AJ1133" s="108" t="str">
        <f t="shared" si="2"/>
        <v/>
      </c>
    </row>
    <row r="1134" ht="15.75" customHeight="1">
      <c r="A1134" s="104"/>
      <c r="B1134" s="105" t="str">
        <f>IFERROR(__xludf.DUMMYFUNCTION("ARRAY_CONSTRAIN(
  ARRAYFORMULA(
    IF(
      'Final Report'!A1134="""",
      """",
      TEXTJOIN(
        "", "" &amp; CHAR(10),
        TRUE,
        IFERROR(
          VLOOKUP(
            TRIM(
              SPLIT('Final Report'!A1134, "","")
         "&amp;"   ),
            'URL Details'!A:B,
            2,
            FALSE
          ),
          """"
        )
      )
    )
  ),
  1,
  1
)
"),"")</f>
        <v/>
      </c>
      <c r="C1134" s="105" t="str">
        <f>IFERROR(__xludf.DUMMYFUNCTION("IFERROR(IF('Final Report'!A1134="""","""", TEXTJOIN(CHAR(10), TRUE, ARRAYFORMULA( ""• ""&amp; FILTER( TRIM(FLATTEN(SPLIT( REGEXREPLACE( SUBSTITUTE(TEXTJOIN("","", TRUE, IFERROR(ARRAYFORMULA(VLOOKUP(TRIM(SPLIT('Final Report'!A1134, "","")), 'URL Details'!A:D, "&amp;"4, FALSE)),"""") ), CHAR(10), "",""), ""\s*,\s*"", "",""), "",""))), TRIM(FLATTEN(SPLIT( REGEXREPLACE( SUBSTITUTE(TEXTJOIN("","", TRUE, IFERROR(ARRAYFORMULA(VLOOKUP(TRIM(SPLIT('Final Report'!A1134, "","")), 'URL Details'!A:D, 4, FALSE)),"""") ), CHAR(10),"&amp;" "",""), ""\s*,\s*"", "",""), "","")))&lt;&gt;"""" ) ) ) ),"""")
"),"")</f>
        <v/>
      </c>
      <c r="D1134" s="105"/>
      <c r="E1134" s="105"/>
      <c r="F1134" s="110" t="b">
        <v>0</v>
      </c>
      <c r="G1134" s="105" t="str">
        <f>IF(F1134=True, IFERROR(VLOOKUP(D1134, Repository!A:B, 2, 0), ""), "")</f>
        <v/>
      </c>
      <c r="H1134" s="105"/>
      <c r="I1134" s="105"/>
      <c r="J1134" s="105" t="str">
        <f>IF(F1134=True, IFERROR(VLOOKUP(D1134, Repository!A:C, 3, 0), ""), "")</f>
        <v/>
      </c>
      <c r="K1134" s="105"/>
      <c r="L1134" s="105" t="str">
        <f>IF(F1134=True, IFERROR(VLOOKUP(D1134, Repository!A:E, 5, 0), ""), "")</f>
        <v/>
      </c>
      <c r="M1134" s="105"/>
      <c r="N1134" s="105" t="str">
        <f>IF(F1134=True, IFERROR(VLOOKUP(D1134, Repository!A:G, 7, 0), ""), "")</f>
        <v/>
      </c>
      <c r="O1134" s="105" t="str">
        <f>IFERROR(__xludf.DUMMYFUNCTION("ARRAY_CONSTRAIN(
  ARRAYFORMULA(
    IFERROR(
      LET(
        list, N1134,
        arr, TRIM(SPLIT(list, "","")),
        names, XLOOKUP(
          arr,
          'Conformance Score'!A:A,
          'Conformance Score'!B:B,
          ""Not found""
     "&amp;"   ),
        TEXTJOIN("", "", TRUE, names)
      ),
      """"
    )
  ),
  1,
  1
)
"),"")</f>
        <v/>
      </c>
      <c r="P1134" s="105" t="str">
        <f>IF(F1134="Yes", IFERROR(VLOOKUP(D1134, Repository!A:F, 6, 0), ""), "")</f>
        <v/>
      </c>
      <c r="Q1134" s="105" t="str">
        <f>IF(F1134="Yes", IFERROR(VLOOKUP(D1134, Repository!A:I, 8, 0), ""), "")</f>
        <v/>
      </c>
      <c r="R1134" s="105" t="str">
        <f>IF(F1134="Yes", IFERROR(VLOOKUP(D1134, Repository!A:J, 9, 0), ""), "")</f>
        <v/>
      </c>
      <c r="S1134" s="105"/>
      <c r="T1134" s="105"/>
      <c r="U1134" s="105"/>
      <c r="V1134" s="105"/>
      <c r="W1134" s="105"/>
      <c r="X1134" s="105"/>
      <c r="Y1134" s="105"/>
      <c r="Z1134" s="105"/>
      <c r="AA1134" s="105"/>
      <c r="AB1134" s="105"/>
      <c r="AC1134" s="91"/>
      <c r="AD1134" s="105"/>
      <c r="AE1134" s="105"/>
      <c r="AF1134" s="91"/>
      <c r="AG1134" s="105"/>
      <c r="AH1134" s="105"/>
      <c r="AI1134" s="105" t="str">
        <f t="shared" si="1"/>
        <v/>
      </c>
      <c r="AJ1134" s="108" t="str">
        <f t="shared" si="2"/>
        <v/>
      </c>
    </row>
    <row r="1135" ht="15.75" customHeight="1">
      <c r="A1135" s="104"/>
      <c r="B1135" s="105" t="str">
        <f>IFERROR(__xludf.DUMMYFUNCTION("ARRAY_CONSTRAIN(
  ARRAYFORMULA(
    IF(
      'Final Report'!A1135="""",
      """",
      TEXTJOIN(
        "", "" &amp; CHAR(10),
        TRUE,
        IFERROR(
          VLOOKUP(
            TRIM(
              SPLIT('Final Report'!A1135, "","")
         "&amp;"   ),
            'URL Details'!A:B,
            2,
            FALSE
          ),
          """"
        )
      )
    )
  ),
  1,
  1
)
"),"")</f>
        <v/>
      </c>
      <c r="C1135" s="105" t="str">
        <f>IFERROR(__xludf.DUMMYFUNCTION("IFERROR(IF('Final Report'!A1135="""","""", TEXTJOIN(CHAR(10), TRUE, ARRAYFORMULA( ""• ""&amp; FILTER( TRIM(FLATTEN(SPLIT( REGEXREPLACE( SUBSTITUTE(TEXTJOIN("","", TRUE, IFERROR(ARRAYFORMULA(VLOOKUP(TRIM(SPLIT('Final Report'!A1135, "","")), 'URL Details'!A:D, "&amp;"4, FALSE)),"""") ), CHAR(10), "",""), ""\s*,\s*"", "",""), "",""))), TRIM(FLATTEN(SPLIT( REGEXREPLACE( SUBSTITUTE(TEXTJOIN("","", TRUE, IFERROR(ARRAYFORMULA(VLOOKUP(TRIM(SPLIT('Final Report'!A1135, "","")), 'URL Details'!A:D, 4, FALSE)),"""") ), CHAR(10),"&amp;" "",""), ""\s*,\s*"", "",""), "","")))&lt;&gt;"""" ) ) ) ),"""")
"),"")</f>
        <v/>
      </c>
      <c r="D1135" s="105"/>
      <c r="E1135" s="105"/>
      <c r="F1135" s="110" t="b">
        <v>0</v>
      </c>
      <c r="G1135" s="105" t="str">
        <f>IF(F1135=True, IFERROR(VLOOKUP(D1135, Repository!A:B, 2, 0), ""), "")</f>
        <v/>
      </c>
      <c r="H1135" s="105"/>
      <c r="I1135" s="105"/>
      <c r="J1135" s="105" t="str">
        <f>IF(F1135=True, IFERROR(VLOOKUP(D1135, Repository!A:C, 3, 0), ""), "")</f>
        <v/>
      </c>
      <c r="K1135" s="105"/>
      <c r="L1135" s="105" t="str">
        <f>IF(F1135=True, IFERROR(VLOOKUP(D1135, Repository!A:E, 5, 0), ""), "")</f>
        <v/>
      </c>
      <c r="M1135" s="105"/>
      <c r="N1135" s="105" t="str">
        <f>IF(F1135=True, IFERROR(VLOOKUP(D1135, Repository!A:G, 7, 0), ""), "")</f>
        <v/>
      </c>
      <c r="O1135" s="105" t="str">
        <f>IFERROR(__xludf.DUMMYFUNCTION("ARRAY_CONSTRAIN(
  ARRAYFORMULA(
    IFERROR(
      LET(
        list, N1135,
        arr, TRIM(SPLIT(list, "","")),
        names, XLOOKUP(
          arr,
          'Conformance Score'!A:A,
          'Conformance Score'!B:B,
          ""Not found""
     "&amp;"   ),
        TEXTJOIN("", "", TRUE, names)
      ),
      """"
    )
  ),
  1,
  1
)
"),"")</f>
        <v/>
      </c>
      <c r="P1135" s="105" t="str">
        <f>IF(F1135="Yes", IFERROR(VLOOKUP(D1135, Repository!A:F, 6, 0), ""), "")</f>
        <v/>
      </c>
      <c r="Q1135" s="105" t="str">
        <f>IF(F1135="Yes", IFERROR(VLOOKUP(D1135, Repository!A:I, 8, 0), ""), "")</f>
        <v/>
      </c>
      <c r="R1135" s="105" t="str">
        <f>IF(F1135="Yes", IFERROR(VLOOKUP(D1135, Repository!A:J, 9, 0), ""), "")</f>
        <v/>
      </c>
      <c r="S1135" s="105"/>
      <c r="T1135" s="105"/>
      <c r="U1135" s="105"/>
      <c r="V1135" s="105"/>
      <c r="W1135" s="105"/>
      <c r="X1135" s="105"/>
      <c r="Y1135" s="105"/>
      <c r="Z1135" s="105"/>
      <c r="AA1135" s="105"/>
      <c r="AB1135" s="105"/>
      <c r="AC1135" s="91"/>
      <c r="AD1135" s="105"/>
      <c r="AE1135" s="105"/>
      <c r="AF1135" s="91"/>
      <c r="AG1135" s="105"/>
      <c r="AH1135" s="105"/>
      <c r="AI1135" s="105" t="str">
        <f t="shared" si="1"/>
        <v/>
      </c>
      <c r="AJ1135" s="108" t="str">
        <f t="shared" si="2"/>
        <v/>
      </c>
    </row>
    <row r="1136" ht="15.75" customHeight="1">
      <c r="A1136" s="104"/>
      <c r="B1136" s="105" t="str">
        <f>IFERROR(__xludf.DUMMYFUNCTION("ARRAY_CONSTRAIN(
  ARRAYFORMULA(
    IF(
      'Final Report'!A1136="""",
      """",
      TEXTJOIN(
        "", "" &amp; CHAR(10),
        TRUE,
        IFERROR(
          VLOOKUP(
            TRIM(
              SPLIT('Final Report'!A1136, "","")
         "&amp;"   ),
            'URL Details'!A:B,
            2,
            FALSE
          ),
          """"
        )
      )
    )
  ),
  1,
  1
)
"),"")</f>
        <v/>
      </c>
      <c r="C1136" s="105" t="str">
        <f>IFERROR(__xludf.DUMMYFUNCTION("IFERROR(IF('Final Report'!A1136="""","""", TEXTJOIN(CHAR(10), TRUE, ARRAYFORMULA( ""• ""&amp; FILTER( TRIM(FLATTEN(SPLIT( REGEXREPLACE( SUBSTITUTE(TEXTJOIN("","", TRUE, IFERROR(ARRAYFORMULA(VLOOKUP(TRIM(SPLIT('Final Report'!A1136, "","")), 'URL Details'!A:D, "&amp;"4, FALSE)),"""") ), CHAR(10), "",""), ""\s*,\s*"", "",""), "",""))), TRIM(FLATTEN(SPLIT( REGEXREPLACE( SUBSTITUTE(TEXTJOIN("","", TRUE, IFERROR(ARRAYFORMULA(VLOOKUP(TRIM(SPLIT('Final Report'!A1136, "","")), 'URL Details'!A:D, 4, FALSE)),"""") ), CHAR(10),"&amp;" "",""), ""\s*,\s*"", "",""), "","")))&lt;&gt;"""" ) ) ) ),"""")
"),"")</f>
        <v/>
      </c>
      <c r="D1136" s="105"/>
      <c r="E1136" s="105"/>
      <c r="F1136" s="110" t="b">
        <v>0</v>
      </c>
      <c r="G1136" s="105" t="str">
        <f>IF(F1136=True, IFERROR(VLOOKUP(D1136, Repository!A:B, 2, 0), ""), "")</f>
        <v/>
      </c>
      <c r="H1136" s="105"/>
      <c r="I1136" s="105"/>
      <c r="J1136" s="105" t="str">
        <f>IF(F1136=True, IFERROR(VLOOKUP(D1136, Repository!A:C, 3, 0), ""), "")</f>
        <v/>
      </c>
      <c r="K1136" s="105"/>
      <c r="L1136" s="105" t="str">
        <f>IF(F1136=True, IFERROR(VLOOKUP(D1136, Repository!A:E, 5, 0), ""), "")</f>
        <v/>
      </c>
      <c r="M1136" s="105"/>
      <c r="N1136" s="105" t="str">
        <f>IF(F1136=True, IFERROR(VLOOKUP(D1136, Repository!A:G, 7, 0), ""), "")</f>
        <v/>
      </c>
      <c r="O1136" s="105" t="str">
        <f>IFERROR(__xludf.DUMMYFUNCTION("ARRAY_CONSTRAIN(
  ARRAYFORMULA(
    IFERROR(
      LET(
        list, N1136,
        arr, TRIM(SPLIT(list, "","")),
        names, XLOOKUP(
          arr,
          'Conformance Score'!A:A,
          'Conformance Score'!B:B,
          ""Not found""
     "&amp;"   ),
        TEXTJOIN("", "", TRUE, names)
      ),
      """"
    )
  ),
  1,
  1
)
"),"")</f>
        <v/>
      </c>
      <c r="P1136" s="105" t="str">
        <f>IF(F1136="Yes", IFERROR(VLOOKUP(D1136, Repository!A:F, 6, 0), ""), "")</f>
        <v/>
      </c>
      <c r="Q1136" s="105" t="str">
        <f>IF(F1136="Yes", IFERROR(VLOOKUP(D1136, Repository!A:I, 8, 0), ""), "")</f>
        <v/>
      </c>
      <c r="R1136" s="105" t="str">
        <f>IF(F1136="Yes", IFERROR(VLOOKUP(D1136, Repository!A:J, 9, 0), ""), "")</f>
        <v/>
      </c>
      <c r="S1136" s="105"/>
      <c r="T1136" s="105"/>
      <c r="U1136" s="105"/>
      <c r="V1136" s="105"/>
      <c r="W1136" s="105"/>
      <c r="X1136" s="105"/>
      <c r="Y1136" s="105"/>
      <c r="Z1136" s="105"/>
      <c r="AA1136" s="105"/>
      <c r="AB1136" s="105"/>
      <c r="AC1136" s="91"/>
      <c r="AD1136" s="105"/>
      <c r="AE1136" s="105"/>
      <c r="AF1136" s="91"/>
      <c r="AG1136" s="105"/>
      <c r="AH1136" s="105"/>
      <c r="AI1136" s="105" t="str">
        <f t="shared" si="1"/>
        <v/>
      </c>
      <c r="AJ1136" s="108" t="str">
        <f t="shared" si="2"/>
        <v/>
      </c>
    </row>
    <row r="1137" ht="15.75" customHeight="1">
      <c r="A1137" s="104"/>
      <c r="B1137" s="105" t="str">
        <f>IFERROR(__xludf.DUMMYFUNCTION("ARRAY_CONSTRAIN(
  ARRAYFORMULA(
    IF(
      'Final Report'!A1137="""",
      """",
      TEXTJOIN(
        "", "" &amp; CHAR(10),
        TRUE,
        IFERROR(
          VLOOKUP(
            TRIM(
              SPLIT('Final Report'!A1137, "","")
         "&amp;"   ),
            'URL Details'!A:B,
            2,
            FALSE
          ),
          """"
        )
      )
    )
  ),
  1,
  1
)
"),"")</f>
        <v/>
      </c>
      <c r="C1137" s="105" t="str">
        <f>IFERROR(__xludf.DUMMYFUNCTION("IFERROR(IF('Final Report'!A1137="""","""", TEXTJOIN(CHAR(10), TRUE, ARRAYFORMULA( ""• ""&amp; FILTER( TRIM(FLATTEN(SPLIT( REGEXREPLACE( SUBSTITUTE(TEXTJOIN("","", TRUE, IFERROR(ARRAYFORMULA(VLOOKUP(TRIM(SPLIT('Final Report'!A1137, "","")), 'URL Details'!A:D, "&amp;"4, FALSE)),"""") ), CHAR(10), "",""), ""\s*,\s*"", "",""), "",""))), TRIM(FLATTEN(SPLIT( REGEXREPLACE( SUBSTITUTE(TEXTJOIN("","", TRUE, IFERROR(ARRAYFORMULA(VLOOKUP(TRIM(SPLIT('Final Report'!A1137, "","")), 'URL Details'!A:D, 4, FALSE)),"""") ), CHAR(10),"&amp;" "",""), ""\s*,\s*"", "",""), "","")))&lt;&gt;"""" ) ) ) ),"""")
"),"")</f>
        <v/>
      </c>
      <c r="D1137" s="105"/>
      <c r="E1137" s="105"/>
      <c r="F1137" s="110" t="b">
        <v>0</v>
      </c>
      <c r="G1137" s="105" t="str">
        <f>IF(F1137=True, IFERROR(VLOOKUP(D1137, Repository!A:B, 2, 0), ""), "")</f>
        <v/>
      </c>
      <c r="H1137" s="105"/>
      <c r="I1137" s="105"/>
      <c r="J1137" s="105" t="str">
        <f>IF(F1137=True, IFERROR(VLOOKUP(D1137, Repository!A:C, 3, 0), ""), "")</f>
        <v/>
      </c>
      <c r="K1137" s="105"/>
      <c r="L1137" s="105" t="str">
        <f>IF(F1137=True, IFERROR(VLOOKUP(D1137, Repository!A:E, 5, 0), ""), "")</f>
        <v/>
      </c>
      <c r="M1137" s="105"/>
      <c r="N1137" s="105" t="str">
        <f>IF(F1137=True, IFERROR(VLOOKUP(D1137, Repository!A:G, 7, 0), ""), "")</f>
        <v/>
      </c>
      <c r="O1137" s="105" t="str">
        <f>IFERROR(__xludf.DUMMYFUNCTION("ARRAY_CONSTRAIN(
  ARRAYFORMULA(
    IFERROR(
      LET(
        list, N1137,
        arr, TRIM(SPLIT(list, "","")),
        names, XLOOKUP(
          arr,
          'Conformance Score'!A:A,
          'Conformance Score'!B:B,
          ""Not found""
     "&amp;"   ),
        TEXTJOIN("", "", TRUE, names)
      ),
      """"
    )
  ),
  1,
  1
)
"),"")</f>
        <v/>
      </c>
      <c r="P1137" s="105" t="str">
        <f>IF(F1137="Yes", IFERROR(VLOOKUP(D1137, Repository!A:F, 6, 0), ""), "")</f>
        <v/>
      </c>
      <c r="Q1137" s="105" t="str">
        <f>IF(F1137="Yes", IFERROR(VLOOKUP(D1137, Repository!A:I, 8, 0), ""), "")</f>
        <v/>
      </c>
      <c r="R1137" s="105" t="str">
        <f>IF(F1137="Yes", IFERROR(VLOOKUP(D1137, Repository!A:J, 9, 0), ""), "")</f>
        <v/>
      </c>
      <c r="S1137" s="105"/>
      <c r="T1137" s="105"/>
      <c r="U1137" s="105"/>
      <c r="V1137" s="105"/>
      <c r="W1137" s="105"/>
      <c r="X1137" s="105"/>
      <c r="Y1137" s="105"/>
      <c r="Z1137" s="105"/>
      <c r="AA1137" s="105"/>
      <c r="AB1137" s="105"/>
      <c r="AC1137" s="91"/>
      <c r="AD1137" s="105"/>
      <c r="AE1137" s="105"/>
      <c r="AF1137" s="91"/>
      <c r="AG1137" s="105"/>
      <c r="AH1137" s="105"/>
      <c r="AI1137" s="105" t="str">
        <f t="shared" si="1"/>
        <v/>
      </c>
      <c r="AJ1137" s="108" t="str">
        <f t="shared" si="2"/>
        <v/>
      </c>
    </row>
    <row r="1138" ht="15.75" customHeight="1">
      <c r="A1138" s="104"/>
      <c r="B1138" s="105" t="str">
        <f>IFERROR(__xludf.DUMMYFUNCTION("ARRAY_CONSTRAIN(
  ARRAYFORMULA(
    IF(
      'Final Report'!A1138="""",
      """",
      TEXTJOIN(
        "", "" &amp; CHAR(10),
        TRUE,
        IFERROR(
          VLOOKUP(
            TRIM(
              SPLIT('Final Report'!A1138, "","")
         "&amp;"   ),
            'URL Details'!A:B,
            2,
            FALSE
          ),
          """"
        )
      )
    )
  ),
  1,
  1
)
"),"")</f>
        <v/>
      </c>
      <c r="C1138" s="105" t="str">
        <f>IFERROR(__xludf.DUMMYFUNCTION("IFERROR(IF('Final Report'!A1138="""","""", TEXTJOIN(CHAR(10), TRUE, ARRAYFORMULA( ""• ""&amp; FILTER( TRIM(FLATTEN(SPLIT( REGEXREPLACE( SUBSTITUTE(TEXTJOIN("","", TRUE, IFERROR(ARRAYFORMULA(VLOOKUP(TRIM(SPLIT('Final Report'!A1138, "","")), 'URL Details'!A:D, "&amp;"4, FALSE)),"""") ), CHAR(10), "",""), ""\s*,\s*"", "",""), "",""))), TRIM(FLATTEN(SPLIT( REGEXREPLACE( SUBSTITUTE(TEXTJOIN("","", TRUE, IFERROR(ARRAYFORMULA(VLOOKUP(TRIM(SPLIT('Final Report'!A1138, "","")), 'URL Details'!A:D, 4, FALSE)),"""") ), CHAR(10),"&amp;" "",""), ""\s*,\s*"", "",""), "","")))&lt;&gt;"""" ) ) ) ),"""")
"),"")</f>
        <v/>
      </c>
      <c r="D1138" s="105"/>
      <c r="E1138" s="105"/>
      <c r="F1138" s="110" t="b">
        <v>0</v>
      </c>
      <c r="G1138" s="105" t="str">
        <f>IF(F1138=True, IFERROR(VLOOKUP(D1138, Repository!A:B, 2, 0), ""), "")</f>
        <v/>
      </c>
      <c r="H1138" s="105"/>
      <c r="I1138" s="105"/>
      <c r="J1138" s="105" t="str">
        <f>IF(F1138=True, IFERROR(VLOOKUP(D1138, Repository!A:C, 3, 0), ""), "")</f>
        <v/>
      </c>
      <c r="K1138" s="105"/>
      <c r="L1138" s="105" t="str">
        <f>IF(F1138=True, IFERROR(VLOOKUP(D1138, Repository!A:E, 5, 0), ""), "")</f>
        <v/>
      </c>
      <c r="M1138" s="105"/>
      <c r="N1138" s="105" t="str">
        <f>IF(F1138=True, IFERROR(VLOOKUP(D1138, Repository!A:G, 7, 0), ""), "")</f>
        <v/>
      </c>
      <c r="O1138" s="105" t="str">
        <f>IFERROR(__xludf.DUMMYFUNCTION("ARRAY_CONSTRAIN(
  ARRAYFORMULA(
    IFERROR(
      LET(
        list, N1138,
        arr, TRIM(SPLIT(list, "","")),
        names, XLOOKUP(
          arr,
          'Conformance Score'!A:A,
          'Conformance Score'!B:B,
          ""Not found""
     "&amp;"   ),
        TEXTJOIN("", "", TRUE, names)
      ),
      """"
    )
  ),
  1,
  1
)
"),"")</f>
        <v/>
      </c>
      <c r="P1138" s="105" t="str">
        <f>IF(F1138="Yes", IFERROR(VLOOKUP(D1138, Repository!A:F, 6, 0), ""), "")</f>
        <v/>
      </c>
      <c r="Q1138" s="105" t="str">
        <f>IF(F1138="Yes", IFERROR(VLOOKUP(D1138, Repository!A:I, 8, 0), ""), "")</f>
        <v/>
      </c>
      <c r="R1138" s="105" t="str">
        <f>IF(F1138="Yes", IFERROR(VLOOKUP(D1138, Repository!A:J, 9, 0), ""), "")</f>
        <v/>
      </c>
      <c r="S1138" s="105"/>
      <c r="T1138" s="105"/>
      <c r="U1138" s="105"/>
      <c r="V1138" s="105"/>
      <c r="W1138" s="105"/>
      <c r="X1138" s="105"/>
      <c r="Y1138" s="105"/>
      <c r="Z1138" s="105"/>
      <c r="AA1138" s="105"/>
      <c r="AB1138" s="105"/>
      <c r="AC1138" s="91"/>
      <c r="AD1138" s="105"/>
      <c r="AE1138" s="105"/>
      <c r="AF1138" s="91"/>
      <c r="AG1138" s="105"/>
      <c r="AH1138" s="105"/>
      <c r="AI1138" s="105" t="str">
        <f t="shared" si="1"/>
        <v/>
      </c>
      <c r="AJ1138" s="108" t="str">
        <f t="shared" si="2"/>
        <v/>
      </c>
    </row>
    <row r="1139" ht="15.75" customHeight="1">
      <c r="A1139" s="104"/>
      <c r="B1139" s="105" t="str">
        <f>IFERROR(__xludf.DUMMYFUNCTION("ARRAY_CONSTRAIN(
  ARRAYFORMULA(
    IF(
      'Final Report'!A1139="""",
      """",
      TEXTJOIN(
        "", "" &amp; CHAR(10),
        TRUE,
        IFERROR(
          VLOOKUP(
            TRIM(
              SPLIT('Final Report'!A1139, "","")
         "&amp;"   ),
            'URL Details'!A:B,
            2,
            FALSE
          ),
          """"
        )
      )
    )
  ),
  1,
  1
)
"),"")</f>
        <v/>
      </c>
      <c r="C1139" s="105" t="str">
        <f>IFERROR(__xludf.DUMMYFUNCTION("IFERROR(IF('Final Report'!A1139="""","""", TEXTJOIN(CHAR(10), TRUE, ARRAYFORMULA( ""• ""&amp; FILTER( TRIM(FLATTEN(SPLIT( REGEXREPLACE( SUBSTITUTE(TEXTJOIN("","", TRUE, IFERROR(ARRAYFORMULA(VLOOKUP(TRIM(SPLIT('Final Report'!A1139, "","")), 'URL Details'!A:D, "&amp;"4, FALSE)),"""") ), CHAR(10), "",""), ""\s*,\s*"", "",""), "",""))), TRIM(FLATTEN(SPLIT( REGEXREPLACE( SUBSTITUTE(TEXTJOIN("","", TRUE, IFERROR(ARRAYFORMULA(VLOOKUP(TRIM(SPLIT('Final Report'!A1139, "","")), 'URL Details'!A:D, 4, FALSE)),"""") ), CHAR(10),"&amp;" "",""), ""\s*,\s*"", "",""), "","")))&lt;&gt;"""" ) ) ) ),"""")
"),"")</f>
        <v/>
      </c>
      <c r="D1139" s="105"/>
      <c r="E1139" s="105"/>
      <c r="F1139" s="110" t="b">
        <v>0</v>
      </c>
      <c r="G1139" s="105" t="str">
        <f>IF(F1139=True, IFERROR(VLOOKUP(D1139, Repository!A:B, 2, 0), ""), "")</f>
        <v/>
      </c>
      <c r="H1139" s="105"/>
      <c r="I1139" s="105"/>
      <c r="J1139" s="105" t="str">
        <f>IF(F1139=True, IFERROR(VLOOKUP(D1139, Repository!A:C, 3, 0), ""), "")</f>
        <v/>
      </c>
      <c r="K1139" s="105"/>
      <c r="L1139" s="105" t="str">
        <f>IF(F1139=True, IFERROR(VLOOKUP(D1139, Repository!A:E, 5, 0), ""), "")</f>
        <v/>
      </c>
      <c r="M1139" s="105"/>
      <c r="N1139" s="105" t="str">
        <f>IF(F1139=True, IFERROR(VLOOKUP(D1139, Repository!A:G, 7, 0), ""), "")</f>
        <v/>
      </c>
      <c r="O1139" s="105" t="str">
        <f>IFERROR(__xludf.DUMMYFUNCTION("ARRAY_CONSTRAIN(
  ARRAYFORMULA(
    IFERROR(
      LET(
        list, N1139,
        arr, TRIM(SPLIT(list, "","")),
        names, XLOOKUP(
          arr,
          'Conformance Score'!A:A,
          'Conformance Score'!B:B,
          ""Not found""
     "&amp;"   ),
        TEXTJOIN("", "", TRUE, names)
      ),
      """"
    )
  ),
  1,
  1
)
"),"")</f>
        <v/>
      </c>
      <c r="P1139" s="105" t="str">
        <f>IF(F1139="Yes", IFERROR(VLOOKUP(D1139, Repository!A:F, 6, 0), ""), "")</f>
        <v/>
      </c>
      <c r="Q1139" s="105" t="str">
        <f>IF(F1139="Yes", IFERROR(VLOOKUP(D1139, Repository!A:I, 8, 0), ""), "")</f>
        <v/>
      </c>
      <c r="R1139" s="105" t="str">
        <f>IF(F1139="Yes", IFERROR(VLOOKUP(D1139, Repository!A:J, 9, 0), ""), "")</f>
        <v/>
      </c>
      <c r="S1139" s="105"/>
      <c r="T1139" s="105"/>
      <c r="U1139" s="105"/>
      <c r="V1139" s="105"/>
      <c r="W1139" s="105"/>
      <c r="X1139" s="105"/>
      <c r="Y1139" s="105"/>
      <c r="Z1139" s="105"/>
      <c r="AA1139" s="105"/>
      <c r="AB1139" s="105"/>
      <c r="AC1139" s="91"/>
      <c r="AD1139" s="105"/>
      <c r="AE1139" s="105"/>
      <c r="AF1139" s="91"/>
      <c r="AG1139" s="105"/>
      <c r="AH1139" s="105"/>
      <c r="AI1139" s="105" t="str">
        <f t="shared" si="1"/>
        <v/>
      </c>
      <c r="AJ1139" s="108" t="str">
        <f t="shared" si="2"/>
        <v/>
      </c>
    </row>
    <row r="1140" ht="15.75" customHeight="1">
      <c r="A1140" s="104"/>
      <c r="B1140" s="105" t="str">
        <f>IFERROR(__xludf.DUMMYFUNCTION("ARRAY_CONSTRAIN(
  ARRAYFORMULA(
    IF(
      'Final Report'!A1140="""",
      """",
      TEXTJOIN(
        "", "" &amp; CHAR(10),
        TRUE,
        IFERROR(
          VLOOKUP(
            TRIM(
              SPLIT('Final Report'!A1140, "","")
         "&amp;"   ),
            'URL Details'!A:B,
            2,
            FALSE
          ),
          """"
        )
      )
    )
  ),
  1,
  1
)
"),"")</f>
        <v/>
      </c>
      <c r="C1140" s="105" t="str">
        <f>IFERROR(__xludf.DUMMYFUNCTION("IFERROR(IF('Final Report'!A1140="""","""", TEXTJOIN(CHAR(10), TRUE, ARRAYFORMULA( ""• ""&amp; FILTER( TRIM(FLATTEN(SPLIT( REGEXREPLACE( SUBSTITUTE(TEXTJOIN("","", TRUE, IFERROR(ARRAYFORMULA(VLOOKUP(TRIM(SPLIT('Final Report'!A1140, "","")), 'URL Details'!A:D, "&amp;"4, FALSE)),"""") ), CHAR(10), "",""), ""\s*,\s*"", "",""), "",""))), TRIM(FLATTEN(SPLIT( REGEXREPLACE( SUBSTITUTE(TEXTJOIN("","", TRUE, IFERROR(ARRAYFORMULA(VLOOKUP(TRIM(SPLIT('Final Report'!A1140, "","")), 'URL Details'!A:D, 4, FALSE)),"""") ), CHAR(10),"&amp;" "",""), ""\s*,\s*"", "",""), "","")))&lt;&gt;"""" ) ) ) ),"""")
"),"")</f>
        <v/>
      </c>
      <c r="D1140" s="105"/>
      <c r="E1140" s="105"/>
      <c r="F1140" s="110" t="b">
        <v>0</v>
      </c>
      <c r="G1140" s="105" t="str">
        <f>IF(F1140=True, IFERROR(VLOOKUP(D1140, Repository!A:B, 2, 0), ""), "")</f>
        <v/>
      </c>
      <c r="H1140" s="105"/>
      <c r="I1140" s="105"/>
      <c r="J1140" s="105" t="str">
        <f>IF(F1140=True, IFERROR(VLOOKUP(D1140, Repository!A:C, 3, 0), ""), "")</f>
        <v/>
      </c>
      <c r="K1140" s="105"/>
      <c r="L1140" s="105" t="str">
        <f>IF(F1140=True, IFERROR(VLOOKUP(D1140, Repository!A:E, 5, 0), ""), "")</f>
        <v/>
      </c>
      <c r="M1140" s="105"/>
      <c r="N1140" s="105" t="str">
        <f>IF(F1140=True, IFERROR(VLOOKUP(D1140, Repository!A:G, 7, 0), ""), "")</f>
        <v/>
      </c>
      <c r="O1140" s="105" t="str">
        <f>IFERROR(__xludf.DUMMYFUNCTION("ARRAY_CONSTRAIN(
  ARRAYFORMULA(
    IFERROR(
      LET(
        list, N1140,
        arr, TRIM(SPLIT(list, "","")),
        names, XLOOKUP(
          arr,
          'Conformance Score'!A:A,
          'Conformance Score'!B:B,
          ""Not found""
     "&amp;"   ),
        TEXTJOIN("", "", TRUE, names)
      ),
      """"
    )
  ),
  1,
  1
)
"),"")</f>
        <v/>
      </c>
      <c r="P1140" s="105" t="str">
        <f>IF(F1140="Yes", IFERROR(VLOOKUP(D1140, Repository!A:F, 6, 0), ""), "")</f>
        <v/>
      </c>
      <c r="Q1140" s="105" t="str">
        <f>IF(F1140="Yes", IFERROR(VLOOKUP(D1140, Repository!A:I, 8, 0), ""), "")</f>
        <v/>
      </c>
      <c r="R1140" s="105" t="str">
        <f>IF(F1140="Yes", IFERROR(VLOOKUP(D1140, Repository!A:J, 9, 0), ""), "")</f>
        <v/>
      </c>
      <c r="S1140" s="105"/>
      <c r="T1140" s="105"/>
      <c r="U1140" s="105"/>
      <c r="V1140" s="105"/>
      <c r="W1140" s="105"/>
      <c r="X1140" s="105"/>
      <c r="Y1140" s="105"/>
      <c r="Z1140" s="105"/>
      <c r="AA1140" s="105"/>
      <c r="AB1140" s="105"/>
      <c r="AC1140" s="91"/>
      <c r="AD1140" s="105"/>
      <c r="AE1140" s="105"/>
      <c r="AF1140" s="91"/>
      <c r="AG1140" s="105"/>
      <c r="AH1140" s="105"/>
      <c r="AI1140" s="105" t="str">
        <f t="shared" si="1"/>
        <v/>
      </c>
      <c r="AJ1140" s="108" t="str">
        <f t="shared" si="2"/>
        <v/>
      </c>
    </row>
    <row r="1141" ht="15.75" customHeight="1">
      <c r="A1141" s="104"/>
      <c r="B1141" s="105" t="str">
        <f>IFERROR(__xludf.DUMMYFUNCTION("ARRAY_CONSTRAIN(
  ARRAYFORMULA(
    IF(
      'Final Report'!A1141="""",
      """",
      TEXTJOIN(
        "", "" &amp; CHAR(10),
        TRUE,
        IFERROR(
          VLOOKUP(
            TRIM(
              SPLIT('Final Report'!A1141, "","")
         "&amp;"   ),
            'URL Details'!A:B,
            2,
            FALSE
          ),
          """"
        )
      )
    )
  ),
  1,
  1
)
"),"")</f>
        <v/>
      </c>
      <c r="C1141" s="105" t="str">
        <f>IFERROR(__xludf.DUMMYFUNCTION("IFERROR(IF('Final Report'!A1141="""","""", TEXTJOIN(CHAR(10), TRUE, ARRAYFORMULA( ""• ""&amp; FILTER( TRIM(FLATTEN(SPLIT( REGEXREPLACE( SUBSTITUTE(TEXTJOIN("","", TRUE, IFERROR(ARRAYFORMULA(VLOOKUP(TRIM(SPLIT('Final Report'!A1141, "","")), 'URL Details'!A:D, "&amp;"4, FALSE)),"""") ), CHAR(10), "",""), ""\s*,\s*"", "",""), "",""))), TRIM(FLATTEN(SPLIT( REGEXREPLACE( SUBSTITUTE(TEXTJOIN("","", TRUE, IFERROR(ARRAYFORMULA(VLOOKUP(TRIM(SPLIT('Final Report'!A1141, "","")), 'URL Details'!A:D, 4, FALSE)),"""") ), CHAR(10),"&amp;" "",""), ""\s*,\s*"", "",""), "","")))&lt;&gt;"""" ) ) ) ),"""")
"),"")</f>
        <v/>
      </c>
      <c r="D1141" s="105"/>
      <c r="E1141" s="105"/>
      <c r="F1141" s="110" t="b">
        <v>0</v>
      </c>
      <c r="G1141" s="105" t="str">
        <f>IF(F1141=True, IFERROR(VLOOKUP(D1141, Repository!A:B, 2, 0), ""), "")</f>
        <v/>
      </c>
      <c r="H1141" s="105"/>
      <c r="I1141" s="105"/>
      <c r="J1141" s="105" t="str">
        <f>IF(F1141=True, IFERROR(VLOOKUP(D1141, Repository!A:C, 3, 0), ""), "")</f>
        <v/>
      </c>
      <c r="K1141" s="105"/>
      <c r="L1141" s="105" t="str">
        <f>IF(F1141=True, IFERROR(VLOOKUP(D1141, Repository!A:E, 5, 0), ""), "")</f>
        <v/>
      </c>
      <c r="M1141" s="105"/>
      <c r="N1141" s="105" t="str">
        <f>IF(F1141=True, IFERROR(VLOOKUP(D1141, Repository!A:G, 7, 0), ""), "")</f>
        <v/>
      </c>
      <c r="O1141" s="105" t="str">
        <f>IFERROR(__xludf.DUMMYFUNCTION("ARRAY_CONSTRAIN(
  ARRAYFORMULA(
    IFERROR(
      LET(
        list, N1141,
        arr, TRIM(SPLIT(list, "","")),
        names, XLOOKUP(
          arr,
          'Conformance Score'!A:A,
          'Conformance Score'!B:B,
          ""Not found""
     "&amp;"   ),
        TEXTJOIN("", "", TRUE, names)
      ),
      """"
    )
  ),
  1,
  1
)
"),"")</f>
        <v/>
      </c>
      <c r="P1141" s="105" t="str">
        <f>IF(F1141="Yes", IFERROR(VLOOKUP(D1141, Repository!A:F, 6, 0), ""), "")</f>
        <v/>
      </c>
      <c r="Q1141" s="105" t="str">
        <f>IF(F1141="Yes", IFERROR(VLOOKUP(D1141, Repository!A:I, 8, 0), ""), "")</f>
        <v/>
      </c>
      <c r="R1141" s="105" t="str">
        <f>IF(F1141="Yes", IFERROR(VLOOKUP(D1141, Repository!A:J, 9, 0), ""), "")</f>
        <v/>
      </c>
      <c r="S1141" s="105"/>
      <c r="T1141" s="105"/>
      <c r="U1141" s="105"/>
      <c r="V1141" s="105"/>
      <c r="W1141" s="105"/>
      <c r="X1141" s="105"/>
      <c r="Y1141" s="105"/>
      <c r="Z1141" s="105"/>
      <c r="AA1141" s="105"/>
      <c r="AB1141" s="105"/>
      <c r="AC1141" s="91"/>
      <c r="AD1141" s="105"/>
      <c r="AE1141" s="105"/>
      <c r="AF1141" s="91"/>
      <c r="AG1141" s="105"/>
      <c r="AH1141" s="105"/>
      <c r="AI1141" s="105" t="str">
        <f t="shared" si="1"/>
        <v/>
      </c>
      <c r="AJ1141" s="108" t="str">
        <f t="shared" si="2"/>
        <v/>
      </c>
    </row>
    <row r="1142" ht="15.75" customHeight="1">
      <c r="A1142" s="104"/>
      <c r="B1142" s="105" t="str">
        <f>IFERROR(__xludf.DUMMYFUNCTION("ARRAY_CONSTRAIN(
  ARRAYFORMULA(
    IF(
      'Final Report'!A1142="""",
      """",
      TEXTJOIN(
        "", "" &amp; CHAR(10),
        TRUE,
        IFERROR(
          VLOOKUP(
            TRIM(
              SPLIT('Final Report'!A1142, "","")
         "&amp;"   ),
            'URL Details'!A:B,
            2,
            FALSE
          ),
          """"
        )
      )
    )
  ),
  1,
  1
)
"),"")</f>
        <v/>
      </c>
      <c r="C1142" s="105" t="str">
        <f>IFERROR(__xludf.DUMMYFUNCTION("IFERROR(IF('Final Report'!A1142="""","""", TEXTJOIN(CHAR(10), TRUE, ARRAYFORMULA( ""• ""&amp; FILTER( TRIM(FLATTEN(SPLIT( REGEXREPLACE( SUBSTITUTE(TEXTJOIN("","", TRUE, IFERROR(ARRAYFORMULA(VLOOKUP(TRIM(SPLIT('Final Report'!A1142, "","")), 'URL Details'!A:D, "&amp;"4, FALSE)),"""") ), CHAR(10), "",""), ""\s*,\s*"", "",""), "",""))), TRIM(FLATTEN(SPLIT( REGEXREPLACE( SUBSTITUTE(TEXTJOIN("","", TRUE, IFERROR(ARRAYFORMULA(VLOOKUP(TRIM(SPLIT('Final Report'!A1142, "","")), 'URL Details'!A:D, 4, FALSE)),"""") ), CHAR(10),"&amp;" "",""), ""\s*,\s*"", "",""), "","")))&lt;&gt;"""" ) ) ) ),"""")
"),"")</f>
        <v/>
      </c>
      <c r="D1142" s="105"/>
      <c r="E1142" s="105"/>
      <c r="F1142" s="110" t="b">
        <v>0</v>
      </c>
      <c r="G1142" s="105" t="str">
        <f>IF(F1142=True, IFERROR(VLOOKUP(D1142, Repository!A:B, 2, 0), ""), "")</f>
        <v/>
      </c>
      <c r="H1142" s="105"/>
      <c r="I1142" s="105"/>
      <c r="J1142" s="105" t="str">
        <f>IF(F1142=True, IFERROR(VLOOKUP(D1142, Repository!A:C, 3, 0), ""), "")</f>
        <v/>
      </c>
      <c r="K1142" s="105"/>
      <c r="L1142" s="105" t="str">
        <f>IF(F1142=True, IFERROR(VLOOKUP(D1142, Repository!A:E, 5, 0), ""), "")</f>
        <v/>
      </c>
      <c r="M1142" s="105"/>
      <c r="N1142" s="105" t="str">
        <f>IF(F1142=True, IFERROR(VLOOKUP(D1142, Repository!A:G, 7, 0), ""), "")</f>
        <v/>
      </c>
      <c r="O1142" s="105" t="str">
        <f>IFERROR(__xludf.DUMMYFUNCTION("ARRAY_CONSTRAIN(
  ARRAYFORMULA(
    IFERROR(
      LET(
        list, N1142,
        arr, TRIM(SPLIT(list, "","")),
        names, XLOOKUP(
          arr,
          'Conformance Score'!A:A,
          'Conformance Score'!B:B,
          ""Not found""
     "&amp;"   ),
        TEXTJOIN("", "", TRUE, names)
      ),
      """"
    )
  ),
  1,
  1
)
"),"")</f>
        <v/>
      </c>
      <c r="P1142" s="105" t="str">
        <f>IF(F1142="Yes", IFERROR(VLOOKUP(D1142, Repository!A:F, 6, 0), ""), "")</f>
        <v/>
      </c>
      <c r="Q1142" s="105" t="str">
        <f>IF(F1142="Yes", IFERROR(VLOOKUP(D1142, Repository!A:I, 8, 0), ""), "")</f>
        <v/>
      </c>
      <c r="R1142" s="105" t="str">
        <f>IF(F1142="Yes", IFERROR(VLOOKUP(D1142, Repository!A:J, 9, 0), ""), "")</f>
        <v/>
      </c>
      <c r="S1142" s="105"/>
      <c r="T1142" s="105"/>
      <c r="U1142" s="105"/>
      <c r="V1142" s="105"/>
      <c r="W1142" s="105"/>
      <c r="X1142" s="105"/>
      <c r="Y1142" s="105"/>
      <c r="Z1142" s="105"/>
      <c r="AA1142" s="105"/>
      <c r="AB1142" s="105"/>
      <c r="AC1142" s="91"/>
      <c r="AD1142" s="105"/>
      <c r="AE1142" s="105"/>
      <c r="AF1142" s="91"/>
      <c r="AG1142" s="105"/>
      <c r="AH1142" s="105"/>
      <c r="AI1142" s="105" t="str">
        <f t="shared" si="1"/>
        <v/>
      </c>
      <c r="AJ1142" s="108" t="str">
        <f t="shared" si="2"/>
        <v/>
      </c>
    </row>
    <row r="1143" ht="15.75" customHeight="1">
      <c r="A1143" s="104"/>
      <c r="B1143" s="105" t="str">
        <f>IFERROR(__xludf.DUMMYFUNCTION("ARRAY_CONSTRAIN(
  ARRAYFORMULA(
    IF(
      'Final Report'!A1143="""",
      """",
      TEXTJOIN(
        "", "" &amp; CHAR(10),
        TRUE,
        IFERROR(
          VLOOKUP(
            TRIM(
              SPLIT('Final Report'!A1143, "","")
         "&amp;"   ),
            'URL Details'!A:B,
            2,
            FALSE
          ),
          """"
        )
      )
    )
  ),
  1,
  1
)
"),"")</f>
        <v/>
      </c>
      <c r="C1143" s="105" t="str">
        <f>IFERROR(__xludf.DUMMYFUNCTION("IFERROR(IF('Final Report'!A1143="""","""", TEXTJOIN(CHAR(10), TRUE, ARRAYFORMULA( ""• ""&amp; FILTER( TRIM(FLATTEN(SPLIT( REGEXREPLACE( SUBSTITUTE(TEXTJOIN("","", TRUE, IFERROR(ARRAYFORMULA(VLOOKUP(TRIM(SPLIT('Final Report'!A1143, "","")), 'URL Details'!A:D, "&amp;"4, FALSE)),"""") ), CHAR(10), "",""), ""\s*,\s*"", "",""), "",""))), TRIM(FLATTEN(SPLIT( REGEXREPLACE( SUBSTITUTE(TEXTJOIN("","", TRUE, IFERROR(ARRAYFORMULA(VLOOKUP(TRIM(SPLIT('Final Report'!A1143, "","")), 'URL Details'!A:D, 4, FALSE)),"""") ), CHAR(10),"&amp;" "",""), ""\s*,\s*"", "",""), "","")))&lt;&gt;"""" ) ) ) ),"""")
"),"")</f>
        <v/>
      </c>
      <c r="D1143" s="105"/>
      <c r="E1143" s="105"/>
      <c r="F1143" s="110" t="b">
        <v>0</v>
      </c>
      <c r="G1143" s="105" t="str">
        <f>IF(F1143=True, IFERROR(VLOOKUP(D1143, Repository!A:B, 2, 0), ""), "")</f>
        <v/>
      </c>
      <c r="H1143" s="105"/>
      <c r="I1143" s="105"/>
      <c r="J1143" s="105" t="str">
        <f>IF(F1143=True, IFERROR(VLOOKUP(D1143, Repository!A:C, 3, 0), ""), "")</f>
        <v/>
      </c>
      <c r="K1143" s="105"/>
      <c r="L1143" s="105" t="str">
        <f>IF(F1143=True, IFERROR(VLOOKUP(D1143, Repository!A:E, 5, 0), ""), "")</f>
        <v/>
      </c>
      <c r="M1143" s="105"/>
      <c r="N1143" s="105" t="str">
        <f>IF(F1143=True, IFERROR(VLOOKUP(D1143, Repository!A:G, 7, 0), ""), "")</f>
        <v/>
      </c>
      <c r="O1143" s="105" t="str">
        <f>IFERROR(__xludf.DUMMYFUNCTION("ARRAY_CONSTRAIN(
  ARRAYFORMULA(
    IFERROR(
      LET(
        list, N1143,
        arr, TRIM(SPLIT(list, "","")),
        names, XLOOKUP(
          arr,
          'Conformance Score'!A:A,
          'Conformance Score'!B:B,
          ""Not found""
     "&amp;"   ),
        TEXTJOIN("", "", TRUE, names)
      ),
      """"
    )
  ),
  1,
  1
)
"),"")</f>
        <v/>
      </c>
      <c r="P1143" s="105" t="str">
        <f>IF(F1143="Yes", IFERROR(VLOOKUP(D1143, Repository!A:F, 6, 0), ""), "")</f>
        <v/>
      </c>
      <c r="Q1143" s="105" t="str">
        <f>IF(F1143="Yes", IFERROR(VLOOKUP(D1143, Repository!A:I, 8, 0), ""), "")</f>
        <v/>
      </c>
      <c r="R1143" s="105" t="str">
        <f>IF(F1143="Yes", IFERROR(VLOOKUP(D1143, Repository!A:J, 9, 0), ""), "")</f>
        <v/>
      </c>
      <c r="S1143" s="105"/>
      <c r="T1143" s="105"/>
      <c r="U1143" s="105"/>
      <c r="V1143" s="105"/>
      <c r="W1143" s="105"/>
      <c r="X1143" s="105"/>
      <c r="Y1143" s="105"/>
      <c r="Z1143" s="105"/>
      <c r="AA1143" s="105"/>
      <c r="AB1143" s="105"/>
      <c r="AC1143" s="91"/>
      <c r="AD1143" s="105"/>
      <c r="AE1143" s="105"/>
      <c r="AF1143" s="91"/>
      <c r="AG1143" s="105"/>
      <c r="AH1143" s="105"/>
      <c r="AI1143" s="105" t="str">
        <f t="shared" si="1"/>
        <v/>
      </c>
      <c r="AJ1143" s="108" t="str">
        <f t="shared" si="2"/>
        <v/>
      </c>
    </row>
    <row r="1144" ht="15.75" customHeight="1">
      <c r="A1144" s="104"/>
      <c r="B1144" s="105" t="str">
        <f>IFERROR(__xludf.DUMMYFUNCTION("ARRAY_CONSTRAIN(
  ARRAYFORMULA(
    IF(
      'Final Report'!A1144="""",
      """",
      TEXTJOIN(
        "", "" &amp; CHAR(10),
        TRUE,
        IFERROR(
          VLOOKUP(
            TRIM(
              SPLIT('Final Report'!A1144, "","")
         "&amp;"   ),
            'URL Details'!A:B,
            2,
            FALSE
          ),
          """"
        )
      )
    )
  ),
  1,
  1
)
"),"")</f>
        <v/>
      </c>
      <c r="C1144" s="105" t="str">
        <f>IFERROR(__xludf.DUMMYFUNCTION("IFERROR(IF('Final Report'!A1144="""","""", TEXTJOIN(CHAR(10), TRUE, ARRAYFORMULA( ""• ""&amp; FILTER( TRIM(FLATTEN(SPLIT( REGEXREPLACE( SUBSTITUTE(TEXTJOIN("","", TRUE, IFERROR(ARRAYFORMULA(VLOOKUP(TRIM(SPLIT('Final Report'!A1144, "","")), 'URL Details'!A:D, "&amp;"4, FALSE)),"""") ), CHAR(10), "",""), ""\s*,\s*"", "",""), "",""))), TRIM(FLATTEN(SPLIT( REGEXREPLACE( SUBSTITUTE(TEXTJOIN("","", TRUE, IFERROR(ARRAYFORMULA(VLOOKUP(TRIM(SPLIT('Final Report'!A1144, "","")), 'URL Details'!A:D, 4, FALSE)),"""") ), CHAR(10),"&amp;" "",""), ""\s*,\s*"", "",""), "","")))&lt;&gt;"""" ) ) ) ),"""")
"),"")</f>
        <v/>
      </c>
      <c r="D1144" s="105"/>
      <c r="E1144" s="105"/>
      <c r="F1144" s="110" t="b">
        <v>0</v>
      </c>
      <c r="G1144" s="105" t="str">
        <f>IF(F1144=True, IFERROR(VLOOKUP(D1144, Repository!A:B, 2, 0), ""), "")</f>
        <v/>
      </c>
      <c r="H1144" s="105"/>
      <c r="I1144" s="105"/>
      <c r="J1144" s="105" t="str">
        <f>IF(F1144=True, IFERROR(VLOOKUP(D1144, Repository!A:C, 3, 0), ""), "")</f>
        <v/>
      </c>
      <c r="K1144" s="105"/>
      <c r="L1144" s="105" t="str">
        <f>IF(F1144=True, IFERROR(VLOOKUP(D1144, Repository!A:E, 5, 0), ""), "")</f>
        <v/>
      </c>
      <c r="M1144" s="105"/>
      <c r="N1144" s="105" t="str">
        <f>IF(F1144=True, IFERROR(VLOOKUP(D1144, Repository!A:G, 7, 0), ""), "")</f>
        <v/>
      </c>
      <c r="O1144" s="105" t="str">
        <f>IFERROR(__xludf.DUMMYFUNCTION("ARRAY_CONSTRAIN(
  ARRAYFORMULA(
    IFERROR(
      LET(
        list, N1144,
        arr, TRIM(SPLIT(list, "","")),
        names, XLOOKUP(
          arr,
          'Conformance Score'!A:A,
          'Conformance Score'!B:B,
          ""Not found""
     "&amp;"   ),
        TEXTJOIN("", "", TRUE, names)
      ),
      """"
    )
  ),
  1,
  1
)
"),"")</f>
        <v/>
      </c>
      <c r="P1144" s="105" t="str">
        <f>IF(F1144="Yes", IFERROR(VLOOKUP(D1144, Repository!A:F, 6, 0), ""), "")</f>
        <v/>
      </c>
      <c r="Q1144" s="105" t="str">
        <f>IF(F1144="Yes", IFERROR(VLOOKUP(D1144, Repository!A:I, 8, 0), ""), "")</f>
        <v/>
      </c>
      <c r="R1144" s="105" t="str">
        <f>IF(F1144="Yes", IFERROR(VLOOKUP(D1144, Repository!A:J, 9, 0), ""), "")</f>
        <v/>
      </c>
      <c r="S1144" s="105"/>
      <c r="T1144" s="105"/>
      <c r="U1144" s="105"/>
      <c r="V1144" s="105"/>
      <c r="W1144" s="105"/>
      <c r="X1144" s="105"/>
      <c r="Y1144" s="105"/>
      <c r="Z1144" s="105"/>
      <c r="AA1144" s="105"/>
      <c r="AB1144" s="105"/>
      <c r="AC1144" s="91"/>
      <c r="AD1144" s="105"/>
      <c r="AE1144" s="105"/>
      <c r="AF1144" s="91"/>
      <c r="AG1144" s="105"/>
      <c r="AH1144" s="105"/>
      <c r="AI1144" s="105" t="str">
        <f t="shared" si="1"/>
        <v/>
      </c>
      <c r="AJ1144" s="108" t="str">
        <f t="shared" si="2"/>
        <v/>
      </c>
    </row>
    <row r="1145" ht="15.75" customHeight="1">
      <c r="A1145" s="104"/>
      <c r="B1145" s="105" t="str">
        <f>IFERROR(__xludf.DUMMYFUNCTION("ARRAY_CONSTRAIN(
  ARRAYFORMULA(
    IF(
      'Final Report'!A1145="""",
      """",
      TEXTJOIN(
        "", "" &amp; CHAR(10),
        TRUE,
        IFERROR(
          VLOOKUP(
            TRIM(
              SPLIT('Final Report'!A1145, "","")
         "&amp;"   ),
            'URL Details'!A:B,
            2,
            FALSE
          ),
          """"
        )
      )
    )
  ),
  1,
  1
)
"),"")</f>
        <v/>
      </c>
      <c r="C1145" s="105" t="str">
        <f>IFERROR(__xludf.DUMMYFUNCTION("IFERROR(IF('Final Report'!A1145="""","""", TEXTJOIN(CHAR(10), TRUE, ARRAYFORMULA( ""• ""&amp; FILTER( TRIM(FLATTEN(SPLIT( REGEXREPLACE( SUBSTITUTE(TEXTJOIN("","", TRUE, IFERROR(ARRAYFORMULA(VLOOKUP(TRIM(SPLIT('Final Report'!A1145, "","")), 'URL Details'!A:D, "&amp;"4, FALSE)),"""") ), CHAR(10), "",""), ""\s*,\s*"", "",""), "",""))), TRIM(FLATTEN(SPLIT( REGEXREPLACE( SUBSTITUTE(TEXTJOIN("","", TRUE, IFERROR(ARRAYFORMULA(VLOOKUP(TRIM(SPLIT('Final Report'!A1145, "","")), 'URL Details'!A:D, 4, FALSE)),"""") ), CHAR(10),"&amp;" "",""), ""\s*,\s*"", "",""), "","")))&lt;&gt;"""" ) ) ) ),"""")
"),"")</f>
        <v/>
      </c>
      <c r="D1145" s="105"/>
      <c r="E1145" s="105"/>
      <c r="F1145" s="110" t="b">
        <v>0</v>
      </c>
      <c r="G1145" s="105" t="str">
        <f>IF(F1145=True, IFERROR(VLOOKUP(D1145, Repository!A:B, 2, 0), ""), "")</f>
        <v/>
      </c>
      <c r="H1145" s="105"/>
      <c r="I1145" s="105"/>
      <c r="J1145" s="105" t="str">
        <f>IF(F1145=True, IFERROR(VLOOKUP(D1145, Repository!A:C, 3, 0), ""), "")</f>
        <v/>
      </c>
      <c r="K1145" s="105"/>
      <c r="L1145" s="105" t="str">
        <f>IF(F1145=True, IFERROR(VLOOKUP(D1145, Repository!A:E, 5, 0), ""), "")</f>
        <v/>
      </c>
      <c r="M1145" s="105"/>
      <c r="N1145" s="105" t="str">
        <f>IF(F1145=True, IFERROR(VLOOKUP(D1145, Repository!A:G, 7, 0), ""), "")</f>
        <v/>
      </c>
      <c r="O1145" s="105" t="str">
        <f>IFERROR(__xludf.DUMMYFUNCTION("ARRAY_CONSTRAIN(
  ARRAYFORMULA(
    IFERROR(
      LET(
        list, N1145,
        arr, TRIM(SPLIT(list, "","")),
        names, XLOOKUP(
          arr,
          'Conformance Score'!A:A,
          'Conformance Score'!B:B,
          ""Not found""
     "&amp;"   ),
        TEXTJOIN("", "", TRUE, names)
      ),
      """"
    )
  ),
  1,
  1
)
"),"")</f>
        <v/>
      </c>
      <c r="P1145" s="105" t="str">
        <f>IF(F1145="Yes", IFERROR(VLOOKUP(D1145, Repository!A:F, 6, 0), ""), "")</f>
        <v/>
      </c>
      <c r="Q1145" s="105" t="str">
        <f>IF(F1145="Yes", IFERROR(VLOOKUP(D1145, Repository!A:I, 8, 0), ""), "")</f>
        <v/>
      </c>
      <c r="R1145" s="105" t="str">
        <f>IF(F1145="Yes", IFERROR(VLOOKUP(D1145, Repository!A:J, 9, 0), ""), "")</f>
        <v/>
      </c>
      <c r="S1145" s="105"/>
      <c r="T1145" s="105"/>
      <c r="U1145" s="105"/>
      <c r="V1145" s="105"/>
      <c r="W1145" s="105"/>
      <c r="X1145" s="105"/>
      <c r="Y1145" s="105"/>
      <c r="Z1145" s="105"/>
      <c r="AA1145" s="105"/>
      <c r="AB1145" s="105"/>
      <c r="AC1145" s="91"/>
      <c r="AD1145" s="105"/>
      <c r="AE1145" s="105"/>
      <c r="AF1145" s="91"/>
      <c r="AG1145" s="105"/>
      <c r="AH1145" s="105"/>
      <c r="AI1145" s="105" t="str">
        <f t="shared" si="1"/>
        <v/>
      </c>
      <c r="AJ1145" s="108" t="str">
        <f t="shared" si="2"/>
        <v/>
      </c>
    </row>
    <row r="1146" ht="15.75" customHeight="1">
      <c r="A1146" s="104"/>
      <c r="B1146" s="105" t="str">
        <f>IFERROR(__xludf.DUMMYFUNCTION("ARRAY_CONSTRAIN(
  ARRAYFORMULA(
    IF(
      'Final Report'!A1146="""",
      """",
      TEXTJOIN(
        "", "" &amp; CHAR(10),
        TRUE,
        IFERROR(
          VLOOKUP(
            TRIM(
              SPLIT('Final Report'!A1146, "","")
         "&amp;"   ),
            'URL Details'!A:B,
            2,
            FALSE
          ),
          """"
        )
      )
    )
  ),
  1,
  1
)
"),"")</f>
        <v/>
      </c>
      <c r="C1146" s="105" t="str">
        <f>IFERROR(__xludf.DUMMYFUNCTION("IFERROR(IF('Final Report'!A1146="""","""", TEXTJOIN(CHAR(10), TRUE, ARRAYFORMULA( ""• ""&amp; FILTER( TRIM(FLATTEN(SPLIT( REGEXREPLACE( SUBSTITUTE(TEXTJOIN("","", TRUE, IFERROR(ARRAYFORMULA(VLOOKUP(TRIM(SPLIT('Final Report'!A1146, "","")), 'URL Details'!A:D, "&amp;"4, FALSE)),"""") ), CHAR(10), "",""), ""\s*,\s*"", "",""), "",""))), TRIM(FLATTEN(SPLIT( REGEXREPLACE( SUBSTITUTE(TEXTJOIN("","", TRUE, IFERROR(ARRAYFORMULA(VLOOKUP(TRIM(SPLIT('Final Report'!A1146, "","")), 'URL Details'!A:D, 4, FALSE)),"""") ), CHAR(10),"&amp;" "",""), ""\s*,\s*"", "",""), "","")))&lt;&gt;"""" ) ) ) ),"""")
"),"")</f>
        <v/>
      </c>
      <c r="D1146" s="105"/>
      <c r="E1146" s="105"/>
      <c r="F1146" s="110" t="b">
        <v>0</v>
      </c>
      <c r="G1146" s="105" t="str">
        <f>IF(F1146=True, IFERROR(VLOOKUP(D1146, Repository!A:B, 2, 0), ""), "")</f>
        <v/>
      </c>
      <c r="H1146" s="105"/>
      <c r="I1146" s="105"/>
      <c r="J1146" s="105" t="str">
        <f>IF(F1146=True, IFERROR(VLOOKUP(D1146, Repository!A:C, 3, 0), ""), "")</f>
        <v/>
      </c>
      <c r="K1146" s="105"/>
      <c r="L1146" s="105" t="str">
        <f>IF(F1146=True, IFERROR(VLOOKUP(D1146, Repository!A:E, 5, 0), ""), "")</f>
        <v/>
      </c>
      <c r="M1146" s="105"/>
      <c r="N1146" s="105" t="str">
        <f>IF(F1146=True, IFERROR(VLOOKUP(D1146, Repository!A:G, 7, 0), ""), "")</f>
        <v/>
      </c>
      <c r="O1146" s="105" t="str">
        <f>IFERROR(__xludf.DUMMYFUNCTION("ARRAY_CONSTRAIN(
  ARRAYFORMULA(
    IFERROR(
      LET(
        list, N1146,
        arr, TRIM(SPLIT(list, "","")),
        names, XLOOKUP(
          arr,
          'Conformance Score'!A:A,
          'Conformance Score'!B:B,
          ""Not found""
     "&amp;"   ),
        TEXTJOIN("", "", TRUE, names)
      ),
      """"
    )
  ),
  1,
  1
)
"),"")</f>
        <v/>
      </c>
      <c r="P1146" s="105" t="str">
        <f>IF(F1146="Yes", IFERROR(VLOOKUP(D1146, Repository!A:F, 6, 0), ""), "")</f>
        <v/>
      </c>
      <c r="Q1146" s="105" t="str">
        <f>IF(F1146="Yes", IFERROR(VLOOKUP(D1146, Repository!A:I, 8, 0), ""), "")</f>
        <v/>
      </c>
      <c r="R1146" s="105" t="str">
        <f>IF(F1146="Yes", IFERROR(VLOOKUP(D1146, Repository!A:J, 9, 0), ""), "")</f>
        <v/>
      </c>
      <c r="S1146" s="105"/>
      <c r="T1146" s="105"/>
      <c r="U1146" s="105"/>
      <c r="V1146" s="105"/>
      <c r="W1146" s="105"/>
      <c r="X1146" s="105"/>
      <c r="Y1146" s="105"/>
      <c r="Z1146" s="105"/>
      <c r="AA1146" s="105"/>
      <c r="AB1146" s="105"/>
      <c r="AC1146" s="91"/>
      <c r="AD1146" s="105"/>
      <c r="AE1146" s="105"/>
      <c r="AF1146" s="91"/>
      <c r="AG1146" s="105"/>
      <c r="AH1146" s="105"/>
      <c r="AI1146" s="105" t="str">
        <f t="shared" si="1"/>
        <v/>
      </c>
      <c r="AJ1146" s="108" t="str">
        <f t="shared" si="2"/>
        <v/>
      </c>
    </row>
    <row r="1147" ht="15.75" customHeight="1">
      <c r="A1147" s="104"/>
      <c r="B1147" s="105" t="str">
        <f>IFERROR(__xludf.DUMMYFUNCTION("ARRAY_CONSTRAIN(
  ARRAYFORMULA(
    IF(
      'Final Report'!A1147="""",
      """",
      TEXTJOIN(
        "", "" &amp; CHAR(10),
        TRUE,
        IFERROR(
          VLOOKUP(
            TRIM(
              SPLIT('Final Report'!A1147, "","")
         "&amp;"   ),
            'URL Details'!A:B,
            2,
            FALSE
          ),
          """"
        )
      )
    )
  ),
  1,
  1
)
"),"")</f>
        <v/>
      </c>
      <c r="C1147" s="105" t="str">
        <f>IFERROR(__xludf.DUMMYFUNCTION("IFERROR(IF('Final Report'!A1147="""","""", TEXTJOIN(CHAR(10), TRUE, ARRAYFORMULA( ""• ""&amp; FILTER( TRIM(FLATTEN(SPLIT( REGEXREPLACE( SUBSTITUTE(TEXTJOIN("","", TRUE, IFERROR(ARRAYFORMULA(VLOOKUP(TRIM(SPLIT('Final Report'!A1147, "","")), 'URL Details'!A:D, "&amp;"4, FALSE)),"""") ), CHAR(10), "",""), ""\s*,\s*"", "",""), "",""))), TRIM(FLATTEN(SPLIT( REGEXREPLACE( SUBSTITUTE(TEXTJOIN("","", TRUE, IFERROR(ARRAYFORMULA(VLOOKUP(TRIM(SPLIT('Final Report'!A1147, "","")), 'URL Details'!A:D, 4, FALSE)),"""") ), CHAR(10),"&amp;" "",""), ""\s*,\s*"", "",""), "","")))&lt;&gt;"""" ) ) ) ),"""")
"),"")</f>
        <v/>
      </c>
      <c r="D1147" s="105"/>
      <c r="E1147" s="105"/>
      <c r="F1147" s="110" t="b">
        <v>0</v>
      </c>
      <c r="G1147" s="105" t="str">
        <f>IF(F1147=True, IFERROR(VLOOKUP(D1147, Repository!A:B, 2, 0), ""), "")</f>
        <v/>
      </c>
      <c r="H1147" s="105"/>
      <c r="I1147" s="105"/>
      <c r="J1147" s="105" t="str">
        <f>IF(F1147=True, IFERROR(VLOOKUP(D1147, Repository!A:C, 3, 0), ""), "")</f>
        <v/>
      </c>
      <c r="K1147" s="105"/>
      <c r="L1147" s="105" t="str">
        <f>IF(F1147=True, IFERROR(VLOOKUP(D1147, Repository!A:E, 5, 0), ""), "")</f>
        <v/>
      </c>
      <c r="M1147" s="105"/>
      <c r="N1147" s="105" t="str">
        <f>IF(F1147=True, IFERROR(VLOOKUP(D1147, Repository!A:G, 7, 0), ""), "")</f>
        <v/>
      </c>
      <c r="O1147" s="105" t="str">
        <f>IFERROR(__xludf.DUMMYFUNCTION("ARRAY_CONSTRAIN(
  ARRAYFORMULA(
    IFERROR(
      LET(
        list, N1147,
        arr, TRIM(SPLIT(list, "","")),
        names, XLOOKUP(
          arr,
          'Conformance Score'!A:A,
          'Conformance Score'!B:B,
          ""Not found""
     "&amp;"   ),
        TEXTJOIN("", "", TRUE, names)
      ),
      """"
    )
  ),
  1,
  1
)
"),"")</f>
        <v/>
      </c>
      <c r="P1147" s="105" t="str">
        <f>IF(F1147="Yes", IFERROR(VLOOKUP(D1147, Repository!A:F, 6, 0), ""), "")</f>
        <v/>
      </c>
      <c r="Q1147" s="105" t="str">
        <f>IF(F1147="Yes", IFERROR(VLOOKUP(D1147, Repository!A:I, 8, 0), ""), "")</f>
        <v/>
      </c>
      <c r="R1147" s="105" t="str">
        <f>IF(F1147="Yes", IFERROR(VLOOKUP(D1147, Repository!A:J, 9, 0), ""), "")</f>
        <v/>
      </c>
      <c r="S1147" s="105"/>
      <c r="T1147" s="105"/>
      <c r="U1147" s="105"/>
      <c r="V1147" s="105"/>
      <c r="W1147" s="105"/>
      <c r="X1147" s="105"/>
      <c r="Y1147" s="105"/>
      <c r="Z1147" s="105"/>
      <c r="AA1147" s="105"/>
      <c r="AB1147" s="105"/>
      <c r="AC1147" s="91"/>
      <c r="AD1147" s="105"/>
      <c r="AE1147" s="105"/>
      <c r="AF1147" s="91"/>
      <c r="AG1147" s="105"/>
      <c r="AH1147" s="105"/>
      <c r="AI1147" s="105" t="str">
        <f t="shared" si="1"/>
        <v/>
      </c>
      <c r="AJ1147" s="108" t="str">
        <f t="shared" si="2"/>
        <v/>
      </c>
    </row>
    <row r="1148" ht="15.75" customHeight="1">
      <c r="A1148" s="104"/>
      <c r="B1148" s="105" t="str">
        <f>IFERROR(__xludf.DUMMYFUNCTION("ARRAY_CONSTRAIN(
  ARRAYFORMULA(
    IF(
      'Final Report'!A1148="""",
      """",
      TEXTJOIN(
        "", "" &amp; CHAR(10),
        TRUE,
        IFERROR(
          VLOOKUP(
            TRIM(
              SPLIT('Final Report'!A1148, "","")
         "&amp;"   ),
            'URL Details'!A:B,
            2,
            FALSE
          ),
          """"
        )
      )
    )
  ),
  1,
  1
)
"),"")</f>
        <v/>
      </c>
      <c r="C1148" s="105" t="str">
        <f>IFERROR(__xludf.DUMMYFUNCTION("IFERROR(IF('Final Report'!A1148="""","""", TEXTJOIN(CHAR(10), TRUE, ARRAYFORMULA( ""• ""&amp; FILTER( TRIM(FLATTEN(SPLIT( REGEXREPLACE( SUBSTITUTE(TEXTJOIN("","", TRUE, IFERROR(ARRAYFORMULA(VLOOKUP(TRIM(SPLIT('Final Report'!A1148, "","")), 'URL Details'!A:D, "&amp;"4, FALSE)),"""") ), CHAR(10), "",""), ""\s*,\s*"", "",""), "",""))), TRIM(FLATTEN(SPLIT( REGEXREPLACE( SUBSTITUTE(TEXTJOIN("","", TRUE, IFERROR(ARRAYFORMULA(VLOOKUP(TRIM(SPLIT('Final Report'!A1148, "","")), 'URL Details'!A:D, 4, FALSE)),"""") ), CHAR(10),"&amp;" "",""), ""\s*,\s*"", "",""), "","")))&lt;&gt;"""" ) ) ) ),"""")
"),"")</f>
        <v/>
      </c>
      <c r="D1148" s="105"/>
      <c r="E1148" s="105"/>
      <c r="F1148" s="110" t="b">
        <v>0</v>
      </c>
      <c r="G1148" s="105" t="str">
        <f>IF(F1148=True, IFERROR(VLOOKUP(D1148, Repository!A:B, 2, 0), ""), "")</f>
        <v/>
      </c>
      <c r="H1148" s="105"/>
      <c r="I1148" s="105"/>
      <c r="J1148" s="105" t="str">
        <f>IF(F1148=True, IFERROR(VLOOKUP(D1148, Repository!A:C, 3, 0), ""), "")</f>
        <v/>
      </c>
      <c r="K1148" s="105"/>
      <c r="L1148" s="105" t="str">
        <f>IF(F1148=True, IFERROR(VLOOKUP(D1148, Repository!A:E, 5, 0), ""), "")</f>
        <v/>
      </c>
      <c r="M1148" s="105"/>
      <c r="N1148" s="105" t="str">
        <f>IF(F1148=True, IFERROR(VLOOKUP(D1148, Repository!A:G, 7, 0), ""), "")</f>
        <v/>
      </c>
      <c r="O1148" s="105" t="str">
        <f>IFERROR(__xludf.DUMMYFUNCTION("ARRAY_CONSTRAIN(
  ARRAYFORMULA(
    IFERROR(
      LET(
        list, N1148,
        arr, TRIM(SPLIT(list, "","")),
        names, XLOOKUP(
          arr,
          'Conformance Score'!A:A,
          'Conformance Score'!B:B,
          ""Not found""
     "&amp;"   ),
        TEXTJOIN("", "", TRUE, names)
      ),
      """"
    )
  ),
  1,
  1
)
"),"")</f>
        <v/>
      </c>
      <c r="P1148" s="105" t="str">
        <f>IF(F1148="Yes", IFERROR(VLOOKUP(D1148, Repository!A:F, 6, 0), ""), "")</f>
        <v/>
      </c>
      <c r="Q1148" s="105" t="str">
        <f>IF(F1148="Yes", IFERROR(VLOOKUP(D1148, Repository!A:I, 8, 0), ""), "")</f>
        <v/>
      </c>
      <c r="R1148" s="105" t="str">
        <f>IF(F1148="Yes", IFERROR(VLOOKUP(D1148, Repository!A:J, 9, 0), ""), "")</f>
        <v/>
      </c>
      <c r="S1148" s="105"/>
      <c r="T1148" s="105"/>
      <c r="U1148" s="105"/>
      <c r="V1148" s="105"/>
      <c r="W1148" s="105"/>
      <c r="X1148" s="105"/>
      <c r="Y1148" s="105"/>
      <c r="Z1148" s="105"/>
      <c r="AA1148" s="105"/>
      <c r="AB1148" s="105"/>
      <c r="AC1148" s="91"/>
      <c r="AD1148" s="105"/>
      <c r="AE1148" s="105"/>
      <c r="AF1148" s="91"/>
      <c r="AG1148" s="105"/>
      <c r="AH1148" s="105"/>
      <c r="AI1148" s="105" t="str">
        <f t="shared" si="1"/>
        <v/>
      </c>
      <c r="AJ1148" s="108" t="str">
        <f t="shared" si="2"/>
        <v/>
      </c>
    </row>
    <row r="1149" ht="15.75" customHeight="1">
      <c r="A1149" s="104"/>
      <c r="B1149" s="105" t="str">
        <f>IFERROR(__xludf.DUMMYFUNCTION("ARRAY_CONSTRAIN(
  ARRAYFORMULA(
    IF(
      'Final Report'!A1149="""",
      """",
      TEXTJOIN(
        "", "" &amp; CHAR(10),
        TRUE,
        IFERROR(
          VLOOKUP(
            TRIM(
              SPLIT('Final Report'!A1149, "","")
         "&amp;"   ),
            'URL Details'!A:B,
            2,
            FALSE
          ),
          """"
        )
      )
    )
  ),
  1,
  1
)
"),"")</f>
        <v/>
      </c>
      <c r="C1149" s="105" t="str">
        <f>IFERROR(__xludf.DUMMYFUNCTION("IFERROR(IF('Final Report'!A1149="""","""", TEXTJOIN(CHAR(10), TRUE, ARRAYFORMULA( ""• ""&amp; FILTER( TRIM(FLATTEN(SPLIT( REGEXREPLACE( SUBSTITUTE(TEXTJOIN("","", TRUE, IFERROR(ARRAYFORMULA(VLOOKUP(TRIM(SPLIT('Final Report'!A1149, "","")), 'URL Details'!A:D, "&amp;"4, FALSE)),"""") ), CHAR(10), "",""), ""\s*,\s*"", "",""), "",""))), TRIM(FLATTEN(SPLIT( REGEXREPLACE( SUBSTITUTE(TEXTJOIN("","", TRUE, IFERROR(ARRAYFORMULA(VLOOKUP(TRIM(SPLIT('Final Report'!A1149, "","")), 'URL Details'!A:D, 4, FALSE)),"""") ), CHAR(10),"&amp;" "",""), ""\s*,\s*"", "",""), "","")))&lt;&gt;"""" ) ) ) ),"""")
"),"")</f>
        <v/>
      </c>
      <c r="D1149" s="105"/>
      <c r="E1149" s="105"/>
      <c r="F1149" s="110" t="b">
        <v>0</v>
      </c>
      <c r="G1149" s="105" t="str">
        <f>IF(F1149=True, IFERROR(VLOOKUP(D1149, Repository!A:B, 2, 0), ""), "")</f>
        <v/>
      </c>
      <c r="H1149" s="105"/>
      <c r="I1149" s="105"/>
      <c r="J1149" s="105" t="str">
        <f>IF(F1149=True, IFERROR(VLOOKUP(D1149, Repository!A:C, 3, 0), ""), "")</f>
        <v/>
      </c>
      <c r="K1149" s="105"/>
      <c r="L1149" s="105" t="str">
        <f>IF(F1149=True, IFERROR(VLOOKUP(D1149, Repository!A:E, 5, 0), ""), "")</f>
        <v/>
      </c>
      <c r="M1149" s="105"/>
      <c r="N1149" s="105" t="str">
        <f>IF(F1149=True, IFERROR(VLOOKUP(D1149, Repository!A:G, 7, 0), ""), "")</f>
        <v/>
      </c>
      <c r="O1149" s="105" t="str">
        <f>IFERROR(__xludf.DUMMYFUNCTION("ARRAY_CONSTRAIN(
  ARRAYFORMULA(
    IFERROR(
      LET(
        list, N1149,
        arr, TRIM(SPLIT(list, "","")),
        names, XLOOKUP(
          arr,
          'Conformance Score'!A:A,
          'Conformance Score'!B:B,
          ""Not found""
     "&amp;"   ),
        TEXTJOIN("", "", TRUE, names)
      ),
      """"
    )
  ),
  1,
  1
)
"),"")</f>
        <v/>
      </c>
      <c r="P1149" s="105" t="str">
        <f>IF(F1149="Yes", IFERROR(VLOOKUP(D1149, Repository!A:F, 6, 0), ""), "")</f>
        <v/>
      </c>
      <c r="Q1149" s="105" t="str">
        <f>IF(F1149="Yes", IFERROR(VLOOKUP(D1149, Repository!A:I, 8, 0), ""), "")</f>
        <v/>
      </c>
      <c r="R1149" s="105" t="str">
        <f>IF(F1149="Yes", IFERROR(VLOOKUP(D1149, Repository!A:J, 9, 0), ""), "")</f>
        <v/>
      </c>
      <c r="S1149" s="105"/>
      <c r="T1149" s="105"/>
      <c r="U1149" s="105"/>
      <c r="V1149" s="105"/>
      <c r="W1149" s="105"/>
      <c r="X1149" s="105"/>
      <c r="Y1149" s="105"/>
      <c r="Z1149" s="105"/>
      <c r="AA1149" s="105"/>
      <c r="AB1149" s="105"/>
      <c r="AC1149" s="91"/>
      <c r="AD1149" s="105"/>
      <c r="AE1149" s="105"/>
      <c r="AF1149" s="91"/>
      <c r="AG1149" s="105"/>
      <c r="AH1149" s="105"/>
      <c r="AI1149" s="105" t="str">
        <f t="shared" si="1"/>
        <v/>
      </c>
      <c r="AJ1149" s="108" t="str">
        <f t="shared" si="2"/>
        <v/>
      </c>
    </row>
    <row r="1150" ht="15.75" customHeight="1">
      <c r="A1150" s="104"/>
      <c r="B1150" s="105" t="str">
        <f>IFERROR(__xludf.DUMMYFUNCTION("ARRAY_CONSTRAIN(
  ARRAYFORMULA(
    IF(
      'Final Report'!A1150="""",
      """",
      TEXTJOIN(
        "", "" &amp; CHAR(10),
        TRUE,
        IFERROR(
          VLOOKUP(
            TRIM(
              SPLIT('Final Report'!A1150, "","")
         "&amp;"   ),
            'URL Details'!A:B,
            2,
            FALSE
          ),
          """"
        )
      )
    )
  ),
  1,
  1
)
"),"")</f>
        <v/>
      </c>
      <c r="C1150" s="105" t="str">
        <f>IFERROR(__xludf.DUMMYFUNCTION("IFERROR(IF('Final Report'!A1150="""","""", TEXTJOIN(CHAR(10), TRUE, ARRAYFORMULA( ""• ""&amp; FILTER( TRIM(FLATTEN(SPLIT( REGEXREPLACE( SUBSTITUTE(TEXTJOIN("","", TRUE, IFERROR(ARRAYFORMULA(VLOOKUP(TRIM(SPLIT('Final Report'!A1150, "","")), 'URL Details'!A:D, "&amp;"4, FALSE)),"""") ), CHAR(10), "",""), ""\s*,\s*"", "",""), "",""))), TRIM(FLATTEN(SPLIT( REGEXREPLACE( SUBSTITUTE(TEXTJOIN("","", TRUE, IFERROR(ARRAYFORMULA(VLOOKUP(TRIM(SPLIT('Final Report'!A1150, "","")), 'URL Details'!A:D, 4, FALSE)),"""") ), CHAR(10),"&amp;" "",""), ""\s*,\s*"", "",""), "","")))&lt;&gt;"""" ) ) ) ),"""")
"),"")</f>
        <v/>
      </c>
      <c r="D1150" s="105"/>
      <c r="E1150" s="105"/>
      <c r="F1150" s="110" t="b">
        <v>0</v>
      </c>
      <c r="G1150" s="105" t="str">
        <f>IF(F1150=True, IFERROR(VLOOKUP(D1150, Repository!A:B, 2, 0), ""), "")</f>
        <v/>
      </c>
      <c r="H1150" s="105"/>
      <c r="I1150" s="105"/>
      <c r="J1150" s="105" t="str">
        <f>IF(F1150=True, IFERROR(VLOOKUP(D1150, Repository!A:C, 3, 0), ""), "")</f>
        <v/>
      </c>
      <c r="K1150" s="105"/>
      <c r="L1150" s="105" t="str">
        <f>IF(F1150=True, IFERROR(VLOOKUP(D1150, Repository!A:E, 5, 0), ""), "")</f>
        <v/>
      </c>
      <c r="M1150" s="105"/>
      <c r="N1150" s="105" t="str">
        <f>IF(F1150=True, IFERROR(VLOOKUP(D1150, Repository!A:G, 7, 0), ""), "")</f>
        <v/>
      </c>
      <c r="O1150" s="105" t="str">
        <f>IFERROR(__xludf.DUMMYFUNCTION("ARRAY_CONSTRAIN(
  ARRAYFORMULA(
    IFERROR(
      LET(
        list, N1150,
        arr, TRIM(SPLIT(list, "","")),
        names, XLOOKUP(
          arr,
          'Conformance Score'!A:A,
          'Conformance Score'!B:B,
          ""Not found""
     "&amp;"   ),
        TEXTJOIN("", "", TRUE, names)
      ),
      """"
    )
  ),
  1,
  1
)
"),"")</f>
        <v/>
      </c>
      <c r="P1150" s="105" t="str">
        <f>IF(F1150="Yes", IFERROR(VLOOKUP(D1150, Repository!A:F, 6, 0), ""), "")</f>
        <v/>
      </c>
      <c r="Q1150" s="105" t="str">
        <f>IF(F1150="Yes", IFERROR(VLOOKUP(D1150, Repository!A:I, 8, 0), ""), "")</f>
        <v/>
      </c>
      <c r="R1150" s="105" t="str">
        <f>IF(F1150="Yes", IFERROR(VLOOKUP(D1150, Repository!A:J, 9, 0), ""), "")</f>
        <v/>
      </c>
      <c r="S1150" s="105"/>
      <c r="T1150" s="105"/>
      <c r="U1150" s="105"/>
      <c r="V1150" s="105"/>
      <c r="W1150" s="105"/>
      <c r="X1150" s="105"/>
      <c r="Y1150" s="105"/>
      <c r="Z1150" s="105"/>
      <c r="AA1150" s="105"/>
      <c r="AB1150" s="105"/>
      <c r="AC1150" s="91"/>
      <c r="AD1150" s="105"/>
      <c r="AE1150" s="105"/>
      <c r="AF1150" s="91"/>
      <c r="AG1150" s="105"/>
      <c r="AH1150" s="105"/>
      <c r="AI1150" s="105" t="str">
        <f t="shared" si="1"/>
        <v/>
      </c>
      <c r="AJ1150" s="108" t="str">
        <f t="shared" si="2"/>
        <v/>
      </c>
    </row>
    <row r="1151" ht="15.75" customHeight="1">
      <c r="A1151" s="104"/>
      <c r="B1151" s="105" t="str">
        <f>IFERROR(__xludf.DUMMYFUNCTION("ARRAY_CONSTRAIN(
  ARRAYFORMULA(
    IF(
      'Final Report'!A1151="""",
      """",
      TEXTJOIN(
        "", "" &amp; CHAR(10),
        TRUE,
        IFERROR(
          VLOOKUP(
            TRIM(
              SPLIT('Final Report'!A1151, "","")
         "&amp;"   ),
            'URL Details'!A:B,
            2,
            FALSE
          ),
          """"
        )
      )
    )
  ),
  1,
  1
)
"),"")</f>
        <v/>
      </c>
      <c r="C1151" s="105" t="str">
        <f>IFERROR(__xludf.DUMMYFUNCTION("IFERROR(IF('Final Report'!A1151="""","""", TEXTJOIN(CHAR(10), TRUE, ARRAYFORMULA( ""• ""&amp; FILTER( TRIM(FLATTEN(SPLIT( REGEXREPLACE( SUBSTITUTE(TEXTJOIN("","", TRUE, IFERROR(ARRAYFORMULA(VLOOKUP(TRIM(SPLIT('Final Report'!A1151, "","")), 'URL Details'!A:D, "&amp;"4, FALSE)),"""") ), CHAR(10), "",""), ""\s*,\s*"", "",""), "",""))), TRIM(FLATTEN(SPLIT( REGEXREPLACE( SUBSTITUTE(TEXTJOIN("","", TRUE, IFERROR(ARRAYFORMULA(VLOOKUP(TRIM(SPLIT('Final Report'!A1151, "","")), 'URL Details'!A:D, 4, FALSE)),"""") ), CHAR(10),"&amp;" "",""), ""\s*,\s*"", "",""), "","")))&lt;&gt;"""" ) ) ) ),"""")
"),"")</f>
        <v/>
      </c>
      <c r="D1151" s="105"/>
      <c r="E1151" s="105"/>
      <c r="F1151" s="110" t="b">
        <v>0</v>
      </c>
      <c r="G1151" s="105" t="str">
        <f>IF(F1151=True, IFERROR(VLOOKUP(D1151, Repository!A:B, 2, 0), ""), "")</f>
        <v/>
      </c>
      <c r="H1151" s="105"/>
      <c r="I1151" s="105"/>
      <c r="J1151" s="105" t="str">
        <f>IF(F1151=True, IFERROR(VLOOKUP(D1151, Repository!A:C, 3, 0), ""), "")</f>
        <v/>
      </c>
      <c r="K1151" s="105"/>
      <c r="L1151" s="105" t="str">
        <f>IF(F1151=True, IFERROR(VLOOKUP(D1151, Repository!A:E, 5, 0), ""), "")</f>
        <v/>
      </c>
      <c r="M1151" s="105"/>
      <c r="N1151" s="105" t="str">
        <f>IF(F1151=True, IFERROR(VLOOKUP(D1151, Repository!A:G, 7, 0), ""), "")</f>
        <v/>
      </c>
      <c r="O1151" s="105" t="str">
        <f>IFERROR(__xludf.DUMMYFUNCTION("ARRAY_CONSTRAIN(
  ARRAYFORMULA(
    IFERROR(
      LET(
        list, N1151,
        arr, TRIM(SPLIT(list, "","")),
        names, XLOOKUP(
          arr,
          'Conformance Score'!A:A,
          'Conformance Score'!B:B,
          ""Not found""
     "&amp;"   ),
        TEXTJOIN("", "", TRUE, names)
      ),
      """"
    )
  ),
  1,
  1
)
"),"")</f>
        <v/>
      </c>
      <c r="P1151" s="105" t="str">
        <f>IF(F1151="Yes", IFERROR(VLOOKUP(D1151, Repository!A:F, 6, 0), ""), "")</f>
        <v/>
      </c>
      <c r="Q1151" s="105" t="str">
        <f>IF(F1151="Yes", IFERROR(VLOOKUP(D1151, Repository!A:I, 8, 0), ""), "")</f>
        <v/>
      </c>
      <c r="R1151" s="105" t="str">
        <f>IF(F1151="Yes", IFERROR(VLOOKUP(D1151, Repository!A:J, 9, 0), ""), "")</f>
        <v/>
      </c>
      <c r="S1151" s="105"/>
      <c r="T1151" s="105"/>
      <c r="U1151" s="105"/>
      <c r="V1151" s="105"/>
      <c r="W1151" s="105"/>
      <c r="X1151" s="105"/>
      <c r="Y1151" s="105"/>
      <c r="Z1151" s="105"/>
      <c r="AA1151" s="105"/>
      <c r="AB1151" s="105"/>
      <c r="AC1151" s="91"/>
      <c r="AD1151" s="105"/>
      <c r="AE1151" s="105"/>
      <c r="AF1151" s="91"/>
      <c r="AG1151" s="105"/>
      <c r="AH1151" s="105"/>
      <c r="AI1151" s="105" t="str">
        <f t="shared" si="1"/>
        <v/>
      </c>
      <c r="AJ1151" s="108" t="str">
        <f t="shared" si="2"/>
        <v/>
      </c>
    </row>
    <row r="1152" ht="15.75" customHeight="1">
      <c r="A1152" s="104"/>
      <c r="B1152" s="105" t="str">
        <f>IFERROR(__xludf.DUMMYFUNCTION("ARRAY_CONSTRAIN(
  ARRAYFORMULA(
    IF(
      'Final Report'!A1152="""",
      """",
      TEXTJOIN(
        "", "" &amp; CHAR(10),
        TRUE,
        IFERROR(
          VLOOKUP(
            TRIM(
              SPLIT('Final Report'!A1152, "","")
         "&amp;"   ),
            'URL Details'!A:B,
            2,
            FALSE
          ),
          """"
        )
      )
    )
  ),
  1,
  1
)
"),"")</f>
        <v/>
      </c>
      <c r="C1152" s="105" t="str">
        <f>IFERROR(__xludf.DUMMYFUNCTION("IFERROR(IF('Final Report'!A1152="""","""", TEXTJOIN(CHAR(10), TRUE, ARRAYFORMULA( ""• ""&amp; FILTER( TRIM(FLATTEN(SPLIT( REGEXREPLACE( SUBSTITUTE(TEXTJOIN("","", TRUE, IFERROR(ARRAYFORMULA(VLOOKUP(TRIM(SPLIT('Final Report'!A1152, "","")), 'URL Details'!A:D, "&amp;"4, FALSE)),"""") ), CHAR(10), "",""), ""\s*,\s*"", "",""), "",""))), TRIM(FLATTEN(SPLIT( REGEXREPLACE( SUBSTITUTE(TEXTJOIN("","", TRUE, IFERROR(ARRAYFORMULA(VLOOKUP(TRIM(SPLIT('Final Report'!A1152, "","")), 'URL Details'!A:D, 4, FALSE)),"""") ), CHAR(10),"&amp;" "",""), ""\s*,\s*"", "",""), "","")))&lt;&gt;"""" ) ) ) ),"""")
"),"")</f>
        <v/>
      </c>
      <c r="D1152" s="105"/>
      <c r="E1152" s="105"/>
      <c r="F1152" s="110" t="b">
        <v>0</v>
      </c>
      <c r="G1152" s="105" t="str">
        <f>IF(F1152=True, IFERROR(VLOOKUP(D1152, Repository!A:B, 2, 0), ""), "")</f>
        <v/>
      </c>
      <c r="H1152" s="105"/>
      <c r="I1152" s="105"/>
      <c r="J1152" s="105" t="str">
        <f>IF(F1152=True, IFERROR(VLOOKUP(D1152, Repository!A:C, 3, 0), ""), "")</f>
        <v/>
      </c>
      <c r="K1152" s="105"/>
      <c r="L1152" s="105" t="str">
        <f>IF(F1152=True, IFERROR(VLOOKUP(D1152, Repository!A:E, 5, 0), ""), "")</f>
        <v/>
      </c>
      <c r="M1152" s="105"/>
      <c r="N1152" s="105" t="str">
        <f>IF(F1152=True, IFERROR(VLOOKUP(D1152, Repository!A:G, 7, 0), ""), "")</f>
        <v/>
      </c>
      <c r="O1152" s="105" t="str">
        <f>IFERROR(__xludf.DUMMYFUNCTION("ARRAY_CONSTRAIN(
  ARRAYFORMULA(
    IFERROR(
      LET(
        list, N1152,
        arr, TRIM(SPLIT(list, "","")),
        names, XLOOKUP(
          arr,
          'Conformance Score'!A:A,
          'Conformance Score'!B:B,
          ""Not found""
     "&amp;"   ),
        TEXTJOIN("", "", TRUE, names)
      ),
      """"
    )
  ),
  1,
  1
)
"),"")</f>
        <v/>
      </c>
      <c r="P1152" s="105" t="str">
        <f>IF(F1152="Yes", IFERROR(VLOOKUP(D1152, Repository!A:F, 6, 0), ""), "")</f>
        <v/>
      </c>
      <c r="Q1152" s="105" t="str">
        <f>IF(F1152="Yes", IFERROR(VLOOKUP(D1152, Repository!A:I, 8, 0), ""), "")</f>
        <v/>
      </c>
      <c r="R1152" s="105" t="str">
        <f>IF(F1152="Yes", IFERROR(VLOOKUP(D1152, Repository!A:J, 9, 0), ""), "")</f>
        <v/>
      </c>
      <c r="S1152" s="105"/>
      <c r="T1152" s="105"/>
      <c r="U1152" s="105"/>
      <c r="V1152" s="105"/>
      <c r="W1152" s="105"/>
      <c r="X1152" s="105"/>
      <c r="Y1152" s="105"/>
      <c r="Z1152" s="105"/>
      <c r="AA1152" s="105"/>
      <c r="AB1152" s="105"/>
      <c r="AC1152" s="91"/>
      <c r="AD1152" s="105"/>
      <c r="AE1152" s="105"/>
      <c r="AF1152" s="91"/>
      <c r="AG1152" s="105"/>
      <c r="AH1152" s="105"/>
      <c r="AI1152" s="105" t="str">
        <f t="shared" si="1"/>
        <v/>
      </c>
      <c r="AJ1152" s="108" t="str">
        <f t="shared" si="2"/>
        <v/>
      </c>
    </row>
    <row r="1153" ht="15.75" customHeight="1">
      <c r="A1153" s="104"/>
      <c r="B1153" s="105" t="str">
        <f>IFERROR(__xludf.DUMMYFUNCTION("ARRAY_CONSTRAIN(
  ARRAYFORMULA(
    IF(
      'Final Report'!A1153="""",
      """",
      TEXTJOIN(
        "", "" &amp; CHAR(10),
        TRUE,
        IFERROR(
          VLOOKUP(
            TRIM(
              SPLIT('Final Report'!A1153, "","")
         "&amp;"   ),
            'URL Details'!A:B,
            2,
            FALSE
          ),
          """"
        )
      )
    )
  ),
  1,
  1
)
"),"")</f>
        <v/>
      </c>
      <c r="C1153" s="105" t="str">
        <f>IFERROR(__xludf.DUMMYFUNCTION("IFERROR(IF('Final Report'!A1153="""","""", TEXTJOIN(CHAR(10), TRUE, ARRAYFORMULA( ""• ""&amp; FILTER( TRIM(FLATTEN(SPLIT( REGEXREPLACE( SUBSTITUTE(TEXTJOIN("","", TRUE, IFERROR(ARRAYFORMULA(VLOOKUP(TRIM(SPLIT('Final Report'!A1153, "","")), 'URL Details'!A:D, "&amp;"4, FALSE)),"""") ), CHAR(10), "",""), ""\s*,\s*"", "",""), "",""))), TRIM(FLATTEN(SPLIT( REGEXREPLACE( SUBSTITUTE(TEXTJOIN("","", TRUE, IFERROR(ARRAYFORMULA(VLOOKUP(TRIM(SPLIT('Final Report'!A1153, "","")), 'URL Details'!A:D, 4, FALSE)),"""") ), CHAR(10),"&amp;" "",""), ""\s*,\s*"", "",""), "","")))&lt;&gt;"""" ) ) ) ),"""")
"),"")</f>
        <v/>
      </c>
      <c r="D1153" s="105"/>
      <c r="E1153" s="105"/>
      <c r="F1153" s="110" t="b">
        <v>0</v>
      </c>
      <c r="G1153" s="105" t="str">
        <f>IF(F1153=True, IFERROR(VLOOKUP(D1153, Repository!A:B, 2, 0), ""), "")</f>
        <v/>
      </c>
      <c r="H1153" s="105"/>
      <c r="I1153" s="105"/>
      <c r="J1153" s="105" t="str">
        <f>IF(F1153=True, IFERROR(VLOOKUP(D1153, Repository!A:C, 3, 0), ""), "")</f>
        <v/>
      </c>
      <c r="K1153" s="105"/>
      <c r="L1153" s="105" t="str">
        <f>IF(F1153=True, IFERROR(VLOOKUP(D1153, Repository!A:E, 5, 0), ""), "")</f>
        <v/>
      </c>
      <c r="M1153" s="105"/>
      <c r="N1153" s="105" t="str">
        <f>IF(F1153=True, IFERROR(VLOOKUP(D1153, Repository!A:G, 7, 0), ""), "")</f>
        <v/>
      </c>
      <c r="O1153" s="105" t="str">
        <f>IFERROR(__xludf.DUMMYFUNCTION("ARRAY_CONSTRAIN(
  ARRAYFORMULA(
    IFERROR(
      LET(
        list, N1153,
        arr, TRIM(SPLIT(list, "","")),
        names, XLOOKUP(
          arr,
          'Conformance Score'!A:A,
          'Conformance Score'!B:B,
          ""Not found""
     "&amp;"   ),
        TEXTJOIN("", "", TRUE, names)
      ),
      """"
    )
  ),
  1,
  1
)
"),"")</f>
        <v/>
      </c>
      <c r="P1153" s="105" t="str">
        <f>IF(F1153="Yes", IFERROR(VLOOKUP(D1153, Repository!A:F, 6, 0), ""), "")</f>
        <v/>
      </c>
      <c r="Q1153" s="105" t="str">
        <f>IF(F1153="Yes", IFERROR(VLOOKUP(D1153, Repository!A:I, 8, 0), ""), "")</f>
        <v/>
      </c>
      <c r="R1153" s="105" t="str">
        <f>IF(F1153="Yes", IFERROR(VLOOKUP(D1153, Repository!A:J, 9, 0), ""), "")</f>
        <v/>
      </c>
      <c r="S1153" s="105"/>
      <c r="T1153" s="105"/>
      <c r="U1153" s="105"/>
      <c r="V1153" s="105"/>
      <c r="W1153" s="105"/>
      <c r="X1153" s="105"/>
      <c r="Y1153" s="105"/>
      <c r="Z1153" s="105"/>
      <c r="AA1153" s="105"/>
      <c r="AB1153" s="105"/>
      <c r="AC1153" s="91"/>
      <c r="AD1153" s="105"/>
      <c r="AE1153" s="105"/>
      <c r="AF1153" s="91"/>
      <c r="AG1153" s="105"/>
      <c r="AH1153" s="105"/>
      <c r="AI1153" s="105" t="str">
        <f t="shared" si="1"/>
        <v/>
      </c>
      <c r="AJ1153" s="108" t="str">
        <f t="shared" si="2"/>
        <v/>
      </c>
    </row>
    <row r="1154" ht="15.75" customHeight="1">
      <c r="A1154" s="104"/>
      <c r="B1154" s="105" t="str">
        <f>IFERROR(__xludf.DUMMYFUNCTION("ARRAY_CONSTRAIN(
  ARRAYFORMULA(
    IF(
      'Final Report'!A1154="""",
      """",
      TEXTJOIN(
        "", "" &amp; CHAR(10),
        TRUE,
        IFERROR(
          VLOOKUP(
            TRIM(
              SPLIT('Final Report'!A1154, "","")
         "&amp;"   ),
            'URL Details'!A:B,
            2,
            FALSE
          ),
          """"
        )
      )
    )
  ),
  1,
  1
)
"),"")</f>
        <v/>
      </c>
      <c r="C1154" s="105" t="str">
        <f>IFERROR(__xludf.DUMMYFUNCTION("IFERROR(IF('Final Report'!A1154="""","""", TEXTJOIN(CHAR(10), TRUE, ARRAYFORMULA( ""• ""&amp; FILTER( TRIM(FLATTEN(SPLIT( REGEXREPLACE( SUBSTITUTE(TEXTJOIN("","", TRUE, IFERROR(ARRAYFORMULA(VLOOKUP(TRIM(SPLIT('Final Report'!A1154, "","")), 'URL Details'!A:D, "&amp;"4, FALSE)),"""") ), CHAR(10), "",""), ""\s*,\s*"", "",""), "",""))), TRIM(FLATTEN(SPLIT( REGEXREPLACE( SUBSTITUTE(TEXTJOIN("","", TRUE, IFERROR(ARRAYFORMULA(VLOOKUP(TRIM(SPLIT('Final Report'!A1154, "","")), 'URL Details'!A:D, 4, FALSE)),"""") ), CHAR(10),"&amp;" "",""), ""\s*,\s*"", "",""), "","")))&lt;&gt;"""" ) ) ) ),"""")
"),"")</f>
        <v/>
      </c>
      <c r="D1154" s="105"/>
      <c r="E1154" s="105"/>
      <c r="F1154" s="110" t="b">
        <v>0</v>
      </c>
      <c r="G1154" s="105" t="str">
        <f>IF(F1154=True, IFERROR(VLOOKUP(D1154, Repository!A:B, 2, 0), ""), "")</f>
        <v/>
      </c>
      <c r="H1154" s="105"/>
      <c r="I1154" s="105"/>
      <c r="J1154" s="105" t="str">
        <f>IF(F1154=True, IFERROR(VLOOKUP(D1154, Repository!A:C, 3, 0), ""), "")</f>
        <v/>
      </c>
      <c r="K1154" s="105"/>
      <c r="L1154" s="105" t="str">
        <f>IF(F1154=True, IFERROR(VLOOKUP(D1154, Repository!A:E, 5, 0), ""), "")</f>
        <v/>
      </c>
      <c r="M1154" s="105"/>
      <c r="N1154" s="105" t="str">
        <f>IF(F1154=True, IFERROR(VLOOKUP(D1154, Repository!A:G, 7, 0), ""), "")</f>
        <v/>
      </c>
      <c r="O1154" s="105" t="str">
        <f>IFERROR(__xludf.DUMMYFUNCTION("ARRAY_CONSTRAIN(
  ARRAYFORMULA(
    IFERROR(
      LET(
        list, N1154,
        arr, TRIM(SPLIT(list, "","")),
        names, XLOOKUP(
          arr,
          'Conformance Score'!A:A,
          'Conformance Score'!B:B,
          ""Not found""
     "&amp;"   ),
        TEXTJOIN("", "", TRUE, names)
      ),
      """"
    )
  ),
  1,
  1
)
"),"")</f>
        <v/>
      </c>
      <c r="P1154" s="105" t="str">
        <f>IF(F1154="Yes", IFERROR(VLOOKUP(D1154, Repository!A:F, 6, 0), ""), "")</f>
        <v/>
      </c>
      <c r="Q1154" s="105" t="str">
        <f>IF(F1154="Yes", IFERROR(VLOOKUP(D1154, Repository!A:I, 8, 0), ""), "")</f>
        <v/>
      </c>
      <c r="R1154" s="105" t="str">
        <f>IF(F1154="Yes", IFERROR(VLOOKUP(D1154, Repository!A:J, 9, 0), ""), "")</f>
        <v/>
      </c>
      <c r="S1154" s="105"/>
      <c r="T1154" s="105"/>
      <c r="U1154" s="105"/>
      <c r="V1154" s="105"/>
      <c r="W1154" s="105"/>
      <c r="X1154" s="105"/>
      <c r="Y1154" s="105"/>
      <c r="Z1154" s="105"/>
      <c r="AA1154" s="105"/>
      <c r="AB1154" s="105"/>
      <c r="AC1154" s="91"/>
      <c r="AD1154" s="105"/>
      <c r="AE1154" s="105"/>
      <c r="AF1154" s="91"/>
      <c r="AG1154" s="105"/>
      <c r="AH1154" s="105"/>
      <c r="AI1154" s="105" t="str">
        <f t="shared" si="1"/>
        <v/>
      </c>
      <c r="AJ1154" s="108" t="str">
        <f t="shared" si="2"/>
        <v/>
      </c>
    </row>
    <row r="1155" ht="15.75" customHeight="1">
      <c r="A1155" s="104"/>
      <c r="B1155" s="105" t="str">
        <f>IFERROR(__xludf.DUMMYFUNCTION("ARRAY_CONSTRAIN(
  ARRAYFORMULA(
    IF(
      'Final Report'!A1155="""",
      """",
      TEXTJOIN(
        "", "" &amp; CHAR(10),
        TRUE,
        IFERROR(
          VLOOKUP(
            TRIM(
              SPLIT('Final Report'!A1155, "","")
         "&amp;"   ),
            'URL Details'!A:B,
            2,
            FALSE
          ),
          """"
        )
      )
    )
  ),
  1,
  1
)
"),"")</f>
        <v/>
      </c>
      <c r="C1155" s="105" t="str">
        <f>IFERROR(__xludf.DUMMYFUNCTION("IFERROR(IF('Final Report'!A1155="""","""", TEXTJOIN(CHAR(10), TRUE, ARRAYFORMULA( ""• ""&amp; FILTER( TRIM(FLATTEN(SPLIT( REGEXREPLACE( SUBSTITUTE(TEXTJOIN("","", TRUE, IFERROR(ARRAYFORMULA(VLOOKUP(TRIM(SPLIT('Final Report'!A1155, "","")), 'URL Details'!A:D, "&amp;"4, FALSE)),"""") ), CHAR(10), "",""), ""\s*,\s*"", "",""), "",""))), TRIM(FLATTEN(SPLIT( REGEXREPLACE( SUBSTITUTE(TEXTJOIN("","", TRUE, IFERROR(ARRAYFORMULA(VLOOKUP(TRIM(SPLIT('Final Report'!A1155, "","")), 'URL Details'!A:D, 4, FALSE)),"""") ), CHAR(10),"&amp;" "",""), ""\s*,\s*"", "",""), "","")))&lt;&gt;"""" ) ) ) ),"""")
"),"")</f>
        <v/>
      </c>
      <c r="D1155" s="105"/>
      <c r="E1155" s="105"/>
      <c r="F1155" s="110" t="b">
        <v>0</v>
      </c>
      <c r="G1155" s="105" t="str">
        <f>IF(F1155=True, IFERROR(VLOOKUP(D1155, Repository!A:B, 2, 0), ""), "")</f>
        <v/>
      </c>
      <c r="H1155" s="105"/>
      <c r="I1155" s="105"/>
      <c r="J1155" s="105" t="str">
        <f>IF(F1155=True, IFERROR(VLOOKUP(D1155, Repository!A:C, 3, 0), ""), "")</f>
        <v/>
      </c>
      <c r="K1155" s="105"/>
      <c r="L1155" s="105" t="str">
        <f>IF(F1155=True, IFERROR(VLOOKUP(D1155, Repository!A:E, 5, 0), ""), "")</f>
        <v/>
      </c>
      <c r="M1155" s="105"/>
      <c r="N1155" s="105" t="str">
        <f>IF(F1155=True, IFERROR(VLOOKUP(D1155, Repository!A:G, 7, 0), ""), "")</f>
        <v/>
      </c>
      <c r="O1155" s="105" t="str">
        <f>IFERROR(__xludf.DUMMYFUNCTION("ARRAY_CONSTRAIN(
  ARRAYFORMULA(
    IFERROR(
      LET(
        list, N1155,
        arr, TRIM(SPLIT(list, "","")),
        names, XLOOKUP(
          arr,
          'Conformance Score'!A:A,
          'Conformance Score'!B:B,
          ""Not found""
     "&amp;"   ),
        TEXTJOIN("", "", TRUE, names)
      ),
      """"
    )
  ),
  1,
  1
)
"),"")</f>
        <v/>
      </c>
      <c r="P1155" s="105" t="str">
        <f>IF(F1155="Yes", IFERROR(VLOOKUP(D1155, Repository!A:F, 6, 0), ""), "")</f>
        <v/>
      </c>
      <c r="Q1155" s="105" t="str">
        <f>IF(F1155="Yes", IFERROR(VLOOKUP(D1155, Repository!A:I, 8, 0), ""), "")</f>
        <v/>
      </c>
      <c r="R1155" s="105" t="str">
        <f>IF(F1155="Yes", IFERROR(VLOOKUP(D1155, Repository!A:J, 9, 0), ""), "")</f>
        <v/>
      </c>
      <c r="S1155" s="105"/>
      <c r="T1155" s="105"/>
      <c r="U1155" s="105"/>
      <c r="V1155" s="105"/>
      <c r="W1155" s="105"/>
      <c r="X1155" s="105"/>
      <c r="Y1155" s="105"/>
      <c r="Z1155" s="105"/>
      <c r="AA1155" s="105"/>
      <c r="AB1155" s="105"/>
      <c r="AC1155" s="91"/>
      <c r="AD1155" s="105"/>
      <c r="AE1155" s="105"/>
      <c r="AF1155" s="91"/>
      <c r="AG1155" s="105"/>
      <c r="AH1155" s="105"/>
      <c r="AI1155" s="105" t="str">
        <f t="shared" si="1"/>
        <v/>
      </c>
      <c r="AJ1155" s="108" t="str">
        <f t="shared" si="2"/>
        <v/>
      </c>
    </row>
    <row r="1156" ht="15.75" customHeight="1">
      <c r="A1156" s="104"/>
      <c r="B1156" s="105" t="str">
        <f>IFERROR(__xludf.DUMMYFUNCTION("ARRAY_CONSTRAIN(
  ARRAYFORMULA(
    IF(
      'Final Report'!A1156="""",
      """",
      TEXTJOIN(
        "", "" &amp; CHAR(10),
        TRUE,
        IFERROR(
          VLOOKUP(
            TRIM(
              SPLIT('Final Report'!A1156, "","")
         "&amp;"   ),
            'URL Details'!A:B,
            2,
            FALSE
          ),
          """"
        )
      )
    )
  ),
  1,
  1
)
"),"")</f>
        <v/>
      </c>
      <c r="C1156" s="105" t="str">
        <f>IFERROR(__xludf.DUMMYFUNCTION("IFERROR(IF('Final Report'!A1156="""","""", TEXTJOIN(CHAR(10), TRUE, ARRAYFORMULA( ""• ""&amp; FILTER( TRIM(FLATTEN(SPLIT( REGEXREPLACE( SUBSTITUTE(TEXTJOIN("","", TRUE, IFERROR(ARRAYFORMULA(VLOOKUP(TRIM(SPLIT('Final Report'!A1156, "","")), 'URL Details'!A:D, "&amp;"4, FALSE)),"""") ), CHAR(10), "",""), ""\s*,\s*"", "",""), "",""))), TRIM(FLATTEN(SPLIT( REGEXREPLACE( SUBSTITUTE(TEXTJOIN("","", TRUE, IFERROR(ARRAYFORMULA(VLOOKUP(TRIM(SPLIT('Final Report'!A1156, "","")), 'URL Details'!A:D, 4, FALSE)),"""") ), CHAR(10),"&amp;" "",""), ""\s*,\s*"", "",""), "","")))&lt;&gt;"""" ) ) ) ),"""")
"),"")</f>
        <v/>
      </c>
      <c r="D1156" s="105"/>
      <c r="E1156" s="105"/>
      <c r="F1156" s="110" t="b">
        <v>0</v>
      </c>
      <c r="G1156" s="105" t="str">
        <f>IF(F1156=True, IFERROR(VLOOKUP(D1156, Repository!A:B, 2, 0), ""), "")</f>
        <v/>
      </c>
      <c r="H1156" s="105"/>
      <c r="I1156" s="105"/>
      <c r="J1156" s="105" t="str">
        <f>IF(F1156=True, IFERROR(VLOOKUP(D1156, Repository!A:C, 3, 0), ""), "")</f>
        <v/>
      </c>
      <c r="K1156" s="105"/>
      <c r="L1156" s="105" t="str">
        <f>IF(F1156=True, IFERROR(VLOOKUP(D1156, Repository!A:E, 5, 0), ""), "")</f>
        <v/>
      </c>
      <c r="M1156" s="105"/>
      <c r="N1156" s="105" t="str">
        <f>IF(F1156=True, IFERROR(VLOOKUP(D1156, Repository!A:G, 7, 0), ""), "")</f>
        <v/>
      </c>
      <c r="O1156" s="105" t="str">
        <f>IFERROR(__xludf.DUMMYFUNCTION("ARRAY_CONSTRAIN(
  ARRAYFORMULA(
    IFERROR(
      LET(
        list, N1156,
        arr, TRIM(SPLIT(list, "","")),
        names, XLOOKUP(
          arr,
          'Conformance Score'!A:A,
          'Conformance Score'!B:B,
          ""Not found""
     "&amp;"   ),
        TEXTJOIN("", "", TRUE, names)
      ),
      """"
    )
  ),
  1,
  1
)
"),"")</f>
        <v/>
      </c>
      <c r="P1156" s="105" t="str">
        <f>IF(F1156="Yes", IFERROR(VLOOKUP(D1156, Repository!A:F, 6, 0), ""), "")</f>
        <v/>
      </c>
      <c r="Q1156" s="105" t="str">
        <f>IF(F1156="Yes", IFERROR(VLOOKUP(D1156, Repository!A:I, 8, 0), ""), "")</f>
        <v/>
      </c>
      <c r="R1156" s="105" t="str">
        <f>IF(F1156="Yes", IFERROR(VLOOKUP(D1156, Repository!A:J, 9, 0), ""), "")</f>
        <v/>
      </c>
      <c r="S1156" s="105"/>
      <c r="T1156" s="105"/>
      <c r="U1156" s="105"/>
      <c r="V1156" s="105"/>
      <c r="W1156" s="105"/>
      <c r="X1156" s="105"/>
      <c r="Y1156" s="105"/>
      <c r="Z1156" s="105"/>
      <c r="AA1156" s="105"/>
      <c r="AB1156" s="105"/>
      <c r="AC1156" s="91"/>
      <c r="AD1156" s="105"/>
      <c r="AE1156" s="105"/>
      <c r="AF1156" s="91"/>
      <c r="AG1156" s="105"/>
      <c r="AH1156" s="105"/>
      <c r="AI1156" s="105" t="str">
        <f t="shared" si="1"/>
        <v/>
      </c>
      <c r="AJ1156" s="108" t="str">
        <f t="shared" si="2"/>
        <v/>
      </c>
    </row>
    <row r="1157" ht="15.75" customHeight="1">
      <c r="A1157" s="104"/>
      <c r="B1157" s="105" t="str">
        <f>IFERROR(__xludf.DUMMYFUNCTION("ARRAY_CONSTRAIN(
  ARRAYFORMULA(
    IF(
      'Final Report'!A1157="""",
      """",
      TEXTJOIN(
        "", "" &amp; CHAR(10),
        TRUE,
        IFERROR(
          VLOOKUP(
            TRIM(
              SPLIT('Final Report'!A1157, "","")
         "&amp;"   ),
            'URL Details'!A:B,
            2,
            FALSE
          ),
          """"
        )
      )
    )
  ),
  1,
  1
)
"),"")</f>
        <v/>
      </c>
      <c r="C1157" s="105" t="str">
        <f>IFERROR(__xludf.DUMMYFUNCTION("IFERROR(IF('Final Report'!A1157="""","""", TEXTJOIN(CHAR(10), TRUE, ARRAYFORMULA( ""• ""&amp; FILTER( TRIM(FLATTEN(SPLIT( REGEXREPLACE( SUBSTITUTE(TEXTJOIN("","", TRUE, IFERROR(ARRAYFORMULA(VLOOKUP(TRIM(SPLIT('Final Report'!A1157, "","")), 'URL Details'!A:D, "&amp;"4, FALSE)),"""") ), CHAR(10), "",""), ""\s*,\s*"", "",""), "",""))), TRIM(FLATTEN(SPLIT( REGEXREPLACE( SUBSTITUTE(TEXTJOIN("","", TRUE, IFERROR(ARRAYFORMULA(VLOOKUP(TRIM(SPLIT('Final Report'!A1157, "","")), 'URL Details'!A:D, 4, FALSE)),"""") ), CHAR(10),"&amp;" "",""), ""\s*,\s*"", "",""), "","")))&lt;&gt;"""" ) ) ) ),"""")
"),"")</f>
        <v/>
      </c>
      <c r="D1157" s="105"/>
      <c r="E1157" s="105"/>
      <c r="F1157" s="110" t="b">
        <v>0</v>
      </c>
      <c r="G1157" s="105" t="str">
        <f>IF(F1157=True, IFERROR(VLOOKUP(D1157, Repository!A:B, 2, 0), ""), "")</f>
        <v/>
      </c>
      <c r="H1157" s="105"/>
      <c r="I1157" s="105"/>
      <c r="J1157" s="105" t="str">
        <f>IF(F1157=True, IFERROR(VLOOKUP(D1157, Repository!A:C, 3, 0), ""), "")</f>
        <v/>
      </c>
      <c r="K1157" s="105"/>
      <c r="L1157" s="105" t="str">
        <f>IF(F1157=True, IFERROR(VLOOKUP(D1157, Repository!A:E, 5, 0), ""), "")</f>
        <v/>
      </c>
      <c r="M1157" s="105"/>
      <c r="N1157" s="105" t="str">
        <f>IF(F1157=True, IFERROR(VLOOKUP(D1157, Repository!A:G, 7, 0), ""), "")</f>
        <v/>
      </c>
      <c r="O1157" s="105" t="str">
        <f>IFERROR(__xludf.DUMMYFUNCTION("ARRAY_CONSTRAIN(
  ARRAYFORMULA(
    IFERROR(
      LET(
        list, N1157,
        arr, TRIM(SPLIT(list, "","")),
        names, XLOOKUP(
          arr,
          'Conformance Score'!A:A,
          'Conformance Score'!B:B,
          ""Not found""
     "&amp;"   ),
        TEXTJOIN("", "", TRUE, names)
      ),
      """"
    )
  ),
  1,
  1
)
"),"")</f>
        <v/>
      </c>
      <c r="P1157" s="105" t="str">
        <f>IF(F1157="Yes", IFERROR(VLOOKUP(D1157, Repository!A:F, 6, 0), ""), "")</f>
        <v/>
      </c>
      <c r="Q1157" s="105" t="str">
        <f>IF(F1157="Yes", IFERROR(VLOOKUP(D1157, Repository!A:I, 8, 0), ""), "")</f>
        <v/>
      </c>
      <c r="R1157" s="105" t="str">
        <f>IF(F1157="Yes", IFERROR(VLOOKUP(D1157, Repository!A:J, 9, 0), ""), "")</f>
        <v/>
      </c>
      <c r="S1157" s="105"/>
      <c r="T1157" s="105"/>
      <c r="U1157" s="105"/>
      <c r="V1157" s="105"/>
      <c r="W1157" s="105"/>
      <c r="X1157" s="105"/>
      <c r="Y1157" s="105"/>
      <c r="Z1157" s="105"/>
      <c r="AA1157" s="105"/>
      <c r="AB1157" s="105"/>
      <c r="AC1157" s="91"/>
      <c r="AD1157" s="105"/>
      <c r="AE1157" s="105"/>
      <c r="AF1157" s="91"/>
      <c r="AG1157" s="105"/>
      <c r="AH1157" s="105"/>
      <c r="AI1157" s="105" t="str">
        <f t="shared" si="1"/>
        <v/>
      </c>
      <c r="AJ1157" s="108" t="str">
        <f t="shared" si="2"/>
        <v/>
      </c>
    </row>
    <row r="1158" ht="15.75" customHeight="1">
      <c r="A1158" s="104"/>
      <c r="B1158" s="105" t="str">
        <f>IFERROR(__xludf.DUMMYFUNCTION("ARRAY_CONSTRAIN(
  ARRAYFORMULA(
    IF(
      'Final Report'!A1158="""",
      """",
      TEXTJOIN(
        "", "" &amp; CHAR(10),
        TRUE,
        IFERROR(
          VLOOKUP(
            TRIM(
              SPLIT('Final Report'!A1158, "","")
         "&amp;"   ),
            'URL Details'!A:B,
            2,
            FALSE
          ),
          """"
        )
      )
    )
  ),
  1,
  1
)
"),"")</f>
        <v/>
      </c>
      <c r="C1158" s="105" t="str">
        <f>IFERROR(__xludf.DUMMYFUNCTION("IFERROR(IF('Final Report'!A1158="""","""", TEXTJOIN(CHAR(10), TRUE, ARRAYFORMULA( ""• ""&amp; FILTER( TRIM(FLATTEN(SPLIT( REGEXREPLACE( SUBSTITUTE(TEXTJOIN("","", TRUE, IFERROR(ARRAYFORMULA(VLOOKUP(TRIM(SPLIT('Final Report'!A1158, "","")), 'URL Details'!A:D, "&amp;"4, FALSE)),"""") ), CHAR(10), "",""), ""\s*,\s*"", "",""), "",""))), TRIM(FLATTEN(SPLIT( REGEXREPLACE( SUBSTITUTE(TEXTJOIN("","", TRUE, IFERROR(ARRAYFORMULA(VLOOKUP(TRIM(SPLIT('Final Report'!A1158, "","")), 'URL Details'!A:D, 4, FALSE)),"""") ), CHAR(10),"&amp;" "",""), ""\s*,\s*"", "",""), "","")))&lt;&gt;"""" ) ) ) ),"""")
"),"")</f>
        <v/>
      </c>
      <c r="D1158" s="105"/>
      <c r="E1158" s="105"/>
      <c r="F1158" s="110" t="b">
        <v>0</v>
      </c>
      <c r="G1158" s="105" t="str">
        <f>IF(F1158=True, IFERROR(VLOOKUP(D1158, Repository!A:B, 2, 0), ""), "")</f>
        <v/>
      </c>
      <c r="H1158" s="105"/>
      <c r="I1158" s="105"/>
      <c r="J1158" s="105" t="str">
        <f>IF(F1158=True, IFERROR(VLOOKUP(D1158, Repository!A:C, 3, 0), ""), "")</f>
        <v/>
      </c>
      <c r="K1158" s="105"/>
      <c r="L1158" s="105" t="str">
        <f>IF(F1158=True, IFERROR(VLOOKUP(D1158, Repository!A:E, 5, 0), ""), "")</f>
        <v/>
      </c>
      <c r="M1158" s="105"/>
      <c r="N1158" s="105" t="str">
        <f>IF(F1158=True, IFERROR(VLOOKUP(D1158, Repository!A:G, 7, 0), ""), "")</f>
        <v/>
      </c>
      <c r="O1158" s="105" t="str">
        <f>IFERROR(__xludf.DUMMYFUNCTION("ARRAY_CONSTRAIN(
  ARRAYFORMULA(
    IFERROR(
      LET(
        list, N1158,
        arr, TRIM(SPLIT(list, "","")),
        names, XLOOKUP(
          arr,
          'Conformance Score'!A:A,
          'Conformance Score'!B:B,
          ""Not found""
     "&amp;"   ),
        TEXTJOIN("", "", TRUE, names)
      ),
      """"
    )
  ),
  1,
  1
)
"),"")</f>
        <v/>
      </c>
      <c r="P1158" s="105" t="str">
        <f>IF(F1158="Yes", IFERROR(VLOOKUP(D1158, Repository!A:F, 6, 0), ""), "")</f>
        <v/>
      </c>
      <c r="Q1158" s="105" t="str">
        <f>IF(F1158="Yes", IFERROR(VLOOKUP(D1158, Repository!A:I, 8, 0), ""), "")</f>
        <v/>
      </c>
      <c r="R1158" s="105" t="str">
        <f>IF(F1158="Yes", IFERROR(VLOOKUP(D1158, Repository!A:J, 9, 0), ""), "")</f>
        <v/>
      </c>
      <c r="S1158" s="105"/>
      <c r="T1158" s="105"/>
      <c r="U1158" s="105"/>
      <c r="V1158" s="105"/>
      <c r="W1158" s="105"/>
      <c r="X1158" s="105"/>
      <c r="Y1158" s="105"/>
      <c r="Z1158" s="105"/>
      <c r="AA1158" s="105"/>
      <c r="AB1158" s="105"/>
      <c r="AC1158" s="91"/>
      <c r="AD1158" s="105"/>
      <c r="AE1158" s="105"/>
      <c r="AF1158" s="91"/>
      <c r="AG1158" s="105"/>
      <c r="AH1158" s="105"/>
      <c r="AI1158" s="105" t="str">
        <f t="shared" si="1"/>
        <v/>
      </c>
      <c r="AJ1158" s="108" t="str">
        <f t="shared" si="2"/>
        <v/>
      </c>
    </row>
    <row r="1159" ht="15.75" customHeight="1">
      <c r="A1159" s="104"/>
      <c r="B1159" s="105" t="str">
        <f>IFERROR(__xludf.DUMMYFUNCTION("ARRAY_CONSTRAIN(
  ARRAYFORMULA(
    IF(
      'Final Report'!A1159="""",
      """",
      TEXTJOIN(
        "", "" &amp; CHAR(10),
        TRUE,
        IFERROR(
          VLOOKUP(
            TRIM(
              SPLIT('Final Report'!A1159, "","")
         "&amp;"   ),
            'URL Details'!A:B,
            2,
            FALSE
          ),
          """"
        )
      )
    )
  ),
  1,
  1
)
"),"")</f>
        <v/>
      </c>
      <c r="C1159" s="105" t="str">
        <f>IFERROR(__xludf.DUMMYFUNCTION("IFERROR(IF('Final Report'!A1159="""","""", TEXTJOIN(CHAR(10), TRUE, ARRAYFORMULA( ""• ""&amp; FILTER( TRIM(FLATTEN(SPLIT( REGEXREPLACE( SUBSTITUTE(TEXTJOIN("","", TRUE, IFERROR(ARRAYFORMULA(VLOOKUP(TRIM(SPLIT('Final Report'!A1159, "","")), 'URL Details'!A:D, "&amp;"4, FALSE)),"""") ), CHAR(10), "",""), ""\s*,\s*"", "",""), "",""))), TRIM(FLATTEN(SPLIT( REGEXREPLACE( SUBSTITUTE(TEXTJOIN("","", TRUE, IFERROR(ARRAYFORMULA(VLOOKUP(TRIM(SPLIT('Final Report'!A1159, "","")), 'URL Details'!A:D, 4, FALSE)),"""") ), CHAR(10),"&amp;" "",""), ""\s*,\s*"", "",""), "","")))&lt;&gt;"""" ) ) ) ),"""")
"),"")</f>
        <v/>
      </c>
      <c r="D1159" s="105"/>
      <c r="E1159" s="105"/>
      <c r="F1159" s="110" t="b">
        <v>0</v>
      </c>
      <c r="G1159" s="105" t="str">
        <f>IF(F1159=True, IFERROR(VLOOKUP(D1159, Repository!A:B, 2, 0), ""), "")</f>
        <v/>
      </c>
      <c r="H1159" s="105"/>
      <c r="I1159" s="105"/>
      <c r="J1159" s="105" t="str">
        <f>IF(F1159=True, IFERROR(VLOOKUP(D1159, Repository!A:C, 3, 0), ""), "")</f>
        <v/>
      </c>
      <c r="K1159" s="105"/>
      <c r="L1159" s="105" t="str">
        <f>IF(F1159=True, IFERROR(VLOOKUP(D1159, Repository!A:E, 5, 0), ""), "")</f>
        <v/>
      </c>
      <c r="M1159" s="105"/>
      <c r="N1159" s="105" t="str">
        <f>IF(F1159=True, IFERROR(VLOOKUP(D1159, Repository!A:G, 7, 0), ""), "")</f>
        <v/>
      </c>
      <c r="O1159" s="105" t="str">
        <f>IFERROR(__xludf.DUMMYFUNCTION("ARRAY_CONSTRAIN(
  ARRAYFORMULA(
    IFERROR(
      LET(
        list, N1159,
        arr, TRIM(SPLIT(list, "","")),
        names, XLOOKUP(
          arr,
          'Conformance Score'!A:A,
          'Conformance Score'!B:B,
          ""Not found""
     "&amp;"   ),
        TEXTJOIN("", "", TRUE, names)
      ),
      """"
    )
  ),
  1,
  1
)
"),"")</f>
        <v/>
      </c>
      <c r="P1159" s="105" t="str">
        <f>IF(F1159="Yes", IFERROR(VLOOKUP(D1159, Repository!A:F, 6, 0), ""), "")</f>
        <v/>
      </c>
      <c r="Q1159" s="105" t="str">
        <f>IF(F1159="Yes", IFERROR(VLOOKUP(D1159, Repository!A:I, 8, 0), ""), "")</f>
        <v/>
      </c>
      <c r="R1159" s="105" t="str">
        <f>IF(F1159="Yes", IFERROR(VLOOKUP(D1159, Repository!A:J, 9, 0), ""), "")</f>
        <v/>
      </c>
      <c r="S1159" s="105"/>
      <c r="T1159" s="105"/>
      <c r="U1159" s="105"/>
      <c r="V1159" s="105"/>
      <c r="W1159" s="105"/>
      <c r="X1159" s="105"/>
      <c r="Y1159" s="105"/>
      <c r="Z1159" s="105"/>
      <c r="AA1159" s="105"/>
      <c r="AB1159" s="105"/>
      <c r="AC1159" s="91"/>
      <c r="AD1159" s="105"/>
      <c r="AE1159" s="105"/>
      <c r="AF1159" s="91"/>
      <c r="AG1159" s="105"/>
      <c r="AH1159" s="105"/>
      <c r="AI1159" s="105" t="str">
        <f t="shared" si="1"/>
        <v/>
      </c>
      <c r="AJ1159" s="108" t="str">
        <f t="shared" si="2"/>
        <v/>
      </c>
    </row>
    <row r="1160" ht="15.75" customHeight="1">
      <c r="A1160" s="104"/>
      <c r="B1160" s="105" t="str">
        <f>IFERROR(__xludf.DUMMYFUNCTION("ARRAY_CONSTRAIN(
  ARRAYFORMULA(
    IF(
      'Final Report'!A1160="""",
      """",
      TEXTJOIN(
        "", "" &amp; CHAR(10),
        TRUE,
        IFERROR(
          VLOOKUP(
            TRIM(
              SPLIT('Final Report'!A1160, "","")
         "&amp;"   ),
            'URL Details'!A:B,
            2,
            FALSE
          ),
          """"
        )
      )
    )
  ),
  1,
  1
)
"),"")</f>
        <v/>
      </c>
      <c r="C1160" s="105" t="str">
        <f>IFERROR(__xludf.DUMMYFUNCTION("IFERROR(IF('Final Report'!A1160="""","""", TEXTJOIN(CHAR(10), TRUE, ARRAYFORMULA( ""• ""&amp; FILTER( TRIM(FLATTEN(SPLIT( REGEXREPLACE( SUBSTITUTE(TEXTJOIN("","", TRUE, IFERROR(ARRAYFORMULA(VLOOKUP(TRIM(SPLIT('Final Report'!A1160, "","")), 'URL Details'!A:D, "&amp;"4, FALSE)),"""") ), CHAR(10), "",""), ""\s*,\s*"", "",""), "",""))), TRIM(FLATTEN(SPLIT( REGEXREPLACE( SUBSTITUTE(TEXTJOIN("","", TRUE, IFERROR(ARRAYFORMULA(VLOOKUP(TRIM(SPLIT('Final Report'!A1160, "","")), 'URL Details'!A:D, 4, FALSE)),"""") ), CHAR(10),"&amp;" "",""), ""\s*,\s*"", "",""), "","")))&lt;&gt;"""" ) ) ) ),"""")
"),"")</f>
        <v/>
      </c>
      <c r="D1160" s="105"/>
      <c r="E1160" s="105"/>
      <c r="F1160" s="110" t="b">
        <v>0</v>
      </c>
      <c r="G1160" s="105" t="str">
        <f>IF(F1160=True, IFERROR(VLOOKUP(D1160, Repository!A:B, 2, 0), ""), "")</f>
        <v/>
      </c>
      <c r="H1160" s="105"/>
      <c r="I1160" s="105"/>
      <c r="J1160" s="105" t="str">
        <f>IF(F1160=True, IFERROR(VLOOKUP(D1160, Repository!A:C, 3, 0), ""), "")</f>
        <v/>
      </c>
      <c r="K1160" s="105"/>
      <c r="L1160" s="105" t="str">
        <f>IF(F1160=True, IFERROR(VLOOKUP(D1160, Repository!A:E, 5, 0), ""), "")</f>
        <v/>
      </c>
      <c r="M1160" s="105"/>
      <c r="N1160" s="105" t="str">
        <f>IF(F1160=True, IFERROR(VLOOKUP(D1160, Repository!A:G, 7, 0), ""), "")</f>
        <v/>
      </c>
      <c r="O1160" s="105" t="str">
        <f>IFERROR(__xludf.DUMMYFUNCTION("ARRAY_CONSTRAIN(
  ARRAYFORMULA(
    IFERROR(
      LET(
        list, N1160,
        arr, TRIM(SPLIT(list, "","")),
        names, XLOOKUP(
          arr,
          'Conformance Score'!A:A,
          'Conformance Score'!B:B,
          ""Not found""
     "&amp;"   ),
        TEXTJOIN("", "", TRUE, names)
      ),
      """"
    )
  ),
  1,
  1
)
"),"")</f>
        <v/>
      </c>
      <c r="P1160" s="105" t="str">
        <f>IF(F1160="Yes", IFERROR(VLOOKUP(D1160, Repository!A:F, 6, 0), ""), "")</f>
        <v/>
      </c>
      <c r="Q1160" s="105" t="str">
        <f>IF(F1160="Yes", IFERROR(VLOOKUP(D1160, Repository!A:I, 8, 0), ""), "")</f>
        <v/>
      </c>
      <c r="R1160" s="105" t="str">
        <f>IF(F1160="Yes", IFERROR(VLOOKUP(D1160, Repository!A:J, 9, 0), ""), "")</f>
        <v/>
      </c>
      <c r="S1160" s="105"/>
      <c r="T1160" s="105"/>
      <c r="U1160" s="105"/>
      <c r="V1160" s="105"/>
      <c r="W1160" s="105"/>
      <c r="X1160" s="105"/>
      <c r="Y1160" s="105"/>
      <c r="Z1160" s="105"/>
      <c r="AA1160" s="105"/>
      <c r="AB1160" s="105"/>
      <c r="AC1160" s="91"/>
      <c r="AD1160" s="105"/>
      <c r="AE1160" s="105"/>
      <c r="AF1160" s="91"/>
      <c r="AG1160" s="105"/>
      <c r="AH1160" s="105"/>
      <c r="AI1160" s="105" t="str">
        <f t="shared" si="1"/>
        <v/>
      </c>
      <c r="AJ1160" s="108" t="str">
        <f t="shared" si="2"/>
        <v/>
      </c>
    </row>
    <row r="1161" ht="15.75" customHeight="1">
      <c r="A1161" s="104"/>
      <c r="B1161" s="105" t="str">
        <f>IFERROR(__xludf.DUMMYFUNCTION("ARRAY_CONSTRAIN(
  ARRAYFORMULA(
    IF(
      'Final Report'!A1161="""",
      """",
      TEXTJOIN(
        "", "" &amp; CHAR(10),
        TRUE,
        IFERROR(
          VLOOKUP(
            TRIM(
              SPLIT('Final Report'!A1161, "","")
         "&amp;"   ),
            'URL Details'!A:B,
            2,
            FALSE
          ),
          """"
        )
      )
    )
  ),
  1,
  1
)
"),"")</f>
        <v/>
      </c>
      <c r="C1161" s="105" t="str">
        <f>IFERROR(__xludf.DUMMYFUNCTION("IFERROR(IF('Final Report'!A1161="""","""", TEXTJOIN(CHAR(10), TRUE, ARRAYFORMULA( ""• ""&amp; FILTER( TRIM(FLATTEN(SPLIT( REGEXREPLACE( SUBSTITUTE(TEXTJOIN("","", TRUE, IFERROR(ARRAYFORMULA(VLOOKUP(TRIM(SPLIT('Final Report'!A1161, "","")), 'URL Details'!A:D, "&amp;"4, FALSE)),"""") ), CHAR(10), "",""), ""\s*,\s*"", "",""), "",""))), TRIM(FLATTEN(SPLIT( REGEXREPLACE( SUBSTITUTE(TEXTJOIN("","", TRUE, IFERROR(ARRAYFORMULA(VLOOKUP(TRIM(SPLIT('Final Report'!A1161, "","")), 'URL Details'!A:D, 4, FALSE)),"""") ), CHAR(10),"&amp;" "",""), ""\s*,\s*"", "",""), "","")))&lt;&gt;"""" ) ) ) ),"""")
"),"")</f>
        <v/>
      </c>
      <c r="D1161" s="105"/>
      <c r="E1161" s="105"/>
      <c r="F1161" s="110" t="b">
        <v>0</v>
      </c>
      <c r="G1161" s="105" t="str">
        <f>IF(F1161=True, IFERROR(VLOOKUP(D1161, Repository!A:B, 2, 0), ""), "")</f>
        <v/>
      </c>
      <c r="H1161" s="105"/>
      <c r="I1161" s="105"/>
      <c r="J1161" s="105" t="str">
        <f>IF(F1161=True, IFERROR(VLOOKUP(D1161, Repository!A:C, 3, 0), ""), "")</f>
        <v/>
      </c>
      <c r="K1161" s="105"/>
      <c r="L1161" s="105" t="str">
        <f>IF(F1161=True, IFERROR(VLOOKUP(D1161, Repository!A:E, 5, 0), ""), "")</f>
        <v/>
      </c>
      <c r="M1161" s="105"/>
      <c r="N1161" s="105" t="str">
        <f>IF(F1161=True, IFERROR(VLOOKUP(D1161, Repository!A:G, 7, 0), ""), "")</f>
        <v/>
      </c>
      <c r="O1161" s="105" t="str">
        <f>IFERROR(__xludf.DUMMYFUNCTION("ARRAY_CONSTRAIN(
  ARRAYFORMULA(
    IFERROR(
      LET(
        list, N1161,
        arr, TRIM(SPLIT(list, "","")),
        names, XLOOKUP(
          arr,
          'Conformance Score'!A:A,
          'Conformance Score'!B:B,
          ""Not found""
     "&amp;"   ),
        TEXTJOIN("", "", TRUE, names)
      ),
      """"
    )
  ),
  1,
  1
)
"),"")</f>
        <v/>
      </c>
      <c r="P1161" s="105" t="str">
        <f>IF(F1161="Yes", IFERROR(VLOOKUP(D1161, Repository!A:F, 6, 0), ""), "")</f>
        <v/>
      </c>
      <c r="Q1161" s="105" t="str">
        <f>IF(F1161="Yes", IFERROR(VLOOKUP(D1161, Repository!A:I, 8, 0), ""), "")</f>
        <v/>
      </c>
      <c r="R1161" s="105" t="str">
        <f>IF(F1161="Yes", IFERROR(VLOOKUP(D1161, Repository!A:J, 9, 0), ""), "")</f>
        <v/>
      </c>
      <c r="S1161" s="105"/>
      <c r="T1161" s="105"/>
      <c r="U1161" s="105"/>
      <c r="V1161" s="105"/>
      <c r="W1161" s="105"/>
      <c r="X1161" s="105"/>
      <c r="Y1161" s="105"/>
      <c r="Z1161" s="105"/>
      <c r="AA1161" s="105"/>
      <c r="AB1161" s="105"/>
      <c r="AC1161" s="91"/>
      <c r="AD1161" s="105"/>
      <c r="AE1161" s="105"/>
      <c r="AF1161" s="91"/>
      <c r="AG1161" s="105"/>
      <c r="AH1161" s="105"/>
      <c r="AI1161" s="105" t="str">
        <f t="shared" si="1"/>
        <v/>
      </c>
      <c r="AJ1161" s="108" t="str">
        <f t="shared" si="2"/>
        <v/>
      </c>
    </row>
    <row r="1162" ht="15.75" customHeight="1">
      <c r="A1162" s="104"/>
      <c r="B1162" s="105" t="str">
        <f>IFERROR(__xludf.DUMMYFUNCTION("ARRAY_CONSTRAIN(
  ARRAYFORMULA(
    IF(
      'Final Report'!A1162="""",
      """",
      TEXTJOIN(
        "", "" &amp; CHAR(10),
        TRUE,
        IFERROR(
          VLOOKUP(
            TRIM(
              SPLIT('Final Report'!A1162, "","")
         "&amp;"   ),
            'URL Details'!A:B,
            2,
            FALSE
          ),
          """"
        )
      )
    )
  ),
  1,
  1
)
"),"")</f>
        <v/>
      </c>
      <c r="C1162" s="105" t="str">
        <f>IFERROR(__xludf.DUMMYFUNCTION("IFERROR(IF('Final Report'!A1162="""","""", TEXTJOIN(CHAR(10), TRUE, ARRAYFORMULA( ""• ""&amp; FILTER( TRIM(FLATTEN(SPLIT( REGEXREPLACE( SUBSTITUTE(TEXTJOIN("","", TRUE, IFERROR(ARRAYFORMULA(VLOOKUP(TRIM(SPLIT('Final Report'!A1162, "","")), 'URL Details'!A:D, "&amp;"4, FALSE)),"""") ), CHAR(10), "",""), ""\s*,\s*"", "",""), "",""))), TRIM(FLATTEN(SPLIT( REGEXREPLACE( SUBSTITUTE(TEXTJOIN("","", TRUE, IFERROR(ARRAYFORMULA(VLOOKUP(TRIM(SPLIT('Final Report'!A1162, "","")), 'URL Details'!A:D, 4, FALSE)),"""") ), CHAR(10),"&amp;" "",""), ""\s*,\s*"", "",""), "","")))&lt;&gt;"""" ) ) ) ),"""")
"),"")</f>
        <v/>
      </c>
      <c r="D1162" s="105"/>
      <c r="E1162" s="105"/>
      <c r="F1162" s="110" t="b">
        <v>0</v>
      </c>
      <c r="G1162" s="105" t="str">
        <f>IF(F1162=True, IFERROR(VLOOKUP(D1162, Repository!A:B, 2, 0), ""), "")</f>
        <v/>
      </c>
      <c r="H1162" s="105"/>
      <c r="I1162" s="105"/>
      <c r="J1162" s="105" t="str">
        <f>IF(F1162=True, IFERROR(VLOOKUP(D1162, Repository!A:C, 3, 0), ""), "")</f>
        <v/>
      </c>
      <c r="K1162" s="105"/>
      <c r="L1162" s="105" t="str">
        <f>IF(F1162=True, IFERROR(VLOOKUP(D1162, Repository!A:E, 5, 0), ""), "")</f>
        <v/>
      </c>
      <c r="M1162" s="105"/>
      <c r="N1162" s="105" t="str">
        <f>IF(F1162=True, IFERROR(VLOOKUP(D1162, Repository!A:G, 7, 0), ""), "")</f>
        <v/>
      </c>
      <c r="O1162" s="105" t="str">
        <f>IFERROR(__xludf.DUMMYFUNCTION("ARRAY_CONSTRAIN(
  ARRAYFORMULA(
    IFERROR(
      LET(
        list, N1162,
        arr, TRIM(SPLIT(list, "","")),
        names, XLOOKUP(
          arr,
          'Conformance Score'!A:A,
          'Conformance Score'!B:B,
          ""Not found""
     "&amp;"   ),
        TEXTJOIN("", "", TRUE, names)
      ),
      """"
    )
  ),
  1,
  1
)
"),"")</f>
        <v/>
      </c>
      <c r="P1162" s="105" t="str">
        <f>IF(F1162="Yes", IFERROR(VLOOKUP(D1162, Repository!A:F, 6, 0), ""), "")</f>
        <v/>
      </c>
      <c r="Q1162" s="105" t="str">
        <f>IF(F1162="Yes", IFERROR(VLOOKUP(D1162, Repository!A:I, 8, 0), ""), "")</f>
        <v/>
      </c>
      <c r="R1162" s="105" t="str">
        <f>IF(F1162="Yes", IFERROR(VLOOKUP(D1162, Repository!A:J, 9, 0), ""), "")</f>
        <v/>
      </c>
      <c r="S1162" s="105"/>
      <c r="T1162" s="105"/>
      <c r="U1162" s="105"/>
      <c r="V1162" s="105"/>
      <c r="W1162" s="105"/>
      <c r="X1162" s="105"/>
      <c r="Y1162" s="105"/>
      <c r="Z1162" s="105"/>
      <c r="AA1162" s="105"/>
      <c r="AB1162" s="105"/>
      <c r="AC1162" s="91"/>
      <c r="AD1162" s="105"/>
      <c r="AE1162" s="105"/>
      <c r="AF1162" s="91"/>
      <c r="AG1162" s="105"/>
      <c r="AH1162" s="105"/>
      <c r="AI1162" s="105" t="str">
        <f t="shared" si="1"/>
        <v/>
      </c>
      <c r="AJ1162" s="108" t="str">
        <f t="shared" si="2"/>
        <v/>
      </c>
    </row>
    <row r="1163" ht="15.75" customHeight="1">
      <c r="A1163" s="104"/>
      <c r="B1163" s="105" t="str">
        <f>IFERROR(__xludf.DUMMYFUNCTION("ARRAY_CONSTRAIN(
  ARRAYFORMULA(
    IF(
      'Final Report'!A1163="""",
      """",
      TEXTJOIN(
        "", "" &amp; CHAR(10),
        TRUE,
        IFERROR(
          VLOOKUP(
            TRIM(
              SPLIT('Final Report'!A1163, "","")
         "&amp;"   ),
            'URL Details'!A:B,
            2,
            FALSE
          ),
          """"
        )
      )
    )
  ),
  1,
  1
)
"),"")</f>
        <v/>
      </c>
      <c r="C1163" s="105" t="str">
        <f>IFERROR(__xludf.DUMMYFUNCTION("IFERROR(IF('Final Report'!A1163="""","""", TEXTJOIN(CHAR(10), TRUE, ARRAYFORMULA( ""• ""&amp; FILTER( TRIM(FLATTEN(SPLIT( REGEXREPLACE( SUBSTITUTE(TEXTJOIN("","", TRUE, IFERROR(ARRAYFORMULA(VLOOKUP(TRIM(SPLIT('Final Report'!A1163, "","")), 'URL Details'!A:D, "&amp;"4, FALSE)),"""") ), CHAR(10), "",""), ""\s*,\s*"", "",""), "",""))), TRIM(FLATTEN(SPLIT( REGEXREPLACE( SUBSTITUTE(TEXTJOIN("","", TRUE, IFERROR(ARRAYFORMULA(VLOOKUP(TRIM(SPLIT('Final Report'!A1163, "","")), 'URL Details'!A:D, 4, FALSE)),"""") ), CHAR(10),"&amp;" "",""), ""\s*,\s*"", "",""), "","")))&lt;&gt;"""" ) ) ) ),"""")
"),"")</f>
        <v/>
      </c>
      <c r="D1163" s="105"/>
      <c r="E1163" s="105"/>
      <c r="F1163" s="110" t="b">
        <v>0</v>
      </c>
      <c r="G1163" s="105" t="str">
        <f>IF(F1163=True, IFERROR(VLOOKUP(D1163, Repository!A:B, 2, 0), ""), "")</f>
        <v/>
      </c>
      <c r="H1163" s="105"/>
      <c r="I1163" s="105"/>
      <c r="J1163" s="105" t="str">
        <f>IF(F1163=True, IFERROR(VLOOKUP(D1163, Repository!A:C, 3, 0), ""), "")</f>
        <v/>
      </c>
      <c r="K1163" s="105"/>
      <c r="L1163" s="105" t="str">
        <f>IF(F1163=True, IFERROR(VLOOKUP(D1163, Repository!A:E, 5, 0), ""), "")</f>
        <v/>
      </c>
      <c r="M1163" s="105"/>
      <c r="N1163" s="105" t="str">
        <f>IF(F1163=True, IFERROR(VLOOKUP(D1163, Repository!A:G, 7, 0), ""), "")</f>
        <v/>
      </c>
      <c r="O1163" s="105" t="str">
        <f>IFERROR(__xludf.DUMMYFUNCTION("ARRAY_CONSTRAIN(
  ARRAYFORMULA(
    IFERROR(
      LET(
        list, N1163,
        arr, TRIM(SPLIT(list, "","")),
        names, XLOOKUP(
          arr,
          'Conformance Score'!A:A,
          'Conformance Score'!B:B,
          ""Not found""
     "&amp;"   ),
        TEXTJOIN("", "", TRUE, names)
      ),
      """"
    )
  ),
  1,
  1
)
"),"")</f>
        <v/>
      </c>
      <c r="P1163" s="105" t="str">
        <f>IF(F1163="Yes", IFERROR(VLOOKUP(D1163, Repository!A:F, 6, 0), ""), "")</f>
        <v/>
      </c>
      <c r="Q1163" s="105" t="str">
        <f>IF(F1163="Yes", IFERROR(VLOOKUP(D1163, Repository!A:I, 8, 0), ""), "")</f>
        <v/>
      </c>
      <c r="R1163" s="105" t="str">
        <f>IF(F1163="Yes", IFERROR(VLOOKUP(D1163, Repository!A:J, 9, 0), ""), "")</f>
        <v/>
      </c>
      <c r="S1163" s="105"/>
      <c r="T1163" s="105"/>
      <c r="U1163" s="105"/>
      <c r="V1163" s="105"/>
      <c r="W1163" s="105"/>
      <c r="X1163" s="105"/>
      <c r="Y1163" s="105"/>
      <c r="Z1163" s="105"/>
      <c r="AA1163" s="105"/>
      <c r="AB1163" s="105"/>
      <c r="AC1163" s="91"/>
      <c r="AD1163" s="105"/>
      <c r="AE1163" s="105"/>
      <c r="AF1163" s="91"/>
      <c r="AG1163" s="105"/>
      <c r="AH1163" s="105"/>
      <c r="AI1163" s="105" t="str">
        <f t="shared" si="1"/>
        <v/>
      </c>
      <c r="AJ1163" s="108" t="str">
        <f t="shared" si="2"/>
        <v/>
      </c>
    </row>
    <row r="1164" ht="15.75" customHeight="1">
      <c r="A1164" s="104"/>
      <c r="B1164" s="105" t="str">
        <f>IFERROR(__xludf.DUMMYFUNCTION("ARRAY_CONSTRAIN(
  ARRAYFORMULA(
    IF(
      'Final Report'!A1164="""",
      """",
      TEXTJOIN(
        "", "" &amp; CHAR(10),
        TRUE,
        IFERROR(
          VLOOKUP(
            TRIM(
              SPLIT('Final Report'!A1164, "","")
         "&amp;"   ),
            'URL Details'!A:B,
            2,
            FALSE
          ),
          """"
        )
      )
    )
  ),
  1,
  1
)
"),"")</f>
        <v/>
      </c>
      <c r="C1164" s="105" t="str">
        <f>IFERROR(__xludf.DUMMYFUNCTION("IFERROR(IF('Final Report'!A1164="""","""", TEXTJOIN(CHAR(10), TRUE, ARRAYFORMULA( ""• ""&amp; FILTER( TRIM(FLATTEN(SPLIT( REGEXREPLACE( SUBSTITUTE(TEXTJOIN("","", TRUE, IFERROR(ARRAYFORMULA(VLOOKUP(TRIM(SPLIT('Final Report'!A1164, "","")), 'URL Details'!A:D, "&amp;"4, FALSE)),"""") ), CHAR(10), "",""), ""\s*,\s*"", "",""), "",""))), TRIM(FLATTEN(SPLIT( REGEXREPLACE( SUBSTITUTE(TEXTJOIN("","", TRUE, IFERROR(ARRAYFORMULA(VLOOKUP(TRIM(SPLIT('Final Report'!A1164, "","")), 'URL Details'!A:D, 4, FALSE)),"""") ), CHAR(10),"&amp;" "",""), ""\s*,\s*"", "",""), "","")))&lt;&gt;"""" ) ) ) ),"""")
"),"")</f>
        <v/>
      </c>
      <c r="D1164" s="105"/>
      <c r="E1164" s="105"/>
      <c r="F1164" s="110" t="b">
        <v>0</v>
      </c>
      <c r="G1164" s="105" t="str">
        <f>IF(F1164=True, IFERROR(VLOOKUP(D1164, Repository!A:B, 2, 0), ""), "")</f>
        <v/>
      </c>
      <c r="H1164" s="105"/>
      <c r="I1164" s="105"/>
      <c r="J1164" s="105" t="str">
        <f>IF(F1164=True, IFERROR(VLOOKUP(D1164, Repository!A:C, 3, 0), ""), "")</f>
        <v/>
      </c>
      <c r="K1164" s="105"/>
      <c r="L1164" s="105" t="str">
        <f>IF(F1164=True, IFERROR(VLOOKUP(D1164, Repository!A:E, 5, 0), ""), "")</f>
        <v/>
      </c>
      <c r="M1164" s="105"/>
      <c r="N1164" s="105" t="str">
        <f>IF(F1164=True, IFERROR(VLOOKUP(D1164, Repository!A:G, 7, 0), ""), "")</f>
        <v/>
      </c>
      <c r="O1164" s="105" t="str">
        <f>IFERROR(__xludf.DUMMYFUNCTION("ARRAY_CONSTRAIN(
  ARRAYFORMULA(
    IFERROR(
      LET(
        list, N1164,
        arr, TRIM(SPLIT(list, "","")),
        names, XLOOKUP(
          arr,
          'Conformance Score'!A:A,
          'Conformance Score'!B:B,
          ""Not found""
     "&amp;"   ),
        TEXTJOIN("", "", TRUE, names)
      ),
      """"
    )
  ),
  1,
  1
)
"),"")</f>
        <v/>
      </c>
      <c r="P1164" s="105" t="str">
        <f>IF(F1164="Yes", IFERROR(VLOOKUP(D1164, Repository!A:F, 6, 0), ""), "")</f>
        <v/>
      </c>
      <c r="Q1164" s="105" t="str">
        <f>IF(F1164="Yes", IFERROR(VLOOKUP(D1164, Repository!A:I, 8, 0), ""), "")</f>
        <v/>
      </c>
      <c r="R1164" s="105" t="str">
        <f>IF(F1164="Yes", IFERROR(VLOOKUP(D1164, Repository!A:J, 9, 0), ""), "")</f>
        <v/>
      </c>
      <c r="S1164" s="105"/>
      <c r="T1164" s="105"/>
      <c r="U1164" s="105"/>
      <c r="V1164" s="105"/>
      <c r="W1164" s="105"/>
      <c r="X1164" s="105"/>
      <c r="Y1164" s="105"/>
      <c r="Z1164" s="105"/>
      <c r="AA1164" s="105"/>
      <c r="AB1164" s="105"/>
      <c r="AC1164" s="91"/>
      <c r="AD1164" s="105"/>
      <c r="AE1164" s="105"/>
      <c r="AF1164" s="91"/>
      <c r="AG1164" s="105"/>
      <c r="AH1164" s="105"/>
      <c r="AI1164" s="105" t="str">
        <f t="shared" si="1"/>
        <v/>
      </c>
      <c r="AJ1164" s="108" t="str">
        <f t="shared" si="2"/>
        <v/>
      </c>
    </row>
    <row r="1165" ht="15.75" customHeight="1">
      <c r="A1165" s="104"/>
      <c r="B1165" s="105" t="str">
        <f>IFERROR(__xludf.DUMMYFUNCTION("ARRAY_CONSTRAIN(
  ARRAYFORMULA(
    IF(
      'Final Report'!A1165="""",
      """",
      TEXTJOIN(
        "", "" &amp; CHAR(10),
        TRUE,
        IFERROR(
          VLOOKUP(
            TRIM(
              SPLIT('Final Report'!A1165, "","")
         "&amp;"   ),
            'URL Details'!A:B,
            2,
            FALSE
          ),
          """"
        )
      )
    )
  ),
  1,
  1
)
"),"")</f>
        <v/>
      </c>
      <c r="C1165" s="105" t="str">
        <f>IFERROR(__xludf.DUMMYFUNCTION("IFERROR(IF('Final Report'!A1165="""","""", TEXTJOIN(CHAR(10), TRUE, ARRAYFORMULA( ""• ""&amp; FILTER( TRIM(FLATTEN(SPLIT( REGEXREPLACE( SUBSTITUTE(TEXTJOIN("","", TRUE, IFERROR(ARRAYFORMULA(VLOOKUP(TRIM(SPLIT('Final Report'!A1165, "","")), 'URL Details'!A:D, "&amp;"4, FALSE)),"""") ), CHAR(10), "",""), ""\s*,\s*"", "",""), "",""))), TRIM(FLATTEN(SPLIT( REGEXREPLACE( SUBSTITUTE(TEXTJOIN("","", TRUE, IFERROR(ARRAYFORMULA(VLOOKUP(TRIM(SPLIT('Final Report'!A1165, "","")), 'URL Details'!A:D, 4, FALSE)),"""") ), CHAR(10),"&amp;" "",""), ""\s*,\s*"", "",""), "","")))&lt;&gt;"""" ) ) ) ),"""")
"),"")</f>
        <v/>
      </c>
      <c r="D1165" s="105"/>
      <c r="E1165" s="105"/>
      <c r="F1165" s="110" t="b">
        <v>0</v>
      </c>
      <c r="G1165" s="105" t="str">
        <f>IF(F1165=True, IFERROR(VLOOKUP(D1165, Repository!A:B, 2, 0), ""), "")</f>
        <v/>
      </c>
      <c r="H1165" s="105"/>
      <c r="I1165" s="105"/>
      <c r="J1165" s="105" t="str">
        <f>IF(F1165=True, IFERROR(VLOOKUP(D1165, Repository!A:C, 3, 0), ""), "")</f>
        <v/>
      </c>
      <c r="K1165" s="105"/>
      <c r="L1165" s="105" t="str">
        <f>IF(F1165=True, IFERROR(VLOOKUP(D1165, Repository!A:E, 5, 0), ""), "")</f>
        <v/>
      </c>
      <c r="M1165" s="105"/>
      <c r="N1165" s="105" t="str">
        <f>IF(F1165=True, IFERROR(VLOOKUP(D1165, Repository!A:G, 7, 0), ""), "")</f>
        <v/>
      </c>
      <c r="O1165" s="105" t="str">
        <f>IFERROR(__xludf.DUMMYFUNCTION("ARRAY_CONSTRAIN(
  ARRAYFORMULA(
    IFERROR(
      LET(
        list, N1165,
        arr, TRIM(SPLIT(list, "","")),
        names, XLOOKUP(
          arr,
          'Conformance Score'!A:A,
          'Conformance Score'!B:B,
          ""Not found""
     "&amp;"   ),
        TEXTJOIN("", "", TRUE, names)
      ),
      """"
    )
  ),
  1,
  1
)
"),"")</f>
        <v/>
      </c>
      <c r="P1165" s="105" t="str">
        <f>IF(F1165="Yes", IFERROR(VLOOKUP(D1165, Repository!A:F, 6, 0), ""), "")</f>
        <v/>
      </c>
      <c r="Q1165" s="105" t="str">
        <f>IF(F1165="Yes", IFERROR(VLOOKUP(D1165, Repository!A:I, 8, 0), ""), "")</f>
        <v/>
      </c>
      <c r="R1165" s="105" t="str">
        <f>IF(F1165="Yes", IFERROR(VLOOKUP(D1165, Repository!A:J, 9, 0), ""), "")</f>
        <v/>
      </c>
      <c r="S1165" s="105"/>
      <c r="T1165" s="105"/>
      <c r="U1165" s="105"/>
      <c r="V1165" s="105"/>
      <c r="W1165" s="105"/>
      <c r="X1165" s="105"/>
      <c r="Y1165" s="105"/>
      <c r="Z1165" s="105"/>
      <c r="AA1165" s="105"/>
      <c r="AB1165" s="105"/>
      <c r="AC1165" s="91"/>
      <c r="AD1165" s="105"/>
      <c r="AE1165" s="105"/>
      <c r="AF1165" s="91"/>
      <c r="AG1165" s="105"/>
      <c r="AH1165" s="105"/>
      <c r="AI1165" s="105" t="str">
        <f t="shared" si="1"/>
        <v/>
      </c>
      <c r="AJ1165" s="108" t="str">
        <f t="shared" si="2"/>
        <v/>
      </c>
    </row>
    <row r="1166" ht="15.75" customHeight="1">
      <c r="A1166" s="104"/>
      <c r="B1166" s="105" t="str">
        <f>IFERROR(__xludf.DUMMYFUNCTION("ARRAY_CONSTRAIN(
  ARRAYFORMULA(
    IF(
      'Final Report'!A1166="""",
      """",
      TEXTJOIN(
        "", "" &amp; CHAR(10),
        TRUE,
        IFERROR(
          VLOOKUP(
            TRIM(
              SPLIT('Final Report'!A1166, "","")
         "&amp;"   ),
            'URL Details'!A:B,
            2,
            FALSE
          ),
          """"
        )
      )
    )
  ),
  1,
  1
)
"),"")</f>
        <v/>
      </c>
      <c r="C1166" s="105" t="str">
        <f>IFERROR(__xludf.DUMMYFUNCTION("IFERROR(IF('Final Report'!A1166="""","""", TEXTJOIN(CHAR(10), TRUE, ARRAYFORMULA( ""• ""&amp; FILTER( TRIM(FLATTEN(SPLIT( REGEXREPLACE( SUBSTITUTE(TEXTJOIN("","", TRUE, IFERROR(ARRAYFORMULA(VLOOKUP(TRIM(SPLIT('Final Report'!A1166, "","")), 'URL Details'!A:D, "&amp;"4, FALSE)),"""") ), CHAR(10), "",""), ""\s*,\s*"", "",""), "",""))), TRIM(FLATTEN(SPLIT( REGEXREPLACE( SUBSTITUTE(TEXTJOIN("","", TRUE, IFERROR(ARRAYFORMULA(VLOOKUP(TRIM(SPLIT('Final Report'!A1166, "","")), 'URL Details'!A:D, 4, FALSE)),"""") ), CHAR(10),"&amp;" "",""), ""\s*,\s*"", "",""), "","")))&lt;&gt;"""" ) ) ) ),"""")
"),"")</f>
        <v/>
      </c>
      <c r="D1166" s="105"/>
      <c r="E1166" s="105"/>
      <c r="F1166" s="110" t="b">
        <v>0</v>
      </c>
      <c r="G1166" s="105" t="str">
        <f>IF(F1166=True, IFERROR(VLOOKUP(D1166, Repository!A:B, 2, 0), ""), "")</f>
        <v/>
      </c>
      <c r="H1166" s="105"/>
      <c r="I1166" s="105"/>
      <c r="J1166" s="105" t="str">
        <f>IF(F1166=True, IFERROR(VLOOKUP(D1166, Repository!A:C, 3, 0), ""), "")</f>
        <v/>
      </c>
      <c r="K1166" s="105"/>
      <c r="L1166" s="105" t="str">
        <f>IF(F1166=True, IFERROR(VLOOKUP(D1166, Repository!A:E, 5, 0), ""), "")</f>
        <v/>
      </c>
      <c r="M1166" s="105"/>
      <c r="N1166" s="105" t="str">
        <f>IF(F1166=True, IFERROR(VLOOKUP(D1166, Repository!A:G, 7, 0), ""), "")</f>
        <v/>
      </c>
      <c r="O1166" s="105" t="str">
        <f>IFERROR(__xludf.DUMMYFUNCTION("ARRAY_CONSTRAIN(
  ARRAYFORMULA(
    IFERROR(
      LET(
        list, N1166,
        arr, TRIM(SPLIT(list, "","")),
        names, XLOOKUP(
          arr,
          'Conformance Score'!A:A,
          'Conformance Score'!B:B,
          ""Not found""
     "&amp;"   ),
        TEXTJOIN("", "", TRUE, names)
      ),
      """"
    )
  ),
  1,
  1
)
"),"")</f>
        <v/>
      </c>
      <c r="P1166" s="105" t="str">
        <f>IF(F1166="Yes", IFERROR(VLOOKUP(D1166, Repository!A:F, 6, 0), ""), "")</f>
        <v/>
      </c>
      <c r="Q1166" s="105" t="str">
        <f>IF(F1166="Yes", IFERROR(VLOOKUP(D1166, Repository!A:I, 8, 0), ""), "")</f>
        <v/>
      </c>
      <c r="R1166" s="105" t="str">
        <f>IF(F1166="Yes", IFERROR(VLOOKUP(D1166, Repository!A:J, 9, 0), ""), "")</f>
        <v/>
      </c>
      <c r="S1166" s="105"/>
      <c r="T1166" s="105"/>
      <c r="U1166" s="105"/>
      <c r="V1166" s="105"/>
      <c r="W1166" s="105"/>
      <c r="X1166" s="105"/>
      <c r="Y1166" s="105"/>
      <c r="Z1166" s="105"/>
      <c r="AA1166" s="105"/>
      <c r="AB1166" s="105"/>
      <c r="AC1166" s="91"/>
      <c r="AD1166" s="105"/>
      <c r="AE1166" s="105"/>
      <c r="AF1166" s="91"/>
      <c r="AG1166" s="105"/>
      <c r="AH1166" s="105"/>
      <c r="AI1166" s="105" t="str">
        <f t="shared" si="1"/>
        <v/>
      </c>
      <c r="AJ1166" s="108" t="str">
        <f t="shared" si="2"/>
        <v/>
      </c>
    </row>
    <row r="1167" ht="15.75" customHeight="1">
      <c r="A1167" s="104"/>
      <c r="B1167" s="105" t="str">
        <f>IFERROR(__xludf.DUMMYFUNCTION("ARRAY_CONSTRAIN(
  ARRAYFORMULA(
    IF(
      'Final Report'!A1167="""",
      """",
      TEXTJOIN(
        "", "" &amp; CHAR(10),
        TRUE,
        IFERROR(
          VLOOKUP(
            TRIM(
              SPLIT('Final Report'!A1167, "","")
         "&amp;"   ),
            'URL Details'!A:B,
            2,
            FALSE
          ),
          """"
        )
      )
    )
  ),
  1,
  1
)
"),"")</f>
        <v/>
      </c>
      <c r="C1167" s="105" t="str">
        <f>IFERROR(__xludf.DUMMYFUNCTION("IFERROR(IF('Final Report'!A1167="""","""", TEXTJOIN(CHAR(10), TRUE, ARRAYFORMULA( ""• ""&amp; FILTER( TRIM(FLATTEN(SPLIT( REGEXREPLACE( SUBSTITUTE(TEXTJOIN("","", TRUE, IFERROR(ARRAYFORMULA(VLOOKUP(TRIM(SPLIT('Final Report'!A1167, "","")), 'URL Details'!A:D, "&amp;"4, FALSE)),"""") ), CHAR(10), "",""), ""\s*,\s*"", "",""), "",""))), TRIM(FLATTEN(SPLIT( REGEXREPLACE( SUBSTITUTE(TEXTJOIN("","", TRUE, IFERROR(ARRAYFORMULA(VLOOKUP(TRIM(SPLIT('Final Report'!A1167, "","")), 'URL Details'!A:D, 4, FALSE)),"""") ), CHAR(10),"&amp;" "",""), ""\s*,\s*"", "",""), "","")))&lt;&gt;"""" ) ) ) ),"""")
"),"")</f>
        <v/>
      </c>
      <c r="D1167" s="105"/>
      <c r="E1167" s="105"/>
      <c r="F1167" s="110" t="b">
        <v>0</v>
      </c>
      <c r="G1167" s="105" t="str">
        <f>IF(F1167=True, IFERROR(VLOOKUP(D1167, Repository!A:B, 2, 0), ""), "")</f>
        <v/>
      </c>
      <c r="H1167" s="105"/>
      <c r="I1167" s="105"/>
      <c r="J1167" s="105" t="str">
        <f>IF(F1167=True, IFERROR(VLOOKUP(D1167, Repository!A:C, 3, 0), ""), "")</f>
        <v/>
      </c>
      <c r="K1167" s="105"/>
      <c r="L1167" s="105" t="str">
        <f>IF(F1167=True, IFERROR(VLOOKUP(D1167, Repository!A:E, 5, 0), ""), "")</f>
        <v/>
      </c>
      <c r="M1167" s="105"/>
      <c r="N1167" s="105" t="str">
        <f>IF(F1167=True, IFERROR(VLOOKUP(D1167, Repository!A:G, 7, 0), ""), "")</f>
        <v/>
      </c>
      <c r="O1167" s="105" t="str">
        <f>IFERROR(__xludf.DUMMYFUNCTION("ARRAY_CONSTRAIN(
  ARRAYFORMULA(
    IFERROR(
      LET(
        list, N1167,
        arr, TRIM(SPLIT(list, "","")),
        names, XLOOKUP(
          arr,
          'Conformance Score'!A:A,
          'Conformance Score'!B:B,
          ""Not found""
     "&amp;"   ),
        TEXTJOIN("", "", TRUE, names)
      ),
      """"
    )
  ),
  1,
  1
)
"),"")</f>
        <v/>
      </c>
      <c r="P1167" s="105" t="str">
        <f>IF(F1167="Yes", IFERROR(VLOOKUP(D1167, Repository!A:F, 6, 0), ""), "")</f>
        <v/>
      </c>
      <c r="Q1167" s="105" t="str">
        <f>IF(F1167="Yes", IFERROR(VLOOKUP(D1167, Repository!A:I, 8, 0), ""), "")</f>
        <v/>
      </c>
      <c r="R1167" s="105" t="str">
        <f>IF(F1167="Yes", IFERROR(VLOOKUP(D1167, Repository!A:J, 9, 0), ""), "")</f>
        <v/>
      </c>
      <c r="S1167" s="105"/>
      <c r="T1167" s="105"/>
      <c r="U1167" s="105"/>
      <c r="V1167" s="105"/>
      <c r="W1167" s="105"/>
      <c r="X1167" s="105"/>
      <c r="Y1167" s="105"/>
      <c r="Z1167" s="105"/>
      <c r="AA1167" s="105"/>
      <c r="AB1167" s="105"/>
      <c r="AC1167" s="91"/>
      <c r="AD1167" s="105"/>
      <c r="AE1167" s="105"/>
      <c r="AF1167" s="91"/>
      <c r="AG1167" s="105"/>
      <c r="AH1167" s="105"/>
      <c r="AI1167" s="105" t="str">
        <f t="shared" si="1"/>
        <v/>
      </c>
      <c r="AJ1167" s="108" t="str">
        <f t="shared" si="2"/>
        <v/>
      </c>
    </row>
    <row r="1168" ht="15.75" customHeight="1">
      <c r="A1168" s="104"/>
      <c r="B1168" s="105" t="str">
        <f>IFERROR(__xludf.DUMMYFUNCTION("ARRAY_CONSTRAIN(
  ARRAYFORMULA(
    IF(
      'Final Report'!A1168="""",
      """",
      TEXTJOIN(
        "", "" &amp; CHAR(10),
        TRUE,
        IFERROR(
          VLOOKUP(
            TRIM(
              SPLIT('Final Report'!A1168, "","")
         "&amp;"   ),
            'URL Details'!A:B,
            2,
            FALSE
          ),
          """"
        )
      )
    )
  ),
  1,
  1
)
"),"")</f>
        <v/>
      </c>
      <c r="C1168" s="105" t="str">
        <f>IFERROR(__xludf.DUMMYFUNCTION("IFERROR(IF('Final Report'!A1168="""","""", TEXTJOIN(CHAR(10), TRUE, ARRAYFORMULA( ""• ""&amp; FILTER( TRIM(FLATTEN(SPLIT( REGEXREPLACE( SUBSTITUTE(TEXTJOIN("","", TRUE, IFERROR(ARRAYFORMULA(VLOOKUP(TRIM(SPLIT('Final Report'!A1168, "","")), 'URL Details'!A:D, "&amp;"4, FALSE)),"""") ), CHAR(10), "",""), ""\s*,\s*"", "",""), "",""))), TRIM(FLATTEN(SPLIT( REGEXREPLACE( SUBSTITUTE(TEXTJOIN("","", TRUE, IFERROR(ARRAYFORMULA(VLOOKUP(TRIM(SPLIT('Final Report'!A1168, "","")), 'URL Details'!A:D, 4, FALSE)),"""") ), CHAR(10),"&amp;" "",""), ""\s*,\s*"", "",""), "","")))&lt;&gt;"""" ) ) ) ),"""")
"),"")</f>
        <v/>
      </c>
      <c r="D1168" s="105"/>
      <c r="E1168" s="105"/>
      <c r="F1168" s="110" t="b">
        <v>0</v>
      </c>
      <c r="G1168" s="105" t="str">
        <f>IF(F1168=True, IFERROR(VLOOKUP(D1168, Repository!A:B, 2, 0), ""), "")</f>
        <v/>
      </c>
      <c r="H1168" s="105"/>
      <c r="I1168" s="105"/>
      <c r="J1168" s="105" t="str">
        <f>IF(F1168=True, IFERROR(VLOOKUP(D1168, Repository!A:C, 3, 0), ""), "")</f>
        <v/>
      </c>
      <c r="K1168" s="105"/>
      <c r="L1168" s="105" t="str">
        <f>IF(F1168=True, IFERROR(VLOOKUP(D1168, Repository!A:E, 5, 0), ""), "")</f>
        <v/>
      </c>
      <c r="M1168" s="105"/>
      <c r="N1168" s="105" t="str">
        <f>IF(F1168=True, IFERROR(VLOOKUP(D1168, Repository!A:G, 7, 0), ""), "")</f>
        <v/>
      </c>
      <c r="O1168" s="105" t="str">
        <f>IFERROR(__xludf.DUMMYFUNCTION("ARRAY_CONSTRAIN(
  ARRAYFORMULA(
    IFERROR(
      LET(
        list, N1168,
        arr, TRIM(SPLIT(list, "","")),
        names, XLOOKUP(
          arr,
          'Conformance Score'!A:A,
          'Conformance Score'!B:B,
          ""Not found""
     "&amp;"   ),
        TEXTJOIN("", "", TRUE, names)
      ),
      """"
    )
  ),
  1,
  1
)
"),"")</f>
        <v/>
      </c>
      <c r="P1168" s="105" t="str">
        <f>IF(F1168="Yes", IFERROR(VLOOKUP(D1168, Repository!A:F, 6, 0), ""), "")</f>
        <v/>
      </c>
      <c r="Q1168" s="105" t="str">
        <f>IF(F1168="Yes", IFERROR(VLOOKUP(D1168, Repository!A:I, 8, 0), ""), "")</f>
        <v/>
      </c>
      <c r="R1168" s="105" t="str">
        <f>IF(F1168="Yes", IFERROR(VLOOKUP(D1168, Repository!A:J, 9, 0), ""), "")</f>
        <v/>
      </c>
      <c r="S1168" s="105"/>
      <c r="T1168" s="105"/>
      <c r="U1168" s="105"/>
      <c r="V1168" s="105"/>
      <c r="W1168" s="105"/>
      <c r="X1168" s="105"/>
      <c r="Y1168" s="105"/>
      <c r="Z1168" s="105"/>
      <c r="AA1168" s="105"/>
      <c r="AB1168" s="105"/>
      <c r="AC1168" s="91"/>
      <c r="AD1168" s="105"/>
      <c r="AE1168" s="105"/>
      <c r="AF1168" s="91"/>
      <c r="AG1168" s="105"/>
      <c r="AH1168" s="105"/>
      <c r="AI1168" s="105" t="str">
        <f t="shared" si="1"/>
        <v/>
      </c>
      <c r="AJ1168" s="108" t="str">
        <f t="shared" si="2"/>
        <v/>
      </c>
    </row>
    <row r="1169" ht="15.75" customHeight="1">
      <c r="A1169" s="104"/>
      <c r="B1169" s="105" t="str">
        <f>IFERROR(__xludf.DUMMYFUNCTION("ARRAY_CONSTRAIN(
  ARRAYFORMULA(
    IF(
      'Final Report'!A1169="""",
      """",
      TEXTJOIN(
        "", "" &amp; CHAR(10),
        TRUE,
        IFERROR(
          VLOOKUP(
            TRIM(
              SPLIT('Final Report'!A1169, "","")
         "&amp;"   ),
            'URL Details'!A:B,
            2,
            FALSE
          ),
          """"
        )
      )
    )
  ),
  1,
  1
)
"),"")</f>
        <v/>
      </c>
      <c r="C1169" s="105" t="str">
        <f>IFERROR(__xludf.DUMMYFUNCTION("IFERROR(IF('Final Report'!A1169="""","""", TEXTJOIN(CHAR(10), TRUE, ARRAYFORMULA( ""• ""&amp; FILTER( TRIM(FLATTEN(SPLIT( REGEXREPLACE( SUBSTITUTE(TEXTJOIN("","", TRUE, IFERROR(ARRAYFORMULA(VLOOKUP(TRIM(SPLIT('Final Report'!A1169, "","")), 'URL Details'!A:D, "&amp;"4, FALSE)),"""") ), CHAR(10), "",""), ""\s*,\s*"", "",""), "",""))), TRIM(FLATTEN(SPLIT( REGEXREPLACE( SUBSTITUTE(TEXTJOIN("","", TRUE, IFERROR(ARRAYFORMULA(VLOOKUP(TRIM(SPLIT('Final Report'!A1169, "","")), 'URL Details'!A:D, 4, FALSE)),"""") ), CHAR(10),"&amp;" "",""), ""\s*,\s*"", "",""), "","")))&lt;&gt;"""" ) ) ) ),"""")
"),"")</f>
        <v/>
      </c>
      <c r="D1169" s="105"/>
      <c r="E1169" s="105"/>
      <c r="F1169" s="110" t="b">
        <v>0</v>
      </c>
      <c r="G1169" s="105" t="str">
        <f>IF(F1169=True, IFERROR(VLOOKUP(D1169, Repository!A:B, 2, 0), ""), "")</f>
        <v/>
      </c>
      <c r="H1169" s="105"/>
      <c r="I1169" s="105"/>
      <c r="J1169" s="105" t="str">
        <f>IF(F1169=True, IFERROR(VLOOKUP(D1169, Repository!A:C, 3, 0), ""), "")</f>
        <v/>
      </c>
      <c r="K1169" s="105"/>
      <c r="L1169" s="105" t="str">
        <f>IF(F1169=True, IFERROR(VLOOKUP(D1169, Repository!A:E, 5, 0), ""), "")</f>
        <v/>
      </c>
      <c r="M1169" s="105"/>
      <c r="N1169" s="105" t="str">
        <f>IF(F1169=True, IFERROR(VLOOKUP(D1169, Repository!A:G, 7, 0), ""), "")</f>
        <v/>
      </c>
      <c r="O1169" s="105" t="str">
        <f>IFERROR(__xludf.DUMMYFUNCTION("ARRAY_CONSTRAIN(
  ARRAYFORMULA(
    IFERROR(
      LET(
        list, N1169,
        arr, TRIM(SPLIT(list, "","")),
        names, XLOOKUP(
          arr,
          'Conformance Score'!A:A,
          'Conformance Score'!B:B,
          ""Not found""
     "&amp;"   ),
        TEXTJOIN("", "", TRUE, names)
      ),
      """"
    )
  ),
  1,
  1
)
"),"")</f>
        <v/>
      </c>
      <c r="P1169" s="105" t="str">
        <f>IF(F1169="Yes", IFERROR(VLOOKUP(D1169, Repository!A:F, 6, 0), ""), "")</f>
        <v/>
      </c>
      <c r="Q1169" s="105" t="str">
        <f>IF(F1169="Yes", IFERROR(VLOOKUP(D1169, Repository!A:I, 8, 0), ""), "")</f>
        <v/>
      </c>
      <c r="R1169" s="105" t="str">
        <f>IF(F1169="Yes", IFERROR(VLOOKUP(D1169, Repository!A:J, 9, 0), ""), "")</f>
        <v/>
      </c>
      <c r="S1169" s="105"/>
      <c r="T1169" s="105"/>
      <c r="U1169" s="105"/>
      <c r="V1169" s="105"/>
      <c r="W1169" s="105"/>
      <c r="X1169" s="105"/>
      <c r="Y1169" s="105"/>
      <c r="Z1169" s="105"/>
      <c r="AA1169" s="105"/>
      <c r="AB1169" s="105"/>
      <c r="AC1169" s="91"/>
      <c r="AD1169" s="105"/>
      <c r="AE1169" s="105"/>
      <c r="AF1169" s="91"/>
      <c r="AG1169" s="105"/>
      <c r="AH1169" s="105"/>
      <c r="AI1169" s="105" t="str">
        <f t="shared" si="1"/>
        <v/>
      </c>
      <c r="AJ1169" s="108" t="str">
        <f t="shared" si="2"/>
        <v/>
      </c>
    </row>
    <row r="1170" ht="15.75" customHeight="1">
      <c r="A1170" s="104"/>
      <c r="B1170" s="105" t="str">
        <f>IFERROR(__xludf.DUMMYFUNCTION("ARRAY_CONSTRAIN(
  ARRAYFORMULA(
    IF(
      'Final Report'!A1170="""",
      """",
      TEXTJOIN(
        "", "" &amp; CHAR(10),
        TRUE,
        IFERROR(
          VLOOKUP(
            TRIM(
              SPLIT('Final Report'!A1170, "","")
         "&amp;"   ),
            'URL Details'!A:B,
            2,
            FALSE
          ),
          """"
        )
      )
    )
  ),
  1,
  1
)
"),"")</f>
        <v/>
      </c>
      <c r="C1170" s="105" t="str">
        <f>IFERROR(__xludf.DUMMYFUNCTION("IFERROR(IF('Final Report'!A1170="""","""", TEXTJOIN(CHAR(10), TRUE, ARRAYFORMULA( ""• ""&amp; FILTER( TRIM(FLATTEN(SPLIT( REGEXREPLACE( SUBSTITUTE(TEXTJOIN("","", TRUE, IFERROR(ARRAYFORMULA(VLOOKUP(TRIM(SPLIT('Final Report'!A1170, "","")), 'URL Details'!A:D, "&amp;"4, FALSE)),"""") ), CHAR(10), "",""), ""\s*,\s*"", "",""), "",""))), TRIM(FLATTEN(SPLIT( REGEXREPLACE( SUBSTITUTE(TEXTJOIN("","", TRUE, IFERROR(ARRAYFORMULA(VLOOKUP(TRIM(SPLIT('Final Report'!A1170, "","")), 'URL Details'!A:D, 4, FALSE)),"""") ), CHAR(10),"&amp;" "",""), ""\s*,\s*"", "",""), "","")))&lt;&gt;"""" ) ) ) ),"""")
"),"")</f>
        <v/>
      </c>
      <c r="D1170" s="105"/>
      <c r="E1170" s="105"/>
      <c r="F1170" s="110" t="b">
        <v>0</v>
      </c>
      <c r="G1170" s="105" t="str">
        <f>IF(F1170=True, IFERROR(VLOOKUP(D1170, Repository!A:B, 2, 0), ""), "")</f>
        <v/>
      </c>
      <c r="H1170" s="105"/>
      <c r="I1170" s="105"/>
      <c r="J1170" s="105" t="str">
        <f>IF(F1170=True, IFERROR(VLOOKUP(D1170, Repository!A:C, 3, 0), ""), "")</f>
        <v/>
      </c>
      <c r="K1170" s="105"/>
      <c r="L1170" s="105" t="str">
        <f>IF(F1170=True, IFERROR(VLOOKUP(D1170, Repository!A:E, 5, 0), ""), "")</f>
        <v/>
      </c>
      <c r="M1170" s="105"/>
      <c r="N1170" s="105" t="str">
        <f>IF(F1170=True, IFERROR(VLOOKUP(D1170, Repository!A:G, 7, 0), ""), "")</f>
        <v/>
      </c>
      <c r="O1170" s="105" t="str">
        <f>IFERROR(__xludf.DUMMYFUNCTION("ARRAY_CONSTRAIN(
  ARRAYFORMULA(
    IFERROR(
      LET(
        list, N1170,
        arr, TRIM(SPLIT(list, "","")),
        names, XLOOKUP(
          arr,
          'Conformance Score'!A:A,
          'Conformance Score'!B:B,
          ""Not found""
     "&amp;"   ),
        TEXTJOIN("", "", TRUE, names)
      ),
      """"
    )
  ),
  1,
  1
)
"),"")</f>
        <v/>
      </c>
      <c r="P1170" s="105" t="str">
        <f>IF(F1170="Yes", IFERROR(VLOOKUP(D1170, Repository!A:F, 6, 0), ""), "")</f>
        <v/>
      </c>
      <c r="Q1170" s="105" t="str">
        <f>IF(F1170="Yes", IFERROR(VLOOKUP(D1170, Repository!A:I, 8, 0), ""), "")</f>
        <v/>
      </c>
      <c r="R1170" s="105" t="str">
        <f>IF(F1170="Yes", IFERROR(VLOOKUP(D1170, Repository!A:J, 9, 0), ""), "")</f>
        <v/>
      </c>
      <c r="S1170" s="105"/>
      <c r="T1170" s="105"/>
      <c r="U1170" s="105"/>
      <c r="V1170" s="105"/>
      <c r="W1170" s="105"/>
      <c r="X1170" s="105"/>
      <c r="Y1170" s="105"/>
      <c r="Z1170" s="105"/>
      <c r="AA1170" s="105"/>
      <c r="AB1170" s="105"/>
      <c r="AC1170" s="91"/>
      <c r="AD1170" s="105"/>
      <c r="AE1170" s="105"/>
      <c r="AF1170" s="91"/>
      <c r="AG1170" s="105"/>
      <c r="AH1170" s="105"/>
      <c r="AI1170" s="105" t="str">
        <f t="shared" si="1"/>
        <v/>
      </c>
      <c r="AJ1170" s="108" t="str">
        <f t="shared" si="2"/>
        <v/>
      </c>
    </row>
    <row r="1171" ht="15.75" customHeight="1">
      <c r="A1171" s="104"/>
      <c r="B1171" s="105" t="str">
        <f>IFERROR(__xludf.DUMMYFUNCTION("ARRAY_CONSTRAIN(
  ARRAYFORMULA(
    IF(
      'Final Report'!A1171="""",
      """",
      TEXTJOIN(
        "", "" &amp; CHAR(10),
        TRUE,
        IFERROR(
          VLOOKUP(
            TRIM(
              SPLIT('Final Report'!A1171, "","")
         "&amp;"   ),
            'URL Details'!A:B,
            2,
            FALSE
          ),
          """"
        )
      )
    )
  ),
  1,
  1
)
"),"")</f>
        <v/>
      </c>
      <c r="C1171" s="105" t="str">
        <f>IFERROR(__xludf.DUMMYFUNCTION("IFERROR(IF('Final Report'!A1171="""","""", TEXTJOIN(CHAR(10), TRUE, ARRAYFORMULA( ""• ""&amp; FILTER( TRIM(FLATTEN(SPLIT( REGEXREPLACE( SUBSTITUTE(TEXTJOIN("","", TRUE, IFERROR(ARRAYFORMULA(VLOOKUP(TRIM(SPLIT('Final Report'!A1171, "","")), 'URL Details'!A:D, "&amp;"4, FALSE)),"""") ), CHAR(10), "",""), ""\s*,\s*"", "",""), "",""))), TRIM(FLATTEN(SPLIT( REGEXREPLACE( SUBSTITUTE(TEXTJOIN("","", TRUE, IFERROR(ARRAYFORMULA(VLOOKUP(TRIM(SPLIT('Final Report'!A1171, "","")), 'URL Details'!A:D, 4, FALSE)),"""") ), CHAR(10),"&amp;" "",""), ""\s*,\s*"", "",""), "","")))&lt;&gt;"""" ) ) ) ),"""")
"),"")</f>
        <v/>
      </c>
      <c r="D1171" s="105"/>
      <c r="E1171" s="105"/>
      <c r="F1171" s="110" t="b">
        <v>0</v>
      </c>
      <c r="G1171" s="105" t="str">
        <f>IF(F1171=True, IFERROR(VLOOKUP(D1171, Repository!A:B, 2, 0), ""), "")</f>
        <v/>
      </c>
      <c r="H1171" s="105"/>
      <c r="I1171" s="105"/>
      <c r="J1171" s="105" t="str">
        <f>IF(F1171=True, IFERROR(VLOOKUP(D1171, Repository!A:C, 3, 0), ""), "")</f>
        <v/>
      </c>
      <c r="K1171" s="105"/>
      <c r="L1171" s="105" t="str">
        <f>IF(F1171=True, IFERROR(VLOOKUP(D1171, Repository!A:E, 5, 0), ""), "")</f>
        <v/>
      </c>
      <c r="M1171" s="105"/>
      <c r="N1171" s="105" t="str">
        <f>IF(F1171=True, IFERROR(VLOOKUP(D1171, Repository!A:G, 7, 0), ""), "")</f>
        <v/>
      </c>
      <c r="O1171" s="105" t="str">
        <f>IFERROR(__xludf.DUMMYFUNCTION("ARRAY_CONSTRAIN(
  ARRAYFORMULA(
    IFERROR(
      LET(
        list, N1171,
        arr, TRIM(SPLIT(list, "","")),
        names, XLOOKUP(
          arr,
          'Conformance Score'!A:A,
          'Conformance Score'!B:B,
          ""Not found""
     "&amp;"   ),
        TEXTJOIN("", "", TRUE, names)
      ),
      """"
    )
  ),
  1,
  1
)
"),"")</f>
        <v/>
      </c>
      <c r="P1171" s="105" t="str">
        <f>IF(F1171="Yes", IFERROR(VLOOKUP(D1171, Repository!A:F, 6, 0), ""), "")</f>
        <v/>
      </c>
      <c r="Q1171" s="105" t="str">
        <f>IF(F1171="Yes", IFERROR(VLOOKUP(D1171, Repository!A:I, 8, 0), ""), "")</f>
        <v/>
      </c>
      <c r="R1171" s="105" t="str">
        <f>IF(F1171="Yes", IFERROR(VLOOKUP(D1171, Repository!A:J, 9, 0), ""), "")</f>
        <v/>
      </c>
      <c r="S1171" s="105"/>
      <c r="T1171" s="105"/>
      <c r="U1171" s="105"/>
      <c r="V1171" s="105"/>
      <c r="W1171" s="105"/>
      <c r="X1171" s="105"/>
      <c r="Y1171" s="105"/>
      <c r="Z1171" s="105"/>
      <c r="AA1171" s="105"/>
      <c r="AB1171" s="105"/>
      <c r="AC1171" s="91"/>
      <c r="AD1171" s="105"/>
      <c r="AE1171" s="105"/>
      <c r="AF1171" s="91"/>
      <c r="AG1171" s="105"/>
      <c r="AH1171" s="105"/>
      <c r="AI1171" s="105" t="str">
        <f t="shared" si="1"/>
        <v/>
      </c>
      <c r="AJ1171" s="108" t="str">
        <f t="shared" si="2"/>
        <v/>
      </c>
    </row>
    <row r="1172" ht="15.75" customHeight="1">
      <c r="A1172" s="104"/>
      <c r="B1172" s="105" t="str">
        <f>IFERROR(__xludf.DUMMYFUNCTION("ARRAY_CONSTRAIN(
  ARRAYFORMULA(
    IF(
      'Final Report'!A1172="""",
      """",
      TEXTJOIN(
        "", "" &amp; CHAR(10),
        TRUE,
        IFERROR(
          VLOOKUP(
            TRIM(
              SPLIT('Final Report'!A1172, "","")
         "&amp;"   ),
            'URL Details'!A:B,
            2,
            FALSE
          ),
          """"
        )
      )
    )
  ),
  1,
  1
)
"),"")</f>
        <v/>
      </c>
      <c r="C1172" s="105" t="str">
        <f>IFERROR(__xludf.DUMMYFUNCTION("IFERROR(IF('Final Report'!A1172="""","""", TEXTJOIN(CHAR(10), TRUE, ARRAYFORMULA( ""• ""&amp; FILTER( TRIM(FLATTEN(SPLIT( REGEXREPLACE( SUBSTITUTE(TEXTJOIN("","", TRUE, IFERROR(ARRAYFORMULA(VLOOKUP(TRIM(SPLIT('Final Report'!A1172, "","")), 'URL Details'!A:D, "&amp;"4, FALSE)),"""") ), CHAR(10), "",""), ""\s*,\s*"", "",""), "",""))), TRIM(FLATTEN(SPLIT( REGEXREPLACE( SUBSTITUTE(TEXTJOIN("","", TRUE, IFERROR(ARRAYFORMULA(VLOOKUP(TRIM(SPLIT('Final Report'!A1172, "","")), 'URL Details'!A:D, 4, FALSE)),"""") ), CHAR(10),"&amp;" "",""), ""\s*,\s*"", "",""), "","")))&lt;&gt;"""" ) ) ) ),"""")
"),"")</f>
        <v/>
      </c>
      <c r="D1172" s="105"/>
      <c r="E1172" s="105"/>
      <c r="F1172" s="110" t="b">
        <v>0</v>
      </c>
      <c r="G1172" s="105" t="str">
        <f>IF(F1172=True, IFERROR(VLOOKUP(D1172, Repository!A:B, 2, 0), ""), "")</f>
        <v/>
      </c>
      <c r="H1172" s="105"/>
      <c r="I1172" s="105"/>
      <c r="J1172" s="105" t="str">
        <f>IF(F1172=True, IFERROR(VLOOKUP(D1172, Repository!A:C, 3, 0), ""), "")</f>
        <v/>
      </c>
      <c r="K1172" s="105"/>
      <c r="L1172" s="105" t="str">
        <f>IF(F1172=True, IFERROR(VLOOKUP(D1172, Repository!A:E, 5, 0), ""), "")</f>
        <v/>
      </c>
      <c r="M1172" s="105"/>
      <c r="N1172" s="105" t="str">
        <f>IF(F1172=True, IFERROR(VLOOKUP(D1172, Repository!A:G, 7, 0), ""), "")</f>
        <v/>
      </c>
      <c r="O1172" s="105" t="str">
        <f>IFERROR(__xludf.DUMMYFUNCTION("ARRAY_CONSTRAIN(
  ARRAYFORMULA(
    IFERROR(
      LET(
        list, N1172,
        arr, TRIM(SPLIT(list, "","")),
        names, XLOOKUP(
          arr,
          'Conformance Score'!A:A,
          'Conformance Score'!B:B,
          ""Not found""
     "&amp;"   ),
        TEXTJOIN("", "", TRUE, names)
      ),
      """"
    )
  ),
  1,
  1
)
"),"")</f>
        <v/>
      </c>
      <c r="P1172" s="105" t="str">
        <f>IF(F1172="Yes", IFERROR(VLOOKUP(D1172, Repository!A:F, 6, 0), ""), "")</f>
        <v/>
      </c>
      <c r="Q1172" s="105" t="str">
        <f>IF(F1172="Yes", IFERROR(VLOOKUP(D1172, Repository!A:I, 8, 0), ""), "")</f>
        <v/>
      </c>
      <c r="R1172" s="105" t="str">
        <f>IF(F1172="Yes", IFERROR(VLOOKUP(D1172, Repository!A:J, 9, 0), ""), "")</f>
        <v/>
      </c>
      <c r="S1172" s="105"/>
      <c r="T1172" s="105"/>
      <c r="U1172" s="105"/>
      <c r="V1172" s="105"/>
      <c r="W1172" s="105"/>
      <c r="X1172" s="105"/>
      <c r="Y1172" s="105"/>
      <c r="Z1172" s="105"/>
      <c r="AA1172" s="105"/>
      <c r="AB1172" s="105"/>
      <c r="AC1172" s="91"/>
      <c r="AD1172" s="105"/>
      <c r="AE1172" s="105"/>
      <c r="AF1172" s="91"/>
      <c r="AG1172" s="105"/>
      <c r="AH1172" s="105"/>
      <c r="AI1172" s="105" t="str">
        <f t="shared" si="1"/>
        <v/>
      </c>
      <c r="AJ1172" s="108" t="str">
        <f t="shared" si="2"/>
        <v/>
      </c>
    </row>
    <row r="1173" ht="15.75" customHeight="1">
      <c r="A1173" s="104"/>
      <c r="B1173" s="105" t="str">
        <f>IFERROR(__xludf.DUMMYFUNCTION("ARRAY_CONSTRAIN(
  ARRAYFORMULA(
    IF(
      'Final Report'!A1173="""",
      """",
      TEXTJOIN(
        "", "" &amp; CHAR(10),
        TRUE,
        IFERROR(
          VLOOKUP(
            TRIM(
              SPLIT('Final Report'!A1173, "","")
         "&amp;"   ),
            'URL Details'!A:B,
            2,
            FALSE
          ),
          """"
        )
      )
    )
  ),
  1,
  1
)
"),"")</f>
        <v/>
      </c>
      <c r="C1173" s="105" t="str">
        <f>IFERROR(__xludf.DUMMYFUNCTION("IFERROR(IF('Final Report'!A1173="""","""", TEXTJOIN(CHAR(10), TRUE, ARRAYFORMULA( ""• ""&amp; FILTER( TRIM(FLATTEN(SPLIT( REGEXREPLACE( SUBSTITUTE(TEXTJOIN("","", TRUE, IFERROR(ARRAYFORMULA(VLOOKUP(TRIM(SPLIT('Final Report'!A1173, "","")), 'URL Details'!A:D, "&amp;"4, FALSE)),"""") ), CHAR(10), "",""), ""\s*,\s*"", "",""), "",""))), TRIM(FLATTEN(SPLIT( REGEXREPLACE( SUBSTITUTE(TEXTJOIN("","", TRUE, IFERROR(ARRAYFORMULA(VLOOKUP(TRIM(SPLIT('Final Report'!A1173, "","")), 'URL Details'!A:D, 4, FALSE)),"""") ), CHAR(10),"&amp;" "",""), ""\s*,\s*"", "",""), "","")))&lt;&gt;"""" ) ) ) ),"""")
"),"")</f>
        <v/>
      </c>
      <c r="D1173" s="105"/>
      <c r="E1173" s="105"/>
      <c r="F1173" s="110" t="b">
        <v>0</v>
      </c>
      <c r="G1173" s="105" t="str">
        <f>IF(F1173=True, IFERROR(VLOOKUP(D1173, Repository!A:B, 2, 0), ""), "")</f>
        <v/>
      </c>
      <c r="H1173" s="105"/>
      <c r="I1173" s="105"/>
      <c r="J1173" s="105" t="str">
        <f>IF(F1173=True, IFERROR(VLOOKUP(D1173, Repository!A:C, 3, 0), ""), "")</f>
        <v/>
      </c>
      <c r="K1173" s="105"/>
      <c r="L1173" s="105" t="str">
        <f>IF(F1173=True, IFERROR(VLOOKUP(D1173, Repository!A:E, 5, 0), ""), "")</f>
        <v/>
      </c>
      <c r="M1173" s="105"/>
      <c r="N1173" s="105" t="str">
        <f>IF(F1173=True, IFERROR(VLOOKUP(D1173, Repository!A:G, 7, 0), ""), "")</f>
        <v/>
      </c>
      <c r="O1173" s="105" t="str">
        <f>IFERROR(__xludf.DUMMYFUNCTION("ARRAY_CONSTRAIN(
  ARRAYFORMULA(
    IFERROR(
      LET(
        list, N1173,
        arr, TRIM(SPLIT(list, "","")),
        names, XLOOKUP(
          arr,
          'Conformance Score'!A:A,
          'Conformance Score'!B:B,
          ""Not found""
     "&amp;"   ),
        TEXTJOIN("", "", TRUE, names)
      ),
      """"
    )
  ),
  1,
  1
)
"),"")</f>
        <v/>
      </c>
      <c r="P1173" s="105" t="str">
        <f>IF(F1173="Yes", IFERROR(VLOOKUP(D1173, Repository!A:F, 6, 0), ""), "")</f>
        <v/>
      </c>
      <c r="Q1173" s="105" t="str">
        <f>IF(F1173="Yes", IFERROR(VLOOKUP(D1173, Repository!A:I, 8, 0), ""), "")</f>
        <v/>
      </c>
      <c r="R1173" s="105" t="str">
        <f>IF(F1173="Yes", IFERROR(VLOOKUP(D1173, Repository!A:J, 9, 0), ""), "")</f>
        <v/>
      </c>
      <c r="S1173" s="105"/>
      <c r="T1173" s="105"/>
      <c r="U1173" s="105"/>
      <c r="V1173" s="105"/>
      <c r="W1173" s="105"/>
      <c r="X1173" s="105"/>
      <c r="Y1173" s="105"/>
      <c r="Z1173" s="105"/>
      <c r="AA1173" s="105"/>
      <c r="AB1173" s="105"/>
      <c r="AC1173" s="91"/>
      <c r="AD1173" s="105"/>
      <c r="AE1173" s="105"/>
      <c r="AF1173" s="91"/>
      <c r="AG1173" s="105"/>
      <c r="AH1173" s="105"/>
      <c r="AI1173" s="105" t="str">
        <f t="shared" si="1"/>
        <v/>
      </c>
      <c r="AJ1173" s="108" t="str">
        <f t="shared" si="2"/>
        <v/>
      </c>
    </row>
    <row r="1174" ht="15.75" customHeight="1">
      <c r="A1174" s="104"/>
      <c r="B1174" s="105" t="str">
        <f>IFERROR(__xludf.DUMMYFUNCTION("ARRAY_CONSTRAIN(
  ARRAYFORMULA(
    IF(
      'Final Report'!A1174="""",
      """",
      TEXTJOIN(
        "", "" &amp; CHAR(10),
        TRUE,
        IFERROR(
          VLOOKUP(
            TRIM(
              SPLIT('Final Report'!A1174, "","")
         "&amp;"   ),
            'URL Details'!A:B,
            2,
            FALSE
          ),
          """"
        )
      )
    )
  ),
  1,
  1
)
"),"")</f>
        <v/>
      </c>
      <c r="C1174" s="105" t="str">
        <f>IFERROR(__xludf.DUMMYFUNCTION("IFERROR(IF('Final Report'!A1174="""","""", TEXTJOIN(CHAR(10), TRUE, ARRAYFORMULA( ""• ""&amp; FILTER( TRIM(FLATTEN(SPLIT( REGEXREPLACE( SUBSTITUTE(TEXTJOIN("","", TRUE, IFERROR(ARRAYFORMULA(VLOOKUP(TRIM(SPLIT('Final Report'!A1174, "","")), 'URL Details'!A:D, "&amp;"4, FALSE)),"""") ), CHAR(10), "",""), ""\s*,\s*"", "",""), "",""))), TRIM(FLATTEN(SPLIT( REGEXREPLACE( SUBSTITUTE(TEXTJOIN("","", TRUE, IFERROR(ARRAYFORMULA(VLOOKUP(TRIM(SPLIT('Final Report'!A1174, "","")), 'URL Details'!A:D, 4, FALSE)),"""") ), CHAR(10),"&amp;" "",""), ""\s*,\s*"", "",""), "","")))&lt;&gt;"""" ) ) ) ),"""")
"),"")</f>
        <v/>
      </c>
      <c r="D1174" s="105"/>
      <c r="E1174" s="105"/>
      <c r="F1174" s="110" t="b">
        <v>0</v>
      </c>
      <c r="G1174" s="105" t="str">
        <f>IF(F1174=True, IFERROR(VLOOKUP(D1174, Repository!A:B, 2, 0), ""), "")</f>
        <v/>
      </c>
      <c r="H1174" s="105"/>
      <c r="I1174" s="105"/>
      <c r="J1174" s="105" t="str">
        <f>IF(F1174=True, IFERROR(VLOOKUP(D1174, Repository!A:C, 3, 0), ""), "")</f>
        <v/>
      </c>
      <c r="K1174" s="105"/>
      <c r="L1174" s="105" t="str">
        <f>IF(F1174=True, IFERROR(VLOOKUP(D1174, Repository!A:E, 5, 0), ""), "")</f>
        <v/>
      </c>
      <c r="M1174" s="105"/>
      <c r="N1174" s="105" t="str">
        <f>IF(F1174=True, IFERROR(VLOOKUP(D1174, Repository!A:G, 7, 0), ""), "")</f>
        <v/>
      </c>
      <c r="O1174" s="105" t="str">
        <f>IFERROR(__xludf.DUMMYFUNCTION("ARRAY_CONSTRAIN(
  ARRAYFORMULA(
    IFERROR(
      LET(
        list, N1174,
        arr, TRIM(SPLIT(list, "","")),
        names, XLOOKUP(
          arr,
          'Conformance Score'!A:A,
          'Conformance Score'!B:B,
          ""Not found""
     "&amp;"   ),
        TEXTJOIN("", "", TRUE, names)
      ),
      """"
    )
  ),
  1,
  1
)
"),"")</f>
        <v/>
      </c>
      <c r="P1174" s="105" t="str">
        <f>IF(F1174="Yes", IFERROR(VLOOKUP(D1174, Repository!A:F, 6, 0), ""), "")</f>
        <v/>
      </c>
      <c r="Q1174" s="105" t="str">
        <f>IF(F1174="Yes", IFERROR(VLOOKUP(D1174, Repository!A:I, 8, 0), ""), "")</f>
        <v/>
      </c>
      <c r="R1174" s="105" t="str">
        <f>IF(F1174="Yes", IFERROR(VLOOKUP(D1174, Repository!A:J, 9, 0), ""), "")</f>
        <v/>
      </c>
      <c r="S1174" s="105"/>
      <c r="T1174" s="105"/>
      <c r="U1174" s="105"/>
      <c r="V1174" s="105"/>
      <c r="W1174" s="105"/>
      <c r="X1174" s="105"/>
      <c r="Y1174" s="105"/>
      <c r="Z1174" s="105"/>
      <c r="AA1174" s="105"/>
      <c r="AB1174" s="105"/>
      <c r="AC1174" s="91"/>
      <c r="AD1174" s="105"/>
      <c r="AE1174" s="105"/>
      <c r="AF1174" s="91"/>
      <c r="AG1174" s="105"/>
      <c r="AH1174" s="105"/>
      <c r="AI1174" s="105" t="str">
        <f t="shared" si="1"/>
        <v/>
      </c>
      <c r="AJ1174" s="108" t="str">
        <f t="shared" si="2"/>
        <v/>
      </c>
    </row>
    <row r="1175" ht="15.75" customHeight="1">
      <c r="A1175" s="104"/>
      <c r="B1175" s="105" t="str">
        <f>IFERROR(__xludf.DUMMYFUNCTION("ARRAY_CONSTRAIN(
  ARRAYFORMULA(
    IF(
      'Final Report'!A1175="""",
      """",
      TEXTJOIN(
        "", "" &amp; CHAR(10),
        TRUE,
        IFERROR(
          VLOOKUP(
            TRIM(
              SPLIT('Final Report'!A1175, "","")
         "&amp;"   ),
            'URL Details'!A:B,
            2,
            FALSE
          ),
          """"
        )
      )
    )
  ),
  1,
  1
)
"),"")</f>
        <v/>
      </c>
      <c r="C1175" s="105" t="str">
        <f>IFERROR(__xludf.DUMMYFUNCTION("IFERROR(IF('Final Report'!A1175="""","""", TEXTJOIN(CHAR(10), TRUE, ARRAYFORMULA( ""• ""&amp; FILTER( TRIM(FLATTEN(SPLIT( REGEXREPLACE( SUBSTITUTE(TEXTJOIN("","", TRUE, IFERROR(ARRAYFORMULA(VLOOKUP(TRIM(SPLIT('Final Report'!A1175, "","")), 'URL Details'!A:D, "&amp;"4, FALSE)),"""") ), CHAR(10), "",""), ""\s*,\s*"", "",""), "",""))), TRIM(FLATTEN(SPLIT( REGEXREPLACE( SUBSTITUTE(TEXTJOIN("","", TRUE, IFERROR(ARRAYFORMULA(VLOOKUP(TRIM(SPLIT('Final Report'!A1175, "","")), 'URL Details'!A:D, 4, FALSE)),"""") ), CHAR(10),"&amp;" "",""), ""\s*,\s*"", "",""), "","")))&lt;&gt;"""" ) ) ) ),"""")
"),"")</f>
        <v/>
      </c>
      <c r="D1175" s="105"/>
      <c r="E1175" s="105"/>
      <c r="F1175" s="110" t="b">
        <v>0</v>
      </c>
      <c r="G1175" s="105" t="str">
        <f>IF(F1175=True, IFERROR(VLOOKUP(D1175, Repository!A:B, 2, 0), ""), "")</f>
        <v/>
      </c>
      <c r="H1175" s="105"/>
      <c r="I1175" s="105"/>
      <c r="J1175" s="105" t="str">
        <f>IF(F1175=True, IFERROR(VLOOKUP(D1175, Repository!A:C, 3, 0), ""), "")</f>
        <v/>
      </c>
      <c r="K1175" s="105"/>
      <c r="L1175" s="105" t="str">
        <f>IF(F1175=True, IFERROR(VLOOKUP(D1175, Repository!A:E, 5, 0), ""), "")</f>
        <v/>
      </c>
      <c r="M1175" s="105"/>
      <c r="N1175" s="105" t="str">
        <f>IF(F1175=True, IFERROR(VLOOKUP(D1175, Repository!A:G, 7, 0), ""), "")</f>
        <v/>
      </c>
      <c r="O1175" s="105" t="str">
        <f>IFERROR(__xludf.DUMMYFUNCTION("ARRAY_CONSTRAIN(
  ARRAYFORMULA(
    IFERROR(
      LET(
        list, N1175,
        arr, TRIM(SPLIT(list, "","")),
        names, XLOOKUP(
          arr,
          'Conformance Score'!A:A,
          'Conformance Score'!B:B,
          ""Not found""
     "&amp;"   ),
        TEXTJOIN("", "", TRUE, names)
      ),
      """"
    )
  ),
  1,
  1
)
"),"")</f>
        <v/>
      </c>
      <c r="P1175" s="105" t="str">
        <f>IF(F1175="Yes", IFERROR(VLOOKUP(D1175, Repository!A:F, 6, 0), ""), "")</f>
        <v/>
      </c>
      <c r="Q1175" s="105" t="str">
        <f>IF(F1175="Yes", IFERROR(VLOOKUP(D1175, Repository!A:I, 8, 0), ""), "")</f>
        <v/>
      </c>
      <c r="R1175" s="105" t="str">
        <f>IF(F1175="Yes", IFERROR(VLOOKUP(D1175, Repository!A:J, 9, 0), ""), "")</f>
        <v/>
      </c>
      <c r="S1175" s="105"/>
      <c r="T1175" s="105"/>
      <c r="U1175" s="105"/>
      <c r="V1175" s="105"/>
      <c r="W1175" s="105"/>
      <c r="X1175" s="105"/>
      <c r="Y1175" s="105"/>
      <c r="Z1175" s="105"/>
      <c r="AA1175" s="105"/>
      <c r="AB1175" s="105"/>
      <c r="AC1175" s="91"/>
      <c r="AD1175" s="105"/>
      <c r="AE1175" s="105"/>
      <c r="AF1175" s="91"/>
      <c r="AG1175" s="105"/>
      <c r="AH1175" s="105"/>
      <c r="AI1175" s="105" t="str">
        <f t="shared" si="1"/>
        <v/>
      </c>
      <c r="AJ1175" s="108" t="str">
        <f t="shared" si="2"/>
        <v/>
      </c>
    </row>
    <row r="1176" ht="15.75" customHeight="1">
      <c r="A1176" s="104"/>
      <c r="B1176" s="105" t="str">
        <f>IFERROR(__xludf.DUMMYFUNCTION("ARRAY_CONSTRAIN(
  ARRAYFORMULA(
    IF(
      'Final Report'!A1176="""",
      """",
      TEXTJOIN(
        "", "" &amp; CHAR(10),
        TRUE,
        IFERROR(
          VLOOKUP(
            TRIM(
              SPLIT('Final Report'!A1176, "","")
         "&amp;"   ),
            'URL Details'!A:B,
            2,
            FALSE
          ),
          """"
        )
      )
    )
  ),
  1,
  1
)
"),"")</f>
        <v/>
      </c>
      <c r="C1176" s="105" t="str">
        <f>IFERROR(__xludf.DUMMYFUNCTION("IFERROR(IF('Final Report'!A1176="""","""", TEXTJOIN(CHAR(10), TRUE, ARRAYFORMULA( ""• ""&amp; FILTER( TRIM(FLATTEN(SPLIT( REGEXREPLACE( SUBSTITUTE(TEXTJOIN("","", TRUE, IFERROR(ARRAYFORMULA(VLOOKUP(TRIM(SPLIT('Final Report'!A1176, "","")), 'URL Details'!A:D, "&amp;"4, FALSE)),"""") ), CHAR(10), "",""), ""\s*,\s*"", "",""), "",""))), TRIM(FLATTEN(SPLIT( REGEXREPLACE( SUBSTITUTE(TEXTJOIN("","", TRUE, IFERROR(ARRAYFORMULA(VLOOKUP(TRIM(SPLIT('Final Report'!A1176, "","")), 'URL Details'!A:D, 4, FALSE)),"""") ), CHAR(10),"&amp;" "",""), ""\s*,\s*"", "",""), "","")))&lt;&gt;"""" ) ) ) ),"""")
"),"")</f>
        <v/>
      </c>
      <c r="D1176" s="105"/>
      <c r="E1176" s="105"/>
      <c r="F1176" s="110" t="b">
        <v>0</v>
      </c>
      <c r="G1176" s="105" t="str">
        <f>IF(F1176=True, IFERROR(VLOOKUP(D1176, Repository!A:B, 2, 0), ""), "")</f>
        <v/>
      </c>
      <c r="H1176" s="105"/>
      <c r="I1176" s="105"/>
      <c r="J1176" s="105" t="str">
        <f>IF(F1176=True, IFERROR(VLOOKUP(D1176, Repository!A:C, 3, 0), ""), "")</f>
        <v/>
      </c>
      <c r="K1176" s="105"/>
      <c r="L1176" s="105" t="str">
        <f>IF(F1176=True, IFERROR(VLOOKUP(D1176, Repository!A:E, 5, 0), ""), "")</f>
        <v/>
      </c>
      <c r="M1176" s="105"/>
      <c r="N1176" s="105" t="str">
        <f>IF(F1176=True, IFERROR(VLOOKUP(D1176, Repository!A:G, 7, 0), ""), "")</f>
        <v/>
      </c>
      <c r="O1176" s="105" t="str">
        <f>IFERROR(__xludf.DUMMYFUNCTION("ARRAY_CONSTRAIN(
  ARRAYFORMULA(
    IFERROR(
      LET(
        list, N1176,
        arr, TRIM(SPLIT(list, "","")),
        names, XLOOKUP(
          arr,
          'Conformance Score'!A:A,
          'Conformance Score'!B:B,
          ""Not found""
     "&amp;"   ),
        TEXTJOIN("", "", TRUE, names)
      ),
      """"
    )
  ),
  1,
  1
)
"),"")</f>
        <v/>
      </c>
      <c r="P1176" s="105" t="str">
        <f>IF(F1176="Yes", IFERROR(VLOOKUP(D1176, Repository!A:F, 6, 0), ""), "")</f>
        <v/>
      </c>
      <c r="Q1176" s="105" t="str">
        <f>IF(F1176="Yes", IFERROR(VLOOKUP(D1176, Repository!A:I, 8, 0), ""), "")</f>
        <v/>
      </c>
      <c r="R1176" s="105" t="str">
        <f>IF(F1176="Yes", IFERROR(VLOOKUP(D1176, Repository!A:J, 9, 0), ""), "")</f>
        <v/>
      </c>
      <c r="S1176" s="105"/>
      <c r="T1176" s="105"/>
      <c r="U1176" s="105"/>
      <c r="V1176" s="105"/>
      <c r="W1176" s="105"/>
      <c r="X1176" s="105"/>
      <c r="Y1176" s="105"/>
      <c r="Z1176" s="105"/>
      <c r="AA1176" s="105"/>
      <c r="AB1176" s="105"/>
      <c r="AC1176" s="91"/>
      <c r="AD1176" s="105"/>
      <c r="AE1176" s="105"/>
      <c r="AF1176" s="91"/>
      <c r="AG1176" s="105"/>
      <c r="AH1176" s="105"/>
      <c r="AI1176" s="105" t="str">
        <f t="shared" si="1"/>
        <v/>
      </c>
      <c r="AJ1176" s="108" t="str">
        <f t="shared" si="2"/>
        <v/>
      </c>
    </row>
    <row r="1177" ht="15.75" customHeight="1">
      <c r="A1177" s="104"/>
      <c r="B1177" s="105" t="str">
        <f>IFERROR(__xludf.DUMMYFUNCTION("ARRAY_CONSTRAIN(
  ARRAYFORMULA(
    IF(
      'Final Report'!A1177="""",
      """",
      TEXTJOIN(
        "", "" &amp; CHAR(10),
        TRUE,
        IFERROR(
          VLOOKUP(
            TRIM(
              SPLIT('Final Report'!A1177, "","")
         "&amp;"   ),
            'URL Details'!A:B,
            2,
            FALSE
          ),
          """"
        )
      )
    )
  ),
  1,
  1
)
"),"")</f>
        <v/>
      </c>
      <c r="C1177" s="105" t="str">
        <f>IFERROR(__xludf.DUMMYFUNCTION("IFERROR(IF('Final Report'!A1177="""","""", TEXTJOIN(CHAR(10), TRUE, ARRAYFORMULA( ""• ""&amp; FILTER( TRIM(FLATTEN(SPLIT( REGEXREPLACE( SUBSTITUTE(TEXTJOIN("","", TRUE, IFERROR(ARRAYFORMULA(VLOOKUP(TRIM(SPLIT('Final Report'!A1177, "","")), 'URL Details'!A:D, "&amp;"4, FALSE)),"""") ), CHAR(10), "",""), ""\s*,\s*"", "",""), "",""))), TRIM(FLATTEN(SPLIT( REGEXREPLACE( SUBSTITUTE(TEXTJOIN("","", TRUE, IFERROR(ARRAYFORMULA(VLOOKUP(TRIM(SPLIT('Final Report'!A1177, "","")), 'URL Details'!A:D, 4, FALSE)),"""") ), CHAR(10),"&amp;" "",""), ""\s*,\s*"", "",""), "","")))&lt;&gt;"""" ) ) ) ),"""")
"),"")</f>
        <v/>
      </c>
      <c r="D1177" s="105"/>
      <c r="E1177" s="105"/>
      <c r="F1177" s="110" t="b">
        <v>0</v>
      </c>
      <c r="G1177" s="105" t="str">
        <f>IF(F1177=True, IFERROR(VLOOKUP(D1177, Repository!A:B, 2, 0), ""), "")</f>
        <v/>
      </c>
      <c r="H1177" s="105"/>
      <c r="I1177" s="105"/>
      <c r="J1177" s="105" t="str">
        <f>IF(F1177=True, IFERROR(VLOOKUP(D1177, Repository!A:C, 3, 0), ""), "")</f>
        <v/>
      </c>
      <c r="K1177" s="105"/>
      <c r="L1177" s="105" t="str">
        <f>IF(F1177=True, IFERROR(VLOOKUP(D1177, Repository!A:E, 5, 0), ""), "")</f>
        <v/>
      </c>
      <c r="M1177" s="105"/>
      <c r="N1177" s="105" t="str">
        <f>IF(F1177=True, IFERROR(VLOOKUP(D1177, Repository!A:G, 7, 0), ""), "")</f>
        <v/>
      </c>
      <c r="O1177" s="105" t="str">
        <f>IFERROR(__xludf.DUMMYFUNCTION("ARRAY_CONSTRAIN(
  ARRAYFORMULA(
    IFERROR(
      LET(
        list, N1177,
        arr, TRIM(SPLIT(list, "","")),
        names, XLOOKUP(
          arr,
          'Conformance Score'!A:A,
          'Conformance Score'!B:B,
          ""Not found""
     "&amp;"   ),
        TEXTJOIN("", "", TRUE, names)
      ),
      """"
    )
  ),
  1,
  1
)
"),"")</f>
        <v/>
      </c>
      <c r="P1177" s="105" t="str">
        <f>IF(F1177="Yes", IFERROR(VLOOKUP(D1177, Repository!A:F, 6, 0), ""), "")</f>
        <v/>
      </c>
      <c r="Q1177" s="105" t="str">
        <f>IF(F1177="Yes", IFERROR(VLOOKUP(D1177, Repository!A:I, 8, 0), ""), "")</f>
        <v/>
      </c>
      <c r="R1177" s="105" t="str">
        <f>IF(F1177="Yes", IFERROR(VLOOKUP(D1177, Repository!A:J, 9, 0), ""), "")</f>
        <v/>
      </c>
      <c r="S1177" s="105"/>
      <c r="T1177" s="105"/>
      <c r="U1177" s="105"/>
      <c r="V1177" s="105"/>
      <c r="W1177" s="105"/>
      <c r="X1177" s="105"/>
      <c r="Y1177" s="105"/>
      <c r="Z1177" s="105"/>
      <c r="AA1177" s="105"/>
      <c r="AB1177" s="105"/>
      <c r="AC1177" s="91"/>
      <c r="AD1177" s="105"/>
      <c r="AE1177" s="105"/>
      <c r="AF1177" s="91"/>
      <c r="AG1177" s="105"/>
      <c r="AH1177" s="105"/>
      <c r="AI1177" s="105" t="str">
        <f t="shared" si="1"/>
        <v/>
      </c>
      <c r="AJ1177" s="108" t="str">
        <f t="shared" si="2"/>
        <v/>
      </c>
    </row>
    <row r="1178" ht="15.75" customHeight="1">
      <c r="A1178" s="104"/>
      <c r="B1178" s="105" t="str">
        <f>IFERROR(__xludf.DUMMYFUNCTION("ARRAY_CONSTRAIN(
  ARRAYFORMULA(
    IF(
      'Final Report'!A1178="""",
      """",
      TEXTJOIN(
        "", "" &amp; CHAR(10),
        TRUE,
        IFERROR(
          VLOOKUP(
            TRIM(
              SPLIT('Final Report'!A1178, "","")
         "&amp;"   ),
            'URL Details'!A:B,
            2,
            FALSE
          ),
          """"
        )
      )
    )
  ),
  1,
  1
)
"),"")</f>
        <v/>
      </c>
      <c r="C1178" s="105" t="str">
        <f>IFERROR(__xludf.DUMMYFUNCTION("IFERROR(IF('Final Report'!A1178="""","""", TEXTJOIN(CHAR(10), TRUE, ARRAYFORMULA( ""• ""&amp; FILTER( TRIM(FLATTEN(SPLIT( REGEXREPLACE( SUBSTITUTE(TEXTJOIN("","", TRUE, IFERROR(ARRAYFORMULA(VLOOKUP(TRIM(SPLIT('Final Report'!A1178, "","")), 'URL Details'!A:D, "&amp;"4, FALSE)),"""") ), CHAR(10), "",""), ""\s*,\s*"", "",""), "",""))), TRIM(FLATTEN(SPLIT( REGEXREPLACE( SUBSTITUTE(TEXTJOIN("","", TRUE, IFERROR(ARRAYFORMULA(VLOOKUP(TRIM(SPLIT('Final Report'!A1178, "","")), 'URL Details'!A:D, 4, FALSE)),"""") ), CHAR(10),"&amp;" "",""), ""\s*,\s*"", "",""), "","")))&lt;&gt;"""" ) ) ) ),"""")
"),"")</f>
        <v/>
      </c>
      <c r="D1178" s="105"/>
      <c r="E1178" s="105"/>
      <c r="F1178" s="110" t="b">
        <v>0</v>
      </c>
      <c r="G1178" s="105" t="str">
        <f>IF(F1178=True, IFERROR(VLOOKUP(D1178, Repository!A:B, 2, 0), ""), "")</f>
        <v/>
      </c>
      <c r="H1178" s="105"/>
      <c r="I1178" s="105"/>
      <c r="J1178" s="105" t="str">
        <f>IF(F1178=True, IFERROR(VLOOKUP(D1178, Repository!A:C, 3, 0), ""), "")</f>
        <v/>
      </c>
      <c r="K1178" s="105"/>
      <c r="L1178" s="105" t="str">
        <f>IF(F1178=True, IFERROR(VLOOKUP(D1178, Repository!A:E, 5, 0), ""), "")</f>
        <v/>
      </c>
      <c r="M1178" s="105"/>
      <c r="N1178" s="105" t="str">
        <f>IF(F1178=True, IFERROR(VLOOKUP(D1178, Repository!A:G, 7, 0), ""), "")</f>
        <v/>
      </c>
      <c r="O1178" s="105" t="str">
        <f>IFERROR(__xludf.DUMMYFUNCTION("ARRAY_CONSTRAIN(
  ARRAYFORMULA(
    IFERROR(
      LET(
        list, N1178,
        arr, TRIM(SPLIT(list, "","")),
        names, XLOOKUP(
          arr,
          'Conformance Score'!A:A,
          'Conformance Score'!B:B,
          ""Not found""
     "&amp;"   ),
        TEXTJOIN("", "", TRUE, names)
      ),
      """"
    )
  ),
  1,
  1
)
"),"")</f>
        <v/>
      </c>
      <c r="P1178" s="105" t="str">
        <f>IF(F1178="Yes", IFERROR(VLOOKUP(D1178, Repository!A:F, 6, 0), ""), "")</f>
        <v/>
      </c>
      <c r="Q1178" s="105" t="str">
        <f>IF(F1178="Yes", IFERROR(VLOOKUP(D1178, Repository!A:I, 8, 0), ""), "")</f>
        <v/>
      </c>
      <c r="R1178" s="105" t="str">
        <f>IF(F1178="Yes", IFERROR(VLOOKUP(D1178, Repository!A:J, 9, 0), ""), "")</f>
        <v/>
      </c>
      <c r="S1178" s="105"/>
      <c r="T1178" s="105"/>
      <c r="U1178" s="105"/>
      <c r="V1178" s="105"/>
      <c r="W1178" s="105"/>
      <c r="X1178" s="105"/>
      <c r="Y1178" s="105"/>
      <c r="Z1178" s="105"/>
      <c r="AA1178" s="105"/>
      <c r="AB1178" s="105"/>
      <c r="AC1178" s="91"/>
      <c r="AD1178" s="105"/>
      <c r="AE1178" s="105"/>
      <c r="AF1178" s="91"/>
      <c r="AG1178" s="105"/>
      <c r="AH1178" s="105"/>
      <c r="AI1178" s="105" t="str">
        <f t="shared" si="1"/>
        <v/>
      </c>
      <c r="AJ1178" s="108" t="str">
        <f t="shared" si="2"/>
        <v/>
      </c>
    </row>
    <row r="1179" ht="15.75" customHeight="1">
      <c r="A1179" s="104"/>
      <c r="B1179" s="105" t="str">
        <f>IFERROR(__xludf.DUMMYFUNCTION("ARRAY_CONSTRAIN(
  ARRAYFORMULA(
    IF(
      'Final Report'!A1179="""",
      """",
      TEXTJOIN(
        "", "" &amp; CHAR(10),
        TRUE,
        IFERROR(
          VLOOKUP(
            TRIM(
              SPLIT('Final Report'!A1179, "","")
         "&amp;"   ),
            'URL Details'!A:B,
            2,
            FALSE
          ),
          """"
        )
      )
    )
  ),
  1,
  1
)
"),"")</f>
        <v/>
      </c>
      <c r="C1179" s="105" t="str">
        <f>IFERROR(__xludf.DUMMYFUNCTION("IFERROR(IF('Final Report'!A1179="""","""", TEXTJOIN(CHAR(10), TRUE, ARRAYFORMULA( ""• ""&amp; FILTER( TRIM(FLATTEN(SPLIT( REGEXREPLACE( SUBSTITUTE(TEXTJOIN("","", TRUE, IFERROR(ARRAYFORMULA(VLOOKUP(TRIM(SPLIT('Final Report'!A1179, "","")), 'URL Details'!A:D, "&amp;"4, FALSE)),"""") ), CHAR(10), "",""), ""\s*,\s*"", "",""), "",""))), TRIM(FLATTEN(SPLIT( REGEXREPLACE( SUBSTITUTE(TEXTJOIN("","", TRUE, IFERROR(ARRAYFORMULA(VLOOKUP(TRIM(SPLIT('Final Report'!A1179, "","")), 'URL Details'!A:D, 4, FALSE)),"""") ), CHAR(10),"&amp;" "",""), ""\s*,\s*"", "",""), "","")))&lt;&gt;"""" ) ) ) ),"""")
"),"")</f>
        <v/>
      </c>
      <c r="D1179" s="105"/>
      <c r="E1179" s="105"/>
      <c r="F1179" s="110" t="b">
        <v>0</v>
      </c>
      <c r="G1179" s="105" t="str">
        <f>IF(F1179=True, IFERROR(VLOOKUP(D1179, Repository!A:B, 2, 0), ""), "")</f>
        <v/>
      </c>
      <c r="H1179" s="105"/>
      <c r="I1179" s="105"/>
      <c r="J1179" s="105" t="str">
        <f>IF(F1179=True, IFERROR(VLOOKUP(D1179, Repository!A:C, 3, 0), ""), "")</f>
        <v/>
      </c>
      <c r="K1179" s="105"/>
      <c r="L1179" s="105" t="str">
        <f>IF(F1179=True, IFERROR(VLOOKUP(D1179, Repository!A:E, 5, 0), ""), "")</f>
        <v/>
      </c>
      <c r="M1179" s="105"/>
      <c r="N1179" s="105" t="str">
        <f>IF(F1179=True, IFERROR(VLOOKUP(D1179, Repository!A:G, 7, 0), ""), "")</f>
        <v/>
      </c>
      <c r="O1179" s="105" t="str">
        <f>IFERROR(__xludf.DUMMYFUNCTION("ARRAY_CONSTRAIN(
  ARRAYFORMULA(
    IFERROR(
      LET(
        list, N1179,
        arr, TRIM(SPLIT(list, "","")),
        names, XLOOKUP(
          arr,
          'Conformance Score'!A:A,
          'Conformance Score'!B:B,
          ""Not found""
     "&amp;"   ),
        TEXTJOIN("", "", TRUE, names)
      ),
      """"
    )
  ),
  1,
  1
)
"),"")</f>
        <v/>
      </c>
      <c r="P1179" s="105" t="str">
        <f>IF(F1179="Yes", IFERROR(VLOOKUP(D1179, Repository!A:F, 6, 0), ""), "")</f>
        <v/>
      </c>
      <c r="Q1179" s="105" t="str">
        <f>IF(F1179="Yes", IFERROR(VLOOKUP(D1179, Repository!A:I, 8, 0), ""), "")</f>
        <v/>
      </c>
      <c r="R1179" s="105" t="str">
        <f>IF(F1179="Yes", IFERROR(VLOOKUP(D1179, Repository!A:J, 9, 0), ""), "")</f>
        <v/>
      </c>
      <c r="S1179" s="105"/>
      <c r="T1179" s="105"/>
      <c r="U1179" s="105"/>
      <c r="V1179" s="105"/>
      <c r="W1179" s="105"/>
      <c r="X1179" s="105"/>
      <c r="Y1179" s="105"/>
      <c r="Z1179" s="105"/>
      <c r="AA1179" s="105"/>
      <c r="AB1179" s="105"/>
      <c r="AC1179" s="91"/>
      <c r="AD1179" s="105"/>
      <c r="AE1179" s="105"/>
      <c r="AF1179" s="91"/>
      <c r="AG1179" s="105"/>
      <c r="AH1179" s="105"/>
      <c r="AI1179" s="105" t="str">
        <f t="shared" si="1"/>
        <v/>
      </c>
      <c r="AJ1179" s="108" t="str">
        <f t="shared" si="2"/>
        <v/>
      </c>
    </row>
    <row r="1180" ht="15.75" customHeight="1">
      <c r="A1180" s="104"/>
      <c r="B1180" s="105" t="str">
        <f>IFERROR(__xludf.DUMMYFUNCTION("ARRAY_CONSTRAIN(
  ARRAYFORMULA(
    IF(
      'Final Report'!A1180="""",
      """",
      TEXTJOIN(
        "", "" &amp; CHAR(10),
        TRUE,
        IFERROR(
          VLOOKUP(
            TRIM(
              SPLIT('Final Report'!A1180, "","")
         "&amp;"   ),
            'URL Details'!A:B,
            2,
            FALSE
          ),
          """"
        )
      )
    )
  ),
  1,
  1
)
"),"")</f>
        <v/>
      </c>
      <c r="C1180" s="105" t="str">
        <f>IFERROR(__xludf.DUMMYFUNCTION("IFERROR(IF('Final Report'!A1180="""","""", TEXTJOIN(CHAR(10), TRUE, ARRAYFORMULA( ""• ""&amp; FILTER( TRIM(FLATTEN(SPLIT( REGEXREPLACE( SUBSTITUTE(TEXTJOIN("","", TRUE, IFERROR(ARRAYFORMULA(VLOOKUP(TRIM(SPLIT('Final Report'!A1180, "","")), 'URL Details'!A:D, "&amp;"4, FALSE)),"""") ), CHAR(10), "",""), ""\s*,\s*"", "",""), "",""))), TRIM(FLATTEN(SPLIT( REGEXREPLACE( SUBSTITUTE(TEXTJOIN("","", TRUE, IFERROR(ARRAYFORMULA(VLOOKUP(TRIM(SPLIT('Final Report'!A1180, "","")), 'URL Details'!A:D, 4, FALSE)),"""") ), CHAR(10),"&amp;" "",""), ""\s*,\s*"", "",""), "","")))&lt;&gt;"""" ) ) ) ),"""")
"),"")</f>
        <v/>
      </c>
      <c r="D1180" s="105"/>
      <c r="E1180" s="105"/>
      <c r="F1180" s="110" t="b">
        <v>0</v>
      </c>
      <c r="G1180" s="105" t="str">
        <f>IF(F1180=True, IFERROR(VLOOKUP(D1180, Repository!A:B, 2, 0), ""), "")</f>
        <v/>
      </c>
      <c r="H1180" s="105"/>
      <c r="I1180" s="105"/>
      <c r="J1180" s="105" t="str">
        <f>IF(F1180=True, IFERROR(VLOOKUP(D1180, Repository!A:C, 3, 0), ""), "")</f>
        <v/>
      </c>
      <c r="K1180" s="105"/>
      <c r="L1180" s="105" t="str">
        <f>IF(F1180=True, IFERROR(VLOOKUP(D1180, Repository!A:E, 5, 0), ""), "")</f>
        <v/>
      </c>
      <c r="M1180" s="105"/>
      <c r="N1180" s="105" t="str">
        <f>IF(F1180=True, IFERROR(VLOOKUP(D1180, Repository!A:G, 7, 0), ""), "")</f>
        <v/>
      </c>
      <c r="O1180" s="105" t="str">
        <f>IFERROR(__xludf.DUMMYFUNCTION("ARRAY_CONSTRAIN(
  ARRAYFORMULA(
    IFERROR(
      LET(
        list, N1180,
        arr, TRIM(SPLIT(list, "","")),
        names, XLOOKUP(
          arr,
          'Conformance Score'!A:A,
          'Conformance Score'!B:B,
          ""Not found""
     "&amp;"   ),
        TEXTJOIN("", "", TRUE, names)
      ),
      """"
    )
  ),
  1,
  1
)
"),"")</f>
        <v/>
      </c>
      <c r="P1180" s="105" t="str">
        <f>IF(F1180="Yes", IFERROR(VLOOKUP(D1180, Repository!A:F, 6, 0), ""), "")</f>
        <v/>
      </c>
      <c r="Q1180" s="105" t="str">
        <f>IF(F1180="Yes", IFERROR(VLOOKUP(D1180, Repository!A:I, 8, 0), ""), "")</f>
        <v/>
      </c>
      <c r="R1180" s="105" t="str">
        <f>IF(F1180="Yes", IFERROR(VLOOKUP(D1180, Repository!A:J, 9, 0), ""), "")</f>
        <v/>
      </c>
      <c r="S1180" s="105"/>
      <c r="T1180" s="105"/>
      <c r="U1180" s="105"/>
      <c r="V1180" s="105"/>
      <c r="W1180" s="105"/>
      <c r="X1180" s="105"/>
      <c r="Y1180" s="105"/>
      <c r="Z1180" s="105"/>
      <c r="AA1180" s="105"/>
      <c r="AB1180" s="105"/>
      <c r="AC1180" s="91"/>
      <c r="AD1180" s="105"/>
      <c r="AE1180" s="105"/>
      <c r="AF1180" s="91"/>
      <c r="AG1180" s="105"/>
      <c r="AH1180" s="105"/>
      <c r="AI1180" s="105" t="str">
        <f t="shared" si="1"/>
        <v/>
      </c>
      <c r="AJ1180" s="108" t="str">
        <f t="shared" si="2"/>
        <v/>
      </c>
    </row>
    <row r="1181" ht="15.75" customHeight="1">
      <c r="A1181" s="104"/>
      <c r="B1181" s="105" t="str">
        <f>IFERROR(__xludf.DUMMYFUNCTION("ARRAY_CONSTRAIN(
  ARRAYFORMULA(
    IF(
      'Final Report'!A1181="""",
      """",
      TEXTJOIN(
        "", "" &amp; CHAR(10),
        TRUE,
        IFERROR(
          VLOOKUP(
            TRIM(
              SPLIT('Final Report'!A1181, "","")
         "&amp;"   ),
            'URL Details'!A:B,
            2,
            FALSE
          ),
          """"
        )
      )
    )
  ),
  1,
  1
)
"),"")</f>
        <v/>
      </c>
      <c r="C1181" s="105" t="str">
        <f>IFERROR(__xludf.DUMMYFUNCTION("IFERROR(IF('Final Report'!A1181="""","""", TEXTJOIN(CHAR(10), TRUE, ARRAYFORMULA( ""• ""&amp; FILTER( TRIM(FLATTEN(SPLIT( REGEXREPLACE( SUBSTITUTE(TEXTJOIN("","", TRUE, IFERROR(ARRAYFORMULA(VLOOKUP(TRIM(SPLIT('Final Report'!A1181, "","")), 'URL Details'!A:D, "&amp;"4, FALSE)),"""") ), CHAR(10), "",""), ""\s*,\s*"", "",""), "",""))), TRIM(FLATTEN(SPLIT( REGEXREPLACE( SUBSTITUTE(TEXTJOIN("","", TRUE, IFERROR(ARRAYFORMULA(VLOOKUP(TRIM(SPLIT('Final Report'!A1181, "","")), 'URL Details'!A:D, 4, FALSE)),"""") ), CHAR(10),"&amp;" "",""), ""\s*,\s*"", "",""), "","")))&lt;&gt;"""" ) ) ) ),"""")
"),"")</f>
        <v/>
      </c>
      <c r="D1181" s="105"/>
      <c r="E1181" s="105"/>
      <c r="F1181" s="110" t="b">
        <v>0</v>
      </c>
      <c r="G1181" s="105" t="str">
        <f>IF(F1181=True, IFERROR(VLOOKUP(D1181, Repository!A:B, 2, 0), ""), "")</f>
        <v/>
      </c>
      <c r="H1181" s="105"/>
      <c r="I1181" s="105"/>
      <c r="J1181" s="105" t="str">
        <f>IF(F1181=True, IFERROR(VLOOKUP(D1181, Repository!A:C, 3, 0), ""), "")</f>
        <v/>
      </c>
      <c r="K1181" s="105"/>
      <c r="L1181" s="105" t="str">
        <f>IF(F1181=True, IFERROR(VLOOKUP(D1181, Repository!A:E, 5, 0), ""), "")</f>
        <v/>
      </c>
      <c r="M1181" s="105"/>
      <c r="N1181" s="105" t="str">
        <f>IF(F1181=True, IFERROR(VLOOKUP(D1181, Repository!A:G, 7, 0), ""), "")</f>
        <v/>
      </c>
      <c r="O1181" s="105" t="str">
        <f>IFERROR(__xludf.DUMMYFUNCTION("ARRAY_CONSTRAIN(
  ARRAYFORMULA(
    IFERROR(
      LET(
        list, N1181,
        arr, TRIM(SPLIT(list, "","")),
        names, XLOOKUP(
          arr,
          'Conformance Score'!A:A,
          'Conformance Score'!B:B,
          ""Not found""
     "&amp;"   ),
        TEXTJOIN("", "", TRUE, names)
      ),
      """"
    )
  ),
  1,
  1
)
"),"")</f>
        <v/>
      </c>
      <c r="P1181" s="105" t="str">
        <f>IF(F1181="Yes", IFERROR(VLOOKUP(D1181, Repository!A:F, 6, 0), ""), "")</f>
        <v/>
      </c>
      <c r="Q1181" s="105" t="str">
        <f>IF(F1181="Yes", IFERROR(VLOOKUP(D1181, Repository!A:I, 8, 0), ""), "")</f>
        <v/>
      </c>
      <c r="R1181" s="105" t="str">
        <f>IF(F1181="Yes", IFERROR(VLOOKUP(D1181, Repository!A:J, 9, 0), ""), "")</f>
        <v/>
      </c>
      <c r="S1181" s="105"/>
      <c r="T1181" s="105"/>
      <c r="U1181" s="105"/>
      <c r="V1181" s="105"/>
      <c r="W1181" s="105"/>
      <c r="X1181" s="105"/>
      <c r="Y1181" s="105"/>
      <c r="Z1181" s="105"/>
      <c r="AA1181" s="105"/>
      <c r="AB1181" s="105"/>
      <c r="AC1181" s="91"/>
      <c r="AD1181" s="105"/>
      <c r="AE1181" s="105"/>
      <c r="AF1181" s="91"/>
      <c r="AG1181" s="105"/>
      <c r="AH1181" s="105"/>
      <c r="AI1181" s="105" t="str">
        <f t="shared" si="1"/>
        <v/>
      </c>
      <c r="AJ1181" s="108" t="str">
        <f t="shared" si="2"/>
        <v/>
      </c>
    </row>
    <row r="1182" ht="15.75" customHeight="1">
      <c r="A1182" s="104"/>
      <c r="B1182" s="105" t="str">
        <f>IFERROR(__xludf.DUMMYFUNCTION("ARRAY_CONSTRAIN(
  ARRAYFORMULA(
    IF(
      'Final Report'!A1182="""",
      """",
      TEXTJOIN(
        "", "" &amp; CHAR(10),
        TRUE,
        IFERROR(
          VLOOKUP(
            TRIM(
              SPLIT('Final Report'!A1182, "","")
         "&amp;"   ),
            'URL Details'!A:B,
            2,
            FALSE
          ),
          """"
        )
      )
    )
  ),
  1,
  1
)
"),"")</f>
        <v/>
      </c>
      <c r="C1182" s="105" t="str">
        <f>IFERROR(__xludf.DUMMYFUNCTION("IFERROR(IF('Final Report'!A1182="""","""", TEXTJOIN(CHAR(10), TRUE, ARRAYFORMULA( ""• ""&amp; FILTER( TRIM(FLATTEN(SPLIT( REGEXREPLACE( SUBSTITUTE(TEXTJOIN("","", TRUE, IFERROR(ARRAYFORMULA(VLOOKUP(TRIM(SPLIT('Final Report'!A1182, "","")), 'URL Details'!A:D, "&amp;"4, FALSE)),"""") ), CHAR(10), "",""), ""\s*,\s*"", "",""), "",""))), TRIM(FLATTEN(SPLIT( REGEXREPLACE( SUBSTITUTE(TEXTJOIN("","", TRUE, IFERROR(ARRAYFORMULA(VLOOKUP(TRIM(SPLIT('Final Report'!A1182, "","")), 'URL Details'!A:D, 4, FALSE)),"""") ), CHAR(10),"&amp;" "",""), ""\s*,\s*"", "",""), "","")))&lt;&gt;"""" ) ) ) ),"""")
"),"")</f>
        <v/>
      </c>
      <c r="D1182" s="105"/>
      <c r="E1182" s="105"/>
      <c r="F1182" s="110" t="b">
        <v>0</v>
      </c>
      <c r="G1182" s="105" t="str">
        <f>IF(F1182=True, IFERROR(VLOOKUP(D1182, Repository!A:B, 2, 0), ""), "")</f>
        <v/>
      </c>
      <c r="H1182" s="105"/>
      <c r="I1182" s="105"/>
      <c r="J1182" s="105" t="str">
        <f>IF(F1182=True, IFERROR(VLOOKUP(D1182, Repository!A:C, 3, 0), ""), "")</f>
        <v/>
      </c>
      <c r="K1182" s="105"/>
      <c r="L1182" s="105" t="str">
        <f>IF(F1182=True, IFERROR(VLOOKUP(D1182, Repository!A:E, 5, 0), ""), "")</f>
        <v/>
      </c>
      <c r="M1182" s="105"/>
      <c r="N1182" s="105" t="str">
        <f>IF(F1182=True, IFERROR(VLOOKUP(D1182, Repository!A:G, 7, 0), ""), "")</f>
        <v/>
      </c>
      <c r="O1182" s="105" t="str">
        <f>IFERROR(__xludf.DUMMYFUNCTION("ARRAY_CONSTRAIN(
  ARRAYFORMULA(
    IFERROR(
      LET(
        list, N1182,
        arr, TRIM(SPLIT(list, "","")),
        names, XLOOKUP(
          arr,
          'Conformance Score'!A:A,
          'Conformance Score'!B:B,
          ""Not found""
     "&amp;"   ),
        TEXTJOIN("", "", TRUE, names)
      ),
      """"
    )
  ),
  1,
  1
)
"),"")</f>
        <v/>
      </c>
      <c r="P1182" s="105" t="str">
        <f>IF(F1182="Yes", IFERROR(VLOOKUP(D1182, Repository!A:F, 6, 0), ""), "")</f>
        <v/>
      </c>
      <c r="Q1182" s="105" t="str">
        <f>IF(F1182="Yes", IFERROR(VLOOKUP(D1182, Repository!A:I, 8, 0), ""), "")</f>
        <v/>
      </c>
      <c r="R1182" s="105" t="str">
        <f>IF(F1182="Yes", IFERROR(VLOOKUP(D1182, Repository!A:J, 9, 0), ""), "")</f>
        <v/>
      </c>
      <c r="S1182" s="105"/>
      <c r="T1182" s="105"/>
      <c r="U1182" s="105"/>
      <c r="V1182" s="105"/>
      <c r="W1182" s="105"/>
      <c r="X1182" s="105"/>
      <c r="Y1182" s="105"/>
      <c r="Z1182" s="105"/>
      <c r="AA1182" s="105"/>
      <c r="AB1182" s="105"/>
      <c r="AC1182" s="91"/>
      <c r="AD1182" s="105"/>
      <c r="AE1182" s="105"/>
      <c r="AF1182" s="91"/>
      <c r="AG1182" s="105"/>
      <c r="AH1182" s="105"/>
      <c r="AI1182" s="105" t="str">
        <f t="shared" si="1"/>
        <v/>
      </c>
      <c r="AJ1182" s="108" t="str">
        <f t="shared" si="2"/>
        <v/>
      </c>
    </row>
    <row r="1183" ht="15.75" customHeight="1">
      <c r="A1183" s="104"/>
      <c r="B1183" s="105" t="str">
        <f>IFERROR(__xludf.DUMMYFUNCTION("ARRAY_CONSTRAIN(
  ARRAYFORMULA(
    IF(
      'Final Report'!A1183="""",
      """",
      TEXTJOIN(
        "", "" &amp; CHAR(10),
        TRUE,
        IFERROR(
          VLOOKUP(
            TRIM(
              SPLIT('Final Report'!A1183, "","")
         "&amp;"   ),
            'URL Details'!A:B,
            2,
            FALSE
          ),
          """"
        )
      )
    )
  ),
  1,
  1
)
"),"")</f>
        <v/>
      </c>
      <c r="C1183" s="105" t="str">
        <f>IFERROR(__xludf.DUMMYFUNCTION("IFERROR(IF('Final Report'!A1183="""","""", TEXTJOIN(CHAR(10), TRUE, ARRAYFORMULA( ""• ""&amp; FILTER( TRIM(FLATTEN(SPLIT( REGEXREPLACE( SUBSTITUTE(TEXTJOIN("","", TRUE, IFERROR(ARRAYFORMULA(VLOOKUP(TRIM(SPLIT('Final Report'!A1183, "","")), 'URL Details'!A:D, "&amp;"4, FALSE)),"""") ), CHAR(10), "",""), ""\s*,\s*"", "",""), "",""))), TRIM(FLATTEN(SPLIT( REGEXREPLACE( SUBSTITUTE(TEXTJOIN("","", TRUE, IFERROR(ARRAYFORMULA(VLOOKUP(TRIM(SPLIT('Final Report'!A1183, "","")), 'URL Details'!A:D, 4, FALSE)),"""") ), CHAR(10),"&amp;" "",""), ""\s*,\s*"", "",""), "","")))&lt;&gt;"""" ) ) ) ),"""")
"),"")</f>
        <v/>
      </c>
      <c r="D1183" s="105"/>
      <c r="E1183" s="105"/>
      <c r="F1183" s="110" t="b">
        <v>0</v>
      </c>
      <c r="G1183" s="105" t="str">
        <f>IF(F1183=True, IFERROR(VLOOKUP(D1183, Repository!A:B, 2, 0), ""), "")</f>
        <v/>
      </c>
      <c r="H1183" s="105"/>
      <c r="I1183" s="105"/>
      <c r="J1183" s="105" t="str">
        <f>IF(F1183=True, IFERROR(VLOOKUP(D1183, Repository!A:C, 3, 0), ""), "")</f>
        <v/>
      </c>
      <c r="K1183" s="105"/>
      <c r="L1183" s="105" t="str">
        <f>IF(F1183=True, IFERROR(VLOOKUP(D1183, Repository!A:E, 5, 0), ""), "")</f>
        <v/>
      </c>
      <c r="M1183" s="105"/>
      <c r="N1183" s="105" t="str">
        <f>IF(F1183=True, IFERROR(VLOOKUP(D1183, Repository!A:G, 7, 0), ""), "")</f>
        <v/>
      </c>
      <c r="O1183" s="105" t="str">
        <f>IFERROR(__xludf.DUMMYFUNCTION("ARRAY_CONSTRAIN(
  ARRAYFORMULA(
    IFERROR(
      LET(
        list, N1183,
        arr, TRIM(SPLIT(list, "","")),
        names, XLOOKUP(
          arr,
          'Conformance Score'!A:A,
          'Conformance Score'!B:B,
          ""Not found""
     "&amp;"   ),
        TEXTJOIN("", "", TRUE, names)
      ),
      """"
    )
  ),
  1,
  1
)
"),"")</f>
        <v/>
      </c>
      <c r="P1183" s="105" t="str">
        <f>IF(F1183="Yes", IFERROR(VLOOKUP(D1183, Repository!A:F, 6, 0), ""), "")</f>
        <v/>
      </c>
      <c r="Q1183" s="105" t="str">
        <f>IF(F1183="Yes", IFERROR(VLOOKUP(D1183, Repository!A:I, 8, 0), ""), "")</f>
        <v/>
      </c>
      <c r="R1183" s="105" t="str">
        <f>IF(F1183="Yes", IFERROR(VLOOKUP(D1183, Repository!A:J, 9, 0), ""), "")</f>
        <v/>
      </c>
      <c r="S1183" s="105"/>
      <c r="T1183" s="105"/>
      <c r="U1183" s="105"/>
      <c r="V1183" s="105"/>
      <c r="W1183" s="105"/>
      <c r="X1183" s="105"/>
      <c r="Y1183" s="105"/>
      <c r="Z1183" s="105"/>
      <c r="AA1183" s="105"/>
      <c r="AB1183" s="105"/>
      <c r="AC1183" s="91"/>
      <c r="AD1183" s="105"/>
      <c r="AE1183" s="105"/>
      <c r="AF1183" s="91"/>
      <c r="AG1183" s="105"/>
      <c r="AH1183" s="105"/>
      <c r="AI1183" s="105" t="str">
        <f t="shared" si="1"/>
        <v/>
      </c>
      <c r="AJ1183" s="108" t="str">
        <f t="shared" si="2"/>
        <v/>
      </c>
    </row>
    <row r="1184" ht="15.75" customHeight="1">
      <c r="A1184" s="104"/>
      <c r="B1184" s="105" t="str">
        <f>IFERROR(__xludf.DUMMYFUNCTION("ARRAY_CONSTRAIN(
  ARRAYFORMULA(
    IF(
      'Final Report'!A1184="""",
      """",
      TEXTJOIN(
        "", "" &amp; CHAR(10),
        TRUE,
        IFERROR(
          VLOOKUP(
            TRIM(
              SPLIT('Final Report'!A1184, "","")
         "&amp;"   ),
            'URL Details'!A:B,
            2,
            FALSE
          ),
          """"
        )
      )
    )
  ),
  1,
  1
)
"),"")</f>
        <v/>
      </c>
      <c r="C1184" s="105" t="str">
        <f>IFERROR(__xludf.DUMMYFUNCTION("IFERROR(IF('Final Report'!A1184="""","""", TEXTJOIN(CHAR(10), TRUE, ARRAYFORMULA( ""• ""&amp; FILTER( TRIM(FLATTEN(SPLIT( REGEXREPLACE( SUBSTITUTE(TEXTJOIN("","", TRUE, IFERROR(ARRAYFORMULA(VLOOKUP(TRIM(SPLIT('Final Report'!A1184, "","")), 'URL Details'!A:D, "&amp;"4, FALSE)),"""") ), CHAR(10), "",""), ""\s*,\s*"", "",""), "",""))), TRIM(FLATTEN(SPLIT( REGEXREPLACE( SUBSTITUTE(TEXTJOIN("","", TRUE, IFERROR(ARRAYFORMULA(VLOOKUP(TRIM(SPLIT('Final Report'!A1184, "","")), 'URL Details'!A:D, 4, FALSE)),"""") ), CHAR(10),"&amp;" "",""), ""\s*,\s*"", "",""), "","")))&lt;&gt;"""" ) ) ) ),"""")
"),"")</f>
        <v/>
      </c>
      <c r="D1184" s="105"/>
      <c r="E1184" s="105"/>
      <c r="F1184" s="110" t="b">
        <v>0</v>
      </c>
      <c r="G1184" s="105" t="str">
        <f>IF(F1184=True, IFERROR(VLOOKUP(D1184, Repository!A:B, 2, 0), ""), "")</f>
        <v/>
      </c>
      <c r="H1184" s="105"/>
      <c r="I1184" s="105"/>
      <c r="J1184" s="105" t="str">
        <f>IF(F1184=True, IFERROR(VLOOKUP(D1184, Repository!A:C, 3, 0), ""), "")</f>
        <v/>
      </c>
      <c r="K1184" s="105"/>
      <c r="L1184" s="105" t="str">
        <f>IF(F1184=True, IFERROR(VLOOKUP(D1184, Repository!A:E, 5, 0), ""), "")</f>
        <v/>
      </c>
      <c r="M1184" s="105"/>
      <c r="N1184" s="105" t="str">
        <f>IF(F1184=True, IFERROR(VLOOKUP(D1184, Repository!A:G, 7, 0), ""), "")</f>
        <v/>
      </c>
      <c r="O1184" s="105" t="str">
        <f>IFERROR(__xludf.DUMMYFUNCTION("ARRAY_CONSTRAIN(
  ARRAYFORMULA(
    IFERROR(
      LET(
        list, N1184,
        arr, TRIM(SPLIT(list, "","")),
        names, XLOOKUP(
          arr,
          'Conformance Score'!A:A,
          'Conformance Score'!B:B,
          ""Not found""
     "&amp;"   ),
        TEXTJOIN("", "", TRUE, names)
      ),
      """"
    )
  ),
  1,
  1
)
"),"")</f>
        <v/>
      </c>
      <c r="P1184" s="105" t="str">
        <f>IF(F1184="Yes", IFERROR(VLOOKUP(D1184, Repository!A:F, 6, 0), ""), "")</f>
        <v/>
      </c>
      <c r="Q1184" s="105" t="str">
        <f>IF(F1184="Yes", IFERROR(VLOOKUP(D1184, Repository!A:I, 8, 0), ""), "")</f>
        <v/>
      </c>
      <c r="R1184" s="105" t="str">
        <f>IF(F1184="Yes", IFERROR(VLOOKUP(D1184, Repository!A:J, 9, 0), ""), "")</f>
        <v/>
      </c>
      <c r="S1184" s="105"/>
      <c r="T1184" s="105"/>
      <c r="U1184" s="105"/>
      <c r="V1184" s="105"/>
      <c r="W1184" s="105"/>
      <c r="X1184" s="105"/>
      <c r="Y1184" s="105"/>
      <c r="Z1184" s="105"/>
      <c r="AA1184" s="105"/>
      <c r="AB1184" s="105"/>
      <c r="AC1184" s="91"/>
      <c r="AD1184" s="105"/>
      <c r="AE1184" s="105"/>
      <c r="AF1184" s="91"/>
      <c r="AG1184" s="105"/>
      <c r="AH1184" s="105"/>
      <c r="AI1184" s="105" t="str">
        <f t="shared" si="1"/>
        <v/>
      </c>
      <c r="AJ1184" s="108" t="str">
        <f t="shared" si="2"/>
        <v/>
      </c>
    </row>
    <row r="1185" ht="15.75" customHeight="1">
      <c r="A1185" s="104"/>
      <c r="B1185" s="105" t="str">
        <f>IFERROR(__xludf.DUMMYFUNCTION("ARRAY_CONSTRAIN(
  ARRAYFORMULA(
    IF(
      'Final Report'!A1185="""",
      """",
      TEXTJOIN(
        "", "" &amp; CHAR(10),
        TRUE,
        IFERROR(
          VLOOKUP(
            TRIM(
              SPLIT('Final Report'!A1185, "","")
         "&amp;"   ),
            'URL Details'!A:B,
            2,
            FALSE
          ),
          """"
        )
      )
    )
  ),
  1,
  1
)
"),"")</f>
        <v/>
      </c>
      <c r="C1185" s="105" t="str">
        <f>IFERROR(__xludf.DUMMYFUNCTION("IFERROR(IF('Final Report'!A1185="""","""", TEXTJOIN(CHAR(10), TRUE, ARRAYFORMULA( ""• ""&amp; FILTER( TRIM(FLATTEN(SPLIT( REGEXREPLACE( SUBSTITUTE(TEXTJOIN("","", TRUE, IFERROR(ARRAYFORMULA(VLOOKUP(TRIM(SPLIT('Final Report'!A1185, "","")), 'URL Details'!A:D, "&amp;"4, FALSE)),"""") ), CHAR(10), "",""), ""\s*,\s*"", "",""), "",""))), TRIM(FLATTEN(SPLIT( REGEXREPLACE( SUBSTITUTE(TEXTJOIN("","", TRUE, IFERROR(ARRAYFORMULA(VLOOKUP(TRIM(SPLIT('Final Report'!A1185, "","")), 'URL Details'!A:D, 4, FALSE)),"""") ), CHAR(10),"&amp;" "",""), ""\s*,\s*"", "",""), "","")))&lt;&gt;"""" ) ) ) ),"""")
"),"")</f>
        <v/>
      </c>
      <c r="D1185" s="105"/>
      <c r="E1185" s="105"/>
      <c r="F1185" s="110" t="b">
        <v>0</v>
      </c>
      <c r="G1185" s="105" t="str">
        <f>IF(F1185=True, IFERROR(VLOOKUP(D1185, Repository!A:B, 2, 0), ""), "")</f>
        <v/>
      </c>
      <c r="H1185" s="105"/>
      <c r="I1185" s="105"/>
      <c r="J1185" s="105" t="str">
        <f>IF(F1185=True, IFERROR(VLOOKUP(D1185, Repository!A:C, 3, 0), ""), "")</f>
        <v/>
      </c>
      <c r="K1185" s="105"/>
      <c r="L1185" s="105" t="str">
        <f>IF(F1185=True, IFERROR(VLOOKUP(D1185, Repository!A:E, 5, 0), ""), "")</f>
        <v/>
      </c>
      <c r="M1185" s="105"/>
      <c r="N1185" s="105" t="str">
        <f>IF(F1185=True, IFERROR(VLOOKUP(D1185, Repository!A:G, 7, 0), ""), "")</f>
        <v/>
      </c>
      <c r="O1185" s="105" t="str">
        <f>IFERROR(__xludf.DUMMYFUNCTION("ARRAY_CONSTRAIN(
  ARRAYFORMULA(
    IFERROR(
      LET(
        list, N1185,
        arr, TRIM(SPLIT(list, "","")),
        names, XLOOKUP(
          arr,
          'Conformance Score'!A:A,
          'Conformance Score'!B:B,
          ""Not found""
     "&amp;"   ),
        TEXTJOIN("", "", TRUE, names)
      ),
      """"
    )
  ),
  1,
  1
)
"),"")</f>
        <v/>
      </c>
      <c r="P1185" s="105" t="str">
        <f>IF(F1185="Yes", IFERROR(VLOOKUP(D1185, Repository!A:F, 6, 0), ""), "")</f>
        <v/>
      </c>
      <c r="Q1185" s="105" t="str">
        <f>IF(F1185="Yes", IFERROR(VLOOKUP(D1185, Repository!A:I, 8, 0), ""), "")</f>
        <v/>
      </c>
      <c r="R1185" s="105" t="str">
        <f>IF(F1185="Yes", IFERROR(VLOOKUP(D1185, Repository!A:J, 9, 0), ""), "")</f>
        <v/>
      </c>
      <c r="S1185" s="105"/>
      <c r="T1185" s="105"/>
      <c r="U1185" s="105"/>
      <c r="V1185" s="105"/>
      <c r="W1185" s="105"/>
      <c r="X1185" s="105"/>
      <c r="Y1185" s="105"/>
      <c r="Z1185" s="105"/>
      <c r="AA1185" s="105"/>
      <c r="AB1185" s="105"/>
      <c r="AC1185" s="91"/>
      <c r="AD1185" s="105"/>
      <c r="AE1185" s="105"/>
      <c r="AF1185" s="91"/>
      <c r="AG1185" s="105"/>
      <c r="AH1185" s="105"/>
      <c r="AI1185" s="105" t="str">
        <f t="shared" si="1"/>
        <v/>
      </c>
      <c r="AJ1185" s="108" t="str">
        <f t="shared" si="2"/>
        <v/>
      </c>
    </row>
    <row r="1186" ht="15.75" customHeight="1">
      <c r="A1186" s="104"/>
      <c r="B1186" s="105" t="str">
        <f>IFERROR(__xludf.DUMMYFUNCTION("ARRAY_CONSTRAIN(
  ARRAYFORMULA(
    IF(
      'Final Report'!A1186="""",
      """",
      TEXTJOIN(
        "", "" &amp; CHAR(10),
        TRUE,
        IFERROR(
          VLOOKUP(
            TRIM(
              SPLIT('Final Report'!A1186, "","")
         "&amp;"   ),
            'URL Details'!A:B,
            2,
            FALSE
          ),
          """"
        )
      )
    )
  ),
  1,
  1
)
"),"")</f>
        <v/>
      </c>
      <c r="C1186" s="105" t="str">
        <f>IFERROR(__xludf.DUMMYFUNCTION("IFERROR(IF('Final Report'!A1186="""","""", TEXTJOIN(CHAR(10), TRUE, ARRAYFORMULA( ""• ""&amp; FILTER( TRIM(FLATTEN(SPLIT( REGEXREPLACE( SUBSTITUTE(TEXTJOIN("","", TRUE, IFERROR(ARRAYFORMULA(VLOOKUP(TRIM(SPLIT('Final Report'!A1186, "","")), 'URL Details'!A:D, "&amp;"4, FALSE)),"""") ), CHAR(10), "",""), ""\s*,\s*"", "",""), "",""))), TRIM(FLATTEN(SPLIT( REGEXREPLACE( SUBSTITUTE(TEXTJOIN("","", TRUE, IFERROR(ARRAYFORMULA(VLOOKUP(TRIM(SPLIT('Final Report'!A1186, "","")), 'URL Details'!A:D, 4, FALSE)),"""") ), CHAR(10),"&amp;" "",""), ""\s*,\s*"", "",""), "","")))&lt;&gt;"""" ) ) ) ),"""")
"),"")</f>
        <v/>
      </c>
      <c r="D1186" s="105"/>
      <c r="E1186" s="105"/>
      <c r="F1186" s="110" t="b">
        <v>0</v>
      </c>
      <c r="G1186" s="105" t="str">
        <f>IF(F1186=True, IFERROR(VLOOKUP(D1186, Repository!A:B, 2, 0), ""), "")</f>
        <v/>
      </c>
      <c r="H1186" s="105"/>
      <c r="I1186" s="105"/>
      <c r="J1186" s="105" t="str">
        <f>IF(F1186=True, IFERROR(VLOOKUP(D1186, Repository!A:C, 3, 0), ""), "")</f>
        <v/>
      </c>
      <c r="K1186" s="105"/>
      <c r="L1186" s="105" t="str">
        <f>IF(F1186=True, IFERROR(VLOOKUP(D1186, Repository!A:E, 5, 0), ""), "")</f>
        <v/>
      </c>
      <c r="M1186" s="105"/>
      <c r="N1186" s="105" t="str">
        <f>IF(F1186=True, IFERROR(VLOOKUP(D1186, Repository!A:G, 7, 0), ""), "")</f>
        <v/>
      </c>
      <c r="O1186" s="105" t="str">
        <f>IFERROR(__xludf.DUMMYFUNCTION("ARRAY_CONSTRAIN(
  ARRAYFORMULA(
    IFERROR(
      LET(
        list, N1186,
        arr, TRIM(SPLIT(list, "","")),
        names, XLOOKUP(
          arr,
          'Conformance Score'!A:A,
          'Conformance Score'!B:B,
          ""Not found""
     "&amp;"   ),
        TEXTJOIN("", "", TRUE, names)
      ),
      """"
    )
  ),
  1,
  1
)
"),"")</f>
        <v/>
      </c>
      <c r="P1186" s="105" t="str">
        <f>IF(F1186="Yes", IFERROR(VLOOKUP(D1186, Repository!A:F, 6, 0), ""), "")</f>
        <v/>
      </c>
      <c r="Q1186" s="105" t="str">
        <f>IF(F1186="Yes", IFERROR(VLOOKUP(D1186, Repository!A:I, 8, 0), ""), "")</f>
        <v/>
      </c>
      <c r="R1186" s="105" t="str">
        <f>IF(F1186="Yes", IFERROR(VLOOKUP(D1186, Repository!A:J, 9, 0), ""), "")</f>
        <v/>
      </c>
      <c r="S1186" s="105"/>
      <c r="T1186" s="105"/>
      <c r="U1186" s="105"/>
      <c r="V1186" s="105"/>
      <c r="W1186" s="105"/>
      <c r="X1186" s="105"/>
      <c r="Y1186" s="105"/>
      <c r="Z1186" s="105"/>
      <c r="AA1186" s="105"/>
      <c r="AB1186" s="105"/>
      <c r="AC1186" s="91"/>
      <c r="AD1186" s="105"/>
      <c r="AE1186" s="105"/>
      <c r="AF1186" s="91"/>
      <c r="AG1186" s="105"/>
      <c r="AH1186" s="105"/>
      <c r="AI1186" s="105" t="str">
        <f t="shared" si="1"/>
        <v/>
      </c>
      <c r="AJ1186" s="108" t="str">
        <f t="shared" si="2"/>
        <v/>
      </c>
    </row>
    <row r="1187" ht="15.75" customHeight="1">
      <c r="A1187" s="104"/>
      <c r="B1187" s="105" t="str">
        <f>IFERROR(__xludf.DUMMYFUNCTION("ARRAY_CONSTRAIN(
  ARRAYFORMULA(
    IF(
      'Final Report'!A1187="""",
      """",
      TEXTJOIN(
        "", "" &amp; CHAR(10),
        TRUE,
        IFERROR(
          VLOOKUP(
            TRIM(
              SPLIT('Final Report'!A1187, "","")
         "&amp;"   ),
            'URL Details'!A:B,
            2,
            FALSE
          ),
          """"
        )
      )
    )
  ),
  1,
  1
)
"),"")</f>
        <v/>
      </c>
      <c r="C1187" s="105" t="str">
        <f>IFERROR(__xludf.DUMMYFUNCTION("IFERROR(IF('Final Report'!A1187="""","""", TEXTJOIN(CHAR(10), TRUE, ARRAYFORMULA( ""• ""&amp; FILTER( TRIM(FLATTEN(SPLIT( REGEXREPLACE( SUBSTITUTE(TEXTJOIN("","", TRUE, IFERROR(ARRAYFORMULA(VLOOKUP(TRIM(SPLIT('Final Report'!A1187, "","")), 'URL Details'!A:D, "&amp;"4, FALSE)),"""") ), CHAR(10), "",""), ""\s*,\s*"", "",""), "",""))), TRIM(FLATTEN(SPLIT( REGEXREPLACE( SUBSTITUTE(TEXTJOIN("","", TRUE, IFERROR(ARRAYFORMULA(VLOOKUP(TRIM(SPLIT('Final Report'!A1187, "","")), 'URL Details'!A:D, 4, FALSE)),"""") ), CHAR(10),"&amp;" "",""), ""\s*,\s*"", "",""), "","")))&lt;&gt;"""" ) ) ) ),"""")
"),"")</f>
        <v/>
      </c>
      <c r="D1187" s="105"/>
      <c r="E1187" s="105"/>
      <c r="F1187" s="110" t="b">
        <v>0</v>
      </c>
      <c r="G1187" s="105" t="str">
        <f>IF(F1187=True, IFERROR(VLOOKUP(D1187, Repository!A:B, 2, 0), ""), "")</f>
        <v/>
      </c>
      <c r="H1187" s="105"/>
      <c r="I1187" s="105"/>
      <c r="J1187" s="105" t="str">
        <f>IF(F1187=True, IFERROR(VLOOKUP(D1187, Repository!A:C, 3, 0), ""), "")</f>
        <v/>
      </c>
      <c r="K1187" s="105"/>
      <c r="L1187" s="105" t="str">
        <f>IF(F1187=True, IFERROR(VLOOKUP(D1187, Repository!A:E, 5, 0), ""), "")</f>
        <v/>
      </c>
      <c r="M1187" s="105"/>
      <c r="N1187" s="105" t="str">
        <f>IF(F1187=True, IFERROR(VLOOKUP(D1187, Repository!A:G, 7, 0), ""), "")</f>
        <v/>
      </c>
      <c r="O1187" s="105" t="str">
        <f>IFERROR(__xludf.DUMMYFUNCTION("ARRAY_CONSTRAIN(
  ARRAYFORMULA(
    IFERROR(
      LET(
        list, N1187,
        arr, TRIM(SPLIT(list, "","")),
        names, XLOOKUP(
          arr,
          'Conformance Score'!A:A,
          'Conformance Score'!B:B,
          ""Not found""
     "&amp;"   ),
        TEXTJOIN("", "", TRUE, names)
      ),
      """"
    )
  ),
  1,
  1
)
"),"")</f>
        <v/>
      </c>
      <c r="P1187" s="105" t="str">
        <f>IF(F1187="Yes", IFERROR(VLOOKUP(D1187, Repository!A:F, 6, 0), ""), "")</f>
        <v/>
      </c>
      <c r="Q1187" s="105" t="str">
        <f>IF(F1187="Yes", IFERROR(VLOOKUP(D1187, Repository!A:I, 8, 0), ""), "")</f>
        <v/>
      </c>
      <c r="R1187" s="105" t="str">
        <f>IF(F1187="Yes", IFERROR(VLOOKUP(D1187, Repository!A:J, 9, 0), ""), "")</f>
        <v/>
      </c>
      <c r="S1187" s="105"/>
      <c r="T1187" s="105"/>
      <c r="U1187" s="105"/>
      <c r="V1187" s="105"/>
      <c r="W1187" s="105"/>
      <c r="X1187" s="105"/>
      <c r="Y1187" s="105"/>
      <c r="Z1187" s="105"/>
      <c r="AA1187" s="105"/>
      <c r="AB1187" s="105"/>
      <c r="AC1187" s="91"/>
      <c r="AD1187" s="105"/>
      <c r="AE1187" s="105"/>
      <c r="AF1187" s="91"/>
      <c r="AG1187" s="105"/>
      <c r="AH1187" s="105"/>
      <c r="AI1187" s="105" t="str">
        <f t="shared" si="1"/>
        <v/>
      </c>
      <c r="AJ1187" s="108" t="str">
        <f t="shared" si="2"/>
        <v/>
      </c>
    </row>
    <row r="1188" ht="15.75" customHeight="1">
      <c r="A1188" s="104"/>
      <c r="B1188" s="105" t="str">
        <f>IFERROR(__xludf.DUMMYFUNCTION("ARRAY_CONSTRAIN(
  ARRAYFORMULA(
    IF(
      'Final Report'!A1188="""",
      """",
      TEXTJOIN(
        "", "" &amp; CHAR(10),
        TRUE,
        IFERROR(
          VLOOKUP(
            TRIM(
              SPLIT('Final Report'!A1188, "","")
         "&amp;"   ),
            'URL Details'!A:B,
            2,
            FALSE
          ),
          """"
        )
      )
    )
  ),
  1,
  1
)
"),"")</f>
        <v/>
      </c>
      <c r="C1188" s="105" t="str">
        <f>IFERROR(__xludf.DUMMYFUNCTION("IFERROR(IF('Final Report'!A1188="""","""", TEXTJOIN(CHAR(10), TRUE, ARRAYFORMULA( ""• ""&amp; FILTER( TRIM(FLATTEN(SPLIT( REGEXREPLACE( SUBSTITUTE(TEXTJOIN("","", TRUE, IFERROR(ARRAYFORMULA(VLOOKUP(TRIM(SPLIT('Final Report'!A1188, "","")), 'URL Details'!A:D, "&amp;"4, FALSE)),"""") ), CHAR(10), "",""), ""\s*,\s*"", "",""), "",""))), TRIM(FLATTEN(SPLIT( REGEXREPLACE( SUBSTITUTE(TEXTJOIN("","", TRUE, IFERROR(ARRAYFORMULA(VLOOKUP(TRIM(SPLIT('Final Report'!A1188, "","")), 'URL Details'!A:D, 4, FALSE)),"""") ), CHAR(10),"&amp;" "",""), ""\s*,\s*"", "",""), "","")))&lt;&gt;"""" ) ) ) ),"""")
"),"")</f>
        <v/>
      </c>
      <c r="D1188" s="105"/>
      <c r="E1188" s="105"/>
      <c r="F1188" s="110" t="b">
        <v>0</v>
      </c>
      <c r="G1188" s="105" t="str">
        <f>IF(F1188=True, IFERROR(VLOOKUP(D1188, Repository!A:B, 2, 0), ""), "")</f>
        <v/>
      </c>
      <c r="H1188" s="105"/>
      <c r="I1188" s="105"/>
      <c r="J1188" s="105" t="str">
        <f>IF(F1188=True, IFERROR(VLOOKUP(D1188, Repository!A:C, 3, 0), ""), "")</f>
        <v/>
      </c>
      <c r="K1188" s="105"/>
      <c r="L1188" s="105" t="str">
        <f>IF(F1188=True, IFERROR(VLOOKUP(D1188, Repository!A:E, 5, 0), ""), "")</f>
        <v/>
      </c>
      <c r="M1188" s="105"/>
      <c r="N1188" s="105" t="str">
        <f>IF(F1188=True, IFERROR(VLOOKUP(D1188, Repository!A:G, 7, 0), ""), "")</f>
        <v/>
      </c>
      <c r="O1188" s="105" t="str">
        <f>IFERROR(__xludf.DUMMYFUNCTION("ARRAY_CONSTRAIN(
  ARRAYFORMULA(
    IFERROR(
      LET(
        list, N1188,
        arr, TRIM(SPLIT(list, "","")),
        names, XLOOKUP(
          arr,
          'Conformance Score'!A:A,
          'Conformance Score'!B:B,
          ""Not found""
     "&amp;"   ),
        TEXTJOIN("", "", TRUE, names)
      ),
      """"
    )
  ),
  1,
  1
)
"),"")</f>
        <v/>
      </c>
      <c r="P1188" s="105" t="str">
        <f>IF(F1188="Yes", IFERROR(VLOOKUP(D1188, Repository!A:F, 6, 0), ""), "")</f>
        <v/>
      </c>
      <c r="Q1188" s="105" t="str">
        <f>IF(F1188="Yes", IFERROR(VLOOKUP(D1188, Repository!A:I, 8, 0), ""), "")</f>
        <v/>
      </c>
      <c r="R1188" s="105" t="str">
        <f>IF(F1188="Yes", IFERROR(VLOOKUP(D1188, Repository!A:J, 9, 0), ""), "")</f>
        <v/>
      </c>
      <c r="S1188" s="105"/>
      <c r="T1188" s="105"/>
      <c r="U1188" s="105"/>
      <c r="V1188" s="105"/>
      <c r="W1188" s="105"/>
      <c r="X1188" s="105"/>
      <c r="Y1188" s="105"/>
      <c r="Z1188" s="105"/>
      <c r="AA1188" s="105"/>
      <c r="AB1188" s="105"/>
      <c r="AC1188" s="91"/>
      <c r="AD1188" s="105"/>
      <c r="AE1188" s="105"/>
      <c r="AF1188" s="91"/>
      <c r="AG1188" s="105"/>
      <c r="AH1188" s="105"/>
      <c r="AI1188" s="105" t="str">
        <f t="shared" si="1"/>
        <v/>
      </c>
      <c r="AJ1188" s="108" t="str">
        <f t="shared" si="2"/>
        <v/>
      </c>
    </row>
    <row r="1189" ht="15.75" customHeight="1">
      <c r="A1189" s="104"/>
      <c r="B1189" s="105" t="str">
        <f>IFERROR(__xludf.DUMMYFUNCTION("ARRAY_CONSTRAIN(
  ARRAYFORMULA(
    IF(
      'Final Report'!A1189="""",
      """",
      TEXTJOIN(
        "", "" &amp; CHAR(10),
        TRUE,
        IFERROR(
          VLOOKUP(
            TRIM(
              SPLIT('Final Report'!A1189, "","")
         "&amp;"   ),
            'URL Details'!A:B,
            2,
            FALSE
          ),
          """"
        )
      )
    )
  ),
  1,
  1
)
"),"")</f>
        <v/>
      </c>
      <c r="C1189" s="105" t="str">
        <f>IFERROR(__xludf.DUMMYFUNCTION("IFERROR(IF('Final Report'!A1189="""","""", TEXTJOIN(CHAR(10), TRUE, ARRAYFORMULA( ""• ""&amp; FILTER( TRIM(FLATTEN(SPLIT( REGEXREPLACE( SUBSTITUTE(TEXTJOIN("","", TRUE, IFERROR(ARRAYFORMULA(VLOOKUP(TRIM(SPLIT('Final Report'!A1189, "","")), 'URL Details'!A:D, "&amp;"4, FALSE)),"""") ), CHAR(10), "",""), ""\s*,\s*"", "",""), "",""))), TRIM(FLATTEN(SPLIT( REGEXREPLACE( SUBSTITUTE(TEXTJOIN("","", TRUE, IFERROR(ARRAYFORMULA(VLOOKUP(TRIM(SPLIT('Final Report'!A1189, "","")), 'URL Details'!A:D, 4, FALSE)),"""") ), CHAR(10),"&amp;" "",""), ""\s*,\s*"", "",""), "","")))&lt;&gt;"""" ) ) ) ),"""")
"),"")</f>
        <v/>
      </c>
      <c r="D1189" s="105"/>
      <c r="E1189" s="105"/>
      <c r="F1189" s="110" t="b">
        <v>0</v>
      </c>
      <c r="G1189" s="105" t="str">
        <f>IF(F1189=True, IFERROR(VLOOKUP(D1189, Repository!A:B, 2, 0), ""), "")</f>
        <v/>
      </c>
      <c r="H1189" s="105"/>
      <c r="I1189" s="105"/>
      <c r="J1189" s="105" t="str">
        <f>IF(F1189=True, IFERROR(VLOOKUP(D1189, Repository!A:C, 3, 0), ""), "")</f>
        <v/>
      </c>
      <c r="K1189" s="105"/>
      <c r="L1189" s="105" t="str">
        <f>IF(F1189=True, IFERROR(VLOOKUP(D1189, Repository!A:E, 5, 0), ""), "")</f>
        <v/>
      </c>
      <c r="M1189" s="105"/>
      <c r="N1189" s="105" t="str">
        <f>IF(F1189=True, IFERROR(VLOOKUP(D1189, Repository!A:G, 7, 0), ""), "")</f>
        <v/>
      </c>
      <c r="O1189" s="105" t="str">
        <f>IFERROR(__xludf.DUMMYFUNCTION("ARRAY_CONSTRAIN(
  ARRAYFORMULA(
    IFERROR(
      LET(
        list, N1189,
        arr, TRIM(SPLIT(list, "","")),
        names, XLOOKUP(
          arr,
          'Conformance Score'!A:A,
          'Conformance Score'!B:B,
          ""Not found""
     "&amp;"   ),
        TEXTJOIN("", "", TRUE, names)
      ),
      """"
    )
  ),
  1,
  1
)
"),"")</f>
        <v/>
      </c>
      <c r="P1189" s="105" t="str">
        <f>IF(F1189="Yes", IFERROR(VLOOKUP(D1189, Repository!A:F, 6, 0), ""), "")</f>
        <v/>
      </c>
      <c r="Q1189" s="105" t="str">
        <f>IF(F1189="Yes", IFERROR(VLOOKUP(D1189, Repository!A:I, 8, 0), ""), "")</f>
        <v/>
      </c>
      <c r="R1189" s="105" t="str">
        <f>IF(F1189="Yes", IFERROR(VLOOKUP(D1189, Repository!A:J, 9, 0), ""), "")</f>
        <v/>
      </c>
      <c r="S1189" s="105"/>
      <c r="T1189" s="105"/>
      <c r="U1189" s="105"/>
      <c r="V1189" s="105"/>
      <c r="W1189" s="105"/>
      <c r="X1189" s="105"/>
      <c r="Y1189" s="105"/>
      <c r="Z1189" s="105"/>
      <c r="AA1189" s="105"/>
      <c r="AB1189" s="105"/>
      <c r="AC1189" s="91"/>
      <c r="AD1189" s="105"/>
      <c r="AE1189" s="105"/>
      <c r="AF1189" s="91"/>
      <c r="AG1189" s="105"/>
      <c r="AH1189" s="105"/>
      <c r="AI1189" s="105" t="str">
        <f t="shared" si="1"/>
        <v/>
      </c>
      <c r="AJ1189" s="108" t="str">
        <f t="shared" si="2"/>
        <v/>
      </c>
    </row>
    <row r="1190" ht="15.75" customHeight="1">
      <c r="A1190" s="104"/>
      <c r="B1190" s="105" t="str">
        <f>IFERROR(__xludf.DUMMYFUNCTION("ARRAY_CONSTRAIN(
  ARRAYFORMULA(
    IF(
      'Final Report'!A1190="""",
      """",
      TEXTJOIN(
        "", "" &amp; CHAR(10),
        TRUE,
        IFERROR(
          VLOOKUP(
            TRIM(
              SPLIT('Final Report'!A1190, "","")
         "&amp;"   ),
            'URL Details'!A:B,
            2,
            FALSE
          ),
          """"
        )
      )
    )
  ),
  1,
  1
)
"),"")</f>
        <v/>
      </c>
      <c r="C1190" s="105" t="str">
        <f>IFERROR(__xludf.DUMMYFUNCTION("IFERROR(IF('Final Report'!A1190="""","""", TEXTJOIN(CHAR(10), TRUE, ARRAYFORMULA( ""• ""&amp; FILTER( TRIM(FLATTEN(SPLIT( REGEXREPLACE( SUBSTITUTE(TEXTJOIN("","", TRUE, IFERROR(ARRAYFORMULA(VLOOKUP(TRIM(SPLIT('Final Report'!A1190, "","")), 'URL Details'!A:D, "&amp;"4, FALSE)),"""") ), CHAR(10), "",""), ""\s*,\s*"", "",""), "",""))), TRIM(FLATTEN(SPLIT( REGEXREPLACE( SUBSTITUTE(TEXTJOIN("","", TRUE, IFERROR(ARRAYFORMULA(VLOOKUP(TRIM(SPLIT('Final Report'!A1190, "","")), 'URL Details'!A:D, 4, FALSE)),"""") ), CHAR(10),"&amp;" "",""), ""\s*,\s*"", "",""), "","")))&lt;&gt;"""" ) ) ) ),"""")
"),"")</f>
        <v/>
      </c>
      <c r="D1190" s="105"/>
      <c r="E1190" s="105"/>
      <c r="F1190" s="110" t="b">
        <v>0</v>
      </c>
      <c r="G1190" s="105" t="str">
        <f>IF(F1190=True, IFERROR(VLOOKUP(D1190, Repository!A:B, 2, 0), ""), "")</f>
        <v/>
      </c>
      <c r="H1190" s="105"/>
      <c r="I1190" s="105"/>
      <c r="J1190" s="105" t="str">
        <f>IF(F1190=True, IFERROR(VLOOKUP(D1190, Repository!A:C, 3, 0), ""), "")</f>
        <v/>
      </c>
      <c r="K1190" s="105"/>
      <c r="L1190" s="105" t="str">
        <f>IF(F1190=True, IFERROR(VLOOKUP(D1190, Repository!A:E, 5, 0), ""), "")</f>
        <v/>
      </c>
      <c r="M1190" s="105"/>
      <c r="N1190" s="105" t="str">
        <f>IF(F1190=True, IFERROR(VLOOKUP(D1190, Repository!A:G, 7, 0), ""), "")</f>
        <v/>
      </c>
      <c r="O1190" s="105" t="str">
        <f>IFERROR(__xludf.DUMMYFUNCTION("ARRAY_CONSTRAIN(
  ARRAYFORMULA(
    IFERROR(
      LET(
        list, N1190,
        arr, TRIM(SPLIT(list, "","")),
        names, XLOOKUP(
          arr,
          'Conformance Score'!A:A,
          'Conformance Score'!B:B,
          ""Not found""
     "&amp;"   ),
        TEXTJOIN("", "", TRUE, names)
      ),
      """"
    )
  ),
  1,
  1
)
"),"")</f>
        <v/>
      </c>
      <c r="P1190" s="105" t="str">
        <f>IF(F1190="Yes", IFERROR(VLOOKUP(D1190, Repository!A:F, 6, 0), ""), "")</f>
        <v/>
      </c>
      <c r="Q1190" s="105" t="str">
        <f>IF(F1190="Yes", IFERROR(VLOOKUP(D1190, Repository!A:I, 8, 0), ""), "")</f>
        <v/>
      </c>
      <c r="R1190" s="105" t="str">
        <f>IF(F1190="Yes", IFERROR(VLOOKUP(D1190, Repository!A:J, 9, 0), ""), "")</f>
        <v/>
      </c>
      <c r="S1190" s="105"/>
      <c r="T1190" s="105"/>
      <c r="U1190" s="105"/>
      <c r="V1190" s="105"/>
      <c r="W1190" s="105"/>
      <c r="X1190" s="105"/>
      <c r="Y1190" s="105"/>
      <c r="Z1190" s="105"/>
      <c r="AA1190" s="105"/>
      <c r="AB1190" s="105"/>
      <c r="AC1190" s="91"/>
      <c r="AD1190" s="105"/>
      <c r="AE1190" s="105"/>
      <c r="AF1190" s="91"/>
      <c r="AG1190" s="105"/>
      <c r="AH1190" s="105"/>
      <c r="AI1190" s="105" t="str">
        <f t="shared" si="1"/>
        <v/>
      </c>
      <c r="AJ1190" s="108" t="str">
        <f t="shared" si="2"/>
        <v/>
      </c>
    </row>
    <row r="1191" ht="15.75" customHeight="1">
      <c r="A1191" s="104"/>
      <c r="B1191" s="105" t="str">
        <f>IFERROR(__xludf.DUMMYFUNCTION("ARRAY_CONSTRAIN(
  ARRAYFORMULA(
    IF(
      'Final Report'!A1191="""",
      """",
      TEXTJOIN(
        "", "" &amp; CHAR(10),
        TRUE,
        IFERROR(
          VLOOKUP(
            TRIM(
              SPLIT('Final Report'!A1191, "","")
         "&amp;"   ),
            'URL Details'!A:B,
            2,
            FALSE
          ),
          """"
        )
      )
    )
  ),
  1,
  1
)
"),"")</f>
        <v/>
      </c>
      <c r="C1191" s="105" t="str">
        <f>IFERROR(__xludf.DUMMYFUNCTION("IFERROR(IF('Final Report'!A1191="""","""", TEXTJOIN(CHAR(10), TRUE, ARRAYFORMULA( ""• ""&amp; FILTER( TRIM(FLATTEN(SPLIT( REGEXREPLACE( SUBSTITUTE(TEXTJOIN("","", TRUE, IFERROR(ARRAYFORMULA(VLOOKUP(TRIM(SPLIT('Final Report'!A1191, "","")), 'URL Details'!A:D, "&amp;"4, FALSE)),"""") ), CHAR(10), "",""), ""\s*,\s*"", "",""), "",""))), TRIM(FLATTEN(SPLIT( REGEXREPLACE( SUBSTITUTE(TEXTJOIN("","", TRUE, IFERROR(ARRAYFORMULA(VLOOKUP(TRIM(SPLIT('Final Report'!A1191, "","")), 'URL Details'!A:D, 4, FALSE)),"""") ), CHAR(10),"&amp;" "",""), ""\s*,\s*"", "",""), "","")))&lt;&gt;"""" ) ) ) ),"""")
"),"")</f>
        <v/>
      </c>
      <c r="D1191" s="105"/>
      <c r="E1191" s="105"/>
      <c r="F1191" s="110" t="b">
        <v>0</v>
      </c>
      <c r="G1191" s="105" t="str">
        <f>IF(F1191=True, IFERROR(VLOOKUP(D1191, Repository!A:B, 2, 0), ""), "")</f>
        <v/>
      </c>
      <c r="H1191" s="105"/>
      <c r="I1191" s="105"/>
      <c r="J1191" s="105" t="str">
        <f>IF(F1191=True, IFERROR(VLOOKUP(D1191, Repository!A:C, 3, 0), ""), "")</f>
        <v/>
      </c>
      <c r="K1191" s="105"/>
      <c r="L1191" s="105" t="str">
        <f>IF(F1191=True, IFERROR(VLOOKUP(D1191, Repository!A:E, 5, 0), ""), "")</f>
        <v/>
      </c>
      <c r="M1191" s="105"/>
      <c r="N1191" s="105" t="str">
        <f>IF(F1191=True, IFERROR(VLOOKUP(D1191, Repository!A:G, 7, 0), ""), "")</f>
        <v/>
      </c>
      <c r="O1191" s="105" t="str">
        <f>IFERROR(__xludf.DUMMYFUNCTION("ARRAY_CONSTRAIN(
  ARRAYFORMULA(
    IFERROR(
      LET(
        list, N1191,
        arr, TRIM(SPLIT(list, "","")),
        names, XLOOKUP(
          arr,
          'Conformance Score'!A:A,
          'Conformance Score'!B:B,
          ""Not found""
     "&amp;"   ),
        TEXTJOIN("", "", TRUE, names)
      ),
      """"
    )
  ),
  1,
  1
)
"),"")</f>
        <v/>
      </c>
      <c r="P1191" s="105" t="str">
        <f>IF(F1191="Yes", IFERROR(VLOOKUP(D1191, Repository!A:F, 6, 0), ""), "")</f>
        <v/>
      </c>
      <c r="Q1191" s="105" t="str">
        <f>IF(F1191="Yes", IFERROR(VLOOKUP(D1191, Repository!A:I, 8, 0), ""), "")</f>
        <v/>
      </c>
      <c r="R1191" s="105" t="str">
        <f>IF(F1191="Yes", IFERROR(VLOOKUP(D1191, Repository!A:J, 9, 0), ""), "")</f>
        <v/>
      </c>
      <c r="S1191" s="105"/>
      <c r="T1191" s="105"/>
      <c r="U1191" s="105"/>
      <c r="V1191" s="105"/>
      <c r="W1191" s="105"/>
      <c r="X1191" s="105"/>
      <c r="Y1191" s="105"/>
      <c r="Z1191" s="105"/>
      <c r="AA1191" s="105"/>
      <c r="AB1191" s="105"/>
      <c r="AC1191" s="91"/>
      <c r="AD1191" s="105"/>
      <c r="AE1191" s="105"/>
      <c r="AF1191" s="91"/>
      <c r="AG1191" s="105"/>
      <c r="AH1191" s="105"/>
      <c r="AI1191" s="105" t="str">
        <f t="shared" si="1"/>
        <v/>
      </c>
      <c r="AJ1191" s="108" t="str">
        <f t="shared" si="2"/>
        <v/>
      </c>
    </row>
    <row r="1192" ht="15.75" customHeight="1">
      <c r="A1192" s="104"/>
      <c r="B1192" s="105" t="str">
        <f>IFERROR(__xludf.DUMMYFUNCTION("ARRAY_CONSTRAIN(
  ARRAYFORMULA(
    IF(
      'Final Report'!A1192="""",
      """",
      TEXTJOIN(
        "", "" &amp; CHAR(10),
        TRUE,
        IFERROR(
          VLOOKUP(
            TRIM(
              SPLIT('Final Report'!A1192, "","")
         "&amp;"   ),
            'URL Details'!A:B,
            2,
            FALSE
          ),
          """"
        )
      )
    )
  ),
  1,
  1
)
"),"")</f>
        <v/>
      </c>
      <c r="C1192" s="105" t="str">
        <f>IFERROR(__xludf.DUMMYFUNCTION("IFERROR(IF('Final Report'!A1192="""","""", TEXTJOIN(CHAR(10), TRUE, ARRAYFORMULA( ""• ""&amp; FILTER( TRIM(FLATTEN(SPLIT( REGEXREPLACE( SUBSTITUTE(TEXTJOIN("","", TRUE, IFERROR(ARRAYFORMULA(VLOOKUP(TRIM(SPLIT('Final Report'!A1192, "","")), 'URL Details'!A:D, "&amp;"4, FALSE)),"""") ), CHAR(10), "",""), ""\s*,\s*"", "",""), "",""))), TRIM(FLATTEN(SPLIT( REGEXREPLACE( SUBSTITUTE(TEXTJOIN("","", TRUE, IFERROR(ARRAYFORMULA(VLOOKUP(TRIM(SPLIT('Final Report'!A1192, "","")), 'URL Details'!A:D, 4, FALSE)),"""") ), CHAR(10),"&amp;" "",""), ""\s*,\s*"", "",""), "","")))&lt;&gt;"""" ) ) ) ),"""")
"),"")</f>
        <v/>
      </c>
      <c r="D1192" s="105"/>
      <c r="E1192" s="105"/>
      <c r="F1192" s="110" t="b">
        <v>0</v>
      </c>
      <c r="G1192" s="105" t="str">
        <f>IF(F1192=True, IFERROR(VLOOKUP(D1192, Repository!A:B, 2, 0), ""), "")</f>
        <v/>
      </c>
      <c r="H1192" s="105"/>
      <c r="I1192" s="105"/>
      <c r="J1192" s="105" t="str">
        <f>IF(F1192=True, IFERROR(VLOOKUP(D1192, Repository!A:C, 3, 0), ""), "")</f>
        <v/>
      </c>
      <c r="K1192" s="105"/>
      <c r="L1192" s="105" t="str">
        <f>IF(F1192=True, IFERROR(VLOOKUP(D1192, Repository!A:E, 5, 0), ""), "")</f>
        <v/>
      </c>
      <c r="M1192" s="105"/>
      <c r="N1192" s="105" t="str">
        <f>IF(F1192=True, IFERROR(VLOOKUP(D1192, Repository!A:G, 7, 0), ""), "")</f>
        <v/>
      </c>
      <c r="O1192" s="105" t="str">
        <f>IFERROR(__xludf.DUMMYFUNCTION("ARRAY_CONSTRAIN(
  ARRAYFORMULA(
    IFERROR(
      LET(
        list, N1192,
        arr, TRIM(SPLIT(list, "","")),
        names, XLOOKUP(
          arr,
          'Conformance Score'!A:A,
          'Conformance Score'!B:B,
          ""Not found""
     "&amp;"   ),
        TEXTJOIN("", "", TRUE, names)
      ),
      """"
    )
  ),
  1,
  1
)
"),"")</f>
        <v/>
      </c>
      <c r="P1192" s="105" t="str">
        <f>IF(F1192="Yes", IFERROR(VLOOKUP(D1192, Repository!A:F, 6, 0), ""), "")</f>
        <v/>
      </c>
      <c r="Q1192" s="105" t="str">
        <f>IF(F1192="Yes", IFERROR(VLOOKUP(D1192, Repository!A:I, 8, 0), ""), "")</f>
        <v/>
      </c>
      <c r="R1192" s="105" t="str">
        <f>IF(F1192="Yes", IFERROR(VLOOKUP(D1192, Repository!A:J, 9, 0), ""), "")</f>
        <v/>
      </c>
      <c r="S1192" s="105"/>
      <c r="T1192" s="105"/>
      <c r="U1192" s="105"/>
      <c r="V1192" s="105"/>
      <c r="W1192" s="105"/>
      <c r="X1192" s="105"/>
      <c r="Y1192" s="105"/>
      <c r="Z1192" s="105"/>
      <c r="AA1192" s="105"/>
      <c r="AB1192" s="105"/>
      <c r="AC1192" s="91"/>
      <c r="AD1192" s="105"/>
      <c r="AE1192" s="105"/>
      <c r="AF1192" s="91"/>
      <c r="AG1192" s="105"/>
      <c r="AH1192" s="105"/>
      <c r="AI1192" s="105" t="str">
        <f t="shared" si="1"/>
        <v/>
      </c>
      <c r="AJ1192" s="108" t="str">
        <f t="shared" si="2"/>
        <v/>
      </c>
    </row>
    <row r="1193" ht="15.75" customHeight="1">
      <c r="A1193" s="104"/>
      <c r="B1193" s="105" t="str">
        <f>IFERROR(__xludf.DUMMYFUNCTION("ARRAY_CONSTRAIN(
  ARRAYFORMULA(
    IF(
      'Final Report'!A1193="""",
      """",
      TEXTJOIN(
        "", "" &amp; CHAR(10),
        TRUE,
        IFERROR(
          VLOOKUP(
            TRIM(
              SPLIT('Final Report'!A1193, "","")
         "&amp;"   ),
            'URL Details'!A:B,
            2,
            FALSE
          ),
          """"
        )
      )
    )
  ),
  1,
  1
)
"),"")</f>
        <v/>
      </c>
      <c r="C1193" s="105" t="str">
        <f>IFERROR(__xludf.DUMMYFUNCTION("IFERROR(IF('Final Report'!A1193="""","""", TEXTJOIN(CHAR(10), TRUE, ARRAYFORMULA( ""• ""&amp; FILTER( TRIM(FLATTEN(SPLIT( REGEXREPLACE( SUBSTITUTE(TEXTJOIN("","", TRUE, IFERROR(ARRAYFORMULA(VLOOKUP(TRIM(SPLIT('Final Report'!A1193, "","")), 'URL Details'!A:D, "&amp;"4, FALSE)),"""") ), CHAR(10), "",""), ""\s*,\s*"", "",""), "",""))), TRIM(FLATTEN(SPLIT( REGEXREPLACE( SUBSTITUTE(TEXTJOIN("","", TRUE, IFERROR(ARRAYFORMULA(VLOOKUP(TRIM(SPLIT('Final Report'!A1193, "","")), 'URL Details'!A:D, 4, FALSE)),"""") ), CHAR(10),"&amp;" "",""), ""\s*,\s*"", "",""), "","")))&lt;&gt;"""" ) ) ) ),"""")
"),"")</f>
        <v/>
      </c>
      <c r="D1193" s="105"/>
      <c r="E1193" s="105"/>
      <c r="F1193" s="110" t="b">
        <v>0</v>
      </c>
      <c r="G1193" s="105" t="str">
        <f>IF(F1193=True, IFERROR(VLOOKUP(D1193, Repository!A:B, 2, 0), ""), "")</f>
        <v/>
      </c>
      <c r="H1193" s="105"/>
      <c r="I1193" s="105"/>
      <c r="J1193" s="105" t="str">
        <f>IF(F1193=True, IFERROR(VLOOKUP(D1193, Repository!A:C, 3, 0), ""), "")</f>
        <v/>
      </c>
      <c r="K1193" s="105"/>
      <c r="L1193" s="105" t="str">
        <f>IF(F1193=True, IFERROR(VLOOKUP(D1193, Repository!A:E, 5, 0), ""), "")</f>
        <v/>
      </c>
      <c r="M1193" s="105"/>
      <c r="N1193" s="105" t="str">
        <f>IF(F1193=True, IFERROR(VLOOKUP(D1193, Repository!A:G, 7, 0), ""), "")</f>
        <v/>
      </c>
      <c r="O1193" s="105" t="str">
        <f>IFERROR(__xludf.DUMMYFUNCTION("ARRAY_CONSTRAIN(
  ARRAYFORMULA(
    IFERROR(
      LET(
        list, N1193,
        arr, TRIM(SPLIT(list, "","")),
        names, XLOOKUP(
          arr,
          'Conformance Score'!A:A,
          'Conformance Score'!B:B,
          ""Not found""
     "&amp;"   ),
        TEXTJOIN("", "", TRUE, names)
      ),
      """"
    )
  ),
  1,
  1
)
"),"")</f>
        <v/>
      </c>
      <c r="P1193" s="105" t="str">
        <f>IF(F1193="Yes", IFERROR(VLOOKUP(D1193, Repository!A:F, 6, 0), ""), "")</f>
        <v/>
      </c>
      <c r="Q1193" s="105" t="str">
        <f>IF(F1193="Yes", IFERROR(VLOOKUP(D1193, Repository!A:I, 8, 0), ""), "")</f>
        <v/>
      </c>
      <c r="R1193" s="105" t="str">
        <f>IF(F1193="Yes", IFERROR(VLOOKUP(D1193, Repository!A:J, 9, 0), ""), "")</f>
        <v/>
      </c>
      <c r="S1193" s="105"/>
      <c r="T1193" s="105"/>
      <c r="U1193" s="105"/>
      <c r="V1193" s="105"/>
      <c r="W1193" s="105"/>
      <c r="X1193" s="105"/>
      <c r="Y1193" s="105"/>
      <c r="Z1193" s="105"/>
      <c r="AA1193" s="105"/>
      <c r="AB1193" s="105"/>
      <c r="AC1193" s="91"/>
      <c r="AD1193" s="105"/>
      <c r="AE1193" s="105"/>
      <c r="AF1193" s="91"/>
      <c r="AG1193" s="105"/>
      <c r="AH1193" s="105"/>
      <c r="AI1193" s="105" t="str">
        <f t="shared" si="1"/>
        <v/>
      </c>
      <c r="AJ1193" s="108" t="str">
        <f t="shared" si="2"/>
        <v/>
      </c>
    </row>
    <row r="1194" ht="15.75" customHeight="1">
      <c r="A1194" s="104"/>
      <c r="B1194" s="105" t="str">
        <f>IFERROR(__xludf.DUMMYFUNCTION("ARRAY_CONSTRAIN(
  ARRAYFORMULA(
    IF(
      'Final Report'!A1194="""",
      """",
      TEXTJOIN(
        "", "" &amp; CHAR(10),
        TRUE,
        IFERROR(
          VLOOKUP(
            TRIM(
              SPLIT('Final Report'!A1194, "","")
         "&amp;"   ),
            'URL Details'!A:B,
            2,
            FALSE
          ),
          """"
        )
      )
    )
  ),
  1,
  1
)
"),"")</f>
        <v/>
      </c>
      <c r="C1194" s="105" t="str">
        <f>IFERROR(__xludf.DUMMYFUNCTION("IFERROR(IF('Final Report'!A1194="""","""", TEXTJOIN(CHAR(10), TRUE, ARRAYFORMULA( ""• ""&amp; FILTER( TRIM(FLATTEN(SPLIT( REGEXREPLACE( SUBSTITUTE(TEXTJOIN("","", TRUE, IFERROR(ARRAYFORMULA(VLOOKUP(TRIM(SPLIT('Final Report'!A1194, "","")), 'URL Details'!A:D, "&amp;"4, FALSE)),"""") ), CHAR(10), "",""), ""\s*,\s*"", "",""), "",""))), TRIM(FLATTEN(SPLIT( REGEXREPLACE( SUBSTITUTE(TEXTJOIN("","", TRUE, IFERROR(ARRAYFORMULA(VLOOKUP(TRIM(SPLIT('Final Report'!A1194, "","")), 'URL Details'!A:D, 4, FALSE)),"""") ), CHAR(10),"&amp;" "",""), ""\s*,\s*"", "",""), "","")))&lt;&gt;"""" ) ) ) ),"""")
"),"")</f>
        <v/>
      </c>
      <c r="D1194" s="105"/>
      <c r="E1194" s="105"/>
      <c r="F1194" s="110" t="b">
        <v>0</v>
      </c>
      <c r="G1194" s="105" t="str">
        <f>IF(F1194=True, IFERROR(VLOOKUP(D1194, Repository!A:B, 2, 0), ""), "")</f>
        <v/>
      </c>
      <c r="H1194" s="105"/>
      <c r="I1194" s="105"/>
      <c r="J1194" s="105" t="str">
        <f>IF(F1194=True, IFERROR(VLOOKUP(D1194, Repository!A:C, 3, 0), ""), "")</f>
        <v/>
      </c>
      <c r="K1194" s="105"/>
      <c r="L1194" s="105" t="str">
        <f>IF(F1194=True, IFERROR(VLOOKUP(D1194, Repository!A:E, 5, 0), ""), "")</f>
        <v/>
      </c>
      <c r="M1194" s="105"/>
      <c r="N1194" s="105" t="str">
        <f>IF(F1194=True, IFERROR(VLOOKUP(D1194, Repository!A:G, 7, 0), ""), "")</f>
        <v/>
      </c>
      <c r="O1194" s="105" t="str">
        <f>IFERROR(__xludf.DUMMYFUNCTION("ARRAY_CONSTRAIN(
  ARRAYFORMULA(
    IFERROR(
      LET(
        list, N1194,
        arr, TRIM(SPLIT(list, "","")),
        names, XLOOKUP(
          arr,
          'Conformance Score'!A:A,
          'Conformance Score'!B:B,
          ""Not found""
     "&amp;"   ),
        TEXTJOIN("", "", TRUE, names)
      ),
      """"
    )
  ),
  1,
  1
)
"),"")</f>
        <v/>
      </c>
      <c r="P1194" s="105" t="str">
        <f>IF(F1194="Yes", IFERROR(VLOOKUP(D1194, Repository!A:F, 6, 0), ""), "")</f>
        <v/>
      </c>
      <c r="Q1194" s="105" t="str">
        <f>IF(F1194="Yes", IFERROR(VLOOKUP(D1194, Repository!A:I, 8, 0), ""), "")</f>
        <v/>
      </c>
      <c r="R1194" s="105" t="str">
        <f>IF(F1194="Yes", IFERROR(VLOOKUP(D1194, Repository!A:J, 9, 0), ""), "")</f>
        <v/>
      </c>
      <c r="S1194" s="105"/>
      <c r="T1194" s="105"/>
      <c r="U1194" s="105"/>
      <c r="V1194" s="105"/>
      <c r="W1194" s="105"/>
      <c r="X1194" s="105"/>
      <c r="Y1194" s="105"/>
      <c r="Z1194" s="105"/>
      <c r="AA1194" s="105"/>
      <c r="AB1194" s="105"/>
      <c r="AC1194" s="91"/>
      <c r="AD1194" s="105"/>
      <c r="AE1194" s="105"/>
      <c r="AF1194" s="91"/>
      <c r="AG1194" s="105"/>
      <c r="AH1194" s="105"/>
      <c r="AI1194" s="105" t="str">
        <f t="shared" si="1"/>
        <v/>
      </c>
      <c r="AJ1194" s="108" t="str">
        <f t="shared" si="2"/>
        <v/>
      </c>
    </row>
    <row r="1195" ht="15.75" customHeight="1">
      <c r="A1195" s="104"/>
      <c r="B1195" s="105" t="str">
        <f>IFERROR(__xludf.DUMMYFUNCTION("ARRAY_CONSTRAIN(
  ARRAYFORMULA(
    IF(
      'Final Report'!A1195="""",
      """",
      TEXTJOIN(
        "", "" &amp; CHAR(10),
        TRUE,
        IFERROR(
          VLOOKUP(
            TRIM(
              SPLIT('Final Report'!A1195, "","")
         "&amp;"   ),
            'URL Details'!A:B,
            2,
            FALSE
          ),
          """"
        )
      )
    )
  ),
  1,
  1
)
"),"")</f>
        <v/>
      </c>
      <c r="C1195" s="105" t="str">
        <f>IFERROR(__xludf.DUMMYFUNCTION("IFERROR(IF('Final Report'!A1195="""","""", TEXTJOIN(CHAR(10), TRUE, ARRAYFORMULA( ""• ""&amp; FILTER( TRIM(FLATTEN(SPLIT( REGEXREPLACE( SUBSTITUTE(TEXTJOIN("","", TRUE, IFERROR(ARRAYFORMULA(VLOOKUP(TRIM(SPLIT('Final Report'!A1195, "","")), 'URL Details'!A:D, "&amp;"4, FALSE)),"""") ), CHAR(10), "",""), ""\s*,\s*"", "",""), "",""))), TRIM(FLATTEN(SPLIT( REGEXREPLACE( SUBSTITUTE(TEXTJOIN("","", TRUE, IFERROR(ARRAYFORMULA(VLOOKUP(TRIM(SPLIT('Final Report'!A1195, "","")), 'URL Details'!A:D, 4, FALSE)),"""") ), CHAR(10),"&amp;" "",""), ""\s*,\s*"", "",""), "","")))&lt;&gt;"""" ) ) ) ),"""")
"),"")</f>
        <v/>
      </c>
      <c r="D1195" s="105"/>
      <c r="E1195" s="105"/>
      <c r="F1195" s="110" t="b">
        <v>0</v>
      </c>
      <c r="G1195" s="105" t="str">
        <f>IF(F1195=True, IFERROR(VLOOKUP(D1195, Repository!A:B, 2, 0), ""), "")</f>
        <v/>
      </c>
      <c r="H1195" s="105"/>
      <c r="I1195" s="105"/>
      <c r="J1195" s="105" t="str">
        <f>IF(F1195=True, IFERROR(VLOOKUP(D1195, Repository!A:C, 3, 0), ""), "")</f>
        <v/>
      </c>
      <c r="K1195" s="105"/>
      <c r="L1195" s="105" t="str">
        <f>IF(F1195=True, IFERROR(VLOOKUP(D1195, Repository!A:E, 5, 0), ""), "")</f>
        <v/>
      </c>
      <c r="M1195" s="105"/>
      <c r="N1195" s="105" t="str">
        <f>IF(F1195=True, IFERROR(VLOOKUP(D1195, Repository!A:G, 7, 0), ""), "")</f>
        <v/>
      </c>
      <c r="O1195" s="105" t="str">
        <f>IFERROR(__xludf.DUMMYFUNCTION("ARRAY_CONSTRAIN(
  ARRAYFORMULA(
    IFERROR(
      LET(
        list, N1195,
        arr, TRIM(SPLIT(list, "","")),
        names, XLOOKUP(
          arr,
          'Conformance Score'!A:A,
          'Conformance Score'!B:B,
          ""Not found""
     "&amp;"   ),
        TEXTJOIN("", "", TRUE, names)
      ),
      """"
    )
  ),
  1,
  1
)
"),"")</f>
        <v/>
      </c>
      <c r="P1195" s="105" t="str">
        <f>IF(F1195="Yes", IFERROR(VLOOKUP(D1195, Repository!A:F, 6, 0), ""), "")</f>
        <v/>
      </c>
      <c r="Q1195" s="105" t="str">
        <f>IF(F1195="Yes", IFERROR(VLOOKUP(D1195, Repository!A:I, 8, 0), ""), "")</f>
        <v/>
      </c>
      <c r="R1195" s="105" t="str">
        <f>IF(F1195="Yes", IFERROR(VLOOKUP(D1195, Repository!A:J, 9, 0), ""), "")</f>
        <v/>
      </c>
      <c r="S1195" s="105"/>
      <c r="T1195" s="105"/>
      <c r="U1195" s="105"/>
      <c r="V1195" s="105"/>
      <c r="W1195" s="105"/>
      <c r="X1195" s="105"/>
      <c r="Y1195" s="105"/>
      <c r="Z1195" s="105"/>
      <c r="AA1195" s="105"/>
      <c r="AB1195" s="105"/>
      <c r="AC1195" s="91"/>
      <c r="AD1195" s="105"/>
      <c r="AE1195" s="105"/>
      <c r="AF1195" s="91"/>
      <c r="AG1195" s="105"/>
      <c r="AH1195" s="105"/>
      <c r="AI1195" s="105" t="str">
        <f t="shared" si="1"/>
        <v/>
      </c>
      <c r="AJ1195" s="108" t="str">
        <f t="shared" si="2"/>
        <v/>
      </c>
    </row>
    <row r="1196" ht="15.75" customHeight="1">
      <c r="A1196" s="104"/>
      <c r="B1196" s="105" t="str">
        <f>IFERROR(__xludf.DUMMYFUNCTION("ARRAY_CONSTRAIN(
  ARRAYFORMULA(
    IF(
      'Final Report'!A1196="""",
      """",
      TEXTJOIN(
        "", "" &amp; CHAR(10),
        TRUE,
        IFERROR(
          VLOOKUP(
            TRIM(
              SPLIT('Final Report'!A1196, "","")
         "&amp;"   ),
            'URL Details'!A:B,
            2,
            FALSE
          ),
          """"
        )
      )
    )
  ),
  1,
  1
)
"),"")</f>
        <v/>
      </c>
      <c r="C1196" s="105" t="str">
        <f>IFERROR(__xludf.DUMMYFUNCTION("IFERROR(IF('Final Report'!A1196="""","""", TEXTJOIN(CHAR(10), TRUE, ARRAYFORMULA( ""• ""&amp; FILTER( TRIM(FLATTEN(SPLIT( REGEXREPLACE( SUBSTITUTE(TEXTJOIN("","", TRUE, IFERROR(ARRAYFORMULA(VLOOKUP(TRIM(SPLIT('Final Report'!A1196, "","")), 'URL Details'!A:D, "&amp;"4, FALSE)),"""") ), CHAR(10), "",""), ""\s*,\s*"", "",""), "",""))), TRIM(FLATTEN(SPLIT( REGEXREPLACE( SUBSTITUTE(TEXTJOIN("","", TRUE, IFERROR(ARRAYFORMULA(VLOOKUP(TRIM(SPLIT('Final Report'!A1196, "","")), 'URL Details'!A:D, 4, FALSE)),"""") ), CHAR(10),"&amp;" "",""), ""\s*,\s*"", "",""), "","")))&lt;&gt;"""" ) ) ) ),"""")
"),"")</f>
        <v/>
      </c>
      <c r="D1196" s="105"/>
      <c r="E1196" s="105"/>
      <c r="F1196" s="110" t="b">
        <v>0</v>
      </c>
      <c r="G1196" s="105" t="str">
        <f>IF(F1196=True, IFERROR(VLOOKUP(D1196, Repository!A:B, 2, 0), ""), "")</f>
        <v/>
      </c>
      <c r="H1196" s="105"/>
      <c r="I1196" s="105"/>
      <c r="J1196" s="105" t="str">
        <f>IF(F1196=True, IFERROR(VLOOKUP(D1196, Repository!A:C, 3, 0), ""), "")</f>
        <v/>
      </c>
      <c r="K1196" s="105"/>
      <c r="L1196" s="105" t="str">
        <f>IF(F1196=True, IFERROR(VLOOKUP(D1196, Repository!A:E, 5, 0), ""), "")</f>
        <v/>
      </c>
      <c r="M1196" s="105"/>
      <c r="N1196" s="105" t="str">
        <f>IF(F1196=True, IFERROR(VLOOKUP(D1196, Repository!A:G, 7, 0), ""), "")</f>
        <v/>
      </c>
      <c r="O1196" s="105" t="str">
        <f>IFERROR(__xludf.DUMMYFUNCTION("ARRAY_CONSTRAIN(
  ARRAYFORMULA(
    IFERROR(
      LET(
        list, N1196,
        arr, TRIM(SPLIT(list, "","")),
        names, XLOOKUP(
          arr,
          'Conformance Score'!A:A,
          'Conformance Score'!B:B,
          ""Not found""
     "&amp;"   ),
        TEXTJOIN("", "", TRUE, names)
      ),
      """"
    )
  ),
  1,
  1
)
"),"")</f>
        <v/>
      </c>
      <c r="P1196" s="105" t="str">
        <f>IF(F1196="Yes", IFERROR(VLOOKUP(D1196, Repository!A:F, 6, 0), ""), "")</f>
        <v/>
      </c>
      <c r="Q1196" s="105" t="str">
        <f>IF(F1196="Yes", IFERROR(VLOOKUP(D1196, Repository!A:I, 8, 0), ""), "")</f>
        <v/>
      </c>
      <c r="R1196" s="105" t="str">
        <f>IF(F1196="Yes", IFERROR(VLOOKUP(D1196, Repository!A:J, 9, 0), ""), "")</f>
        <v/>
      </c>
      <c r="S1196" s="105"/>
      <c r="T1196" s="105"/>
      <c r="U1196" s="105"/>
      <c r="V1196" s="105"/>
      <c r="W1196" s="105"/>
      <c r="X1196" s="105"/>
      <c r="Y1196" s="105"/>
      <c r="Z1196" s="105"/>
      <c r="AA1196" s="105"/>
      <c r="AB1196" s="105"/>
      <c r="AC1196" s="91"/>
      <c r="AD1196" s="105"/>
      <c r="AE1196" s="105"/>
      <c r="AF1196" s="91"/>
      <c r="AG1196" s="105"/>
      <c r="AH1196" s="105"/>
      <c r="AI1196" s="105" t="str">
        <f t="shared" si="1"/>
        <v/>
      </c>
      <c r="AJ1196" s="108" t="str">
        <f t="shared" si="2"/>
        <v/>
      </c>
    </row>
    <row r="1197" ht="15.75" customHeight="1">
      <c r="A1197" s="104"/>
      <c r="B1197" s="105" t="str">
        <f>IFERROR(__xludf.DUMMYFUNCTION("ARRAY_CONSTRAIN(
  ARRAYFORMULA(
    IF(
      'Final Report'!A1197="""",
      """",
      TEXTJOIN(
        "", "" &amp; CHAR(10),
        TRUE,
        IFERROR(
          VLOOKUP(
            TRIM(
              SPLIT('Final Report'!A1197, "","")
         "&amp;"   ),
            'URL Details'!A:B,
            2,
            FALSE
          ),
          """"
        )
      )
    )
  ),
  1,
  1
)
"),"")</f>
        <v/>
      </c>
      <c r="C1197" s="105" t="str">
        <f>IFERROR(__xludf.DUMMYFUNCTION("IFERROR(IF('Final Report'!A1197="""","""", TEXTJOIN(CHAR(10), TRUE, ARRAYFORMULA( ""• ""&amp; FILTER( TRIM(FLATTEN(SPLIT( REGEXREPLACE( SUBSTITUTE(TEXTJOIN("","", TRUE, IFERROR(ARRAYFORMULA(VLOOKUP(TRIM(SPLIT('Final Report'!A1197, "","")), 'URL Details'!A:D, "&amp;"4, FALSE)),"""") ), CHAR(10), "",""), ""\s*,\s*"", "",""), "",""))), TRIM(FLATTEN(SPLIT( REGEXREPLACE( SUBSTITUTE(TEXTJOIN("","", TRUE, IFERROR(ARRAYFORMULA(VLOOKUP(TRIM(SPLIT('Final Report'!A1197, "","")), 'URL Details'!A:D, 4, FALSE)),"""") ), CHAR(10),"&amp;" "",""), ""\s*,\s*"", "",""), "","")))&lt;&gt;"""" ) ) ) ),"""")
"),"")</f>
        <v/>
      </c>
      <c r="D1197" s="105"/>
      <c r="E1197" s="105"/>
      <c r="F1197" s="110" t="b">
        <v>0</v>
      </c>
      <c r="G1197" s="105" t="str">
        <f>IF(F1197=True, IFERROR(VLOOKUP(D1197, Repository!A:B, 2, 0), ""), "")</f>
        <v/>
      </c>
      <c r="H1197" s="105"/>
      <c r="I1197" s="105"/>
      <c r="J1197" s="105" t="str">
        <f>IF(F1197=True, IFERROR(VLOOKUP(D1197, Repository!A:C, 3, 0), ""), "")</f>
        <v/>
      </c>
      <c r="K1197" s="105"/>
      <c r="L1197" s="105" t="str">
        <f>IF(F1197=True, IFERROR(VLOOKUP(D1197, Repository!A:E, 5, 0), ""), "")</f>
        <v/>
      </c>
      <c r="M1197" s="105"/>
      <c r="N1197" s="105" t="str">
        <f>IF(F1197=True, IFERROR(VLOOKUP(D1197, Repository!A:G, 7, 0), ""), "")</f>
        <v/>
      </c>
      <c r="O1197" s="105" t="str">
        <f>IFERROR(__xludf.DUMMYFUNCTION("ARRAY_CONSTRAIN(
  ARRAYFORMULA(
    IFERROR(
      LET(
        list, N1197,
        arr, TRIM(SPLIT(list, "","")),
        names, XLOOKUP(
          arr,
          'Conformance Score'!A:A,
          'Conformance Score'!B:B,
          ""Not found""
     "&amp;"   ),
        TEXTJOIN("", "", TRUE, names)
      ),
      """"
    )
  ),
  1,
  1
)
"),"")</f>
        <v/>
      </c>
      <c r="P1197" s="105" t="str">
        <f>IF(F1197="Yes", IFERROR(VLOOKUP(D1197, Repository!A:F, 6, 0), ""), "")</f>
        <v/>
      </c>
      <c r="Q1197" s="105" t="str">
        <f>IF(F1197="Yes", IFERROR(VLOOKUP(D1197, Repository!A:I, 8, 0), ""), "")</f>
        <v/>
      </c>
      <c r="R1197" s="105" t="str">
        <f>IF(F1197="Yes", IFERROR(VLOOKUP(D1197, Repository!A:J, 9, 0), ""), "")</f>
        <v/>
      </c>
      <c r="S1197" s="105"/>
      <c r="T1197" s="105"/>
      <c r="U1197" s="105"/>
      <c r="V1197" s="105"/>
      <c r="W1197" s="105"/>
      <c r="X1197" s="105"/>
      <c r="Y1197" s="105"/>
      <c r="Z1197" s="105"/>
      <c r="AA1197" s="105"/>
      <c r="AB1197" s="105"/>
      <c r="AC1197" s="91"/>
      <c r="AD1197" s="105"/>
      <c r="AE1197" s="105"/>
      <c r="AF1197" s="91"/>
      <c r="AG1197" s="105"/>
      <c r="AH1197" s="105"/>
      <c r="AI1197" s="105" t="str">
        <f t="shared" si="1"/>
        <v/>
      </c>
      <c r="AJ1197" s="108" t="str">
        <f t="shared" si="2"/>
        <v/>
      </c>
    </row>
    <row r="1198" ht="15.75" customHeight="1">
      <c r="A1198" s="104"/>
      <c r="B1198" s="105" t="str">
        <f>IFERROR(__xludf.DUMMYFUNCTION("ARRAY_CONSTRAIN(
  ARRAYFORMULA(
    IF(
      'Final Report'!A1198="""",
      """",
      TEXTJOIN(
        "", "" &amp; CHAR(10),
        TRUE,
        IFERROR(
          VLOOKUP(
            TRIM(
              SPLIT('Final Report'!A1198, "","")
         "&amp;"   ),
            'URL Details'!A:B,
            2,
            FALSE
          ),
          """"
        )
      )
    )
  ),
  1,
  1
)
"),"")</f>
        <v/>
      </c>
      <c r="C1198" s="105" t="str">
        <f>IFERROR(__xludf.DUMMYFUNCTION("IFERROR(IF('Final Report'!A1198="""","""", TEXTJOIN(CHAR(10), TRUE, ARRAYFORMULA( ""• ""&amp; FILTER( TRIM(FLATTEN(SPLIT( REGEXREPLACE( SUBSTITUTE(TEXTJOIN("","", TRUE, IFERROR(ARRAYFORMULA(VLOOKUP(TRIM(SPLIT('Final Report'!A1198, "","")), 'URL Details'!A:D, "&amp;"4, FALSE)),"""") ), CHAR(10), "",""), ""\s*,\s*"", "",""), "",""))), TRIM(FLATTEN(SPLIT( REGEXREPLACE( SUBSTITUTE(TEXTJOIN("","", TRUE, IFERROR(ARRAYFORMULA(VLOOKUP(TRIM(SPLIT('Final Report'!A1198, "","")), 'URL Details'!A:D, 4, FALSE)),"""") ), CHAR(10),"&amp;" "",""), ""\s*,\s*"", "",""), "","")))&lt;&gt;"""" ) ) ) ),"""")
"),"")</f>
        <v/>
      </c>
      <c r="D1198" s="105"/>
      <c r="E1198" s="105"/>
      <c r="F1198" s="110" t="b">
        <v>0</v>
      </c>
      <c r="G1198" s="105" t="str">
        <f>IF(F1198=True, IFERROR(VLOOKUP(D1198, Repository!A:B, 2, 0), ""), "")</f>
        <v/>
      </c>
      <c r="H1198" s="105"/>
      <c r="I1198" s="105"/>
      <c r="J1198" s="105" t="str">
        <f>IF(F1198=True, IFERROR(VLOOKUP(D1198, Repository!A:C, 3, 0), ""), "")</f>
        <v/>
      </c>
      <c r="K1198" s="105"/>
      <c r="L1198" s="105" t="str">
        <f>IF(F1198=True, IFERROR(VLOOKUP(D1198, Repository!A:E, 5, 0), ""), "")</f>
        <v/>
      </c>
      <c r="M1198" s="105"/>
      <c r="N1198" s="105" t="str">
        <f>IF(F1198=True, IFERROR(VLOOKUP(D1198, Repository!A:G, 7, 0), ""), "")</f>
        <v/>
      </c>
      <c r="O1198" s="105" t="str">
        <f>IFERROR(__xludf.DUMMYFUNCTION("ARRAY_CONSTRAIN(
  ARRAYFORMULA(
    IFERROR(
      LET(
        list, N1198,
        arr, TRIM(SPLIT(list, "","")),
        names, XLOOKUP(
          arr,
          'Conformance Score'!A:A,
          'Conformance Score'!B:B,
          ""Not found""
     "&amp;"   ),
        TEXTJOIN("", "", TRUE, names)
      ),
      """"
    )
  ),
  1,
  1
)
"),"")</f>
        <v/>
      </c>
      <c r="P1198" s="105" t="str">
        <f>IF(F1198="Yes", IFERROR(VLOOKUP(D1198, Repository!A:F, 6, 0), ""), "")</f>
        <v/>
      </c>
      <c r="Q1198" s="105" t="str">
        <f>IF(F1198="Yes", IFERROR(VLOOKUP(D1198, Repository!A:I, 8, 0), ""), "")</f>
        <v/>
      </c>
      <c r="R1198" s="105" t="str">
        <f>IF(F1198="Yes", IFERROR(VLOOKUP(D1198, Repository!A:J, 9, 0), ""), "")</f>
        <v/>
      </c>
      <c r="S1198" s="105"/>
      <c r="T1198" s="105"/>
      <c r="U1198" s="105"/>
      <c r="V1198" s="105"/>
      <c r="W1198" s="105"/>
      <c r="X1198" s="105"/>
      <c r="Y1198" s="105"/>
      <c r="Z1198" s="105"/>
      <c r="AA1198" s="105"/>
      <c r="AB1198" s="105"/>
      <c r="AC1198" s="91"/>
      <c r="AD1198" s="105"/>
      <c r="AE1198" s="105"/>
      <c r="AF1198" s="91"/>
      <c r="AG1198" s="105"/>
      <c r="AH1198" s="105"/>
      <c r="AI1198" s="105" t="str">
        <f t="shared" si="1"/>
        <v/>
      </c>
      <c r="AJ1198" s="108" t="str">
        <f t="shared" si="2"/>
        <v/>
      </c>
    </row>
    <row r="1199" ht="15.75" customHeight="1">
      <c r="A1199" s="104"/>
      <c r="B1199" s="105" t="str">
        <f>IFERROR(__xludf.DUMMYFUNCTION("ARRAY_CONSTRAIN(
  ARRAYFORMULA(
    IF(
      'Final Report'!A1199="""",
      """",
      TEXTJOIN(
        "", "" &amp; CHAR(10),
        TRUE,
        IFERROR(
          VLOOKUP(
            TRIM(
              SPLIT('Final Report'!A1199, "","")
         "&amp;"   ),
            'URL Details'!A:B,
            2,
            FALSE
          ),
          """"
        )
      )
    )
  ),
  1,
  1
)
"),"")</f>
        <v/>
      </c>
      <c r="C1199" s="105" t="str">
        <f>IFERROR(__xludf.DUMMYFUNCTION("IFERROR(IF('Final Report'!A1199="""","""", TEXTJOIN(CHAR(10), TRUE, ARRAYFORMULA( ""• ""&amp; FILTER( TRIM(FLATTEN(SPLIT( REGEXREPLACE( SUBSTITUTE(TEXTJOIN("","", TRUE, IFERROR(ARRAYFORMULA(VLOOKUP(TRIM(SPLIT('Final Report'!A1199, "","")), 'URL Details'!A:D, "&amp;"4, FALSE)),"""") ), CHAR(10), "",""), ""\s*,\s*"", "",""), "",""))), TRIM(FLATTEN(SPLIT( REGEXREPLACE( SUBSTITUTE(TEXTJOIN("","", TRUE, IFERROR(ARRAYFORMULA(VLOOKUP(TRIM(SPLIT('Final Report'!A1199, "","")), 'URL Details'!A:D, 4, FALSE)),"""") ), CHAR(10),"&amp;" "",""), ""\s*,\s*"", "",""), "","")))&lt;&gt;"""" ) ) ) ),"""")
"),"")</f>
        <v/>
      </c>
      <c r="D1199" s="105"/>
      <c r="E1199" s="105"/>
      <c r="F1199" s="110" t="b">
        <v>0</v>
      </c>
      <c r="G1199" s="105" t="str">
        <f>IF(F1199=True, IFERROR(VLOOKUP(D1199, Repository!A:B, 2, 0), ""), "")</f>
        <v/>
      </c>
      <c r="H1199" s="105"/>
      <c r="I1199" s="105"/>
      <c r="J1199" s="105" t="str">
        <f>IF(F1199=True, IFERROR(VLOOKUP(D1199, Repository!A:C, 3, 0), ""), "")</f>
        <v/>
      </c>
      <c r="K1199" s="105"/>
      <c r="L1199" s="105" t="str">
        <f>IF(F1199=True, IFERROR(VLOOKUP(D1199, Repository!A:E, 5, 0), ""), "")</f>
        <v/>
      </c>
      <c r="M1199" s="105"/>
      <c r="N1199" s="105" t="str">
        <f>IF(F1199=True, IFERROR(VLOOKUP(D1199, Repository!A:G, 7, 0), ""), "")</f>
        <v/>
      </c>
      <c r="O1199" s="105" t="str">
        <f>IFERROR(__xludf.DUMMYFUNCTION("ARRAY_CONSTRAIN(
  ARRAYFORMULA(
    IFERROR(
      LET(
        list, N1199,
        arr, TRIM(SPLIT(list, "","")),
        names, XLOOKUP(
          arr,
          'Conformance Score'!A:A,
          'Conformance Score'!B:B,
          ""Not found""
     "&amp;"   ),
        TEXTJOIN("", "", TRUE, names)
      ),
      """"
    )
  ),
  1,
  1
)
"),"")</f>
        <v/>
      </c>
      <c r="P1199" s="105" t="str">
        <f>IF(F1199="Yes", IFERROR(VLOOKUP(D1199, Repository!A:F, 6, 0), ""), "")</f>
        <v/>
      </c>
      <c r="Q1199" s="105" t="str">
        <f>IF(F1199="Yes", IFERROR(VLOOKUP(D1199, Repository!A:I, 8, 0), ""), "")</f>
        <v/>
      </c>
      <c r="R1199" s="105" t="str">
        <f>IF(F1199="Yes", IFERROR(VLOOKUP(D1199, Repository!A:J, 9, 0), ""), "")</f>
        <v/>
      </c>
      <c r="S1199" s="105"/>
      <c r="T1199" s="105"/>
      <c r="U1199" s="105"/>
      <c r="V1199" s="105"/>
      <c r="W1199" s="105"/>
      <c r="X1199" s="105"/>
      <c r="Y1199" s="105"/>
      <c r="Z1199" s="105"/>
      <c r="AA1199" s="105"/>
      <c r="AB1199" s="105"/>
      <c r="AC1199" s="91"/>
      <c r="AD1199" s="105"/>
      <c r="AE1199" s="105"/>
      <c r="AF1199" s="91"/>
      <c r="AG1199" s="105"/>
      <c r="AH1199" s="105"/>
      <c r="AI1199" s="105" t="str">
        <f t="shared" si="1"/>
        <v/>
      </c>
      <c r="AJ1199" s="108" t="str">
        <f t="shared" si="2"/>
        <v/>
      </c>
    </row>
    <row r="1200" ht="15.75" customHeight="1">
      <c r="A1200" s="104"/>
      <c r="B1200" s="105" t="str">
        <f>IFERROR(__xludf.DUMMYFUNCTION("ARRAY_CONSTRAIN(
  ARRAYFORMULA(
    IF(
      'Final Report'!A1200="""",
      """",
      TEXTJOIN(
        "", "" &amp; CHAR(10),
        TRUE,
        IFERROR(
          VLOOKUP(
            TRIM(
              SPLIT('Final Report'!A1200, "","")
         "&amp;"   ),
            'URL Details'!A:B,
            2,
            FALSE
          ),
          """"
        )
      )
    )
  ),
  1,
  1
)
"),"")</f>
        <v/>
      </c>
      <c r="C1200" s="105" t="str">
        <f>IFERROR(__xludf.DUMMYFUNCTION("IFERROR(IF('Final Report'!A1200="""","""", TEXTJOIN(CHAR(10), TRUE, ARRAYFORMULA( ""• ""&amp; FILTER( TRIM(FLATTEN(SPLIT( REGEXREPLACE( SUBSTITUTE(TEXTJOIN("","", TRUE, IFERROR(ARRAYFORMULA(VLOOKUP(TRIM(SPLIT('Final Report'!A1200, "","")), 'URL Details'!A:D, "&amp;"4, FALSE)),"""") ), CHAR(10), "",""), ""\s*,\s*"", "",""), "",""))), TRIM(FLATTEN(SPLIT( REGEXREPLACE( SUBSTITUTE(TEXTJOIN("","", TRUE, IFERROR(ARRAYFORMULA(VLOOKUP(TRIM(SPLIT('Final Report'!A1200, "","")), 'URL Details'!A:D, 4, FALSE)),"""") ), CHAR(10),"&amp;" "",""), ""\s*,\s*"", "",""), "","")))&lt;&gt;"""" ) ) ) ),"""")
"),"")</f>
        <v/>
      </c>
      <c r="D1200" s="105"/>
      <c r="E1200" s="105"/>
      <c r="F1200" s="110" t="b">
        <v>0</v>
      </c>
      <c r="G1200" s="105" t="str">
        <f>IF(F1200=True, IFERROR(VLOOKUP(D1200, Repository!A:B, 2, 0), ""), "")</f>
        <v/>
      </c>
      <c r="H1200" s="105"/>
      <c r="I1200" s="105"/>
      <c r="J1200" s="105" t="str">
        <f>IF(F1200=True, IFERROR(VLOOKUP(D1200, Repository!A:C, 3, 0), ""), "")</f>
        <v/>
      </c>
      <c r="K1200" s="105"/>
      <c r="L1200" s="105" t="str">
        <f>IF(F1200=True, IFERROR(VLOOKUP(D1200, Repository!A:E, 5, 0), ""), "")</f>
        <v/>
      </c>
      <c r="M1200" s="105"/>
      <c r="N1200" s="105" t="str">
        <f>IF(F1200=True, IFERROR(VLOOKUP(D1200, Repository!A:G, 7, 0), ""), "")</f>
        <v/>
      </c>
      <c r="O1200" s="105" t="str">
        <f>IFERROR(__xludf.DUMMYFUNCTION("ARRAY_CONSTRAIN(
  ARRAYFORMULA(
    IFERROR(
      LET(
        list, N1200,
        arr, TRIM(SPLIT(list, "","")),
        names, XLOOKUP(
          arr,
          'Conformance Score'!A:A,
          'Conformance Score'!B:B,
          ""Not found""
     "&amp;"   ),
        TEXTJOIN("", "", TRUE, names)
      ),
      """"
    )
  ),
  1,
  1
)
"),"")</f>
        <v/>
      </c>
      <c r="P1200" s="105" t="str">
        <f>IF(F1200="Yes", IFERROR(VLOOKUP(D1200, Repository!A:F, 6, 0), ""), "")</f>
        <v/>
      </c>
      <c r="Q1200" s="105" t="str">
        <f>IF(F1200="Yes", IFERROR(VLOOKUP(D1200, Repository!A:I, 8, 0), ""), "")</f>
        <v/>
      </c>
      <c r="R1200" s="105" t="str">
        <f>IF(F1200="Yes", IFERROR(VLOOKUP(D1200, Repository!A:J, 9, 0), ""), "")</f>
        <v/>
      </c>
      <c r="S1200" s="105"/>
      <c r="T1200" s="105"/>
      <c r="U1200" s="105"/>
      <c r="V1200" s="105"/>
      <c r="W1200" s="105"/>
      <c r="X1200" s="105"/>
      <c r="Y1200" s="105"/>
      <c r="Z1200" s="105"/>
      <c r="AA1200" s="105"/>
      <c r="AB1200" s="105"/>
      <c r="AC1200" s="91"/>
      <c r="AD1200" s="105"/>
      <c r="AE1200" s="105"/>
      <c r="AF1200" s="91"/>
      <c r="AG1200" s="105"/>
      <c r="AH1200" s="105"/>
      <c r="AI1200" s="105" t="str">
        <f t="shared" si="1"/>
        <v/>
      </c>
      <c r="AJ1200" s="108" t="str">
        <f t="shared" si="2"/>
        <v/>
      </c>
    </row>
    <row r="1201" ht="15.75" customHeight="1">
      <c r="A1201" s="104"/>
      <c r="B1201" s="105" t="str">
        <f>IFERROR(__xludf.DUMMYFUNCTION("ARRAY_CONSTRAIN(
  ARRAYFORMULA(
    IF(
      'Final Report'!A1201="""",
      """",
      TEXTJOIN(
        "", "" &amp; CHAR(10),
        TRUE,
        IFERROR(
          VLOOKUP(
            TRIM(
              SPLIT('Final Report'!A1201, "","")
         "&amp;"   ),
            'URL Details'!A:B,
            2,
            FALSE
          ),
          """"
        )
      )
    )
  ),
  1,
  1
)
"),"")</f>
        <v/>
      </c>
      <c r="C1201" s="105" t="str">
        <f>IFERROR(__xludf.DUMMYFUNCTION("IFERROR(IF('Final Report'!A1201="""","""", TEXTJOIN(CHAR(10), TRUE, ARRAYFORMULA( ""• ""&amp; FILTER( TRIM(FLATTEN(SPLIT( REGEXREPLACE( SUBSTITUTE(TEXTJOIN("","", TRUE, IFERROR(ARRAYFORMULA(VLOOKUP(TRIM(SPLIT('Final Report'!A1201, "","")), 'URL Details'!A:D, "&amp;"4, FALSE)),"""") ), CHAR(10), "",""), ""\s*,\s*"", "",""), "",""))), TRIM(FLATTEN(SPLIT( REGEXREPLACE( SUBSTITUTE(TEXTJOIN("","", TRUE, IFERROR(ARRAYFORMULA(VLOOKUP(TRIM(SPLIT('Final Report'!A1201, "","")), 'URL Details'!A:D, 4, FALSE)),"""") ), CHAR(10),"&amp;" "",""), ""\s*,\s*"", "",""), "","")))&lt;&gt;"""" ) ) ) ),"""")
"),"")</f>
        <v/>
      </c>
      <c r="D1201" s="105"/>
      <c r="E1201" s="105"/>
      <c r="F1201" s="110" t="b">
        <v>0</v>
      </c>
      <c r="G1201" s="105" t="str">
        <f>IF(F1201=True, IFERROR(VLOOKUP(D1201, Repository!A:B, 2, 0), ""), "")</f>
        <v/>
      </c>
      <c r="H1201" s="105"/>
      <c r="I1201" s="105"/>
      <c r="J1201" s="105" t="str">
        <f>IF(F1201=True, IFERROR(VLOOKUP(D1201, Repository!A:C, 3, 0), ""), "")</f>
        <v/>
      </c>
      <c r="K1201" s="105"/>
      <c r="L1201" s="105" t="str">
        <f>IF(F1201=True, IFERROR(VLOOKUP(D1201, Repository!A:E, 5, 0), ""), "")</f>
        <v/>
      </c>
      <c r="M1201" s="105"/>
      <c r="N1201" s="105" t="str">
        <f>IF(F1201=True, IFERROR(VLOOKUP(D1201, Repository!A:G, 7, 0), ""), "")</f>
        <v/>
      </c>
      <c r="O1201" s="105" t="str">
        <f>IFERROR(__xludf.DUMMYFUNCTION("ARRAY_CONSTRAIN(
  ARRAYFORMULA(
    IFERROR(
      LET(
        list, N1201,
        arr, TRIM(SPLIT(list, "","")),
        names, XLOOKUP(
          arr,
          'Conformance Score'!A:A,
          'Conformance Score'!B:B,
          ""Not found""
     "&amp;"   ),
        TEXTJOIN("", "", TRUE, names)
      ),
      """"
    )
  ),
  1,
  1
)
"),"")</f>
        <v/>
      </c>
      <c r="P1201" s="105" t="str">
        <f>IF(F1201="Yes", IFERROR(VLOOKUP(D1201, Repository!A:F, 6, 0), ""), "")</f>
        <v/>
      </c>
      <c r="Q1201" s="105" t="str">
        <f>IF(F1201="Yes", IFERROR(VLOOKUP(D1201, Repository!A:I, 8, 0), ""), "")</f>
        <v/>
      </c>
      <c r="R1201" s="105" t="str">
        <f>IF(F1201="Yes", IFERROR(VLOOKUP(D1201, Repository!A:J, 9, 0), ""), "")</f>
        <v/>
      </c>
      <c r="S1201" s="105"/>
      <c r="T1201" s="105"/>
      <c r="U1201" s="105"/>
      <c r="V1201" s="105"/>
      <c r="W1201" s="105"/>
      <c r="X1201" s="105"/>
      <c r="Y1201" s="105"/>
      <c r="Z1201" s="105"/>
      <c r="AA1201" s="105"/>
      <c r="AB1201" s="105"/>
      <c r="AC1201" s="91"/>
      <c r="AD1201" s="105"/>
      <c r="AE1201" s="105"/>
      <c r="AF1201" s="91"/>
      <c r="AG1201" s="105"/>
      <c r="AH1201" s="105"/>
      <c r="AI1201" s="105" t="str">
        <f t="shared" si="1"/>
        <v/>
      </c>
      <c r="AJ1201" s="108" t="str">
        <f t="shared" si="2"/>
        <v/>
      </c>
    </row>
    <row r="1202" ht="15.75" customHeight="1">
      <c r="A1202" s="104"/>
      <c r="B1202" s="105" t="str">
        <f>IFERROR(__xludf.DUMMYFUNCTION("ARRAY_CONSTRAIN(
  ARRAYFORMULA(
    IF(
      'Final Report'!A1202="""",
      """",
      TEXTJOIN(
        "", "" &amp; CHAR(10),
        TRUE,
        IFERROR(
          VLOOKUP(
            TRIM(
              SPLIT('Final Report'!A1202, "","")
         "&amp;"   ),
            'URL Details'!A:B,
            2,
            FALSE
          ),
          """"
        )
      )
    )
  ),
  1,
  1
)
"),"")</f>
        <v/>
      </c>
      <c r="C1202" s="105" t="str">
        <f>IFERROR(__xludf.DUMMYFUNCTION("IFERROR(IF('Final Report'!A1202="""","""", TEXTJOIN(CHAR(10), TRUE, ARRAYFORMULA( ""• ""&amp; FILTER( TRIM(FLATTEN(SPLIT( REGEXREPLACE( SUBSTITUTE(TEXTJOIN("","", TRUE, IFERROR(ARRAYFORMULA(VLOOKUP(TRIM(SPLIT('Final Report'!A1202, "","")), 'URL Details'!A:D, "&amp;"4, FALSE)),"""") ), CHAR(10), "",""), ""\s*,\s*"", "",""), "",""))), TRIM(FLATTEN(SPLIT( REGEXREPLACE( SUBSTITUTE(TEXTJOIN("","", TRUE, IFERROR(ARRAYFORMULA(VLOOKUP(TRIM(SPLIT('Final Report'!A1202, "","")), 'URL Details'!A:D, 4, FALSE)),"""") ), CHAR(10),"&amp;" "",""), ""\s*,\s*"", "",""), "","")))&lt;&gt;"""" ) ) ) ),"""")
"),"")</f>
        <v/>
      </c>
      <c r="D1202" s="105"/>
      <c r="E1202" s="105"/>
      <c r="F1202" s="110" t="b">
        <v>0</v>
      </c>
      <c r="G1202" s="105" t="str">
        <f>IF(F1202=True, IFERROR(VLOOKUP(D1202, Repository!A:B, 2, 0), ""), "")</f>
        <v/>
      </c>
      <c r="H1202" s="105"/>
      <c r="I1202" s="105"/>
      <c r="J1202" s="105" t="str">
        <f>IF(F1202=True, IFERROR(VLOOKUP(D1202, Repository!A:C, 3, 0), ""), "")</f>
        <v/>
      </c>
      <c r="K1202" s="105"/>
      <c r="L1202" s="105" t="str">
        <f>IF(F1202=True, IFERROR(VLOOKUP(D1202, Repository!A:E, 5, 0), ""), "")</f>
        <v/>
      </c>
      <c r="M1202" s="105"/>
      <c r="N1202" s="105" t="str">
        <f>IF(F1202=True, IFERROR(VLOOKUP(D1202, Repository!A:G, 7, 0), ""), "")</f>
        <v/>
      </c>
      <c r="O1202" s="105" t="str">
        <f>IFERROR(__xludf.DUMMYFUNCTION("ARRAY_CONSTRAIN(
  ARRAYFORMULA(
    IFERROR(
      LET(
        list, N1202,
        arr, TRIM(SPLIT(list, "","")),
        names, XLOOKUP(
          arr,
          'Conformance Score'!A:A,
          'Conformance Score'!B:B,
          ""Not found""
     "&amp;"   ),
        TEXTJOIN("", "", TRUE, names)
      ),
      """"
    )
  ),
  1,
  1
)
"),"")</f>
        <v/>
      </c>
      <c r="P1202" s="105" t="str">
        <f>IF(F1202="Yes", IFERROR(VLOOKUP(D1202, Repository!A:F, 6, 0), ""), "")</f>
        <v/>
      </c>
      <c r="Q1202" s="105" t="str">
        <f>IF(F1202="Yes", IFERROR(VLOOKUP(D1202, Repository!A:I, 8, 0), ""), "")</f>
        <v/>
      </c>
      <c r="R1202" s="105" t="str">
        <f>IF(F1202="Yes", IFERROR(VLOOKUP(D1202, Repository!A:J, 9, 0), ""), "")</f>
        <v/>
      </c>
      <c r="S1202" s="105"/>
      <c r="T1202" s="105"/>
      <c r="U1202" s="105"/>
      <c r="V1202" s="105"/>
      <c r="W1202" s="105"/>
      <c r="X1202" s="105"/>
      <c r="Y1202" s="105"/>
      <c r="Z1202" s="105"/>
      <c r="AA1202" s="105"/>
      <c r="AB1202" s="105"/>
      <c r="AC1202" s="91"/>
      <c r="AD1202" s="105"/>
      <c r="AE1202" s="105"/>
      <c r="AF1202" s="91"/>
      <c r="AG1202" s="105"/>
      <c r="AH1202" s="105"/>
      <c r="AI1202" s="105" t="str">
        <f t="shared" si="1"/>
        <v/>
      </c>
      <c r="AJ1202" s="108" t="str">
        <f t="shared" si="2"/>
        <v/>
      </c>
    </row>
    <row r="1203" ht="15.75" customHeight="1">
      <c r="A1203" s="104"/>
      <c r="B1203" s="105" t="str">
        <f>IFERROR(__xludf.DUMMYFUNCTION("ARRAY_CONSTRAIN(
  ARRAYFORMULA(
    IF(
      'Final Report'!A1203="""",
      """",
      TEXTJOIN(
        "", "" &amp; CHAR(10),
        TRUE,
        IFERROR(
          VLOOKUP(
            TRIM(
              SPLIT('Final Report'!A1203, "","")
         "&amp;"   ),
            'URL Details'!A:B,
            2,
            FALSE
          ),
          """"
        )
      )
    )
  ),
  1,
  1
)
"),"")</f>
        <v/>
      </c>
      <c r="C1203" s="105" t="str">
        <f>IFERROR(__xludf.DUMMYFUNCTION("IFERROR(IF('Final Report'!A1203="""","""", TEXTJOIN(CHAR(10), TRUE, ARRAYFORMULA( ""• ""&amp; FILTER( TRIM(FLATTEN(SPLIT( REGEXREPLACE( SUBSTITUTE(TEXTJOIN("","", TRUE, IFERROR(ARRAYFORMULA(VLOOKUP(TRIM(SPLIT('Final Report'!A1203, "","")), 'URL Details'!A:D, "&amp;"4, FALSE)),"""") ), CHAR(10), "",""), ""\s*,\s*"", "",""), "",""))), TRIM(FLATTEN(SPLIT( REGEXREPLACE( SUBSTITUTE(TEXTJOIN("","", TRUE, IFERROR(ARRAYFORMULA(VLOOKUP(TRIM(SPLIT('Final Report'!A1203, "","")), 'URL Details'!A:D, 4, FALSE)),"""") ), CHAR(10),"&amp;" "",""), ""\s*,\s*"", "",""), "","")))&lt;&gt;"""" ) ) ) ),"""")
"),"")</f>
        <v/>
      </c>
      <c r="D1203" s="105"/>
      <c r="E1203" s="105"/>
      <c r="F1203" s="110" t="b">
        <v>0</v>
      </c>
      <c r="G1203" s="105" t="str">
        <f>IF(F1203=True, IFERROR(VLOOKUP(D1203, Repository!A:B, 2, 0), ""), "")</f>
        <v/>
      </c>
      <c r="H1203" s="105"/>
      <c r="I1203" s="105"/>
      <c r="J1203" s="105" t="str">
        <f>IF(F1203=True, IFERROR(VLOOKUP(D1203, Repository!A:C, 3, 0), ""), "")</f>
        <v/>
      </c>
      <c r="K1203" s="105"/>
      <c r="L1203" s="105" t="str">
        <f>IF(F1203=True, IFERROR(VLOOKUP(D1203, Repository!A:E, 5, 0), ""), "")</f>
        <v/>
      </c>
      <c r="M1203" s="105"/>
      <c r="N1203" s="105" t="str">
        <f>IF(F1203=True, IFERROR(VLOOKUP(D1203, Repository!A:G, 7, 0), ""), "")</f>
        <v/>
      </c>
      <c r="O1203" s="105" t="str">
        <f>IFERROR(__xludf.DUMMYFUNCTION("ARRAY_CONSTRAIN(
  ARRAYFORMULA(
    IFERROR(
      LET(
        list, N1203,
        arr, TRIM(SPLIT(list, "","")),
        names, XLOOKUP(
          arr,
          'Conformance Score'!A:A,
          'Conformance Score'!B:B,
          ""Not found""
     "&amp;"   ),
        TEXTJOIN("", "", TRUE, names)
      ),
      """"
    )
  ),
  1,
  1
)
"),"")</f>
        <v/>
      </c>
      <c r="P1203" s="105" t="str">
        <f>IF(F1203="Yes", IFERROR(VLOOKUP(D1203, Repository!A:F, 6, 0), ""), "")</f>
        <v/>
      </c>
      <c r="Q1203" s="105" t="str">
        <f>IF(F1203="Yes", IFERROR(VLOOKUP(D1203, Repository!A:I, 8, 0), ""), "")</f>
        <v/>
      </c>
      <c r="R1203" s="105" t="str">
        <f>IF(F1203="Yes", IFERROR(VLOOKUP(D1203, Repository!A:J, 9, 0), ""), "")</f>
        <v/>
      </c>
      <c r="S1203" s="105"/>
      <c r="T1203" s="105"/>
      <c r="U1203" s="105"/>
      <c r="V1203" s="105"/>
      <c r="W1203" s="105"/>
      <c r="X1203" s="105"/>
      <c r="Y1203" s="105"/>
      <c r="Z1203" s="105"/>
      <c r="AA1203" s="105"/>
      <c r="AB1203" s="105"/>
      <c r="AC1203" s="91"/>
      <c r="AD1203" s="105"/>
      <c r="AE1203" s="105"/>
      <c r="AF1203" s="91"/>
      <c r="AG1203" s="105"/>
      <c r="AH1203" s="105"/>
      <c r="AI1203" s="105" t="str">
        <f t="shared" si="1"/>
        <v/>
      </c>
      <c r="AJ1203" s="108" t="str">
        <f t="shared" si="2"/>
        <v/>
      </c>
    </row>
    <row r="1204" ht="15.75" customHeight="1">
      <c r="A1204" s="104"/>
      <c r="B1204" s="105" t="str">
        <f>IFERROR(__xludf.DUMMYFUNCTION("ARRAY_CONSTRAIN(
  ARRAYFORMULA(
    IF(
      'Final Report'!A1204="""",
      """",
      TEXTJOIN(
        "", "" &amp; CHAR(10),
        TRUE,
        IFERROR(
          VLOOKUP(
            TRIM(
              SPLIT('Final Report'!A1204, "","")
         "&amp;"   ),
            'URL Details'!A:B,
            2,
            FALSE
          ),
          """"
        )
      )
    )
  ),
  1,
  1
)
"),"")</f>
        <v/>
      </c>
      <c r="C1204" s="105" t="str">
        <f>IFERROR(__xludf.DUMMYFUNCTION("IFERROR(IF('Final Report'!A1204="""","""", TEXTJOIN(CHAR(10), TRUE, ARRAYFORMULA( ""• ""&amp; FILTER( TRIM(FLATTEN(SPLIT( REGEXREPLACE( SUBSTITUTE(TEXTJOIN("","", TRUE, IFERROR(ARRAYFORMULA(VLOOKUP(TRIM(SPLIT('Final Report'!A1204, "","")), 'URL Details'!A:D, "&amp;"4, FALSE)),"""") ), CHAR(10), "",""), ""\s*,\s*"", "",""), "",""))), TRIM(FLATTEN(SPLIT( REGEXREPLACE( SUBSTITUTE(TEXTJOIN("","", TRUE, IFERROR(ARRAYFORMULA(VLOOKUP(TRIM(SPLIT('Final Report'!A1204, "","")), 'URL Details'!A:D, 4, FALSE)),"""") ), CHAR(10),"&amp;" "",""), ""\s*,\s*"", "",""), "","")))&lt;&gt;"""" ) ) ) ),"""")
"),"")</f>
        <v/>
      </c>
      <c r="D1204" s="105"/>
      <c r="E1204" s="105"/>
      <c r="F1204" s="110" t="b">
        <v>0</v>
      </c>
      <c r="G1204" s="105" t="str">
        <f>IF(F1204=True, IFERROR(VLOOKUP(D1204, Repository!A:B, 2, 0), ""), "")</f>
        <v/>
      </c>
      <c r="H1204" s="105"/>
      <c r="I1204" s="105"/>
      <c r="J1204" s="105" t="str">
        <f>IF(F1204=True, IFERROR(VLOOKUP(D1204, Repository!A:C, 3, 0), ""), "")</f>
        <v/>
      </c>
      <c r="K1204" s="105"/>
      <c r="L1204" s="105" t="str">
        <f>IF(F1204=True, IFERROR(VLOOKUP(D1204, Repository!A:E, 5, 0), ""), "")</f>
        <v/>
      </c>
      <c r="M1204" s="105"/>
      <c r="N1204" s="105" t="str">
        <f>IF(F1204=True, IFERROR(VLOOKUP(D1204, Repository!A:G, 7, 0), ""), "")</f>
        <v/>
      </c>
      <c r="O1204" s="105" t="str">
        <f>IFERROR(__xludf.DUMMYFUNCTION("ARRAY_CONSTRAIN(
  ARRAYFORMULA(
    IFERROR(
      LET(
        list, N1204,
        arr, TRIM(SPLIT(list, "","")),
        names, XLOOKUP(
          arr,
          'Conformance Score'!A:A,
          'Conformance Score'!B:B,
          ""Not found""
     "&amp;"   ),
        TEXTJOIN("", "", TRUE, names)
      ),
      """"
    )
  ),
  1,
  1
)
"),"")</f>
        <v/>
      </c>
      <c r="P1204" s="105" t="str">
        <f>IF(F1204="Yes", IFERROR(VLOOKUP(D1204, Repository!A:F, 6, 0), ""), "")</f>
        <v/>
      </c>
      <c r="Q1204" s="105" t="str">
        <f>IF(F1204="Yes", IFERROR(VLOOKUP(D1204, Repository!A:I, 8, 0), ""), "")</f>
        <v/>
      </c>
      <c r="R1204" s="105" t="str">
        <f>IF(F1204="Yes", IFERROR(VLOOKUP(D1204, Repository!A:J, 9, 0), ""), "")</f>
        <v/>
      </c>
      <c r="S1204" s="105"/>
      <c r="T1204" s="105"/>
      <c r="U1204" s="105"/>
      <c r="V1204" s="105"/>
      <c r="W1204" s="105"/>
      <c r="X1204" s="105"/>
      <c r="Y1204" s="105"/>
      <c r="Z1204" s="105"/>
      <c r="AA1204" s="105"/>
      <c r="AB1204" s="105"/>
      <c r="AC1204" s="91"/>
      <c r="AD1204" s="105"/>
      <c r="AE1204" s="105"/>
      <c r="AF1204" s="91"/>
      <c r="AG1204" s="105"/>
      <c r="AH1204" s="105"/>
      <c r="AI1204" s="105" t="str">
        <f t="shared" si="1"/>
        <v/>
      </c>
      <c r="AJ1204" s="108" t="str">
        <f t="shared" si="2"/>
        <v/>
      </c>
    </row>
    <row r="1205" ht="15.75" customHeight="1">
      <c r="A1205" s="104"/>
      <c r="B1205" s="105" t="str">
        <f>IFERROR(__xludf.DUMMYFUNCTION("ARRAY_CONSTRAIN(
  ARRAYFORMULA(
    IF(
      'Final Report'!A1205="""",
      """",
      TEXTJOIN(
        "", "" &amp; CHAR(10),
        TRUE,
        IFERROR(
          VLOOKUP(
            TRIM(
              SPLIT('Final Report'!A1205, "","")
         "&amp;"   ),
            'URL Details'!A:B,
            2,
            FALSE
          ),
          """"
        )
      )
    )
  ),
  1,
  1
)
"),"")</f>
        <v/>
      </c>
      <c r="C1205" s="105" t="str">
        <f>IFERROR(__xludf.DUMMYFUNCTION("IFERROR(IF('Final Report'!A1205="""","""", TEXTJOIN(CHAR(10), TRUE, ARRAYFORMULA( ""• ""&amp; FILTER( TRIM(FLATTEN(SPLIT( REGEXREPLACE( SUBSTITUTE(TEXTJOIN("","", TRUE, IFERROR(ARRAYFORMULA(VLOOKUP(TRIM(SPLIT('Final Report'!A1205, "","")), 'URL Details'!A:D, "&amp;"4, FALSE)),"""") ), CHAR(10), "",""), ""\s*,\s*"", "",""), "",""))), TRIM(FLATTEN(SPLIT( REGEXREPLACE( SUBSTITUTE(TEXTJOIN("","", TRUE, IFERROR(ARRAYFORMULA(VLOOKUP(TRIM(SPLIT('Final Report'!A1205, "","")), 'URL Details'!A:D, 4, FALSE)),"""") ), CHAR(10),"&amp;" "",""), ""\s*,\s*"", "",""), "","")))&lt;&gt;"""" ) ) ) ),"""")
"),"")</f>
        <v/>
      </c>
      <c r="D1205" s="105"/>
      <c r="E1205" s="105"/>
      <c r="F1205" s="110" t="b">
        <v>0</v>
      </c>
      <c r="G1205" s="105" t="str">
        <f>IF(F1205=True, IFERROR(VLOOKUP(D1205, Repository!A:B, 2, 0), ""), "")</f>
        <v/>
      </c>
      <c r="H1205" s="105"/>
      <c r="I1205" s="105"/>
      <c r="J1205" s="105" t="str">
        <f>IF(F1205=True, IFERROR(VLOOKUP(D1205, Repository!A:C, 3, 0), ""), "")</f>
        <v/>
      </c>
      <c r="K1205" s="105"/>
      <c r="L1205" s="105" t="str">
        <f>IF(F1205=True, IFERROR(VLOOKUP(D1205, Repository!A:E, 5, 0), ""), "")</f>
        <v/>
      </c>
      <c r="M1205" s="105"/>
      <c r="N1205" s="105" t="str">
        <f>IF(F1205=True, IFERROR(VLOOKUP(D1205, Repository!A:G, 7, 0), ""), "")</f>
        <v/>
      </c>
      <c r="O1205" s="105" t="str">
        <f>IFERROR(__xludf.DUMMYFUNCTION("ARRAY_CONSTRAIN(
  ARRAYFORMULA(
    IFERROR(
      LET(
        list, N1205,
        arr, TRIM(SPLIT(list, "","")),
        names, XLOOKUP(
          arr,
          'Conformance Score'!A:A,
          'Conformance Score'!B:B,
          ""Not found""
     "&amp;"   ),
        TEXTJOIN("", "", TRUE, names)
      ),
      """"
    )
  ),
  1,
  1
)
"),"")</f>
        <v/>
      </c>
      <c r="P1205" s="105" t="str">
        <f>IF(F1205="Yes", IFERROR(VLOOKUP(D1205, Repository!A:F, 6, 0), ""), "")</f>
        <v/>
      </c>
      <c r="Q1205" s="105" t="str">
        <f>IF(F1205="Yes", IFERROR(VLOOKUP(D1205, Repository!A:I, 8, 0), ""), "")</f>
        <v/>
      </c>
      <c r="R1205" s="105" t="str">
        <f>IF(F1205="Yes", IFERROR(VLOOKUP(D1205, Repository!A:J, 9, 0), ""), "")</f>
        <v/>
      </c>
      <c r="S1205" s="105"/>
      <c r="T1205" s="105"/>
      <c r="U1205" s="105"/>
      <c r="V1205" s="105"/>
      <c r="W1205" s="105"/>
      <c r="X1205" s="105"/>
      <c r="Y1205" s="105"/>
      <c r="Z1205" s="105"/>
      <c r="AA1205" s="105"/>
      <c r="AB1205" s="105"/>
      <c r="AC1205" s="91"/>
      <c r="AD1205" s="105"/>
      <c r="AE1205" s="105"/>
      <c r="AF1205" s="91"/>
      <c r="AG1205" s="105"/>
      <c r="AH1205" s="105"/>
      <c r="AI1205" s="105" t="str">
        <f t="shared" si="1"/>
        <v/>
      </c>
      <c r="AJ1205" s="108" t="str">
        <f t="shared" si="2"/>
        <v/>
      </c>
    </row>
    <row r="1206" ht="15.75" customHeight="1">
      <c r="A1206" s="104"/>
      <c r="B1206" s="105" t="str">
        <f>IFERROR(__xludf.DUMMYFUNCTION("ARRAY_CONSTRAIN(
  ARRAYFORMULA(
    IF(
      'Final Report'!A1206="""",
      """",
      TEXTJOIN(
        "", "" &amp; CHAR(10),
        TRUE,
        IFERROR(
          VLOOKUP(
            TRIM(
              SPLIT('Final Report'!A1206, "","")
         "&amp;"   ),
            'URL Details'!A:B,
            2,
            FALSE
          ),
          """"
        )
      )
    )
  ),
  1,
  1
)
"),"")</f>
        <v/>
      </c>
      <c r="C1206" s="105" t="str">
        <f>IFERROR(__xludf.DUMMYFUNCTION("IFERROR(IF('Final Report'!A1206="""","""", TEXTJOIN(CHAR(10), TRUE, ARRAYFORMULA( ""• ""&amp; FILTER( TRIM(FLATTEN(SPLIT( REGEXREPLACE( SUBSTITUTE(TEXTJOIN("","", TRUE, IFERROR(ARRAYFORMULA(VLOOKUP(TRIM(SPLIT('Final Report'!A1206, "","")), 'URL Details'!A:D, "&amp;"4, FALSE)),"""") ), CHAR(10), "",""), ""\s*,\s*"", "",""), "",""))), TRIM(FLATTEN(SPLIT( REGEXREPLACE( SUBSTITUTE(TEXTJOIN("","", TRUE, IFERROR(ARRAYFORMULA(VLOOKUP(TRIM(SPLIT('Final Report'!A1206, "","")), 'URL Details'!A:D, 4, FALSE)),"""") ), CHAR(10),"&amp;" "",""), ""\s*,\s*"", "",""), "","")))&lt;&gt;"""" ) ) ) ),"""")
"),"")</f>
        <v/>
      </c>
      <c r="D1206" s="105"/>
      <c r="E1206" s="105"/>
      <c r="F1206" s="110" t="b">
        <v>0</v>
      </c>
      <c r="G1206" s="105" t="str">
        <f>IF(F1206=True, IFERROR(VLOOKUP(D1206, Repository!A:B, 2, 0), ""), "")</f>
        <v/>
      </c>
      <c r="H1206" s="105"/>
      <c r="I1206" s="105"/>
      <c r="J1206" s="105" t="str">
        <f>IF(F1206=True, IFERROR(VLOOKUP(D1206, Repository!A:C, 3, 0), ""), "")</f>
        <v/>
      </c>
      <c r="K1206" s="105"/>
      <c r="L1206" s="105" t="str">
        <f>IF(F1206=True, IFERROR(VLOOKUP(D1206, Repository!A:E, 5, 0), ""), "")</f>
        <v/>
      </c>
      <c r="M1206" s="105"/>
      <c r="N1206" s="105" t="str">
        <f>IF(F1206=True, IFERROR(VLOOKUP(D1206, Repository!A:G, 7, 0), ""), "")</f>
        <v/>
      </c>
      <c r="O1206" s="105" t="str">
        <f>IFERROR(__xludf.DUMMYFUNCTION("ARRAY_CONSTRAIN(
  ARRAYFORMULA(
    IFERROR(
      LET(
        list, N1206,
        arr, TRIM(SPLIT(list, "","")),
        names, XLOOKUP(
          arr,
          'Conformance Score'!A:A,
          'Conformance Score'!B:B,
          ""Not found""
     "&amp;"   ),
        TEXTJOIN("", "", TRUE, names)
      ),
      """"
    )
  ),
  1,
  1
)
"),"")</f>
        <v/>
      </c>
      <c r="P1206" s="105" t="str">
        <f>IF(F1206="Yes", IFERROR(VLOOKUP(D1206, Repository!A:F, 6, 0), ""), "")</f>
        <v/>
      </c>
      <c r="Q1206" s="105" t="str">
        <f>IF(F1206="Yes", IFERROR(VLOOKUP(D1206, Repository!A:I, 8, 0), ""), "")</f>
        <v/>
      </c>
      <c r="R1206" s="105" t="str">
        <f>IF(F1206="Yes", IFERROR(VLOOKUP(D1206, Repository!A:J, 9, 0), ""), "")</f>
        <v/>
      </c>
      <c r="S1206" s="105"/>
      <c r="T1206" s="105"/>
      <c r="U1206" s="105"/>
      <c r="V1206" s="105"/>
      <c r="W1206" s="105"/>
      <c r="X1206" s="105"/>
      <c r="Y1206" s="105"/>
      <c r="Z1206" s="105"/>
      <c r="AA1206" s="105"/>
      <c r="AB1206" s="105"/>
      <c r="AC1206" s="91"/>
      <c r="AD1206" s="105"/>
      <c r="AE1206" s="105"/>
      <c r="AF1206" s="91"/>
      <c r="AG1206" s="105"/>
      <c r="AH1206" s="105"/>
      <c r="AI1206" s="105" t="str">
        <f t="shared" si="1"/>
        <v/>
      </c>
      <c r="AJ1206" s="108" t="str">
        <f t="shared" si="2"/>
        <v/>
      </c>
    </row>
    <row r="1207" ht="15.75" customHeight="1">
      <c r="A1207" s="104"/>
      <c r="B1207" s="105" t="str">
        <f>IFERROR(__xludf.DUMMYFUNCTION("ARRAY_CONSTRAIN(
  ARRAYFORMULA(
    IF(
      'Final Report'!A1207="""",
      """",
      TEXTJOIN(
        "", "" &amp; CHAR(10),
        TRUE,
        IFERROR(
          VLOOKUP(
            TRIM(
              SPLIT('Final Report'!A1207, "","")
         "&amp;"   ),
            'URL Details'!A:B,
            2,
            FALSE
          ),
          """"
        )
      )
    )
  ),
  1,
  1
)
"),"")</f>
        <v/>
      </c>
      <c r="C1207" s="105" t="str">
        <f>IFERROR(__xludf.DUMMYFUNCTION("IFERROR(IF('Final Report'!A1207="""","""", TEXTJOIN(CHAR(10), TRUE, ARRAYFORMULA( ""• ""&amp; FILTER( TRIM(FLATTEN(SPLIT( REGEXREPLACE( SUBSTITUTE(TEXTJOIN("","", TRUE, IFERROR(ARRAYFORMULA(VLOOKUP(TRIM(SPLIT('Final Report'!A1207, "","")), 'URL Details'!A:D, "&amp;"4, FALSE)),"""") ), CHAR(10), "",""), ""\s*,\s*"", "",""), "",""))), TRIM(FLATTEN(SPLIT( REGEXREPLACE( SUBSTITUTE(TEXTJOIN("","", TRUE, IFERROR(ARRAYFORMULA(VLOOKUP(TRIM(SPLIT('Final Report'!A1207, "","")), 'URL Details'!A:D, 4, FALSE)),"""") ), CHAR(10),"&amp;" "",""), ""\s*,\s*"", "",""), "","")))&lt;&gt;"""" ) ) ) ),"""")
"),"")</f>
        <v/>
      </c>
      <c r="D1207" s="105"/>
      <c r="E1207" s="105"/>
      <c r="F1207" s="110" t="b">
        <v>0</v>
      </c>
      <c r="G1207" s="105" t="str">
        <f>IF(F1207=True, IFERROR(VLOOKUP(D1207, Repository!A:B, 2, 0), ""), "")</f>
        <v/>
      </c>
      <c r="H1207" s="105"/>
      <c r="I1207" s="105"/>
      <c r="J1207" s="105" t="str">
        <f>IF(F1207=True, IFERROR(VLOOKUP(D1207, Repository!A:C, 3, 0), ""), "")</f>
        <v/>
      </c>
      <c r="K1207" s="105"/>
      <c r="L1207" s="105" t="str">
        <f>IF(F1207=True, IFERROR(VLOOKUP(D1207, Repository!A:E, 5, 0), ""), "")</f>
        <v/>
      </c>
      <c r="M1207" s="105"/>
      <c r="N1207" s="105" t="str">
        <f>IF(F1207=True, IFERROR(VLOOKUP(D1207, Repository!A:G, 7, 0), ""), "")</f>
        <v/>
      </c>
      <c r="O1207" s="105" t="str">
        <f>IFERROR(__xludf.DUMMYFUNCTION("ARRAY_CONSTRAIN(
  ARRAYFORMULA(
    IFERROR(
      LET(
        list, N1207,
        arr, TRIM(SPLIT(list, "","")),
        names, XLOOKUP(
          arr,
          'Conformance Score'!A:A,
          'Conformance Score'!B:B,
          ""Not found""
     "&amp;"   ),
        TEXTJOIN("", "", TRUE, names)
      ),
      """"
    )
  ),
  1,
  1
)
"),"")</f>
        <v/>
      </c>
      <c r="P1207" s="105" t="str">
        <f>IF(F1207="Yes", IFERROR(VLOOKUP(D1207, Repository!A:F, 6, 0), ""), "")</f>
        <v/>
      </c>
      <c r="Q1207" s="105" t="str">
        <f>IF(F1207="Yes", IFERROR(VLOOKUP(D1207, Repository!A:I, 8, 0), ""), "")</f>
        <v/>
      </c>
      <c r="R1207" s="105" t="str">
        <f>IF(F1207="Yes", IFERROR(VLOOKUP(D1207, Repository!A:J, 9, 0), ""), "")</f>
        <v/>
      </c>
      <c r="S1207" s="105"/>
      <c r="T1207" s="105"/>
      <c r="U1207" s="105"/>
      <c r="V1207" s="105"/>
      <c r="W1207" s="105"/>
      <c r="X1207" s="105"/>
      <c r="Y1207" s="105"/>
      <c r="Z1207" s="105"/>
      <c r="AA1207" s="105"/>
      <c r="AB1207" s="105"/>
      <c r="AC1207" s="91"/>
      <c r="AD1207" s="105"/>
      <c r="AE1207" s="105"/>
      <c r="AF1207" s="91"/>
      <c r="AG1207" s="105"/>
      <c r="AH1207" s="105"/>
      <c r="AI1207" s="105" t="str">
        <f t="shared" si="1"/>
        <v/>
      </c>
      <c r="AJ1207" s="108" t="str">
        <f t="shared" si="2"/>
        <v/>
      </c>
    </row>
    <row r="1208" ht="15.75" customHeight="1">
      <c r="A1208" s="104"/>
      <c r="B1208" s="105" t="str">
        <f>IFERROR(__xludf.DUMMYFUNCTION("ARRAY_CONSTRAIN(
  ARRAYFORMULA(
    IF(
      'Final Report'!A1208="""",
      """",
      TEXTJOIN(
        "", "" &amp; CHAR(10),
        TRUE,
        IFERROR(
          VLOOKUP(
            TRIM(
              SPLIT('Final Report'!A1208, "","")
         "&amp;"   ),
            'URL Details'!A:B,
            2,
            FALSE
          ),
          """"
        )
      )
    )
  ),
  1,
  1
)
"),"")</f>
        <v/>
      </c>
      <c r="C1208" s="105" t="str">
        <f>IFERROR(__xludf.DUMMYFUNCTION("IFERROR(IF('Final Report'!A1208="""","""", TEXTJOIN(CHAR(10), TRUE, ARRAYFORMULA( ""• ""&amp; FILTER( TRIM(FLATTEN(SPLIT( REGEXREPLACE( SUBSTITUTE(TEXTJOIN("","", TRUE, IFERROR(ARRAYFORMULA(VLOOKUP(TRIM(SPLIT('Final Report'!A1208, "","")), 'URL Details'!A:D, "&amp;"4, FALSE)),"""") ), CHAR(10), "",""), ""\s*,\s*"", "",""), "",""))), TRIM(FLATTEN(SPLIT( REGEXREPLACE( SUBSTITUTE(TEXTJOIN("","", TRUE, IFERROR(ARRAYFORMULA(VLOOKUP(TRIM(SPLIT('Final Report'!A1208, "","")), 'URL Details'!A:D, 4, FALSE)),"""") ), CHAR(10),"&amp;" "",""), ""\s*,\s*"", "",""), "","")))&lt;&gt;"""" ) ) ) ),"""")
"),"")</f>
        <v/>
      </c>
      <c r="D1208" s="105"/>
      <c r="E1208" s="105"/>
      <c r="F1208" s="110" t="b">
        <v>0</v>
      </c>
      <c r="G1208" s="105" t="str">
        <f>IF(F1208=True, IFERROR(VLOOKUP(D1208, Repository!A:B, 2, 0), ""), "")</f>
        <v/>
      </c>
      <c r="H1208" s="105"/>
      <c r="I1208" s="105"/>
      <c r="J1208" s="105" t="str">
        <f>IF(F1208=True, IFERROR(VLOOKUP(D1208, Repository!A:C, 3, 0), ""), "")</f>
        <v/>
      </c>
      <c r="K1208" s="105"/>
      <c r="L1208" s="105" t="str">
        <f>IF(F1208=True, IFERROR(VLOOKUP(D1208, Repository!A:E, 5, 0), ""), "")</f>
        <v/>
      </c>
      <c r="M1208" s="105"/>
      <c r="N1208" s="105" t="str">
        <f>IF(F1208=True, IFERROR(VLOOKUP(D1208, Repository!A:G, 7, 0), ""), "")</f>
        <v/>
      </c>
      <c r="O1208" s="105" t="str">
        <f>IFERROR(__xludf.DUMMYFUNCTION("ARRAY_CONSTRAIN(
  ARRAYFORMULA(
    IFERROR(
      LET(
        list, N1208,
        arr, TRIM(SPLIT(list, "","")),
        names, XLOOKUP(
          arr,
          'Conformance Score'!A:A,
          'Conformance Score'!B:B,
          ""Not found""
     "&amp;"   ),
        TEXTJOIN("", "", TRUE, names)
      ),
      """"
    )
  ),
  1,
  1
)
"),"")</f>
        <v/>
      </c>
      <c r="P1208" s="105" t="str">
        <f>IF(F1208="Yes", IFERROR(VLOOKUP(D1208, Repository!A:F, 6, 0), ""), "")</f>
        <v/>
      </c>
      <c r="Q1208" s="105" t="str">
        <f>IF(F1208="Yes", IFERROR(VLOOKUP(D1208, Repository!A:I, 8, 0), ""), "")</f>
        <v/>
      </c>
      <c r="R1208" s="105" t="str">
        <f>IF(F1208="Yes", IFERROR(VLOOKUP(D1208, Repository!A:J, 9, 0), ""), "")</f>
        <v/>
      </c>
      <c r="S1208" s="105"/>
      <c r="T1208" s="105"/>
      <c r="U1208" s="105"/>
      <c r="V1208" s="105"/>
      <c r="W1208" s="105"/>
      <c r="X1208" s="105"/>
      <c r="Y1208" s="105"/>
      <c r="Z1208" s="105"/>
      <c r="AA1208" s="105"/>
      <c r="AB1208" s="105"/>
      <c r="AC1208" s="91"/>
      <c r="AD1208" s="105"/>
      <c r="AE1208" s="105"/>
      <c r="AF1208" s="91"/>
      <c r="AG1208" s="105"/>
      <c r="AH1208" s="105"/>
      <c r="AI1208" s="105" t="str">
        <f t="shared" si="1"/>
        <v/>
      </c>
      <c r="AJ1208" s="108" t="str">
        <f t="shared" si="2"/>
        <v/>
      </c>
    </row>
    <row r="1209" ht="15.75" customHeight="1">
      <c r="A1209" s="104"/>
      <c r="B1209" s="105" t="str">
        <f>IFERROR(__xludf.DUMMYFUNCTION("ARRAY_CONSTRAIN(
  ARRAYFORMULA(
    IF(
      'Final Report'!A1209="""",
      """",
      TEXTJOIN(
        "", "" &amp; CHAR(10),
        TRUE,
        IFERROR(
          VLOOKUP(
            TRIM(
              SPLIT('Final Report'!A1209, "","")
         "&amp;"   ),
            'URL Details'!A:B,
            2,
            FALSE
          ),
          """"
        )
      )
    )
  ),
  1,
  1
)
"),"")</f>
        <v/>
      </c>
      <c r="C1209" s="105" t="str">
        <f>IFERROR(__xludf.DUMMYFUNCTION("IFERROR(IF('Final Report'!A1209="""","""", TEXTJOIN(CHAR(10), TRUE, ARRAYFORMULA( ""• ""&amp; FILTER( TRIM(FLATTEN(SPLIT( REGEXREPLACE( SUBSTITUTE(TEXTJOIN("","", TRUE, IFERROR(ARRAYFORMULA(VLOOKUP(TRIM(SPLIT('Final Report'!A1209, "","")), 'URL Details'!A:D, "&amp;"4, FALSE)),"""") ), CHAR(10), "",""), ""\s*,\s*"", "",""), "",""))), TRIM(FLATTEN(SPLIT( REGEXREPLACE( SUBSTITUTE(TEXTJOIN("","", TRUE, IFERROR(ARRAYFORMULA(VLOOKUP(TRIM(SPLIT('Final Report'!A1209, "","")), 'URL Details'!A:D, 4, FALSE)),"""") ), CHAR(10),"&amp;" "",""), ""\s*,\s*"", "",""), "","")))&lt;&gt;"""" ) ) ) ),"""")
"),"")</f>
        <v/>
      </c>
      <c r="D1209" s="105"/>
      <c r="E1209" s="105"/>
      <c r="F1209" s="110" t="b">
        <v>0</v>
      </c>
      <c r="G1209" s="105" t="str">
        <f>IF(F1209=True, IFERROR(VLOOKUP(D1209, Repository!A:B, 2, 0), ""), "")</f>
        <v/>
      </c>
      <c r="H1209" s="105"/>
      <c r="I1209" s="105"/>
      <c r="J1209" s="105" t="str">
        <f>IF(F1209=True, IFERROR(VLOOKUP(D1209, Repository!A:C, 3, 0), ""), "")</f>
        <v/>
      </c>
      <c r="K1209" s="105"/>
      <c r="L1209" s="105" t="str">
        <f>IF(F1209=True, IFERROR(VLOOKUP(D1209, Repository!A:E, 5, 0), ""), "")</f>
        <v/>
      </c>
      <c r="M1209" s="105"/>
      <c r="N1209" s="105" t="str">
        <f>IF(F1209=True, IFERROR(VLOOKUP(D1209, Repository!A:G, 7, 0), ""), "")</f>
        <v/>
      </c>
      <c r="O1209" s="105" t="str">
        <f>IFERROR(__xludf.DUMMYFUNCTION("ARRAY_CONSTRAIN(
  ARRAYFORMULA(
    IFERROR(
      LET(
        list, N1209,
        arr, TRIM(SPLIT(list, "","")),
        names, XLOOKUP(
          arr,
          'Conformance Score'!A:A,
          'Conformance Score'!B:B,
          ""Not found""
     "&amp;"   ),
        TEXTJOIN("", "", TRUE, names)
      ),
      """"
    )
  ),
  1,
  1
)
"),"")</f>
        <v/>
      </c>
      <c r="P1209" s="105" t="str">
        <f>IF(F1209="Yes", IFERROR(VLOOKUP(D1209, Repository!A:F, 6, 0), ""), "")</f>
        <v/>
      </c>
      <c r="Q1209" s="105" t="str">
        <f>IF(F1209="Yes", IFERROR(VLOOKUP(D1209, Repository!A:I, 8, 0), ""), "")</f>
        <v/>
      </c>
      <c r="R1209" s="105" t="str">
        <f>IF(F1209="Yes", IFERROR(VLOOKUP(D1209, Repository!A:J, 9, 0), ""), "")</f>
        <v/>
      </c>
      <c r="S1209" s="105"/>
      <c r="T1209" s="105"/>
      <c r="U1209" s="105"/>
      <c r="V1209" s="105"/>
      <c r="W1209" s="105"/>
      <c r="X1209" s="105"/>
      <c r="Y1209" s="105"/>
      <c r="Z1209" s="105"/>
      <c r="AA1209" s="105"/>
      <c r="AB1209" s="105"/>
      <c r="AC1209" s="91"/>
      <c r="AD1209" s="105"/>
      <c r="AE1209" s="105"/>
      <c r="AF1209" s="91"/>
      <c r="AG1209" s="105"/>
      <c r="AH1209" s="105"/>
      <c r="AI1209" s="105" t="str">
        <f t="shared" si="1"/>
        <v/>
      </c>
      <c r="AJ1209" s="108" t="str">
        <f t="shared" si="2"/>
        <v/>
      </c>
    </row>
    <row r="1210" ht="15.75" customHeight="1">
      <c r="A1210" s="104"/>
      <c r="B1210" s="105" t="str">
        <f>IFERROR(__xludf.DUMMYFUNCTION("ARRAY_CONSTRAIN(
  ARRAYFORMULA(
    IF(
      'Final Report'!A1210="""",
      """",
      TEXTJOIN(
        "", "" &amp; CHAR(10),
        TRUE,
        IFERROR(
          VLOOKUP(
            TRIM(
              SPLIT('Final Report'!A1210, "","")
         "&amp;"   ),
            'URL Details'!A:B,
            2,
            FALSE
          ),
          """"
        )
      )
    )
  ),
  1,
  1
)
"),"")</f>
        <v/>
      </c>
      <c r="C1210" s="105" t="str">
        <f>IFERROR(__xludf.DUMMYFUNCTION("IFERROR(IF('Final Report'!A1210="""","""", TEXTJOIN(CHAR(10), TRUE, ARRAYFORMULA( ""• ""&amp; FILTER( TRIM(FLATTEN(SPLIT( REGEXREPLACE( SUBSTITUTE(TEXTJOIN("","", TRUE, IFERROR(ARRAYFORMULA(VLOOKUP(TRIM(SPLIT('Final Report'!A1210, "","")), 'URL Details'!A:D, "&amp;"4, FALSE)),"""") ), CHAR(10), "",""), ""\s*,\s*"", "",""), "",""))), TRIM(FLATTEN(SPLIT( REGEXREPLACE( SUBSTITUTE(TEXTJOIN("","", TRUE, IFERROR(ARRAYFORMULA(VLOOKUP(TRIM(SPLIT('Final Report'!A1210, "","")), 'URL Details'!A:D, 4, FALSE)),"""") ), CHAR(10),"&amp;" "",""), ""\s*,\s*"", "",""), "","")))&lt;&gt;"""" ) ) ) ),"""")
"),"")</f>
        <v/>
      </c>
      <c r="D1210" s="105"/>
      <c r="E1210" s="105"/>
      <c r="F1210" s="110" t="b">
        <v>0</v>
      </c>
      <c r="G1210" s="105" t="str">
        <f>IF(F1210=True, IFERROR(VLOOKUP(D1210, Repository!A:B, 2, 0), ""), "")</f>
        <v/>
      </c>
      <c r="H1210" s="105"/>
      <c r="I1210" s="105"/>
      <c r="J1210" s="105" t="str">
        <f>IF(F1210=True, IFERROR(VLOOKUP(D1210, Repository!A:C, 3, 0), ""), "")</f>
        <v/>
      </c>
      <c r="K1210" s="105"/>
      <c r="L1210" s="105" t="str">
        <f>IF(F1210=True, IFERROR(VLOOKUP(D1210, Repository!A:E, 5, 0), ""), "")</f>
        <v/>
      </c>
      <c r="M1210" s="105"/>
      <c r="N1210" s="105" t="str">
        <f>IF(F1210=True, IFERROR(VLOOKUP(D1210, Repository!A:G, 7, 0), ""), "")</f>
        <v/>
      </c>
      <c r="O1210" s="105" t="str">
        <f>IFERROR(__xludf.DUMMYFUNCTION("ARRAY_CONSTRAIN(
  ARRAYFORMULA(
    IFERROR(
      LET(
        list, N1210,
        arr, TRIM(SPLIT(list, "","")),
        names, XLOOKUP(
          arr,
          'Conformance Score'!A:A,
          'Conformance Score'!B:B,
          ""Not found""
     "&amp;"   ),
        TEXTJOIN("", "", TRUE, names)
      ),
      """"
    )
  ),
  1,
  1
)
"),"")</f>
        <v/>
      </c>
      <c r="P1210" s="105" t="str">
        <f>IF(F1210="Yes", IFERROR(VLOOKUP(D1210, Repository!A:F, 6, 0), ""), "")</f>
        <v/>
      </c>
      <c r="Q1210" s="105" t="str">
        <f>IF(F1210="Yes", IFERROR(VLOOKUP(D1210, Repository!A:I, 8, 0), ""), "")</f>
        <v/>
      </c>
      <c r="R1210" s="105" t="str">
        <f>IF(F1210="Yes", IFERROR(VLOOKUP(D1210, Repository!A:J, 9, 0), ""), "")</f>
        <v/>
      </c>
      <c r="S1210" s="105"/>
      <c r="T1210" s="105"/>
      <c r="U1210" s="105"/>
      <c r="V1210" s="105"/>
      <c r="W1210" s="105"/>
      <c r="X1210" s="105"/>
      <c r="Y1210" s="105"/>
      <c r="Z1210" s="105"/>
      <c r="AA1210" s="105"/>
      <c r="AB1210" s="105"/>
      <c r="AC1210" s="91"/>
      <c r="AD1210" s="105"/>
      <c r="AE1210" s="105"/>
      <c r="AF1210" s="91"/>
      <c r="AG1210" s="105"/>
      <c r="AH1210" s="105"/>
      <c r="AI1210" s="105" t="str">
        <f t="shared" si="1"/>
        <v/>
      </c>
      <c r="AJ1210" s="108" t="str">
        <f t="shared" si="2"/>
        <v/>
      </c>
    </row>
    <row r="1211" ht="15.75" customHeight="1">
      <c r="A1211" s="104"/>
      <c r="B1211" s="105" t="str">
        <f>IFERROR(__xludf.DUMMYFUNCTION("ARRAY_CONSTRAIN(
  ARRAYFORMULA(
    IF(
      'Final Report'!A1211="""",
      """",
      TEXTJOIN(
        "", "" &amp; CHAR(10),
        TRUE,
        IFERROR(
          VLOOKUP(
            TRIM(
              SPLIT('Final Report'!A1211, "","")
         "&amp;"   ),
            'URL Details'!A:B,
            2,
            FALSE
          ),
          """"
        )
      )
    )
  ),
  1,
  1
)
"),"")</f>
        <v/>
      </c>
      <c r="C1211" s="105" t="str">
        <f>IFERROR(__xludf.DUMMYFUNCTION("IFERROR(IF('Final Report'!A1211="""","""", TEXTJOIN(CHAR(10), TRUE, ARRAYFORMULA( ""• ""&amp; FILTER( TRIM(FLATTEN(SPLIT( REGEXREPLACE( SUBSTITUTE(TEXTJOIN("","", TRUE, IFERROR(ARRAYFORMULA(VLOOKUP(TRIM(SPLIT('Final Report'!A1211, "","")), 'URL Details'!A:D, "&amp;"4, FALSE)),"""") ), CHAR(10), "",""), ""\s*,\s*"", "",""), "",""))), TRIM(FLATTEN(SPLIT( REGEXREPLACE( SUBSTITUTE(TEXTJOIN("","", TRUE, IFERROR(ARRAYFORMULA(VLOOKUP(TRIM(SPLIT('Final Report'!A1211, "","")), 'URL Details'!A:D, 4, FALSE)),"""") ), CHAR(10),"&amp;" "",""), ""\s*,\s*"", "",""), "","")))&lt;&gt;"""" ) ) ) ),"""")
"),"")</f>
        <v/>
      </c>
      <c r="D1211" s="105"/>
      <c r="E1211" s="105"/>
      <c r="F1211" s="110" t="b">
        <v>0</v>
      </c>
      <c r="G1211" s="105" t="str">
        <f>IF(F1211=True, IFERROR(VLOOKUP(D1211, Repository!A:B, 2, 0), ""), "")</f>
        <v/>
      </c>
      <c r="H1211" s="105"/>
      <c r="I1211" s="105"/>
      <c r="J1211" s="105" t="str">
        <f>IF(F1211=True, IFERROR(VLOOKUP(D1211, Repository!A:C, 3, 0), ""), "")</f>
        <v/>
      </c>
      <c r="K1211" s="105"/>
      <c r="L1211" s="105" t="str">
        <f>IF(F1211=True, IFERROR(VLOOKUP(D1211, Repository!A:E, 5, 0), ""), "")</f>
        <v/>
      </c>
      <c r="M1211" s="105"/>
      <c r="N1211" s="105" t="str">
        <f>IF(F1211=True, IFERROR(VLOOKUP(D1211, Repository!A:G, 7, 0), ""), "")</f>
        <v/>
      </c>
      <c r="O1211" s="105" t="str">
        <f>IFERROR(__xludf.DUMMYFUNCTION("ARRAY_CONSTRAIN(
  ARRAYFORMULA(
    IFERROR(
      LET(
        list, N1211,
        arr, TRIM(SPLIT(list, "","")),
        names, XLOOKUP(
          arr,
          'Conformance Score'!A:A,
          'Conformance Score'!B:B,
          ""Not found""
     "&amp;"   ),
        TEXTJOIN("", "", TRUE, names)
      ),
      """"
    )
  ),
  1,
  1
)
"),"")</f>
        <v/>
      </c>
      <c r="P1211" s="105" t="str">
        <f>IF(F1211="Yes", IFERROR(VLOOKUP(D1211, Repository!A:F, 6, 0), ""), "")</f>
        <v/>
      </c>
      <c r="Q1211" s="105" t="str">
        <f>IF(F1211="Yes", IFERROR(VLOOKUP(D1211, Repository!A:I, 8, 0), ""), "")</f>
        <v/>
      </c>
      <c r="R1211" s="105" t="str">
        <f>IF(F1211="Yes", IFERROR(VLOOKUP(D1211, Repository!A:J, 9, 0), ""), "")</f>
        <v/>
      </c>
      <c r="S1211" s="105"/>
      <c r="T1211" s="105"/>
      <c r="U1211" s="105"/>
      <c r="V1211" s="105"/>
      <c r="W1211" s="105"/>
      <c r="X1211" s="105"/>
      <c r="Y1211" s="105"/>
      <c r="Z1211" s="105"/>
      <c r="AA1211" s="105"/>
      <c r="AB1211" s="105"/>
      <c r="AC1211" s="91"/>
      <c r="AD1211" s="105"/>
      <c r="AE1211" s="105"/>
      <c r="AF1211" s="91"/>
      <c r="AG1211" s="105"/>
      <c r="AH1211" s="105"/>
      <c r="AI1211" s="105" t="str">
        <f t="shared" si="1"/>
        <v/>
      </c>
      <c r="AJ1211" s="108" t="str">
        <f t="shared" si="2"/>
        <v/>
      </c>
    </row>
    <row r="1212" ht="15.75" customHeight="1">
      <c r="A1212" s="104"/>
      <c r="B1212" s="105" t="str">
        <f>IFERROR(__xludf.DUMMYFUNCTION("ARRAY_CONSTRAIN(
  ARRAYFORMULA(
    IF(
      'Final Report'!A1212="""",
      """",
      TEXTJOIN(
        "", "" &amp; CHAR(10),
        TRUE,
        IFERROR(
          VLOOKUP(
            TRIM(
              SPLIT('Final Report'!A1212, "","")
         "&amp;"   ),
            'URL Details'!A:B,
            2,
            FALSE
          ),
          """"
        )
      )
    )
  ),
  1,
  1
)
"),"")</f>
        <v/>
      </c>
      <c r="C1212" s="105" t="str">
        <f>IFERROR(__xludf.DUMMYFUNCTION("IFERROR(IF('Final Report'!A1212="""","""", TEXTJOIN(CHAR(10), TRUE, ARRAYFORMULA( ""• ""&amp; FILTER( TRIM(FLATTEN(SPLIT( REGEXREPLACE( SUBSTITUTE(TEXTJOIN("","", TRUE, IFERROR(ARRAYFORMULA(VLOOKUP(TRIM(SPLIT('Final Report'!A1212, "","")), 'URL Details'!A:D, "&amp;"4, FALSE)),"""") ), CHAR(10), "",""), ""\s*,\s*"", "",""), "",""))), TRIM(FLATTEN(SPLIT( REGEXREPLACE( SUBSTITUTE(TEXTJOIN("","", TRUE, IFERROR(ARRAYFORMULA(VLOOKUP(TRIM(SPLIT('Final Report'!A1212, "","")), 'URL Details'!A:D, 4, FALSE)),"""") ), CHAR(10),"&amp;" "",""), ""\s*,\s*"", "",""), "","")))&lt;&gt;"""" ) ) ) ),"""")
"),"")</f>
        <v/>
      </c>
      <c r="D1212" s="105"/>
      <c r="E1212" s="105"/>
      <c r="F1212" s="110" t="b">
        <v>0</v>
      </c>
      <c r="G1212" s="105" t="str">
        <f>IF(F1212=True, IFERROR(VLOOKUP(D1212, Repository!A:B, 2, 0), ""), "")</f>
        <v/>
      </c>
      <c r="H1212" s="105"/>
      <c r="I1212" s="105"/>
      <c r="J1212" s="105" t="str">
        <f>IF(F1212=True, IFERROR(VLOOKUP(D1212, Repository!A:C, 3, 0), ""), "")</f>
        <v/>
      </c>
      <c r="K1212" s="105"/>
      <c r="L1212" s="105" t="str">
        <f>IF(F1212=True, IFERROR(VLOOKUP(D1212, Repository!A:E, 5, 0), ""), "")</f>
        <v/>
      </c>
      <c r="M1212" s="105"/>
      <c r="N1212" s="105" t="str">
        <f>IF(F1212=True, IFERROR(VLOOKUP(D1212, Repository!A:G, 7, 0), ""), "")</f>
        <v/>
      </c>
      <c r="O1212" s="105" t="str">
        <f>IFERROR(__xludf.DUMMYFUNCTION("ARRAY_CONSTRAIN(
  ARRAYFORMULA(
    IFERROR(
      LET(
        list, N1212,
        arr, TRIM(SPLIT(list, "","")),
        names, XLOOKUP(
          arr,
          'Conformance Score'!A:A,
          'Conformance Score'!B:B,
          ""Not found""
     "&amp;"   ),
        TEXTJOIN("", "", TRUE, names)
      ),
      """"
    )
  ),
  1,
  1
)
"),"")</f>
        <v/>
      </c>
      <c r="P1212" s="105" t="str">
        <f>IF(F1212="Yes", IFERROR(VLOOKUP(D1212, Repository!A:F, 6, 0), ""), "")</f>
        <v/>
      </c>
      <c r="Q1212" s="105" t="str">
        <f>IF(F1212="Yes", IFERROR(VLOOKUP(D1212, Repository!A:I, 8, 0), ""), "")</f>
        <v/>
      </c>
      <c r="R1212" s="105" t="str">
        <f>IF(F1212="Yes", IFERROR(VLOOKUP(D1212, Repository!A:J, 9, 0), ""), "")</f>
        <v/>
      </c>
      <c r="S1212" s="105"/>
      <c r="T1212" s="105"/>
      <c r="U1212" s="105"/>
      <c r="V1212" s="105"/>
      <c r="W1212" s="105"/>
      <c r="X1212" s="105"/>
      <c r="Y1212" s="105"/>
      <c r="Z1212" s="105"/>
      <c r="AA1212" s="105"/>
      <c r="AB1212" s="105"/>
      <c r="AC1212" s="91"/>
      <c r="AD1212" s="105"/>
      <c r="AE1212" s="105"/>
      <c r="AF1212" s="91"/>
      <c r="AG1212" s="105"/>
      <c r="AH1212" s="105"/>
      <c r="AI1212" s="105" t="str">
        <f t="shared" si="1"/>
        <v/>
      </c>
      <c r="AJ1212" s="108" t="str">
        <f t="shared" si="2"/>
        <v/>
      </c>
    </row>
    <row r="1213" ht="15.75" customHeight="1">
      <c r="A1213" s="104"/>
      <c r="B1213" s="105" t="str">
        <f>IFERROR(__xludf.DUMMYFUNCTION("ARRAY_CONSTRAIN(
  ARRAYFORMULA(
    IF(
      'Final Report'!A1213="""",
      """",
      TEXTJOIN(
        "", "" &amp; CHAR(10),
        TRUE,
        IFERROR(
          VLOOKUP(
            TRIM(
              SPLIT('Final Report'!A1213, "","")
         "&amp;"   ),
            'URL Details'!A:B,
            2,
            FALSE
          ),
          """"
        )
      )
    )
  ),
  1,
  1
)
"),"")</f>
        <v/>
      </c>
      <c r="C1213" s="105" t="str">
        <f>IFERROR(__xludf.DUMMYFUNCTION("IFERROR(IF('Final Report'!A1213="""","""", TEXTJOIN(CHAR(10), TRUE, ARRAYFORMULA( ""• ""&amp; FILTER( TRIM(FLATTEN(SPLIT( REGEXREPLACE( SUBSTITUTE(TEXTJOIN("","", TRUE, IFERROR(ARRAYFORMULA(VLOOKUP(TRIM(SPLIT('Final Report'!A1213, "","")), 'URL Details'!A:D, "&amp;"4, FALSE)),"""") ), CHAR(10), "",""), ""\s*,\s*"", "",""), "",""))), TRIM(FLATTEN(SPLIT( REGEXREPLACE( SUBSTITUTE(TEXTJOIN("","", TRUE, IFERROR(ARRAYFORMULA(VLOOKUP(TRIM(SPLIT('Final Report'!A1213, "","")), 'URL Details'!A:D, 4, FALSE)),"""") ), CHAR(10),"&amp;" "",""), ""\s*,\s*"", "",""), "","")))&lt;&gt;"""" ) ) ) ),"""")
"),"")</f>
        <v/>
      </c>
      <c r="D1213" s="105"/>
      <c r="E1213" s="105"/>
      <c r="F1213" s="110" t="b">
        <v>0</v>
      </c>
      <c r="G1213" s="105" t="str">
        <f>IF(F1213=True, IFERROR(VLOOKUP(D1213, Repository!A:B, 2, 0), ""), "")</f>
        <v/>
      </c>
      <c r="H1213" s="105"/>
      <c r="I1213" s="105"/>
      <c r="J1213" s="105" t="str">
        <f>IF(F1213=True, IFERROR(VLOOKUP(D1213, Repository!A:C, 3, 0), ""), "")</f>
        <v/>
      </c>
      <c r="K1213" s="105"/>
      <c r="L1213" s="105" t="str">
        <f>IF(F1213=True, IFERROR(VLOOKUP(D1213, Repository!A:E, 5, 0), ""), "")</f>
        <v/>
      </c>
      <c r="M1213" s="105"/>
      <c r="N1213" s="105" t="str">
        <f>IF(F1213=True, IFERROR(VLOOKUP(D1213, Repository!A:G, 7, 0), ""), "")</f>
        <v/>
      </c>
      <c r="O1213" s="105" t="str">
        <f>IFERROR(__xludf.DUMMYFUNCTION("ARRAY_CONSTRAIN(
  ARRAYFORMULA(
    IFERROR(
      LET(
        list, N1213,
        arr, TRIM(SPLIT(list, "","")),
        names, XLOOKUP(
          arr,
          'Conformance Score'!A:A,
          'Conformance Score'!B:B,
          ""Not found""
     "&amp;"   ),
        TEXTJOIN("", "", TRUE, names)
      ),
      """"
    )
  ),
  1,
  1
)
"),"")</f>
        <v/>
      </c>
      <c r="P1213" s="105" t="str">
        <f>IF(F1213="Yes", IFERROR(VLOOKUP(D1213, Repository!A:F, 6, 0), ""), "")</f>
        <v/>
      </c>
      <c r="Q1213" s="105" t="str">
        <f>IF(F1213="Yes", IFERROR(VLOOKUP(D1213, Repository!A:I, 8, 0), ""), "")</f>
        <v/>
      </c>
      <c r="R1213" s="105" t="str">
        <f>IF(F1213="Yes", IFERROR(VLOOKUP(D1213, Repository!A:J, 9, 0), ""), "")</f>
        <v/>
      </c>
      <c r="S1213" s="105"/>
      <c r="T1213" s="105"/>
      <c r="U1213" s="105"/>
      <c r="V1213" s="105"/>
      <c r="W1213" s="105"/>
      <c r="X1213" s="105"/>
      <c r="Y1213" s="105"/>
      <c r="Z1213" s="105"/>
      <c r="AA1213" s="105"/>
      <c r="AB1213" s="105"/>
      <c r="AC1213" s="91"/>
      <c r="AD1213" s="105"/>
      <c r="AE1213" s="105"/>
      <c r="AF1213" s="91"/>
      <c r="AG1213" s="105"/>
      <c r="AH1213" s="105"/>
      <c r="AI1213" s="105" t="str">
        <f t="shared" si="1"/>
        <v/>
      </c>
      <c r="AJ1213" s="108" t="str">
        <f t="shared" si="2"/>
        <v/>
      </c>
    </row>
    <row r="1214" ht="15.75" customHeight="1">
      <c r="A1214" s="104"/>
      <c r="B1214" s="105" t="str">
        <f>IFERROR(__xludf.DUMMYFUNCTION("ARRAY_CONSTRAIN(
  ARRAYFORMULA(
    IF(
      'Final Report'!A1214="""",
      """",
      TEXTJOIN(
        "", "" &amp; CHAR(10),
        TRUE,
        IFERROR(
          VLOOKUP(
            TRIM(
              SPLIT('Final Report'!A1214, "","")
         "&amp;"   ),
            'URL Details'!A:B,
            2,
            FALSE
          ),
          """"
        )
      )
    )
  ),
  1,
  1
)
"),"")</f>
        <v/>
      </c>
      <c r="C1214" s="105" t="str">
        <f>IFERROR(__xludf.DUMMYFUNCTION("IFERROR(IF('Final Report'!A1214="""","""", TEXTJOIN(CHAR(10), TRUE, ARRAYFORMULA( ""• ""&amp; FILTER( TRIM(FLATTEN(SPLIT( REGEXREPLACE( SUBSTITUTE(TEXTJOIN("","", TRUE, IFERROR(ARRAYFORMULA(VLOOKUP(TRIM(SPLIT('Final Report'!A1214, "","")), 'URL Details'!A:D, "&amp;"4, FALSE)),"""") ), CHAR(10), "",""), ""\s*,\s*"", "",""), "",""))), TRIM(FLATTEN(SPLIT( REGEXREPLACE( SUBSTITUTE(TEXTJOIN("","", TRUE, IFERROR(ARRAYFORMULA(VLOOKUP(TRIM(SPLIT('Final Report'!A1214, "","")), 'URL Details'!A:D, 4, FALSE)),"""") ), CHAR(10),"&amp;" "",""), ""\s*,\s*"", "",""), "","")))&lt;&gt;"""" ) ) ) ),"""")
"),"")</f>
        <v/>
      </c>
      <c r="D1214" s="105"/>
      <c r="E1214" s="105"/>
      <c r="F1214" s="110" t="b">
        <v>0</v>
      </c>
      <c r="G1214" s="105" t="str">
        <f>IF(F1214=True, IFERROR(VLOOKUP(D1214, Repository!A:B, 2, 0), ""), "")</f>
        <v/>
      </c>
      <c r="H1214" s="105"/>
      <c r="I1214" s="105"/>
      <c r="J1214" s="105" t="str">
        <f>IF(F1214=True, IFERROR(VLOOKUP(D1214, Repository!A:C, 3, 0), ""), "")</f>
        <v/>
      </c>
      <c r="K1214" s="105"/>
      <c r="L1214" s="105" t="str">
        <f>IF(F1214=True, IFERROR(VLOOKUP(D1214, Repository!A:E, 5, 0), ""), "")</f>
        <v/>
      </c>
      <c r="M1214" s="105"/>
      <c r="N1214" s="105" t="str">
        <f>IF(F1214=True, IFERROR(VLOOKUP(D1214, Repository!A:G, 7, 0), ""), "")</f>
        <v/>
      </c>
      <c r="O1214" s="105" t="str">
        <f>IFERROR(__xludf.DUMMYFUNCTION("ARRAY_CONSTRAIN(
  ARRAYFORMULA(
    IFERROR(
      LET(
        list, N1214,
        arr, TRIM(SPLIT(list, "","")),
        names, XLOOKUP(
          arr,
          'Conformance Score'!A:A,
          'Conformance Score'!B:B,
          ""Not found""
     "&amp;"   ),
        TEXTJOIN("", "", TRUE, names)
      ),
      """"
    )
  ),
  1,
  1
)
"),"")</f>
        <v/>
      </c>
      <c r="P1214" s="105" t="str">
        <f>IF(F1214="Yes", IFERROR(VLOOKUP(D1214, Repository!A:F, 6, 0), ""), "")</f>
        <v/>
      </c>
      <c r="Q1214" s="105" t="str">
        <f>IF(F1214="Yes", IFERROR(VLOOKUP(D1214, Repository!A:I, 8, 0), ""), "")</f>
        <v/>
      </c>
      <c r="R1214" s="105" t="str">
        <f>IF(F1214="Yes", IFERROR(VLOOKUP(D1214, Repository!A:J, 9, 0), ""), "")</f>
        <v/>
      </c>
      <c r="S1214" s="105"/>
      <c r="T1214" s="105"/>
      <c r="U1214" s="105"/>
      <c r="V1214" s="105"/>
      <c r="W1214" s="105"/>
      <c r="X1214" s="105"/>
      <c r="Y1214" s="105"/>
      <c r="Z1214" s="105"/>
      <c r="AA1214" s="105"/>
      <c r="AB1214" s="105"/>
      <c r="AC1214" s="91"/>
      <c r="AD1214" s="105"/>
      <c r="AE1214" s="105"/>
      <c r="AF1214" s="91"/>
      <c r="AG1214" s="105"/>
      <c r="AH1214" s="105"/>
      <c r="AI1214" s="105" t="str">
        <f t="shared" si="1"/>
        <v/>
      </c>
      <c r="AJ1214" s="108" t="str">
        <f t="shared" si="2"/>
        <v/>
      </c>
    </row>
    <row r="1215" ht="15.75" customHeight="1">
      <c r="A1215" s="104"/>
      <c r="B1215" s="105" t="str">
        <f>IFERROR(__xludf.DUMMYFUNCTION("ARRAY_CONSTRAIN(
  ARRAYFORMULA(
    IF(
      'Final Report'!A1215="""",
      """",
      TEXTJOIN(
        "", "" &amp; CHAR(10),
        TRUE,
        IFERROR(
          VLOOKUP(
            TRIM(
              SPLIT('Final Report'!A1215, "","")
         "&amp;"   ),
            'URL Details'!A:B,
            2,
            FALSE
          ),
          """"
        )
      )
    )
  ),
  1,
  1
)
"),"")</f>
        <v/>
      </c>
      <c r="C1215" s="105" t="str">
        <f>IFERROR(__xludf.DUMMYFUNCTION("IFERROR(IF('Final Report'!A1215="""","""", TEXTJOIN(CHAR(10), TRUE, ARRAYFORMULA( ""• ""&amp; FILTER( TRIM(FLATTEN(SPLIT( REGEXREPLACE( SUBSTITUTE(TEXTJOIN("","", TRUE, IFERROR(ARRAYFORMULA(VLOOKUP(TRIM(SPLIT('Final Report'!A1215, "","")), 'URL Details'!A:D, "&amp;"4, FALSE)),"""") ), CHAR(10), "",""), ""\s*,\s*"", "",""), "",""))), TRIM(FLATTEN(SPLIT( REGEXREPLACE( SUBSTITUTE(TEXTJOIN("","", TRUE, IFERROR(ARRAYFORMULA(VLOOKUP(TRIM(SPLIT('Final Report'!A1215, "","")), 'URL Details'!A:D, 4, FALSE)),"""") ), CHAR(10),"&amp;" "",""), ""\s*,\s*"", "",""), "","")))&lt;&gt;"""" ) ) ) ),"""")
"),"")</f>
        <v/>
      </c>
      <c r="D1215" s="105"/>
      <c r="E1215" s="105"/>
      <c r="F1215" s="110" t="b">
        <v>0</v>
      </c>
      <c r="G1215" s="105" t="str">
        <f>IF(F1215=True, IFERROR(VLOOKUP(D1215, Repository!A:B, 2, 0), ""), "")</f>
        <v/>
      </c>
      <c r="H1215" s="105"/>
      <c r="I1215" s="105"/>
      <c r="J1215" s="105" t="str">
        <f>IF(F1215=True, IFERROR(VLOOKUP(D1215, Repository!A:C, 3, 0), ""), "")</f>
        <v/>
      </c>
      <c r="K1215" s="105"/>
      <c r="L1215" s="105" t="str">
        <f>IF(F1215=True, IFERROR(VLOOKUP(D1215, Repository!A:E, 5, 0), ""), "")</f>
        <v/>
      </c>
      <c r="M1215" s="105"/>
      <c r="N1215" s="105" t="str">
        <f>IF(F1215=True, IFERROR(VLOOKUP(D1215, Repository!A:G, 7, 0), ""), "")</f>
        <v/>
      </c>
      <c r="O1215" s="105" t="str">
        <f>IFERROR(__xludf.DUMMYFUNCTION("ARRAY_CONSTRAIN(
  ARRAYFORMULA(
    IFERROR(
      LET(
        list, N1215,
        arr, TRIM(SPLIT(list, "","")),
        names, XLOOKUP(
          arr,
          'Conformance Score'!A:A,
          'Conformance Score'!B:B,
          ""Not found""
     "&amp;"   ),
        TEXTJOIN("", "", TRUE, names)
      ),
      """"
    )
  ),
  1,
  1
)
"),"")</f>
        <v/>
      </c>
      <c r="P1215" s="105" t="str">
        <f>IF(F1215="Yes", IFERROR(VLOOKUP(D1215, Repository!A:F, 6, 0), ""), "")</f>
        <v/>
      </c>
      <c r="Q1215" s="105" t="str">
        <f>IF(F1215="Yes", IFERROR(VLOOKUP(D1215, Repository!A:I, 8, 0), ""), "")</f>
        <v/>
      </c>
      <c r="R1215" s="105" t="str">
        <f>IF(F1215="Yes", IFERROR(VLOOKUP(D1215, Repository!A:J, 9, 0), ""), "")</f>
        <v/>
      </c>
      <c r="S1215" s="105"/>
      <c r="T1215" s="105"/>
      <c r="U1215" s="105"/>
      <c r="V1215" s="105"/>
      <c r="W1215" s="105"/>
      <c r="X1215" s="105"/>
      <c r="Y1215" s="105"/>
      <c r="Z1215" s="105"/>
      <c r="AA1215" s="105"/>
      <c r="AB1215" s="105"/>
      <c r="AC1215" s="91"/>
      <c r="AD1215" s="105"/>
      <c r="AE1215" s="105"/>
      <c r="AF1215" s="91"/>
      <c r="AG1215" s="105"/>
      <c r="AH1215" s="105"/>
      <c r="AI1215" s="105" t="str">
        <f t="shared" si="1"/>
        <v/>
      </c>
      <c r="AJ1215" s="108" t="str">
        <f t="shared" si="2"/>
        <v/>
      </c>
    </row>
    <row r="1216" ht="15.75" customHeight="1">
      <c r="A1216" s="104"/>
      <c r="B1216" s="105" t="str">
        <f>IFERROR(__xludf.DUMMYFUNCTION("ARRAY_CONSTRAIN(
  ARRAYFORMULA(
    IF(
      'Final Report'!A1216="""",
      """",
      TEXTJOIN(
        "", "" &amp; CHAR(10),
        TRUE,
        IFERROR(
          VLOOKUP(
            TRIM(
              SPLIT('Final Report'!A1216, "","")
         "&amp;"   ),
            'URL Details'!A:B,
            2,
            FALSE
          ),
          """"
        )
      )
    )
  ),
  1,
  1
)
"),"")</f>
        <v/>
      </c>
      <c r="C1216" s="105" t="str">
        <f>IFERROR(__xludf.DUMMYFUNCTION("IFERROR(IF('Final Report'!A1216="""","""", TEXTJOIN(CHAR(10), TRUE, ARRAYFORMULA( ""• ""&amp; FILTER( TRIM(FLATTEN(SPLIT( REGEXREPLACE( SUBSTITUTE(TEXTJOIN("","", TRUE, IFERROR(ARRAYFORMULA(VLOOKUP(TRIM(SPLIT('Final Report'!A1216, "","")), 'URL Details'!A:D, "&amp;"4, FALSE)),"""") ), CHAR(10), "",""), ""\s*,\s*"", "",""), "",""))), TRIM(FLATTEN(SPLIT( REGEXREPLACE( SUBSTITUTE(TEXTJOIN("","", TRUE, IFERROR(ARRAYFORMULA(VLOOKUP(TRIM(SPLIT('Final Report'!A1216, "","")), 'URL Details'!A:D, 4, FALSE)),"""") ), CHAR(10),"&amp;" "",""), ""\s*,\s*"", "",""), "","")))&lt;&gt;"""" ) ) ) ),"""")
"),"")</f>
        <v/>
      </c>
      <c r="D1216" s="105"/>
      <c r="E1216" s="105"/>
      <c r="F1216" s="110" t="b">
        <v>0</v>
      </c>
      <c r="G1216" s="105" t="str">
        <f>IF(F1216=True, IFERROR(VLOOKUP(D1216, Repository!A:B, 2, 0), ""), "")</f>
        <v/>
      </c>
      <c r="H1216" s="105"/>
      <c r="I1216" s="105"/>
      <c r="J1216" s="105" t="str">
        <f>IF(F1216=True, IFERROR(VLOOKUP(D1216, Repository!A:C, 3, 0), ""), "")</f>
        <v/>
      </c>
      <c r="K1216" s="105"/>
      <c r="L1216" s="105" t="str">
        <f>IF(F1216=True, IFERROR(VLOOKUP(D1216, Repository!A:E, 5, 0), ""), "")</f>
        <v/>
      </c>
      <c r="M1216" s="105"/>
      <c r="N1216" s="105" t="str">
        <f>IF(F1216=True, IFERROR(VLOOKUP(D1216, Repository!A:G, 7, 0), ""), "")</f>
        <v/>
      </c>
      <c r="O1216" s="105" t="str">
        <f>IFERROR(__xludf.DUMMYFUNCTION("ARRAY_CONSTRAIN(
  ARRAYFORMULA(
    IFERROR(
      LET(
        list, N1216,
        arr, TRIM(SPLIT(list, "","")),
        names, XLOOKUP(
          arr,
          'Conformance Score'!A:A,
          'Conformance Score'!B:B,
          ""Not found""
     "&amp;"   ),
        TEXTJOIN("", "", TRUE, names)
      ),
      """"
    )
  ),
  1,
  1
)
"),"")</f>
        <v/>
      </c>
      <c r="P1216" s="105" t="str">
        <f>IF(F1216="Yes", IFERROR(VLOOKUP(D1216, Repository!A:F, 6, 0), ""), "")</f>
        <v/>
      </c>
      <c r="Q1216" s="105" t="str">
        <f>IF(F1216="Yes", IFERROR(VLOOKUP(D1216, Repository!A:I, 8, 0), ""), "")</f>
        <v/>
      </c>
      <c r="R1216" s="105" t="str">
        <f>IF(F1216="Yes", IFERROR(VLOOKUP(D1216, Repository!A:J, 9, 0), ""), "")</f>
        <v/>
      </c>
      <c r="S1216" s="105"/>
      <c r="T1216" s="105"/>
      <c r="U1216" s="105"/>
      <c r="V1216" s="105"/>
      <c r="W1216" s="105"/>
      <c r="X1216" s="105"/>
      <c r="Y1216" s="105"/>
      <c r="Z1216" s="105"/>
      <c r="AA1216" s="105"/>
      <c r="AB1216" s="105"/>
      <c r="AC1216" s="91"/>
      <c r="AD1216" s="105"/>
      <c r="AE1216" s="105"/>
      <c r="AF1216" s="91"/>
      <c r="AG1216" s="105"/>
      <c r="AH1216" s="105"/>
      <c r="AI1216" s="105" t="str">
        <f t="shared" si="1"/>
        <v/>
      </c>
      <c r="AJ1216" s="108" t="str">
        <f t="shared" si="2"/>
        <v/>
      </c>
    </row>
    <row r="1217" ht="15.75" customHeight="1">
      <c r="A1217" s="104"/>
      <c r="B1217" s="105" t="str">
        <f>IFERROR(__xludf.DUMMYFUNCTION("ARRAY_CONSTRAIN(
  ARRAYFORMULA(
    IF(
      'Final Report'!A1217="""",
      """",
      TEXTJOIN(
        "", "" &amp; CHAR(10),
        TRUE,
        IFERROR(
          VLOOKUP(
            TRIM(
              SPLIT('Final Report'!A1217, "","")
         "&amp;"   ),
            'URL Details'!A:B,
            2,
            FALSE
          ),
          """"
        )
      )
    )
  ),
  1,
  1
)
"),"")</f>
        <v/>
      </c>
      <c r="C1217" s="105" t="str">
        <f>IFERROR(__xludf.DUMMYFUNCTION("IFERROR(IF('Final Report'!A1217="""","""", TEXTJOIN(CHAR(10), TRUE, ARRAYFORMULA( ""• ""&amp; FILTER( TRIM(FLATTEN(SPLIT( REGEXREPLACE( SUBSTITUTE(TEXTJOIN("","", TRUE, IFERROR(ARRAYFORMULA(VLOOKUP(TRIM(SPLIT('Final Report'!A1217, "","")), 'URL Details'!A:D, "&amp;"4, FALSE)),"""") ), CHAR(10), "",""), ""\s*,\s*"", "",""), "",""))), TRIM(FLATTEN(SPLIT( REGEXREPLACE( SUBSTITUTE(TEXTJOIN("","", TRUE, IFERROR(ARRAYFORMULA(VLOOKUP(TRIM(SPLIT('Final Report'!A1217, "","")), 'URL Details'!A:D, 4, FALSE)),"""") ), CHAR(10),"&amp;" "",""), ""\s*,\s*"", "",""), "","")))&lt;&gt;"""" ) ) ) ),"""")
"),"")</f>
        <v/>
      </c>
      <c r="D1217" s="105"/>
      <c r="E1217" s="105"/>
      <c r="F1217" s="110" t="b">
        <v>0</v>
      </c>
      <c r="G1217" s="105" t="str">
        <f>IF(F1217=True, IFERROR(VLOOKUP(D1217, Repository!A:B, 2, 0), ""), "")</f>
        <v/>
      </c>
      <c r="H1217" s="105"/>
      <c r="I1217" s="105"/>
      <c r="J1217" s="105" t="str">
        <f>IF(F1217=True, IFERROR(VLOOKUP(D1217, Repository!A:C, 3, 0), ""), "")</f>
        <v/>
      </c>
      <c r="K1217" s="105"/>
      <c r="L1217" s="105" t="str">
        <f>IF(F1217=True, IFERROR(VLOOKUP(D1217, Repository!A:E, 5, 0), ""), "")</f>
        <v/>
      </c>
      <c r="M1217" s="105"/>
      <c r="N1217" s="105" t="str">
        <f>IF(F1217=True, IFERROR(VLOOKUP(D1217, Repository!A:G, 7, 0), ""), "")</f>
        <v/>
      </c>
      <c r="O1217" s="105" t="str">
        <f>IFERROR(__xludf.DUMMYFUNCTION("ARRAY_CONSTRAIN(
  ARRAYFORMULA(
    IFERROR(
      LET(
        list, N1217,
        arr, TRIM(SPLIT(list, "","")),
        names, XLOOKUP(
          arr,
          'Conformance Score'!A:A,
          'Conformance Score'!B:B,
          ""Not found""
     "&amp;"   ),
        TEXTJOIN("", "", TRUE, names)
      ),
      """"
    )
  ),
  1,
  1
)
"),"")</f>
        <v/>
      </c>
      <c r="P1217" s="105" t="str">
        <f>IF(F1217="Yes", IFERROR(VLOOKUP(D1217, Repository!A:F, 6, 0), ""), "")</f>
        <v/>
      </c>
      <c r="Q1217" s="105" t="str">
        <f>IF(F1217="Yes", IFERROR(VLOOKUP(D1217, Repository!A:I, 8, 0), ""), "")</f>
        <v/>
      </c>
      <c r="R1217" s="105" t="str">
        <f>IF(F1217="Yes", IFERROR(VLOOKUP(D1217, Repository!A:J, 9, 0), ""), "")</f>
        <v/>
      </c>
      <c r="S1217" s="105"/>
      <c r="T1217" s="105"/>
      <c r="U1217" s="105"/>
      <c r="V1217" s="105"/>
      <c r="W1217" s="105"/>
      <c r="X1217" s="105"/>
      <c r="Y1217" s="105"/>
      <c r="Z1217" s="105"/>
      <c r="AA1217" s="105"/>
      <c r="AB1217" s="105"/>
      <c r="AC1217" s="91"/>
      <c r="AD1217" s="105"/>
      <c r="AE1217" s="105"/>
      <c r="AF1217" s="91"/>
      <c r="AG1217" s="105"/>
      <c r="AH1217" s="105"/>
      <c r="AI1217" s="105" t="str">
        <f t="shared" si="1"/>
        <v/>
      </c>
      <c r="AJ1217" s="108" t="str">
        <f t="shared" si="2"/>
        <v/>
      </c>
    </row>
    <row r="1218" ht="15.75" customHeight="1">
      <c r="A1218" s="104"/>
      <c r="B1218" s="105" t="str">
        <f>IFERROR(__xludf.DUMMYFUNCTION("ARRAY_CONSTRAIN(
  ARRAYFORMULA(
    IF(
      'Final Report'!A1218="""",
      """",
      TEXTJOIN(
        "", "" &amp; CHAR(10),
        TRUE,
        IFERROR(
          VLOOKUP(
            TRIM(
              SPLIT('Final Report'!A1218, "","")
         "&amp;"   ),
            'URL Details'!A:B,
            2,
            FALSE
          ),
          """"
        )
      )
    )
  ),
  1,
  1
)
"),"")</f>
        <v/>
      </c>
      <c r="C1218" s="105" t="str">
        <f>IFERROR(__xludf.DUMMYFUNCTION("IFERROR(IF('Final Report'!A1218="""","""", TEXTJOIN(CHAR(10), TRUE, ARRAYFORMULA( ""• ""&amp; FILTER( TRIM(FLATTEN(SPLIT( REGEXREPLACE( SUBSTITUTE(TEXTJOIN("","", TRUE, IFERROR(ARRAYFORMULA(VLOOKUP(TRIM(SPLIT('Final Report'!A1218, "","")), 'URL Details'!A:D, "&amp;"4, FALSE)),"""") ), CHAR(10), "",""), ""\s*,\s*"", "",""), "",""))), TRIM(FLATTEN(SPLIT( REGEXREPLACE( SUBSTITUTE(TEXTJOIN("","", TRUE, IFERROR(ARRAYFORMULA(VLOOKUP(TRIM(SPLIT('Final Report'!A1218, "","")), 'URL Details'!A:D, 4, FALSE)),"""") ), CHAR(10),"&amp;" "",""), ""\s*,\s*"", "",""), "","")))&lt;&gt;"""" ) ) ) ),"""")
"),"")</f>
        <v/>
      </c>
      <c r="D1218" s="105"/>
      <c r="E1218" s="105"/>
      <c r="F1218" s="110" t="b">
        <v>0</v>
      </c>
      <c r="G1218" s="105" t="str">
        <f>IF(F1218=True, IFERROR(VLOOKUP(D1218, Repository!A:B, 2, 0), ""), "")</f>
        <v/>
      </c>
      <c r="H1218" s="105"/>
      <c r="I1218" s="105"/>
      <c r="J1218" s="105" t="str">
        <f>IF(F1218=True, IFERROR(VLOOKUP(D1218, Repository!A:C, 3, 0), ""), "")</f>
        <v/>
      </c>
      <c r="K1218" s="105"/>
      <c r="L1218" s="105" t="str">
        <f>IF(F1218=True, IFERROR(VLOOKUP(D1218, Repository!A:E, 5, 0), ""), "")</f>
        <v/>
      </c>
      <c r="M1218" s="105"/>
      <c r="N1218" s="105" t="str">
        <f>IF(F1218=True, IFERROR(VLOOKUP(D1218, Repository!A:G, 7, 0), ""), "")</f>
        <v/>
      </c>
      <c r="O1218" s="105" t="str">
        <f>IFERROR(__xludf.DUMMYFUNCTION("ARRAY_CONSTRAIN(
  ARRAYFORMULA(
    IFERROR(
      LET(
        list, N1218,
        arr, TRIM(SPLIT(list, "","")),
        names, XLOOKUP(
          arr,
          'Conformance Score'!A:A,
          'Conformance Score'!B:B,
          ""Not found""
     "&amp;"   ),
        TEXTJOIN("", "", TRUE, names)
      ),
      """"
    )
  ),
  1,
  1
)
"),"")</f>
        <v/>
      </c>
      <c r="P1218" s="105" t="str">
        <f>IF(F1218="Yes", IFERROR(VLOOKUP(D1218, Repository!A:F, 6, 0), ""), "")</f>
        <v/>
      </c>
      <c r="Q1218" s="105" t="str">
        <f>IF(F1218="Yes", IFERROR(VLOOKUP(D1218, Repository!A:I, 8, 0), ""), "")</f>
        <v/>
      </c>
      <c r="R1218" s="105" t="str">
        <f>IF(F1218="Yes", IFERROR(VLOOKUP(D1218, Repository!A:J, 9, 0), ""), "")</f>
        <v/>
      </c>
      <c r="S1218" s="105"/>
      <c r="T1218" s="105"/>
      <c r="U1218" s="105"/>
      <c r="V1218" s="105"/>
      <c r="W1218" s="105"/>
      <c r="X1218" s="105"/>
      <c r="Y1218" s="105"/>
      <c r="Z1218" s="105"/>
      <c r="AA1218" s="105"/>
      <c r="AB1218" s="105"/>
      <c r="AC1218" s="91"/>
      <c r="AD1218" s="105"/>
      <c r="AE1218" s="105"/>
      <c r="AF1218" s="91"/>
      <c r="AG1218" s="105"/>
      <c r="AH1218" s="105"/>
      <c r="AI1218" s="105" t="str">
        <f t="shared" si="1"/>
        <v/>
      </c>
      <c r="AJ1218" s="108" t="str">
        <f t="shared" si="2"/>
        <v/>
      </c>
    </row>
    <row r="1219" ht="15.75" customHeight="1">
      <c r="A1219" s="104"/>
      <c r="B1219" s="105" t="str">
        <f>IFERROR(__xludf.DUMMYFUNCTION("ARRAY_CONSTRAIN(
  ARRAYFORMULA(
    IF(
      'Final Report'!A1219="""",
      """",
      TEXTJOIN(
        "", "" &amp; CHAR(10),
        TRUE,
        IFERROR(
          VLOOKUP(
            TRIM(
              SPLIT('Final Report'!A1219, "","")
         "&amp;"   ),
            'URL Details'!A:B,
            2,
            FALSE
          ),
          """"
        )
      )
    )
  ),
  1,
  1
)
"),"")</f>
        <v/>
      </c>
      <c r="C1219" s="105" t="str">
        <f>IFERROR(__xludf.DUMMYFUNCTION("IFERROR(IF('Final Report'!A1219="""","""", TEXTJOIN(CHAR(10), TRUE, ARRAYFORMULA( ""• ""&amp; FILTER( TRIM(FLATTEN(SPLIT( REGEXREPLACE( SUBSTITUTE(TEXTJOIN("","", TRUE, IFERROR(ARRAYFORMULA(VLOOKUP(TRIM(SPLIT('Final Report'!A1219, "","")), 'URL Details'!A:D, "&amp;"4, FALSE)),"""") ), CHAR(10), "",""), ""\s*,\s*"", "",""), "",""))), TRIM(FLATTEN(SPLIT( REGEXREPLACE( SUBSTITUTE(TEXTJOIN("","", TRUE, IFERROR(ARRAYFORMULA(VLOOKUP(TRIM(SPLIT('Final Report'!A1219, "","")), 'URL Details'!A:D, 4, FALSE)),"""") ), CHAR(10),"&amp;" "",""), ""\s*,\s*"", "",""), "","")))&lt;&gt;"""" ) ) ) ),"""")
"),"")</f>
        <v/>
      </c>
      <c r="D1219" s="105"/>
      <c r="E1219" s="105"/>
      <c r="F1219" s="110" t="b">
        <v>0</v>
      </c>
      <c r="G1219" s="105" t="str">
        <f>IF(F1219=True, IFERROR(VLOOKUP(D1219, Repository!A:B, 2, 0), ""), "")</f>
        <v/>
      </c>
      <c r="H1219" s="105"/>
      <c r="I1219" s="105"/>
      <c r="J1219" s="105" t="str">
        <f>IF(F1219=True, IFERROR(VLOOKUP(D1219, Repository!A:C, 3, 0), ""), "")</f>
        <v/>
      </c>
      <c r="K1219" s="105"/>
      <c r="L1219" s="105" t="str">
        <f>IF(F1219=True, IFERROR(VLOOKUP(D1219, Repository!A:E, 5, 0), ""), "")</f>
        <v/>
      </c>
      <c r="M1219" s="105"/>
      <c r="N1219" s="105" t="str">
        <f>IF(F1219=True, IFERROR(VLOOKUP(D1219, Repository!A:G, 7, 0), ""), "")</f>
        <v/>
      </c>
      <c r="O1219" s="105" t="str">
        <f>IFERROR(__xludf.DUMMYFUNCTION("ARRAY_CONSTRAIN(
  ARRAYFORMULA(
    IFERROR(
      LET(
        list, N1219,
        arr, TRIM(SPLIT(list, "","")),
        names, XLOOKUP(
          arr,
          'Conformance Score'!A:A,
          'Conformance Score'!B:B,
          ""Not found""
     "&amp;"   ),
        TEXTJOIN("", "", TRUE, names)
      ),
      """"
    )
  ),
  1,
  1
)
"),"")</f>
        <v/>
      </c>
      <c r="P1219" s="105" t="str">
        <f>IF(F1219="Yes", IFERROR(VLOOKUP(D1219, Repository!A:F, 6, 0), ""), "")</f>
        <v/>
      </c>
      <c r="Q1219" s="105" t="str">
        <f>IF(F1219="Yes", IFERROR(VLOOKUP(D1219, Repository!A:I, 8, 0), ""), "")</f>
        <v/>
      </c>
      <c r="R1219" s="105" t="str">
        <f>IF(F1219="Yes", IFERROR(VLOOKUP(D1219, Repository!A:J, 9, 0), ""), "")</f>
        <v/>
      </c>
      <c r="S1219" s="105"/>
      <c r="T1219" s="105"/>
      <c r="U1219" s="105"/>
      <c r="V1219" s="105"/>
      <c r="W1219" s="105"/>
      <c r="X1219" s="105"/>
      <c r="Y1219" s="105"/>
      <c r="Z1219" s="105"/>
      <c r="AA1219" s="105"/>
      <c r="AB1219" s="105"/>
      <c r="AC1219" s="91"/>
      <c r="AD1219" s="105"/>
      <c r="AE1219" s="105"/>
      <c r="AF1219" s="91"/>
      <c r="AG1219" s="105"/>
      <c r="AH1219" s="105"/>
      <c r="AI1219" s="105" t="str">
        <f t="shared" si="1"/>
        <v/>
      </c>
      <c r="AJ1219" s="108" t="str">
        <f t="shared" si="2"/>
        <v/>
      </c>
    </row>
    <row r="1220" ht="15.75" customHeight="1">
      <c r="A1220" s="104"/>
      <c r="B1220" s="105" t="str">
        <f>IFERROR(__xludf.DUMMYFUNCTION("ARRAY_CONSTRAIN(
  ARRAYFORMULA(
    IF(
      'Final Report'!A1220="""",
      """",
      TEXTJOIN(
        "", "" &amp; CHAR(10),
        TRUE,
        IFERROR(
          VLOOKUP(
            TRIM(
              SPLIT('Final Report'!A1220, "","")
         "&amp;"   ),
            'URL Details'!A:B,
            2,
            FALSE
          ),
          """"
        )
      )
    )
  ),
  1,
  1
)
"),"")</f>
        <v/>
      </c>
      <c r="C1220" s="105" t="str">
        <f>IFERROR(__xludf.DUMMYFUNCTION("IFERROR(IF('Final Report'!A1220="""","""", TEXTJOIN(CHAR(10), TRUE, ARRAYFORMULA( ""• ""&amp; FILTER( TRIM(FLATTEN(SPLIT( REGEXREPLACE( SUBSTITUTE(TEXTJOIN("","", TRUE, IFERROR(ARRAYFORMULA(VLOOKUP(TRIM(SPLIT('Final Report'!A1220, "","")), 'URL Details'!A:D, "&amp;"4, FALSE)),"""") ), CHAR(10), "",""), ""\s*,\s*"", "",""), "",""))), TRIM(FLATTEN(SPLIT( REGEXREPLACE( SUBSTITUTE(TEXTJOIN("","", TRUE, IFERROR(ARRAYFORMULA(VLOOKUP(TRIM(SPLIT('Final Report'!A1220, "","")), 'URL Details'!A:D, 4, FALSE)),"""") ), CHAR(10),"&amp;" "",""), ""\s*,\s*"", "",""), "","")))&lt;&gt;"""" ) ) ) ),"""")
"),"")</f>
        <v/>
      </c>
      <c r="D1220" s="105"/>
      <c r="E1220" s="105"/>
      <c r="F1220" s="110" t="b">
        <v>0</v>
      </c>
      <c r="G1220" s="105" t="str">
        <f>IF(F1220=True, IFERROR(VLOOKUP(D1220, Repository!A:B, 2, 0), ""), "")</f>
        <v/>
      </c>
      <c r="H1220" s="105"/>
      <c r="I1220" s="105"/>
      <c r="J1220" s="105" t="str">
        <f>IF(F1220=True, IFERROR(VLOOKUP(D1220, Repository!A:C, 3, 0), ""), "")</f>
        <v/>
      </c>
      <c r="K1220" s="105"/>
      <c r="L1220" s="105" t="str">
        <f>IF(F1220=True, IFERROR(VLOOKUP(D1220, Repository!A:E, 5, 0), ""), "")</f>
        <v/>
      </c>
      <c r="M1220" s="105"/>
      <c r="N1220" s="105" t="str">
        <f>IF(F1220=True, IFERROR(VLOOKUP(D1220, Repository!A:G, 7, 0), ""), "")</f>
        <v/>
      </c>
      <c r="O1220" s="105" t="str">
        <f>IFERROR(__xludf.DUMMYFUNCTION("ARRAY_CONSTRAIN(
  ARRAYFORMULA(
    IFERROR(
      LET(
        list, N1220,
        arr, TRIM(SPLIT(list, "","")),
        names, XLOOKUP(
          arr,
          'Conformance Score'!A:A,
          'Conformance Score'!B:B,
          ""Not found""
     "&amp;"   ),
        TEXTJOIN("", "", TRUE, names)
      ),
      """"
    )
  ),
  1,
  1
)
"),"")</f>
        <v/>
      </c>
      <c r="P1220" s="105" t="str">
        <f>IF(F1220="Yes", IFERROR(VLOOKUP(D1220, Repository!A:F, 6, 0), ""), "")</f>
        <v/>
      </c>
      <c r="Q1220" s="105" t="str">
        <f>IF(F1220="Yes", IFERROR(VLOOKUP(D1220, Repository!A:I, 8, 0), ""), "")</f>
        <v/>
      </c>
      <c r="R1220" s="105" t="str">
        <f>IF(F1220="Yes", IFERROR(VLOOKUP(D1220, Repository!A:J, 9, 0), ""), "")</f>
        <v/>
      </c>
      <c r="S1220" s="105"/>
      <c r="T1220" s="105"/>
      <c r="U1220" s="105"/>
      <c r="V1220" s="105"/>
      <c r="W1220" s="105"/>
      <c r="X1220" s="105"/>
      <c r="Y1220" s="105"/>
      <c r="Z1220" s="105"/>
      <c r="AA1220" s="105"/>
      <c r="AB1220" s="105"/>
      <c r="AC1220" s="91"/>
      <c r="AD1220" s="105"/>
      <c r="AE1220" s="105"/>
      <c r="AF1220" s="91"/>
      <c r="AG1220" s="105"/>
      <c r="AH1220" s="105"/>
      <c r="AI1220" s="105" t="str">
        <f t="shared" si="1"/>
        <v/>
      </c>
      <c r="AJ1220" s="108" t="str">
        <f t="shared" si="2"/>
        <v/>
      </c>
    </row>
    <row r="1221" ht="15.75" customHeight="1">
      <c r="A1221" s="104"/>
      <c r="B1221" s="105" t="str">
        <f>IFERROR(__xludf.DUMMYFUNCTION("ARRAY_CONSTRAIN(
  ARRAYFORMULA(
    IF(
      'Final Report'!A1221="""",
      """",
      TEXTJOIN(
        "", "" &amp; CHAR(10),
        TRUE,
        IFERROR(
          VLOOKUP(
            TRIM(
              SPLIT('Final Report'!A1221, "","")
         "&amp;"   ),
            'URL Details'!A:B,
            2,
            FALSE
          ),
          """"
        )
      )
    )
  ),
  1,
  1
)
"),"")</f>
        <v/>
      </c>
      <c r="C1221" s="105" t="str">
        <f>IFERROR(__xludf.DUMMYFUNCTION("IFERROR(IF('Final Report'!A1221="""","""", TEXTJOIN(CHAR(10), TRUE, ARRAYFORMULA( ""• ""&amp; FILTER( TRIM(FLATTEN(SPLIT( REGEXREPLACE( SUBSTITUTE(TEXTJOIN("","", TRUE, IFERROR(ARRAYFORMULA(VLOOKUP(TRIM(SPLIT('Final Report'!A1221, "","")), 'URL Details'!A:D, "&amp;"4, FALSE)),"""") ), CHAR(10), "",""), ""\s*,\s*"", "",""), "",""))), TRIM(FLATTEN(SPLIT( REGEXREPLACE( SUBSTITUTE(TEXTJOIN("","", TRUE, IFERROR(ARRAYFORMULA(VLOOKUP(TRIM(SPLIT('Final Report'!A1221, "","")), 'URL Details'!A:D, 4, FALSE)),"""") ), CHAR(10),"&amp;" "",""), ""\s*,\s*"", "",""), "","")))&lt;&gt;"""" ) ) ) ),"""")
"),"")</f>
        <v/>
      </c>
      <c r="D1221" s="105"/>
      <c r="E1221" s="105"/>
      <c r="F1221" s="110" t="b">
        <v>0</v>
      </c>
      <c r="G1221" s="105" t="str">
        <f>IF(F1221=True, IFERROR(VLOOKUP(D1221, Repository!A:B, 2, 0), ""), "")</f>
        <v/>
      </c>
      <c r="H1221" s="105"/>
      <c r="I1221" s="105"/>
      <c r="J1221" s="105" t="str">
        <f>IF(F1221=True, IFERROR(VLOOKUP(D1221, Repository!A:C, 3, 0), ""), "")</f>
        <v/>
      </c>
      <c r="K1221" s="105"/>
      <c r="L1221" s="105" t="str">
        <f>IF(F1221=True, IFERROR(VLOOKUP(D1221, Repository!A:E, 5, 0), ""), "")</f>
        <v/>
      </c>
      <c r="M1221" s="105"/>
      <c r="N1221" s="105" t="str">
        <f>IF(F1221=True, IFERROR(VLOOKUP(D1221, Repository!A:G, 7, 0), ""), "")</f>
        <v/>
      </c>
      <c r="O1221" s="105" t="str">
        <f>IFERROR(__xludf.DUMMYFUNCTION("ARRAY_CONSTRAIN(
  ARRAYFORMULA(
    IFERROR(
      LET(
        list, N1221,
        arr, TRIM(SPLIT(list, "","")),
        names, XLOOKUP(
          arr,
          'Conformance Score'!A:A,
          'Conformance Score'!B:B,
          ""Not found""
     "&amp;"   ),
        TEXTJOIN("", "", TRUE, names)
      ),
      """"
    )
  ),
  1,
  1
)
"),"")</f>
        <v/>
      </c>
      <c r="P1221" s="105" t="str">
        <f>IF(F1221="Yes", IFERROR(VLOOKUP(D1221, Repository!A:F, 6, 0), ""), "")</f>
        <v/>
      </c>
      <c r="Q1221" s="105" t="str">
        <f>IF(F1221="Yes", IFERROR(VLOOKUP(D1221, Repository!A:I, 8, 0), ""), "")</f>
        <v/>
      </c>
      <c r="R1221" s="105" t="str">
        <f>IF(F1221="Yes", IFERROR(VLOOKUP(D1221, Repository!A:J, 9, 0), ""), "")</f>
        <v/>
      </c>
      <c r="S1221" s="105"/>
      <c r="T1221" s="105"/>
      <c r="U1221" s="105"/>
      <c r="V1221" s="105"/>
      <c r="W1221" s="105"/>
      <c r="X1221" s="105"/>
      <c r="Y1221" s="105"/>
      <c r="Z1221" s="105"/>
      <c r="AA1221" s="105"/>
      <c r="AB1221" s="105"/>
      <c r="AC1221" s="91"/>
      <c r="AD1221" s="105"/>
      <c r="AE1221" s="105"/>
      <c r="AF1221" s="91"/>
      <c r="AG1221" s="105"/>
      <c r="AH1221" s="105"/>
      <c r="AI1221" s="105" t="str">
        <f t="shared" si="1"/>
        <v/>
      </c>
      <c r="AJ1221" s="108" t="str">
        <f t="shared" si="2"/>
        <v/>
      </c>
    </row>
    <row r="1222" ht="15.75" customHeight="1">
      <c r="A1222" s="104"/>
      <c r="B1222" s="105" t="str">
        <f>IFERROR(__xludf.DUMMYFUNCTION("ARRAY_CONSTRAIN(
  ARRAYFORMULA(
    IF(
      'Final Report'!A1222="""",
      """",
      TEXTJOIN(
        "", "" &amp; CHAR(10),
        TRUE,
        IFERROR(
          VLOOKUP(
            TRIM(
              SPLIT('Final Report'!A1222, "","")
         "&amp;"   ),
            'URL Details'!A:B,
            2,
            FALSE
          ),
          """"
        )
      )
    )
  ),
  1,
  1
)
"),"")</f>
        <v/>
      </c>
      <c r="C1222" s="105" t="str">
        <f>IFERROR(__xludf.DUMMYFUNCTION("IFERROR(IF('Final Report'!A1222="""","""", TEXTJOIN(CHAR(10), TRUE, ARRAYFORMULA( ""• ""&amp; FILTER( TRIM(FLATTEN(SPLIT( REGEXREPLACE( SUBSTITUTE(TEXTJOIN("","", TRUE, IFERROR(ARRAYFORMULA(VLOOKUP(TRIM(SPLIT('Final Report'!A1222, "","")), 'URL Details'!A:D, "&amp;"4, FALSE)),"""") ), CHAR(10), "",""), ""\s*,\s*"", "",""), "",""))), TRIM(FLATTEN(SPLIT( REGEXREPLACE( SUBSTITUTE(TEXTJOIN("","", TRUE, IFERROR(ARRAYFORMULA(VLOOKUP(TRIM(SPLIT('Final Report'!A1222, "","")), 'URL Details'!A:D, 4, FALSE)),"""") ), CHAR(10),"&amp;" "",""), ""\s*,\s*"", "",""), "","")))&lt;&gt;"""" ) ) ) ),"""")
"),"")</f>
        <v/>
      </c>
      <c r="D1222" s="105"/>
      <c r="E1222" s="105"/>
      <c r="F1222" s="110" t="b">
        <v>0</v>
      </c>
      <c r="G1222" s="105" t="str">
        <f>IF(F1222=True, IFERROR(VLOOKUP(D1222, Repository!A:B, 2, 0), ""), "")</f>
        <v/>
      </c>
      <c r="H1222" s="105"/>
      <c r="I1222" s="105"/>
      <c r="J1222" s="105" t="str">
        <f>IF(F1222=True, IFERROR(VLOOKUP(D1222, Repository!A:C, 3, 0), ""), "")</f>
        <v/>
      </c>
      <c r="K1222" s="105"/>
      <c r="L1222" s="105" t="str">
        <f>IF(F1222=True, IFERROR(VLOOKUP(D1222, Repository!A:E, 5, 0), ""), "")</f>
        <v/>
      </c>
      <c r="M1222" s="105"/>
      <c r="N1222" s="105" t="str">
        <f>IF(F1222=True, IFERROR(VLOOKUP(D1222, Repository!A:G, 7, 0), ""), "")</f>
        <v/>
      </c>
      <c r="O1222" s="105" t="str">
        <f>IFERROR(__xludf.DUMMYFUNCTION("ARRAY_CONSTRAIN(
  ARRAYFORMULA(
    IFERROR(
      LET(
        list, N1222,
        arr, TRIM(SPLIT(list, "","")),
        names, XLOOKUP(
          arr,
          'Conformance Score'!A:A,
          'Conformance Score'!B:B,
          ""Not found""
     "&amp;"   ),
        TEXTJOIN("", "", TRUE, names)
      ),
      """"
    )
  ),
  1,
  1
)
"),"")</f>
        <v/>
      </c>
      <c r="P1222" s="105" t="str">
        <f>IF(F1222="Yes", IFERROR(VLOOKUP(D1222, Repository!A:F, 6, 0), ""), "")</f>
        <v/>
      </c>
      <c r="Q1222" s="105" t="str">
        <f>IF(F1222="Yes", IFERROR(VLOOKUP(D1222, Repository!A:I, 8, 0), ""), "")</f>
        <v/>
      </c>
      <c r="R1222" s="105" t="str">
        <f>IF(F1222="Yes", IFERROR(VLOOKUP(D1222, Repository!A:J, 9, 0), ""), "")</f>
        <v/>
      </c>
      <c r="S1222" s="105"/>
      <c r="T1222" s="105"/>
      <c r="U1222" s="105"/>
      <c r="V1222" s="105"/>
      <c r="W1222" s="105"/>
      <c r="X1222" s="105"/>
      <c r="Y1222" s="105"/>
      <c r="Z1222" s="105"/>
      <c r="AA1222" s="105"/>
      <c r="AB1222" s="105"/>
      <c r="AC1222" s="91"/>
      <c r="AD1222" s="105"/>
      <c r="AE1222" s="105"/>
      <c r="AF1222" s="91"/>
      <c r="AG1222" s="105"/>
      <c r="AH1222" s="105"/>
      <c r="AI1222" s="105" t="str">
        <f t="shared" si="1"/>
        <v/>
      </c>
      <c r="AJ1222" s="108" t="str">
        <f t="shared" si="2"/>
        <v/>
      </c>
    </row>
    <row r="1223" ht="15.75" customHeight="1">
      <c r="A1223" s="104"/>
      <c r="B1223" s="105" t="str">
        <f>IFERROR(__xludf.DUMMYFUNCTION("ARRAY_CONSTRAIN(
  ARRAYFORMULA(
    IF(
      'Final Report'!A1223="""",
      """",
      TEXTJOIN(
        "", "" &amp; CHAR(10),
        TRUE,
        IFERROR(
          VLOOKUP(
            TRIM(
              SPLIT('Final Report'!A1223, "","")
         "&amp;"   ),
            'URL Details'!A:B,
            2,
            FALSE
          ),
          """"
        )
      )
    )
  ),
  1,
  1
)
"),"")</f>
        <v/>
      </c>
      <c r="C1223" s="105" t="str">
        <f>IFERROR(__xludf.DUMMYFUNCTION("IFERROR(IF('Final Report'!A1223="""","""", TEXTJOIN(CHAR(10), TRUE, ARRAYFORMULA( ""• ""&amp; FILTER( TRIM(FLATTEN(SPLIT( REGEXREPLACE( SUBSTITUTE(TEXTJOIN("","", TRUE, IFERROR(ARRAYFORMULA(VLOOKUP(TRIM(SPLIT('Final Report'!A1223, "","")), 'URL Details'!A:D, "&amp;"4, FALSE)),"""") ), CHAR(10), "",""), ""\s*,\s*"", "",""), "",""))), TRIM(FLATTEN(SPLIT( REGEXREPLACE( SUBSTITUTE(TEXTJOIN("","", TRUE, IFERROR(ARRAYFORMULA(VLOOKUP(TRIM(SPLIT('Final Report'!A1223, "","")), 'URL Details'!A:D, 4, FALSE)),"""") ), CHAR(10),"&amp;" "",""), ""\s*,\s*"", "",""), "","")))&lt;&gt;"""" ) ) ) ),"""")
"),"")</f>
        <v/>
      </c>
      <c r="D1223" s="105"/>
      <c r="E1223" s="105"/>
      <c r="F1223" s="110" t="b">
        <v>0</v>
      </c>
      <c r="G1223" s="105" t="str">
        <f>IF(F1223=True, IFERROR(VLOOKUP(D1223, Repository!A:B, 2, 0), ""), "")</f>
        <v/>
      </c>
      <c r="H1223" s="105"/>
      <c r="I1223" s="105"/>
      <c r="J1223" s="105" t="str">
        <f>IF(F1223=True, IFERROR(VLOOKUP(D1223, Repository!A:C, 3, 0), ""), "")</f>
        <v/>
      </c>
      <c r="K1223" s="105"/>
      <c r="L1223" s="105" t="str">
        <f>IF(F1223=True, IFERROR(VLOOKUP(D1223, Repository!A:E, 5, 0), ""), "")</f>
        <v/>
      </c>
      <c r="M1223" s="105"/>
      <c r="N1223" s="105" t="str">
        <f>IF(F1223=True, IFERROR(VLOOKUP(D1223, Repository!A:G, 7, 0), ""), "")</f>
        <v/>
      </c>
      <c r="O1223" s="105" t="str">
        <f>IFERROR(__xludf.DUMMYFUNCTION("ARRAY_CONSTRAIN(
  ARRAYFORMULA(
    IFERROR(
      LET(
        list, N1223,
        arr, TRIM(SPLIT(list, "","")),
        names, XLOOKUP(
          arr,
          'Conformance Score'!A:A,
          'Conformance Score'!B:B,
          ""Not found""
     "&amp;"   ),
        TEXTJOIN("", "", TRUE, names)
      ),
      """"
    )
  ),
  1,
  1
)
"),"")</f>
        <v/>
      </c>
      <c r="P1223" s="105" t="str">
        <f>IF(F1223="Yes", IFERROR(VLOOKUP(D1223, Repository!A:F, 6, 0), ""), "")</f>
        <v/>
      </c>
      <c r="Q1223" s="105" t="str">
        <f>IF(F1223="Yes", IFERROR(VLOOKUP(D1223, Repository!A:I, 8, 0), ""), "")</f>
        <v/>
      </c>
      <c r="R1223" s="105" t="str">
        <f>IF(F1223="Yes", IFERROR(VLOOKUP(D1223, Repository!A:J, 9, 0), ""), "")</f>
        <v/>
      </c>
      <c r="S1223" s="105"/>
      <c r="T1223" s="105"/>
      <c r="U1223" s="105"/>
      <c r="V1223" s="105"/>
      <c r="W1223" s="105"/>
      <c r="X1223" s="105"/>
      <c r="Y1223" s="105"/>
      <c r="Z1223" s="105"/>
      <c r="AA1223" s="105"/>
      <c r="AB1223" s="105"/>
      <c r="AC1223" s="91"/>
      <c r="AD1223" s="105"/>
      <c r="AE1223" s="105"/>
      <c r="AF1223" s="91"/>
      <c r="AG1223" s="105"/>
      <c r="AH1223" s="105"/>
      <c r="AI1223" s="105" t="str">
        <f t="shared" si="1"/>
        <v/>
      </c>
      <c r="AJ1223" s="108" t="str">
        <f t="shared" si="2"/>
        <v/>
      </c>
    </row>
    <row r="1224" ht="15.75" customHeight="1">
      <c r="A1224" s="104"/>
      <c r="B1224" s="105" t="str">
        <f>IFERROR(__xludf.DUMMYFUNCTION("ARRAY_CONSTRAIN(
  ARRAYFORMULA(
    IF(
      'Final Report'!A1224="""",
      """",
      TEXTJOIN(
        "", "" &amp; CHAR(10),
        TRUE,
        IFERROR(
          VLOOKUP(
            TRIM(
              SPLIT('Final Report'!A1224, "","")
         "&amp;"   ),
            'URL Details'!A:B,
            2,
            FALSE
          ),
          """"
        )
      )
    )
  ),
  1,
  1
)
"),"")</f>
        <v/>
      </c>
      <c r="C1224" s="105" t="str">
        <f>IFERROR(__xludf.DUMMYFUNCTION("IFERROR(IF('Final Report'!A1224="""","""", TEXTJOIN(CHAR(10), TRUE, ARRAYFORMULA( ""• ""&amp; FILTER( TRIM(FLATTEN(SPLIT( REGEXREPLACE( SUBSTITUTE(TEXTJOIN("","", TRUE, IFERROR(ARRAYFORMULA(VLOOKUP(TRIM(SPLIT('Final Report'!A1224, "","")), 'URL Details'!A:D, "&amp;"4, FALSE)),"""") ), CHAR(10), "",""), ""\s*,\s*"", "",""), "",""))), TRIM(FLATTEN(SPLIT( REGEXREPLACE( SUBSTITUTE(TEXTJOIN("","", TRUE, IFERROR(ARRAYFORMULA(VLOOKUP(TRIM(SPLIT('Final Report'!A1224, "","")), 'URL Details'!A:D, 4, FALSE)),"""") ), CHAR(10),"&amp;" "",""), ""\s*,\s*"", "",""), "","")))&lt;&gt;"""" ) ) ) ),"""")
"),"")</f>
        <v/>
      </c>
      <c r="D1224" s="105"/>
      <c r="E1224" s="105"/>
      <c r="F1224" s="110" t="b">
        <v>0</v>
      </c>
      <c r="G1224" s="105" t="str">
        <f>IF(F1224=True, IFERROR(VLOOKUP(D1224, Repository!A:B, 2, 0), ""), "")</f>
        <v/>
      </c>
      <c r="H1224" s="105"/>
      <c r="I1224" s="105"/>
      <c r="J1224" s="105" t="str">
        <f>IF(F1224=True, IFERROR(VLOOKUP(D1224, Repository!A:C, 3, 0), ""), "")</f>
        <v/>
      </c>
      <c r="K1224" s="105"/>
      <c r="L1224" s="105" t="str">
        <f>IF(F1224=True, IFERROR(VLOOKUP(D1224, Repository!A:E, 5, 0), ""), "")</f>
        <v/>
      </c>
      <c r="M1224" s="105"/>
      <c r="N1224" s="105" t="str">
        <f>IF(F1224=True, IFERROR(VLOOKUP(D1224, Repository!A:G, 7, 0), ""), "")</f>
        <v/>
      </c>
      <c r="O1224" s="105" t="str">
        <f>IFERROR(__xludf.DUMMYFUNCTION("ARRAY_CONSTRAIN(
  ARRAYFORMULA(
    IFERROR(
      LET(
        list, N1224,
        arr, TRIM(SPLIT(list, "","")),
        names, XLOOKUP(
          arr,
          'Conformance Score'!A:A,
          'Conformance Score'!B:B,
          ""Not found""
     "&amp;"   ),
        TEXTJOIN("", "", TRUE, names)
      ),
      """"
    )
  ),
  1,
  1
)
"),"")</f>
        <v/>
      </c>
      <c r="P1224" s="105" t="str">
        <f>IF(F1224="Yes", IFERROR(VLOOKUP(D1224, Repository!A:F, 6, 0), ""), "")</f>
        <v/>
      </c>
      <c r="Q1224" s="105" t="str">
        <f>IF(F1224="Yes", IFERROR(VLOOKUP(D1224, Repository!A:I, 8, 0), ""), "")</f>
        <v/>
      </c>
      <c r="R1224" s="105" t="str">
        <f>IF(F1224="Yes", IFERROR(VLOOKUP(D1224, Repository!A:J, 9, 0), ""), "")</f>
        <v/>
      </c>
      <c r="S1224" s="105"/>
      <c r="T1224" s="105"/>
      <c r="U1224" s="105"/>
      <c r="V1224" s="105"/>
      <c r="W1224" s="105"/>
      <c r="X1224" s="105"/>
      <c r="Y1224" s="105"/>
      <c r="Z1224" s="105"/>
      <c r="AA1224" s="105"/>
      <c r="AB1224" s="105"/>
      <c r="AC1224" s="91"/>
      <c r="AD1224" s="105"/>
      <c r="AE1224" s="105"/>
      <c r="AF1224" s="91"/>
      <c r="AG1224" s="105"/>
      <c r="AH1224" s="105"/>
      <c r="AI1224" s="105" t="str">
        <f t="shared" si="1"/>
        <v/>
      </c>
      <c r="AJ1224" s="108" t="str">
        <f t="shared" si="2"/>
        <v/>
      </c>
    </row>
    <row r="1225" ht="15.75" customHeight="1">
      <c r="A1225" s="104"/>
      <c r="B1225" s="105" t="str">
        <f>IFERROR(__xludf.DUMMYFUNCTION("ARRAY_CONSTRAIN(
  ARRAYFORMULA(
    IF(
      'Final Report'!A1225="""",
      """",
      TEXTJOIN(
        "", "" &amp; CHAR(10),
        TRUE,
        IFERROR(
          VLOOKUP(
            TRIM(
              SPLIT('Final Report'!A1225, "","")
         "&amp;"   ),
            'URL Details'!A:B,
            2,
            FALSE
          ),
          """"
        )
      )
    )
  ),
  1,
  1
)
"),"")</f>
        <v/>
      </c>
      <c r="C1225" s="105" t="str">
        <f>IFERROR(__xludf.DUMMYFUNCTION("IFERROR(IF('Final Report'!A1225="""","""", TEXTJOIN(CHAR(10), TRUE, ARRAYFORMULA( ""• ""&amp; FILTER( TRIM(FLATTEN(SPLIT( REGEXREPLACE( SUBSTITUTE(TEXTJOIN("","", TRUE, IFERROR(ARRAYFORMULA(VLOOKUP(TRIM(SPLIT('Final Report'!A1225, "","")), 'URL Details'!A:D, "&amp;"4, FALSE)),"""") ), CHAR(10), "",""), ""\s*,\s*"", "",""), "",""))), TRIM(FLATTEN(SPLIT( REGEXREPLACE( SUBSTITUTE(TEXTJOIN("","", TRUE, IFERROR(ARRAYFORMULA(VLOOKUP(TRIM(SPLIT('Final Report'!A1225, "","")), 'URL Details'!A:D, 4, FALSE)),"""") ), CHAR(10),"&amp;" "",""), ""\s*,\s*"", "",""), "","")))&lt;&gt;"""" ) ) ) ),"""")
"),"")</f>
        <v/>
      </c>
      <c r="D1225" s="105"/>
      <c r="E1225" s="105"/>
      <c r="F1225" s="110" t="b">
        <v>0</v>
      </c>
      <c r="G1225" s="105" t="str">
        <f>IF(F1225=True, IFERROR(VLOOKUP(D1225, Repository!A:B, 2, 0), ""), "")</f>
        <v/>
      </c>
      <c r="H1225" s="105"/>
      <c r="I1225" s="105"/>
      <c r="J1225" s="105" t="str">
        <f>IF(F1225=True, IFERROR(VLOOKUP(D1225, Repository!A:C, 3, 0), ""), "")</f>
        <v/>
      </c>
      <c r="K1225" s="105"/>
      <c r="L1225" s="105" t="str">
        <f>IF(F1225=True, IFERROR(VLOOKUP(D1225, Repository!A:E, 5, 0), ""), "")</f>
        <v/>
      </c>
      <c r="M1225" s="105"/>
      <c r="N1225" s="105" t="str">
        <f>IF(F1225=True, IFERROR(VLOOKUP(D1225, Repository!A:G, 7, 0), ""), "")</f>
        <v/>
      </c>
      <c r="O1225" s="105" t="str">
        <f>IFERROR(__xludf.DUMMYFUNCTION("ARRAY_CONSTRAIN(
  ARRAYFORMULA(
    IFERROR(
      LET(
        list, N1225,
        arr, TRIM(SPLIT(list, "","")),
        names, XLOOKUP(
          arr,
          'Conformance Score'!A:A,
          'Conformance Score'!B:B,
          ""Not found""
     "&amp;"   ),
        TEXTJOIN("", "", TRUE, names)
      ),
      """"
    )
  ),
  1,
  1
)
"),"")</f>
        <v/>
      </c>
      <c r="P1225" s="105" t="str">
        <f>IF(F1225="Yes", IFERROR(VLOOKUP(D1225, Repository!A:F, 6, 0), ""), "")</f>
        <v/>
      </c>
      <c r="Q1225" s="105" t="str">
        <f>IF(F1225="Yes", IFERROR(VLOOKUP(D1225, Repository!A:I, 8, 0), ""), "")</f>
        <v/>
      </c>
      <c r="R1225" s="105" t="str">
        <f>IF(F1225="Yes", IFERROR(VLOOKUP(D1225, Repository!A:J, 9, 0), ""), "")</f>
        <v/>
      </c>
      <c r="S1225" s="105"/>
      <c r="T1225" s="105"/>
      <c r="U1225" s="105"/>
      <c r="V1225" s="105"/>
      <c r="W1225" s="105"/>
      <c r="X1225" s="105"/>
      <c r="Y1225" s="105"/>
      <c r="Z1225" s="105"/>
      <c r="AA1225" s="105"/>
      <c r="AB1225" s="105"/>
      <c r="AC1225" s="91"/>
      <c r="AD1225" s="105"/>
      <c r="AE1225" s="105"/>
      <c r="AF1225" s="91"/>
      <c r="AG1225" s="105"/>
      <c r="AH1225" s="105"/>
      <c r="AI1225" s="105" t="str">
        <f t="shared" si="1"/>
        <v/>
      </c>
      <c r="AJ1225" s="108" t="str">
        <f t="shared" si="2"/>
        <v/>
      </c>
    </row>
    <row r="1226" ht="15.75" customHeight="1">
      <c r="A1226" s="104"/>
      <c r="B1226" s="105" t="str">
        <f>IFERROR(__xludf.DUMMYFUNCTION("ARRAY_CONSTRAIN(
  ARRAYFORMULA(
    IF(
      'Final Report'!A1226="""",
      """",
      TEXTJOIN(
        "", "" &amp; CHAR(10),
        TRUE,
        IFERROR(
          VLOOKUP(
            TRIM(
              SPLIT('Final Report'!A1226, "","")
         "&amp;"   ),
            'URL Details'!A:B,
            2,
            FALSE
          ),
          """"
        )
      )
    )
  ),
  1,
  1
)
"),"")</f>
        <v/>
      </c>
      <c r="C1226" s="105" t="str">
        <f>IFERROR(__xludf.DUMMYFUNCTION("IFERROR(IF('Final Report'!A1226="""","""", TEXTJOIN(CHAR(10), TRUE, ARRAYFORMULA( ""• ""&amp; FILTER( TRIM(FLATTEN(SPLIT( REGEXREPLACE( SUBSTITUTE(TEXTJOIN("","", TRUE, IFERROR(ARRAYFORMULA(VLOOKUP(TRIM(SPLIT('Final Report'!A1226, "","")), 'URL Details'!A:D, "&amp;"4, FALSE)),"""") ), CHAR(10), "",""), ""\s*,\s*"", "",""), "",""))), TRIM(FLATTEN(SPLIT( REGEXREPLACE( SUBSTITUTE(TEXTJOIN("","", TRUE, IFERROR(ARRAYFORMULA(VLOOKUP(TRIM(SPLIT('Final Report'!A1226, "","")), 'URL Details'!A:D, 4, FALSE)),"""") ), CHAR(10),"&amp;" "",""), ""\s*,\s*"", "",""), "","")))&lt;&gt;"""" ) ) ) ),"""")
"),"")</f>
        <v/>
      </c>
      <c r="D1226" s="105"/>
      <c r="E1226" s="105"/>
      <c r="F1226" s="110" t="b">
        <v>0</v>
      </c>
      <c r="G1226" s="105" t="str">
        <f>IF(F1226=True, IFERROR(VLOOKUP(D1226, Repository!A:B, 2, 0), ""), "")</f>
        <v/>
      </c>
      <c r="H1226" s="105"/>
      <c r="I1226" s="105"/>
      <c r="J1226" s="105" t="str">
        <f>IF(F1226=True, IFERROR(VLOOKUP(D1226, Repository!A:C, 3, 0), ""), "")</f>
        <v/>
      </c>
      <c r="K1226" s="105"/>
      <c r="L1226" s="105" t="str">
        <f>IF(F1226=True, IFERROR(VLOOKUP(D1226, Repository!A:E, 5, 0), ""), "")</f>
        <v/>
      </c>
      <c r="M1226" s="105"/>
      <c r="N1226" s="105" t="str">
        <f>IF(F1226=True, IFERROR(VLOOKUP(D1226, Repository!A:G, 7, 0), ""), "")</f>
        <v/>
      </c>
      <c r="O1226" s="105" t="str">
        <f>IFERROR(__xludf.DUMMYFUNCTION("ARRAY_CONSTRAIN(
  ARRAYFORMULA(
    IFERROR(
      LET(
        list, N1226,
        arr, TRIM(SPLIT(list, "","")),
        names, XLOOKUP(
          arr,
          'Conformance Score'!A:A,
          'Conformance Score'!B:B,
          ""Not found""
     "&amp;"   ),
        TEXTJOIN("", "", TRUE, names)
      ),
      """"
    )
  ),
  1,
  1
)
"),"")</f>
        <v/>
      </c>
      <c r="P1226" s="105" t="str">
        <f>IF(F1226="Yes", IFERROR(VLOOKUP(D1226, Repository!A:F, 6, 0), ""), "")</f>
        <v/>
      </c>
      <c r="Q1226" s="105" t="str">
        <f>IF(F1226="Yes", IFERROR(VLOOKUP(D1226, Repository!A:I, 8, 0), ""), "")</f>
        <v/>
      </c>
      <c r="R1226" s="105" t="str">
        <f>IF(F1226="Yes", IFERROR(VLOOKUP(D1226, Repository!A:J, 9, 0), ""), "")</f>
        <v/>
      </c>
      <c r="S1226" s="105"/>
      <c r="T1226" s="105"/>
      <c r="U1226" s="105"/>
      <c r="V1226" s="105"/>
      <c r="W1226" s="105"/>
      <c r="X1226" s="105"/>
      <c r="Y1226" s="105"/>
      <c r="Z1226" s="105"/>
      <c r="AA1226" s="105"/>
      <c r="AB1226" s="105"/>
      <c r="AC1226" s="91"/>
      <c r="AD1226" s="105"/>
      <c r="AE1226" s="105"/>
      <c r="AF1226" s="91"/>
      <c r="AG1226" s="105"/>
      <c r="AH1226" s="105"/>
      <c r="AI1226" s="105" t="str">
        <f t="shared" si="1"/>
        <v/>
      </c>
      <c r="AJ1226" s="108" t="str">
        <f t="shared" si="2"/>
        <v/>
      </c>
    </row>
    <row r="1227" ht="15.75" customHeight="1">
      <c r="A1227" s="104"/>
      <c r="B1227" s="105" t="str">
        <f>IFERROR(__xludf.DUMMYFUNCTION("ARRAY_CONSTRAIN(
  ARRAYFORMULA(
    IF(
      'Final Report'!A1227="""",
      """",
      TEXTJOIN(
        "", "" &amp; CHAR(10),
        TRUE,
        IFERROR(
          VLOOKUP(
            TRIM(
              SPLIT('Final Report'!A1227, "","")
         "&amp;"   ),
            'URL Details'!A:B,
            2,
            FALSE
          ),
          """"
        )
      )
    )
  ),
  1,
  1
)
"),"")</f>
        <v/>
      </c>
      <c r="C1227" s="105" t="str">
        <f>IFERROR(__xludf.DUMMYFUNCTION("IFERROR(IF('Final Report'!A1227="""","""", TEXTJOIN(CHAR(10), TRUE, ARRAYFORMULA( ""• ""&amp; FILTER( TRIM(FLATTEN(SPLIT( REGEXREPLACE( SUBSTITUTE(TEXTJOIN("","", TRUE, IFERROR(ARRAYFORMULA(VLOOKUP(TRIM(SPLIT('Final Report'!A1227, "","")), 'URL Details'!A:D, "&amp;"4, FALSE)),"""") ), CHAR(10), "",""), ""\s*,\s*"", "",""), "",""))), TRIM(FLATTEN(SPLIT( REGEXREPLACE( SUBSTITUTE(TEXTJOIN("","", TRUE, IFERROR(ARRAYFORMULA(VLOOKUP(TRIM(SPLIT('Final Report'!A1227, "","")), 'URL Details'!A:D, 4, FALSE)),"""") ), CHAR(10),"&amp;" "",""), ""\s*,\s*"", "",""), "","")))&lt;&gt;"""" ) ) ) ),"""")
"),"")</f>
        <v/>
      </c>
      <c r="D1227" s="105"/>
      <c r="E1227" s="105"/>
      <c r="F1227" s="110" t="b">
        <v>0</v>
      </c>
      <c r="G1227" s="105" t="str">
        <f>IF(F1227=True, IFERROR(VLOOKUP(D1227, Repository!A:B, 2, 0), ""), "")</f>
        <v/>
      </c>
      <c r="H1227" s="105"/>
      <c r="I1227" s="105"/>
      <c r="J1227" s="105" t="str">
        <f>IF(F1227=True, IFERROR(VLOOKUP(D1227, Repository!A:C, 3, 0), ""), "")</f>
        <v/>
      </c>
      <c r="K1227" s="105"/>
      <c r="L1227" s="105" t="str">
        <f>IF(F1227=True, IFERROR(VLOOKUP(D1227, Repository!A:E, 5, 0), ""), "")</f>
        <v/>
      </c>
      <c r="M1227" s="105"/>
      <c r="N1227" s="105" t="str">
        <f>IF(F1227=True, IFERROR(VLOOKUP(D1227, Repository!A:G, 7, 0), ""), "")</f>
        <v/>
      </c>
      <c r="O1227" s="105" t="str">
        <f>IFERROR(__xludf.DUMMYFUNCTION("ARRAY_CONSTRAIN(
  ARRAYFORMULA(
    IFERROR(
      LET(
        list, N1227,
        arr, TRIM(SPLIT(list, "","")),
        names, XLOOKUP(
          arr,
          'Conformance Score'!A:A,
          'Conformance Score'!B:B,
          ""Not found""
     "&amp;"   ),
        TEXTJOIN("", "", TRUE, names)
      ),
      """"
    )
  ),
  1,
  1
)
"),"")</f>
        <v/>
      </c>
      <c r="P1227" s="105" t="str">
        <f>IF(F1227="Yes", IFERROR(VLOOKUP(D1227, Repository!A:F, 6, 0), ""), "")</f>
        <v/>
      </c>
      <c r="Q1227" s="105" t="str">
        <f>IF(F1227="Yes", IFERROR(VLOOKUP(D1227, Repository!A:I, 8, 0), ""), "")</f>
        <v/>
      </c>
      <c r="R1227" s="105" t="str">
        <f>IF(F1227="Yes", IFERROR(VLOOKUP(D1227, Repository!A:J, 9, 0), ""), "")</f>
        <v/>
      </c>
      <c r="S1227" s="105"/>
      <c r="T1227" s="105"/>
      <c r="U1227" s="105"/>
      <c r="V1227" s="105"/>
      <c r="W1227" s="105"/>
      <c r="X1227" s="105"/>
      <c r="Y1227" s="105"/>
      <c r="Z1227" s="105"/>
      <c r="AA1227" s="105"/>
      <c r="AB1227" s="105"/>
      <c r="AC1227" s="91"/>
      <c r="AD1227" s="105"/>
      <c r="AE1227" s="105"/>
      <c r="AF1227" s="91"/>
      <c r="AG1227" s="105"/>
      <c r="AH1227" s="105"/>
      <c r="AI1227" s="105" t="str">
        <f t="shared" si="1"/>
        <v/>
      </c>
      <c r="AJ1227" s="108" t="str">
        <f t="shared" si="2"/>
        <v/>
      </c>
    </row>
    <row r="1228" ht="15.75" customHeight="1">
      <c r="A1228" s="104"/>
      <c r="B1228" s="105" t="str">
        <f>IFERROR(__xludf.DUMMYFUNCTION("ARRAY_CONSTRAIN(
  ARRAYFORMULA(
    IF(
      'Final Report'!A1228="""",
      """",
      TEXTJOIN(
        "", "" &amp; CHAR(10),
        TRUE,
        IFERROR(
          VLOOKUP(
            TRIM(
              SPLIT('Final Report'!A1228, "","")
         "&amp;"   ),
            'URL Details'!A:B,
            2,
            FALSE
          ),
          """"
        )
      )
    )
  ),
  1,
  1
)
"),"")</f>
        <v/>
      </c>
      <c r="C1228" s="105" t="str">
        <f>IFERROR(__xludf.DUMMYFUNCTION("IFERROR(IF('Final Report'!A1228="""","""", TEXTJOIN(CHAR(10), TRUE, ARRAYFORMULA( ""• ""&amp; FILTER( TRIM(FLATTEN(SPLIT( REGEXREPLACE( SUBSTITUTE(TEXTJOIN("","", TRUE, IFERROR(ARRAYFORMULA(VLOOKUP(TRIM(SPLIT('Final Report'!A1228, "","")), 'URL Details'!A:D, "&amp;"4, FALSE)),"""") ), CHAR(10), "",""), ""\s*,\s*"", "",""), "",""))), TRIM(FLATTEN(SPLIT( REGEXREPLACE( SUBSTITUTE(TEXTJOIN("","", TRUE, IFERROR(ARRAYFORMULA(VLOOKUP(TRIM(SPLIT('Final Report'!A1228, "","")), 'URL Details'!A:D, 4, FALSE)),"""") ), CHAR(10),"&amp;" "",""), ""\s*,\s*"", "",""), "","")))&lt;&gt;"""" ) ) ) ),"""")
"),"")</f>
        <v/>
      </c>
      <c r="D1228" s="105"/>
      <c r="E1228" s="105"/>
      <c r="F1228" s="110" t="b">
        <v>0</v>
      </c>
      <c r="G1228" s="105" t="str">
        <f>IF(F1228=True, IFERROR(VLOOKUP(D1228, Repository!A:B, 2, 0), ""), "")</f>
        <v/>
      </c>
      <c r="H1228" s="105"/>
      <c r="I1228" s="105"/>
      <c r="J1228" s="105" t="str">
        <f>IF(F1228=True, IFERROR(VLOOKUP(D1228, Repository!A:C, 3, 0), ""), "")</f>
        <v/>
      </c>
      <c r="K1228" s="105"/>
      <c r="L1228" s="105" t="str">
        <f>IF(F1228=True, IFERROR(VLOOKUP(D1228, Repository!A:E, 5, 0), ""), "")</f>
        <v/>
      </c>
      <c r="M1228" s="105"/>
      <c r="N1228" s="105" t="str">
        <f>IF(F1228=True, IFERROR(VLOOKUP(D1228, Repository!A:G, 7, 0), ""), "")</f>
        <v/>
      </c>
      <c r="O1228" s="105" t="str">
        <f>IFERROR(__xludf.DUMMYFUNCTION("ARRAY_CONSTRAIN(
  ARRAYFORMULA(
    IFERROR(
      LET(
        list, N1228,
        arr, TRIM(SPLIT(list, "","")),
        names, XLOOKUP(
          arr,
          'Conformance Score'!A:A,
          'Conformance Score'!B:B,
          ""Not found""
     "&amp;"   ),
        TEXTJOIN("", "", TRUE, names)
      ),
      """"
    )
  ),
  1,
  1
)
"),"")</f>
        <v/>
      </c>
      <c r="P1228" s="105" t="str">
        <f>IF(F1228="Yes", IFERROR(VLOOKUP(D1228, Repository!A:F, 6, 0), ""), "")</f>
        <v/>
      </c>
      <c r="Q1228" s="105" t="str">
        <f>IF(F1228="Yes", IFERROR(VLOOKUP(D1228, Repository!A:I, 8, 0), ""), "")</f>
        <v/>
      </c>
      <c r="R1228" s="105" t="str">
        <f>IF(F1228="Yes", IFERROR(VLOOKUP(D1228, Repository!A:J, 9, 0), ""), "")</f>
        <v/>
      </c>
      <c r="S1228" s="105"/>
      <c r="T1228" s="105"/>
      <c r="U1228" s="105"/>
      <c r="V1228" s="105"/>
      <c r="W1228" s="105"/>
      <c r="X1228" s="105"/>
      <c r="Y1228" s="105"/>
      <c r="Z1228" s="105"/>
      <c r="AA1228" s="105"/>
      <c r="AB1228" s="105"/>
      <c r="AC1228" s="91"/>
      <c r="AD1228" s="105"/>
      <c r="AE1228" s="105"/>
      <c r="AF1228" s="91"/>
      <c r="AG1228" s="105"/>
      <c r="AH1228" s="105"/>
      <c r="AI1228" s="105" t="str">
        <f t="shared" si="1"/>
        <v/>
      </c>
      <c r="AJ1228" s="108" t="str">
        <f t="shared" si="2"/>
        <v/>
      </c>
    </row>
    <row r="1229" ht="15.75" customHeight="1">
      <c r="A1229" s="104"/>
      <c r="B1229" s="105" t="str">
        <f>IFERROR(__xludf.DUMMYFUNCTION("ARRAY_CONSTRAIN(
  ARRAYFORMULA(
    IF(
      'Final Report'!A1229="""",
      """",
      TEXTJOIN(
        "", "" &amp; CHAR(10),
        TRUE,
        IFERROR(
          VLOOKUP(
            TRIM(
              SPLIT('Final Report'!A1229, "","")
         "&amp;"   ),
            'URL Details'!A:B,
            2,
            FALSE
          ),
          """"
        )
      )
    )
  ),
  1,
  1
)
"),"")</f>
        <v/>
      </c>
      <c r="C1229" s="105" t="str">
        <f>IFERROR(__xludf.DUMMYFUNCTION("IFERROR(IF('Final Report'!A1229="""","""", TEXTJOIN(CHAR(10), TRUE, ARRAYFORMULA( ""• ""&amp; FILTER( TRIM(FLATTEN(SPLIT( REGEXREPLACE( SUBSTITUTE(TEXTJOIN("","", TRUE, IFERROR(ARRAYFORMULA(VLOOKUP(TRIM(SPLIT('Final Report'!A1229, "","")), 'URL Details'!A:D, "&amp;"4, FALSE)),"""") ), CHAR(10), "",""), ""\s*,\s*"", "",""), "",""))), TRIM(FLATTEN(SPLIT( REGEXREPLACE( SUBSTITUTE(TEXTJOIN("","", TRUE, IFERROR(ARRAYFORMULA(VLOOKUP(TRIM(SPLIT('Final Report'!A1229, "","")), 'URL Details'!A:D, 4, FALSE)),"""") ), CHAR(10),"&amp;" "",""), ""\s*,\s*"", "",""), "","")))&lt;&gt;"""" ) ) ) ),"""")
"),"")</f>
        <v/>
      </c>
      <c r="D1229" s="105"/>
      <c r="E1229" s="105"/>
      <c r="F1229" s="110" t="b">
        <v>0</v>
      </c>
      <c r="G1229" s="105" t="str">
        <f>IF(F1229=True, IFERROR(VLOOKUP(D1229, Repository!A:B, 2, 0), ""), "")</f>
        <v/>
      </c>
      <c r="H1229" s="105"/>
      <c r="I1229" s="105"/>
      <c r="J1229" s="105" t="str">
        <f>IF(F1229=True, IFERROR(VLOOKUP(D1229, Repository!A:C, 3, 0), ""), "")</f>
        <v/>
      </c>
      <c r="K1229" s="105"/>
      <c r="L1229" s="105" t="str">
        <f>IF(F1229=True, IFERROR(VLOOKUP(D1229, Repository!A:E, 5, 0), ""), "")</f>
        <v/>
      </c>
      <c r="M1229" s="105"/>
      <c r="N1229" s="105" t="str">
        <f>IF(F1229=True, IFERROR(VLOOKUP(D1229, Repository!A:G, 7, 0), ""), "")</f>
        <v/>
      </c>
      <c r="O1229" s="105" t="str">
        <f>IFERROR(__xludf.DUMMYFUNCTION("ARRAY_CONSTRAIN(
  ARRAYFORMULA(
    IFERROR(
      LET(
        list, N1229,
        arr, TRIM(SPLIT(list, "","")),
        names, XLOOKUP(
          arr,
          'Conformance Score'!A:A,
          'Conformance Score'!B:B,
          ""Not found""
     "&amp;"   ),
        TEXTJOIN("", "", TRUE, names)
      ),
      """"
    )
  ),
  1,
  1
)
"),"")</f>
        <v/>
      </c>
      <c r="P1229" s="105" t="str">
        <f>IF(F1229="Yes", IFERROR(VLOOKUP(D1229, Repository!A:F, 6, 0), ""), "")</f>
        <v/>
      </c>
      <c r="Q1229" s="105" t="str">
        <f>IF(F1229="Yes", IFERROR(VLOOKUP(D1229, Repository!A:I, 8, 0), ""), "")</f>
        <v/>
      </c>
      <c r="R1229" s="105" t="str">
        <f>IF(F1229="Yes", IFERROR(VLOOKUP(D1229, Repository!A:J, 9, 0), ""), "")</f>
        <v/>
      </c>
      <c r="S1229" s="105"/>
      <c r="T1229" s="105"/>
      <c r="U1229" s="105"/>
      <c r="V1229" s="105"/>
      <c r="W1229" s="105"/>
      <c r="X1229" s="105"/>
      <c r="Y1229" s="105"/>
      <c r="Z1229" s="105"/>
      <c r="AA1229" s="105"/>
      <c r="AB1229" s="105"/>
      <c r="AC1229" s="91"/>
      <c r="AD1229" s="105"/>
      <c r="AE1229" s="105"/>
      <c r="AF1229" s="91"/>
      <c r="AG1229" s="105"/>
      <c r="AH1229" s="105"/>
      <c r="AI1229" s="105" t="str">
        <f t="shared" si="1"/>
        <v/>
      </c>
      <c r="AJ1229" s="108" t="str">
        <f t="shared" si="2"/>
        <v/>
      </c>
    </row>
    <row r="1230" ht="15.75" customHeight="1">
      <c r="A1230" s="104"/>
      <c r="B1230" s="105" t="str">
        <f>IFERROR(__xludf.DUMMYFUNCTION("ARRAY_CONSTRAIN(
  ARRAYFORMULA(
    IF(
      'Final Report'!A1230="""",
      """",
      TEXTJOIN(
        "", "" &amp; CHAR(10),
        TRUE,
        IFERROR(
          VLOOKUP(
            TRIM(
              SPLIT('Final Report'!A1230, "","")
         "&amp;"   ),
            'URL Details'!A:B,
            2,
            FALSE
          ),
          """"
        )
      )
    )
  ),
  1,
  1
)
"),"")</f>
        <v/>
      </c>
      <c r="C1230" s="105" t="str">
        <f>IFERROR(__xludf.DUMMYFUNCTION("IFERROR(IF('Final Report'!A1230="""","""", TEXTJOIN(CHAR(10), TRUE, ARRAYFORMULA( ""• ""&amp; FILTER( TRIM(FLATTEN(SPLIT( REGEXREPLACE( SUBSTITUTE(TEXTJOIN("","", TRUE, IFERROR(ARRAYFORMULA(VLOOKUP(TRIM(SPLIT('Final Report'!A1230, "","")), 'URL Details'!A:D, "&amp;"4, FALSE)),"""") ), CHAR(10), "",""), ""\s*,\s*"", "",""), "",""))), TRIM(FLATTEN(SPLIT( REGEXREPLACE( SUBSTITUTE(TEXTJOIN("","", TRUE, IFERROR(ARRAYFORMULA(VLOOKUP(TRIM(SPLIT('Final Report'!A1230, "","")), 'URL Details'!A:D, 4, FALSE)),"""") ), CHAR(10),"&amp;" "",""), ""\s*,\s*"", "",""), "","")))&lt;&gt;"""" ) ) ) ),"""")
"),"")</f>
        <v/>
      </c>
      <c r="D1230" s="105"/>
      <c r="E1230" s="105"/>
      <c r="F1230" s="110" t="b">
        <v>0</v>
      </c>
      <c r="G1230" s="105" t="str">
        <f>IF(F1230=True, IFERROR(VLOOKUP(D1230, Repository!A:B, 2, 0), ""), "")</f>
        <v/>
      </c>
      <c r="H1230" s="105"/>
      <c r="I1230" s="105"/>
      <c r="J1230" s="105" t="str">
        <f>IF(F1230=True, IFERROR(VLOOKUP(D1230, Repository!A:C, 3, 0), ""), "")</f>
        <v/>
      </c>
      <c r="K1230" s="105"/>
      <c r="L1230" s="105" t="str">
        <f>IF(F1230=True, IFERROR(VLOOKUP(D1230, Repository!A:E, 5, 0), ""), "")</f>
        <v/>
      </c>
      <c r="M1230" s="105"/>
      <c r="N1230" s="105" t="str">
        <f>IF(F1230=True, IFERROR(VLOOKUP(D1230, Repository!A:G, 7, 0), ""), "")</f>
        <v/>
      </c>
      <c r="O1230" s="105" t="str">
        <f>IFERROR(__xludf.DUMMYFUNCTION("ARRAY_CONSTRAIN(
  ARRAYFORMULA(
    IFERROR(
      LET(
        list, N1230,
        arr, TRIM(SPLIT(list, "","")),
        names, XLOOKUP(
          arr,
          'Conformance Score'!A:A,
          'Conformance Score'!B:B,
          ""Not found""
     "&amp;"   ),
        TEXTJOIN("", "", TRUE, names)
      ),
      """"
    )
  ),
  1,
  1
)
"),"")</f>
        <v/>
      </c>
      <c r="P1230" s="105" t="str">
        <f>IF(F1230="Yes", IFERROR(VLOOKUP(D1230, Repository!A:F, 6, 0), ""), "")</f>
        <v/>
      </c>
      <c r="Q1230" s="105" t="str">
        <f>IF(F1230="Yes", IFERROR(VLOOKUP(D1230, Repository!A:I, 8, 0), ""), "")</f>
        <v/>
      </c>
      <c r="R1230" s="105" t="str">
        <f>IF(F1230="Yes", IFERROR(VLOOKUP(D1230, Repository!A:J, 9, 0), ""), "")</f>
        <v/>
      </c>
      <c r="S1230" s="105"/>
      <c r="T1230" s="105"/>
      <c r="U1230" s="105"/>
      <c r="V1230" s="105"/>
      <c r="W1230" s="105"/>
      <c r="X1230" s="105"/>
      <c r="Y1230" s="105"/>
      <c r="Z1230" s="105"/>
      <c r="AA1230" s="105"/>
      <c r="AB1230" s="105"/>
      <c r="AC1230" s="91"/>
      <c r="AD1230" s="105"/>
      <c r="AE1230" s="105"/>
      <c r="AF1230" s="91"/>
      <c r="AG1230" s="105"/>
      <c r="AH1230" s="105"/>
      <c r="AI1230" s="105" t="str">
        <f t="shared" si="1"/>
        <v/>
      </c>
      <c r="AJ1230" s="108" t="str">
        <f t="shared" si="2"/>
        <v/>
      </c>
    </row>
    <row r="1231" ht="15.75" customHeight="1">
      <c r="A1231" s="104"/>
      <c r="B1231" s="105" t="str">
        <f>IFERROR(__xludf.DUMMYFUNCTION("ARRAY_CONSTRAIN(
  ARRAYFORMULA(
    IF(
      'Final Report'!A1231="""",
      """",
      TEXTJOIN(
        "", "" &amp; CHAR(10),
        TRUE,
        IFERROR(
          VLOOKUP(
            TRIM(
              SPLIT('Final Report'!A1231, "","")
         "&amp;"   ),
            'URL Details'!A:B,
            2,
            FALSE
          ),
          """"
        )
      )
    )
  ),
  1,
  1
)
"),"")</f>
        <v/>
      </c>
      <c r="C1231" s="105" t="str">
        <f>IFERROR(__xludf.DUMMYFUNCTION("IFERROR(IF('Final Report'!A1231="""","""", TEXTJOIN(CHAR(10), TRUE, ARRAYFORMULA( ""• ""&amp; FILTER( TRIM(FLATTEN(SPLIT( REGEXREPLACE( SUBSTITUTE(TEXTJOIN("","", TRUE, IFERROR(ARRAYFORMULA(VLOOKUP(TRIM(SPLIT('Final Report'!A1231, "","")), 'URL Details'!A:D, "&amp;"4, FALSE)),"""") ), CHAR(10), "",""), ""\s*,\s*"", "",""), "",""))), TRIM(FLATTEN(SPLIT( REGEXREPLACE( SUBSTITUTE(TEXTJOIN("","", TRUE, IFERROR(ARRAYFORMULA(VLOOKUP(TRIM(SPLIT('Final Report'!A1231, "","")), 'URL Details'!A:D, 4, FALSE)),"""") ), CHAR(10),"&amp;" "",""), ""\s*,\s*"", "",""), "","")))&lt;&gt;"""" ) ) ) ),"""")
"),"")</f>
        <v/>
      </c>
      <c r="D1231" s="105"/>
      <c r="E1231" s="105"/>
      <c r="F1231" s="110" t="b">
        <v>0</v>
      </c>
      <c r="G1231" s="105" t="str">
        <f>IF(F1231=True, IFERROR(VLOOKUP(D1231, Repository!A:B, 2, 0), ""), "")</f>
        <v/>
      </c>
      <c r="H1231" s="105"/>
      <c r="I1231" s="105"/>
      <c r="J1231" s="105" t="str">
        <f>IF(F1231=True, IFERROR(VLOOKUP(D1231, Repository!A:C, 3, 0), ""), "")</f>
        <v/>
      </c>
      <c r="K1231" s="105"/>
      <c r="L1231" s="105" t="str">
        <f>IF(F1231=True, IFERROR(VLOOKUP(D1231, Repository!A:E, 5, 0), ""), "")</f>
        <v/>
      </c>
      <c r="M1231" s="105"/>
      <c r="N1231" s="105" t="str">
        <f>IF(F1231=True, IFERROR(VLOOKUP(D1231, Repository!A:G, 7, 0), ""), "")</f>
        <v/>
      </c>
      <c r="O1231" s="105" t="str">
        <f>IFERROR(__xludf.DUMMYFUNCTION("ARRAY_CONSTRAIN(
  ARRAYFORMULA(
    IFERROR(
      LET(
        list, N1231,
        arr, TRIM(SPLIT(list, "","")),
        names, XLOOKUP(
          arr,
          'Conformance Score'!A:A,
          'Conformance Score'!B:B,
          ""Not found""
     "&amp;"   ),
        TEXTJOIN("", "", TRUE, names)
      ),
      """"
    )
  ),
  1,
  1
)
"),"")</f>
        <v/>
      </c>
      <c r="P1231" s="105" t="str">
        <f>IF(F1231="Yes", IFERROR(VLOOKUP(D1231, Repository!A:F, 6, 0), ""), "")</f>
        <v/>
      </c>
      <c r="Q1231" s="105" t="str">
        <f>IF(F1231="Yes", IFERROR(VLOOKUP(D1231, Repository!A:I, 8, 0), ""), "")</f>
        <v/>
      </c>
      <c r="R1231" s="105" t="str">
        <f>IF(F1231="Yes", IFERROR(VLOOKUP(D1231, Repository!A:J, 9, 0), ""), "")</f>
        <v/>
      </c>
      <c r="S1231" s="105"/>
      <c r="T1231" s="105"/>
      <c r="U1231" s="105"/>
      <c r="V1231" s="105"/>
      <c r="W1231" s="105"/>
      <c r="X1231" s="105"/>
      <c r="Y1231" s="105"/>
      <c r="Z1231" s="105"/>
      <c r="AA1231" s="105"/>
      <c r="AB1231" s="105"/>
      <c r="AC1231" s="91"/>
      <c r="AD1231" s="105"/>
      <c r="AE1231" s="105"/>
      <c r="AF1231" s="91"/>
      <c r="AG1231" s="105"/>
      <c r="AH1231" s="105"/>
      <c r="AI1231" s="105" t="str">
        <f t="shared" si="1"/>
        <v/>
      </c>
      <c r="AJ1231" s="108" t="str">
        <f t="shared" si="2"/>
        <v/>
      </c>
    </row>
    <row r="1232" ht="15.75" customHeight="1">
      <c r="A1232" s="104"/>
      <c r="B1232" s="105" t="str">
        <f>IFERROR(__xludf.DUMMYFUNCTION("ARRAY_CONSTRAIN(
  ARRAYFORMULA(
    IF(
      'Final Report'!A1232="""",
      """",
      TEXTJOIN(
        "", "" &amp; CHAR(10),
        TRUE,
        IFERROR(
          VLOOKUP(
            TRIM(
              SPLIT('Final Report'!A1232, "","")
         "&amp;"   ),
            'URL Details'!A:B,
            2,
            FALSE
          ),
          """"
        )
      )
    )
  ),
  1,
  1
)
"),"")</f>
        <v/>
      </c>
      <c r="C1232" s="105" t="str">
        <f>IFERROR(__xludf.DUMMYFUNCTION("IFERROR(IF('Final Report'!A1232="""","""", TEXTJOIN(CHAR(10), TRUE, ARRAYFORMULA( ""• ""&amp; FILTER( TRIM(FLATTEN(SPLIT( REGEXREPLACE( SUBSTITUTE(TEXTJOIN("","", TRUE, IFERROR(ARRAYFORMULA(VLOOKUP(TRIM(SPLIT('Final Report'!A1232, "","")), 'URL Details'!A:D, "&amp;"4, FALSE)),"""") ), CHAR(10), "",""), ""\s*,\s*"", "",""), "",""))), TRIM(FLATTEN(SPLIT( REGEXREPLACE( SUBSTITUTE(TEXTJOIN("","", TRUE, IFERROR(ARRAYFORMULA(VLOOKUP(TRIM(SPLIT('Final Report'!A1232, "","")), 'URL Details'!A:D, 4, FALSE)),"""") ), CHAR(10),"&amp;" "",""), ""\s*,\s*"", "",""), "","")))&lt;&gt;"""" ) ) ) ),"""")
"),"")</f>
        <v/>
      </c>
      <c r="D1232" s="105"/>
      <c r="E1232" s="105"/>
      <c r="F1232" s="110" t="b">
        <v>0</v>
      </c>
      <c r="G1232" s="105" t="str">
        <f>IF(F1232=True, IFERROR(VLOOKUP(D1232, Repository!A:B, 2, 0), ""), "")</f>
        <v/>
      </c>
      <c r="H1232" s="105"/>
      <c r="I1232" s="105"/>
      <c r="J1232" s="105" t="str">
        <f>IF(F1232=True, IFERROR(VLOOKUP(D1232, Repository!A:C, 3, 0), ""), "")</f>
        <v/>
      </c>
      <c r="K1232" s="105"/>
      <c r="L1232" s="105" t="str">
        <f>IF(F1232=True, IFERROR(VLOOKUP(D1232, Repository!A:E, 5, 0), ""), "")</f>
        <v/>
      </c>
      <c r="M1232" s="105"/>
      <c r="N1232" s="105" t="str">
        <f>IF(F1232=True, IFERROR(VLOOKUP(D1232, Repository!A:G, 7, 0), ""), "")</f>
        <v/>
      </c>
      <c r="O1232" s="105" t="str">
        <f>IFERROR(__xludf.DUMMYFUNCTION("ARRAY_CONSTRAIN(
  ARRAYFORMULA(
    IFERROR(
      LET(
        list, N1232,
        arr, TRIM(SPLIT(list, "","")),
        names, XLOOKUP(
          arr,
          'Conformance Score'!A:A,
          'Conformance Score'!B:B,
          ""Not found""
     "&amp;"   ),
        TEXTJOIN("", "", TRUE, names)
      ),
      """"
    )
  ),
  1,
  1
)
"),"")</f>
        <v/>
      </c>
      <c r="P1232" s="105" t="str">
        <f>IF(F1232="Yes", IFERROR(VLOOKUP(D1232, Repository!A:F, 6, 0), ""), "")</f>
        <v/>
      </c>
      <c r="Q1232" s="105" t="str">
        <f>IF(F1232="Yes", IFERROR(VLOOKUP(D1232, Repository!A:I, 8, 0), ""), "")</f>
        <v/>
      </c>
      <c r="R1232" s="105" t="str">
        <f>IF(F1232="Yes", IFERROR(VLOOKUP(D1232, Repository!A:J, 9, 0), ""), "")</f>
        <v/>
      </c>
      <c r="S1232" s="105"/>
      <c r="T1232" s="105"/>
      <c r="U1232" s="105"/>
      <c r="V1232" s="105"/>
      <c r="W1232" s="105"/>
      <c r="X1232" s="105"/>
      <c r="Y1232" s="105"/>
      <c r="Z1232" s="105"/>
      <c r="AA1232" s="105"/>
      <c r="AB1232" s="105"/>
      <c r="AC1232" s="91"/>
      <c r="AD1232" s="105"/>
      <c r="AE1232" s="105"/>
      <c r="AF1232" s="91"/>
      <c r="AG1232" s="105"/>
      <c r="AH1232" s="105"/>
      <c r="AI1232" s="105" t="str">
        <f t="shared" si="1"/>
        <v/>
      </c>
      <c r="AJ1232" s="108" t="str">
        <f t="shared" si="2"/>
        <v/>
      </c>
    </row>
    <row r="1233" ht="15.75" customHeight="1">
      <c r="A1233" s="104"/>
      <c r="B1233" s="105" t="str">
        <f>IFERROR(__xludf.DUMMYFUNCTION("ARRAY_CONSTRAIN(
  ARRAYFORMULA(
    IF(
      'Final Report'!A1233="""",
      """",
      TEXTJOIN(
        "", "" &amp; CHAR(10),
        TRUE,
        IFERROR(
          VLOOKUP(
            TRIM(
              SPLIT('Final Report'!A1233, "","")
         "&amp;"   ),
            'URL Details'!A:B,
            2,
            FALSE
          ),
          """"
        )
      )
    )
  ),
  1,
  1
)
"),"")</f>
        <v/>
      </c>
      <c r="C1233" s="105" t="str">
        <f>IFERROR(__xludf.DUMMYFUNCTION("IFERROR(IF('Final Report'!A1233="""","""", TEXTJOIN(CHAR(10), TRUE, ARRAYFORMULA( ""• ""&amp; FILTER( TRIM(FLATTEN(SPLIT( REGEXREPLACE( SUBSTITUTE(TEXTJOIN("","", TRUE, IFERROR(ARRAYFORMULA(VLOOKUP(TRIM(SPLIT('Final Report'!A1233, "","")), 'URL Details'!A:D, "&amp;"4, FALSE)),"""") ), CHAR(10), "",""), ""\s*,\s*"", "",""), "",""))), TRIM(FLATTEN(SPLIT( REGEXREPLACE( SUBSTITUTE(TEXTJOIN("","", TRUE, IFERROR(ARRAYFORMULA(VLOOKUP(TRIM(SPLIT('Final Report'!A1233, "","")), 'URL Details'!A:D, 4, FALSE)),"""") ), CHAR(10),"&amp;" "",""), ""\s*,\s*"", "",""), "","")))&lt;&gt;"""" ) ) ) ),"""")
"),"")</f>
        <v/>
      </c>
      <c r="D1233" s="105"/>
      <c r="E1233" s="105"/>
      <c r="F1233" s="110" t="b">
        <v>0</v>
      </c>
      <c r="G1233" s="105" t="str">
        <f>IF(F1233=True, IFERROR(VLOOKUP(D1233, Repository!A:B, 2, 0), ""), "")</f>
        <v/>
      </c>
      <c r="H1233" s="105"/>
      <c r="I1233" s="105"/>
      <c r="J1233" s="105" t="str">
        <f>IF(F1233=True, IFERROR(VLOOKUP(D1233, Repository!A:C, 3, 0), ""), "")</f>
        <v/>
      </c>
      <c r="K1233" s="105"/>
      <c r="L1233" s="105" t="str">
        <f>IF(F1233=True, IFERROR(VLOOKUP(D1233, Repository!A:E, 5, 0), ""), "")</f>
        <v/>
      </c>
      <c r="M1233" s="105"/>
      <c r="N1233" s="105" t="str">
        <f>IF(F1233=True, IFERROR(VLOOKUP(D1233, Repository!A:G, 7, 0), ""), "")</f>
        <v/>
      </c>
      <c r="O1233" s="105" t="str">
        <f>IFERROR(__xludf.DUMMYFUNCTION("ARRAY_CONSTRAIN(
  ARRAYFORMULA(
    IFERROR(
      LET(
        list, N1233,
        arr, TRIM(SPLIT(list, "","")),
        names, XLOOKUP(
          arr,
          'Conformance Score'!A:A,
          'Conformance Score'!B:B,
          ""Not found""
     "&amp;"   ),
        TEXTJOIN("", "", TRUE, names)
      ),
      """"
    )
  ),
  1,
  1
)
"),"")</f>
        <v/>
      </c>
      <c r="P1233" s="105" t="str">
        <f>IF(F1233="Yes", IFERROR(VLOOKUP(D1233, Repository!A:F, 6, 0), ""), "")</f>
        <v/>
      </c>
      <c r="Q1233" s="105" t="str">
        <f>IF(F1233="Yes", IFERROR(VLOOKUP(D1233, Repository!A:I, 8, 0), ""), "")</f>
        <v/>
      </c>
      <c r="R1233" s="105" t="str">
        <f>IF(F1233="Yes", IFERROR(VLOOKUP(D1233, Repository!A:J, 9, 0), ""), "")</f>
        <v/>
      </c>
      <c r="S1233" s="105"/>
      <c r="T1233" s="105"/>
      <c r="U1233" s="105"/>
      <c r="V1233" s="105"/>
      <c r="W1233" s="105"/>
      <c r="X1233" s="105"/>
      <c r="Y1233" s="105"/>
      <c r="Z1233" s="105"/>
      <c r="AA1233" s="105"/>
      <c r="AB1233" s="105"/>
      <c r="AC1233" s="91"/>
      <c r="AD1233" s="105"/>
      <c r="AE1233" s="105"/>
      <c r="AF1233" s="91"/>
      <c r="AG1233" s="105"/>
      <c r="AH1233" s="105"/>
      <c r="AI1233" s="105" t="str">
        <f t="shared" si="1"/>
        <v/>
      </c>
      <c r="AJ1233" s="108" t="str">
        <f t="shared" si="2"/>
        <v/>
      </c>
    </row>
    <row r="1234" ht="15.75" customHeight="1">
      <c r="A1234" s="104"/>
      <c r="B1234" s="105" t="str">
        <f>IFERROR(__xludf.DUMMYFUNCTION("ARRAY_CONSTRAIN(
  ARRAYFORMULA(
    IF(
      'Final Report'!A1234="""",
      """",
      TEXTJOIN(
        "", "" &amp; CHAR(10),
        TRUE,
        IFERROR(
          VLOOKUP(
            TRIM(
              SPLIT('Final Report'!A1234, "","")
         "&amp;"   ),
            'URL Details'!A:B,
            2,
            FALSE
          ),
          """"
        )
      )
    )
  ),
  1,
  1
)
"),"")</f>
        <v/>
      </c>
      <c r="C1234" s="105" t="str">
        <f>IFERROR(__xludf.DUMMYFUNCTION("IFERROR(IF('Final Report'!A1234="""","""", TEXTJOIN(CHAR(10), TRUE, ARRAYFORMULA( ""• ""&amp; FILTER( TRIM(FLATTEN(SPLIT( REGEXREPLACE( SUBSTITUTE(TEXTJOIN("","", TRUE, IFERROR(ARRAYFORMULA(VLOOKUP(TRIM(SPLIT('Final Report'!A1234, "","")), 'URL Details'!A:D, "&amp;"4, FALSE)),"""") ), CHAR(10), "",""), ""\s*,\s*"", "",""), "",""))), TRIM(FLATTEN(SPLIT( REGEXREPLACE( SUBSTITUTE(TEXTJOIN("","", TRUE, IFERROR(ARRAYFORMULA(VLOOKUP(TRIM(SPLIT('Final Report'!A1234, "","")), 'URL Details'!A:D, 4, FALSE)),"""") ), CHAR(10),"&amp;" "",""), ""\s*,\s*"", "",""), "","")))&lt;&gt;"""" ) ) ) ),"""")
"),"")</f>
        <v/>
      </c>
      <c r="D1234" s="105"/>
      <c r="E1234" s="105"/>
      <c r="F1234" s="110" t="b">
        <v>0</v>
      </c>
      <c r="G1234" s="105" t="str">
        <f>IF(F1234=True, IFERROR(VLOOKUP(D1234, Repository!A:B, 2, 0), ""), "")</f>
        <v/>
      </c>
      <c r="H1234" s="105"/>
      <c r="I1234" s="105"/>
      <c r="J1234" s="105" t="str">
        <f>IF(F1234=True, IFERROR(VLOOKUP(D1234, Repository!A:C, 3, 0), ""), "")</f>
        <v/>
      </c>
      <c r="K1234" s="105"/>
      <c r="L1234" s="105" t="str">
        <f>IF(F1234=True, IFERROR(VLOOKUP(D1234, Repository!A:E, 5, 0), ""), "")</f>
        <v/>
      </c>
      <c r="M1234" s="105"/>
      <c r="N1234" s="105" t="str">
        <f>IF(F1234=True, IFERROR(VLOOKUP(D1234, Repository!A:G, 7, 0), ""), "")</f>
        <v/>
      </c>
      <c r="O1234" s="105" t="str">
        <f>IFERROR(__xludf.DUMMYFUNCTION("ARRAY_CONSTRAIN(
  ARRAYFORMULA(
    IFERROR(
      LET(
        list, N1234,
        arr, TRIM(SPLIT(list, "","")),
        names, XLOOKUP(
          arr,
          'Conformance Score'!A:A,
          'Conformance Score'!B:B,
          ""Not found""
     "&amp;"   ),
        TEXTJOIN("", "", TRUE, names)
      ),
      """"
    )
  ),
  1,
  1
)
"),"")</f>
        <v/>
      </c>
      <c r="P1234" s="105" t="str">
        <f>IF(F1234="Yes", IFERROR(VLOOKUP(D1234, Repository!A:F, 6, 0), ""), "")</f>
        <v/>
      </c>
      <c r="Q1234" s="105" t="str">
        <f>IF(F1234="Yes", IFERROR(VLOOKUP(D1234, Repository!A:I, 8, 0), ""), "")</f>
        <v/>
      </c>
      <c r="R1234" s="105" t="str">
        <f>IF(F1234="Yes", IFERROR(VLOOKUP(D1234, Repository!A:J, 9, 0), ""), "")</f>
        <v/>
      </c>
      <c r="S1234" s="105"/>
      <c r="T1234" s="105"/>
      <c r="U1234" s="105"/>
      <c r="V1234" s="105"/>
      <c r="W1234" s="105"/>
      <c r="X1234" s="105"/>
      <c r="Y1234" s="105"/>
      <c r="Z1234" s="105"/>
      <c r="AA1234" s="105"/>
      <c r="AB1234" s="105"/>
      <c r="AC1234" s="91"/>
      <c r="AD1234" s="105"/>
      <c r="AE1234" s="105"/>
      <c r="AF1234" s="91"/>
      <c r="AG1234" s="105"/>
      <c r="AH1234" s="105"/>
      <c r="AI1234" s="105" t="str">
        <f t="shared" si="1"/>
        <v/>
      </c>
      <c r="AJ1234" s="108" t="str">
        <f t="shared" si="2"/>
        <v/>
      </c>
    </row>
    <row r="1235" ht="15.75" customHeight="1">
      <c r="A1235" s="104"/>
      <c r="B1235" s="105" t="str">
        <f>IFERROR(__xludf.DUMMYFUNCTION("ARRAY_CONSTRAIN(
  ARRAYFORMULA(
    IF(
      'Final Report'!A1235="""",
      """",
      TEXTJOIN(
        "", "" &amp; CHAR(10),
        TRUE,
        IFERROR(
          VLOOKUP(
            TRIM(
              SPLIT('Final Report'!A1235, "","")
         "&amp;"   ),
            'URL Details'!A:B,
            2,
            FALSE
          ),
          """"
        )
      )
    )
  ),
  1,
  1
)
"),"")</f>
        <v/>
      </c>
      <c r="C1235" s="105" t="str">
        <f>IFERROR(__xludf.DUMMYFUNCTION("IFERROR(IF('Final Report'!A1235="""","""", TEXTJOIN(CHAR(10), TRUE, ARRAYFORMULA( ""• ""&amp; FILTER( TRIM(FLATTEN(SPLIT( REGEXREPLACE( SUBSTITUTE(TEXTJOIN("","", TRUE, IFERROR(ARRAYFORMULA(VLOOKUP(TRIM(SPLIT('Final Report'!A1235, "","")), 'URL Details'!A:D, "&amp;"4, FALSE)),"""") ), CHAR(10), "",""), ""\s*,\s*"", "",""), "",""))), TRIM(FLATTEN(SPLIT( REGEXREPLACE( SUBSTITUTE(TEXTJOIN("","", TRUE, IFERROR(ARRAYFORMULA(VLOOKUP(TRIM(SPLIT('Final Report'!A1235, "","")), 'URL Details'!A:D, 4, FALSE)),"""") ), CHAR(10),"&amp;" "",""), ""\s*,\s*"", "",""), "","")))&lt;&gt;"""" ) ) ) ),"""")
"),"")</f>
        <v/>
      </c>
      <c r="D1235" s="105"/>
      <c r="E1235" s="105"/>
      <c r="F1235" s="110" t="b">
        <v>0</v>
      </c>
      <c r="G1235" s="105" t="str">
        <f>IF(F1235=True, IFERROR(VLOOKUP(D1235, Repository!A:B, 2, 0), ""), "")</f>
        <v/>
      </c>
      <c r="H1235" s="105"/>
      <c r="I1235" s="105"/>
      <c r="J1235" s="105" t="str">
        <f>IF(F1235=True, IFERROR(VLOOKUP(D1235, Repository!A:C, 3, 0), ""), "")</f>
        <v/>
      </c>
      <c r="K1235" s="105"/>
      <c r="L1235" s="105" t="str">
        <f>IF(F1235=True, IFERROR(VLOOKUP(D1235, Repository!A:E, 5, 0), ""), "")</f>
        <v/>
      </c>
      <c r="M1235" s="105"/>
      <c r="N1235" s="105" t="str">
        <f>IF(F1235=True, IFERROR(VLOOKUP(D1235, Repository!A:G, 7, 0), ""), "")</f>
        <v/>
      </c>
      <c r="O1235" s="105" t="str">
        <f>IFERROR(__xludf.DUMMYFUNCTION("ARRAY_CONSTRAIN(
  ARRAYFORMULA(
    IFERROR(
      LET(
        list, N1235,
        arr, TRIM(SPLIT(list, "","")),
        names, XLOOKUP(
          arr,
          'Conformance Score'!A:A,
          'Conformance Score'!B:B,
          ""Not found""
     "&amp;"   ),
        TEXTJOIN("", "", TRUE, names)
      ),
      """"
    )
  ),
  1,
  1
)
"),"")</f>
        <v/>
      </c>
      <c r="P1235" s="105" t="str">
        <f>IF(F1235="Yes", IFERROR(VLOOKUP(D1235, Repository!A:F, 6, 0), ""), "")</f>
        <v/>
      </c>
      <c r="Q1235" s="105" t="str">
        <f>IF(F1235="Yes", IFERROR(VLOOKUP(D1235, Repository!A:I, 8, 0), ""), "")</f>
        <v/>
      </c>
      <c r="R1235" s="105" t="str">
        <f>IF(F1235="Yes", IFERROR(VLOOKUP(D1235, Repository!A:J, 9, 0), ""), "")</f>
        <v/>
      </c>
      <c r="S1235" s="105"/>
      <c r="T1235" s="105"/>
      <c r="U1235" s="105"/>
      <c r="V1235" s="105"/>
      <c r="W1235" s="105"/>
      <c r="X1235" s="105"/>
      <c r="Y1235" s="105"/>
      <c r="Z1235" s="105"/>
      <c r="AA1235" s="105"/>
      <c r="AB1235" s="105"/>
      <c r="AC1235" s="91"/>
      <c r="AD1235" s="105"/>
      <c r="AE1235" s="105"/>
      <c r="AF1235" s="91"/>
      <c r="AG1235" s="105"/>
      <c r="AH1235" s="105"/>
      <c r="AI1235" s="105" t="str">
        <f t="shared" si="1"/>
        <v/>
      </c>
      <c r="AJ1235" s="108" t="str">
        <f t="shared" si="2"/>
        <v/>
      </c>
    </row>
    <row r="1236" ht="15.75" customHeight="1">
      <c r="A1236" s="104"/>
      <c r="B1236" s="105" t="str">
        <f>IFERROR(__xludf.DUMMYFUNCTION("ARRAY_CONSTRAIN(
  ARRAYFORMULA(
    IF(
      'Final Report'!A1236="""",
      """",
      TEXTJOIN(
        "", "" &amp; CHAR(10),
        TRUE,
        IFERROR(
          VLOOKUP(
            TRIM(
              SPLIT('Final Report'!A1236, "","")
         "&amp;"   ),
            'URL Details'!A:B,
            2,
            FALSE
          ),
          """"
        )
      )
    )
  ),
  1,
  1
)
"),"")</f>
        <v/>
      </c>
      <c r="C1236" s="105" t="str">
        <f>IFERROR(__xludf.DUMMYFUNCTION("IFERROR(IF('Final Report'!A1236="""","""", TEXTJOIN(CHAR(10), TRUE, ARRAYFORMULA( ""• ""&amp; FILTER( TRIM(FLATTEN(SPLIT( REGEXREPLACE( SUBSTITUTE(TEXTJOIN("","", TRUE, IFERROR(ARRAYFORMULA(VLOOKUP(TRIM(SPLIT('Final Report'!A1236, "","")), 'URL Details'!A:D, "&amp;"4, FALSE)),"""") ), CHAR(10), "",""), ""\s*,\s*"", "",""), "",""))), TRIM(FLATTEN(SPLIT( REGEXREPLACE( SUBSTITUTE(TEXTJOIN("","", TRUE, IFERROR(ARRAYFORMULA(VLOOKUP(TRIM(SPLIT('Final Report'!A1236, "","")), 'URL Details'!A:D, 4, FALSE)),"""") ), CHAR(10),"&amp;" "",""), ""\s*,\s*"", "",""), "","")))&lt;&gt;"""" ) ) ) ),"""")
"),"")</f>
        <v/>
      </c>
      <c r="D1236" s="105"/>
      <c r="E1236" s="105"/>
      <c r="F1236" s="110" t="b">
        <v>0</v>
      </c>
      <c r="G1236" s="105" t="str">
        <f>IF(F1236=True, IFERROR(VLOOKUP(D1236, Repository!A:B, 2, 0), ""), "")</f>
        <v/>
      </c>
      <c r="H1236" s="105"/>
      <c r="I1236" s="105"/>
      <c r="J1236" s="105" t="str">
        <f>IF(F1236=True, IFERROR(VLOOKUP(D1236, Repository!A:C, 3, 0), ""), "")</f>
        <v/>
      </c>
      <c r="K1236" s="105"/>
      <c r="L1236" s="105" t="str">
        <f>IF(F1236=True, IFERROR(VLOOKUP(D1236, Repository!A:E, 5, 0), ""), "")</f>
        <v/>
      </c>
      <c r="M1236" s="105"/>
      <c r="N1236" s="105" t="str">
        <f>IF(F1236=True, IFERROR(VLOOKUP(D1236, Repository!A:G, 7, 0), ""), "")</f>
        <v/>
      </c>
      <c r="O1236" s="105" t="str">
        <f>IFERROR(__xludf.DUMMYFUNCTION("ARRAY_CONSTRAIN(
  ARRAYFORMULA(
    IFERROR(
      LET(
        list, N1236,
        arr, TRIM(SPLIT(list, "","")),
        names, XLOOKUP(
          arr,
          'Conformance Score'!A:A,
          'Conformance Score'!B:B,
          ""Not found""
     "&amp;"   ),
        TEXTJOIN("", "", TRUE, names)
      ),
      """"
    )
  ),
  1,
  1
)
"),"")</f>
        <v/>
      </c>
      <c r="P1236" s="105" t="str">
        <f>IF(F1236="Yes", IFERROR(VLOOKUP(D1236, Repository!A:F, 6, 0), ""), "")</f>
        <v/>
      </c>
      <c r="Q1236" s="105" t="str">
        <f>IF(F1236="Yes", IFERROR(VLOOKUP(D1236, Repository!A:I, 8, 0), ""), "")</f>
        <v/>
      </c>
      <c r="R1236" s="105" t="str">
        <f>IF(F1236="Yes", IFERROR(VLOOKUP(D1236, Repository!A:J, 9, 0), ""), "")</f>
        <v/>
      </c>
      <c r="S1236" s="105"/>
      <c r="T1236" s="105"/>
      <c r="U1236" s="105"/>
      <c r="V1236" s="105"/>
      <c r="W1236" s="105"/>
      <c r="X1236" s="105"/>
      <c r="Y1236" s="105"/>
      <c r="Z1236" s="105"/>
      <c r="AA1236" s="105"/>
      <c r="AB1236" s="105"/>
      <c r="AC1236" s="91"/>
      <c r="AD1236" s="105"/>
      <c r="AE1236" s="105"/>
      <c r="AF1236" s="91"/>
      <c r="AG1236" s="105"/>
      <c r="AH1236" s="105"/>
      <c r="AI1236" s="105" t="str">
        <f t="shared" si="1"/>
        <v/>
      </c>
      <c r="AJ1236" s="108" t="str">
        <f t="shared" si="2"/>
        <v/>
      </c>
    </row>
    <row r="1237" ht="15.75" customHeight="1">
      <c r="A1237" s="104"/>
      <c r="B1237" s="105" t="str">
        <f>IFERROR(__xludf.DUMMYFUNCTION("ARRAY_CONSTRAIN(
  ARRAYFORMULA(
    IF(
      'Final Report'!A1237="""",
      """",
      TEXTJOIN(
        "", "" &amp; CHAR(10),
        TRUE,
        IFERROR(
          VLOOKUP(
            TRIM(
              SPLIT('Final Report'!A1237, "","")
         "&amp;"   ),
            'URL Details'!A:B,
            2,
            FALSE
          ),
          """"
        )
      )
    )
  ),
  1,
  1
)
"),"")</f>
        <v/>
      </c>
      <c r="C1237" s="105" t="str">
        <f>IFERROR(__xludf.DUMMYFUNCTION("IFERROR(IF('Final Report'!A1237="""","""", TEXTJOIN(CHAR(10), TRUE, ARRAYFORMULA( ""• ""&amp; FILTER( TRIM(FLATTEN(SPLIT( REGEXREPLACE( SUBSTITUTE(TEXTJOIN("","", TRUE, IFERROR(ARRAYFORMULA(VLOOKUP(TRIM(SPLIT('Final Report'!A1237, "","")), 'URL Details'!A:D, "&amp;"4, FALSE)),"""") ), CHAR(10), "",""), ""\s*,\s*"", "",""), "",""))), TRIM(FLATTEN(SPLIT( REGEXREPLACE( SUBSTITUTE(TEXTJOIN("","", TRUE, IFERROR(ARRAYFORMULA(VLOOKUP(TRIM(SPLIT('Final Report'!A1237, "","")), 'URL Details'!A:D, 4, FALSE)),"""") ), CHAR(10),"&amp;" "",""), ""\s*,\s*"", "",""), "","")))&lt;&gt;"""" ) ) ) ),"""")
"),"")</f>
        <v/>
      </c>
      <c r="D1237" s="105"/>
      <c r="E1237" s="105"/>
      <c r="F1237" s="110" t="b">
        <v>0</v>
      </c>
      <c r="G1237" s="105" t="str">
        <f>IF(F1237=True, IFERROR(VLOOKUP(D1237, Repository!A:B, 2, 0), ""), "")</f>
        <v/>
      </c>
      <c r="H1237" s="105"/>
      <c r="I1237" s="105"/>
      <c r="J1237" s="105" t="str">
        <f>IF(F1237=True, IFERROR(VLOOKUP(D1237, Repository!A:C, 3, 0), ""), "")</f>
        <v/>
      </c>
      <c r="K1237" s="105"/>
      <c r="L1237" s="105" t="str">
        <f>IF(F1237=True, IFERROR(VLOOKUP(D1237, Repository!A:E, 5, 0), ""), "")</f>
        <v/>
      </c>
      <c r="M1237" s="105"/>
      <c r="N1237" s="105" t="str">
        <f>IF(F1237=True, IFERROR(VLOOKUP(D1237, Repository!A:G, 7, 0), ""), "")</f>
        <v/>
      </c>
      <c r="O1237" s="105" t="str">
        <f>IFERROR(__xludf.DUMMYFUNCTION("ARRAY_CONSTRAIN(
  ARRAYFORMULA(
    IFERROR(
      LET(
        list, N1237,
        arr, TRIM(SPLIT(list, "","")),
        names, XLOOKUP(
          arr,
          'Conformance Score'!A:A,
          'Conformance Score'!B:B,
          ""Not found""
     "&amp;"   ),
        TEXTJOIN("", "", TRUE, names)
      ),
      """"
    )
  ),
  1,
  1
)
"),"")</f>
        <v/>
      </c>
      <c r="P1237" s="105" t="str">
        <f>IF(F1237="Yes", IFERROR(VLOOKUP(D1237, Repository!A:F, 6, 0), ""), "")</f>
        <v/>
      </c>
      <c r="Q1237" s="105" t="str">
        <f>IF(F1237="Yes", IFERROR(VLOOKUP(D1237, Repository!A:I, 8, 0), ""), "")</f>
        <v/>
      </c>
      <c r="R1237" s="105" t="str">
        <f>IF(F1237="Yes", IFERROR(VLOOKUP(D1237, Repository!A:J, 9, 0), ""), "")</f>
        <v/>
      </c>
      <c r="S1237" s="105"/>
      <c r="T1237" s="105"/>
      <c r="U1237" s="105"/>
      <c r="V1237" s="105"/>
      <c r="W1237" s="105"/>
      <c r="X1237" s="105"/>
      <c r="Y1237" s="105"/>
      <c r="Z1237" s="105"/>
      <c r="AA1237" s="105"/>
      <c r="AB1237" s="105"/>
      <c r="AC1237" s="91"/>
      <c r="AD1237" s="105"/>
      <c r="AE1237" s="105"/>
      <c r="AF1237" s="91"/>
      <c r="AG1237" s="105"/>
      <c r="AH1237" s="105"/>
      <c r="AI1237" s="105" t="str">
        <f t="shared" si="1"/>
        <v/>
      </c>
      <c r="AJ1237" s="108" t="str">
        <f t="shared" si="2"/>
        <v/>
      </c>
    </row>
    <row r="1238" ht="15.75" customHeight="1">
      <c r="A1238" s="104"/>
      <c r="B1238" s="105" t="str">
        <f>IFERROR(__xludf.DUMMYFUNCTION("ARRAY_CONSTRAIN(
  ARRAYFORMULA(
    IF(
      'Final Report'!A1238="""",
      """",
      TEXTJOIN(
        "", "" &amp; CHAR(10),
        TRUE,
        IFERROR(
          VLOOKUP(
            TRIM(
              SPLIT('Final Report'!A1238, "","")
         "&amp;"   ),
            'URL Details'!A:B,
            2,
            FALSE
          ),
          """"
        )
      )
    )
  ),
  1,
  1
)
"),"")</f>
        <v/>
      </c>
      <c r="C1238" s="105" t="str">
        <f>IFERROR(__xludf.DUMMYFUNCTION("IFERROR(IF('Final Report'!A1238="""","""", TEXTJOIN(CHAR(10), TRUE, ARRAYFORMULA( ""• ""&amp; FILTER( TRIM(FLATTEN(SPLIT( REGEXREPLACE( SUBSTITUTE(TEXTJOIN("","", TRUE, IFERROR(ARRAYFORMULA(VLOOKUP(TRIM(SPLIT('Final Report'!A1238, "","")), 'URL Details'!A:D, "&amp;"4, FALSE)),"""") ), CHAR(10), "",""), ""\s*,\s*"", "",""), "",""))), TRIM(FLATTEN(SPLIT( REGEXREPLACE( SUBSTITUTE(TEXTJOIN("","", TRUE, IFERROR(ARRAYFORMULA(VLOOKUP(TRIM(SPLIT('Final Report'!A1238, "","")), 'URL Details'!A:D, 4, FALSE)),"""") ), CHAR(10),"&amp;" "",""), ""\s*,\s*"", "",""), "","")))&lt;&gt;"""" ) ) ) ),"""")
"),"")</f>
        <v/>
      </c>
      <c r="D1238" s="105"/>
      <c r="E1238" s="105"/>
      <c r="F1238" s="110" t="b">
        <v>0</v>
      </c>
      <c r="G1238" s="105" t="str">
        <f>IF(F1238=True, IFERROR(VLOOKUP(D1238, Repository!A:B, 2, 0), ""), "")</f>
        <v/>
      </c>
      <c r="H1238" s="105"/>
      <c r="I1238" s="105"/>
      <c r="J1238" s="105" t="str">
        <f>IF(F1238=True, IFERROR(VLOOKUP(D1238, Repository!A:C, 3, 0), ""), "")</f>
        <v/>
      </c>
      <c r="K1238" s="105"/>
      <c r="L1238" s="105" t="str">
        <f>IF(F1238=True, IFERROR(VLOOKUP(D1238, Repository!A:E, 5, 0), ""), "")</f>
        <v/>
      </c>
      <c r="M1238" s="105"/>
      <c r="N1238" s="105" t="str">
        <f>IF(F1238=True, IFERROR(VLOOKUP(D1238, Repository!A:G, 7, 0), ""), "")</f>
        <v/>
      </c>
      <c r="O1238" s="105" t="str">
        <f>IFERROR(__xludf.DUMMYFUNCTION("ARRAY_CONSTRAIN(
  ARRAYFORMULA(
    IFERROR(
      LET(
        list, N1238,
        arr, TRIM(SPLIT(list, "","")),
        names, XLOOKUP(
          arr,
          'Conformance Score'!A:A,
          'Conformance Score'!B:B,
          ""Not found""
     "&amp;"   ),
        TEXTJOIN("", "", TRUE, names)
      ),
      """"
    )
  ),
  1,
  1
)
"),"")</f>
        <v/>
      </c>
      <c r="P1238" s="105" t="str">
        <f>IF(F1238="Yes", IFERROR(VLOOKUP(D1238, Repository!A:F, 6, 0), ""), "")</f>
        <v/>
      </c>
      <c r="Q1238" s="105" t="str">
        <f>IF(F1238="Yes", IFERROR(VLOOKUP(D1238, Repository!A:I, 8, 0), ""), "")</f>
        <v/>
      </c>
      <c r="R1238" s="105" t="str">
        <f>IF(F1238="Yes", IFERROR(VLOOKUP(D1238, Repository!A:J, 9, 0), ""), "")</f>
        <v/>
      </c>
      <c r="S1238" s="105"/>
      <c r="T1238" s="105"/>
      <c r="U1238" s="105"/>
      <c r="V1238" s="105"/>
      <c r="W1238" s="105"/>
      <c r="X1238" s="105"/>
      <c r="Y1238" s="105"/>
      <c r="Z1238" s="105"/>
      <c r="AA1238" s="105"/>
      <c r="AB1238" s="105"/>
      <c r="AC1238" s="91"/>
      <c r="AD1238" s="105"/>
      <c r="AE1238" s="105"/>
      <c r="AF1238" s="91"/>
      <c r="AG1238" s="105"/>
      <c r="AH1238" s="105"/>
      <c r="AI1238" s="105" t="str">
        <f t="shared" si="1"/>
        <v/>
      </c>
      <c r="AJ1238" s="108" t="str">
        <f t="shared" si="2"/>
        <v/>
      </c>
    </row>
    <row r="1239" ht="15.75" customHeight="1">
      <c r="A1239" s="104"/>
      <c r="B1239" s="105" t="str">
        <f>IFERROR(__xludf.DUMMYFUNCTION("ARRAY_CONSTRAIN(
  ARRAYFORMULA(
    IF(
      'Final Report'!A1239="""",
      """",
      TEXTJOIN(
        "", "" &amp; CHAR(10),
        TRUE,
        IFERROR(
          VLOOKUP(
            TRIM(
              SPLIT('Final Report'!A1239, "","")
         "&amp;"   ),
            'URL Details'!A:B,
            2,
            FALSE
          ),
          """"
        )
      )
    )
  ),
  1,
  1
)
"),"")</f>
        <v/>
      </c>
      <c r="C1239" s="105" t="str">
        <f>IFERROR(__xludf.DUMMYFUNCTION("IFERROR(IF('Final Report'!A1239="""","""", TEXTJOIN(CHAR(10), TRUE, ARRAYFORMULA( ""• ""&amp; FILTER( TRIM(FLATTEN(SPLIT( REGEXREPLACE( SUBSTITUTE(TEXTJOIN("","", TRUE, IFERROR(ARRAYFORMULA(VLOOKUP(TRIM(SPLIT('Final Report'!A1239, "","")), 'URL Details'!A:D, "&amp;"4, FALSE)),"""") ), CHAR(10), "",""), ""\s*,\s*"", "",""), "",""))), TRIM(FLATTEN(SPLIT( REGEXREPLACE( SUBSTITUTE(TEXTJOIN("","", TRUE, IFERROR(ARRAYFORMULA(VLOOKUP(TRIM(SPLIT('Final Report'!A1239, "","")), 'URL Details'!A:D, 4, FALSE)),"""") ), CHAR(10),"&amp;" "",""), ""\s*,\s*"", "",""), "","")))&lt;&gt;"""" ) ) ) ),"""")
"),"")</f>
        <v/>
      </c>
      <c r="D1239" s="105"/>
      <c r="E1239" s="105"/>
      <c r="F1239" s="110" t="b">
        <v>0</v>
      </c>
      <c r="G1239" s="105" t="str">
        <f>IF(F1239=True, IFERROR(VLOOKUP(D1239, Repository!A:B, 2, 0), ""), "")</f>
        <v/>
      </c>
      <c r="H1239" s="105"/>
      <c r="I1239" s="105"/>
      <c r="J1239" s="105" t="str">
        <f>IF(F1239=True, IFERROR(VLOOKUP(D1239, Repository!A:C, 3, 0), ""), "")</f>
        <v/>
      </c>
      <c r="K1239" s="105"/>
      <c r="L1239" s="105" t="str">
        <f>IF(F1239=True, IFERROR(VLOOKUP(D1239, Repository!A:E, 5, 0), ""), "")</f>
        <v/>
      </c>
      <c r="M1239" s="105"/>
      <c r="N1239" s="105" t="str">
        <f>IF(F1239=True, IFERROR(VLOOKUP(D1239, Repository!A:G, 7, 0), ""), "")</f>
        <v/>
      </c>
      <c r="O1239" s="105" t="str">
        <f>IFERROR(__xludf.DUMMYFUNCTION("ARRAY_CONSTRAIN(
  ARRAYFORMULA(
    IFERROR(
      LET(
        list, N1239,
        arr, TRIM(SPLIT(list, "","")),
        names, XLOOKUP(
          arr,
          'Conformance Score'!A:A,
          'Conformance Score'!B:B,
          ""Not found""
     "&amp;"   ),
        TEXTJOIN("", "", TRUE, names)
      ),
      """"
    )
  ),
  1,
  1
)
"),"")</f>
        <v/>
      </c>
      <c r="P1239" s="105" t="str">
        <f>IF(F1239="Yes", IFERROR(VLOOKUP(D1239, Repository!A:F, 6, 0), ""), "")</f>
        <v/>
      </c>
      <c r="Q1239" s="105" t="str">
        <f>IF(F1239="Yes", IFERROR(VLOOKUP(D1239, Repository!A:I, 8, 0), ""), "")</f>
        <v/>
      </c>
      <c r="R1239" s="105" t="str">
        <f>IF(F1239="Yes", IFERROR(VLOOKUP(D1239, Repository!A:J, 9, 0), ""), "")</f>
        <v/>
      </c>
      <c r="S1239" s="105"/>
      <c r="T1239" s="105"/>
      <c r="U1239" s="105"/>
      <c r="V1239" s="105"/>
      <c r="W1239" s="105"/>
      <c r="X1239" s="105"/>
      <c r="Y1239" s="105"/>
      <c r="Z1239" s="105"/>
      <c r="AA1239" s="105"/>
      <c r="AB1239" s="105"/>
      <c r="AC1239" s="91"/>
      <c r="AD1239" s="105"/>
      <c r="AE1239" s="105"/>
      <c r="AF1239" s="91"/>
      <c r="AG1239" s="105"/>
      <c r="AH1239" s="105"/>
      <c r="AI1239" s="105" t="str">
        <f t="shared" si="1"/>
        <v/>
      </c>
      <c r="AJ1239" s="108" t="str">
        <f t="shared" si="2"/>
        <v/>
      </c>
    </row>
    <row r="1240" ht="15.75" customHeight="1">
      <c r="A1240" s="104"/>
      <c r="B1240" s="105" t="str">
        <f>IFERROR(__xludf.DUMMYFUNCTION("ARRAY_CONSTRAIN(
  ARRAYFORMULA(
    IF(
      'Final Report'!A1240="""",
      """",
      TEXTJOIN(
        "", "" &amp; CHAR(10),
        TRUE,
        IFERROR(
          VLOOKUP(
            TRIM(
              SPLIT('Final Report'!A1240, "","")
         "&amp;"   ),
            'URL Details'!A:B,
            2,
            FALSE
          ),
          """"
        )
      )
    )
  ),
  1,
  1
)
"),"")</f>
        <v/>
      </c>
      <c r="C1240" s="105" t="str">
        <f>IFERROR(__xludf.DUMMYFUNCTION("IFERROR(IF('Final Report'!A1240="""","""", TEXTJOIN(CHAR(10), TRUE, ARRAYFORMULA( ""• ""&amp; FILTER( TRIM(FLATTEN(SPLIT( REGEXREPLACE( SUBSTITUTE(TEXTJOIN("","", TRUE, IFERROR(ARRAYFORMULA(VLOOKUP(TRIM(SPLIT('Final Report'!A1240, "","")), 'URL Details'!A:D, "&amp;"4, FALSE)),"""") ), CHAR(10), "",""), ""\s*,\s*"", "",""), "",""))), TRIM(FLATTEN(SPLIT( REGEXREPLACE( SUBSTITUTE(TEXTJOIN("","", TRUE, IFERROR(ARRAYFORMULA(VLOOKUP(TRIM(SPLIT('Final Report'!A1240, "","")), 'URL Details'!A:D, 4, FALSE)),"""") ), CHAR(10),"&amp;" "",""), ""\s*,\s*"", "",""), "","")))&lt;&gt;"""" ) ) ) ),"""")
"),"")</f>
        <v/>
      </c>
      <c r="D1240" s="105"/>
      <c r="E1240" s="105"/>
      <c r="F1240" s="110" t="b">
        <v>0</v>
      </c>
      <c r="G1240" s="105" t="str">
        <f>IF(F1240=True, IFERROR(VLOOKUP(D1240, Repository!A:B, 2, 0), ""), "")</f>
        <v/>
      </c>
      <c r="H1240" s="105"/>
      <c r="I1240" s="105"/>
      <c r="J1240" s="105" t="str">
        <f>IF(F1240=True, IFERROR(VLOOKUP(D1240, Repository!A:C, 3, 0), ""), "")</f>
        <v/>
      </c>
      <c r="K1240" s="105"/>
      <c r="L1240" s="105" t="str">
        <f>IF(F1240=True, IFERROR(VLOOKUP(D1240, Repository!A:E, 5, 0), ""), "")</f>
        <v/>
      </c>
      <c r="M1240" s="105"/>
      <c r="N1240" s="105" t="str">
        <f>IF(F1240=True, IFERROR(VLOOKUP(D1240, Repository!A:G, 7, 0), ""), "")</f>
        <v/>
      </c>
      <c r="O1240" s="105" t="str">
        <f>IFERROR(__xludf.DUMMYFUNCTION("ARRAY_CONSTRAIN(
  ARRAYFORMULA(
    IFERROR(
      LET(
        list, N1240,
        arr, TRIM(SPLIT(list, "","")),
        names, XLOOKUP(
          arr,
          'Conformance Score'!A:A,
          'Conformance Score'!B:B,
          ""Not found""
     "&amp;"   ),
        TEXTJOIN("", "", TRUE, names)
      ),
      """"
    )
  ),
  1,
  1
)
"),"")</f>
        <v/>
      </c>
      <c r="P1240" s="105" t="str">
        <f>IF(F1240="Yes", IFERROR(VLOOKUP(D1240, Repository!A:F, 6, 0), ""), "")</f>
        <v/>
      </c>
      <c r="Q1240" s="105" t="str">
        <f>IF(F1240="Yes", IFERROR(VLOOKUP(D1240, Repository!A:I, 8, 0), ""), "")</f>
        <v/>
      </c>
      <c r="R1240" s="105" t="str">
        <f>IF(F1240="Yes", IFERROR(VLOOKUP(D1240, Repository!A:J, 9, 0), ""), "")</f>
        <v/>
      </c>
      <c r="S1240" s="105"/>
      <c r="T1240" s="105"/>
      <c r="U1240" s="105"/>
      <c r="V1240" s="105"/>
      <c r="W1240" s="105"/>
      <c r="X1240" s="105"/>
      <c r="Y1240" s="105"/>
      <c r="Z1240" s="105"/>
      <c r="AA1240" s="105"/>
      <c r="AB1240" s="105"/>
      <c r="AC1240" s="91"/>
      <c r="AD1240" s="105"/>
      <c r="AE1240" s="105"/>
      <c r="AF1240" s="91"/>
      <c r="AG1240" s="105"/>
      <c r="AH1240" s="105"/>
      <c r="AI1240" s="105" t="str">
        <f t="shared" si="1"/>
        <v/>
      </c>
      <c r="AJ1240" s="108" t="str">
        <f t="shared" si="2"/>
        <v/>
      </c>
    </row>
    <row r="1241" ht="15.75" customHeight="1">
      <c r="A1241" s="104"/>
      <c r="B1241" s="105" t="str">
        <f>IFERROR(__xludf.DUMMYFUNCTION("ARRAY_CONSTRAIN(
  ARRAYFORMULA(
    IF(
      'Final Report'!A1241="""",
      """",
      TEXTJOIN(
        "", "" &amp; CHAR(10),
        TRUE,
        IFERROR(
          VLOOKUP(
            TRIM(
              SPLIT('Final Report'!A1241, "","")
         "&amp;"   ),
            'URL Details'!A:B,
            2,
            FALSE
          ),
          """"
        )
      )
    )
  ),
  1,
  1
)
"),"")</f>
        <v/>
      </c>
      <c r="C1241" s="105" t="str">
        <f>IFERROR(__xludf.DUMMYFUNCTION("IFERROR(IF('Final Report'!A1241="""","""", TEXTJOIN(CHAR(10), TRUE, ARRAYFORMULA( ""• ""&amp; FILTER( TRIM(FLATTEN(SPLIT( REGEXREPLACE( SUBSTITUTE(TEXTJOIN("","", TRUE, IFERROR(ARRAYFORMULA(VLOOKUP(TRIM(SPLIT('Final Report'!A1241, "","")), 'URL Details'!A:D, "&amp;"4, FALSE)),"""") ), CHAR(10), "",""), ""\s*,\s*"", "",""), "",""))), TRIM(FLATTEN(SPLIT( REGEXREPLACE( SUBSTITUTE(TEXTJOIN("","", TRUE, IFERROR(ARRAYFORMULA(VLOOKUP(TRIM(SPLIT('Final Report'!A1241, "","")), 'URL Details'!A:D, 4, FALSE)),"""") ), CHAR(10),"&amp;" "",""), ""\s*,\s*"", "",""), "","")))&lt;&gt;"""" ) ) ) ),"""")
"),"")</f>
        <v/>
      </c>
      <c r="D1241" s="105"/>
      <c r="E1241" s="105"/>
      <c r="F1241" s="110" t="b">
        <v>0</v>
      </c>
      <c r="G1241" s="105" t="str">
        <f>IF(F1241=True, IFERROR(VLOOKUP(D1241, Repository!A:B, 2, 0), ""), "")</f>
        <v/>
      </c>
      <c r="H1241" s="105"/>
      <c r="I1241" s="105"/>
      <c r="J1241" s="105" t="str">
        <f>IF(F1241=True, IFERROR(VLOOKUP(D1241, Repository!A:C, 3, 0), ""), "")</f>
        <v/>
      </c>
      <c r="K1241" s="105"/>
      <c r="L1241" s="105" t="str">
        <f>IF(F1241=True, IFERROR(VLOOKUP(D1241, Repository!A:E, 5, 0), ""), "")</f>
        <v/>
      </c>
      <c r="M1241" s="105"/>
      <c r="N1241" s="105" t="str">
        <f>IF(F1241=True, IFERROR(VLOOKUP(D1241, Repository!A:G, 7, 0), ""), "")</f>
        <v/>
      </c>
      <c r="O1241" s="105" t="str">
        <f>IFERROR(__xludf.DUMMYFUNCTION("ARRAY_CONSTRAIN(
  ARRAYFORMULA(
    IFERROR(
      LET(
        list, N1241,
        arr, TRIM(SPLIT(list, "","")),
        names, XLOOKUP(
          arr,
          'Conformance Score'!A:A,
          'Conformance Score'!B:B,
          ""Not found""
     "&amp;"   ),
        TEXTJOIN("", "", TRUE, names)
      ),
      """"
    )
  ),
  1,
  1
)
"),"")</f>
        <v/>
      </c>
      <c r="P1241" s="105" t="str">
        <f>IF(F1241="Yes", IFERROR(VLOOKUP(D1241, Repository!A:F, 6, 0), ""), "")</f>
        <v/>
      </c>
      <c r="Q1241" s="105" t="str">
        <f>IF(F1241="Yes", IFERROR(VLOOKUP(D1241, Repository!A:I, 8, 0), ""), "")</f>
        <v/>
      </c>
      <c r="R1241" s="105" t="str">
        <f>IF(F1241="Yes", IFERROR(VLOOKUP(D1241, Repository!A:J, 9, 0), ""), "")</f>
        <v/>
      </c>
      <c r="S1241" s="105"/>
      <c r="T1241" s="105"/>
      <c r="U1241" s="105"/>
      <c r="V1241" s="105"/>
      <c r="W1241" s="105"/>
      <c r="X1241" s="105"/>
      <c r="Y1241" s="105"/>
      <c r="Z1241" s="105"/>
      <c r="AA1241" s="105"/>
      <c r="AB1241" s="105"/>
      <c r="AC1241" s="91"/>
      <c r="AD1241" s="105"/>
      <c r="AE1241" s="105"/>
      <c r="AF1241" s="91"/>
      <c r="AG1241" s="105"/>
      <c r="AH1241" s="105"/>
      <c r="AI1241" s="105" t="str">
        <f t="shared" si="1"/>
        <v/>
      </c>
      <c r="AJ1241" s="108" t="str">
        <f t="shared" si="2"/>
        <v/>
      </c>
    </row>
    <row r="1242" ht="15.75" customHeight="1">
      <c r="A1242" s="104"/>
      <c r="B1242" s="105" t="str">
        <f>IFERROR(__xludf.DUMMYFUNCTION("ARRAY_CONSTRAIN(
  ARRAYFORMULA(
    IF(
      'Final Report'!A1242="""",
      """",
      TEXTJOIN(
        "", "" &amp; CHAR(10),
        TRUE,
        IFERROR(
          VLOOKUP(
            TRIM(
              SPLIT('Final Report'!A1242, "","")
         "&amp;"   ),
            'URL Details'!A:B,
            2,
            FALSE
          ),
          """"
        )
      )
    )
  ),
  1,
  1
)
"),"")</f>
        <v/>
      </c>
      <c r="C1242" s="105" t="str">
        <f>IFERROR(__xludf.DUMMYFUNCTION("IFERROR(IF('Final Report'!A1242="""","""", TEXTJOIN(CHAR(10), TRUE, ARRAYFORMULA( ""• ""&amp; FILTER( TRIM(FLATTEN(SPLIT( REGEXREPLACE( SUBSTITUTE(TEXTJOIN("","", TRUE, IFERROR(ARRAYFORMULA(VLOOKUP(TRIM(SPLIT('Final Report'!A1242, "","")), 'URL Details'!A:D, "&amp;"4, FALSE)),"""") ), CHAR(10), "",""), ""\s*,\s*"", "",""), "",""))), TRIM(FLATTEN(SPLIT( REGEXREPLACE( SUBSTITUTE(TEXTJOIN("","", TRUE, IFERROR(ARRAYFORMULA(VLOOKUP(TRIM(SPLIT('Final Report'!A1242, "","")), 'URL Details'!A:D, 4, FALSE)),"""") ), CHAR(10),"&amp;" "",""), ""\s*,\s*"", "",""), "","")))&lt;&gt;"""" ) ) ) ),"""")
"),"")</f>
        <v/>
      </c>
      <c r="D1242" s="105"/>
      <c r="E1242" s="105"/>
      <c r="F1242" s="110" t="b">
        <v>0</v>
      </c>
      <c r="G1242" s="105" t="str">
        <f>IF(F1242=True, IFERROR(VLOOKUP(D1242, Repository!A:B, 2, 0), ""), "")</f>
        <v/>
      </c>
      <c r="H1242" s="105"/>
      <c r="I1242" s="105"/>
      <c r="J1242" s="105" t="str">
        <f>IF(F1242=True, IFERROR(VLOOKUP(D1242, Repository!A:C, 3, 0), ""), "")</f>
        <v/>
      </c>
      <c r="K1242" s="105"/>
      <c r="L1242" s="105" t="str">
        <f>IF(F1242=True, IFERROR(VLOOKUP(D1242, Repository!A:E, 5, 0), ""), "")</f>
        <v/>
      </c>
      <c r="M1242" s="105"/>
      <c r="N1242" s="105" t="str">
        <f>IF(F1242=True, IFERROR(VLOOKUP(D1242, Repository!A:G, 7, 0), ""), "")</f>
        <v/>
      </c>
      <c r="O1242" s="105" t="str">
        <f>IFERROR(__xludf.DUMMYFUNCTION("ARRAY_CONSTRAIN(
  ARRAYFORMULA(
    IFERROR(
      LET(
        list, N1242,
        arr, TRIM(SPLIT(list, "","")),
        names, XLOOKUP(
          arr,
          'Conformance Score'!A:A,
          'Conformance Score'!B:B,
          ""Not found""
     "&amp;"   ),
        TEXTJOIN("", "", TRUE, names)
      ),
      """"
    )
  ),
  1,
  1
)
"),"")</f>
        <v/>
      </c>
      <c r="P1242" s="105" t="str">
        <f>IF(F1242="Yes", IFERROR(VLOOKUP(D1242, Repository!A:F, 6, 0), ""), "")</f>
        <v/>
      </c>
      <c r="Q1242" s="105" t="str">
        <f>IF(F1242="Yes", IFERROR(VLOOKUP(D1242, Repository!A:I, 8, 0), ""), "")</f>
        <v/>
      </c>
      <c r="R1242" s="105" t="str">
        <f>IF(F1242="Yes", IFERROR(VLOOKUP(D1242, Repository!A:J, 9, 0), ""), "")</f>
        <v/>
      </c>
      <c r="S1242" s="105"/>
      <c r="T1242" s="105"/>
      <c r="U1242" s="105"/>
      <c r="V1242" s="105"/>
      <c r="W1242" s="105"/>
      <c r="X1242" s="105"/>
      <c r="Y1242" s="105"/>
      <c r="Z1242" s="105"/>
      <c r="AA1242" s="105"/>
      <c r="AB1242" s="105"/>
      <c r="AC1242" s="91"/>
      <c r="AD1242" s="105"/>
      <c r="AE1242" s="105"/>
      <c r="AF1242" s="91"/>
      <c r="AG1242" s="105"/>
      <c r="AH1242" s="105"/>
      <c r="AI1242" s="105" t="str">
        <f t="shared" si="1"/>
        <v/>
      </c>
      <c r="AJ1242" s="108" t="str">
        <f t="shared" si="2"/>
        <v/>
      </c>
    </row>
    <row r="1243" ht="15.75" customHeight="1">
      <c r="A1243" s="104"/>
      <c r="B1243" s="105" t="str">
        <f>IFERROR(__xludf.DUMMYFUNCTION("ARRAY_CONSTRAIN(
  ARRAYFORMULA(
    IF(
      'Final Report'!A1243="""",
      """",
      TEXTJOIN(
        "", "" &amp; CHAR(10),
        TRUE,
        IFERROR(
          VLOOKUP(
            TRIM(
              SPLIT('Final Report'!A1243, "","")
         "&amp;"   ),
            'URL Details'!A:B,
            2,
            FALSE
          ),
          """"
        )
      )
    )
  ),
  1,
  1
)
"),"")</f>
        <v/>
      </c>
      <c r="C1243" s="105" t="str">
        <f>IFERROR(__xludf.DUMMYFUNCTION("IFERROR(IF('Final Report'!A1243="""","""", TEXTJOIN(CHAR(10), TRUE, ARRAYFORMULA( ""• ""&amp; FILTER( TRIM(FLATTEN(SPLIT( REGEXREPLACE( SUBSTITUTE(TEXTJOIN("","", TRUE, IFERROR(ARRAYFORMULA(VLOOKUP(TRIM(SPLIT('Final Report'!A1243, "","")), 'URL Details'!A:D, "&amp;"4, FALSE)),"""") ), CHAR(10), "",""), ""\s*,\s*"", "",""), "",""))), TRIM(FLATTEN(SPLIT( REGEXREPLACE( SUBSTITUTE(TEXTJOIN("","", TRUE, IFERROR(ARRAYFORMULA(VLOOKUP(TRIM(SPLIT('Final Report'!A1243, "","")), 'URL Details'!A:D, 4, FALSE)),"""") ), CHAR(10),"&amp;" "",""), ""\s*,\s*"", "",""), "","")))&lt;&gt;"""" ) ) ) ),"""")
"),"")</f>
        <v/>
      </c>
      <c r="D1243" s="105"/>
      <c r="E1243" s="105"/>
      <c r="F1243" s="110" t="b">
        <v>0</v>
      </c>
      <c r="G1243" s="105" t="str">
        <f>IF(F1243=True, IFERROR(VLOOKUP(D1243, Repository!A:B, 2, 0), ""), "")</f>
        <v/>
      </c>
      <c r="H1243" s="105"/>
      <c r="I1243" s="105"/>
      <c r="J1243" s="105" t="str">
        <f>IF(F1243=True, IFERROR(VLOOKUP(D1243, Repository!A:C, 3, 0), ""), "")</f>
        <v/>
      </c>
      <c r="K1243" s="105"/>
      <c r="L1243" s="105" t="str">
        <f>IF(F1243=True, IFERROR(VLOOKUP(D1243, Repository!A:E, 5, 0), ""), "")</f>
        <v/>
      </c>
      <c r="M1243" s="105"/>
      <c r="N1243" s="105" t="str">
        <f>IF(F1243=True, IFERROR(VLOOKUP(D1243, Repository!A:G, 7, 0), ""), "")</f>
        <v/>
      </c>
      <c r="O1243" s="105" t="str">
        <f>IFERROR(__xludf.DUMMYFUNCTION("ARRAY_CONSTRAIN(
  ARRAYFORMULA(
    IFERROR(
      LET(
        list, N1243,
        arr, TRIM(SPLIT(list, "","")),
        names, XLOOKUP(
          arr,
          'Conformance Score'!A:A,
          'Conformance Score'!B:B,
          ""Not found""
     "&amp;"   ),
        TEXTJOIN("", "", TRUE, names)
      ),
      """"
    )
  ),
  1,
  1
)
"),"")</f>
        <v/>
      </c>
      <c r="P1243" s="105" t="str">
        <f>IF(F1243="Yes", IFERROR(VLOOKUP(D1243, Repository!A:F, 6, 0), ""), "")</f>
        <v/>
      </c>
      <c r="Q1243" s="105" t="str">
        <f>IF(F1243="Yes", IFERROR(VLOOKUP(D1243, Repository!A:I, 8, 0), ""), "")</f>
        <v/>
      </c>
      <c r="R1243" s="105" t="str">
        <f>IF(F1243="Yes", IFERROR(VLOOKUP(D1243, Repository!A:J, 9, 0), ""), "")</f>
        <v/>
      </c>
      <c r="S1243" s="105"/>
      <c r="T1243" s="105"/>
      <c r="U1243" s="105"/>
      <c r="V1243" s="105"/>
      <c r="W1243" s="105"/>
      <c r="X1243" s="105"/>
      <c r="Y1243" s="105"/>
      <c r="Z1243" s="105"/>
      <c r="AA1243" s="105"/>
      <c r="AB1243" s="105"/>
      <c r="AC1243" s="91"/>
      <c r="AD1243" s="105"/>
      <c r="AE1243" s="105"/>
      <c r="AF1243" s="91"/>
      <c r="AG1243" s="105"/>
      <c r="AH1243" s="105"/>
      <c r="AI1243" s="105" t="str">
        <f t="shared" si="1"/>
        <v/>
      </c>
      <c r="AJ1243" s="108" t="str">
        <f t="shared" si="2"/>
        <v/>
      </c>
    </row>
    <row r="1244" ht="15.75" customHeight="1">
      <c r="A1244" s="104"/>
      <c r="B1244" s="105" t="str">
        <f>IFERROR(__xludf.DUMMYFUNCTION("ARRAY_CONSTRAIN(
  ARRAYFORMULA(
    IF(
      'Final Report'!A1244="""",
      """",
      TEXTJOIN(
        "", "" &amp; CHAR(10),
        TRUE,
        IFERROR(
          VLOOKUP(
            TRIM(
              SPLIT('Final Report'!A1244, "","")
         "&amp;"   ),
            'URL Details'!A:B,
            2,
            FALSE
          ),
          """"
        )
      )
    )
  ),
  1,
  1
)
"),"")</f>
        <v/>
      </c>
      <c r="C1244" s="105" t="str">
        <f>IFERROR(__xludf.DUMMYFUNCTION("IFERROR(IF('Final Report'!A1244="""","""", TEXTJOIN(CHAR(10), TRUE, ARRAYFORMULA( ""• ""&amp; FILTER( TRIM(FLATTEN(SPLIT( REGEXREPLACE( SUBSTITUTE(TEXTJOIN("","", TRUE, IFERROR(ARRAYFORMULA(VLOOKUP(TRIM(SPLIT('Final Report'!A1244, "","")), 'URL Details'!A:D, "&amp;"4, FALSE)),"""") ), CHAR(10), "",""), ""\s*,\s*"", "",""), "",""))), TRIM(FLATTEN(SPLIT( REGEXREPLACE( SUBSTITUTE(TEXTJOIN("","", TRUE, IFERROR(ARRAYFORMULA(VLOOKUP(TRIM(SPLIT('Final Report'!A1244, "","")), 'URL Details'!A:D, 4, FALSE)),"""") ), CHAR(10),"&amp;" "",""), ""\s*,\s*"", "",""), "","")))&lt;&gt;"""" ) ) ) ),"""")
"),"")</f>
        <v/>
      </c>
      <c r="D1244" s="105"/>
      <c r="E1244" s="105"/>
      <c r="F1244" s="110" t="b">
        <v>0</v>
      </c>
      <c r="G1244" s="105" t="str">
        <f>IF(F1244=True, IFERROR(VLOOKUP(D1244, Repository!A:B, 2, 0), ""), "")</f>
        <v/>
      </c>
      <c r="H1244" s="105"/>
      <c r="I1244" s="105"/>
      <c r="J1244" s="105" t="str">
        <f>IF(F1244=True, IFERROR(VLOOKUP(D1244, Repository!A:C, 3, 0), ""), "")</f>
        <v/>
      </c>
      <c r="K1244" s="105"/>
      <c r="L1244" s="105" t="str">
        <f>IF(F1244=True, IFERROR(VLOOKUP(D1244, Repository!A:E, 5, 0), ""), "")</f>
        <v/>
      </c>
      <c r="M1244" s="105"/>
      <c r="N1244" s="105" t="str">
        <f>IF(F1244=True, IFERROR(VLOOKUP(D1244, Repository!A:G, 7, 0), ""), "")</f>
        <v/>
      </c>
      <c r="O1244" s="105" t="str">
        <f>IFERROR(__xludf.DUMMYFUNCTION("ARRAY_CONSTRAIN(
  ARRAYFORMULA(
    IFERROR(
      LET(
        list, N1244,
        arr, TRIM(SPLIT(list, "","")),
        names, XLOOKUP(
          arr,
          'Conformance Score'!A:A,
          'Conformance Score'!B:B,
          ""Not found""
     "&amp;"   ),
        TEXTJOIN("", "", TRUE, names)
      ),
      """"
    )
  ),
  1,
  1
)
"),"")</f>
        <v/>
      </c>
      <c r="P1244" s="105" t="str">
        <f>IF(F1244="Yes", IFERROR(VLOOKUP(D1244, Repository!A:F, 6, 0), ""), "")</f>
        <v/>
      </c>
      <c r="Q1244" s="105" t="str">
        <f>IF(F1244="Yes", IFERROR(VLOOKUP(D1244, Repository!A:I, 8, 0), ""), "")</f>
        <v/>
      </c>
      <c r="R1244" s="105" t="str">
        <f>IF(F1244="Yes", IFERROR(VLOOKUP(D1244, Repository!A:J, 9, 0), ""), "")</f>
        <v/>
      </c>
      <c r="S1244" s="105"/>
      <c r="T1244" s="105"/>
      <c r="U1244" s="105"/>
      <c r="V1244" s="105"/>
      <c r="W1244" s="105"/>
      <c r="X1244" s="105"/>
      <c r="Y1244" s="105"/>
      <c r="Z1244" s="105"/>
      <c r="AA1244" s="105"/>
      <c r="AB1244" s="105"/>
      <c r="AC1244" s="91"/>
      <c r="AD1244" s="105"/>
      <c r="AE1244" s="105"/>
      <c r="AF1244" s="91"/>
      <c r="AG1244" s="105"/>
      <c r="AH1244" s="105"/>
      <c r="AI1244" s="105" t="str">
        <f t="shared" si="1"/>
        <v/>
      </c>
      <c r="AJ1244" s="108" t="str">
        <f t="shared" si="2"/>
        <v/>
      </c>
    </row>
    <row r="1245" ht="15.75" customHeight="1">
      <c r="A1245" s="104"/>
      <c r="B1245" s="105" t="str">
        <f>IFERROR(__xludf.DUMMYFUNCTION("ARRAY_CONSTRAIN(
  ARRAYFORMULA(
    IF(
      'Final Report'!A1245="""",
      """",
      TEXTJOIN(
        "", "" &amp; CHAR(10),
        TRUE,
        IFERROR(
          VLOOKUP(
            TRIM(
              SPLIT('Final Report'!A1245, "","")
         "&amp;"   ),
            'URL Details'!A:B,
            2,
            FALSE
          ),
          """"
        )
      )
    )
  ),
  1,
  1
)
"),"")</f>
        <v/>
      </c>
      <c r="C1245" s="105" t="str">
        <f>IFERROR(__xludf.DUMMYFUNCTION("IFERROR(IF('Final Report'!A1245="""","""", TEXTJOIN(CHAR(10), TRUE, ARRAYFORMULA( ""• ""&amp; FILTER( TRIM(FLATTEN(SPLIT( REGEXREPLACE( SUBSTITUTE(TEXTJOIN("","", TRUE, IFERROR(ARRAYFORMULA(VLOOKUP(TRIM(SPLIT('Final Report'!A1245, "","")), 'URL Details'!A:D, "&amp;"4, FALSE)),"""") ), CHAR(10), "",""), ""\s*,\s*"", "",""), "",""))), TRIM(FLATTEN(SPLIT( REGEXREPLACE( SUBSTITUTE(TEXTJOIN("","", TRUE, IFERROR(ARRAYFORMULA(VLOOKUP(TRIM(SPLIT('Final Report'!A1245, "","")), 'URL Details'!A:D, 4, FALSE)),"""") ), CHAR(10),"&amp;" "",""), ""\s*,\s*"", "",""), "","")))&lt;&gt;"""" ) ) ) ),"""")
"),"")</f>
        <v/>
      </c>
      <c r="D1245" s="105"/>
      <c r="E1245" s="105"/>
      <c r="F1245" s="110" t="b">
        <v>0</v>
      </c>
      <c r="G1245" s="105" t="str">
        <f>IF(F1245=True, IFERROR(VLOOKUP(D1245, Repository!A:B, 2, 0), ""), "")</f>
        <v/>
      </c>
      <c r="H1245" s="105"/>
      <c r="I1245" s="105"/>
      <c r="J1245" s="105" t="str">
        <f>IF(F1245=True, IFERROR(VLOOKUP(D1245, Repository!A:C, 3, 0), ""), "")</f>
        <v/>
      </c>
      <c r="K1245" s="105"/>
      <c r="L1245" s="105" t="str">
        <f>IF(F1245=True, IFERROR(VLOOKUP(D1245, Repository!A:E, 5, 0), ""), "")</f>
        <v/>
      </c>
      <c r="M1245" s="105"/>
      <c r="N1245" s="105" t="str">
        <f>IF(F1245=True, IFERROR(VLOOKUP(D1245, Repository!A:G, 7, 0), ""), "")</f>
        <v/>
      </c>
      <c r="O1245" s="105" t="str">
        <f>IFERROR(__xludf.DUMMYFUNCTION("ARRAY_CONSTRAIN(
  ARRAYFORMULA(
    IFERROR(
      LET(
        list, N1245,
        arr, TRIM(SPLIT(list, "","")),
        names, XLOOKUP(
          arr,
          'Conformance Score'!A:A,
          'Conformance Score'!B:B,
          ""Not found""
     "&amp;"   ),
        TEXTJOIN("", "", TRUE, names)
      ),
      """"
    )
  ),
  1,
  1
)
"),"")</f>
        <v/>
      </c>
      <c r="P1245" s="105" t="str">
        <f>IF(F1245="Yes", IFERROR(VLOOKUP(D1245, Repository!A:F, 6, 0), ""), "")</f>
        <v/>
      </c>
      <c r="Q1245" s="105" t="str">
        <f>IF(F1245="Yes", IFERROR(VLOOKUP(D1245, Repository!A:I, 8, 0), ""), "")</f>
        <v/>
      </c>
      <c r="R1245" s="105" t="str">
        <f>IF(F1245="Yes", IFERROR(VLOOKUP(D1245, Repository!A:J, 9, 0), ""), "")</f>
        <v/>
      </c>
      <c r="S1245" s="105"/>
      <c r="T1245" s="105"/>
      <c r="U1245" s="105"/>
      <c r="V1245" s="105"/>
      <c r="W1245" s="105"/>
      <c r="X1245" s="105"/>
      <c r="Y1245" s="105"/>
      <c r="Z1245" s="105"/>
      <c r="AA1245" s="105"/>
      <c r="AB1245" s="105"/>
      <c r="AC1245" s="91"/>
      <c r="AD1245" s="105"/>
      <c r="AE1245" s="105"/>
      <c r="AF1245" s="91"/>
      <c r="AG1245" s="105"/>
      <c r="AH1245" s="105"/>
      <c r="AI1245" s="105" t="str">
        <f t="shared" si="1"/>
        <v/>
      </c>
      <c r="AJ1245" s="108" t="str">
        <f t="shared" si="2"/>
        <v/>
      </c>
    </row>
    <row r="1246" ht="15.75" customHeight="1">
      <c r="A1246" s="104"/>
      <c r="B1246" s="105" t="str">
        <f>IFERROR(__xludf.DUMMYFUNCTION("ARRAY_CONSTRAIN(
  ARRAYFORMULA(
    IF(
      'Final Report'!A1246="""",
      """",
      TEXTJOIN(
        "", "" &amp; CHAR(10),
        TRUE,
        IFERROR(
          VLOOKUP(
            TRIM(
              SPLIT('Final Report'!A1246, "","")
         "&amp;"   ),
            'URL Details'!A:B,
            2,
            FALSE
          ),
          """"
        )
      )
    )
  ),
  1,
  1
)
"),"")</f>
        <v/>
      </c>
      <c r="C1246" s="105" t="str">
        <f>IFERROR(__xludf.DUMMYFUNCTION("IFERROR(IF('Final Report'!A1246="""","""", TEXTJOIN(CHAR(10), TRUE, ARRAYFORMULA( ""• ""&amp; FILTER( TRIM(FLATTEN(SPLIT( REGEXREPLACE( SUBSTITUTE(TEXTJOIN("","", TRUE, IFERROR(ARRAYFORMULA(VLOOKUP(TRIM(SPLIT('Final Report'!A1246, "","")), 'URL Details'!A:D, "&amp;"4, FALSE)),"""") ), CHAR(10), "",""), ""\s*,\s*"", "",""), "",""))), TRIM(FLATTEN(SPLIT( REGEXREPLACE( SUBSTITUTE(TEXTJOIN("","", TRUE, IFERROR(ARRAYFORMULA(VLOOKUP(TRIM(SPLIT('Final Report'!A1246, "","")), 'URL Details'!A:D, 4, FALSE)),"""") ), CHAR(10),"&amp;" "",""), ""\s*,\s*"", "",""), "","")))&lt;&gt;"""" ) ) ) ),"""")
"),"")</f>
        <v/>
      </c>
      <c r="D1246" s="105"/>
      <c r="E1246" s="105"/>
      <c r="F1246" s="110" t="b">
        <v>0</v>
      </c>
      <c r="G1246" s="105" t="str">
        <f>IF(F1246=True, IFERROR(VLOOKUP(D1246, Repository!A:B, 2, 0), ""), "")</f>
        <v/>
      </c>
      <c r="H1246" s="105"/>
      <c r="I1246" s="105"/>
      <c r="J1246" s="105" t="str">
        <f>IF(F1246=True, IFERROR(VLOOKUP(D1246, Repository!A:C, 3, 0), ""), "")</f>
        <v/>
      </c>
      <c r="K1246" s="105"/>
      <c r="L1246" s="105" t="str">
        <f>IF(F1246=True, IFERROR(VLOOKUP(D1246, Repository!A:E, 5, 0), ""), "")</f>
        <v/>
      </c>
      <c r="M1246" s="105"/>
      <c r="N1246" s="105" t="str">
        <f>IF(F1246=True, IFERROR(VLOOKUP(D1246, Repository!A:G, 7, 0), ""), "")</f>
        <v/>
      </c>
      <c r="O1246" s="105" t="str">
        <f>IFERROR(__xludf.DUMMYFUNCTION("ARRAY_CONSTRAIN(
  ARRAYFORMULA(
    IFERROR(
      LET(
        list, N1246,
        arr, TRIM(SPLIT(list, "","")),
        names, XLOOKUP(
          arr,
          'Conformance Score'!A:A,
          'Conformance Score'!B:B,
          ""Not found""
     "&amp;"   ),
        TEXTJOIN("", "", TRUE, names)
      ),
      """"
    )
  ),
  1,
  1
)
"),"")</f>
        <v/>
      </c>
      <c r="P1246" s="105" t="str">
        <f>IF(F1246="Yes", IFERROR(VLOOKUP(D1246, Repository!A:F, 6, 0), ""), "")</f>
        <v/>
      </c>
      <c r="Q1246" s="105" t="str">
        <f>IF(F1246="Yes", IFERROR(VLOOKUP(D1246, Repository!A:I, 8, 0), ""), "")</f>
        <v/>
      </c>
      <c r="R1246" s="105" t="str">
        <f>IF(F1246="Yes", IFERROR(VLOOKUP(D1246, Repository!A:J, 9, 0), ""), "")</f>
        <v/>
      </c>
      <c r="S1246" s="105"/>
      <c r="T1246" s="105"/>
      <c r="U1246" s="105"/>
      <c r="V1246" s="105"/>
      <c r="W1246" s="105"/>
      <c r="X1246" s="105"/>
      <c r="Y1246" s="105"/>
      <c r="Z1246" s="105"/>
      <c r="AA1246" s="105"/>
      <c r="AB1246" s="105"/>
      <c r="AC1246" s="91"/>
      <c r="AD1246" s="105"/>
      <c r="AE1246" s="105"/>
      <c r="AF1246" s="91"/>
      <c r="AG1246" s="105"/>
      <c r="AH1246" s="105"/>
      <c r="AI1246" s="105" t="str">
        <f t="shared" si="1"/>
        <v/>
      </c>
      <c r="AJ1246" s="108" t="str">
        <f t="shared" si="2"/>
        <v/>
      </c>
    </row>
    <row r="1247" ht="15.75" customHeight="1">
      <c r="A1247" s="104"/>
      <c r="B1247" s="105" t="str">
        <f>IFERROR(__xludf.DUMMYFUNCTION("ARRAY_CONSTRAIN(
  ARRAYFORMULA(
    IF(
      'Final Report'!A1247="""",
      """",
      TEXTJOIN(
        "", "" &amp; CHAR(10),
        TRUE,
        IFERROR(
          VLOOKUP(
            TRIM(
              SPLIT('Final Report'!A1247, "","")
         "&amp;"   ),
            'URL Details'!A:B,
            2,
            FALSE
          ),
          """"
        )
      )
    )
  ),
  1,
  1
)
"),"")</f>
        <v/>
      </c>
      <c r="C1247" s="105" t="str">
        <f>IFERROR(__xludf.DUMMYFUNCTION("IFERROR(IF('Final Report'!A1247="""","""", TEXTJOIN(CHAR(10), TRUE, ARRAYFORMULA( ""• ""&amp; FILTER( TRIM(FLATTEN(SPLIT( REGEXREPLACE( SUBSTITUTE(TEXTJOIN("","", TRUE, IFERROR(ARRAYFORMULA(VLOOKUP(TRIM(SPLIT('Final Report'!A1247, "","")), 'URL Details'!A:D, "&amp;"4, FALSE)),"""") ), CHAR(10), "",""), ""\s*,\s*"", "",""), "",""))), TRIM(FLATTEN(SPLIT( REGEXREPLACE( SUBSTITUTE(TEXTJOIN("","", TRUE, IFERROR(ARRAYFORMULA(VLOOKUP(TRIM(SPLIT('Final Report'!A1247, "","")), 'URL Details'!A:D, 4, FALSE)),"""") ), CHAR(10),"&amp;" "",""), ""\s*,\s*"", "",""), "","")))&lt;&gt;"""" ) ) ) ),"""")
"),"")</f>
        <v/>
      </c>
      <c r="D1247" s="105"/>
      <c r="E1247" s="105"/>
      <c r="F1247" s="110" t="b">
        <v>0</v>
      </c>
      <c r="G1247" s="105" t="str">
        <f>IF(F1247=True, IFERROR(VLOOKUP(D1247, Repository!A:B, 2, 0), ""), "")</f>
        <v/>
      </c>
      <c r="H1247" s="105"/>
      <c r="I1247" s="105"/>
      <c r="J1247" s="105" t="str">
        <f>IF(F1247=True, IFERROR(VLOOKUP(D1247, Repository!A:C, 3, 0), ""), "")</f>
        <v/>
      </c>
      <c r="K1247" s="105"/>
      <c r="L1247" s="105" t="str">
        <f>IF(F1247=True, IFERROR(VLOOKUP(D1247, Repository!A:E, 5, 0), ""), "")</f>
        <v/>
      </c>
      <c r="M1247" s="105"/>
      <c r="N1247" s="105" t="str">
        <f>IF(F1247=True, IFERROR(VLOOKUP(D1247, Repository!A:G, 7, 0), ""), "")</f>
        <v/>
      </c>
      <c r="O1247" s="105" t="str">
        <f>IFERROR(__xludf.DUMMYFUNCTION("ARRAY_CONSTRAIN(
  ARRAYFORMULA(
    IFERROR(
      LET(
        list, N1247,
        arr, TRIM(SPLIT(list, "","")),
        names, XLOOKUP(
          arr,
          'Conformance Score'!A:A,
          'Conformance Score'!B:B,
          ""Not found""
     "&amp;"   ),
        TEXTJOIN("", "", TRUE, names)
      ),
      """"
    )
  ),
  1,
  1
)
"),"")</f>
        <v/>
      </c>
      <c r="P1247" s="105" t="str">
        <f>IF(F1247="Yes", IFERROR(VLOOKUP(D1247, Repository!A:F, 6, 0), ""), "")</f>
        <v/>
      </c>
      <c r="Q1247" s="105" t="str">
        <f>IF(F1247="Yes", IFERROR(VLOOKUP(D1247, Repository!A:I, 8, 0), ""), "")</f>
        <v/>
      </c>
      <c r="R1247" s="105" t="str">
        <f>IF(F1247="Yes", IFERROR(VLOOKUP(D1247, Repository!A:J, 9, 0), ""), "")</f>
        <v/>
      </c>
      <c r="S1247" s="105"/>
      <c r="T1247" s="105"/>
      <c r="U1247" s="105"/>
      <c r="V1247" s="105"/>
      <c r="W1247" s="105"/>
      <c r="X1247" s="105"/>
      <c r="Y1247" s="105"/>
      <c r="Z1247" s="105"/>
      <c r="AA1247" s="105"/>
      <c r="AB1247" s="105"/>
      <c r="AC1247" s="91"/>
      <c r="AD1247" s="105"/>
      <c r="AE1247" s="105"/>
      <c r="AF1247" s="91"/>
      <c r="AG1247" s="105"/>
      <c r="AH1247" s="105"/>
      <c r="AI1247" s="105" t="str">
        <f t="shared" si="1"/>
        <v/>
      </c>
      <c r="AJ1247" s="108" t="str">
        <f t="shared" si="2"/>
        <v/>
      </c>
    </row>
    <row r="1248" ht="15.75" customHeight="1">
      <c r="A1248" s="104"/>
      <c r="B1248" s="105" t="str">
        <f>IFERROR(__xludf.DUMMYFUNCTION("ARRAY_CONSTRAIN(
  ARRAYFORMULA(
    IF(
      'Final Report'!A1248="""",
      """",
      TEXTJOIN(
        "", "" &amp; CHAR(10),
        TRUE,
        IFERROR(
          VLOOKUP(
            TRIM(
              SPLIT('Final Report'!A1248, "","")
         "&amp;"   ),
            'URL Details'!A:B,
            2,
            FALSE
          ),
          """"
        )
      )
    )
  ),
  1,
  1
)
"),"")</f>
        <v/>
      </c>
      <c r="C1248" s="105" t="str">
        <f>IFERROR(__xludf.DUMMYFUNCTION("IFERROR(IF('Final Report'!A1248="""","""", TEXTJOIN(CHAR(10), TRUE, ARRAYFORMULA( ""• ""&amp; FILTER( TRIM(FLATTEN(SPLIT( REGEXREPLACE( SUBSTITUTE(TEXTJOIN("","", TRUE, IFERROR(ARRAYFORMULA(VLOOKUP(TRIM(SPLIT('Final Report'!A1248, "","")), 'URL Details'!A:D, "&amp;"4, FALSE)),"""") ), CHAR(10), "",""), ""\s*,\s*"", "",""), "",""))), TRIM(FLATTEN(SPLIT( REGEXREPLACE( SUBSTITUTE(TEXTJOIN("","", TRUE, IFERROR(ARRAYFORMULA(VLOOKUP(TRIM(SPLIT('Final Report'!A1248, "","")), 'URL Details'!A:D, 4, FALSE)),"""") ), CHAR(10),"&amp;" "",""), ""\s*,\s*"", "",""), "","")))&lt;&gt;"""" ) ) ) ),"""")
"),"")</f>
        <v/>
      </c>
      <c r="D1248" s="105"/>
      <c r="E1248" s="105"/>
      <c r="F1248" s="110" t="b">
        <v>0</v>
      </c>
      <c r="G1248" s="105" t="str">
        <f>IF(F1248=True, IFERROR(VLOOKUP(D1248, Repository!A:B, 2, 0), ""), "")</f>
        <v/>
      </c>
      <c r="H1248" s="105"/>
      <c r="I1248" s="105"/>
      <c r="J1248" s="105" t="str">
        <f>IF(F1248=True, IFERROR(VLOOKUP(D1248, Repository!A:C, 3, 0), ""), "")</f>
        <v/>
      </c>
      <c r="K1248" s="105"/>
      <c r="L1248" s="105" t="str">
        <f>IF(F1248=True, IFERROR(VLOOKUP(D1248, Repository!A:E, 5, 0), ""), "")</f>
        <v/>
      </c>
      <c r="M1248" s="105"/>
      <c r="N1248" s="105" t="str">
        <f>IF(F1248=True, IFERROR(VLOOKUP(D1248, Repository!A:G, 7, 0), ""), "")</f>
        <v/>
      </c>
      <c r="O1248" s="105" t="str">
        <f>IFERROR(__xludf.DUMMYFUNCTION("ARRAY_CONSTRAIN(
  ARRAYFORMULA(
    IFERROR(
      LET(
        list, N1248,
        arr, TRIM(SPLIT(list, "","")),
        names, XLOOKUP(
          arr,
          'Conformance Score'!A:A,
          'Conformance Score'!B:B,
          ""Not found""
     "&amp;"   ),
        TEXTJOIN("", "", TRUE, names)
      ),
      """"
    )
  ),
  1,
  1
)
"),"")</f>
        <v/>
      </c>
      <c r="P1248" s="105" t="str">
        <f>IF(F1248="Yes", IFERROR(VLOOKUP(D1248, Repository!A:F, 6, 0), ""), "")</f>
        <v/>
      </c>
      <c r="Q1248" s="105" t="str">
        <f>IF(F1248="Yes", IFERROR(VLOOKUP(D1248, Repository!A:I, 8, 0), ""), "")</f>
        <v/>
      </c>
      <c r="R1248" s="105" t="str">
        <f>IF(F1248="Yes", IFERROR(VLOOKUP(D1248, Repository!A:J, 9, 0), ""), "")</f>
        <v/>
      </c>
      <c r="S1248" s="105"/>
      <c r="T1248" s="105"/>
      <c r="U1248" s="105"/>
      <c r="V1248" s="105"/>
      <c r="W1248" s="105"/>
      <c r="X1248" s="105"/>
      <c r="Y1248" s="105"/>
      <c r="Z1248" s="105"/>
      <c r="AA1248" s="105"/>
      <c r="AB1248" s="105"/>
      <c r="AC1248" s="91"/>
      <c r="AD1248" s="105"/>
      <c r="AE1248" s="105"/>
      <c r="AF1248" s="91"/>
      <c r="AG1248" s="105"/>
      <c r="AH1248" s="105"/>
      <c r="AI1248" s="105" t="str">
        <f t="shared" si="1"/>
        <v/>
      </c>
      <c r="AJ1248" s="108" t="str">
        <f t="shared" si="2"/>
        <v/>
      </c>
    </row>
    <row r="1249" ht="15.75" customHeight="1">
      <c r="A1249" s="104"/>
      <c r="B1249" s="105" t="str">
        <f>IFERROR(__xludf.DUMMYFUNCTION("ARRAY_CONSTRAIN(
  ARRAYFORMULA(
    IF(
      'Final Report'!A1249="""",
      """",
      TEXTJOIN(
        "", "" &amp; CHAR(10),
        TRUE,
        IFERROR(
          VLOOKUP(
            TRIM(
              SPLIT('Final Report'!A1249, "","")
         "&amp;"   ),
            'URL Details'!A:B,
            2,
            FALSE
          ),
          """"
        )
      )
    )
  ),
  1,
  1
)
"),"")</f>
        <v/>
      </c>
      <c r="C1249" s="105" t="str">
        <f>IFERROR(__xludf.DUMMYFUNCTION("IFERROR(IF('Final Report'!A1249="""","""", TEXTJOIN(CHAR(10), TRUE, ARRAYFORMULA( ""• ""&amp; FILTER( TRIM(FLATTEN(SPLIT( REGEXREPLACE( SUBSTITUTE(TEXTJOIN("","", TRUE, IFERROR(ARRAYFORMULA(VLOOKUP(TRIM(SPLIT('Final Report'!A1249, "","")), 'URL Details'!A:D, "&amp;"4, FALSE)),"""") ), CHAR(10), "",""), ""\s*,\s*"", "",""), "",""))), TRIM(FLATTEN(SPLIT( REGEXREPLACE( SUBSTITUTE(TEXTJOIN("","", TRUE, IFERROR(ARRAYFORMULA(VLOOKUP(TRIM(SPLIT('Final Report'!A1249, "","")), 'URL Details'!A:D, 4, FALSE)),"""") ), CHAR(10),"&amp;" "",""), ""\s*,\s*"", "",""), "","")))&lt;&gt;"""" ) ) ) ),"""")
"),"")</f>
        <v/>
      </c>
      <c r="D1249" s="105"/>
      <c r="E1249" s="105"/>
      <c r="F1249" s="110" t="b">
        <v>0</v>
      </c>
      <c r="G1249" s="105" t="str">
        <f>IF(F1249=True, IFERROR(VLOOKUP(D1249, Repository!A:B, 2, 0), ""), "")</f>
        <v/>
      </c>
      <c r="H1249" s="105"/>
      <c r="I1249" s="105"/>
      <c r="J1249" s="105" t="str">
        <f>IF(F1249=True, IFERROR(VLOOKUP(D1249, Repository!A:C, 3, 0), ""), "")</f>
        <v/>
      </c>
      <c r="K1249" s="105"/>
      <c r="L1249" s="105" t="str">
        <f>IF(F1249=True, IFERROR(VLOOKUP(D1249, Repository!A:E, 5, 0), ""), "")</f>
        <v/>
      </c>
      <c r="M1249" s="105"/>
      <c r="N1249" s="105" t="str">
        <f>IF(F1249=True, IFERROR(VLOOKUP(D1249, Repository!A:G, 7, 0), ""), "")</f>
        <v/>
      </c>
      <c r="O1249" s="105" t="str">
        <f>IFERROR(__xludf.DUMMYFUNCTION("ARRAY_CONSTRAIN(
  ARRAYFORMULA(
    IFERROR(
      LET(
        list, N1249,
        arr, TRIM(SPLIT(list, "","")),
        names, XLOOKUP(
          arr,
          'Conformance Score'!A:A,
          'Conformance Score'!B:B,
          ""Not found""
     "&amp;"   ),
        TEXTJOIN("", "", TRUE, names)
      ),
      """"
    )
  ),
  1,
  1
)
"),"")</f>
        <v/>
      </c>
      <c r="P1249" s="105" t="str">
        <f>IF(F1249="Yes", IFERROR(VLOOKUP(D1249, Repository!A:F, 6, 0), ""), "")</f>
        <v/>
      </c>
      <c r="Q1249" s="105" t="str">
        <f>IF(F1249="Yes", IFERROR(VLOOKUP(D1249, Repository!A:I, 8, 0), ""), "")</f>
        <v/>
      </c>
      <c r="R1249" s="105" t="str">
        <f>IF(F1249="Yes", IFERROR(VLOOKUP(D1249, Repository!A:J, 9, 0), ""), "")</f>
        <v/>
      </c>
      <c r="S1249" s="105"/>
      <c r="T1249" s="105"/>
      <c r="U1249" s="105"/>
      <c r="V1249" s="105"/>
      <c r="W1249" s="105"/>
      <c r="X1249" s="105"/>
      <c r="Y1249" s="105"/>
      <c r="Z1249" s="105"/>
      <c r="AA1249" s="105"/>
      <c r="AB1249" s="105"/>
      <c r="AC1249" s="91"/>
      <c r="AD1249" s="105"/>
      <c r="AE1249" s="105"/>
      <c r="AF1249" s="91"/>
      <c r="AG1249" s="105"/>
      <c r="AH1249" s="105"/>
      <c r="AI1249" s="105" t="str">
        <f t="shared" si="1"/>
        <v/>
      </c>
      <c r="AJ1249" s="108" t="str">
        <f t="shared" si="2"/>
        <v/>
      </c>
    </row>
    <row r="1250" ht="15.75" customHeight="1">
      <c r="A1250" s="104"/>
      <c r="B1250" s="105" t="str">
        <f>IFERROR(__xludf.DUMMYFUNCTION("ARRAY_CONSTRAIN(
  ARRAYFORMULA(
    IF(
      'Final Report'!A1250="""",
      """",
      TEXTJOIN(
        "", "" &amp; CHAR(10),
        TRUE,
        IFERROR(
          VLOOKUP(
            TRIM(
              SPLIT('Final Report'!A1250, "","")
         "&amp;"   ),
            'URL Details'!A:B,
            2,
            FALSE
          ),
          """"
        )
      )
    )
  ),
  1,
  1
)
"),"")</f>
        <v/>
      </c>
      <c r="C1250" s="105" t="str">
        <f>IFERROR(__xludf.DUMMYFUNCTION("IFERROR(IF('Final Report'!A1250="""","""", TEXTJOIN(CHAR(10), TRUE, ARRAYFORMULA( ""• ""&amp; FILTER( TRIM(FLATTEN(SPLIT( REGEXREPLACE( SUBSTITUTE(TEXTJOIN("","", TRUE, IFERROR(ARRAYFORMULA(VLOOKUP(TRIM(SPLIT('Final Report'!A1250, "","")), 'URL Details'!A:D, "&amp;"4, FALSE)),"""") ), CHAR(10), "",""), ""\s*,\s*"", "",""), "",""))), TRIM(FLATTEN(SPLIT( REGEXREPLACE( SUBSTITUTE(TEXTJOIN("","", TRUE, IFERROR(ARRAYFORMULA(VLOOKUP(TRIM(SPLIT('Final Report'!A1250, "","")), 'URL Details'!A:D, 4, FALSE)),"""") ), CHAR(10),"&amp;" "",""), ""\s*,\s*"", "",""), "","")))&lt;&gt;"""" ) ) ) ),"""")
"),"")</f>
        <v/>
      </c>
      <c r="D1250" s="105"/>
      <c r="E1250" s="105"/>
      <c r="F1250" s="110" t="b">
        <v>0</v>
      </c>
      <c r="G1250" s="105" t="str">
        <f>IF(F1250=True, IFERROR(VLOOKUP(D1250, Repository!A:B, 2, 0), ""), "")</f>
        <v/>
      </c>
      <c r="H1250" s="105"/>
      <c r="I1250" s="105"/>
      <c r="J1250" s="105" t="str">
        <f>IF(F1250=True, IFERROR(VLOOKUP(D1250, Repository!A:C, 3, 0), ""), "")</f>
        <v/>
      </c>
      <c r="K1250" s="105"/>
      <c r="L1250" s="105" t="str">
        <f>IF(F1250=True, IFERROR(VLOOKUP(D1250, Repository!A:E, 5, 0), ""), "")</f>
        <v/>
      </c>
      <c r="M1250" s="105"/>
      <c r="N1250" s="105" t="str">
        <f>IF(F1250=True, IFERROR(VLOOKUP(D1250, Repository!A:G, 7, 0), ""), "")</f>
        <v/>
      </c>
      <c r="O1250" s="105" t="str">
        <f>IFERROR(__xludf.DUMMYFUNCTION("ARRAY_CONSTRAIN(
  ARRAYFORMULA(
    IFERROR(
      LET(
        list, N1250,
        arr, TRIM(SPLIT(list, "","")),
        names, XLOOKUP(
          arr,
          'Conformance Score'!A:A,
          'Conformance Score'!B:B,
          ""Not found""
     "&amp;"   ),
        TEXTJOIN("", "", TRUE, names)
      ),
      """"
    )
  ),
  1,
  1
)
"),"")</f>
        <v/>
      </c>
      <c r="P1250" s="105" t="str">
        <f>IF(F1250="Yes", IFERROR(VLOOKUP(D1250, Repository!A:F, 6, 0), ""), "")</f>
        <v/>
      </c>
      <c r="Q1250" s="105" t="str">
        <f>IF(F1250="Yes", IFERROR(VLOOKUP(D1250, Repository!A:I, 8, 0), ""), "")</f>
        <v/>
      </c>
      <c r="R1250" s="105" t="str">
        <f>IF(F1250="Yes", IFERROR(VLOOKUP(D1250, Repository!A:J, 9, 0), ""), "")</f>
        <v/>
      </c>
      <c r="S1250" s="105"/>
      <c r="T1250" s="105"/>
      <c r="U1250" s="105"/>
      <c r="V1250" s="105"/>
      <c r="W1250" s="105"/>
      <c r="X1250" s="105"/>
      <c r="Y1250" s="105"/>
      <c r="Z1250" s="105"/>
      <c r="AA1250" s="105"/>
      <c r="AB1250" s="105"/>
      <c r="AC1250" s="91"/>
      <c r="AD1250" s="105"/>
      <c r="AE1250" s="105"/>
      <c r="AF1250" s="91"/>
      <c r="AG1250" s="105"/>
      <c r="AH1250" s="105"/>
      <c r="AI1250" s="105" t="str">
        <f t="shared" si="1"/>
        <v/>
      </c>
      <c r="AJ1250" s="108" t="str">
        <f t="shared" si="2"/>
        <v/>
      </c>
    </row>
    <row r="1251" ht="15.75" customHeight="1">
      <c r="A1251" s="104"/>
      <c r="B1251" s="105" t="str">
        <f>IFERROR(__xludf.DUMMYFUNCTION("ARRAY_CONSTRAIN(
  ARRAYFORMULA(
    IF(
      'Final Report'!A1251="""",
      """",
      TEXTJOIN(
        "", "" &amp; CHAR(10),
        TRUE,
        IFERROR(
          VLOOKUP(
            TRIM(
              SPLIT('Final Report'!A1251, "","")
         "&amp;"   ),
            'URL Details'!A:B,
            2,
            FALSE
          ),
          """"
        )
      )
    )
  ),
  1,
  1
)
"),"")</f>
        <v/>
      </c>
      <c r="C1251" s="105" t="str">
        <f>IFERROR(__xludf.DUMMYFUNCTION("IFERROR(IF('Final Report'!A1251="""","""", TEXTJOIN(CHAR(10), TRUE, ARRAYFORMULA( ""• ""&amp; FILTER( TRIM(FLATTEN(SPLIT( REGEXREPLACE( SUBSTITUTE(TEXTJOIN("","", TRUE, IFERROR(ARRAYFORMULA(VLOOKUP(TRIM(SPLIT('Final Report'!A1251, "","")), 'URL Details'!A:D, "&amp;"4, FALSE)),"""") ), CHAR(10), "",""), ""\s*,\s*"", "",""), "",""))), TRIM(FLATTEN(SPLIT( REGEXREPLACE( SUBSTITUTE(TEXTJOIN("","", TRUE, IFERROR(ARRAYFORMULA(VLOOKUP(TRIM(SPLIT('Final Report'!A1251, "","")), 'URL Details'!A:D, 4, FALSE)),"""") ), CHAR(10),"&amp;" "",""), ""\s*,\s*"", "",""), "","")))&lt;&gt;"""" ) ) ) ),"""")
"),"")</f>
        <v/>
      </c>
      <c r="D1251" s="105"/>
      <c r="E1251" s="105"/>
      <c r="F1251" s="110" t="b">
        <v>0</v>
      </c>
      <c r="G1251" s="105" t="str">
        <f>IF(F1251=True, IFERROR(VLOOKUP(D1251, Repository!A:B, 2, 0), ""), "")</f>
        <v/>
      </c>
      <c r="H1251" s="105"/>
      <c r="I1251" s="105"/>
      <c r="J1251" s="105" t="str">
        <f>IF(F1251=True, IFERROR(VLOOKUP(D1251, Repository!A:C, 3, 0), ""), "")</f>
        <v/>
      </c>
      <c r="K1251" s="105"/>
      <c r="L1251" s="105" t="str">
        <f>IF(F1251=True, IFERROR(VLOOKUP(D1251, Repository!A:E, 5, 0), ""), "")</f>
        <v/>
      </c>
      <c r="M1251" s="105"/>
      <c r="N1251" s="105" t="str">
        <f>IF(F1251=True, IFERROR(VLOOKUP(D1251, Repository!A:G, 7, 0), ""), "")</f>
        <v/>
      </c>
      <c r="O1251" s="105" t="str">
        <f>IFERROR(__xludf.DUMMYFUNCTION("ARRAY_CONSTRAIN(
  ARRAYFORMULA(
    IFERROR(
      LET(
        list, N1251,
        arr, TRIM(SPLIT(list, "","")),
        names, XLOOKUP(
          arr,
          'Conformance Score'!A:A,
          'Conformance Score'!B:B,
          ""Not found""
     "&amp;"   ),
        TEXTJOIN("", "", TRUE, names)
      ),
      """"
    )
  ),
  1,
  1
)
"),"")</f>
        <v/>
      </c>
      <c r="P1251" s="105" t="str">
        <f>IF(F1251="Yes", IFERROR(VLOOKUP(D1251, Repository!A:F, 6, 0), ""), "")</f>
        <v/>
      </c>
      <c r="Q1251" s="105" t="str">
        <f>IF(F1251="Yes", IFERROR(VLOOKUP(D1251, Repository!A:I, 8, 0), ""), "")</f>
        <v/>
      </c>
      <c r="R1251" s="105" t="str">
        <f>IF(F1251="Yes", IFERROR(VLOOKUP(D1251, Repository!A:J, 9, 0), ""), "")</f>
        <v/>
      </c>
      <c r="S1251" s="105"/>
      <c r="T1251" s="105"/>
      <c r="U1251" s="105"/>
      <c r="V1251" s="105"/>
      <c r="W1251" s="105"/>
      <c r="X1251" s="105"/>
      <c r="Y1251" s="105"/>
      <c r="Z1251" s="105"/>
      <c r="AA1251" s="105"/>
      <c r="AB1251" s="105"/>
      <c r="AC1251" s="91"/>
      <c r="AD1251" s="105"/>
      <c r="AE1251" s="105"/>
      <c r="AF1251" s="91"/>
      <c r="AG1251" s="105"/>
      <c r="AH1251" s="105"/>
      <c r="AI1251" s="105" t="str">
        <f t="shared" si="1"/>
        <v/>
      </c>
      <c r="AJ1251" s="108" t="str">
        <f t="shared" si="2"/>
        <v/>
      </c>
    </row>
    <row r="1252" ht="15.75" customHeight="1">
      <c r="A1252" s="104"/>
      <c r="B1252" s="105" t="str">
        <f>IFERROR(__xludf.DUMMYFUNCTION("ARRAY_CONSTRAIN(
  ARRAYFORMULA(
    IF(
      'Final Report'!A1252="""",
      """",
      TEXTJOIN(
        "", "" &amp; CHAR(10),
        TRUE,
        IFERROR(
          VLOOKUP(
            TRIM(
              SPLIT('Final Report'!A1252, "","")
         "&amp;"   ),
            'URL Details'!A:B,
            2,
            FALSE
          ),
          """"
        )
      )
    )
  ),
  1,
  1
)
"),"")</f>
        <v/>
      </c>
      <c r="C1252" s="105" t="str">
        <f>IFERROR(__xludf.DUMMYFUNCTION("IFERROR(IF('Final Report'!A1252="""","""", TEXTJOIN(CHAR(10), TRUE, ARRAYFORMULA( ""• ""&amp; FILTER( TRIM(FLATTEN(SPLIT( REGEXREPLACE( SUBSTITUTE(TEXTJOIN("","", TRUE, IFERROR(ARRAYFORMULA(VLOOKUP(TRIM(SPLIT('Final Report'!A1252, "","")), 'URL Details'!A:D, "&amp;"4, FALSE)),"""") ), CHAR(10), "",""), ""\s*,\s*"", "",""), "",""))), TRIM(FLATTEN(SPLIT( REGEXREPLACE( SUBSTITUTE(TEXTJOIN("","", TRUE, IFERROR(ARRAYFORMULA(VLOOKUP(TRIM(SPLIT('Final Report'!A1252, "","")), 'URL Details'!A:D, 4, FALSE)),"""") ), CHAR(10),"&amp;" "",""), ""\s*,\s*"", "",""), "","")))&lt;&gt;"""" ) ) ) ),"""")
"),"")</f>
        <v/>
      </c>
      <c r="D1252" s="105"/>
      <c r="E1252" s="105"/>
      <c r="F1252" s="110" t="b">
        <v>0</v>
      </c>
      <c r="G1252" s="105" t="str">
        <f>IF(F1252=True, IFERROR(VLOOKUP(D1252, Repository!A:B, 2, 0), ""), "")</f>
        <v/>
      </c>
      <c r="H1252" s="105"/>
      <c r="I1252" s="105"/>
      <c r="J1252" s="105" t="str">
        <f>IF(F1252=True, IFERROR(VLOOKUP(D1252, Repository!A:C, 3, 0), ""), "")</f>
        <v/>
      </c>
      <c r="K1252" s="105"/>
      <c r="L1252" s="105" t="str">
        <f>IF(F1252=True, IFERROR(VLOOKUP(D1252, Repository!A:E, 5, 0), ""), "")</f>
        <v/>
      </c>
      <c r="M1252" s="105"/>
      <c r="N1252" s="105" t="str">
        <f>IF(F1252=True, IFERROR(VLOOKUP(D1252, Repository!A:G, 7, 0), ""), "")</f>
        <v/>
      </c>
      <c r="O1252" s="105" t="str">
        <f>IFERROR(__xludf.DUMMYFUNCTION("ARRAY_CONSTRAIN(
  ARRAYFORMULA(
    IFERROR(
      LET(
        list, N1252,
        arr, TRIM(SPLIT(list, "","")),
        names, XLOOKUP(
          arr,
          'Conformance Score'!A:A,
          'Conformance Score'!B:B,
          ""Not found""
     "&amp;"   ),
        TEXTJOIN("", "", TRUE, names)
      ),
      """"
    )
  ),
  1,
  1
)
"),"")</f>
        <v/>
      </c>
      <c r="P1252" s="105" t="str">
        <f>IF(F1252="Yes", IFERROR(VLOOKUP(D1252, Repository!A:F, 6, 0), ""), "")</f>
        <v/>
      </c>
      <c r="Q1252" s="105" t="str">
        <f>IF(F1252="Yes", IFERROR(VLOOKUP(D1252, Repository!A:I, 8, 0), ""), "")</f>
        <v/>
      </c>
      <c r="R1252" s="105" t="str">
        <f>IF(F1252="Yes", IFERROR(VLOOKUP(D1252, Repository!A:J, 9, 0), ""), "")</f>
        <v/>
      </c>
      <c r="S1252" s="105"/>
      <c r="T1252" s="105"/>
      <c r="U1252" s="105"/>
      <c r="V1252" s="105"/>
      <c r="W1252" s="105"/>
      <c r="X1252" s="105"/>
      <c r="Y1252" s="105"/>
      <c r="Z1252" s="105"/>
      <c r="AA1252" s="105"/>
      <c r="AB1252" s="105"/>
      <c r="AC1252" s="91"/>
      <c r="AD1252" s="105"/>
      <c r="AE1252" s="105"/>
      <c r="AF1252" s="91"/>
      <c r="AG1252" s="105"/>
      <c r="AH1252" s="105"/>
      <c r="AI1252" s="105" t="str">
        <f t="shared" si="1"/>
        <v/>
      </c>
      <c r="AJ1252" s="108" t="str">
        <f t="shared" si="2"/>
        <v/>
      </c>
    </row>
    <row r="1253" ht="15.75" customHeight="1">
      <c r="A1253" s="104"/>
      <c r="B1253" s="105" t="str">
        <f>IFERROR(__xludf.DUMMYFUNCTION("ARRAY_CONSTRAIN(
  ARRAYFORMULA(
    IF(
      'Final Report'!A1253="""",
      """",
      TEXTJOIN(
        "", "" &amp; CHAR(10),
        TRUE,
        IFERROR(
          VLOOKUP(
            TRIM(
              SPLIT('Final Report'!A1253, "","")
         "&amp;"   ),
            'URL Details'!A:B,
            2,
            FALSE
          ),
          """"
        )
      )
    )
  ),
  1,
  1
)
"),"")</f>
        <v/>
      </c>
      <c r="C1253" s="105" t="str">
        <f>IFERROR(__xludf.DUMMYFUNCTION("IFERROR(IF('Final Report'!A1253="""","""", TEXTJOIN(CHAR(10), TRUE, ARRAYFORMULA( ""• ""&amp; FILTER( TRIM(FLATTEN(SPLIT( REGEXREPLACE( SUBSTITUTE(TEXTJOIN("","", TRUE, IFERROR(ARRAYFORMULA(VLOOKUP(TRIM(SPLIT('Final Report'!A1253, "","")), 'URL Details'!A:D, "&amp;"4, FALSE)),"""") ), CHAR(10), "",""), ""\s*,\s*"", "",""), "",""))), TRIM(FLATTEN(SPLIT( REGEXREPLACE( SUBSTITUTE(TEXTJOIN("","", TRUE, IFERROR(ARRAYFORMULA(VLOOKUP(TRIM(SPLIT('Final Report'!A1253, "","")), 'URL Details'!A:D, 4, FALSE)),"""") ), CHAR(10),"&amp;" "",""), ""\s*,\s*"", "",""), "","")))&lt;&gt;"""" ) ) ) ),"""")
"),"")</f>
        <v/>
      </c>
      <c r="D1253" s="105"/>
      <c r="E1253" s="105"/>
      <c r="F1253" s="110" t="b">
        <v>0</v>
      </c>
      <c r="G1253" s="105" t="str">
        <f>IF(F1253=True, IFERROR(VLOOKUP(D1253, Repository!A:B, 2, 0), ""), "")</f>
        <v/>
      </c>
      <c r="H1253" s="105"/>
      <c r="I1253" s="105"/>
      <c r="J1253" s="105" t="str">
        <f>IF(F1253=True, IFERROR(VLOOKUP(D1253, Repository!A:C, 3, 0), ""), "")</f>
        <v/>
      </c>
      <c r="K1253" s="105"/>
      <c r="L1253" s="105" t="str">
        <f>IF(F1253=True, IFERROR(VLOOKUP(D1253, Repository!A:E, 5, 0), ""), "")</f>
        <v/>
      </c>
      <c r="M1253" s="105"/>
      <c r="N1253" s="105" t="str">
        <f>IF(F1253=True, IFERROR(VLOOKUP(D1253, Repository!A:G, 7, 0), ""), "")</f>
        <v/>
      </c>
      <c r="O1253" s="105" t="str">
        <f>IFERROR(__xludf.DUMMYFUNCTION("ARRAY_CONSTRAIN(
  ARRAYFORMULA(
    IFERROR(
      LET(
        list, N1253,
        arr, TRIM(SPLIT(list, "","")),
        names, XLOOKUP(
          arr,
          'Conformance Score'!A:A,
          'Conformance Score'!B:B,
          ""Not found""
     "&amp;"   ),
        TEXTJOIN("", "", TRUE, names)
      ),
      """"
    )
  ),
  1,
  1
)
"),"")</f>
        <v/>
      </c>
      <c r="P1253" s="105" t="str">
        <f>IF(F1253="Yes", IFERROR(VLOOKUP(D1253, Repository!A:F, 6, 0), ""), "")</f>
        <v/>
      </c>
      <c r="Q1253" s="105" t="str">
        <f>IF(F1253="Yes", IFERROR(VLOOKUP(D1253, Repository!A:I, 8, 0), ""), "")</f>
        <v/>
      </c>
      <c r="R1253" s="105" t="str">
        <f>IF(F1253="Yes", IFERROR(VLOOKUP(D1253, Repository!A:J, 9, 0), ""), "")</f>
        <v/>
      </c>
      <c r="S1253" s="105"/>
      <c r="T1253" s="105"/>
      <c r="U1253" s="105"/>
      <c r="V1253" s="105"/>
      <c r="W1253" s="105"/>
      <c r="X1253" s="105"/>
      <c r="Y1253" s="105"/>
      <c r="Z1253" s="105"/>
      <c r="AA1253" s="105"/>
      <c r="AB1253" s="105"/>
      <c r="AC1253" s="91"/>
      <c r="AD1253" s="105"/>
      <c r="AE1253" s="105"/>
      <c r="AF1253" s="91"/>
      <c r="AG1253" s="105"/>
      <c r="AH1253" s="105"/>
      <c r="AI1253" s="105" t="str">
        <f t="shared" si="1"/>
        <v/>
      </c>
      <c r="AJ1253" s="108" t="str">
        <f t="shared" si="2"/>
        <v/>
      </c>
    </row>
    <row r="1254" ht="15.75" customHeight="1">
      <c r="A1254" s="104"/>
      <c r="B1254" s="105" t="str">
        <f>IFERROR(__xludf.DUMMYFUNCTION("ARRAY_CONSTRAIN(
  ARRAYFORMULA(
    IF(
      'Final Report'!A1254="""",
      """",
      TEXTJOIN(
        "", "" &amp; CHAR(10),
        TRUE,
        IFERROR(
          VLOOKUP(
            TRIM(
              SPLIT('Final Report'!A1254, "","")
         "&amp;"   ),
            'URL Details'!A:B,
            2,
            FALSE
          ),
          """"
        )
      )
    )
  ),
  1,
  1
)
"),"")</f>
        <v/>
      </c>
      <c r="C1254" s="105" t="str">
        <f>IFERROR(__xludf.DUMMYFUNCTION("IFERROR(IF('Final Report'!A1254="""","""", TEXTJOIN(CHAR(10), TRUE, ARRAYFORMULA( ""• ""&amp; FILTER( TRIM(FLATTEN(SPLIT( REGEXREPLACE( SUBSTITUTE(TEXTJOIN("","", TRUE, IFERROR(ARRAYFORMULA(VLOOKUP(TRIM(SPLIT('Final Report'!A1254, "","")), 'URL Details'!A:D, "&amp;"4, FALSE)),"""") ), CHAR(10), "",""), ""\s*,\s*"", "",""), "",""))), TRIM(FLATTEN(SPLIT( REGEXREPLACE( SUBSTITUTE(TEXTJOIN("","", TRUE, IFERROR(ARRAYFORMULA(VLOOKUP(TRIM(SPLIT('Final Report'!A1254, "","")), 'URL Details'!A:D, 4, FALSE)),"""") ), CHAR(10),"&amp;" "",""), ""\s*,\s*"", "",""), "","")))&lt;&gt;"""" ) ) ) ),"""")
"),"")</f>
        <v/>
      </c>
      <c r="D1254" s="105"/>
      <c r="E1254" s="105"/>
      <c r="F1254" s="110" t="b">
        <v>0</v>
      </c>
      <c r="G1254" s="105" t="str">
        <f>IF(F1254=True, IFERROR(VLOOKUP(D1254, Repository!A:B, 2, 0), ""), "")</f>
        <v/>
      </c>
      <c r="H1254" s="105"/>
      <c r="I1254" s="105"/>
      <c r="J1254" s="105" t="str">
        <f>IF(F1254=True, IFERROR(VLOOKUP(D1254, Repository!A:C, 3, 0), ""), "")</f>
        <v/>
      </c>
      <c r="K1254" s="105"/>
      <c r="L1254" s="105" t="str">
        <f>IF(F1254=True, IFERROR(VLOOKUP(D1254, Repository!A:E, 5, 0), ""), "")</f>
        <v/>
      </c>
      <c r="M1254" s="105"/>
      <c r="N1254" s="105" t="str">
        <f>IF(F1254=True, IFERROR(VLOOKUP(D1254, Repository!A:G, 7, 0), ""), "")</f>
        <v/>
      </c>
      <c r="O1254" s="105" t="str">
        <f>IFERROR(__xludf.DUMMYFUNCTION("ARRAY_CONSTRAIN(
  ARRAYFORMULA(
    IFERROR(
      LET(
        list, N1254,
        arr, TRIM(SPLIT(list, "","")),
        names, XLOOKUP(
          arr,
          'Conformance Score'!A:A,
          'Conformance Score'!B:B,
          ""Not found""
     "&amp;"   ),
        TEXTJOIN("", "", TRUE, names)
      ),
      """"
    )
  ),
  1,
  1
)
"),"")</f>
        <v/>
      </c>
      <c r="P1254" s="105" t="str">
        <f>IF(F1254="Yes", IFERROR(VLOOKUP(D1254, Repository!A:F, 6, 0), ""), "")</f>
        <v/>
      </c>
      <c r="Q1254" s="105" t="str">
        <f>IF(F1254="Yes", IFERROR(VLOOKUP(D1254, Repository!A:I, 8, 0), ""), "")</f>
        <v/>
      </c>
      <c r="R1254" s="105" t="str">
        <f>IF(F1254="Yes", IFERROR(VLOOKUP(D1254, Repository!A:J, 9, 0), ""), "")</f>
        <v/>
      </c>
      <c r="S1254" s="105"/>
      <c r="T1254" s="105"/>
      <c r="U1254" s="105"/>
      <c r="V1254" s="105"/>
      <c r="W1254" s="105"/>
      <c r="X1254" s="105"/>
      <c r="Y1254" s="105"/>
      <c r="Z1254" s="105"/>
      <c r="AA1254" s="105"/>
      <c r="AB1254" s="105"/>
      <c r="AC1254" s="91"/>
      <c r="AD1254" s="105"/>
      <c r="AE1254" s="105"/>
      <c r="AF1254" s="91"/>
      <c r="AG1254" s="105"/>
      <c r="AH1254" s="105"/>
      <c r="AI1254" s="105" t="str">
        <f t="shared" si="1"/>
        <v/>
      </c>
      <c r="AJ1254" s="108" t="str">
        <f t="shared" si="2"/>
        <v/>
      </c>
    </row>
    <row r="1255" ht="15.75" customHeight="1">
      <c r="A1255" s="104"/>
      <c r="B1255" s="105" t="str">
        <f>IFERROR(__xludf.DUMMYFUNCTION("ARRAY_CONSTRAIN(
  ARRAYFORMULA(
    IF(
      'Final Report'!A1255="""",
      """",
      TEXTJOIN(
        "", "" &amp; CHAR(10),
        TRUE,
        IFERROR(
          VLOOKUP(
            TRIM(
              SPLIT('Final Report'!A1255, "","")
         "&amp;"   ),
            'URL Details'!A:B,
            2,
            FALSE
          ),
          """"
        )
      )
    )
  ),
  1,
  1
)
"),"")</f>
        <v/>
      </c>
      <c r="C1255" s="105" t="str">
        <f>IFERROR(__xludf.DUMMYFUNCTION("IFERROR(IF('Final Report'!A1255="""","""", TEXTJOIN(CHAR(10), TRUE, ARRAYFORMULA( ""• ""&amp; FILTER( TRIM(FLATTEN(SPLIT( REGEXREPLACE( SUBSTITUTE(TEXTJOIN("","", TRUE, IFERROR(ARRAYFORMULA(VLOOKUP(TRIM(SPLIT('Final Report'!A1255, "","")), 'URL Details'!A:D, "&amp;"4, FALSE)),"""") ), CHAR(10), "",""), ""\s*,\s*"", "",""), "",""))), TRIM(FLATTEN(SPLIT( REGEXREPLACE( SUBSTITUTE(TEXTJOIN("","", TRUE, IFERROR(ARRAYFORMULA(VLOOKUP(TRIM(SPLIT('Final Report'!A1255, "","")), 'URL Details'!A:D, 4, FALSE)),"""") ), CHAR(10),"&amp;" "",""), ""\s*,\s*"", "",""), "","")))&lt;&gt;"""" ) ) ) ),"""")
"),"")</f>
        <v/>
      </c>
      <c r="D1255" s="105"/>
      <c r="E1255" s="105"/>
      <c r="F1255" s="110" t="b">
        <v>0</v>
      </c>
      <c r="G1255" s="105" t="str">
        <f>IF(F1255=True, IFERROR(VLOOKUP(D1255, Repository!A:B, 2, 0), ""), "")</f>
        <v/>
      </c>
      <c r="H1255" s="105"/>
      <c r="I1255" s="105"/>
      <c r="J1255" s="105" t="str">
        <f>IF(F1255=True, IFERROR(VLOOKUP(D1255, Repository!A:C, 3, 0), ""), "")</f>
        <v/>
      </c>
      <c r="K1255" s="105"/>
      <c r="L1255" s="105" t="str">
        <f>IF(F1255=True, IFERROR(VLOOKUP(D1255, Repository!A:E, 5, 0), ""), "")</f>
        <v/>
      </c>
      <c r="M1255" s="105"/>
      <c r="N1255" s="105" t="str">
        <f>IF(F1255=True, IFERROR(VLOOKUP(D1255, Repository!A:G, 7, 0), ""), "")</f>
        <v/>
      </c>
      <c r="O1255" s="105" t="str">
        <f>IFERROR(__xludf.DUMMYFUNCTION("ARRAY_CONSTRAIN(
  ARRAYFORMULA(
    IFERROR(
      LET(
        list, N1255,
        arr, TRIM(SPLIT(list, "","")),
        names, XLOOKUP(
          arr,
          'Conformance Score'!A:A,
          'Conformance Score'!B:B,
          ""Not found""
     "&amp;"   ),
        TEXTJOIN("", "", TRUE, names)
      ),
      """"
    )
  ),
  1,
  1
)
"),"")</f>
        <v/>
      </c>
      <c r="P1255" s="105" t="str">
        <f>IF(F1255="Yes", IFERROR(VLOOKUP(D1255, Repository!A:F, 6, 0), ""), "")</f>
        <v/>
      </c>
      <c r="Q1255" s="105" t="str">
        <f>IF(F1255="Yes", IFERROR(VLOOKUP(D1255, Repository!A:I, 8, 0), ""), "")</f>
        <v/>
      </c>
      <c r="R1255" s="105" t="str">
        <f>IF(F1255="Yes", IFERROR(VLOOKUP(D1255, Repository!A:J, 9, 0), ""), "")</f>
        <v/>
      </c>
      <c r="S1255" s="105"/>
      <c r="T1255" s="105"/>
      <c r="U1255" s="105"/>
      <c r="V1255" s="105"/>
      <c r="W1255" s="105"/>
      <c r="X1255" s="105"/>
      <c r="Y1255" s="105"/>
      <c r="Z1255" s="105"/>
      <c r="AA1255" s="105"/>
      <c r="AB1255" s="105"/>
      <c r="AC1255" s="91"/>
      <c r="AD1255" s="105"/>
      <c r="AE1255" s="105"/>
      <c r="AF1255" s="91"/>
      <c r="AG1255" s="105"/>
      <c r="AH1255" s="105"/>
      <c r="AI1255" s="105" t="str">
        <f t="shared" si="1"/>
        <v/>
      </c>
      <c r="AJ1255" s="108" t="str">
        <f t="shared" si="2"/>
        <v/>
      </c>
    </row>
    <row r="1256" ht="15.75" customHeight="1">
      <c r="A1256" s="104"/>
      <c r="B1256" s="105" t="str">
        <f>IFERROR(__xludf.DUMMYFUNCTION("ARRAY_CONSTRAIN(
  ARRAYFORMULA(
    IF(
      'Final Report'!A1256="""",
      """",
      TEXTJOIN(
        "", "" &amp; CHAR(10),
        TRUE,
        IFERROR(
          VLOOKUP(
            TRIM(
              SPLIT('Final Report'!A1256, "","")
         "&amp;"   ),
            'URL Details'!A:B,
            2,
            FALSE
          ),
          """"
        )
      )
    )
  ),
  1,
  1
)
"),"")</f>
        <v/>
      </c>
      <c r="C1256" s="105" t="str">
        <f>IFERROR(__xludf.DUMMYFUNCTION("IFERROR(IF('Final Report'!A1256="""","""", TEXTJOIN(CHAR(10), TRUE, ARRAYFORMULA( ""• ""&amp; FILTER( TRIM(FLATTEN(SPLIT( REGEXREPLACE( SUBSTITUTE(TEXTJOIN("","", TRUE, IFERROR(ARRAYFORMULA(VLOOKUP(TRIM(SPLIT('Final Report'!A1256, "","")), 'URL Details'!A:D, "&amp;"4, FALSE)),"""") ), CHAR(10), "",""), ""\s*,\s*"", "",""), "",""))), TRIM(FLATTEN(SPLIT( REGEXREPLACE( SUBSTITUTE(TEXTJOIN("","", TRUE, IFERROR(ARRAYFORMULA(VLOOKUP(TRIM(SPLIT('Final Report'!A1256, "","")), 'URL Details'!A:D, 4, FALSE)),"""") ), CHAR(10),"&amp;" "",""), ""\s*,\s*"", "",""), "","")))&lt;&gt;"""" ) ) ) ),"""")
"),"")</f>
        <v/>
      </c>
      <c r="D1256" s="105"/>
      <c r="E1256" s="105"/>
      <c r="F1256" s="110" t="b">
        <v>0</v>
      </c>
      <c r="G1256" s="105" t="str">
        <f>IF(F1256=True, IFERROR(VLOOKUP(D1256, Repository!A:B, 2, 0), ""), "")</f>
        <v/>
      </c>
      <c r="H1256" s="105"/>
      <c r="I1256" s="105"/>
      <c r="J1256" s="105" t="str">
        <f>IF(F1256=True, IFERROR(VLOOKUP(D1256, Repository!A:C, 3, 0), ""), "")</f>
        <v/>
      </c>
      <c r="K1256" s="105"/>
      <c r="L1256" s="105" t="str">
        <f>IF(F1256=True, IFERROR(VLOOKUP(D1256, Repository!A:E, 5, 0), ""), "")</f>
        <v/>
      </c>
      <c r="M1256" s="105"/>
      <c r="N1256" s="105" t="str">
        <f>IF(F1256=True, IFERROR(VLOOKUP(D1256, Repository!A:G, 7, 0), ""), "")</f>
        <v/>
      </c>
      <c r="O1256" s="105" t="str">
        <f>IFERROR(__xludf.DUMMYFUNCTION("ARRAY_CONSTRAIN(
  ARRAYFORMULA(
    IFERROR(
      LET(
        list, N1256,
        arr, TRIM(SPLIT(list, "","")),
        names, XLOOKUP(
          arr,
          'Conformance Score'!A:A,
          'Conformance Score'!B:B,
          ""Not found""
     "&amp;"   ),
        TEXTJOIN("", "", TRUE, names)
      ),
      """"
    )
  ),
  1,
  1
)
"),"")</f>
        <v/>
      </c>
      <c r="P1256" s="105" t="str">
        <f>IF(F1256="Yes", IFERROR(VLOOKUP(D1256, Repository!A:F, 6, 0), ""), "")</f>
        <v/>
      </c>
      <c r="Q1256" s="105" t="str">
        <f>IF(F1256="Yes", IFERROR(VLOOKUP(D1256, Repository!A:I, 8, 0), ""), "")</f>
        <v/>
      </c>
      <c r="R1256" s="105" t="str">
        <f>IF(F1256="Yes", IFERROR(VLOOKUP(D1256, Repository!A:J, 9, 0), ""), "")</f>
        <v/>
      </c>
      <c r="S1256" s="105"/>
      <c r="T1256" s="105"/>
      <c r="U1256" s="105"/>
      <c r="V1256" s="105"/>
      <c r="W1256" s="105"/>
      <c r="X1256" s="105"/>
      <c r="Y1256" s="105"/>
      <c r="Z1256" s="105"/>
      <c r="AA1256" s="105"/>
      <c r="AB1256" s="105"/>
      <c r="AC1256" s="91"/>
      <c r="AD1256" s="105"/>
      <c r="AE1256" s="105"/>
      <c r="AF1256" s="91"/>
      <c r="AG1256" s="105"/>
      <c r="AH1256" s="105"/>
      <c r="AI1256" s="105" t="str">
        <f t="shared" si="1"/>
        <v/>
      </c>
      <c r="AJ1256" s="108" t="str">
        <f t="shared" si="2"/>
        <v/>
      </c>
    </row>
    <row r="1257" ht="15.75" customHeight="1">
      <c r="A1257" s="104"/>
      <c r="B1257" s="105" t="str">
        <f>IFERROR(__xludf.DUMMYFUNCTION("ARRAY_CONSTRAIN(
  ARRAYFORMULA(
    IF(
      'Final Report'!A1257="""",
      """",
      TEXTJOIN(
        "", "" &amp; CHAR(10),
        TRUE,
        IFERROR(
          VLOOKUP(
            TRIM(
              SPLIT('Final Report'!A1257, "","")
         "&amp;"   ),
            'URL Details'!A:B,
            2,
            FALSE
          ),
          """"
        )
      )
    )
  ),
  1,
  1
)
"),"")</f>
        <v/>
      </c>
      <c r="C1257" s="105" t="str">
        <f>IFERROR(__xludf.DUMMYFUNCTION("IFERROR(IF('Final Report'!A1257="""","""", TEXTJOIN(CHAR(10), TRUE, ARRAYFORMULA( ""• ""&amp; FILTER( TRIM(FLATTEN(SPLIT( REGEXREPLACE( SUBSTITUTE(TEXTJOIN("","", TRUE, IFERROR(ARRAYFORMULA(VLOOKUP(TRIM(SPLIT('Final Report'!A1257, "","")), 'URL Details'!A:D, "&amp;"4, FALSE)),"""") ), CHAR(10), "",""), ""\s*,\s*"", "",""), "",""))), TRIM(FLATTEN(SPLIT( REGEXREPLACE( SUBSTITUTE(TEXTJOIN("","", TRUE, IFERROR(ARRAYFORMULA(VLOOKUP(TRIM(SPLIT('Final Report'!A1257, "","")), 'URL Details'!A:D, 4, FALSE)),"""") ), CHAR(10),"&amp;" "",""), ""\s*,\s*"", "",""), "","")))&lt;&gt;"""" ) ) ) ),"""")
"),"")</f>
        <v/>
      </c>
      <c r="D1257" s="105"/>
      <c r="E1257" s="105"/>
      <c r="F1257" s="110" t="b">
        <v>0</v>
      </c>
      <c r="G1257" s="105" t="str">
        <f>IF(F1257=True, IFERROR(VLOOKUP(D1257, Repository!A:B, 2, 0), ""), "")</f>
        <v/>
      </c>
      <c r="H1257" s="105"/>
      <c r="I1257" s="105"/>
      <c r="J1257" s="105" t="str">
        <f>IF(F1257=True, IFERROR(VLOOKUP(D1257, Repository!A:C, 3, 0), ""), "")</f>
        <v/>
      </c>
      <c r="K1257" s="105"/>
      <c r="L1257" s="105" t="str">
        <f>IF(F1257=True, IFERROR(VLOOKUP(D1257, Repository!A:E, 5, 0), ""), "")</f>
        <v/>
      </c>
      <c r="M1257" s="105"/>
      <c r="N1257" s="105" t="str">
        <f>IF(F1257=True, IFERROR(VLOOKUP(D1257, Repository!A:G, 7, 0), ""), "")</f>
        <v/>
      </c>
      <c r="O1257" s="105" t="str">
        <f>IFERROR(__xludf.DUMMYFUNCTION("ARRAY_CONSTRAIN(
  ARRAYFORMULA(
    IFERROR(
      LET(
        list, N1257,
        arr, TRIM(SPLIT(list, "","")),
        names, XLOOKUP(
          arr,
          'Conformance Score'!A:A,
          'Conformance Score'!B:B,
          ""Not found""
     "&amp;"   ),
        TEXTJOIN("", "", TRUE, names)
      ),
      """"
    )
  ),
  1,
  1
)
"),"")</f>
        <v/>
      </c>
      <c r="P1257" s="105" t="str">
        <f>IF(F1257="Yes", IFERROR(VLOOKUP(D1257, Repository!A:F, 6, 0), ""), "")</f>
        <v/>
      </c>
      <c r="Q1257" s="105" t="str">
        <f>IF(F1257="Yes", IFERROR(VLOOKUP(D1257, Repository!A:I, 8, 0), ""), "")</f>
        <v/>
      </c>
      <c r="R1257" s="105" t="str">
        <f>IF(F1257="Yes", IFERROR(VLOOKUP(D1257, Repository!A:J, 9, 0), ""), "")</f>
        <v/>
      </c>
      <c r="S1257" s="105"/>
      <c r="T1257" s="105"/>
      <c r="U1257" s="105"/>
      <c r="V1257" s="105"/>
      <c r="W1257" s="105"/>
      <c r="X1257" s="105"/>
      <c r="Y1257" s="105"/>
      <c r="Z1257" s="105"/>
      <c r="AA1257" s="105"/>
      <c r="AB1257" s="105"/>
      <c r="AC1257" s="91"/>
      <c r="AD1257" s="105"/>
      <c r="AE1257" s="105"/>
      <c r="AF1257" s="91"/>
      <c r="AG1257" s="105"/>
      <c r="AH1257" s="105"/>
      <c r="AI1257" s="105" t="str">
        <f t="shared" si="1"/>
        <v/>
      </c>
      <c r="AJ1257" s="108" t="str">
        <f t="shared" si="2"/>
        <v/>
      </c>
    </row>
    <row r="1258" ht="15.75" customHeight="1">
      <c r="A1258" s="104"/>
      <c r="B1258" s="105" t="str">
        <f>IFERROR(__xludf.DUMMYFUNCTION("ARRAY_CONSTRAIN(
  ARRAYFORMULA(
    IF(
      'Final Report'!A1258="""",
      """",
      TEXTJOIN(
        "", "" &amp; CHAR(10),
        TRUE,
        IFERROR(
          VLOOKUP(
            TRIM(
              SPLIT('Final Report'!A1258, "","")
         "&amp;"   ),
            'URL Details'!A:B,
            2,
            FALSE
          ),
          """"
        )
      )
    )
  ),
  1,
  1
)
"),"")</f>
        <v/>
      </c>
      <c r="C1258" s="105" t="str">
        <f>IFERROR(__xludf.DUMMYFUNCTION("IFERROR(IF('Final Report'!A1258="""","""", TEXTJOIN(CHAR(10), TRUE, ARRAYFORMULA( ""• ""&amp; FILTER( TRIM(FLATTEN(SPLIT( REGEXREPLACE( SUBSTITUTE(TEXTJOIN("","", TRUE, IFERROR(ARRAYFORMULA(VLOOKUP(TRIM(SPLIT('Final Report'!A1258, "","")), 'URL Details'!A:D, "&amp;"4, FALSE)),"""") ), CHAR(10), "",""), ""\s*,\s*"", "",""), "",""))), TRIM(FLATTEN(SPLIT( REGEXREPLACE( SUBSTITUTE(TEXTJOIN("","", TRUE, IFERROR(ARRAYFORMULA(VLOOKUP(TRIM(SPLIT('Final Report'!A1258, "","")), 'URL Details'!A:D, 4, FALSE)),"""") ), CHAR(10),"&amp;" "",""), ""\s*,\s*"", "",""), "","")))&lt;&gt;"""" ) ) ) ),"""")
"),"")</f>
        <v/>
      </c>
      <c r="D1258" s="105"/>
      <c r="E1258" s="105"/>
      <c r="F1258" s="110" t="b">
        <v>0</v>
      </c>
      <c r="G1258" s="105" t="str">
        <f>IF(F1258=True, IFERROR(VLOOKUP(D1258, Repository!A:B, 2, 0), ""), "")</f>
        <v/>
      </c>
      <c r="H1258" s="105"/>
      <c r="I1258" s="105"/>
      <c r="J1258" s="105" t="str">
        <f>IF(F1258=True, IFERROR(VLOOKUP(D1258, Repository!A:C, 3, 0), ""), "")</f>
        <v/>
      </c>
      <c r="K1258" s="105"/>
      <c r="L1258" s="105" t="str">
        <f>IF(F1258=True, IFERROR(VLOOKUP(D1258, Repository!A:E, 5, 0), ""), "")</f>
        <v/>
      </c>
      <c r="M1258" s="105"/>
      <c r="N1258" s="105" t="str">
        <f>IF(F1258=True, IFERROR(VLOOKUP(D1258, Repository!A:G, 7, 0), ""), "")</f>
        <v/>
      </c>
      <c r="O1258" s="105" t="str">
        <f>IFERROR(__xludf.DUMMYFUNCTION("ARRAY_CONSTRAIN(
  ARRAYFORMULA(
    IFERROR(
      LET(
        list, N1258,
        arr, TRIM(SPLIT(list, "","")),
        names, XLOOKUP(
          arr,
          'Conformance Score'!A:A,
          'Conformance Score'!B:B,
          ""Not found""
     "&amp;"   ),
        TEXTJOIN("", "", TRUE, names)
      ),
      """"
    )
  ),
  1,
  1
)
"),"")</f>
        <v/>
      </c>
      <c r="P1258" s="105" t="str">
        <f>IF(F1258="Yes", IFERROR(VLOOKUP(D1258, Repository!A:F, 6, 0), ""), "")</f>
        <v/>
      </c>
      <c r="Q1258" s="105" t="str">
        <f>IF(F1258="Yes", IFERROR(VLOOKUP(D1258, Repository!A:I, 8, 0), ""), "")</f>
        <v/>
      </c>
      <c r="R1258" s="105" t="str">
        <f>IF(F1258="Yes", IFERROR(VLOOKUP(D1258, Repository!A:J, 9, 0), ""), "")</f>
        <v/>
      </c>
      <c r="S1258" s="105"/>
      <c r="T1258" s="105"/>
      <c r="U1258" s="105"/>
      <c r="V1258" s="105"/>
      <c r="W1258" s="105"/>
      <c r="X1258" s="105"/>
      <c r="Y1258" s="105"/>
      <c r="Z1258" s="105"/>
      <c r="AA1258" s="105"/>
      <c r="AB1258" s="105"/>
      <c r="AC1258" s="91"/>
      <c r="AD1258" s="105"/>
      <c r="AE1258" s="105"/>
      <c r="AF1258" s="91"/>
      <c r="AG1258" s="105"/>
      <c r="AH1258" s="105"/>
      <c r="AI1258" s="105" t="str">
        <f t="shared" si="1"/>
        <v/>
      </c>
      <c r="AJ1258" s="108" t="str">
        <f t="shared" si="2"/>
        <v/>
      </c>
    </row>
    <row r="1259" ht="15.75" customHeight="1">
      <c r="A1259" s="104"/>
      <c r="B1259" s="105" t="str">
        <f>IFERROR(__xludf.DUMMYFUNCTION("ARRAY_CONSTRAIN(
  ARRAYFORMULA(
    IF(
      'Final Report'!A1259="""",
      """",
      TEXTJOIN(
        "", "" &amp; CHAR(10),
        TRUE,
        IFERROR(
          VLOOKUP(
            TRIM(
              SPLIT('Final Report'!A1259, "","")
         "&amp;"   ),
            'URL Details'!A:B,
            2,
            FALSE
          ),
          """"
        )
      )
    )
  ),
  1,
  1
)
"),"")</f>
        <v/>
      </c>
      <c r="C1259" s="105" t="str">
        <f>IFERROR(__xludf.DUMMYFUNCTION("IFERROR(IF('Final Report'!A1259="""","""", TEXTJOIN(CHAR(10), TRUE, ARRAYFORMULA( ""• ""&amp; FILTER( TRIM(FLATTEN(SPLIT( REGEXREPLACE( SUBSTITUTE(TEXTJOIN("","", TRUE, IFERROR(ARRAYFORMULA(VLOOKUP(TRIM(SPLIT('Final Report'!A1259, "","")), 'URL Details'!A:D, "&amp;"4, FALSE)),"""") ), CHAR(10), "",""), ""\s*,\s*"", "",""), "",""))), TRIM(FLATTEN(SPLIT( REGEXREPLACE( SUBSTITUTE(TEXTJOIN("","", TRUE, IFERROR(ARRAYFORMULA(VLOOKUP(TRIM(SPLIT('Final Report'!A1259, "","")), 'URL Details'!A:D, 4, FALSE)),"""") ), CHAR(10),"&amp;" "",""), ""\s*,\s*"", "",""), "","")))&lt;&gt;"""" ) ) ) ),"""")
"),"")</f>
        <v/>
      </c>
      <c r="D1259" s="105"/>
      <c r="E1259" s="105"/>
      <c r="F1259" s="110" t="b">
        <v>0</v>
      </c>
      <c r="G1259" s="105" t="str">
        <f>IF(F1259=True, IFERROR(VLOOKUP(D1259, Repository!A:B, 2, 0), ""), "")</f>
        <v/>
      </c>
      <c r="H1259" s="105"/>
      <c r="I1259" s="105"/>
      <c r="J1259" s="105" t="str">
        <f>IF(F1259=True, IFERROR(VLOOKUP(D1259, Repository!A:C, 3, 0), ""), "")</f>
        <v/>
      </c>
      <c r="K1259" s="105"/>
      <c r="L1259" s="105" t="str">
        <f>IF(F1259=True, IFERROR(VLOOKUP(D1259, Repository!A:E, 5, 0), ""), "")</f>
        <v/>
      </c>
      <c r="M1259" s="105"/>
      <c r="N1259" s="105" t="str">
        <f>IF(F1259=True, IFERROR(VLOOKUP(D1259, Repository!A:G, 7, 0), ""), "")</f>
        <v/>
      </c>
      <c r="O1259" s="105" t="str">
        <f>IFERROR(__xludf.DUMMYFUNCTION("ARRAY_CONSTRAIN(
  ARRAYFORMULA(
    IFERROR(
      LET(
        list, N1259,
        arr, TRIM(SPLIT(list, "","")),
        names, XLOOKUP(
          arr,
          'Conformance Score'!A:A,
          'Conformance Score'!B:B,
          ""Not found""
     "&amp;"   ),
        TEXTJOIN("", "", TRUE, names)
      ),
      """"
    )
  ),
  1,
  1
)
"),"")</f>
        <v/>
      </c>
      <c r="P1259" s="105" t="str">
        <f>IF(F1259="Yes", IFERROR(VLOOKUP(D1259, Repository!A:F, 6, 0), ""), "")</f>
        <v/>
      </c>
      <c r="Q1259" s="105" t="str">
        <f>IF(F1259="Yes", IFERROR(VLOOKUP(D1259, Repository!A:I, 8, 0), ""), "")</f>
        <v/>
      </c>
      <c r="R1259" s="105" t="str">
        <f>IF(F1259="Yes", IFERROR(VLOOKUP(D1259, Repository!A:J, 9, 0), ""), "")</f>
        <v/>
      </c>
      <c r="S1259" s="105"/>
      <c r="T1259" s="105"/>
      <c r="U1259" s="105"/>
      <c r="V1259" s="105"/>
      <c r="W1259" s="105"/>
      <c r="X1259" s="105"/>
      <c r="Y1259" s="105"/>
      <c r="Z1259" s="105"/>
      <c r="AA1259" s="105"/>
      <c r="AB1259" s="105"/>
      <c r="AC1259" s="91"/>
      <c r="AD1259" s="105"/>
      <c r="AE1259" s="105"/>
      <c r="AF1259" s="91"/>
      <c r="AG1259" s="105"/>
      <c r="AH1259" s="105"/>
      <c r="AI1259" s="105" t="str">
        <f t="shared" si="1"/>
        <v/>
      </c>
      <c r="AJ1259" s="108" t="str">
        <f t="shared" si="2"/>
        <v/>
      </c>
    </row>
    <row r="1260" ht="15.75" customHeight="1">
      <c r="A1260" s="104"/>
      <c r="B1260" s="105" t="str">
        <f>IFERROR(__xludf.DUMMYFUNCTION("ARRAY_CONSTRAIN(
  ARRAYFORMULA(
    IF(
      'Final Report'!A1260="""",
      """",
      TEXTJOIN(
        "", "" &amp; CHAR(10),
        TRUE,
        IFERROR(
          VLOOKUP(
            TRIM(
              SPLIT('Final Report'!A1260, "","")
         "&amp;"   ),
            'URL Details'!A:B,
            2,
            FALSE
          ),
          """"
        )
      )
    )
  ),
  1,
  1
)
"),"")</f>
        <v/>
      </c>
      <c r="C1260" s="105" t="str">
        <f>IFERROR(__xludf.DUMMYFUNCTION("IFERROR(IF('Final Report'!A1260="""","""", TEXTJOIN(CHAR(10), TRUE, ARRAYFORMULA( ""• ""&amp; FILTER( TRIM(FLATTEN(SPLIT( REGEXREPLACE( SUBSTITUTE(TEXTJOIN("","", TRUE, IFERROR(ARRAYFORMULA(VLOOKUP(TRIM(SPLIT('Final Report'!A1260, "","")), 'URL Details'!A:D, "&amp;"4, FALSE)),"""") ), CHAR(10), "",""), ""\s*,\s*"", "",""), "",""))), TRIM(FLATTEN(SPLIT( REGEXREPLACE( SUBSTITUTE(TEXTJOIN("","", TRUE, IFERROR(ARRAYFORMULA(VLOOKUP(TRIM(SPLIT('Final Report'!A1260, "","")), 'URL Details'!A:D, 4, FALSE)),"""") ), CHAR(10),"&amp;" "",""), ""\s*,\s*"", "",""), "","")))&lt;&gt;"""" ) ) ) ),"""")
"),"")</f>
        <v/>
      </c>
      <c r="D1260" s="105"/>
      <c r="E1260" s="105"/>
      <c r="F1260" s="110" t="b">
        <v>0</v>
      </c>
      <c r="G1260" s="105" t="str">
        <f>IF(F1260=True, IFERROR(VLOOKUP(D1260, Repository!A:B, 2, 0), ""), "")</f>
        <v/>
      </c>
      <c r="H1260" s="105"/>
      <c r="I1260" s="105"/>
      <c r="J1260" s="105" t="str">
        <f>IF(F1260=True, IFERROR(VLOOKUP(D1260, Repository!A:C, 3, 0), ""), "")</f>
        <v/>
      </c>
      <c r="K1260" s="105"/>
      <c r="L1260" s="105" t="str">
        <f>IF(F1260=True, IFERROR(VLOOKUP(D1260, Repository!A:E, 5, 0), ""), "")</f>
        <v/>
      </c>
      <c r="M1260" s="105"/>
      <c r="N1260" s="105" t="str">
        <f>IF(F1260=True, IFERROR(VLOOKUP(D1260, Repository!A:G, 7, 0), ""), "")</f>
        <v/>
      </c>
      <c r="O1260" s="105" t="str">
        <f>IFERROR(__xludf.DUMMYFUNCTION("ARRAY_CONSTRAIN(
  ARRAYFORMULA(
    IFERROR(
      LET(
        list, N1260,
        arr, TRIM(SPLIT(list, "","")),
        names, XLOOKUP(
          arr,
          'Conformance Score'!A:A,
          'Conformance Score'!B:B,
          ""Not found""
     "&amp;"   ),
        TEXTJOIN("", "", TRUE, names)
      ),
      """"
    )
  ),
  1,
  1
)
"),"")</f>
        <v/>
      </c>
      <c r="P1260" s="105" t="str">
        <f>IF(F1260="Yes", IFERROR(VLOOKUP(D1260, Repository!A:F, 6, 0), ""), "")</f>
        <v/>
      </c>
      <c r="Q1260" s="105" t="str">
        <f>IF(F1260="Yes", IFERROR(VLOOKUP(D1260, Repository!A:I, 8, 0), ""), "")</f>
        <v/>
      </c>
      <c r="R1260" s="105" t="str">
        <f>IF(F1260="Yes", IFERROR(VLOOKUP(D1260, Repository!A:J, 9, 0), ""), "")</f>
        <v/>
      </c>
      <c r="S1260" s="105"/>
      <c r="T1260" s="105"/>
      <c r="U1260" s="105"/>
      <c r="V1260" s="105"/>
      <c r="W1260" s="105"/>
      <c r="X1260" s="105"/>
      <c r="Y1260" s="105"/>
      <c r="Z1260" s="105"/>
      <c r="AA1260" s="105"/>
      <c r="AB1260" s="105"/>
      <c r="AC1260" s="91"/>
      <c r="AD1260" s="105"/>
      <c r="AE1260" s="105"/>
      <c r="AF1260" s="91"/>
      <c r="AG1260" s="105"/>
      <c r="AH1260" s="105"/>
      <c r="AI1260" s="105" t="str">
        <f t="shared" si="1"/>
        <v/>
      </c>
      <c r="AJ1260" s="108" t="str">
        <f t="shared" si="2"/>
        <v/>
      </c>
    </row>
    <row r="1261" ht="15.75" customHeight="1">
      <c r="A1261" s="104"/>
      <c r="B1261" s="105" t="str">
        <f>IFERROR(__xludf.DUMMYFUNCTION("ARRAY_CONSTRAIN(
  ARRAYFORMULA(
    IF(
      'Final Report'!A1261="""",
      """",
      TEXTJOIN(
        "", "" &amp; CHAR(10),
        TRUE,
        IFERROR(
          VLOOKUP(
            TRIM(
              SPLIT('Final Report'!A1261, "","")
         "&amp;"   ),
            'URL Details'!A:B,
            2,
            FALSE
          ),
          """"
        )
      )
    )
  ),
  1,
  1
)
"),"")</f>
        <v/>
      </c>
      <c r="C1261" s="105" t="str">
        <f>IFERROR(__xludf.DUMMYFUNCTION("IFERROR(IF('Final Report'!A1261="""","""", TEXTJOIN(CHAR(10), TRUE, ARRAYFORMULA( ""• ""&amp; FILTER( TRIM(FLATTEN(SPLIT( REGEXREPLACE( SUBSTITUTE(TEXTJOIN("","", TRUE, IFERROR(ARRAYFORMULA(VLOOKUP(TRIM(SPLIT('Final Report'!A1261, "","")), 'URL Details'!A:D, "&amp;"4, FALSE)),"""") ), CHAR(10), "",""), ""\s*,\s*"", "",""), "",""))), TRIM(FLATTEN(SPLIT( REGEXREPLACE( SUBSTITUTE(TEXTJOIN("","", TRUE, IFERROR(ARRAYFORMULA(VLOOKUP(TRIM(SPLIT('Final Report'!A1261, "","")), 'URL Details'!A:D, 4, FALSE)),"""") ), CHAR(10),"&amp;" "",""), ""\s*,\s*"", "",""), "","")))&lt;&gt;"""" ) ) ) ),"""")
"),"")</f>
        <v/>
      </c>
      <c r="D1261" s="105"/>
      <c r="E1261" s="105"/>
      <c r="F1261" s="110" t="b">
        <v>0</v>
      </c>
      <c r="G1261" s="105" t="str">
        <f>IF(F1261=True, IFERROR(VLOOKUP(D1261, Repository!A:B, 2, 0), ""), "")</f>
        <v/>
      </c>
      <c r="H1261" s="105"/>
      <c r="I1261" s="105"/>
      <c r="J1261" s="105" t="str">
        <f>IF(F1261=True, IFERROR(VLOOKUP(D1261, Repository!A:C, 3, 0), ""), "")</f>
        <v/>
      </c>
      <c r="K1261" s="105"/>
      <c r="L1261" s="105" t="str">
        <f>IF(F1261=True, IFERROR(VLOOKUP(D1261, Repository!A:E, 5, 0), ""), "")</f>
        <v/>
      </c>
      <c r="M1261" s="105"/>
      <c r="N1261" s="105" t="str">
        <f>IF(F1261=True, IFERROR(VLOOKUP(D1261, Repository!A:G, 7, 0), ""), "")</f>
        <v/>
      </c>
      <c r="O1261" s="105" t="str">
        <f>IFERROR(__xludf.DUMMYFUNCTION("ARRAY_CONSTRAIN(
  ARRAYFORMULA(
    IFERROR(
      LET(
        list, N1261,
        arr, TRIM(SPLIT(list, "","")),
        names, XLOOKUP(
          arr,
          'Conformance Score'!A:A,
          'Conformance Score'!B:B,
          ""Not found""
     "&amp;"   ),
        TEXTJOIN("", "", TRUE, names)
      ),
      """"
    )
  ),
  1,
  1
)
"),"")</f>
        <v/>
      </c>
      <c r="P1261" s="105" t="str">
        <f>IF(F1261="Yes", IFERROR(VLOOKUP(D1261, Repository!A:F, 6, 0), ""), "")</f>
        <v/>
      </c>
      <c r="Q1261" s="105" t="str">
        <f>IF(F1261="Yes", IFERROR(VLOOKUP(D1261, Repository!A:I, 8, 0), ""), "")</f>
        <v/>
      </c>
      <c r="R1261" s="105" t="str">
        <f>IF(F1261="Yes", IFERROR(VLOOKUP(D1261, Repository!A:J, 9, 0), ""), "")</f>
        <v/>
      </c>
      <c r="S1261" s="105"/>
      <c r="T1261" s="105"/>
      <c r="U1261" s="105"/>
      <c r="V1261" s="105"/>
      <c r="W1261" s="105"/>
      <c r="X1261" s="105"/>
      <c r="Y1261" s="105"/>
      <c r="Z1261" s="105"/>
      <c r="AA1261" s="105"/>
      <c r="AB1261" s="105"/>
      <c r="AC1261" s="91"/>
      <c r="AD1261" s="105"/>
      <c r="AE1261" s="105"/>
      <c r="AF1261" s="91"/>
      <c r="AG1261" s="105"/>
      <c r="AH1261" s="105"/>
      <c r="AI1261" s="105" t="str">
        <f t="shared" si="1"/>
        <v/>
      </c>
      <c r="AJ1261" s="108" t="str">
        <f t="shared" si="2"/>
        <v/>
      </c>
    </row>
    <row r="1262" ht="15.75" customHeight="1">
      <c r="A1262" s="104"/>
      <c r="B1262" s="105" t="str">
        <f>IFERROR(__xludf.DUMMYFUNCTION("ARRAY_CONSTRAIN(
  ARRAYFORMULA(
    IF(
      'Final Report'!A1262="""",
      """",
      TEXTJOIN(
        "", "" &amp; CHAR(10),
        TRUE,
        IFERROR(
          VLOOKUP(
            TRIM(
              SPLIT('Final Report'!A1262, "","")
         "&amp;"   ),
            'URL Details'!A:B,
            2,
            FALSE
          ),
          """"
        )
      )
    )
  ),
  1,
  1
)
"),"")</f>
        <v/>
      </c>
      <c r="C1262" s="105" t="str">
        <f>IFERROR(__xludf.DUMMYFUNCTION("IFERROR(IF('Final Report'!A1262="""","""", TEXTJOIN(CHAR(10), TRUE, ARRAYFORMULA( ""• ""&amp; FILTER( TRIM(FLATTEN(SPLIT( REGEXREPLACE( SUBSTITUTE(TEXTJOIN("","", TRUE, IFERROR(ARRAYFORMULA(VLOOKUP(TRIM(SPLIT('Final Report'!A1262, "","")), 'URL Details'!A:D, "&amp;"4, FALSE)),"""") ), CHAR(10), "",""), ""\s*,\s*"", "",""), "",""))), TRIM(FLATTEN(SPLIT( REGEXREPLACE( SUBSTITUTE(TEXTJOIN("","", TRUE, IFERROR(ARRAYFORMULA(VLOOKUP(TRIM(SPLIT('Final Report'!A1262, "","")), 'URL Details'!A:D, 4, FALSE)),"""") ), CHAR(10),"&amp;" "",""), ""\s*,\s*"", "",""), "","")))&lt;&gt;"""" ) ) ) ),"""")
"),"")</f>
        <v/>
      </c>
      <c r="D1262" s="105"/>
      <c r="E1262" s="105"/>
      <c r="F1262" s="110" t="b">
        <v>0</v>
      </c>
      <c r="G1262" s="105" t="str">
        <f>IF(F1262=True, IFERROR(VLOOKUP(D1262, Repository!A:B, 2, 0), ""), "")</f>
        <v/>
      </c>
      <c r="H1262" s="105"/>
      <c r="I1262" s="105"/>
      <c r="J1262" s="105" t="str">
        <f>IF(F1262=True, IFERROR(VLOOKUP(D1262, Repository!A:C, 3, 0), ""), "")</f>
        <v/>
      </c>
      <c r="K1262" s="105"/>
      <c r="L1262" s="105" t="str">
        <f>IF(F1262=True, IFERROR(VLOOKUP(D1262, Repository!A:E, 5, 0), ""), "")</f>
        <v/>
      </c>
      <c r="M1262" s="105"/>
      <c r="N1262" s="105" t="str">
        <f>IF(F1262=True, IFERROR(VLOOKUP(D1262, Repository!A:G, 7, 0), ""), "")</f>
        <v/>
      </c>
      <c r="O1262" s="105" t="str">
        <f>IFERROR(__xludf.DUMMYFUNCTION("ARRAY_CONSTRAIN(
  ARRAYFORMULA(
    IFERROR(
      LET(
        list, N1262,
        arr, TRIM(SPLIT(list, "","")),
        names, XLOOKUP(
          arr,
          'Conformance Score'!A:A,
          'Conformance Score'!B:B,
          ""Not found""
     "&amp;"   ),
        TEXTJOIN("", "", TRUE, names)
      ),
      """"
    )
  ),
  1,
  1
)
"),"")</f>
        <v/>
      </c>
      <c r="P1262" s="105" t="str">
        <f>IF(F1262="Yes", IFERROR(VLOOKUP(D1262, Repository!A:F, 6, 0), ""), "")</f>
        <v/>
      </c>
      <c r="Q1262" s="105" t="str">
        <f>IF(F1262="Yes", IFERROR(VLOOKUP(D1262, Repository!A:I, 8, 0), ""), "")</f>
        <v/>
      </c>
      <c r="R1262" s="105" t="str">
        <f>IF(F1262="Yes", IFERROR(VLOOKUP(D1262, Repository!A:J, 9, 0), ""), "")</f>
        <v/>
      </c>
      <c r="S1262" s="105"/>
      <c r="T1262" s="105"/>
      <c r="U1262" s="105"/>
      <c r="V1262" s="105"/>
      <c r="W1262" s="105"/>
      <c r="X1262" s="105"/>
      <c r="Y1262" s="105"/>
      <c r="Z1262" s="105"/>
      <c r="AA1262" s="105"/>
      <c r="AB1262" s="105"/>
      <c r="AC1262" s="91"/>
      <c r="AD1262" s="105"/>
      <c r="AE1262" s="105"/>
      <c r="AF1262" s="91"/>
      <c r="AG1262" s="105"/>
      <c r="AH1262" s="105"/>
      <c r="AI1262" s="105" t="str">
        <f t="shared" si="1"/>
        <v/>
      </c>
      <c r="AJ1262" s="108" t="str">
        <f t="shared" si="2"/>
        <v/>
      </c>
    </row>
    <row r="1263" ht="15.75" customHeight="1">
      <c r="A1263" s="104"/>
      <c r="B1263" s="105" t="str">
        <f>IFERROR(__xludf.DUMMYFUNCTION("ARRAY_CONSTRAIN(
  ARRAYFORMULA(
    IF(
      'Final Report'!A1263="""",
      """",
      TEXTJOIN(
        "", "" &amp; CHAR(10),
        TRUE,
        IFERROR(
          VLOOKUP(
            TRIM(
              SPLIT('Final Report'!A1263, "","")
         "&amp;"   ),
            'URL Details'!A:B,
            2,
            FALSE
          ),
          """"
        )
      )
    )
  ),
  1,
  1
)
"),"")</f>
        <v/>
      </c>
      <c r="C1263" s="105" t="str">
        <f>IFERROR(__xludf.DUMMYFUNCTION("IFERROR(IF('Final Report'!A1263="""","""", TEXTJOIN(CHAR(10), TRUE, ARRAYFORMULA( ""• ""&amp; FILTER( TRIM(FLATTEN(SPLIT( REGEXREPLACE( SUBSTITUTE(TEXTJOIN("","", TRUE, IFERROR(ARRAYFORMULA(VLOOKUP(TRIM(SPLIT('Final Report'!A1263, "","")), 'URL Details'!A:D, "&amp;"4, FALSE)),"""") ), CHAR(10), "",""), ""\s*,\s*"", "",""), "",""))), TRIM(FLATTEN(SPLIT( REGEXREPLACE( SUBSTITUTE(TEXTJOIN("","", TRUE, IFERROR(ARRAYFORMULA(VLOOKUP(TRIM(SPLIT('Final Report'!A1263, "","")), 'URL Details'!A:D, 4, FALSE)),"""") ), CHAR(10),"&amp;" "",""), ""\s*,\s*"", "",""), "","")))&lt;&gt;"""" ) ) ) ),"""")
"),"")</f>
        <v/>
      </c>
      <c r="D1263" s="105"/>
      <c r="E1263" s="105"/>
      <c r="F1263" s="110" t="b">
        <v>0</v>
      </c>
      <c r="G1263" s="105" t="str">
        <f>IF(F1263=True, IFERROR(VLOOKUP(D1263, Repository!A:B, 2, 0), ""), "")</f>
        <v/>
      </c>
      <c r="H1263" s="105"/>
      <c r="I1263" s="105"/>
      <c r="J1263" s="105" t="str">
        <f>IF(F1263=True, IFERROR(VLOOKUP(D1263, Repository!A:C, 3, 0), ""), "")</f>
        <v/>
      </c>
      <c r="K1263" s="105"/>
      <c r="L1263" s="105" t="str">
        <f>IF(F1263=True, IFERROR(VLOOKUP(D1263, Repository!A:E, 5, 0), ""), "")</f>
        <v/>
      </c>
      <c r="M1263" s="105"/>
      <c r="N1263" s="105" t="str">
        <f>IF(F1263=True, IFERROR(VLOOKUP(D1263, Repository!A:G, 7, 0), ""), "")</f>
        <v/>
      </c>
      <c r="O1263" s="105" t="str">
        <f>IFERROR(__xludf.DUMMYFUNCTION("ARRAY_CONSTRAIN(
  ARRAYFORMULA(
    IFERROR(
      LET(
        list, N1263,
        arr, TRIM(SPLIT(list, "","")),
        names, XLOOKUP(
          arr,
          'Conformance Score'!A:A,
          'Conformance Score'!B:B,
          ""Not found""
     "&amp;"   ),
        TEXTJOIN("", "", TRUE, names)
      ),
      """"
    )
  ),
  1,
  1
)
"),"")</f>
        <v/>
      </c>
      <c r="P1263" s="105" t="str">
        <f>IF(F1263="Yes", IFERROR(VLOOKUP(D1263, Repository!A:F, 6, 0), ""), "")</f>
        <v/>
      </c>
      <c r="Q1263" s="105" t="str">
        <f>IF(F1263="Yes", IFERROR(VLOOKUP(D1263, Repository!A:I, 8, 0), ""), "")</f>
        <v/>
      </c>
      <c r="R1263" s="105" t="str">
        <f>IF(F1263="Yes", IFERROR(VLOOKUP(D1263, Repository!A:J, 9, 0), ""), "")</f>
        <v/>
      </c>
      <c r="S1263" s="105"/>
      <c r="T1263" s="105"/>
      <c r="U1263" s="105"/>
      <c r="V1263" s="105"/>
      <c r="W1263" s="105"/>
      <c r="X1263" s="105"/>
      <c r="Y1263" s="105"/>
      <c r="Z1263" s="105"/>
      <c r="AA1263" s="105"/>
      <c r="AB1263" s="105"/>
      <c r="AC1263" s="91"/>
      <c r="AD1263" s="105"/>
      <c r="AE1263" s="105"/>
      <c r="AF1263" s="91"/>
      <c r="AG1263" s="105"/>
      <c r="AH1263" s="105"/>
      <c r="AI1263" s="105" t="str">
        <f t="shared" si="1"/>
        <v/>
      </c>
      <c r="AJ1263" s="108" t="str">
        <f t="shared" si="2"/>
        <v/>
      </c>
    </row>
    <row r="1264" ht="15.75" customHeight="1">
      <c r="A1264" s="104"/>
      <c r="B1264" s="105" t="str">
        <f>IFERROR(__xludf.DUMMYFUNCTION("ARRAY_CONSTRAIN(
  ARRAYFORMULA(
    IF(
      'Final Report'!A1264="""",
      """",
      TEXTJOIN(
        "", "" &amp; CHAR(10),
        TRUE,
        IFERROR(
          VLOOKUP(
            TRIM(
              SPLIT('Final Report'!A1264, "","")
         "&amp;"   ),
            'URL Details'!A:B,
            2,
            FALSE
          ),
          """"
        )
      )
    )
  ),
  1,
  1
)
"),"")</f>
        <v/>
      </c>
      <c r="C1264" s="105" t="str">
        <f>IFERROR(__xludf.DUMMYFUNCTION("IFERROR(IF('Final Report'!A1264="""","""", TEXTJOIN(CHAR(10), TRUE, ARRAYFORMULA( ""• ""&amp; FILTER( TRIM(FLATTEN(SPLIT( REGEXREPLACE( SUBSTITUTE(TEXTJOIN("","", TRUE, IFERROR(ARRAYFORMULA(VLOOKUP(TRIM(SPLIT('Final Report'!A1264, "","")), 'URL Details'!A:D, "&amp;"4, FALSE)),"""") ), CHAR(10), "",""), ""\s*,\s*"", "",""), "",""))), TRIM(FLATTEN(SPLIT( REGEXREPLACE( SUBSTITUTE(TEXTJOIN("","", TRUE, IFERROR(ARRAYFORMULA(VLOOKUP(TRIM(SPLIT('Final Report'!A1264, "","")), 'URL Details'!A:D, 4, FALSE)),"""") ), CHAR(10),"&amp;" "",""), ""\s*,\s*"", "",""), "","")))&lt;&gt;"""" ) ) ) ),"""")
"),"")</f>
        <v/>
      </c>
      <c r="D1264" s="105"/>
      <c r="E1264" s="105"/>
      <c r="F1264" s="110" t="b">
        <v>0</v>
      </c>
      <c r="G1264" s="105" t="str">
        <f>IF(F1264=True, IFERROR(VLOOKUP(D1264, Repository!A:B, 2, 0), ""), "")</f>
        <v/>
      </c>
      <c r="H1264" s="105"/>
      <c r="I1264" s="105"/>
      <c r="J1264" s="105" t="str">
        <f>IF(F1264=True, IFERROR(VLOOKUP(D1264, Repository!A:C, 3, 0), ""), "")</f>
        <v/>
      </c>
      <c r="K1264" s="105"/>
      <c r="L1264" s="105" t="str">
        <f>IF(F1264=True, IFERROR(VLOOKUP(D1264, Repository!A:E, 5, 0), ""), "")</f>
        <v/>
      </c>
      <c r="M1264" s="105"/>
      <c r="N1264" s="105" t="str">
        <f>IF(F1264=True, IFERROR(VLOOKUP(D1264, Repository!A:G, 7, 0), ""), "")</f>
        <v/>
      </c>
      <c r="O1264" s="105" t="str">
        <f>IFERROR(__xludf.DUMMYFUNCTION("ARRAY_CONSTRAIN(
  ARRAYFORMULA(
    IFERROR(
      LET(
        list, N1264,
        arr, TRIM(SPLIT(list, "","")),
        names, XLOOKUP(
          arr,
          'Conformance Score'!A:A,
          'Conformance Score'!B:B,
          ""Not found""
     "&amp;"   ),
        TEXTJOIN("", "", TRUE, names)
      ),
      """"
    )
  ),
  1,
  1
)
"),"")</f>
        <v/>
      </c>
      <c r="P1264" s="105" t="str">
        <f>IF(F1264="Yes", IFERROR(VLOOKUP(D1264, Repository!A:F, 6, 0), ""), "")</f>
        <v/>
      </c>
      <c r="Q1264" s="105" t="str">
        <f>IF(F1264="Yes", IFERROR(VLOOKUP(D1264, Repository!A:I, 8, 0), ""), "")</f>
        <v/>
      </c>
      <c r="R1264" s="105" t="str">
        <f>IF(F1264="Yes", IFERROR(VLOOKUP(D1264, Repository!A:J, 9, 0), ""), "")</f>
        <v/>
      </c>
      <c r="S1264" s="105"/>
      <c r="T1264" s="105"/>
      <c r="U1264" s="105"/>
      <c r="V1264" s="105"/>
      <c r="W1264" s="105"/>
      <c r="X1264" s="105"/>
      <c r="Y1264" s="105"/>
      <c r="Z1264" s="105"/>
      <c r="AA1264" s="105"/>
      <c r="AB1264" s="105"/>
      <c r="AC1264" s="91"/>
      <c r="AD1264" s="105"/>
      <c r="AE1264" s="105"/>
      <c r="AF1264" s="91"/>
      <c r="AG1264" s="105"/>
      <c r="AH1264" s="105"/>
      <c r="AI1264" s="105" t="str">
        <f t="shared" si="1"/>
        <v/>
      </c>
      <c r="AJ1264" s="108" t="str">
        <f t="shared" si="2"/>
        <v/>
      </c>
    </row>
    <row r="1265" ht="15.75" customHeight="1">
      <c r="A1265" s="104"/>
      <c r="B1265" s="105" t="str">
        <f>IFERROR(__xludf.DUMMYFUNCTION("ARRAY_CONSTRAIN(
  ARRAYFORMULA(
    IF(
      'Final Report'!A1265="""",
      """",
      TEXTJOIN(
        "", "" &amp; CHAR(10),
        TRUE,
        IFERROR(
          VLOOKUP(
            TRIM(
              SPLIT('Final Report'!A1265, "","")
         "&amp;"   ),
            'URL Details'!A:B,
            2,
            FALSE
          ),
          """"
        )
      )
    )
  ),
  1,
  1
)
"),"")</f>
        <v/>
      </c>
      <c r="C1265" s="105" t="str">
        <f>IFERROR(__xludf.DUMMYFUNCTION("IFERROR(IF('Final Report'!A1265="""","""", TEXTJOIN(CHAR(10), TRUE, ARRAYFORMULA( ""• ""&amp; FILTER( TRIM(FLATTEN(SPLIT( REGEXREPLACE( SUBSTITUTE(TEXTJOIN("","", TRUE, IFERROR(ARRAYFORMULA(VLOOKUP(TRIM(SPLIT('Final Report'!A1265, "","")), 'URL Details'!A:D, "&amp;"4, FALSE)),"""") ), CHAR(10), "",""), ""\s*,\s*"", "",""), "",""))), TRIM(FLATTEN(SPLIT( REGEXREPLACE( SUBSTITUTE(TEXTJOIN("","", TRUE, IFERROR(ARRAYFORMULA(VLOOKUP(TRIM(SPLIT('Final Report'!A1265, "","")), 'URL Details'!A:D, 4, FALSE)),"""") ), CHAR(10),"&amp;" "",""), ""\s*,\s*"", "",""), "","")))&lt;&gt;"""" ) ) ) ),"""")
"),"")</f>
        <v/>
      </c>
      <c r="D1265" s="105"/>
      <c r="E1265" s="105"/>
      <c r="F1265" s="110" t="b">
        <v>0</v>
      </c>
      <c r="G1265" s="105" t="str">
        <f>IF(F1265=True, IFERROR(VLOOKUP(D1265, Repository!A:B, 2, 0), ""), "")</f>
        <v/>
      </c>
      <c r="H1265" s="105"/>
      <c r="I1265" s="105"/>
      <c r="J1265" s="105" t="str">
        <f>IF(F1265=True, IFERROR(VLOOKUP(D1265, Repository!A:C, 3, 0), ""), "")</f>
        <v/>
      </c>
      <c r="K1265" s="105"/>
      <c r="L1265" s="105" t="str">
        <f>IF(F1265=True, IFERROR(VLOOKUP(D1265, Repository!A:E, 5, 0), ""), "")</f>
        <v/>
      </c>
      <c r="M1265" s="105"/>
      <c r="N1265" s="105" t="str">
        <f>IF(F1265=True, IFERROR(VLOOKUP(D1265, Repository!A:G, 7, 0), ""), "")</f>
        <v/>
      </c>
      <c r="O1265" s="105" t="str">
        <f>IFERROR(__xludf.DUMMYFUNCTION("ARRAY_CONSTRAIN(
  ARRAYFORMULA(
    IFERROR(
      LET(
        list, N1265,
        arr, TRIM(SPLIT(list, "","")),
        names, XLOOKUP(
          arr,
          'Conformance Score'!A:A,
          'Conformance Score'!B:B,
          ""Not found""
     "&amp;"   ),
        TEXTJOIN("", "", TRUE, names)
      ),
      """"
    )
  ),
  1,
  1
)
"),"")</f>
        <v/>
      </c>
      <c r="P1265" s="105" t="str">
        <f>IF(F1265="Yes", IFERROR(VLOOKUP(D1265, Repository!A:F, 6, 0), ""), "")</f>
        <v/>
      </c>
      <c r="Q1265" s="105" t="str">
        <f>IF(F1265="Yes", IFERROR(VLOOKUP(D1265, Repository!A:I, 8, 0), ""), "")</f>
        <v/>
      </c>
      <c r="R1265" s="105" t="str">
        <f>IF(F1265="Yes", IFERROR(VLOOKUP(D1265, Repository!A:J, 9, 0), ""), "")</f>
        <v/>
      </c>
      <c r="S1265" s="105"/>
      <c r="T1265" s="105"/>
      <c r="U1265" s="105"/>
      <c r="V1265" s="105"/>
      <c r="W1265" s="105"/>
      <c r="X1265" s="105"/>
      <c r="Y1265" s="105"/>
      <c r="Z1265" s="105"/>
      <c r="AA1265" s="105"/>
      <c r="AB1265" s="105"/>
      <c r="AC1265" s="91"/>
      <c r="AD1265" s="105"/>
      <c r="AE1265" s="105"/>
      <c r="AF1265" s="91"/>
      <c r="AG1265" s="105"/>
      <c r="AH1265" s="105"/>
      <c r="AI1265" s="105" t="str">
        <f t="shared" si="1"/>
        <v/>
      </c>
      <c r="AJ1265" s="108" t="str">
        <f t="shared" si="2"/>
        <v/>
      </c>
    </row>
    <row r="1266" ht="15.75" customHeight="1">
      <c r="A1266" s="104"/>
      <c r="B1266" s="105" t="str">
        <f>IFERROR(__xludf.DUMMYFUNCTION("ARRAY_CONSTRAIN(
  ARRAYFORMULA(
    IF(
      'Final Report'!A1266="""",
      """",
      TEXTJOIN(
        "", "" &amp; CHAR(10),
        TRUE,
        IFERROR(
          VLOOKUP(
            TRIM(
              SPLIT('Final Report'!A1266, "","")
         "&amp;"   ),
            'URL Details'!A:B,
            2,
            FALSE
          ),
          """"
        )
      )
    )
  ),
  1,
  1
)
"),"")</f>
        <v/>
      </c>
      <c r="C1266" s="105" t="str">
        <f>IFERROR(__xludf.DUMMYFUNCTION("IFERROR(IF('Final Report'!A1266="""","""", TEXTJOIN(CHAR(10), TRUE, ARRAYFORMULA( ""• ""&amp; FILTER( TRIM(FLATTEN(SPLIT( REGEXREPLACE( SUBSTITUTE(TEXTJOIN("","", TRUE, IFERROR(ARRAYFORMULA(VLOOKUP(TRIM(SPLIT('Final Report'!A1266, "","")), 'URL Details'!A:D, "&amp;"4, FALSE)),"""") ), CHAR(10), "",""), ""\s*,\s*"", "",""), "",""))), TRIM(FLATTEN(SPLIT( REGEXREPLACE( SUBSTITUTE(TEXTJOIN("","", TRUE, IFERROR(ARRAYFORMULA(VLOOKUP(TRIM(SPLIT('Final Report'!A1266, "","")), 'URL Details'!A:D, 4, FALSE)),"""") ), CHAR(10),"&amp;" "",""), ""\s*,\s*"", "",""), "","")))&lt;&gt;"""" ) ) ) ),"""")
"),"")</f>
        <v/>
      </c>
      <c r="D1266" s="105"/>
      <c r="E1266" s="105"/>
      <c r="F1266" s="110" t="b">
        <v>0</v>
      </c>
      <c r="G1266" s="105" t="str">
        <f>IF(F1266=True, IFERROR(VLOOKUP(D1266, Repository!A:B, 2, 0), ""), "")</f>
        <v/>
      </c>
      <c r="H1266" s="105"/>
      <c r="I1266" s="105"/>
      <c r="J1266" s="105" t="str">
        <f>IF(F1266=True, IFERROR(VLOOKUP(D1266, Repository!A:C, 3, 0), ""), "")</f>
        <v/>
      </c>
      <c r="K1266" s="105"/>
      <c r="L1266" s="105" t="str">
        <f>IF(F1266=True, IFERROR(VLOOKUP(D1266, Repository!A:E, 5, 0), ""), "")</f>
        <v/>
      </c>
      <c r="M1266" s="105"/>
      <c r="N1266" s="105" t="str">
        <f>IF(F1266=True, IFERROR(VLOOKUP(D1266, Repository!A:G, 7, 0), ""), "")</f>
        <v/>
      </c>
      <c r="O1266" s="105" t="str">
        <f>IFERROR(__xludf.DUMMYFUNCTION("ARRAY_CONSTRAIN(
  ARRAYFORMULA(
    IFERROR(
      LET(
        list, N1266,
        arr, TRIM(SPLIT(list, "","")),
        names, XLOOKUP(
          arr,
          'Conformance Score'!A:A,
          'Conformance Score'!B:B,
          ""Not found""
     "&amp;"   ),
        TEXTJOIN("", "", TRUE, names)
      ),
      """"
    )
  ),
  1,
  1
)
"),"")</f>
        <v/>
      </c>
      <c r="P1266" s="105" t="str">
        <f>IF(F1266="Yes", IFERROR(VLOOKUP(D1266, Repository!A:F, 6, 0), ""), "")</f>
        <v/>
      </c>
      <c r="Q1266" s="105" t="str">
        <f>IF(F1266="Yes", IFERROR(VLOOKUP(D1266, Repository!A:I, 8, 0), ""), "")</f>
        <v/>
      </c>
      <c r="R1266" s="105" t="str">
        <f>IF(F1266="Yes", IFERROR(VLOOKUP(D1266, Repository!A:J, 9, 0), ""), "")</f>
        <v/>
      </c>
      <c r="S1266" s="105"/>
      <c r="T1266" s="105"/>
      <c r="U1266" s="105"/>
      <c r="V1266" s="105"/>
      <c r="W1266" s="105"/>
      <c r="X1266" s="105"/>
      <c r="Y1266" s="105"/>
      <c r="Z1266" s="105"/>
      <c r="AA1266" s="105"/>
      <c r="AB1266" s="105"/>
      <c r="AC1266" s="91"/>
      <c r="AD1266" s="105"/>
      <c r="AE1266" s="105"/>
      <c r="AF1266" s="91"/>
      <c r="AG1266" s="105"/>
      <c r="AH1266" s="105"/>
      <c r="AI1266" s="105" t="str">
        <f t="shared" si="1"/>
        <v/>
      </c>
      <c r="AJ1266" s="108" t="str">
        <f t="shared" si="2"/>
        <v/>
      </c>
    </row>
    <row r="1267" ht="15.75" customHeight="1">
      <c r="A1267" s="104"/>
      <c r="B1267" s="105" t="str">
        <f>IFERROR(__xludf.DUMMYFUNCTION("ARRAY_CONSTRAIN(
  ARRAYFORMULA(
    IF(
      'Final Report'!A1267="""",
      """",
      TEXTJOIN(
        "", "" &amp; CHAR(10),
        TRUE,
        IFERROR(
          VLOOKUP(
            TRIM(
              SPLIT('Final Report'!A1267, "","")
         "&amp;"   ),
            'URL Details'!A:B,
            2,
            FALSE
          ),
          """"
        )
      )
    )
  ),
  1,
  1
)
"),"")</f>
        <v/>
      </c>
      <c r="C1267" s="105" t="str">
        <f>IFERROR(__xludf.DUMMYFUNCTION("IFERROR(IF('Final Report'!A1267="""","""", TEXTJOIN(CHAR(10), TRUE, ARRAYFORMULA( ""• ""&amp; FILTER( TRIM(FLATTEN(SPLIT( REGEXREPLACE( SUBSTITUTE(TEXTJOIN("","", TRUE, IFERROR(ARRAYFORMULA(VLOOKUP(TRIM(SPLIT('Final Report'!A1267, "","")), 'URL Details'!A:D, "&amp;"4, FALSE)),"""") ), CHAR(10), "",""), ""\s*,\s*"", "",""), "",""))), TRIM(FLATTEN(SPLIT( REGEXREPLACE( SUBSTITUTE(TEXTJOIN("","", TRUE, IFERROR(ARRAYFORMULA(VLOOKUP(TRIM(SPLIT('Final Report'!A1267, "","")), 'URL Details'!A:D, 4, FALSE)),"""") ), CHAR(10),"&amp;" "",""), ""\s*,\s*"", "",""), "","")))&lt;&gt;"""" ) ) ) ),"""")
"),"")</f>
        <v/>
      </c>
      <c r="D1267" s="105"/>
      <c r="E1267" s="105"/>
      <c r="F1267" s="110" t="b">
        <v>0</v>
      </c>
      <c r="G1267" s="105" t="str">
        <f>IF(F1267=True, IFERROR(VLOOKUP(D1267, Repository!A:B, 2, 0), ""), "")</f>
        <v/>
      </c>
      <c r="H1267" s="105"/>
      <c r="I1267" s="105"/>
      <c r="J1267" s="105" t="str">
        <f>IF(F1267=True, IFERROR(VLOOKUP(D1267, Repository!A:C, 3, 0), ""), "")</f>
        <v/>
      </c>
      <c r="K1267" s="105"/>
      <c r="L1267" s="105" t="str">
        <f>IF(F1267=True, IFERROR(VLOOKUP(D1267, Repository!A:E, 5, 0), ""), "")</f>
        <v/>
      </c>
      <c r="M1267" s="105"/>
      <c r="N1267" s="105" t="str">
        <f>IF(F1267=True, IFERROR(VLOOKUP(D1267, Repository!A:G, 7, 0), ""), "")</f>
        <v/>
      </c>
      <c r="O1267" s="105" t="str">
        <f>IFERROR(__xludf.DUMMYFUNCTION("ARRAY_CONSTRAIN(
  ARRAYFORMULA(
    IFERROR(
      LET(
        list, N1267,
        arr, TRIM(SPLIT(list, "","")),
        names, XLOOKUP(
          arr,
          'Conformance Score'!A:A,
          'Conformance Score'!B:B,
          ""Not found""
     "&amp;"   ),
        TEXTJOIN("", "", TRUE, names)
      ),
      """"
    )
  ),
  1,
  1
)
"),"")</f>
        <v/>
      </c>
      <c r="P1267" s="105" t="str">
        <f>IF(F1267="Yes", IFERROR(VLOOKUP(D1267, Repository!A:F, 6, 0), ""), "")</f>
        <v/>
      </c>
      <c r="Q1267" s="105" t="str">
        <f>IF(F1267="Yes", IFERROR(VLOOKUP(D1267, Repository!A:I, 8, 0), ""), "")</f>
        <v/>
      </c>
      <c r="R1267" s="105" t="str">
        <f>IF(F1267="Yes", IFERROR(VLOOKUP(D1267, Repository!A:J, 9, 0), ""), "")</f>
        <v/>
      </c>
      <c r="S1267" s="105"/>
      <c r="T1267" s="105"/>
      <c r="U1267" s="105"/>
      <c r="V1267" s="105"/>
      <c r="W1267" s="105"/>
      <c r="X1267" s="105"/>
      <c r="Y1267" s="105"/>
      <c r="Z1267" s="105"/>
      <c r="AA1267" s="105"/>
      <c r="AB1267" s="105"/>
      <c r="AC1267" s="91"/>
      <c r="AD1267" s="105"/>
      <c r="AE1267" s="105"/>
      <c r="AF1267" s="91"/>
      <c r="AG1267" s="105"/>
      <c r="AH1267" s="105"/>
      <c r="AI1267" s="105" t="str">
        <f t="shared" si="1"/>
        <v/>
      </c>
      <c r="AJ1267" s="108" t="str">
        <f t="shared" si="2"/>
        <v/>
      </c>
    </row>
    <row r="1268" ht="15.75" customHeight="1">
      <c r="A1268" s="104"/>
      <c r="B1268" s="105" t="str">
        <f>IFERROR(__xludf.DUMMYFUNCTION("ARRAY_CONSTRAIN(
  ARRAYFORMULA(
    IF(
      'Final Report'!A1268="""",
      """",
      TEXTJOIN(
        "", "" &amp; CHAR(10),
        TRUE,
        IFERROR(
          VLOOKUP(
            TRIM(
              SPLIT('Final Report'!A1268, "","")
         "&amp;"   ),
            'URL Details'!A:B,
            2,
            FALSE
          ),
          """"
        )
      )
    )
  ),
  1,
  1
)
"),"")</f>
        <v/>
      </c>
      <c r="C1268" s="105" t="str">
        <f>IFERROR(__xludf.DUMMYFUNCTION("IFERROR(IF('Final Report'!A1268="""","""", TEXTJOIN(CHAR(10), TRUE, ARRAYFORMULA( ""• ""&amp; FILTER( TRIM(FLATTEN(SPLIT( REGEXREPLACE( SUBSTITUTE(TEXTJOIN("","", TRUE, IFERROR(ARRAYFORMULA(VLOOKUP(TRIM(SPLIT('Final Report'!A1268, "","")), 'URL Details'!A:D, "&amp;"4, FALSE)),"""") ), CHAR(10), "",""), ""\s*,\s*"", "",""), "",""))), TRIM(FLATTEN(SPLIT( REGEXREPLACE( SUBSTITUTE(TEXTJOIN("","", TRUE, IFERROR(ARRAYFORMULA(VLOOKUP(TRIM(SPLIT('Final Report'!A1268, "","")), 'URL Details'!A:D, 4, FALSE)),"""") ), CHAR(10),"&amp;" "",""), ""\s*,\s*"", "",""), "","")))&lt;&gt;"""" ) ) ) ),"""")
"),"")</f>
        <v/>
      </c>
      <c r="D1268" s="105"/>
      <c r="E1268" s="105"/>
      <c r="F1268" s="110" t="b">
        <v>0</v>
      </c>
      <c r="G1268" s="105" t="str">
        <f>IF(F1268=True, IFERROR(VLOOKUP(D1268, Repository!A:B, 2, 0), ""), "")</f>
        <v/>
      </c>
      <c r="H1268" s="105"/>
      <c r="I1268" s="105"/>
      <c r="J1268" s="105" t="str">
        <f>IF(F1268=True, IFERROR(VLOOKUP(D1268, Repository!A:C, 3, 0), ""), "")</f>
        <v/>
      </c>
      <c r="K1268" s="105"/>
      <c r="L1268" s="105" t="str">
        <f>IF(F1268=True, IFERROR(VLOOKUP(D1268, Repository!A:E, 5, 0), ""), "")</f>
        <v/>
      </c>
      <c r="M1268" s="105"/>
      <c r="N1268" s="105" t="str">
        <f>IF(F1268=True, IFERROR(VLOOKUP(D1268, Repository!A:G, 7, 0), ""), "")</f>
        <v/>
      </c>
      <c r="O1268" s="105" t="str">
        <f>IFERROR(__xludf.DUMMYFUNCTION("ARRAY_CONSTRAIN(
  ARRAYFORMULA(
    IFERROR(
      LET(
        list, N1268,
        arr, TRIM(SPLIT(list, "","")),
        names, XLOOKUP(
          arr,
          'Conformance Score'!A:A,
          'Conformance Score'!B:B,
          ""Not found""
     "&amp;"   ),
        TEXTJOIN("", "", TRUE, names)
      ),
      """"
    )
  ),
  1,
  1
)
"),"")</f>
        <v/>
      </c>
      <c r="P1268" s="105" t="str">
        <f>IF(F1268="Yes", IFERROR(VLOOKUP(D1268, Repository!A:F, 6, 0), ""), "")</f>
        <v/>
      </c>
      <c r="Q1268" s="105" t="str">
        <f>IF(F1268="Yes", IFERROR(VLOOKUP(D1268, Repository!A:I, 8, 0), ""), "")</f>
        <v/>
      </c>
      <c r="R1268" s="105" t="str">
        <f>IF(F1268="Yes", IFERROR(VLOOKUP(D1268, Repository!A:J, 9, 0), ""), "")</f>
        <v/>
      </c>
      <c r="S1268" s="105"/>
      <c r="T1268" s="105"/>
      <c r="U1268" s="105"/>
      <c r="V1268" s="105"/>
      <c r="W1268" s="105"/>
      <c r="X1268" s="105"/>
      <c r="Y1268" s="105"/>
      <c r="Z1268" s="105"/>
      <c r="AA1268" s="105"/>
      <c r="AB1268" s="105"/>
      <c r="AC1268" s="91"/>
      <c r="AD1268" s="105"/>
      <c r="AE1268" s="105"/>
      <c r="AF1268" s="91"/>
      <c r="AG1268" s="105"/>
      <c r="AH1268" s="105"/>
      <c r="AI1268" s="105" t="str">
        <f t="shared" si="1"/>
        <v/>
      </c>
      <c r="AJ1268" s="108" t="str">
        <f t="shared" si="2"/>
        <v/>
      </c>
    </row>
    <row r="1269" ht="15.75" customHeight="1">
      <c r="A1269" s="104"/>
      <c r="B1269" s="105" t="str">
        <f>IFERROR(__xludf.DUMMYFUNCTION("ARRAY_CONSTRAIN(
  ARRAYFORMULA(
    IF(
      'Final Report'!A1269="""",
      """",
      TEXTJOIN(
        "", "" &amp; CHAR(10),
        TRUE,
        IFERROR(
          VLOOKUP(
            TRIM(
              SPLIT('Final Report'!A1269, "","")
         "&amp;"   ),
            'URL Details'!A:B,
            2,
            FALSE
          ),
          """"
        )
      )
    )
  ),
  1,
  1
)
"),"")</f>
        <v/>
      </c>
      <c r="C1269" s="105" t="str">
        <f>IFERROR(__xludf.DUMMYFUNCTION("IFERROR(IF('Final Report'!A1269="""","""", TEXTJOIN(CHAR(10), TRUE, ARRAYFORMULA( ""• ""&amp; FILTER( TRIM(FLATTEN(SPLIT( REGEXREPLACE( SUBSTITUTE(TEXTJOIN("","", TRUE, IFERROR(ARRAYFORMULA(VLOOKUP(TRIM(SPLIT('Final Report'!A1269, "","")), 'URL Details'!A:D, "&amp;"4, FALSE)),"""") ), CHAR(10), "",""), ""\s*,\s*"", "",""), "",""))), TRIM(FLATTEN(SPLIT( REGEXREPLACE( SUBSTITUTE(TEXTJOIN("","", TRUE, IFERROR(ARRAYFORMULA(VLOOKUP(TRIM(SPLIT('Final Report'!A1269, "","")), 'URL Details'!A:D, 4, FALSE)),"""") ), CHAR(10),"&amp;" "",""), ""\s*,\s*"", "",""), "","")))&lt;&gt;"""" ) ) ) ),"""")
"),"")</f>
        <v/>
      </c>
      <c r="D1269" s="105"/>
      <c r="E1269" s="105"/>
      <c r="F1269" s="110" t="b">
        <v>0</v>
      </c>
      <c r="G1269" s="105" t="str">
        <f>IF(F1269=True, IFERROR(VLOOKUP(D1269, Repository!A:B, 2, 0), ""), "")</f>
        <v/>
      </c>
      <c r="H1269" s="105"/>
      <c r="I1269" s="105"/>
      <c r="J1269" s="105" t="str">
        <f>IF(F1269=True, IFERROR(VLOOKUP(D1269, Repository!A:C, 3, 0), ""), "")</f>
        <v/>
      </c>
      <c r="K1269" s="105"/>
      <c r="L1269" s="105" t="str">
        <f>IF(F1269=True, IFERROR(VLOOKUP(D1269, Repository!A:E, 5, 0), ""), "")</f>
        <v/>
      </c>
      <c r="M1269" s="105"/>
      <c r="N1269" s="105" t="str">
        <f>IF(F1269=True, IFERROR(VLOOKUP(D1269, Repository!A:G, 7, 0), ""), "")</f>
        <v/>
      </c>
      <c r="O1269" s="105" t="str">
        <f>IFERROR(__xludf.DUMMYFUNCTION("ARRAY_CONSTRAIN(
  ARRAYFORMULA(
    IFERROR(
      LET(
        list, N1269,
        arr, TRIM(SPLIT(list, "","")),
        names, XLOOKUP(
          arr,
          'Conformance Score'!A:A,
          'Conformance Score'!B:B,
          ""Not found""
     "&amp;"   ),
        TEXTJOIN("", "", TRUE, names)
      ),
      """"
    )
  ),
  1,
  1
)
"),"")</f>
        <v/>
      </c>
      <c r="P1269" s="105" t="str">
        <f>IF(F1269="Yes", IFERROR(VLOOKUP(D1269, Repository!A:F, 6, 0), ""), "")</f>
        <v/>
      </c>
      <c r="Q1269" s="105" t="str">
        <f>IF(F1269="Yes", IFERROR(VLOOKUP(D1269, Repository!A:I, 8, 0), ""), "")</f>
        <v/>
      </c>
      <c r="R1269" s="105" t="str">
        <f>IF(F1269="Yes", IFERROR(VLOOKUP(D1269, Repository!A:J, 9, 0), ""), "")</f>
        <v/>
      </c>
      <c r="S1269" s="105"/>
      <c r="T1269" s="105"/>
      <c r="U1269" s="105"/>
      <c r="V1269" s="105"/>
      <c r="W1269" s="105"/>
      <c r="X1269" s="105"/>
      <c r="Y1269" s="105"/>
      <c r="Z1269" s="105"/>
      <c r="AA1269" s="105"/>
      <c r="AB1269" s="105"/>
      <c r="AC1269" s="91"/>
      <c r="AD1269" s="105"/>
      <c r="AE1269" s="105"/>
      <c r="AF1269" s="91"/>
      <c r="AG1269" s="105"/>
      <c r="AH1269" s="105"/>
      <c r="AI1269" s="105" t="str">
        <f t="shared" si="1"/>
        <v/>
      </c>
      <c r="AJ1269" s="108" t="str">
        <f t="shared" si="2"/>
        <v/>
      </c>
    </row>
    <row r="1270" ht="15.75" customHeight="1">
      <c r="A1270" s="104"/>
      <c r="B1270" s="105" t="str">
        <f>IFERROR(__xludf.DUMMYFUNCTION("ARRAY_CONSTRAIN(
  ARRAYFORMULA(
    IF(
      'Final Report'!A1270="""",
      """",
      TEXTJOIN(
        "", "" &amp; CHAR(10),
        TRUE,
        IFERROR(
          VLOOKUP(
            TRIM(
              SPLIT('Final Report'!A1270, "","")
         "&amp;"   ),
            'URL Details'!A:B,
            2,
            FALSE
          ),
          """"
        )
      )
    )
  ),
  1,
  1
)
"),"")</f>
        <v/>
      </c>
      <c r="C1270" s="105" t="str">
        <f>IFERROR(__xludf.DUMMYFUNCTION("IFERROR(IF('Final Report'!A1270="""","""", TEXTJOIN(CHAR(10), TRUE, ARRAYFORMULA( ""• ""&amp; FILTER( TRIM(FLATTEN(SPLIT( REGEXREPLACE( SUBSTITUTE(TEXTJOIN("","", TRUE, IFERROR(ARRAYFORMULA(VLOOKUP(TRIM(SPLIT('Final Report'!A1270, "","")), 'URL Details'!A:D, "&amp;"4, FALSE)),"""") ), CHAR(10), "",""), ""\s*,\s*"", "",""), "",""))), TRIM(FLATTEN(SPLIT( REGEXREPLACE( SUBSTITUTE(TEXTJOIN("","", TRUE, IFERROR(ARRAYFORMULA(VLOOKUP(TRIM(SPLIT('Final Report'!A1270, "","")), 'URL Details'!A:D, 4, FALSE)),"""") ), CHAR(10),"&amp;" "",""), ""\s*,\s*"", "",""), "","")))&lt;&gt;"""" ) ) ) ),"""")
"),"")</f>
        <v/>
      </c>
      <c r="D1270" s="105"/>
      <c r="E1270" s="105"/>
      <c r="F1270" s="110" t="b">
        <v>0</v>
      </c>
      <c r="G1270" s="105" t="str">
        <f>IF(F1270=True, IFERROR(VLOOKUP(D1270, Repository!A:B, 2, 0), ""), "")</f>
        <v/>
      </c>
      <c r="H1270" s="105"/>
      <c r="I1270" s="105"/>
      <c r="J1270" s="105" t="str">
        <f>IF(F1270=True, IFERROR(VLOOKUP(D1270, Repository!A:C, 3, 0), ""), "")</f>
        <v/>
      </c>
      <c r="K1270" s="105"/>
      <c r="L1270" s="105" t="str">
        <f>IF(F1270=True, IFERROR(VLOOKUP(D1270, Repository!A:E, 5, 0), ""), "")</f>
        <v/>
      </c>
      <c r="M1270" s="105"/>
      <c r="N1270" s="105" t="str">
        <f>IF(F1270=True, IFERROR(VLOOKUP(D1270, Repository!A:G, 7, 0), ""), "")</f>
        <v/>
      </c>
      <c r="O1270" s="105" t="str">
        <f>IFERROR(__xludf.DUMMYFUNCTION("ARRAY_CONSTRAIN(
  ARRAYFORMULA(
    IFERROR(
      LET(
        list, N1270,
        arr, TRIM(SPLIT(list, "","")),
        names, XLOOKUP(
          arr,
          'Conformance Score'!A:A,
          'Conformance Score'!B:B,
          ""Not found""
     "&amp;"   ),
        TEXTJOIN("", "", TRUE, names)
      ),
      """"
    )
  ),
  1,
  1
)
"),"")</f>
        <v/>
      </c>
      <c r="P1270" s="105" t="str">
        <f>IF(F1270="Yes", IFERROR(VLOOKUP(D1270, Repository!A:F, 6, 0), ""), "")</f>
        <v/>
      </c>
      <c r="Q1270" s="105" t="str">
        <f>IF(F1270="Yes", IFERROR(VLOOKUP(D1270, Repository!A:I, 8, 0), ""), "")</f>
        <v/>
      </c>
      <c r="R1270" s="105" t="str">
        <f>IF(F1270="Yes", IFERROR(VLOOKUP(D1270, Repository!A:J, 9, 0), ""), "")</f>
        <v/>
      </c>
      <c r="S1270" s="105"/>
      <c r="T1270" s="105"/>
      <c r="U1270" s="105"/>
      <c r="V1270" s="105"/>
      <c r="W1270" s="105"/>
      <c r="X1270" s="105"/>
      <c r="Y1270" s="105"/>
      <c r="Z1270" s="105"/>
      <c r="AA1270" s="105"/>
      <c r="AB1270" s="105"/>
      <c r="AC1270" s="91"/>
      <c r="AD1270" s="105"/>
      <c r="AE1270" s="105"/>
      <c r="AF1270" s="91"/>
      <c r="AG1270" s="105"/>
      <c r="AH1270" s="105"/>
      <c r="AI1270" s="105" t="str">
        <f t="shared" si="1"/>
        <v/>
      </c>
      <c r="AJ1270" s="108" t="str">
        <f t="shared" si="2"/>
        <v/>
      </c>
    </row>
    <row r="1271" ht="15.75" customHeight="1">
      <c r="A1271" s="104"/>
      <c r="B1271" s="105" t="str">
        <f>IFERROR(__xludf.DUMMYFUNCTION("ARRAY_CONSTRAIN(
  ARRAYFORMULA(
    IF(
      'Final Report'!A1271="""",
      """",
      TEXTJOIN(
        "", "" &amp; CHAR(10),
        TRUE,
        IFERROR(
          VLOOKUP(
            TRIM(
              SPLIT('Final Report'!A1271, "","")
         "&amp;"   ),
            'URL Details'!A:B,
            2,
            FALSE
          ),
          """"
        )
      )
    )
  ),
  1,
  1
)
"),"")</f>
        <v/>
      </c>
      <c r="C1271" s="105" t="str">
        <f>IFERROR(__xludf.DUMMYFUNCTION("IFERROR(IF('Final Report'!A1271="""","""", TEXTJOIN(CHAR(10), TRUE, ARRAYFORMULA( ""• ""&amp; FILTER( TRIM(FLATTEN(SPLIT( REGEXREPLACE( SUBSTITUTE(TEXTJOIN("","", TRUE, IFERROR(ARRAYFORMULA(VLOOKUP(TRIM(SPLIT('Final Report'!A1271, "","")), 'URL Details'!A:D, "&amp;"4, FALSE)),"""") ), CHAR(10), "",""), ""\s*,\s*"", "",""), "",""))), TRIM(FLATTEN(SPLIT( REGEXREPLACE( SUBSTITUTE(TEXTJOIN("","", TRUE, IFERROR(ARRAYFORMULA(VLOOKUP(TRIM(SPLIT('Final Report'!A1271, "","")), 'URL Details'!A:D, 4, FALSE)),"""") ), CHAR(10),"&amp;" "",""), ""\s*,\s*"", "",""), "","")))&lt;&gt;"""" ) ) ) ),"""")
"),"")</f>
        <v/>
      </c>
      <c r="D1271" s="105"/>
      <c r="E1271" s="105"/>
      <c r="F1271" s="110" t="b">
        <v>0</v>
      </c>
      <c r="G1271" s="105" t="str">
        <f>IF(F1271=True, IFERROR(VLOOKUP(D1271, Repository!A:B, 2, 0), ""), "")</f>
        <v/>
      </c>
      <c r="H1271" s="105"/>
      <c r="I1271" s="105"/>
      <c r="J1271" s="105" t="str">
        <f>IF(F1271=True, IFERROR(VLOOKUP(D1271, Repository!A:C, 3, 0), ""), "")</f>
        <v/>
      </c>
      <c r="K1271" s="105"/>
      <c r="L1271" s="105" t="str">
        <f>IF(F1271=True, IFERROR(VLOOKUP(D1271, Repository!A:E, 5, 0), ""), "")</f>
        <v/>
      </c>
      <c r="M1271" s="105"/>
      <c r="N1271" s="105" t="str">
        <f>IF(F1271=True, IFERROR(VLOOKUP(D1271, Repository!A:G, 7, 0), ""), "")</f>
        <v/>
      </c>
      <c r="O1271" s="105" t="str">
        <f>IFERROR(__xludf.DUMMYFUNCTION("ARRAY_CONSTRAIN(
  ARRAYFORMULA(
    IFERROR(
      LET(
        list, N1271,
        arr, TRIM(SPLIT(list, "","")),
        names, XLOOKUP(
          arr,
          'Conformance Score'!A:A,
          'Conformance Score'!B:B,
          ""Not found""
     "&amp;"   ),
        TEXTJOIN("", "", TRUE, names)
      ),
      """"
    )
  ),
  1,
  1
)
"),"")</f>
        <v/>
      </c>
      <c r="P1271" s="105" t="str">
        <f>IF(F1271="Yes", IFERROR(VLOOKUP(D1271, Repository!A:F, 6, 0), ""), "")</f>
        <v/>
      </c>
      <c r="Q1271" s="105" t="str">
        <f>IF(F1271="Yes", IFERROR(VLOOKUP(D1271, Repository!A:I, 8, 0), ""), "")</f>
        <v/>
      </c>
      <c r="R1271" s="105" t="str">
        <f>IF(F1271="Yes", IFERROR(VLOOKUP(D1271, Repository!A:J, 9, 0), ""), "")</f>
        <v/>
      </c>
      <c r="S1271" s="105"/>
      <c r="T1271" s="105"/>
      <c r="U1271" s="105"/>
      <c r="V1271" s="105"/>
      <c r="W1271" s="105"/>
      <c r="X1271" s="105"/>
      <c r="Y1271" s="105"/>
      <c r="Z1271" s="105"/>
      <c r="AA1271" s="105"/>
      <c r="AB1271" s="105"/>
      <c r="AC1271" s="91"/>
      <c r="AD1271" s="105"/>
      <c r="AE1271" s="105"/>
      <c r="AF1271" s="91"/>
      <c r="AG1271" s="105"/>
      <c r="AH1271" s="105"/>
      <c r="AI1271" s="105" t="str">
        <f t="shared" si="1"/>
        <v/>
      </c>
      <c r="AJ1271" s="108" t="str">
        <f t="shared" si="2"/>
        <v/>
      </c>
    </row>
    <row r="1272" ht="15.75" customHeight="1">
      <c r="A1272" s="104"/>
      <c r="B1272" s="105" t="str">
        <f>IFERROR(__xludf.DUMMYFUNCTION("ARRAY_CONSTRAIN(
  ARRAYFORMULA(
    IF(
      'Final Report'!A1272="""",
      """",
      TEXTJOIN(
        "", "" &amp; CHAR(10),
        TRUE,
        IFERROR(
          VLOOKUP(
            TRIM(
              SPLIT('Final Report'!A1272, "","")
         "&amp;"   ),
            'URL Details'!A:B,
            2,
            FALSE
          ),
          """"
        )
      )
    )
  ),
  1,
  1
)
"),"")</f>
        <v/>
      </c>
      <c r="C1272" s="105" t="str">
        <f>IFERROR(__xludf.DUMMYFUNCTION("IFERROR(IF('Final Report'!A1272="""","""", TEXTJOIN(CHAR(10), TRUE, ARRAYFORMULA( ""• ""&amp; FILTER( TRIM(FLATTEN(SPLIT( REGEXREPLACE( SUBSTITUTE(TEXTJOIN("","", TRUE, IFERROR(ARRAYFORMULA(VLOOKUP(TRIM(SPLIT('Final Report'!A1272, "","")), 'URL Details'!A:D, "&amp;"4, FALSE)),"""") ), CHAR(10), "",""), ""\s*,\s*"", "",""), "",""))), TRIM(FLATTEN(SPLIT( REGEXREPLACE( SUBSTITUTE(TEXTJOIN("","", TRUE, IFERROR(ARRAYFORMULA(VLOOKUP(TRIM(SPLIT('Final Report'!A1272, "","")), 'URL Details'!A:D, 4, FALSE)),"""") ), CHAR(10),"&amp;" "",""), ""\s*,\s*"", "",""), "","")))&lt;&gt;"""" ) ) ) ),"""")
"),"")</f>
        <v/>
      </c>
      <c r="D1272" s="105"/>
      <c r="E1272" s="105"/>
      <c r="F1272" s="110" t="b">
        <v>0</v>
      </c>
      <c r="G1272" s="105" t="str">
        <f>IF(F1272=True, IFERROR(VLOOKUP(D1272, Repository!A:B, 2, 0), ""), "")</f>
        <v/>
      </c>
      <c r="H1272" s="105"/>
      <c r="I1272" s="105"/>
      <c r="J1272" s="105" t="str">
        <f>IF(F1272=True, IFERROR(VLOOKUP(D1272, Repository!A:C, 3, 0), ""), "")</f>
        <v/>
      </c>
      <c r="K1272" s="105"/>
      <c r="L1272" s="105" t="str">
        <f>IF(F1272=True, IFERROR(VLOOKUP(D1272, Repository!A:E, 5, 0), ""), "")</f>
        <v/>
      </c>
      <c r="M1272" s="105"/>
      <c r="N1272" s="105" t="str">
        <f>IF(F1272=True, IFERROR(VLOOKUP(D1272, Repository!A:G, 7, 0), ""), "")</f>
        <v/>
      </c>
      <c r="O1272" s="105" t="str">
        <f>IFERROR(__xludf.DUMMYFUNCTION("ARRAY_CONSTRAIN(
  ARRAYFORMULA(
    IFERROR(
      LET(
        list, N1272,
        arr, TRIM(SPLIT(list, "","")),
        names, XLOOKUP(
          arr,
          'Conformance Score'!A:A,
          'Conformance Score'!B:B,
          ""Not found""
     "&amp;"   ),
        TEXTJOIN("", "", TRUE, names)
      ),
      """"
    )
  ),
  1,
  1
)
"),"")</f>
        <v/>
      </c>
      <c r="P1272" s="105" t="str">
        <f>IF(F1272="Yes", IFERROR(VLOOKUP(D1272, Repository!A:F, 6, 0), ""), "")</f>
        <v/>
      </c>
      <c r="Q1272" s="105" t="str">
        <f>IF(F1272="Yes", IFERROR(VLOOKUP(D1272, Repository!A:I, 8, 0), ""), "")</f>
        <v/>
      </c>
      <c r="R1272" s="105" t="str">
        <f>IF(F1272="Yes", IFERROR(VLOOKUP(D1272, Repository!A:J, 9, 0), ""), "")</f>
        <v/>
      </c>
      <c r="S1272" s="105"/>
      <c r="T1272" s="105"/>
      <c r="U1272" s="105"/>
      <c r="V1272" s="105"/>
      <c r="W1272" s="105"/>
      <c r="X1272" s="105"/>
      <c r="Y1272" s="105"/>
      <c r="Z1272" s="105"/>
      <c r="AA1272" s="105"/>
      <c r="AB1272" s="105"/>
      <c r="AC1272" s="91"/>
      <c r="AD1272" s="105"/>
      <c r="AE1272" s="105"/>
      <c r="AF1272" s="91"/>
      <c r="AG1272" s="105"/>
      <c r="AH1272" s="105"/>
      <c r="AI1272" s="105" t="str">
        <f t="shared" si="1"/>
        <v/>
      </c>
      <c r="AJ1272" s="108" t="str">
        <f t="shared" si="2"/>
        <v/>
      </c>
    </row>
    <row r="1273" ht="15.75" customHeight="1">
      <c r="A1273" s="104"/>
      <c r="B1273" s="105" t="str">
        <f>IFERROR(__xludf.DUMMYFUNCTION("ARRAY_CONSTRAIN(
  ARRAYFORMULA(
    IF(
      'Final Report'!A1273="""",
      """",
      TEXTJOIN(
        "", "" &amp; CHAR(10),
        TRUE,
        IFERROR(
          VLOOKUP(
            TRIM(
              SPLIT('Final Report'!A1273, "","")
         "&amp;"   ),
            'URL Details'!A:B,
            2,
            FALSE
          ),
          """"
        )
      )
    )
  ),
  1,
  1
)
"),"")</f>
        <v/>
      </c>
      <c r="C1273" s="105" t="str">
        <f>IFERROR(__xludf.DUMMYFUNCTION("IFERROR(IF('Final Report'!A1273="""","""", TEXTJOIN(CHAR(10), TRUE, ARRAYFORMULA( ""• ""&amp; FILTER( TRIM(FLATTEN(SPLIT( REGEXREPLACE( SUBSTITUTE(TEXTJOIN("","", TRUE, IFERROR(ARRAYFORMULA(VLOOKUP(TRIM(SPLIT('Final Report'!A1273, "","")), 'URL Details'!A:D, "&amp;"4, FALSE)),"""") ), CHAR(10), "",""), ""\s*,\s*"", "",""), "",""))), TRIM(FLATTEN(SPLIT( REGEXREPLACE( SUBSTITUTE(TEXTJOIN("","", TRUE, IFERROR(ARRAYFORMULA(VLOOKUP(TRIM(SPLIT('Final Report'!A1273, "","")), 'URL Details'!A:D, 4, FALSE)),"""") ), CHAR(10),"&amp;" "",""), ""\s*,\s*"", "",""), "","")))&lt;&gt;"""" ) ) ) ),"""")
"),"")</f>
        <v/>
      </c>
      <c r="D1273" s="105"/>
      <c r="E1273" s="105"/>
      <c r="F1273" s="110" t="b">
        <v>0</v>
      </c>
      <c r="G1273" s="105" t="str">
        <f>IF(F1273=True, IFERROR(VLOOKUP(D1273, Repository!A:B, 2, 0), ""), "")</f>
        <v/>
      </c>
      <c r="H1273" s="105"/>
      <c r="I1273" s="105"/>
      <c r="J1273" s="105" t="str">
        <f>IF(F1273=True, IFERROR(VLOOKUP(D1273, Repository!A:C, 3, 0), ""), "")</f>
        <v/>
      </c>
      <c r="K1273" s="105"/>
      <c r="L1273" s="105" t="str">
        <f>IF(F1273=True, IFERROR(VLOOKUP(D1273, Repository!A:E, 5, 0), ""), "")</f>
        <v/>
      </c>
      <c r="M1273" s="105"/>
      <c r="N1273" s="105" t="str">
        <f>IF(F1273=True, IFERROR(VLOOKUP(D1273, Repository!A:G, 7, 0), ""), "")</f>
        <v/>
      </c>
      <c r="O1273" s="105" t="str">
        <f>IFERROR(__xludf.DUMMYFUNCTION("ARRAY_CONSTRAIN(
  ARRAYFORMULA(
    IFERROR(
      LET(
        list, N1273,
        arr, TRIM(SPLIT(list, "","")),
        names, XLOOKUP(
          arr,
          'Conformance Score'!A:A,
          'Conformance Score'!B:B,
          ""Not found""
     "&amp;"   ),
        TEXTJOIN("", "", TRUE, names)
      ),
      """"
    )
  ),
  1,
  1
)
"),"")</f>
        <v/>
      </c>
      <c r="P1273" s="105" t="str">
        <f>IF(F1273="Yes", IFERROR(VLOOKUP(D1273, Repository!A:F, 6, 0), ""), "")</f>
        <v/>
      </c>
      <c r="Q1273" s="105" t="str">
        <f>IF(F1273="Yes", IFERROR(VLOOKUP(D1273, Repository!A:I, 8, 0), ""), "")</f>
        <v/>
      </c>
      <c r="R1273" s="105" t="str">
        <f>IF(F1273="Yes", IFERROR(VLOOKUP(D1273, Repository!A:J, 9, 0), ""), "")</f>
        <v/>
      </c>
      <c r="S1273" s="105"/>
      <c r="T1273" s="105"/>
      <c r="U1273" s="105"/>
      <c r="V1273" s="105"/>
      <c r="W1273" s="105"/>
      <c r="X1273" s="105"/>
      <c r="Y1273" s="105"/>
      <c r="Z1273" s="105"/>
      <c r="AA1273" s="105"/>
      <c r="AB1273" s="105"/>
      <c r="AC1273" s="91"/>
      <c r="AD1273" s="105"/>
      <c r="AE1273" s="105"/>
      <c r="AF1273" s="91"/>
      <c r="AG1273" s="105"/>
      <c r="AH1273" s="105"/>
      <c r="AI1273" s="105" t="str">
        <f t="shared" si="1"/>
        <v/>
      </c>
      <c r="AJ1273" s="108" t="str">
        <f t="shared" si="2"/>
        <v/>
      </c>
    </row>
    <row r="1274" ht="15.75" customHeight="1">
      <c r="A1274" s="104"/>
      <c r="B1274" s="105" t="str">
        <f>IFERROR(__xludf.DUMMYFUNCTION("ARRAY_CONSTRAIN(
  ARRAYFORMULA(
    IF(
      'Final Report'!A1274="""",
      """",
      TEXTJOIN(
        "", "" &amp; CHAR(10),
        TRUE,
        IFERROR(
          VLOOKUP(
            TRIM(
              SPLIT('Final Report'!A1274, "","")
         "&amp;"   ),
            'URL Details'!A:B,
            2,
            FALSE
          ),
          """"
        )
      )
    )
  ),
  1,
  1
)
"),"")</f>
        <v/>
      </c>
      <c r="C1274" s="105" t="str">
        <f>IFERROR(__xludf.DUMMYFUNCTION("IFERROR(IF('Final Report'!A1274="""","""", TEXTJOIN(CHAR(10), TRUE, ARRAYFORMULA( ""• ""&amp; FILTER( TRIM(FLATTEN(SPLIT( REGEXREPLACE( SUBSTITUTE(TEXTJOIN("","", TRUE, IFERROR(ARRAYFORMULA(VLOOKUP(TRIM(SPLIT('Final Report'!A1274, "","")), 'URL Details'!A:D, "&amp;"4, FALSE)),"""") ), CHAR(10), "",""), ""\s*,\s*"", "",""), "",""))), TRIM(FLATTEN(SPLIT( REGEXREPLACE( SUBSTITUTE(TEXTJOIN("","", TRUE, IFERROR(ARRAYFORMULA(VLOOKUP(TRIM(SPLIT('Final Report'!A1274, "","")), 'URL Details'!A:D, 4, FALSE)),"""") ), CHAR(10),"&amp;" "",""), ""\s*,\s*"", "",""), "","")))&lt;&gt;"""" ) ) ) ),"""")
"),"")</f>
        <v/>
      </c>
      <c r="D1274" s="105"/>
      <c r="E1274" s="105"/>
      <c r="F1274" s="110" t="b">
        <v>0</v>
      </c>
      <c r="G1274" s="105" t="str">
        <f>IF(F1274=True, IFERROR(VLOOKUP(D1274, Repository!A:B, 2, 0), ""), "")</f>
        <v/>
      </c>
      <c r="H1274" s="105"/>
      <c r="I1274" s="105"/>
      <c r="J1274" s="105" t="str">
        <f>IF(F1274=True, IFERROR(VLOOKUP(D1274, Repository!A:C, 3, 0), ""), "")</f>
        <v/>
      </c>
      <c r="K1274" s="105"/>
      <c r="L1274" s="105" t="str">
        <f>IF(F1274=True, IFERROR(VLOOKUP(D1274, Repository!A:E, 5, 0), ""), "")</f>
        <v/>
      </c>
      <c r="M1274" s="105"/>
      <c r="N1274" s="105" t="str">
        <f>IF(F1274=True, IFERROR(VLOOKUP(D1274, Repository!A:G, 7, 0), ""), "")</f>
        <v/>
      </c>
      <c r="O1274" s="105" t="str">
        <f>IFERROR(__xludf.DUMMYFUNCTION("ARRAY_CONSTRAIN(
  ARRAYFORMULA(
    IFERROR(
      LET(
        list, N1274,
        arr, TRIM(SPLIT(list, "","")),
        names, XLOOKUP(
          arr,
          'Conformance Score'!A:A,
          'Conformance Score'!B:B,
          ""Not found""
     "&amp;"   ),
        TEXTJOIN("", "", TRUE, names)
      ),
      """"
    )
  ),
  1,
  1
)
"),"")</f>
        <v/>
      </c>
      <c r="P1274" s="105" t="str">
        <f>IF(F1274="Yes", IFERROR(VLOOKUP(D1274, Repository!A:F, 6, 0), ""), "")</f>
        <v/>
      </c>
      <c r="Q1274" s="105" t="str">
        <f>IF(F1274="Yes", IFERROR(VLOOKUP(D1274, Repository!A:I, 8, 0), ""), "")</f>
        <v/>
      </c>
      <c r="R1274" s="105" t="str">
        <f>IF(F1274="Yes", IFERROR(VLOOKUP(D1274, Repository!A:J, 9, 0), ""), "")</f>
        <v/>
      </c>
      <c r="S1274" s="105"/>
      <c r="T1274" s="105"/>
      <c r="U1274" s="105"/>
      <c r="V1274" s="105"/>
      <c r="W1274" s="105"/>
      <c r="X1274" s="105"/>
      <c r="Y1274" s="105"/>
      <c r="Z1274" s="105"/>
      <c r="AA1274" s="105"/>
      <c r="AB1274" s="105"/>
      <c r="AC1274" s="91"/>
      <c r="AD1274" s="105"/>
      <c r="AE1274" s="105"/>
      <c r="AF1274" s="91"/>
      <c r="AG1274" s="105"/>
      <c r="AH1274" s="105"/>
      <c r="AI1274" s="105" t="str">
        <f t="shared" si="1"/>
        <v/>
      </c>
      <c r="AJ1274" s="108" t="str">
        <f t="shared" si="2"/>
        <v/>
      </c>
    </row>
    <row r="1275" ht="15.75" customHeight="1">
      <c r="A1275" s="104"/>
      <c r="B1275" s="105" t="str">
        <f>IFERROR(__xludf.DUMMYFUNCTION("ARRAY_CONSTRAIN(
  ARRAYFORMULA(
    IF(
      'Final Report'!A1275="""",
      """",
      TEXTJOIN(
        "", "" &amp; CHAR(10),
        TRUE,
        IFERROR(
          VLOOKUP(
            TRIM(
              SPLIT('Final Report'!A1275, "","")
         "&amp;"   ),
            'URL Details'!A:B,
            2,
            FALSE
          ),
          """"
        )
      )
    )
  ),
  1,
  1
)
"),"")</f>
        <v/>
      </c>
      <c r="C1275" s="105" t="str">
        <f>IFERROR(__xludf.DUMMYFUNCTION("IFERROR(IF('Final Report'!A1275="""","""", TEXTJOIN(CHAR(10), TRUE, ARRAYFORMULA( ""• ""&amp; FILTER( TRIM(FLATTEN(SPLIT( REGEXREPLACE( SUBSTITUTE(TEXTJOIN("","", TRUE, IFERROR(ARRAYFORMULA(VLOOKUP(TRIM(SPLIT('Final Report'!A1275, "","")), 'URL Details'!A:D, "&amp;"4, FALSE)),"""") ), CHAR(10), "",""), ""\s*,\s*"", "",""), "",""))), TRIM(FLATTEN(SPLIT( REGEXREPLACE( SUBSTITUTE(TEXTJOIN("","", TRUE, IFERROR(ARRAYFORMULA(VLOOKUP(TRIM(SPLIT('Final Report'!A1275, "","")), 'URL Details'!A:D, 4, FALSE)),"""") ), CHAR(10),"&amp;" "",""), ""\s*,\s*"", "",""), "","")))&lt;&gt;"""" ) ) ) ),"""")
"),"")</f>
        <v/>
      </c>
      <c r="D1275" s="105"/>
      <c r="E1275" s="105"/>
      <c r="F1275" s="110" t="b">
        <v>0</v>
      </c>
      <c r="G1275" s="105" t="str">
        <f>IF(F1275=True, IFERROR(VLOOKUP(D1275, Repository!A:B, 2, 0), ""), "")</f>
        <v/>
      </c>
      <c r="H1275" s="105"/>
      <c r="I1275" s="105"/>
      <c r="J1275" s="105" t="str">
        <f>IF(F1275=True, IFERROR(VLOOKUP(D1275, Repository!A:C, 3, 0), ""), "")</f>
        <v/>
      </c>
      <c r="K1275" s="105"/>
      <c r="L1275" s="105" t="str">
        <f>IF(F1275=True, IFERROR(VLOOKUP(D1275, Repository!A:E, 5, 0), ""), "")</f>
        <v/>
      </c>
      <c r="M1275" s="105"/>
      <c r="N1275" s="105" t="str">
        <f>IF(F1275=True, IFERROR(VLOOKUP(D1275, Repository!A:G, 7, 0), ""), "")</f>
        <v/>
      </c>
      <c r="O1275" s="105" t="str">
        <f>IFERROR(__xludf.DUMMYFUNCTION("ARRAY_CONSTRAIN(
  ARRAYFORMULA(
    IFERROR(
      LET(
        list, N1275,
        arr, TRIM(SPLIT(list, "","")),
        names, XLOOKUP(
          arr,
          'Conformance Score'!A:A,
          'Conformance Score'!B:B,
          ""Not found""
     "&amp;"   ),
        TEXTJOIN("", "", TRUE, names)
      ),
      """"
    )
  ),
  1,
  1
)
"),"")</f>
        <v/>
      </c>
      <c r="P1275" s="105" t="str">
        <f>IF(F1275="Yes", IFERROR(VLOOKUP(D1275, Repository!A:F, 6, 0), ""), "")</f>
        <v/>
      </c>
      <c r="Q1275" s="105" t="str">
        <f>IF(F1275="Yes", IFERROR(VLOOKUP(D1275, Repository!A:I, 8, 0), ""), "")</f>
        <v/>
      </c>
      <c r="R1275" s="105" t="str">
        <f>IF(F1275="Yes", IFERROR(VLOOKUP(D1275, Repository!A:J, 9, 0), ""), "")</f>
        <v/>
      </c>
      <c r="S1275" s="105"/>
      <c r="T1275" s="105"/>
      <c r="U1275" s="105"/>
      <c r="V1275" s="105"/>
      <c r="W1275" s="105"/>
      <c r="X1275" s="105"/>
      <c r="Y1275" s="105"/>
      <c r="Z1275" s="105"/>
      <c r="AA1275" s="105"/>
      <c r="AB1275" s="105"/>
      <c r="AC1275" s="91"/>
      <c r="AD1275" s="105"/>
      <c r="AE1275" s="105"/>
      <c r="AF1275" s="91"/>
      <c r="AG1275" s="105"/>
      <c r="AH1275" s="105"/>
      <c r="AI1275" s="105" t="str">
        <f t="shared" si="1"/>
        <v/>
      </c>
      <c r="AJ1275" s="108" t="str">
        <f t="shared" si="2"/>
        <v/>
      </c>
    </row>
    <row r="1276" ht="15.75" customHeight="1">
      <c r="A1276" s="104"/>
      <c r="B1276" s="105" t="str">
        <f>IFERROR(__xludf.DUMMYFUNCTION("ARRAY_CONSTRAIN(
  ARRAYFORMULA(
    IF(
      'Final Report'!A1276="""",
      """",
      TEXTJOIN(
        "", "" &amp; CHAR(10),
        TRUE,
        IFERROR(
          VLOOKUP(
            TRIM(
              SPLIT('Final Report'!A1276, "","")
         "&amp;"   ),
            'URL Details'!A:B,
            2,
            FALSE
          ),
          """"
        )
      )
    )
  ),
  1,
  1
)
"),"")</f>
        <v/>
      </c>
      <c r="C1276" s="105" t="str">
        <f>IFERROR(__xludf.DUMMYFUNCTION("IFERROR(IF('Final Report'!A1276="""","""", TEXTJOIN(CHAR(10), TRUE, ARRAYFORMULA( ""• ""&amp; FILTER( TRIM(FLATTEN(SPLIT( REGEXREPLACE( SUBSTITUTE(TEXTJOIN("","", TRUE, IFERROR(ARRAYFORMULA(VLOOKUP(TRIM(SPLIT('Final Report'!A1276, "","")), 'URL Details'!A:D, "&amp;"4, FALSE)),"""") ), CHAR(10), "",""), ""\s*,\s*"", "",""), "",""))), TRIM(FLATTEN(SPLIT( REGEXREPLACE( SUBSTITUTE(TEXTJOIN("","", TRUE, IFERROR(ARRAYFORMULA(VLOOKUP(TRIM(SPLIT('Final Report'!A1276, "","")), 'URL Details'!A:D, 4, FALSE)),"""") ), CHAR(10),"&amp;" "",""), ""\s*,\s*"", "",""), "","")))&lt;&gt;"""" ) ) ) ),"""")
"),"")</f>
        <v/>
      </c>
      <c r="D1276" s="105"/>
      <c r="E1276" s="105"/>
      <c r="F1276" s="110" t="b">
        <v>0</v>
      </c>
      <c r="G1276" s="105" t="str">
        <f>IF(F1276=True, IFERROR(VLOOKUP(D1276, Repository!A:B, 2, 0), ""), "")</f>
        <v/>
      </c>
      <c r="H1276" s="105"/>
      <c r="I1276" s="105"/>
      <c r="J1276" s="105" t="str">
        <f>IF(F1276=True, IFERROR(VLOOKUP(D1276, Repository!A:C, 3, 0), ""), "")</f>
        <v/>
      </c>
      <c r="K1276" s="105"/>
      <c r="L1276" s="105" t="str">
        <f>IF(F1276=True, IFERROR(VLOOKUP(D1276, Repository!A:E, 5, 0), ""), "")</f>
        <v/>
      </c>
      <c r="M1276" s="105"/>
      <c r="N1276" s="105" t="str">
        <f>IF(F1276=True, IFERROR(VLOOKUP(D1276, Repository!A:G, 7, 0), ""), "")</f>
        <v/>
      </c>
      <c r="O1276" s="105" t="str">
        <f>IFERROR(__xludf.DUMMYFUNCTION("ARRAY_CONSTRAIN(
  ARRAYFORMULA(
    IFERROR(
      LET(
        list, N1276,
        arr, TRIM(SPLIT(list, "","")),
        names, XLOOKUP(
          arr,
          'Conformance Score'!A:A,
          'Conformance Score'!B:B,
          ""Not found""
     "&amp;"   ),
        TEXTJOIN("", "", TRUE, names)
      ),
      """"
    )
  ),
  1,
  1
)
"),"")</f>
        <v/>
      </c>
      <c r="P1276" s="105" t="str">
        <f>IF(F1276="Yes", IFERROR(VLOOKUP(D1276, Repository!A:F, 6, 0), ""), "")</f>
        <v/>
      </c>
      <c r="Q1276" s="105" t="str">
        <f>IF(F1276="Yes", IFERROR(VLOOKUP(D1276, Repository!A:I, 8, 0), ""), "")</f>
        <v/>
      </c>
      <c r="R1276" s="105" t="str">
        <f>IF(F1276="Yes", IFERROR(VLOOKUP(D1276, Repository!A:J, 9, 0), ""), "")</f>
        <v/>
      </c>
      <c r="S1276" s="105"/>
      <c r="T1276" s="105"/>
      <c r="U1276" s="105"/>
      <c r="V1276" s="105"/>
      <c r="W1276" s="105"/>
      <c r="X1276" s="105"/>
      <c r="Y1276" s="105"/>
      <c r="Z1276" s="105"/>
      <c r="AA1276" s="105"/>
      <c r="AB1276" s="105"/>
      <c r="AC1276" s="91"/>
      <c r="AD1276" s="105"/>
      <c r="AE1276" s="105"/>
      <c r="AF1276" s="91"/>
      <c r="AG1276" s="105"/>
      <c r="AH1276" s="105"/>
      <c r="AI1276" s="105" t="str">
        <f t="shared" si="1"/>
        <v/>
      </c>
      <c r="AJ1276" s="108" t="str">
        <f t="shared" si="2"/>
        <v/>
      </c>
    </row>
    <row r="1277" ht="15.75" customHeight="1">
      <c r="A1277" s="104"/>
      <c r="B1277" s="105" t="str">
        <f>IFERROR(__xludf.DUMMYFUNCTION("ARRAY_CONSTRAIN(
  ARRAYFORMULA(
    IF(
      'Final Report'!A1277="""",
      """",
      TEXTJOIN(
        "", "" &amp; CHAR(10),
        TRUE,
        IFERROR(
          VLOOKUP(
            TRIM(
              SPLIT('Final Report'!A1277, "","")
         "&amp;"   ),
            'URL Details'!A:B,
            2,
            FALSE
          ),
          """"
        )
      )
    )
  ),
  1,
  1
)
"),"")</f>
        <v/>
      </c>
      <c r="C1277" s="105" t="str">
        <f>IFERROR(__xludf.DUMMYFUNCTION("IFERROR(IF('Final Report'!A1277="""","""", TEXTJOIN(CHAR(10), TRUE, ARRAYFORMULA( ""• ""&amp; FILTER( TRIM(FLATTEN(SPLIT( REGEXREPLACE( SUBSTITUTE(TEXTJOIN("","", TRUE, IFERROR(ARRAYFORMULA(VLOOKUP(TRIM(SPLIT('Final Report'!A1277, "","")), 'URL Details'!A:D, "&amp;"4, FALSE)),"""") ), CHAR(10), "",""), ""\s*,\s*"", "",""), "",""))), TRIM(FLATTEN(SPLIT( REGEXREPLACE( SUBSTITUTE(TEXTJOIN("","", TRUE, IFERROR(ARRAYFORMULA(VLOOKUP(TRIM(SPLIT('Final Report'!A1277, "","")), 'URL Details'!A:D, 4, FALSE)),"""") ), CHAR(10),"&amp;" "",""), ""\s*,\s*"", "",""), "","")))&lt;&gt;"""" ) ) ) ),"""")
"),"")</f>
        <v/>
      </c>
      <c r="D1277" s="105"/>
      <c r="E1277" s="105"/>
      <c r="F1277" s="110" t="b">
        <v>0</v>
      </c>
      <c r="G1277" s="105" t="str">
        <f>IF(F1277=True, IFERROR(VLOOKUP(D1277, Repository!A:B, 2, 0), ""), "")</f>
        <v/>
      </c>
      <c r="H1277" s="105"/>
      <c r="I1277" s="105"/>
      <c r="J1277" s="105" t="str">
        <f>IF(F1277=True, IFERROR(VLOOKUP(D1277, Repository!A:C, 3, 0), ""), "")</f>
        <v/>
      </c>
      <c r="K1277" s="105"/>
      <c r="L1277" s="105" t="str">
        <f>IF(F1277=True, IFERROR(VLOOKUP(D1277, Repository!A:E, 5, 0), ""), "")</f>
        <v/>
      </c>
      <c r="M1277" s="105"/>
      <c r="N1277" s="105" t="str">
        <f>IF(F1277=True, IFERROR(VLOOKUP(D1277, Repository!A:G, 7, 0), ""), "")</f>
        <v/>
      </c>
      <c r="O1277" s="105" t="str">
        <f>IFERROR(__xludf.DUMMYFUNCTION("ARRAY_CONSTRAIN(
  ARRAYFORMULA(
    IFERROR(
      LET(
        list, N1277,
        arr, TRIM(SPLIT(list, "","")),
        names, XLOOKUP(
          arr,
          'Conformance Score'!A:A,
          'Conformance Score'!B:B,
          ""Not found""
     "&amp;"   ),
        TEXTJOIN("", "", TRUE, names)
      ),
      """"
    )
  ),
  1,
  1
)
"),"")</f>
        <v/>
      </c>
      <c r="P1277" s="105" t="str">
        <f>IF(F1277="Yes", IFERROR(VLOOKUP(D1277, Repository!A:F, 6, 0), ""), "")</f>
        <v/>
      </c>
      <c r="Q1277" s="105" t="str">
        <f>IF(F1277="Yes", IFERROR(VLOOKUP(D1277, Repository!A:I, 8, 0), ""), "")</f>
        <v/>
      </c>
      <c r="R1277" s="105" t="str">
        <f>IF(F1277="Yes", IFERROR(VLOOKUP(D1277, Repository!A:J, 9, 0), ""), "")</f>
        <v/>
      </c>
      <c r="S1277" s="105"/>
      <c r="T1277" s="105"/>
      <c r="U1277" s="105"/>
      <c r="V1277" s="105"/>
      <c r="W1277" s="105"/>
      <c r="X1277" s="105"/>
      <c r="Y1277" s="105"/>
      <c r="Z1277" s="105"/>
      <c r="AA1277" s="105"/>
      <c r="AB1277" s="105"/>
      <c r="AC1277" s="91"/>
      <c r="AD1277" s="105"/>
      <c r="AE1277" s="105"/>
      <c r="AF1277" s="91"/>
      <c r="AG1277" s="105"/>
      <c r="AH1277" s="105"/>
      <c r="AI1277" s="105" t="str">
        <f t="shared" si="1"/>
        <v/>
      </c>
      <c r="AJ1277" s="108" t="str">
        <f t="shared" si="2"/>
        <v/>
      </c>
    </row>
    <row r="1278" ht="15.75" customHeight="1">
      <c r="A1278" s="104"/>
      <c r="B1278" s="105" t="str">
        <f>IFERROR(__xludf.DUMMYFUNCTION("ARRAY_CONSTRAIN(
  ARRAYFORMULA(
    IF(
      'Final Report'!A1278="""",
      """",
      TEXTJOIN(
        "", "" &amp; CHAR(10),
        TRUE,
        IFERROR(
          VLOOKUP(
            TRIM(
              SPLIT('Final Report'!A1278, "","")
         "&amp;"   ),
            'URL Details'!A:B,
            2,
            FALSE
          ),
          """"
        )
      )
    )
  ),
  1,
  1
)
"),"")</f>
        <v/>
      </c>
      <c r="C1278" s="105" t="str">
        <f>IFERROR(__xludf.DUMMYFUNCTION("IFERROR(IF('Final Report'!A1278="""","""", TEXTJOIN(CHAR(10), TRUE, ARRAYFORMULA( ""• ""&amp; FILTER( TRIM(FLATTEN(SPLIT( REGEXREPLACE( SUBSTITUTE(TEXTJOIN("","", TRUE, IFERROR(ARRAYFORMULA(VLOOKUP(TRIM(SPLIT('Final Report'!A1278, "","")), 'URL Details'!A:D, "&amp;"4, FALSE)),"""") ), CHAR(10), "",""), ""\s*,\s*"", "",""), "",""))), TRIM(FLATTEN(SPLIT( REGEXREPLACE( SUBSTITUTE(TEXTJOIN("","", TRUE, IFERROR(ARRAYFORMULA(VLOOKUP(TRIM(SPLIT('Final Report'!A1278, "","")), 'URL Details'!A:D, 4, FALSE)),"""") ), CHAR(10),"&amp;" "",""), ""\s*,\s*"", "",""), "","")))&lt;&gt;"""" ) ) ) ),"""")
"),"")</f>
        <v/>
      </c>
      <c r="D1278" s="105"/>
      <c r="E1278" s="105"/>
      <c r="F1278" s="110" t="b">
        <v>0</v>
      </c>
      <c r="G1278" s="105" t="str">
        <f>IF(F1278=True, IFERROR(VLOOKUP(D1278, Repository!A:B, 2, 0), ""), "")</f>
        <v/>
      </c>
      <c r="H1278" s="105"/>
      <c r="I1278" s="105"/>
      <c r="J1278" s="105" t="str">
        <f>IF(F1278=True, IFERROR(VLOOKUP(D1278, Repository!A:C, 3, 0), ""), "")</f>
        <v/>
      </c>
      <c r="K1278" s="105"/>
      <c r="L1278" s="105" t="str">
        <f>IF(F1278=True, IFERROR(VLOOKUP(D1278, Repository!A:E, 5, 0), ""), "")</f>
        <v/>
      </c>
      <c r="M1278" s="105"/>
      <c r="N1278" s="105" t="str">
        <f>IF(F1278=True, IFERROR(VLOOKUP(D1278, Repository!A:G, 7, 0), ""), "")</f>
        <v/>
      </c>
      <c r="O1278" s="105" t="str">
        <f>IFERROR(__xludf.DUMMYFUNCTION("ARRAY_CONSTRAIN(
  ARRAYFORMULA(
    IFERROR(
      LET(
        list, N1278,
        arr, TRIM(SPLIT(list, "","")),
        names, XLOOKUP(
          arr,
          'Conformance Score'!A:A,
          'Conformance Score'!B:B,
          ""Not found""
     "&amp;"   ),
        TEXTJOIN("", "", TRUE, names)
      ),
      """"
    )
  ),
  1,
  1
)
"),"")</f>
        <v/>
      </c>
      <c r="P1278" s="105" t="str">
        <f>IF(F1278="Yes", IFERROR(VLOOKUP(D1278, Repository!A:F, 6, 0), ""), "")</f>
        <v/>
      </c>
      <c r="Q1278" s="105" t="str">
        <f>IF(F1278="Yes", IFERROR(VLOOKUP(D1278, Repository!A:I, 8, 0), ""), "")</f>
        <v/>
      </c>
      <c r="R1278" s="105" t="str">
        <f>IF(F1278="Yes", IFERROR(VLOOKUP(D1278, Repository!A:J, 9, 0), ""), "")</f>
        <v/>
      </c>
      <c r="S1278" s="105"/>
      <c r="T1278" s="105"/>
      <c r="U1278" s="105"/>
      <c r="V1278" s="105"/>
      <c r="W1278" s="105"/>
      <c r="X1278" s="105"/>
      <c r="Y1278" s="105"/>
      <c r="Z1278" s="105"/>
      <c r="AA1278" s="105"/>
      <c r="AB1278" s="105"/>
      <c r="AC1278" s="91"/>
      <c r="AD1278" s="105"/>
      <c r="AE1278" s="105"/>
      <c r="AF1278" s="91"/>
      <c r="AG1278" s="105"/>
      <c r="AH1278" s="105"/>
      <c r="AI1278" s="105" t="str">
        <f t="shared" si="1"/>
        <v/>
      </c>
      <c r="AJ1278" s="108" t="str">
        <f t="shared" si="2"/>
        <v/>
      </c>
    </row>
    <row r="1279" ht="15.75" customHeight="1">
      <c r="A1279" s="104"/>
      <c r="B1279" s="105" t="str">
        <f>IFERROR(__xludf.DUMMYFUNCTION("ARRAY_CONSTRAIN(
  ARRAYFORMULA(
    IF(
      'Final Report'!A1279="""",
      """",
      TEXTJOIN(
        "", "" &amp; CHAR(10),
        TRUE,
        IFERROR(
          VLOOKUP(
            TRIM(
              SPLIT('Final Report'!A1279, "","")
         "&amp;"   ),
            'URL Details'!A:B,
            2,
            FALSE
          ),
          """"
        )
      )
    )
  ),
  1,
  1
)
"),"")</f>
        <v/>
      </c>
      <c r="C1279" s="105" t="str">
        <f>IFERROR(__xludf.DUMMYFUNCTION("IFERROR(IF('Final Report'!A1279="""","""", TEXTJOIN(CHAR(10), TRUE, ARRAYFORMULA( ""• ""&amp; FILTER( TRIM(FLATTEN(SPLIT( REGEXREPLACE( SUBSTITUTE(TEXTJOIN("","", TRUE, IFERROR(ARRAYFORMULA(VLOOKUP(TRIM(SPLIT('Final Report'!A1279, "","")), 'URL Details'!A:D, "&amp;"4, FALSE)),"""") ), CHAR(10), "",""), ""\s*,\s*"", "",""), "",""))), TRIM(FLATTEN(SPLIT( REGEXREPLACE( SUBSTITUTE(TEXTJOIN("","", TRUE, IFERROR(ARRAYFORMULA(VLOOKUP(TRIM(SPLIT('Final Report'!A1279, "","")), 'URL Details'!A:D, 4, FALSE)),"""") ), CHAR(10),"&amp;" "",""), ""\s*,\s*"", "",""), "","")))&lt;&gt;"""" ) ) ) ),"""")
"),"")</f>
        <v/>
      </c>
      <c r="D1279" s="105"/>
      <c r="E1279" s="105"/>
      <c r="F1279" s="110" t="b">
        <v>0</v>
      </c>
      <c r="G1279" s="105" t="str">
        <f>IF(F1279=True, IFERROR(VLOOKUP(D1279, Repository!A:B, 2, 0), ""), "")</f>
        <v/>
      </c>
      <c r="H1279" s="105"/>
      <c r="I1279" s="105"/>
      <c r="J1279" s="105" t="str">
        <f>IF(F1279=True, IFERROR(VLOOKUP(D1279, Repository!A:C, 3, 0), ""), "")</f>
        <v/>
      </c>
      <c r="K1279" s="105"/>
      <c r="L1279" s="105" t="str">
        <f>IF(F1279=True, IFERROR(VLOOKUP(D1279, Repository!A:E, 5, 0), ""), "")</f>
        <v/>
      </c>
      <c r="M1279" s="105"/>
      <c r="N1279" s="105" t="str">
        <f>IF(F1279=True, IFERROR(VLOOKUP(D1279, Repository!A:G, 7, 0), ""), "")</f>
        <v/>
      </c>
      <c r="O1279" s="105" t="str">
        <f>IFERROR(__xludf.DUMMYFUNCTION("ARRAY_CONSTRAIN(
  ARRAYFORMULA(
    IFERROR(
      LET(
        list, N1279,
        arr, TRIM(SPLIT(list, "","")),
        names, XLOOKUP(
          arr,
          'Conformance Score'!A:A,
          'Conformance Score'!B:B,
          ""Not found""
     "&amp;"   ),
        TEXTJOIN("", "", TRUE, names)
      ),
      """"
    )
  ),
  1,
  1
)
"),"")</f>
        <v/>
      </c>
      <c r="P1279" s="105" t="str">
        <f>IF(F1279="Yes", IFERROR(VLOOKUP(D1279, Repository!A:F, 6, 0), ""), "")</f>
        <v/>
      </c>
      <c r="Q1279" s="105" t="str">
        <f>IF(F1279="Yes", IFERROR(VLOOKUP(D1279, Repository!A:I, 8, 0), ""), "")</f>
        <v/>
      </c>
      <c r="R1279" s="105" t="str">
        <f>IF(F1279="Yes", IFERROR(VLOOKUP(D1279, Repository!A:J, 9, 0), ""), "")</f>
        <v/>
      </c>
      <c r="S1279" s="105"/>
      <c r="T1279" s="105"/>
      <c r="U1279" s="105"/>
      <c r="V1279" s="105"/>
      <c r="W1279" s="105"/>
      <c r="X1279" s="105"/>
      <c r="Y1279" s="105"/>
      <c r="Z1279" s="105"/>
      <c r="AA1279" s="105"/>
      <c r="AB1279" s="105"/>
      <c r="AC1279" s="91"/>
      <c r="AD1279" s="105"/>
      <c r="AE1279" s="105"/>
      <c r="AF1279" s="91"/>
      <c r="AG1279" s="105"/>
      <c r="AH1279" s="105"/>
      <c r="AI1279" s="105" t="str">
        <f t="shared" si="1"/>
        <v/>
      </c>
      <c r="AJ1279" s="108" t="str">
        <f t="shared" si="2"/>
        <v/>
      </c>
    </row>
    <row r="1280" ht="15.75" customHeight="1">
      <c r="A1280" s="104"/>
      <c r="B1280" s="105" t="str">
        <f>IFERROR(__xludf.DUMMYFUNCTION("ARRAY_CONSTRAIN(
  ARRAYFORMULA(
    IF(
      'Final Report'!A1280="""",
      """",
      TEXTJOIN(
        "", "" &amp; CHAR(10),
        TRUE,
        IFERROR(
          VLOOKUP(
            TRIM(
              SPLIT('Final Report'!A1280, "","")
         "&amp;"   ),
            'URL Details'!A:B,
            2,
            FALSE
          ),
          """"
        )
      )
    )
  ),
  1,
  1
)
"),"")</f>
        <v/>
      </c>
      <c r="C1280" s="105" t="str">
        <f>IFERROR(__xludf.DUMMYFUNCTION("IFERROR(IF('Final Report'!A1280="""","""", TEXTJOIN(CHAR(10), TRUE, ARRAYFORMULA( ""• ""&amp; FILTER( TRIM(FLATTEN(SPLIT( REGEXREPLACE( SUBSTITUTE(TEXTJOIN("","", TRUE, IFERROR(ARRAYFORMULA(VLOOKUP(TRIM(SPLIT('Final Report'!A1280, "","")), 'URL Details'!A:D, "&amp;"4, FALSE)),"""") ), CHAR(10), "",""), ""\s*,\s*"", "",""), "",""))), TRIM(FLATTEN(SPLIT( REGEXREPLACE( SUBSTITUTE(TEXTJOIN("","", TRUE, IFERROR(ARRAYFORMULA(VLOOKUP(TRIM(SPLIT('Final Report'!A1280, "","")), 'URL Details'!A:D, 4, FALSE)),"""") ), CHAR(10),"&amp;" "",""), ""\s*,\s*"", "",""), "","")))&lt;&gt;"""" ) ) ) ),"""")
"),"")</f>
        <v/>
      </c>
      <c r="D1280" s="105"/>
      <c r="E1280" s="105"/>
      <c r="F1280" s="110" t="b">
        <v>0</v>
      </c>
      <c r="G1280" s="105" t="str">
        <f>IF(F1280=True, IFERROR(VLOOKUP(D1280, Repository!A:B, 2, 0), ""), "")</f>
        <v/>
      </c>
      <c r="H1280" s="105"/>
      <c r="I1280" s="105"/>
      <c r="J1280" s="105" t="str">
        <f>IF(F1280=True, IFERROR(VLOOKUP(D1280, Repository!A:C, 3, 0), ""), "")</f>
        <v/>
      </c>
      <c r="K1280" s="105"/>
      <c r="L1280" s="105" t="str">
        <f>IF(F1280=True, IFERROR(VLOOKUP(D1280, Repository!A:E, 5, 0), ""), "")</f>
        <v/>
      </c>
      <c r="M1280" s="105"/>
      <c r="N1280" s="105" t="str">
        <f>IF(F1280=True, IFERROR(VLOOKUP(D1280, Repository!A:G, 7, 0), ""), "")</f>
        <v/>
      </c>
      <c r="O1280" s="105" t="str">
        <f>IFERROR(__xludf.DUMMYFUNCTION("ARRAY_CONSTRAIN(
  ARRAYFORMULA(
    IFERROR(
      LET(
        list, N1280,
        arr, TRIM(SPLIT(list, "","")),
        names, XLOOKUP(
          arr,
          'Conformance Score'!A:A,
          'Conformance Score'!B:B,
          ""Not found""
     "&amp;"   ),
        TEXTJOIN("", "", TRUE, names)
      ),
      """"
    )
  ),
  1,
  1
)
"),"")</f>
        <v/>
      </c>
      <c r="P1280" s="105" t="str">
        <f>IF(F1280="Yes", IFERROR(VLOOKUP(D1280, Repository!A:F, 6, 0), ""), "")</f>
        <v/>
      </c>
      <c r="Q1280" s="105" t="str">
        <f>IF(F1280="Yes", IFERROR(VLOOKUP(D1280, Repository!A:I, 8, 0), ""), "")</f>
        <v/>
      </c>
      <c r="R1280" s="105" t="str">
        <f>IF(F1280="Yes", IFERROR(VLOOKUP(D1280, Repository!A:J, 9, 0), ""), "")</f>
        <v/>
      </c>
      <c r="S1280" s="105"/>
      <c r="T1280" s="105"/>
      <c r="U1280" s="105"/>
      <c r="V1280" s="105"/>
      <c r="W1280" s="105"/>
      <c r="X1280" s="105"/>
      <c r="Y1280" s="105"/>
      <c r="Z1280" s="105"/>
      <c r="AA1280" s="105"/>
      <c r="AB1280" s="105"/>
      <c r="AC1280" s="91"/>
      <c r="AD1280" s="105"/>
      <c r="AE1280" s="105"/>
      <c r="AF1280" s="91"/>
      <c r="AG1280" s="105"/>
      <c r="AH1280" s="105"/>
      <c r="AI1280" s="105" t="str">
        <f t="shared" si="1"/>
        <v/>
      </c>
      <c r="AJ1280" s="108" t="str">
        <f t="shared" si="2"/>
        <v/>
      </c>
    </row>
    <row r="1281" ht="15.75" customHeight="1">
      <c r="A1281" s="104"/>
      <c r="B1281" s="105" t="str">
        <f>IFERROR(__xludf.DUMMYFUNCTION("ARRAY_CONSTRAIN(
  ARRAYFORMULA(
    IF(
      'Final Report'!A1281="""",
      """",
      TEXTJOIN(
        "", "" &amp; CHAR(10),
        TRUE,
        IFERROR(
          VLOOKUP(
            TRIM(
              SPLIT('Final Report'!A1281, "","")
         "&amp;"   ),
            'URL Details'!A:B,
            2,
            FALSE
          ),
          """"
        )
      )
    )
  ),
  1,
  1
)
"),"")</f>
        <v/>
      </c>
      <c r="C1281" s="105" t="str">
        <f>IFERROR(__xludf.DUMMYFUNCTION("IFERROR(IF('Final Report'!A1281="""","""", TEXTJOIN(CHAR(10), TRUE, ARRAYFORMULA( ""• ""&amp; FILTER( TRIM(FLATTEN(SPLIT( REGEXREPLACE( SUBSTITUTE(TEXTJOIN("","", TRUE, IFERROR(ARRAYFORMULA(VLOOKUP(TRIM(SPLIT('Final Report'!A1281, "","")), 'URL Details'!A:D, "&amp;"4, FALSE)),"""") ), CHAR(10), "",""), ""\s*,\s*"", "",""), "",""))), TRIM(FLATTEN(SPLIT( REGEXREPLACE( SUBSTITUTE(TEXTJOIN("","", TRUE, IFERROR(ARRAYFORMULA(VLOOKUP(TRIM(SPLIT('Final Report'!A1281, "","")), 'URL Details'!A:D, 4, FALSE)),"""") ), CHAR(10),"&amp;" "",""), ""\s*,\s*"", "",""), "","")))&lt;&gt;"""" ) ) ) ),"""")
"),"")</f>
        <v/>
      </c>
      <c r="D1281" s="105"/>
      <c r="E1281" s="105"/>
      <c r="F1281" s="110" t="b">
        <v>0</v>
      </c>
      <c r="G1281" s="105" t="str">
        <f>IF(F1281=True, IFERROR(VLOOKUP(D1281, Repository!A:B, 2, 0), ""), "")</f>
        <v/>
      </c>
      <c r="H1281" s="105"/>
      <c r="I1281" s="105"/>
      <c r="J1281" s="105" t="str">
        <f>IF(F1281=True, IFERROR(VLOOKUP(D1281, Repository!A:C, 3, 0), ""), "")</f>
        <v/>
      </c>
      <c r="K1281" s="105"/>
      <c r="L1281" s="105" t="str">
        <f>IF(F1281=True, IFERROR(VLOOKUP(D1281, Repository!A:E, 5, 0), ""), "")</f>
        <v/>
      </c>
      <c r="M1281" s="105"/>
      <c r="N1281" s="105" t="str">
        <f>IF(F1281=True, IFERROR(VLOOKUP(D1281, Repository!A:G, 7, 0), ""), "")</f>
        <v/>
      </c>
      <c r="O1281" s="105" t="str">
        <f>IFERROR(__xludf.DUMMYFUNCTION("ARRAY_CONSTRAIN(
  ARRAYFORMULA(
    IFERROR(
      LET(
        list, N1281,
        arr, TRIM(SPLIT(list, "","")),
        names, XLOOKUP(
          arr,
          'Conformance Score'!A:A,
          'Conformance Score'!B:B,
          ""Not found""
     "&amp;"   ),
        TEXTJOIN("", "", TRUE, names)
      ),
      """"
    )
  ),
  1,
  1
)
"),"")</f>
        <v/>
      </c>
      <c r="P1281" s="105" t="str">
        <f>IF(F1281="Yes", IFERROR(VLOOKUP(D1281, Repository!A:F, 6, 0), ""), "")</f>
        <v/>
      </c>
      <c r="Q1281" s="105" t="str">
        <f>IF(F1281="Yes", IFERROR(VLOOKUP(D1281, Repository!A:I, 8, 0), ""), "")</f>
        <v/>
      </c>
      <c r="R1281" s="105" t="str">
        <f>IF(F1281="Yes", IFERROR(VLOOKUP(D1281, Repository!A:J, 9, 0), ""), "")</f>
        <v/>
      </c>
      <c r="S1281" s="105"/>
      <c r="T1281" s="105"/>
      <c r="U1281" s="105"/>
      <c r="V1281" s="105"/>
      <c r="W1281" s="105"/>
      <c r="X1281" s="105"/>
      <c r="Y1281" s="105"/>
      <c r="Z1281" s="105"/>
      <c r="AA1281" s="105"/>
      <c r="AB1281" s="105"/>
      <c r="AC1281" s="91"/>
      <c r="AD1281" s="105"/>
      <c r="AE1281" s="105"/>
      <c r="AF1281" s="91"/>
      <c r="AG1281" s="105"/>
      <c r="AH1281" s="105"/>
      <c r="AI1281" s="105" t="str">
        <f t="shared" si="1"/>
        <v/>
      </c>
      <c r="AJ1281" s="108" t="str">
        <f t="shared" si="2"/>
        <v/>
      </c>
    </row>
    <row r="1282" ht="15.75" customHeight="1">
      <c r="A1282" s="104"/>
      <c r="B1282" s="105" t="str">
        <f>IFERROR(__xludf.DUMMYFUNCTION("ARRAY_CONSTRAIN(
  ARRAYFORMULA(
    IF(
      'Final Report'!A1282="""",
      """",
      TEXTJOIN(
        "", "" &amp; CHAR(10),
        TRUE,
        IFERROR(
          VLOOKUP(
            TRIM(
              SPLIT('Final Report'!A1282, "","")
         "&amp;"   ),
            'URL Details'!A:B,
            2,
            FALSE
          ),
          """"
        )
      )
    )
  ),
  1,
  1
)
"),"")</f>
        <v/>
      </c>
      <c r="C1282" s="105" t="str">
        <f>IFERROR(__xludf.DUMMYFUNCTION("IFERROR(IF('Final Report'!A1282="""","""", TEXTJOIN(CHAR(10), TRUE, ARRAYFORMULA( ""• ""&amp; FILTER( TRIM(FLATTEN(SPLIT( REGEXREPLACE( SUBSTITUTE(TEXTJOIN("","", TRUE, IFERROR(ARRAYFORMULA(VLOOKUP(TRIM(SPLIT('Final Report'!A1282, "","")), 'URL Details'!A:D, "&amp;"4, FALSE)),"""") ), CHAR(10), "",""), ""\s*,\s*"", "",""), "",""))), TRIM(FLATTEN(SPLIT( REGEXREPLACE( SUBSTITUTE(TEXTJOIN("","", TRUE, IFERROR(ARRAYFORMULA(VLOOKUP(TRIM(SPLIT('Final Report'!A1282, "","")), 'URL Details'!A:D, 4, FALSE)),"""") ), CHAR(10),"&amp;" "",""), ""\s*,\s*"", "",""), "","")))&lt;&gt;"""" ) ) ) ),"""")
"),"")</f>
        <v/>
      </c>
      <c r="D1282" s="105"/>
      <c r="E1282" s="105"/>
      <c r="F1282" s="110" t="b">
        <v>0</v>
      </c>
      <c r="G1282" s="105" t="str">
        <f>IF(F1282=True, IFERROR(VLOOKUP(D1282, Repository!A:B, 2, 0), ""), "")</f>
        <v/>
      </c>
      <c r="H1282" s="105"/>
      <c r="I1282" s="105"/>
      <c r="J1282" s="105" t="str">
        <f>IF(F1282=True, IFERROR(VLOOKUP(D1282, Repository!A:C, 3, 0), ""), "")</f>
        <v/>
      </c>
      <c r="K1282" s="105"/>
      <c r="L1282" s="105" t="str">
        <f>IF(F1282=True, IFERROR(VLOOKUP(D1282, Repository!A:E, 5, 0), ""), "")</f>
        <v/>
      </c>
      <c r="M1282" s="105"/>
      <c r="N1282" s="105" t="str">
        <f>IF(F1282=True, IFERROR(VLOOKUP(D1282, Repository!A:G, 7, 0), ""), "")</f>
        <v/>
      </c>
      <c r="O1282" s="105" t="str">
        <f>IFERROR(__xludf.DUMMYFUNCTION("ARRAY_CONSTRAIN(
  ARRAYFORMULA(
    IFERROR(
      LET(
        list, N1282,
        arr, TRIM(SPLIT(list, "","")),
        names, XLOOKUP(
          arr,
          'Conformance Score'!A:A,
          'Conformance Score'!B:B,
          ""Not found""
     "&amp;"   ),
        TEXTJOIN("", "", TRUE, names)
      ),
      """"
    )
  ),
  1,
  1
)
"),"")</f>
        <v/>
      </c>
      <c r="P1282" s="105" t="str">
        <f>IF(F1282="Yes", IFERROR(VLOOKUP(D1282, Repository!A:F, 6, 0), ""), "")</f>
        <v/>
      </c>
      <c r="Q1282" s="105" t="str">
        <f>IF(F1282="Yes", IFERROR(VLOOKUP(D1282, Repository!A:I, 8, 0), ""), "")</f>
        <v/>
      </c>
      <c r="R1282" s="105" t="str">
        <f>IF(F1282="Yes", IFERROR(VLOOKUP(D1282, Repository!A:J, 9, 0), ""), "")</f>
        <v/>
      </c>
      <c r="S1282" s="105"/>
      <c r="T1282" s="105"/>
      <c r="U1282" s="105"/>
      <c r="V1282" s="105"/>
      <c r="W1282" s="105"/>
      <c r="X1282" s="105"/>
      <c r="Y1282" s="105"/>
      <c r="Z1282" s="105"/>
      <c r="AA1282" s="105"/>
      <c r="AB1282" s="105"/>
      <c r="AC1282" s="91"/>
      <c r="AD1282" s="105"/>
      <c r="AE1282" s="105"/>
      <c r="AF1282" s="91"/>
      <c r="AG1282" s="105"/>
      <c r="AH1282" s="105"/>
      <c r="AI1282" s="105" t="str">
        <f t="shared" si="1"/>
        <v/>
      </c>
      <c r="AJ1282" s="108" t="str">
        <f t="shared" si="2"/>
        <v/>
      </c>
    </row>
    <row r="1283" ht="15.75" customHeight="1">
      <c r="A1283" s="104"/>
      <c r="B1283" s="105" t="str">
        <f>IFERROR(__xludf.DUMMYFUNCTION("ARRAY_CONSTRAIN(
  ARRAYFORMULA(
    IF(
      'Final Report'!A1283="""",
      """",
      TEXTJOIN(
        "", "" &amp; CHAR(10),
        TRUE,
        IFERROR(
          VLOOKUP(
            TRIM(
              SPLIT('Final Report'!A1283, "","")
         "&amp;"   ),
            'URL Details'!A:B,
            2,
            FALSE
          ),
          """"
        )
      )
    )
  ),
  1,
  1
)
"),"")</f>
        <v/>
      </c>
      <c r="C1283" s="105" t="str">
        <f>IFERROR(__xludf.DUMMYFUNCTION("IFERROR(IF('Final Report'!A1283="""","""", TEXTJOIN(CHAR(10), TRUE, ARRAYFORMULA( ""• ""&amp; FILTER( TRIM(FLATTEN(SPLIT( REGEXREPLACE( SUBSTITUTE(TEXTJOIN("","", TRUE, IFERROR(ARRAYFORMULA(VLOOKUP(TRIM(SPLIT('Final Report'!A1283, "","")), 'URL Details'!A:D, "&amp;"4, FALSE)),"""") ), CHAR(10), "",""), ""\s*,\s*"", "",""), "",""))), TRIM(FLATTEN(SPLIT( REGEXREPLACE( SUBSTITUTE(TEXTJOIN("","", TRUE, IFERROR(ARRAYFORMULA(VLOOKUP(TRIM(SPLIT('Final Report'!A1283, "","")), 'URL Details'!A:D, 4, FALSE)),"""") ), CHAR(10),"&amp;" "",""), ""\s*,\s*"", "",""), "","")))&lt;&gt;"""" ) ) ) ),"""")
"),"")</f>
        <v/>
      </c>
      <c r="D1283" s="105"/>
      <c r="E1283" s="105"/>
      <c r="F1283" s="110" t="b">
        <v>0</v>
      </c>
      <c r="G1283" s="105" t="str">
        <f>IF(F1283=True, IFERROR(VLOOKUP(D1283, Repository!A:B, 2, 0), ""), "")</f>
        <v/>
      </c>
      <c r="H1283" s="105"/>
      <c r="I1283" s="105"/>
      <c r="J1283" s="105" t="str">
        <f>IF(F1283=True, IFERROR(VLOOKUP(D1283, Repository!A:C, 3, 0), ""), "")</f>
        <v/>
      </c>
      <c r="K1283" s="105"/>
      <c r="L1283" s="105" t="str">
        <f>IF(F1283=True, IFERROR(VLOOKUP(D1283, Repository!A:E, 5, 0), ""), "")</f>
        <v/>
      </c>
      <c r="M1283" s="105"/>
      <c r="N1283" s="105" t="str">
        <f>IF(F1283=True, IFERROR(VLOOKUP(D1283, Repository!A:G, 7, 0), ""), "")</f>
        <v/>
      </c>
      <c r="O1283" s="105" t="str">
        <f>IFERROR(__xludf.DUMMYFUNCTION("ARRAY_CONSTRAIN(
  ARRAYFORMULA(
    IFERROR(
      LET(
        list, N1283,
        arr, TRIM(SPLIT(list, "","")),
        names, XLOOKUP(
          arr,
          'Conformance Score'!A:A,
          'Conformance Score'!B:B,
          ""Not found""
     "&amp;"   ),
        TEXTJOIN("", "", TRUE, names)
      ),
      """"
    )
  ),
  1,
  1
)
"),"")</f>
        <v/>
      </c>
      <c r="P1283" s="105" t="str">
        <f>IF(F1283="Yes", IFERROR(VLOOKUP(D1283, Repository!A:F, 6, 0), ""), "")</f>
        <v/>
      </c>
      <c r="Q1283" s="105" t="str">
        <f>IF(F1283="Yes", IFERROR(VLOOKUP(D1283, Repository!A:I, 8, 0), ""), "")</f>
        <v/>
      </c>
      <c r="R1283" s="105" t="str">
        <f>IF(F1283="Yes", IFERROR(VLOOKUP(D1283, Repository!A:J, 9, 0), ""), "")</f>
        <v/>
      </c>
      <c r="S1283" s="105"/>
      <c r="T1283" s="105"/>
      <c r="U1283" s="105"/>
      <c r="V1283" s="105"/>
      <c r="W1283" s="105"/>
      <c r="X1283" s="105"/>
      <c r="Y1283" s="105"/>
      <c r="Z1283" s="105"/>
      <c r="AA1283" s="105"/>
      <c r="AB1283" s="105"/>
      <c r="AC1283" s="91"/>
      <c r="AD1283" s="105"/>
      <c r="AE1283" s="105"/>
      <c r="AF1283" s="91"/>
      <c r="AG1283" s="105"/>
      <c r="AH1283" s="105"/>
      <c r="AI1283" s="105" t="str">
        <f t="shared" si="1"/>
        <v/>
      </c>
      <c r="AJ1283" s="108" t="str">
        <f t="shared" si="2"/>
        <v/>
      </c>
    </row>
    <row r="1284" ht="15.75" customHeight="1">
      <c r="A1284" s="104"/>
      <c r="B1284" s="105" t="str">
        <f>IFERROR(__xludf.DUMMYFUNCTION("ARRAY_CONSTRAIN(
  ARRAYFORMULA(
    IF(
      'Final Report'!A1284="""",
      """",
      TEXTJOIN(
        "", "" &amp; CHAR(10),
        TRUE,
        IFERROR(
          VLOOKUP(
            TRIM(
              SPLIT('Final Report'!A1284, "","")
         "&amp;"   ),
            'URL Details'!A:B,
            2,
            FALSE
          ),
          """"
        )
      )
    )
  ),
  1,
  1
)
"),"")</f>
        <v/>
      </c>
      <c r="C1284" s="105" t="str">
        <f>IFERROR(__xludf.DUMMYFUNCTION("IFERROR(IF('Final Report'!A1284="""","""", TEXTJOIN(CHAR(10), TRUE, ARRAYFORMULA( ""• ""&amp; FILTER( TRIM(FLATTEN(SPLIT( REGEXREPLACE( SUBSTITUTE(TEXTJOIN("","", TRUE, IFERROR(ARRAYFORMULA(VLOOKUP(TRIM(SPLIT('Final Report'!A1284, "","")), 'URL Details'!A:D, "&amp;"4, FALSE)),"""") ), CHAR(10), "",""), ""\s*,\s*"", "",""), "",""))), TRIM(FLATTEN(SPLIT( REGEXREPLACE( SUBSTITUTE(TEXTJOIN("","", TRUE, IFERROR(ARRAYFORMULA(VLOOKUP(TRIM(SPLIT('Final Report'!A1284, "","")), 'URL Details'!A:D, 4, FALSE)),"""") ), CHAR(10),"&amp;" "",""), ""\s*,\s*"", "",""), "","")))&lt;&gt;"""" ) ) ) ),"""")
"),"")</f>
        <v/>
      </c>
      <c r="D1284" s="105"/>
      <c r="E1284" s="105"/>
      <c r="F1284" s="110" t="b">
        <v>0</v>
      </c>
      <c r="G1284" s="105" t="str">
        <f>IF(F1284=True, IFERROR(VLOOKUP(D1284, Repository!A:B, 2, 0), ""), "")</f>
        <v/>
      </c>
      <c r="H1284" s="105"/>
      <c r="I1284" s="105"/>
      <c r="J1284" s="105" t="str">
        <f>IF(F1284=True, IFERROR(VLOOKUP(D1284, Repository!A:C, 3, 0), ""), "")</f>
        <v/>
      </c>
      <c r="K1284" s="105"/>
      <c r="L1284" s="105" t="str">
        <f>IF(F1284=True, IFERROR(VLOOKUP(D1284, Repository!A:E, 5, 0), ""), "")</f>
        <v/>
      </c>
      <c r="M1284" s="105"/>
      <c r="N1284" s="105" t="str">
        <f>IF(F1284=True, IFERROR(VLOOKUP(D1284, Repository!A:G, 7, 0), ""), "")</f>
        <v/>
      </c>
      <c r="O1284" s="105" t="str">
        <f>IFERROR(__xludf.DUMMYFUNCTION("ARRAY_CONSTRAIN(
  ARRAYFORMULA(
    IFERROR(
      LET(
        list, N1284,
        arr, TRIM(SPLIT(list, "","")),
        names, XLOOKUP(
          arr,
          'Conformance Score'!A:A,
          'Conformance Score'!B:B,
          ""Not found""
     "&amp;"   ),
        TEXTJOIN("", "", TRUE, names)
      ),
      """"
    )
  ),
  1,
  1
)
"),"")</f>
        <v/>
      </c>
      <c r="P1284" s="105" t="str">
        <f>IF(F1284="Yes", IFERROR(VLOOKUP(D1284, Repository!A:F, 6, 0), ""), "")</f>
        <v/>
      </c>
      <c r="Q1284" s="105" t="str">
        <f>IF(F1284="Yes", IFERROR(VLOOKUP(D1284, Repository!A:I, 8, 0), ""), "")</f>
        <v/>
      </c>
      <c r="R1284" s="105" t="str">
        <f>IF(F1284="Yes", IFERROR(VLOOKUP(D1284, Repository!A:J, 9, 0), ""), "")</f>
        <v/>
      </c>
      <c r="S1284" s="105"/>
      <c r="T1284" s="105"/>
      <c r="U1284" s="105"/>
      <c r="V1284" s="105"/>
      <c r="W1284" s="105"/>
      <c r="X1284" s="105"/>
      <c r="Y1284" s="105"/>
      <c r="Z1284" s="105"/>
      <c r="AA1284" s="105"/>
      <c r="AB1284" s="105"/>
      <c r="AC1284" s="91"/>
      <c r="AD1284" s="105"/>
      <c r="AE1284" s="105"/>
      <c r="AF1284" s="91"/>
      <c r="AG1284" s="105"/>
      <c r="AH1284" s="105"/>
      <c r="AI1284" s="105" t="str">
        <f t="shared" si="1"/>
        <v/>
      </c>
      <c r="AJ1284" s="108" t="str">
        <f t="shared" si="2"/>
        <v/>
      </c>
    </row>
    <row r="1285" ht="15.75" customHeight="1">
      <c r="A1285" s="104"/>
      <c r="B1285" s="105" t="str">
        <f>IFERROR(__xludf.DUMMYFUNCTION("ARRAY_CONSTRAIN(
  ARRAYFORMULA(
    IF(
      'Final Report'!A1285="""",
      """",
      TEXTJOIN(
        "", "" &amp; CHAR(10),
        TRUE,
        IFERROR(
          VLOOKUP(
            TRIM(
              SPLIT('Final Report'!A1285, "","")
         "&amp;"   ),
            'URL Details'!A:B,
            2,
            FALSE
          ),
          """"
        )
      )
    )
  ),
  1,
  1
)
"),"")</f>
        <v/>
      </c>
      <c r="C1285" s="105" t="str">
        <f>IFERROR(__xludf.DUMMYFUNCTION("IFERROR(IF('Final Report'!A1285="""","""", TEXTJOIN(CHAR(10), TRUE, ARRAYFORMULA( ""• ""&amp; FILTER( TRIM(FLATTEN(SPLIT( REGEXREPLACE( SUBSTITUTE(TEXTJOIN("","", TRUE, IFERROR(ARRAYFORMULA(VLOOKUP(TRIM(SPLIT('Final Report'!A1285, "","")), 'URL Details'!A:D, "&amp;"4, FALSE)),"""") ), CHAR(10), "",""), ""\s*,\s*"", "",""), "",""))), TRIM(FLATTEN(SPLIT( REGEXREPLACE( SUBSTITUTE(TEXTJOIN("","", TRUE, IFERROR(ARRAYFORMULA(VLOOKUP(TRIM(SPLIT('Final Report'!A1285, "","")), 'URL Details'!A:D, 4, FALSE)),"""") ), CHAR(10),"&amp;" "",""), ""\s*,\s*"", "",""), "","")))&lt;&gt;"""" ) ) ) ),"""")
"),"")</f>
        <v/>
      </c>
      <c r="D1285" s="105"/>
      <c r="E1285" s="105"/>
      <c r="F1285" s="110" t="b">
        <v>0</v>
      </c>
      <c r="G1285" s="105" t="str">
        <f>IF(F1285=True, IFERROR(VLOOKUP(D1285, Repository!A:B, 2, 0), ""), "")</f>
        <v/>
      </c>
      <c r="H1285" s="105"/>
      <c r="I1285" s="105"/>
      <c r="J1285" s="105" t="str">
        <f>IF(F1285=True, IFERROR(VLOOKUP(D1285, Repository!A:C, 3, 0), ""), "")</f>
        <v/>
      </c>
      <c r="K1285" s="105"/>
      <c r="L1285" s="105" t="str">
        <f>IF(F1285=True, IFERROR(VLOOKUP(D1285, Repository!A:E, 5, 0), ""), "")</f>
        <v/>
      </c>
      <c r="M1285" s="105"/>
      <c r="N1285" s="105" t="str">
        <f>IF(F1285=True, IFERROR(VLOOKUP(D1285, Repository!A:G, 7, 0), ""), "")</f>
        <v/>
      </c>
      <c r="O1285" s="105" t="str">
        <f>IFERROR(__xludf.DUMMYFUNCTION("ARRAY_CONSTRAIN(
  ARRAYFORMULA(
    IFERROR(
      LET(
        list, N1285,
        arr, TRIM(SPLIT(list, "","")),
        names, XLOOKUP(
          arr,
          'Conformance Score'!A:A,
          'Conformance Score'!B:B,
          ""Not found""
     "&amp;"   ),
        TEXTJOIN("", "", TRUE, names)
      ),
      """"
    )
  ),
  1,
  1
)
"),"")</f>
        <v/>
      </c>
      <c r="P1285" s="105" t="str">
        <f>IF(F1285="Yes", IFERROR(VLOOKUP(D1285, Repository!A:F, 6, 0), ""), "")</f>
        <v/>
      </c>
      <c r="Q1285" s="105" t="str">
        <f>IF(F1285="Yes", IFERROR(VLOOKUP(D1285, Repository!A:I, 8, 0), ""), "")</f>
        <v/>
      </c>
      <c r="R1285" s="105" t="str">
        <f>IF(F1285="Yes", IFERROR(VLOOKUP(D1285, Repository!A:J, 9, 0), ""), "")</f>
        <v/>
      </c>
      <c r="S1285" s="105"/>
      <c r="T1285" s="105"/>
      <c r="U1285" s="105"/>
      <c r="V1285" s="105"/>
      <c r="W1285" s="105"/>
      <c r="X1285" s="105"/>
      <c r="Y1285" s="105"/>
      <c r="Z1285" s="105"/>
      <c r="AA1285" s="105"/>
      <c r="AB1285" s="105"/>
      <c r="AC1285" s="91"/>
      <c r="AD1285" s="105"/>
      <c r="AE1285" s="105"/>
      <c r="AF1285" s="91"/>
      <c r="AG1285" s="105"/>
      <c r="AH1285" s="105"/>
      <c r="AI1285" s="105" t="str">
        <f t="shared" si="1"/>
        <v/>
      </c>
      <c r="AJ1285" s="108" t="str">
        <f t="shared" si="2"/>
        <v/>
      </c>
    </row>
    <row r="1286" ht="15.75" customHeight="1">
      <c r="A1286" s="104"/>
      <c r="B1286" s="105" t="str">
        <f>IFERROR(__xludf.DUMMYFUNCTION("ARRAY_CONSTRAIN(
  ARRAYFORMULA(
    IF(
      'Final Report'!A1286="""",
      """",
      TEXTJOIN(
        "", "" &amp; CHAR(10),
        TRUE,
        IFERROR(
          VLOOKUP(
            TRIM(
              SPLIT('Final Report'!A1286, "","")
         "&amp;"   ),
            'URL Details'!A:B,
            2,
            FALSE
          ),
          """"
        )
      )
    )
  ),
  1,
  1
)
"),"")</f>
        <v/>
      </c>
      <c r="C1286" s="105" t="str">
        <f>IFERROR(__xludf.DUMMYFUNCTION("IFERROR(IF('Final Report'!A1286="""","""", TEXTJOIN(CHAR(10), TRUE, ARRAYFORMULA( ""• ""&amp; FILTER( TRIM(FLATTEN(SPLIT( REGEXREPLACE( SUBSTITUTE(TEXTJOIN("","", TRUE, IFERROR(ARRAYFORMULA(VLOOKUP(TRIM(SPLIT('Final Report'!A1286, "","")), 'URL Details'!A:D, "&amp;"4, FALSE)),"""") ), CHAR(10), "",""), ""\s*,\s*"", "",""), "",""))), TRIM(FLATTEN(SPLIT( REGEXREPLACE( SUBSTITUTE(TEXTJOIN("","", TRUE, IFERROR(ARRAYFORMULA(VLOOKUP(TRIM(SPLIT('Final Report'!A1286, "","")), 'URL Details'!A:D, 4, FALSE)),"""") ), CHAR(10),"&amp;" "",""), ""\s*,\s*"", "",""), "","")))&lt;&gt;"""" ) ) ) ),"""")
"),"")</f>
        <v/>
      </c>
      <c r="D1286" s="105"/>
      <c r="E1286" s="105"/>
      <c r="F1286" s="110" t="b">
        <v>0</v>
      </c>
      <c r="G1286" s="105" t="str">
        <f>IF(F1286=True, IFERROR(VLOOKUP(D1286, Repository!A:B, 2, 0), ""), "")</f>
        <v/>
      </c>
      <c r="H1286" s="105"/>
      <c r="I1286" s="105"/>
      <c r="J1286" s="105" t="str">
        <f>IF(F1286=True, IFERROR(VLOOKUP(D1286, Repository!A:C, 3, 0), ""), "")</f>
        <v/>
      </c>
      <c r="K1286" s="105"/>
      <c r="L1286" s="105" t="str">
        <f>IF(F1286=True, IFERROR(VLOOKUP(D1286, Repository!A:E, 5, 0), ""), "")</f>
        <v/>
      </c>
      <c r="M1286" s="105"/>
      <c r="N1286" s="105" t="str">
        <f>IF(F1286=True, IFERROR(VLOOKUP(D1286, Repository!A:G, 7, 0), ""), "")</f>
        <v/>
      </c>
      <c r="O1286" s="105" t="str">
        <f>IFERROR(__xludf.DUMMYFUNCTION("ARRAY_CONSTRAIN(
  ARRAYFORMULA(
    IFERROR(
      LET(
        list, N1286,
        arr, TRIM(SPLIT(list, "","")),
        names, XLOOKUP(
          arr,
          'Conformance Score'!A:A,
          'Conformance Score'!B:B,
          ""Not found""
     "&amp;"   ),
        TEXTJOIN("", "", TRUE, names)
      ),
      """"
    )
  ),
  1,
  1
)
"),"")</f>
        <v/>
      </c>
      <c r="P1286" s="105" t="str">
        <f>IF(F1286="Yes", IFERROR(VLOOKUP(D1286, Repository!A:F, 6, 0), ""), "")</f>
        <v/>
      </c>
      <c r="Q1286" s="105" t="str">
        <f>IF(F1286="Yes", IFERROR(VLOOKUP(D1286, Repository!A:I, 8, 0), ""), "")</f>
        <v/>
      </c>
      <c r="R1286" s="105" t="str">
        <f>IF(F1286="Yes", IFERROR(VLOOKUP(D1286, Repository!A:J, 9, 0), ""), "")</f>
        <v/>
      </c>
      <c r="S1286" s="105"/>
      <c r="T1286" s="105"/>
      <c r="U1286" s="105"/>
      <c r="V1286" s="105"/>
      <c r="W1286" s="105"/>
      <c r="X1286" s="105"/>
      <c r="Y1286" s="105"/>
      <c r="Z1286" s="105"/>
      <c r="AA1286" s="105"/>
      <c r="AB1286" s="105"/>
      <c r="AC1286" s="91"/>
      <c r="AD1286" s="105"/>
      <c r="AE1286" s="105"/>
      <c r="AF1286" s="91"/>
      <c r="AG1286" s="105"/>
      <c r="AH1286" s="105"/>
      <c r="AI1286" s="105" t="str">
        <f t="shared" si="1"/>
        <v/>
      </c>
      <c r="AJ1286" s="108" t="str">
        <f t="shared" si="2"/>
        <v/>
      </c>
    </row>
    <row r="1287" ht="15.75" customHeight="1">
      <c r="A1287" s="104"/>
      <c r="B1287" s="105" t="str">
        <f>IFERROR(__xludf.DUMMYFUNCTION("ARRAY_CONSTRAIN(
  ARRAYFORMULA(
    IF(
      'Final Report'!A1287="""",
      """",
      TEXTJOIN(
        "", "" &amp; CHAR(10),
        TRUE,
        IFERROR(
          VLOOKUP(
            TRIM(
              SPLIT('Final Report'!A1287, "","")
         "&amp;"   ),
            'URL Details'!A:B,
            2,
            FALSE
          ),
          """"
        )
      )
    )
  ),
  1,
  1
)
"),"")</f>
        <v/>
      </c>
      <c r="C1287" s="105" t="str">
        <f>IFERROR(__xludf.DUMMYFUNCTION("IFERROR(IF('Final Report'!A1287="""","""", TEXTJOIN(CHAR(10), TRUE, ARRAYFORMULA( ""• ""&amp; FILTER( TRIM(FLATTEN(SPLIT( REGEXREPLACE( SUBSTITUTE(TEXTJOIN("","", TRUE, IFERROR(ARRAYFORMULA(VLOOKUP(TRIM(SPLIT('Final Report'!A1287, "","")), 'URL Details'!A:D, "&amp;"4, FALSE)),"""") ), CHAR(10), "",""), ""\s*,\s*"", "",""), "",""))), TRIM(FLATTEN(SPLIT( REGEXREPLACE( SUBSTITUTE(TEXTJOIN("","", TRUE, IFERROR(ARRAYFORMULA(VLOOKUP(TRIM(SPLIT('Final Report'!A1287, "","")), 'URL Details'!A:D, 4, FALSE)),"""") ), CHAR(10),"&amp;" "",""), ""\s*,\s*"", "",""), "","")))&lt;&gt;"""" ) ) ) ),"""")
"),"")</f>
        <v/>
      </c>
      <c r="D1287" s="105"/>
      <c r="E1287" s="105"/>
      <c r="F1287" s="110" t="b">
        <v>0</v>
      </c>
      <c r="G1287" s="105" t="str">
        <f>IF(F1287=True, IFERROR(VLOOKUP(D1287, Repository!A:B, 2, 0), ""), "")</f>
        <v/>
      </c>
      <c r="H1287" s="105"/>
      <c r="I1287" s="105"/>
      <c r="J1287" s="105" t="str">
        <f>IF(F1287=True, IFERROR(VLOOKUP(D1287, Repository!A:C, 3, 0), ""), "")</f>
        <v/>
      </c>
      <c r="K1287" s="105"/>
      <c r="L1287" s="105" t="str">
        <f>IF(F1287=True, IFERROR(VLOOKUP(D1287, Repository!A:E, 5, 0), ""), "")</f>
        <v/>
      </c>
      <c r="M1287" s="105"/>
      <c r="N1287" s="105" t="str">
        <f>IF(F1287=True, IFERROR(VLOOKUP(D1287, Repository!A:G, 7, 0), ""), "")</f>
        <v/>
      </c>
      <c r="O1287" s="105" t="str">
        <f>IFERROR(__xludf.DUMMYFUNCTION("ARRAY_CONSTRAIN(
  ARRAYFORMULA(
    IFERROR(
      LET(
        list, N1287,
        arr, TRIM(SPLIT(list, "","")),
        names, XLOOKUP(
          arr,
          'Conformance Score'!A:A,
          'Conformance Score'!B:B,
          ""Not found""
     "&amp;"   ),
        TEXTJOIN("", "", TRUE, names)
      ),
      """"
    )
  ),
  1,
  1
)
"),"")</f>
        <v/>
      </c>
      <c r="P1287" s="105" t="str">
        <f>IF(F1287="Yes", IFERROR(VLOOKUP(D1287, Repository!A:F, 6, 0), ""), "")</f>
        <v/>
      </c>
      <c r="Q1287" s="105" t="str">
        <f>IF(F1287="Yes", IFERROR(VLOOKUP(D1287, Repository!A:I, 8, 0), ""), "")</f>
        <v/>
      </c>
      <c r="R1287" s="105" t="str">
        <f>IF(F1287="Yes", IFERROR(VLOOKUP(D1287, Repository!A:J, 9, 0), ""), "")</f>
        <v/>
      </c>
      <c r="S1287" s="105"/>
      <c r="T1287" s="105"/>
      <c r="U1287" s="105"/>
      <c r="V1287" s="105"/>
      <c r="W1287" s="105"/>
      <c r="X1287" s="105"/>
      <c r="Y1287" s="105"/>
      <c r="Z1287" s="105"/>
      <c r="AA1287" s="105"/>
      <c r="AB1287" s="105"/>
      <c r="AC1287" s="91"/>
      <c r="AD1287" s="105"/>
      <c r="AE1287" s="105"/>
      <c r="AF1287" s="91"/>
      <c r="AG1287" s="105"/>
      <c r="AH1287" s="105"/>
      <c r="AI1287" s="105" t="str">
        <f t="shared" si="1"/>
        <v/>
      </c>
      <c r="AJ1287" s="108" t="str">
        <f t="shared" si="2"/>
        <v/>
      </c>
    </row>
    <row r="1288" ht="15.75" customHeight="1">
      <c r="A1288" s="104"/>
      <c r="B1288" s="105" t="str">
        <f>IFERROR(__xludf.DUMMYFUNCTION("ARRAY_CONSTRAIN(
  ARRAYFORMULA(
    IF(
      'Final Report'!A1288="""",
      """",
      TEXTJOIN(
        "", "" &amp; CHAR(10),
        TRUE,
        IFERROR(
          VLOOKUP(
            TRIM(
              SPLIT('Final Report'!A1288, "","")
         "&amp;"   ),
            'URL Details'!A:B,
            2,
            FALSE
          ),
          """"
        )
      )
    )
  ),
  1,
  1
)
"),"")</f>
        <v/>
      </c>
      <c r="C1288" s="105" t="str">
        <f>IFERROR(__xludf.DUMMYFUNCTION("IFERROR(IF('Final Report'!A1288="""","""", TEXTJOIN(CHAR(10), TRUE, ARRAYFORMULA( ""• ""&amp; FILTER( TRIM(FLATTEN(SPLIT( REGEXREPLACE( SUBSTITUTE(TEXTJOIN("","", TRUE, IFERROR(ARRAYFORMULA(VLOOKUP(TRIM(SPLIT('Final Report'!A1288, "","")), 'URL Details'!A:D, "&amp;"4, FALSE)),"""") ), CHAR(10), "",""), ""\s*,\s*"", "",""), "",""))), TRIM(FLATTEN(SPLIT( REGEXREPLACE( SUBSTITUTE(TEXTJOIN("","", TRUE, IFERROR(ARRAYFORMULA(VLOOKUP(TRIM(SPLIT('Final Report'!A1288, "","")), 'URL Details'!A:D, 4, FALSE)),"""") ), CHAR(10),"&amp;" "",""), ""\s*,\s*"", "",""), "","")))&lt;&gt;"""" ) ) ) ),"""")
"),"")</f>
        <v/>
      </c>
      <c r="D1288" s="105"/>
      <c r="E1288" s="105"/>
      <c r="F1288" s="110" t="b">
        <v>0</v>
      </c>
      <c r="G1288" s="105" t="str">
        <f>IF(F1288=True, IFERROR(VLOOKUP(D1288, Repository!A:B, 2, 0), ""), "")</f>
        <v/>
      </c>
      <c r="H1288" s="105"/>
      <c r="I1288" s="105"/>
      <c r="J1288" s="105" t="str">
        <f>IF(F1288=True, IFERROR(VLOOKUP(D1288, Repository!A:C, 3, 0), ""), "")</f>
        <v/>
      </c>
      <c r="K1288" s="105"/>
      <c r="L1288" s="105" t="str">
        <f>IF(F1288=True, IFERROR(VLOOKUP(D1288, Repository!A:E, 5, 0), ""), "")</f>
        <v/>
      </c>
      <c r="M1288" s="105"/>
      <c r="N1288" s="105" t="str">
        <f>IF(F1288=True, IFERROR(VLOOKUP(D1288, Repository!A:G, 7, 0), ""), "")</f>
        <v/>
      </c>
      <c r="O1288" s="105" t="str">
        <f>IFERROR(__xludf.DUMMYFUNCTION("ARRAY_CONSTRAIN(
  ARRAYFORMULA(
    IFERROR(
      LET(
        list, N1288,
        arr, TRIM(SPLIT(list, "","")),
        names, XLOOKUP(
          arr,
          'Conformance Score'!A:A,
          'Conformance Score'!B:B,
          ""Not found""
     "&amp;"   ),
        TEXTJOIN("", "", TRUE, names)
      ),
      """"
    )
  ),
  1,
  1
)
"),"")</f>
        <v/>
      </c>
      <c r="P1288" s="105" t="str">
        <f>IF(F1288="Yes", IFERROR(VLOOKUP(D1288, Repository!A:F, 6, 0), ""), "")</f>
        <v/>
      </c>
      <c r="Q1288" s="105" t="str">
        <f>IF(F1288="Yes", IFERROR(VLOOKUP(D1288, Repository!A:I, 8, 0), ""), "")</f>
        <v/>
      </c>
      <c r="R1288" s="105" t="str">
        <f>IF(F1288="Yes", IFERROR(VLOOKUP(D1288, Repository!A:J, 9, 0), ""), "")</f>
        <v/>
      </c>
      <c r="S1288" s="105"/>
      <c r="T1288" s="105"/>
      <c r="U1288" s="105"/>
      <c r="V1288" s="105"/>
      <c r="W1288" s="105"/>
      <c r="X1288" s="105"/>
      <c r="Y1288" s="105"/>
      <c r="Z1288" s="105"/>
      <c r="AA1288" s="105"/>
      <c r="AB1288" s="105"/>
      <c r="AC1288" s="91"/>
      <c r="AD1288" s="105"/>
      <c r="AE1288" s="105"/>
      <c r="AF1288" s="91"/>
      <c r="AG1288" s="105"/>
      <c r="AH1288" s="105"/>
      <c r="AI1288" s="105" t="str">
        <f t="shared" si="1"/>
        <v/>
      </c>
      <c r="AJ1288" s="108" t="str">
        <f t="shared" si="2"/>
        <v/>
      </c>
    </row>
    <row r="1289" ht="15.75" customHeight="1">
      <c r="A1289" s="104"/>
      <c r="B1289" s="105" t="str">
        <f>IFERROR(__xludf.DUMMYFUNCTION("ARRAY_CONSTRAIN(
  ARRAYFORMULA(
    IF(
      'Final Report'!A1289="""",
      """",
      TEXTJOIN(
        "", "" &amp; CHAR(10),
        TRUE,
        IFERROR(
          VLOOKUP(
            TRIM(
              SPLIT('Final Report'!A1289, "","")
         "&amp;"   ),
            'URL Details'!A:B,
            2,
            FALSE
          ),
          """"
        )
      )
    )
  ),
  1,
  1
)
"),"")</f>
        <v/>
      </c>
      <c r="C1289" s="105" t="str">
        <f>IFERROR(__xludf.DUMMYFUNCTION("IFERROR(IF('Final Report'!A1289="""","""", TEXTJOIN(CHAR(10), TRUE, ARRAYFORMULA( ""• ""&amp; FILTER( TRIM(FLATTEN(SPLIT( REGEXREPLACE( SUBSTITUTE(TEXTJOIN("","", TRUE, IFERROR(ARRAYFORMULA(VLOOKUP(TRIM(SPLIT('Final Report'!A1289, "","")), 'URL Details'!A:D, "&amp;"4, FALSE)),"""") ), CHAR(10), "",""), ""\s*,\s*"", "",""), "",""))), TRIM(FLATTEN(SPLIT( REGEXREPLACE( SUBSTITUTE(TEXTJOIN("","", TRUE, IFERROR(ARRAYFORMULA(VLOOKUP(TRIM(SPLIT('Final Report'!A1289, "","")), 'URL Details'!A:D, 4, FALSE)),"""") ), CHAR(10),"&amp;" "",""), ""\s*,\s*"", "",""), "","")))&lt;&gt;"""" ) ) ) ),"""")
"),"")</f>
        <v/>
      </c>
      <c r="D1289" s="105"/>
      <c r="E1289" s="105"/>
      <c r="F1289" s="110" t="b">
        <v>0</v>
      </c>
      <c r="G1289" s="105" t="str">
        <f>IF(F1289=True, IFERROR(VLOOKUP(D1289, Repository!A:B, 2, 0), ""), "")</f>
        <v/>
      </c>
      <c r="H1289" s="105"/>
      <c r="I1289" s="105"/>
      <c r="J1289" s="105" t="str">
        <f>IF(F1289=True, IFERROR(VLOOKUP(D1289, Repository!A:C, 3, 0), ""), "")</f>
        <v/>
      </c>
      <c r="K1289" s="105"/>
      <c r="L1289" s="105" t="str">
        <f>IF(F1289=True, IFERROR(VLOOKUP(D1289, Repository!A:E, 5, 0), ""), "")</f>
        <v/>
      </c>
      <c r="M1289" s="105"/>
      <c r="N1289" s="105" t="str">
        <f>IF(F1289=True, IFERROR(VLOOKUP(D1289, Repository!A:G, 7, 0), ""), "")</f>
        <v/>
      </c>
      <c r="O1289" s="105" t="str">
        <f>IFERROR(__xludf.DUMMYFUNCTION("ARRAY_CONSTRAIN(
  ARRAYFORMULA(
    IFERROR(
      LET(
        list, N1289,
        arr, TRIM(SPLIT(list, "","")),
        names, XLOOKUP(
          arr,
          'Conformance Score'!A:A,
          'Conformance Score'!B:B,
          ""Not found""
     "&amp;"   ),
        TEXTJOIN("", "", TRUE, names)
      ),
      """"
    )
  ),
  1,
  1
)
"),"")</f>
        <v/>
      </c>
      <c r="P1289" s="105" t="str">
        <f>IF(F1289="Yes", IFERROR(VLOOKUP(D1289, Repository!A:F, 6, 0), ""), "")</f>
        <v/>
      </c>
      <c r="Q1289" s="105" t="str">
        <f>IF(F1289="Yes", IFERROR(VLOOKUP(D1289, Repository!A:I, 8, 0), ""), "")</f>
        <v/>
      </c>
      <c r="R1289" s="105" t="str">
        <f>IF(F1289="Yes", IFERROR(VLOOKUP(D1289, Repository!A:J, 9, 0), ""), "")</f>
        <v/>
      </c>
      <c r="S1289" s="105"/>
      <c r="T1289" s="105"/>
      <c r="U1289" s="105"/>
      <c r="V1289" s="105"/>
      <c r="W1289" s="105"/>
      <c r="X1289" s="105"/>
      <c r="Y1289" s="105"/>
      <c r="Z1289" s="105"/>
      <c r="AA1289" s="105"/>
      <c r="AB1289" s="105"/>
      <c r="AC1289" s="91"/>
      <c r="AD1289" s="105"/>
      <c r="AE1289" s="105"/>
      <c r="AF1289" s="91"/>
      <c r="AG1289" s="105"/>
      <c r="AH1289" s="105"/>
      <c r="AI1289" s="105" t="str">
        <f t="shared" si="1"/>
        <v/>
      </c>
      <c r="AJ1289" s="108" t="str">
        <f t="shared" si="2"/>
        <v/>
      </c>
    </row>
    <row r="1290" ht="15.75" customHeight="1">
      <c r="A1290" s="104"/>
      <c r="B1290" s="105" t="str">
        <f>IFERROR(__xludf.DUMMYFUNCTION("ARRAY_CONSTRAIN(
  ARRAYFORMULA(
    IF(
      'Final Report'!A1290="""",
      """",
      TEXTJOIN(
        "", "" &amp; CHAR(10),
        TRUE,
        IFERROR(
          VLOOKUP(
            TRIM(
              SPLIT('Final Report'!A1290, "","")
         "&amp;"   ),
            'URL Details'!A:B,
            2,
            FALSE
          ),
          """"
        )
      )
    )
  ),
  1,
  1
)
"),"")</f>
        <v/>
      </c>
      <c r="C1290" s="105" t="str">
        <f>IFERROR(__xludf.DUMMYFUNCTION("IFERROR(IF('Final Report'!A1290="""","""", TEXTJOIN(CHAR(10), TRUE, ARRAYFORMULA( ""• ""&amp; FILTER( TRIM(FLATTEN(SPLIT( REGEXREPLACE( SUBSTITUTE(TEXTJOIN("","", TRUE, IFERROR(ARRAYFORMULA(VLOOKUP(TRIM(SPLIT('Final Report'!A1290, "","")), 'URL Details'!A:D, "&amp;"4, FALSE)),"""") ), CHAR(10), "",""), ""\s*,\s*"", "",""), "",""))), TRIM(FLATTEN(SPLIT( REGEXREPLACE( SUBSTITUTE(TEXTJOIN("","", TRUE, IFERROR(ARRAYFORMULA(VLOOKUP(TRIM(SPLIT('Final Report'!A1290, "","")), 'URL Details'!A:D, 4, FALSE)),"""") ), CHAR(10),"&amp;" "",""), ""\s*,\s*"", "",""), "","")))&lt;&gt;"""" ) ) ) ),"""")
"),"")</f>
        <v/>
      </c>
      <c r="D1290" s="105"/>
      <c r="E1290" s="105"/>
      <c r="F1290" s="110" t="b">
        <v>0</v>
      </c>
      <c r="G1290" s="105" t="str">
        <f>IF(F1290=True, IFERROR(VLOOKUP(D1290, Repository!A:B, 2, 0), ""), "")</f>
        <v/>
      </c>
      <c r="H1290" s="105"/>
      <c r="I1290" s="105"/>
      <c r="J1290" s="105" t="str">
        <f>IF(F1290=True, IFERROR(VLOOKUP(D1290, Repository!A:C, 3, 0), ""), "")</f>
        <v/>
      </c>
      <c r="K1290" s="105"/>
      <c r="L1290" s="105" t="str">
        <f>IF(F1290=True, IFERROR(VLOOKUP(D1290, Repository!A:E, 5, 0), ""), "")</f>
        <v/>
      </c>
      <c r="M1290" s="105"/>
      <c r="N1290" s="105" t="str">
        <f>IF(F1290=True, IFERROR(VLOOKUP(D1290, Repository!A:G, 7, 0), ""), "")</f>
        <v/>
      </c>
      <c r="O1290" s="105" t="str">
        <f>IFERROR(__xludf.DUMMYFUNCTION("ARRAY_CONSTRAIN(
  ARRAYFORMULA(
    IFERROR(
      LET(
        list, N1290,
        arr, TRIM(SPLIT(list, "","")),
        names, XLOOKUP(
          arr,
          'Conformance Score'!A:A,
          'Conformance Score'!B:B,
          ""Not found""
     "&amp;"   ),
        TEXTJOIN("", "", TRUE, names)
      ),
      """"
    )
  ),
  1,
  1
)
"),"")</f>
        <v/>
      </c>
      <c r="P1290" s="105" t="str">
        <f>IF(F1290="Yes", IFERROR(VLOOKUP(D1290, Repository!A:F, 6, 0), ""), "")</f>
        <v/>
      </c>
      <c r="Q1290" s="105" t="str">
        <f>IF(F1290="Yes", IFERROR(VLOOKUP(D1290, Repository!A:I, 8, 0), ""), "")</f>
        <v/>
      </c>
      <c r="R1290" s="105" t="str">
        <f>IF(F1290="Yes", IFERROR(VLOOKUP(D1290, Repository!A:J, 9, 0), ""), "")</f>
        <v/>
      </c>
      <c r="S1290" s="105"/>
      <c r="T1290" s="105"/>
      <c r="U1290" s="105"/>
      <c r="V1290" s="105"/>
      <c r="W1290" s="105"/>
      <c r="X1290" s="105"/>
      <c r="Y1290" s="105"/>
      <c r="Z1290" s="105"/>
      <c r="AA1290" s="105"/>
      <c r="AB1290" s="105"/>
      <c r="AC1290" s="91"/>
      <c r="AD1290" s="105"/>
      <c r="AE1290" s="105"/>
      <c r="AF1290" s="91"/>
      <c r="AG1290" s="105"/>
      <c r="AH1290" s="105"/>
      <c r="AI1290" s="105" t="str">
        <f t="shared" si="1"/>
        <v/>
      </c>
      <c r="AJ1290" s="108" t="str">
        <f t="shared" si="2"/>
        <v/>
      </c>
    </row>
    <row r="1291" ht="15.75" customHeight="1">
      <c r="A1291" s="104"/>
      <c r="B1291" s="105" t="str">
        <f>IFERROR(__xludf.DUMMYFUNCTION("ARRAY_CONSTRAIN(
  ARRAYFORMULA(
    IF(
      'Final Report'!A1291="""",
      """",
      TEXTJOIN(
        "", "" &amp; CHAR(10),
        TRUE,
        IFERROR(
          VLOOKUP(
            TRIM(
              SPLIT('Final Report'!A1291, "","")
         "&amp;"   ),
            'URL Details'!A:B,
            2,
            FALSE
          ),
          """"
        )
      )
    )
  ),
  1,
  1
)
"),"")</f>
        <v/>
      </c>
      <c r="C1291" s="105" t="str">
        <f>IFERROR(__xludf.DUMMYFUNCTION("IFERROR(IF('Final Report'!A1291="""","""", TEXTJOIN(CHAR(10), TRUE, ARRAYFORMULA( ""• ""&amp; FILTER( TRIM(FLATTEN(SPLIT( REGEXREPLACE( SUBSTITUTE(TEXTJOIN("","", TRUE, IFERROR(ARRAYFORMULA(VLOOKUP(TRIM(SPLIT('Final Report'!A1291, "","")), 'URL Details'!A:D, "&amp;"4, FALSE)),"""") ), CHAR(10), "",""), ""\s*,\s*"", "",""), "",""))), TRIM(FLATTEN(SPLIT( REGEXREPLACE( SUBSTITUTE(TEXTJOIN("","", TRUE, IFERROR(ARRAYFORMULA(VLOOKUP(TRIM(SPLIT('Final Report'!A1291, "","")), 'URL Details'!A:D, 4, FALSE)),"""") ), CHAR(10),"&amp;" "",""), ""\s*,\s*"", "",""), "","")))&lt;&gt;"""" ) ) ) ),"""")
"),"")</f>
        <v/>
      </c>
      <c r="D1291" s="105"/>
      <c r="E1291" s="105"/>
      <c r="F1291" s="110" t="b">
        <v>0</v>
      </c>
      <c r="G1291" s="105" t="str">
        <f>IF(F1291=True, IFERROR(VLOOKUP(D1291, Repository!A:B, 2, 0), ""), "")</f>
        <v/>
      </c>
      <c r="H1291" s="105"/>
      <c r="I1291" s="105"/>
      <c r="J1291" s="105" t="str">
        <f>IF(F1291=True, IFERROR(VLOOKUP(D1291, Repository!A:C, 3, 0), ""), "")</f>
        <v/>
      </c>
      <c r="K1291" s="105"/>
      <c r="L1291" s="105" t="str">
        <f>IF(F1291=True, IFERROR(VLOOKUP(D1291, Repository!A:E, 5, 0), ""), "")</f>
        <v/>
      </c>
      <c r="M1291" s="105"/>
      <c r="N1291" s="105" t="str">
        <f>IF(F1291=True, IFERROR(VLOOKUP(D1291, Repository!A:G, 7, 0), ""), "")</f>
        <v/>
      </c>
      <c r="O1291" s="105" t="str">
        <f>IFERROR(__xludf.DUMMYFUNCTION("ARRAY_CONSTRAIN(
  ARRAYFORMULA(
    IFERROR(
      LET(
        list, N1291,
        arr, TRIM(SPLIT(list, "","")),
        names, XLOOKUP(
          arr,
          'Conformance Score'!A:A,
          'Conformance Score'!B:B,
          ""Not found""
     "&amp;"   ),
        TEXTJOIN("", "", TRUE, names)
      ),
      """"
    )
  ),
  1,
  1
)
"),"")</f>
        <v/>
      </c>
      <c r="P1291" s="105" t="str">
        <f>IF(F1291="Yes", IFERROR(VLOOKUP(D1291, Repository!A:F, 6, 0), ""), "")</f>
        <v/>
      </c>
      <c r="Q1291" s="105" t="str">
        <f>IF(F1291="Yes", IFERROR(VLOOKUP(D1291, Repository!A:I, 8, 0), ""), "")</f>
        <v/>
      </c>
      <c r="R1291" s="105" t="str">
        <f>IF(F1291="Yes", IFERROR(VLOOKUP(D1291, Repository!A:J, 9, 0), ""), "")</f>
        <v/>
      </c>
      <c r="S1291" s="105"/>
      <c r="T1291" s="105"/>
      <c r="U1291" s="105"/>
      <c r="V1291" s="105"/>
      <c r="W1291" s="105"/>
      <c r="X1291" s="105"/>
      <c r="Y1291" s="105"/>
      <c r="Z1291" s="105"/>
      <c r="AA1291" s="105"/>
      <c r="AB1291" s="105"/>
      <c r="AC1291" s="91"/>
      <c r="AD1291" s="105"/>
      <c r="AE1291" s="105"/>
      <c r="AF1291" s="91"/>
      <c r="AG1291" s="105"/>
      <c r="AH1291" s="105"/>
      <c r="AI1291" s="105" t="str">
        <f t="shared" si="1"/>
        <v/>
      </c>
      <c r="AJ1291" s="108" t="str">
        <f t="shared" si="2"/>
        <v/>
      </c>
    </row>
    <row r="1292" ht="15.75" customHeight="1">
      <c r="A1292" s="104"/>
      <c r="B1292" s="105" t="str">
        <f>IFERROR(__xludf.DUMMYFUNCTION("ARRAY_CONSTRAIN(
  ARRAYFORMULA(
    IF(
      'Final Report'!A1292="""",
      """",
      TEXTJOIN(
        "", "" &amp; CHAR(10),
        TRUE,
        IFERROR(
          VLOOKUP(
            TRIM(
              SPLIT('Final Report'!A1292, "","")
         "&amp;"   ),
            'URL Details'!A:B,
            2,
            FALSE
          ),
          """"
        )
      )
    )
  ),
  1,
  1
)
"),"")</f>
        <v/>
      </c>
      <c r="C1292" s="105" t="str">
        <f>IFERROR(__xludf.DUMMYFUNCTION("IFERROR(IF('Final Report'!A1292="""","""", TEXTJOIN(CHAR(10), TRUE, ARRAYFORMULA( ""• ""&amp; FILTER( TRIM(FLATTEN(SPLIT( REGEXREPLACE( SUBSTITUTE(TEXTJOIN("","", TRUE, IFERROR(ARRAYFORMULA(VLOOKUP(TRIM(SPLIT('Final Report'!A1292, "","")), 'URL Details'!A:D, "&amp;"4, FALSE)),"""") ), CHAR(10), "",""), ""\s*,\s*"", "",""), "",""))), TRIM(FLATTEN(SPLIT( REGEXREPLACE( SUBSTITUTE(TEXTJOIN("","", TRUE, IFERROR(ARRAYFORMULA(VLOOKUP(TRIM(SPLIT('Final Report'!A1292, "","")), 'URL Details'!A:D, 4, FALSE)),"""") ), CHAR(10),"&amp;" "",""), ""\s*,\s*"", "",""), "","")))&lt;&gt;"""" ) ) ) ),"""")
"),"")</f>
        <v/>
      </c>
      <c r="D1292" s="105"/>
      <c r="E1292" s="105"/>
      <c r="F1292" s="110" t="b">
        <v>0</v>
      </c>
      <c r="G1292" s="105" t="str">
        <f>IF(F1292=True, IFERROR(VLOOKUP(D1292, Repository!A:B, 2, 0), ""), "")</f>
        <v/>
      </c>
      <c r="H1292" s="105"/>
      <c r="I1292" s="105"/>
      <c r="J1292" s="105" t="str">
        <f>IF(F1292=True, IFERROR(VLOOKUP(D1292, Repository!A:C, 3, 0), ""), "")</f>
        <v/>
      </c>
      <c r="K1292" s="105"/>
      <c r="L1292" s="105" t="str">
        <f>IF(F1292=True, IFERROR(VLOOKUP(D1292, Repository!A:E, 5, 0), ""), "")</f>
        <v/>
      </c>
      <c r="M1292" s="105"/>
      <c r="N1292" s="105" t="str">
        <f>IF(F1292=True, IFERROR(VLOOKUP(D1292, Repository!A:G, 7, 0), ""), "")</f>
        <v/>
      </c>
      <c r="O1292" s="105" t="str">
        <f>IFERROR(__xludf.DUMMYFUNCTION("ARRAY_CONSTRAIN(
  ARRAYFORMULA(
    IFERROR(
      LET(
        list, N1292,
        arr, TRIM(SPLIT(list, "","")),
        names, XLOOKUP(
          arr,
          'Conformance Score'!A:A,
          'Conformance Score'!B:B,
          ""Not found""
     "&amp;"   ),
        TEXTJOIN("", "", TRUE, names)
      ),
      """"
    )
  ),
  1,
  1
)
"),"")</f>
        <v/>
      </c>
      <c r="P1292" s="105" t="str">
        <f>IF(F1292="Yes", IFERROR(VLOOKUP(D1292, Repository!A:F, 6, 0), ""), "")</f>
        <v/>
      </c>
      <c r="Q1292" s="105" t="str">
        <f>IF(F1292="Yes", IFERROR(VLOOKUP(D1292, Repository!A:I, 8, 0), ""), "")</f>
        <v/>
      </c>
      <c r="R1292" s="105" t="str">
        <f>IF(F1292="Yes", IFERROR(VLOOKUP(D1292, Repository!A:J, 9, 0), ""), "")</f>
        <v/>
      </c>
      <c r="S1292" s="105"/>
      <c r="T1292" s="105"/>
      <c r="U1292" s="105"/>
      <c r="V1292" s="105"/>
      <c r="W1292" s="105"/>
      <c r="X1292" s="105"/>
      <c r="Y1292" s="105"/>
      <c r="Z1292" s="105"/>
      <c r="AA1292" s="105"/>
      <c r="AB1292" s="105"/>
      <c r="AC1292" s="91"/>
      <c r="AD1292" s="105"/>
      <c r="AE1292" s="105"/>
      <c r="AF1292" s="91"/>
      <c r="AG1292" s="105"/>
      <c r="AH1292" s="105"/>
      <c r="AI1292" s="105" t="str">
        <f t="shared" si="1"/>
        <v/>
      </c>
      <c r="AJ1292" s="108" t="str">
        <f t="shared" si="2"/>
        <v/>
      </c>
    </row>
    <row r="1293" ht="15.75" customHeight="1">
      <c r="A1293" s="104"/>
      <c r="B1293" s="105" t="str">
        <f>IFERROR(__xludf.DUMMYFUNCTION("ARRAY_CONSTRAIN(
  ARRAYFORMULA(
    IF(
      'Final Report'!A1293="""",
      """",
      TEXTJOIN(
        "", "" &amp; CHAR(10),
        TRUE,
        IFERROR(
          VLOOKUP(
            TRIM(
              SPLIT('Final Report'!A1293, "","")
         "&amp;"   ),
            'URL Details'!A:B,
            2,
            FALSE
          ),
          """"
        )
      )
    )
  ),
  1,
  1
)
"),"")</f>
        <v/>
      </c>
      <c r="C1293" s="105" t="str">
        <f>IFERROR(__xludf.DUMMYFUNCTION("IFERROR(IF('Final Report'!A1293="""","""", TEXTJOIN(CHAR(10), TRUE, ARRAYFORMULA( ""• ""&amp; FILTER( TRIM(FLATTEN(SPLIT( REGEXREPLACE( SUBSTITUTE(TEXTJOIN("","", TRUE, IFERROR(ARRAYFORMULA(VLOOKUP(TRIM(SPLIT('Final Report'!A1293, "","")), 'URL Details'!A:D, "&amp;"4, FALSE)),"""") ), CHAR(10), "",""), ""\s*,\s*"", "",""), "",""))), TRIM(FLATTEN(SPLIT( REGEXREPLACE( SUBSTITUTE(TEXTJOIN("","", TRUE, IFERROR(ARRAYFORMULA(VLOOKUP(TRIM(SPLIT('Final Report'!A1293, "","")), 'URL Details'!A:D, 4, FALSE)),"""") ), CHAR(10),"&amp;" "",""), ""\s*,\s*"", "",""), "","")))&lt;&gt;"""" ) ) ) ),"""")
"),"")</f>
        <v/>
      </c>
      <c r="D1293" s="105"/>
      <c r="E1293" s="105"/>
      <c r="F1293" s="110" t="b">
        <v>0</v>
      </c>
      <c r="G1293" s="105" t="str">
        <f>IF(F1293=True, IFERROR(VLOOKUP(D1293, Repository!A:B, 2, 0), ""), "")</f>
        <v/>
      </c>
      <c r="H1293" s="105"/>
      <c r="I1293" s="105"/>
      <c r="J1293" s="105" t="str">
        <f>IF(F1293=True, IFERROR(VLOOKUP(D1293, Repository!A:C, 3, 0), ""), "")</f>
        <v/>
      </c>
      <c r="K1293" s="105"/>
      <c r="L1293" s="105" t="str">
        <f>IF(F1293=True, IFERROR(VLOOKUP(D1293, Repository!A:E, 5, 0), ""), "")</f>
        <v/>
      </c>
      <c r="M1293" s="105"/>
      <c r="N1293" s="105" t="str">
        <f>IF(F1293=True, IFERROR(VLOOKUP(D1293, Repository!A:G, 7, 0), ""), "")</f>
        <v/>
      </c>
      <c r="O1293" s="105" t="str">
        <f>IFERROR(__xludf.DUMMYFUNCTION("ARRAY_CONSTRAIN(
  ARRAYFORMULA(
    IFERROR(
      LET(
        list, N1293,
        arr, TRIM(SPLIT(list, "","")),
        names, XLOOKUP(
          arr,
          'Conformance Score'!A:A,
          'Conformance Score'!B:B,
          ""Not found""
     "&amp;"   ),
        TEXTJOIN("", "", TRUE, names)
      ),
      """"
    )
  ),
  1,
  1
)
"),"")</f>
        <v/>
      </c>
      <c r="P1293" s="105" t="str">
        <f>IF(F1293="Yes", IFERROR(VLOOKUP(D1293, Repository!A:F, 6, 0), ""), "")</f>
        <v/>
      </c>
      <c r="Q1293" s="105" t="str">
        <f>IF(F1293="Yes", IFERROR(VLOOKUP(D1293, Repository!A:I, 8, 0), ""), "")</f>
        <v/>
      </c>
      <c r="R1293" s="105" t="str">
        <f>IF(F1293="Yes", IFERROR(VLOOKUP(D1293, Repository!A:J, 9, 0), ""), "")</f>
        <v/>
      </c>
      <c r="S1293" s="105"/>
      <c r="T1293" s="105"/>
      <c r="U1293" s="105"/>
      <c r="V1293" s="105"/>
      <c r="W1293" s="105"/>
      <c r="X1293" s="105"/>
      <c r="Y1293" s="105"/>
      <c r="Z1293" s="105"/>
      <c r="AA1293" s="105"/>
      <c r="AB1293" s="105"/>
      <c r="AC1293" s="91"/>
      <c r="AD1293" s="105"/>
      <c r="AE1293" s="105"/>
      <c r="AF1293" s="91"/>
      <c r="AG1293" s="105"/>
      <c r="AH1293" s="105"/>
      <c r="AI1293" s="105" t="str">
        <f t="shared" si="1"/>
        <v/>
      </c>
      <c r="AJ1293" s="108" t="str">
        <f t="shared" si="2"/>
        <v/>
      </c>
    </row>
    <row r="1294" ht="15.75" customHeight="1">
      <c r="A1294" s="104"/>
      <c r="B1294" s="105" t="str">
        <f>IFERROR(__xludf.DUMMYFUNCTION("ARRAY_CONSTRAIN(
  ARRAYFORMULA(
    IF(
      'Final Report'!A1294="""",
      """",
      TEXTJOIN(
        "", "" &amp; CHAR(10),
        TRUE,
        IFERROR(
          VLOOKUP(
            TRIM(
              SPLIT('Final Report'!A1294, "","")
         "&amp;"   ),
            'URL Details'!A:B,
            2,
            FALSE
          ),
          """"
        )
      )
    )
  ),
  1,
  1
)
"),"")</f>
        <v/>
      </c>
      <c r="C1294" s="105" t="str">
        <f>IFERROR(__xludf.DUMMYFUNCTION("IFERROR(IF('Final Report'!A1294="""","""", TEXTJOIN(CHAR(10), TRUE, ARRAYFORMULA( ""• ""&amp; FILTER( TRIM(FLATTEN(SPLIT( REGEXREPLACE( SUBSTITUTE(TEXTJOIN("","", TRUE, IFERROR(ARRAYFORMULA(VLOOKUP(TRIM(SPLIT('Final Report'!A1294, "","")), 'URL Details'!A:D, "&amp;"4, FALSE)),"""") ), CHAR(10), "",""), ""\s*,\s*"", "",""), "",""))), TRIM(FLATTEN(SPLIT( REGEXREPLACE( SUBSTITUTE(TEXTJOIN("","", TRUE, IFERROR(ARRAYFORMULA(VLOOKUP(TRIM(SPLIT('Final Report'!A1294, "","")), 'URL Details'!A:D, 4, FALSE)),"""") ), CHAR(10),"&amp;" "",""), ""\s*,\s*"", "",""), "","")))&lt;&gt;"""" ) ) ) ),"""")
"),"")</f>
        <v/>
      </c>
      <c r="D1294" s="105"/>
      <c r="E1294" s="105"/>
      <c r="F1294" s="110" t="b">
        <v>0</v>
      </c>
      <c r="G1294" s="105" t="str">
        <f>IF(F1294=True, IFERROR(VLOOKUP(D1294, Repository!A:B, 2, 0), ""), "")</f>
        <v/>
      </c>
      <c r="H1294" s="105"/>
      <c r="I1294" s="105"/>
      <c r="J1294" s="105" t="str">
        <f>IF(F1294=True, IFERROR(VLOOKUP(D1294, Repository!A:C, 3, 0), ""), "")</f>
        <v/>
      </c>
      <c r="K1294" s="105"/>
      <c r="L1294" s="105" t="str">
        <f>IF(F1294=True, IFERROR(VLOOKUP(D1294, Repository!A:E, 5, 0), ""), "")</f>
        <v/>
      </c>
      <c r="M1294" s="105"/>
      <c r="N1294" s="105" t="str">
        <f>IF(F1294=True, IFERROR(VLOOKUP(D1294, Repository!A:G, 7, 0), ""), "")</f>
        <v/>
      </c>
      <c r="O1294" s="105" t="str">
        <f>IFERROR(__xludf.DUMMYFUNCTION("ARRAY_CONSTRAIN(
  ARRAYFORMULA(
    IFERROR(
      LET(
        list, N1294,
        arr, TRIM(SPLIT(list, "","")),
        names, XLOOKUP(
          arr,
          'Conformance Score'!A:A,
          'Conformance Score'!B:B,
          ""Not found""
     "&amp;"   ),
        TEXTJOIN("", "", TRUE, names)
      ),
      """"
    )
  ),
  1,
  1
)
"),"")</f>
        <v/>
      </c>
      <c r="P1294" s="105" t="str">
        <f>IF(F1294="Yes", IFERROR(VLOOKUP(D1294, Repository!A:F, 6, 0), ""), "")</f>
        <v/>
      </c>
      <c r="Q1294" s="105" t="str">
        <f>IF(F1294="Yes", IFERROR(VLOOKUP(D1294, Repository!A:I, 8, 0), ""), "")</f>
        <v/>
      </c>
      <c r="R1294" s="105" t="str">
        <f>IF(F1294="Yes", IFERROR(VLOOKUP(D1294, Repository!A:J, 9, 0), ""), "")</f>
        <v/>
      </c>
      <c r="S1294" s="105"/>
      <c r="T1294" s="105"/>
      <c r="U1294" s="105"/>
      <c r="V1294" s="105"/>
      <c r="W1294" s="105"/>
      <c r="X1294" s="105"/>
      <c r="Y1294" s="105"/>
      <c r="Z1294" s="105"/>
      <c r="AA1294" s="105"/>
      <c r="AB1294" s="105"/>
      <c r="AC1294" s="91"/>
      <c r="AD1294" s="105"/>
      <c r="AE1294" s="105"/>
      <c r="AF1294" s="91"/>
      <c r="AG1294" s="105"/>
      <c r="AH1294" s="105"/>
      <c r="AI1294" s="105" t="str">
        <f t="shared" si="1"/>
        <v/>
      </c>
      <c r="AJ1294" s="108" t="str">
        <f t="shared" si="2"/>
        <v/>
      </c>
    </row>
    <row r="1295" ht="15.75" customHeight="1">
      <c r="A1295" s="104"/>
      <c r="B1295" s="105" t="str">
        <f>IFERROR(__xludf.DUMMYFUNCTION("ARRAY_CONSTRAIN(
  ARRAYFORMULA(
    IF(
      'Final Report'!A1295="""",
      """",
      TEXTJOIN(
        "", "" &amp; CHAR(10),
        TRUE,
        IFERROR(
          VLOOKUP(
            TRIM(
              SPLIT('Final Report'!A1295, "","")
         "&amp;"   ),
            'URL Details'!A:B,
            2,
            FALSE
          ),
          """"
        )
      )
    )
  ),
  1,
  1
)
"),"")</f>
        <v/>
      </c>
      <c r="C1295" s="105" t="str">
        <f>IFERROR(__xludf.DUMMYFUNCTION("IFERROR(IF('Final Report'!A1295="""","""", TEXTJOIN(CHAR(10), TRUE, ARRAYFORMULA( ""• ""&amp; FILTER( TRIM(FLATTEN(SPLIT( REGEXREPLACE( SUBSTITUTE(TEXTJOIN("","", TRUE, IFERROR(ARRAYFORMULA(VLOOKUP(TRIM(SPLIT('Final Report'!A1295, "","")), 'URL Details'!A:D, "&amp;"4, FALSE)),"""") ), CHAR(10), "",""), ""\s*,\s*"", "",""), "",""))), TRIM(FLATTEN(SPLIT( REGEXREPLACE( SUBSTITUTE(TEXTJOIN("","", TRUE, IFERROR(ARRAYFORMULA(VLOOKUP(TRIM(SPLIT('Final Report'!A1295, "","")), 'URL Details'!A:D, 4, FALSE)),"""") ), CHAR(10),"&amp;" "",""), ""\s*,\s*"", "",""), "","")))&lt;&gt;"""" ) ) ) ),"""")
"),"")</f>
        <v/>
      </c>
      <c r="D1295" s="105"/>
      <c r="E1295" s="105"/>
      <c r="F1295" s="110" t="b">
        <v>0</v>
      </c>
      <c r="G1295" s="105" t="str">
        <f>IF(F1295=True, IFERROR(VLOOKUP(D1295, Repository!A:B, 2, 0), ""), "")</f>
        <v/>
      </c>
      <c r="H1295" s="105"/>
      <c r="I1295" s="105"/>
      <c r="J1295" s="105" t="str">
        <f>IF(F1295=True, IFERROR(VLOOKUP(D1295, Repository!A:C, 3, 0), ""), "")</f>
        <v/>
      </c>
      <c r="K1295" s="105"/>
      <c r="L1295" s="105" t="str">
        <f>IF(F1295=True, IFERROR(VLOOKUP(D1295, Repository!A:E, 5, 0), ""), "")</f>
        <v/>
      </c>
      <c r="M1295" s="105"/>
      <c r="N1295" s="105" t="str">
        <f>IF(F1295=True, IFERROR(VLOOKUP(D1295, Repository!A:G, 7, 0), ""), "")</f>
        <v/>
      </c>
      <c r="O1295" s="105" t="str">
        <f>IFERROR(__xludf.DUMMYFUNCTION("ARRAY_CONSTRAIN(
  ARRAYFORMULA(
    IFERROR(
      LET(
        list, N1295,
        arr, TRIM(SPLIT(list, "","")),
        names, XLOOKUP(
          arr,
          'Conformance Score'!A:A,
          'Conformance Score'!B:B,
          ""Not found""
     "&amp;"   ),
        TEXTJOIN("", "", TRUE, names)
      ),
      """"
    )
  ),
  1,
  1
)
"),"")</f>
        <v/>
      </c>
      <c r="P1295" s="105" t="str">
        <f>IF(F1295="Yes", IFERROR(VLOOKUP(D1295, Repository!A:F, 6, 0), ""), "")</f>
        <v/>
      </c>
      <c r="Q1295" s="105" t="str">
        <f>IF(F1295="Yes", IFERROR(VLOOKUP(D1295, Repository!A:I, 8, 0), ""), "")</f>
        <v/>
      </c>
      <c r="R1295" s="105" t="str">
        <f>IF(F1295="Yes", IFERROR(VLOOKUP(D1295, Repository!A:J, 9, 0), ""), "")</f>
        <v/>
      </c>
      <c r="S1295" s="105"/>
      <c r="T1295" s="105"/>
      <c r="U1295" s="105"/>
      <c r="V1295" s="105"/>
      <c r="W1295" s="105"/>
      <c r="X1295" s="105"/>
      <c r="Y1295" s="105"/>
      <c r="Z1295" s="105"/>
      <c r="AA1295" s="105"/>
      <c r="AB1295" s="105"/>
      <c r="AC1295" s="91"/>
      <c r="AD1295" s="105"/>
      <c r="AE1295" s="105"/>
      <c r="AF1295" s="91"/>
      <c r="AG1295" s="105"/>
      <c r="AH1295" s="105"/>
      <c r="AI1295" s="105" t="str">
        <f t="shared" si="1"/>
        <v/>
      </c>
      <c r="AJ1295" s="108" t="str">
        <f t="shared" si="2"/>
        <v/>
      </c>
    </row>
    <row r="1296" ht="15.75" customHeight="1">
      <c r="A1296" s="104"/>
      <c r="B1296" s="105" t="str">
        <f>IFERROR(__xludf.DUMMYFUNCTION("ARRAY_CONSTRAIN(
  ARRAYFORMULA(
    IF(
      'Final Report'!A1296="""",
      """",
      TEXTJOIN(
        "", "" &amp; CHAR(10),
        TRUE,
        IFERROR(
          VLOOKUP(
            TRIM(
              SPLIT('Final Report'!A1296, "","")
         "&amp;"   ),
            'URL Details'!A:B,
            2,
            FALSE
          ),
          """"
        )
      )
    )
  ),
  1,
  1
)
"),"")</f>
        <v/>
      </c>
      <c r="C1296" s="105" t="str">
        <f>IFERROR(__xludf.DUMMYFUNCTION("IFERROR(IF('Final Report'!A1296="""","""", TEXTJOIN(CHAR(10), TRUE, ARRAYFORMULA( ""• ""&amp; FILTER( TRIM(FLATTEN(SPLIT( REGEXREPLACE( SUBSTITUTE(TEXTJOIN("","", TRUE, IFERROR(ARRAYFORMULA(VLOOKUP(TRIM(SPLIT('Final Report'!A1296, "","")), 'URL Details'!A:D, "&amp;"4, FALSE)),"""") ), CHAR(10), "",""), ""\s*,\s*"", "",""), "",""))), TRIM(FLATTEN(SPLIT( REGEXREPLACE( SUBSTITUTE(TEXTJOIN("","", TRUE, IFERROR(ARRAYFORMULA(VLOOKUP(TRIM(SPLIT('Final Report'!A1296, "","")), 'URL Details'!A:D, 4, FALSE)),"""") ), CHAR(10),"&amp;" "",""), ""\s*,\s*"", "",""), "","")))&lt;&gt;"""" ) ) ) ),"""")
"),"")</f>
        <v/>
      </c>
      <c r="D1296" s="105"/>
      <c r="E1296" s="105"/>
      <c r="F1296" s="110" t="b">
        <v>0</v>
      </c>
      <c r="G1296" s="105" t="str">
        <f>IF(F1296=True, IFERROR(VLOOKUP(D1296, Repository!A:B, 2, 0), ""), "")</f>
        <v/>
      </c>
      <c r="H1296" s="105"/>
      <c r="I1296" s="105"/>
      <c r="J1296" s="105" t="str">
        <f>IF(F1296=True, IFERROR(VLOOKUP(D1296, Repository!A:C, 3, 0), ""), "")</f>
        <v/>
      </c>
      <c r="K1296" s="105"/>
      <c r="L1296" s="105" t="str">
        <f>IF(F1296=True, IFERROR(VLOOKUP(D1296, Repository!A:E, 5, 0), ""), "")</f>
        <v/>
      </c>
      <c r="M1296" s="105"/>
      <c r="N1296" s="105" t="str">
        <f>IF(F1296=True, IFERROR(VLOOKUP(D1296, Repository!A:G, 7, 0), ""), "")</f>
        <v/>
      </c>
      <c r="O1296" s="105" t="str">
        <f>IFERROR(__xludf.DUMMYFUNCTION("ARRAY_CONSTRAIN(
  ARRAYFORMULA(
    IFERROR(
      LET(
        list, N1296,
        arr, TRIM(SPLIT(list, "","")),
        names, XLOOKUP(
          arr,
          'Conformance Score'!A:A,
          'Conformance Score'!B:B,
          ""Not found""
     "&amp;"   ),
        TEXTJOIN("", "", TRUE, names)
      ),
      """"
    )
  ),
  1,
  1
)
"),"")</f>
        <v/>
      </c>
      <c r="P1296" s="105" t="str">
        <f>IF(F1296="Yes", IFERROR(VLOOKUP(D1296, Repository!A:F, 6, 0), ""), "")</f>
        <v/>
      </c>
      <c r="Q1296" s="105" t="str">
        <f>IF(F1296="Yes", IFERROR(VLOOKUP(D1296, Repository!A:I, 8, 0), ""), "")</f>
        <v/>
      </c>
      <c r="R1296" s="105" t="str">
        <f>IF(F1296="Yes", IFERROR(VLOOKUP(D1296, Repository!A:J, 9, 0), ""), "")</f>
        <v/>
      </c>
      <c r="S1296" s="105"/>
      <c r="T1296" s="105"/>
      <c r="U1296" s="105"/>
      <c r="V1296" s="105"/>
      <c r="W1296" s="105"/>
      <c r="X1296" s="105"/>
      <c r="Y1296" s="105"/>
      <c r="Z1296" s="105"/>
      <c r="AA1296" s="105"/>
      <c r="AB1296" s="105"/>
      <c r="AC1296" s="91"/>
      <c r="AD1296" s="105"/>
      <c r="AE1296" s="105"/>
      <c r="AF1296" s="91"/>
      <c r="AG1296" s="105"/>
      <c r="AH1296" s="105"/>
      <c r="AI1296" s="105" t="str">
        <f t="shared" si="1"/>
        <v/>
      </c>
      <c r="AJ1296" s="108" t="str">
        <f t="shared" si="2"/>
        <v/>
      </c>
    </row>
    <row r="1297" ht="15.75" customHeight="1">
      <c r="A1297" s="104"/>
      <c r="B1297" s="105" t="str">
        <f>IFERROR(__xludf.DUMMYFUNCTION("ARRAY_CONSTRAIN(
  ARRAYFORMULA(
    IF(
      'Final Report'!A1297="""",
      """",
      TEXTJOIN(
        "", "" &amp; CHAR(10),
        TRUE,
        IFERROR(
          VLOOKUP(
            TRIM(
              SPLIT('Final Report'!A1297, "","")
         "&amp;"   ),
            'URL Details'!A:B,
            2,
            FALSE
          ),
          """"
        )
      )
    )
  ),
  1,
  1
)
"),"")</f>
        <v/>
      </c>
      <c r="C1297" s="105" t="str">
        <f>IFERROR(__xludf.DUMMYFUNCTION("IFERROR(IF('Final Report'!A1297="""","""", TEXTJOIN(CHAR(10), TRUE, ARRAYFORMULA( ""• ""&amp; FILTER( TRIM(FLATTEN(SPLIT( REGEXREPLACE( SUBSTITUTE(TEXTJOIN("","", TRUE, IFERROR(ARRAYFORMULA(VLOOKUP(TRIM(SPLIT('Final Report'!A1297, "","")), 'URL Details'!A:D, "&amp;"4, FALSE)),"""") ), CHAR(10), "",""), ""\s*,\s*"", "",""), "",""))), TRIM(FLATTEN(SPLIT( REGEXREPLACE( SUBSTITUTE(TEXTJOIN("","", TRUE, IFERROR(ARRAYFORMULA(VLOOKUP(TRIM(SPLIT('Final Report'!A1297, "","")), 'URL Details'!A:D, 4, FALSE)),"""") ), CHAR(10),"&amp;" "",""), ""\s*,\s*"", "",""), "","")))&lt;&gt;"""" ) ) ) ),"""")
"),"")</f>
        <v/>
      </c>
      <c r="D1297" s="105"/>
      <c r="E1297" s="105"/>
      <c r="F1297" s="110" t="b">
        <v>0</v>
      </c>
      <c r="G1297" s="105" t="str">
        <f>IF(F1297=True, IFERROR(VLOOKUP(D1297, Repository!A:B, 2, 0), ""), "")</f>
        <v/>
      </c>
      <c r="H1297" s="105"/>
      <c r="I1297" s="105"/>
      <c r="J1297" s="105" t="str">
        <f>IF(F1297=True, IFERROR(VLOOKUP(D1297, Repository!A:C, 3, 0), ""), "")</f>
        <v/>
      </c>
      <c r="K1297" s="105"/>
      <c r="L1297" s="105" t="str">
        <f>IF(F1297=True, IFERROR(VLOOKUP(D1297, Repository!A:E, 5, 0), ""), "")</f>
        <v/>
      </c>
      <c r="M1297" s="105"/>
      <c r="N1297" s="105" t="str">
        <f>IF(F1297=True, IFERROR(VLOOKUP(D1297, Repository!A:G, 7, 0), ""), "")</f>
        <v/>
      </c>
      <c r="O1297" s="105" t="str">
        <f>IFERROR(__xludf.DUMMYFUNCTION("ARRAY_CONSTRAIN(
  ARRAYFORMULA(
    IFERROR(
      LET(
        list, N1297,
        arr, TRIM(SPLIT(list, "","")),
        names, XLOOKUP(
          arr,
          'Conformance Score'!A:A,
          'Conformance Score'!B:B,
          ""Not found""
     "&amp;"   ),
        TEXTJOIN("", "", TRUE, names)
      ),
      """"
    )
  ),
  1,
  1
)
"),"")</f>
        <v/>
      </c>
      <c r="P1297" s="105" t="str">
        <f>IF(F1297="Yes", IFERROR(VLOOKUP(D1297, Repository!A:F, 6, 0), ""), "")</f>
        <v/>
      </c>
      <c r="Q1297" s="105" t="str">
        <f>IF(F1297="Yes", IFERROR(VLOOKUP(D1297, Repository!A:I, 8, 0), ""), "")</f>
        <v/>
      </c>
      <c r="R1297" s="105" t="str">
        <f>IF(F1297="Yes", IFERROR(VLOOKUP(D1297, Repository!A:J, 9, 0), ""), "")</f>
        <v/>
      </c>
      <c r="S1297" s="105"/>
      <c r="T1297" s="105"/>
      <c r="U1297" s="105"/>
      <c r="V1297" s="105"/>
      <c r="W1297" s="105"/>
      <c r="X1297" s="105"/>
      <c r="Y1297" s="105"/>
      <c r="Z1297" s="105"/>
      <c r="AA1297" s="105"/>
      <c r="AB1297" s="105"/>
      <c r="AC1297" s="91"/>
      <c r="AD1297" s="105"/>
      <c r="AE1297" s="105"/>
      <c r="AF1297" s="91"/>
      <c r="AG1297" s="105"/>
      <c r="AH1297" s="105"/>
      <c r="AI1297" s="105" t="str">
        <f t="shared" si="1"/>
        <v/>
      </c>
      <c r="AJ1297" s="108" t="str">
        <f t="shared" si="2"/>
        <v/>
      </c>
    </row>
    <row r="1298" ht="15.75" customHeight="1">
      <c r="A1298" s="104"/>
      <c r="B1298" s="105" t="str">
        <f>IFERROR(__xludf.DUMMYFUNCTION("ARRAY_CONSTRAIN(
  ARRAYFORMULA(
    IF(
      'Final Report'!A1298="""",
      """",
      TEXTJOIN(
        "", "" &amp; CHAR(10),
        TRUE,
        IFERROR(
          VLOOKUP(
            TRIM(
              SPLIT('Final Report'!A1298, "","")
         "&amp;"   ),
            'URL Details'!A:B,
            2,
            FALSE
          ),
          """"
        )
      )
    )
  ),
  1,
  1
)
"),"")</f>
        <v/>
      </c>
      <c r="C1298" s="105" t="str">
        <f>IFERROR(__xludf.DUMMYFUNCTION("IFERROR(IF('Final Report'!A1298="""","""", TEXTJOIN(CHAR(10), TRUE, ARRAYFORMULA( ""• ""&amp; FILTER( TRIM(FLATTEN(SPLIT( REGEXREPLACE( SUBSTITUTE(TEXTJOIN("","", TRUE, IFERROR(ARRAYFORMULA(VLOOKUP(TRIM(SPLIT('Final Report'!A1298, "","")), 'URL Details'!A:D, "&amp;"4, FALSE)),"""") ), CHAR(10), "",""), ""\s*,\s*"", "",""), "",""))), TRIM(FLATTEN(SPLIT( REGEXREPLACE( SUBSTITUTE(TEXTJOIN("","", TRUE, IFERROR(ARRAYFORMULA(VLOOKUP(TRIM(SPLIT('Final Report'!A1298, "","")), 'URL Details'!A:D, 4, FALSE)),"""") ), CHAR(10),"&amp;" "",""), ""\s*,\s*"", "",""), "","")))&lt;&gt;"""" ) ) ) ),"""")
"),"")</f>
        <v/>
      </c>
      <c r="D1298" s="105"/>
      <c r="E1298" s="105"/>
      <c r="F1298" s="110" t="b">
        <v>0</v>
      </c>
      <c r="G1298" s="105" t="str">
        <f>IF(F1298=True, IFERROR(VLOOKUP(D1298, Repository!A:B, 2, 0), ""), "")</f>
        <v/>
      </c>
      <c r="H1298" s="105"/>
      <c r="I1298" s="105"/>
      <c r="J1298" s="105" t="str">
        <f>IF(F1298=True, IFERROR(VLOOKUP(D1298, Repository!A:C, 3, 0), ""), "")</f>
        <v/>
      </c>
      <c r="K1298" s="105"/>
      <c r="L1298" s="105" t="str">
        <f>IF(F1298=True, IFERROR(VLOOKUP(D1298, Repository!A:E, 5, 0), ""), "")</f>
        <v/>
      </c>
      <c r="M1298" s="105"/>
      <c r="N1298" s="105" t="str">
        <f>IF(F1298=True, IFERROR(VLOOKUP(D1298, Repository!A:G, 7, 0), ""), "")</f>
        <v/>
      </c>
      <c r="O1298" s="105" t="str">
        <f>IFERROR(__xludf.DUMMYFUNCTION("ARRAY_CONSTRAIN(
  ARRAYFORMULA(
    IFERROR(
      LET(
        list, N1298,
        arr, TRIM(SPLIT(list, "","")),
        names, XLOOKUP(
          arr,
          'Conformance Score'!A:A,
          'Conformance Score'!B:B,
          ""Not found""
     "&amp;"   ),
        TEXTJOIN("", "", TRUE, names)
      ),
      """"
    )
  ),
  1,
  1
)
"),"")</f>
        <v/>
      </c>
      <c r="P1298" s="105" t="str">
        <f>IF(F1298="Yes", IFERROR(VLOOKUP(D1298, Repository!A:F, 6, 0), ""), "")</f>
        <v/>
      </c>
      <c r="Q1298" s="105" t="str">
        <f>IF(F1298="Yes", IFERROR(VLOOKUP(D1298, Repository!A:I, 8, 0), ""), "")</f>
        <v/>
      </c>
      <c r="R1298" s="105" t="str">
        <f>IF(F1298="Yes", IFERROR(VLOOKUP(D1298, Repository!A:J, 9, 0), ""), "")</f>
        <v/>
      </c>
      <c r="S1298" s="105"/>
      <c r="T1298" s="105"/>
      <c r="U1298" s="105"/>
      <c r="V1298" s="105"/>
      <c r="W1298" s="105"/>
      <c r="X1298" s="105"/>
      <c r="Y1298" s="105"/>
      <c r="Z1298" s="105"/>
      <c r="AA1298" s="105"/>
      <c r="AB1298" s="105"/>
      <c r="AC1298" s="91"/>
      <c r="AD1298" s="105"/>
      <c r="AE1298" s="105"/>
      <c r="AF1298" s="91"/>
      <c r="AG1298" s="105"/>
      <c r="AH1298" s="105"/>
      <c r="AI1298" s="105" t="str">
        <f t="shared" si="1"/>
        <v/>
      </c>
      <c r="AJ1298" s="108" t="str">
        <f t="shared" si="2"/>
        <v/>
      </c>
    </row>
    <row r="1299" ht="15.75" customHeight="1">
      <c r="A1299" s="104"/>
      <c r="B1299" s="105" t="str">
        <f>IFERROR(__xludf.DUMMYFUNCTION("ARRAY_CONSTRAIN(
  ARRAYFORMULA(
    IF(
      'Final Report'!A1299="""",
      """",
      TEXTJOIN(
        "", "" &amp; CHAR(10),
        TRUE,
        IFERROR(
          VLOOKUP(
            TRIM(
              SPLIT('Final Report'!A1299, "","")
         "&amp;"   ),
            'URL Details'!A:B,
            2,
            FALSE
          ),
          """"
        )
      )
    )
  ),
  1,
  1
)
"),"")</f>
        <v/>
      </c>
      <c r="C1299" s="105" t="str">
        <f>IFERROR(__xludf.DUMMYFUNCTION("IFERROR(IF('Final Report'!A1299="""","""", TEXTJOIN(CHAR(10), TRUE, ARRAYFORMULA( ""• ""&amp; FILTER( TRIM(FLATTEN(SPLIT( REGEXREPLACE( SUBSTITUTE(TEXTJOIN("","", TRUE, IFERROR(ARRAYFORMULA(VLOOKUP(TRIM(SPLIT('Final Report'!A1299, "","")), 'URL Details'!A:D, "&amp;"4, FALSE)),"""") ), CHAR(10), "",""), ""\s*,\s*"", "",""), "",""))), TRIM(FLATTEN(SPLIT( REGEXREPLACE( SUBSTITUTE(TEXTJOIN("","", TRUE, IFERROR(ARRAYFORMULA(VLOOKUP(TRIM(SPLIT('Final Report'!A1299, "","")), 'URL Details'!A:D, 4, FALSE)),"""") ), CHAR(10),"&amp;" "",""), ""\s*,\s*"", "",""), "","")))&lt;&gt;"""" ) ) ) ),"""")
"),"")</f>
        <v/>
      </c>
      <c r="D1299" s="105"/>
      <c r="E1299" s="105"/>
      <c r="F1299" s="110" t="b">
        <v>0</v>
      </c>
      <c r="G1299" s="105" t="str">
        <f>IF(F1299=True, IFERROR(VLOOKUP(D1299, Repository!A:B, 2, 0), ""), "")</f>
        <v/>
      </c>
      <c r="H1299" s="105"/>
      <c r="I1299" s="105"/>
      <c r="J1299" s="105" t="str">
        <f>IF(F1299=True, IFERROR(VLOOKUP(D1299, Repository!A:C, 3, 0), ""), "")</f>
        <v/>
      </c>
      <c r="K1299" s="105"/>
      <c r="L1299" s="105" t="str">
        <f>IF(F1299=True, IFERROR(VLOOKUP(D1299, Repository!A:E, 5, 0), ""), "")</f>
        <v/>
      </c>
      <c r="M1299" s="105"/>
      <c r="N1299" s="105" t="str">
        <f>IF(F1299=True, IFERROR(VLOOKUP(D1299, Repository!A:G, 7, 0), ""), "")</f>
        <v/>
      </c>
      <c r="O1299" s="105" t="str">
        <f>IFERROR(__xludf.DUMMYFUNCTION("ARRAY_CONSTRAIN(
  ARRAYFORMULA(
    IFERROR(
      LET(
        list, N1299,
        arr, TRIM(SPLIT(list, "","")),
        names, XLOOKUP(
          arr,
          'Conformance Score'!A:A,
          'Conformance Score'!B:B,
          ""Not found""
     "&amp;"   ),
        TEXTJOIN("", "", TRUE, names)
      ),
      """"
    )
  ),
  1,
  1
)
"),"")</f>
        <v/>
      </c>
      <c r="P1299" s="105" t="str">
        <f>IF(F1299="Yes", IFERROR(VLOOKUP(D1299, Repository!A:F, 6, 0), ""), "")</f>
        <v/>
      </c>
      <c r="Q1299" s="105" t="str">
        <f>IF(F1299="Yes", IFERROR(VLOOKUP(D1299, Repository!A:I, 8, 0), ""), "")</f>
        <v/>
      </c>
      <c r="R1299" s="105" t="str">
        <f>IF(F1299="Yes", IFERROR(VLOOKUP(D1299, Repository!A:J, 9, 0), ""), "")</f>
        <v/>
      </c>
      <c r="S1299" s="105"/>
      <c r="T1299" s="105"/>
      <c r="U1299" s="105"/>
      <c r="V1299" s="105"/>
      <c r="W1299" s="105"/>
      <c r="X1299" s="105"/>
      <c r="Y1299" s="105"/>
      <c r="Z1299" s="105"/>
      <c r="AA1299" s="105"/>
      <c r="AB1299" s="105"/>
      <c r="AC1299" s="91"/>
      <c r="AD1299" s="105"/>
      <c r="AE1299" s="105"/>
      <c r="AF1299" s="91"/>
      <c r="AG1299" s="105"/>
      <c r="AH1299" s="105"/>
      <c r="AI1299" s="105" t="str">
        <f t="shared" si="1"/>
        <v/>
      </c>
      <c r="AJ1299" s="108" t="str">
        <f t="shared" si="2"/>
        <v/>
      </c>
    </row>
    <row r="1300" ht="15.75" customHeight="1">
      <c r="A1300" s="104"/>
      <c r="B1300" s="105" t="str">
        <f>IFERROR(__xludf.DUMMYFUNCTION("ARRAY_CONSTRAIN(
  ARRAYFORMULA(
    IF(
      'Final Report'!A1300="""",
      """",
      TEXTJOIN(
        "", "" &amp; CHAR(10),
        TRUE,
        IFERROR(
          VLOOKUP(
            TRIM(
              SPLIT('Final Report'!A1300, "","")
         "&amp;"   ),
            'URL Details'!A:B,
            2,
            FALSE
          ),
          """"
        )
      )
    )
  ),
  1,
  1
)
"),"")</f>
        <v/>
      </c>
      <c r="C1300" s="105" t="str">
        <f>IFERROR(__xludf.DUMMYFUNCTION("IFERROR(IF('Final Report'!A1300="""","""", TEXTJOIN(CHAR(10), TRUE, ARRAYFORMULA( ""• ""&amp; FILTER( TRIM(FLATTEN(SPLIT( REGEXREPLACE( SUBSTITUTE(TEXTJOIN("","", TRUE, IFERROR(ARRAYFORMULA(VLOOKUP(TRIM(SPLIT('Final Report'!A1300, "","")), 'URL Details'!A:D, "&amp;"4, FALSE)),"""") ), CHAR(10), "",""), ""\s*,\s*"", "",""), "",""))), TRIM(FLATTEN(SPLIT( REGEXREPLACE( SUBSTITUTE(TEXTJOIN("","", TRUE, IFERROR(ARRAYFORMULA(VLOOKUP(TRIM(SPLIT('Final Report'!A1300, "","")), 'URL Details'!A:D, 4, FALSE)),"""") ), CHAR(10),"&amp;" "",""), ""\s*,\s*"", "",""), "","")))&lt;&gt;"""" ) ) ) ),"""")
"),"")</f>
        <v/>
      </c>
      <c r="D1300" s="105"/>
      <c r="E1300" s="105"/>
      <c r="F1300" s="110" t="b">
        <v>0</v>
      </c>
      <c r="G1300" s="105" t="str">
        <f>IF(F1300=True, IFERROR(VLOOKUP(D1300, Repository!A:B, 2, 0), ""), "")</f>
        <v/>
      </c>
      <c r="H1300" s="105"/>
      <c r="I1300" s="105"/>
      <c r="J1300" s="105" t="str">
        <f>IF(F1300=True, IFERROR(VLOOKUP(D1300, Repository!A:C, 3, 0), ""), "")</f>
        <v/>
      </c>
      <c r="K1300" s="105"/>
      <c r="L1300" s="105" t="str">
        <f>IF(F1300=True, IFERROR(VLOOKUP(D1300, Repository!A:E, 5, 0), ""), "")</f>
        <v/>
      </c>
      <c r="M1300" s="105"/>
      <c r="N1300" s="105" t="str">
        <f>IF(F1300=True, IFERROR(VLOOKUP(D1300, Repository!A:G, 7, 0), ""), "")</f>
        <v/>
      </c>
      <c r="O1300" s="105" t="str">
        <f>IFERROR(__xludf.DUMMYFUNCTION("ARRAY_CONSTRAIN(
  ARRAYFORMULA(
    IFERROR(
      LET(
        list, N1300,
        arr, TRIM(SPLIT(list, "","")),
        names, XLOOKUP(
          arr,
          'Conformance Score'!A:A,
          'Conformance Score'!B:B,
          ""Not found""
     "&amp;"   ),
        TEXTJOIN("", "", TRUE, names)
      ),
      """"
    )
  ),
  1,
  1
)
"),"")</f>
        <v/>
      </c>
      <c r="P1300" s="105" t="str">
        <f>IF(F1300="Yes", IFERROR(VLOOKUP(D1300, Repository!A:F, 6, 0), ""), "")</f>
        <v/>
      </c>
      <c r="Q1300" s="105" t="str">
        <f>IF(F1300="Yes", IFERROR(VLOOKUP(D1300, Repository!A:I, 8, 0), ""), "")</f>
        <v/>
      </c>
      <c r="R1300" s="105" t="str">
        <f>IF(F1300="Yes", IFERROR(VLOOKUP(D1300, Repository!A:J, 9, 0), ""), "")</f>
        <v/>
      </c>
      <c r="S1300" s="105"/>
      <c r="T1300" s="105"/>
      <c r="U1300" s="105"/>
      <c r="V1300" s="105"/>
      <c r="W1300" s="105"/>
      <c r="X1300" s="105"/>
      <c r="Y1300" s="105"/>
      <c r="Z1300" s="105"/>
      <c r="AA1300" s="105"/>
      <c r="AB1300" s="105"/>
      <c r="AC1300" s="91"/>
      <c r="AD1300" s="105"/>
      <c r="AE1300" s="105"/>
      <c r="AF1300" s="91"/>
      <c r="AG1300" s="105"/>
      <c r="AH1300" s="105"/>
      <c r="AI1300" s="105" t="str">
        <f t="shared" si="1"/>
        <v/>
      </c>
      <c r="AJ1300" s="108" t="str">
        <f t="shared" si="2"/>
        <v/>
      </c>
    </row>
    <row r="1301" ht="15.75" customHeight="1">
      <c r="A1301" s="104"/>
      <c r="B1301" s="105" t="str">
        <f>IFERROR(__xludf.DUMMYFUNCTION("ARRAY_CONSTRAIN(
  ARRAYFORMULA(
    IF(
      'Final Report'!A1301="""",
      """",
      TEXTJOIN(
        "", "" &amp; CHAR(10),
        TRUE,
        IFERROR(
          VLOOKUP(
            TRIM(
              SPLIT('Final Report'!A1301, "","")
         "&amp;"   ),
            'URL Details'!A:B,
            2,
            FALSE
          ),
          """"
        )
      )
    )
  ),
  1,
  1
)
"),"")</f>
        <v/>
      </c>
      <c r="C1301" s="105" t="str">
        <f>IFERROR(__xludf.DUMMYFUNCTION("IFERROR(IF('Final Report'!A1301="""","""", TEXTJOIN(CHAR(10), TRUE, ARRAYFORMULA( ""• ""&amp; FILTER( TRIM(FLATTEN(SPLIT( REGEXREPLACE( SUBSTITUTE(TEXTJOIN("","", TRUE, IFERROR(ARRAYFORMULA(VLOOKUP(TRIM(SPLIT('Final Report'!A1301, "","")), 'URL Details'!A:D, "&amp;"4, FALSE)),"""") ), CHAR(10), "",""), ""\s*,\s*"", "",""), "",""))), TRIM(FLATTEN(SPLIT( REGEXREPLACE( SUBSTITUTE(TEXTJOIN("","", TRUE, IFERROR(ARRAYFORMULA(VLOOKUP(TRIM(SPLIT('Final Report'!A1301, "","")), 'URL Details'!A:D, 4, FALSE)),"""") ), CHAR(10),"&amp;" "",""), ""\s*,\s*"", "",""), "","")))&lt;&gt;"""" ) ) ) ),"""")
"),"")</f>
        <v/>
      </c>
      <c r="D1301" s="105"/>
      <c r="E1301" s="105"/>
      <c r="F1301" s="110" t="b">
        <v>0</v>
      </c>
      <c r="G1301" s="105" t="str">
        <f>IF(F1301=True, IFERROR(VLOOKUP(D1301, Repository!A:B, 2, 0), ""), "")</f>
        <v/>
      </c>
      <c r="H1301" s="105"/>
      <c r="I1301" s="105"/>
      <c r="J1301" s="105" t="str">
        <f>IF(F1301=True, IFERROR(VLOOKUP(D1301, Repository!A:C, 3, 0), ""), "")</f>
        <v/>
      </c>
      <c r="K1301" s="105"/>
      <c r="L1301" s="105" t="str">
        <f>IF(F1301=True, IFERROR(VLOOKUP(D1301, Repository!A:E, 5, 0), ""), "")</f>
        <v/>
      </c>
      <c r="M1301" s="105"/>
      <c r="N1301" s="105" t="str">
        <f>IF(F1301=True, IFERROR(VLOOKUP(D1301, Repository!A:G, 7, 0), ""), "")</f>
        <v/>
      </c>
      <c r="O1301" s="105" t="str">
        <f>IFERROR(__xludf.DUMMYFUNCTION("ARRAY_CONSTRAIN(
  ARRAYFORMULA(
    IFERROR(
      LET(
        list, N1301,
        arr, TRIM(SPLIT(list, "","")),
        names, XLOOKUP(
          arr,
          'Conformance Score'!A:A,
          'Conformance Score'!B:B,
          ""Not found""
     "&amp;"   ),
        TEXTJOIN("", "", TRUE, names)
      ),
      """"
    )
  ),
  1,
  1
)
"),"")</f>
        <v/>
      </c>
      <c r="P1301" s="105" t="str">
        <f>IF(F1301="Yes", IFERROR(VLOOKUP(D1301, Repository!A:F, 6, 0), ""), "")</f>
        <v/>
      </c>
      <c r="Q1301" s="105" t="str">
        <f>IF(F1301="Yes", IFERROR(VLOOKUP(D1301, Repository!A:I, 8, 0), ""), "")</f>
        <v/>
      </c>
      <c r="R1301" s="105" t="str">
        <f>IF(F1301="Yes", IFERROR(VLOOKUP(D1301, Repository!A:J, 9, 0), ""), "")</f>
        <v/>
      </c>
      <c r="S1301" s="105"/>
      <c r="T1301" s="105"/>
      <c r="U1301" s="105"/>
      <c r="V1301" s="105"/>
      <c r="W1301" s="105"/>
      <c r="X1301" s="105"/>
      <c r="Y1301" s="105"/>
      <c r="Z1301" s="105"/>
      <c r="AA1301" s="105"/>
      <c r="AB1301" s="105"/>
      <c r="AC1301" s="91"/>
      <c r="AD1301" s="105"/>
      <c r="AE1301" s="105"/>
      <c r="AF1301" s="91"/>
      <c r="AG1301" s="105"/>
      <c r="AH1301" s="105"/>
      <c r="AI1301" s="105" t="str">
        <f t="shared" si="1"/>
        <v/>
      </c>
      <c r="AJ1301" s="108" t="str">
        <f t="shared" si="2"/>
        <v/>
      </c>
    </row>
    <row r="1302" ht="15.75" customHeight="1">
      <c r="A1302" s="104"/>
      <c r="B1302" s="105" t="str">
        <f>IFERROR(__xludf.DUMMYFUNCTION("ARRAY_CONSTRAIN(
  ARRAYFORMULA(
    IF(
      'Final Report'!A1302="""",
      """",
      TEXTJOIN(
        "", "" &amp; CHAR(10),
        TRUE,
        IFERROR(
          VLOOKUP(
            TRIM(
              SPLIT('Final Report'!A1302, "","")
         "&amp;"   ),
            'URL Details'!A:B,
            2,
            FALSE
          ),
          """"
        )
      )
    )
  ),
  1,
  1
)
"),"")</f>
        <v/>
      </c>
      <c r="C1302" s="105" t="str">
        <f>IFERROR(__xludf.DUMMYFUNCTION("IFERROR(IF('Final Report'!A1302="""","""", TEXTJOIN(CHAR(10), TRUE, ARRAYFORMULA( ""• ""&amp; FILTER( TRIM(FLATTEN(SPLIT( REGEXREPLACE( SUBSTITUTE(TEXTJOIN("","", TRUE, IFERROR(ARRAYFORMULA(VLOOKUP(TRIM(SPLIT('Final Report'!A1302, "","")), 'URL Details'!A:D, "&amp;"4, FALSE)),"""") ), CHAR(10), "",""), ""\s*,\s*"", "",""), "",""))), TRIM(FLATTEN(SPLIT( REGEXREPLACE( SUBSTITUTE(TEXTJOIN("","", TRUE, IFERROR(ARRAYFORMULA(VLOOKUP(TRIM(SPLIT('Final Report'!A1302, "","")), 'URL Details'!A:D, 4, FALSE)),"""") ), CHAR(10),"&amp;" "",""), ""\s*,\s*"", "",""), "","")))&lt;&gt;"""" ) ) ) ),"""")
"),"")</f>
        <v/>
      </c>
      <c r="D1302" s="105"/>
      <c r="E1302" s="105"/>
      <c r="F1302" s="110" t="b">
        <v>0</v>
      </c>
      <c r="G1302" s="105" t="str">
        <f>IF(F1302=True, IFERROR(VLOOKUP(D1302, Repository!A:B, 2, 0), ""), "")</f>
        <v/>
      </c>
      <c r="H1302" s="105"/>
      <c r="I1302" s="105"/>
      <c r="J1302" s="105" t="str">
        <f>IF(F1302=True, IFERROR(VLOOKUP(D1302, Repository!A:C, 3, 0), ""), "")</f>
        <v/>
      </c>
      <c r="K1302" s="105"/>
      <c r="L1302" s="105" t="str">
        <f>IF(F1302=True, IFERROR(VLOOKUP(D1302, Repository!A:E, 5, 0), ""), "")</f>
        <v/>
      </c>
      <c r="M1302" s="105"/>
      <c r="N1302" s="105" t="str">
        <f>IF(F1302=True, IFERROR(VLOOKUP(D1302, Repository!A:G, 7, 0), ""), "")</f>
        <v/>
      </c>
      <c r="O1302" s="105" t="str">
        <f>IFERROR(__xludf.DUMMYFUNCTION("ARRAY_CONSTRAIN(
  ARRAYFORMULA(
    IFERROR(
      LET(
        list, N1302,
        arr, TRIM(SPLIT(list, "","")),
        names, XLOOKUP(
          arr,
          'Conformance Score'!A:A,
          'Conformance Score'!B:B,
          ""Not found""
     "&amp;"   ),
        TEXTJOIN("", "", TRUE, names)
      ),
      """"
    )
  ),
  1,
  1
)
"),"")</f>
        <v/>
      </c>
      <c r="P1302" s="105" t="str">
        <f>IF(F1302="Yes", IFERROR(VLOOKUP(D1302, Repository!A:F, 6, 0), ""), "")</f>
        <v/>
      </c>
      <c r="Q1302" s="105" t="str">
        <f>IF(F1302="Yes", IFERROR(VLOOKUP(D1302, Repository!A:I, 8, 0), ""), "")</f>
        <v/>
      </c>
      <c r="R1302" s="105" t="str">
        <f>IF(F1302="Yes", IFERROR(VLOOKUP(D1302, Repository!A:J, 9, 0), ""), "")</f>
        <v/>
      </c>
      <c r="S1302" s="105"/>
      <c r="T1302" s="105"/>
      <c r="U1302" s="105"/>
      <c r="V1302" s="105"/>
      <c r="W1302" s="105"/>
      <c r="X1302" s="105"/>
      <c r="Y1302" s="105"/>
      <c r="Z1302" s="105"/>
      <c r="AA1302" s="105"/>
      <c r="AB1302" s="105"/>
      <c r="AC1302" s="91"/>
      <c r="AD1302" s="105"/>
      <c r="AE1302" s="105"/>
      <c r="AF1302" s="91"/>
      <c r="AG1302" s="105"/>
      <c r="AH1302" s="105"/>
      <c r="AI1302" s="105" t="str">
        <f t="shared" si="1"/>
        <v/>
      </c>
      <c r="AJ1302" s="108" t="str">
        <f t="shared" si="2"/>
        <v/>
      </c>
    </row>
    <row r="1303" ht="15.75" customHeight="1">
      <c r="A1303" s="104"/>
      <c r="B1303" s="105" t="str">
        <f>IFERROR(__xludf.DUMMYFUNCTION("ARRAY_CONSTRAIN(
  ARRAYFORMULA(
    IF(
      'Final Report'!A1303="""",
      """",
      TEXTJOIN(
        "", "" &amp; CHAR(10),
        TRUE,
        IFERROR(
          VLOOKUP(
            TRIM(
              SPLIT('Final Report'!A1303, "","")
         "&amp;"   ),
            'URL Details'!A:B,
            2,
            FALSE
          ),
          """"
        )
      )
    )
  ),
  1,
  1
)
"),"")</f>
        <v/>
      </c>
      <c r="C1303" s="105" t="str">
        <f>IFERROR(__xludf.DUMMYFUNCTION("IFERROR(IF('Final Report'!A1303="""","""", TEXTJOIN(CHAR(10), TRUE, ARRAYFORMULA( ""• ""&amp; FILTER( TRIM(FLATTEN(SPLIT( REGEXREPLACE( SUBSTITUTE(TEXTJOIN("","", TRUE, IFERROR(ARRAYFORMULA(VLOOKUP(TRIM(SPLIT('Final Report'!A1303, "","")), 'URL Details'!A:D, "&amp;"4, FALSE)),"""") ), CHAR(10), "",""), ""\s*,\s*"", "",""), "",""))), TRIM(FLATTEN(SPLIT( REGEXREPLACE( SUBSTITUTE(TEXTJOIN("","", TRUE, IFERROR(ARRAYFORMULA(VLOOKUP(TRIM(SPLIT('Final Report'!A1303, "","")), 'URL Details'!A:D, 4, FALSE)),"""") ), CHAR(10),"&amp;" "",""), ""\s*,\s*"", "",""), "","")))&lt;&gt;"""" ) ) ) ),"""")
"),"")</f>
        <v/>
      </c>
      <c r="D1303" s="105"/>
      <c r="E1303" s="105"/>
      <c r="F1303" s="110" t="b">
        <v>0</v>
      </c>
      <c r="G1303" s="105" t="str">
        <f>IF(F1303=True, IFERROR(VLOOKUP(D1303, Repository!A:B, 2, 0), ""), "")</f>
        <v/>
      </c>
      <c r="H1303" s="105"/>
      <c r="I1303" s="105"/>
      <c r="J1303" s="105" t="str">
        <f>IF(F1303=True, IFERROR(VLOOKUP(D1303, Repository!A:C, 3, 0), ""), "")</f>
        <v/>
      </c>
      <c r="K1303" s="105"/>
      <c r="L1303" s="105" t="str">
        <f>IF(F1303=True, IFERROR(VLOOKUP(D1303, Repository!A:E, 5, 0), ""), "")</f>
        <v/>
      </c>
      <c r="M1303" s="105"/>
      <c r="N1303" s="105" t="str">
        <f>IF(F1303=True, IFERROR(VLOOKUP(D1303, Repository!A:G, 7, 0), ""), "")</f>
        <v/>
      </c>
      <c r="O1303" s="105" t="str">
        <f>IFERROR(__xludf.DUMMYFUNCTION("ARRAY_CONSTRAIN(
  ARRAYFORMULA(
    IFERROR(
      LET(
        list, N1303,
        arr, TRIM(SPLIT(list, "","")),
        names, XLOOKUP(
          arr,
          'Conformance Score'!A:A,
          'Conformance Score'!B:B,
          ""Not found""
     "&amp;"   ),
        TEXTJOIN("", "", TRUE, names)
      ),
      """"
    )
  ),
  1,
  1
)
"),"")</f>
        <v/>
      </c>
      <c r="P1303" s="105" t="str">
        <f>IF(F1303="Yes", IFERROR(VLOOKUP(D1303, Repository!A:F, 6, 0), ""), "")</f>
        <v/>
      </c>
      <c r="Q1303" s="105" t="str">
        <f>IF(F1303="Yes", IFERROR(VLOOKUP(D1303, Repository!A:I, 8, 0), ""), "")</f>
        <v/>
      </c>
      <c r="R1303" s="105" t="str">
        <f>IF(F1303="Yes", IFERROR(VLOOKUP(D1303, Repository!A:J, 9, 0), ""), "")</f>
        <v/>
      </c>
      <c r="S1303" s="105"/>
      <c r="T1303" s="105"/>
      <c r="U1303" s="105"/>
      <c r="V1303" s="105"/>
      <c r="W1303" s="105"/>
      <c r="X1303" s="105"/>
      <c r="Y1303" s="105"/>
      <c r="Z1303" s="105"/>
      <c r="AA1303" s="105"/>
      <c r="AB1303" s="105"/>
      <c r="AC1303" s="91"/>
      <c r="AD1303" s="105"/>
      <c r="AE1303" s="105"/>
      <c r="AF1303" s="91"/>
      <c r="AG1303" s="105"/>
      <c r="AH1303" s="105"/>
      <c r="AI1303" s="105" t="str">
        <f t="shared" si="1"/>
        <v/>
      </c>
      <c r="AJ1303" s="108" t="str">
        <f t="shared" si="2"/>
        <v/>
      </c>
    </row>
    <row r="1304" ht="15.75" customHeight="1">
      <c r="A1304" s="104"/>
      <c r="B1304" s="105" t="str">
        <f>IFERROR(__xludf.DUMMYFUNCTION("ARRAY_CONSTRAIN(
  ARRAYFORMULA(
    IF(
      'Final Report'!A1304="""",
      """",
      TEXTJOIN(
        "", "" &amp; CHAR(10),
        TRUE,
        IFERROR(
          VLOOKUP(
            TRIM(
              SPLIT('Final Report'!A1304, "","")
         "&amp;"   ),
            'URL Details'!A:B,
            2,
            FALSE
          ),
          """"
        )
      )
    )
  ),
  1,
  1
)
"),"")</f>
        <v/>
      </c>
      <c r="C1304" s="105" t="str">
        <f>IFERROR(__xludf.DUMMYFUNCTION("IFERROR(IF('Final Report'!A1304="""","""", TEXTJOIN(CHAR(10), TRUE, ARRAYFORMULA( ""• ""&amp; FILTER( TRIM(FLATTEN(SPLIT( REGEXREPLACE( SUBSTITUTE(TEXTJOIN("","", TRUE, IFERROR(ARRAYFORMULA(VLOOKUP(TRIM(SPLIT('Final Report'!A1304, "","")), 'URL Details'!A:D, "&amp;"4, FALSE)),"""") ), CHAR(10), "",""), ""\s*,\s*"", "",""), "",""))), TRIM(FLATTEN(SPLIT( REGEXREPLACE( SUBSTITUTE(TEXTJOIN("","", TRUE, IFERROR(ARRAYFORMULA(VLOOKUP(TRIM(SPLIT('Final Report'!A1304, "","")), 'URL Details'!A:D, 4, FALSE)),"""") ), CHAR(10),"&amp;" "",""), ""\s*,\s*"", "",""), "","")))&lt;&gt;"""" ) ) ) ),"""")
"),"")</f>
        <v/>
      </c>
      <c r="D1304" s="105"/>
      <c r="E1304" s="105"/>
      <c r="F1304" s="110" t="b">
        <v>0</v>
      </c>
      <c r="G1304" s="105" t="str">
        <f>IF(F1304=True, IFERROR(VLOOKUP(D1304, Repository!A:B, 2, 0), ""), "")</f>
        <v/>
      </c>
      <c r="H1304" s="105"/>
      <c r="I1304" s="105"/>
      <c r="J1304" s="105" t="str">
        <f>IF(F1304=True, IFERROR(VLOOKUP(D1304, Repository!A:C, 3, 0), ""), "")</f>
        <v/>
      </c>
      <c r="K1304" s="105"/>
      <c r="L1304" s="105" t="str">
        <f>IF(F1304=True, IFERROR(VLOOKUP(D1304, Repository!A:E, 5, 0), ""), "")</f>
        <v/>
      </c>
      <c r="M1304" s="105"/>
      <c r="N1304" s="105" t="str">
        <f>IF(F1304=True, IFERROR(VLOOKUP(D1304, Repository!A:G, 7, 0), ""), "")</f>
        <v/>
      </c>
      <c r="O1304" s="105" t="str">
        <f>IFERROR(__xludf.DUMMYFUNCTION("ARRAY_CONSTRAIN(
  ARRAYFORMULA(
    IFERROR(
      LET(
        list, N1304,
        arr, TRIM(SPLIT(list, "","")),
        names, XLOOKUP(
          arr,
          'Conformance Score'!A:A,
          'Conformance Score'!B:B,
          ""Not found""
     "&amp;"   ),
        TEXTJOIN("", "", TRUE, names)
      ),
      """"
    )
  ),
  1,
  1
)
"),"")</f>
        <v/>
      </c>
      <c r="P1304" s="105" t="str">
        <f>IF(F1304="Yes", IFERROR(VLOOKUP(D1304, Repository!A:F, 6, 0), ""), "")</f>
        <v/>
      </c>
      <c r="Q1304" s="105" t="str">
        <f>IF(F1304="Yes", IFERROR(VLOOKUP(D1304, Repository!A:I, 8, 0), ""), "")</f>
        <v/>
      </c>
      <c r="R1304" s="105" t="str">
        <f>IF(F1304="Yes", IFERROR(VLOOKUP(D1304, Repository!A:J, 9, 0), ""), "")</f>
        <v/>
      </c>
      <c r="S1304" s="105"/>
      <c r="T1304" s="105"/>
      <c r="U1304" s="105"/>
      <c r="V1304" s="105"/>
      <c r="W1304" s="105"/>
      <c r="X1304" s="105"/>
      <c r="Y1304" s="105"/>
      <c r="Z1304" s="105"/>
      <c r="AA1304" s="105"/>
      <c r="AB1304" s="105"/>
      <c r="AC1304" s="91"/>
      <c r="AD1304" s="105"/>
      <c r="AE1304" s="105"/>
      <c r="AF1304" s="91"/>
      <c r="AG1304" s="105"/>
      <c r="AH1304" s="105"/>
      <c r="AI1304" s="105" t="str">
        <f t="shared" si="1"/>
        <v/>
      </c>
      <c r="AJ1304" s="108" t="str">
        <f t="shared" si="2"/>
        <v/>
      </c>
    </row>
    <row r="1305" ht="15.75" customHeight="1">
      <c r="A1305" s="104"/>
      <c r="B1305" s="105" t="str">
        <f>IFERROR(__xludf.DUMMYFUNCTION("ARRAY_CONSTRAIN(
  ARRAYFORMULA(
    IF(
      'Final Report'!A1305="""",
      """",
      TEXTJOIN(
        "", "" &amp; CHAR(10),
        TRUE,
        IFERROR(
          VLOOKUP(
            TRIM(
              SPLIT('Final Report'!A1305, "","")
         "&amp;"   ),
            'URL Details'!A:B,
            2,
            FALSE
          ),
          """"
        )
      )
    )
  ),
  1,
  1
)
"),"")</f>
        <v/>
      </c>
      <c r="C1305" s="105" t="str">
        <f>IFERROR(__xludf.DUMMYFUNCTION("IFERROR(IF('Final Report'!A1305="""","""", TEXTJOIN(CHAR(10), TRUE, ARRAYFORMULA( ""• ""&amp; FILTER( TRIM(FLATTEN(SPLIT( REGEXREPLACE( SUBSTITUTE(TEXTJOIN("","", TRUE, IFERROR(ARRAYFORMULA(VLOOKUP(TRIM(SPLIT('Final Report'!A1305, "","")), 'URL Details'!A:D, "&amp;"4, FALSE)),"""") ), CHAR(10), "",""), ""\s*,\s*"", "",""), "",""))), TRIM(FLATTEN(SPLIT( REGEXREPLACE( SUBSTITUTE(TEXTJOIN("","", TRUE, IFERROR(ARRAYFORMULA(VLOOKUP(TRIM(SPLIT('Final Report'!A1305, "","")), 'URL Details'!A:D, 4, FALSE)),"""") ), CHAR(10),"&amp;" "",""), ""\s*,\s*"", "",""), "","")))&lt;&gt;"""" ) ) ) ),"""")
"),"")</f>
        <v/>
      </c>
      <c r="D1305" s="105"/>
      <c r="E1305" s="105"/>
      <c r="F1305" s="110" t="b">
        <v>0</v>
      </c>
      <c r="G1305" s="105" t="str">
        <f>IF(F1305=True, IFERROR(VLOOKUP(D1305, Repository!A:B, 2, 0), ""), "")</f>
        <v/>
      </c>
      <c r="H1305" s="105"/>
      <c r="I1305" s="105"/>
      <c r="J1305" s="105" t="str">
        <f>IF(F1305=True, IFERROR(VLOOKUP(D1305, Repository!A:C, 3, 0), ""), "")</f>
        <v/>
      </c>
      <c r="K1305" s="105"/>
      <c r="L1305" s="105" t="str">
        <f>IF(F1305=True, IFERROR(VLOOKUP(D1305, Repository!A:E, 5, 0), ""), "")</f>
        <v/>
      </c>
      <c r="M1305" s="105"/>
      <c r="N1305" s="105" t="str">
        <f>IF(F1305=True, IFERROR(VLOOKUP(D1305, Repository!A:G, 7, 0), ""), "")</f>
        <v/>
      </c>
      <c r="O1305" s="105" t="str">
        <f>IFERROR(__xludf.DUMMYFUNCTION("ARRAY_CONSTRAIN(
  ARRAYFORMULA(
    IFERROR(
      LET(
        list, N1305,
        arr, TRIM(SPLIT(list, "","")),
        names, XLOOKUP(
          arr,
          'Conformance Score'!A:A,
          'Conformance Score'!B:B,
          ""Not found""
     "&amp;"   ),
        TEXTJOIN("", "", TRUE, names)
      ),
      """"
    )
  ),
  1,
  1
)
"),"")</f>
        <v/>
      </c>
      <c r="P1305" s="105" t="str">
        <f>IF(F1305="Yes", IFERROR(VLOOKUP(D1305, Repository!A:F, 6, 0), ""), "")</f>
        <v/>
      </c>
      <c r="Q1305" s="105" t="str">
        <f>IF(F1305="Yes", IFERROR(VLOOKUP(D1305, Repository!A:I, 8, 0), ""), "")</f>
        <v/>
      </c>
      <c r="R1305" s="105" t="str">
        <f>IF(F1305="Yes", IFERROR(VLOOKUP(D1305, Repository!A:J, 9, 0), ""), "")</f>
        <v/>
      </c>
      <c r="S1305" s="105"/>
      <c r="T1305" s="105"/>
      <c r="U1305" s="105"/>
      <c r="V1305" s="105"/>
      <c r="W1305" s="105"/>
      <c r="X1305" s="105"/>
      <c r="Y1305" s="105"/>
      <c r="Z1305" s="105"/>
      <c r="AA1305" s="105"/>
      <c r="AB1305" s="105"/>
      <c r="AC1305" s="91"/>
      <c r="AD1305" s="105"/>
      <c r="AE1305" s="105"/>
      <c r="AF1305" s="91"/>
      <c r="AG1305" s="105"/>
      <c r="AH1305" s="105"/>
      <c r="AI1305" s="105" t="str">
        <f t="shared" si="1"/>
        <v/>
      </c>
      <c r="AJ1305" s="108" t="str">
        <f t="shared" si="2"/>
        <v/>
      </c>
    </row>
    <row r="1306" ht="15.75" customHeight="1">
      <c r="A1306" s="104"/>
      <c r="B1306" s="105" t="str">
        <f>IFERROR(__xludf.DUMMYFUNCTION("ARRAY_CONSTRAIN(
  ARRAYFORMULA(
    IF(
      'Final Report'!A1306="""",
      """",
      TEXTJOIN(
        "", "" &amp; CHAR(10),
        TRUE,
        IFERROR(
          VLOOKUP(
            TRIM(
              SPLIT('Final Report'!A1306, "","")
         "&amp;"   ),
            'URL Details'!A:B,
            2,
            FALSE
          ),
          """"
        )
      )
    )
  ),
  1,
  1
)
"),"")</f>
        <v/>
      </c>
      <c r="C1306" s="105" t="str">
        <f>IFERROR(__xludf.DUMMYFUNCTION("IFERROR(IF('Final Report'!A1306="""","""", TEXTJOIN(CHAR(10), TRUE, ARRAYFORMULA( ""• ""&amp; FILTER( TRIM(FLATTEN(SPLIT( REGEXREPLACE( SUBSTITUTE(TEXTJOIN("","", TRUE, IFERROR(ARRAYFORMULA(VLOOKUP(TRIM(SPLIT('Final Report'!A1306, "","")), 'URL Details'!A:D, "&amp;"4, FALSE)),"""") ), CHAR(10), "",""), ""\s*,\s*"", "",""), "",""))), TRIM(FLATTEN(SPLIT( REGEXREPLACE( SUBSTITUTE(TEXTJOIN("","", TRUE, IFERROR(ARRAYFORMULA(VLOOKUP(TRIM(SPLIT('Final Report'!A1306, "","")), 'URL Details'!A:D, 4, FALSE)),"""") ), CHAR(10),"&amp;" "",""), ""\s*,\s*"", "",""), "","")))&lt;&gt;"""" ) ) ) ),"""")
"),"")</f>
        <v/>
      </c>
      <c r="D1306" s="105"/>
      <c r="E1306" s="105"/>
      <c r="F1306" s="110" t="b">
        <v>0</v>
      </c>
      <c r="G1306" s="105" t="str">
        <f>IF(F1306=True, IFERROR(VLOOKUP(D1306, Repository!A:B, 2, 0), ""), "")</f>
        <v/>
      </c>
      <c r="H1306" s="105"/>
      <c r="I1306" s="105"/>
      <c r="J1306" s="105" t="str">
        <f>IF(F1306=True, IFERROR(VLOOKUP(D1306, Repository!A:C, 3, 0), ""), "")</f>
        <v/>
      </c>
      <c r="K1306" s="105"/>
      <c r="L1306" s="105" t="str">
        <f>IF(F1306=True, IFERROR(VLOOKUP(D1306, Repository!A:E, 5, 0), ""), "")</f>
        <v/>
      </c>
      <c r="M1306" s="105"/>
      <c r="N1306" s="105" t="str">
        <f>IF(F1306=True, IFERROR(VLOOKUP(D1306, Repository!A:G, 7, 0), ""), "")</f>
        <v/>
      </c>
      <c r="O1306" s="105" t="str">
        <f>IFERROR(__xludf.DUMMYFUNCTION("ARRAY_CONSTRAIN(
  ARRAYFORMULA(
    IFERROR(
      LET(
        list, N1306,
        arr, TRIM(SPLIT(list, "","")),
        names, XLOOKUP(
          arr,
          'Conformance Score'!A:A,
          'Conformance Score'!B:B,
          ""Not found""
     "&amp;"   ),
        TEXTJOIN("", "", TRUE, names)
      ),
      """"
    )
  ),
  1,
  1
)
"),"")</f>
        <v/>
      </c>
      <c r="P1306" s="105" t="str">
        <f>IF(F1306="Yes", IFERROR(VLOOKUP(D1306, Repository!A:F, 6, 0), ""), "")</f>
        <v/>
      </c>
      <c r="Q1306" s="105" t="str">
        <f>IF(F1306="Yes", IFERROR(VLOOKUP(D1306, Repository!A:I, 8, 0), ""), "")</f>
        <v/>
      </c>
      <c r="R1306" s="105" t="str">
        <f>IF(F1306="Yes", IFERROR(VLOOKUP(D1306, Repository!A:J, 9, 0), ""), "")</f>
        <v/>
      </c>
      <c r="S1306" s="105"/>
      <c r="T1306" s="105"/>
      <c r="U1306" s="105"/>
      <c r="V1306" s="105"/>
      <c r="W1306" s="105"/>
      <c r="X1306" s="105"/>
      <c r="Y1306" s="105"/>
      <c r="Z1306" s="105"/>
      <c r="AA1306" s="105"/>
      <c r="AB1306" s="105"/>
      <c r="AC1306" s="91"/>
      <c r="AD1306" s="105"/>
      <c r="AE1306" s="105"/>
      <c r="AF1306" s="91"/>
      <c r="AG1306" s="105"/>
      <c r="AH1306" s="105"/>
      <c r="AI1306" s="105" t="str">
        <f t="shared" si="1"/>
        <v/>
      </c>
      <c r="AJ1306" s="108" t="str">
        <f t="shared" si="2"/>
        <v/>
      </c>
    </row>
    <row r="1307" ht="15.75" customHeight="1">
      <c r="A1307" s="104"/>
      <c r="B1307" s="105" t="str">
        <f>IFERROR(__xludf.DUMMYFUNCTION("ARRAY_CONSTRAIN(
  ARRAYFORMULA(
    IF(
      'Final Report'!A1307="""",
      """",
      TEXTJOIN(
        "", "" &amp; CHAR(10),
        TRUE,
        IFERROR(
          VLOOKUP(
            TRIM(
              SPLIT('Final Report'!A1307, "","")
         "&amp;"   ),
            'URL Details'!A:B,
            2,
            FALSE
          ),
          """"
        )
      )
    )
  ),
  1,
  1
)
"),"")</f>
        <v/>
      </c>
      <c r="C1307" s="105" t="str">
        <f>IFERROR(__xludf.DUMMYFUNCTION("IFERROR(IF('Final Report'!A1307="""","""", TEXTJOIN(CHAR(10), TRUE, ARRAYFORMULA( ""• ""&amp; FILTER( TRIM(FLATTEN(SPLIT( REGEXREPLACE( SUBSTITUTE(TEXTJOIN("","", TRUE, IFERROR(ARRAYFORMULA(VLOOKUP(TRIM(SPLIT('Final Report'!A1307, "","")), 'URL Details'!A:D, "&amp;"4, FALSE)),"""") ), CHAR(10), "",""), ""\s*,\s*"", "",""), "",""))), TRIM(FLATTEN(SPLIT( REGEXREPLACE( SUBSTITUTE(TEXTJOIN("","", TRUE, IFERROR(ARRAYFORMULA(VLOOKUP(TRIM(SPLIT('Final Report'!A1307, "","")), 'URL Details'!A:D, 4, FALSE)),"""") ), CHAR(10),"&amp;" "",""), ""\s*,\s*"", "",""), "","")))&lt;&gt;"""" ) ) ) ),"""")
"),"")</f>
        <v/>
      </c>
      <c r="D1307" s="105"/>
      <c r="E1307" s="105"/>
      <c r="F1307" s="110" t="b">
        <v>0</v>
      </c>
      <c r="G1307" s="105" t="str">
        <f>IF(F1307=True, IFERROR(VLOOKUP(D1307, Repository!A:B, 2, 0), ""), "")</f>
        <v/>
      </c>
      <c r="H1307" s="105"/>
      <c r="I1307" s="105"/>
      <c r="J1307" s="105" t="str">
        <f>IF(F1307=True, IFERROR(VLOOKUP(D1307, Repository!A:C, 3, 0), ""), "")</f>
        <v/>
      </c>
      <c r="K1307" s="105"/>
      <c r="L1307" s="105" t="str">
        <f>IF(F1307=True, IFERROR(VLOOKUP(D1307, Repository!A:E, 5, 0), ""), "")</f>
        <v/>
      </c>
      <c r="M1307" s="105"/>
      <c r="N1307" s="105" t="str">
        <f>IF(F1307=True, IFERROR(VLOOKUP(D1307, Repository!A:G, 7, 0), ""), "")</f>
        <v/>
      </c>
      <c r="O1307" s="105" t="str">
        <f>IFERROR(__xludf.DUMMYFUNCTION("ARRAY_CONSTRAIN(
  ARRAYFORMULA(
    IFERROR(
      LET(
        list, N1307,
        arr, TRIM(SPLIT(list, "","")),
        names, XLOOKUP(
          arr,
          'Conformance Score'!A:A,
          'Conformance Score'!B:B,
          ""Not found""
     "&amp;"   ),
        TEXTJOIN("", "", TRUE, names)
      ),
      """"
    )
  ),
  1,
  1
)
"),"")</f>
        <v/>
      </c>
      <c r="P1307" s="105" t="str">
        <f>IF(F1307="Yes", IFERROR(VLOOKUP(D1307, Repository!A:F, 6, 0), ""), "")</f>
        <v/>
      </c>
      <c r="Q1307" s="105" t="str">
        <f>IF(F1307="Yes", IFERROR(VLOOKUP(D1307, Repository!A:I, 8, 0), ""), "")</f>
        <v/>
      </c>
      <c r="R1307" s="105" t="str">
        <f>IF(F1307="Yes", IFERROR(VLOOKUP(D1307, Repository!A:J, 9, 0), ""), "")</f>
        <v/>
      </c>
      <c r="S1307" s="105"/>
      <c r="T1307" s="105"/>
      <c r="U1307" s="105"/>
      <c r="V1307" s="105"/>
      <c r="W1307" s="105"/>
      <c r="X1307" s="105"/>
      <c r="Y1307" s="105"/>
      <c r="Z1307" s="105"/>
      <c r="AA1307" s="105"/>
      <c r="AB1307" s="105"/>
      <c r="AC1307" s="91"/>
      <c r="AD1307" s="105"/>
      <c r="AE1307" s="105"/>
      <c r="AF1307" s="91"/>
      <c r="AG1307" s="105"/>
      <c r="AH1307" s="105"/>
      <c r="AI1307" s="105" t="str">
        <f t="shared" si="1"/>
        <v/>
      </c>
      <c r="AJ1307" s="108" t="str">
        <f t="shared" si="2"/>
        <v/>
      </c>
    </row>
    <row r="1308" ht="15.75" customHeight="1">
      <c r="A1308" s="104"/>
      <c r="B1308" s="105" t="str">
        <f>IFERROR(__xludf.DUMMYFUNCTION("ARRAY_CONSTRAIN(
  ARRAYFORMULA(
    IF(
      'Final Report'!A1308="""",
      """",
      TEXTJOIN(
        "", "" &amp; CHAR(10),
        TRUE,
        IFERROR(
          VLOOKUP(
            TRIM(
              SPLIT('Final Report'!A1308, "","")
         "&amp;"   ),
            'URL Details'!A:B,
            2,
            FALSE
          ),
          """"
        )
      )
    )
  ),
  1,
  1
)
"),"")</f>
        <v/>
      </c>
      <c r="C1308" s="105" t="str">
        <f>IFERROR(__xludf.DUMMYFUNCTION("IFERROR(IF('Final Report'!A1308="""","""", TEXTJOIN(CHAR(10), TRUE, ARRAYFORMULA( ""• ""&amp; FILTER( TRIM(FLATTEN(SPLIT( REGEXREPLACE( SUBSTITUTE(TEXTJOIN("","", TRUE, IFERROR(ARRAYFORMULA(VLOOKUP(TRIM(SPLIT('Final Report'!A1308, "","")), 'URL Details'!A:D, "&amp;"4, FALSE)),"""") ), CHAR(10), "",""), ""\s*,\s*"", "",""), "",""))), TRIM(FLATTEN(SPLIT( REGEXREPLACE( SUBSTITUTE(TEXTJOIN("","", TRUE, IFERROR(ARRAYFORMULA(VLOOKUP(TRIM(SPLIT('Final Report'!A1308, "","")), 'URL Details'!A:D, 4, FALSE)),"""") ), CHAR(10),"&amp;" "",""), ""\s*,\s*"", "",""), "","")))&lt;&gt;"""" ) ) ) ),"""")
"),"")</f>
        <v/>
      </c>
      <c r="D1308" s="105"/>
      <c r="E1308" s="105"/>
      <c r="F1308" s="110" t="b">
        <v>0</v>
      </c>
      <c r="G1308" s="105" t="str">
        <f>IF(F1308=True, IFERROR(VLOOKUP(D1308, Repository!A:B, 2, 0), ""), "")</f>
        <v/>
      </c>
      <c r="H1308" s="105"/>
      <c r="I1308" s="105"/>
      <c r="J1308" s="105" t="str">
        <f>IF(F1308=True, IFERROR(VLOOKUP(D1308, Repository!A:C, 3, 0), ""), "")</f>
        <v/>
      </c>
      <c r="K1308" s="105"/>
      <c r="L1308" s="105" t="str">
        <f>IF(F1308=True, IFERROR(VLOOKUP(D1308, Repository!A:E, 5, 0), ""), "")</f>
        <v/>
      </c>
      <c r="M1308" s="105"/>
      <c r="N1308" s="105" t="str">
        <f>IF(F1308=True, IFERROR(VLOOKUP(D1308, Repository!A:G, 7, 0), ""), "")</f>
        <v/>
      </c>
      <c r="O1308" s="105" t="str">
        <f>IFERROR(__xludf.DUMMYFUNCTION("ARRAY_CONSTRAIN(
  ARRAYFORMULA(
    IFERROR(
      LET(
        list, N1308,
        arr, TRIM(SPLIT(list, "","")),
        names, XLOOKUP(
          arr,
          'Conformance Score'!A:A,
          'Conformance Score'!B:B,
          ""Not found""
     "&amp;"   ),
        TEXTJOIN("", "", TRUE, names)
      ),
      """"
    )
  ),
  1,
  1
)
"),"")</f>
        <v/>
      </c>
      <c r="P1308" s="105" t="str">
        <f>IF(F1308="Yes", IFERROR(VLOOKUP(D1308, Repository!A:F, 6, 0), ""), "")</f>
        <v/>
      </c>
      <c r="Q1308" s="105" t="str">
        <f>IF(F1308="Yes", IFERROR(VLOOKUP(D1308, Repository!A:I, 8, 0), ""), "")</f>
        <v/>
      </c>
      <c r="R1308" s="105" t="str">
        <f>IF(F1308="Yes", IFERROR(VLOOKUP(D1308, Repository!A:J, 9, 0), ""), "")</f>
        <v/>
      </c>
      <c r="S1308" s="105"/>
      <c r="T1308" s="105"/>
      <c r="U1308" s="105"/>
      <c r="V1308" s="105"/>
      <c r="W1308" s="105"/>
      <c r="X1308" s="105"/>
      <c r="Y1308" s="105"/>
      <c r="Z1308" s="105"/>
      <c r="AA1308" s="105"/>
      <c r="AB1308" s="105"/>
      <c r="AC1308" s="91"/>
      <c r="AD1308" s="105"/>
      <c r="AE1308" s="105"/>
      <c r="AF1308" s="91"/>
      <c r="AG1308" s="105"/>
      <c r="AH1308" s="105"/>
      <c r="AI1308" s="105" t="str">
        <f t="shared" si="1"/>
        <v/>
      </c>
      <c r="AJ1308" s="108" t="str">
        <f t="shared" si="2"/>
        <v/>
      </c>
    </row>
    <row r="1309" ht="15.75" customHeight="1">
      <c r="A1309" s="104"/>
      <c r="B1309" s="105" t="str">
        <f>IFERROR(__xludf.DUMMYFUNCTION("ARRAY_CONSTRAIN(
  ARRAYFORMULA(
    IF(
      'Final Report'!A1309="""",
      """",
      TEXTJOIN(
        "", "" &amp; CHAR(10),
        TRUE,
        IFERROR(
          VLOOKUP(
            TRIM(
              SPLIT('Final Report'!A1309, "","")
         "&amp;"   ),
            'URL Details'!A:B,
            2,
            FALSE
          ),
          """"
        )
      )
    )
  ),
  1,
  1
)
"),"")</f>
        <v/>
      </c>
      <c r="C1309" s="105" t="str">
        <f>IFERROR(__xludf.DUMMYFUNCTION("IFERROR(IF('Final Report'!A1309="""","""", TEXTJOIN(CHAR(10), TRUE, ARRAYFORMULA( ""• ""&amp; FILTER( TRIM(FLATTEN(SPLIT( REGEXREPLACE( SUBSTITUTE(TEXTJOIN("","", TRUE, IFERROR(ARRAYFORMULA(VLOOKUP(TRIM(SPLIT('Final Report'!A1309, "","")), 'URL Details'!A:D, "&amp;"4, FALSE)),"""") ), CHAR(10), "",""), ""\s*,\s*"", "",""), "",""))), TRIM(FLATTEN(SPLIT( REGEXREPLACE( SUBSTITUTE(TEXTJOIN("","", TRUE, IFERROR(ARRAYFORMULA(VLOOKUP(TRIM(SPLIT('Final Report'!A1309, "","")), 'URL Details'!A:D, 4, FALSE)),"""") ), CHAR(10),"&amp;" "",""), ""\s*,\s*"", "",""), "","")))&lt;&gt;"""" ) ) ) ),"""")
"),"")</f>
        <v/>
      </c>
      <c r="D1309" s="105"/>
      <c r="E1309" s="105"/>
      <c r="F1309" s="110" t="b">
        <v>0</v>
      </c>
      <c r="G1309" s="105" t="str">
        <f>IF(F1309=True, IFERROR(VLOOKUP(D1309, Repository!A:B, 2, 0), ""), "")</f>
        <v/>
      </c>
      <c r="H1309" s="105"/>
      <c r="I1309" s="105"/>
      <c r="J1309" s="105" t="str">
        <f>IF(F1309=True, IFERROR(VLOOKUP(D1309, Repository!A:C, 3, 0), ""), "")</f>
        <v/>
      </c>
      <c r="K1309" s="105"/>
      <c r="L1309" s="105" t="str">
        <f>IF(F1309=True, IFERROR(VLOOKUP(D1309, Repository!A:E, 5, 0), ""), "")</f>
        <v/>
      </c>
      <c r="M1309" s="105"/>
      <c r="N1309" s="105" t="str">
        <f>IF(F1309=True, IFERROR(VLOOKUP(D1309, Repository!A:G, 7, 0), ""), "")</f>
        <v/>
      </c>
      <c r="O1309" s="105" t="str">
        <f>IFERROR(__xludf.DUMMYFUNCTION("ARRAY_CONSTRAIN(
  ARRAYFORMULA(
    IFERROR(
      LET(
        list, N1309,
        arr, TRIM(SPLIT(list, "","")),
        names, XLOOKUP(
          arr,
          'Conformance Score'!A:A,
          'Conformance Score'!B:B,
          ""Not found""
     "&amp;"   ),
        TEXTJOIN("", "", TRUE, names)
      ),
      """"
    )
  ),
  1,
  1
)
"),"")</f>
        <v/>
      </c>
      <c r="P1309" s="105" t="str">
        <f>IF(F1309="Yes", IFERROR(VLOOKUP(D1309, Repository!A:F, 6, 0), ""), "")</f>
        <v/>
      </c>
      <c r="Q1309" s="105" t="str">
        <f>IF(F1309="Yes", IFERROR(VLOOKUP(D1309, Repository!A:I, 8, 0), ""), "")</f>
        <v/>
      </c>
      <c r="R1309" s="105" t="str">
        <f>IF(F1309="Yes", IFERROR(VLOOKUP(D1309, Repository!A:J, 9, 0), ""), "")</f>
        <v/>
      </c>
      <c r="S1309" s="105"/>
      <c r="T1309" s="105"/>
      <c r="U1309" s="105"/>
      <c r="V1309" s="105"/>
      <c r="W1309" s="105"/>
      <c r="X1309" s="105"/>
      <c r="Y1309" s="105"/>
      <c r="Z1309" s="105"/>
      <c r="AA1309" s="105"/>
      <c r="AB1309" s="105"/>
      <c r="AC1309" s="91"/>
      <c r="AD1309" s="105"/>
      <c r="AE1309" s="105"/>
      <c r="AF1309" s="91"/>
      <c r="AG1309" s="105"/>
      <c r="AH1309" s="105"/>
      <c r="AI1309" s="105" t="str">
        <f t="shared" si="1"/>
        <v/>
      </c>
      <c r="AJ1309" s="108" t="str">
        <f t="shared" si="2"/>
        <v/>
      </c>
    </row>
    <row r="1310" ht="15.75" customHeight="1">
      <c r="A1310" s="104"/>
      <c r="B1310" s="105" t="str">
        <f>IFERROR(__xludf.DUMMYFUNCTION("ARRAY_CONSTRAIN(
  ARRAYFORMULA(
    IF(
      'Final Report'!A1310="""",
      """",
      TEXTJOIN(
        "", "" &amp; CHAR(10),
        TRUE,
        IFERROR(
          VLOOKUP(
            TRIM(
              SPLIT('Final Report'!A1310, "","")
         "&amp;"   ),
            'URL Details'!A:B,
            2,
            FALSE
          ),
          """"
        )
      )
    )
  ),
  1,
  1
)
"),"")</f>
        <v/>
      </c>
      <c r="C1310" s="105" t="str">
        <f>IFERROR(__xludf.DUMMYFUNCTION("IFERROR(IF('Final Report'!A1310="""","""", TEXTJOIN(CHAR(10), TRUE, ARRAYFORMULA( ""• ""&amp; FILTER( TRIM(FLATTEN(SPLIT( REGEXREPLACE( SUBSTITUTE(TEXTJOIN("","", TRUE, IFERROR(ARRAYFORMULA(VLOOKUP(TRIM(SPLIT('Final Report'!A1310, "","")), 'URL Details'!A:D, "&amp;"4, FALSE)),"""") ), CHAR(10), "",""), ""\s*,\s*"", "",""), "",""))), TRIM(FLATTEN(SPLIT( REGEXREPLACE( SUBSTITUTE(TEXTJOIN("","", TRUE, IFERROR(ARRAYFORMULA(VLOOKUP(TRIM(SPLIT('Final Report'!A1310, "","")), 'URL Details'!A:D, 4, FALSE)),"""") ), CHAR(10),"&amp;" "",""), ""\s*,\s*"", "",""), "","")))&lt;&gt;"""" ) ) ) ),"""")
"),"")</f>
        <v/>
      </c>
      <c r="D1310" s="105"/>
      <c r="E1310" s="105"/>
      <c r="F1310" s="110" t="b">
        <v>0</v>
      </c>
      <c r="G1310" s="105" t="str">
        <f>IF(F1310=True, IFERROR(VLOOKUP(D1310, Repository!A:B, 2, 0), ""), "")</f>
        <v/>
      </c>
      <c r="H1310" s="105"/>
      <c r="I1310" s="105"/>
      <c r="J1310" s="105" t="str">
        <f>IF(F1310=True, IFERROR(VLOOKUP(D1310, Repository!A:C, 3, 0), ""), "")</f>
        <v/>
      </c>
      <c r="K1310" s="105"/>
      <c r="L1310" s="105" t="str">
        <f>IF(F1310=True, IFERROR(VLOOKUP(D1310, Repository!A:E, 5, 0), ""), "")</f>
        <v/>
      </c>
      <c r="M1310" s="105"/>
      <c r="N1310" s="105" t="str">
        <f>IF(F1310=True, IFERROR(VLOOKUP(D1310, Repository!A:G, 7, 0), ""), "")</f>
        <v/>
      </c>
      <c r="O1310" s="105" t="str">
        <f>IFERROR(__xludf.DUMMYFUNCTION("ARRAY_CONSTRAIN(
  ARRAYFORMULA(
    IFERROR(
      LET(
        list, N1310,
        arr, TRIM(SPLIT(list, "","")),
        names, XLOOKUP(
          arr,
          'Conformance Score'!A:A,
          'Conformance Score'!B:B,
          ""Not found""
     "&amp;"   ),
        TEXTJOIN("", "", TRUE, names)
      ),
      """"
    )
  ),
  1,
  1
)
"),"")</f>
        <v/>
      </c>
      <c r="P1310" s="105" t="str">
        <f>IF(F1310="Yes", IFERROR(VLOOKUP(D1310, Repository!A:F, 6, 0), ""), "")</f>
        <v/>
      </c>
      <c r="Q1310" s="105" t="str">
        <f>IF(F1310="Yes", IFERROR(VLOOKUP(D1310, Repository!A:I, 8, 0), ""), "")</f>
        <v/>
      </c>
      <c r="R1310" s="105" t="str">
        <f>IF(F1310="Yes", IFERROR(VLOOKUP(D1310, Repository!A:J, 9, 0), ""), "")</f>
        <v/>
      </c>
      <c r="S1310" s="105"/>
      <c r="T1310" s="105"/>
      <c r="U1310" s="105"/>
      <c r="V1310" s="105"/>
      <c r="W1310" s="105"/>
      <c r="X1310" s="105"/>
      <c r="Y1310" s="105"/>
      <c r="Z1310" s="105"/>
      <c r="AA1310" s="105"/>
      <c r="AB1310" s="105"/>
      <c r="AC1310" s="91"/>
      <c r="AD1310" s="105"/>
      <c r="AE1310" s="105"/>
      <c r="AF1310" s="91"/>
      <c r="AG1310" s="105"/>
      <c r="AH1310" s="105"/>
      <c r="AI1310" s="105" t="str">
        <f t="shared" si="1"/>
        <v/>
      </c>
      <c r="AJ1310" s="108" t="str">
        <f t="shared" si="2"/>
        <v/>
      </c>
    </row>
    <row r="1311" ht="15.75" customHeight="1">
      <c r="A1311" s="104"/>
      <c r="B1311" s="105" t="str">
        <f>IFERROR(__xludf.DUMMYFUNCTION("ARRAY_CONSTRAIN(
  ARRAYFORMULA(
    IF(
      'Final Report'!A1311="""",
      """",
      TEXTJOIN(
        "", "" &amp; CHAR(10),
        TRUE,
        IFERROR(
          VLOOKUP(
            TRIM(
              SPLIT('Final Report'!A1311, "","")
         "&amp;"   ),
            'URL Details'!A:B,
            2,
            FALSE
          ),
          """"
        )
      )
    )
  ),
  1,
  1
)
"),"")</f>
        <v/>
      </c>
      <c r="C1311" s="105" t="str">
        <f>IFERROR(__xludf.DUMMYFUNCTION("IFERROR(IF('Final Report'!A1311="""","""", TEXTJOIN(CHAR(10), TRUE, ARRAYFORMULA( ""• ""&amp; FILTER( TRIM(FLATTEN(SPLIT( REGEXREPLACE( SUBSTITUTE(TEXTJOIN("","", TRUE, IFERROR(ARRAYFORMULA(VLOOKUP(TRIM(SPLIT('Final Report'!A1311, "","")), 'URL Details'!A:D, "&amp;"4, FALSE)),"""") ), CHAR(10), "",""), ""\s*,\s*"", "",""), "",""))), TRIM(FLATTEN(SPLIT( REGEXREPLACE( SUBSTITUTE(TEXTJOIN("","", TRUE, IFERROR(ARRAYFORMULA(VLOOKUP(TRIM(SPLIT('Final Report'!A1311, "","")), 'URL Details'!A:D, 4, FALSE)),"""") ), CHAR(10),"&amp;" "",""), ""\s*,\s*"", "",""), "","")))&lt;&gt;"""" ) ) ) ),"""")
"),"")</f>
        <v/>
      </c>
      <c r="D1311" s="105"/>
      <c r="E1311" s="105"/>
      <c r="F1311" s="110" t="b">
        <v>0</v>
      </c>
      <c r="G1311" s="105" t="str">
        <f>IF(F1311=True, IFERROR(VLOOKUP(D1311, Repository!A:B, 2, 0), ""), "")</f>
        <v/>
      </c>
      <c r="H1311" s="105"/>
      <c r="I1311" s="105"/>
      <c r="J1311" s="105" t="str">
        <f>IF(F1311=True, IFERROR(VLOOKUP(D1311, Repository!A:C, 3, 0), ""), "")</f>
        <v/>
      </c>
      <c r="K1311" s="105"/>
      <c r="L1311" s="105" t="str">
        <f>IF(F1311=True, IFERROR(VLOOKUP(D1311, Repository!A:E, 5, 0), ""), "")</f>
        <v/>
      </c>
      <c r="M1311" s="105"/>
      <c r="N1311" s="105" t="str">
        <f>IF(F1311=True, IFERROR(VLOOKUP(D1311, Repository!A:G, 7, 0), ""), "")</f>
        <v/>
      </c>
      <c r="O1311" s="105" t="str">
        <f>IFERROR(__xludf.DUMMYFUNCTION("ARRAY_CONSTRAIN(
  ARRAYFORMULA(
    IFERROR(
      LET(
        list, N1311,
        arr, TRIM(SPLIT(list, "","")),
        names, XLOOKUP(
          arr,
          'Conformance Score'!A:A,
          'Conformance Score'!B:B,
          ""Not found""
     "&amp;"   ),
        TEXTJOIN("", "", TRUE, names)
      ),
      """"
    )
  ),
  1,
  1
)
"),"")</f>
        <v/>
      </c>
      <c r="P1311" s="105" t="str">
        <f>IF(F1311="Yes", IFERROR(VLOOKUP(D1311, Repository!A:F, 6, 0), ""), "")</f>
        <v/>
      </c>
      <c r="Q1311" s="105" t="str">
        <f>IF(F1311="Yes", IFERROR(VLOOKUP(D1311, Repository!A:I, 8, 0), ""), "")</f>
        <v/>
      </c>
      <c r="R1311" s="105" t="str">
        <f>IF(F1311="Yes", IFERROR(VLOOKUP(D1311, Repository!A:J, 9, 0), ""), "")</f>
        <v/>
      </c>
      <c r="S1311" s="105"/>
      <c r="T1311" s="105"/>
      <c r="U1311" s="105"/>
      <c r="V1311" s="105"/>
      <c r="W1311" s="105"/>
      <c r="X1311" s="105"/>
      <c r="Y1311" s="105"/>
      <c r="Z1311" s="105"/>
      <c r="AA1311" s="105"/>
      <c r="AB1311" s="105"/>
      <c r="AC1311" s="91"/>
      <c r="AD1311" s="105"/>
      <c r="AE1311" s="105"/>
      <c r="AF1311" s="91"/>
      <c r="AG1311" s="105"/>
      <c r="AH1311" s="105"/>
      <c r="AI1311" s="105" t="str">
        <f t="shared" si="1"/>
        <v/>
      </c>
      <c r="AJ1311" s="108" t="str">
        <f t="shared" si="2"/>
        <v/>
      </c>
    </row>
    <row r="1312" ht="15.75" customHeight="1">
      <c r="A1312" s="104"/>
      <c r="B1312" s="105" t="str">
        <f>IFERROR(__xludf.DUMMYFUNCTION("ARRAY_CONSTRAIN(
  ARRAYFORMULA(
    IF(
      'Final Report'!A1312="""",
      """",
      TEXTJOIN(
        "", "" &amp; CHAR(10),
        TRUE,
        IFERROR(
          VLOOKUP(
            TRIM(
              SPLIT('Final Report'!A1312, "","")
         "&amp;"   ),
            'URL Details'!A:B,
            2,
            FALSE
          ),
          """"
        )
      )
    )
  ),
  1,
  1
)
"),"")</f>
        <v/>
      </c>
      <c r="C1312" s="105" t="str">
        <f>IFERROR(__xludf.DUMMYFUNCTION("IFERROR(IF('Final Report'!A1312="""","""", TEXTJOIN(CHAR(10), TRUE, ARRAYFORMULA( ""• ""&amp; FILTER( TRIM(FLATTEN(SPLIT( REGEXREPLACE( SUBSTITUTE(TEXTJOIN("","", TRUE, IFERROR(ARRAYFORMULA(VLOOKUP(TRIM(SPLIT('Final Report'!A1312, "","")), 'URL Details'!A:D, "&amp;"4, FALSE)),"""") ), CHAR(10), "",""), ""\s*,\s*"", "",""), "",""))), TRIM(FLATTEN(SPLIT( REGEXREPLACE( SUBSTITUTE(TEXTJOIN("","", TRUE, IFERROR(ARRAYFORMULA(VLOOKUP(TRIM(SPLIT('Final Report'!A1312, "","")), 'URL Details'!A:D, 4, FALSE)),"""") ), CHAR(10),"&amp;" "",""), ""\s*,\s*"", "",""), "","")))&lt;&gt;"""" ) ) ) ),"""")
"),"")</f>
        <v/>
      </c>
      <c r="D1312" s="105"/>
      <c r="E1312" s="105"/>
      <c r="F1312" s="110" t="b">
        <v>0</v>
      </c>
      <c r="G1312" s="105" t="str">
        <f>IF(F1312=True, IFERROR(VLOOKUP(D1312, Repository!A:B, 2, 0), ""), "")</f>
        <v/>
      </c>
      <c r="H1312" s="105"/>
      <c r="I1312" s="105"/>
      <c r="J1312" s="105" t="str">
        <f>IF(F1312=True, IFERROR(VLOOKUP(D1312, Repository!A:C, 3, 0), ""), "")</f>
        <v/>
      </c>
      <c r="K1312" s="105"/>
      <c r="L1312" s="105" t="str">
        <f>IF(F1312=True, IFERROR(VLOOKUP(D1312, Repository!A:E, 5, 0), ""), "")</f>
        <v/>
      </c>
      <c r="M1312" s="105"/>
      <c r="N1312" s="105" t="str">
        <f>IF(F1312=True, IFERROR(VLOOKUP(D1312, Repository!A:G, 7, 0), ""), "")</f>
        <v/>
      </c>
      <c r="O1312" s="105" t="str">
        <f>IFERROR(__xludf.DUMMYFUNCTION("ARRAY_CONSTRAIN(
  ARRAYFORMULA(
    IFERROR(
      LET(
        list, N1312,
        arr, TRIM(SPLIT(list, "","")),
        names, XLOOKUP(
          arr,
          'Conformance Score'!A:A,
          'Conformance Score'!B:B,
          ""Not found""
     "&amp;"   ),
        TEXTJOIN("", "", TRUE, names)
      ),
      """"
    )
  ),
  1,
  1
)
"),"")</f>
        <v/>
      </c>
      <c r="P1312" s="105" t="str">
        <f>IF(F1312="Yes", IFERROR(VLOOKUP(D1312, Repository!A:F, 6, 0), ""), "")</f>
        <v/>
      </c>
      <c r="Q1312" s="105" t="str">
        <f>IF(F1312="Yes", IFERROR(VLOOKUP(D1312, Repository!A:I, 8, 0), ""), "")</f>
        <v/>
      </c>
      <c r="R1312" s="105" t="str">
        <f>IF(F1312="Yes", IFERROR(VLOOKUP(D1312, Repository!A:J, 9, 0), ""), "")</f>
        <v/>
      </c>
      <c r="S1312" s="105"/>
      <c r="T1312" s="105"/>
      <c r="U1312" s="105"/>
      <c r="V1312" s="105"/>
      <c r="W1312" s="105"/>
      <c r="X1312" s="105"/>
      <c r="Y1312" s="105"/>
      <c r="Z1312" s="105"/>
      <c r="AA1312" s="105"/>
      <c r="AB1312" s="105"/>
      <c r="AC1312" s="91"/>
      <c r="AD1312" s="105"/>
      <c r="AE1312" s="105"/>
      <c r="AF1312" s="91"/>
      <c r="AG1312" s="105"/>
      <c r="AH1312" s="105"/>
      <c r="AI1312" s="105" t="str">
        <f t="shared" si="1"/>
        <v/>
      </c>
      <c r="AJ1312" s="108" t="str">
        <f t="shared" si="2"/>
        <v/>
      </c>
    </row>
    <row r="1313" ht="15.75" customHeight="1">
      <c r="A1313" s="104"/>
      <c r="B1313" s="105" t="str">
        <f>IFERROR(__xludf.DUMMYFUNCTION("ARRAY_CONSTRAIN(
  ARRAYFORMULA(
    IF(
      'Final Report'!A1313="""",
      """",
      TEXTJOIN(
        "", "" &amp; CHAR(10),
        TRUE,
        IFERROR(
          VLOOKUP(
            TRIM(
              SPLIT('Final Report'!A1313, "","")
         "&amp;"   ),
            'URL Details'!A:B,
            2,
            FALSE
          ),
          """"
        )
      )
    )
  ),
  1,
  1
)
"),"")</f>
        <v/>
      </c>
      <c r="C1313" s="105" t="str">
        <f>IFERROR(__xludf.DUMMYFUNCTION("IFERROR(IF('Final Report'!A1313="""","""", TEXTJOIN(CHAR(10), TRUE, ARRAYFORMULA( ""• ""&amp; FILTER( TRIM(FLATTEN(SPLIT( REGEXREPLACE( SUBSTITUTE(TEXTJOIN("","", TRUE, IFERROR(ARRAYFORMULA(VLOOKUP(TRIM(SPLIT('Final Report'!A1313, "","")), 'URL Details'!A:D, "&amp;"4, FALSE)),"""") ), CHAR(10), "",""), ""\s*,\s*"", "",""), "",""))), TRIM(FLATTEN(SPLIT( REGEXREPLACE( SUBSTITUTE(TEXTJOIN("","", TRUE, IFERROR(ARRAYFORMULA(VLOOKUP(TRIM(SPLIT('Final Report'!A1313, "","")), 'URL Details'!A:D, 4, FALSE)),"""") ), CHAR(10),"&amp;" "",""), ""\s*,\s*"", "",""), "","")))&lt;&gt;"""" ) ) ) ),"""")
"),"")</f>
        <v/>
      </c>
      <c r="D1313" s="105"/>
      <c r="E1313" s="105"/>
      <c r="F1313" s="110" t="b">
        <v>0</v>
      </c>
      <c r="G1313" s="105" t="str">
        <f>IF(F1313=True, IFERROR(VLOOKUP(D1313, Repository!A:B, 2, 0), ""), "")</f>
        <v/>
      </c>
      <c r="H1313" s="105"/>
      <c r="I1313" s="105"/>
      <c r="J1313" s="105" t="str">
        <f>IF(F1313=True, IFERROR(VLOOKUP(D1313, Repository!A:C, 3, 0), ""), "")</f>
        <v/>
      </c>
      <c r="K1313" s="105"/>
      <c r="L1313" s="105" t="str">
        <f>IF(F1313=True, IFERROR(VLOOKUP(D1313, Repository!A:E, 5, 0), ""), "")</f>
        <v/>
      </c>
      <c r="M1313" s="105"/>
      <c r="N1313" s="105" t="str">
        <f>IF(F1313=True, IFERROR(VLOOKUP(D1313, Repository!A:G, 7, 0), ""), "")</f>
        <v/>
      </c>
      <c r="O1313" s="105" t="str">
        <f>IFERROR(__xludf.DUMMYFUNCTION("ARRAY_CONSTRAIN(
  ARRAYFORMULA(
    IFERROR(
      LET(
        list, N1313,
        arr, TRIM(SPLIT(list, "","")),
        names, XLOOKUP(
          arr,
          'Conformance Score'!A:A,
          'Conformance Score'!B:B,
          ""Not found""
     "&amp;"   ),
        TEXTJOIN("", "", TRUE, names)
      ),
      """"
    )
  ),
  1,
  1
)
"),"")</f>
        <v/>
      </c>
      <c r="P1313" s="105" t="str">
        <f>IF(F1313="Yes", IFERROR(VLOOKUP(D1313, Repository!A:F, 6, 0), ""), "")</f>
        <v/>
      </c>
      <c r="Q1313" s="105" t="str">
        <f>IF(F1313="Yes", IFERROR(VLOOKUP(D1313, Repository!A:I, 8, 0), ""), "")</f>
        <v/>
      </c>
      <c r="R1313" s="105" t="str">
        <f>IF(F1313="Yes", IFERROR(VLOOKUP(D1313, Repository!A:J, 9, 0), ""), "")</f>
        <v/>
      </c>
      <c r="S1313" s="105"/>
      <c r="T1313" s="105"/>
      <c r="U1313" s="105"/>
      <c r="V1313" s="105"/>
      <c r="W1313" s="105"/>
      <c r="X1313" s="105"/>
      <c r="Y1313" s="105"/>
      <c r="Z1313" s="105"/>
      <c r="AA1313" s="105"/>
      <c r="AB1313" s="105"/>
      <c r="AC1313" s="91"/>
      <c r="AD1313" s="105"/>
      <c r="AE1313" s="105"/>
      <c r="AF1313" s="91"/>
      <c r="AG1313" s="105"/>
      <c r="AH1313" s="105"/>
      <c r="AI1313" s="105" t="str">
        <f t="shared" si="1"/>
        <v/>
      </c>
      <c r="AJ1313" s="108" t="str">
        <f t="shared" si="2"/>
        <v/>
      </c>
    </row>
    <row r="1314" ht="15.75" customHeight="1">
      <c r="A1314" s="104"/>
      <c r="B1314" s="105" t="str">
        <f>IFERROR(__xludf.DUMMYFUNCTION("ARRAY_CONSTRAIN(
  ARRAYFORMULA(
    IF(
      'Final Report'!A1314="""",
      """",
      TEXTJOIN(
        "", "" &amp; CHAR(10),
        TRUE,
        IFERROR(
          VLOOKUP(
            TRIM(
              SPLIT('Final Report'!A1314, "","")
         "&amp;"   ),
            'URL Details'!A:B,
            2,
            FALSE
          ),
          """"
        )
      )
    )
  ),
  1,
  1
)
"),"")</f>
        <v/>
      </c>
      <c r="C1314" s="105" t="str">
        <f>IFERROR(__xludf.DUMMYFUNCTION("IFERROR(IF('Final Report'!A1314="""","""", TEXTJOIN(CHAR(10), TRUE, ARRAYFORMULA( ""• ""&amp; FILTER( TRIM(FLATTEN(SPLIT( REGEXREPLACE( SUBSTITUTE(TEXTJOIN("","", TRUE, IFERROR(ARRAYFORMULA(VLOOKUP(TRIM(SPLIT('Final Report'!A1314, "","")), 'URL Details'!A:D, "&amp;"4, FALSE)),"""") ), CHAR(10), "",""), ""\s*,\s*"", "",""), "",""))), TRIM(FLATTEN(SPLIT( REGEXREPLACE( SUBSTITUTE(TEXTJOIN("","", TRUE, IFERROR(ARRAYFORMULA(VLOOKUP(TRIM(SPLIT('Final Report'!A1314, "","")), 'URL Details'!A:D, 4, FALSE)),"""") ), CHAR(10),"&amp;" "",""), ""\s*,\s*"", "",""), "","")))&lt;&gt;"""" ) ) ) ),"""")
"),"")</f>
        <v/>
      </c>
      <c r="D1314" s="105"/>
      <c r="E1314" s="105"/>
      <c r="F1314" s="110" t="b">
        <v>0</v>
      </c>
      <c r="G1314" s="105" t="str">
        <f>IF(F1314=True, IFERROR(VLOOKUP(D1314, Repository!A:B, 2, 0), ""), "")</f>
        <v/>
      </c>
      <c r="H1314" s="105"/>
      <c r="I1314" s="105"/>
      <c r="J1314" s="105" t="str">
        <f>IF(F1314=True, IFERROR(VLOOKUP(D1314, Repository!A:C, 3, 0), ""), "")</f>
        <v/>
      </c>
      <c r="K1314" s="105"/>
      <c r="L1314" s="105" t="str">
        <f>IF(F1314=True, IFERROR(VLOOKUP(D1314, Repository!A:E, 5, 0), ""), "")</f>
        <v/>
      </c>
      <c r="M1314" s="105"/>
      <c r="N1314" s="105" t="str">
        <f>IF(F1314=True, IFERROR(VLOOKUP(D1314, Repository!A:G, 7, 0), ""), "")</f>
        <v/>
      </c>
      <c r="O1314" s="105" t="str">
        <f>IFERROR(__xludf.DUMMYFUNCTION("ARRAY_CONSTRAIN(
  ARRAYFORMULA(
    IFERROR(
      LET(
        list, N1314,
        arr, TRIM(SPLIT(list, "","")),
        names, XLOOKUP(
          arr,
          'Conformance Score'!A:A,
          'Conformance Score'!B:B,
          ""Not found""
     "&amp;"   ),
        TEXTJOIN("", "", TRUE, names)
      ),
      """"
    )
  ),
  1,
  1
)
"),"")</f>
        <v/>
      </c>
      <c r="P1314" s="105" t="str">
        <f>IF(F1314="Yes", IFERROR(VLOOKUP(D1314, Repository!A:F, 6, 0), ""), "")</f>
        <v/>
      </c>
      <c r="Q1314" s="105" t="str">
        <f>IF(F1314="Yes", IFERROR(VLOOKUP(D1314, Repository!A:I, 8, 0), ""), "")</f>
        <v/>
      </c>
      <c r="R1314" s="105" t="str">
        <f>IF(F1314="Yes", IFERROR(VLOOKUP(D1314, Repository!A:J, 9, 0), ""), "")</f>
        <v/>
      </c>
      <c r="S1314" s="105"/>
      <c r="T1314" s="105"/>
      <c r="U1314" s="105"/>
      <c r="V1314" s="105"/>
      <c r="W1314" s="105"/>
      <c r="X1314" s="105"/>
      <c r="Y1314" s="105"/>
      <c r="Z1314" s="105"/>
      <c r="AA1314" s="105"/>
      <c r="AB1314" s="105"/>
      <c r="AC1314" s="91"/>
      <c r="AD1314" s="105"/>
      <c r="AE1314" s="105"/>
      <c r="AF1314" s="91"/>
      <c r="AG1314" s="105"/>
      <c r="AH1314" s="105"/>
      <c r="AI1314" s="105" t="str">
        <f t="shared" si="1"/>
        <v/>
      </c>
      <c r="AJ1314" s="108" t="str">
        <f t="shared" si="2"/>
        <v/>
      </c>
    </row>
    <row r="1315" ht="15.75" customHeight="1">
      <c r="A1315" s="104"/>
      <c r="B1315" s="105" t="str">
        <f>IFERROR(__xludf.DUMMYFUNCTION("ARRAY_CONSTRAIN(
  ARRAYFORMULA(
    IF(
      'Final Report'!A1315="""",
      """",
      TEXTJOIN(
        "", "" &amp; CHAR(10),
        TRUE,
        IFERROR(
          VLOOKUP(
            TRIM(
              SPLIT('Final Report'!A1315, "","")
         "&amp;"   ),
            'URL Details'!A:B,
            2,
            FALSE
          ),
          """"
        )
      )
    )
  ),
  1,
  1
)
"),"")</f>
        <v/>
      </c>
      <c r="C1315" s="105" t="str">
        <f>IFERROR(__xludf.DUMMYFUNCTION("IFERROR(IF('Final Report'!A1315="""","""", TEXTJOIN(CHAR(10), TRUE, ARRAYFORMULA( ""• ""&amp; FILTER( TRIM(FLATTEN(SPLIT( REGEXREPLACE( SUBSTITUTE(TEXTJOIN("","", TRUE, IFERROR(ARRAYFORMULA(VLOOKUP(TRIM(SPLIT('Final Report'!A1315, "","")), 'URL Details'!A:D, "&amp;"4, FALSE)),"""") ), CHAR(10), "",""), ""\s*,\s*"", "",""), "",""))), TRIM(FLATTEN(SPLIT( REGEXREPLACE( SUBSTITUTE(TEXTJOIN("","", TRUE, IFERROR(ARRAYFORMULA(VLOOKUP(TRIM(SPLIT('Final Report'!A1315, "","")), 'URL Details'!A:D, 4, FALSE)),"""") ), CHAR(10),"&amp;" "",""), ""\s*,\s*"", "",""), "","")))&lt;&gt;"""" ) ) ) ),"""")
"),"")</f>
        <v/>
      </c>
      <c r="D1315" s="105"/>
      <c r="E1315" s="105"/>
      <c r="F1315" s="110" t="b">
        <v>0</v>
      </c>
      <c r="G1315" s="105" t="str">
        <f>IF(F1315=True, IFERROR(VLOOKUP(D1315, Repository!A:B, 2, 0), ""), "")</f>
        <v/>
      </c>
      <c r="H1315" s="105"/>
      <c r="I1315" s="105"/>
      <c r="J1315" s="105" t="str">
        <f>IF(F1315=True, IFERROR(VLOOKUP(D1315, Repository!A:C, 3, 0), ""), "")</f>
        <v/>
      </c>
      <c r="K1315" s="105"/>
      <c r="L1315" s="105" t="str">
        <f>IF(F1315=True, IFERROR(VLOOKUP(D1315, Repository!A:E, 5, 0), ""), "")</f>
        <v/>
      </c>
      <c r="M1315" s="105"/>
      <c r="N1315" s="105" t="str">
        <f>IF(F1315=True, IFERROR(VLOOKUP(D1315, Repository!A:G, 7, 0), ""), "")</f>
        <v/>
      </c>
      <c r="O1315" s="105" t="str">
        <f>IFERROR(__xludf.DUMMYFUNCTION("ARRAY_CONSTRAIN(
  ARRAYFORMULA(
    IFERROR(
      LET(
        list, N1315,
        arr, TRIM(SPLIT(list, "","")),
        names, XLOOKUP(
          arr,
          'Conformance Score'!A:A,
          'Conformance Score'!B:B,
          ""Not found""
     "&amp;"   ),
        TEXTJOIN("", "", TRUE, names)
      ),
      """"
    )
  ),
  1,
  1
)
"),"")</f>
        <v/>
      </c>
      <c r="P1315" s="105" t="str">
        <f>IF(F1315="Yes", IFERROR(VLOOKUP(D1315, Repository!A:F, 6, 0), ""), "")</f>
        <v/>
      </c>
      <c r="Q1315" s="105" t="str">
        <f>IF(F1315="Yes", IFERROR(VLOOKUP(D1315, Repository!A:I, 8, 0), ""), "")</f>
        <v/>
      </c>
      <c r="R1315" s="105" t="str">
        <f>IF(F1315="Yes", IFERROR(VLOOKUP(D1315, Repository!A:J, 9, 0), ""), "")</f>
        <v/>
      </c>
      <c r="S1315" s="105"/>
      <c r="T1315" s="105"/>
      <c r="U1315" s="105"/>
      <c r="V1315" s="105"/>
      <c r="W1315" s="105"/>
      <c r="X1315" s="105"/>
      <c r="Y1315" s="105"/>
      <c r="Z1315" s="105"/>
      <c r="AA1315" s="105"/>
      <c r="AB1315" s="105"/>
      <c r="AC1315" s="91"/>
      <c r="AD1315" s="105"/>
      <c r="AE1315" s="105"/>
      <c r="AF1315" s="91"/>
      <c r="AG1315" s="105"/>
      <c r="AH1315" s="105"/>
      <c r="AI1315" s="105" t="str">
        <f t="shared" si="1"/>
        <v/>
      </c>
      <c r="AJ1315" s="108" t="str">
        <f t="shared" si="2"/>
        <v/>
      </c>
    </row>
    <row r="1316" ht="15.75" customHeight="1">
      <c r="A1316" s="104"/>
      <c r="B1316" s="105" t="str">
        <f>IFERROR(__xludf.DUMMYFUNCTION("ARRAY_CONSTRAIN(
  ARRAYFORMULA(
    IF(
      'Final Report'!A1316="""",
      """",
      TEXTJOIN(
        "", "" &amp; CHAR(10),
        TRUE,
        IFERROR(
          VLOOKUP(
            TRIM(
              SPLIT('Final Report'!A1316, "","")
         "&amp;"   ),
            'URL Details'!A:B,
            2,
            FALSE
          ),
          """"
        )
      )
    )
  ),
  1,
  1
)
"),"")</f>
        <v/>
      </c>
      <c r="C1316" s="105" t="str">
        <f>IFERROR(__xludf.DUMMYFUNCTION("IFERROR(IF('Final Report'!A1316="""","""", TEXTJOIN(CHAR(10), TRUE, ARRAYFORMULA( ""• ""&amp; FILTER( TRIM(FLATTEN(SPLIT( REGEXREPLACE( SUBSTITUTE(TEXTJOIN("","", TRUE, IFERROR(ARRAYFORMULA(VLOOKUP(TRIM(SPLIT('Final Report'!A1316, "","")), 'URL Details'!A:D, "&amp;"4, FALSE)),"""") ), CHAR(10), "",""), ""\s*,\s*"", "",""), "",""))), TRIM(FLATTEN(SPLIT( REGEXREPLACE( SUBSTITUTE(TEXTJOIN("","", TRUE, IFERROR(ARRAYFORMULA(VLOOKUP(TRIM(SPLIT('Final Report'!A1316, "","")), 'URL Details'!A:D, 4, FALSE)),"""") ), CHAR(10),"&amp;" "",""), ""\s*,\s*"", "",""), "","")))&lt;&gt;"""" ) ) ) ),"""")
"),"")</f>
        <v/>
      </c>
      <c r="D1316" s="105"/>
      <c r="E1316" s="105"/>
      <c r="F1316" s="110" t="b">
        <v>0</v>
      </c>
      <c r="G1316" s="105" t="str">
        <f>IF(F1316=True, IFERROR(VLOOKUP(D1316, Repository!A:B, 2, 0), ""), "")</f>
        <v/>
      </c>
      <c r="H1316" s="105"/>
      <c r="I1316" s="105"/>
      <c r="J1316" s="105" t="str">
        <f>IF(F1316=True, IFERROR(VLOOKUP(D1316, Repository!A:C, 3, 0), ""), "")</f>
        <v/>
      </c>
      <c r="K1316" s="105"/>
      <c r="L1316" s="105" t="str">
        <f>IF(F1316=True, IFERROR(VLOOKUP(D1316, Repository!A:E, 5, 0), ""), "")</f>
        <v/>
      </c>
      <c r="M1316" s="105"/>
      <c r="N1316" s="105" t="str">
        <f>IF(F1316=True, IFERROR(VLOOKUP(D1316, Repository!A:G, 7, 0), ""), "")</f>
        <v/>
      </c>
      <c r="O1316" s="105" t="str">
        <f>IFERROR(__xludf.DUMMYFUNCTION("ARRAY_CONSTRAIN(
  ARRAYFORMULA(
    IFERROR(
      LET(
        list, N1316,
        arr, TRIM(SPLIT(list, "","")),
        names, XLOOKUP(
          arr,
          'Conformance Score'!A:A,
          'Conformance Score'!B:B,
          ""Not found""
     "&amp;"   ),
        TEXTJOIN("", "", TRUE, names)
      ),
      """"
    )
  ),
  1,
  1
)
"),"")</f>
        <v/>
      </c>
      <c r="P1316" s="105" t="str">
        <f>IF(F1316="Yes", IFERROR(VLOOKUP(D1316, Repository!A:F, 6, 0), ""), "")</f>
        <v/>
      </c>
      <c r="Q1316" s="105" t="str">
        <f>IF(F1316="Yes", IFERROR(VLOOKUP(D1316, Repository!A:I, 8, 0), ""), "")</f>
        <v/>
      </c>
      <c r="R1316" s="105" t="str">
        <f>IF(F1316="Yes", IFERROR(VLOOKUP(D1316, Repository!A:J, 9, 0), ""), "")</f>
        <v/>
      </c>
      <c r="S1316" s="105"/>
      <c r="T1316" s="105"/>
      <c r="U1316" s="105"/>
      <c r="V1316" s="105"/>
      <c r="W1316" s="105"/>
      <c r="X1316" s="105"/>
      <c r="Y1316" s="105"/>
      <c r="Z1316" s="105"/>
      <c r="AA1316" s="105"/>
      <c r="AB1316" s="105"/>
      <c r="AC1316" s="91"/>
      <c r="AD1316" s="105"/>
      <c r="AE1316" s="105"/>
      <c r="AF1316" s="91"/>
      <c r="AG1316" s="105"/>
      <c r="AH1316" s="105"/>
      <c r="AI1316" s="105" t="str">
        <f t="shared" si="1"/>
        <v/>
      </c>
      <c r="AJ1316" s="108" t="str">
        <f t="shared" si="2"/>
        <v/>
      </c>
    </row>
    <row r="1317" ht="15.75" customHeight="1">
      <c r="A1317" s="104"/>
      <c r="B1317" s="105" t="str">
        <f>IFERROR(__xludf.DUMMYFUNCTION("ARRAY_CONSTRAIN(
  ARRAYFORMULA(
    IF(
      'Final Report'!A1317="""",
      """",
      TEXTJOIN(
        "", "" &amp; CHAR(10),
        TRUE,
        IFERROR(
          VLOOKUP(
            TRIM(
              SPLIT('Final Report'!A1317, "","")
         "&amp;"   ),
            'URL Details'!A:B,
            2,
            FALSE
          ),
          """"
        )
      )
    )
  ),
  1,
  1
)
"),"")</f>
        <v/>
      </c>
      <c r="C1317" s="105" t="str">
        <f>IFERROR(__xludf.DUMMYFUNCTION("IFERROR(IF('Final Report'!A1317="""","""", TEXTJOIN(CHAR(10), TRUE, ARRAYFORMULA( ""• ""&amp; FILTER( TRIM(FLATTEN(SPLIT( REGEXREPLACE( SUBSTITUTE(TEXTJOIN("","", TRUE, IFERROR(ARRAYFORMULA(VLOOKUP(TRIM(SPLIT('Final Report'!A1317, "","")), 'URL Details'!A:D, "&amp;"4, FALSE)),"""") ), CHAR(10), "",""), ""\s*,\s*"", "",""), "",""))), TRIM(FLATTEN(SPLIT( REGEXREPLACE( SUBSTITUTE(TEXTJOIN("","", TRUE, IFERROR(ARRAYFORMULA(VLOOKUP(TRIM(SPLIT('Final Report'!A1317, "","")), 'URL Details'!A:D, 4, FALSE)),"""") ), CHAR(10),"&amp;" "",""), ""\s*,\s*"", "",""), "","")))&lt;&gt;"""" ) ) ) ),"""")
"),"")</f>
        <v/>
      </c>
      <c r="D1317" s="105"/>
      <c r="E1317" s="105"/>
      <c r="F1317" s="110" t="b">
        <v>0</v>
      </c>
      <c r="G1317" s="105" t="str">
        <f>IF(F1317=True, IFERROR(VLOOKUP(D1317, Repository!A:B, 2, 0), ""), "")</f>
        <v/>
      </c>
      <c r="H1317" s="105"/>
      <c r="I1317" s="105"/>
      <c r="J1317" s="105" t="str">
        <f>IF(F1317=True, IFERROR(VLOOKUP(D1317, Repository!A:C, 3, 0), ""), "")</f>
        <v/>
      </c>
      <c r="K1317" s="105"/>
      <c r="L1317" s="105" t="str">
        <f>IF(F1317=True, IFERROR(VLOOKUP(D1317, Repository!A:E, 5, 0), ""), "")</f>
        <v/>
      </c>
      <c r="M1317" s="105"/>
      <c r="N1317" s="105" t="str">
        <f>IF(F1317=True, IFERROR(VLOOKUP(D1317, Repository!A:G, 7, 0), ""), "")</f>
        <v/>
      </c>
      <c r="O1317" s="105" t="str">
        <f>IFERROR(__xludf.DUMMYFUNCTION("ARRAY_CONSTRAIN(
  ARRAYFORMULA(
    IFERROR(
      LET(
        list, N1317,
        arr, TRIM(SPLIT(list, "","")),
        names, XLOOKUP(
          arr,
          'Conformance Score'!A:A,
          'Conformance Score'!B:B,
          ""Not found""
     "&amp;"   ),
        TEXTJOIN("", "", TRUE, names)
      ),
      """"
    )
  ),
  1,
  1
)
"),"")</f>
        <v/>
      </c>
      <c r="P1317" s="105" t="str">
        <f>IF(F1317="Yes", IFERROR(VLOOKUP(D1317, Repository!A:F, 6, 0), ""), "")</f>
        <v/>
      </c>
      <c r="Q1317" s="105" t="str">
        <f>IF(F1317="Yes", IFERROR(VLOOKUP(D1317, Repository!A:I, 8, 0), ""), "")</f>
        <v/>
      </c>
      <c r="R1317" s="105" t="str">
        <f>IF(F1317="Yes", IFERROR(VLOOKUP(D1317, Repository!A:J, 9, 0), ""), "")</f>
        <v/>
      </c>
      <c r="S1317" s="105"/>
      <c r="T1317" s="105"/>
      <c r="U1317" s="105"/>
      <c r="V1317" s="105"/>
      <c r="W1317" s="105"/>
      <c r="X1317" s="105"/>
      <c r="Y1317" s="105"/>
      <c r="Z1317" s="105"/>
      <c r="AA1317" s="105"/>
      <c r="AB1317" s="105"/>
      <c r="AC1317" s="91"/>
      <c r="AD1317" s="105"/>
      <c r="AE1317" s="105"/>
      <c r="AF1317" s="91"/>
      <c r="AG1317" s="105"/>
      <c r="AH1317" s="105"/>
      <c r="AI1317" s="105" t="str">
        <f t="shared" si="1"/>
        <v/>
      </c>
      <c r="AJ1317" s="108" t="str">
        <f t="shared" si="2"/>
        <v/>
      </c>
    </row>
    <row r="1318" ht="15.75" customHeight="1">
      <c r="A1318" s="104"/>
      <c r="B1318" s="105" t="str">
        <f>IFERROR(__xludf.DUMMYFUNCTION("ARRAY_CONSTRAIN(
  ARRAYFORMULA(
    IF(
      'Final Report'!A1318="""",
      """",
      TEXTJOIN(
        "", "" &amp; CHAR(10),
        TRUE,
        IFERROR(
          VLOOKUP(
            TRIM(
              SPLIT('Final Report'!A1318, "","")
         "&amp;"   ),
            'URL Details'!A:B,
            2,
            FALSE
          ),
          """"
        )
      )
    )
  ),
  1,
  1
)
"),"")</f>
        <v/>
      </c>
      <c r="C1318" s="105" t="str">
        <f>IFERROR(__xludf.DUMMYFUNCTION("IFERROR(IF('Final Report'!A1318="""","""", TEXTJOIN(CHAR(10), TRUE, ARRAYFORMULA( ""• ""&amp; FILTER( TRIM(FLATTEN(SPLIT( REGEXREPLACE( SUBSTITUTE(TEXTJOIN("","", TRUE, IFERROR(ARRAYFORMULA(VLOOKUP(TRIM(SPLIT('Final Report'!A1318, "","")), 'URL Details'!A:D, "&amp;"4, FALSE)),"""") ), CHAR(10), "",""), ""\s*,\s*"", "",""), "",""))), TRIM(FLATTEN(SPLIT( REGEXREPLACE( SUBSTITUTE(TEXTJOIN("","", TRUE, IFERROR(ARRAYFORMULA(VLOOKUP(TRIM(SPLIT('Final Report'!A1318, "","")), 'URL Details'!A:D, 4, FALSE)),"""") ), CHAR(10),"&amp;" "",""), ""\s*,\s*"", "",""), "","")))&lt;&gt;"""" ) ) ) ),"""")
"),"")</f>
        <v/>
      </c>
      <c r="D1318" s="105"/>
      <c r="E1318" s="105"/>
      <c r="F1318" s="110" t="b">
        <v>0</v>
      </c>
      <c r="G1318" s="105" t="str">
        <f>IF(F1318=True, IFERROR(VLOOKUP(D1318, Repository!A:B, 2, 0), ""), "")</f>
        <v/>
      </c>
      <c r="H1318" s="105"/>
      <c r="I1318" s="105"/>
      <c r="J1318" s="105" t="str">
        <f>IF(F1318=True, IFERROR(VLOOKUP(D1318, Repository!A:C, 3, 0), ""), "")</f>
        <v/>
      </c>
      <c r="K1318" s="105"/>
      <c r="L1318" s="105" t="str">
        <f>IF(F1318=True, IFERROR(VLOOKUP(D1318, Repository!A:E, 5, 0), ""), "")</f>
        <v/>
      </c>
      <c r="M1318" s="105"/>
      <c r="N1318" s="105" t="str">
        <f>IF(F1318=True, IFERROR(VLOOKUP(D1318, Repository!A:G, 7, 0), ""), "")</f>
        <v/>
      </c>
      <c r="O1318" s="105" t="str">
        <f>IFERROR(__xludf.DUMMYFUNCTION("ARRAY_CONSTRAIN(
  ARRAYFORMULA(
    IFERROR(
      LET(
        list, N1318,
        arr, TRIM(SPLIT(list, "","")),
        names, XLOOKUP(
          arr,
          'Conformance Score'!A:A,
          'Conformance Score'!B:B,
          ""Not found""
     "&amp;"   ),
        TEXTJOIN("", "", TRUE, names)
      ),
      """"
    )
  ),
  1,
  1
)
"),"")</f>
        <v/>
      </c>
      <c r="P1318" s="105" t="str">
        <f>IF(F1318="Yes", IFERROR(VLOOKUP(D1318, Repository!A:F, 6, 0), ""), "")</f>
        <v/>
      </c>
      <c r="Q1318" s="105" t="str">
        <f>IF(F1318="Yes", IFERROR(VLOOKUP(D1318, Repository!A:I, 8, 0), ""), "")</f>
        <v/>
      </c>
      <c r="R1318" s="105" t="str">
        <f>IF(F1318="Yes", IFERROR(VLOOKUP(D1318, Repository!A:J, 9, 0), ""), "")</f>
        <v/>
      </c>
      <c r="S1318" s="105"/>
      <c r="T1318" s="105"/>
      <c r="U1318" s="105"/>
      <c r="V1318" s="105"/>
      <c r="W1318" s="105"/>
      <c r="X1318" s="105"/>
      <c r="Y1318" s="105"/>
      <c r="Z1318" s="105"/>
      <c r="AA1318" s="105"/>
      <c r="AB1318" s="105"/>
      <c r="AC1318" s="91"/>
      <c r="AD1318" s="105"/>
      <c r="AE1318" s="105"/>
      <c r="AF1318" s="91"/>
      <c r="AG1318" s="105"/>
      <c r="AH1318" s="105"/>
      <c r="AI1318" s="105" t="str">
        <f t="shared" si="1"/>
        <v/>
      </c>
      <c r="AJ1318" s="108" t="str">
        <f t="shared" si="2"/>
        <v/>
      </c>
    </row>
    <row r="1319" ht="15.75" customHeight="1">
      <c r="A1319" s="104"/>
      <c r="B1319" s="105" t="str">
        <f>IFERROR(__xludf.DUMMYFUNCTION("ARRAY_CONSTRAIN(
  ARRAYFORMULA(
    IF(
      'Final Report'!A1319="""",
      """",
      TEXTJOIN(
        "", "" &amp; CHAR(10),
        TRUE,
        IFERROR(
          VLOOKUP(
            TRIM(
              SPLIT('Final Report'!A1319, "","")
         "&amp;"   ),
            'URL Details'!A:B,
            2,
            FALSE
          ),
          """"
        )
      )
    )
  ),
  1,
  1
)
"),"")</f>
        <v/>
      </c>
      <c r="C1319" s="105" t="str">
        <f>IFERROR(__xludf.DUMMYFUNCTION("IFERROR(IF('Final Report'!A1319="""","""", TEXTJOIN(CHAR(10), TRUE, ARRAYFORMULA( ""• ""&amp; FILTER( TRIM(FLATTEN(SPLIT( REGEXREPLACE( SUBSTITUTE(TEXTJOIN("","", TRUE, IFERROR(ARRAYFORMULA(VLOOKUP(TRIM(SPLIT('Final Report'!A1319, "","")), 'URL Details'!A:D, "&amp;"4, FALSE)),"""") ), CHAR(10), "",""), ""\s*,\s*"", "",""), "",""))), TRIM(FLATTEN(SPLIT( REGEXREPLACE( SUBSTITUTE(TEXTJOIN("","", TRUE, IFERROR(ARRAYFORMULA(VLOOKUP(TRIM(SPLIT('Final Report'!A1319, "","")), 'URL Details'!A:D, 4, FALSE)),"""") ), CHAR(10),"&amp;" "",""), ""\s*,\s*"", "",""), "","")))&lt;&gt;"""" ) ) ) ),"""")
"),"")</f>
        <v/>
      </c>
      <c r="D1319" s="105"/>
      <c r="E1319" s="105"/>
      <c r="F1319" s="110" t="b">
        <v>0</v>
      </c>
      <c r="G1319" s="105" t="str">
        <f>IF(F1319=True, IFERROR(VLOOKUP(D1319, Repository!A:B, 2, 0), ""), "")</f>
        <v/>
      </c>
      <c r="H1319" s="105"/>
      <c r="I1319" s="105"/>
      <c r="J1319" s="105" t="str">
        <f>IF(F1319=True, IFERROR(VLOOKUP(D1319, Repository!A:C, 3, 0), ""), "")</f>
        <v/>
      </c>
      <c r="K1319" s="105"/>
      <c r="L1319" s="105" t="str">
        <f>IF(F1319=True, IFERROR(VLOOKUP(D1319, Repository!A:E, 5, 0), ""), "")</f>
        <v/>
      </c>
      <c r="M1319" s="105"/>
      <c r="N1319" s="105" t="str">
        <f>IF(F1319=True, IFERROR(VLOOKUP(D1319, Repository!A:G, 7, 0), ""), "")</f>
        <v/>
      </c>
      <c r="O1319" s="105" t="str">
        <f>IFERROR(__xludf.DUMMYFUNCTION("ARRAY_CONSTRAIN(
  ARRAYFORMULA(
    IFERROR(
      LET(
        list, N1319,
        arr, TRIM(SPLIT(list, "","")),
        names, XLOOKUP(
          arr,
          'Conformance Score'!A:A,
          'Conformance Score'!B:B,
          ""Not found""
     "&amp;"   ),
        TEXTJOIN("", "", TRUE, names)
      ),
      """"
    )
  ),
  1,
  1
)
"),"")</f>
        <v/>
      </c>
      <c r="P1319" s="105" t="str">
        <f>IF(F1319="Yes", IFERROR(VLOOKUP(D1319, Repository!A:F, 6, 0), ""), "")</f>
        <v/>
      </c>
      <c r="Q1319" s="105" t="str">
        <f>IF(F1319="Yes", IFERROR(VLOOKUP(D1319, Repository!A:I, 8, 0), ""), "")</f>
        <v/>
      </c>
      <c r="R1319" s="105" t="str">
        <f>IF(F1319="Yes", IFERROR(VLOOKUP(D1319, Repository!A:J, 9, 0), ""), "")</f>
        <v/>
      </c>
      <c r="S1319" s="105"/>
      <c r="T1319" s="105"/>
      <c r="U1319" s="105"/>
      <c r="V1319" s="105"/>
      <c r="W1319" s="105"/>
      <c r="X1319" s="105"/>
      <c r="Y1319" s="105"/>
      <c r="Z1319" s="105"/>
      <c r="AA1319" s="105"/>
      <c r="AB1319" s="105"/>
      <c r="AC1319" s="91"/>
      <c r="AD1319" s="105"/>
      <c r="AE1319" s="105"/>
      <c r="AF1319" s="91"/>
      <c r="AG1319" s="105"/>
      <c r="AH1319" s="105"/>
      <c r="AI1319" s="105" t="str">
        <f t="shared" si="1"/>
        <v/>
      </c>
      <c r="AJ1319" s="108" t="str">
        <f t="shared" si="2"/>
        <v/>
      </c>
    </row>
    <row r="1320" ht="15.75" customHeight="1">
      <c r="A1320" s="104"/>
      <c r="B1320" s="105" t="str">
        <f>IFERROR(__xludf.DUMMYFUNCTION("ARRAY_CONSTRAIN(
  ARRAYFORMULA(
    IF(
      'Final Report'!A1320="""",
      """",
      TEXTJOIN(
        "", "" &amp; CHAR(10),
        TRUE,
        IFERROR(
          VLOOKUP(
            TRIM(
              SPLIT('Final Report'!A1320, "","")
         "&amp;"   ),
            'URL Details'!A:B,
            2,
            FALSE
          ),
          """"
        )
      )
    )
  ),
  1,
  1
)
"),"")</f>
        <v/>
      </c>
      <c r="C1320" s="105" t="str">
        <f>IFERROR(__xludf.DUMMYFUNCTION("IFERROR(IF('Final Report'!A1320="""","""", TEXTJOIN(CHAR(10), TRUE, ARRAYFORMULA( ""• ""&amp; FILTER( TRIM(FLATTEN(SPLIT( REGEXREPLACE( SUBSTITUTE(TEXTJOIN("","", TRUE, IFERROR(ARRAYFORMULA(VLOOKUP(TRIM(SPLIT('Final Report'!A1320, "","")), 'URL Details'!A:D, "&amp;"4, FALSE)),"""") ), CHAR(10), "",""), ""\s*,\s*"", "",""), "",""))), TRIM(FLATTEN(SPLIT( REGEXREPLACE( SUBSTITUTE(TEXTJOIN("","", TRUE, IFERROR(ARRAYFORMULA(VLOOKUP(TRIM(SPLIT('Final Report'!A1320, "","")), 'URL Details'!A:D, 4, FALSE)),"""") ), CHAR(10),"&amp;" "",""), ""\s*,\s*"", "",""), "","")))&lt;&gt;"""" ) ) ) ),"""")
"),"")</f>
        <v/>
      </c>
      <c r="D1320" s="105"/>
      <c r="E1320" s="105"/>
      <c r="F1320" s="110" t="b">
        <v>0</v>
      </c>
      <c r="G1320" s="105" t="str">
        <f>IF(F1320=True, IFERROR(VLOOKUP(D1320, Repository!A:B, 2, 0), ""), "")</f>
        <v/>
      </c>
      <c r="H1320" s="105"/>
      <c r="I1320" s="105"/>
      <c r="J1320" s="105" t="str">
        <f>IF(F1320=True, IFERROR(VLOOKUP(D1320, Repository!A:C, 3, 0), ""), "")</f>
        <v/>
      </c>
      <c r="K1320" s="105"/>
      <c r="L1320" s="105" t="str">
        <f>IF(F1320=True, IFERROR(VLOOKUP(D1320, Repository!A:E, 5, 0), ""), "")</f>
        <v/>
      </c>
      <c r="M1320" s="105"/>
      <c r="N1320" s="105" t="str">
        <f>IF(F1320=True, IFERROR(VLOOKUP(D1320, Repository!A:G, 7, 0), ""), "")</f>
        <v/>
      </c>
      <c r="O1320" s="105" t="str">
        <f>IFERROR(__xludf.DUMMYFUNCTION("ARRAY_CONSTRAIN(
  ARRAYFORMULA(
    IFERROR(
      LET(
        list, N1320,
        arr, TRIM(SPLIT(list, "","")),
        names, XLOOKUP(
          arr,
          'Conformance Score'!A:A,
          'Conformance Score'!B:B,
          ""Not found""
     "&amp;"   ),
        TEXTJOIN("", "", TRUE, names)
      ),
      """"
    )
  ),
  1,
  1
)
"),"")</f>
        <v/>
      </c>
      <c r="P1320" s="105" t="str">
        <f>IF(F1320="Yes", IFERROR(VLOOKUP(D1320, Repository!A:F, 6, 0), ""), "")</f>
        <v/>
      </c>
      <c r="Q1320" s="105" t="str">
        <f>IF(F1320="Yes", IFERROR(VLOOKUP(D1320, Repository!A:I, 8, 0), ""), "")</f>
        <v/>
      </c>
      <c r="R1320" s="105" t="str">
        <f>IF(F1320="Yes", IFERROR(VLOOKUP(D1320, Repository!A:J, 9, 0), ""), "")</f>
        <v/>
      </c>
      <c r="S1320" s="105"/>
      <c r="T1320" s="105"/>
      <c r="U1320" s="105"/>
      <c r="V1320" s="105"/>
      <c r="W1320" s="105"/>
      <c r="X1320" s="105"/>
      <c r="Y1320" s="105"/>
      <c r="Z1320" s="105"/>
      <c r="AA1320" s="105"/>
      <c r="AB1320" s="105"/>
      <c r="AC1320" s="91"/>
      <c r="AD1320" s="105"/>
      <c r="AE1320" s="105"/>
      <c r="AF1320" s="91"/>
      <c r="AG1320" s="105"/>
      <c r="AH1320" s="105"/>
      <c r="AI1320" s="105" t="str">
        <f t="shared" si="1"/>
        <v/>
      </c>
      <c r="AJ1320" s="108" t="str">
        <f t="shared" si="2"/>
        <v/>
      </c>
    </row>
    <row r="1321" ht="15.75" customHeight="1">
      <c r="A1321" s="104"/>
      <c r="B1321" s="105" t="str">
        <f>IFERROR(__xludf.DUMMYFUNCTION("ARRAY_CONSTRAIN(
  ARRAYFORMULA(
    IF(
      'Final Report'!A1321="""",
      """",
      TEXTJOIN(
        "", "" &amp; CHAR(10),
        TRUE,
        IFERROR(
          VLOOKUP(
            TRIM(
              SPLIT('Final Report'!A1321, "","")
         "&amp;"   ),
            'URL Details'!A:B,
            2,
            FALSE
          ),
          """"
        )
      )
    )
  ),
  1,
  1
)
"),"")</f>
        <v/>
      </c>
      <c r="C1321" s="105" t="str">
        <f>IFERROR(__xludf.DUMMYFUNCTION("IFERROR(IF('Final Report'!A1321="""","""", TEXTJOIN(CHAR(10), TRUE, ARRAYFORMULA( ""• ""&amp; FILTER( TRIM(FLATTEN(SPLIT( REGEXREPLACE( SUBSTITUTE(TEXTJOIN("","", TRUE, IFERROR(ARRAYFORMULA(VLOOKUP(TRIM(SPLIT('Final Report'!A1321, "","")), 'URL Details'!A:D, "&amp;"4, FALSE)),"""") ), CHAR(10), "",""), ""\s*,\s*"", "",""), "",""))), TRIM(FLATTEN(SPLIT( REGEXREPLACE( SUBSTITUTE(TEXTJOIN("","", TRUE, IFERROR(ARRAYFORMULA(VLOOKUP(TRIM(SPLIT('Final Report'!A1321, "","")), 'URL Details'!A:D, 4, FALSE)),"""") ), CHAR(10),"&amp;" "",""), ""\s*,\s*"", "",""), "","")))&lt;&gt;"""" ) ) ) ),"""")
"),"")</f>
        <v/>
      </c>
      <c r="D1321" s="105"/>
      <c r="E1321" s="105"/>
      <c r="F1321" s="110" t="b">
        <v>0</v>
      </c>
      <c r="G1321" s="105" t="str">
        <f>IF(F1321=True, IFERROR(VLOOKUP(D1321, Repository!A:B, 2, 0), ""), "")</f>
        <v/>
      </c>
      <c r="H1321" s="105"/>
      <c r="I1321" s="105"/>
      <c r="J1321" s="105" t="str">
        <f>IF(F1321=True, IFERROR(VLOOKUP(D1321, Repository!A:C, 3, 0), ""), "")</f>
        <v/>
      </c>
      <c r="K1321" s="105"/>
      <c r="L1321" s="105" t="str">
        <f>IF(F1321=True, IFERROR(VLOOKUP(D1321, Repository!A:E, 5, 0), ""), "")</f>
        <v/>
      </c>
      <c r="M1321" s="105"/>
      <c r="N1321" s="105" t="str">
        <f>IF(F1321=True, IFERROR(VLOOKUP(D1321, Repository!A:G, 7, 0), ""), "")</f>
        <v/>
      </c>
      <c r="O1321" s="105" t="str">
        <f>IFERROR(__xludf.DUMMYFUNCTION("ARRAY_CONSTRAIN(
  ARRAYFORMULA(
    IFERROR(
      LET(
        list, N1321,
        arr, TRIM(SPLIT(list, "","")),
        names, XLOOKUP(
          arr,
          'Conformance Score'!A:A,
          'Conformance Score'!B:B,
          ""Not found""
     "&amp;"   ),
        TEXTJOIN("", "", TRUE, names)
      ),
      """"
    )
  ),
  1,
  1
)
"),"")</f>
        <v/>
      </c>
      <c r="P1321" s="105" t="str">
        <f>IF(F1321="Yes", IFERROR(VLOOKUP(D1321, Repository!A:F, 6, 0), ""), "")</f>
        <v/>
      </c>
      <c r="Q1321" s="105" t="str">
        <f>IF(F1321="Yes", IFERROR(VLOOKUP(D1321, Repository!A:I, 8, 0), ""), "")</f>
        <v/>
      </c>
      <c r="R1321" s="105" t="str">
        <f>IF(F1321="Yes", IFERROR(VLOOKUP(D1321, Repository!A:J, 9, 0), ""), "")</f>
        <v/>
      </c>
      <c r="S1321" s="105"/>
      <c r="T1321" s="105"/>
      <c r="U1321" s="105"/>
      <c r="V1321" s="105"/>
      <c r="W1321" s="105"/>
      <c r="X1321" s="105"/>
      <c r="Y1321" s="105"/>
      <c r="Z1321" s="105"/>
      <c r="AA1321" s="105"/>
      <c r="AB1321" s="105"/>
      <c r="AC1321" s="91"/>
      <c r="AD1321" s="105"/>
      <c r="AE1321" s="105"/>
      <c r="AF1321" s="91"/>
      <c r="AG1321" s="105"/>
      <c r="AH1321" s="105"/>
      <c r="AI1321" s="105" t="str">
        <f t="shared" si="1"/>
        <v/>
      </c>
      <c r="AJ1321" s="108" t="str">
        <f t="shared" si="2"/>
        <v/>
      </c>
    </row>
    <row r="1322" ht="15.75" customHeight="1">
      <c r="A1322" s="104"/>
      <c r="B1322" s="105" t="str">
        <f>IFERROR(__xludf.DUMMYFUNCTION("ARRAY_CONSTRAIN(
  ARRAYFORMULA(
    IF(
      'Final Report'!A1322="""",
      """",
      TEXTJOIN(
        "", "" &amp; CHAR(10),
        TRUE,
        IFERROR(
          VLOOKUP(
            TRIM(
              SPLIT('Final Report'!A1322, "","")
         "&amp;"   ),
            'URL Details'!A:B,
            2,
            FALSE
          ),
          """"
        )
      )
    )
  ),
  1,
  1
)
"),"")</f>
        <v/>
      </c>
      <c r="C1322" s="105" t="str">
        <f>IFERROR(__xludf.DUMMYFUNCTION("IFERROR(IF('Final Report'!A1322="""","""", TEXTJOIN(CHAR(10), TRUE, ARRAYFORMULA( ""• ""&amp; FILTER( TRIM(FLATTEN(SPLIT( REGEXREPLACE( SUBSTITUTE(TEXTJOIN("","", TRUE, IFERROR(ARRAYFORMULA(VLOOKUP(TRIM(SPLIT('Final Report'!A1322, "","")), 'URL Details'!A:D, "&amp;"4, FALSE)),"""") ), CHAR(10), "",""), ""\s*,\s*"", "",""), "",""))), TRIM(FLATTEN(SPLIT( REGEXREPLACE( SUBSTITUTE(TEXTJOIN("","", TRUE, IFERROR(ARRAYFORMULA(VLOOKUP(TRIM(SPLIT('Final Report'!A1322, "","")), 'URL Details'!A:D, 4, FALSE)),"""") ), CHAR(10),"&amp;" "",""), ""\s*,\s*"", "",""), "","")))&lt;&gt;"""" ) ) ) ),"""")
"),"")</f>
        <v/>
      </c>
      <c r="D1322" s="105"/>
      <c r="E1322" s="105"/>
      <c r="F1322" s="110" t="b">
        <v>0</v>
      </c>
      <c r="G1322" s="105" t="str">
        <f>IF(F1322=True, IFERROR(VLOOKUP(D1322, Repository!A:B, 2, 0), ""), "")</f>
        <v/>
      </c>
      <c r="H1322" s="105"/>
      <c r="I1322" s="105"/>
      <c r="J1322" s="105" t="str">
        <f>IF(F1322=True, IFERROR(VLOOKUP(D1322, Repository!A:C, 3, 0), ""), "")</f>
        <v/>
      </c>
      <c r="K1322" s="105"/>
      <c r="L1322" s="105" t="str">
        <f>IF(F1322=True, IFERROR(VLOOKUP(D1322, Repository!A:E, 5, 0), ""), "")</f>
        <v/>
      </c>
      <c r="M1322" s="105"/>
      <c r="N1322" s="105" t="str">
        <f>IF(F1322=True, IFERROR(VLOOKUP(D1322, Repository!A:G, 7, 0), ""), "")</f>
        <v/>
      </c>
      <c r="O1322" s="105" t="str">
        <f>IFERROR(__xludf.DUMMYFUNCTION("ARRAY_CONSTRAIN(
  ARRAYFORMULA(
    IFERROR(
      LET(
        list, N1322,
        arr, TRIM(SPLIT(list, "","")),
        names, XLOOKUP(
          arr,
          'Conformance Score'!A:A,
          'Conformance Score'!B:B,
          ""Not found""
     "&amp;"   ),
        TEXTJOIN("", "", TRUE, names)
      ),
      """"
    )
  ),
  1,
  1
)
"),"")</f>
        <v/>
      </c>
      <c r="P1322" s="105" t="str">
        <f>IF(F1322="Yes", IFERROR(VLOOKUP(D1322, Repository!A:F, 6, 0), ""), "")</f>
        <v/>
      </c>
      <c r="Q1322" s="105" t="str">
        <f>IF(F1322="Yes", IFERROR(VLOOKUP(D1322, Repository!A:I, 8, 0), ""), "")</f>
        <v/>
      </c>
      <c r="R1322" s="105" t="str">
        <f>IF(F1322="Yes", IFERROR(VLOOKUP(D1322, Repository!A:J, 9, 0), ""), "")</f>
        <v/>
      </c>
      <c r="S1322" s="105"/>
      <c r="T1322" s="105"/>
      <c r="U1322" s="105"/>
      <c r="V1322" s="105"/>
      <c r="W1322" s="105"/>
      <c r="X1322" s="105"/>
      <c r="Y1322" s="105"/>
      <c r="Z1322" s="105"/>
      <c r="AA1322" s="105"/>
      <c r="AB1322" s="105"/>
      <c r="AC1322" s="91"/>
      <c r="AD1322" s="105"/>
      <c r="AE1322" s="105"/>
      <c r="AF1322" s="91"/>
      <c r="AG1322" s="105"/>
      <c r="AH1322" s="105"/>
      <c r="AI1322" s="105" t="str">
        <f t="shared" si="1"/>
        <v/>
      </c>
      <c r="AJ1322" s="108" t="str">
        <f t="shared" si="2"/>
        <v/>
      </c>
    </row>
    <row r="1323" ht="15.75" customHeight="1">
      <c r="A1323" s="104"/>
      <c r="B1323" s="105" t="str">
        <f>IFERROR(__xludf.DUMMYFUNCTION("ARRAY_CONSTRAIN(
  ARRAYFORMULA(
    IF(
      'Final Report'!A1323="""",
      """",
      TEXTJOIN(
        "", "" &amp; CHAR(10),
        TRUE,
        IFERROR(
          VLOOKUP(
            TRIM(
              SPLIT('Final Report'!A1323, "","")
         "&amp;"   ),
            'URL Details'!A:B,
            2,
            FALSE
          ),
          """"
        )
      )
    )
  ),
  1,
  1
)
"),"")</f>
        <v/>
      </c>
      <c r="C1323" s="105" t="str">
        <f>IFERROR(__xludf.DUMMYFUNCTION("IFERROR(IF('Final Report'!A1323="""","""", TEXTJOIN(CHAR(10), TRUE, ARRAYFORMULA( ""• ""&amp; FILTER( TRIM(FLATTEN(SPLIT( REGEXREPLACE( SUBSTITUTE(TEXTJOIN("","", TRUE, IFERROR(ARRAYFORMULA(VLOOKUP(TRIM(SPLIT('Final Report'!A1323, "","")), 'URL Details'!A:D, "&amp;"4, FALSE)),"""") ), CHAR(10), "",""), ""\s*,\s*"", "",""), "",""))), TRIM(FLATTEN(SPLIT( REGEXREPLACE( SUBSTITUTE(TEXTJOIN("","", TRUE, IFERROR(ARRAYFORMULA(VLOOKUP(TRIM(SPLIT('Final Report'!A1323, "","")), 'URL Details'!A:D, 4, FALSE)),"""") ), CHAR(10),"&amp;" "",""), ""\s*,\s*"", "",""), "","")))&lt;&gt;"""" ) ) ) ),"""")
"),"")</f>
        <v/>
      </c>
      <c r="D1323" s="105"/>
      <c r="E1323" s="105"/>
      <c r="F1323" s="110" t="b">
        <v>0</v>
      </c>
      <c r="G1323" s="105" t="str">
        <f>IF(F1323=True, IFERROR(VLOOKUP(D1323, Repository!A:B, 2, 0), ""), "")</f>
        <v/>
      </c>
      <c r="H1323" s="105"/>
      <c r="I1323" s="105"/>
      <c r="J1323" s="105" t="str">
        <f>IF(F1323=True, IFERROR(VLOOKUP(D1323, Repository!A:C, 3, 0), ""), "")</f>
        <v/>
      </c>
      <c r="K1323" s="105"/>
      <c r="L1323" s="105" t="str">
        <f>IF(F1323=True, IFERROR(VLOOKUP(D1323, Repository!A:E, 5, 0), ""), "")</f>
        <v/>
      </c>
      <c r="M1323" s="105"/>
      <c r="N1323" s="105" t="str">
        <f>IF(F1323=True, IFERROR(VLOOKUP(D1323, Repository!A:G, 7, 0), ""), "")</f>
        <v/>
      </c>
      <c r="O1323" s="105" t="str">
        <f>IFERROR(__xludf.DUMMYFUNCTION("ARRAY_CONSTRAIN(
  ARRAYFORMULA(
    IFERROR(
      LET(
        list, N1323,
        arr, TRIM(SPLIT(list, "","")),
        names, XLOOKUP(
          arr,
          'Conformance Score'!A:A,
          'Conformance Score'!B:B,
          ""Not found""
     "&amp;"   ),
        TEXTJOIN("", "", TRUE, names)
      ),
      """"
    )
  ),
  1,
  1
)
"),"")</f>
        <v/>
      </c>
      <c r="P1323" s="105" t="str">
        <f>IF(F1323="Yes", IFERROR(VLOOKUP(D1323, Repository!A:F, 6, 0), ""), "")</f>
        <v/>
      </c>
      <c r="Q1323" s="105" t="str">
        <f>IF(F1323="Yes", IFERROR(VLOOKUP(D1323, Repository!A:I, 8, 0), ""), "")</f>
        <v/>
      </c>
      <c r="R1323" s="105" t="str">
        <f>IF(F1323="Yes", IFERROR(VLOOKUP(D1323, Repository!A:J, 9, 0), ""), "")</f>
        <v/>
      </c>
      <c r="S1323" s="105"/>
      <c r="T1323" s="105"/>
      <c r="U1323" s="105"/>
      <c r="V1323" s="105"/>
      <c r="W1323" s="105"/>
      <c r="X1323" s="105"/>
      <c r="Y1323" s="105"/>
      <c r="Z1323" s="105"/>
      <c r="AA1323" s="105"/>
      <c r="AB1323" s="105"/>
      <c r="AC1323" s="91"/>
      <c r="AD1323" s="105"/>
      <c r="AE1323" s="105"/>
      <c r="AF1323" s="91"/>
      <c r="AG1323" s="105"/>
      <c r="AH1323" s="105"/>
      <c r="AI1323" s="105" t="str">
        <f t="shared" si="1"/>
        <v/>
      </c>
      <c r="AJ1323" s="108" t="str">
        <f t="shared" si="2"/>
        <v/>
      </c>
    </row>
    <row r="1324" ht="15.75" customHeight="1">
      <c r="A1324" s="104"/>
      <c r="B1324" s="105" t="str">
        <f>IFERROR(__xludf.DUMMYFUNCTION("ARRAY_CONSTRAIN(
  ARRAYFORMULA(
    IF(
      'Final Report'!A1324="""",
      """",
      TEXTJOIN(
        "", "" &amp; CHAR(10),
        TRUE,
        IFERROR(
          VLOOKUP(
            TRIM(
              SPLIT('Final Report'!A1324, "","")
         "&amp;"   ),
            'URL Details'!A:B,
            2,
            FALSE
          ),
          """"
        )
      )
    )
  ),
  1,
  1
)
"),"")</f>
        <v/>
      </c>
      <c r="C1324" s="105" t="str">
        <f>IFERROR(__xludf.DUMMYFUNCTION("IFERROR(IF('Final Report'!A1324="""","""", TEXTJOIN(CHAR(10), TRUE, ARRAYFORMULA( ""• ""&amp; FILTER( TRIM(FLATTEN(SPLIT( REGEXREPLACE( SUBSTITUTE(TEXTJOIN("","", TRUE, IFERROR(ARRAYFORMULA(VLOOKUP(TRIM(SPLIT('Final Report'!A1324, "","")), 'URL Details'!A:D, "&amp;"4, FALSE)),"""") ), CHAR(10), "",""), ""\s*,\s*"", "",""), "",""))), TRIM(FLATTEN(SPLIT( REGEXREPLACE( SUBSTITUTE(TEXTJOIN("","", TRUE, IFERROR(ARRAYFORMULA(VLOOKUP(TRIM(SPLIT('Final Report'!A1324, "","")), 'URL Details'!A:D, 4, FALSE)),"""") ), CHAR(10),"&amp;" "",""), ""\s*,\s*"", "",""), "","")))&lt;&gt;"""" ) ) ) ),"""")
"),"")</f>
        <v/>
      </c>
      <c r="D1324" s="105"/>
      <c r="E1324" s="105"/>
      <c r="F1324" s="110" t="b">
        <v>0</v>
      </c>
      <c r="G1324" s="105" t="str">
        <f>IF(F1324=True, IFERROR(VLOOKUP(D1324, Repository!A:B, 2, 0), ""), "")</f>
        <v/>
      </c>
      <c r="H1324" s="105"/>
      <c r="I1324" s="105"/>
      <c r="J1324" s="105" t="str">
        <f>IF(F1324=True, IFERROR(VLOOKUP(D1324, Repository!A:C, 3, 0), ""), "")</f>
        <v/>
      </c>
      <c r="K1324" s="105"/>
      <c r="L1324" s="105" t="str">
        <f>IF(F1324=True, IFERROR(VLOOKUP(D1324, Repository!A:E, 5, 0), ""), "")</f>
        <v/>
      </c>
      <c r="M1324" s="105"/>
      <c r="N1324" s="105" t="str">
        <f>IF(F1324=True, IFERROR(VLOOKUP(D1324, Repository!A:G, 7, 0), ""), "")</f>
        <v/>
      </c>
      <c r="O1324" s="105" t="str">
        <f>IFERROR(__xludf.DUMMYFUNCTION("ARRAY_CONSTRAIN(
  ARRAYFORMULA(
    IFERROR(
      LET(
        list, N1324,
        arr, TRIM(SPLIT(list, "","")),
        names, XLOOKUP(
          arr,
          'Conformance Score'!A:A,
          'Conformance Score'!B:B,
          ""Not found""
     "&amp;"   ),
        TEXTJOIN("", "", TRUE, names)
      ),
      """"
    )
  ),
  1,
  1
)
"),"")</f>
        <v/>
      </c>
      <c r="P1324" s="105" t="str">
        <f>IF(F1324="Yes", IFERROR(VLOOKUP(D1324, Repository!A:F, 6, 0), ""), "")</f>
        <v/>
      </c>
      <c r="Q1324" s="105" t="str">
        <f>IF(F1324="Yes", IFERROR(VLOOKUP(D1324, Repository!A:I, 8, 0), ""), "")</f>
        <v/>
      </c>
      <c r="R1324" s="105" t="str">
        <f>IF(F1324="Yes", IFERROR(VLOOKUP(D1324, Repository!A:J, 9, 0), ""), "")</f>
        <v/>
      </c>
      <c r="S1324" s="105"/>
      <c r="T1324" s="105"/>
      <c r="U1324" s="105"/>
      <c r="V1324" s="105"/>
      <c r="W1324" s="105"/>
      <c r="X1324" s="105"/>
      <c r="Y1324" s="105"/>
      <c r="Z1324" s="105"/>
      <c r="AA1324" s="105"/>
      <c r="AB1324" s="105"/>
      <c r="AC1324" s="91"/>
      <c r="AD1324" s="105"/>
      <c r="AE1324" s="105"/>
      <c r="AF1324" s="91"/>
      <c r="AG1324" s="105"/>
      <c r="AH1324" s="105"/>
      <c r="AI1324" s="105" t="str">
        <f t="shared" si="1"/>
        <v/>
      </c>
      <c r="AJ1324" s="108" t="str">
        <f t="shared" si="2"/>
        <v/>
      </c>
    </row>
    <row r="1325" ht="15.75" customHeight="1">
      <c r="A1325" s="104"/>
      <c r="B1325" s="105" t="str">
        <f>IFERROR(__xludf.DUMMYFUNCTION("ARRAY_CONSTRAIN(
  ARRAYFORMULA(
    IF(
      'Final Report'!A1325="""",
      """",
      TEXTJOIN(
        "", "" &amp; CHAR(10),
        TRUE,
        IFERROR(
          VLOOKUP(
            TRIM(
              SPLIT('Final Report'!A1325, "","")
         "&amp;"   ),
            'URL Details'!A:B,
            2,
            FALSE
          ),
          """"
        )
      )
    )
  ),
  1,
  1
)
"),"")</f>
        <v/>
      </c>
      <c r="C1325" s="105" t="str">
        <f>IFERROR(__xludf.DUMMYFUNCTION("IFERROR(IF('Final Report'!A1325="""","""", TEXTJOIN(CHAR(10), TRUE, ARRAYFORMULA( ""• ""&amp; FILTER( TRIM(FLATTEN(SPLIT( REGEXREPLACE( SUBSTITUTE(TEXTJOIN("","", TRUE, IFERROR(ARRAYFORMULA(VLOOKUP(TRIM(SPLIT('Final Report'!A1325, "","")), 'URL Details'!A:D, "&amp;"4, FALSE)),"""") ), CHAR(10), "",""), ""\s*,\s*"", "",""), "",""))), TRIM(FLATTEN(SPLIT( REGEXREPLACE( SUBSTITUTE(TEXTJOIN("","", TRUE, IFERROR(ARRAYFORMULA(VLOOKUP(TRIM(SPLIT('Final Report'!A1325, "","")), 'URL Details'!A:D, 4, FALSE)),"""") ), CHAR(10),"&amp;" "",""), ""\s*,\s*"", "",""), "","")))&lt;&gt;"""" ) ) ) ),"""")
"),"")</f>
        <v/>
      </c>
      <c r="D1325" s="105"/>
      <c r="E1325" s="105"/>
      <c r="F1325" s="110" t="b">
        <v>0</v>
      </c>
      <c r="G1325" s="105" t="str">
        <f>IF(F1325=True, IFERROR(VLOOKUP(D1325, Repository!A:B, 2, 0), ""), "")</f>
        <v/>
      </c>
      <c r="H1325" s="105"/>
      <c r="I1325" s="105"/>
      <c r="J1325" s="105" t="str">
        <f>IF(F1325=True, IFERROR(VLOOKUP(D1325, Repository!A:C, 3, 0), ""), "")</f>
        <v/>
      </c>
      <c r="K1325" s="105"/>
      <c r="L1325" s="105" t="str">
        <f>IF(F1325=True, IFERROR(VLOOKUP(D1325, Repository!A:E, 5, 0), ""), "")</f>
        <v/>
      </c>
      <c r="M1325" s="105"/>
      <c r="N1325" s="105" t="str">
        <f>IF(F1325=True, IFERROR(VLOOKUP(D1325, Repository!A:G, 7, 0), ""), "")</f>
        <v/>
      </c>
      <c r="O1325" s="105" t="str">
        <f>IFERROR(__xludf.DUMMYFUNCTION("ARRAY_CONSTRAIN(
  ARRAYFORMULA(
    IFERROR(
      LET(
        list, N1325,
        arr, TRIM(SPLIT(list, "","")),
        names, XLOOKUP(
          arr,
          'Conformance Score'!A:A,
          'Conformance Score'!B:B,
          ""Not found""
     "&amp;"   ),
        TEXTJOIN("", "", TRUE, names)
      ),
      """"
    )
  ),
  1,
  1
)
"),"")</f>
        <v/>
      </c>
      <c r="P1325" s="105" t="str">
        <f>IF(F1325="Yes", IFERROR(VLOOKUP(D1325, Repository!A:F, 6, 0), ""), "")</f>
        <v/>
      </c>
      <c r="Q1325" s="105" t="str">
        <f>IF(F1325="Yes", IFERROR(VLOOKUP(D1325, Repository!A:I, 8, 0), ""), "")</f>
        <v/>
      </c>
      <c r="R1325" s="105" t="str">
        <f>IF(F1325="Yes", IFERROR(VLOOKUP(D1325, Repository!A:J, 9, 0), ""), "")</f>
        <v/>
      </c>
      <c r="S1325" s="105"/>
      <c r="T1325" s="105"/>
      <c r="U1325" s="105"/>
      <c r="V1325" s="105"/>
      <c r="W1325" s="105"/>
      <c r="X1325" s="105"/>
      <c r="Y1325" s="105"/>
      <c r="Z1325" s="105"/>
      <c r="AA1325" s="105"/>
      <c r="AB1325" s="105"/>
      <c r="AC1325" s="91"/>
      <c r="AD1325" s="105"/>
      <c r="AE1325" s="105"/>
      <c r="AF1325" s="91"/>
      <c r="AG1325" s="105"/>
      <c r="AH1325" s="105"/>
      <c r="AI1325" s="105" t="str">
        <f t="shared" si="1"/>
        <v/>
      </c>
      <c r="AJ1325" s="108" t="str">
        <f t="shared" si="2"/>
        <v/>
      </c>
    </row>
    <row r="1326" ht="15.75" customHeight="1">
      <c r="A1326" s="104"/>
      <c r="B1326" s="105" t="str">
        <f>IFERROR(__xludf.DUMMYFUNCTION("ARRAY_CONSTRAIN(
  ARRAYFORMULA(
    IF(
      'Final Report'!A1326="""",
      """",
      TEXTJOIN(
        "", "" &amp; CHAR(10),
        TRUE,
        IFERROR(
          VLOOKUP(
            TRIM(
              SPLIT('Final Report'!A1326, "","")
         "&amp;"   ),
            'URL Details'!A:B,
            2,
            FALSE
          ),
          """"
        )
      )
    )
  ),
  1,
  1
)
"),"")</f>
        <v/>
      </c>
      <c r="C1326" s="105" t="str">
        <f>IFERROR(__xludf.DUMMYFUNCTION("IFERROR(IF('Final Report'!A1326="""","""", TEXTJOIN(CHAR(10), TRUE, ARRAYFORMULA( ""• ""&amp; FILTER( TRIM(FLATTEN(SPLIT( REGEXREPLACE( SUBSTITUTE(TEXTJOIN("","", TRUE, IFERROR(ARRAYFORMULA(VLOOKUP(TRIM(SPLIT('Final Report'!A1326, "","")), 'URL Details'!A:D, "&amp;"4, FALSE)),"""") ), CHAR(10), "",""), ""\s*,\s*"", "",""), "",""))), TRIM(FLATTEN(SPLIT( REGEXREPLACE( SUBSTITUTE(TEXTJOIN("","", TRUE, IFERROR(ARRAYFORMULA(VLOOKUP(TRIM(SPLIT('Final Report'!A1326, "","")), 'URL Details'!A:D, 4, FALSE)),"""") ), CHAR(10),"&amp;" "",""), ""\s*,\s*"", "",""), "","")))&lt;&gt;"""" ) ) ) ),"""")
"),"")</f>
        <v/>
      </c>
      <c r="D1326" s="105"/>
      <c r="E1326" s="105"/>
      <c r="F1326" s="110" t="b">
        <v>0</v>
      </c>
      <c r="G1326" s="105" t="str">
        <f>IF(F1326=True, IFERROR(VLOOKUP(D1326, Repository!A:B, 2, 0), ""), "")</f>
        <v/>
      </c>
      <c r="H1326" s="105"/>
      <c r="I1326" s="105"/>
      <c r="J1326" s="105" t="str">
        <f>IF(F1326=True, IFERROR(VLOOKUP(D1326, Repository!A:C, 3, 0), ""), "")</f>
        <v/>
      </c>
      <c r="K1326" s="105"/>
      <c r="L1326" s="105" t="str">
        <f>IF(F1326=True, IFERROR(VLOOKUP(D1326, Repository!A:E, 5, 0), ""), "")</f>
        <v/>
      </c>
      <c r="M1326" s="105"/>
      <c r="N1326" s="105" t="str">
        <f>IF(F1326=True, IFERROR(VLOOKUP(D1326, Repository!A:G, 7, 0), ""), "")</f>
        <v/>
      </c>
      <c r="O1326" s="105" t="str">
        <f>IFERROR(__xludf.DUMMYFUNCTION("ARRAY_CONSTRAIN(
  ARRAYFORMULA(
    IFERROR(
      LET(
        list, N1326,
        arr, TRIM(SPLIT(list, "","")),
        names, XLOOKUP(
          arr,
          'Conformance Score'!A:A,
          'Conformance Score'!B:B,
          ""Not found""
     "&amp;"   ),
        TEXTJOIN("", "", TRUE, names)
      ),
      """"
    )
  ),
  1,
  1
)
"),"")</f>
        <v/>
      </c>
      <c r="P1326" s="105" t="str">
        <f>IF(F1326="Yes", IFERROR(VLOOKUP(D1326, Repository!A:F, 6, 0), ""), "")</f>
        <v/>
      </c>
      <c r="Q1326" s="105" t="str">
        <f>IF(F1326="Yes", IFERROR(VLOOKUP(D1326, Repository!A:I, 8, 0), ""), "")</f>
        <v/>
      </c>
      <c r="R1326" s="105" t="str">
        <f>IF(F1326="Yes", IFERROR(VLOOKUP(D1326, Repository!A:J, 9, 0), ""), "")</f>
        <v/>
      </c>
      <c r="S1326" s="105"/>
      <c r="T1326" s="105"/>
      <c r="U1326" s="105"/>
      <c r="V1326" s="105"/>
      <c r="W1326" s="105"/>
      <c r="X1326" s="105"/>
      <c r="Y1326" s="105"/>
      <c r="Z1326" s="105"/>
      <c r="AA1326" s="105"/>
      <c r="AB1326" s="105"/>
      <c r="AC1326" s="91"/>
      <c r="AD1326" s="105"/>
      <c r="AE1326" s="105"/>
      <c r="AF1326" s="91"/>
      <c r="AG1326" s="105"/>
      <c r="AH1326" s="105"/>
      <c r="AI1326" s="105" t="str">
        <f t="shared" si="1"/>
        <v/>
      </c>
      <c r="AJ1326" s="108" t="str">
        <f t="shared" si="2"/>
        <v/>
      </c>
    </row>
    <row r="1327" ht="15.75" customHeight="1">
      <c r="A1327" s="104"/>
      <c r="B1327" s="105" t="str">
        <f>IFERROR(__xludf.DUMMYFUNCTION("ARRAY_CONSTRAIN(
  ARRAYFORMULA(
    IF(
      'Final Report'!A1327="""",
      """",
      TEXTJOIN(
        "", "" &amp; CHAR(10),
        TRUE,
        IFERROR(
          VLOOKUP(
            TRIM(
              SPLIT('Final Report'!A1327, "","")
         "&amp;"   ),
            'URL Details'!A:B,
            2,
            FALSE
          ),
          """"
        )
      )
    )
  ),
  1,
  1
)
"),"")</f>
        <v/>
      </c>
      <c r="C1327" s="105" t="str">
        <f>IFERROR(__xludf.DUMMYFUNCTION("IFERROR(IF('Final Report'!A1327="""","""", TEXTJOIN(CHAR(10), TRUE, ARRAYFORMULA( ""• ""&amp; FILTER( TRIM(FLATTEN(SPLIT( REGEXREPLACE( SUBSTITUTE(TEXTJOIN("","", TRUE, IFERROR(ARRAYFORMULA(VLOOKUP(TRIM(SPLIT('Final Report'!A1327, "","")), 'URL Details'!A:D, "&amp;"4, FALSE)),"""") ), CHAR(10), "",""), ""\s*,\s*"", "",""), "",""))), TRIM(FLATTEN(SPLIT( REGEXREPLACE( SUBSTITUTE(TEXTJOIN("","", TRUE, IFERROR(ARRAYFORMULA(VLOOKUP(TRIM(SPLIT('Final Report'!A1327, "","")), 'URL Details'!A:D, 4, FALSE)),"""") ), CHAR(10),"&amp;" "",""), ""\s*,\s*"", "",""), "","")))&lt;&gt;"""" ) ) ) ),"""")
"),"")</f>
        <v/>
      </c>
      <c r="D1327" s="105"/>
      <c r="E1327" s="105"/>
      <c r="F1327" s="110" t="b">
        <v>0</v>
      </c>
      <c r="G1327" s="105" t="str">
        <f>IF(F1327=True, IFERROR(VLOOKUP(D1327, Repository!A:B, 2, 0), ""), "")</f>
        <v/>
      </c>
      <c r="H1327" s="105"/>
      <c r="I1327" s="105"/>
      <c r="J1327" s="105" t="str">
        <f>IF(F1327=True, IFERROR(VLOOKUP(D1327, Repository!A:C, 3, 0), ""), "")</f>
        <v/>
      </c>
      <c r="K1327" s="105"/>
      <c r="L1327" s="105" t="str">
        <f>IF(F1327=True, IFERROR(VLOOKUP(D1327, Repository!A:E, 5, 0), ""), "")</f>
        <v/>
      </c>
      <c r="M1327" s="105"/>
      <c r="N1327" s="105" t="str">
        <f>IF(F1327=True, IFERROR(VLOOKUP(D1327, Repository!A:G, 7, 0), ""), "")</f>
        <v/>
      </c>
      <c r="O1327" s="105" t="str">
        <f>IFERROR(__xludf.DUMMYFUNCTION("ARRAY_CONSTRAIN(
  ARRAYFORMULA(
    IFERROR(
      LET(
        list, N1327,
        arr, TRIM(SPLIT(list, "","")),
        names, XLOOKUP(
          arr,
          'Conformance Score'!A:A,
          'Conformance Score'!B:B,
          ""Not found""
     "&amp;"   ),
        TEXTJOIN("", "", TRUE, names)
      ),
      """"
    )
  ),
  1,
  1
)
"),"")</f>
        <v/>
      </c>
      <c r="P1327" s="105" t="str">
        <f>IF(F1327="Yes", IFERROR(VLOOKUP(D1327, Repository!A:F, 6, 0), ""), "")</f>
        <v/>
      </c>
      <c r="Q1327" s="105" t="str">
        <f>IF(F1327="Yes", IFERROR(VLOOKUP(D1327, Repository!A:I, 8, 0), ""), "")</f>
        <v/>
      </c>
      <c r="R1327" s="105" t="str">
        <f>IF(F1327="Yes", IFERROR(VLOOKUP(D1327, Repository!A:J, 9, 0), ""), "")</f>
        <v/>
      </c>
      <c r="S1327" s="105"/>
      <c r="T1327" s="105"/>
      <c r="U1327" s="105"/>
      <c r="V1327" s="105"/>
      <c r="W1327" s="105"/>
      <c r="X1327" s="105"/>
      <c r="Y1327" s="105"/>
      <c r="Z1327" s="105"/>
      <c r="AA1327" s="105"/>
      <c r="AB1327" s="105"/>
      <c r="AC1327" s="91"/>
      <c r="AD1327" s="105"/>
      <c r="AE1327" s="105"/>
      <c r="AF1327" s="91"/>
      <c r="AG1327" s="105"/>
      <c r="AH1327" s="105"/>
      <c r="AI1327" s="105" t="str">
        <f t="shared" si="1"/>
        <v/>
      </c>
      <c r="AJ1327" s="108" t="str">
        <f t="shared" si="2"/>
        <v/>
      </c>
    </row>
    <row r="1328" ht="15.75" customHeight="1">
      <c r="A1328" s="104"/>
      <c r="B1328" s="105" t="str">
        <f>IFERROR(__xludf.DUMMYFUNCTION("ARRAY_CONSTRAIN(
  ARRAYFORMULA(
    IF(
      'Final Report'!A1328="""",
      """",
      TEXTJOIN(
        "", "" &amp; CHAR(10),
        TRUE,
        IFERROR(
          VLOOKUP(
            TRIM(
              SPLIT('Final Report'!A1328, "","")
         "&amp;"   ),
            'URL Details'!A:B,
            2,
            FALSE
          ),
          """"
        )
      )
    )
  ),
  1,
  1
)
"),"")</f>
        <v/>
      </c>
      <c r="C1328" s="105" t="str">
        <f>IFERROR(__xludf.DUMMYFUNCTION("IFERROR(IF('Final Report'!A1328="""","""", TEXTJOIN(CHAR(10), TRUE, ARRAYFORMULA( ""• ""&amp; FILTER( TRIM(FLATTEN(SPLIT( REGEXREPLACE( SUBSTITUTE(TEXTJOIN("","", TRUE, IFERROR(ARRAYFORMULA(VLOOKUP(TRIM(SPLIT('Final Report'!A1328, "","")), 'URL Details'!A:D, "&amp;"4, FALSE)),"""") ), CHAR(10), "",""), ""\s*,\s*"", "",""), "",""))), TRIM(FLATTEN(SPLIT( REGEXREPLACE( SUBSTITUTE(TEXTJOIN("","", TRUE, IFERROR(ARRAYFORMULA(VLOOKUP(TRIM(SPLIT('Final Report'!A1328, "","")), 'URL Details'!A:D, 4, FALSE)),"""") ), CHAR(10),"&amp;" "",""), ""\s*,\s*"", "",""), "","")))&lt;&gt;"""" ) ) ) ),"""")
"),"")</f>
        <v/>
      </c>
      <c r="D1328" s="105"/>
      <c r="E1328" s="105"/>
      <c r="F1328" s="110" t="b">
        <v>0</v>
      </c>
      <c r="G1328" s="105" t="str">
        <f>IF(F1328=True, IFERROR(VLOOKUP(D1328, Repository!A:B, 2, 0), ""), "")</f>
        <v/>
      </c>
      <c r="H1328" s="105"/>
      <c r="I1328" s="105"/>
      <c r="J1328" s="105" t="str">
        <f>IF(F1328=True, IFERROR(VLOOKUP(D1328, Repository!A:C, 3, 0), ""), "")</f>
        <v/>
      </c>
      <c r="K1328" s="105"/>
      <c r="L1328" s="105" t="str">
        <f>IF(F1328=True, IFERROR(VLOOKUP(D1328, Repository!A:E, 5, 0), ""), "")</f>
        <v/>
      </c>
      <c r="M1328" s="105"/>
      <c r="N1328" s="105" t="str">
        <f>IF(F1328=True, IFERROR(VLOOKUP(D1328, Repository!A:G, 7, 0), ""), "")</f>
        <v/>
      </c>
      <c r="O1328" s="105" t="str">
        <f>IFERROR(__xludf.DUMMYFUNCTION("ARRAY_CONSTRAIN(
  ARRAYFORMULA(
    IFERROR(
      LET(
        list, N1328,
        arr, TRIM(SPLIT(list, "","")),
        names, XLOOKUP(
          arr,
          'Conformance Score'!A:A,
          'Conformance Score'!B:B,
          ""Not found""
     "&amp;"   ),
        TEXTJOIN("", "", TRUE, names)
      ),
      """"
    )
  ),
  1,
  1
)
"),"")</f>
        <v/>
      </c>
      <c r="P1328" s="105" t="str">
        <f>IF(F1328="Yes", IFERROR(VLOOKUP(D1328, Repository!A:F, 6, 0), ""), "")</f>
        <v/>
      </c>
      <c r="Q1328" s="105" t="str">
        <f>IF(F1328="Yes", IFERROR(VLOOKUP(D1328, Repository!A:I, 8, 0), ""), "")</f>
        <v/>
      </c>
      <c r="R1328" s="105" t="str">
        <f>IF(F1328="Yes", IFERROR(VLOOKUP(D1328, Repository!A:J, 9, 0), ""), "")</f>
        <v/>
      </c>
      <c r="S1328" s="105"/>
      <c r="T1328" s="105"/>
      <c r="U1328" s="105"/>
      <c r="V1328" s="105"/>
      <c r="W1328" s="105"/>
      <c r="X1328" s="105"/>
      <c r="Y1328" s="105"/>
      <c r="Z1328" s="105"/>
      <c r="AA1328" s="105"/>
      <c r="AB1328" s="105"/>
      <c r="AC1328" s="91"/>
      <c r="AD1328" s="105"/>
      <c r="AE1328" s="105"/>
      <c r="AF1328" s="91"/>
      <c r="AG1328" s="105"/>
      <c r="AH1328" s="105"/>
      <c r="AI1328" s="105" t="str">
        <f t="shared" si="1"/>
        <v/>
      </c>
      <c r="AJ1328" s="108" t="str">
        <f t="shared" si="2"/>
        <v/>
      </c>
    </row>
    <row r="1329" ht="15.75" customHeight="1">
      <c r="A1329" s="104"/>
      <c r="B1329" s="105" t="str">
        <f>IFERROR(__xludf.DUMMYFUNCTION("ARRAY_CONSTRAIN(
  ARRAYFORMULA(
    IF(
      'Final Report'!A1329="""",
      """",
      TEXTJOIN(
        "", "" &amp; CHAR(10),
        TRUE,
        IFERROR(
          VLOOKUP(
            TRIM(
              SPLIT('Final Report'!A1329, "","")
         "&amp;"   ),
            'URL Details'!A:B,
            2,
            FALSE
          ),
          """"
        )
      )
    )
  ),
  1,
  1
)
"),"")</f>
        <v/>
      </c>
      <c r="C1329" s="105" t="str">
        <f>IFERROR(__xludf.DUMMYFUNCTION("IFERROR(IF('Final Report'!A1329="""","""", TEXTJOIN(CHAR(10), TRUE, ARRAYFORMULA( ""• ""&amp; FILTER( TRIM(FLATTEN(SPLIT( REGEXREPLACE( SUBSTITUTE(TEXTJOIN("","", TRUE, IFERROR(ARRAYFORMULA(VLOOKUP(TRIM(SPLIT('Final Report'!A1329, "","")), 'URL Details'!A:D, "&amp;"4, FALSE)),"""") ), CHAR(10), "",""), ""\s*,\s*"", "",""), "",""))), TRIM(FLATTEN(SPLIT( REGEXREPLACE( SUBSTITUTE(TEXTJOIN("","", TRUE, IFERROR(ARRAYFORMULA(VLOOKUP(TRIM(SPLIT('Final Report'!A1329, "","")), 'URL Details'!A:D, 4, FALSE)),"""") ), CHAR(10),"&amp;" "",""), ""\s*,\s*"", "",""), "","")))&lt;&gt;"""" ) ) ) ),"""")
"),"")</f>
        <v/>
      </c>
      <c r="D1329" s="105"/>
      <c r="E1329" s="105"/>
      <c r="F1329" s="110" t="b">
        <v>0</v>
      </c>
      <c r="G1329" s="105" t="str">
        <f>IF(F1329=True, IFERROR(VLOOKUP(D1329, Repository!A:B, 2, 0), ""), "")</f>
        <v/>
      </c>
      <c r="H1329" s="105"/>
      <c r="I1329" s="105"/>
      <c r="J1329" s="105" t="str">
        <f>IF(F1329=True, IFERROR(VLOOKUP(D1329, Repository!A:C, 3, 0), ""), "")</f>
        <v/>
      </c>
      <c r="K1329" s="105"/>
      <c r="L1329" s="105" t="str">
        <f>IF(F1329=True, IFERROR(VLOOKUP(D1329, Repository!A:E, 5, 0), ""), "")</f>
        <v/>
      </c>
      <c r="M1329" s="105"/>
      <c r="N1329" s="105" t="str">
        <f>IF(F1329=True, IFERROR(VLOOKUP(D1329, Repository!A:G, 7, 0), ""), "")</f>
        <v/>
      </c>
      <c r="O1329" s="105" t="str">
        <f>IFERROR(__xludf.DUMMYFUNCTION("ARRAY_CONSTRAIN(
  ARRAYFORMULA(
    IFERROR(
      LET(
        list, N1329,
        arr, TRIM(SPLIT(list, "","")),
        names, XLOOKUP(
          arr,
          'Conformance Score'!A:A,
          'Conformance Score'!B:B,
          ""Not found""
     "&amp;"   ),
        TEXTJOIN("", "", TRUE, names)
      ),
      """"
    )
  ),
  1,
  1
)
"),"")</f>
        <v/>
      </c>
      <c r="P1329" s="105" t="str">
        <f>IF(F1329="Yes", IFERROR(VLOOKUP(D1329, Repository!A:F, 6, 0), ""), "")</f>
        <v/>
      </c>
      <c r="Q1329" s="105" t="str">
        <f>IF(F1329="Yes", IFERROR(VLOOKUP(D1329, Repository!A:I, 8, 0), ""), "")</f>
        <v/>
      </c>
      <c r="R1329" s="105" t="str">
        <f>IF(F1329="Yes", IFERROR(VLOOKUP(D1329, Repository!A:J, 9, 0), ""), "")</f>
        <v/>
      </c>
      <c r="S1329" s="105"/>
      <c r="T1329" s="105"/>
      <c r="U1329" s="105"/>
      <c r="V1329" s="105"/>
      <c r="W1329" s="105"/>
      <c r="X1329" s="105"/>
      <c r="Y1329" s="105"/>
      <c r="Z1329" s="105"/>
      <c r="AA1329" s="105"/>
      <c r="AB1329" s="105"/>
      <c r="AC1329" s="91"/>
      <c r="AD1329" s="105"/>
      <c r="AE1329" s="105"/>
      <c r="AF1329" s="91"/>
      <c r="AG1329" s="105"/>
      <c r="AH1329" s="105"/>
      <c r="AI1329" s="105" t="str">
        <f t="shared" si="1"/>
        <v/>
      </c>
      <c r="AJ1329" s="108" t="str">
        <f t="shared" si="2"/>
        <v/>
      </c>
    </row>
    <row r="1330" ht="15.75" customHeight="1">
      <c r="A1330" s="104"/>
      <c r="B1330" s="105" t="str">
        <f>IFERROR(__xludf.DUMMYFUNCTION("ARRAY_CONSTRAIN(
  ARRAYFORMULA(
    IF(
      'Final Report'!A1330="""",
      """",
      TEXTJOIN(
        "", "" &amp; CHAR(10),
        TRUE,
        IFERROR(
          VLOOKUP(
            TRIM(
              SPLIT('Final Report'!A1330, "","")
         "&amp;"   ),
            'URL Details'!A:B,
            2,
            FALSE
          ),
          """"
        )
      )
    )
  ),
  1,
  1
)
"),"")</f>
        <v/>
      </c>
      <c r="C1330" s="105" t="str">
        <f>IFERROR(__xludf.DUMMYFUNCTION("IFERROR(IF('Final Report'!A1330="""","""", TEXTJOIN(CHAR(10), TRUE, ARRAYFORMULA( ""• ""&amp; FILTER( TRIM(FLATTEN(SPLIT( REGEXREPLACE( SUBSTITUTE(TEXTJOIN("","", TRUE, IFERROR(ARRAYFORMULA(VLOOKUP(TRIM(SPLIT('Final Report'!A1330, "","")), 'URL Details'!A:D, "&amp;"4, FALSE)),"""") ), CHAR(10), "",""), ""\s*,\s*"", "",""), "",""))), TRIM(FLATTEN(SPLIT( REGEXREPLACE( SUBSTITUTE(TEXTJOIN("","", TRUE, IFERROR(ARRAYFORMULA(VLOOKUP(TRIM(SPLIT('Final Report'!A1330, "","")), 'URL Details'!A:D, 4, FALSE)),"""") ), CHAR(10),"&amp;" "",""), ""\s*,\s*"", "",""), "","")))&lt;&gt;"""" ) ) ) ),"""")
"),"")</f>
        <v/>
      </c>
      <c r="D1330" s="105"/>
      <c r="E1330" s="105"/>
      <c r="F1330" s="110" t="b">
        <v>0</v>
      </c>
      <c r="G1330" s="105" t="str">
        <f>IF(F1330=True, IFERROR(VLOOKUP(D1330, Repository!A:B, 2, 0), ""), "")</f>
        <v/>
      </c>
      <c r="H1330" s="105"/>
      <c r="I1330" s="105"/>
      <c r="J1330" s="105" t="str">
        <f>IF(F1330=True, IFERROR(VLOOKUP(D1330, Repository!A:C, 3, 0), ""), "")</f>
        <v/>
      </c>
      <c r="K1330" s="105"/>
      <c r="L1330" s="105" t="str">
        <f>IF(F1330=True, IFERROR(VLOOKUP(D1330, Repository!A:E, 5, 0), ""), "")</f>
        <v/>
      </c>
      <c r="M1330" s="105"/>
      <c r="N1330" s="105" t="str">
        <f>IF(F1330=True, IFERROR(VLOOKUP(D1330, Repository!A:G, 7, 0), ""), "")</f>
        <v/>
      </c>
      <c r="O1330" s="105" t="str">
        <f>IFERROR(__xludf.DUMMYFUNCTION("ARRAY_CONSTRAIN(
  ARRAYFORMULA(
    IFERROR(
      LET(
        list, N1330,
        arr, TRIM(SPLIT(list, "","")),
        names, XLOOKUP(
          arr,
          'Conformance Score'!A:A,
          'Conformance Score'!B:B,
          ""Not found""
     "&amp;"   ),
        TEXTJOIN("", "", TRUE, names)
      ),
      """"
    )
  ),
  1,
  1
)
"),"")</f>
        <v/>
      </c>
      <c r="P1330" s="105" t="str">
        <f>IF(F1330="Yes", IFERROR(VLOOKUP(D1330, Repository!A:F, 6, 0), ""), "")</f>
        <v/>
      </c>
      <c r="Q1330" s="105" t="str">
        <f>IF(F1330="Yes", IFERROR(VLOOKUP(D1330, Repository!A:I, 8, 0), ""), "")</f>
        <v/>
      </c>
      <c r="R1330" s="105" t="str">
        <f>IF(F1330="Yes", IFERROR(VLOOKUP(D1330, Repository!A:J, 9, 0), ""), "")</f>
        <v/>
      </c>
      <c r="S1330" s="105"/>
      <c r="T1330" s="105"/>
      <c r="U1330" s="105"/>
      <c r="V1330" s="105"/>
      <c r="W1330" s="105"/>
      <c r="X1330" s="105"/>
      <c r="Y1330" s="105"/>
      <c r="Z1330" s="105"/>
      <c r="AA1330" s="105"/>
      <c r="AB1330" s="105"/>
      <c r="AC1330" s="91"/>
      <c r="AD1330" s="105"/>
      <c r="AE1330" s="105"/>
      <c r="AF1330" s="91"/>
      <c r="AG1330" s="105"/>
      <c r="AH1330" s="105"/>
      <c r="AI1330" s="105" t="str">
        <f t="shared" si="1"/>
        <v/>
      </c>
      <c r="AJ1330" s="108" t="str">
        <f t="shared" si="2"/>
        <v/>
      </c>
    </row>
    <row r="1331" ht="15.75" customHeight="1">
      <c r="A1331" s="104"/>
      <c r="B1331" s="105" t="str">
        <f>IFERROR(__xludf.DUMMYFUNCTION("ARRAY_CONSTRAIN(
  ARRAYFORMULA(
    IF(
      'Final Report'!A1331="""",
      """",
      TEXTJOIN(
        "", "" &amp; CHAR(10),
        TRUE,
        IFERROR(
          VLOOKUP(
            TRIM(
              SPLIT('Final Report'!A1331, "","")
         "&amp;"   ),
            'URL Details'!A:B,
            2,
            FALSE
          ),
          """"
        )
      )
    )
  ),
  1,
  1
)
"),"")</f>
        <v/>
      </c>
      <c r="C1331" s="105" t="str">
        <f>IFERROR(__xludf.DUMMYFUNCTION("IFERROR(IF('Final Report'!A1331="""","""", TEXTJOIN(CHAR(10), TRUE, ARRAYFORMULA( ""• ""&amp; FILTER( TRIM(FLATTEN(SPLIT( REGEXREPLACE( SUBSTITUTE(TEXTJOIN("","", TRUE, IFERROR(ARRAYFORMULA(VLOOKUP(TRIM(SPLIT('Final Report'!A1331, "","")), 'URL Details'!A:D, "&amp;"4, FALSE)),"""") ), CHAR(10), "",""), ""\s*,\s*"", "",""), "",""))), TRIM(FLATTEN(SPLIT( REGEXREPLACE( SUBSTITUTE(TEXTJOIN("","", TRUE, IFERROR(ARRAYFORMULA(VLOOKUP(TRIM(SPLIT('Final Report'!A1331, "","")), 'URL Details'!A:D, 4, FALSE)),"""") ), CHAR(10),"&amp;" "",""), ""\s*,\s*"", "",""), "","")))&lt;&gt;"""" ) ) ) ),"""")
"),"")</f>
        <v/>
      </c>
      <c r="D1331" s="105"/>
      <c r="E1331" s="105"/>
      <c r="F1331" s="110" t="b">
        <v>0</v>
      </c>
      <c r="G1331" s="105" t="str">
        <f>IF(F1331=True, IFERROR(VLOOKUP(D1331, Repository!A:B, 2, 0), ""), "")</f>
        <v/>
      </c>
      <c r="H1331" s="105"/>
      <c r="I1331" s="105"/>
      <c r="J1331" s="105" t="str">
        <f>IF(F1331=True, IFERROR(VLOOKUP(D1331, Repository!A:C, 3, 0), ""), "")</f>
        <v/>
      </c>
      <c r="K1331" s="105"/>
      <c r="L1331" s="105" t="str">
        <f>IF(F1331=True, IFERROR(VLOOKUP(D1331, Repository!A:E, 5, 0), ""), "")</f>
        <v/>
      </c>
      <c r="M1331" s="105"/>
      <c r="N1331" s="105" t="str">
        <f>IF(F1331=True, IFERROR(VLOOKUP(D1331, Repository!A:G, 7, 0), ""), "")</f>
        <v/>
      </c>
      <c r="O1331" s="105" t="str">
        <f>IFERROR(__xludf.DUMMYFUNCTION("ARRAY_CONSTRAIN(
  ARRAYFORMULA(
    IFERROR(
      LET(
        list, N1331,
        arr, TRIM(SPLIT(list, "","")),
        names, XLOOKUP(
          arr,
          'Conformance Score'!A:A,
          'Conformance Score'!B:B,
          ""Not found""
     "&amp;"   ),
        TEXTJOIN("", "", TRUE, names)
      ),
      """"
    )
  ),
  1,
  1
)
"),"")</f>
        <v/>
      </c>
      <c r="P1331" s="105" t="str">
        <f>IF(F1331="Yes", IFERROR(VLOOKUP(D1331, Repository!A:F, 6, 0), ""), "")</f>
        <v/>
      </c>
      <c r="Q1331" s="105" t="str">
        <f>IF(F1331="Yes", IFERROR(VLOOKUP(D1331, Repository!A:I, 8, 0), ""), "")</f>
        <v/>
      </c>
      <c r="R1331" s="105" t="str">
        <f>IF(F1331="Yes", IFERROR(VLOOKUP(D1331, Repository!A:J, 9, 0), ""), "")</f>
        <v/>
      </c>
      <c r="S1331" s="105"/>
      <c r="T1331" s="105"/>
      <c r="U1331" s="105"/>
      <c r="V1331" s="105"/>
      <c r="W1331" s="105"/>
      <c r="X1331" s="105"/>
      <c r="Y1331" s="105"/>
      <c r="Z1331" s="105"/>
      <c r="AA1331" s="105"/>
      <c r="AB1331" s="105"/>
      <c r="AC1331" s="91"/>
      <c r="AD1331" s="105"/>
      <c r="AE1331" s="105"/>
      <c r="AF1331" s="91"/>
      <c r="AG1331" s="105"/>
      <c r="AH1331" s="105"/>
      <c r="AI1331" s="105" t="str">
        <f t="shared" si="1"/>
        <v/>
      </c>
      <c r="AJ1331" s="108" t="str">
        <f t="shared" si="2"/>
        <v/>
      </c>
    </row>
    <row r="1332" ht="15.75" customHeight="1">
      <c r="A1332" s="104"/>
      <c r="B1332" s="105" t="str">
        <f>IFERROR(__xludf.DUMMYFUNCTION("ARRAY_CONSTRAIN(
  ARRAYFORMULA(
    IF(
      'Final Report'!A1332="""",
      """",
      TEXTJOIN(
        "", "" &amp; CHAR(10),
        TRUE,
        IFERROR(
          VLOOKUP(
            TRIM(
              SPLIT('Final Report'!A1332, "","")
         "&amp;"   ),
            'URL Details'!A:B,
            2,
            FALSE
          ),
          """"
        )
      )
    )
  ),
  1,
  1
)
"),"")</f>
        <v/>
      </c>
      <c r="C1332" s="105" t="str">
        <f>IFERROR(__xludf.DUMMYFUNCTION("IFERROR(IF('Final Report'!A1332="""","""", TEXTJOIN(CHAR(10), TRUE, ARRAYFORMULA( ""• ""&amp; FILTER( TRIM(FLATTEN(SPLIT( REGEXREPLACE( SUBSTITUTE(TEXTJOIN("","", TRUE, IFERROR(ARRAYFORMULA(VLOOKUP(TRIM(SPLIT('Final Report'!A1332, "","")), 'URL Details'!A:D, "&amp;"4, FALSE)),"""") ), CHAR(10), "",""), ""\s*,\s*"", "",""), "",""))), TRIM(FLATTEN(SPLIT( REGEXREPLACE( SUBSTITUTE(TEXTJOIN("","", TRUE, IFERROR(ARRAYFORMULA(VLOOKUP(TRIM(SPLIT('Final Report'!A1332, "","")), 'URL Details'!A:D, 4, FALSE)),"""") ), CHAR(10),"&amp;" "",""), ""\s*,\s*"", "",""), "","")))&lt;&gt;"""" ) ) ) ),"""")
"),"")</f>
        <v/>
      </c>
      <c r="D1332" s="105"/>
      <c r="E1332" s="105"/>
      <c r="F1332" s="110" t="b">
        <v>0</v>
      </c>
      <c r="G1332" s="105" t="str">
        <f>IF(F1332=True, IFERROR(VLOOKUP(D1332, Repository!A:B, 2, 0), ""), "")</f>
        <v/>
      </c>
      <c r="H1332" s="105"/>
      <c r="I1332" s="105"/>
      <c r="J1332" s="105" t="str">
        <f>IF(F1332=True, IFERROR(VLOOKUP(D1332, Repository!A:C, 3, 0), ""), "")</f>
        <v/>
      </c>
      <c r="K1332" s="105"/>
      <c r="L1332" s="105" t="str">
        <f>IF(F1332=True, IFERROR(VLOOKUP(D1332, Repository!A:E, 5, 0), ""), "")</f>
        <v/>
      </c>
      <c r="M1332" s="105"/>
      <c r="N1332" s="105" t="str">
        <f>IF(F1332=True, IFERROR(VLOOKUP(D1332, Repository!A:G, 7, 0), ""), "")</f>
        <v/>
      </c>
      <c r="O1332" s="105" t="str">
        <f>IFERROR(__xludf.DUMMYFUNCTION("ARRAY_CONSTRAIN(
  ARRAYFORMULA(
    IFERROR(
      LET(
        list, N1332,
        arr, TRIM(SPLIT(list, "","")),
        names, XLOOKUP(
          arr,
          'Conformance Score'!A:A,
          'Conformance Score'!B:B,
          ""Not found""
     "&amp;"   ),
        TEXTJOIN("", "", TRUE, names)
      ),
      """"
    )
  ),
  1,
  1
)
"),"")</f>
        <v/>
      </c>
      <c r="P1332" s="105" t="str">
        <f>IF(F1332="Yes", IFERROR(VLOOKUP(D1332, Repository!A:F, 6, 0), ""), "")</f>
        <v/>
      </c>
      <c r="Q1332" s="105" t="str">
        <f>IF(F1332="Yes", IFERROR(VLOOKUP(D1332, Repository!A:I, 8, 0), ""), "")</f>
        <v/>
      </c>
      <c r="R1332" s="105" t="str">
        <f>IF(F1332="Yes", IFERROR(VLOOKUP(D1332, Repository!A:J, 9, 0), ""), "")</f>
        <v/>
      </c>
      <c r="S1332" s="105"/>
      <c r="T1332" s="105"/>
      <c r="U1332" s="105"/>
      <c r="V1332" s="105"/>
      <c r="W1332" s="105"/>
      <c r="X1332" s="105"/>
      <c r="Y1332" s="105"/>
      <c r="Z1332" s="105"/>
      <c r="AA1332" s="105"/>
      <c r="AB1332" s="105"/>
      <c r="AC1332" s="91"/>
      <c r="AD1332" s="105"/>
      <c r="AE1332" s="105"/>
      <c r="AF1332" s="91"/>
      <c r="AG1332" s="105"/>
      <c r="AH1332" s="105"/>
      <c r="AI1332" s="105" t="str">
        <f t="shared" si="1"/>
        <v/>
      </c>
      <c r="AJ1332" s="108" t="str">
        <f t="shared" si="2"/>
        <v/>
      </c>
    </row>
    <row r="1333" ht="15.75" customHeight="1">
      <c r="A1333" s="104"/>
      <c r="B1333" s="105" t="str">
        <f>IFERROR(__xludf.DUMMYFUNCTION("ARRAY_CONSTRAIN(
  ARRAYFORMULA(
    IF(
      'Final Report'!A1333="""",
      """",
      TEXTJOIN(
        "", "" &amp; CHAR(10),
        TRUE,
        IFERROR(
          VLOOKUP(
            TRIM(
              SPLIT('Final Report'!A1333, "","")
         "&amp;"   ),
            'URL Details'!A:B,
            2,
            FALSE
          ),
          """"
        )
      )
    )
  ),
  1,
  1
)
"),"")</f>
        <v/>
      </c>
      <c r="C1333" s="105" t="str">
        <f>IFERROR(__xludf.DUMMYFUNCTION("IFERROR(IF('Final Report'!A1333="""","""", TEXTJOIN(CHAR(10), TRUE, ARRAYFORMULA( ""• ""&amp; FILTER( TRIM(FLATTEN(SPLIT( REGEXREPLACE( SUBSTITUTE(TEXTJOIN("","", TRUE, IFERROR(ARRAYFORMULA(VLOOKUP(TRIM(SPLIT('Final Report'!A1333, "","")), 'URL Details'!A:D, "&amp;"4, FALSE)),"""") ), CHAR(10), "",""), ""\s*,\s*"", "",""), "",""))), TRIM(FLATTEN(SPLIT( REGEXREPLACE( SUBSTITUTE(TEXTJOIN("","", TRUE, IFERROR(ARRAYFORMULA(VLOOKUP(TRIM(SPLIT('Final Report'!A1333, "","")), 'URL Details'!A:D, 4, FALSE)),"""") ), CHAR(10),"&amp;" "",""), ""\s*,\s*"", "",""), "","")))&lt;&gt;"""" ) ) ) ),"""")
"),"")</f>
        <v/>
      </c>
      <c r="D1333" s="105"/>
      <c r="E1333" s="105"/>
      <c r="F1333" s="110" t="b">
        <v>0</v>
      </c>
      <c r="G1333" s="105" t="str">
        <f>IF(F1333=True, IFERROR(VLOOKUP(D1333, Repository!A:B, 2, 0), ""), "")</f>
        <v/>
      </c>
      <c r="H1333" s="105"/>
      <c r="I1333" s="105"/>
      <c r="J1333" s="105" t="str">
        <f>IF(F1333=True, IFERROR(VLOOKUP(D1333, Repository!A:C, 3, 0), ""), "")</f>
        <v/>
      </c>
      <c r="K1333" s="105"/>
      <c r="L1333" s="105" t="str">
        <f>IF(F1333=True, IFERROR(VLOOKUP(D1333, Repository!A:E, 5, 0), ""), "")</f>
        <v/>
      </c>
      <c r="M1333" s="105"/>
      <c r="N1333" s="105" t="str">
        <f>IF(F1333=True, IFERROR(VLOOKUP(D1333, Repository!A:G, 7, 0), ""), "")</f>
        <v/>
      </c>
      <c r="O1333" s="105" t="str">
        <f>IFERROR(__xludf.DUMMYFUNCTION("ARRAY_CONSTRAIN(
  ARRAYFORMULA(
    IFERROR(
      LET(
        list, N1333,
        arr, TRIM(SPLIT(list, "","")),
        names, XLOOKUP(
          arr,
          'Conformance Score'!A:A,
          'Conformance Score'!B:B,
          ""Not found""
     "&amp;"   ),
        TEXTJOIN("", "", TRUE, names)
      ),
      """"
    )
  ),
  1,
  1
)
"),"")</f>
        <v/>
      </c>
      <c r="P1333" s="105" t="str">
        <f>IF(F1333="Yes", IFERROR(VLOOKUP(D1333, Repository!A:F, 6, 0), ""), "")</f>
        <v/>
      </c>
      <c r="Q1333" s="105" t="str">
        <f>IF(F1333="Yes", IFERROR(VLOOKUP(D1333, Repository!A:I, 8, 0), ""), "")</f>
        <v/>
      </c>
      <c r="R1333" s="105" t="str">
        <f>IF(F1333="Yes", IFERROR(VLOOKUP(D1333, Repository!A:J, 9, 0), ""), "")</f>
        <v/>
      </c>
      <c r="S1333" s="105"/>
      <c r="T1333" s="105"/>
      <c r="U1333" s="105"/>
      <c r="V1333" s="105"/>
      <c r="W1333" s="105"/>
      <c r="X1333" s="105"/>
      <c r="Y1333" s="105"/>
      <c r="Z1333" s="105"/>
      <c r="AA1333" s="105"/>
      <c r="AB1333" s="105"/>
      <c r="AC1333" s="91"/>
      <c r="AD1333" s="105"/>
      <c r="AE1333" s="105"/>
      <c r="AF1333" s="91"/>
      <c r="AG1333" s="105"/>
      <c r="AH1333" s="105"/>
      <c r="AI1333" s="105" t="str">
        <f t="shared" si="1"/>
        <v/>
      </c>
      <c r="AJ1333" s="108" t="str">
        <f t="shared" si="2"/>
        <v/>
      </c>
    </row>
    <row r="1334" ht="15.75" customHeight="1">
      <c r="A1334" s="104"/>
      <c r="B1334" s="105" t="str">
        <f>IFERROR(__xludf.DUMMYFUNCTION("ARRAY_CONSTRAIN(
  ARRAYFORMULA(
    IF(
      'Final Report'!A1334="""",
      """",
      TEXTJOIN(
        "", "" &amp; CHAR(10),
        TRUE,
        IFERROR(
          VLOOKUP(
            TRIM(
              SPLIT('Final Report'!A1334, "","")
         "&amp;"   ),
            'URL Details'!A:B,
            2,
            FALSE
          ),
          """"
        )
      )
    )
  ),
  1,
  1
)
"),"")</f>
        <v/>
      </c>
      <c r="C1334" s="105" t="str">
        <f>IFERROR(__xludf.DUMMYFUNCTION("IFERROR(IF('Final Report'!A1334="""","""", TEXTJOIN(CHAR(10), TRUE, ARRAYFORMULA( ""• ""&amp; FILTER( TRIM(FLATTEN(SPLIT( REGEXREPLACE( SUBSTITUTE(TEXTJOIN("","", TRUE, IFERROR(ARRAYFORMULA(VLOOKUP(TRIM(SPLIT('Final Report'!A1334, "","")), 'URL Details'!A:D, "&amp;"4, FALSE)),"""") ), CHAR(10), "",""), ""\s*,\s*"", "",""), "",""))), TRIM(FLATTEN(SPLIT( REGEXREPLACE( SUBSTITUTE(TEXTJOIN("","", TRUE, IFERROR(ARRAYFORMULA(VLOOKUP(TRIM(SPLIT('Final Report'!A1334, "","")), 'URL Details'!A:D, 4, FALSE)),"""") ), CHAR(10),"&amp;" "",""), ""\s*,\s*"", "",""), "","")))&lt;&gt;"""" ) ) ) ),"""")
"),"")</f>
        <v/>
      </c>
      <c r="D1334" s="105"/>
      <c r="E1334" s="105"/>
      <c r="F1334" s="110" t="b">
        <v>0</v>
      </c>
      <c r="G1334" s="105" t="str">
        <f>IF(F1334=True, IFERROR(VLOOKUP(D1334, Repository!A:B, 2, 0), ""), "")</f>
        <v/>
      </c>
      <c r="H1334" s="105"/>
      <c r="I1334" s="105"/>
      <c r="J1334" s="105" t="str">
        <f>IF(F1334=True, IFERROR(VLOOKUP(D1334, Repository!A:C, 3, 0), ""), "")</f>
        <v/>
      </c>
      <c r="K1334" s="105"/>
      <c r="L1334" s="105" t="str">
        <f>IF(F1334=True, IFERROR(VLOOKUP(D1334, Repository!A:E, 5, 0), ""), "")</f>
        <v/>
      </c>
      <c r="M1334" s="105"/>
      <c r="N1334" s="105" t="str">
        <f>IF(F1334=True, IFERROR(VLOOKUP(D1334, Repository!A:G, 7, 0), ""), "")</f>
        <v/>
      </c>
      <c r="O1334" s="105" t="str">
        <f>IFERROR(__xludf.DUMMYFUNCTION("ARRAY_CONSTRAIN(
  ARRAYFORMULA(
    IFERROR(
      LET(
        list, N1334,
        arr, TRIM(SPLIT(list, "","")),
        names, XLOOKUP(
          arr,
          'Conformance Score'!A:A,
          'Conformance Score'!B:B,
          ""Not found""
     "&amp;"   ),
        TEXTJOIN("", "", TRUE, names)
      ),
      """"
    )
  ),
  1,
  1
)
"),"")</f>
        <v/>
      </c>
      <c r="P1334" s="105" t="str">
        <f>IF(F1334="Yes", IFERROR(VLOOKUP(D1334, Repository!A:F, 6, 0), ""), "")</f>
        <v/>
      </c>
      <c r="Q1334" s="105" t="str">
        <f>IF(F1334="Yes", IFERROR(VLOOKUP(D1334, Repository!A:I, 8, 0), ""), "")</f>
        <v/>
      </c>
      <c r="R1334" s="105" t="str">
        <f>IF(F1334="Yes", IFERROR(VLOOKUP(D1334, Repository!A:J, 9, 0), ""), "")</f>
        <v/>
      </c>
      <c r="S1334" s="105"/>
      <c r="T1334" s="105"/>
      <c r="U1334" s="105"/>
      <c r="V1334" s="105"/>
      <c r="W1334" s="105"/>
      <c r="X1334" s="105"/>
      <c r="Y1334" s="105"/>
      <c r="Z1334" s="105"/>
      <c r="AA1334" s="105"/>
      <c r="AB1334" s="105"/>
      <c r="AC1334" s="91"/>
      <c r="AD1334" s="105"/>
      <c r="AE1334" s="105"/>
      <c r="AF1334" s="91"/>
      <c r="AG1334" s="105"/>
      <c r="AH1334" s="105"/>
      <c r="AI1334" s="105" t="str">
        <f t="shared" si="1"/>
        <v/>
      </c>
      <c r="AJ1334" s="108" t="str">
        <f t="shared" si="2"/>
        <v/>
      </c>
    </row>
    <row r="1335" ht="15.75" customHeight="1">
      <c r="A1335" s="104"/>
      <c r="B1335" s="105" t="str">
        <f>IFERROR(__xludf.DUMMYFUNCTION("ARRAY_CONSTRAIN(
  ARRAYFORMULA(
    IF(
      'Final Report'!A1335="""",
      """",
      TEXTJOIN(
        "", "" &amp; CHAR(10),
        TRUE,
        IFERROR(
          VLOOKUP(
            TRIM(
              SPLIT('Final Report'!A1335, "","")
         "&amp;"   ),
            'URL Details'!A:B,
            2,
            FALSE
          ),
          """"
        )
      )
    )
  ),
  1,
  1
)
"),"")</f>
        <v/>
      </c>
      <c r="C1335" s="105" t="str">
        <f>IFERROR(__xludf.DUMMYFUNCTION("IFERROR(IF('Final Report'!A1335="""","""", TEXTJOIN(CHAR(10), TRUE, ARRAYFORMULA( ""• ""&amp; FILTER( TRIM(FLATTEN(SPLIT( REGEXREPLACE( SUBSTITUTE(TEXTJOIN("","", TRUE, IFERROR(ARRAYFORMULA(VLOOKUP(TRIM(SPLIT('Final Report'!A1335, "","")), 'URL Details'!A:D, "&amp;"4, FALSE)),"""") ), CHAR(10), "",""), ""\s*,\s*"", "",""), "",""))), TRIM(FLATTEN(SPLIT( REGEXREPLACE( SUBSTITUTE(TEXTJOIN("","", TRUE, IFERROR(ARRAYFORMULA(VLOOKUP(TRIM(SPLIT('Final Report'!A1335, "","")), 'URL Details'!A:D, 4, FALSE)),"""") ), CHAR(10),"&amp;" "",""), ""\s*,\s*"", "",""), "","")))&lt;&gt;"""" ) ) ) ),"""")
"),"")</f>
        <v/>
      </c>
      <c r="D1335" s="105"/>
      <c r="E1335" s="105"/>
      <c r="F1335" s="110" t="b">
        <v>0</v>
      </c>
      <c r="G1335" s="105" t="str">
        <f>IF(F1335=True, IFERROR(VLOOKUP(D1335, Repository!A:B, 2, 0), ""), "")</f>
        <v/>
      </c>
      <c r="H1335" s="105"/>
      <c r="I1335" s="105"/>
      <c r="J1335" s="105" t="str">
        <f>IF(F1335=True, IFERROR(VLOOKUP(D1335, Repository!A:C, 3, 0), ""), "")</f>
        <v/>
      </c>
      <c r="K1335" s="105"/>
      <c r="L1335" s="105" t="str">
        <f>IF(F1335=True, IFERROR(VLOOKUP(D1335, Repository!A:E, 5, 0), ""), "")</f>
        <v/>
      </c>
      <c r="M1335" s="105"/>
      <c r="N1335" s="105" t="str">
        <f>IF(F1335=True, IFERROR(VLOOKUP(D1335, Repository!A:G, 7, 0), ""), "")</f>
        <v/>
      </c>
      <c r="O1335" s="105" t="str">
        <f>IFERROR(__xludf.DUMMYFUNCTION("ARRAY_CONSTRAIN(
  ARRAYFORMULA(
    IFERROR(
      LET(
        list, N1335,
        arr, TRIM(SPLIT(list, "","")),
        names, XLOOKUP(
          arr,
          'Conformance Score'!A:A,
          'Conformance Score'!B:B,
          ""Not found""
     "&amp;"   ),
        TEXTJOIN("", "", TRUE, names)
      ),
      """"
    )
  ),
  1,
  1
)
"),"")</f>
        <v/>
      </c>
      <c r="P1335" s="105" t="str">
        <f>IF(F1335="Yes", IFERROR(VLOOKUP(D1335, Repository!A:F, 6, 0), ""), "")</f>
        <v/>
      </c>
      <c r="Q1335" s="105" t="str">
        <f>IF(F1335="Yes", IFERROR(VLOOKUP(D1335, Repository!A:I, 8, 0), ""), "")</f>
        <v/>
      </c>
      <c r="R1335" s="105" t="str">
        <f>IF(F1335="Yes", IFERROR(VLOOKUP(D1335, Repository!A:J, 9, 0), ""), "")</f>
        <v/>
      </c>
      <c r="S1335" s="105"/>
      <c r="T1335" s="105"/>
      <c r="U1335" s="105"/>
      <c r="V1335" s="105"/>
      <c r="W1335" s="105"/>
      <c r="X1335" s="105"/>
      <c r="Y1335" s="105"/>
      <c r="Z1335" s="105"/>
      <c r="AA1335" s="105"/>
      <c r="AB1335" s="105"/>
      <c r="AC1335" s="91"/>
      <c r="AD1335" s="105"/>
      <c r="AE1335" s="105"/>
      <c r="AF1335" s="91"/>
      <c r="AG1335" s="105"/>
      <c r="AH1335" s="105"/>
      <c r="AI1335" s="105" t="str">
        <f t="shared" si="1"/>
        <v/>
      </c>
      <c r="AJ1335" s="108" t="str">
        <f t="shared" si="2"/>
        <v/>
      </c>
    </row>
    <row r="1336" ht="15.75" customHeight="1">
      <c r="A1336" s="104"/>
      <c r="B1336" s="105" t="str">
        <f>IFERROR(__xludf.DUMMYFUNCTION("ARRAY_CONSTRAIN(
  ARRAYFORMULA(
    IF(
      'Final Report'!A1336="""",
      """",
      TEXTJOIN(
        "", "" &amp; CHAR(10),
        TRUE,
        IFERROR(
          VLOOKUP(
            TRIM(
              SPLIT('Final Report'!A1336, "","")
         "&amp;"   ),
            'URL Details'!A:B,
            2,
            FALSE
          ),
          """"
        )
      )
    )
  ),
  1,
  1
)
"),"")</f>
        <v/>
      </c>
      <c r="C1336" s="105" t="str">
        <f>IFERROR(__xludf.DUMMYFUNCTION("IFERROR(IF('Final Report'!A1336="""","""", TEXTJOIN(CHAR(10), TRUE, ARRAYFORMULA( ""• ""&amp; FILTER( TRIM(FLATTEN(SPLIT( REGEXREPLACE( SUBSTITUTE(TEXTJOIN("","", TRUE, IFERROR(ARRAYFORMULA(VLOOKUP(TRIM(SPLIT('Final Report'!A1336, "","")), 'URL Details'!A:D, "&amp;"4, FALSE)),"""") ), CHAR(10), "",""), ""\s*,\s*"", "",""), "",""))), TRIM(FLATTEN(SPLIT( REGEXREPLACE( SUBSTITUTE(TEXTJOIN("","", TRUE, IFERROR(ARRAYFORMULA(VLOOKUP(TRIM(SPLIT('Final Report'!A1336, "","")), 'URL Details'!A:D, 4, FALSE)),"""") ), CHAR(10),"&amp;" "",""), ""\s*,\s*"", "",""), "","")))&lt;&gt;"""" ) ) ) ),"""")
"),"")</f>
        <v/>
      </c>
      <c r="D1336" s="105"/>
      <c r="E1336" s="105"/>
      <c r="F1336" s="110" t="b">
        <v>0</v>
      </c>
      <c r="G1336" s="105" t="str">
        <f>IF(F1336=True, IFERROR(VLOOKUP(D1336, Repository!A:B, 2, 0), ""), "")</f>
        <v/>
      </c>
      <c r="H1336" s="105"/>
      <c r="I1336" s="105"/>
      <c r="J1336" s="105" t="str">
        <f>IF(F1336=True, IFERROR(VLOOKUP(D1336, Repository!A:C, 3, 0), ""), "")</f>
        <v/>
      </c>
      <c r="K1336" s="105"/>
      <c r="L1336" s="105" t="str">
        <f>IF(F1336=True, IFERROR(VLOOKUP(D1336, Repository!A:E, 5, 0), ""), "")</f>
        <v/>
      </c>
      <c r="M1336" s="105"/>
      <c r="N1336" s="105" t="str">
        <f>IF(F1336=True, IFERROR(VLOOKUP(D1336, Repository!A:G, 7, 0), ""), "")</f>
        <v/>
      </c>
      <c r="O1336" s="105" t="str">
        <f>IFERROR(__xludf.DUMMYFUNCTION("ARRAY_CONSTRAIN(
  ARRAYFORMULA(
    IFERROR(
      LET(
        list, N1336,
        arr, TRIM(SPLIT(list, "","")),
        names, XLOOKUP(
          arr,
          'Conformance Score'!A:A,
          'Conformance Score'!B:B,
          ""Not found""
     "&amp;"   ),
        TEXTJOIN("", "", TRUE, names)
      ),
      """"
    )
  ),
  1,
  1
)
"),"")</f>
        <v/>
      </c>
      <c r="P1336" s="105" t="str">
        <f>IF(F1336="Yes", IFERROR(VLOOKUP(D1336, Repository!A:F, 6, 0), ""), "")</f>
        <v/>
      </c>
      <c r="Q1336" s="105" t="str">
        <f>IF(F1336="Yes", IFERROR(VLOOKUP(D1336, Repository!A:I, 8, 0), ""), "")</f>
        <v/>
      </c>
      <c r="R1336" s="105" t="str">
        <f>IF(F1336="Yes", IFERROR(VLOOKUP(D1336, Repository!A:J, 9, 0), ""), "")</f>
        <v/>
      </c>
      <c r="S1336" s="105"/>
      <c r="T1336" s="105"/>
      <c r="U1336" s="105"/>
      <c r="V1336" s="105"/>
      <c r="W1336" s="105"/>
      <c r="X1336" s="105"/>
      <c r="Y1336" s="105"/>
      <c r="Z1336" s="105"/>
      <c r="AA1336" s="105"/>
      <c r="AB1336" s="105"/>
      <c r="AC1336" s="91"/>
      <c r="AD1336" s="105"/>
      <c r="AE1336" s="105"/>
      <c r="AF1336" s="91"/>
      <c r="AG1336" s="105"/>
      <c r="AH1336" s="105"/>
      <c r="AI1336" s="105" t="str">
        <f t="shared" si="1"/>
        <v/>
      </c>
      <c r="AJ1336" s="108" t="str">
        <f t="shared" si="2"/>
        <v/>
      </c>
    </row>
    <row r="1337" ht="15.75" customHeight="1">
      <c r="A1337" s="104"/>
      <c r="B1337" s="105" t="str">
        <f>IFERROR(__xludf.DUMMYFUNCTION("ARRAY_CONSTRAIN(
  ARRAYFORMULA(
    IF(
      'Final Report'!A1337="""",
      """",
      TEXTJOIN(
        "", "" &amp; CHAR(10),
        TRUE,
        IFERROR(
          VLOOKUP(
            TRIM(
              SPLIT('Final Report'!A1337, "","")
         "&amp;"   ),
            'URL Details'!A:B,
            2,
            FALSE
          ),
          """"
        )
      )
    )
  ),
  1,
  1
)
"),"")</f>
        <v/>
      </c>
      <c r="C1337" s="105" t="str">
        <f>IFERROR(__xludf.DUMMYFUNCTION("IFERROR(IF('Final Report'!A1337="""","""", TEXTJOIN(CHAR(10), TRUE, ARRAYFORMULA( ""• ""&amp; FILTER( TRIM(FLATTEN(SPLIT( REGEXREPLACE( SUBSTITUTE(TEXTJOIN("","", TRUE, IFERROR(ARRAYFORMULA(VLOOKUP(TRIM(SPLIT('Final Report'!A1337, "","")), 'URL Details'!A:D, "&amp;"4, FALSE)),"""") ), CHAR(10), "",""), ""\s*,\s*"", "",""), "",""))), TRIM(FLATTEN(SPLIT( REGEXREPLACE( SUBSTITUTE(TEXTJOIN("","", TRUE, IFERROR(ARRAYFORMULA(VLOOKUP(TRIM(SPLIT('Final Report'!A1337, "","")), 'URL Details'!A:D, 4, FALSE)),"""") ), CHAR(10),"&amp;" "",""), ""\s*,\s*"", "",""), "","")))&lt;&gt;"""" ) ) ) ),"""")
"),"")</f>
        <v/>
      </c>
      <c r="D1337" s="105"/>
      <c r="E1337" s="105"/>
      <c r="F1337" s="110" t="b">
        <v>0</v>
      </c>
      <c r="G1337" s="105" t="str">
        <f>IF(F1337=True, IFERROR(VLOOKUP(D1337, Repository!A:B, 2, 0), ""), "")</f>
        <v/>
      </c>
      <c r="H1337" s="105"/>
      <c r="I1337" s="105"/>
      <c r="J1337" s="105" t="str">
        <f>IF(F1337=True, IFERROR(VLOOKUP(D1337, Repository!A:C, 3, 0), ""), "")</f>
        <v/>
      </c>
      <c r="K1337" s="105"/>
      <c r="L1337" s="105" t="str">
        <f>IF(F1337=True, IFERROR(VLOOKUP(D1337, Repository!A:E, 5, 0), ""), "")</f>
        <v/>
      </c>
      <c r="M1337" s="105"/>
      <c r="N1337" s="105" t="str">
        <f>IF(F1337=True, IFERROR(VLOOKUP(D1337, Repository!A:G, 7, 0), ""), "")</f>
        <v/>
      </c>
      <c r="O1337" s="105" t="str">
        <f>IFERROR(__xludf.DUMMYFUNCTION("ARRAY_CONSTRAIN(
  ARRAYFORMULA(
    IFERROR(
      LET(
        list, N1337,
        arr, TRIM(SPLIT(list, "","")),
        names, XLOOKUP(
          arr,
          'Conformance Score'!A:A,
          'Conformance Score'!B:B,
          ""Not found""
     "&amp;"   ),
        TEXTJOIN("", "", TRUE, names)
      ),
      """"
    )
  ),
  1,
  1
)
"),"")</f>
        <v/>
      </c>
      <c r="P1337" s="105" t="str">
        <f>IF(F1337="Yes", IFERROR(VLOOKUP(D1337, Repository!A:F, 6, 0), ""), "")</f>
        <v/>
      </c>
      <c r="Q1337" s="105" t="str">
        <f>IF(F1337="Yes", IFERROR(VLOOKUP(D1337, Repository!A:I, 8, 0), ""), "")</f>
        <v/>
      </c>
      <c r="R1337" s="105" t="str">
        <f>IF(F1337="Yes", IFERROR(VLOOKUP(D1337, Repository!A:J, 9, 0), ""), "")</f>
        <v/>
      </c>
      <c r="S1337" s="105"/>
      <c r="T1337" s="105"/>
      <c r="U1337" s="105"/>
      <c r="V1337" s="105"/>
      <c r="W1337" s="105"/>
      <c r="X1337" s="105"/>
      <c r="Y1337" s="105"/>
      <c r="Z1337" s="105"/>
      <c r="AA1337" s="105"/>
      <c r="AB1337" s="105"/>
      <c r="AC1337" s="91"/>
      <c r="AD1337" s="105"/>
      <c r="AE1337" s="105"/>
      <c r="AF1337" s="91"/>
      <c r="AG1337" s="105"/>
      <c r="AH1337" s="105"/>
      <c r="AI1337" s="105" t="str">
        <f t="shared" si="1"/>
        <v/>
      </c>
      <c r="AJ1337" s="108" t="str">
        <f t="shared" si="2"/>
        <v/>
      </c>
    </row>
    <row r="1338" ht="15.75" customHeight="1">
      <c r="A1338" s="104"/>
      <c r="B1338" s="105" t="str">
        <f>IFERROR(__xludf.DUMMYFUNCTION("ARRAY_CONSTRAIN(
  ARRAYFORMULA(
    IF(
      'Final Report'!A1338="""",
      """",
      TEXTJOIN(
        "", "" &amp; CHAR(10),
        TRUE,
        IFERROR(
          VLOOKUP(
            TRIM(
              SPLIT('Final Report'!A1338, "","")
         "&amp;"   ),
            'URL Details'!A:B,
            2,
            FALSE
          ),
          """"
        )
      )
    )
  ),
  1,
  1
)
"),"")</f>
        <v/>
      </c>
      <c r="C1338" s="105" t="str">
        <f>IFERROR(__xludf.DUMMYFUNCTION("IFERROR(IF('Final Report'!A1338="""","""", TEXTJOIN(CHAR(10), TRUE, ARRAYFORMULA( ""• ""&amp; FILTER( TRIM(FLATTEN(SPLIT( REGEXREPLACE( SUBSTITUTE(TEXTJOIN("","", TRUE, IFERROR(ARRAYFORMULA(VLOOKUP(TRIM(SPLIT('Final Report'!A1338, "","")), 'URL Details'!A:D, "&amp;"4, FALSE)),"""") ), CHAR(10), "",""), ""\s*,\s*"", "",""), "",""))), TRIM(FLATTEN(SPLIT( REGEXREPLACE( SUBSTITUTE(TEXTJOIN("","", TRUE, IFERROR(ARRAYFORMULA(VLOOKUP(TRIM(SPLIT('Final Report'!A1338, "","")), 'URL Details'!A:D, 4, FALSE)),"""") ), CHAR(10),"&amp;" "",""), ""\s*,\s*"", "",""), "","")))&lt;&gt;"""" ) ) ) ),"""")
"),"")</f>
        <v/>
      </c>
      <c r="D1338" s="105"/>
      <c r="E1338" s="105"/>
      <c r="F1338" s="110" t="b">
        <v>0</v>
      </c>
      <c r="G1338" s="105" t="str">
        <f>IF(F1338=True, IFERROR(VLOOKUP(D1338, Repository!A:B, 2, 0), ""), "")</f>
        <v/>
      </c>
      <c r="H1338" s="105"/>
      <c r="I1338" s="105"/>
      <c r="J1338" s="105" t="str">
        <f>IF(F1338=True, IFERROR(VLOOKUP(D1338, Repository!A:C, 3, 0), ""), "")</f>
        <v/>
      </c>
      <c r="K1338" s="105"/>
      <c r="L1338" s="105" t="str">
        <f>IF(F1338=True, IFERROR(VLOOKUP(D1338, Repository!A:E, 5, 0), ""), "")</f>
        <v/>
      </c>
      <c r="M1338" s="105"/>
      <c r="N1338" s="105" t="str">
        <f>IF(F1338=True, IFERROR(VLOOKUP(D1338, Repository!A:G, 7, 0), ""), "")</f>
        <v/>
      </c>
      <c r="O1338" s="105" t="str">
        <f>IFERROR(__xludf.DUMMYFUNCTION("ARRAY_CONSTRAIN(
  ARRAYFORMULA(
    IFERROR(
      LET(
        list, N1338,
        arr, TRIM(SPLIT(list, "","")),
        names, XLOOKUP(
          arr,
          'Conformance Score'!A:A,
          'Conformance Score'!B:B,
          ""Not found""
     "&amp;"   ),
        TEXTJOIN("", "", TRUE, names)
      ),
      """"
    )
  ),
  1,
  1
)
"),"")</f>
        <v/>
      </c>
      <c r="P1338" s="105" t="str">
        <f>IF(F1338="Yes", IFERROR(VLOOKUP(D1338, Repository!A:F, 6, 0), ""), "")</f>
        <v/>
      </c>
      <c r="Q1338" s="105" t="str">
        <f>IF(F1338="Yes", IFERROR(VLOOKUP(D1338, Repository!A:I, 8, 0), ""), "")</f>
        <v/>
      </c>
      <c r="R1338" s="105" t="str">
        <f>IF(F1338="Yes", IFERROR(VLOOKUP(D1338, Repository!A:J, 9, 0), ""), "")</f>
        <v/>
      </c>
      <c r="S1338" s="105"/>
      <c r="T1338" s="105"/>
      <c r="U1338" s="105"/>
      <c r="V1338" s="105"/>
      <c r="W1338" s="105"/>
      <c r="X1338" s="105"/>
      <c r="Y1338" s="105"/>
      <c r="Z1338" s="105"/>
      <c r="AA1338" s="105"/>
      <c r="AB1338" s="105"/>
      <c r="AC1338" s="91"/>
      <c r="AD1338" s="105"/>
      <c r="AE1338" s="105"/>
      <c r="AF1338" s="91"/>
      <c r="AG1338" s="105"/>
      <c r="AH1338" s="105"/>
      <c r="AI1338" s="105" t="str">
        <f t="shared" si="1"/>
        <v/>
      </c>
      <c r="AJ1338" s="108" t="str">
        <f t="shared" si="2"/>
        <v/>
      </c>
    </row>
    <row r="1339" ht="15.75" customHeight="1">
      <c r="A1339" s="104"/>
      <c r="B1339" s="105" t="str">
        <f>IFERROR(__xludf.DUMMYFUNCTION("ARRAY_CONSTRAIN(
  ARRAYFORMULA(
    IF(
      'Final Report'!A1339="""",
      """",
      TEXTJOIN(
        "", "" &amp; CHAR(10),
        TRUE,
        IFERROR(
          VLOOKUP(
            TRIM(
              SPLIT('Final Report'!A1339, "","")
         "&amp;"   ),
            'URL Details'!A:B,
            2,
            FALSE
          ),
          """"
        )
      )
    )
  ),
  1,
  1
)
"),"")</f>
        <v/>
      </c>
      <c r="C1339" s="105" t="str">
        <f>IFERROR(__xludf.DUMMYFUNCTION("IFERROR(IF('Final Report'!A1339="""","""", TEXTJOIN(CHAR(10), TRUE, ARRAYFORMULA( ""• ""&amp; FILTER( TRIM(FLATTEN(SPLIT( REGEXREPLACE( SUBSTITUTE(TEXTJOIN("","", TRUE, IFERROR(ARRAYFORMULA(VLOOKUP(TRIM(SPLIT('Final Report'!A1339, "","")), 'URL Details'!A:D, "&amp;"4, FALSE)),"""") ), CHAR(10), "",""), ""\s*,\s*"", "",""), "",""))), TRIM(FLATTEN(SPLIT( REGEXREPLACE( SUBSTITUTE(TEXTJOIN("","", TRUE, IFERROR(ARRAYFORMULA(VLOOKUP(TRIM(SPLIT('Final Report'!A1339, "","")), 'URL Details'!A:D, 4, FALSE)),"""") ), CHAR(10),"&amp;" "",""), ""\s*,\s*"", "",""), "","")))&lt;&gt;"""" ) ) ) ),"""")
"),"")</f>
        <v/>
      </c>
      <c r="D1339" s="105"/>
      <c r="E1339" s="105"/>
      <c r="F1339" s="110" t="b">
        <v>0</v>
      </c>
      <c r="G1339" s="105" t="str">
        <f>IF(F1339=True, IFERROR(VLOOKUP(D1339, Repository!A:B, 2, 0), ""), "")</f>
        <v/>
      </c>
      <c r="H1339" s="105"/>
      <c r="I1339" s="105"/>
      <c r="J1339" s="105" t="str">
        <f>IF(F1339=True, IFERROR(VLOOKUP(D1339, Repository!A:C, 3, 0), ""), "")</f>
        <v/>
      </c>
      <c r="K1339" s="105"/>
      <c r="L1339" s="105" t="str">
        <f>IF(F1339=True, IFERROR(VLOOKUP(D1339, Repository!A:E, 5, 0), ""), "")</f>
        <v/>
      </c>
      <c r="M1339" s="105"/>
      <c r="N1339" s="105" t="str">
        <f>IF(F1339=True, IFERROR(VLOOKUP(D1339, Repository!A:G, 7, 0), ""), "")</f>
        <v/>
      </c>
      <c r="O1339" s="105" t="str">
        <f>IFERROR(__xludf.DUMMYFUNCTION("ARRAY_CONSTRAIN(
  ARRAYFORMULA(
    IFERROR(
      LET(
        list, N1339,
        arr, TRIM(SPLIT(list, "","")),
        names, XLOOKUP(
          arr,
          'Conformance Score'!A:A,
          'Conformance Score'!B:B,
          ""Not found""
     "&amp;"   ),
        TEXTJOIN("", "", TRUE, names)
      ),
      """"
    )
  ),
  1,
  1
)
"),"")</f>
        <v/>
      </c>
      <c r="P1339" s="105" t="str">
        <f>IF(F1339="Yes", IFERROR(VLOOKUP(D1339, Repository!A:F, 6, 0), ""), "")</f>
        <v/>
      </c>
      <c r="Q1339" s="105" t="str">
        <f>IF(F1339="Yes", IFERROR(VLOOKUP(D1339, Repository!A:I, 8, 0), ""), "")</f>
        <v/>
      </c>
      <c r="R1339" s="105" t="str">
        <f>IF(F1339="Yes", IFERROR(VLOOKUP(D1339, Repository!A:J, 9, 0), ""), "")</f>
        <v/>
      </c>
      <c r="S1339" s="105"/>
      <c r="T1339" s="105"/>
      <c r="U1339" s="105"/>
      <c r="V1339" s="105"/>
      <c r="W1339" s="105"/>
      <c r="X1339" s="105"/>
      <c r="Y1339" s="105"/>
      <c r="Z1339" s="105"/>
      <c r="AA1339" s="105"/>
      <c r="AB1339" s="105"/>
      <c r="AC1339" s="91"/>
      <c r="AD1339" s="105"/>
      <c r="AE1339" s="105"/>
      <c r="AF1339" s="91"/>
      <c r="AG1339" s="105"/>
      <c r="AH1339" s="105"/>
      <c r="AI1339" s="105" t="str">
        <f t="shared" si="1"/>
        <v/>
      </c>
      <c r="AJ1339" s="108" t="str">
        <f t="shared" si="2"/>
        <v/>
      </c>
    </row>
    <row r="1340" ht="15.75" customHeight="1">
      <c r="A1340" s="104"/>
      <c r="B1340" s="105" t="str">
        <f>IFERROR(__xludf.DUMMYFUNCTION("ARRAY_CONSTRAIN(
  ARRAYFORMULA(
    IF(
      'Final Report'!A1340="""",
      """",
      TEXTJOIN(
        "", "" &amp; CHAR(10),
        TRUE,
        IFERROR(
          VLOOKUP(
            TRIM(
              SPLIT('Final Report'!A1340, "","")
         "&amp;"   ),
            'URL Details'!A:B,
            2,
            FALSE
          ),
          """"
        )
      )
    )
  ),
  1,
  1
)
"),"")</f>
        <v/>
      </c>
      <c r="C1340" s="105" t="str">
        <f>IFERROR(__xludf.DUMMYFUNCTION("IFERROR(IF('Final Report'!A1340="""","""", TEXTJOIN(CHAR(10), TRUE, ARRAYFORMULA( ""• ""&amp; FILTER( TRIM(FLATTEN(SPLIT( REGEXREPLACE( SUBSTITUTE(TEXTJOIN("","", TRUE, IFERROR(ARRAYFORMULA(VLOOKUP(TRIM(SPLIT('Final Report'!A1340, "","")), 'URL Details'!A:D, "&amp;"4, FALSE)),"""") ), CHAR(10), "",""), ""\s*,\s*"", "",""), "",""))), TRIM(FLATTEN(SPLIT( REGEXREPLACE( SUBSTITUTE(TEXTJOIN("","", TRUE, IFERROR(ARRAYFORMULA(VLOOKUP(TRIM(SPLIT('Final Report'!A1340, "","")), 'URL Details'!A:D, 4, FALSE)),"""") ), CHAR(10),"&amp;" "",""), ""\s*,\s*"", "",""), "","")))&lt;&gt;"""" ) ) ) ),"""")
"),"")</f>
        <v/>
      </c>
      <c r="D1340" s="105"/>
      <c r="E1340" s="105"/>
      <c r="F1340" s="110" t="b">
        <v>0</v>
      </c>
      <c r="G1340" s="105" t="str">
        <f>IF(F1340=True, IFERROR(VLOOKUP(D1340, Repository!A:B, 2, 0), ""), "")</f>
        <v/>
      </c>
      <c r="H1340" s="105"/>
      <c r="I1340" s="105"/>
      <c r="J1340" s="105" t="str">
        <f>IF(F1340=True, IFERROR(VLOOKUP(D1340, Repository!A:C, 3, 0), ""), "")</f>
        <v/>
      </c>
      <c r="K1340" s="105"/>
      <c r="L1340" s="105" t="str">
        <f>IF(F1340=True, IFERROR(VLOOKUP(D1340, Repository!A:E, 5, 0), ""), "")</f>
        <v/>
      </c>
      <c r="M1340" s="105"/>
      <c r="N1340" s="105" t="str">
        <f>IF(F1340=True, IFERROR(VLOOKUP(D1340, Repository!A:G, 7, 0), ""), "")</f>
        <v/>
      </c>
      <c r="O1340" s="105" t="str">
        <f>IFERROR(__xludf.DUMMYFUNCTION("ARRAY_CONSTRAIN(
  ARRAYFORMULA(
    IFERROR(
      LET(
        list, N1340,
        arr, TRIM(SPLIT(list, "","")),
        names, XLOOKUP(
          arr,
          'Conformance Score'!A:A,
          'Conformance Score'!B:B,
          ""Not found""
     "&amp;"   ),
        TEXTJOIN("", "", TRUE, names)
      ),
      """"
    )
  ),
  1,
  1
)
"),"")</f>
        <v/>
      </c>
      <c r="P1340" s="105" t="str">
        <f>IF(F1340="Yes", IFERROR(VLOOKUP(D1340, Repository!A:F, 6, 0), ""), "")</f>
        <v/>
      </c>
      <c r="Q1340" s="105" t="str">
        <f>IF(F1340="Yes", IFERROR(VLOOKUP(D1340, Repository!A:I, 8, 0), ""), "")</f>
        <v/>
      </c>
      <c r="R1340" s="105" t="str">
        <f>IF(F1340="Yes", IFERROR(VLOOKUP(D1340, Repository!A:J, 9, 0), ""), "")</f>
        <v/>
      </c>
      <c r="S1340" s="105"/>
      <c r="T1340" s="105"/>
      <c r="U1340" s="105"/>
      <c r="V1340" s="105"/>
      <c r="W1340" s="105"/>
      <c r="X1340" s="105"/>
      <c r="Y1340" s="105"/>
      <c r="Z1340" s="105"/>
      <c r="AA1340" s="105"/>
      <c r="AB1340" s="105"/>
      <c r="AC1340" s="91"/>
      <c r="AD1340" s="105"/>
      <c r="AE1340" s="105"/>
      <c r="AF1340" s="91"/>
      <c r="AG1340" s="105"/>
      <c r="AH1340" s="105"/>
      <c r="AI1340" s="105" t="str">
        <f t="shared" si="1"/>
        <v/>
      </c>
      <c r="AJ1340" s="108" t="str">
        <f t="shared" si="2"/>
        <v/>
      </c>
    </row>
    <row r="1341" ht="15.75" customHeight="1">
      <c r="A1341" s="104"/>
      <c r="B1341" s="105" t="str">
        <f>IFERROR(__xludf.DUMMYFUNCTION("ARRAY_CONSTRAIN(
  ARRAYFORMULA(
    IF(
      'Final Report'!A1341="""",
      """",
      TEXTJOIN(
        "", "" &amp; CHAR(10),
        TRUE,
        IFERROR(
          VLOOKUP(
            TRIM(
              SPLIT('Final Report'!A1341, "","")
         "&amp;"   ),
            'URL Details'!A:B,
            2,
            FALSE
          ),
          """"
        )
      )
    )
  ),
  1,
  1
)
"),"")</f>
        <v/>
      </c>
      <c r="C1341" s="105" t="str">
        <f>IFERROR(__xludf.DUMMYFUNCTION("IFERROR(IF('Final Report'!A1341="""","""", TEXTJOIN(CHAR(10), TRUE, ARRAYFORMULA( ""• ""&amp; FILTER( TRIM(FLATTEN(SPLIT( REGEXREPLACE( SUBSTITUTE(TEXTJOIN("","", TRUE, IFERROR(ARRAYFORMULA(VLOOKUP(TRIM(SPLIT('Final Report'!A1341, "","")), 'URL Details'!A:D, "&amp;"4, FALSE)),"""") ), CHAR(10), "",""), ""\s*,\s*"", "",""), "",""))), TRIM(FLATTEN(SPLIT( REGEXREPLACE( SUBSTITUTE(TEXTJOIN("","", TRUE, IFERROR(ARRAYFORMULA(VLOOKUP(TRIM(SPLIT('Final Report'!A1341, "","")), 'URL Details'!A:D, 4, FALSE)),"""") ), CHAR(10),"&amp;" "",""), ""\s*,\s*"", "",""), "","")))&lt;&gt;"""" ) ) ) ),"""")
"),"")</f>
        <v/>
      </c>
      <c r="D1341" s="105"/>
      <c r="E1341" s="105"/>
      <c r="F1341" s="110" t="b">
        <v>0</v>
      </c>
      <c r="G1341" s="105" t="str">
        <f>IF(F1341=True, IFERROR(VLOOKUP(D1341, Repository!A:B, 2, 0), ""), "")</f>
        <v/>
      </c>
      <c r="H1341" s="105"/>
      <c r="I1341" s="105"/>
      <c r="J1341" s="105" t="str">
        <f>IF(F1341=True, IFERROR(VLOOKUP(D1341, Repository!A:C, 3, 0), ""), "")</f>
        <v/>
      </c>
      <c r="K1341" s="105"/>
      <c r="L1341" s="105" t="str">
        <f>IF(F1341=True, IFERROR(VLOOKUP(D1341, Repository!A:E, 5, 0), ""), "")</f>
        <v/>
      </c>
      <c r="M1341" s="105"/>
      <c r="N1341" s="105" t="str">
        <f>IF(F1341=True, IFERROR(VLOOKUP(D1341, Repository!A:G, 7, 0), ""), "")</f>
        <v/>
      </c>
      <c r="O1341" s="105" t="str">
        <f>IFERROR(__xludf.DUMMYFUNCTION("ARRAY_CONSTRAIN(
  ARRAYFORMULA(
    IFERROR(
      LET(
        list, N1341,
        arr, TRIM(SPLIT(list, "","")),
        names, XLOOKUP(
          arr,
          'Conformance Score'!A:A,
          'Conformance Score'!B:B,
          ""Not found""
     "&amp;"   ),
        TEXTJOIN("", "", TRUE, names)
      ),
      """"
    )
  ),
  1,
  1
)
"),"")</f>
        <v/>
      </c>
      <c r="P1341" s="105" t="str">
        <f>IF(F1341="Yes", IFERROR(VLOOKUP(D1341, Repository!A:F, 6, 0), ""), "")</f>
        <v/>
      </c>
      <c r="Q1341" s="105" t="str">
        <f>IF(F1341="Yes", IFERROR(VLOOKUP(D1341, Repository!A:I, 8, 0), ""), "")</f>
        <v/>
      </c>
      <c r="R1341" s="105" t="str">
        <f>IF(F1341="Yes", IFERROR(VLOOKUP(D1341, Repository!A:J, 9, 0), ""), "")</f>
        <v/>
      </c>
      <c r="S1341" s="105"/>
      <c r="T1341" s="105"/>
      <c r="U1341" s="105"/>
      <c r="V1341" s="105"/>
      <c r="W1341" s="105"/>
      <c r="X1341" s="105"/>
      <c r="Y1341" s="105"/>
      <c r="Z1341" s="105"/>
      <c r="AA1341" s="105"/>
      <c r="AB1341" s="105"/>
      <c r="AC1341" s="91"/>
      <c r="AD1341" s="105"/>
      <c r="AE1341" s="105"/>
      <c r="AF1341" s="91"/>
      <c r="AG1341" s="105"/>
      <c r="AH1341" s="105"/>
      <c r="AI1341" s="105" t="str">
        <f t="shared" si="1"/>
        <v/>
      </c>
      <c r="AJ1341" s="108" t="str">
        <f t="shared" si="2"/>
        <v/>
      </c>
    </row>
    <row r="1342" ht="15.75" customHeight="1">
      <c r="A1342" s="104"/>
      <c r="B1342" s="105" t="str">
        <f>IFERROR(__xludf.DUMMYFUNCTION("ARRAY_CONSTRAIN(
  ARRAYFORMULA(
    IF(
      'Final Report'!A1342="""",
      """",
      TEXTJOIN(
        "", "" &amp; CHAR(10),
        TRUE,
        IFERROR(
          VLOOKUP(
            TRIM(
              SPLIT('Final Report'!A1342, "","")
         "&amp;"   ),
            'URL Details'!A:B,
            2,
            FALSE
          ),
          """"
        )
      )
    )
  ),
  1,
  1
)
"),"")</f>
        <v/>
      </c>
      <c r="C1342" s="105" t="str">
        <f>IFERROR(__xludf.DUMMYFUNCTION("IFERROR(IF('Final Report'!A1342="""","""", TEXTJOIN(CHAR(10), TRUE, ARRAYFORMULA( ""• ""&amp; FILTER( TRIM(FLATTEN(SPLIT( REGEXREPLACE( SUBSTITUTE(TEXTJOIN("","", TRUE, IFERROR(ARRAYFORMULA(VLOOKUP(TRIM(SPLIT('Final Report'!A1342, "","")), 'URL Details'!A:D, "&amp;"4, FALSE)),"""") ), CHAR(10), "",""), ""\s*,\s*"", "",""), "",""))), TRIM(FLATTEN(SPLIT( REGEXREPLACE( SUBSTITUTE(TEXTJOIN("","", TRUE, IFERROR(ARRAYFORMULA(VLOOKUP(TRIM(SPLIT('Final Report'!A1342, "","")), 'URL Details'!A:D, 4, FALSE)),"""") ), CHAR(10),"&amp;" "",""), ""\s*,\s*"", "",""), "","")))&lt;&gt;"""" ) ) ) ),"""")
"),"")</f>
        <v/>
      </c>
      <c r="D1342" s="105"/>
      <c r="E1342" s="105"/>
      <c r="F1342" s="110" t="b">
        <v>0</v>
      </c>
      <c r="G1342" s="105" t="str">
        <f>IF(F1342=True, IFERROR(VLOOKUP(D1342, Repository!A:B, 2, 0), ""), "")</f>
        <v/>
      </c>
      <c r="H1342" s="105"/>
      <c r="I1342" s="105"/>
      <c r="J1342" s="105" t="str">
        <f>IF(F1342=True, IFERROR(VLOOKUP(D1342, Repository!A:C, 3, 0), ""), "")</f>
        <v/>
      </c>
      <c r="K1342" s="105"/>
      <c r="L1342" s="105" t="str">
        <f>IF(F1342=True, IFERROR(VLOOKUP(D1342, Repository!A:E, 5, 0), ""), "")</f>
        <v/>
      </c>
      <c r="M1342" s="105"/>
      <c r="N1342" s="105" t="str">
        <f>IF(F1342=True, IFERROR(VLOOKUP(D1342, Repository!A:G, 7, 0), ""), "")</f>
        <v/>
      </c>
      <c r="O1342" s="105" t="str">
        <f>IFERROR(__xludf.DUMMYFUNCTION("ARRAY_CONSTRAIN(
  ARRAYFORMULA(
    IFERROR(
      LET(
        list, N1342,
        arr, TRIM(SPLIT(list, "","")),
        names, XLOOKUP(
          arr,
          'Conformance Score'!A:A,
          'Conformance Score'!B:B,
          ""Not found""
     "&amp;"   ),
        TEXTJOIN("", "", TRUE, names)
      ),
      """"
    )
  ),
  1,
  1
)
"),"")</f>
        <v/>
      </c>
      <c r="P1342" s="105" t="str">
        <f>IF(F1342="Yes", IFERROR(VLOOKUP(D1342, Repository!A:F, 6, 0), ""), "")</f>
        <v/>
      </c>
      <c r="Q1342" s="105" t="str">
        <f>IF(F1342="Yes", IFERROR(VLOOKUP(D1342, Repository!A:I, 8, 0), ""), "")</f>
        <v/>
      </c>
      <c r="R1342" s="105" t="str">
        <f>IF(F1342="Yes", IFERROR(VLOOKUP(D1342, Repository!A:J, 9, 0), ""), "")</f>
        <v/>
      </c>
      <c r="S1342" s="105"/>
      <c r="T1342" s="105"/>
      <c r="U1342" s="105"/>
      <c r="V1342" s="105"/>
      <c r="W1342" s="105"/>
      <c r="X1342" s="105"/>
      <c r="Y1342" s="105"/>
      <c r="Z1342" s="105"/>
      <c r="AA1342" s="105"/>
      <c r="AB1342" s="105"/>
      <c r="AC1342" s="91"/>
      <c r="AD1342" s="105"/>
      <c r="AE1342" s="105"/>
      <c r="AF1342" s="91"/>
      <c r="AG1342" s="105"/>
      <c r="AH1342" s="105"/>
      <c r="AI1342" s="105" t="str">
        <f t="shared" si="1"/>
        <v/>
      </c>
      <c r="AJ1342" s="108" t="str">
        <f t="shared" si="2"/>
        <v/>
      </c>
    </row>
    <row r="1343" ht="15.75" customHeight="1">
      <c r="A1343" s="104"/>
      <c r="B1343" s="105" t="str">
        <f>IFERROR(__xludf.DUMMYFUNCTION("ARRAY_CONSTRAIN(
  ARRAYFORMULA(
    IF(
      'Final Report'!A1343="""",
      """",
      TEXTJOIN(
        "", "" &amp; CHAR(10),
        TRUE,
        IFERROR(
          VLOOKUP(
            TRIM(
              SPLIT('Final Report'!A1343, "","")
         "&amp;"   ),
            'URL Details'!A:B,
            2,
            FALSE
          ),
          """"
        )
      )
    )
  ),
  1,
  1
)
"),"")</f>
        <v/>
      </c>
      <c r="C1343" s="105" t="str">
        <f>IFERROR(__xludf.DUMMYFUNCTION("IFERROR(IF('Final Report'!A1343="""","""", TEXTJOIN(CHAR(10), TRUE, ARRAYFORMULA( ""• ""&amp; FILTER( TRIM(FLATTEN(SPLIT( REGEXREPLACE( SUBSTITUTE(TEXTJOIN("","", TRUE, IFERROR(ARRAYFORMULA(VLOOKUP(TRIM(SPLIT('Final Report'!A1343, "","")), 'URL Details'!A:D, "&amp;"4, FALSE)),"""") ), CHAR(10), "",""), ""\s*,\s*"", "",""), "",""))), TRIM(FLATTEN(SPLIT( REGEXREPLACE( SUBSTITUTE(TEXTJOIN("","", TRUE, IFERROR(ARRAYFORMULA(VLOOKUP(TRIM(SPLIT('Final Report'!A1343, "","")), 'URL Details'!A:D, 4, FALSE)),"""") ), CHAR(10),"&amp;" "",""), ""\s*,\s*"", "",""), "","")))&lt;&gt;"""" ) ) ) ),"""")
"),"")</f>
        <v/>
      </c>
      <c r="D1343" s="105"/>
      <c r="E1343" s="105"/>
      <c r="F1343" s="110" t="b">
        <v>0</v>
      </c>
      <c r="G1343" s="105" t="str">
        <f>IF(F1343=True, IFERROR(VLOOKUP(D1343, Repository!A:B, 2, 0), ""), "")</f>
        <v/>
      </c>
      <c r="H1343" s="105"/>
      <c r="I1343" s="105"/>
      <c r="J1343" s="105" t="str">
        <f>IF(F1343=True, IFERROR(VLOOKUP(D1343, Repository!A:C, 3, 0), ""), "")</f>
        <v/>
      </c>
      <c r="K1343" s="105"/>
      <c r="L1343" s="105" t="str">
        <f>IF(F1343=True, IFERROR(VLOOKUP(D1343, Repository!A:E, 5, 0), ""), "")</f>
        <v/>
      </c>
      <c r="M1343" s="105"/>
      <c r="N1343" s="105" t="str">
        <f>IF(F1343=True, IFERROR(VLOOKUP(D1343, Repository!A:G, 7, 0), ""), "")</f>
        <v/>
      </c>
      <c r="O1343" s="105" t="str">
        <f>IFERROR(__xludf.DUMMYFUNCTION("ARRAY_CONSTRAIN(
  ARRAYFORMULA(
    IFERROR(
      LET(
        list, N1343,
        arr, TRIM(SPLIT(list, "","")),
        names, XLOOKUP(
          arr,
          'Conformance Score'!A:A,
          'Conformance Score'!B:B,
          ""Not found""
     "&amp;"   ),
        TEXTJOIN("", "", TRUE, names)
      ),
      """"
    )
  ),
  1,
  1
)
"),"")</f>
        <v/>
      </c>
      <c r="P1343" s="105" t="str">
        <f>IF(F1343="Yes", IFERROR(VLOOKUP(D1343, Repository!A:F, 6, 0), ""), "")</f>
        <v/>
      </c>
      <c r="Q1343" s="105" t="str">
        <f>IF(F1343="Yes", IFERROR(VLOOKUP(D1343, Repository!A:I, 8, 0), ""), "")</f>
        <v/>
      </c>
      <c r="R1343" s="105" t="str">
        <f>IF(F1343="Yes", IFERROR(VLOOKUP(D1343, Repository!A:J, 9, 0), ""), "")</f>
        <v/>
      </c>
      <c r="S1343" s="105"/>
      <c r="T1343" s="105"/>
      <c r="U1343" s="105"/>
      <c r="V1343" s="105"/>
      <c r="W1343" s="105"/>
      <c r="X1343" s="105"/>
      <c r="Y1343" s="105"/>
      <c r="Z1343" s="105"/>
      <c r="AA1343" s="105"/>
      <c r="AB1343" s="105"/>
      <c r="AC1343" s="91"/>
      <c r="AD1343" s="105"/>
      <c r="AE1343" s="105"/>
      <c r="AF1343" s="91"/>
      <c r="AG1343" s="105"/>
      <c r="AH1343" s="105"/>
      <c r="AI1343" s="105" t="str">
        <f t="shared" si="1"/>
        <v/>
      </c>
      <c r="AJ1343" s="108" t="str">
        <f t="shared" si="2"/>
        <v/>
      </c>
    </row>
    <row r="1344" ht="15.75" customHeight="1">
      <c r="A1344" s="104"/>
      <c r="B1344" s="105" t="str">
        <f>IFERROR(__xludf.DUMMYFUNCTION("ARRAY_CONSTRAIN(
  ARRAYFORMULA(
    IF(
      'Final Report'!A1344="""",
      """",
      TEXTJOIN(
        "", "" &amp; CHAR(10),
        TRUE,
        IFERROR(
          VLOOKUP(
            TRIM(
              SPLIT('Final Report'!A1344, "","")
         "&amp;"   ),
            'URL Details'!A:B,
            2,
            FALSE
          ),
          """"
        )
      )
    )
  ),
  1,
  1
)
"),"")</f>
        <v/>
      </c>
      <c r="C1344" s="105" t="str">
        <f>IFERROR(__xludf.DUMMYFUNCTION("IFERROR(IF('Final Report'!A1344="""","""", TEXTJOIN(CHAR(10), TRUE, ARRAYFORMULA( ""• ""&amp; FILTER( TRIM(FLATTEN(SPLIT( REGEXREPLACE( SUBSTITUTE(TEXTJOIN("","", TRUE, IFERROR(ARRAYFORMULA(VLOOKUP(TRIM(SPLIT('Final Report'!A1344, "","")), 'URL Details'!A:D, "&amp;"4, FALSE)),"""") ), CHAR(10), "",""), ""\s*,\s*"", "",""), "",""))), TRIM(FLATTEN(SPLIT( REGEXREPLACE( SUBSTITUTE(TEXTJOIN("","", TRUE, IFERROR(ARRAYFORMULA(VLOOKUP(TRIM(SPLIT('Final Report'!A1344, "","")), 'URL Details'!A:D, 4, FALSE)),"""") ), CHAR(10),"&amp;" "",""), ""\s*,\s*"", "",""), "","")))&lt;&gt;"""" ) ) ) ),"""")
"),"")</f>
        <v/>
      </c>
      <c r="D1344" s="105"/>
      <c r="E1344" s="105"/>
      <c r="F1344" s="110" t="b">
        <v>0</v>
      </c>
      <c r="G1344" s="105" t="str">
        <f>IF(F1344=True, IFERROR(VLOOKUP(D1344, Repository!A:B, 2, 0), ""), "")</f>
        <v/>
      </c>
      <c r="H1344" s="105"/>
      <c r="I1344" s="105"/>
      <c r="J1344" s="105" t="str">
        <f>IF(F1344=True, IFERROR(VLOOKUP(D1344, Repository!A:C, 3, 0), ""), "")</f>
        <v/>
      </c>
      <c r="K1344" s="105"/>
      <c r="L1344" s="105" t="str">
        <f>IF(F1344=True, IFERROR(VLOOKUP(D1344, Repository!A:E, 5, 0), ""), "")</f>
        <v/>
      </c>
      <c r="M1344" s="105"/>
      <c r="N1344" s="105" t="str">
        <f>IF(F1344=True, IFERROR(VLOOKUP(D1344, Repository!A:G, 7, 0), ""), "")</f>
        <v/>
      </c>
      <c r="O1344" s="105" t="str">
        <f>IFERROR(__xludf.DUMMYFUNCTION("ARRAY_CONSTRAIN(
  ARRAYFORMULA(
    IFERROR(
      LET(
        list, N1344,
        arr, TRIM(SPLIT(list, "","")),
        names, XLOOKUP(
          arr,
          'Conformance Score'!A:A,
          'Conformance Score'!B:B,
          ""Not found""
     "&amp;"   ),
        TEXTJOIN("", "", TRUE, names)
      ),
      """"
    )
  ),
  1,
  1
)
"),"")</f>
        <v/>
      </c>
      <c r="P1344" s="105" t="str">
        <f>IF(F1344="Yes", IFERROR(VLOOKUP(D1344, Repository!A:F, 6, 0), ""), "")</f>
        <v/>
      </c>
      <c r="Q1344" s="105" t="str">
        <f>IF(F1344="Yes", IFERROR(VLOOKUP(D1344, Repository!A:I, 8, 0), ""), "")</f>
        <v/>
      </c>
      <c r="R1344" s="105" t="str">
        <f>IF(F1344="Yes", IFERROR(VLOOKUP(D1344, Repository!A:J, 9, 0), ""), "")</f>
        <v/>
      </c>
      <c r="S1344" s="105"/>
      <c r="T1344" s="105"/>
      <c r="U1344" s="105"/>
      <c r="V1344" s="105"/>
      <c r="W1344" s="105"/>
      <c r="X1344" s="105"/>
      <c r="Y1344" s="105"/>
      <c r="Z1344" s="105"/>
      <c r="AA1344" s="105"/>
      <c r="AB1344" s="105"/>
      <c r="AC1344" s="91"/>
      <c r="AD1344" s="105"/>
      <c r="AE1344" s="105"/>
      <c r="AF1344" s="91"/>
      <c r="AG1344" s="105"/>
      <c r="AH1344" s="105"/>
      <c r="AI1344" s="105" t="str">
        <f t="shared" si="1"/>
        <v/>
      </c>
      <c r="AJ1344" s="108" t="str">
        <f t="shared" si="2"/>
        <v/>
      </c>
    </row>
    <row r="1345" ht="15.75" customHeight="1">
      <c r="A1345" s="104"/>
      <c r="B1345" s="105" t="str">
        <f>IFERROR(__xludf.DUMMYFUNCTION("ARRAY_CONSTRAIN(
  ARRAYFORMULA(
    IF(
      'Final Report'!A1345="""",
      """",
      TEXTJOIN(
        "", "" &amp; CHAR(10),
        TRUE,
        IFERROR(
          VLOOKUP(
            TRIM(
              SPLIT('Final Report'!A1345, "","")
         "&amp;"   ),
            'URL Details'!A:B,
            2,
            FALSE
          ),
          """"
        )
      )
    )
  ),
  1,
  1
)
"),"")</f>
        <v/>
      </c>
      <c r="C1345" s="105" t="str">
        <f>IFERROR(__xludf.DUMMYFUNCTION("IFERROR(IF('Final Report'!A1345="""","""", TEXTJOIN(CHAR(10), TRUE, ARRAYFORMULA( ""• ""&amp; FILTER( TRIM(FLATTEN(SPLIT( REGEXREPLACE( SUBSTITUTE(TEXTJOIN("","", TRUE, IFERROR(ARRAYFORMULA(VLOOKUP(TRIM(SPLIT('Final Report'!A1345, "","")), 'URL Details'!A:D, "&amp;"4, FALSE)),"""") ), CHAR(10), "",""), ""\s*,\s*"", "",""), "",""))), TRIM(FLATTEN(SPLIT( REGEXREPLACE( SUBSTITUTE(TEXTJOIN("","", TRUE, IFERROR(ARRAYFORMULA(VLOOKUP(TRIM(SPLIT('Final Report'!A1345, "","")), 'URL Details'!A:D, 4, FALSE)),"""") ), CHAR(10),"&amp;" "",""), ""\s*,\s*"", "",""), "","")))&lt;&gt;"""" ) ) ) ),"""")
"),"")</f>
        <v/>
      </c>
      <c r="D1345" s="105"/>
      <c r="E1345" s="105"/>
      <c r="F1345" s="110" t="b">
        <v>0</v>
      </c>
      <c r="G1345" s="105" t="str">
        <f>IF(F1345=True, IFERROR(VLOOKUP(D1345, Repository!A:B, 2, 0), ""), "")</f>
        <v/>
      </c>
      <c r="H1345" s="105"/>
      <c r="I1345" s="105"/>
      <c r="J1345" s="105" t="str">
        <f>IF(F1345=True, IFERROR(VLOOKUP(D1345, Repository!A:C, 3, 0), ""), "")</f>
        <v/>
      </c>
      <c r="K1345" s="105"/>
      <c r="L1345" s="105" t="str">
        <f>IF(F1345=True, IFERROR(VLOOKUP(D1345, Repository!A:E, 5, 0), ""), "")</f>
        <v/>
      </c>
      <c r="M1345" s="105"/>
      <c r="N1345" s="105" t="str">
        <f>IF(F1345=True, IFERROR(VLOOKUP(D1345, Repository!A:G, 7, 0), ""), "")</f>
        <v/>
      </c>
      <c r="O1345" s="105" t="str">
        <f>IFERROR(__xludf.DUMMYFUNCTION("ARRAY_CONSTRAIN(
  ARRAYFORMULA(
    IFERROR(
      LET(
        list, N1345,
        arr, TRIM(SPLIT(list, "","")),
        names, XLOOKUP(
          arr,
          'Conformance Score'!A:A,
          'Conformance Score'!B:B,
          ""Not found""
     "&amp;"   ),
        TEXTJOIN("", "", TRUE, names)
      ),
      """"
    )
  ),
  1,
  1
)
"),"")</f>
        <v/>
      </c>
      <c r="P1345" s="105" t="str">
        <f>IF(F1345="Yes", IFERROR(VLOOKUP(D1345, Repository!A:F, 6, 0), ""), "")</f>
        <v/>
      </c>
      <c r="Q1345" s="105" t="str">
        <f>IF(F1345="Yes", IFERROR(VLOOKUP(D1345, Repository!A:I, 8, 0), ""), "")</f>
        <v/>
      </c>
      <c r="R1345" s="105" t="str">
        <f>IF(F1345="Yes", IFERROR(VLOOKUP(D1345, Repository!A:J, 9, 0), ""), "")</f>
        <v/>
      </c>
      <c r="S1345" s="105"/>
      <c r="T1345" s="105"/>
      <c r="U1345" s="105"/>
      <c r="V1345" s="105"/>
      <c r="W1345" s="105"/>
      <c r="X1345" s="105"/>
      <c r="Y1345" s="105"/>
      <c r="Z1345" s="105"/>
      <c r="AA1345" s="105"/>
      <c r="AB1345" s="105"/>
      <c r="AC1345" s="91"/>
      <c r="AD1345" s="105"/>
      <c r="AE1345" s="105"/>
      <c r="AF1345" s="91"/>
      <c r="AG1345" s="105"/>
      <c r="AH1345" s="105"/>
      <c r="AI1345" s="105" t="str">
        <f t="shared" si="1"/>
        <v/>
      </c>
      <c r="AJ1345" s="108" t="str">
        <f t="shared" si="2"/>
        <v/>
      </c>
    </row>
    <row r="1346" ht="15.75" customHeight="1">
      <c r="A1346" s="104"/>
      <c r="B1346" s="105" t="str">
        <f>IFERROR(__xludf.DUMMYFUNCTION("ARRAY_CONSTRAIN(
  ARRAYFORMULA(
    IF(
      'Final Report'!A1346="""",
      """",
      TEXTJOIN(
        "", "" &amp; CHAR(10),
        TRUE,
        IFERROR(
          VLOOKUP(
            TRIM(
              SPLIT('Final Report'!A1346, "","")
         "&amp;"   ),
            'URL Details'!A:B,
            2,
            FALSE
          ),
          """"
        )
      )
    )
  ),
  1,
  1
)
"),"")</f>
        <v/>
      </c>
      <c r="C1346" s="105" t="str">
        <f>IFERROR(__xludf.DUMMYFUNCTION("IFERROR(IF('Final Report'!A1346="""","""", TEXTJOIN(CHAR(10), TRUE, ARRAYFORMULA( ""• ""&amp; FILTER( TRIM(FLATTEN(SPLIT( REGEXREPLACE( SUBSTITUTE(TEXTJOIN("","", TRUE, IFERROR(ARRAYFORMULA(VLOOKUP(TRIM(SPLIT('Final Report'!A1346, "","")), 'URL Details'!A:D, "&amp;"4, FALSE)),"""") ), CHAR(10), "",""), ""\s*,\s*"", "",""), "",""))), TRIM(FLATTEN(SPLIT( REGEXREPLACE( SUBSTITUTE(TEXTJOIN("","", TRUE, IFERROR(ARRAYFORMULA(VLOOKUP(TRIM(SPLIT('Final Report'!A1346, "","")), 'URL Details'!A:D, 4, FALSE)),"""") ), CHAR(10),"&amp;" "",""), ""\s*,\s*"", "",""), "","")))&lt;&gt;"""" ) ) ) ),"""")
"),"")</f>
        <v/>
      </c>
      <c r="D1346" s="105"/>
      <c r="E1346" s="105"/>
      <c r="F1346" s="110" t="b">
        <v>0</v>
      </c>
      <c r="G1346" s="105" t="str">
        <f>IF(F1346=True, IFERROR(VLOOKUP(D1346, Repository!A:B, 2, 0), ""), "")</f>
        <v/>
      </c>
      <c r="H1346" s="105"/>
      <c r="I1346" s="105"/>
      <c r="J1346" s="105" t="str">
        <f>IF(F1346=True, IFERROR(VLOOKUP(D1346, Repository!A:C, 3, 0), ""), "")</f>
        <v/>
      </c>
      <c r="K1346" s="105"/>
      <c r="L1346" s="105" t="str">
        <f>IF(F1346=True, IFERROR(VLOOKUP(D1346, Repository!A:E, 5, 0), ""), "")</f>
        <v/>
      </c>
      <c r="M1346" s="105"/>
      <c r="N1346" s="105" t="str">
        <f>IF(F1346=True, IFERROR(VLOOKUP(D1346, Repository!A:G, 7, 0), ""), "")</f>
        <v/>
      </c>
      <c r="O1346" s="105" t="str">
        <f>IFERROR(__xludf.DUMMYFUNCTION("ARRAY_CONSTRAIN(
  ARRAYFORMULA(
    IFERROR(
      LET(
        list, N1346,
        arr, TRIM(SPLIT(list, "","")),
        names, XLOOKUP(
          arr,
          'Conformance Score'!A:A,
          'Conformance Score'!B:B,
          ""Not found""
     "&amp;"   ),
        TEXTJOIN("", "", TRUE, names)
      ),
      """"
    )
  ),
  1,
  1
)
"),"")</f>
        <v/>
      </c>
      <c r="P1346" s="105" t="str">
        <f>IF(F1346="Yes", IFERROR(VLOOKUP(D1346, Repository!A:F, 6, 0), ""), "")</f>
        <v/>
      </c>
      <c r="Q1346" s="105" t="str">
        <f>IF(F1346="Yes", IFERROR(VLOOKUP(D1346, Repository!A:I, 8, 0), ""), "")</f>
        <v/>
      </c>
      <c r="R1346" s="105" t="str">
        <f>IF(F1346="Yes", IFERROR(VLOOKUP(D1346, Repository!A:J, 9, 0), ""), "")</f>
        <v/>
      </c>
      <c r="S1346" s="105"/>
      <c r="T1346" s="105"/>
      <c r="U1346" s="105"/>
      <c r="V1346" s="105"/>
      <c r="W1346" s="105"/>
      <c r="X1346" s="105"/>
      <c r="Y1346" s="105"/>
      <c r="Z1346" s="105"/>
      <c r="AA1346" s="105"/>
      <c r="AB1346" s="105"/>
      <c r="AC1346" s="91"/>
      <c r="AD1346" s="105"/>
      <c r="AE1346" s="105"/>
      <c r="AF1346" s="91"/>
      <c r="AG1346" s="105"/>
      <c r="AH1346" s="105"/>
      <c r="AI1346" s="105" t="str">
        <f t="shared" si="1"/>
        <v/>
      </c>
      <c r="AJ1346" s="108" t="str">
        <f t="shared" si="2"/>
        <v/>
      </c>
    </row>
    <row r="1347" ht="15.75" customHeight="1">
      <c r="A1347" s="104"/>
      <c r="B1347" s="105" t="str">
        <f>IFERROR(__xludf.DUMMYFUNCTION("ARRAY_CONSTRAIN(
  ARRAYFORMULA(
    IF(
      'Final Report'!A1347="""",
      """",
      TEXTJOIN(
        "", "" &amp; CHAR(10),
        TRUE,
        IFERROR(
          VLOOKUP(
            TRIM(
              SPLIT('Final Report'!A1347, "","")
         "&amp;"   ),
            'URL Details'!A:B,
            2,
            FALSE
          ),
          """"
        )
      )
    )
  ),
  1,
  1
)
"),"")</f>
        <v/>
      </c>
      <c r="C1347" s="105" t="str">
        <f>IFERROR(__xludf.DUMMYFUNCTION("IFERROR(IF('Final Report'!A1347="""","""", TEXTJOIN(CHAR(10), TRUE, ARRAYFORMULA( ""• ""&amp; FILTER( TRIM(FLATTEN(SPLIT( REGEXREPLACE( SUBSTITUTE(TEXTJOIN("","", TRUE, IFERROR(ARRAYFORMULA(VLOOKUP(TRIM(SPLIT('Final Report'!A1347, "","")), 'URL Details'!A:D, "&amp;"4, FALSE)),"""") ), CHAR(10), "",""), ""\s*,\s*"", "",""), "",""))), TRIM(FLATTEN(SPLIT( REGEXREPLACE( SUBSTITUTE(TEXTJOIN("","", TRUE, IFERROR(ARRAYFORMULA(VLOOKUP(TRIM(SPLIT('Final Report'!A1347, "","")), 'URL Details'!A:D, 4, FALSE)),"""") ), CHAR(10),"&amp;" "",""), ""\s*,\s*"", "",""), "","")))&lt;&gt;"""" ) ) ) ),"""")
"),"")</f>
        <v/>
      </c>
      <c r="D1347" s="105"/>
      <c r="E1347" s="105"/>
      <c r="F1347" s="110" t="b">
        <v>0</v>
      </c>
      <c r="G1347" s="105" t="str">
        <f>IF(F1347=True, IFERROR(VLOOKUP(D1347, Repository!A:B, 2, 0), ""), "")</f>
        <v/>
      </c>
      <c r="H1347" s="105"/>
      <c r="I1347" s="105"/>
      <c r="J1347" s="105" t="str">
        <f>IF(F1347=True, IFERROR(VLOOKUP(D1347, Repository!A:C, 3, 0), ""), "")</f>
        <v/>
      </c>
      <c r="K1347" s="105"/>
      <c r="L1347" s="105" t="str">
        <f>IF(F1347=True, IFERROR(VLOOKUP(D1347, Repository!A:E, 5, 0), ""), "")</f>
        <v/>
      </c>
      <c r="M1347" s="105"/>
      <c r="N1347" s="105" t="str">
        <f>IF(F1347=True, IFERROR(VLOOKUP(D1347, Repository!A:G, 7, 0), ""), "")</f>
        <v/>
      </c>
      <c r="O1347" s="105" t="str">
        <f>IFERROR(__xludf.DUMMYFUNCTION("ARRAY_CONSTRAIN(
  ARRAYFORMULA(
    IFERROR(
      LET(
        list, N1347,
        arr, TRIM(SPLIT(list, "","")),
        names, XLOOKUP(
          arr,
          'Conformance Score'!A:A,
          'Conformance Score'!B:B,
          ""Not found""
     "&amp;"   ),
        TEXTJOIN("", "", TRUE, names)
      ),
      """"
    )
  ),
  1,
  1
)
"),"")</f>
        <v/>
      </c>
      <c r="P1347" s="105" t="str">
        <f>IF(F1347="Yes", IFERROR(VLOOKUP(D1347, Repository!A:F, 6, 0), ""), "")</f>
        <v/>
      </c>
      <c r="Q1347" s="105" t="str">
        <f>IF(F1347="Yes", IFERROR(VLOOKUP(D1347, Repository!A:I, 8, 0), ""), "")</f>
        <v/>
      </c>
      <c r="R1347" s="105" t="str">
        <f>IF(F1347="Yes", IFERROR(VLOOKUP(D1347, Repository!A:J, 9, 0), ""), "")</f>
        <v/>
      </c>
      <c r="S1347" s="105"/>
      <c r="T1347" s="105"/>
      <c r="U1347" s="105"/>
      <c r="V1347" s="105"/>
      <c r="W1347" s="105"/>
      <c r="X1347" s="105"/>
      <c r="Y1347" s="105"/>
      <c r="Z1347" s="105"/>
      <c r="AA1347" s="105"/>
      <c r="AB1347" s="105"/>
      <c r="AC1347" s="91"/>
      <c r="AD1347" s="105"/>
      <c r="AE1347" s="105"/>
      <c r="AF1347" s="91"/>
      <c r="AG1347" s="105"/>
      <c r="AH1347" s="105"/>
      <c r="AI1347" s="105" t="str">
        <f t="shared" si="1"/>
        <v/>
      </c>
      <c r="AJ1347" s="108" t="str">
        <f t="shared" si="2"/>
        <v/>
      </c>
    </row>
    <row r="1348" ht="15.75" customHeight="1">
      <c r="A1348" s="104"/>
      <c r="B1348" s="105" t="str">
        <f>IFERROR(__xludf.DUMMYFUNCTION("ARRAY_CONSTRAIN(
  ARRAYFORMULA(
    IF(
      'Final Report'!A1348="""",
      """",
      TEXTJOIN(
        "", "" &amp; CHAR(10),
        TRUE,
        IFERROR(
          VLOOKUP(
            TRIM(
              SPLIT('Final Report'!A1348, "","")
         "&amp;"   ),
            'URL Details'!A:B,
            2,
            FALSE
          ),
          """"
        )
      )
    )
  ),
  1,
  1
)
"),"")</f>
        <v/>
      </c>
      <c r="C1348" s="105" t="str">
        <f>IFERROR(__xludf.DUMMYFUNCTION("IFERROR(IF('Final Report'!A1348="""","""", TEXTJOIN(CHAR(10), TRUE, ARRAYFORMULA( ""• ""&amp; FILTER( TRIM(FLATTEN(SPLIT( REGEXREPLACE( SUBSTITUTE(TEXTJOIN("","", TRUE, IFERROR(ARRAYFORMULA(VLOOKUP(TRIM(SPLIT('Final Report'!A1348, "","")), 'URL Details'!A:D, "&amp;"4, FALSE)),"""") ), CHAR(10), "",""), ""\s*,\s*"", "",""), "",""))), TRIM(FLATTEN(SPLIT( REGEXREPLACE( SUBSTITUTE(TEXTJOIN("","", TRUE, IFERROR(ARRAYFORMULA(VLOOKUP(TRIM(SPLIT('Final Report'!A1348, "","")), 'URL Details'!A:D, 4, FALSE)),"""") ), CHAR(10),"&amp;" "",""), ""\s*,\s*"", "",""), "","")))&lt;&gt;"""" ) ) ) ),"""")
"),"")</f>
        <v/>
      </c>
      <c r="D1348" s="105"/>
      <c r="E1348" s="105"/>
      <c r="F1348" s="110" t="b">
        <v>0</v>
      </c>
      <c r="G1348" s="105" t="str">
        <f>IF(F1348=True, IFERROR(VLOOKUP(D1348, Repository!A:B, 2, 0), ""), "")</f>
        <v/>
      </c>
      <c r="H1348" s="105"/>
      <c r="I1348" s="105"/>
      <c r="J1348" s="105" t="str">
        <f>IF(F1348=True, IFERROR(VLOOKUP(D1348, Repository!A:C, 3, 0), ""), "")</f>
        <v/>
      </c>
      <c r="K1348" s="105"/>
      <c r="L1348" s="105" t="str">
        <f>IF(F1348=True, IFERROR(VLOOKUP(D1348, Repository!A:E, 5, 0), ""), "")</f>
        <v/>
      </c>
      <c r="M1348" s="105"/>
      <c r="N1348" s="105" t="str">
        <f>IF(F1348=True, IFERROR(VLOOKUP(D1348, Repository!A:G, 7, 0), ""), "")</f>
        <v/>
      </c>
      <c r="O1348" s="105" t="str">
        <f>IFERROR(__xludf.DUMMYFUNCTION("ARRAY_CONSTRAIN(
  ARRAYFORMULA(
    IFERROR(
      LET(
        list, N1348,
        arr, TRIM(SPLIT(list, "","")),
        names, XLOOKUP(
          arr,
          'Conformance Score'!A:A,
          'Conformance Score'!B:B,
          ""Not found""
     "&amp;"   ),
        TEXTJOIN("", "", TRUE, names)
      ),
      """"
    )
  ),
  1,
  1
)
"),"")</f>
        <v/>
      </c>
      <c r="P1348" s="105" t="str">
        <f>IF(F1348="Yes", IFERROR(VLOOKUP(D1348, Repository!A:F, 6, 0), ""), "")</f>
        <v/>
      </c>
      <c r="Q1348" s="105" t="str">
        <f>IF(F1348="Yes", IFERROR(VLOOKUP(D1348, Repository!A:I, 8, 0), ""), "")</f>
        <v/>
      </c>
      <c r="R1348" s="105" t="str">
        <f>IF(F1348="Yes", IFERROR(VLOOKUP(D1348, Repository!A:J, 9, 0), ""), "")</f>
        <v/>
      </c>
      <c r="S1348" s="105"/>
      <c r="T1348" s="105"/>
      <c r="U1348" s="105"/>
      <c r="V1348" s="105"/>
      <c r="W1348" s="105"/>
      <c r="X1348" s="105"/>
      <c r="Y1348" s="105"/>
      <c r="Z1348" s="105"/>
      <c r="AA1348" s="105"/>
      <c r="AB1348" s="105"/>
      <c r="AC1348" s="91"/>
      <c r="AD1348" s="105"/>
      <c r="AE1348" s="105"/>
      <c r="AF1348" s="91"/>
      <c r="AG1348" s="105"/>
      <c r="AH1348" s="105"/>
      <c r="AI1348" s="105" t="str">
        <f t="shared" si="1"/>
        <v/>
      </c>
      <c r="AJ1348" s="108" t="str">
        <f t="shared" si="2"/>
        <v/>
      </c>
    </row>
    <row r="1349" ht="15.75" customHeight="1">
      <c r="A1349" s="104"/>
      <c r="B1349" s="105" t="str">
        <f>IFERROR(__xludf.DUMMYFUNCTION("ARRAY_CONSTRAIN(
  ARRAYFORMULA(
    IF(
      'Final Report'!A1349="""",
      """",
      TEXTJOIN(
        "", "" &amp; CHAR(10),
        TRUE,
        IFERROR(
          VLOOKUP(
            TRIM(
              SPLIT('Final Report'!A1349, "","")
         "&amp;"   ),
            'URL Details'!A:B,
            2,
            FALSE
          ),
          """"
        )
      )
    )
  ),
  1,
  1
)
"),"")</f>
        <v/>
      </c>
      <c r="C1349" s="105" t="str">
        <f>IFERROR(__xludf.DUMMYFUNCTION("IFERROR(IF('Final Report'!A1349="""","""", TEXTJOIN(CHAR(10), TRUE, ARRAYFORMULA( ""• ""&amp; FILTER( TRIM(FLATTEN(SPLIT( REGEXREPLACE( SUBSTITUTE(TEXTJOIN("","", TRUE, IFERROR(ARRAYFORMULA(VLOOKUP(TRIM(SPLIT('Final Report'!A1349, "","")), 'URL Details'!A:D, "&amp;"4, FALSE)),"""") ), CHAR(10), "",""), ""\s*,\s*"", "",""), "",""))), TRIM(FLATTEN(SPLIT( REGEXREPLACE( SUBSTITUTE(TEXTJOIN("","", TRUE, IFERROR(ARRAYFORMULA(VLOOKUP(TRIM(SPLIT('Final Report'!A1349, "","")), 'URL Details'!A:D, 4, FALSE)),"""") ), CHAR(10),"&amp;" "",""), ""\s*,\s*"", "",""), "","")))&lt;&gt;"""" ) ) ) ),"""")
"),"")</f>
        <v/>
      </c>
      <c r="D1349" s="105"/>
      <c r="E1349" s="105"/>
      <c r="F1349" s="110" t="b">
        <v>0</v>
      </c>
      <c r="G1349" s="105" t="str">
        <f>IF(F1349=True, IFERROR(VLOOKUP(D1349, Repository!A:B, 2, 0), ""), "")</f>
        <v/>
      </c>
      <c r="H1349" s="105"/>
      <c r="I1349" s="105"/>
      <c r="J1349" s="105" t="str">
        <f>IF(F1349=True, IFERROR(VLOOKUP(D1349, Repository!A:C, 3, 0), ""), "")</f>
        <v/>
      </c>
      <c r="K1349" s="105"/>
      <c r="L1349" s="105" t="str">
        <f>IF(F1349=True, IFERROR(VLOOKUP(D1349, Repository!A:E, 5, 0), ""), "")</f>
        <v/>
      </c>
      <c r="M1349" s="105"/>
      <c r="N1349" s="105" t="str">
        <f>IF(F1349=True, IFERROR(VLOOKUP(D1349, Repository!A:G, 7, 0), ""), "")</f>
        <v/>
      </c>
      <c r="O1349" s="105" t="str">
        <f>IFERROR(__xludf.DUMMYFUNCTION("ARRAY_CONSTRAIN(
  ARRAYFORMULA(
    IFERROR(
      LET(
        list, N1349,
        arr, TRIM(SPLIT(list, "","")),
        names, XLOOKUP(
          arr,
          'Conformance Score'!A:A,
          'Conformance Score'!B:B,
          ""Not found""
     "&amp;"   ),
        TEXTJOIN("", "", TRUE, names)
      ),
      """"
    )
  ),
  1,
  1
)
"),"")</f>
        <v/>
      </c>
      <c r="P1349" s="105" t="str">
        <f>IF(F1349="Yes", IFERROR(VLOOKUP(D1349, Repository!A:F, 6, 0), ""), "")</f>
        <v/>
      </c>
      <c r="Q1349" s="105" t="str">
        <f>IF(F1349="Yes", IFERROR(VLOOKUP(D1349, Repository!A:I, 8, 0), ""), "")</f>
        <v/>
      </c>
      <c r="R1349" s="105" t="str">
        <f>IF(F1349="Yes", IFERROR(VLOOKUP(D1349, Repository!A:J, 9, 0), ""), "")</f>
        <v/>
      </c>
      <c r="S1349" s="105"/>
      <c r="T1349" s="105"/>
      <c r="U1349" s="105"/>
      <c r="V1349" s="105"/>
      <c r="W1349" s="105"/>
      <c r="X1349" s="105"/>
      <c r="Y1349" s="105"/>
      <c r="Z1349" s="105"/>
      <c r="AA1349" s="105"/>
      <c r="AB1349" s="105"/>
      <c r="AC1349" s="91"/>
      <c r="AD1349" s="105"/>
      <c r="AE1349" s="105"/>
      <c r="AF1349" s="91"/>
      <c r="AG1349" s="105"/>
      <c r="AH1349" s="105"/>
      <c r="AI1349" s="105" t="str">
        <f t="shared" si="1"/>
        <v/>
      </c>
      <c r="AJ1349" s="108" t="str">
        <f t="shared" si="2"/>
        <v/>
      </c>
    </row>
    <row r="1350" ht="15.75" customHeight="1">
      <c r="A1350" s="104"/>
      <c r="B1350" s="105" t="str">
        <f>IFERROR(__xludf.DUMMYFUNCTION("ARRAY_CONSTRAIN(
  ARRAYFORMULA(
    IF(
      'Final Report'!A1350="""",
      """",
      TEXTJOIN(
        "", "" &amp; CHAR(10),
        TRUE,
        IFERROR(
          VLOOKUP(
            TRIM(
              SPLIT('Final Report'!A1350, "","")
         "&amp;"   ),
            'URL Details'!A:B,
            2,
            FALSE
          ),
          """"
        )
      )
    )
  ),
  1,
  1
)
"),"")</f>
        <v/>
      </c>
      <c r="C1350" s="105" t="str">
        <f>IFERROR(__xludf.DUMMYFUNCTION("IFERROR(IF('Final Report'!A1350="""","""", TEXTJOIN(CHAR(10), TRUE, ARRAYFORMULA( ""• ""&amp; FILTER( TRIM(FLATTEN(SPLIT( REGEXREPLACE( SUBSTITUTE(TEXTJOIN("","", TRUE, IFERROR(ARRAYFORMULA(VLOOKUP(TRIM(SPLIT('Final Report'!A1350, "","")), 'URL Details'!A:D, "&amp;"4, FALSE)),"""") ), CHAR(10), "",""), ""\s*,\s*"", "",""), "",""))), TRIM(FLATTEN(SPLIT( REGEXREPLACE( SUBSTITUTE(TEXTJOIN("","", TRUE, IFERROR(ARRAYFORMULA(VLOOKUP(TRIM(SPLIT('Final Report'!A1350, "","")), 'URL Details'!A:D, 4, FALSE)),"""") ), CHAR(10),"&amp;" "",""), ""\s*,\s*"", "",""), "","")))&lt;&gt;"""" ) ) ) ),"""")
"),"")</f>
        <v/>
      </c>
      <c r="D1350" s="105"/>
      <c r="E1350" s="105"/>
      <c r="F1350" s="110" t="b">
        <v>0</v>
      </c>
      <c r="G1350" s="105" t="str">
        <f>IF(F1350=True, IFERROR(VLOOKUP(D1350, Repository!A:B, 2, 0), ""), "")</f>
        <v/>
      </c>
      <c r="H1350" s="105"/>
      <c r="I1350" s="105"/>
      <c r="J1350" s="105" t="str">
        <f>IF(F1350=True, IFERROR(VLOOKUP(D1350, Repository!A:C, 3, 0), ""), "")</f>
        <v/>
      </c>
      <c r="K1350" s="105"/>
      <c r="L1350" s="105" t="str">
        <f>IF(F1350=True, IFERROR(VLOOKUP(D1350, Repository!A:E, 5, 0), ""), "")</f>
        <v/>
      </c>
      <c r="M1350" s="105"/>
      <c r="N1350" s="105" t="str">
        <f>IF(F1350=True, IFERROR(VLOOKUP(D1350, Repository!A:G, 7, 0), ""), "")</f>
        <v/>
      </c>
      <c r="O1350" s="105" t="str">
        <f>IFERROR(__xludf.DUMMYFUNCTION("ARRAY_CONSTRAIN(
  ARRAYFORMULA(
    IFERROR(
      LET(
        list, N1350,
        arr, TRIM(SPLIT(list, "","")),
        names, XLOOKUP(
          arr,
          'Conformance Score'!A:A,
          'Conformance Score'!B:B,
          ""Not found""
     "&amp;"   ),
        TEXTJOIN("", "", TRUE, names)
      ),
      """"
    )
  ),
  1,
  1
)
"),"")</f>
        <v/>
      </c>
      <c r="P1350" s="105" t="str">
        <f>IF(F1350="Yes", IFERROR(VLOOKUP(D1350, Repository!A:F, 6, 0), ""), "")</f>
        <v/>
      </c>
      <c r="Q1350" s="105" t="str">
        <f>IF(F1350="Yes", IFERROR(VLOOKUP(D1350, Repository!A:I, 8, 0), ""), "")</f>
        <v/>
      </c>
      <c r="R1350" s="105" t="str">
        <f>IF(F1350="Yes", IFERROR(VLOOKUP(D1350, Repository!A:J, 9, 0), ""), "")</f>
        <v/>
      </c>
      <c r="S1350" s="105"/>
      <c r="T1350" s="105"/>
      <c r="U1350" s="105"/>
      <c r="V1350" s="105"/>
      <c r="W1350" s="105"/>
      <c r="X1350" s="105"/>
      <c r="Y1350" s="105"/>
      <c r="Z1350" s="105"/>
      <c r="AA1350" s="105"/>
      <c r="AB1350" s="105"/>
      <c r="AC1350" s="91"/>
      <c r="AD1350" s="105"/>
      <c r="AE1350" s="105"/>
      <c r="AF1350" s="91"/>
      <c r="AG1350" s="105"/>
      <c r="AH1350" s="105"/>
      <c r="AI1350" s="105" t="str">
        <f t="shared" si="1"/>
        <v/>
      </c>
      <c r="AJ1350" s="108" t="str">
        <f t="shared" si="2"/>
        <v/>
      </c>
    </row>
    <row r="1351" ht="15.75" customHeight="1">
      <c r="A1351" s="104"/>
      <c r="B1351" s="105" t="str">
        <f>IFERROR(__xludf.DUMMYFUNCTION("ARRAY_CONSTRAIN(
  ARRAYFORMULA(
    IF(
      'Final Report'!A1351="""",
      """",
      TEXTJOIN(
        "", "" &amp; CHAR(10),
        TRUE,
        IFERROR(
          VLOOKUP(
            TRIM(
              SPLIT('Final Report'!A1351, "","")
         "&amp;"   ),
            'URL Details'!A:B,
            2,
            FALSE
          ),
          """"
        )
      )
    )
  ),
  1,
  1
)
"),"")</f>
        <v/>
      </c>
      <c r="C1351" s="105" t="str">
        <f>IFERROR(__xludf.DUMMYFUNCTION("IFERROR(IF('Final Report'!A1351="""","""", TEXTJOIN(CHAR(10), TRUE, ARRAYFORMULA( ""• ""&amp; FILTER( TRIM(FLATTEN(SPLIT( REGEXREPLACE( SUBSTITUTE(TEXTJOIN("","", TRUE, IFERROR(ARRAYFORMULA(VLOOKUP(TRIM(SPLIT('Final Report'!A1351, "","")), 'URL Details'!A:D, "&amp;"4, FALSE)),"""") ), CHAR(10), "",""), ""\s*,\s*"", "",""), "",""))), TRIM(FLATTEN(SPLIT( REGEXREPLACE( SUBSTITUTE(TEXTJOIN("","", TRUE, IFERROR(ARRAYFORMULA(VLOOKUP(TRIM(SPLIT('Final Report'!A1351, "","")), 'URL Details'!A:D, 4, FALSE)),"""") ), CHAR(10),"&amp;" "",""), ""\s*,\s*"", "",""), "","")))&lt;&gt;"""" ) ) ) ),"""")
"),"")</f>
        <v/>
      </c>
      <c r="D1351" s="105"/>
      <c r="E1351" s="105"/>
      <c r="F1351" s="110" t="b">
        <v>0</v>
      </c>
      <c r="G1351" s="105" t="str">
        <f>IF(F1351=True, IFERROR(VLOOKUP(D1351, Repository!A:B, 2, 0), ""), "")</f>
        <v/>
      </c>
      <c r="H1351" s="105"/>
      <c r="I1351" s="105"/>
      <c r="J1351" s="105" t="str">
        <f>IF(F1351=True, IFERROR(VLOOKUP(D1351, Repository!A:C, 3, 0), ""), "")</f>
        <v/>
      </c>
      <c r="K1351" s="105"/>
      <c r="L1351" s="105" t="str">
        <f>IF(F1351=True, IFERROR(VLOOKUP(D1351, Repository!A:E, 5, 0), ""), "")</f>
        <v/>
      </c>
      <c r="M1351" s="105"/>
      <c r="N1351" s="105" t="str">
        <f>IF(F1351=True, IFERROR(VLOOKUP(D1351, Repository!A:G, 7, 0), ""), "")</f>
        <v/>
      </c>
      <c r="O1351" s="105" t="str">
        <f>IFERROR(__xludf.DUMMYFUNCTION("ARRAY_CONSTRAIN(
  ARRAYFORMULA(
    IFERROR(
      LET(
        list, N1351,
        arr, TRIM(SPLIT(list, "","")),
        names, XLOOKUP(
          arr,
          'Conformance Score'!A:A,
          'Conformance Score'!B:B,
          ""Not found""
     "&amp;"   ),
        TEXTJOIN("", "", TRUE, names)
      ),
      """"
    )
  ),
  1,
  1
)
"),"")</f>
        <v/>
      </c>
      <c r="P1351" s="105" t="str">
        <f>IF(F1351="Yes", IFERROR(VLOOKUP(D1351, Repository!A:F, 6, 0), ""), "")</f>
        <v/>
      </c>
      <c r="Q1351" s="105" t="str">
        <f>IF(F1351="Yes", IFERROR(VLOOKUP(D1351, Repository!A:I, 8, 0), ""), "")</f>
        <v/>
      </c>
      <c r="R1351" s="105" t="str">
        <f>IF(F1351="Yes", IFERROR(VLOOKUP(D1351, Repository!A:J, 9, 0), ""), "")</f>
        <v/>
      </c>
      <c r="S1351" s="105"/>
      <c r="T1351" s="105"/>
      <c r="U1351" s="105"/>
      <c r="V1351" s="105"/>
      <c r="W1351" s="105"/>
      <c r="X1351" s="105"/>
      <c r="Y1351" s="105"/>
      <c r="Z1351" s="105"/>
      <c r="AA1351" s="105"/>
      <c r="AB1351" s="105"/>
      <c r="AC1351" s="91"/>
      <c r="AD1351" s="105"/>
      <c r="AE1351" s="105"/>
      <c r="AF1351" s="91"/>
      <c r="AG1351" s="105"/>
      <c r="AH1351" s="105"/>
      <c r="AI1351" s="105" t="str">
        <f t="shared" si="1"/>
        <v/>
      </c>
      <c r="AJ1351" s="108" t="str">
        <f t="shared" si="2"/>
        <v/>
      </c>
    </row>
    <row r="1352" ht="15.75" customHeight="1">
      <c r="A1352" s="104"/>
      <c r="B1352" s="105" t="str">
        <f>IFERROR(__xludf.DUMMYFUNCTION("ARRAY_CONSTRAIN(
  ARRAYFORMULA(
    IF(
      'Final Report'!A1352="""",
      """",
      TEXTJOIN(
        "", "" &amp; CHAR(10),
        TRUE,
        IFERROR(
          VLOOKUP(
            TRIM(
              SPLIT('Final Report'!A1352, "","")
         "&amp;"   ),
            'URL Details'!A:B,
            2,
            FALSE
          ),
          """"
        )
      )
    )
  ),
  1,
  1
)
"),"")</f>
        <v/>
      </c>
      <c r="C1352" s="105" t="str">
        <f>IFERROR(__xludf.DUMMYFUNCTION("IFERROR(IF('Final Report'!A1352="""","""", TEXTJOIN(CHAR(10), TRUE, ARRAYFORMULA( ""• ""&amp; FILTER( TRIM(FLATTEN(SPLIT( REGEXREPLACE( SUBSTITUTE(TEXTJOIN("","", TRUE, IFERROR(ARRAYFORMULA(VLOOKUP(TRIM(SPLIT('Final Report'!A1352, "","")), 'URL Details'!A:D, "&amp;"4, FALSE)),"""") ), CHAR(10), "",""), ""\s*,\s*"", "",""), "",""))), TRIM(FLATTEN(SPLIT( REGEXREPLACE( SUBSTITUTE(TEXTJOIN("","", TRUE, IFERROR(ARRAYFORMULA(VLOOKUP(TRIM(SPLIT('Final Report'!A1352, "","")), 'URL Details'!A:D, 4, FALSE)),"""") ), CHAR(10),"&amp;" "",""), ""\s*,\s*"", "",""), "","")))&lt;&gt;"""" ) ) ) ),"""")
"),"")</f>
        <v/>
      </c>
      <c r="D1352" s="105"/>
      <c r="E1352" s="105"/>
      <c r="F1352" s="110" t="b">
        <v>0</v>
      </c>
      <c r="G1352" s="105" t="str">
        <f>IF(F1352=True, IFERROR(VLOOKUP(D1352, Repository!A:B, 2, 0), ""), "")</f>
        <v/>
      </c>
      <c r="H1352" s="105"/>
      <c r="I1352" s="105"/>
      <c r="J1352" s="105" t="str">
        <f>IF(F1352=True, IFERROR(VLOOKUP(D1352, Repository!A:C, 3, 0), ""), "")</f>
        <v/>
      </c>
      <c r="K1352" s="105"/>
      <c r="L1352" s="105" t="str">
        <f>IF(F1352=True, IFERROR(VLOOKUP(D1352, Repository!A:E, 5, 0), ""), "")</f>
        <v/>
      </c>
      <c r="M1352" s="105"/>
      <c r="N1352" s="105" t="str">
        <f>IF(F1352=True, IFERROR(VLOOKUP(D1352, Repository!A:G, 7, 0), ""), "")</f>
        <v/>
      </c>
      <c r="O1352" s="105" t="str">
        <f>IFERROR(__xludf.DUMMYFUNCTION("ARRAY_CONSTRAIN(
  ARRAYFORMULA(
    IFERROR(
      LET(
        list, N1352,
        arr, TRIM(SPLIT(list, "","")),
        names, XLOOKUP(
          arr,
          'Conformance Score'!A:A,
          'Conformance Score'!B:B,
          ""Not found""
     "&amp;"   ),
        TEXTJOIN("", "", TRUE, names)
      ),
      """"
    )
  ),
  1,
  1
)
"),"")</f>
        <v/>
      </c>
      <c r="P1352" s="105" t="str">
        <f>IF(F1352="Yes", IFERROR(VLOOKUP(D1352, Repository!A:F, 6, 0), ""), "")</f>
        <v/>
      </c>
      <c r="Q1352" s="105" t="str">
        <f>IF(F1352="Yes", IFERROR(VLOOKUP(D1352, Repository!A:I, 8, 0), ""), "")</f>
        <v/>
      </c>
      <c r="R1352" s="105" t="str">
        <f>IF(F1352="Yes", IFERROR(VLOOKUP(D1352, Repository!A:J, 9, 0), ""), "")</f>
        <v/>
      </c>
      <c r="S1352" s="105"/>
      <c r="T1352" s="105"/>
      <c r="U1352" s="105"/>
      <c r="V1352" s="105"/>
      <c r="W1352" s="105"/>
      <c r="X1352" s="105"/>
      <c r="Y1352" s="105"/>
      <c r="Z1352" s="105"/>
      <c r="AA1352" s="105"/>
      <c r="AB1352" s="105"/>
      <c r="AC1352" s="91"/>
      <c r="AD1352" s="105"/>
      <c r="AE1352" s="105"/>
      <c r="AF1352" s="91"/>
      <c r="AG1352" s="105"/>
      <c r="AH1352" s="105"/>
      <c r="AI1352" s="105" t="str">
        <f t="shared" si="1"/>
        <v/>
      </c>
      <c r="AJ1352" s="108" t="str">
        <f t="shared" si="2"/>
        <v/>
      </c>
    </row>
    <row r="1353" ht="15.75" customHeight="1">
      <c r="A1353" s="104"/>
      <c r="B1353" s="105" t="str">
        <f>IFERROR(__xludf.DUMMYFUNCTION("ARRAY_CONSTRAIN(
  ARRAYFORMULA(
    IF(
      'Final Report'!A1353="""",
      """",
      TEXTJOIN(
        "", "" &amp; CHAR(10),
        TRUE,
        IFERROR(
          VLOOKUP(
            TRIM(
              SPLIT('Final Report'!A1353, "","")
         "&amp;"   ),
            'URL Details'!A:B,
            2,
            FALSE
          ),
          """"
        )
      )
    )
  ),
  1,
  1
)
"),"")</f>
        <v/>
      </c>
      <c r="C1353" s="105" t="str">
        <f>IFERROR(__xludf.DUMMYFUNCTION("IFERROR(IF('Final Report'!A1353="""","""", TEXTJOIN(CHAR(10), TRUE, ARRAYFORMULA( ""• ""&amp; FILTER( TRIM(FLATTEN(SPLIT( REGEXREPLACE( SUBSTITUTE(TEXTJOIN("","", TRUE, IFERROR(ARRAYFORMULA(VLOOKUP(TRIM(SPLIT('Final Report'!A1353, "","")), 'URL Details'!A:D, "&amp;"4, FALSE)),"""") ), CHAR(10), "",""), ""\s*,\s*"", "",""), "",""))), TRIM(FLATTEN(SPLIT( REGEXREPLACE( SUBSTITUTE(TEXTJOIN("","", TRUE, IFERROR(ARRAYFORMULA(VLOOKUP(TRIM(SPLIT('Final Report'!A1353, "","")), 'URL Details'!A:D, 4, FALSE)),"""") ), CHAR(10),"&amp;" "",""), ""\s*,\s*"", "",""), "","")))&lt;&gt;"""" ) ) ) ),"""")
"),"")</f>
        <v/>
      </c>
      <c r="D1353" s="105"/>
      <c r="E1353" s="105"/>
      <c r="F1353" s="110" t="b">
        <v>0</v>
      </c>
      <c r="G1353" s="105" t="str">
        <f>IF(F1353=True, IFERROR(VLOOKUP(D1353, Repository!A:B, 2, 0), ""), "")</f>
        <v/>
      </c>
      <c r="H1353" s="105"/>
      <c r="I1353" s="105"/>
      <c r="J1353" s="105" t="str">
        <f>IF(F1353=True, IFERROR(VLOOKUP(D1353, Repository!A:C, 3, 0), ""), "")</f>
        <v/>
      </c>
      <c r="K1353" s="105"/>
      <c r="L1353" s="105" t="str">
        <f>IF(F1353=True, IFERROR(VLOOKUP(D1353, Repository!A:E, 5, 0), ""), "")</f>
        <v/>
      </c>
      <c r="M1353" s="105"/>
      <c r="N1353" s="105" t="str">
        <f>IF(F1353=True, IFERROR(VLOOKUP(D1353, Repository!A:G, 7, 0), ""), "")</f>
        <v/>
      </c>
      <c r="O1353" s="105" t="str">
        <f>IFERROR(__xludf.DUMMYFUNCTION("ARRAY_CONSTRAIN(
  ARRAYFORMULA(
    IFERROR(
      LET(
        list, N1353,
        arr, TRIM(SPLIT(list, "","")),
        names, XLOOKUP(
          arr,
          'Conformance Score'!A:A,
          'Conformance Score'!B:B,
          ""Not found""
     "&amp;"   ),
        TEXTJOIN("", "", TRUE, names)
      ),
      """"
    )
  ),
  1,
  1
)
"),"")</f>
        <v/>
      </c>
      <c r="P1353" s="105" t="str">
        <f>IF(F1353="Yes", IFERROR(VLOOKUP(D1353, Repository!A:F, 6, 0), ""), "")</f>
        <v/>
      </c>
      <c r="Q1353" s="105" t="str">
        <f>IF(F1353="Yes", IFERROR(VLOOKUP(D1353, Repository!A:I, 8, 0), ""), "")</f>
        <v/>
      </c>
      <c r="R1353" s="105" t="str">
        <f>IF(F1353="Yes", IFERROR(VLOOKUP(D1353, Repository!A:J, 9, 0), ""), "")</f>
        <v/>
      </c>
      <c r="S1353" s="105"/>
      <c r="T1353" s="105"/>
      <c r="U1353" s="105"/>
      <c r="V1353" s="105"/>
      <c r="W1353" s="105"/>
      <c r="X1353" s="105"/>
      <c r="Y1353" s="105"/>
      <c r="Z1353" s="105"/>
      <c r="AA1353" s="105"/>
      <c r="AB1353" s="105"/>
      <c r="AC1353" s="91"/>
      <c r="AD1353" s="105"/>
      <c r="AE1353" s="105"/>
      <c r="AF1353" s="91"/>
      <c r="AG1353" s="105"/>
      <c r="AH1353" s="105"/>
      <c r="AI1353" s="105" t="str">
        <f t="shared" si="1"/>
        <v/>
      </c>
      <c r="AJ1353" s="108" t="str">
        <f t="shared" si="2"/>
        <v/>
      </c>
    </row>
    <row r="1354" ht="15.75" customHeight="1">
      <c r="A1354" s="104"/>
      <c r="B1354" s="105" t="str">
        <f>IFERROR(__xludf.DUMMYFUNCTION("ARRAY_CONSTRAIN(
  ARRAYFORMULA(
    IF(
      'Final Report'!A1354="""",
      """",
      TEXTJOIN(
        "", "" &amp; CHAR(10),
        TRUE,
        IFERROR(
          VLOOKUP(
            TRIM(
              SPLIT('Final Report'!A1354, "","")
         "&amp;"   ),
            'URL Details'!A:B,
            2,
            FALSE
          ),
          """"
        )
      )
    )
  ),
  1,
  1
)
"),"")</f>
        <v/>
      </c>
      <c r="C1354" s="105" t="str">
        <f>IFERROR(__xludf.DUMMYFUNCTION("IFERROR(IF('Final Report'!A1354="""","""", TEXTJOIN(CHAR(10), TRUE, ARRAYFORMULA( ""• ""&amp; FILTER( TRIM(FLATTEN(SPLIT( REGEXREPLACE( SUBSTITUTE(TEXTJOIN("","", TRUE, IFERROR(ARRAYFORMULA(VLOOKUP(TRIM(SPLIT('Final Report'!A1354, "","")), 'URL Details'!A:D, "&amp;"4, FALSE)),"""") ), CHAR(10), "",""), ""\s*,\s*"", "",""), "",""))), TRIM(FLATTEN(SPLIT( REGEXREPLACE( SUBSTITUTE(TEXTJOIN("","", TRUE, IFERROR(ARRAYFORMULA(VLOOKUP(TRIM(SPLIT('Final Report'!A1354, "","")), 'URL Details'!A:D, 4, FALSE)),"""") ), CHAR(10),"&amp;" "",""), ""\s*,\s*"", "",""), "","")))&lt;&gt;"""" ) ) ) ),"""")
"),"")</f>
        <v/>
      </c>
      <c r="D1354" s="105"/>
      <c r="E1354" s="105"/>
      <c r="F1354" s="110" t="b">
        <v>0</v>
      </c>
      <c r="G1354" s="105" t="str">
        <f>IF(F1354=True, IFERROR(VLOOKUP(D1354, Repository!A:B, 2, 0), ""), "")</f>
        <v/>
      </c>
      <c r="H1354" s="105"/>
      <c r="I1354" s="105"/>
      <c r="J1354" s="105" t="str">
        <f>IF(F1354=True, IFERROR(VLOOKUP(D1354, Repository!A:C, 3, 0), ""), "")</f>
        <v/>
      </c>
      <c r="K1354" s="105"/>
      <c r="L1354" s="105" t="str">
        <f>IF(F1354=True, IFERROR(VLOOKUP(D1354, Repository!A:E, 5, 0), ""), "")</f>
        <v/>
      </c>
      <c r="M1354" s="105"/>
      <c r="N1354" s="105" t="str">
        <f>IF(F1354=True, IFERROR(VLOOKUP(D1354, Repository!A:G, 7, 0), ""), "")</f>
        <v/>
      </c>
      <c r="O1354" s="105" t="str">
        <f>IFERROR(__xludf.DUMMYFUNCTION("ARRAY_CONSTRAIN(
  ARRAYFORMULA(
    IFERROR(
      LET(
        list, N1354,
        arr, TRIM(SPLIT(list, "","")),
        names, XLOOKUP(
          arr,
          'Conformance Score'!A:A,
          'Conformance Score'!B:B,
          ""Not found""
     "&amp;"   ),
        TEXTJOIN("", "", TRUE, names)
      ),
      """"
    )
  ),
  1,
  1
)
"),"")</f>
        <v/>
      </c>
      <c r="P1354" s="105" t="str">
        <f>IF(F1354="Yes", IFERROR(VLOOKUP(D1354, Repository!A:F, 6, 0), ""), "")</f>
        <v/>
      </c>
      <c r="Q1354" s="105" t="str">
        <f>IF(F1354="Yes", IFERROR(VLOOKUP(D1354, Repository!A:I, 8, 0), ""), "")</f>
        <v/>
      </c>
      <c r="R1354" s="105" t="str">
        <f>IF(F1354="Yes", IFERROR(VLOOKUP(D1354, Repository!A:J, 9, 0), ""), "")</f>
        <v/>
      </c>
      <c r="S1354" s="105"/>
      <c r="T1354" s="105"/>
      <c r="U1354" s="105"/>
      <c r="V1354" s="105"/>
      <c r="W1354" s="105"/>
      <c r="X1354" s="105"/>
      <c r="Y1354" s="105"/>
      <c r="Z1354" s="105"/>
      <c r="AA1354" s="105"/>
      <c r="AB1354" s="105"/>
      <c r="AC1354" s="91"/>
      <c r="AD1354" s="105"/>
      <c r="AE1354" s="105"/>
      <c r="AF1354" s="91"/>
      <c r="AG1354" s="105"/>
      <c r="AH1354" s="105"/>
      <c r="AI1354" s="105" t="str">
        <f t="shared" si="1"/>
        <v/>
      </c>
      <c r="AJ1354" s="108" t="str">
        <f t="shared" si="2"/>
        <v/>
      </c>
    </row>
    <row r="1355" ht="15.75" customHeight="1">
      <c r="A1355" s="104"/>
      <c r="B1355" s="105" t="str">
        <f>IFERROR(__xludf.DUMMYFUNCTION("ARRAY_CONSTRAIN(
  ARRAYFORMULA(
    IF(
      'Final Report'!A1355="""",
      """",
      TEXTJOIN(
        "", "" &amp; CHAR(10),
        TRUE,
        IFERROR(
          VLOOKUP(
            TRIM(
              SPLIT('Final Report'!A1355, "","")
         "&amp;"   ),
            'URL Details'!A:B,
            2,
            FALSE
          ),
          """"
        )
      )
    )
  ),
  1,
  1
)
"),"")</f>
        <v/>
      </c>
      <c r="C1355" s="105" t="str">
        <f>IFERROR(__xludf.DUMMYFUNCTION("IFERROR(IF('Final Report'!A1355="""","""", TEXTJOIN(CHAR(10), TRUE, ARRAYFORMULA( ""• ""&amp; FILTER( TRIM(FLATTEN(SPLIT( REGEXREPLACE( SUBSTITUTE(TEXTJOIN("","", TRUE, IFERROR(ARRAYFORMULA(VLOOKUP(TRIM(SPLIT('Final Report'!A1355, "","")), 'URL Details'!A:D, "&amp;"4, FALSE)),"""") ), CHAR(10), "",""), ""\s*,\s*"", "",""), "",""))), TRIM(FLATTEN(SPLIT( REGEXREPLACE( SUBSTITUTE(TEXTJOIN("","", TRUE, IFERROR(ARRAYFORMULA(VLOOKUP(TRIM(SPLIT('Final Report'!A1355, "","")), 'URL Details'!A:D, 4, FALSE)),"""") ), CHAR(10),"&amp;" "",""), ""\s*,\s*"", "",""), "","")))&lt;&gt;"""" ) ) ) ),"""")
"),"")</f>
        <v/>
      </c>
      <c r="D1355" s="105"/>
      <c r="E1355" s="105"/>
      <c r="F1355" s="110" t="b">
        <v>0</v>
      </c>
      <c r="G1355" s="105" t="str">
        <f>IF(F1355=True, IFERROR(VLOOKUP(D1355, Repository!A:B, 2, 0), ""), "")</f>
        <v/>
      </c>
      <c r="H1355" s="105"/>
      <c r="I1355" s="105"/>
      <c r="J1355" s="105" t="str">
        <f>IF(F1355=True, IFERROR(VLOOKUP(D1355, Repository!A:C, 3, 0), ""), "")</f>
        <v/>
      </c>
      <c r="K1355" s="105"/>
      <c r="L1355" s="105" t="str">
        <f>IF(F1355=True, IFERROR(VLOOKUP(D1355, Repository!A:E, 5, 0), ""), "")</f>
        <v/>
      </c>
      <c r="M1355" s="105"/>
      <c r="N1355" s="105" t="str">
        <f>IF(F1355=True, IFERROR(VLOOKUP(D1355, Repository!A:G, 7, 0), ""), "")</f>
        <v/>
      </c>
      <c r="O1355" s="105" t="str">
        <f>IFERROR(__xludf.DUMMYFUNCTION("ARRAY_CONSTRAIN(
  ARRAYFORMULA(
    IFERROR(
      LET(
        list, N1355,
        arr, TRIM(SPLIT(list, "","")),
        names, XLOOKUP(
          arr,
          'Conformance Score'!A:A,
          'Conformance Score'!B:B,
          ""Not found""
     "&amp;"   ),
        TEXTJOIN("", "", TRUE, names)
      ),
      """"
    )
  ),
  1,
  1
)
"),"")</f>
        <v/>
      </c>
      <c r="P1355" s="105" t="str">
        <f>IF(F1355="Yes", IFERROR(VLOOKUP(D1355, Repository!A:F, 6, 0), ""), "")</f>
        <v/>
      </c>
      <c r="Q1355" s="105" t="str">
        <f>IF(F1355="Yes", IFERROR(VLOOKUP(D1355, Repository!A:I, 8, 0), ""), "")</f>
        <v/>
      </c>
      <c r="R1355" s="105" t="str">
        <f>IF(F1355="Yes", IFERROR(VLOOKUP(D1355, Repository!A:J, 9, 0), ""), "")</f>
        <v/>
      </c>
      <c r="S1355" s="105"/>
      <c r="T1355" s="105"/>
      <c r="U1355" s="105"/>
      <c r="V1355" s="105"/>
      <c r="W1355" s="105"/>
      <c r="X1355" s="105"/>
      <c r="Y1355" s="105"/>
      <c r="Z1355" s="105"/>
      <c r="AA1355" s="105"/>
      <c r="AB1355" s="105"/>
      <c r="AC1355" s="91"/>
      <c r="AD1355" s="105"/>
      <c r="AE1355" s="105"/>
      <c r="AF1355" s="91"/>
      <c r="AG1355" s="105"/>
      <c r="AH1355" s="105"/>
      <c r="AI1355" s="105" t="str">
        <f t="shared" si="1"/>
        <v/>
      </c>
      <c r="AJ1355" s="108" t="str">
        <f t="shared" si="2"/>
        <v/>
      </c>
    </row>
    <row r="1356" ht="15.75" customHeight="1">
      <c r="A1356" s="104"/>
      <c r="B1356" s="105" t="str">
        <f>IFERROR(__xludf.DUMMYFUNCTION("ARRAY_CONSTRAIN(
  ARRAYFORMULA(
    IF(
      'Final Report'!A1356="""",
      """",
      TEXTJOIN(
        "", "" &amp; CHAR(10),
        TRUE,
        IFERROR(
          VLOOKUP(
            TRIM(
              SPLIT('Final Report'!A1356, "","")
         "&amp;"   ),
            'URL Details'!A:B,
            2,
            FALSE
          ),
          """"
        )
      )
    )
  ),
  1,
  1
)
"),"")</f>
        <v/>
      </c>
      <c r="C1356" s="105" t="str">
        <f>IFERROR(__xludf.DUMMYFUNCTION("IFERROR(IF('Final Report'!A1356="""","""", TEXTJOIN(CHAR(10), TRUE, ARRAYFORMULA( ""• ""&amp; FILTER( TRIM(FLATTEN(SPLIT( REGEXREPLACE( SUBSTITUTE(TEXTJOIN("","", TRUE, IFERROR(ARRAYFORMULA(VLOOKUP(TRIM(SPLIT('Final Report'!A1356, "","")), 'URL Details'!A:D, "&amp;"4, FALSE)),"""") ), CHAR(10), "",""), ""\s*,\s*"", "",""), "",""))), TRIM(FLATTEN(SPLIT( REGEXREPLACE( SUBSTITUTE(TEXTJOIN("","", TRUE, IFERROR(ARRAYFORMULA(VLOOKUP(TRIM(SPLIT('Final Report'!A1356, "","")), 'URL Details'!A:D, 4, FALSE)),"""") ), CHAR(10),"&amp;" "",""), ""\s*,\s*"", "",""), "","")))&lt;&gt;"""" ) ) ) ),"""")
"),"")</f>
        <v/>
      </c>
      <c r="D1356" s="105"/>
      <c r="E1356" s="105"/>
      <c r="F1356" s="110" t="b">
        <v>0</v>
      </c>
      <c r="G1356" s="105" t="str">
        <f>IF(F1356=True, IFERROR(VLOOKUP(D1356, Repository!A:B, 2, 0), ""), "")</f>
        <v/>
      </c>
      <c r="H1356" s="105"/>
      <c r="I1356" s="105"/>
      <c r="J1356" s="105" t="str">
        <f>IF(F1356=True, IFERROR(VLOOKUP(D1356, Repository!A:C, 3, 0), ""), "")</f>
        <v/>
      </c>
      <c r="K1356" s="105"/>
      <c r="L1356" s="105" t="str">
        <f>IF(F1356=True, IFERROR(VLOOKUP(D1356, Repository!A:E, 5, 0), ""), "")</f>
        <v/>
      </c>
      <c r="M1356" s="105"/>
      <c r="N1356" s="105" t="str">
        <f>IF(F1356=True, IFERROR(VLOOKUP(D1356, Repository!A:G, 7, 0), ""), "")</f>
        <v/>
      </c>
      <c r="O1356" s="105" t="str">
        <f>IFERROR(__xludf.DUMMYFUNCTION("ARRAY_CONSTRAIN(
  ARRAYFORMULA(
    IFERROR(
      LET(
        list, N1356,
        arr, TRIM(SPLIT(list, "","")),
        names, XLOOKUP(
          arr,
          'Conformance Score'!A:A,
          'Conformance Score'!B:B,
          ""Not found""
     "&amp;"   ),
        TEXTJOIN("", "", TRUE, names)
      ),
      """"
    )
  ),
  1,
  1
)
"),"")</f>
        <v/>
      </c>
      <c r="P1356" s="105" t="str">
        <f>IF(F1356="Yes", IFERROR(VLOOKUP(D1356, Repository!A:F, 6, 0), ""), "")</f>
        <v/>
      </c>
      <c r="Q1356" s="105" t="str">
        <f>IF(F1356="Yes", IFERROR(VLOOKUP(D1356, Repository!A:I, 8, 0), ""), "")</f>
        <v/>
      </c>
      <c r="R1356" s="105" t="str">
        <f>IF(F1356="Yes", IFERROR(VLOOKUP(D1356, Repository!A:J, 9, 0), ""), "")</f>
        <v/>
      </c>
      <c r="S1356" s="105"/>
      <c r="T1356" s="105"/>
      <c r="U1356" s="105"/>
      <c r="V1356" s="105"/>
      <c r="W1356" s="105"/>
      <c r="X1356" s="105"/>
      <c r="Y1356" s="105"/>
      <c r="Z1356" s="105"/>
      <c r="AA1356" s="105"/>
      <c r="AB1356" s="105"/>
      <c r="AC1356" s="91"/>
      <c r="AD1356" s="105"/>
      <c r="AE1356" s="105"/>
      <c r="AF1356" s="91"/>
      <c r="AG1356" s="105"/>
      <c r="AH1356" s="105"/>
      <c r="AI1356" s="105" t="str">
        <f t="shared" si="1"/>
        <v/>
      </c>
      <c r="AJ1356" s="108" t="str">
        <f t="shared" si="2"/>
        <v/>
      </c>
    </row>
    <row r="1357" ht="15.75" customHeight="1">
      <c r="A1357" s="104"/>
      <c r="B1357" s="105" t="str">
        <f>IFERROR(__xludf.DUMMYFUNCTION("ARRAY_CONSTRAIN(
  ARRAYFORMULA(
    IF(
      'Final Report'!A1357="""",
      """",
      TEXTJOIN(
        "", "" &amp; CHAR(10),
        TRUE,
        IFERROR(
          VLOOKUP(
            TRIM(
              SPLIT('Final Report'!A1357, "","")
         "&amp;"   ),
            'URL Details'!A:B,
            2,
            FALSE
          ),
          """"
        )
      )
    )
  ),
  1,
  1
)
"),"")</f>
        <v/>
      </c>
      <c r="C1357" s="105" t="str">
        <f>IFERROR(__xludf.DUMMYFUNCTION("IFERROR(IF('Final Report'!A1357="""","""", TEXTJOIN(CHAR(10), TRUE, ARRAYFORMULA( ""• ""&amp; FILTER( TRIM(FLATTEN(SPLIT( REGEXREPLACE( SUBSTITUTE(TEXTJOIN("","", TRUE, IFERROR(ARRAYFORMULA(VLOOKUP(TRIM(SPLIT('Final Report'!A1357, "","")), 'URL Details'!A:D, "&amp;"4, FALSE)),"""") ), CHAR(10), "",""), ""\s*,\s*"", "",""), "",""))), TRIM(FLATTEN(SPLIT( REGEXREPLACE( SUBSTITUTE(TEXTJOIN("","", TRUE, IFERROR(ARRAYFORMULA(VLOOKUP(TRIM(SPLIT('Final Report'!A1357, "","")), 'URL Details'!A:D, 4, FALSE)),"""") ), CHAR(10),"&amp;" "",""), ""\s*,\s*"", "",""), "","")))&lt;&gt;"""" ) ) ) ),"""")
"),"")</f>
        <v/>
      </c>
      <c r="D1357" s="105"/>
      <c r="E1357" s="105"/>
      <c r="F1357" s="110" t="b">
        <v>0</v>
      </c>
      <c r="G1357" s="105" t="str">
        <f>IF(F1357=True, IFERROR(VLOOKUP(D1357, Repository!A:B, 2, 0), ""), "")</f>
        <v/>
      </c>
      <c r="H1357" s="105"/>
      <c r="I1357" s="105"/>
      <c r="J1357" s="105" t="str">
        <f>IF(F1357=True, IFERROR(VLOOKUP(D1357, Repository!A:C, 3, 0), ""), "")</f>
        <v/>
      </c>
      <c r="K1357" s="105"/>
      <c r="L1357" s="105" t="str">
        <f>IF(F1357=True, IFERROR(VLOOKUP(D1357, Repository!A:E, 5, 0), ""), "")</f>
        <v/>
      </c>
      <c r="M1357" s="105"/>
      <c r="N1357" s="105" t="str">
        <f>IF(F1357=True, IFERROR(VLOOKUP(D1357, Repository!A:G, 7, 0), ""), "")</f>
        <v/>
      </c>
      <c r="O1357" s="105" t="str">
        <f>IFERROR(__xludf.DUMMYFUNCTION("ARRAY_CONSTRAIN(
  ARRAYFORMULA(
    IFERROR(
      LET(
        list, N1357,
        arr, TRIM(SPLIT(list, "","")),
        names, XLOOKUP(
          arr,
          'Conformance Score'!A:A,
          'Conformance Score'!B:B,
          ""Not found""
     "&amp;"   ),
        TEXTJOIN("", "", TRUE, names)
      ),
      """"
    )
  ),
  1,
  1
)
"),"")</f>
        <v/>
      </c>
      <c r="P1357" s="105" t="str">
        <f>IF(F1357="Yes", IFERROR(VLOOKUP(D1357, Repository!A:F, 6, 0), ""), "")</f>
        <v/>
      </c>
      <c r="Q1357" s="105" t="str">
        <f>IF(F1357="Yes", IFERROR(VLOOKUP(D1357, Repository!A:I, 8, 0), ""), "")</f>
        <v/>
      </c>
      <c r="R1357" s="105" t="str">
        <f>IF(F1357="Yes", IFERROR(VLOOKUP(D1357, Repository!A:J, 9, 0), ""), "")</f>
        <v/>
      </c>
      <c r="S1357" s="105"/>
      <c r="T1357" s="105"/>
      <c r="U1357" s="105"/>
      <c r="V1357" s="105"/>
      <c r="W1357" s="105"/>
      <c r="X1357" s="105"/>
      <c r="Y1357" s="105"/>
      <c r="Z1357" s="105"/>
      <c r="AA1357" s="105"/>
      <c r="AB1357" s="105"/>
      <c r="AC1357" s="91"/>
      <c r="AD1357" s="105"/>
      <c r="AE1357" s="105"/>
      <c r="AF1357" s="91"/>
      <c r="AG1357" s="105"/>
      <c r="AH1357" s="105"/>
      <c r="AI1357" s="105" t="str">
        <f t="shared" si="1"/>
        <v/>
      </c>
      <c r="AJ1357" s="108" t="str">
        <f t="shared" si="2"/>
        <v/>
      </c>
    </row>
    <row r="1358" ht="15.75" customHeight="1">
      <c r="A1358" s="104"/>
      <c r="B1358" s="105" t="str">
        <f>IFERROR(__xludf.DUMMYFUNCTION("ARRAY_CONSTRAIN(
  ARRAYFORMULA(
    IF(
      'Final Report'!A1358="""",
      """",
      TEXTJOIN(
        "", "" &amp; CHAR(10),
        TRUE,
        IFERROR(
          VLOOKUP(
            TRIM(
              SPLIT('Final Report'!A1358, "","")
         "&amp;"   ),
            'URL Details'!A:B,
            2,
            FALSE
          ),
          """"
        )
      )
    )
  ),
  1,
  1
)
"),"")</f>
        <v/>
      </c>
      <c r="C1358" s="105" t="str">
        <f>IFERROR(__xludf.DUMMYFUNCTION("IFERROR(IF('Final Report'!A1358="""","""", TEXTJOIN(CHAR(10), TRUE, ARRAYFORMULA( ""• ""&amp; FILTER( TRIM(FLATTEN(SPLIT( REGEXREPLACE( SUBSTITUTE(TEXTJOIN("","", TRUE, IFERROR(ARRAYFORMULA(VLOOKUP(TRIM(SPLIT('Final Report'!A1358, "","")), 'URL Details'!A:D, "&amp;"4, FALSE)),"""") ), CHAR(10), "",""), ""\s*,\s*"", "",""), "",""))), TRIM(FLATTEN(SPLIT( REGEXREPLACE( SUBSTITUTE(TEXTJOIN("","", TRUE, IFERROR(ARRAYFORMULA(VLOOKUP(TRIM(SPLIT('Final Report'!A1358, "","")), 'URL Details'!A:D, 4, FALSE)),"""") ), CHAR(10),"&amp;" "",""), ""\s*,\s*"", "",""), "","")))&lt;&gt;"""" ) ) ) ),"""")
"),"")</f>
        <v/>
      </c>
      <c r="D1358" s="105"/>
      <c r="E1358" s="105"/>
      <c r="F1358" s="110" t="b">
        <v>0</v>
      </c>
      <c r="G1358" s="105" t="str">
        <f>IF(F1358=True, IFERROR(VLOOKUP(D1358, Repository!A:B, 2, 0), ""), "")</f>
        <v/>
      </c>
      <c r="H1358" s="105"/>
      <c r="I1358" s="105"/>
      <c r="J1358" s="105" t="str">
        <f>IF(F1358=True, IFERROR(VLOOKUP(D1358, Repository!A:C, 3, 0), ""), "")</f>
        <v/>
      </c>
      <c r="K1358" s="105"/>
      <c r="L1358" s="105" t="str">
        <f>IF(F1358=True, IFERROR(VLOOKUP(D1358, Repository!A:E, 5, 0), ""), "")</f>
        <v/>
      </c>
      <c r="M1358" s="105"/>
      <c r="N1358" s="105" t="str">
        <f>IF(F1358=True, IFERROR(VLOOKUP(D1358, Repository!A:G, 7, 0), ""), "")</f>
        <v/>
      </c>
      <c r="O1358" s="105" t="str">
        <f>IFERROR(__xludf.DUMMYFUNCTION("ARRAY_CONSTRAIN(
  ARRAYFORMULA(
    IFERROR(
      LET(
        list, N1358,
        arr, TRIM(SPLIT(list, "","")),
        names, XLOOKUP(
          arr,
          'Conformance Score'!A:A,
          'Conformance Score'!B:B,
          ""Not found""
     "&amp;"   ),
        TEXTJOIN("", "", TRUE, names)
      ),
      """"
    )
  ),
  1,
  1
)
"),"")</f>
        <v/>
      </c>
      <c r="P1358" s="105" t="str">
        <f>IF(F1358="Yes", IFERROR(VLOOKUP(D1358, Repository!A:F, 6, 0), ""), "")</f>
        <v/>
      </c>
      <c r="Q1358" s="105" t="str">
        <f>IF(F1358="Yes", IFERROR(VLOOKUP(D1358, Repository!A:I, 8, 0), ""), "")</f>
        <v/>
      </c>
      <c r="R1358" s="105" t="str">
        <f>IF(F1358="Yes", IFERROR(VLOOKUP(D1358, Repository!A:J, 9, 0), ""), "")</f>
        <v/>
      </c>
      <c r="S1358" s="105"/>
      <c r="T1358" s="105"/>
      <c r="U1358" s="105"/>
      <c r="V1358" s="105"/>
      <c r="W1358" s="105"/>
      <c r="X1358" s="105"/>
      <c r="Y1358" s="105"/>
      <c r="Z1358" s="105"/>
      <c r="AA1358" s="105"/>
      <c r="AB1358" s="105"/>
      <c r="AC1358" s="91"/>
      <c r="AD1358" s="105"/>
      <c r="AE1358" s="105"/>
      <c r="AF1358" s="91"/>
      <c r="AG1358" s="105"/>
      <c r="AH1358" s="105"/>
      <c r="AI1358" s="105" t="str">
        <f t="shared" si="1"/>
        <v/>
      </c>
      <c r="AJ1358" s="108" t="str">
        <f t="shared" si="2"/>
        <v/>
      </c>
    </row>
    <row r="1359" ht="15.75" customHeight="1">
      <c r="A1359" s="104"/>
      <c r="B1359" s="105" t="str">
        <f>IFERROR(__xludf.DUMMYFUNCTION("ARRAY_CONSTRAIN(
  ARRAYFORMULA(
    IF(
      'Final Report'!A1359="""",
      """",
      TEXTJOIN(
        "", "" &amp; CHAR(10),
        TRUE,
        IFERROR(
          VLOOKUP(
            TRIM(
              SPLIT('Final Report'!A1359, "","")
         "&amp;"   ),
            'URL Details'!A:B,
            2,
            FALSE
          ),
          """"
        )
      )
    )
  ),
  1,
  1
)
"),"")</f>
        <v/>
      </c>
      <c r="C1359" s="105" t="str">
        <f>IFERROR(__xludf.DUMMYFUNCTION("IFERROR(IF('Final Report'!A1359="""","""", TEXTJOIN(CHAR(10), TRUE, ARRAYFORMULA( ""• ""&amp; FILTER( TRIM(FLATTEN(SPLIT( REGEXREPLACE( SUBSTITUTE(TEXTJOIN("","", TRUE, IFERROR(ARRAYFORMULA(VLOOKUP(TRIM(SPLIT('Final Report'!A1359, "","")), 'URL Details'!A:D, "&amp;"4, FALSE)),"""") ), CHAR(10), "",""), ""\s*,\s*"", "",""), "",""))), TRIM(FLATTEN(SPLIT( REGEXREPLACE( SUBSTITUTE(TEXTJOIN("","", TRUE, IFERROR(ARRAYFORMULA(VLOOKUP(TRIM(SPLIT('Final Report'!A1359, "","")), 'URL Details'!A:D, 4, FALSE)),"""") ), CHAR(10),"&amp;" "",""), ""\s*,\s*"", "",""), "","")))&lt;&gt;"""" ) ) ) ),"""")
"),"")</f>
        <v/>
      </c>
      <c r="D1359" s="105"/>
      <c r="E1359" s="105"/>
      <c r="F1359" s="110" t="b">
        <v>0</v>
      </c>
      <c r="G1359" s="105" t="str">
        <f>IF(F1359=True, IFERROR(VLOOKUP(D1359, Repository!A:B, 2, 0), ""), "")</f>
        <v/>
      </c>
      <c r="H1359" s="105"/>
      <c r="I1359" s="105"/>
      <c r="J1359" s="105" t="str">
        <f>IF(F1359=True, IFERROR(VLOOKUP(D1359, Repository!A:C, 3, 0), ""), "")</f>
        <v/>
      </c>
      <c r="K1359" s="105"/>
      <c r="L1359" s="105" t="str">
        <f>IF(F1359=True, IFERROR(VLOOKUP(D1359, Repository!A:E, 5, 0), ""), "")</f>
        <v/>
      </c>
      <c r="M1359" s="105"/>
      <c r="N1359" s="105" t="str">
        <f>IF(F1359=True, IFERROR(VLOOKUP(D1359, Repository!A:G, 7, 0), ""), "")</f>
        <v/>
      </c>
      <c r="O1359" s="105" t="str">
        <f>IFERROR(__xludf.DUMMYFUNCTION("ARRAY_CONSTRAIN(
  ARRAYFORMULA(
    IFERROR(
      LET(
        list, N1359,
        arr, TRIM(SPLIT(list, "","")),
        names, XLOOKUP(
          arr,
          'Conformance Score'!A:A,
          'Conformance Score'!B:B,
          ""Not found""
     "&amp;"   ),
        TEXTJOIN("", "", TRUE, names)
      ),
      """"
    )
  ),
  1,
  1
)
"),"")</f>
        <v/>
      </c>
      <c r="P1359" s="105" t="str">
        <f>IF(F1359="Yes", IFERROR(VLOOKUP(D1359, Repository!A:F, 6, 0), ""), "")</f>
        <v/>
      </c>
      <c r="Q1359" s="105" t="str">
        <f>IF(F1359="Yes", IFERROR(VLOOKUP(D1359, Repository!A:I, 8, 0), ""), "")</f>
        <v/>
      </c>
      <c r="R1359" s="105" t="str">
        <f>IF(F1359="Yes", IFERROR(VLOOKUP(D1359, Repository!A:J, 9, 0), ""), "")</f>
        <v/>
      </c>
      <c r="S1359" s="105"/>
      <c r="T1359" s="105"/>
      <c r="U1359" s="105"/>
      <c r="V1359" s="105"/>
      <c r="W1359" s="105"/>
      <c r="X1359" s="105"/>
      <c r="Y1359" s="105"/>
      <c r="Z1359" s="105"/>
      <c r="AA1359" s="105"/>
      <c r="AB1359" s="105"/>
      <c r="AC1359" s="91"/>
      <c r="AD1359" s="105"/>
      <c r="AE1359" s="105"/>
      <c r="AF1359" s="91"/>
      <c r="AG1359" s="105"/>
      <c r="AH1359" s="105"/>
      <c r="AI1359" s="105" t="str">
        <f t="shared" si="1"/>
        <v/>
      </c>
      <c r="AJ1359" s="108" t="str">
        <f t="shared" si="2"/>
        <v/>
      </c>
    </row>
    <row r="1360" ht="15.75" customHeight="1">
      <c r="A1360" s="104"/>
      <c r="B1360" s="105" t="str">
        <f>IFERROR(__xludf.DUMMYFUNCTION("ARRAY_CONSTRAIN(
  ARRAYFORMULA(
    IF(
      'Final Report'!A1360="""",
      """",
      TEXTJOIN(
        "", "" &amp; CHAR(10),
        TRUE,
        IFERROR(
          VLOOKUP(
            TRIM(
              SPLIT('Final Report'!A1360, "","")
         "&amp;"   ),
            'URL Details'!A:B,
            2,
            FALSE
          ),
          """"
        )
      )
    )
  ),
  1,
  1
)
"),"")</f>
        <v/>
      </c>
      <c r="C1360" s="105" t="str">
        <f>IFERROR(__xludf.DUMMYFUNCTION("IFERROR(IF('Final Report'!A1360="""","""", TEXTJOIN(CHAR(10), TRUE, ARRAYFORMULA( ""• ""&amp; FILTER( TRIM(FLATTEN(SPLIT( REGEXREPLACE( SUBSTITUTE(TEXTJOIN("","", TRUE, IFERROR(ARRAYFORMULA(VLOOKUP(TRIM(SPLIT('Final Report'!A1360, "","")), 'URL Details'!A:D, "&amp;"4, FALSE)),"""") ), CHAR(10), "",""), ""\s*,\s*"", "",""), "",""))), TRIM(FLATTEN(SPLIT( REGEXREPLACE( SUBSTITUTE(TEXTJOIN("","", TRUE, IFERROR(ARRAYFORMULA(VLOOKUP(TRIM(SPLIT('Final Report'!A1360, "","")), 'URL Details'!A:D, 4, FALSE)),"""") ), CHAR(10),"&amp;" "",""), ""\s*,\s*"", "",""), "","")))&lt;&gt;"""" ) ) ) ),"""")
"),"")</f>
        <v/>
      </c>
      <c r="D1360" s="105"/>
      <c r="E1360" s="105"/>
      <c r="F1360" s="110" t="b">
        <v>0</v>
      </c>
      <c r="G1360" s="105" t="str">
        <f>IF(F1360=True, IFERROR(VLOOKUP(D1360, Repository!A:B, 2, 0), ""), "")</f>
        <v/>
      </c>
      <c r="H1360" s="105"/>
      <c r="I1360" s="105"/>
      <c r="J1360" s="105" t="str">
        <f>IF(F1360=True, IFERROR(VLOOKUP(D1360, Repository!A:C, 3, 0), ""), "")</f>
        <v/>
      </c>
      <c r="K1360" s="105"/>
      <c r="L1360" s="105" t="str">
        <f>IF(F1360=True, IFERROR(VLOOKUP(D1360, Repository!A:E, 5, 0), ""), "")</f>
        <v/>
      </c>
      <c r="M1360" s="105"/>
      <c r="N1360" s="105" t="str">
        <f>IF(F1360=True, IFERROR(VLOOKUP(D1360, Repository!A:G, 7, 0), ""), "")</f>
        <v/>
      </c>
      <c r="O1360" s="105" t="str">
        <f>IFERROR(__xludf.DUMMYFUNCTION("ARRAY_CONSTRAIN(
  ARRAYFORMULA(
    IFERROR(
      LET(
        list, N1360,
        arr, TRIM(SPLIT(list, "","")),
        names, XLOOKUP(
          arr,
          'Conformance Score'!A:A,
          'Conformance Score'!B:B,
          ""Not found""
     "&amp;"   ),
        TEXTJOIN("", "", TRUE, names)
      ),
      """"
    )
  ),
  1,
  1
)
"),"")</f>
        <v/>
      </c>
      <c r="P1360" s="105" t="str">
        <f>IF(F1360="Yes", IFERROR(VLOOKUP(D1360, Repository!A:F, 6, 0), ""), "")</f>
        <v/>
      </c>
      <c r="Q1360" s="105" t="str">
        <f>IF(F1360="Yes", IFERROR(VLOOKUP(D1360, Repository!A:I, 8, 0), ""), "")</f>
        <v/>
      </c>
      <c r="R1360" s="105" t="str">
        <f>IF(F1360="Yes", IFERROR(VLOOKUP(D1360, Repository!A:J, 9, 0), ""), "")</f>
        <v/>
      </c>
      <c r="S1360" s="105"/>
      <c r="T1360" s="105"/>
      <c r="U1360" s="105"/>
      <c r="V1360" s="105"/>
      <c r="W1360" s="105"/>
      <c r="X1360" s="105"/>
      <c r="Y1360" s="105"/>
      <c r="Z1360" s="105"/>
      <c r="AA1360" s="105"/>
      <c r="AB1360" s="105"/>
      <c r="AC1360" s="91"/>
      <c r="AD1360" s="105"/>
      <c r="AE1360" s="105"/>
      <c r="AF1360" s="91"/>
      <c r="AG1360" s="105"/>
      <c r="AH1360" s="105"/>
      <c r="AI1360" s="105" t="str">
        <f t="shared" si="1"/>
        <v/>
      </c>
      <c r="AJ1360" s="108" t="str">
        <f t="shared" si="2"/>
        <v/>
      </c>
    </row>
    <row r="1361" ht="15.75" customHeight="1">
      <c r="A1361" s="104"/>
      <c r="B1361" s="105" t="str">
        <f>IFERROR(__xludf.DUMMYFUNCTION("ARRAY_CONSTRAIN(
  ARRAYFORMULA(
    IF(
      'Final Report'!A1361="""",
      """",
      TEXTJOIN(
        "", "" &amp; CHAR(10),
        TRUE,
        IFERROR(
          VLOOKUP(
            TRIM(
              SPLIT('Final Report'!A1361, "","")
         "&amp;"   ),
            'URL Details'!A:B,
            2,
            FALSE
          ),
          """"
        )
      )
    )
  ),
  1,
  1
)
"),"")</f>
        <v/>
      </c>
      <c r="C1361" s="105" t="str">
        <f>IFERROR(__xludf.DUMMYFUNCTION("IFERROR(IF('Final Report'!A1361="""","""", TEXTJOIN(CHAR(10), TRUE, ARRAYFORMULA( ""• ""&amp; FILTER( TRIM(FLATTEN(SPLIT( REGEXREPLACE( SUBSTITUTE(TEXTJOIN("","", TRUE, IFERROR(ARRAYFORMULA(VLOOKUP(TRIM(SPLIT('Final Report'!A1361, "","")), 'URL Details'!A:D, "&amp;"4, FALSE)),"""") ), CHAR(10), "",""), ""\s*,\s*"", "",""), "",""))), TRIM(FLATTEN(SPLIT( REGEXREPLACE( SUBSTITUTE(TEXTJOIN("","", TRUE, IFERROR(ARRAYFORMULA(VLOOKUP(TRIM(SPLIT('Final Report'!A1361, "","")), 'URL Details'!A:D, 4, FALSE)),"""") ), CHAR(10),"&amp;" "",""), ""\s*,\s*"", "",""), "","")))&lt;&gt;"""" ) ) ) ),"""")
"),"")</f>
        <v/>
      </c>
      <c r="D1361" s="105"/>
      <c r="E1361" s="105"/>
      <c r="F1361" s="110" t="b">
        <v>0</v>
      </c>
      <c r="G1361" s="105" t="str">
        <f>IF(F1361=True, IFERROR(VLOOKUP(D1361, Repository!A:B, 2, 0), ""), "")</f>
        <v/>
      </c>
      <c r="H1361" s="105"/>
      <c r="I1361" s="105"/>
      <c r="J1361" s="105" t="str">
        <f>IF(F1361=True, IFERROR(VLOOKUP(D1361, Repository!A:C, 3, 0), ""), "")</f>
        <v/>
      </c>
      <c r="K1361" s="105"/>
      <c r="L1361" s="105" t="str">
        <f>IF(F1361=True, IFERROR(VLOOKUP(D1361, Repository!A:E, 5, 0), ""), "")</f>
        <v/>
      </c>
      <c r="M1361" s="105"/>
      <c r="N1361" s="105" t="str">
        <f>IF(F1361=True, IFERROR(VLOOKUP(D1361, Repository!A:G, 7, 0), ""), "")</f>
        <v/>
      </c>
      <c r="O1361" s="105" t="str">
        <f>IFERROR(__xludf.DUMMYFUNCTION("ARRAY_CONSTRAIN(
  ARRAYFORMULA(
    IFERROR(
      LET(
        list, N1361,
        arr, TRIM(SPLIT(list, "","")),
        names, XLOOKUP(
          arr,
          'Conformance Score'!A:A,
          'Conformance Score'!B:B,
          ""Not found""
     "&amp;"   ),
        TEXTJOIN("", "", TRUE, names)
      ),
      """"
    )
  ),
  1,
  1
)
"),"")</f>
        <v/>
      </c>
      <c r="P1361" s="105" t="str">
        <f>IF(F1361="Yes", IFERROR(VLOOKUP(D1361, Repository!A:F, 6, 0), ""), "")</f>
        <v/>
      </c>
      <c r="Q1361" s="105" t="str">
        <f>IF(F1361="Yes", IFERROR(VLOOKUP(D1361, Repository!A:I, 8, 0), ""), "")</f>
        <v/>
      </c>
      <c r="R1361" s="105" t="str">
        <f>IF(F1361="Yes", IFERROR(VLOOKUP(D1361, Repository!A:J, 9, 0), ""), "")</f>
        <v/>
      </c>
      <c r="S1361" s="105"/>
      <c r="T1361" s="105"/>
      <c r="U1361" s="105"/>
      <c r="V1361" s="105"/>
      <c r="W1361" s="105"/>
      <c r="X1361" s="105"/>
      <c r="Y1361" s="105"/>
      <c r="Z1361" s="105"/>
      <c r="AA1361" s="105"/>
      <c r="AB1361" s="105"/>
      <c r="AC1361" s="91"/>
      <c r="AD1361" s="105"/>
      <c r="AE1361" s="105"/>
      <c r="AF1361" s="91"/>
      <c r="AG1361" s="105"/>
      <c r="AH1361" s="105"/>
      <c r="AI1361" s="105" t="str">
        <f t="shared" si="1"/>
        <v/>
      </c>
      <c r="AJ1361" s="108" t="str">
        <f t="shared" si="2"/>
        <v/>
      </c>
    </row>
    <row r="1362" ht="15.75" customHeight="1">
      <c r="A1362" s="104"/>
      <c r="B1362" s="105" t="str">
        <f>IFERROR(__xludf.DUMMYFUNCTION("ARRAY_CONSTRAIN(
  ARRAYFORMULA(
    IF(
      'Final Report'!A1362="""",
      """",
      TEXTJOIN(
        "", "" &amp; CHAR(10),
        TRUE,
        IFERROR(
          VLOOKUP(
            TRIM(
              SPLIT('Final Report'!A1362, "","")
         "&amp;"   ),
            'URL Details'!A:B,
            2,
            FALSE
          ),
          """"
        )
      )
    )
  ),
  1,
  1
)
"),"")</f>
        <v/>
      </c>
      <c r="C1362" s="105" t="str">
        <f>IFERROR(__xludf.DUMMYFUNCTION("IFERROR(IF('Final Report'!A1362="""","""", TEXTJOIN(CHAR(10), TRUE, ARRAYFORMULA( ""• ""&amp; FILTER( TRIM(FLATTEN(SPLIT( REGEXREPLACE( SUBSTITUTE(TEXTJOIN("","", TRUE, IFERROR(ARRAYFORMULA(VLOOKUP(TRIM(SPLIT('Final Report'!A1362, "","")), 'URL Details'!A:D, "&amp;"4, FALSE)),"""") ), CHAR(10), "",""), ""\s*,\s*"", "",""), "",""))), TRIM(FLATTEN(SPLIT( REGEXREPLACE( SUBSTITUTE(TEXTJOIN("","", TRUE, IFERROR(ARRAYFORMULA(VLOOKUP(TRIM(SPLIT('Final Report'!A1362, "","")), 'URL Details'!A:D, 4, FALSE)),"""") ), CHAR(10),"&amp;" "",""), ""\s*,\s*"", "",""), "","")))&lt;&gt;"""" ) ) ) ),"""")
"),"")</f>
        <v/>
      </c>
      <c r="D1362" s="105"/>
      <c r="E1362" s="105"/>
      <c r="F1362" s="110" t="b">
        <v>0</v>
      </c>
      <c r="G1362" s="105" t="str">
        <f>IF(F1362=True, IFERROR(VLOOKUP(D1362, Repository!A:B, 2, 0), ""), "")</f>
        <v/>
      </c>
      <c r="H1362" s="105"/>
      <c r="I1362" s="105"/>
      <c r="J1362" s="105" t="str">
        <f>IF(F1362=True, IFERROR(VLOOKUP(D1362, Repository!A:C, 3, 0), ""), "")</f>
        <v/>
      </c>
      <c r="K1362" s="105"/>
      <c r="L1362" s="105" t="str">
        <f>IF(F1362=True, IFERROR(VLOOKUP(D1362, Repository!A:E, 5, 0), ""), "")</f>
        <v/>
      </c>
      <c r="M1362" s="105"/>
      <c r="N1362" s="105" t="str">
        <f>IF(F1362=True, IFERROR(VLOOKUP(D1362, Repository!A:G, 7, 0), ""), "")</f>
        <v/>
      </c>
      <c r="O1362" s="105" t="str">
        <f>IFERROR(__xludf.DUMMYFUNCTION("ARRAY_CONSTRAIN(
  ARRAYFORMULA(
    IFERROR(
      LET(
        list, N1362,
        arr, TRIM(SPLIT(list, "","")),
        names, XLOOKUP(
          arr,
          'Conformance Score'!A:A,
          'Conformance Score'!B:B,
          ""Not found""
     "&amp;"   ),
        TEXTJOIN("", "", TRUE, names)
      ),
      """"
    )
  ),
  1,
  1
)
"),"")</f>
        <v/>
      </c>
      <c r="P1362" s="105" t="str">
        <f>IF(F1362="Yes", IFERROR(VLOOKUP(D1362, Repository!A:F, 6, 0), ""), "")</f>
        <v/>
      </c>
      <c r="Q1362" s="105" t="str">
        <f>IF(F1362="Yes", IFERROR(VLOOKUP(D1362, Repository!A:I, 8, 0), ""), "")</f>
        <v/>
      </c>
      <c r="R1362" s="105" t="str">
        <f>IF(F1362="Yes", IFERROR(VLOOKUP(D1362, Repository!A:J, 9, 0), ""), "")</f>
        <v/>
      </c>
      <c r="S1362" s="105"/>
      <c r="T1362" s="105"/>
      <c r="U1362" s="105"/>
      <c r="V1362" s="105"/>
      <c r="W1362" s="105"/>
      <c r="X1362" s="105"/>
      <c r="Y1362" s="105"/>
      <c r="Z1362" s="105"/>
      <c r="AA1362" s="105"/>
      <c r="AB1362" s="105"/>
      <c r="AC1362" s="91"/>
      <c r="AD1362" s="105"/>
      <c r="AE1362" s="105"/>
      <c r="AF1362" s="91"/>
      <c r="AG1362" s="105"/>
      <c r="AH1362" s="105"/>
      <c r="AI1362" s="105" t="str">
        <f t="shared" si="1"/>
        <v/>
      </c>
      <c r="AJ1362" s="108" t="str">
        <f t="shared" si="2"/>
        <v/>
      </c>
    </row>
    <row r="1363" ht="15.75" customHeight="1">
      <c r="A1363" s="104"/>
      <c r="B1363" s="105" t="str">
        <f>IFERROR(__xludf.DUMMYFUNCTION("ARRAY_CONSTRAIN(
  ARRAYFORMULA(
    IF(
      'Final Report'!A1363="""",
      """",
      TEXTJOIN(
        "", "" &amp; CHAR(10),
        TRUE,
        IFERROR(
          VLOOKUP(
            TRIM(
              SPLIT('Final Report'!A1363, "","")
         "&amp;"   ),
            'URL Details'!A:B,
            2,
            FALSE
          ),
          """"
        )
      )
    )
  ),
  1,
  1
)
"),"")</f>
        <v/>
      </c>
      <c r="C1363" s="105" t="str">
        <f>IFERROR(__xludf.DUMMYFUNCTION("IFERROR(IF('Final Report'!A1363="""","""", TEXTJOIN(CHAR(10), TRUE, ARRAYFORMULA( ""• ""&amp; FILTER( TRIM(FLATTEN(SPLIT( REGEXREPLACE( SUBSTITUTE(TEXTJOIN("","", TRUE, IFERROR(ARRAYFORMULA(VLOOKUP(TRIM(SPLIT('Final Report'!A1363, "","")), 'URL Details'!A:D, "&amp;"4, FALSE)),"""") ), CHAR(10), "",""), ""\s*,\s*"", "",""), "",""))), TRIM(FLATTEN(SPLIT( REGEXREPLACE( SUBSTITUTE(TEXTJOIN("","", TRUE, IFERROR(ARRAYFORMULA(VLOOKUP(TRIM(SPLIT('Final Report'!A1363, "","")), 'URL Details'!A:D, 4, FALSE)),"""") ), CHAR(10),"&amp;" "",""), ""\s*,\s*"", "",""), "","")))&lt;&gt;"""" ) ) ) ),"""")
"),"")</f>
        <v/>
      </c>
      <c r="D1363" s="105"/>
      <c r="E1363" s="105"/>
      <c r="F1363" s="110" t="b">
        <v>0</v>
      </c>
      <c r="G1363" s="105" t="str">
        <f>IF(F1363=True, IFERROR(VLOOKUP(D1363, Repository!A:B, 2, 0), ""), "")</f>
        <v/>
      </c>
      <c r="H1363" s="105"/>
      <c r="I1363" s="105"/>
      <c r="J1363" s="105" t="str">
        <f>IF(F1363=True, IFERROR(VLOOKUP(D1363, Repository!A:C, 3, 0), ""), "")</f>
        <v/>
      </c>
      <c r="K1363" s="105"/>
      <c r="L1363" s="105" t="str">
        <f>IF(F1363=True, IFERROR(VLOOKUP(D1363, Repository!A:E, 5, 0), ""), "")</f>
        <v/>
      </c>
      <c r="M1363" s="105"/>
      <c r="N1363" s="105" t="str">
        <f>IF(F1363=True, IFERROR(VLOOKUP(D1363, Repository!A:G, 7, 0), ""), "")</f>
        <v/>
      </c>
      <c r="O1363" s="105" t="str">
        <f>IFERROR(__xludf.DUMMYFUNCTION("ARRAY_CONSTRAIN(
  ARRAYFORMULA(
    IFERROR(
      LET(
        list, N1363,
        arr, TRIM(SPLIT(list, "","")),
        names, XLOOKUP(
          arr,
          'Conformance Score'!A:A,
          'Conformance Score'!B:B,
          ""Not found""
     "&amp;"   ),
        TEXTJOIN("", "", TRUE, names)
      ),
      """"
    )
  ),
  1,
  1
)
"),"")</f>
        <v/>
      </c>
      <c r="P1363" s="105" t="str">
        <f>IF(F1363="Yes", IFERROR(VLOOKUP(D1363, Repository!A:F, 6, 0), ""), "")</f>
        <v/>
      </c>
      <c r="Q1363" s="105" t="str">
        <f>IF(F1363="Yes", IFERROR(VLOOKUP(D1363, Repository!A:I, 8, 0), ""), "")</f>
        <v/>
      </c>
      <c r="R1363" s="105" t="str">
        <f>IF(F1363="Yes", IFERROR(VLOOKUP(D1363, Repository!A:J, 9, 0), ""), "")</f>
        <v/>
      </c>
      <c r="S1363" s="105"/>
      <c r="T1363" s="105"/>
      <c r="U1363" s="105"/>
      <c r="V1363" s="105"/>
      <c r="W1363" s="105"/>
      <c r="X1363" s="105"/>
      <c r="Y1363" s="105"/>
      <c r="Z1363" s="105"/>
      <c r="AA1363" s="105"/>
      <c r="AB1363" s="105"/>
      <c r="AC1363" s="91"/>
      <c r="AD1363" s="105"/>
      <c r="AE1363" s="105"/>
      <c r="AF1363" s="91"/>
      <c r="AG1363" s="105"/>
      <c r="AH1363" s="105"/>
      <c r="AI1363" s="105" t="str">
        <f t="shared" si="1"/>
        <v/>
      </c>
      <c r="AJ1363" s="108" t="str">
        <f t="shared" si="2"/>
        <v/>
      </c>
    </row>
    <row r="1364" ht="15.75" customHeight="1">
      <c r="A1364" s="104"/>
      <c r="B1364" s="105" t="str">
        <f>IFERROR(__xludf.DUMMYFUNCTION("ARRAY_CONSTRAIN(
  ARRAYFORMULA(
    IF(
      'Final Report'!A1364="""",
      """",
      TEXTJOIN(
        "", "" &amp; CHAR(10),
        TRUE,
        IFERROR(
          VLOOKUP(
            TRIM(
              SPLIT('Final Report'!A1364, "","")
         "&amp;"   ),
            'URL Details'!A:B,
            2,
            FALSE
          ),
          """"
        )
      )
    )
  ),
  1,
  1
)
"),"")</f>
        <v/>
      </c>
      <c r="C1364" s="105" t="str">
        <f>IFERROR(__xludf.DUMMYFUNCTION("IFERROR(IF('Final Report'!A1364="""","""", TEXTJOIN(CHAR(10), TRUE, ARRAYFORMULA( ""• ""&amp; FILTER( TRIM(FLATTEN(SPLIT( REGEXREPLACE( SUBSTITUTE(TEXTJOIN("","", TRUE, IFERROR(ARRAYFORMULA(VLOOKUP(TRIM(SPLIT('Final Report'!A1364, "","")), 'URL Details'!A:D, "&amp;"4, FALSE)),"""") ), CHAR(10), "",""), ""\s*,\s*"", "",""), "",""))), TRIM(FLATTEN(SPLIT( REGEXREPLACE( SUBSTITUTE(TEXTJOIN("","", TRUE, IFERROR(ARRAYFORMULA(VLOOKUP(TRIM(SPLIT('Final Report'!A1364, "","")), 'URL Details'!A:D, 4, FALSE)),"""") ), CHAR(10),"&amp;" "",""), ""\s*,\s*"", "",""), "","")))&lt;&gt;"""" ) ) ) ),"""")
"),"")</f>
        <v/>
      </c>
      <c r="D1364" s="105"/>
      <c r="E1364" s="105"/>
      <c r="F1364" s="110" t="b">
        <v>0</v>
      </c>
      <c r="G1364" s="105" t="str">
        <f>IF(F1364=True, IFERROR(VLOOKUP(D1364, Repository!A:B, 2, 0), ""), "")</f>
        <v/>
      </c>
      <c r="H1364" s="105"/>
      <c r="I1364" s="105"/>
      <c r="J1364" s="105" t="str">
        <f>IF(F1364=True, IFERROR(VLOOKUP(D1364, Repository!A:C, 3, 0), ""), "")</f>
        <v/>
      </c>
      <c r="K1364" s="105"/>
      <c r="L1364" s="105" t="str">
        <f>IF(F1364=True, IFERROR(VLOOKUP(D1364, Repository!A:E, 5, 0), ""), "")</f>
        <v/>
      </c>
      <c r="M1364" s="105"/>
      <c r="N1364" s="105" t="str">
        <f>IF(F1364=True, IFERROR(VLOOKUP(D1364, Repository!A:G, 7, 0), ""), "")</f>
        <v/>
      </c>
      <c r="O1364" s="105" t="str">
        <f>IFERROR(__xludf.DUMMYFUNCTION("ARRAY_CONSTRAIN(
  ARRAYFORMULA(
    IFERROR(
      LET(
        list, N1364,
        arr, TRIM(SPLIT(list, "","")),
        names, XLOOKUP(
          arr,
          'Conformance Score'!A:A,
          'Conformance Score'!B:B,
          ""Not found""
     "&amp;"   ),
        TEXTJOIN("", "", TRUE, names)
      ),
      """"
    )
  ),
  1,
  1
)
"),"")</f>
        <v/>
      </c>
      <c r="P1364" s="105" t="str">
        <f>IF(F1364="Yes", IFERROR(VLOOKUP(D1364, Repository!A:F, 6, 0), ""), "")</f>
        <v/>
      </c>
      <c r="Q1364" s="105" t="str">
        <f>IF(F1364="Yes", IFERROR(VLOOKUP(D1364, Repository!A:I, 8, 0), ""), "")</f>
        <v/>
      </c>
      <c r="R1364" s="105" t="str">
        <f>IF(F1364="Yes", IFERROR(VLOOKUP(D1364, Repository!A:J, 9, 0), ""), "")</f>
        <v/>
      </c>
      <c r="S1364" s="105"/>
      <c r="T1364" s="105"/>
      <c r="U1364" s="105"/>
      <c r="V1364" s="105"/>
      <c r="W1364" s="105"/>
      <c r="X1364" s="105"/>
      <c r="Y1364" s="105"/>
      <c r="Z1364" s="105"/>
      <c r="AA1364" s="105"/>
      <c r="AB1364" s="105"/>
      <c r="AC1364" s="91"/>
      <c r="AD1364" s="105"/>
      <c r="AE1364" s="105"/>
      <c r="AF1364" s="91"/>
      <c r="AG1364" s="105"/>
      <c r="AH1364" s="105"/>
      <c r="AI1364" s="105" t="str">
        <f t="shared" si="1"/>
        <v/>
      </c>
      <c r="AJ1364" s="108" t="str">
        <f t="shared" si="2"/>
        <v/>
      </c>
    </row>
    <row r="1365" ht="15.75" customHeight="1">
      <c r="A1365" s="104"/>
      <c r="B1365" s="105" t="str">
        <f>IFERROR(__xludf.DUMMYFUNCTION("ARRAY_CONSTRAIN(
  ARRAYFORMULA(
    IF(
      'Final Report'!A1365="""",
      """",
      TEXTJOIN(
        "", "" &amp; CHAR(10),
        TRUE,
        IFERROR(
          VLOOKUP(
            TRIM(
              SPLIT('Final Report'!A1365, "","")
         "&amp;"   ),
            'URL Details'!A:B,
            2,
            FALSE
          ),
          """"
        )
      )
    )
  ),
  1,
  1
)
"),"")</f>
        <v/>
      </c>
      <c r="C1365" s="105" t="str">
        <f>IFERROR(__xludf.DUMMYFUNCTION("IFERROR(IF('Final Report'!A1365="""","""", TEXTJOIN(CHAR(10), TRUE, ARRAYFORMULA( ""• ""&amp; FILTER( TRIM(FLATTEN(SPLIT( REGEXREPLACE( SUBSTITUTE(TEXTJOIN("","", TRUE, IFERROR(ARRAYFORMULA(VLOOKUP(TRIM(SPLIT('Final Report'!A1365, "","")), 'URL Details'!A:D, "&amp;"4, FALSE)),"""") ), CHAR(10), "",""), ""\s*,\s*"", "",""), "",""))), TRIM(FLATTEN(SPLIT( REGEXREPLACE( SUBSTITUTE(TEXTJOIN("","", TRUE, IFERROR(ARRAYFORMULA(VLOOKUP(TRIM(SPLIT('Final Report'!A1365, "","")), 'URL Details'!A:D, 4, FALSE)),"""") ), CHAR(10),"&amp;" "",""), ""\s*,\s*"", "",""), "","")))&lt;&gt;"""" ) ) ) ),"""")
"),"")</f>
        <v/>
      </c>
      <c r="D1365" s="105"/>
      <c r="E1365" s="105"/>
      <c r="F1365" s="110" t="b">
        <v>0</v>
      </c>
      <c r="G1365" s="105" t="str">
        <f>IF(F1365=True, IFERROR(VLOOKUP(D1365, Repository!A:B, 2, 0), ""), "")</f>
        <v/>
      </c>
      <c r="H1365" s="105"/>
      <c r="I1365" s="105"/>
      <c r="J1365" s="105" t="str">
        <f>IF(F1365=True, IFERROR(VLOOKUP(D1365, Repository!A:C, 3, 0), ""), "")</f>
        <v/>
      </c>
      <c r="K1365" s="105"/>
      <c r="L1365" s="105" t="str">
        <f>IF(F1365=True, IFERROR(VLOOKUP(D1365, Repository!A:E, 5, 0), ""), "")</f>
        <v/>
      </c>
      <c r="M1365" s="105"/>
      <c r="N1365" s="105" t="str">
        <f>IF(F1365=True, IFERROR(VLOOKUP(D1365, Repository!A:G, 7, 0), ""), "")</f>
        <v/>
      </c>
      <c r="O1365" s="105" t="str">
        <f>IFERROR(__xludf.DUMMYFUNCTION("ARRAY_CONSTRAIN(
  ARRAYFORMULA(
    IFERROR(
      LET(
        list, N1365,
        arr, TRIM(SPLIT(list, "","")),
        names, XLOOKUP(
          arr,
          'Conformance Score'!A:A,
          'Conformance Score'!B:B,
          ""Not found""
     "&amp;"   ),
        TEXTJOIN("", "", TRUE, names)
      ),
      """"
    )
  ),
  1,
  1
)
"),"")</f>
        <v/>
      </c>
      <c r="P1365" s="105" t="str">
        <f>IF(F1365="Yes", IFERROR(VLOOKUP(D1365, Repository!A:F, 6, 0), ""), "")</f>
        <v/>
      </c>
      <c r="Q1365" s="105" t="str">
        <f>IF(F1365="Yes", IFERROR(VLOOKUP(D1365, Repository!A:I, 8, 0), ""), "")</f>
        <v/>
      </c>
      <c r="R1365" s="105" t="str">
        <f>IF(F1365="Yes", IFERROR(VLOOKUP(D1365, Repository!A:J, 9, 0), ""), "")</f>
        <v/>
      </c>
      <c r="S1365" s="105"/>
      <c r="T1365" s="105"/>
      <c r="U1365" s="105"/>
      <c r="V1365" s="105"/>
      <c r="W1365" s="105"/>
      <c r="X1365" s="105"/>
      <c r="Y1365" s="105"/>
      <c r="Z1365" s="105"/>
      <c r="AA1365" s="105"/>
      <c r="AB1365" s="105"/>
      <c r="AC1365" s="91"/>
      <c r="AD1365" s="105"/>
      <c r="AE1365" s="105"/>
      <c r="AF1365" s="91"/>
      <c r="AG1365" s="105"/>
      <c r="AH1365" s="105"/>
      <c r="AI1365" s="105" t="str">
        <f t="shared" si="1"/>
        <v/>
      </c>
      <c r="AJ1365" s="108" t="str">
        <f t="shared" si="2"/>
        <v/>
      </c>
    </row>
    <row r="1366" ht="15.75" customHeight="1">
      <c r="A1366" s="104"/>
      <c r="B1366" s="105" t="str">
        <f>IFERROR(__xludf.DUMMYFUNCTION("ARRAY_CONSTRAIN(
  ARRAYFORMULA(
    IF(
      'Final Report'!A1366="""",
      """",
      TEXTJOIN(
        "", "" &amp; CHAR(10),
        TRUE,
        IFERROR(
          VLOOKUP(
            TRIM(
              SPLIT('Final Report'!A1366, "","")
         "&amp;"   ),
            'URL Details'!A:B,
            2,
            FALSE
          ),
          """"
        )
      )
    )
  ),
  1,
  1
)
"),"")</f>
        <v/>
      </c>
      <c r="C1366" s="105" t="str">
        <f>IFERROR(__xludf.DUMMYFUNCTION("IFERROR(IF('Final Report'!A1366="""","""", TEXTJOIN(CHAR(10), TRUE, ARRAYFORMULA( ""• ""&amp; FILTER( TRIM(FLATTEN(SPLIT( REGEXREPLACE( SUBSTITUTE(TEXTJOIN("","", TRUE, IFERROR(ARRAYFORMULA(VLOOKUP(TRIM(SPLIT('Final Report'!A1366, "","")), 'URL Details'!A:D, "&amp;"4, FALSE)),"""") ), CHAR(10), "",""), ""\s*,\s*"", "",""), "",""))), TRIM(FLATTEN(SPLIT( REGEXREPLACE( SUBSTITUTE(TEXTJOIN("","", TRUE, IFERROR(ARRAYFORMULA(VLOOKUP(TRIM(SPLIT('Final Report'!A1366, "","")), 'URL Details'!A:D, 4, FALSE)),"""") ), CHAR(10),"&amp;" "",""), ""\s*,\s*"", "",""), "","")))&lt;&gt;"""" ) ) ) ),"""")
"),"")</f>
        <v/>
      </c>
      <c r="D1366" s="105"/>
      <c r="E1366" s="105"/>
      <c r="F1366" s="110" t="b">
        <v>0</v>
      </c>
      <c r="G1366" s="105" t="str">
        <f>IF(F1366=True, IFERROR(VLOOKUP(D1366, Repository!A:B, 2, 0), ""), "")</f>
        <v/>
      </c>
      <c r="H1366" s="105"/>
      <c r="I1366" s="105"/>
      <c r="J1366" s="105" t="str">
        <f>IF(F1366=True, IFERROR(VLOOKUP(D1366, Repository!A:C, 3, 0), ""), "")</f>
        <v/>
      </c>
      <c r="K1366" s="105"/>
      <c r="L1366" s="105" t="str">
        <f>IF(F1366=True, IFERROR(VLOOKUP(D1366, Repository!A:E, 5, 0), ""), "")</f>
        <v/>
      </c>
      <c r="M1366" s="105"/>
      <c r="N1366" s="105" t="str">
        <f>IF(F1366=True, IFERROR(VLOOKUP(D1366, Repository!A:G, 7, 0), ""), "")</f>
        <v/>
      </c>
      <c r="O1366" s="105" t="str">
        <f>IFERROR(__xludf.DUMMYFUNCTION("ARRAY_CONSTRAIN(
  ARRAYFORMULA(
    IFERROR(
      LET(
        list, N1366,
        arr, TRIM(SPLIT(list, "","")),
        names, XLOOKUP(
          arr,
          'Conformance Score'!A:A,
          'Conformance Score'!B:B,
          ""Not found""
     "&amp;"   ),
        TEXTJOIN("", "", TRUE, names)
      ),
      """"
    )
  ),
  1,
  1
)
"),"")</f>
        <v/>
      </c>
      <c r="P1366" s="105" t="str">
        <f>IF(F1366="Yes", IFERROR(VLOOKUP(D1366, Repository!A:F, 6, 0), ""), "")</f>
        <v/>
      </c>
      <c r="Q1366" s="105" t="str">
        <f>IF(F1366="Yes", IFERROR(VLOOKUP(D1366, Repository!A:I, 8, 0), ""), "")</f>
        <v/>
      </c>
      <c r="R1366" s="105" t="str">
        <f>IF(F1366="Yes", IFERROR(VLOOKUP(D1366, Repository!A:J, 9, 0), ""), "")</f>
        <v/>
      </c>
      <c r="S1366" s="105"/>
      <c r="T1366" s="105"/>
      <c r="U1366" s="105"/>
      <c r="V1366" s="105"/>
      <c r="W1366" s="105"/>
      <c r="X1366" s="105"/>
      <c r="Y1366" s="105"/>
      <c r="Z1366" s="105"/>
      <c r="AA1366" s="105"/>
      <c r="AB1366" s="105"/>
      <c r="AC1366" s="91"/>
      <c r="AD1366" s="105"/>
      <c r="AE1366" s="105"/>
      <c r="AF1366" s="91"/>
      <c r="AG1366" s="105"/>
      <c r="AH1366" s="105"/>
      <c r="AI1366" s="105" t="str">
        <f t="shared" si="1"/>
        <v/>
      </c>
      <c r="AJ1366" s="108" t="str">
        <f t="shared" si="2"/>
        <v/>
      </c>
    </row>
    <row r="1367" ht="15.75" customHeight="1">
      <c r="A1367" s="104"/>
      <c r="B1367" s="105" t="str">
        <f>IFERROR(__xludf.DUMMYFUNCTION("ARRAY_CONSTRAIN(
  ARRAYFORMULA(
    IF(
      'Final Report'!A1367="""",
      """",
      TEXTJOIN(
        "", "" &amp; CHAR(10),
        TRUE,
        IFERROR(
          VLOOKUP(
            TRIM(
              SPLIT('Final Report'!A1367, "","")
         "&amp;"   ),
            'URL Details'!A:B,
            2,
            FALSE
          ),
          """"
        )
      )
    )
  ),
  1,
  1
)
"),"")</f>
        <v/>
      </c>
      <c r="C1367" s="105" t="str">
        <f>IFERROR(__xludf.DUMMYFUNCTION("IFERROR(IF('Final Report'!A1367="""","""", TEXTJOIN(CHAR(10), TRUE, ARRAYFORMULA( ""• ""&amp; FILTER( TRIM(FLATTEN(SPLIT( REGEXREPLACE( SUBSTITUTE(TEXTJOIN("","", TRUE, IFERROR(ARRAYFORMULA(VLOOKUP(TRIM(SPLIT('Final Report'!A1367, "","")), 'URL Details'!A:D, "&amp;"4, FALSE)),"""") ), CHAR(10), "",""), ""\s*,\s*"", "",""), "",""))), TRIM(FLATTEN(SPLIT( REGEXREPLACE( SUBSTITUTE(TEXTJOIN("","", TRUE, IFERROR(ARRAYFORMULA(VLOOKUP(TRIM(SPLIT('Final Report'!A1367, "","")), 'URL Details'!A:D, 4, FALSE)),"""") ), CHAR(10),"&amp;" "",""), ""\s*,\s*"", "",""), "","")))&lt;&gt;"""" ) ) ) ),"""")
"),"")</f>
        <v/>
      </c>
      <c r="D1367" s="105"/>
      <c r="E1367" s="105"/>
      <c r="F1367" s="110" t="b">
        <v>0</v>
      </c>
      <c r="G1367" s="105" t="str">
        <f>IF(F1367=True, IFERROR(VLOOKUP(D1367, Repository!A:B, 2, 0), ""), "")</f>
        <v/>
      </c>
      <c r="H1367" s="105"/>
      <c r="I1367" s="105"/>
      <c r="J1367" s="105" t="str">
        <f>IF(F1367=True, IFERROR(VLOOKUP(D1367, Repository!A:C, 3, 0), ""), "")</f>
        <v/>
      </c>
      <c r="K1367" s="105"/>
      <c r="L1367" s="105" t="str">
        <f>IF(F1367=True, IFERROR(VLOOKUP(D1367, Repository!A:E, 5, 0), ""), "")</f>
        <v/>
      </c>
      <c r="M1367" s="105"/>
      <c r="N1367" s="105" t="str">
        <f>IF(F1367=True, IFERROR(VLOOKUP(D1367, Repository!A:G, 7, 0), ""), "")</f>
        <v/>
      </c>
      <c r="O1367" s="105" t="str">
        <f>IFERROR(__xludf.DUMMYFUNCTION("ARRAY_CONSTRAIN(
  ARRAYFORMULA(
    IFERROR(
      LET(
        list, N1367,
        arr, TRIM(SPLIT(list, "","")),
        names, XLOOKUP(
          arr,
          'Conformance Score'!A:A,
          'Conformance Score'!B:B,
          ""Not found""
     "&amp;"   ),
        TEXTJOIN("", "", TRUE, names)
      ),
      """"
    )
  ),
  1,
  1
)
"),"")</f>
        <v/>
      </c>
      <c r="P1367" s="105" t="str">
        <f>IF(F1367="Yes", IFERROR(VLOOKUP(D1367, Repository!A:F, 6, 0), ""), "")</f>
        <v/>
      </c>
      <c r="Q1367" s="105" t="str">
        <f>IF(F1367="Yes", IFERROR(VLOOKUP(D1367, Repository!A:I, 8, 0), ""), "")</f>
        <v/>
      </c>
      <c r="R1367" s="105" t="str">
        <f>IF(F1367="Yes", IFERROR(VLOOKUP(D1367, Repository!A:J, 9, 0), ""), "")</f>
        <v/>
      </c>
      <c r="S1367" s="105"/>
      <c r="T1367" s="105"/>
      <c r="U1367" s="105"/>
      <c r="V1367" s="105"/>
      <c r="W1367" s="105"/>
      <c r="X1367" s="105"/>
      <c r="Y1367" s="105"/>
      <c r="Z1367" s="105"/>
      <c r="AA1367" s="105"/>
      <c r="AB1367" s="105"/>
      <c r="AC1367" s="91"/>
      <c r="AD1367" s="105"/>
      <c r="AE1367" s="105"/>
      <c r="AF1367" s="91"/>
      <c r="AG1367" s="105"/>
      <c r="AH1367" s="105"/>
      <c r="AI1367" s="105" t="str">
        <f t="shared" si="1"/>
        <v/>
      </c>
      <c r="AJ1367" s="108" t="str">
        <f t="shared" si="2"/>
        <v/>
      </c>
    </row>
    <row r="1368" ht="15.75" customHeight="1">
      <c r="A1368" s="104"/>
      <c r="B1368" s="105" t="str">
        <f>IFERROR(__xludf.DUMMYFUNCTION("ARRAY_CONSTRAIN(
  ARRAYFORMULA(
    IF(
      'Final Report'!A1368="""",
      """",
      TEXTJOIN(
        "", "" &amp; CHAR(10),
        TRUE,
        IFERROR(
          VLOOKUP(
            TRIM(
              SPLIT('Final Report'!A1368, "","")
         "&amp;"   ),
            'URL Details'!A:B,
            2,
            FALSE
          ),
          """"
        )
      )
    )
  ),
  1,
  1
)
"),"")</f>
        <v/>
      </c>
      <c r="C1368" s="105" t="str">
        <f>IFERROR(__xludf.DUMMYFUNCTION("IFERROR(IF('Final Report'!A1368="""","""", TEXTJOIN(CHAR(10), TRUE, ARRAYFORMULA( ""• ""&amp; FILTER( TRIM(FLATTEN(SPLIT( REGEXREPLACE( SUBSTITUTE(TEXTJOIN("","", TRUE, IFERROR(ARRAYFORMULA(VLOOKUP(TRIM(SPLIT('Final Report'!A1368, "","")), 'URL Details'!A:D, "&amp;"4, FALSE)),"""") ), CHAR(10), "",""), ""\s*,\s*"", "",""), "",""))), TRIM(FLATTEN(SPLIT( REGEXREPLACE( SUBSTITUTE(TEXTJOIN("","", TRUE, IFERROR(ARRAYFORMULA(VLOOKUP(TRIM(SPLIT('Final Report'!A1368, "","")), 'URL Details'!A:D, 4, FALSE)),"""") ), CHAR(10),"&amp;" "",""), ""\s*,\s*"", "",""), "","")))&lt;&gt;"""" ) ) ) ),"""")
"),"")</f>
        <v/>
      </c>
      <c r="D1368" s="105"/>
      <c r="E1368" s="105"/>
      <c r="F1368" s="110" t="b">
        <v>0</v>
      </c>
      <c r="G1368" s="105" t="str">
        <f>IF(F1368=True, IFERROR(VLOOKUP(D1368, Repository!A:B, 2, 0), ""), "")</f>
        <v/>
      </c>
      <c r="H1368" s="105"/>
      <c r="I1368" s="105"/>
      <c r="J1368" s="105" t="str">
        <f>IF(F1368=True, IFERROR(VLOOKUP(D1368, Repository!A:C, 3, 0), ""), "")</f>
        <v/>
      </c>
      <c r="K1368" s="105"/>
      <c r="L1368" s="105" t="str">
        <f>IF(F1368=True, IFERROR(VLOOKUP(D1368, Repository!A:E, 5, 0), ""), "")</f>
        <v/>
      </c>
      <c r="M1368" s="105"/>
      <c r="N1368" s="105" t="str">
        <f>IF(F1368=True, IFERROR(VLOOKUP(D1368, Repository!A:G, 7, 0), ""), "")</f>
        <v/>
      </c>
      <c r="O1368" s="105" t="str">
        <f>IFERROR(__xludf.DUMMYFUNCTION("ARRAY_CONSTRAIN(
  ARRAYFORMULA(
    IFERROR(
      LET(
        list, N1368,
        arr, TRIM(SPLIT(list, "","")),
        names, XLOOKUP(
          arr,
          'Conformance Score'!A:A,
          'Conformance Score'!B:B,
          ""Not found""
     "&amp;"   ),
        TEXTJOIN("", "", TRUE, names)
      ),
      """"
    )
  ),
  1,
  1
)
"),"")</f>
        <v/>
      </c>
      <c r="P1368" s="105" t="str">
        <f>IF(F1368="Yes", IFERROR(VLOOKUP(D1368, Repository!A:F, 6, 0), ""), "")</f>
        <v/>
      </c>
      <c r="Q1368" s="105" t="str">
        <f>IF(F1368="Yes", IFERROR(VLOOKUP(D1368, Repository!A:I, 8, 0), ""), "")</f>
        <v/>
      </c>
      <c r="R1368" s="105" t="str">
        <f>IF(F1368="Yes", IFERROR(VLOOKUP(D1368, Repository!A:J, 9, 0), ""), "")</f>
        <v/>
      </c>
      <c r="S1368" s="105"/>
      <c r="T1368" s="105"/>
      <c r="U1368" s="105"/>
      <c r="V1368" s="105"/>
      <c r="W1368" s="105"/>
      <c r="X1368" s="105"/>
      <c r="Y1368" s="105"/>
      <c r="Z1368" s="105"/>
      <c r="AA1368" s="105"/>
      <c r="AB1368" s="105"/>
      <c r="AC1368" s="91"/>
      <c r="AD1368" s="105"/>
      <c r="AE1368" s="105"/>
      <c r="AF1368" s="91"/>
      <c r="AG1368" s="105"/>
      <c r="AH1368" s="105"/>
      <c r="AI1368" s="105" t="str">
        <f t="shared" si="1"/>
        <v/>
      </c>
      <c r="AJ1368" s="108" t="str">
        <f t="shared" si="2"/>
        <v/>
      </c>
    </row>
    <row r="1369" ht="15.75" customHeight="1">
      <c r="A1369" s="104"/>
      <c r="B1369" s="105" t="str">
        <f>IFERROR(__xludf.DUMMYFUNCTION("ARRAY_CONSTRAIN(
  ARRAYFORMULA(
    IF(
      'Final Report'!A1369="""",
      """",
      TEXTJOIN(
        "", "" &amp; CHAR(10),
        TRUE,
        IFERROR(
          VLOOKUP(
            TRIM(
              SPLIT('Final Report'!A1369, "","")
         "&amp;"   ),
            'URL Details'!A:B,
            2,
            FALSE
          ),
          """"
        )
      )
    )
  ),
  1,
  1
)
"),"")</f>
        <v/>
      </c>
      <c r="C1369" s="105" t="str">
        <f>IFERROR(__xludf.DUMMYFUNCTION("IFERROR(IF('Final Report'!A1369="""","""", TEXTJOIN(CHAR(10), TRUE, ARRAYFORMULA( ""• ""&amp; FILTER( TRIM(FLATTEN(SPLIT( REGEXREPLACE( SUBSTITUTE(TEXTJOIN("","", TRUE, IFERROR(ARRAYFORMULA(VLOOKUP(TRIM(SPLIT('Final Report'!A1369, "","")), 'URL Details'!A:D, "&amp;"4, FALSE)),"""") ), CHAR(10), "",""), ""\s*,\s*"", "",""), "",""))), TRIM(FLATTEN(SPLIT( REGEXREPLACE( SUBSTITUTE(TEXTJOIN("","", TRUE, IFERROR(ARRAYFORMULA(VLOOKUP(TRIM(SPLIT('Final Report'!A1369, "","")), 'URL Details'!A:D, 4, FALSE)),"""") ), CHAR(10),"&amp;" "",""), ""\s*,\s*"", "",""), "","")))&lt;&gt;"""" ) ) ) ),"""")
"),"")</f>
        <v/>
      </c>
      <c r="D1369" s="105"/>
      <c r="E1369" s="105"/>
      <c r="F1369" s="110" t="b">
        <v>0</v>
      </c>
      <c r="G1369" s="105" t="str">
        <f>IF(F1369=True, IFERROR(VLOOKUP(D1369, Repository!A:B, 2, 0), ""), "")</f>
        <v/>
      </c>
      <c r="H1369" s="105"/>
      <c r="I1369" s="105"/>
      <c r="J1369" s="105" t="str">
        <f>IF(F1369=True, IFERROR(VLOOKUP(D1369, Repository!A:C, 3, 0), ""), "")</f>
        <v/>
      </c>
      <c r="K1369" s="105"/>
      <c r="L1369" s="105" t="str">
        <f>IF(F1369=True, IFERROR(VLOOKUP(D1369, Repository!A:E, 5, 0), ""), "")</f>
        <v/>
      </c>
      <c r="M1369" s="105"/>
      <c r="N1369" s="105" t="str">
        <f>IF(F1369=True, IFERROR(VLOOKUP(D1369, Repository!A:G, 7, 0), ""), "")</f>
        <v/>
      </c>
      <c r="O1369" s="105" t="str">
        <f>IFERROR(__xludf.DUMMYFUNCTION("ARRAY_CONSTRAIN(
  ARRAYFORMULA(
    IFERROR(
      LET(
        list, N1369,
        arr, TRIM(SPLIT(list, "","")),
        names, XLOOKUP(
          arr,
          'Conformance Score'!A:A,
          'Conformance Score'!B:B,
          ""Not found""
     "&amp;"   ),
        TEXTJOIN("", "", TRUE, names)
      ),
      """"
    )
  ),
  1,
  1
)
"),"")</f>
        <v/>
      </c>
      <c r="P1369" s="105" t="str">
        <f>IF(F1369="Yes", IFERROR(VLOOKUP(D1369, Repository!A:F, 6, 0), ""), "")</f>
        <v/>
      </c>
      <c r="Q1369" s="105" t="str">
        <f>IF(F1369="Yes", IFERROR(VLOOKUP(D1369, Repository!A:I, 8, 0), ""), "")</f>
        <v/>
      </c>
      <c r="R1369" s="105" t="str">
        <f>IF(F1369="Yes", IFERROR(VLOOKUP(D1369, Repository!A:J, 9, 0), ""), "")</f>
        <v/>
      </c>
      <c r="S1369" s="105"/>
      <c r="T1369" s="105"/>
      <c r="U1369" s="105"/>
      <c r="V1369" s="105"/>
      <c r="W1369" s="105"/>
      <c r="X1369" s="105"/>
      <c r="Y1369" s="105"/>
      <c r="Z1369" s="105"/>
      <c r="AA1369" s="105"/>
      <c r="AB1369" s="105"/>
      <c r="AC1369" s="91"/>
      <c r="AD1369" s="105"/>
      <c r="AE1369" s="105"/>
      <c r="AF1369" s="91"/>
      <c r="AG1369" s="105"/>
      <c r="AH1369" s="105"/>
      <c r="AI1369" s="105" t="str">
        <f t="shared" si="1"/>
        <v/>
      </c>
      <c r="AJ1369" s="108" t="str">
        <f t="shared" si="2"/>
        <v/>
      </c>
    </row>
    <row r="1370" ht="15.75" customHeight="1">
      <c r="A1370" s="104"/>
      <c r="B1370" s="105" t="str">
        <f>IFERROR(__xludf.DUMMYFUNCTION("ARRAY_CONSTRAIN(
  ARRAYFORMULA(
    IF(
      'Final Report'!A1370="""",
      """",
      TEXTJOIN(
        "", "" &amp; CHAR(10),
        TRUE,
        IFERROR(
          VLOOKUP(
            TRIM(
              SPLIT('Final Report'!A1370, "","")
         "&amp;"   ),
            'URL Details'!A:B,
            2,
            FALSE
          ),
          """"
        )
      )
    )
  ),
  1,
  1
)
"),"")</f>
        <v/>
      </c>
      <c r="C1370" s="105" t="str">
        <f>IFERROR(__xludf.DUMMYFUNCTION("IFERROR(IF('Final Report'!A1370="""","""", TEXTJOIN(CHAR(10), TRUE, ARRAYFORMULA( ""• ""&amp; FILTER( TRIM(FLATTEN(SPLIT( REGEXREPLACE( SUBSTITUTE(TEXTJOIN("","", TRUE, IFERROR(ARRAYFORMULA(VLOOKUP(TRIM(SPLIT('Final Report'!A1370, "","")), 'URL Details'!A:D, "&amp;"4, FALSE)),"""") ), CHAR(10), "",""), ""\s*,\s*"", "",""), "",""))), TRIM(FLATTEN(SPLIT( REGEXREPLACE( SUBSTITUTE(TEXTJOIN("","", TRUE, IFERROR(ARRAYFORMULA(VLOOKUP(TRIM(SPLIT('Final Report'!A1370, "","")), 'URL Details'!A:D, 4, FALSE)),"""") ), CHAR(10),"&amp;" "",""), ""\s*,\s*"", "",""), "","")))&lt;&gt;"""" ) ) ) ),"""")
"),"")</f>
        <v/>
      </c>
      <c r="D1370" s="105"/>
      <c r="E1370" s="105"/>
      <c r="F1370" s="110" t="b">
        <v>0</v>
      </c>
      <c r="G1370" s="105" t="str">
        <f>IF(F1370=True, IFERROR(VLOOKUP(D1370, Repository!A:B, 2, 0), ""), "")</f>
        <v/>
      </c>
      <c r="H1370" s="105"/>
      <c r="I1370" s="105"/>
      <c r="J1370" s="105" t="str">
        <f>IF(F1370=True, IFERROR(VLOOKUP(D1370, Repository!A:C, 3, 0), ""), "")</f>
        <v/>
      </c>
      <c r="K1370" s="105"/>
      <c r="L1370" s="105" t="str">
        <f>IF(F1370=True, IFERROR(VLOOKUP(D1370, Repository!A:E, 5, 0), ""), "")</f>
        <v/>
      </c>
      <c r="M1370" s="105"/>
      <c r="N1370" s="105" t="str">
        <f>IF(F1370=True, IFERROR(VLOOKUP(D1370, Repository!A:G, 7, 0), ""), "")</f>
        <v/>
      </c>
      <c r="O1370" s="105" t="str">
        <f>IFERROR(__xludf.DUMMYFUNCTION("ARRAY_CONSTRAIN(
  ARRAYFORMULA(
    IFERROR(
      LET(
        list, N1370,
        arr, TRIM(SPLIT(list, "","")),
        names, XLOOKUP(
          arr,
          'Conformance Score'!A:A,
          'Conformance Score'!B:B,
          ""Not found""
     "&amp;"   ),
        TEXTJOIN("", "", TRUE, names)
      ),
      """"
    )
  ),
  1,
  1
)
"),"")</f>
        <v/>
      </c>
      <c r="P1370" s="105" t="str">
        <f>IF(F1370="Yes", IFERROR(VLOOKUP(D1370, Repository!A:F, 6, 0), ""), "")</f>
        <v/>
      </c>
      <c r="Q1370" s="105" t="str">
        <f>IF(F1370="Yes", IFERROR(VLOOKUP(D1370, Repository!A:I, 8, 0), ""), "")</f>
        <v/>
      </c>
      <c r="R1370" s="105" t="str">
        <f>IF(F1370="Yes", IFERROR(VLOOKUP(D1370, Repository!A:J, 9, 0), ""), "")</f>
        <v/>
      </c>
      <c r="S1370" s="105"/>
      <c r="T1370" s="105"/>
      <c r="U1370" s="105"/>
      <c r="V1370" s="105"/>
      <c r="W1370" s="105"/>
      <c r="X1370" s="105"/>
      <c r="Y1370" s="105"/>
      <c r="Z1370" s="105"/>
      <c r="AA1370" s="105"/>
      <c r="AB1370" s="105"/>
      <c r="AC1370" s="91"/>
      <c r="AD1370" s="105"/>
      <c r="AE1370" s="105"/>
      <c r="AF1370" s="91"/>
      <c r="AG1370" s="105"/>
      <c r="AH1370" s="105"/>
      <c r="AI1370" s="105" t="str">
        <f t="shared" si="1"/>
        <v/>
      </c>
      <c r="AJ1370" s="108" t="str">
        <f t="shared" si="2"/>
        <v/>
      </c>
    </row>
    <row r="1371" ht="15.75" customHeight="1">
      <c r="A1371" s="104"/>
      <c r="B1371" s="105" t="str">
        <f>IFERROR(__xludf.DUMMYFUNCTION("ARRAY_CONSTRAIN(
  ARRAYFORMULA(
    IF(
      'Final Report'!A1371="""",
      """",
      TEXTJOIN(
        "", "" &amp; CHAR(10),
        TRUE,
        IFERROR(
          VLOOKUP(
            TRIM(
              SPLIT('Final Report'!A1371, "","")
         "&amp;"   ),
            'URL Details'!A:B,
            2,
            FALSE
          ),
          """"
        )
      )
    )
  ),
  1,
  1
)
"),"")</f>
        <v/>
      </c>
      <c r="C1371" s="105" t="str">
        <f>IFERROR(__xludf.DUMMYFUNCTION("IFERROR(IF('Final Report'!A1371="""","""", TEXTJOIN(CHAR(10), TRUE, ARRAYFORMULA( ""• ""&amp; FILTER( TRIM(FLATTEN(SPLIT( REGEXREPLACE( SUBSTITUTE(TEXTJOIN("","", TRUE, IFERROR(ARRAYFORMULA(VLOOKUP(TRIM(SPLIT('Final Report'!A1371, "","")), 'URL Details'!A:D, "&amp;"4, FALSE)),"""") ), CHAR(10), "",""), ""\s*,\s*"", "",""), "",""))), TRIM(FLATTEN(SPLIT( REGEXREPLACE( SUBSTITUTE(TEXTJOIN("","", TRUE, IFERROR(ARRAYFORMULA(VLOOKUP(TRIM(SPLIT('Final Report'!A1371, "","")), 'URL Details'!A:D, 4, FALSE)),"""") ), CHAR(10),"&amp;" "",""), ""\s*,\s*"", "",""), "","")))&lt;&gt;"""" ) ) ) ),"""")
"),"")</f>
        <v/>
      </c>
      <c r="D1371" s="105"/>
      <c r="E1371" s="105"/>
      <c r="F1371" s="110" t="b">
        <v>0</v>
      </c>
      <c r="G1371" s="105" t="str">
        <f>IF(F1371=True, IFERROR(VLOOKUP(D1371, Repository!A:B, 2, 0), ""), "")</f>
        <v/>
      </c>
      <c r="H1371" s="105"/>
      <c r="I1371" s="105"/>
      <c r="J1371" s="105" t="str">
        <f>IF(F1371=True, IFERROR(VLOOKUP(D1371, Repository!A:C, 3, 0), ""), "")</f>
        <v/>
      </c>
      <c r="K1371" s="105"/>
      <c r="L1371" s="105" t="str">
        <f>IF(F1371=True, IFERROR(VLOOKUP(D1371, Repository!A:E, 5, 0), ""), "")</f>
        <v/>
      </c>
      <c r="M1371" s="105"/>
      <c r="N1371" s="105" t="str">
        <f>IF(F1371=True, IFERROR(VLOOKUP(D1371, Repository!A:G, 7, 0), ""), "")</f>
        <v/>
      </c>
      <c r="O1371" s="105" t="str">
        <f>IFERROR(__xludf.DUMMYFUNCTION("ARRAY_CONSTRAIN(
  ARRAYFORMULA(
    IFERROR(
      LET(
        list, N1371,
        arr, TRIM(SPLIT(list, "","")),
        names, XLOOKUP(
          arr,
          'Conformance Score'!A:A,
          'Conformance Score'!B:B,
          ""Not found""
     "&amp;"   ),
        TEXTJOIN("", "", TRUE, names)
      ),
      """"
    )
  ),
  1,
  1
)
"),"")</f>
        <v/>
      </c>
      <c r="P1371" s="105" t="str">
        <f>IF(F1371="Yes", IFERROR(VLOOKUP(D1371, Repository!A:F, 6, 0), ""), "")</f>
        <v/>
      </c>
      <c r="Q1371" s="105" t="str">
        <f>IF(F1371="Yes", IFERROR(VLOOKUP(D1371, Repository!A:I, 8, 0), ""), "")</f>
        <v/>
      </c>
      <c r="R1371" s="105" t="str">
        <f>IF(F1371="Yes", IFERROR(VLOOKUP(D1371, Repository!A:J, 9, 0), ""), "")</f>
        <v/>
      </c>
      <c r="S1371" s="105"/>
      <c r="T1371" s="105"/>
      <c r="U1371" s="105"/>
      <c r="V1371" s="105"/>
      <c r="W1371" s="105"/>
      <c r="X1371" s="105"/>
      <c r="Y1371" s="105"/>
      <c r="Z1371" s="105"/>
      <c r="AA1371" s="105"/>
      <c r="AB1371" s="105"/>
      <c r="AC1371" s="91"/>
      <c r="AD1371" s="105"/>
      <c r="AE1371" s="105"/>
      <c r="AF1371" s="91"/>
      <c r="AG1371" s="105"/>
      <c r="AH1371" s="105"/>
      <c r="AI1371" s="105" t="str">
        <f t="shared" si="1"/>
        <v/>
      </c>
      <c r="AJ1371" s="108" t="str">
        <f t="shared" si="2"/>
        <v/>
      </c>
    </row>
    <row r="1372" ht="15.75" customHeight="1">
      <c r="A1372" s="104"/>
      <c r="B1372" s="105" t="str">
        <f>IFERROR(__xludf.DUMMYFUNCTION("ARRAY_CONSTRAIN(
  ARRAYFORMULA(
    IF(
      'Final Report'!A1372="""",
      """",
      TEXTJOIN(
        "", "" &amp; CHAR(10),
        TRUE,
        IFERROR(
          VLOOKUP(
            TRIM(
              SPLIT('Final Report'!A1372, "","")
         "&amp;"   ),
            'URL Details'!A:B,
            2,
            FALSE
          ),
          """"
        )
      )
    )
  ),
  1,
  1
)
"),"")</f>
        <v/>
      </c>
      <c r="C1372" s="105" t="str">
        <f>IFERROR(__xludf.DUMMYFUNCTION("IFERROR(IF('Final Report'!A1372="""","""", TEXTJOIN(CHAR(10), TRUE, ARRAYFORMULA( ""• ""&amp; FILTER( TRIM(FLATTEN(SPLIT( REGEXREPLACE( SUBSTITUTE(TEXTJOIN("","", TRUE, IFERROR(ARRAYFORMULA(VLOOKUP(TRIM(SPLIT('Final Report'!A1372, "","")), 'URL Details'!A:D, "&amp;"4, FALSE)),"""") ), CHAR(10), "",""), ""\s*,\s*"", "",""), "",""))), TRIM(FLATTEN(SPLIT( REGEXREPLACE( SUBSTITUTE(TEXTJOIN("","", TRUE, IFERROR(ARRAYFORMULA(VLOOKUP(TRIM(SPLIT('Final Report'!A1372, "","")), 'URL Details'!A:D, 4, FALSE)),"""") ), CHAR(10),"&amp;" "",""), ""\s*,\s*"", "",""), "","")))&lt;&gt;"""" ) ) ) ),"""")
"),"")</f>
        <v/>
      </c>
      <c r="D1372" s="105"/>
      <c r="E1372" s="105"/>
      <c r="F1372" s="110" t="b">
        <v>0</v>
      </c>
      <c r="G1372" s="105" t="str">
        <f>IF(F1372=True, IFERROR(VLOOKUP(D1372, Repository!A:B, 2, 0), ""), "")</f>
        <v/>
      </c>
      <c r="H1372" s="105"/>
      <c r="I1372" s="105"/>
      <c r="J1372" s="105" t="str">
        <f>IF(F1372=True, IFERROR(VLOOKUP(D1372, Repository!A:C, 3, 0), ""), "")</f>
        <v/>
      </c>
      <c r="K1372" s="105"/>
      <c r="L1372" s="105" t="str">
        <f>IF(F1372=True, IFERROR(VLOOKUP(D1372, Repository!A:E, 5, 0), ""), "")</f>
        <v/>
      </c>
      <c r="M1372" s="105"/>
      <c r="N1372" s="105" t="str">
        <f>IF(F1372=True, IFERROR(VLOOKUP(D1372, Repository!A:G, 7, 0), ""), "")</f>
        <v/>
      </c>
      <c r="O1372" s="105" t="str">
        <f>IFERROR(__xludf.DUMMYFUNCTION("ARRAY_CONSTRAIN(
  ARRAYFORMULA(
    IFERROR(
      LET(
        list, N1372,
        arr, TRIM(SPLIT(list, "","")),
        names, XLOOKUP(
          arr,
          'Conformance Score'!A:A,
          'Conformance Score'!B:B,
          ""Not found""
     "&amp;"   ),
        TEXTJOIN("", "", TRUE, names)
      ),
      """"
    )
  ),
  1,
  1
)
"),"")</f>
        <v/>
      </c>
      <c r="P1372" s="105" t="str">
        <f>IF(F1372="Yes", IFERROR(VLOOKUP(D1372, Repository!A:F, 6, 0), ""), "")</f>
        <v/>
      </c>
      <c r="Q1372" s="105" t="str">
        <f>IF(F1372="Yes", IFERROR(VLOOKUP(D1372, Repository!A:I, 8, 0), ""), "")</f>
        <v/>
      </c>
      <c r="R1372" s="105" t="str">
        <f>IF(F1372="Yes", IFERROR(VLOOKUP(D1372, Repository!A:J, 9, 0), ""), "")</f>
        <v/>
      </c>
      <c r="S1372" s="105"/>
      <c r="T1372" s="105"/>
      <c r="U1372" s="105"/>
      <c r="V1372" s="105"/>
      <c r="W1372" s="105"/>
      <c r="X1372" s="105"/>
      <c r="Y1372" s="105"/>
      <c r="Z1372" s="105"/>
      <c r="AA1372" s="105"/>
      <c r="AB1372" s="105"/>
      <c r="AC1372" s="91"/>
      <c r="AD1372" s="105"/>
      <c r="AE1372" s="105"/>
      <c r="AF1372" s="91"/>
      <c r="AG1372" s="105"/>
      <c r="AH1372" s="105"/>
      <c r="AI1372" s="105" t="str">
        <f t="shared" si="1"/>
        <v/>
      </c>
      <c r="AJ1372" s="108" t="str">
        <f t="shared" si="2"/>
        <v/>
      </c>
    </row>
    <row r="1373" ht="15.75" customHeight="1">
      <c r="A1373" s="104"/>
      <c r="B1373" s="105" t="str">
        <f>IFERROR(__xludf.DUMMYFUNCTION("ARRAY_CONSTRAIN(
  ARRAYFORMULA(
    IF(
      'Final Report'!A1373="""",
      """",
      TEXTJOIN(
        "", "" &amp; CHAR(10),
        TRUE,
        IFERROR(
          VLOOKUP(
            TRIM(
              SPLIT('Final Report'!A1373, "","")
         "&amp;"   ),
            'URL Details'!A:B,
            2,
            FALSE
          ),
          """"
        )
      )
    )
  ),
  1,
  1
)
"),"")</f>
        <v/>
      </c>
      <c r="C1373" s="105" t="str">
        <f>IFERROR(__xludf.DUMMYFUNCTION("IFERROR(IF('Final Report'!A1373="""","""", TEXTJOIN(CHAR(10), TRUE, ARRAYFORMULA( ""• ""&amp; FILTER( TRIM(FLATTEN(SPLIT( REGEXREPLACE( SUBSTITUTE(TEXTJOIN("","", TRUE, IFERROR(ARRAYFORMULA(VLOOKUP(TRIM(SPLIT('Final Report'!A1373, "","")), 'URL Details'!A:D, "&amp;"4, FALSE)),"""") ), CHAR(10), "",""), ""\s*,\s*"", "",""), "",""))), TRIM(FLATTEN(SPLIT( REGEXREPLACE( SUBSTITUTE(TEXTJOIN("","", TRUE, IFERROR(ARRAYFORMULA(VLOOKUP(TRIM(SPLIT('Final Report'!A1373, "","")), 'URL Details'!A:D, 4, FALSE)),"""") ), CHAR(10),"&amp;" "",""), ""\s*,\s*"", "",""), "","")))&lt;&gt;"""" ) ) ) ),"""")
"),"")</f>
        <v/>
      </c>
      <c r="D1373" s="105"/>
      <c r="E1373" s="105"/>
      <c r="F1373" s="110" t="b">
        <v>0</v>
      </c>
      <c r="G1373" s="105" t="str">
        <f>IF(F1373=True, IFERROR(VLOOKUP(D1373, Repository!A:B, 2, 0), ""), "")</f>
        <v/>
      </c>
      <c r="H1373" s="105"/>
      <c r="I1373" s="105"/>
      <c r="J1373" s="105" t="str">
        <f>IF(F1373=True, IFERROR(VLOOKUP(D1373, Repository!A:C, 3, 0), ""), "")</f>
        <v/>
      </c>
      <c r="K1373" s="105"/>
      <c r="L1373" s="105" t="str">
        <f>IF(F1373=True, IFERROR(VLOOKUP(D1373, Repository!A:E, 5, 0), ""), "")</f>
        <v/>
      </c>
      <c r="M1373" s="105"/>
      <c r="N1373" s="105" t="str">
        <f>IF(F1373=True, IFERROR(VLOOKUP(D1373, Repository!A:G, 7, 0), ""), "")</f>
        <v/>
      </c>
      <c r="O1373" s="105" t="str">
        <f>IFERROR(__xludf.DUMMYFUNCTION("ARRAY_CONSTRAIN(
  ARRAYFORMULA(
    IFERROR(
      LET(
        list, N1373,
        arr, TRIM(SPLIT(list, "","")),
        names, XLOOKUP(
          arr,
          'Conformance Score'!A:A,
          'Conformance Score'!B:B,
          ""Not found""
     "&amp;"   ),
        TEXTJOIN("", "", TRUE, names)
      ),
      """"
    )
  ),
  1,
  1
)
"),"")</f>
        <v/>
      </c>
      <c r="P1373" s="105" t="str">
        <f>IF(F1373="Yes", IFERROR(VLOOKUP(D1373, Repository!A:F, 6, 0), ""), "")</f>
        <v/>
      </c>
      <c r="Q1373" s="105" t="str">
        <f>IF(F1373="Yes", IFERROR(VLOOKUP(D1373, Repository!A:I, 8, 0), ""), "")</f>
        <v/>
      </c>
      <c r="R1373" s="105" t="str">
        <f>IF(F1373="Yes", IFERROR(VLOOKUP(D1373, Repository!A:J, 9, 0), ""), "")</f>
        <v/>
      </c>
      <c r="S1373" s="105"/>
      <c r="T1373" s="105"/>
      <c r="U1373" s="105"/>
      <c r="V1373" s="105"/>
      <c r="W1373" s="105"/>
      <c r="X1373" s="105"/>
      <c r="Y1373" s="105"/>
      <c r="Z1373" s="105"/>
      <c r="AA1373" s="105"/>
      <c r="AB1373" s="105"/>
      <c r="AC1373" s="91"/>
      <c r="AD1373" s="105"/>
      <c r="AE1373" s="105"/>
      <c r="AF1373" s="91"/>
      <c r="AG1373" s="105"/>
      <c r="AH1373" s="105"/>
      <c r="AI1373" s="105" t="str">
        <f t="shared" si="1"/>
        <v/>
      </c>
      <c r="AJ1373" s="108" t="str">
        <f t="shared" si="2"/>
        <v/>
      </c>
    </row>
    <row r="1374" ht="15.75" customHeight="1">
      <c r="A1374" s="104"/>
      <c r="B1374" s="105" t="str">
        <f>IFERROR(__xludf.DUMMYFUNCTION("ARRAY_CONSTRAIN(
  ARRAYFORMULA(
    IF(
      'Final Report'!A1374="""",
      """",
      TEXTJOIN(
        "", "" &amp; CHAR(10),
        TRUE,
        IFERROR(
          VLOOKUP(
            TRIM(
              SPLIT('Final Report'!A1374, "","")
         "&amp;"   ),
            'URL Details'!A:B,
            2,
            FALSE
          ),
          """"
        )
      )
    )
  ),
  1,
  1
)
"),"")</f>
        <v/>
      </c>
      <c r="C1374" s="105" t="str">
        <f>IFERROR(__xludf.DUMMYFUNCTION("IFERROR(IF('Final Report'!A1374="""","""", TEXTJOIN(CHAR(10), TRUE, ARRAYFORMULA( ""• ""&amp; FILTER( TRIM(FLATTEN(SPLIT( REGEXREPLACE( SUBSTITUTE(TEXTJOIN("","", TRUE, IFERROR(ARRAYFORMULA(VLOOKUP(TRIM(SPLIT('Final Report'!A1374, "","")), 'URL Details'!A:D, "&amp;"4, FALSE)),"""") ), CHAR(10), "",""), ""\s*,\s*"", "",""), "",""))), TRIM(FLATTEN(SPLIT( REGEXREPLACE( SUBSTITUTE(TEXTJOIN("","", TRUE, IFERROR(ARRAYFORMULA(VLOOKUP(TRIM(SPLIT('Final Report'!A1374, "","")), 'URL Details'!A:D, 4, FALSE)),"""") ), CHAR(10),"&amp;" "",""), ""\s*,\s*"", "",""), "","")))&lt;&gt;"""" ) ) ) ),"""")
"),"")</f>
        <v/>
      </c>
      <c r="D1374" s="105"/>
      <c r="E1374" s="105"/>
      <c r="F1374" s="110" t="b">
        <v>0</v>
      </c>
      <c r="G1374" s="105" t="str">
        <f>IF(F1374=True, IFERROR(VLOOKUP(D1374, Repository!A:B, 2, 0), ""), "")</f>
        <v/>
      </c>
      <c r="H1374" s="105"/>
      <c r="I1374" s="105"/>
      <c r="J1374" s="105" t="str">
        <f>IF(F1374=True, IFERROR(VLOOKUP(D1374, Repository!A:C, 3, 0), ""), "")</f>
        <v/>
      </c>
      <c r="K1374" s="105"/>
      <c r="L1374" s="105" t="str">
        <f>IF(F1374=True, IFERROR(VLOOKUP(D1374, Repository!A:E, 5, 0), ""), "")</f>
        <v/>
      </c>
      <c r="M1374" s="105"/>
      <c r="N1374" s="105" t="str">
        <f>IF(F1374=True, IFERROR(VLOOKUP(D1374, Repository!A:G, 7, 0), ""), "")</f>
        <v/>
      </c>
      <c r="O1374" s="105" t="str">
        <f>IFERROR(__xludf.DUMMYFUNCTION("ARRAY_CONSTRAIN(
  ARRAYFORMULA(
    IFERROR(
      LET(
        list, N1374,
        arr, TRIM(SPLIT(list, "","")),
        names, XLOOKUP(
          arr,
          'Conformance Score'!A:A,
          'Conformance Score'!B:B,
          ""Not found""
     "&amp;"   ),
        TEXTJOIN("", "", TRUE, names)
      ),
      """"
    )
  ),
  1,
  1
)
"),"")</f>
        <v/>
      </c>
      <c r="P1374" s="105" t="str">
        <f>IF(F1374="Yes", IFERROR(VLOOKUP(D1374, Repository!A:F, 6, 0), ""), "")</f>
        <v/>
      </c>
      <c r="Q1374" s="105" t="str">
        <f>IF(F1374="Yes", IFERROR(VLOOKUP(D1374, Repository!A:I, 8, 0), ""), "")</f>
        <v/>
      </c>
      <c r="R1374" s="105" t="str">
        <f>IF(F1374="Yes", IFERROR(VLOOKUP(D1374, Repository!A:J, 9, 0), ""), "")</f>
        <v/>
      </c>
      <c r="S1374" s="105"/>
      <c r="T1374" s="105"/>
      <c r="U1374" s="105"/>
      <c r="V1374" s="105"/>
      <c r="W1374" s="105"/>
      <c r="X1374" s="105"/>
      <c r="Y1374" s="105"/>
      <c r="Z1374" s="105"/>
      <c r="AA1374" s="105"/>
      <c r="AB1374" s="105"/>
      <c r="AC1374" s="91"/>
      <c r="AD1374" s="105"/>
      <c r="AE1374" s="105"/>
      <c r="AF1374" s="91"/>
      <c r="AG1374" s="105"/>
      <c r="AH1374" s="105"/>
      <c r="AI1374" s="105" t="str">
        <f t="shared" si="1"/>
        <v/>
      </c>
      <c r="AJ1374" s="108" t="str">
        <f t="shared" si="2"/>
        <v/>
      </c>
    </row>
    <row r="1375" ht="15.75" customHeight="1">
      <c r="A1375" s="104"/>
      <c r="B1375" s="105" t="str">
        <f>IFERROR(__xludf.DUMMYFUNCTION("ARRAY_CONSTRAIN(
  ARRAYFORMULA(
    IF(
      'Final Report'!A1375="""",
      """",
      TEXTJOIN(
        "", "" &amp; CHAR(10),
        TRUE,
        IFERROR(
          VLOOKUP(
            TRIM(
              SPLIT('Final Report'!A1375, "","")
         "&amp;"   ),
            'URL Details'!A:B,
            2,
            FALSE
          ),
          """"
        )
      )
    )
  ),
  1,
  1
)
"),"")</f>
        <v/>
      </c>
      <c r="C1375" s="105" t="str">
        <f>IFERROR(__xludf.DUMMYFUNCTION("IFERROR(IF('Final Report'!A1375="""","""", TEXTJOIN(CHAR(10), TRUE, ARRAYFORMULA( ""• ""&amp; FILTER( TRIM(FLATTEN(SPLIT( REGEXREPLACE( SUBSTITUTE(TEXTJOIN("","", TRUE, IFERROR(ARRAYFORMULA(VLOOKUP(TRIM(SPLIT('Final Report'!A1375, "","")), 'URL Details'!A:D, "&amp;"4, FALSE)),"""") ), CHAR(10), "",""), ""\s*,\s*"", "",""), "",""))), TRIM(FLATTEN(SPLIT( REGEXREPLACE( SUBSTITUTE(TEXTJOIN("","", TRUE, IFERROR(ARRAYFORMULA(VLOOKUP(TRIM(SPLIT('Final Report'!A1375, "","")), 'URL Details'!A:D, 4, FALSE)),"""") ), CHAR(10),"&amp;" "",""), ""\s*,\s*"", "",""), "","")))&lt;&gt;"""" ) ) ) ),"""")
"),"")</f>
        <v/>
      </c>
      <c r="D1375" s="105"/>
      <c r="E1375" s="105"/>
      <c r="F1375" s="110" t="b">
        <v>0</v>
      </c>
      <c r="G1375" s="105" t="str">
        <f>IF(F1375=True, IFERROR(VLOOKUP(D1375, Repository!A:B, 2, 0), ""), "")</f>
        <v/>
      </c>
      <c r="H1375" s="105"/>
      <c r="I1375" s="105"/>
      <c r="J1375" s="105" t="str">
        <f>IF(F1375=True, IFERROR(VLOOKUP(D1375, Repository!A:C, 3, 0), ""), "")</f>
        <v/>
      </c>
      <c r="K1375" s="105"/>
      <c r="L1375" s="105" t="str">
        <f>IF(F1375=True, IFERROR(VLOOKUP(D1375, Repository!A:E, 5, 0), ""), "")</f>
        <v/>
      </c>
      <c r="M1375" s="105"/>
      <c r="N1375" s="105" t="str">
        <f>IF(F1375=True, IFERROR(VLOOKUP(D1375, Repository!A:G, 7, 0), ""), "")</f>
        <v/>
      </c>
      <c r="O1375" s="105" t="str">
        <f>IFERROR(__xludf.DUMMYFUNCTION("ARRAY_CONSTRAIN(
  ARRAYFORMULA(
    IFERROR(
      LET(
        list, N1375,
        arr, TRIM(SPLIT(list, "","")),
        names, XLOOKUP(
          arr,
          'Conformance Score'!A:A,
          'Conformance Score'!B:B,
          ""Not found""
     "&amp;"   ),
        TEXTJOIN("", "", TRUE, names)
      ),
      """"
    )
  ),
  1,
  1
)
"),"")</f>
        <v/>
      </c>
      <c r="P1375" s="105" t="str">
        <f>IF(F1375="Yes", IFERROR(VLOOKUP(D1375, Repository!A:F, 6, 0), ""), "")</f>
        <v/>
      </c>
      <c r="Q1375" s="105" t="str">
        <f>IF(F1375="Yes", IFERROR(VLOOKUP(D1375, Repository!A:I, 8, 0), ""), "")</f>
        <v/>
      </c>
      <c r="R1375" s="105" t="str">
        <f>IF(F1375="Yes", IFERROR(VLOOKUP(D1375, Repository!A:J, 9, 0), ""), "")</f>
        <v/>
      </c>
      <c r="S1375" s="105"/>
      <c r="T1375" s="105"/>
      <c r="U1375" s="105"/>
      <c r="V1375" s="105"/>
      <c r="W1375" s="105"/>
      <c r="X1375" s="105"/>
      <c r="Y1375" s="105"/>
      <c r="Z1375" s="105"/>
      <c r="AA1375" s="105"/>
      <c r="AB1375" s="105"/>
      <c r="AC1375" s="91"/>
      <c r="AD1375" s="105"/>
      <c r="AE1375" s="105"/>
      <c r="AF1375" s="91"/>
      <c r="AG1375" s="105"/>
      <c r="AH1375" s="105"/>
      <c r="AI1375" s="105" t="str">
        <f t="shared" si="1"/>
        <v/>
      </c>
      <c r="AJ1375" s="108" t="str">
        <f t="shared" si="2"/>
        <v/>
      </c>
    </row>
    <row r="1376" ht="15.75" customHeight="1">
      <c r="A1376" s="104"/>
      <c r="B1376" s="105" t="str">
        <f>IFERROR(__xludf.DUMMYFUNCTION("ARRAY_CONSTRAIN(
  ARRAYFORMULA(
    IF(
      'Final Report'!A1376="""",
      """",
      TEXTJOIN(
        "", "" &amp; CHAR(10),
        TRUE,
        IFERROR(
          VLOOKUP(
            TRIM(
              SPLIT('Final Report'!A1376, "","")
         "&amp;"   ),
            'URL Details'!A:B,
            2,
            FALSE
          ),
          """"
        )
      )
    )
  ),
  1,
  1
)
"),"")</f>
        <v/>
      </c>
      <c r="C1376" s="105" t="str">
        <f>IFERROR(__xludf.DUMMYFUNCTION("IFERROR(IF('Final Report'!A1376="""","""", TEXTJOIN(CHAR(10), TRUE, ARRAYFORMULA( ""• ""&amp; FILTER( TRIM(FLATTEN(SPLIT( REGEXREPLACE( SUBSTITUTE(TEXTJOIN("","", TRUE, IFERROR(ARRAYFORMULA(VLOOKUP(TRIM(SPLIT('Final Report'!A1376, "","")), 'URL Details'!A:D, "&amp;"4, FALSE)),"""") ), CHAR(10), "",""), ""\s*,\s*"", "",""), "",""))), TRIM(FLATTEN(SPLIT( REGEXREPLACE( SUBSTITUTE(TEXTJOIN("","", TRUE, IFERROR(ARRAYFORMULA(VLOOKUP(TRIM(SPLIT('Final Report'!A1376, "","")), 'URL Details'!A:D, 4, FALSE)),"""") ), CHAR(10),"&amp;" "",""), ""\s*,\s*"", "",""), "","")))&lt;&gt;"""" ) ) ) ),"""")
"),"")</f>
        <v/>
      </c>
      <c r="D1376" s="105"/>
      <c r="E1376" s="105"/>
      <c r="F1376" s="110" t="b">
        <v>0</v>
      </c>
      <c r="G1376" s="105" t="str">
        <f>IF(F1376=True, IFERROR(VLOOKUP(D1376, Repository!A:B, 2, 0), ""), "")</f>
        <v/>
      </c>
      <c r="H1376" s="105"/>
      <c r="I1376" s="105"/>
      <c r="J1376" s="105" t="str">
        <f>IF(F1376=True, IFERROR(VLOOKUP(D1376, Repository!A:C, 3, 0), ""), "")</f>
        <v/>
      </c>
      <c r="K1376" s="105"/>
      <c r="L1376" s="105" t="str">
        <f>IF(F1376=True, IFERROR(VLOOKUP(D1376, Repository!A:E, 5, 0), ""), "")</f>
        <v/>
      </c>
      <c r="M1376" s="105"/>
      <c r="N1376" s="105" t="str">
        <f>IF(F1376=True, IFERROR(VLOOKUP(D1376, Repository!A:G, 7, 0), ""), "")</f>
        <v/>
      </c>
      <c r="O1376" s="105" t="str">
        <f>IFERROR(__xludf.DUMMYFUNCTION("ARRAY_CONSTRAIN(
  ARRAYFORMULA(
    IFERROR(
      LET(
        list, N1376,
        arr, TRIM(SPLIT(list, "","")),
        names, XLOOKUP(
          arr,
          'Conformance Score'!A:A,
          'Conformance Score'!B:B,
          ""Not found""
     "&amp;"   ),
        TEXTJOIN("", "", TRUE, names)
      ),
      """"
    )
  ),
  1,
  1
)
"),"")</f>
        <v/>
      </c>
      <c r="P1376" s="105" t="str">
        <f>IF(F1376="Yes", IFERROR(VLOOKUP(D1376, Repository!A:F, 6, 0), ""), "")</f>
        <v/>
      </c>
      <c r="Q1376" s="105" t="str">
        <f>IF(F1376="Yes", IFERROR(VLOOKUP(D1376, Repository!A:I, 8, 0), ""), "")</f>
        <v/>
      </c>
      <c r="R1376" s="105" t="str">
        <f>IF(F1376="Yes", IFERROR(VLOOKUP(D1376, Repository!A:J, 9, 0), ""), "")</f>
        <v/>
      </c>
      <c r="S1376" s="105"/>
      <c r="T1376" s="105"/>
      <c r="U1376" s="105"/>
      <c r="V1376" s="105"/>
      <c r="W1376" s="105"/>
      <c r="X1376" s="105"/>
      <c r="Y1376" s="105"/>
      <c r="Z1376" s="105"/>
      <c r="AA1376" s="105"/>
      <c r="AB1376" s="105"/>
      <c r="AC1376" s="91"/>
      <c r="AD1376" s="105"/>
      <c r="AE1376" s="105"/>
      <c r="AF1376" s="91"/>
      <c r="AG1376" s="105"/>
      <c r="AH1376" s="105"/>
      <c r="AI1376" s="105" t="str">
        <f t="shared" si="1"/>
        <v/>
      </c>
      <c r="AJ1376" s="108" t="str">
        <f t="shared" si="2"/>
        <v/>
      </c>
    </row>
    <row r="1377" ht="15.75" customHeight="1">
      <c r="A1377" s="104"/>
      <c r="B1377" s="105" t="str">
        <f>IFERROR(__xludf.DUMMYFUNCTION("ARRAY_CONSTRAIN(
  ARRAYFORMULA(
    IF(
      'Final Report'!A1377="""",
      """",
      TEXTJOIN(
        "", "" &amp; CHAR(10),
        TRUE,
        IFERROR(
          VLOOKUP(
            TRIM(
              SPLIT('Final Report'!A1377, "","")
         "&amp;"   ),
            'URL Details'!A:B,
            2,
            FALSE
          ),
          """"
        )
      )
    )
  ),
  1,
  1
)
"),"")</f>
        <v/>
      </c>
      <c r="C1377" s="105" t="str">
        <f>IFERROR(__xludf.DUMMYFUNCTION("IFERROR(IF('Final Report'!A1377="""","""", TEXTJOIN(CHAR(10), TRUE, ARRAYFORMULA( ""• ""&amp; FILTER( TRIM(FLATTEN(SPLIT( REGEXREPLACE( SUBSTITUTE(TEXTJOIN("","", TRUE, IFERROR(ARRAYFORMULA(VLOOKUP(TRIM(SPLIT('Final Report'!A1377, "","")), 'URL Details'!A:D, "&amp;"4, FALSE)),"""") ), CHAR(10), "",""), ""\s*,\s*"", "",""), "",""))), TRIM(FLATTEN(SPLIT( REGEXREPLACE( SUBSTITUTE(TEXTJOIN("","", TRUE, IFERROR(ARRAYFORMULA(VLOOKUP(TRIM(SPLIT('Final Report'!A1377, "","")), 'URL Details'!A:D, 4, FALSE)),"""") ), CHAR(10),"&amp;" "",""), ""\s*,\s*"", "",""), "","")))&lt;&gt;"""" ) ) ) ),"""")
"),"")</f>
        <v/>
      </c>
      <c r="D1377" s="105"/>
      <c r="E1377" s="105"/>
      <c r="F1377" s="110" t="b">
        <v>0</v>
      </c>
      <c r="G1377" s="105" t="str">
        <f>IF(F1377=True, IFERROR(VLOOKUP(D1377, Repository!A:B, 2, 0), ""), "")</f>
        <v/>
      </c>
      <c r="H1377" s="105"/>
      <c r="I1377" s="105"/>
      <c r="J1377" s="105" t="str">
        <f>IF(F1377=True, IFERROR(VLOOKUP(D1377, Repository!A:C, 3, 0), ""), "")</f>
        <v/>
      </c>
      <c r="K1377" s="105"/>
      <c r="L1377" s="105" t="str">
        <f>IF(F1377=True, IFERROR(VLOOKUP(D1377, Repository!A:E, 5, 0), ""), "")</f>
        <v/>
      </c>
      <c r="M1377" s="105"/>
      <c r="N1377" s="105" t="str">
        <f>IF(F1377=True, IFERROR(VLOOKUP(D1377, Repository!A:G, 7, 0), ""), "")</f>
        <v/>
      </c>
      <c r="O1377" s="105" t="str">
        <f>IFERROR(__xludf.DUMMYFUNCTION("ARRAY_CONSTRAIN(
  ARRAYFORMULA(
    IFERROR(
      LET(
        list, N1377,
        arr, TRIM(SPLIT(list, "","")),
        names, XLOOKUP(
          arr,
          'Conformance Score'!A:A,
          'Conformance Score'!B:B,
          ""Not found""
     "&amp;"   ),
        TEXTJOIN("", "", TRUE, names)
      ),
      """"
    )
  ),
  1,
  1
)
"),"")</f>
        <v/>
      </c>
      <c r="P1377" s="105" t="str">
        <f>IF(F1377="Yes", IFERROR(VLOOKUP(D1377, Repository!A:F, 6, 0), ""), "")</f>
        <v/>
      </c>
      <c r="Q1377" s="105" t="str">
        <f>IF(F1377="Yes", IFERROR(VLOOKUP(D1377, Repository!A:I, 8, 0), ""), "")</f>
        <v/>
      </c>
      <c r="R1377" s="105" t="str">
        <f>IF(F1377="Yes", IFERROR(VLOOKUP(D1377, Repository!A:J, 9, 0), ""), "")</f>
        <v/>
      </c>
      <c r="S1377" s="105"/>
      <c r="T1377" s="105"/>
      <c r="U1377" s="105"/>
      <c r="V1377" s="105"/>
      <c r="W1377" s="105"/>
      <c r="X1377" s="105"/>
      <c r="Y1377" s="105"/>
      <c r="Z1377" s="105"/>
      <c r="AA1377" s="105"/>
      <c r="AB1377" s="105"/>
      <c r="AC1377" s="91"/>
      <c r="AD1377" s="105"/>
      <c r="AE1377" s="105"/>
      <c r="AF1377" s="91"/>
      <c r="AG1377" s="105"/>
      <c r="AH1377" s="105"/>
      <c r="AI1377" s="105" t="str">
        <f t="shared" si="1"/>
        <v/>
      </c>
      <c r="AJ1377" s="108" t="str">
        <f t="shared" si="2"/>
        <v/>
      </c>
    </row>
    <row r="1378" ht="15.75" customHeight="1">
      <c r="A1378" s="104"/>
      <c r="B1378" s="105" t="str">
        <f>IFERROR(__xludf.DUMMYFUNCTION("ARRAY_CONSTRAIN(
  ARRAYFORMULA(
    IF(
      'Final Report'!A1378="""",
      """",
      TEXTJOIN(
        "", "" &amp; CHAR(10),
        TRUE,
        IFERROR(
          VLOOKUP(
            TRIM(
              SPLIT('Final Report'!A1378, "","")
         "&amp;"   ),
            'URL Details'!A:B,
            2,
            FALSE
          ),
          """"
        )
      )
    )
  ),
  1,
  1
)
"),"")</f>
        <v/>
      </c>
      <c r="C1378" s="105" t="str">
        <f>IFERROR(__xludf.DUMMYFUNCTION("IFERROR(IF('Final Report'!A1378="""","""", TEXTJOIN(CHAR(10), TRUE, ARRAYFORMULA( ""• ""&amp; FILTER( TRIM(FLATTEN(SPLIT( REGEXREPLACE( SUBSTITUTE(TEXTJOIN("","", TRUE, IFERROR(ARRAYFORMULA(VLOOKUP(TRIM(SPLIT('Final Report'!A1378, "","")), 'URL Details'!A:D, "&amp;"4, FALSE)),"""") ), CHAR(10), "",""), ""\s*,\s*"", "",""), "",""))), TRIM(FLATTEN(SPLIT( REGEXREPLACE( SUBSTITUTE(TEXTJOIN("","", TRUE, IFERROR(ARRAYFORMULA(VLOOKUP(TRIM(SPLIT('Final Report'!A1378, "","")), 'URL Details'!A:D, 4, FALSE)),"""") ), CHAR(10),"&amp;" "",""), ""\s*,\s*"", "",""), "","")))&lt;&gt;"""" ) ) ) ),"""")
"),"")</f>
        <v/>
      </c>
      <c r="D1378" s="105"/>
      <c r="E1378" s="105"/>
      <c r="F1378" s="110" t="b">
        <v>0</v>
      </c>
      <c r="G1378" s="105" t="str">
        <f>IF(F1378=True, IFERROR(VLOOKUP(D1378, Repository!A:B, 2, 0), ""), "")</f>
        <v/>
      </c>
      <c r="H1378" s="105"/>
      <c r="I1378" s="105"/>
      <c r="J1378" s="105" t="str">
        <f>IF(F1378=True, IFERROR(VLOOKUP(D1378, Repository!A:C, 3, 0), ""), "")</f>
        <v/>
      </c>
      <c r="K1378" s="105"/>
      <c r="L1378" s="105" t="str">
        <f>IF(F1378=True, IFERROR(VLOOKUP(D1378, Repository!A:E, 5, 0), ""), "")</f>
        <v/>
      </c>
      <c r="M1378" s="105"/>
      <c r="N1378" s="105" t="str">
        <f>IF(F1378=True, IFERROR(VLOOKUP(D1378, Repository!A:G, 7, 0), ""), "")</f>
        <v/>
      </c>
      <c r="O1378" s="105" t="str">
        <f>IFERROR(__xludf.DUMMYFUNCTION("ARRAY_CONSTRAIN(
  ARRAYFORMULA(
    IFERROR(
      LET(
        list, N1378,
        arr, TRIM(SPLIT(list, "","")),
        names, XLOOKUP(
          arr,
          'Conformance Score'!A:A,
          'Conformance Score'!B:B,
          ""Not found""
     "&amp;"   ),
        TEXTJOIN("", "", TRUE, names)
      ),
      """"
    )
  ),
  1,
  1
)
"),"")</f>
        <v/>
      </c>
      <c r="P1378" s="105" t="str">
        <f>IF(F1378="Yes", IFERROR(VLOOKUP(D1378, Repository!A:F, 6, 0), ""), "")</f>
        <v/>
      </c>
      <c r="Q1378" s="105" t="str">
        <f>IF(F1378="Yes", IFERROR(VLOOKUP(D1378, Repository!A:I, 8, 0), ""), "")</f>
        <v/>
      </c>
      <c r="R1378" s="105" t="str">
        <f>IF(F1378="Yes", IFERROR(VLOOKUP(D1378, Repository!A:J, 9, 0), ""), "")</f>
        <v/>
      </c>
      <c r="S1378" s="105"/>
      <c r="T1378" s="105"/>
      <c r="U1378" s="105"/>
      <c r="V1378" s="105"/>
      <c r="W1378" s="105"/>
      <c r="X1378" s="105"/>
      <c r="Y1378" s="105"/>
      <c r="Z1378" s="105"/>
      <c r="AA1378" s="105"/>
      <c r="AB1378" s="105"/>
      <c r="AC1378" s="91"/>
      <c r="AD1378" s="105"/>
      <c r="AE1378" s="105"/>
      <c r="AF1378" s="91"/>
      <c r="AG1378" s="105"/>
      <c r="AH1378" s="105"/>
      <c r="AI1378" s="105" t="str">
        <f t="shared" si="1"/>
        <v/>
      </c>
      <c r="AJ1378" s="108" t="str">
        <f t="shared" si="2"/>
        <v/>
      </c>
    </row>
    <row r="1379" ht="15.75" customHeight="1">
      <c r="A1379" s="104"/>
      <c r="B1379" s="105" t="str">
        <f>IFERROR(__xludf.DUMMYFUNCTION("ARRAY_CONSTRAIN(
  ARRAYFORMULA(
    IF(
      'Final Report'!A1379="""",
      """",
      TEXTJOIN(
        "", "" &amp; CHAR(10),
        TRUE,
        IFERROR(
          VLOOKUP(
            TRIM(
              SPLIT('Final Report'!A1379, "","")
         "&amp;"   ),
            'URL Details'!A:B,
            2,
            FALSE
          ),
          """"
        )
      )
    )
  ),
  1,
  1
)
"),"")</f>
        <v/>
      </c>
      <c r="C1379" s="105" t="str">
        <f>IFERROR(__xludf.DUMMYFUNCTION("IFERROR(IF('Final Report'!A1379="""","""", TEXTJOIN(CHAR(10), TRUE, ARRAYFORMULA( ""• ""&amp; FILTER( TRIM(FLATTEN(SPLIT( REGEXREPLACE( SUBSTITUTE(TEXTJOIN("","", TRUE, IFERROR(ARRAYFORMULA(VLOOKUP(TRIM(SPLIT('Final Report'!A1379, "","")), 'URL Details'!A:D, "&amp;"4, FALSE)),"""") ), CHAR(10), "",""), ""\s*,\s*"", "",""), "",""))), TRIM(FLATTEN(SPLIT( REGEXREPLACE( SUBSTITUTE(TEXTJOIN("","", TRUE, IFERROR(ARRAYFORMULA(VLOOKUP(TRIM(SPLIT('Final Report'!A1379, "","")), 'URL Details'!A:D, 4, FALSE)),"""") ), CHAR(10),"&amp;" "",""), ""\s*,\s*"", "",""), "","")))&lt;&gt;"""" ) ) ) ),"""")
"),"")</f>
        <v/>
      </c>
      <c r="D1379" s="105"/>
      <c r="E1379" s="105"/>
      <c r="F1379" s="110" t="b">
        <v>0</v>
      </c>
      <c r="G1379" s="105" t="str">
        <f>IF(F1379=True, IFERROR(VLOOKUP(D1379, Repository!A:B, 2, 0), ""), "")</f>
        <v/>
      </c>
      <c r="H1379" s="105"/>
      <c r="I1379" s="105"/>
      <c r="J1379" s="105" t="str">
        <f>IF(F1379=True, IFERROR(VLOOKUP(D1379, Repository!A:C, 3, 0), ""), "")</f>
        <v/>
      </c>
      <c r="K1379" s="105"/>
      <c r="L1379" s="105" t="str">
        <f>IF(F1379=True, IFERROR(VLOOKUP(D1379, Repository!A:E, 5, 0), ""), "")</f>
        <v/>
      </c>
      <c r="M1379" s="105"/>
      <c r="N1379" s="105" t="str">
        <f>IF(F1379=True, IFERROR(VLOOKUP(D1379, Repository!A:G, 7, 0), ""), "")</f>
        <v/>
      </c>
      <c r="O1379" s="105" t="str">
        <f>IFERROR(__xludf.DUMMYFUNCTION("ARRAY_CONSTRAIN(
  ARRAYFORMULA(
    IFERROR(
      LET(
        list, N1379,
        arr, TRIM(SPLIT(list, "","")),
        names, XLOOKUP(
          arr,
          'Conformance Score'!A:A,
          'Conformance Score'!B:B,
          ""Not found""
     "&amp;"   ),
        TEXTJOIN("", "", TRUE, names)
      ),
      """"
    )
  ),
  1,
  1
)
"),"")</f>
        <v/>
      </c>
      <c r="P1379" s="105" t="str">
        <f>IF(F1379="Yes", IFERROR(VLOOKUP(D1379, Repository!A:F, 6, 0), ""), "")</f>
        <v/>
      </c>
      <c r="Q1379" s="105" t="str">
        <f>IF(F1379="Yes", IFERROR(VLOOKUP(D1379, Repository!A:I, 8, 0), ""), "")</f>
        <v/>
      </c>
      <c r="R1379" s="105" t="str">
        <f>IF(F1379="Yes", IFERROR(VLOOKUP(D1379, Repository!A:J, 9, 0), ""), "")</f>
        <v/>
      </c>
      <c r="S1379" s="105"/>
      <c r="T1379" s="105"/>
      <c r="U1379" s="105"/>
      <c r="V1379" s="105"/>
      <c r="W1379" s="105"/>
      <c r="X1379" s="105"/>
      <c r="Y1379" s="105"/>
      <c r="Z1379" s="105"/>
      <c r="AA1379" s="105"/>
      <c r="AB1379" s="105"/>
      <c r="AC1379" s="91"/>
      <c r="AD1379" s="105"/>
      <c r="AE1379" s="105"/>
      <c r="AF1379" s="91"/>
      <c r="AG1379" s="105"/>
      <c r="AH1379" s="105"/>
      <c r="AI1379" s="105" t="str">
        <f t="shared" si="1"/>
        <v/>
      </c>
      <c r="AJ1379" s="108" t="str">
        <f t="shared" si="2"/>
        <v/>
      </c>
    </row>
    <row r="1380" ht="15.75" customHeight="1">
      <c r="A1380" s="104"/>
      <c r="B1380" s="105" t="str">
        <f>IFERROR(__xludf.DUMMYFUNCTION("ARRAY_CONSTRAIN(
  ARRAYFORMULA(
    IF(
      'Final Report'!A1380="""",
      """",
      TEXTJOIN(
        "", "" &amp; CHAR(10),
        TRUE,
        IFERROR(
          VLOOKUP(
            TRIM(
              SPLIT('Final Report'!A1380, "","")
         "&amp;"   ),
            'URL Details'!A:B,
            2,
            FALSE
          ),
          """"
        )
      )
    )
  ),
  1,
  1
)
"),"")</f>
        <v/>
      </c>
      <c r="C1380" s="105" t="str">
        <f>IFERROR(__xludf.DUMMYFUNCTION("IFERROR(IF('Final Report'!A1380="""","""", TEXTJOIN(CHAR(10), TRUE, ARRAYFORMULA( ""• ""&amp; FILTER( TRIM(FLATTEN(SPLIT( REGEXREPLACE( SUBSTITUTE(TEXTJOIN("","", TRUE, IFERROR(ARRAYFORMULA(VLOOKUP(TRIM(SPLIT('Final Report'!A1380, "","")), 'URL Details'!A:D, "&amp;"4, FALSE)),"""") ), CHAR(10), "",""), ""\s*,\s*"", "",""), "",""))), TRIM(FLATTEN(SPLIT( REGEXREPLACE( SUBSTITUTE(TEXTJOIN("","", TRUE, IFERROR(ARRAYFORMULA(VLOOKUP(TRIM(SPLIT('Final Report'!A1380, "","")), 'URL Details'!A:D, 4, FALSE)),"""") ), CHAR(10),"&amp;" "",""), ""\s*,\s*"", "",""), "","")))&lt;&gt;"""" ) ) ) ),"""")
"),"")</f>
        <v/>
      </c>
      <c r="D1380" s="105"/>
      <c r="E1380" s="105"/>
      <c r="F1380" s="110" t="b">
        <v>0</v>
      </c>
      <c r="G1380" s="105" t="str">
        <f>IF(F1380=True, IFERROR(VLOOKUP(D1380, Repository!A:B, 2, 0), ""), "")</f>
        <v/>
      </c>
      <c r="H1380" s="105"/>
      <c r="I1380" s="105"/>
      <c r="J1380" s="105" t="str">
        <f>IF(F1380=True, IFERROR(VLOOKUP(D1380, Repository!A:C, 3, 0), ""), "")</f>
        <v/>
      </c>
      <c r="K1380" s="105"/>
      <c r="L1380" s="105" t="str">
        <f>IF(F1380=True, IFERROR(VLOOKUP(D1380, Repository!A:E, 5, 0), ""), "")</f>
        <v/>
      </c>
      <c r="M1380" s="105"/>
      <c r="N1380" s="105" t="str">
        <f>IF(F1380=True, IFERROR(VLOOKUP(D1380, Repository!A:G, 7, 0), ""), "")</f>
        <v/>
      </c>
      <c r="O1380" s="105" t="str">
        <f>IFERROR(__xludf.DUMMYFUNCTION("ARRAY_CONSTRAIN(
  ARRAYFORMULA(
    IFERROR(
      LET(
        list, N1380,
        arr, TRIM(SPLIT(list, "","")),
        names, XLOOKUP(
          arr,
          'Conformance Score'!A:A,
          'Conformance Score'!B:B,
          ""Not found""
     "&amp;"   ),
        TEXTJOIN("", "", TRUE, names)
      ),
      """"
    )
  ),
  1,
  1
)
"),"")</f>
        <v/>
      </c>
      <c r="P1380" s="105" t="str">
        <f>IF(F1380="Yes", IFERROR(VLOOKUP(D1380, Repository!A:F, 6, 0), ""), "")</f>
        <v/>
      </c>
      <c r="Q1380" s="105" t="str">
        <f>IF(F1380="Yes", IFERROR(VLOOKUP(D1380, Repository!A:I, 8, 0), ""), "")</f>
        <v/>
      </c>
      <c r="R1380" s="105" t="str">
        <f>IF(F1380="Yes", IFERROR(VLOOKUP(D1380, Repository!A:J, 9, 0), ""), "")</f>
        <v/>
      </c>
      <c r="S1380" s="105"/>
      <c r="T1380" s="105"/>
      <c r="U1380" s="105"/>
      <c r="V1380" s="105"/>
      <c r="W1380" s="105"/>
      <c r="X1380" s="105"/>
      <c r="Y1380" s="105"/>
      <c r="Z1380" s="105"/>
      <c r="AA1380" s="105"/>
      <c r="AB1380" s="105"/>
      <c r="AC1380" s="91"/>
      <c r="AD1380" s="105"/>
      <c r="AE1380" s="105"/>
      <c r="AF1380" s="91"/>
      <c r="AG1380" s="105"/>
      <c r="AH1380" s="105"/>
      <c r="AI1380" s="105" t="str">
        <f t="shared" si="1"/>
        <v/>
      </c>
      <c r="AJ1380" s="108" t="str">
        <f t="shared" si="2"/>
        <v/>
      </c>
    </row>
    <row r="1381" ht="15.75" customHeight="1">
      <c r="A1381" s="104"/>
      <c r="B1381" s="105" t="str">
        <f>IFERROR(__xludf.DUMMYFUNCTION("ARRAY_CONSTRAIN(
  ARRAYFORMULA(
    IF(
      'Final Report'!A1381="""",
      """",
      TEXTJOIN(
        "", "" &amp; CHAR(10),
        TRUE,
        IFERROR(
          VLOOKUP(
            TRIM(
              SPLIT('Final Report'!A1381, "","")
         "&amp;"   ),
            'URL Details'!A:B,
            2,
            FALSE
          ),
          """"
        )
      )
    )
  ),
  1,
  1
)
"),"")</f>
        <v/>
      </c>
      <c r="C1381" s="105" t="str">
        <f>IFERROR(__xludf.DUMMYFUNCTION("IFERROR(IF('Final Report'!A1381="""","""", TEXTJOIN(CHAR(10), TRUE, ARRAYFORMULA( ""• ""&amp; FILTER( TRIM(FLATTEN(SPLIT( REGEXREPLACE( SUBSTITUTE(TEXTJOIN("","", TRUE, IFERROR(ARRAYFORMULA(VLOOKUP(TRIM(SPLIT('Final Report'!A1381, "","")), 'URL Details'!A:D, "&amp;"4, FALSE)),"""") ), CHAR(10), "",""), ""\s*,\s*"", "",""), "",""))), TRIM(FLATTEN(SPLIT( REGEXREPLACE( SUBSTITUTE(TEXTJOIN("","", TRUE, IFERROR(ARRAYFORMULA(VLOOKUP(TRIM(SPLIT('Final Report'!A1381, "","")), 'URL Details'!A:D, 4, FALSE)),"""") ), CHAR(10),"&amp;" "",""), ""\s*,\s*"", "",""), "","")))&lt;&gt;"""" ) ) ) ),"""")
"),"")</f>
        <v/>
      </c>
      <c r="D1381" s="105"/>
      <c r="E1381" s="105"/>
      <c r="F1381" s="110" t="b">
        <v>0</v>
      </c>
      <c r="G1381" s="105" t="str">
        <f>IF(F1381=True, IFERROR(VLOOKUP(D1381, Repository!A:B, 2, 0), ""), "")</f>
        <v/>
      </c>
      <c r="H1381" s="105"/>
      <c r="I1381" s="105"/>
      <c r="J1381" s="105" t="str">
        <f>IF(F1381=True, IFERROR(VLOOKUP(D1381, Repository!A:C, 3, 0), ""), "")</f>
        <v/>
      </c>
      <c r="K1381" s="105"/>
      <c r="L1381" s="105" t="str">
        <f>IF(F1381=True, IFERROR(VLOOKUP(D1381, Repository!A:E, 5, 0), ""), "")</f>
        <v/>
      </c>
      <c r="M1381" s="105"/>
      <c r="N1381" s="105" t="str">
        <f>IF(F1381=True, IFERROR(VLOOKUP(D1381, Repository!A:G, 7, 0), ""), "")</f>
        <v/>
      </c>
      <c r="O1381" s="105" t="str">
        <f>IFERROR(__xludf.DUMMYFUNCTION("ARRAY_CONSTRAIN(
  ARRAYFORMULA(
    IFERROR(
      LET(
        list, N1381,
        arr, TRIM(SPLIT(list, "","")),
        names, XLOOKUP(
          arr,
          'Conformance Score'!A:A,
          'Conformance Score'!B:B,
          ""Not found""
     "&amp;"   ),
        TEXTJOIN("", "", TRUE, names)
      ),
      """"
    )
  ),
  1,
  1
)
"),"")</f>
        <v/>
      </c>
      <c r="P1381" s="105" t="str">
        <f>IF(F1381="Yes", IFERROR(VLOOKUP(D1381, Repository!A:F, 6, 0), ""), "")</f>
        <v/>
      </c>
      <c r="Q1381" s="105" t="str">
        <f>IF(F1381="Yes", IFERROR(VLOOKUP(D1381, Repository!A:I, 8, 0), ""), "")</f>
        <v/>
      </c>
      <c r="R1381" s="105" t="str">
        <f>IF(F1381="Yes", IFERROR(VLOOKUP(D1381, Repository!A:J, 9, 0), ""), "")</f>
        <v/>
      </c>
      <c r="S1381" s="105"/>
      <c r="T1381" s="105"/>
      <c r="U1381" s="105"/>
      <c r="V1381" s="105"/>
      <c r="W1381" s="105"/>
      <c r="X1381" s="105"/>
      <c r="Y1381" s="105"/>
      <c r="Z1381" s="105"/>
      <c r="AA1381" s="105"/>
      <c r="AB1381" s="105"/>
      <c r="AC1381" s="91"/>
      <c r="AD1381" s="105"/>
      <c r="AE1381" s="105"/>
      <c r="AF1381" s="91"/>
      <c r="AG1381" s="105"/>
      <c r="AH1381" s="105"/>
      <c r="AI1381" s="105" t="str">
        <f t="shared" si="1"/>
        <v/>
      </c>
      <c r="AJ1381" s="108" t="str">
        <f t="shared" si="2"/>
        <v/>
      </c>
    </row>
    <row r="1382" ht="15.75" customHeight="1">
      <c r="A1382" s="104"/>
      <c r="B1382" s="105" t="str">
        <f>IFERROR(__xludf.DUMMYFUNCTION("ARRAY_CONSTRAIN(
  ARRAYFORMULA(
    IF(
      'Final Report'!A1382="""",
      """",
      TEXTJOIN(
        "", "" &amp; CHAR(10),
        TRUE,
        IFERROR(
          VLOOKUP(
            TRIM(
              SPLIT('Final Report'!A1382, "","")
         "&amp;"   ),
            'URL Details'!A:B,
            2,
            FALSE
          ),
          """"
        )
      )
    )
  ),
  1,
  1
)
"),"")</f>
        <v/>
      </c>
      <c r="C1382" s="105" t="str">
        <f>IFERROR(__xludf.DUMMYFUNCTION("IFERROR(IF('Final Report'!A1382="""","""", TEXTJOIN(CHAR(10), TRUE, ARRAYFORMULA( ""• ""&amp; FILTER( TRIM(FLATTEN(SPLIT( REGEXREPLACE( SUBSTITUTE(TEXTJOIN("","", TRUE, IFERROR(ARRAYFORMULA(VLOOKUP(TRIM(SPLIT('Final Report'!A1382, "","")), 'URL Details'!A:D, "&amp;"4, FALSE)),"""") ), CHAR(10), "",""), ""\s*,\s*"", "",""), "",""))), TRIM(FLATTEN(SPLIT( REGEXREPLACE( SUBSTITUTE(TEXTJOIN("","", TRUE, IFERROR(ARRAYFORMULA(VLOOKUP(TRIM(SPLIT('Final Report'!A1382, "","")), 'URL Details'!A:D, 4, FALSE)),"""") ), CHAR(10),"&amp;" "",""), ""\s*,\s*"", "",""), "","")))&lt;&gt;"""" ) ) ) ),"""")
"),"")</f>
        <v/>
      </c>
      <c r="D1382" s="105"/>
      <c r="E1382" s="105"/>
      <c r="F1382" s="110" t="b">
        <v>0</v>
      </c>
      <c r="G1382" s="105" t="str">
        <f>IF(F1382=True, IFERROR(VLOOKUP(D1382, Repository!A:B, 2, 0), ""), "")</f>
        <v/>
      </c>
      <c r="H1382" s="105"/>
      <c r="I1382" s="105"/>
      <c r="J1382" s="105" t="str">
        <f>IF(F1382=True, IFERROR(VLOOKUP(D1382, Repository!A:C, 3, 0), ""), "")</f>
        <v/>
      </c>
      <c r="K1382" s="105"/>
      <c r="L1382" s="105" t="str">
        <f>IF(F1382=True, IFERROR(VLOOKUP(D1382, Repository!A:E, 5, 0), ""), "")</f>
        <v/>
      </c>
      <c r="M1382" s="105"/>
      <c r="N1382" s="105" t="str">
        <f>IF(F1382=True, IFERROR(VLOOKUP(D1382, Repository!A:G, 7, 0), ""), "")</f>
        <v/>
      </c>
      <c r="O1382" s="105" t="str">
        <f>IFERROR(__xludf.DUMMYFUNCTION("ARRAY_CONSTRAIN(
  ARRAYFORMULA(
    IFERROR(
      LET(
        list, N1382,
        arr, TRIM(SPLIT(list, "","")),
        names, XLOOKUP(
          arr,
          'Conformance Score'!A:A,
          'Conformance Score'!B:B,
          ""Not found""
     "&amp;"   ),
        TEXTJOIN("", "", TRUE, names)
      ),
      """"
    )
  ),
  1,
  1
)
"),"")</f>
        <v/>
      </c>
      <c r="P1382" s="105" t="str">
        <f>IF(F1382="Yes", IFERROR(VLOOKUP(D1382, Repository!A:F, 6, 0), ""), "")</f>
        <v/>
      </c>
      <c r="Q1382" s="105" t="str">
        <f>IF(F1382="Yes", IFERROR(VLOOKUP(D1382, Repository!A:I, 8, 0), ""), "")</f>
        <v/>
      </c>
      <c r="R1382" s="105" t="str">
        <f>IF(F1382="Yes", IFERROR(VLOOKUP(D1382, Repository!A:J, 9, 0), ""), "")</f>
        <v/>
      </c>
      <c r="S1382" s="105"/>
      <c r="T1382" s="105"/>
      <c r="U1382" s="105"/>
      <c r="V1382" s="105"/>
      <c r="W1382" s="105"/>
      <c r="X1382" s="105"/>
      <c r="Y1382" s="105"/>
      <c r="Z1382" s="105"/>
      <c r="AA1382" s="105"/>
      <c r="AB1382" s="105"/>
      <c r="AC1382" s="91"/>
      <c r="AD1382" s="105"/>
      <c r="AE1382" s="105"/>
      <c r="AF1382" s="91"/>
      <c r="AG1382" s="105"/>
      <c r="AH1382" s="105"/>
      <c r="AI1382" s="105" t="str">
        <f t="shared" si="1"/>
        <v/>
      </c>
      <c r="AJ1382" s="108" t="str">
        <f t="shared" si="2"/>
        <v/>
      </c>
    </row>
    <row r="1383" ht="15.75" customHeight="1">
      <c r="A1383" s="104"/>
      <c r="B1383" s="105" t="str">
        <f>IFERROR(__xludf.DUMMYFUNCTION("ARRAY_CONSTRAIN(
  ARRAYFORMULA(
    IF(
      'Final Report'!A1383="""",
      """",
      TEXTJOIN(
        "", "" &amp; CHAR(10),
        TRUE,
        IFERROR(
          VLOOKUP(
            TRIM(
              SPLIT('Final Report'!A1383, "","")
         "&amp;"   ),
            'URL Details'!A:B,
            2,
            FALSE
          ),
          """"
        )
      )
    )
  ),
  1,
  1
)
"),"")</f>
        <v/>
      </c>
      <c r="C1383" s="105" t="str">
        <f>IFERROR(__xludf.DUMMYFUNCTION("IFERROR(IF('Final Report'!A1383="""","""", TEXTJOIN(CHAR(10), TRUE, ARRAYFORMULA( ""• ""&amp; FILTER( TRIM(FLATTEN(SPLIT( REGEXREPLACE( SUBSTITUTE(TEXTJOIN("","", TRUE, IFERROR(ARRAYFORMULA(VLOOKUP(TRIM(SPLIT('Final Report'!A1383, "","")), 'URL Details'!A:D, "&amp;"4, FALSE)),"""") ), CHAR(10), "",""), ""\s*,\s*"", "",""), "",""))), TRIM(FLATTEN(SPLIT( REGEXREPLACE( SUBSTITUTE(TEXTJOIN("","", TRUE, IFERROR(ARRAYFORMULA(VLOOKUP(TRIM(SPLIT('Final Report'!A1383, "","")), 'URL Details'!A:D, 4, FALSE)),"""") ), CHAR(10),"&amp;" "",""), ""\s*,\s*"", "",""), "","")))&lt;&gt;"""" ) ) ) ),"""")
"),"")</f>
        <v/>
      </c>
      <c r="D1383" s="105"/>
      <c r="E1383" s="105"/>
      <c r="F1383" s="110" t="b">
        <v>0</v>
      </c>
      <c r="G1383" s="105" t="str">
        <f>IF(F1383=True, IFERROR(VLOOKUP(D1383, Repository!A:B, 2, 0), ""), "")</f>
        <v/>
      </c>
      <c r="H1383" s="105"/>
      <c r="I1383" s="105"/>
      <c r="J1383" s="105" t="str">
        <f>IF(F1383=True, IFERROR(VLOOKUP(D1383, Repository!A:C, 3, 0), ""), "")</f>
        <v/>
      </c>
      <c r="K1383" s="105"/>
      <c r="L1383" s="105" t="str">
        <f>IF(F1383=True, IFERROR(VLOOKUP(D1383, Repository!A:E, 5, 0), ""), "")</f>
        <v/>
      </c>
      <c r="M1383" s="105"/>
      <c r="N1383" s="105" t="str">
        <f>IF(F1383=True, IFERROR(VLOOKUP(D1383, Repository!A:G, 7, 0), ""), "")</f>
        <v/>
      </c>
      <c r="O1383" s="105" t="str">
        <f>IFERROR(__xludf.DUMMYFUNCTION("ARRAY_CONSTRAIN(
  ARRAYFORMULA(
    IFERROR(
      LET(
        list, N1383,
        arr, TRIM(SPLIT(list, "","")),
        names, XLOOKUP(
          arr,
          'Conformance Score'!A:A,
          'Conformance Score'!B:B,
          ""Not found""
     "&amp;"   ),
        TEXTJOIN("", "", TRUE, names)
      ),
      """"
    )
  ),
  1,
  1
)
"),"")</f>
        <v/>
      </c>
      <c r="P1383" s="105" t="str">
        <f>IF(F1383="Yes", IFERROR(VLOOKUP(D1383, Repository!A:F, 6, 0), ""), "")</f>
        <v/>
      </c>
      <c r="Q1383" s="105" t="str">
        <f>IF(F1383="Yes", IFERROR(VLOOKUP(D1383, Repository!A:I, 8, 0), ""), "")</f>
        <v/>
      </c>
      <c r="R1383" s="105" t="str">
        <f>IF(F1383="Yes", IFERROR(VLOOKUP(D1383, Repository!A:J, 9, 0), ""), "")</f>
        <v/>
      </c>
      <c r="S1383" s="105"/>
      <c r="T1383" s="105"/>
      <c r="U1383" s="105"/>
      <c r="V1383" s="105"/>
      <c r="W1383" s="105"/>
      <c r="X1383" s="105"/>
      <c r="Y1383" s="105"/>
      <c r="Z1383" s="105"/>
      <c r="AA1383" s="105"/>
      <c r="AB1383" s="105"/>
      <c r="AC1383" s="91"/>
      <c r="AD1383" s="105"/>
      <c r="AE1383" s="105"/>
      <c r="AF1383" s="91"/>
      <c r="AG1383" s="105"/>
      <c r="AH1383" s="105"/>
      <c r="AI1383" s="105" t="str">
        <f t="shared" si="1"/>
        <v/>
      </c>
      <c r="AJ1383" s="108" t="str">
        <f t="shared" si="2"/>
        <v/>
      </c>
    </row>
    <row r="1384" ht="15.75" customHeight="1">
      <c r="A1384" s="104"/>
      <c r="B1384" s="105" t="str">
        <f>IFERROR(__xludf.DUMMYFUNCTION("ARRAY_CONSTRAIN(
  ARRAYFORMULA(
    IF(
      'Final Report'!A1384="""",
      """",
      TEXTJOIN(
        "", "" &amp; CHAR(10),
        TRUE,
        IFERROR(
          VLOOKUP(
            TRIM(
              SPLIT('Final Report'!A1384, "","")
         "&amp;"   ),
            'URL Details'!A:B,
            2,
            FALSE
          ),
          """"
        )
      )
    )
  ),
  1,
  1
)
"),"")</f>
        <v/>
      </c>
      <c r="C1384" s="105" t="str">
        <f>IFERROR(__xludf.DUMMYFUNCTION("IFERROR(IF('Final Report'!A1384="""","""", TEXTJOIN(CHAR(10), TRUE, ARRAYFORMULA( ""• ""&amp; FILTER( TRIM(FLATTEN(SPLIT( REGEXREPLACE( SUBSTITUTE(TEXTJOIN("","", TRUE, IFERROR(ARRAYFORMULA(VLOOKUP(TRIM(SPLIT('Final Report'!A1384, "","")), 'URL Details'!A:D, "&amp;"4, FALSE)),"""") ), CHAR(10), "",""), ""\s*,\s*"", "",""), "",""))), TRIM(FLATTEN(SPLIT( REGEXREPLACE( SUBSTITUTE(TEXTJOIN("","", TRUE, IFERROR(ARRAYFORMULA(VLOOKUP(TRIM(SPLIT('Final Report'!A1384, "","")), 'URL Details'!A:D, 4, FALSE)),"""") ), CHAR(10),"&amp;" "",""), ""\s*,\s*"", "",""), "","")))&lt;&gt;"""" ) ) ) ),"""")
"),"")</f>
        <v/>
      </c>
      <c r="D1384" s="105"/>
      <c r="E1384" s="105"/>
      <c r="F1384" s="110" t="b">
        <v>0</v>
      </c>
      <c r="G1384" s="105" t="str">
        <f>IF(F1384=True, IFERROR(VLOOKUP(D1384, Repository!A:B, 2, 0), ""), "")</f>
        <v/>
      </c>
      <c r="H1384" s="105"/>
      <c r="I1384" s="105"/>
      <c r="J1384" s="105" t="str">
        <f>IF(F1384=True, IFERROR(VLOOKUP(D1384, Repository!A:C, 3, 0), ""), "")</f>
        <v/>
      </c>
      <c r="K1384" s="105"/>
      <c r="L1384" s="105" t="str">
        <f>IF(F1384=True, IFERROR(VLOOKUP(D1384, Repository!A:E, 5, 0), ""), "")</f>
        <v/>
      </c>
      <c r="M1384" s="105"/>
      <c r="N1384" s="105" t="str">
        <f>IF(F1384=True, IFERROR(VLOOKUP(D1384, Repository!A:G, 7, 0), ""), "")</f>
        <v/>
      </c>
      <c r="O1384" s="105" t="str">
        <f>IFERROR(__xludf.DUMMYFUNCTION("ARRAY_CONSTRAIN(
  ARRAYFORMULA(
    IFERROR(
      LET(
        list, N1384,
        arr, TRIM(SPLIT(list, "","")),
        names, XLOOKUP(
          arr,
          'Conformance Score'!A:A,
          'Conformance Score'!B:B,
          ""Not found""
     "&amp;"   ),
        TEXTJOIN("", "", TRUE, names)
      ),
      """"
    )
  ),
  1,
  1
)
"),"")</f>
        <v/>
      </c>
      <c r="P1384" s="105" t="str">
        <f>IF(F1384="Yes", IFERROR(VLOOKUP(D1384, Repository!A:F, 6, 0), ""), "")</f>
        <v/>
      </c>
      <c r="Q1384" s="105" t="str">
        <f>IF(F1384="Yes", IFERROR(VLOOKUP(D1384, Repository!A:I, 8, 0), ""), "")</f>
        <v/>
      </c>
      <c r="R1384" s="105" t="str">
        <f>IF(F1384="Yes", IFERROR(VLOOKUP(D1384, Repository!A:J, 9, 0), ""), "")</f>
        <v/>
      </c>
      <c r="S1384" s="105"/>
      <c r="T1384" s="105"/>
      <c r="U1384" s="105"/>
      <c r="V1384" s="105"/>
      <c r="W1384" s="105"/>
      <c r="X1384" s="105"/>
      <c r="Y1384" s="105"/>
      <c r="Z1384" s="105"/>
      <c r="AA1384" s="105"/>
      <c r="AB1384" s="105"/>
      <c r="AC1384" s="91"/>
      <c r="AD1384" s="105"/>
      <c r="AE1384" s="105"/>
      <c r="AF1384" s="91"/>
      <c r="AG1384" s="105"/>
      <c r="AH1384" s="105"/>
      <c r="AI1384" s="105" t="str">
        <f t="shared" si="1"/>
        <v/>
      </c>
      <c r="AJ1384" s="108" t="str">
        <f t="shared" si="2"/>
        <v/>
      </c>
    </row>
    <row r="1385" ht="15.75" customHeight="1">
      <c r="A1385" s="104"/>
      <c r="B1385" s="105" t="str">
        <f>IFERROR(__xludf.DUMMYFUNCTION("ARRAY_CONSTRAIN(
  ARRAYFORMULA(
    IF(
      'Final Report'!A1385="""",
      """",
      TEXTJOIN(
        "", "" &amp; CHAR(10),
        TRUE,
        IFERROR(
          VLOOKUP(
            TRIM(
              SPLIT('Final Report'!A1385, "","")
         "&amp;"   ),
            'URL Details'!A:B,
            2,
            FALSE
          ),
          """"
        )
      )
    )
  ),
  1,
  1
)
"),"")</f>
        <v/>
      </c>
      <c r="C1385" s="105" t="str">
        <f>IFERROR(__xludf.DUMMYFUNCTION("IFERROR(IF('Final Report'!A1385="""","""", TEXTJOIN(CHAR(10), TRUE, ARRAYFORMULA( ""• ""&amp; FILTER( TRIM(FLATTEN(SPLIT( REGEXREPLACE( SUBSTITUTE(TEXTJOIN("","", TRUE, IFERROR(ARRAYFORMULA(VLOOKUP(TRIM(SPLIT('Final Report'!A1385, "","")), 'URL Details'!A:D, "&amp;"4, FALSE)),"""") ), CHAR(10), "",""), ""\s*,\s*"", "",""), "",""))), TRIM(FLATTEN(SPLIT( REGEXREPLACE( SUBSTITUTE(TEXTJOIN("","", TRUE, IFERROR(ARRAYFORMULA(VLOOKUP(TRIM(SPLIT('Final Report'!A1385, "","")), 'URL Details'!A:D, 4, FALSE)),"""") ), CHAR(10),"&amp;" "",""), ""\s*,\s*"", "",""), "","")))&lt;&gt;"""" ) ) ) ),"""")
"),"")</f>
        <v/>
      </c>
      <c r="D1385" s="105"/>
      <c r="E1385" s="105"/>
      <c r="F1385" s="110" t="b">
        <v>0</v>
      </c>
      <c r="G1385" s="105" t="str">
        <f>IF(F1385=True, IFERROR(VLOOKUP(D1385, Repository!A:B, 2, 0), ""), "")</f>
        <v/>
      </c>
      <c r="H1385" s="105"/>
      <c r="I1385" s="105"/>
      <c r="J1385" s="105" t="str">
        <f>IF(F1385=True, IFERROR(VLOOKUP(D1385, Repository!A:C, 3, 0), ""), "")</f>
        <v/>
      </c>
      <c r="K1385" s="105"/>
      <c r="L1385" s="105" t="str">
        <f>IF(F1385=True, IFERROR(VLOOKUP(D1385, Repository!A:E, 5, 0), ""), "")</f>
        <v/>
      </c>
      <c r="M1385" s="105"/>
      <c r="N1385" s="105" t="str">
        <f>IF(F1385=True, IFERROR(VLOOKUP(D1385, Repository!A:G, 7, 0), ""), "")</f>
        <v/>
      </c>
      <c r="O1385" s="105" t="str">
        <f>IFERROR(__xludf.DUMMYFUNCTION("ARRAY_CONSTRAIN(
  ARRAYFORMULA(
    IFERROR(
      LET(
        list, N1385,
        arr, TRIM(SPLIT(list, "","")),
        names, XLOOKUP(
          arr,
          'Conformance Score'!A:A,
          'Conformance Score'!B:B,
          ""Not found""
     "&amp;"   ),
        TEXTJOIN("", "", TRUE, names)
      ),
      """"
    )
  ),
  1,
  1
)
"),"")</f>
        <v/>
      </c>
      <c r="P1385" s="105" t="str">
        <f>IF(F1385="Yes", IFERROR(VLOOKUP(D1385, Repository!A:F, 6, 0), ""), "")</f>
        <v/>
      </c>
      <c r="Q1385" s="105" t="str">
        <f>IF(F1385="Yes", IFERROR(VLOOKUP(D1385, Repository!A:I, 8, 0), ""), "")</f>
        <v/>
      </c>
      <c r="R1385" s="105" t="str">
        <f>IF(F1385="Yes", IFERROR(VLOOKUP(D1385, Repository!A:J, 9, 0), ""), "")</f>
        <v/>
      </c>
      <c r="S1385" s="105"/>
      <c r="T1385" s="105"/>
      <c r="U1385" s="105"/>
      <c r="V1385" s="105"/>
      <c r="W1385" s="105"/>
      <c r="X1385" s="105"/>
      <c r="Y1385" s="105"/>
      <c r="Z1385" s="105"/>
      <c r="AA1385" s="105"/>
      <c r="AB1385" s="105"/>
      <c r="AC1385" s="91"/>
      <c r="AD1385" s="105"/>
      <c r="AE1385" s="105"/>
      <c r="AF1385" s="91"/>
      <c r="AG1385" s="105"/>
      <c r="AH1385" s="105"/>
      <c r="AI1385" s="105" t="str">
        <f t="shared" si="1"/>
        <v/>
      </c>
      <c r="AJ1385" s="108" t="str">
        <f t="shared" si="2"/>
        <v/>
      </c>
    </row>
    <row r="1386" ht="15.75" customHeight="1">
      <c r="A1386" s="104"/>
      <c r="B1386" s="105" t="str">
        <f>IFERROR(__xludf.DUMMYFUNCTION("ARRAY_CONSTRAIN(
  ARRAYFORMULA(
    IF(
      'Final Report'!A1386="""",
      """",
      TEXTJOIN(
        "", "" &amp; CHAR(10),
        TRUE,
        IFERROR(
          VLOOKUP(
            TRIM(
              SPLIT('Final Report'!A1386, "","")
         "&amp;"   ),
            'URL Details'!A:B,
            2,
            FALSE
          ),
          """"
        )
      )
    )
  ),
  1,
  1
)
"),"")</f>
        <v/>
      </c>
      <c r="C1386" s="105" t="str">
        <f>IFERROR(__xludf.DUMMYFUNCTION("IFERROR(IF('Final Report'!A1386="""","""", TEXTJOIN(CHAR(10), TRUE, ARRAYFORMULA( ""• ""&amp; FILTER( TRIM(FLATTEN(SPLIT( REGEXREPLACE( SUBSTITUTE(TEXTJOIN("","", TRUE, IFERROR(ARRAYFORMULA(VLOOKUP(TRIM(SPLIT('Final Report'!A1386, "","")), 'URL Details'!A:D, "&amp;"4, FALSE)),"""") ), CHAR(10), "",""), ""\s*,\s*"", "",""), "",""))), TRIM(FLATTEN(SPLIT( REGEXREPLACE( SUBSTITUTE(TEXTJOIN("","", TRUE, IFERROR(ARRAYFORMULA(VLOOKUP(TRIM(SPLIT('Final Report'!A1386, "","")), 'URL Details'!A:D, 4, FALSE)),"""") ), CHAR(10),"&amp;" "",""), ""\s*,\s*"", "",""), "","")))&lt;&gt;"""" ) ) ) ),"""")
"),"")</f>
        <v/>
      </c>
      <c r="D1386" s="105"/>
      <c r="E1386" s="105"/>
      <c r="F1386" s="110" t="b">
        <v>0</v>
      </c>
      <c r="G1386" s="105" t="str">
        <f>IF(F1386=True, IFERROR(VLOOKUP(D1386, Repository!A:B, 2, 0), ""), "")</f>
        <v/>
      </c>
      <c r="H1386" s="105"/>
      <c r="I1386" s="105"/>
      <c r="J1386" s="105" t="str">
        <f>IF(F1386=True, IFERROR(VLOOKUP(D1386, Repository!A:C, 3, 0), ""), "")</f>
        <v/>
      </c>
      <c r="K1386" s="105"/>
      <c r="L1386" s="105" t="str">
        <f>IF(F1386=True, IFERROR(VLOOKUP(D1386, Repository!A:E, 5, 0), ""), "")</f>
        <v/>
      </c>
      <c r="M1386" s="105"/>
      <c r="N1386" s="105" t="str">
        <f>IF(F1386=True, IFERROR(VLOOKUP(D1386, Repository!A:G, 7, 0), ""), "")</f>
        <v/>
      </c>
      <c r="O1386" s="105" t="str">
        <f>IFERROR(__xludf.DUMMYFUNCTION("ARRAY_CONSTRAIN(
  ARRAYFORMULA(
    IFERROR(
      LET(
        list, N1386,
        arr, TRIM(SPLIT(list, "","")),
        names, XLOOKUP(
          arr,
          'Conformance Score'!A:A,
          'Conformance Score'!B:B,
          ""Not found""
     "&amp;"   ),
        TEXTJOIN("", "", TRUE, names)
      ),
      """"
    )
  ),
  1,
  1
)
"),"")</f>
        <v/>
      </c>
      <c r="P1386" s="105" t="str">
        <f>IF(F1386="Yes", IFERROR(VLOOKUP(D1386, Repository!A:F, 6, 0), ""), "")</f>
        <v/>
      </c>
      <c r="Q1386" s="105" t="str">
        <f>IF(F1386="Yes", IFERROR(VLOOKUP(D1386, Repository!A:I, 8, 0), ""), "")</f>
        <v/>
      </c>
      <c r="R1386" s="105" t="str">
        <f>IF(F1386="Yes", IFERROR(VLOOKUP(D1386, Repository!A:J, 9, 0), ""), "")</f>
        <v/>
      </c>
      <c r="S1386" s="105"/>
      <c r="T1386" s="105"/>
      <c r="U1386" s="105"/>
      <c r="V1386" s="105"/>
      <c r="W1386" s="105"/>
      <c r="X1386" s="105"/>
      <c r="Y1386" s="105"/>
      <c r="Z1386" s="105"/>
      <c r="AA1386" s="105"/>
      <c r="AB1386" s="105"/>
      <c r="AC1386" s="91"/>
      <c r="AD1386" s="105"/>
      <c r="AE1386" s="105"/>
      <c r="AF1386" s="91"/>
      <c r="AG1386" s="105"/>
      <c r="AH1386" s="105"/>
      <c r="AI1386" s="105" t="str">
        <f t="shared" si="1"/>
        <v/>
      </c>
      <c r="AJ1386" s="108" t="str">
        <f t="shared" si="2"/>
        <v/>
      </c>
    </row>
    <row r="1387" ht="15.75" customHeight="1">
      <c r="A1387" s="104"/>
      <c r="B1387" s="105" t="str">
        <f>IFERROR(__xludf.DUMMYFUNCTION("ARRAY_CONSTRAIN(
  ARRAYFORMULA(
    IF(
      'Final Report'!A1387="""",
      """",
      TEXTJOIN(
        "", "" &amp; CHAR(10),
        TRUE,
        IFERROR(
          VLOOKUP(
            TRIM(
              SPLIT('Final Report'!A1387, "","")
         "&amp;"   ),
            'URL Details'!A:B,
            2,
            FALSE
          ),
          """"
        )
      )
    )
  ),
  1,
  1
)
"),"")</f>
        <v/>
      </c>
      <c r="C1387" s="105" t="str">
        <f>IFERROR(__xludf.DUMMYFUNCTION("IFERROR(IF('Final Report'!A1387="""","""", TEXTJOIN(CHAR(10), TRUE, ARRAYFORMULA( ""• ""&amp; FILTER( TRIM(FLATTEN(SPLIT( REGEXREPLACE( SUBSTITUTE(TEXTJOIN("","", TRUE, IFERROR(ARRAYFORMULA(VLOOKUP(TRIM(SPLIT('Final Report'!A1387, "","")), 'URL Details'!A:D, "&amp;"4, FALSE)),"""") ), CHAR(10), "",""), ""\s*,\s*"", "",""), "",""))), TRIM(FLATTEN(SPLIT( REGEXREPLACE( SUBSTITUTE(TEXTJOIN("","", TRUE, IFERROR(ARRAYFORMULA(VLOOKUP(TRIM(SPLIT('Final Report'!A1387, "","")), 'URL Details'!A:D, 4, FALSE)),"""") ), CHAR(10),"&amp;" "",""), ""\s*,\s*"", "",""), "","")))&lt;&gt;"""" ) ) ) ),"""")
"),"")</f>
        <v/>
      </c>
      <c r="D1387" s="105"/>
      <c r="E1387" s="105"/>
      <c r="F1387" s="110" t="b">
        <v>0</v>
      </c>
      <c r="G1387" s="105" t="str">
        <f>IF(F1387=True, IFERROR(VLOOKUP(D1387, Repository!A:B, 2, 0), ""), "")</f>
        <v/>
      </c>
      <c r="H1387" s="105"/>
      <c r="I1387" s="105"/>
      <c r="J1387" s="105" t="str">
        <f>IF(F1387=True, IFERROR(VLOOKUP(D1387, Repository!A:C, 3, 0), ""), "")</f>
        <v/>
      </c>
      <c r="K1387" s="105"/>
      <c r="L1387" s="105" t="str">
        <f>IF(F1387=True, IFERROR(VLOOKUP(D1387, Repository!A:E, 5, 0), ""), "")</f>
        <v/>
      </c>
      <c r="M1387" s="105"/>
      <c r="N1387" s="105" t="str">
        <f>IF(F1387=True, IFERROR(VLOOKUP(D1387, Repository!A:G, 7, 0), ""), "")</f>
        <v/>
      </c>
      <c r="O1387" s="105" t="str">
        <f>IFERROR(__xludf.DUMMYFUNCTION("ARRAY_CONSTRAIN(
  ARRAYFORMULA(
    IFERROR(
      LET(
        list, N1387,
        arr, TRIM(SPLIT(list, "","")),
        names, XLOOKUP(
          arr,
          'Conformance Score'!A:A,
          'Conformance Score'!B:B,
          ""Not found""
     "&amp;"   ),
        TEXTJOIN("", "", TRUE, names)
      ),
      """"
    )
  ),
  1,
  1
)
"),"")</f>
        <v/>
      </c>
      <c r="P1387" s="105" t="str">
        <f>IF(F1387="Yes", IFERROR(VLOOKUP(D1387, Repository!A:F, 6, 0), ""), "")</f>
        <v/>
      </c>
      <c r="Q1387" s="105" t="str">
        <f>IF(F1387="Yes", IFERROR(VLOOKUP(D1387, Repository!A:I, 8, 0), ""), "")</f>
        <v/>
      </c>
      <c r="R1387" s="105" t="str">
        <f>IF(F1387="Yes", IFERROR(VLOOKUP(D1387, Repository!A:J, 9, 0), ""), "")</f>
        <v/>
      </c>
      <c r="S1387" s="105"/>
      <c r="T1387" s="105"/>
      <c r="U1387" s="105"/>
      <c r="V1387" s="105"/>
      <c r="W1387" s="105"/>
      <c r="X1387" s="105"/>
      <c r="Y1387" s="105"/>
      <c r="Z1387" s="105"/>
      <c r="AA1387" s="105"/>
      <c r="AB1387" s="105"/>
      <c r="AC1387" s="91"/>
      <c r="AD1387" s="105"/>
      <c r="AE1387" s="105"/>
      <c r="AF1387" s="91"/>
      <c r="AG1387" s="105"/>
      <c r="AH1387" s="105"/>
      <c r="AI1387" s="105" t="str">
        <f t="shared" si="1"/>
        <v/>
      </c>
      <c r="AJ1387" s="108" t="str">
        <f t="shared" si="2"/>
        <v/>
      </c>
    </row>
    <row r="1388" ht="15.75" customHeight="1">
      <c r="A1388" s="104"/>
      <c r="B1388" s="105" t="str">
        <f>IFERROR(__xludf.DUMMYFUNCTION("ARRAY_CONSTRAIN(
  ARRAYFORMULA(
    IF(
      'Final Report'!A1388="""",
      """",
      TEXTJOIN(
        "", "" &amp; CHAR(10),
        TRUE,
        IFERROR(
          VLOOKUP(
            TRIM(
              SPLIT('Final Report'!A1388, "","")
         "&amp;"   ),
            'URL Details'!A:B,
            2,
            FALSE
          ),
          """"
        )
      )
    )
  ),
  1,
  1
)
"),"")</f>
        <v/>
      </c>
      <c r="C1388" s="105" t="str">
        <f>IFERROR(__xludf.DUMMYFUNCTION("IFERROR(IF('Final Report'!A1388="""","""", TEXTJOIN(CHAR(10), TRUE, ARRAYFORMULA( ""• ""&amp; FILTER( TRIM(FLATTEN(SPLIT( REGEXREPLACE( SUBSTITUTE(TEXTJOIN("","", TRUE, IFERROR(ARRAYFORMULA(VLOOKUP(TRIM(SPLIT('Final Report'!A1388, "","")), 'URL Details'!A:D, "&amp;"4, FALSE)),"""") ), CHAR(10), "",""), ""\s*,\s*"", "",""), "",""))), TRIM(FLATTEN(SPLIT( REGEXREPLACE( SUBSTITUTE(TEXTJOIN("","", TRUE, IFERROR(ARRAYFORMULA(VLOOKUP(TRIM(SPLIT('Final Report'!A1388, "","")), 'URL Details'!A:D, 4, FALSE)),"""") ), CHAR(10),"&amp;" "",""), ""\s*,\s*"", "",""), "","")))&lt;&gt;"""" ) ) ) ),"""")
"),"")</f>
        <v/>
      </c>
      <c r="D1388" s="105"/>
      <c r="E1388" s="105"/>
      <c r="F1388" s="110" t="b">
        <v>0</v>
      </c>
      <c r="G1388" s="105" t="str">
        <f>IF(F1388=True, IFERROR(VLOOKUP(D1388, Repository!A:B, 2, 0), ""), "")</f>
        <v/>
      </c>
      <c r="H1388" s="105"/>
      <c r="I1388" s="105"/>
      <c r="J1388" s="105" t="str">
        <f>IF(F1388=True, IFERROR(VLOOKUP(D1388, Repository!A:C, 3, 0), ""), "")</f>
        <v/>
      </c>
      <c r="K1388" s="105"/>
      <c r="L1388" s="105" t="str">
        <f>IF(F1388=True, IFERROR(VLOOKUP(D1388, Repository!A:E, 5, 0), ""), "")</f>
        <v/>
      </c>
      <c r="M1388" s="105"/>
      <c r="N1388" s="105" t="str">
        <f>IF(F1388=True, IFERROR(VLOOKUP(D1388, Repository!A:G, 7, 0), ""), "")</f>
        <v/>
      </c>
      <c r="O1388" s="105" t="str">
        <f>IFERROR(__xludf.DUMMYFUNCTION("ARRAY_CONSTRAIN(
  ARRAYFORMULA(
    IFERROR(
      LET(
        list, N1388,
        arr, TRIM(SPLIT(list, "","")),
        names, XLOOKUP(
          arr,
          'Conformance Score'!A:A,
          'Conformance Score'!B:B,
          ""Not found""
     "&amp;"   ),
        TEXTJOIN("", "", TRUE, names)
      ),
      """"
    )
  ),
  1,
  1
)
"),"")</f>
        <v/>
      </c>
      <c r="P1388" s="105" t="str">
        <f>IF(F1388="Yes", IFERROR(VLOOKUP(D1388, Repository!A:F, 6, 0), ""), "")</f>
        <v/>
      </c>
      <c r="Q1388" s="105" t="str">
        <f>IF(F1388="Yes", IFERROR(VLOOKUP(D1388, Repository!A:I, 8, 0), ""), "")</f>
        <v/>
      </c>
      <c r="R1388" s="105" t="str">
        <f>IF(F1388="Yes", IFERROR(VLOOKUP(D1388, Repository!A:J, 9, 0), ""), "")</f>
        <v/>
      </c>
      <c r="S1388" s="105"/>
      <c r="T1388" s="105"/>
      <c r="U1388" s="105"/>
      <c r="V1388" s="105"/>
      <c r="W1388" s="105"/>
      <c r="X1388" s="105"/>
      <c r="Y1388" s="105"/>
      <c r="Z1388" s="105"/>
      <c r="AA1388" s="105"/>
      <c r="AB1388" s="105"/>
      <c r="AC1388" s="91"/>
      <c r="AD1388" s="105"/>
      <c r="AE1388" s="105"/>
      <c r="AF1388" s="91"/>
      <c r="AG1388" s="105"/>
      <c r="AH1388" s="105"/>
      <c r="AI1388" s="105" t="str">
        <f t="shared" si="1"/>
        <v/>
      </c>
      <c r="AJ1388" s="108" t="str">
        <f t="shared" si="2"/>
        <v/>
      </c>
    </row>
    <row r="1389" ht="15.75" customHeight="1">
      <c r="A1389" s="104"/>
      <c r="B1389" s="105" t="str">
        <f>IFERROR(__xludf.DUMMYFUNCTION("ARRAY_CONSTRAIN(
  ARRAYFORMULA(
    IF(
      'Final Report'!A1389="""",
      """",
      TEXTJOIN(
        "", "" &amp; CHAR(10),
        TRUE,
        IFERROR(
          VLOOKUP(
            TRIM(
              SPLIT('Final Report'!A1389, "","")
         "&amp;"   ),
            'URL Details'!A:B,
            2,
            FALSE
          ),
          """"
        )
      )
    )
  ),
  1,
  1
)
"),"")</f>
        <v/>
      </c>
      <c r="C1389" s="105" t="str">
        <f>IFERROR(__xludf.DUMMYFUNCTION("IFERROR(IF('Final Report'!A1389="""","""", TEXTJOIN(CHAR(10), TRUE, ARRAYFORMULA( ""• ""&amp; FILTER( TRIM(FLATTEN(SPLIT( REGEXREPLACE( SUBSTITUTE(TEXTJOIN("","", TRUE, IFERROR(ARRAYFORMULA(VLOOKUP(TRIM(SPLIT('Final Report'!A1389, "","")), 'URL Details'!A:D, "&amp;"4, FALSE)),"""") ), CHAR(10), "",""), ""\s*,\s*"", "",""), "",""))), TRIM(FLATTEN(SPLIT( REGEXREPLACE( SUBSTITUTE(TEXTJOIN("","", TRUE, IFERROR(ARRAYFORMULA(VLOOKUP(TRIM(SPLIT('Final Report'!A1389, "","")), 'URL Details'!A:D, 4, FALSE)),"""") ), CHAR(10),"&amp;" "",""), ""\s*,\s*"", "",""), "","")))&lt;&gt;"""" ) ) ) ),"""")
"),"")</f>
        <v/>
      </c>
      <c r="D1389" s="105"/>
      <c r="E1389" s="105"/>
      <c r="F1389" s="110" t="b">
        <v>0</v>
      </c>
      <c r="G1389" s="105" t="str">
        <f>IF(F1389=True, IFERROR(VLOOKUP(D1389, Repository!A:B, 2, 0), ""), "")</f>
        <v/>
      </c>
      <c r="H1389" s="105"/>
      <c r="I1389" s="105"/>
      <c r="J1389" s="105" t="str">
        <f>IF(F1389=True, IFERROR(VLOOKUP(D1389, Repository!A:C, 3, 0), ""), "")</f>
        <v/>
      </c>
      <c r="K1389" s="105"/>
      <c r="L1389" s="105" t="str">
        <f>IF(F1389=True, IFERROR(VLOOKUP(D1389, Repository!A:E, 5, 0), ""), "")</f>
        <v/>
      </c>
      <c r="M1389" s="105"/>
      <c r="N1389" s="105" t="str">
        <f>IF(F1389=True, IFERROR(VLOOKUP(D1389, Repository!A:G, 7, 0), ""), "")</f>
        <v/>
      </c>
      <c r="O1389" s="105" t="str">
        <f>IFERROR(__xludf.DUMMYFUNCTION("ARRAY_CONSTRAIN(
  ARRAYFORMULA(
    IFERROR(
      LET(
        list, N1389,
        arr, TRIM(SPLIT(list, "","")),
        names, XLOOKUP(
          arr,
          'Conformance Score'!A:A,
          'Conformance Score'!B:B,
          ""Not found""
     "&amp;"   ),
        TEXTJOIN("", "", TRUE, names)
      ),
      """"
    )
  ),
  1,
  1
)
"),"")</f>
        <v/>
      </c>
      <c r="P1389" s="105" t="str">
        <f>IF(F1389="Yes", IFERROR(VLOOKUP(D1389, Repository!A:F, 6, 0), ""), "")</f>
        <v/>
      </c>
      <c r="Q1389" s="105" t="str">
        <f>IF(F1389="Yes", IFERROR(VLOOKUP(D1389, Repository!A:I, 8, 0), ""), "")</f>
        <v/>
      </c>
      <c r="R1389" s="105" t="str">
        <f>IF(F1389="Yes", IFERROR(VLOOKUP(D1389, Repository!A:J, 9, 0), ""), "")</f>
        <v/>
      </c>
      <c r="S1389" s="105"/>
      <c r="T1389" s="105"/>
      <c r="U1389" s="105"/>
      <c r="V1389" s="105"/>
      <c r="W1389" s="105"/>
      <c r="X1389" s="105"/>
      <c r="Y1389" s="105"/>
      <c r="Z1389" s="105"/>
      <c r="AA1389" s="105"/>
      <c r="AB1389" s="105"/>
      <c r="AC1389" s="91"/>
      <c r="AD1389" s="105"/>
      <c r="AE1389" s="105"/>
      <c r="AF1389" s="91"/>
      <c r="AG1389" s="105"/>
      <c r="AH1389" s="105"/>
      <c r="AI1389" s="105" t="str">
        <f t="shared" si="1"/>
        <v/>
      </c>
      <c r="AJ1389" s="108" t="str">
        <f t="shared" si="2"/>
        <v/>
      </c>
    </row>
    <row r="1390" ht="15.75" customHeight="1">
      <c r="A1390" s="104"/>
      <c r="B1390" s="105" t="str">
        <f>IFERROR(__xludf.DUMMYFUNCTION("ARRAY_CONSTRAIN(
  ARRAYFORMULA(
    IF(
      'Final Report'!A1390="""",
      """",
      TEXTJOIN(
        "", "" &amp; CHAR(10),
        TRUE,
        IFERROR(
          VLOOKUP(
            TRIM(
              SPLIT('Final Report'!A1390, "","")
         "&amp;"   ),
            'URL Details'!A:B,
            2,
            FALSE
          ),
          """"
        )
      )
    )
  ),
  1,
  1
)
"),"")</f>
        <v/>
      </c>
      <c r="C1390" s="105" t="str">
        <f>IFERROR(__xludf.DUMMYFUNCTION("IFERROR(IF('Final Report'!A1390="""","""", TEXTJOIN(CHAR(10), TRUE, ARRAYFORMULA( ""• ""&amp; FILTER( TRIM(FLATTEN(SPLIT( REGEXREPLACE( SUBSTITUTE(TEXTJOIN("","", TRUE, IFERROR(ARRAYFORMULA(VLOOKUP(TRIM(SPLIT('Final Report'!A1390, "","")), 'URL Details'!A:D, "&amp;"4, FALSE)),"""") ), CHAR(10), "",""), ""\s*,\s*"", "",""), "",""))), TRIM(FLATTEN(SPLIT( REGEXREPLACE( SUBSTITUTE(TEXTJOIN("","", TRUE, IFERROR(ARRAYFORMULA(VLOOKUP(TRIM(SPLIT('Final Report'!A1390, "","")), 'URL Details'!A:D, 4, FALSE)),"""") ), CHAR(10),"&amp;" "",""), ""\s*,\s*"", "",""), "","")))&lt;&gt;"""" ) ) ) ),"""")
"),"")</f>
        <v/>
      </c>
      <c r="D1390" s="105"/>
      <c r="E1390" s="105"/>
      <c r="F1390" s="110" t="b">
        <v>0</v>
      </c>
      <c r="G1390" s="105" t="str">
        <f>IF(F1390=True, IFERROR(VLOOKUP(D1390, Repository!A:B, 2, 0), ""), "")</f>
        <v/>
      </c>
      <c r="H1390" s="105"/>
      <c r="I1390" s="105"/>
      <c r="J1390" s="105" t="str">
        <f>IF(F1390=True, IFERROR(VLOOKUP(D1390, Repository!A:C, 3, 0), ""), "")</f>
        <v/>
      </c>
      <c r="K1390" s="105"/>
      <c r="L1390" s="105" t="str">
        <f>IF(F1390=True, IFERROR(VLOOKUP(D1390, Repository!A:E, 5, 0), ""), "")</f>
        <v/>
      </c>
      <c r="M1390" s="105"/>
      <c r="N1390" s="105" t="str">
        <f>IF(F1390=True, IFERROR(VLOOKUP(D1390, Repository!A:G, 7, 0), ""), "")</f>
        <v/>
      </c>
      <c r="O1390" s="105" t="str">
        <f>IFERROR(__xludf.DUMMYFUNCTION("ARRAY_CONSTRAIN(
  ARRAYFORMULA(
    IFERROR(
      LET(
        list, N1390,
        arr, TRIM(SPLIT(list, "","")),
        names, XLOOKUP(
          arr,
          'Conformance Score'!A:A,
          'Conformance Score'!B:B,
          ""Not found""
     "&amp;"   ),
        TEXTJOIN("", "", TRUE, names)
      ),
      """"
    )
  ),
  1,
  1
)
"),"")</f>
        <v/>
      </c>
      <c r="P1390" s="105" t="str">
        <f>IF(F1390="Yes", IFERROR(VLOOKUP(D1390, Repository!A:F, 6, 0), ""), "")</f>
        <v/>
      </c>
      <c r="Q1390" s="105" t="str">
        <f>IF(F1390="Yes", IFERROR(VLOOKUP(D1390, Repository!A:I, 8, 0), ""), "")</f>
        <v/>
      </c>
      <c r="R1390" s="105" t="str">
        <f>IF(F1390="Yes", IFERROR(VLOOKUP(D1390, Repository!A:J, 9, 0), ""), "")</f>
        <v/>
      </c>
      <c r="S1390" s="105"/>
      <c r="T1390" s="105"/>
      <c r="U1390" s="105"/>
      <c r="V1390" s="105"/>
      <c r="W1390" s="105"/>
      <c r="X1390" s="105"/>
      <c r="Y1390" s="105"/>
      <c r="Z1390" s="105"/>
      <c r="AA1390" s="105"/>
      <c r="AB1390" s="105"/>
      <c r="AC1390" s="91"/>
      <c r="AD1390" s="105"/>
      <c r="AE1390" s="105"/>
      <c r="AF1390" s="91"/>
      <c r="AG1390" s="105"/>
      <c r="AH1390" s="105"/>
      <c r="AI1390" s="105" t="str">
        <f t="shared" si="1"/>
        <v/>
      </c>
      <c r="AJ1390" s="108" t="str">
        <f t="shared" si="2"/>
        <v/>
      </c>
    </row>
    <row r="1391" ht="15.75" customHeight="1">
      <c r="A1391" s="104"/>
      <c r="B1391" s="105" t="str">
        <f>IFERROR(__xludf.DUMMYFUNCTION("ARRAY_CONSTRAIN(
  ARRAYFORMULA(
    IF(
      'Final Report'!A1391="""",
      """",
      TEXTJOIN(
        "", "" &amp; CHAR(10),
        TRUE,
        IFERROR(
          VLOOKUP(
            TRIM(
              SPLIT('Final Report'!A1391, "","")
         "&amp;"   ),
            'URL Details'!A:B,
            2,
            FALSE
          ),
          """"
        )
      )
    )
  ),
  1,
  1
)
"),"")</f>
        <v/>
      </c>
      <c r="C1391" s="105" t="str">
        <f>IFERROR(__xludf.DUMMYFUNCTION("IFERROR(IF('Final Report'!A1391="""","""", TEXTJOIN(CHAR(10), TRUE, ARRAYFORMULA( ""• ""&amp; FILTER( TRIM(FLATTEN(SPLIT( REGEXREPLACE( SUBSTITUTE(TEXTJOIN("","", TRUE, IFERROR(ARRAYFORMULA(VLOOKUP(TRIM(SPLIT('Final Report'!A1391, "","")), 'URL Details'!A:D, "&amp;"4, FALSE)),"""") ), CHAR(10), "",""), ""\s*,\s*"", "",""), "",""))), TRIM(FLATTEN(SPLIT( REGEXREPLACE( SUBSTITUTE(TEXTJOIN("","", TRUE, IFERROR(ARRAYFORMULA(VLOOKUP(TRIM(SPLIT('Final Report'!A1391, "","")), 'URL Details'!A:D, 4, FALSE)),"""") ), CHAR(10),"&amp;" "",""), ""\s*,\s*"", "",""), "","")))&lt;&gt;"""" ) ) ) ),"""")
"),"")</f>
        <v/>
      </c>
      <c r="D1391" s="105"/>
      <c r="E1391" s="105"/>
      <c r="F1391" s="110" t="b">
        <v>0</v>
      </c>
      <c r="G1391" s="105" t="str">
        <f>IF(F1391=True, IFERROR(VLOOKUP(D1391, Repository!A:B, 2, 0), ""), "")</f>
        <v/>
      </c>
      <c r="H1391" s="105"/>
      <c r="I1391" s="105"/>
      <c r="J1391" s="105" t="str">
        <f>IF(F1391=True, IFERROR(VLOOKUP(D1391, Repository!A:C, 3, 0), ""), "")</f>
        <v/>
      </c>
      <c r="K1391" s="105"/>
      <c r="L1391" s="105" t="str">
        <f>IF(F1391=True, IFERROR(VLOOKUP(D1391, Repository!A:E, 5, 0), ""), "")</f>
        <v/>
      </c>
      <c r="M1391" s="105"/>
      <c r="N1391" s="105" t="str">
        <f>IF(F1391=True, IFERROR(VLOOKUP(D1391, Repository!A:G, 7, 0), ""), "")</f>
        <v/>
      </c>
      <c r="O1391" s="105" t="str">
        <f>IFERROR(__xludf.DUMMYFUNCTION("ARRAY_CONSTRAIN(
  ARRAYFORMULA(
    IFERROR(
      LET(
        list, N1391,
        arr, TRIM(SPLIT(list, "","")),
        names, XLOOKUP(
          arr,
          'Conformance Score'!A:A,
          'Conformance Score'!B:B,
          ""Not found""
     "&amp;"   ),
        TEXTJOIN("", "", TRUE, names)
      ),
      """"
    )
  ),
  1,
  1
)
"),"")</f>
        <v/>
      </c>
      <c r="P1391" s="105" t="str">
        <f>IF(F1391="Yes", IFERROR(VLOOKUP(D1391, Repository!A:F, 6, 0), ""), "")</f>
        <v/>
      </c>
      <c r="Q1391" s="105" t="str">
        <f>IF(F1391="Yes", IFERROR(VLOOKUP(D1391, Repository!A:I, 8, 0), ""), "")</f>
        <v/>
      </c>
      <c r="R1391" s="105" t="str">
        <f>IF(F1391="Yes", IFERROR(VLOOKUP(D1391, Repository!A:J, 9, 0), ""), "")</f>
        <v/>
      </c>
      <c r="S1391" s="105"/>
      <c r="T1391" s="105"/>
      <c r="U1391" s="105"/>
      <c r="V1391" s="105"/>
      <c r="W1391" s="105"/>
      <c r="X1391" s="105"/>
      <c r="Y1391" s="105"/>
      <c r="Z1391" s="105"/>
      <c r="AA1391" s="105"/>
      <c r="AB1391" s="105"/>
      <c r="AC1391" s="91"/>
      <c r="AD1391" s="105"/>
      <c r="AE1391" s="105"/>
      <c r="AF1391" s="91"/>
      <c r="AG1391" s="105"/>
      <c r="AH1391" s="105"/>
      <c r="AI1391" s="105" t="str">
        <f t="shared" si="1"/>
        <v/>
      </c>
      <c r="AJ1391" s="108" t="str">
        <f t="shared" si="2"/>
        <v/>
      </c>
    </row>
    <row r="1392" ht="15.75" customHeight="1">
      <c r="A1392" s="104"/>
      <c r="B1392" s="105" t="str">
        <f>IFERROR(__xludf.DUMMYFUNCTION("ARRAY_CONSTRAIN(
  ARRAYFORMULA(
    IF(
      'Final Report'!A1392="""",
      """",
      TEXTJOIN(
        "", "" &amp; CHAR(10),
        TRUE,
        IFERROR(
          VLOOKUP(
            TRIM(
              SPLIT('Final Report'!A1392, "","")
         "&amp;"   ),
            'URL Details'!A:B,
            2,
            FALSE
          ),
          """"
        )
      )
    )
  ),
  1,
  1
)
"),"")</f>
        <v/>
      </c>
      <c r="C1392" s="105" t="str">
        <f>IFERROR(__xludf.DUMMYFUNCTION("IFERROR(IF('Final Report'!A1392="""","""", TEXTJOIN(CHAR(10), TRUE, ARRAYFORMULA( ""• ""&amp; FILTER( TRIM(FLATTEN(SPLIT( REGEXREPLACE( SUBSTITUTE(TEXTJOIN("","", TRUE, IFERROR(ARRAYFORMULA(VLOOKUP(TRIM(SPLIT('Final Report'!A1392, "","")), 'URL Details'!A:D, "&amp;"4, FALSE)),"""") ), CHAR(10), "",""), ""\s*,\s*"", "",""), "",""))), TRIM(FLATTEN(SPLIT( REGEXREPLACE( SUBSTITUTE(TEXTJOIN("","", TRUE, IFERROR(ARRAYFORMULA(VLOOKUP(TRIM(SPLIT('Final Report'!A1392, "","")), 'URL Details'!A:D, 4, FALSE)),"""") ), CHAR(10),"&amp;" "",""), ""\s*,\s*"", "",""), "","")))&lt;&gt;"""" ) ) ) ),"""")
"),"")</f>
        <v/>
      </c>
      <c r="D1392" s="105"/>
      <c r="E1392" s="105"/>
      <c r="F1392" s="110" t="b">
        <v>0</v>
      </c>
      <c r="G1392" s="105" t="str">
        <f>IF(F1392=True, IFERROR(VLOOKUP(D1392, Repository!A:B, 2, 0), ""), "")</f>
        <v/>
      </c>
      <c r="H1392" s="105"/>
      <c r="I1392" s="105"/>
      <c r="J1392" s="105" t="str">
        <f>IF(F1392=True, IFERROR(VLOOKUP(D1392, Repository!A:C, 3, 0), ""), "")</f>
        <v/>
      </c>
      <c r="K1392" s="105"/>
      <c r="L1392" s="105" t="str">
        <f>IF(F1392=True, IFERROR(VLOOKUP(D1392, Repository!A:E, 5, 0), ""), "")</f>
        <v/>
      </c>
      <c r="M1392" s="105"/>
      <c r="N1392" s="105" t="str">
        <f>IF(F1392=True, IFERROR(VLOOKUP(D1392, Repository!A:G, 7, 0), ""), "")</f>
        <v/>
      </c>
      <c r="O1392" s="105" t="str">
        <f>IFERROR(__xludf.DUMMYFUNCTION("ARRAY_CONSTRAIN(
  ARRAYFORMULA(
    IFERROR(
      LET(
        list, N1392,
        arr, TRIM(SPLIT(list, "","")),
        names, XLOOKUP(
          arr,
          'Conformance Score'!A:A,
          'Conformance Score'!B:B,
          ""Not found""
     "&amp;"   ),
        TEXTJOIN("", "", TRUE, names)
      ),
      """"
    )
  ),
  1,
  1
)
"),"")</f>
        <v/>
      </c>
      <c r="P1392" s="105" t="str">
        <f>IF(F1392="Yes", IFERROR(VLOOKUP(D1392, Repository!A:F, 6, 0), ""), "")</f>
        <v/>
      </c>
      <c r="Q1392" s="105" t="str">
        <f>IF(F1392="Yes", IFERROR(VLOOKUP(D1392, Repository!A:I, 8, 0), ""), "")</f>
        <v/>
      </c>
      <c r="R1392" s="105" t="str">
        <f>IF(F1392="Yes", IFERROR(VLOOKUP(D1392, Repository!A:J, 9, 0), ""), "")</f>
        <v/>
      </c>
      <c r="S1392" s="105"/>
      <c r="T1392" s="105"/>
      <c r="U1392" s="105"/>
      <c r="V1392" s="105"/>
      <c r="W1392" s="105"/>
      <c r="X1392" s="105"/>
      <c r="Y1392" s="105"/>
      <c r="Z1392" s="105"/>
      <c r="AA1392" s="105"/>
      <c r="AB1392" s="105"/>
      <c r="AC1392" s="91"/>
      <c r="AD1392" s="105"/>
      <c r="AE1392" s="105"/>
      <c r="AF1392" s="91"/>
      <c r="AG1392" s="105"/>
      <c r="AH1392" s="105"/>
      <c r="AI1392" s="105" t="str">
        <f t="shared" si="1"/>
        <v/>
      </c>
      <c r="AJ1392" s="108" t="str">
        <f t="shared" si="2"/>
        <v/>
      </c>
    </row>
    <row r="1393" ht="15.75" customHeight="1">
      <c r="A1393" s="104"/>
      <c r="B1393" s="105" t="str">
        <f>IFERROR(__xludf.DUMMYFUNCTION("ARRAY_CONSTRAIN(
  ARRAYFORMULA(
    IF(
      'Final Report'!A1393="""",
      """",
      TEXTJOIN(
        "", "" &amp; CHAR(10),
        TRUE,
        IFERROR(
          VLOOKUP(
            TRIM(
              SPLIT('Final Report'!A1393, "","")
         "&amp;"   ),
            'URL Details'!A:B,
            2,
            FALSE
          ),
          """"
        )
      )
    )
  ),
  1,
  1
)
"),"")</f>
        <v/>
      </c>
      <c r="C1393" s="105" t="str">
        <f>IFERROR(__xludf.DUMMYFUNCTION("IFERROR(IF('Final Report'!A1393="""","""", TEXTJOIN(CHAR(10), TRUE, ARRAYFORMULA( ""• ""&amp; FILTER( TRIM(FLATTEN(SPLIT( REGEXREPLACE( SUBSTITUTE(TEXTJOIN("","", TRUE, IFERROR(ARRAYFORMULA(VLOOKUP(TRIM(SPLIT('Final Report'!A1393, "","")), 'URL Details'!A:D, "&amp;"4, FALSE)),"""") ), CHAR(10), "",""), ""\s*,\s*"", "",""), "",""))), TRIM(FLATTEN(SPLIT( REGEXREPLACE( SUBSTITUTE(TEXTJOIN("","", TRUE, IFERROR(ARRAYFORMULA(VLOOKUP(TRIM(SPLIT('Final Report'!A1393, "","")), 'URL Details'!A:D, 4, FALSE)),"""") ), CHAR(10),"&amp;" "",""), ""\s*,\s*"", "",""), "","")))&lt;&gt;"""" ) ) ) ),"""")
"),"")</f>
        <v/>
      </c>
      <c r="D1393" s="105"/>
      <c r="E1393" s="105"/>
      <c r="F1393" s="110" t="b">
        <v>0</v>
      </c>
      <c r="G1393" s="105" t="str">
        <f>IF(F1393=True, IFERROR(VLOOKUP(D1393, Repository!A:B, 2, 0), ""), "")</f>
        <v/>
      </c>
      <c r="H1393" s="105"/>
      <c r="I1393" s="105"/>
      <c r="J1393" s="105" t="str">
        <f>IF(F1393=True, IFERROR(VLOOKUP(D1393, Repository!A:C, 3, 0), ""), "")</f>
        <v/>
      </c>
      <c r="K1393" s="105"/>
      <c r="L1393" s="105" t="str">
        <f>IF(F1393=True, IFERROR(VLOOKUP(D1393, Repository!A:E, 5, 0), ""), "")</f>
        <v/>
      </c>
      <c r="M1393" s="105"/>
      <c r="N1393" s="105" t="str">
        <f>IF(F1393=True, IFERROR(VLOOKUP(D1393, Repository!A:G, 7, 0), ""), "")</f>
        <v/>
      </c>
      <c r="O1393" s="105" t="str">
        <f>IFERROR(__xludf.DUMMYFUNCTION("ARRAY_CONSTRAIN(
  ARRAYFORMULA(
    IFERROR(
      LET(
        list, N1393,
        arr, TRIM(SPLIT(list, "","")),
        names, XLOOKUP(
          arr,
          'Conformance Score'!A:A,
          'Conformance Score'!B:B,
          ""Not found""
     "&amp;"   ),
        TEXTJOIN("", "", TRUE, names)
      ),
      """"
    )
  ),
  1,
  1
)
"),"")</f>
        <v/>
      </c>
      <c r="P1393" s="105" t="str">
        <f>IF(F1393="Yes", IFERROR(VLOOKUP(D1393, Repository!A:F, 6, 0), ""), "")</f>
        <v/>
      </c>
      <c r="Q1393" s="105" t="str">
        <f>IF(F1393="Yes", IFERROR(VLOOKUP(D1393, Repository!A:I, 8, 0), ""), "")</f>
        <v/>
      </c>
      <c r="R1393" s="105" t="str">
        <f>IF(F1393="Yes", IFERROR(VLOOKUP(D1393, Repository!A:J, 9, 0), ""), "")</f>
        <v/>
      </c>
      <c r="S1393" s="105"/>
      <c r="T1393" s="105"/>
      <c r="U1393" s="105"/>
      <c r="V1393" s="105"/>
      <c r="W1393" s="105"/>
      <c r="X1393" s="105"/>
      <c r="Y1393" s="105"/>
      <c r="Z1393" s="105"/>
      <c r="AA1393" s="105"/>
      <c r="AB1393" s="105"/>
      <c r="AC1393" s="91"/>
      <c r="AD1393" s="105"/>
      <c r="AE1393" s="105"/>
      <c r="AF1393" s="91"/>
      <c r="AG1393" s="105"/>
      <c r="AH1393" s="105"/>
      <c r="AI1393" s="105" t="str">
        <f t="shared" si="1"/>
        <v/>
      </c>
      <c r="AJ1393" s="108" t="str">
        <f t="shared" si="2"/>
        <v/>
      </c>
    </row>
    <row r="1394" ht="15.75" customHeight="1">
      <c r="A1394" s="104"/>
      <c r="B1394" s="105" t="str">
        <f>IFERROR(__xludf.DUMMYFUNCTION("ARRAY_CONSTRAIN(
  ARRAYFORMULA(
    IF(
      'Final Report'!A1394="""",
      """",
      TEXTJOIN(
        "", "" &amp; CHAR(10),
        TRUE,
        IFERROR(
          VLOOKUP(
            TRIM(
              SPLIT('Final Report'!A1394, "","")
         "&amp;"   ),
            'URL Details'!A:B,
            2,
            FALSE
          ),
          """"
        )
      )
    )
  ),
  1,
  1
)
"),"")</f>
        <v/>
      </c>
      <c r="C1394" s="105" t="str">
        <f>IFERROR(__xludf.DUMMYFUNCTION("IFERROR(IF('Final Report'!A1394="""","""", TEXTJOIN(CHAR(10), TRUE, ARRAYFORMULA( ""• ""&amp; FILTER( TRIM(FLATTEN(SPLIT( REGEXREPLACE( SUBSTITUTE(TEXTJOIN("","", TRUE, IFERROR(ARRAYFORMULA(VLOOKUP(TRIM(SPLIT('Final Report'!A1394, "","")), 'URL Details'!A:D, "&amp;"4, FALSE)),"""") ), CHAR(10), "",""), ""\s*,\s*"", "",""), "",""))), TRIM(FLATTEN(SPLIT( REGEXREPLACE( SUBSTITUTE(TEXTJOIN("","", TRUE, IFERROR(ARRAYFORMULA(VLOOKUP(TRIM(SPLIT('Final Report'!A1394, "","")), 'URL Details'!A:D, 4, FALSE)),"""") ), CHAR(10),"&amp;" "",""), ""\s*,\s*"", "",""), "","")))&lt;&gt;"""" ) ) ) ),"""")
"),"")</f>
        <v/>
      </c>
      <c r="D1394" s="105"/>
      <c r="E1394" s="105"/>
      <c r="F1394" s="110" t="b">
        <v>0</v>
      </c>
      <c r="G1394" s="105" t="str">
        <f>IF(F1394=True, IFERROR(VLOOKUP(D1394, Repository!A:B, 2, 0), ""), "")</f>
        <v/>
      </c>
      <c r="H1394" s="105"/>
      <c r="I1394" s="105"/>
      <c r="J1394" s="105" t="str">
        <f>IF(F1394=True, IFERROR(VLOOKUP(D1394, Repository!A:C, 3, 0), ""), "")</f>
        <v/>
      </c>
      <c r="K1394" s="105"/>
      <c r="L1394" s="105" t="str">
        <f>IF(F1394=True, IFERROR(VLOOKUP(D1394, Repository!A:E, 5, 0), ""), "")</f>
        <v/>
      </c>
      <c r="M1394" s="105"/>
      <c r="N1394" s="105" t="str">
        <f>IF(F1394=True, IFERROR(VLOOKUP(D1394, Repository!A:G, 7, 0), ""), "")</f>
        <v/>
      </c>
      <c r="O1394" s="105" t="str">
        <f>IFERROR(__xludf.DUMMYFUNCTION("ARRAY_CONSTRAIN(
  ARRAYFORMULA(
    IFERROR(
      LET(
        list, N1394,
        arr, TRIM(SPLIT(list, "","")),
        names, XLOOKUP(
          arr,
          'Conformance Score'!A:A,
          'Conformance Score'!B:B,
          ""Not found""
     "&amp;"   ),
        TEXTJOIN("", "", TRUE, names)
      ),
      """"
    )
  ),
  1,
  1
)
"),"")</f>
        <v/>
      </c>
      <c r="P1394" s="105" t="str">
        <f>IF(F1394="Yes", IFERROR(VLOOKUP(D1394, Repository!A:F, 6, 0), ""), "")</f>
        <v/>
      </c>
      <c r="Q1394" s="105" t="str">
        <f>IF(F1394="Yes", IFERROR(VLOOKUP(D1394, Repository!A:I, 8, 0), ""), "")</f>
        <v/>
      </c>
      <c r="R1394" s="105" t="str">
        <f>IF(F1394="Yes", IFERROR(VLOOKUP(D1394, Repository!A:J, 9, 0), ""), "")</f>
        <v/>
      </c>
      <c r="S1394" s="105"/>
      <c r="T1394" s="105"/>
      <c r="U1394" s="105"/>
      <c r="V1394" s="105"/>
      <c r="W1394" s="105"/>
      <c r="X1394" s="105"/>
      <c r="Y1394" s="105"/>
      <c r="Z1394" s="105"/>
      <c r="AA1394" s="105"/>
      <c r="AB1394" s="105"/>
      <c r="AC1394" s="91"/>
      <c r="AD1394" s="105"/>
      <c r="AE1394" s="105"/>
      <c r="AF1394" s="91"/>
      <c r="AG1394" s="105"/>
      <c r="AH1394" s="105"/>
      <c r="AI1394" s="105" t="str">
        <f t="shared" si="1"/>
        <v/>
      </c>
      <c r="AJ1394" s="108" t="str">
        <f t="shared" si="2"/>
        <v/>
      </c>
    </row>
    <row r="1395" ht="15.75" customHeight="1">
      <c r="A1395" s="104"/>
      <c r="B1395" s="105" t="str">
        <f>IFERROR(__xludf.DUMMYFUNCTION("ARRAY_CONSTRAIN(
  ARRAYFORMULA(
    IF(
      'Final Report'!A1395="""",
      """",
      TEXTJOIN(
        "", "" &amp; CHAR(10),
        TRUE,
        IFERROR(
          VLOOKUP(
            TRIM(
              SPLIT('Final Report'!A1395, "","")
         "&amp;"   ),
            'URL Details'!A:B,
            2,
            FALSE
          ),
          """"
        )
      )
    )
  ),
  1,
  1
)
"),"")</f>
        <v/>
      </c>
      <c r="C1395" s="105" t="str">
        <f>IFERROR(__xludf.DUMMYFUNCTION("IFERROR(IF('Final Report'!A1395="""","""", TEXTJOIN(CHAR(10), TRUE, ARRAYFORMULA( ""• ""&amp; FILTER( TRIM(FLATTEN(SPLIT( REGEXREPLACE( SUBSTITUTE(TEXTJOIN("","", TRUE, IFERROR(ARRAYFORMULA(VLOOKUP(TRIM(SPLIT('Final Report'!A1395, "","")), 'URL Details'!A:D, "&amp;"4, FALSE)),"""") ), CHAR(10), "",""), ""\s*,\s*"", "",""), "",""))), TRIM(FLATTEN(SPLIT( REGEXREPLACE( SUBSTITUTE(TEXTJOIN("","", TRUE, IFERROR(ARRAYFORMULA(VLOOKUP(TRIM(SPLIT('Final Report'!A1395, "","")), 'URL Details'!A:D, 4, FALSE)),"""") ), CHAR(10),"&amp;" "",""), ""\s*,\s*"", "",""), "","")))&lt;&gt;"""" ) ) ) ),"""")
"),"")</f>
        <v/>
      </c>
      <c r="D1395" s="105"/>
      <c r="E1395" s="105"/>
      <c r="F1395" s="110" t="b">
        <v>0</v>
      </c>
      <c r="G1395" s="105" t="str">
        <f>IF(F1395=True, IFERROR(VLOOKUP(D1395, Repository!A:B, 2, 0), ""), "")</f>
        <v/>
      </c>
      <c r="H1395" s="105"/>
      <c r="I1395" s="105"/>
      <c r="J1395" s="105" t="str">
        <f>IF(F1395=True, IFERROR(VLOOKUP(D1395, Repository!A:C, 3, 0), ""), "")</f>
        <v/>
      </c>
      <c r="K1395" s="105"/>
      <c r="L1395" s="105" t="str">
        <f>IF(F1395=True, IFERROR(VLOOKUP(D1395, Repository!A:E, 5, 0), ""), "")</f>
        <v/>
      </c>
      <c r="M1395" s="105"/>
      <c r="N1395" s="105" t="str">
        <f>IF(F1395=True, IFERROR(VLOOKUP(D1395, Repository!A:G, 7, 0), ""), "")</f>
        <v/>
      </c>
      <c r="O1395" s="105" t="str">
        <f>IFERROR(__xludf.DUMMYFUNCTION("ARRAY_CONSTRAIN(
  ARRAYFORMULA(
    IFERROR(
      LET(
        list, N1395,
        arr, TRIM(SPLIT(list, "","")),
        names, XLOOKUP(
          arr,
          'Conformance Score'!A:A,
          'Conformance Score'!B:B,
          ""Not found""
     "&amp;"   ),
        TEXTJOIN("", "", TRUE, names)
      ),
      """"
    )
  ),
  1,
  1
)
"),"")</f>
        <v/>
      </c>
      <c r="P1395" s="105" t="str">
        <f>IF(F1395="Yes", IFERROR(VLOOKUP(D1395, Repository!A:F, 6, 0), ""), "")</f>
        <v/>
      </c>
      <c r="Q1395" s="105" t="str">
        <f>IF(F1395="Yes", IFERROR(VLOOKUP(D1395, Repository!A:I, 8, 0), ""), "")</f>
        <v/>
      </c>
      <c r="R1395" s="105" t="str">
        <f>IF(F1395="Yes", IFERROR(VLOOKUP(D1395, Repository!A:J, 9, 0), ""), "")</f>
        <v/>
      </c>
      <c r="S1395" s="105"/>
      <c r="T1395" s="105"/>
      <c r="U1395" s="105"/>
      <c r="V1395" s="105"/>
      <c r="W1395" s="105"/>
      <c r="X1395" s="105"/>
      <c r="Y1395" s="105"/>
      <c r="Z1395" s="105"/>
      <c r="AA1395" s="105"/>
      <c r="AB1395" s="105"/>
      <c r="AC1395" s="91"/>
      <c r="AD1395" s="105"/>
      <c r="AE1395" s="105"/>
      <c r="AF1395" s="91"/>
      <c r="AG1395" s="105"/>
      <c r="AH1395" s="105"/>
      <c r="AI1395" s="105" t="str">
        <f t="shared" si="1"/>
        <v/>
      </c>
      <c r="AJ1395" s="108" t="str">
        <f t="shared" si="2"/>
        <v/>
      </c>
    </row>
    <row r="1396" ht="15.75" customHeight="1">
      <c r="A1396" s="104"/>
      <c r="B1396" s="105" t="str">
        <f>IFERROR(__xludf.DUMMYFUNCTION("ARRAY_CONSTRAIN(
  ARRAYFORMULA(
    IF(
      'Final Report'!A1396="""",
      """",
      TEXTJOIN(
        "", "" &amp; CHAR(10),
        TRUE,
        IFERROR(
          VLOOKUP(
            TRIM(
              SPLIT('Final Report'!A1396, "","")
         "&amp;"   ),
            'URL Details'!A:B,
            2,
            FALSE
          ),
          """"
        )
      )
    )
  ),
  1,
  1
)
"),"")</f>
        <v/>
      </c>
      <c r="C1396" s="105" t="str">
        <f>IFERROR(__xludf.DUMMYFUNCTION("IFERROR(IF('Final Report'!A1396="""","""", TEXTJOIN(CHAR(10), TRUE, ARRAYFORMULA( ""• ""&amp; FILTER( TRIM(FLATTEN(SPLIT( REGEXREPLACE( SUBSTITUTE(TEXTJOIN("","", TRUE, IFERROR(ARRAYFORMULA(VLOOKUP(TRIM(SPLIT('Final Report'!A1396, "","")), 'URL Details'!A:D, "&amp;"4, FALSE)),"""") ), CHAR(10), "",""), ""\s*,\s*"", "",""), "",""))), TRIM(FLATTEN(SPLIT( REGEXREPLACE( SUBSTITUTE(TEXTJOIN("","", TRUE, IFERROR(ARRAYFORMULA(VLOOKUP(TRIM(SPLIT('Final Report'!A1396, "","")), 'URL Details'!A:D, 4, FALSE)),"""") ), CHAR(10),"&amp;" "",""), ""\s*,\s*"", "",""), "","")))&lt;&gt;"""" ) ) ) ),"""")
"),"")</f>
        <v/>
      </c>
      <c r="D1396" s="105"/>
      <c r="E1396" s="105"/>
      <c r="F1396" s="110" t="b">
        <v>0</v>
      </c>
      <c r="G1396" s="105" t="str">
        <f>IF(F1396=True, IFERROR(VLOOKUP(D1396, Repository!A:B, 2, 0), ""), "")</f>
        <v/>
      </c>
      <c r="H1396" s="105"/>
      <c r="I1396" s="105"/>
      <c r="J1396" s="105" t="str">
        <f>IF(F1396=True, IFERROR(VLOOKUP(D1396, Repository!A:C, 3, 0), ""), "")</f>
        <v/>
      </c>
      <c r="K1396" s="105"/>
      <c r="L1396" s="105" t="str">
        <f>IF(F1396=True, IFERROR(VLOOKUP(D1396, Repository!A:E, 5, 0), ""), "")</f>
        <v/>
      </c>
      <c r="M1396" s="105"/>
      <c r="N1396" s="105" t="str">
        <f>IF(F1396=True, IFERROR(VLOOKUP(D1396, Repository!A:G, 7, 0), ""), "")</f>
        <v/>
      </c>
      <c r="O1396" s="105" t="str">
        <f>IFERROR(__xludf.DUMMYFUNCTION("ARRAY_CONSTRAIN(
  ARRAYFORMULA(
    IFERROR(
      LET(
        list, N1396,
        arr, TRIM(SPLIT(list, "","")),
        names, XLOOKUP(
          arr,
          'Conformance Score'!A:A,
          'Conformance Score'!B:B,
          ""Not found""
     "&amp;"   ),
        TEXTJOIN("", "", TRUE, names)
      ),
      """"
    )
  ),
  1,
  1
)
"),"")</f>
        <v/>
      </c>
      <c r="P1396" s="105" t="str">
        <f>IF(F1396="Yes", IFERROR(VLOOKUP(D1396, Repository!A:F, 6, 0), ""), "")</f>
        <v/>
      </c>
      <c r="Q1396" s="105" t="str">
        <f>IF(F1396="Yes", IFERROR(VLOOKUP(D1396, Repository!A:I, 8, 0), ""), "")</f>
        <v/>
      </c>
      <c r="R1396" s="105" t="str">
        <f>IF(F1396="Yes", IFERROR(VLOOKUP(D1396, Repository!A:J, 9, 0), ""), "")</f>
        <v/>
      </c>
      <c r="S1396" s="105"/>
      <c r="T1396" s="105"/>
      <c r="U1396" s="105"/>
      <c r="V1396" s="105"/>
      <c r="W1396" s="105"/>
      <c r="X1396" s="105"/>
      <c r="Y1396" s="105"/>
      <c r="Z1396" s="105"/>
      <c r="AA1396" s="105"/>
      <c r="AB1396" s="105"/>
      <c r="AC1396" s="91"/>
      <c r="AD1396" s="105"/>
      <c r="AE1396" s="105"/>
      <c r="AF1396" s="91"/>
      <c r="AG1396" s="105"/>
      <c r="AH1396" s="105"/>
      <c r="AI1396" s="105" t="str">
        <f t="shared" si="1"/>
        <v/>
      </c>
      <c r="AJ1396" s="108" t="str">
        <f t="shared" si="2"/>
        <v/>
      </c>
    </row>
    <row r="1397" ht="15.75" customHeight="1">
      <c r="A1397" s="104"/>
      <c r="B1397" s="105" t="str">
        <f>IFERROR(__xludf.DUMMYFUNCTION("ARRAY_CONSTRAIN(
  ARRAYFORMULA(
    IF(
      'Final Report'!A1397="""",
      """",
      TEXTJOIN(
        "", "" &amp; CHAR(10),
        TRUE,
        IFERROR(
          VLOOKUP(
            TRIM(
              SPLIT('Final Report'!A1397, "","")
         "&amp;"   ),
            'URL Details'!A:B,
            2,
            FALSE
          ),
          """"
        )
      )
    )
  ),
  1,
  1
)
"),"")</f>
        <v/>
      </c>
      <c r="C1397" s="105" t="str">
        <f>IFERROR(__xludf.DUMMYFUNCTION("IFERROR(IF('Final Report'!A1397="""","""", TEXTJOIN(CHAR(10), TRUE, ARRAYFORMULA( ""• ""&amp; FILTER( TRIM(FLATTEN(SPLIT( REGEXREPLACE( SUBSTITUTE(TEXTJOIN("","", TRUE, IFERROR(ARRAYFORMULA(VLOOKUP(TRIM(SPLIT('Final Report'!A1397, "","")), 'URL Details'!A:D, "&amp;"4, FALSE)),"""") ), CHAR(10), "",""), ""\s*,\s*"", "",""), "",""))), TRIM(FLATTEN(SPLIT( REGEXREPLACE( SUBSTITUTE(TEXTJOIN("","", TRUE, IFERROR(ARRAYFORMULA(VLOOKUP(TRIM(SPLIT('Final Report'!A1397, "","")), 'URL Details'!A:D, 4, FALSE)),"""") ), CHAR(10),"&amp;" "",""), ""\s*,\s*"", "",""), "","")))&lt;&gt;"""" ) ) ) ),"""")
"),"")</f>
        <v/>
      </c>
      <c r="D1397" s="105"/>
      <c r="E1397" s="105"/>
      <c r="F1397" s="110" t="b">
        <v>0</v>
      </c>
      <c r="G1397" s="105" t="str">
        <f>IF(F1397=True, IFERROR(VLOOKUP(D1397, Repository!A:B, 2, 0), ""), "")</f>
        <v/>
      </c>
      <c r="H1397" s="105"/>
      <c r="I1397" s="105"/>
      <c r="J1397" s="105" t="str">
        <f>IF(F1397=True, IFERROR(VLOOKUP(D1397, Repository!A:C, 3, 0), ""), "")</f>
        <v/>
      </c>
      <c r="K1397" s="105"/>
      <c r="L1397" s="105" t="str">
        <f>IF(F1397=True, IFERROR(VLOOKUP(D1397, Repository!A:E, 5, 0), ""), "")</f>
        <v/>
      </c>
      <c r="M1397" s="105"/>
      <c r="N1397" s="105" t="str">
        <f>IF(F1397=True, IFERROR(VLOOKUP(D1397, Repository!A:G, 7, 0), ""), "")</f>
        <v/>
      </c>
      <c r="O1397" s="105" t="str">
        <f>IFERROR(__xludf.DUMMYFUNCTION("ARRAY_CONSTRAIN(
  ARRAYFORMULA(
    IFERROR(
      LET(
        list, N1397,
        arr, TRIM(SPLIT(list, "","")),
        names, XLOOKUP(
          arr,
          'Conformance Score'!A:A,
          'Conformance Score'!B:B,
          ""Not found""
     "&amp;"   ),
        TEXTJOIN("", "", TRUE, names)
      ),
      """"
    )
  ),
  1,
  1
)
"),"")</f>
        <v/>
      </c>
      <c r="P1397" s="105" t="str">
        <f>IF(F1397="Yes", IFERROR(VLOOKUP(D1397, Repository!A:F, 6, 0), ""), "")</f>
        <v/>
      </c>
      <c r="Q1397" s="105" t="str">
        <f>IF(F1397="Yes", IFERROR(VLOOKUP(D1397, Repository!A:I, 8, 0), ""), "")</f>
        <v/>
      </c>
      <c r="R1397" s="105" t="str">
        <f>IF(F1397="Yes", IFERROR(VLOOKUP(D1397, Repository!A:J, 9, 0), ""), "")</f>
        <v/>
      </c>
      <c r="S1397" s="105"/>
      <c r="T1397" s="105"/>
      <c r="U1397" s="105"/>
      <c r="V1397" s="105"/>
      <c r="W1397" s="105"/>
      <c r="X1397" s="105"/>
      <c r="Y1397" s="105"/>
      <c r="Z1397" s="105"/>
      <c r="AA1397" s="105"/>
      <c r="AB1397" s="105"/>
      <c r="AC1397" s="91"/>
      <c r="AD1397" s="105"/>
      <c r="AE1397" s="105"/>
      <c r="AF1397" s="91"/>
      <c r="AG1397" s="105"/>
      <c r="AH1397" s="105"/>
      <c r="AI1397" s="105" t="str">
        <f t="shared" si="1"/>
        <v/>
      </c>
      <c r="AJ1397" s="108" t="str">
        <f t="shared" si="2"/>
        <v/>
      </c>
    </row>
    <row r="1398" ht="15.75" customHeight="1">
      <c r="A1398" s="104"/>
      <c r="B1398" s="105" t="str">
        <f>IFERROR(__xludf.DUMMYFUNCTION("ARRAY_CONSTRAIN(
  ARRAYFORMULA(
    IF(
      'Final Report'!A1398="""",
      """",
      TEXTJOIN(
        "", "" &amp; CHAR(10),
        TRUE,
        IFERROR(
          VLOOKUP(
            TRIM(
              SPLIT('Final Report'!A1398, "","")
         "&amp;"   ),
            'URL Details'!A:B,
            2,
            FALSE
          ),
          """"
        )
      )
    )
  ),
  1,
  1
)
"),"")</f>
        <v/>
      </c>
      <c r="C1398" s="105" t="str">
        <f>IFERROR(__xludf.DUMMYFUNCTION("IFERROR(IF('Final Report'!A1398="""","""", TEXTJOIN(CHAR(10), TRUE, ARRAYFORMULA( ""• ""&amp; FILTER( TRIM(FLATTEN(SPLIT( REGEXREPLACE( SUBSTITUTE(TEXTJOIN("","", TRUE, IFERROR(ARRAYFORMULA(VLOOKUP(TRIM(SPLIT('Final Report'!A1398, "","")), 'URL Details'!A:D, "&amp;"4, FALSE)),"""") ), CHAR(10), "",""), ""\s*,\s*"", "",""), "",""))), TRIM(FLATTEN(SPLIT( REGEXREPLACE( SUBSTITUTE(TEXTJOIN("","", TRUE, IFERROR(ARRAYFORMULA(VLOOKUP(TRIM(SPLIT('Final Report'!A1398, "","")), 'URL Details'!A:D, 4, FALSE)),"""") ), CHAR(10),"&amp;" "",""), ""\s*,\s*"", "",""), "","")))&lt;&gt;"""" ) ) ) ),"""")
"),"")</f>
        <v/>
      </c>
      <c r="D1398" s="105"/>
      <c r="E1398" s="105"/>
      <c r="F1398" s="110" t="b">
        <v>0</v>
      </c>
      <c r="G1398" s="105" t="str">
        <f>IF(F1398=True, IFERROR(VLOOKUP(D1398, Repository!A:B, 2, 0), ""), "")</f>
        <v/>
      </c>
      <c r="H1398" s="105"/>
      <c r="I1398" s="105"/>
      <c r="J1398" s="105" t="str">
        <f>IF(F1398=True, IFERROR(VLOOKUP(D1398, Repository!A:C, 3, 0), ""), "")</f>
        <v/>
      </c>
      <c r="K1398" s="105"/>
      <c r="L1398" s="105" t="str">
        <f>IF(F1398=True, IFERROR(VLOOKUP(D1398, Repository!A:E, 5, 0), ""), "")</f>
        <v/>
      </c>
      <c r="M1398" s="105"/>
      <c r="N1398" s="105" t="str">
        <f>IF(F1398=True, IFERROR(VLOOKUP(D1398, Repository!A:G, 7, 0), ""), "")</f>
        <v/>
      </c>
      <c r="O1398" s="105" t="str">
        <f>IFERROR(__xludf.DUMMYFUNCTION("ARRAY_CONSTRAIN(
  ARRAYFORMULA(
    IFERROR(
      LET(
        list, N1398,
        arr, TRIM(SPLIT(list, "","")),
        names, XLOOKUP(
          arr,
          'Conformance Score'!A:A,
          'Conformance Score'!B:B,
          ""Not found""
     "&amp;"   ),
        TEXTJOIN("", "", TRUE, names)
      ),
      """"
    )
  ),
  1,
  1
)
"),"")</f>
        <v/>
      </c>
      <c r="P1398" s="105" t="str">
        <f>IF(F1398="Yes", IFERROR(VLOOKUP(D1398, Repository!A:F, 6, 0), ""), "")</f>
        <v/>
      </c>
      <c r="Q1398" s="105" t="str">
        <f>IF(F1398="Yes", IFERROR(VLOOKUP(D1398, Repository!A:I, 8, 0), ""), "")</f>
        <v/>
      </c>
      <c r="R1398" s="105" t="str">
        <f>IF(F1398="Yes", IFERROR(VLOOKUP(D1398, Repository!A:J, 9, 0), ""), "")</f>
        <v/>
      </c>
      <c r="S1398" s="105"/>
      <c r="T1398" s="105"/>
      <c r="U1398" s="105"/>
      <c r="V1398" s="105"/>
      <c r="W1398" s="105"/>
      <c r="X1398" s="105"/>
      <c r="Y1398" s="105"/>
      <c r="Z1398" s="105"/>
      <c r="AA1398" s="105"/>
      <c r="AB1398" s="105"/>
      <c r="AC1398" s="91"/>
      <c r="AD1398" s="105"/>
      <c r="AE1398" s="105"/>
      <c r="AF1398" s="91"/>
      <c r="AG1398" s="105"/>
      <c r="AH1398" s="105"/>
      <c r="AI1398" s="105" t="str">
        <f t="shared" si="1"/>
        <v/>
      </c>
      <c r="AJ1398" s="108" t="str">
        <f t="shared" si="2"/>
        <v/>
      </c>
    </row>
    <row r="1399" ht="15.75" customHeight="1">
      <c r="A1399" s="104"/>
      <c r="B1399" s="105" t="str">
        <f>IFERROR(__xludf.DUMMYFUNCTION("ARRAY_CONSTRAIN(
  ARRAYFORMULA(
    IF(
      'Final Report'!A1399="""",
      """",
      TEXTJOIN(
        "", "" &amp; CHAR(10),
        TRUE,
        IFERROR(
          VLOOKUP(
            TRIM(
              SPLIT('Final Report'!A1399, "","")
         "&amp;"   ),
            'URL Details'!A:B,
            2,
            FALSE
          ),
          """"
        )
      )
    )
  ),
  1,
  1
)
"),"")</f>
        <v/>
      </c>
      <c r="C1399" s="105" t="str">
        <f>IFERROR(__xludf.DUMMYFUNCTION("IFERROR(IF('Final Report'!A1399="""","""", TEXTJOIN(CHAR(10), TRUE, ARRAYFORMULA( ""• ""&amp; FILTER( TRIM(FLATTEN(SPLIT( REGEXREPLACE( SUBSTITUTE(TEXTJOIN("","", TRUE, IFERROR(ARRAYFORMULA(VLOOKUP(TRIM(SPLIT('Final Report'!A1399, "","")), 'URL Details'!A:D, "&amp;"4, FALSE)),"""") ), CHAR(10), "",""), ""\s*,\s*"", "",""), "",""))), TRIM(FLATTEN(SPLIT( REGEXREPLACE( SUBSTITUTE(TEXTJOIN("","", TRUE, IFERROR(ARRAYFORMULA(VLOOKUP(TRIM(SPLIT('Final Report'!A1399, "","")), 'URL Details'!A:D, 4, FALSE)),"""") ), CHAR(10),"&amp;" "",""), ""\s*,\s*"", "",""), "","")))&lt;&gt;"""" ) ) ) ),"""")
"),"")</f>
        <v/>
      </c>
      <c r="D1399" s="105"/>
      <c r="E1399" s="105"/>
      <c r="F1399" s="110" t="b">
        <v>0</v>
      </c>
      <c r="G1399" s="105" t="str">
        <f>IF(F1399=True, IFERROR(VLOOKUP(D1399, Repository!A:B, 2, 0), ""), "")</f>
        <v/>
      </c>
      <c r="H1399" s="105"/>
      <c r="I1399" s="105"/>
      <c r="J1399" s="105" t="str">
        <f>IF(F1399=True, IFERROR(VLOOKUP(D1399, Repository!A:C, 3, 0), ""), "")</f>
        <v/>
      </c>
      <c r="K1399" s="105"/>
      <c r="L1399" s="105" t="str">
        <f>IF(F1399=True, IFERROR(VLOOKUP(D1399, Repository!A:E, 5, 0), ""), "")</f>
        <v/>
      </c>
      <c r="M1399" s="105"/>
      <c r="N1399" s="105" t="str">
        <f>IF(F1399=True, IFERROR(VLOOKUP(D1399, Repository!A:G, 7, 0), ""), "")</f>
        <v/>
      </c>
      <c r="O1399" s="105" t="str">
        <f>IFERROR(__xludf.DUMMYFUNCTION("ARRAY_CONSTRAIN(
  ARRAYFORMULA(
    IFERROR(
      LET(
        list, N1399,
        arr, TRIM(SPLIT(list, "","")),
        names, XLOOKUP(
          arr,
          'Conformance Score'!A:A,
          'Conformance Score'!B:B,
          ""Not found""
     "&amp;"   ),
        TEXTJOIN("", "", TRUE, names)
      ),
      """"
    )
  ),
  1,
  1
)
"),"")</f>
        <v/>
      </c>
      <c r="P1399" s="105" t="str">
        <f>IF(F1399="Yes", IFERROR(VLOOKUP(D1399, Repository!A:F, 6, 0), ""), "")</f>
        <v/>
      </c>
      <c r="Q1399" s="105" t="str">
        <f>IF(F1399="Yes", IFERROR(VLOOKUP(D1399, Repository!A:I, 8, 0), ""), "")</f>
        <v/>
      </c>
      <c r="R1399" s="105" t="str">
        <f>IF(F1399="Yes", IFERROR(VLOOKUP(D1399, Repository!A:J, 9, 0), ""), "")</f>
        <v/>
      </c>
      <c r="S1399" s="105"/>
      <c r="T1399" s="105"/>
      <c r="U1399" s="105"/>
      <c r="V1399" s="105"/>
      <c r="W1399" s="105"/>
      <c r="X1399" s="105"/>
      <c r="Y1399" s="105"/>
      <c r="Z1399" s="105"/>
      <c r="AA1399" s="105"/>
      <c r="AB1399" s="105"/>
      <c r="AC1399" s="91"/>
      <c r="AD1399" s="105"/>
      <c r="AE1399" s="105"/>
      <c r="AF1399" s="91"/>
      <c r="AG1399" s="105"/>
      <c r="AH1399" s="105"/>
      <c r="AI1399" s="105" t="str">
        <f t="shared" si="1"/>
        <v/>
      </c>
      <c r="AJ1399" s="108" t="str">
        <f t="shared" si="2"/>
        <v/>
      </c>
    </row>
    <row r="1400" ht="15.75" customHeight="1">
      <c r="A1400" s="104"/>
      <c r="B1400" s="105" t="str">
        <f>IFERROR(__xludf.DUMMYFUNCTION("ARRAY_CONSTRAIN(
  ARRAYFORMULA(
    IF(
      'Final Report'!A1400="""",
      """",
      TEXTJOIN(
        "", "" &amp; CHAR(10),
        TRUE,
        IFERROR(
          VLOOKUP(
            TRIM(
              SPLIT('Final Report'!A1400, "","")
         "&amp;"   ),
            'URL Details'!A:B,
            2,
            FALSE
          ),
          """"
        )
      )
    )
  ),
  1,
  1
)
"),"")</f>
        <v/>
      </c>
      <c r="C1400" s="105" t="str">
        <f>IFERROR(__xludf.DUMMYFUNCTION("IFERROR(IF('Final Report'!A1400="""","""", TEXTJOIN(CHAR(10), TRUE, ARRAYFORMULA( ""• ""&amp; FILTER( TRIM(FLATTEN(SPLIT( REGEXREPLACE( SUBSTITUTE(TEXTJOIN("","", TRUE, IFERROR(ARRAYFORMULA(VLOOKUP(TRIM(SPLIT('Final Report'!A1400, "","")), 'URL Details'!A:D, "&amp;"4, FALSE)),"""") ), CHAR(10), "",""), ""\s*,\s*"", "",""), "",""))), TRIM(FLATTEN(SPLIT( REGEXREPLACE( SUBSTITUTE(TEXTJOIN("","", TRUE, IFERROR(ARRAYFORMULA(VLOOKUP(TRIM(SPLIT('Final Report'!A1400, "","")), 'URL Details'!A:D, 4, FALSE)),"""") ), CHAR(10),"&amp;" "",""), ""\s*,\s*"", "",""), "","")))&lt;&gt;"""" ) ) ) ),"""")
"),"")</f>
        <v/>
      </c>
      <c r="D1400" s="105"/>
      <c r="E1400" s="105"/>
      <c r="F1400" s="110" t="b">
        <v>0</v>
      </c>
      <c r="G1400" s="105" t="str">
        <f>IF(F1400=True, IFERROR(VLOOKUP(D1400, Repository!A:B, 2, 0), ""), "")</f>
        <v/>
      </c>
      <c r="H1400" s="105"/>
      <c r="I1400" s="105"/>
      <c r="J1400" s="105" t="str">
        <f>IF(F1400=True, IFERROR(VLOOKUP(D1400, Repository!A:C, 3, 0), ""), "")</f>
        <v/>
      </c>
      <c r="K1400" s="105"/>
      <c r="L1400" s="105" t="str">
        <f>IF(F1400=True, IFERROR(VLOOKUP(D1400, Repository!A:E, 5, 0), ""), "")</f>
        <v/>
      </c>
      <c r="M1400" s="105"/>
      <c r="N1400" s="105" t="str">
        <f>IF(F1400=True, IFERROR(VLOOKUP(D1400, Repository!A:G, 7, 0), ""), "")</f>
        <v/>
      </c>
      <c r="O1400" s="105" t="str">
        <f>IFERROR(__xludf.DUMMYFUNCTION("ARRAY_CONSTRAIN(
  ARRAYFORMULA(
    IFERROR(
      LET(
        list, N1400,
        arr, TRIM(SPLIT(list, "","")),
        names, XLOOKUP(
          arr,
          'Conformance Score'!A:A,
          'Conformance Score'!B:B,
          ""Not found""
     "&amp;"   ),
        TEXTJOIN("", "", TRUE, names)
      ),
      """"
    )
  ),
  1,
  1
)
"),"")</f>
        <v/>
      </c>
      <c r="P1400" s="105" t="str">
        <f>IF(F1400="Yes", IFERROR(VLOOKUP(D1400, Repository!A:F, 6, 0), ""), "")</f>
        <v/>
      </c>
      <c r="Q1400" s="105" t="str">
        <f>IF(F1400="Yes", IFERROR(VLOOKUP(D1400, Repository!A:I, 8, 0), ""), "")</f>
        <v/>
      </c>
      <c r="R1400" s="105" t="str">
        <f>IF(F1400="Yes", IFERROR(VLOOKUP(D1400, Repository!A:J, 9, 0), ""), "")</f>
        <v/>
      </c>
      <c r="S1400" s="105"/>
      <c r="T1400" s="105"/>
      <c r="U1400" s="105"/>
      <c r="V1400" s="105"/>
      <c r="W1400" s="105"/>
      <c r="X1400" s="105"/>
      <c r="Y1400" s="105"/>
      <c r="Z1400" s="105"/>
      <c r="AA1400" s="105"/>
      <c r="AB1400" s="105"/>
      <c r="AC1400" s="91"/>
      <c r="AD1400" s="105"/>
      <c r="AE1400" s="105"/>
      <c r="AF1400" s="91"/>
      <c r="AG1400" s="105"/>
      <c r="AH1400" s="105"/>
      <c r="AI1400" s="105" t="str">
        <f t="shared" si="1"/>
        <v/>
      </c>
      <c r="AJ1400" s="108" t="str">
        <f t="shared" si="2"/>
        <v/>
      </c>
    </row>
    <row r="1401" ht="15.75" customHeight="1">
      <c r="A1401" s="104"/>
      <c r="B1401" s="105" t="str">
        <f>IFERROR(__xludf.DUMMYFUNCTION("ARRAY_CONSTRAIN(
  ARRAYFORMULA(
    IF(
      'Final Report'!A1401="""",
      """",
      TEXTJOIN(
        "", "" &amp; CHAR(10),
        TRUE,
        IFERROR(
          VLOOKUP(
            TRIM(
              SPLIT('Final Report'!A1401, "","")
         "&amp;"   ),
            'URL Details'!A:B,
            2,
            FALSE
          ),
          """"
        )
      )
    )
  ),
  1,
  1
)
"),"")</f>
        <v/>
      </c>
      <c r="C1401" s="105" t="str">
        <f>IFERROR(__xludf.DUMMYFUNCTION("IFERROR(IF('Final Report'!A1401="""","""", TEXTJOIN(CHAR(10), TRUE, ARRAYFORMULA( ""• ""&amp; FILTER( TRIM(FLATTEN(SPLIT( REGEXREPLACE( SUBSTITUTE(TEXTJOIN("","", TRUE, IFERROR(ARRAYFORMULA(VLOOKUP(TRIM(SPLIT('Final Report'!A1401, "","")), 'URL Details'!A:D, "&amp;"4, FALSE)),"""") ), CHAR(10), "",""), ""\s*,\s*"", "",""), "",""))), TRIM(FLATTEN(SPLIT( REGEXREPLACE( SUBSTITUTE(TEXTJOIN("","", TRUE, IFERROR(ARRAYFORMULA(VLOOKUP(TRIM(SPLIT('Final Report'!A1401, "","")), 'URL Details'!A:D, 4, FALSE)),"""") ), CHAR(10),"&amp;" "",""), ""\s*,\s*"", "",""), "","")))&lt;&gt;"""" ) ) ) ),"""")
"),"")</f>
        <v/>
      </c>
      <c r="D1401" s="105"/>
      <c r="E1401" s="105"/>
      <c r="F1401" s="110" t="b">
        <v>0</v>
      </c>
      <c r="G1401" s="105" t="str">
        <f>IF(F1401=True, IFERROR(VLOOKUP(D1401, Repository!A:B, 2, 0), ""), "")</f>
        <v/>
      </c>
      <c r="H1401" s="105"/>
      <c r="I1401" s="105"/>
      <c r="J1401" s="105" t="str">
        <f>IF(F1401=True, IFERROR(VLOOKUP(D1401, Repository!A:C, 3, 0), ""), "")</f>
        <v/>
      </c>
      <c r="K1401" s="105"/>
      <c r="L1401" s="105" t="str">
        <f>IF(F1401=True, IFERROR(VLOOKUP(D1401, Repository!A:E, 5, 0), ""), "")</f>
        <v/>
      </c>
      <c r="M1401" s="105"/>
      <c r="N1401" s="105" t="str">
        <f>IF(F1401=True, IFERROR(VLOOKUP(D1401, Repository!A:G, 7, 0), ""), "")</f>
        <v/>
      </c>
      <c r="O1401" s="105" t="str">
        <f>IFERROR(__xludf.DUMMYFUNCTION("ARRAY_CONSTRAIN(
  ARRAYFORMULA(
    IFERROR(
      LET(
        list, N1401,
        arr, TRIM(SPLIT(list, "","")),
        names, XLOOKUP(
          arr,
          'Conformance Score'!A:A,
          'Conformance Score'!B:B,
          ""Not found""
     "&amp;"   ),
        TEXTJOIN("", "", TRUE, names)
      ),
      """"
    )
  ),
  1,
  1
)
"),"")</f>
        <v/>
      </c>
      <c r="P1401" s="105" t="str">
        <f>IF(F1401="Yes", IFERROR(VLOOKUP(D1401, Repository!A:F, 6, 0), ""), "")</f>
        <v/>
      </c>
      <c r="Q1401" s="105" t="str">
        <f>IF(F1401="Yes", IFERROR(VLOOKUP(D1401, Repository!A:I, 8, 0), ""), "")</f>
        <v/>
      </c>
      <c r="R1401" s="105" t="str">
        <f>IF(F1401="Yes", IFERROR(VLOOKUP(D1401, Repository!A:J, 9, 0), ""), "")</f>
        <v/>
      </c>
      <c r="S1401" s="105"/>
      <c r="T1401" s="105"/>
      <c r="U1401" s="105"/>
      <c r="V1401" s="105"/>
      <c r="W1401" s="105"/>
      <c r="X1401" s="105"/>
      <c r="Y1401" s="105"/>
      <c r="Z1401" s="105"/>
      <c r="AA1401" s="105"/>
      <c r="AB1401" s="105"/>
      <c r="AC1401" s="91"/>
      <c r="AD1401" s="105"/>
      <c r="AE1401" s="105"/>
      <c r="AF1401" s="91"/>
      <c r="AG1401" s="105"/>
      <c r="AH1401" s="105"/>
      <c r="AI1401" s="105" t="str">
        <f t="shared" si="1"/>
        <v/>
      </c>
      <c r="AJ1401" s="108" t="str">
        <f t="shared" si="2"/>
        <v/>
      </c>
    </row>
    <row r="1402" ht="15.75" customHeight="1">
      <c r="A1402" s="104"/>
      <c r="B1402" s="105" t="str">
        <f>IFERROR(__xludf.DUMMYFUNCTION("ARRAY_CONSTRAIN(
  ARRAYFORMULA(
    IF(
      'Final Report'!A1402="""",
      """",
      TEXTJOIN(
        "", "" &amp; CHAR(10),
        TRUE,
        IFERROR(
          VLOOKUP(
            TRIM(
              SPLIT('Final Report'!A1402, "","")
         "&amp;"   ),
            'URL Details'!A:B,
            2,
            FALSE
          ),
          """"
        )
      )
    )
  ),
  1,
  1
)
"),"")</f>
        <v/>
      </c>
      <c r="C1402" s="105" t="str">
        <f>IFERROR(__xludf.DUMMYFUNCTION("IFERROR(IF('Final Report'!A1402="""","""", TEXTJOIN(CHAR(10), TRUE, ARRAYFORMULA( ""• ""&amp; FILTER( TRIM(FLATTEN(SPLIT( REGEXREPLACE( SUBSTITUTE(TEXTJOIN("","", TRUE, IFERROR(ARRAYFORMULA(VLOOKUP(TRIM(SPLIT('Final Report'!A1402, "","")), 'URL Details'!A:D, "&amp;"4, FALSE)),"""") ), CHAR(10), "",""), ""\s*,\s*"", "",""), "",""))), TRIM(FLATTEN(SPLIT( REGEXREPLACE( SUBSTITUTE(TEXTJOIN("","", TRUE, IFERROR(ARRAYFORMULA(VLOOKUP(TRIM(SPLIT('Final Report'!A1402, "","")), 'URL Details'!A:D, 4, FALSE)),"""") ), CHAR(10),"&amp;" "",""), ""\s*,\s*"", "",""), "","")))&lt;&gt;"""" ) ) ) ),"""")
"),"")</f>
        <v/>
      </c>
      <c r="D1402" s="105"/>
      <c r="E1402" s="105"/>
      <c r="F1402" s="110" t="b">
        <v>0</v>
      </c>
      <c r="G1402" s="105" t="str">
        <f>IF(F1402=True, IFERROR(VLOOKUP(D1402, Repository!A:B, 2, 0), ""), "")</f>
        <v/>
      </c>
      <c r="H1402" s="105"/>
      <c r="I1402" s="105"/>
      <c r="J1402" s="105" t="str">
        <f>IF(F1402=True, IFERROR(VLOOKUP(D1402, Repository!A:C, 3, 0), ""), "")</f>
        <v/>
      </c>
      <c r="K1402" s="105"/>
      <c r="L1402" s="105" t="str">
        <f>IF(F1402=True, IFERROR(VLOOKUP(D1402, Repository!A:E, 5, 0), ""), "")</f>
        <v/>
      </c>
      <c r="M1402" s="105"/>
      <c r="N1402" s="105" t="str">
        <f>IF(F1402=True, IFERROR(VLOOKUP(D1402, Repository!A:G, 7, 0), ""), "")</f>
        <v/>
      </c>
      <c r="O1402" s="105" t="str">
        <f>IFERROR(__xludf.DUMMYFUNCTION("ARRAY_CONSTRAIN(
  ARRAYFORMULA(
    IFERROR(
      LET(
        list, N1402,
        arr, TRIM(SPLIT(list, "","")),
        names, XLOOKUP(
          arr,
          'Conformance Score'!A:A,
          'Conformance Score'!B:B,
          ""Not found""
     "&amp;"   ),
        TEXTJOIN("", "", TRUE, names)
      ),
      """"
    )
  ),
  1,
  1
)
"),"")</f>
        <v/>
      </c>
      <c r="P1402" s="105" t="str">
        <f>IF(F1402="Yes", IFERROR(VLOOKUP(D1402, Repository!A:F, 6, 0), ""), "")</f>
        <v/>
      </c>
      <c r="Q1402" s="105" t="str">
        <f>IF(F1402="Yes", IFERROR(VLOOKUP(D1402, Repository!A:I, 8, 0), ""), "")</f>
        <v/>
      </c>
      <c r="R1402" s="105" t="str">
        <f>IF(F1402="Yes", IFERROR(VLOOKUP(D1402, Repository!A:J, 9, 0), ""), "")</f>
        <v/>
      </c>
      <c r="S1402" s="105"/>
      <c r="T1402" s="105"/>
      <c r="U1402" s="105"/>
      <c r="V1402" s="105"/>
      <c r="W1402" s="105"/>
      <c r="X1402" s="105"/>
      <c r="Y1402" s="105"/>
      <c r="Z1402" s="105"/>
      <c r="AA1402" s="105"/>
      <c r="AB1402" s="105"/>
      <c r="AC1402" s="91"/>
      <c r="AD1402" s="105"/>
      <c r="AE1402" s="105"/>
      <c r="AF1402" s="91"/>
      <c r="AG1402" s="105"/>
      <c r="AH1402" s="105"/>
      <c r="AI1402" s="105" t="str">
        <f t="shared" si="1"/>
        <v/>
      </c>
      <c r="AJ1402" s="108" t="str">
        <f t="shared" si="2"/>
        <v/>
      </c>
    </row>
    <row r="1403" ht="15.75" customHeight="1">
      <c r="A1403" s="104"/>
      <c r="B1403" s="105" t="str">
        <f>IFERROR(__xludf.DUMMYFUNCTION("ARRAY_CONSTRAIN(
  ARRAYFORMULA(
    IF(
      'Final Report'!A1403="""",
      """",
      TEXTJOIN(
        "", "" &amp; CHAR(10),
        TRUE,
        IFERROR(
          VLOOKUP(
            TRIM(
              SPLIT('Final Report'!A1403, "","")
         "&amp;"   ),
            'URL Details'!A:B,
            2,
            FALSE
          ),
          """"
        )
      )
    )
  ),
  1,
  1
)
"),"")</f>
        <v/>
      </c>
      <c r="C1403" s="105" t="str">
        <f>IFERROR(__xludf.DUMMYFUNCTION("IFERROR(IF('Final Report'!A1403="""","""", TEXTJOIN(CHAR(10), TRUE, ARRAYFORMULA( ""• ""&amp; FILTER( TRIM(FLATTEN(SPLIT( REGEXREPLACE( SUBSTITUTE(TEXTJOIN("","", TRUE, IFERROR(ARRAYFORMULA(VLOOKUP(TRIM(SPLIT('Final Report'!A1403, "","")), 'URL Details'!A:D, "&amp;"4, FALSE)),"""") ), CHAR(10), "",""), ""\s*,\s*"", "",""), "",""))), TRIM(FLATTEN(SPLIT( REGEXREPLACE( SUBSTITUTE(TEXTJOIN("","", TRUE, IFERROR(ARRAYFORMULA(VLOOKUP(TRIM(SPLIT('Final Report'!A1403, "","")), 'URL Details'!A:D, 4, FALSE)),"""") ), CHAR(10),"&amp;" "",""), ""\s*,\s*"", "",""), "","")))&lt;&gt;"""" ) ) ) ),"""")
"),"")</f>
        <v/>
      </c>
      <c r="D1403" s="105"/>
      <c r="E1403" s="105"/>
      <c r="F1403" s="110" t="b">
        <v>0</v>
      </c>
      <c r="G1403" s="105" t="str">
        <f>IF(F1403=True, IFERROR(VLOOKUP(D1403, Repository!A:B, 2, 0), ""), "")</f>
        <v/>
      </c>
      <c r="H1403" s="105"/>
      <c r="I1403" s="105"/>
      <c r="J1403" s="105" t="str">
        <f>IF(F1403=True, IFERROR(VLOOKUP(D1403, Repository!A:C, 3, 0), ""), "")</f>
        <v/>
      </c>
      <c r="K1403" s="105"/>
      <c r="L1403" s="105" t="str">
        <f>IF(F1403=True, IFERROR(VLOOKUP(D1403, Repository!A:E, 5, 0), ""), "")</f>
        <v/>
      </c>
      <c r="M1403" s="105"/>
      <c r="N1403" s="105" t="str">
        <f>IF(F1403=True, IFERROR(VLOOKUP(D1403, Repository!A:G, 7, 0), ""), "")</f>
        <v/>
      </c>
      <c r="O1403" s="105" t="str">
        <f>IFERROR(__xludf.DUMMYFUNCTION("ARRAY_CONSTRAIN(
  ARRAYFORMULA(
    IFERROR(
      LET(
        list, N1403,
        arr, TRIM(SPLIT(list, "","")),
        names, XLOOKUP(
          arr,
          'Conformance Score'!A:A,
          'Conformance Score'!B:B,
          ""Not found""
     "&amp;"   ),
        TEXTJOIN("", "", TRUE, names)
      ),
      """"
    )
  ),
  1,
  1
)
"),"")</f>
        <v/>
      </c>
      <c r="P1403" s="105" t="str">
        <f>IF(F1403="Yes", IFERROR(VLOOKUP(D1403, Repository!A:F, 6, 0), ""), "")</f>
        <v/>
      </c>
      <c r="Q1403" s="105" t="str">
        <f>IF(F1403="Yes", IFERROR(VLOOKUP(D1403, Repository!A:I, 8, 0), ""), "")</f>
        <v/>
      </c>
      <c r="R1403" s="105" t="str">
        <f>IF(F1403="Yes", IFERROR(VLOOKUP(D1403, Repository!A:J, 9, 0), ""), "")</f>
        <v/>
      </c>
      <c r="S1403" s="105"/>
      <c r="T1403" s="105"/>
      <c r="U1403" s="105"/>
      <c r="V1403" s="105"/>
      <c r="W1403" s="105"/>
      <c r="X1403" s="105"/>
      <c r="Y1403" s="105"/>
      <c r="Z1403" s="105"/>
      <c r="AA1403" s="105"/>
      <c r="AB1403" s="105"/>
      <c r="AC1403" s="91"/>
      <c r="AD1403" s="105"/>
      <c r="AE1403" s="105"/>
      <c r="AF1403" s="91"/>
      <c r="AG1403" s="105"/>
      <c r="AH1403" s="105"/>
      <c r="AI1403" s="105" t="str">
        <f t="shared" si="1"/>
        <v/>
      </c>
      <c r="AJ1403" s="108" t="str">
        <f t="shared" si="2"/>
        <v/>
      </c>
    </row>
    <row r="1404" ht="15.75" customHeight="1">
      <c r="A1404" s="104"/>
      <c r="B1404" s="105" t="str">
        <f>IFERROR(__xludf.DUMMYFUNCTION("ARRAY_CONSTRAIN(
  ARRAYFORMULA(
    IF(
      'Final Report'!A1404="""",
      """",
      TEXTJOIN(
        "", "" &amp; CHAR(10),
        TRUE,
        IFERROR(
          VLOOKUP(
            TRIM(
              SPLIT('Final Report'!A1404, "","")
         "&amp;"   ),
            'URL Details'!A:B,
            2,
            FALSE
          ),
          """"
        )
      )
    )
  ),
  1,
  1
)
"),"")</f>
        <v/>
      </c>
      <c r="C1404" s="105" t="str">
        <f>IFERROR(__xludf.DUMMYFUNCTION("IFERROR(IF('Final Report'!A1404="""","""", TEXTJOIN(CHAR(10), TRUE, ARRAYFORMULA( ""• ""&amp; FILTER( TRIM(FLATTEN(SPLIT( REGEXREPLACE( SUBSTITUTE(TEXTJOIN("","", TRUE, IFERROR(ARRAYFORMULA(VLOOKUP(TRIM(SPLIT('Final Report'!A1404, "","")), 'URL Details'!A:D, "&amp;"4, FALSE)),"""") ), CHAR(10), "",""), ""\s*,\s*"", "",""), "",""))), TRIM(FLATTEN(SPLIT( REGEXREPLACE( SUBSTITUTE(TEXTJOIN("","", TRUE, IFERROR(ARRAYFORMULA(VLOOKUP(TRIM(SPLIT('Final Report'!A1404, "","")), 'URL Details'!A:D, 4, FALSE)),"""") ), CHAR(10),"&amp;" "",""), ""\s*,\s*"", "",""), "","")))&lt;&gt;"""" ) ) ) ),"""")
"),"")</f>
        <v/>
      </c>
      <c r="D1404" s="105"/>
      <c r="E1404" s="105"/>
      <c r="F1404" s="110" t="b">
        <v>0</v>
      </c>
      <c r="G1404" s="105" t="str">
        <f>IF(F1404=True, IFERROR(VLOOKUP(D1404, Repository!A:B, 2, 0), ""), "")</f>
        <v/>
      </c>
      <c r="H1404" s="105"/>
      <c r="I1404" s="105"/>
      <c r="J1404" s="105" t="str">
        <f>IF(F1404=True, IFERROR(VLOOKUP(D1404, Repository!A:C, 3, 0), ""), "")</f>
        <v/>
      </c>
      <c r="K1404" s="105"/>
      <c r="L1404" s="105" t="str">
        <f>IF(F1404=True, IFERROR(VLOOKUP(D1404, Repository!A:E, 5, 0), ""), "")</f>
        <v/>
      </c>
      <c r="M1404" s="105"/>
      <c r="N1404" s="105" t="str">
        <f>IF(F1404=True, IFERROR(VLOOKUP(D1404, Repository!A:G, 7, 0), ""), "")</f>
        <v/>
      </c>
      <c r="O1404" s="105" t="str">
        <f>IFERROR(__xludf.DUMMYFUNCTION("ARRAY_CONSTRAIN(
  ARRAYFORMULA(
    IFERROR(
      LET(
        list, N1404,
        arr, TRIM(SPLIT(list, "","")),
        names, XLOOKUP(
          arr,
          'Conformance Score'!A:A,
          'Conformance Score'!B:B,
          ""Not found""
     "&amp;"   ),
        TEXTJOIN("", "", TRUE, names)
      ),
      """"
    )
  ),
  1,
  1
)
"),"")</f>
        <v/>
      </c>
      <c r="P1404" s="105" t="str">
        <f>IF(F1404="Yes", IFERROR(VLOOKUP(D1404, Repository!A:F, 6, 0), ""), "")</f>
        <v/>
      </c>
      <c r="Q1404" s="105" t="str">
        <f>IF(F1404="Yes", IFERROR(VLOOKUP(D1404, Repository!A:I, 8, 0), ""), "")</f>
        <v/>
      </c>
      <c r="R1404" s="105" t="str">
        <f>IF(F1404="Yes", IFERROR(VLOOKUP(D1404, Repository!A:J, 9, 0), ""), "")</f>
        <v/>
      </c>
      <c r="S1404" s="105"/>
      <c r="T1404" s="105"/>
      <c r="U1404" s="105"/>
      <c r="V1404" s="105"/>
      <c r="W1404" s="105"/>
      <c r="X1404" s="105"/>
      <c r="Y1404" s="105"/>
      <c r="Z1404" s="105"/>
      <c r="AA1404" s="105"/>
      <c r="AB1404" s="105"/>
      <c r="AC1404" s="91"/>
      <c r="AD1404" s="105"/>
      <c r="AE1404" s="105"/>
      <c r="AF1404" s="91"/>
      <c r="AG1404" s="105"/>
      <c r="AH1404" s="105"/>
      <c r="AI1404" s="105" t="str">
        <f t="shared" si="1"/>
        <v/>
      </c>
      <c r="AJ1404" s="108" t="str">
        <f t="shared" si="2"/>
        <v/>
      </c>
    </row>
    <row r="1405" ht="15.75" customHeight="1">
      <c r="A1405" s="104"/>
      <c r="B1405" s="105" t="str">
        <f>IFERROR(__xludf.DUMMYFUNCTION("ARRAY_CONSTRAIN(
  ARRAYFORMULA(
    IF(
      'Final Report'!A1405="""",
      """",
      TEXTJOIN(
        "", "" &amp; CHAR(10),
        TRUE,
        IFERROR(
          VLOOKUP(
            TRIM(
              SPLIT('Final Report'!A1405, "","")
         "&amp;"   ),
            'URL Details'!A:B,
            2,
            FALSE
          ),
          """"
        )
      )
    )
  ),
  1,
  1
)
"),"")</f>
        <v/>
      </c>
      <c r="C1405" s="105" t="str">
        <f>IFERROR(__xludf.DUMMYFUNCTION("IFERROR(IF('Final Report'!A1405="""","""", TEXTJOIN(CHAR(10), TRUE, ARRAYFORMULA( ""• ""&amp; FILTER( TRIM(FLATTEN(SPLIT( REGEXREPLACE( SUBSTITUTE(TEXTJOIN("","", TRUE, IFERROR(ARRAYFORMULA(VLOOKUP(TRIM(SPLIT('Final Report'!A1405, "","")), 'URL Details'!A:D, "&amp;"4, FALSE)),"""") ), CHAR(10), "",""), ""\s*,\s*"", "",""), "",""))), TRIM(FLATTEN(SPLIT( REGEXREPLACE( SUBSTITUTE(TEXTJOIN("","", TRUE, IFERROR(ARRAYFORMULA(VLOOKUP(TRIM(SPLIT('Final Report'!A1405, "","")), 'URL Details'!A:D, 4, FALSE)),"""") ), CHAR(10),"&amp;" "",""), ""\s*,\s*"", "",""), "","")))&lt;&gt;"""" ) ) ) ),"""")
"),"")</f>
        <v/>
      </c>
      <c r="D1405" s="105"/>
      <c r="E1405" s="105"/>
      <c r="F1405" s="110" t="b">
        <v>0</v>
      </c>
      <c r="G1405" s="105" t="str">
        <f>IF(F1405=True, IFERROR(VLOOKUP(D1405, Repository!A:B, 2, 0), ""), "")</f>
        <v/>
      </c>
      <c r="H1405" s="105"/>
      <c r="I1405" s="105"/>
      <c r="J1405" s="105" t="str">
        <f>IF(F1405=True, IFERROR(VLOOKUP(D1405, Repository!A:C, 3, 0), ""), "")</f>
        <v/>
      </c>
      <c r="K1405" s="105"/>
      <c r="L1405" s="105" t="str">
        <f>IF(F1405=True, IFERROR(VLOOKUP(D1405, Repository!A:E, 5, 0), ""), "")</f>
        <v/>
      </c>
      <c r="M1405" s="105"/>
      <c r="N1405" s="105" t="str">
        <f>IF(F1405=True, IFERROR(VLOOKUP(D1405, Repository!A:G, 7, 0), ""), "")</f>
        <v/>
      </c>
      <c r="O1405" s="105" t="str">
        <f>IFERROR(__xludf.DUMMYFUNCTION("ARRAY_CONSTRAIN(
  ARRAYFORMULA(
    IFERROR(
      LET(
        list, N1405,
        arr, TRIM(SPLIT(list, "","")),
        names, XLOOKUP(
          arr,
          'Conformance Score'!A:A,
          'Conformance Score'!B:B,
          ""Not found""
     "&amp;"   ),
        TEXTJOIN("", "", TRUE, names)
      ),
      """"
    )
  ),
  1,
  1
)
"),"")</f>
        <v/>
      </c>
      <c r="P1405" s="105" t="str">
        <f>IF(F1405="Yes", IFERROR(VLOOKUP(D1405, Repository!A:F, 6, 0), ""), "")</f>
        <v/>
      </c>
      <c r="Q1405" s="105" t="str">
        <f>IF(F1405="Yes", IFERROR(VLOOKUP(D1405, Repository!A:I, 8, 0), ""), "")</f>
        <v/>
      </c>
      <c r="R1405" s="105" t="str">
        <f>IF(F1405="Yes", IFERROR(VLOOKUP(D1405, Repository!A:J, 9, 0), ""), "")</f>
        <v/>
      </c>
      <c r="S1405" s="105"/>
      <c r="T1405" s="105"/>
      <c r="U1405" s="105"/>
      <c r="V1405" s="105"/>
      <c r="W1405" s="105"/>
      <c r="X1405" s="105"/>
      <c r="Y1405" s="105"/>
      <c r="Z1405" s="105"/>
      <c r="AA1405" s="105"/>
      <c r="AB1405" s="105"/>
      <c r="AC1405" s="91"/>
      <c r="AD1405" s="105"/>
      <c r="AE1405" s="105"/>
      <c r="AF1405" s="91"/>
      <c r="AG1405" s="105"/>
      <c r="AH1405" s="105"/>
      <c r="AI1405" s="105" t="str">
        <f t="shared" si="1"/>
        <v/>
      </c>
      <c r="AJ1405" s="108" t="str">
        <f t="shared" si="2"/>
        <v/>
      </c>
    </row>
    <row r="1406" ht="15.75" customHeight="1">
      <c r="A1406" s="104"/>
      <c r="B1406" s="105" t="str">
        <f>IFERROR(__xludf.DUMMYFUNCTION("ARRAY_CONSTRAIN(
  ARRAYFORMULA(
    IF(
      'Final Report'!A1406="""",
      """",
      TEXTJOIN(
        "", "" &amp; CHAR(10),
        TRUE,
        IFERROR(
          VLOOKUP(
            TRIM(
              SPLIT('Final Report'!A1406, "","")
         "&amp;"   ),
            'URL Details'!A:B,
            2,
            FALSE
          ),
          """"
        )
      )
    )
  ),
  1,
  1
)
"),"")</f>
        <v/>
      </c>
      <c r="C1406" s="105" t="str">
        <f>IFERROR(__xludf.DUMMYFUNCTION("IFERROR(IF('Final Report'!A1406="""","""", TEXTJOIN(CHAR(10), TRUE, ARRAYFORMULA( ""• ""&amp; FILTER( TRIM(FLATTEN(SPLIT( REGEXREPLACE( SUBSTITUTE(TEXTJOIN("","", TRUE, IFERROR(ARRAYFORMULA(VLOOKUP(TRIM(SPLIT('Final Report'!A1406, "","")), 'URL Details'!A:D, "&amp;"4, FALSE)),"""") ), CHAR(10), "",""), ""\s*,\s*"", "",""), "",""))), TRIM(FLATTEN(SPLIT( REGEXREPLACE( SUBSTITUTE(TEXTJOIN("","", TRUE, IFERROR(ARRAYFORMULA(VLOOKUP(TRIM(SPLIT('Final Report'!A1406, "","")), 'URL Details'!A:D, 4, FALSE)),"""") ), CHAR(10),"&amp;" "",""), ""\s*,\s*"", "",""), "","")))&lt;&gt;"""" ) ) ) ),"""")
"),"")</f>
        <v/>
      </c>
      <c r="D1406" s="105"/>
      <c r="E1406" s="105"/>
      <c r="F1406" s="110" t="b">
        <v>0</v>
      </c>
      <c r="G1406" s="105" t="str">
        <f>IF(F1406=True, IFERROR(VLOOKUP(D1406, Repository!A:B, 2, 0), ""), "")</f>
        <v/>
      </c>
      <c r="H1406" s="105"/>
      <c r="I1406" s="105"/>
      <c r="J1406" s="105" t="str">
        <f>IF(F1406=True, IFERROR(VLOOKUP(D1406, Repository!A:C, 3, 0), ""), "")</f>
        <v/>
      </c>
      <c r="K1406" s="105"/>
      <c r="L1406" s="105" t="str">
        <f>IF(F1406=True, IFERROR(VLOOKUP(D1406, Repository!A:E, 5, 0), ""), "")</f>
        <v/>
      </c>
      <c r="M1406" s="105"/>
      <c r="N1406" s="105" t="str">
        <f>IF(F1406=True, IFERROR(VLOOKUP(D1406, Repository!A:G, 7, 0), ""), "")</f>
        <v/>
      </c>
      <c r="O1406" s="105" t="str">
        <f>IFERROR(__xludf.DUMMYFUNCTION("ARRAY_CONSTRAIN(
  ARRAYFORMULA(
    IFERROR(
      LET(
        list, N1406,
        arr, TRIM(SPLIT(list, "","")),
        names, XLOOKUP(
          arr,
          'Conformance Score'!A:A,
          'Conformance Score'!B:B,
          ""Not found""
     "&amp;"   ),
        TEXTJOIN("", "", TRUE, names)
      ),
      """"
    )
  ),
  1,
  1
)
"),"")</f>
        <v/>
      </c>
      <c r="P1406" s="105" t="str">
        <f>IF(F1406="Yes", IFERROR(VLOOKUP(D1406, Repository!A:F, 6, 0), ""), "")</f>
        <v/>
      </c>
      <c r="Q1406" s="105" t="str">
        <f>IF(F1406="Yes", IFERROR(VLOOKUP(D1406, Repository!A:I, 8, 0), ""), "")</f>
        <v/>
      </c>
      <c r="R1406" s="105" t="str">
        <f>IF(F1406="Yes", IFERROR(VLOOKUP(D1406, Repository!A:J, 9, 0), ""), "")</f>
        <v/>
      </c>
      <c r="S1406" s="105"/>
      <c r="T1406" s="105"/>
      <c r="U1406" s="105"/>
      <c r="V1406" s="105"/>
      <c r="W1406" s="105"/>
      <c r="X1406" s="105"/>
      <c r="Y1406" s="105"/>
      <c r="Z1406" s="105"/>
      <c r="AA1406" s="105"/>
      <c r="AB1406" s="105"/>
      <c r="AC1406" s="91"/>
      <c r="AD1406" s="105"/>
      <c r="AE1406" s="105"/>
      <c r="AF1406" s="91"/>
      <c r="AG1406" s="105"/>
      <c r="AH1406" s="105"/>
      <c r="AI1406" s="105" t="str">
        <f t="shared" si="1"/>
        <v/>
      </c>
      <c r="AJ1406" s="108" t="str">
        <f t="shared" si="2"/>
        <v/>
      </c>
    </row>
    <row r="1407" ht="15.75" customHeight="1">
      <c r="A1407" s="104"/>
      <c r="B1407" s="105" t="str">
        <f>IFERROR(__xludf.DUMMYFUNCTION("ARRAY_CONSTRAIN(
  ARRAYFORMULA(
    IF(
      'Final Report'!A1407="""",
      """",
      TEXTJOIN(
        "", "" &amp; CHAR(10),
        TRUE,
        IFERROR(
          VLOOKUP(
            TRIM(
              SPLIT('Final Report'!A1407, "","")
         "&amp;"   ),
            'URL Details'!A:B,
            2,
            FALSE
          ),
          """"
        )
      )
    )
  ),
  1,
  1
)
"),"")</f>
        <v/>
      </c>
      <c r="C1407" s="105" t="str">
        <f>IFERROR(__xludf.DUMMYFUNCTION("IFERROR(IF('Final Report'!A1407="""","""", TEXTJOIN(CHAR(10), TRUE, ARRAYFORMULA( ""• ""&amp; FILTER( TRIM(FLATTEN(SPLIT( REGEXREPLACE( SUBSTITUTE(TEXTJOIN("","", TRUE, IFERROR(ARRAYFORMULA(VLOOKUP(TRIM(SPLIT('Final Report'!A1407, "","")), 'URL Details'!A:D, "&amp;"4, FALSE)),"""") ), CHAR(10), "",""), ""\s*,\s*"", "",""), "",""))), TRIM(FLATTEN(SPLIT( REGEXREPLACE( SUBSTITUTE(TEXTJOIN("","", TRUE, IFERROR(ARRAYFORMULA(VLOOKUP(TRIM(SPLIT('Final Report'!A1407, "","")), 'URL Details'!A:D, 4, FALSE)),"""") ), CHAR(10),"&amp;" "",""), ""\s*,\s*"", "",""), "","")))&lt;&gt;"""" ) ) ) ),"""")
"),"")</f>
        <v/>
      </c>
      <c r="D1407" s="105"/>
      <c r="E1407" s="105"/>
      <c r="F1407" s="110" t="b">
        <v>0</v>
      </c>
      <c r="G1407" s="105" t="str">
        <f>IF(F1407=True, IFERROR(VLOOKUP(D1407, Repository!A:B, 2, 0), ""), "")</f>
        <v/>
      </c>
      <c r="H1407" s="105"/>
      <c r="I1407" s="105"/>
      <c r="J1407" s="105" t="str">
        <f>IF(F1407=True, IFERROR(VLOOKUP(D1407, Repository!A:C, 3, 0), ""), "")</f>
        <v/>
      </c>
      <c r="K1407" s="105"/>
      <c r="L1407" s="105" t="str">
        <f>IF(F1407=True, IFERROR(VLOOKUP(D1407, Repository!A:E, 5, 0), ""), "")</f>
        <v/>
      </c>
      <c r="M1407" s="105"/>
      <c r="N1407" s="105" t="str">
        <f>IF(F1407=True, IFERROR(VLOOKUP(D1407, Repository!A:G, 7, 0), ""), "")</f>
        <v/>
      </c>
      <c r="O1407" s="105" t="str">
        <f>IFERROR(__xludf.DUMMYFUNCTION("ARRAY_CONSTRAIN(
  ARRAYFORMULA(
    IFERROR(
      LET(
        list, N1407,
        arr, TRIM(SPLIT(list, "","")),
        names, XLOOKUP(
          arr,
          'Conformance Score'!A:A,
          'Conformance Score'!B:B,
          ""Not found""
     "&amp;"   ),
        TEXTJOIN("", "", TRUE, names)
      ),
      """"
    )
  ),
  1,
  1
)
"),"")</f>
        <v/>
      </c>
      <c r="P1407" s="105" t="str">
        <f>IF(F1407="Yes", IFERROR(VLOOKUP(D1407, Repository!A:F, 6, 0), ""), "")</f>
        <v/>
      </c>
      <c r="Q1407" s="105" t="str">
        <f>IF(F1407="Yes", IFERROR(VLOOKUP(D1407, Repository!A:I, 8, 0), ""), "")</f>
        <v/>
      </c>
      <c r="R1407" s="105" t="str">
        <f>IF(F1407="Yes", IFERROR(VLOOKUP(D1407, Repository!A:J, 9, 0), ""), "")</f>
        <v/>
      </c>
      <c r="S1407" s="105"/>
      <c r="T1407" s="105"/>
      <c r="U1407" s="105"/>
      <c r="V1407" s="105"/>
      <c r="W1407" s="105"/>
      <c r="X1407" s="105"/>
      <c r="Y1407" s="105"/>
      <c r="Z1407" s="105"/>
      <c r="AA1407" s="105"/>
      <c r="AB1407" s="105"/>
      <c r="AC1407" s="91"/>
      <c r="AD1407" s="105"/>
      <c r="AE1407" s="105"/>
      <c r="AF1407" s="91"/>
      <c r="AG1407" s="105"/>
      <c r="AH1407" s="105"/>
      <c r="AI1407" s="105" t="str">
        <f t="shared" si="1"/>
        <v/>
      </c>
      <c r="AJ1407" s="108" t="str">
        <f t="shared" si="2"/>
        <v/>
      </c>
    </row>
    <row r="1408" ht="15.75" customHeight="1">
      <c r="A1408" s="104"/>
      <c r="B1408" s="105" t="str">
        <f>IFERROR(__xludf.DUMMYFUNCTION("ARRAY_CONSTRAIN(
  ARRAYFORMULA(
    IF(
      'Final Report'!A1408="""",
      """",
      TEXTJOIN(
        "", "" &amp; CHAR(10),
        TRUE,
        IFERROR(
          VLOOKUP(
            TRIM(
              SPLIT('Final Report'!A1408, "","")
         "&amp;"   ),
            'URL Details'!A:B,
            2,
            FALSE
          ),
          """"
        )
      )
    )
  ),
  1,
  1
)
"),"")</f>
        <v/>
      </c>
      <c r="C1408" s="105" t="str">
        <f>IFERROR(__xludf.DUMMYFUNCTION("IFERROR(IF('Final Report'!A1408="""","""", TEXTJOIN(CHAR(10), TRUE, ARRAYFORMULA( ""• ""&amp; FILTER( TRIM(FLATTEN(SPLIT( REGEXREPLACE( SUBSTITUTE(TEXTJOIN("","", TRUE, IFERROR(ARRAYFORMULA(VLOOKUP(TRIM(SPLIT('Final Report'!A1408, "","")), 'URL Details'!A:D, "&amp;"4, FALSE)),"""") ), CHAR(10), "",""), ""\s*,\s*"", "",""), "",""))), TRIM(FLATTEN(SPLIT( REGEXREPLACE( SUBSTITUTE(TEXTJOIN("","", TRUE, IFERROR(ARRAYFORMULA(VLOOKUP(TRIM(SPLIT('Final Report'!A1408, "","")), 'URL Details'!A:D, 4, FALSE)),"""") ), CHAR(10),"&amp;" "",""), ""\s*,\s*"", "",""), "","")))&lt;&gt;"""" ) ) ) ),"""")
"),"")</f>
        <v/>
      </c>
      <c r="D1408" s="105"/>
      <c r="E1408" s="105"/>
      <c r="F1408" s="110" t="b">
        <v>0</v>
      </c>
      <c r="G1408" s="105" t="str">
        <f>IF(F1408=True, IFERROR(VLOOKUP(D1408, Repository!A:B, 2, 0), ""), "")</f>
        <v/>
      </c>
      <c r="H1408" s="105"/>
      <c r="I1408" s="105"/>
      <c r="J1408" s="105" t="str">
        <f>IF(F1408=True, IFERROR(VLOOKUP(D1408, Repository!A:C, 3, 0), ""), "")</f>
        <v/>
      </c>
      <c r="K1408" s="105"/>
      <c r="L1408" s="105" t="str">
        <f>IF(F1408=True, IFERROR(VLOOKUP(D1408, Repository!A:E, 5, 0), ""), "")</f>
        <v/>
      </c>
      <c r="M1408" s="105"/>
      <c r="N1408" s="105" t="str">
        <f>IF(F1408=True, IFERROR(VLOOKUP(D1408, Repository!A:G, 7, 0), ""), "")</f>
        <v/>
      </c>
      <c r="O1408" s="105" t="str">
        <f>IFERROR(__xludf.DUMMYFUNCTION("ARRAY_CONSTRAIN(
  ARRAYFORMULA(
    IFERROR(
      LET(
        list, N1408,
        arr, TRIM(SPLIT(list, "","")),
        names, XLOOKUP(
          arr,
          'Conformance Score'!A:A,
          'Conformance Score'!B:B,
          ""Not found""
     "&amp;"   ),
        TEXTJOIN("", "", TRUE, names)
      ),
      """"
    )
  ),
  1,
  1
)
"),"")</f>
        <v/>
      </c>
      <c r="P1408" s="105" t="str">
        <f>IF(F1408="Yes", IFERROR(VLOOKUP(D1408, Repository!A:F, 6, 0), ""), "")</f>
        <v/>
      </c>
      <c r="Q1408" s="105" t="str">
        <f>IF(F1408="Yes", IFERROR(VLOOKUP(D1408, Repository!A:I, 8, 0), ""), "")</f>
        <v/>
      </c>
      <c r="R1408" s="105" t="str">
        <f>IF(F1408="Yes", IFERROR(VLOOKUP(D1408, Repository!A:J, 9, 0), ""), "")</f>
        <v/>
      </c>
      <c r="S1408" s="105"/>
      <c r="T1408" s="105"/>
      <c r="U1408" s="105"/>
      <c r="V1408" s="105"/>
      <c r="W1408" s="105"/>
      <c r="X1408" s="105"/>
      <c r="Y1408" s="105"/>
      <c r="Z1408" s="105"/>
      <c r="AA1408" s="105"/>
      <c r="AB1408" s="105"/>
      <c r="AC1408" s="91"/>
      <c r="AD1408" s="105"/>
      <c r="AE1408" s="105"/>
      <c r="AF1408" s="91"/>
      <c r="AG1408" s="105"/>
      <c r="AH1408" s="105"/>
      <c r="AI1408" s="105" t="str">
        <f t="shared" si="1"/>
        <v/>
      </c>
      <c r="AJ1408" s="108" t="str">
        <f t="shared" si="2"/>
        <v/>
      </c>
    </row>
    <row r="1409" ht="15.75" customHeight="1">
      <c r="A1409" s="104"/>
      <c r="B1409" s="105" t="str">
        <f>IFERROR(__xludf.DUMMYFUNCTION("ARRAY_CONSTRAIN(
  ARRAYFORMULA(
    IF(
      'Final Report'!A1409="""",
      """",
      TEXTJOIN(
        "", "" &amp; CHAR(10),
        TRUE,
        IFERROR(
          VLOOKUP(
            TRIM(
              SPLIT('Final Report'!A1409, "","")
         "&amp;"   ),
            'URL Details'!A:B,
            2,
            FALSE
          ),
          """"
        )
      )
    )
  ),
  1,
  1
)
"),"")</f>
        <v/>
      </c>
      <c r="C1409" s="105" t="str">
        <f>IFERROR(__xludf.DUMMYFUNCTION("IFERROR(IF('Final Report'!A1409="""","""", TEXTJOIN(CHAR(10), TRUE, ARRAYFORMULA( ""• ""&amp; FILTER( TRIM(FLATTEN(SPLIT( REGEXREPLACE( SUBSTITUTE(TEXTJOIN("","", TRUE, IFERROR(ARRAYFORMULA(VLOOKUP(TRIM(SPLIT('Final Report'!A1409, "","")), 'URL Details'!A:D, "&amp;"4, FALSE)),"""") ), CHAR(10), "",""), ""\s*,\s*"", "",""), "",""))), TRIM(FLATTEN(SPLIT( REGEXREPLACE( SUBSTITUTE(TEXTJOIN("","", TRUE, IFERROR(ARRAYFORMULA(VLOOKUP(TRIM(SPLIT('Final Report'!A1409, "","")), 'URL Details'!A:D, 4, FALSE)),"""") ), CHAR(10),"&amp;" "",""), ""\s*,\s*"", "",""), "","")))&lt;&gt;"""" ) ) ) ),"""")
"),"")</f>
        <v/>
      </c>
      <c r="D1409" s="105"/>
      <c r="E1409" s="105"/>
      <c r="F1409" s="110" t="b">
        <v>0</v>
      </c>
      <c r="G1409" s="105" t="str">
        <f>IF(F1409=True, IFERROR(VLOOKUP(D1409, Repository!A:B, 2, 0), ""), "")</f>
        <v/>
      </c>
      <c r="H1409" s="105"/>
      <c r="I1409" s="105"/>
      <c r="J1409" s="105" t="str">
        <f>IF(F1409=True, IFERROR(VLOOKUP(D1409, Repository!A:C, 3, 0), ""), "")</f>
        <v/>
      </c>
      <c r="K1409" s="105"/>
      <c r="L1409" s="105" t="str">
        <f>IF(F1409=True, IFERROR(VLOOKUP(D1409, Repository!A:E, 5, 0), ""), "")</f>
        <v/>
      </c>
      <c r="M1409" s="105"/>
      <c r="N1409" s="105" t="str">
        <f>IF(F1409=True, IFERROR(VLOOKUP(D1409, Repository!A:G, 7, 0), ""), "")</f>
        <v/>
      </c>
      <c r="O1409" s="105" t="str">
        <f>IFERROR(__xludf.DUMMYFUNCTION("ARRAY_CONSTRAIN(
  ARRAYFORMULA(
    IFERROR(
      LET(
        list, N1409,
        arr, TRIM(SPLIT(list, "","")),
        names, XLOOKUP(
          arr,
          'Conformance Score'!A:A,
          'Conformance Score'!B:B,
          ""Not found""
     "&amp;"   ),
        TEXTJOIN("", "", TRUE, names)
      ),
      """"
    )
  ),
  1,
  1
)
"),"")</f>
        <v/>
      </c>
      <c r="P1409" s="105" t="str">
        <f>IF(F1409="Yes", IFERROR(VLOOKUP(D1409, Repository!A:F, 6, 0), ""), "")</f>
        <v/>
      </c>
      <c r="Q1409" s="105" t="str">
        <f>IF(F1409="Yes", IFERROR(VLOOKUP(D1409, Repository!A:I, 8, 0), ""), "")</f>
        <v/>
      </c>
      <c r="R1409" s="105" t="str">
        <f>IF(F1409="Yes", IFERROR(VLOOKUP(D1409, Repository!A:J, 9, 0), ""), "")</f>
        <v/>
      </c>
      <c r="S1409" s="105"/>
      <c r="T1409" s="105"/>
      <c r="U1409" s="105"/>
      <c r="V1409" s="105"/>
      <c r="W1409" s="105"/>
      <c r="X1409" s="105"/>
      <c r="Y1409" s="105"/>
      <c r="Z1409" s="105"/>
      <c r="AA1409" s="105"/>
      <c r="AB1409" s="105"/>
      <c r="AC1409" s="91"/>
      <c r="AD1409" s="105"/>
      <c r="AE1409" s="105"/>
      <c r="AF1409" s="91"/>
      <c r="AG1409" s="105"/>
      <c r="AH1409" s="105"/>
      <c r="AI1409" s="105" t="str">
        <f t="shared" si="1"/>
        <v/>
      </c>
      <c r="AJ1409" s="108" t="str">
        <f t="shared" si="2"/>
        <v/>
      </c>
    </row>
    <row r="1410" ht="15.75" customHeight="1">
      <c r="A1410" s="104"/>
      <c r="B1410" s="105" t="str">
        <f>IFERROR(__xludf.DUMMYFUNCTION("ARRAY_CONSTRAIN(
  ARRAYFORMULA(
    IF(
      'Final Report'!A1410="""",
      """",
      TEXTJOIN(
        "", "" &amp; CHAR(10),
        TRUE,
        IFERROR(
          VLOOKUP(
            TRIM(
              SPLIT('Final Report'!A1410, "","")
         "&amp;"   ),
            'URL Details'!A:B,
            2,
            FALSE
          ),
          """"
        )
      )
    )
  ),
  1,
  1
)
"),"")</f>
        <v/>
      </c>
      <c r="C1410" s="105" t="str">
        <f>IFERROR(__xludf.DUMMYFUNCTION("IFERROR(IF('Final Report'!A1410="""","""", TEXTJOIN(CHAR(10), TRUE, ARRAYFORMULA( ""• ""&amp; FILTER( TRIM(FLATTEN(SPLIT( REGEXREPLACE( SUBSTITUTE(TEXTJOIN("","", TRUE, IFERROR(ARRAYFORMULA(VLOOKUP(TRIM(SPLIT('Final Report'!A1410, "","")), 'URL Details'!A:D, "&amp;"4, FALSE)),"""") ), CHAR(10), "",""), ""\s*,\s*"", "",""), "",""))), TRIM(FLATTEN(SPLIT( REGEXREPLACE( SUBSTITUTE(TEXTJOIN("","", TRUE, IFERROR(ARRAYFORMULA(VLOOKUP(TRIM(SPLIT('Final Report'!A1410, "","")), 'URL Details'!A:D, 4, FALSE)),"""") ), CHAR(10),"&amp;" "",""), ""\s*,\s*"", "",""), "","")))&lt;&gt;"""" ) ) ) ),"""")
"),"")</f>
        <v/>
      </c>
      <c r="D1410" s="105"/>
      <c r="E1410" s="105"/>
      <c r="F1410" s="110" t="b">
        <v>0</v>
      </c>
      <c r="G1410" s="105" t="str">
        <f>IF(F1410=True, IFERROR(VLOOKUP(D1410, Repository!A:B, 2, 0), ""), "")</f>
        <v/>
      </c>
      <c r="H1410" s="105"/>
      <c r="I1410" s="105"/>
      <c r="J1410" s="105" t="str">
        <f>IF(F1410=True, IFERROR(VLOOKUP(D1410, Repository!A:C, 3, 0), ""), "")</f>
        <v/>
      </c>
      <c r="K1410" s="105"/>
      <c r="L1410" s="105" t="str">
        <f>IF(F1410=True, IFERROR(VLOOKUP(D1410, Repository!A:E, 5, 0), ""), "")</f>
        <v/>
      </c>
      <c r="M1410" s="105"/>
      <c r="N1410" s="105" t="str">
        <f>IF(F1410=True, IFERROR(VLOOKUP(D1410, Repository!A:G, 7, 0), ""), "")</f>
        <v/>
      </c>
      <c r="O1410" s="105" t="str">
        <f>IFERROR(__xludf.DUMMYFUNCTION("ARRAY_CONSTRAIN(
  ARRAYFORMULA(
    IFERROR(
      LET(
        list, N1410,
        arr, TRIM(SPLIT(list, "","")),
        names, XLOOKUP(
          arr,
          'Conformance Score'!A:A,
          'Conformance Score'!B:B,
          ""Not found""
     "&amp;"   ),
        TEXTJOIN("", "", TRUE, names)
      ),
      """"
    )
  ),
  1,
  1
)
"),"")</f>
        <v/>
      </c>
      <c r="P1410" s="105" t="str">
        <f>IF(F1410="Yes", IFERROR(VLOOKUP(D1410, Repository!A:F, 6, 0), ""), "")</f>
        <v/>
      </c>
      <c r="Q1410" s="105" t="str">
        <f>IF(F1410="Yes", IFERROR(VLOOKUP(D1410, Repository!A:I, 8, 0), ""), "")</f>
        <v/>
      </c>
      <c r="R1410" s="105" t="str">
        <f>IF(F1410="Yes", IFERROR(VLOOKUP(D1410, Repository!A:J, 9, 0), ""), "")</f>
        <v/>
      </c>
      <c r="S1410" s="105"/>
      <c r="T1410" s="105"/>
      <c r="U1410" s="105"/>
      <c r="V1410" s="105"/>
      <c r="W1410" s="105"/>
      <c r="X1410" s="105"/>
      <c r="Y1410" s="105"/>
      <c r="Z1410" s="105"/>
      <c r="AA1410" s="105"/>
      <c r="AB1410" s="105"/>
      <c r="AC1410" s="91"/>
      <c r="AD1410" s="105"/>
      <c r="AE1410" s="105"/>
      <c r="AF1410" s="91"/>
      <c r="AG1410" s="105"/>
      <c r="AH1410" s="105"/>
      <c r="AI1410" s="105" t="str">
        <f t="shared" si="1"/>
        <v/>
      </c>
      <c r="AJ1410" s="108" t="str">
        <f t="shared" si="2"/>
        <v/>
      </c>
    </row>
    <row r="1411" ht="15.75" customHeight="1">
      <c r="A1411" s="104"/>
      <c r="B1411" s="105" t="str">
        <f>IFERROR(__xludf.DUMMYFUNCTION("ARRAY_CONSTRAIN(
  ARRAYFORMULA(
    IF(
      'Final Report'!A1411="""",
      """",
      TEXTJOIN(
        "", "" &amp; CHAR(10),
        TRUE,
        IFERROR(
          VLOOKUP(
            TRIM(
              SPLIT('Final Report'!A1411, "","")
         "&amp;"   ),
            'URL Details'!A:B,
            2,
            FALSE
          ),
          """"
        )
      )
    )
  ),
  1,
  1
)
"),"")</f>
        <v/>
      </c>
      <c r="C1411" s="105" t="str">
        <f>IFERROR(__xludf.DUMMYFUNCTION("IFERROR(IF('Final Report'!A1411="""","""", TEXTJOIN(CHAR(10), TRUE, ARRAYFORMULA( ""• ""&amp; FILTER( TRIM(FLATTEN(SPLIT( REGEXREPLACE( SUBSTITUTE(TEXTJOIN("","", TRUE, IFERROR(ARRAYFORMULA(VLOOKUP(TRIM(SPLIT('Final Report'!A1411, "","")), 'URL Details'!A:D, "&amp;"4, FALSE)),"""") ), CHAR(10), "",""), ""\s*,\s*"", "",""), "",""))), TRIM(FLATTEN(SPLIT( REGEXREPLACE( SUBSTITUTE(TEXTJOIN("","", TRUE, IFERROR(ARRAYFORMULA(VLOOKUP(TRIM(SPLIT('Final Report'!A1411, "","")), 'URL Details'!A:D, 4, FALSE)),"""") ), CHAR(10),"&amp;" "",""), ""\s*,\s*"", "",""), "","")))&lt;&gt;"""" ) ) ) ),"""")
"),"")</f>
        <v/>
      </c>
      <c r="D1411" s="105"/>
      <c r="E1411" s="105"/>
      <c r="F1411" s="110" t="b">
        <v>0</v>
      </c>
      <c r="G1411" s="105" t="str">
        <f>IF(F1411=True, IFERROR(VLOOKUP(D1411, Repository!A:B, 2, 0), ""), "")</f>
        <v/>
      </c>
      <c r="H1411" s="105"/>
      <c r="I1411" s="105"/>
      <c r="J1411" s="105" t="str">
        <f>IF(F1411=True, IFERROR(VLOOKUP(D1411, Repository!A:C, 3, 0), ""), "")</f>
        <v/>
      </c>
      <c r="K1411" s="105"/>
      <c r="L1411" s="105" t="str">
        <f>IF(F1411=True, IFERROR(VLOOKUP(D1411, Repository!A:E, 5, 0), ""), "")</f>
        <v/>
      </c>
      <c r="M1411" s="105"/>
      <c r="N1411" s="105" t="str">
        <f>IF(F1411=True, IFERROR(VLOOKUP(D1411, Repository!A:G, 7, 0), ""), "")</f>
        <v/>
      </c>
      <c r="O1411" s="105" t="str">
        <f>IFERROR(__xludf.DUMMYFUNCTION("ARRAY_CONSTRAIN(
  ARRAYFORMULA(
    IFERROR(
      LET(
        list, N1411,
        arr, TRIM(SPLIT(list, "","")),
        names, XLOOKUP(
          arr,
          'Conformance Score'!A:A,
          'Conformance Score'!B:B,
          ""Not found""
     "&amp;"   ),
        TEXTJOIN("", "", TRUE, names)
      ),
      """"
    )
  ),
  1,
  1
)
"),"")</f>
        <v/>
      </c>
      <c r="P1411" s="105" t="str">
        <f>IF(F1411="Yes", IFERROR(VLOOKUP(D1411, Repository!A:F, 6, 0), ""), "")</f>
        <v/>
      </c>
      <c r="Q1411" s="105" t="str">
        <f>IF(F1411="Yes", IFERROR(VLOOKUP(D1411, Repository!A:I, 8, 0), ""), "")</f>
        <v/>
      </c>
      <c r="R1411" s="105" t="str">
        <f>IF(F1411="Yes", IFERROR(VLOOKUP(D1411, Repository!A:J, 9, 0), ""), "")</f>
        <v/>
      </c>
      <c r="S1411" s="105"/>
      <c r="T1411" s="105"/>
      <c r="U1411" s="105"/>
      <c r="V1411" s="105"/>
      <c r="W1411" s="105"/>
      <c r="X1411" s="105"/>
      <c r="Y1411" s="105"/>
      <c r="Z1411" s="105"/>
      <c r="AA1411" s="105"/>
      <c r="AB1411" s="105"/>
      <c r="AC1411" s="91"/>
      <c r="AD1411" s="105"/>
      <c r="AE1411" s="105"/>
      <c r="AF1411" s="91"/>
      <c r="AG1411" s="105"/>
      <c r="AH1411" s="105"/>
      <c r="AI1411" s="105" t="str">
        <f t="shared" si="1"/>
        <v/>
      </c>
      <c r="AJ1411" s="108" t="str">
        <f t="shared" si="2"/>
        <v/>
      </c>
    </row>
    <row r="1412" ht="15.75" customHeight="1">
      <c r="A1412" s="104"/>
      <c r="B1412" s="105" t="str">
        <f>IFERROR(__xludf.DUMMYFUNCTION("ARRAY_CONSTRAIN(
  ARRAYFORMULA(
    IF(
      'Final Report'!A1412="""",
      """",
      TEXTJOIN(
        "", "" &amp; CHAR(10),
        TRUE,
        IFERROR(
          VLOOKUP(
            TRIM(
              SPLIT('Final Report'!A1412, "","")
         "&amp;"   ),
            'URL Details'!A:B,
            2,
            FALSE
          ),
          """"
        )
      )
    )
  ),
  1,
  1
)
"),"")</f>
        <v/>
      </c>
      <c r="C1412" s="105" t="str">
        <f>IFERROR(__xludf.DUMMYFUNCTION("IFERROR(IF('Final Report'!A1412="""","""", TEXTJOIN(CHAR(10), TRUE, ARRAYFORMULA( ""• ""&amp; FILTER( TRIM(FLATTEN(SPLIT( REGEXREPLACE( SUBSTITUTE(TEXTJOIN("","", TRUE, IFERROR(ARRAYFORMULA(VLOOKUP(TRIM(SPLIT('Final Report'!A1412, "","")), 'URL Details'!A:D, "&amp;"4, FALSE)),"""") ), CHAR(10), "",""), ""\s*,\s*"", "",""), "",""))), TRIM(FLATTEN(SPLIT( REGEXREPLACE( SUBSTITUTE(TEXTJOIN("","", TRUE, IFERROR(ARRAYFORMULA(VLOOKUP(TRIM(SPLIT('Final Report'!A1412, "","")), 'URL Details'!A:D, 4, FALSE)),"""") ), CHAR(10),"&amp;" "",""), ""\s*,\s*"", "",""), "","")))&lt;&gt;"""" ) ) ) ),"""")
"),"")</f>
        <v/>
      </c>
      <c r="D1412" s="105"/>
      <c r="E1412" s="105"/>
      <c r="F1412" s="110" t="b">
        <v>0</v>
      </c>
      <c r="G1412" s="105" t="str">
        <f>IF(F1412=True, IFERROR(VLOOKUP(D1412, Repository!A:B, 2, 0), ""), "")</f>
        <v/>
      </c>
      <c r="H1412" s="105"/>
      <c r="I1412" s="105"/>
      <c r="J1412" s="105" t="str">
        <f>IF(F1412=True, IFERROR(VLOOKUP(D1412, Repository!A:C, 3, 0), ""), "")</f>
        <v/>
      </c>
      <c r="K1412" s="105"/>
      <c r="L1412" s="105" t="str">
        <f>IF(F1412=True, IFERROR(VLOOKUP(D1412, Repository!A:E, 5, 0), ""), "")</f>
        <v/>
      </c>
      <c r="M1412" s="105"/>
      <c r="N1412" s="105" t="str">
        <f>IF(F1412=True, IFERROR(VLOOKUP(D1412, Repository!A:G, 7, 0), ""), "")</f>
        <v/>
      </c>
      <c r="O1412" s="105" t="str">
        <f>IFERROR(__xludf.DUMMYFUNCTION("ARRAY_CONSTRAIN(
  ARRAYFORMULA(
    IFERROR(
      LET(
        list, N1412,
        arr, TRIM(SPLIT(list, "","")),
        names, XLOOKUP(
          arr,
          'Conformance Score'!A:A,
          'Conformance Score'!B:B,
          ""Not found""
     "&amp;"   ),
        TEXTJOIN("", "", TRUE, names)
      ),
      """"
    )
  ),
  1,
  1
)
"),"")</f>
        <v/>
      </c>
      <c r="P1412" s="105" t="str">
        <f>IF(F1412="Yes", IFERROR(VLOOKUP(D1412, Repository!A:F, 6, 0), ""), "")</f>
        <v/>
      </c>
      <c r="Q1412" s="105" t="str">
        <f>IF(F1412="Yes", IFERROR(VLOOKUP(D1412, Repository!A:I, 8, 0), ""), "")</f>
        <v/>
      </c>
      <c r="R1412" s="105" t="str">
        <f>IF(F1412="Yes", IFERROR(VLOOKUP(D1412, Repository!A:J, 9, 0), ""), "")</f>
        <v/>
      </c>
      <c r="S1412" s="105"/>
      <c r="T1412" s="105"/>
      <c r="U1412" s="105"/>
      <c r="V1412" s="105"/>
      <c r="W1412" s="105"/>
      <c r="X1412" s="105"/>
      <c r="Y1412" s="105"/>
      <c r="Z1412" s="105"/>
      <c r="AA1412" s="105"/>
      <c r="AB1412" s="105"/>
      <c r="AC1412" s="91"/>
      <c r="AD1412" s="105"/>
      <c r="AE1412" s="105"/>
      <c r="AF1412" s="91"/>
      <c r="AG1412" s="105"/>
      <c r="AH1412" s="105"/>
      <c r="AI1412" s="105" t="str">
        <f t="shared" si="1"/>
        <v/>
      </c>
      <c r="AJ1412" s="108" t="str">
        <f t="shared" si="2"/>
        <v/>
      </c>
    </row>
    <row r="1413" ht="15.75" customHeight="1">
      <c r="A1413" s="104"/>
      <c r="B1413" s="105" t="str">
        <f>IFERROR(__xludf.DUMMYFUNCTION("ARRAY_CONSTRAIN(
  ARRAYFORMULA(
    IF(
      'Final Report'!A1413="""",
      """",
      TEXTJOIN(
        "", "" &amp; CHAR(10),
        TRUE,
        IFERROR(
          VLOOKUP(
            TRIM(
              SPLIT('Final Report'!A1413, "","")
         "&amp;"   ),
            'URL Details'!A:B,
            2,
            FALSE
          ),
          """"
        )
      )
    )
  ),
  1,
  1
)
"),"")</f>
        <v/>
      </c>
      <c r="C1413" s="105" t="str">
        <f>IFERROR(__xludf.DUMMYFUNCTION("IFERROR(IF('Final Report'!A1413="""","""", TEXTJOIN(CHAR(10), TRUE, ARRAYFORMULA( ""• ""&amp; FILTER( TRIM(FLATTEN(SPLIT( REGEXREPLACE( SUBSTITUTE(TEXTJOIN("","", TRUE, IFERROR(ARRAYFORMULA(VLOOKUP(TRIM(SPLIT('Final Report'!A1413, "","")), 'URL Details'!A:D, "&amp;"4, FALSE)),"""") ), CHAR(10), "",""), ""\s*,\s*"", "",""), "",""))), TRIM(FLATTEN(SPLIT( REGEXREPLACE( SUBSTITUTE(TEXTJOIN("","", TRUE, IFERROR(ARRAYFORMULA(VLOOKUP(TRIM(SPLIT('Final Report'!A1413, "","")), 'URL Details'!A:D, 4, FALSE)),"""") ), CHAR(10),"&amp;" "",""), ""\s*,\s*"", "",""), "","")))&lt;&gt;"""" ) ) ) ),"""")
"),"")</f>
        <v/>
      </c>
      <c r="D1413" s="105"/>
      <c r="E1413" s="105"/>
      <c r="F1413" s="110" t="b">
        <v>0</v>
      </c>
      <c r="G1413" s="105" t="str">
        <f>IF(F1413=True, IFERROR(VLOOKUP(D1413, Repository!A:B, 2, 0), ""), "")</f>
        <v/>
      </c>
      <c r="H1413" s="105"/>
      <c r="I1413" s="105"/>
      <c r="J1413" s="105" t="str">
        <f>IF(F1413=True, IFERROR(VLOOKUP(D1413, Repository!A:C, 3, 0), ""), "")</f>
        <v/>
      </c>
      <c r="K1413" s="105"/>
      <c r="L1413" s="105" t="str">
        <f>IF(F1413=True, IFERROR(VLOOKUP(D1413, Repository!A:E, 5, 0), ""), "")</f>
        <v/>
      </c>
      <c r="M1413" s="105"/>
      <c r="N1413" s="105" t="str">
        <f>IF(F1413=True, IFERROR(VLOOKUP(D1413, Repository!A:G, 7, 0), ""), "")</f>
        <v/>
      </c>
      <c r="O1413" s="105" t="str">
        <f>IFERROR(__xludf.DUMMYFUNCTION("ARRAY_CONSTRAIN(
  ARRAYFORMULA(
    IFERROR(
      LET(
        list, N1413,
        arr, TRIM(SPLIT(list, "","")),
        names, XLOOKUP(
          arr,
          'Conformance Score'!A:A,
          'Conformance Score'!B:B,
          ""Not found""
     "&amp;"   ),
        TEXTJOIN("", "", TRUE, names)
      ),
      """"
    )
  ),
  1,
  1
)
"),"")</f>
        <v/>
      </c>
      <c r="P1413" s="105" t="str">
        <f>IF(F1413="Yes", IFERROR(VLOOKUP(D1413, Repository!A:F, 6, 0), ""), "")</f>
        <v/>
      </c>
      <c r="Q1413" s="105" t="str">
        <f>IF(F1413="Yes", IFERROR(VLOOKUP(D1413, Repository!A:I, 8, 0), ""), "")</f>
        <v/>
      </c>
      <c r="R1413" s="105" t="str">
        <f>IF(F1413="Yes", IFERROR(VLOOKUP(D1413, Repository!A:J, 9, 0), ""), "")</f>
        <v/>
      </c>
      <c r="S1413" s="105"/>
      <c r="T1413" s="105"/>
      <c r="U1413" s="105"/>
      <c r="V1413" s="105"/>
      <c r="W1413" s="105"/>
      <c r="X1413" s="105"/>
      <c r="Y1413" s="105"/>
      <c r="Z1413" s="105"/>
      <c r="AA1413" s="105"/>
      <c r="AB1413" s="105"/>
      <c r="AC1413" s="91"/>
      <c r="AD1413" s="105"/>
      <c r="AE1413" s="105"/>
      <c r="AF1413" s="91"/>
      <c r="AG1413" s="105"/>
      <c r="AH1413" s="105"/>
      <c r="AI1413" s="105" t="str">
        <f t="shared" si="1"/>
        <v/>
      </c>
      <c r="AJ1413" s="108" t="str">
        <f t="shared" si="2"/>
        <v/>
      </c>
    </row>
    <row r="1414" ht="15.75" customHeight="1">
      <c r="A1414" s="104"/>
      <c r="B1414" s="105" t="str">
        <f>IFERROR(__xludf.DUMMYFUNCTION("ARRAY_CONSTRAIN(
  ARRAYFORMULA(
    IF(
      'Final Report'!A1414="""",
      """",
      TEXTJOIN(
        "", "" &amp; CHAR(10),
        TRUE,
        IFERROR(
          VLOOKUP(
            TRIM(
              SPLIT('Final Report'!A1414, "","")
         "&amp;"   ),
            'URL Details'!A:B,
            2,
            FALSE
          ),
          """"
        )
      )
    )
  ),
  1,
  1
)
"),"")</f>
        <v/>
      </c>
      <c r="C1414" s="105" t="str">
        <f>IFERROR(__xludf.DUMMYFUNCTION("IFERROR(IF('Final Report'!A1414="""","""", TEXTJOIN(CHAR(10), TRUE, ARRAYFORMULA( ""• ""&amp; FILTER( TRIM(FLATTEN(SPLIT( REGEXREPLACE( SUBSTITUTE(TEXTJOIN("","", TRUE, IFERROR(ARRAYFORMULA(VLOOKUP(TRIM(SPLIT('Final Report'!A1414, "","")), 'URL Details'!A:D, "&amp;"4, FALSE)),"""") ), CHAR(10), "",""), ""\s*,\s*"", "",""), "",""))), TRIM(FLATTEN(SPLIT( REGEXREPLACE( SUBSTITUTE(TEXTJOIN("","", TRUE, IFERROR(ARRAYFORMULA(VLOOKUP(TRIM(SPLIT('Final Report'!A1414, "","")), 'URL Details'!A:D, 4, FALSE)),"""") ), CHAR(10),"&amp;" "",""), ""\s*,\s*"", "",""), "","")))&lt;&gt;"""" ) ) ) ),"""")
"),"")</f>
        <v/>
      </c>
      <c r="D1414" s="105"/>
      <c r="E1414" s="105"/>
      <c r="F1414" s="110" t="b">
        <v>0</v>
      </c>
      <c r="G1414" s="105" t="str">
        <f>IF(F1414=True, IFERROR(VLOOKUP(D1414, Repository!A:B, 2, 0), ""), "")</f>
        <v/>
      </c>
      <c r="H1414" s="105"/>
      <c r="I1414" s="105"/>
      <c r="J1414" s="105" t="str">
        <f>IF(F1414=True, IFERROR(VLOOKUP(D1414, Repository!A:C, 3, 0), ""), "")</f>
        <v/>
      </c>
      <c r="K1414" s="105"/>
      <c r="L1414" s="105" t="str">
        <f>IF(F1414=True, IFERROR(VLOOKUP(D1414, Repository!A:E, 5, 0), ""), "")</f>
        <v/>
      </c>
      <c r="M1414" s="105"/>
      <c r="N1414" s="105" t="str">
        <f>IF(F1414=True, IFERROR(VLOOKUP(D1414, Repository!A:G, 7, 0), ""), "")</f>
        <v/>
      </c>
      <c r="O1414" s="105" t="str">
        <f>IFERROR(__xludf.DUMMYFUNCTION("ARRAY_CONSTRAIN(
  ARRAYFORMULA(
    IFERROR(
      LET(
        list, N1414,
        arr, TRIM(SPLIT(list, "","")),
        names, XLOOKUP(
          arr,
          'Conformance Score'!A:A,
          'Conformance Score'!B:B,
          ""Not found""
     "&amp;"   ),
        TEXTJOIN("", "", TRUE, names)
      ),
      """"
    )
  ),
  1,
  1
)
"),"")</f>
        <v/>
      </c>
      <c r="P1414" s="105" t="str">
        <f>IF(F1414="Yes", IFERROR(VLOOKUP(D1414, Repository!A:F, 6, 0), ""), "")</f>
        <v/>
      </c>
      <c r="Q1414" s="105" t="str">
        <f>IF(F1414="Yes", IFERROR(VLOOKUP(D1414, Repository!A:I, 8, 0), ""), "")</f>
        <v/>
      </c>
      <c r="R1414" s="105" t="str">
        <f>IF(F1414="Yes", IFERROR(VLOOKUP(D1414, Repository!A:J, 9, 0), ""), "")</f>
        <v/>
      </c>
      <c r="S1414" s="105"/>
      <c r="T1414" s="105"/>
      <c r="U1414" s="105"/>
      <c r="V1414" s="105"/>
      <c r="W1414" s="105"/>
      <c r="X1414" s="105"/>
      <c r="Y1414" s="105"/>
      <c r="Z1414" s="105"/>
      <c r="AA1414" s="105"/>
      <c r="AB1414" s="105"/>
      <c r="AC1414" s="91"/>
      <c r="AD1414" s="105"/>
      <c r="AE1414" s="105"/>
      <c r="AF1414" s="91"/>
      <c r="AG1414" s="105"/>
      <c r="AH1414" s="105"/>
      <c r="AI1414" s="105" t="str">
        <f t="shared" si="1"/>
        <v/>
      </c>
      <c r="AJ1414" s="108" t="str">
        <f t="shared" si="2"/>
        <v/>
      </c>
    </row>
    <row r="1415" ht="15.75" customHeight="1">
      <c r="A1415" s="104"/>
      <c r="B1415" s="105" t="str">
        <f>IFERROR(__xludf.DUMMYFUNCTION("ARRAY_CONSTRAIN(
  ARRAYFORMULA(
    IF(
      'Final Report'!A1415="""",
      """",
      TEXTJOIN(
        "", "" &amp; CHAR(10),
        TRUE,
        IFERROR(
          VLOOKUP(
            TRIM(
              SPLIT('Final Report'!A1415, "","")
         "&amp;"   ),
            'URL Details'!A:B,
            2,
            FALSE
          ),
          """"
        )
      )
    )
  ),
  1,
  1
)
"),"")</f>
        <v/>
      </c>
      <c r="C1415" s="105" t="str">
        <f>IFERROR(__xludf.DUMMYFUNCTION("IFERROR(IF('Final Report'!A1415="""","""", TEXTJOIN(CHAR(10), TRUE, ARRAYFORMULA( ""• ""&amp; FILTER( TRIM(FLATTEN(SPLIT( REGEXREPLACE( SUBSTITUTE(TEXTJOIN("","", TRUE, IFERROR(ARRAYFORMULA(VLOOKUP(TRIM(SPLIT('Final Report'!A1415, "","")), 'URL Details'!A:D, "&amp;"4, FALSE)),"""") ), CHAR(10), "",""), ""\s*,\s*"", "",""), "",""))), TRIM(FLATTEN(SPLIT( REGEXREPLACE( SUBSTITUTE(TEXTJOIN("","", TRUE, IFERROR(ARRAYFORMULA(VLOOKUP(TRIM(SPLIT('Final Report'!A1415, "","")), 'URL Details'!A:D, 4, FALSE)),"""") ), CHAR(10),"&amp;" "",""), ""\s*,\s*"", "",""), "","")))&lt;&gt;"""" ) ) ) ),"""")
"),"")</f>
        <v/>
      </c>
      <c r="D1415" s="105"/>
      <c r="E1415" s="105"/>
      <c r="F1415" s="110" t="b">
        <v>0</v>
      </c>
      <c r="G1415" s="105" t="str">
        <f>IF(F1415=True, IFERROR(VLOOKUP(D1415, Repository!A:B, 2, 0), ""), "")</f>
        <v/>
      </c>
      <c r="H1415" s="105"/>
      <c r="I1415" s="105"/>
      <c r="J1415" s="105" t="str">
        <f>IF(F1415=True, IFERROR(VLOOKUP(D1415, Repository!A:C, 3, 0), ""), "")</f>
        <v/>
      </c>
      <c r="K1415" s="105"/>
      <c r="L1415" s="105" t="str">
        <f>IF(F1415=True, IFERROR(VLOOKUP(D1415, Repository!A:E, 5, 0), ""), "")</f>
        <v/>
      </c>
      <c r="M1415" s="105"/>
      <c r="N1415" s="105" t="str">
        <f>IF(F1415=True, IFERROR(VLOOKUP(D1415, Repository!A:G, 7, 0), ""), "")</f>
        <v/>
      </c>
      <c r="O1415" s="105" t="str">
        <f>IFERROR(__xludf.DUMMYFUNCTION("ARRAY_CONSTRAIN(
  ARRAYFORMULA(
    IFERROR(
      LET(
        list, N1415,
        arr, TRIM(SPLIT(list, "","")),
        names, XLOOKUP(
          arr,
          'Conformance Score'!A:A,
          'Conformance Score'!B:B,
          ""Not found""
     "&amp;"   ),
        TEXTJOIN("", "", TRUE, names)
      ),
      """"
    )
  ),
  1,
  1
)
"),"")</f>
        <v/>
      </c>
      <c r="P1415" s="105" t="str">
        <f>IF(F1415="Yes", IFERROR(VLOOKUP(D1415, Repository!A:F, 6, 0), ""), "")</f>
        <v/>
      </c>
      <c r="Q1415" s="105" t="str">
        <f>IF(F1415="Yes", IFERROR(VLOOKUP(D1415, Repository!A:I, 8, 0), ""), "")</f>
        <v/>
      </c>
      <c r="R1415" s="105" t="str">
        <f>IF(F1415="Yes", IFERROR(VLOOKUP(D1415, Repository!A:J, 9, 0), ""), "")</f>
        <v/>
      </c>
      <c r="S1415" s="105"/>
      <c r="T1415" s="105"/>
      <c r="U1415" s="105"/>
      <c r="V1415" s="105"/>
      <c r="W1415" s="105"/>
      <c r="X1415" s="105"/>
      <c r="Y1415" s="105"/>
      <c r="Z1415" s="105"/>
      <c r="AA1415" s="105"/>
      <c r="AB1415" s="105"/>
      <c r="AC1415" s="91"/>
      <c r="AD1415" s="105"/>
      <c r="AE1415" s="105"/>
      <c r="AF1415" s="91"/>
      <c r="AG1415" s="105"/>
      <c r="AH1415" s="105"/>
      <c r="AI1415" s="105" t="str">
        <f t="shared" si="1"/>
        <v/>
      </c>
      <c r="AJ1415" s="108" t="str">
        <f t="shared" si="2"/>
        <v/>
      </c>
    </row>
    <row r="1416" ht="15.75" customHeight="1">
      <c r="A1416" s="104"/>
      <c r="B1416" s="105" t="str">
        <f>IFERROR(__xludf.DUMMYFUNCTION("ARRAY_CONSTRAIN(
  ARRAYFORMULA(
    IF(
      'Final Report'!A1416="""",
      """",
      TEXTJOIN(
        "", "" &amp; CHAR(10),
        TRUE,
        IFERROR(
          VLOOKUP(
            TRIM(
              SPLIT('Final Report'!A1416, "","")
         "&amp;"   ),
            'URL Details'!A:B,
            2,
            FALSE
          ),
          """"
        )
      )
    )
  ),
  1,
  1
)
"),"")</f>
        <v/>
      </c>
      <c r="C1416" s="105" t="str">
        <f>IFERROR(__xludf.DUMMYFUNCTION("IFERROR(IF('Final Report'!A1416="""","""", TEXTJOIN(CHAR(10), TRUE, ARRAYFORMULA( ""• ""&amp; FILTER( TRIM(FLATTEN(SPLIT( REGEXREPLACE( SUBSTITUTE(TEXTJOIN("","", TRUE, IFERROR(ARRAYFORMULA(VLOOKUP(TRIM(SPLIT('Final Report'!A1416, "","")), 'URL Details'!A:D, "&amp;"4, FALSE)),"""") ), CHAR(10), "",""), ""\s*,\s*"", "",""), "",""))), TRIM(FLATTEN(SPLIT( REGEXREPLACE( SUBSTITUTE(TEXTJOIN("","", TRUE, IFERROR(ARRAYFORMULA(VLOOKUP(TRIM(SPLIT('Final Report'!A1416, "","")), 'URL Details'!A:D, 4, FALSE)),"""") ), CHAR(10),"&amp;" "",""), ""\s*,\s*"", "",""), "","")))&lt;&gt;"""" ) ) ) ),"""")
"),"")</f>
        <v/>
      </c>
      <c r="D1416" s="105"/>
      <c r="E1416" s="105"/>
      <c r="F1416" s="110" t="b">
        <v>0</v>
      </c>
      <c r="G1416" s="105" t="str">
        <f>IF(F1416=True, IFERROR(VLOOKUP(D1416, Repository!A:B, 2, 0), ""), "")</f>
        <v/>
      </c>
      <c r="H1416" s="105"/>
      <c r="I1416" s="105"/>
      <c r="J1416" s="105" t="str">
        <f>IF(F1416=True, IFERROR(VLOOKUP(D1416, Repository!A:C, 3, 0), ""), "")</f>
        <v/>
      </c>
      <c r="K1416" s="105"/>
      <c r="L1416" s="105" t="str">
        <f>IF(F1416=True, IFERROR(VLOOKUP(D1416, Repository!A:E, 5, 0), ""), "")</f>
        <v/>
      </c>
      <c r="M1416" s="105"/>
      <c r="N1416" s="105" t="str">
        <f>IF(F1416=True, IFERROR(VLOOKUP(D1416, Repository!A:G, 7, 0), ""), "")</f>
        <v/>
      </c>
      <c r="O1416" s="105" t="str">
        <f>IFERROR(__xludf.DUMMYFUNCTION("ARRAY_CONSTRAIN(
  ARRAYFORMULA(
    IFERROR(
      LET(
        list, N1416,
        arr, TRIM(SPLIT(list, "","")),
        names, XLOOKUP(
          arr,
          'Conformance Score'!A:A,
          'Conformance Score'!B:B,
          ""Not found""
     "&amp;"   ),
        TEXTJOIN("", "", TRUE, names)
      ),
      """"
    )
  ),
  1,
  1
)
"),"")</f>
        <v/>
      </c>
      <c r="P1416" s="105" t="str">
        <f>IF(F1416="Yes", IFERROR(VLOOKUP(D1416, Repository!A:F, 6, 0), ""), "")</f>
        <v/>
      </c>
      <c r="Q1416" s="105" t="str">
        <f>IF(F1416="Yes", IFERROR(VLOOKUP(D1416, Repository!A:I, 8, 0), ""), "")</f>
        <v/>
      </c>
      <c r="R1416" s="105" t="str">
        <f>IF(F1416="Yes", IFERROR(VLOOKUP(D1416, Repository!A:J, 9, 0), ""), "")</f>
        <v/>
      </c>
      <c r="S1416" s="105"/>
      <c r="T1416" s="105"/>
      <c r="U1416" s="105"/>
      <c r="V1416" s="105"/>
      <c r="W1416" s="105"/>
      <c r="X1416" s="105"/>
      <c r="Y1416" s="105"/>
      <c r="Z1416" s="105"/>
      <c r="AA1416" s="105"/>
      <c r="AB1416" s="105"/>
      <c r="AC1416" s="91"/>
      <c r="AD1416" s="105"/>
      <c r="AE1416" s="105"/>
      <c r="AF1416" s="91"/>
      <c r="AG1416" s="105"/>
      <c r="AH1416" s="105"/>
      <c r="AI1416" s="105" t="str">
        <f t="shared" si="1"/>
        <v/>
      </c>
      <c r="AJ1416" s="108" t="str">
        <f t="shared" si="2"/>
        <v/>
      </c>
    </row>
    <row r="1417" ht="15.75" customHeight="1">
      <c r="A1417" s="104"/>
      <c r="B1417" s="105" t="str">
        <f>IFERROR(__xludf.DUMMYFUNCTION("ARRAY_CONSTRAIN(
  ARRAYFORMULA(
    IF(
      'Final Report'!A1417="""",
      """",
      TEXTJOIN(
        "", "" &amp; CHAR(10),
        TRUE,
        IFERROR(
          VLOOKUP(
            TRIM(
              SPLIT('Final Report'!A1417, "","")
         "&amp;"   ),
            'URL Details'!A:B,
            2,
            FALSE
          ),
          """"
        )
      )
    )
  ),
  1,
  1
)
"),"")</f>
        <v/>
      </c>
      <c r="C1417" s="105" t="str">
        <f>IFERROR(__xludf.DUMMYFUNCTION("IFERROR(IF('Final Report'!A1417="""","""", TEXTJOIN(CHAR(10), TRUE, ARRAYFORMULA( ""• ""&amp; FILTER( TRIM(FLATTEN(SPLIT( REGEXREPLACE( SUBSTITUTE(TEXTJOIN("","", TRUE, IFERROR(ARRAYFORMULA(VLOOKUP(TRIM(SPLIT('Final Report'!A1417, "","")), 'URL Details'!A:D, "&amp;"4, FALSE)),"""") ), CHAR(10), "",""), ""\s*,\s*"", "",""), "",""))), TRIM(FLATTEN(SPLIT( REGEXREPLACE( SUBSTITUTE(TEXTJOIN("","", TRUE, IFERROR(ARRAYFORMULA(VLOOKUP(TRIM(SPLIT('Final Report'!A1417, "","")), 'URL Details'!A:D, 4, FALSE)),"""") ), CHAR(10),"&amp;" "",""), ""\s*,\s*"", "",""), "","")))&lt;&gt;"""" ) ) ) ),"""")
"),"")</f>
        <v/>
      </c>
      <c r="D1417" s="105"/>
      <c r="E1417" s="105"/>
      <c r="F1417" s="110" t="b">
        <v>0</v>
      </c>
      <c r="G1417" s="105" t="str">
        <f>IF(F1417=True, IFERROR(VLOOKUP(D1417, Repository!A:B, 2, 0), ""), "")</f>
        <v/>
      </c>
      <c r="H1417" s="105"/>
      <c r="I1417" s="105"/>
      <c r="J1417" s="105" t="str">
        <f>IF(F1417=True, IFERROR(VLOOKUP(D1417, Repository!A:C, 3, 0), ""), "")</f>
        <v/>
      </c>
      <c r="K1417" s="105"/>
      <c r="L1417" s="105" t="str">
        <f>IF(F1417=True, IFERROR(VLOOKUP(D1417, Repository!A:E, 5, 0), ""), "")</f>
        <v/>
      </c>
      <c r="M1417" s="105"/>
      <c r="N1417" s="105" t="str">
        <f>IF(F1417=True, IFERROR(VLOOKUP(D1417, Repository!A:G, 7, 0), ""), "")</f>
        <v/>
      </c>
      <c r="O1417" s="105" t="str">
        <f>IFERROR(__xludf.DUMMYFUNCTION("ARRAY_CONSTRAIN(
  ARRAYFORMULA(
    IFERROR(
      LET(
        list, N1417,
        arr, TRIM(SPLIT(list, "","")),
        names, XLOOKUP(
          arr,
          'Conformance Score'!A:A,
          'Conformance Score'!B:B,
          ""Not found""
     "&amp;"   ),
        TEXTJOIN("", "", TRUE, names)
      ),
      """"
    )
  ),
  1,
  1
)
"),"")</f>
        <v/>
      </c>
      <c r="P1417" s="105" t="str">
        <f>IF(F1417="Yes", IFERROR(VLOOKUP(D1417, Repository!A:F, 6, 0), ""), "")</f>
        <v/>
      </c>
      <c r="Q1417" s="105" t="str">
        <f>IF(F1417="Yes", IFERROR(VLOOKUP(D1417, Repository!A:I, 8, 0), ""), "")</f>
        <v/>
      </c>
      <c r="R1417" s="105" t="str">
        <f>IF(F1417="Yes", IFERROR(VLOOKUP(D1417, Repository!A:J, 9, 0), ""), "")</f>
        <v/>
      </c>
      <c r="S1417" s="105"/>
      <c r="T1417" s="105"/>
      <c r="U1417" s="105"/>
      <c r="V1417" s="105"/>
      <c r="W1417" s="105"/>
      <c r="X1417" s="105"/>
      <c r="Y1417" s="105"/>
      <c r="Z1417" s="105"/>
      <c r="AA1417" s="105"/>
      <c r="AB1417" s="105"/>
      <c r="AC1417" s="91"/>
      <c r="AD1417" s="105"/>
      <c r="AE1417" s="105"/>
      <c r="AF1417" s="91"/>
      <c r="AG1417" s="105"/>
      <c r="AH1417" s="105"/>
      <c r="AI1417" s="105" t="str">
        <f t="shared" si="1"/>
        <v/>
      </c>
      <c r="AJ1417" s="108" t="str">
        <f t="shared" si="2"/>
        <v/>
      </c>
    </row>
    <row r="1418" ht="15.75" customHeight="1">
      <c r="A1418" s="104"/>
      <c r="B1418" s="105" t="str">
        <f>IFERROR(__xludf.DUMMYFUNCTION("ARRAY_CONSTRAIN(
  ARRAYFORMULA(
    IF(
      'Final Report'!A1418="""",
      """",
      TEXTJOIN(
        "", "" &amp; CHAR(10),
        TRUE,
        IFERROR(
          VLOOKUP(
            TRIM(
              SPLIT('Final Report'!A1418, "","")
         "&amp;"   ),
            'URL Details'!A:B,
            2,
            FALSE
          ),
          """"
        )
      )
    )
  ),
  1,
  1
)
"),"")</f>
        <v/>
      </c>
      <c r="C1418" s="105" t="str">
        <f>IFERROR(__xludf.DUMMYFUNCTION("IFERROR(IF('Final Report'!A1418="""","""", TEXTJOIN(CHAR(10), TRUE, ARRAYFORMULA( ""• ""&amp; FILTER( TRIM(FLATTEN(SPLIT( REGEXREPLACE( SUBSTITUTE(TEXTJOIN("","", TRUE, IFERROR(ARRAYFORMULA(VLOOKUP(TRIM(SPLIT('Final Report'!A1418, "","")), 'URL Details'!A:D, "&amp;"4, FALSE)),"""") ), CHAR(10), "",""), ""\s*,\s*"", "",""), "",""))), TRIM(FLATTEN(SPLIT( REGEXREPLACE( SUBSTITUTE(TEXTJOIN("","", TRUE, IFERROR(ARRAYFORMULA(VLOOKUP(TRIM(SPLIT('Final Report'!A1418, "","")), 'URL Details'!A:D, 4, FALSE)),"""") ), CHAR(10),"&amp;" "",""), ""\s*,\s*"", "",""), "","")))&lt;&gt;"""" ) ) ) ),"""")
"),"")</f>
        <v/>
      </c>
      <c r="D1418" s="105"/>
      <c r="E1418" s="105"/>
      <c r="F1418" s="110" t="b">
        <v>0</v>
      </c>
      <c r="G1418" s="105" t="str">
        <f>IF(F1418=True, IFERROR(VLOOKUP(D1418, Repository!A:B, 2, 0), ""), "")</f>
        <v/>
      </c>
      <c r="H1418" s="105"/>
      <c r="I1418" s="105"/>
      <c r="J1418" s="105" t="str">
        <f>IF(F1418=True, IFERROR(VLOOKUP(D1418, Repository!A:C, 3, 0), ""), "")</f>
        <v/>
      </c>
      <c r="K1418" s="105"/>
      <c r="L1418" s="105" t="str">
        <f>IF(F1418=True, IFERROR(VLOOKUP(D1418, Repository!A:E, 5, 0), ""), "")</f>
        <v/>
      </c>
      <c r="M1418" s="105"/>
      <c r="N1418" s="105" t="str">
        <f>IF(F1418=True, IFERROR(VLOOKUP(D1418, Repository!A:G, 7, 0), ""), "")</f>
        <v/>
      </c>
      <c r="O1418" s="105" t="str">
        <f>IFERROR(__xludf.DUMMYFUNCTION("ARRAY_CONSTRAIN(
  ARRAYFORMULA(
    IFERROR(
      LET(
        list, N1418,
        arr, TRIM(SPLIT(list, "","")),
        names, XLOOKUP(
          arr,
          'Conformance Score'!A:A,
          'Conformance Score'!B:B,
          ""Not found""
     "&amp;"   ),
        TEXTJOIN("", "", TRUE, names)
      ),
      """"
    )
  ),
  1,
  1
)
"),"")</f>
        <v/>
      </c>
      <c r="P1418" s="105" t="str">
        <f>IF(F1418="Yes", IFERROR(VLOOKUP(D1418, Repository!A:F, 6, 0), ""), "")</f>
        <v/>
      </c>
      <c r="Q1418" s="105" t="str">
        <f>IF(F1418="Yes", IFERROR(VLOOKUP(D1418, Repository!A:I, 8, 0), ""), "")</f>
        <v/>
      </c>
      <c r="R1418" s="105" t="str">
        <f>IF(F1418="Yes", IFERROR(VLOOKUP(D1418, Repository!A:J, 9, 0), ""), "")</f>
        <v/>
      </c>
      <c r="S1418" s="105"/>
      <c r="T1418" s="105"/>
      <c r="U1418" s="105"/>
      <c r="V1418" s="105"/>
      <c r="W1418" s="105"/>
      <c r="X1418" s="105"/>
      <c r="Y1418" s="105"/>
      <c r="Z1418" s="105"/>
      <c r="AA1418" s="105"/>
      <c r="AB1418" s="105"/>
      <c r="AC1418" s="91"/>
      <c r="AD1418" s="105"/>
      <c r="AE1418" s="105"/>
      <c r="AF1418" s="91"/>
      <c r="AG1418" s="105"/>
      <c r="AH1418" s="105"/>
      <c r="AI1418" s="105" t="str">
        <f t="shared" si="1"/>
        <v/>
      </c>
      <c r="AJ1418" s="108" t="str">
        <f t="shared" si="2"/>
        <v/>
      </c>
    </row>
    <row r="1419" ht="15.75" customHeight="1">
      <c r="A1419" s="104"/>
      <c r="B1419" s="105" t="str">
        <f>IFERROR(__xludf.DUMMYFUNCTION("ARRAY_CONSTRAIN(
  ARRAYFORMULA(
    IF(
      'Final Report'!A1419="""",
      """",
      TEXTJOIN(
        "", "" &amp; CHAR(10),
        TRUE,
        IFERROR(
          VLOOKUP(
            TRIM(
              SPLIT('Final Report'!A1419, "","")
         "&amp;"   ),
            'URL Details'!A:B,
            2,
            FALSE
          ),
          """"
        )
      )
    )
  ),
  1,
  1
)
"),"")</f>
        <v/>
      </c>
      <c r="C1419" s="105" t="str">
        <f>IFERROR(__xludf.DUMMYFUNCTION("IFERROR(IF('Final Report'!A1419="""","""", TEXTJOIN(CHAR(10), TRUE, ARRAYFORMULA( ""• ""&amp; FILTER( TRIM(FLATTEN(SPLIT( REGEXREPLACE( SUBSTITUTE(TEXTJOIN("","", TRUE, IFERROR(ARRAYFORMULA(VLOOKUP(TRIM(SPLIT('Final Report'!A1419, "","")), 'URL Details'!A:D, "&amp;"4, FALSE)),"""") ), CHAR(10), "",""), ""\s*,\s*"", "",""), "",""))), TRIM(FLATTEN(SPLIT( REGEXREPLACE( SUBSTITUTE(TEXTJOIN("","", TRUE, IFERROR(ARRAYFORMULA(VLOOKUP(TRIM(SPLIT('Final Report'!A1419, "","")), 'URL Details'!A:D, 4, FALSE)),"""") ), CHAR(10),"&amp;" "",""), ""\s*,\s*"", "",""), "","")))&lt;&gt;"""" ) ) ) ),"""")
"),"")</f>
        <v/>
      </c>
      <c r="D1419" s="105"/>
      <c r="E1419" s="105"/>
      <c r="F1419" s="110" t="b">
        <v>0</v>
      </c>
      <c r="G1419" s="105" t="str">
        <f>IF(F1419=True, IFERROR(VLOOKUP(D1419, Repository!A:B, 2, 0), ""), "")</f>
        <v/>
      </c>
      <c r="H1419" s="105"/>
      <c r="I1419" s="105"/>
      <c r="J1419" s="105" t="str">
        <f>IF(F1419=True, IFERROR(VLOOKUP(D1419, Repository!A:C, 3, 0), ""), "")</f>
        <v/>
      </c>
      <c r="K1419" s="105"/>
      <c r="L1419" s="105" t="str">
        <f>IF(F1419=True, IFERROR(VLOOKUP(D1419, Repository!A:E, 5, 0), ""), "")</f>
        <v/>
      </c>
      <c r="M1419" s="105"/>
      <c r="N1419" s="105" t="str">
        <f>IF(F1419=True, IFERROR(VLOOKUP(D1419, Repository!A:G, 7, 0), ""), "")</f>
        <v/>
      </c>
      <c r="O1419" s="105" t="str">
        <f>IFERROR(__xludf.DUMMYFUNCTION("ARRAY_CONSTRAIN(
  ARRAYFORMULA(
    IFERROR(
      LET(
        list, N1419,
        arr, TRIM(SPLIT(list, "","")),
        names, XLOOKUP(
          arr,
          'Conformance Score'!A:A,
          'Conformance Score'!B:B,
          ""Not found""
     "&amp;"   ),
        TEXTJOIN("", "", TRUE, names)
      ),
      """"
    )
  ),
  1,
  1
)
"),"")</f>
        <v/>
      </c>
      <c r="P1419" s="105" t="str">
        <f>IF(F1419="Yes", IFERROR(VLOOKUP(D1419, Repository!A:F, 6, 0), ""), "")</f>
        <v/>
      </c>
      <c r="Q1419" s="105" t="str">
        <f>IF(F1419="Yes", IFERROR(VLOOKUP(D1419, Repository!A:I, 8, 0), ""), "")</f>
        <v/>
      </c>
      <c r="R1419" s="105" t="str">
        <f>IF(F1419="Yes", IFERROR(VLOOKUP(D1419, Repository!A:J, 9, 0), ""), "")</f>
        <v/>
      </c>
      <c r="S1419" s="105"/>
      <c r="T1419" s="105"/>
      <c r="U1419" s="105"/>
      <c r="V1419" s="105"/>
      <c r="W1419" s="105"/>
      <c r="X1419" s="105"/>
      <c r="Y1419" s="105"/>
      <c r="Z1419" s="105"/>
      <c r="AA1419" s="105"/>
      <c r="AB1419" s="105"/>
      <c r="AC1419" s="91"/>
      <c r="AD1419" s="105"/>
      <c r="AE1419" s="105"/>
      <c r="AF1419" s="91"/>
      <c r="AG1419" s="105"/>
      <c r="AH1419" s="105"/>
      <c r="AI1419" s="105" t="str">
        <f t="shared" si="1"/>
        <v/>
      </c>
      <c r="AJ1419" s="108" t="str">
        <f t="shared" si="2"/>
        <v/>
      </c>
    </row>
    <row r="1420" ht="15.75" customHeight="1">
      <c r="A1420" s="104"/>
      <c r="B1420" s="105" t="str">
        <f>IFERROR(__xludf.DUMMYFUNCTION("ARRAY_CONSTRAIN(
  ARRAYFORMULA(
    IF(
      'Final Report'!A1420="""",
      """",
      TEXTJOIN(
        "", "" &amp; CHAR(10),
        TRUE,
        IFERROR(
          VLOOKUP(
            TRIM(
              SPLIT('Final Report'!A1420, "","")
         "&amp;"   ),
            'URL Details'!A:B,
            2,
            FALSE
          ),
          """"
        )
      )
    )
  ),
  1,
  1
)
"),"")</f>
        <v/>
      </c>
      <c r="C1420" s="105" t="str">
        <f>IFERROR(__xludf.DUMMYFUNCTION("IFERROR(IF('Final Report'!A1420="""","""", TEXTJOIN(CHAR(10), TRUE, ARRAYFORMULA( ""• ""&amp; FILTER( TRIM(FLATTEN(SPLIT( REGEXREPLACE( SUBSTITUTE(TEXTJOIN("","", TRUE, IFERROR(ARRAYFORMULA(VLOOKUP(TRIM(SPLIT('Final Report'!A1420, "","")), 'URL Details'!A:D, "&amp;"4, FALSE)),"""") ), CHAR(10), "",""), ""\s*,\s*"", "",""), "",""))), TRIM(FLATTEN(SPLIT( REGEXREPLACE( SUBSTITUTE(TEXTJOIN("","", TRUE, IFERROR(ARRAYFORMULA(VLOOKUP(TRIM(SPLIT('Final Report'!A1420, "","")), 'URL Details'!A:D, 4, FALSE)),"""") ), CHAR(10),"&amp;" "",""), ""\s*,\s*"", "",""), "","")))&lt;&gt;"""" ) ) ) ),"""")
"),"")</f>
        <v/>
      </c>
      <c r="D1420" s="105"/>
      <c r="E1420" s="105"/>
      <c r="F1420" s="110" t="b">
        <v>0</v>
      </c>
      <c r="G1420" s="105" t="str">
        <f>IF(F1420=True, IFERROR(VLOOKUP(D1420, Repository!A:B, 2, 0), ""), "")</f>
        <v/>
      </c>
      <c r="H1420" s="105"/>
      <c r="I1420" s="105"/>
      <c r="J1420" s="105" t="str">
        <f>IF(F1420=True, IFERROR(VLOOKUP(D1420, Repository!A:C, 3, 0), ""), "")</f>
        <v/>
      </c>
      <c r="K1420" s="105"/>
      <c r="L1420" s="105" t="str">
        <f>IF(F1420=True, IFERROR(VLOOKUP(D1420, Repository!A:E, 5, 0), ""), "")</f>
        <v/>
      </c>
      <c r="M1420" s="105"/>
      <c r="N1420" s="105" t="str">
        <f>IF(F1420=True, IFERROR(VLOOKUP(D1420, Repository!A:G, 7, 0), ""), "")</f>
        <v/>
      </c>
      <c r="O1420" s="105" t="str">
        <f>IFERROR(__xludf.DUMMYFUNCTION("ARRAY_CONSTRAIN(
  ARRAYFORMULA(
    IFERROR(
      LET(
        list, N1420,
        arr, TRIM(SPLIT(list, "","")),
        names, XLOOKUP(
          arr,
          'Conformance Score'!A:A,
          'Conformance Score'!B:B,
          ""Not found""
     "&amp;"   ),
        TEXTJOIN("", "", TRUE, names)
      ),
      """"
    )
  ),
  1,
  1
)
"),"")</f>
        <v/>
      </c>
      <c r="P1420" s="105" t="str">
        <f>IF(F1420="Yes", IFERROR(VLOOKUP(D1420, Repository!A:F, 6, 0), ""), "")</f>
        <v/>
      </c>
      <c r="Q1420" s="105" t="str">
        <f>IF(F1420="Yes", IFERROR(VLOOKUP(D1420, Repository!A:I, 8, 0), ""), "")</f>
        <v/>
      </c>
      <c r="R1420" s="105" t="str">
        <f>IF(F1420="Yes", IFERROR(VLOOKUP(D1420, Repository!A:J, 9, 0), ""), "")</f>
        <v/>
      </c>
      <c r="S1420" s="105"/>
      <c r="T1420" s="105"/>
      <c r="U1420" s="105"/>
      <c r="V1420" s="105"/>
      <c r="W1420" s="105"/>
      <c r="X1420" s="105"/>
      <c r="Y1420" s="105"/>
      <c r="Z1420" s="105"/>
      <c r="AA1420" s="105"/>
      <c r="AB1420" s="105"/>
      <c r="AC1420" s="91"/>
      <c r="AD1420" s="105"/>
      <c r="AE1420" s="105"/>
      <c r="AF1420" s="91"/>
      <c r="AG1420" s="105"/>
      <c r="AH1420" s="105"/>
      <c r="AI1420" s="105" t="str">
        <f t="shared" si="1"/>
        <v/>
      </c>
      <c r="AJ1420" s="108" t="str">
        <f t="shared" si="2"/>
        <v/>
      </c>
    </row>
    <row r="1421" ht="15.75" customHeight="1">
      <c r="A1421" s="104"/>
      <c r="B1421" s="105" t="str">
        <f>IFERROR(__xludf.DUMMYFUNCTION("ARRAY_CONSTRAIN(
  ARRAYFORMULA(
    IF(
      'Final Report'!A1421="""",
      """",
      TEXTJOIN(
        "", "" &amp; CHAR(10),
        TRUE,
        IFERROR(
          VLOOKUP(
            TRIM(
              SPLIT('Final Report'!A1421, "","")
         "&amp;"   ),
            'URL Details'!A:B,
            2,
            FALSE
          ),
          """"
        )
      )
    )
  ),
  1,
  1
)
"),"")</f>
        <v/>
      </c>
      <c r="C1421" s="105" t="str">
        <f>IFERROR(__xludf.DUMMYFUNCTION("IFERROR(IF('Final Report'!A1421="""","""", TEXTJOIN(CHAR(10), TRUE, ARRAYFORMULA( ""• ""&amp; FILTER( TRIM(FLATTEN(SPLIT( REGEXREPLACE( SUBSTITUTE(TEXTJOIN("","", TRUE, IFERROR(ARRAYFORMULA(VLOOKUP(TRIM(SPLIT('Final Report'!A1421, "","")), 'URL Details'!A:D, "&amp;"4, FALSE)),"""") ), CHAR(10), "",""), ""\s*,\s*"", "",""), "",""))), TRIM(FLATTEN(SPLIT( REGEXREPLACE( SUBSTITUTE(TEXTJOIN("","", TRUE, IFERROR(ARRAYFORMULA(VLOOKUP(TRIM(SPLIT('Final Report'!A1421, "","")), 'URL Details'!A:D, 4, FALSE)),"""") ), CHAR(10),"&amp;" "",""), ""\s*,\s*"", "",""), "","")))&lt;&gt;"""" ) ) ) ),"""")
"),"")</f>
        <v/>
      </c>
      <c r="D1421" s="105"/>
      <c r="E1421" s="105"/>
      <c r="F1421" s="110" t="b">
        <v>0</v>
      </c>
      <c r="G1421" s="105" t="str">
        <f>IF(F1421=True, IFERROR(VLOOKUP(D1421, Repository!A:B, 2, 0), ""), "")</f>
        <v/>
      </c>
      <c r="H1421" s="105"/>
      <c r="I1421" s="105"/>
      <c r="J1421" s="105" t="str">
        <f>IF(F1421=True, IFERROR(VLOOKUP(D1421, Repository!A:C, 3, 0), ""), "")</f>
        <v/>
      </c>
      <c r="K1421" s="105"/>
      <c r="L1421" s="105" t="str">
        <f>IF(F1421=True, IFERROR(VLOOKUP(D1421, Repository!A:E, 5, 0), ""), "")</f>
        <v/>
      </c>
      <c r="M1421" s="105"/>
      <c r="N1421" s="105" t="str">
        <f>IF(F1421=True, IFERROR(VLOOKUP(D1421, Repository!A:G, 7, 0), ""), "")</f>
        <v/>
      </c>
      <c r="O1421" s="105" t="str">
        <f>IFERROR(__xludf.DUMMYFUNCTION("ARRAY_CONSTRAIN(
  ARRAYFORMULA(
    IFERROR(
      LET(
        list, N1421,
        arr, TRIM(SPLIT(list, "","")),
        names, XLOOKUP(
          arr,
          'Conformance Score'!A:A,
          'Conformance Score'!B:B,
          ""Not found""
     "&amp;"   ),
        TEXTJOIN("", "", TRUE, names)
      ),
      """"
    )
  ),
  1,
  1
)
"),"")</f>
        <v/>
      </c>
      <c r="P1421" s="105" t="str">
        <f>IF(F1421="Yes", IFERROR(VLOOKUP(D1421, Repository!A:F, 6, 0), ""), "")</f>
        <v/>
      </c>
      <c r="Q1421" s="105" t="str">
        <f>IF(F1421="Yes", IFERROR(VLOOKUP(D1421, Repository!A:I, 8, 0), ""), "")</f>
        <v/>
      </c>
      <c r="R1421" s="105" t="str">
        <f>IF(F1421="Yes", IFERROR(VLOOKUP(D1421, Repository!A:J, 9, 0), ""), "")</f>
        <v/>
      </c>
      <c r="S1421" s="105"/>
      <c r="T1421" s="105"/>
      <c r="U1421" s="105"/>
      <c r="V1421" s="105"/>
      <c r="W1421" s="105"/>
      <c r="X1421" s="105"/>
      <c r="Y1421" s="105"/>
      <c r="Z1421" s="105"/>
      <c r="AA1421" s="105"/>
      <c r="AB1421" s="105"/>
      <c r="AC1421" s="91"/>
      <c r="AD1421" s="105"/>
      <c r="AE1421" s="105"/>
      <c r="AF1421" s="91"/>
      <c r="AG1421" s="105"/>
      <c r="AH1421" s="105"/>
      <c r="AI1421" s="105" t="str">
        <f t="shared" si="1"/>
        <v/>
      </c>
      <c r="AJ1421" s="108" t="str">
        <f t="shared" si="2"/>
        <v/>
      </c>
    </row>
    <row r="1422" ht="15.75" customHeight="1">
      <c r="A1422" s="104"/>
      <c r="B1422" s="105" t="str">
        <f>IFERROR(__xludf.DUMMYFUNCTION("ARRAY_CONSTRAIN(
  ARRAYFORMULA(
    IF(
      'Final Report'!A1422="""",
      """",
      TEXTJOIN(
        "", "" &amp; CHAR(10),
        TRUE,
        IFERROR(
          VLOOKUP(
            TRIM(
              SPLIT('Final Report'!A1422, "","")
         "&amp;"   ),
            'URL Details'!A:B,
            2,
            FALSE
          ),
          """"
        )
      )
    )
  ),
  1,
  1
)
"),"")</f>
        <v/>
      </c>
      <c r="C1422" s="105" t="str">
        <f>IFERROR(__xludf.DUMMYFUNCTION("IFERROR(IF('Final Report'!A1422="""","""", TEXTJOIN(CHAR(10), TRUE, ARRAYFORMULA( ""• ""&amp; FILTER( TRIM(FLATTEN(SPLIT( REGEXREPLACE( SUBSTITUTE(TEXTJOIN("","", TRUE, IFERROR(ARRAYFORMULA(VLOOKUP(TRIM(SPLIT('Final Report'!A1422, "","")), 'URL Details'!A:D, "&amp;"4, FALSE)),"""") ), CHAR(10), "",""), ""\s*,\s*"", "",""), "",""))), TRIM(FLATTEN(SPLIT( REGEXREPLACE( SUBSTITUTE(TEXTJOIN("","", TRUE, IFERROR(ARRAYFORMULA(VLOOKUP(TRIM(SPLIT('Final Report'!A1422, "","")), 'URL Details'!A:D, 4, FALSE)),"""") ), CHAR(10),"&amp;" "",""), ""\s*,\s*"", "",""), "","")))&lt;&gt;"""" ) ) ) ),"""")
"),"")</f>
        <v/>
      </c>
      <c r="D1422" s="105"/>
      <c r="E1422" s="105"/>
      <c r="F1422" s="110" t="b">
        <v>0</v>
      </c>
      <c r="G1422" s="105" t="str">
        <f>IF(F1422=True, IFERROR(VLOOKUP(D1422, Repository!A:B, 2, 0), ""), "")</f>
        <v/>
      </c>
      <c r="H1422" s="105"/>
      <c r="I1422" s="105"/>
      <c r="J1422" s="105" t="str">
        <f>IF(F1422=True, IFERROR(VLOOKUP(D1422, Repository!A:C, 3, 0), ""), "")</f>
        <v/>
      </c>
      <c r="K1422" s="105"/>
      <c r="L1422" s="105" t="str">
        <f>IF(F1422=True, IFERROR(VLOOKUP(D1422, Repository!A:E, 5, 0), ""), "")</f>
        <v/>
      </c>
      <c r="M1422" s="105"/>
      <c r="N1422" s="105" t="str">
        <f>IF(F1422=True, IFERROR(VLOOKUP(D1422, Repository!A:G, 7, 0), ""), "")</f>
        <v/>
      </c>
      <c r="O1422" s="105" t="str">
        <f>IFERROR(__xludf.DUMMYFUNCTION("ARRAY_CONSTRAIN(
  ARRAYFORMULA(
    IFERROR(
      LET(
        list, N1422,
        arr, TRIM(SPLIT(list, "","")),
        names, XLOOKUP(
          arr,
          'Conformance Score'!A:A,
          'Conformance Score'!B:B,
          ""Not found""
     "&amp;"   ),
        TEXTJOIN("", "", TRUE, names)
      ),
      """"
    )
  ),
  1,
  1
)
"),"")</f>
        <v/>
      </c>
      <c r="P1422" s="105" t="str">
        <f>IF(F1422="Yes", IFERROR(VLOOKUP(D1422, Repository!A:F, 6, 0), ""), "")</f>
        <v/>
      </c>
      <c r="Q1422" s="105" t="str">
        <f>IF(F1422="Yes", IFERROR(VLOOKUP(D1422, Repository!A:I, 8, 0), ""), "")</f>
        <v/>
      </c>
      <c r="R1422" s="105" t="str">
        <f>IF(F1422="Yes", IFERROR(VLOOKUP(D1422, Repository!A:J, 9, 0), ""), "")</f>
        <v/>
      </c>
      <c r="S1422" s="105"/>
      <c r="T1422" s="105"/>
      <c r="U1422" s="105"/>
      <c r="V1422" s="105"/>
      <c r="W1422" s="105"/>
      <c r="X1422" s="105"/>
      <c r="Y1422" s="105"/>
      <c r="Z1422" s="105"/>
      <c r="AA1422" s="105"/>
      <c r="AB1422" s="105"/>
      <c r="AC1422" s="91"/>
      <c r="AD1422" s="105"/>
      <c r="AE1422" s="105"/>
      <c r="AF1422" s="91"/>
      <c r="AG1422" s="105"/>
      <c r="AH1422" s="105"/>
      <c r="AI1422" s="105" t="str">
        <f t="shared" si="1"/>
        <v/>
      </c>
      <c r="AJ1422" s="108" t="str">
        <f t="shared" si="2"/>
        <v/>
      </c>
    </row>
    <row r="1423" ht="15.75" customHeight="1">
      <c r="A1423" s="104"/>
      <c r="B1423" s="105" t="str">
        <f>IFERROR(__xludf.DUMMYFUNCTION("ARRAY_CONSTRAIN(
  ARRAYFORMULA(
    IF(
      'Final Report'!A1423="""",
      """",
      TEXTJOIN(
        "", "" &amp; CHAR(10),
        TRUE,
        IFERROR(
          VLOOKUP(
            TRIM(
              SPLIT('Final Report'!A1423, "","")
         "&amp;"   ),
            'URL Details'!A:B,
            2,
            FALSE
          ),
          """"
        )
      )
    )
  ),
  1,
  1
)
"),"")</f>
        <v/>
      </c>
      <c r="C1423" s="105" t="str">
        <f>IFERROR(__xludf.DUMMYFUNCTION("IFERROR(IF('Final Report'!A1423="""","""", TEXTJOIN(CHAR(10), TRUE, ARRAYFORMULA( ""• ""&amp; FILTER( TRIM(FLATTEN(SPLIT( REGEXREPLACE( SUBSTITUTE(TEXTJOIN("","", TRUE, IFERROR(ARRAYFORMULA(VLOOKUP(TRIM(SPLIT('Final Report'!A1423, "","")), 'URL Details'!A:D, "&amp;"4, FALSE)),"""") ), CHAR(10), "",""), ""\s*,\s*"", "",""), "",""))), TRIM(FLATTEN(SPLIT( REGEXREPLACE( SUBSTITUTE(TEXTJOIN("","", TRUE, IFERROR(ARRAYFORMULA(VLOOKUP(TRIM(SPLIT('Final Report'!A1423, "","")), 'URL Details'!A:D, 4, FALSE)),"""") ), CHAR(10),"&amp;" "",""), ""\s*,\s*"", "",""), "","")))&lt;&gt;"""" ) ) ) ),"""")
"),"")</f>
        <v/>
      </c>
      <c r="D1423" s="105"/>
      <c r="E1423" s="105"/>
      <c r="F1423" s="110" t="b">
        <v>0</v>
      </c>
      <c r="G1423" s="105" t="str">
        <f>IF(F1423=True, IFERROR(VLOOKUP(D1423, Repository!A:B, 2, 0), ""), "")</f>
        <v/>
      </c>
      <c r="H1423" s="105"/>
      <c r="I1423" s="105"/>
      <c r="J1423" s="105" t="str">
        <f>IF(F1423=True, IFERROR(VLOOKUP(D1423, Repository!A:C, 3, 0), ""), "")</f>
        <v/>
      </c>
      <c r="K1423" s="105"/>
      <c r="L1423" s="105" t="str">
        <f>IF(F1423=True, IFERROR(VLOOKUP(D1423, Repository!A:E, 5, 0), ""), "")</f>
        <v/>
      </c>
      <c r="M1423" s="105"/>
      <c r="N1423" s="105" t="str">
        <f>IF(F1423=True, IFERROR(VLOOKUP(D1423, Repository!A:G, 7, 0), ""), "")</f>
        <v/>
      </c>
      <c r="O1423" s="105" t="str">
        <f>IFERROR(__xludf.DUMMYFUNCTION("ARRAY_CONSTRAIN(
  ARRAYFORMULA(
    IFERROR(
      LET(
        list, N1423,
        arr, TRIM(SPLIT(list, "","")),
        names, XLOOKUP(
          arr,
          'Conformance Score'!A:A,
          'Conformance Score'!B:B,
          ""Not found""
     "&amp;"   ),
        TEXTJOIN("", "", TRUE, names)
      ),
      """"
    )
  ),
  1,
  1
)
"),"")</f>
        <v/>
      </c>
      <c r="P1423" s="105" t="str">
        <f>IF(F1423="Yes", IFERROR(VLOOKUP(D1423, Repository!A:F, 6, 0), ""), "")</f>
        <v/>
      </c>
      <c r="Q1423" s="105" t="str">
        <f>IF(F1423="Yes", IFERROR(VLOOKUP(D1423, Repository!A:I, 8, 0), ""), "")</f>
        <v/>
      </c>
      <c r="R1423" s="105" t="str">
        <f>IF(F1423="Yes", IFERROR(VLOOKUP(D1423, Repository!A:J, 9, 0), ""), "")</f>
        <v/>
      </c>
      <c r="S1423" s="105"/>
      <c r="T1423" s="105"/>
      <c r="U1423" s="105"/>
      <c r="V1423" s="105"/>
      <c r="W1423" s="105"/>
      <c r="X1423" s="105"/>
      <c r="Y1423" s="105"/>
      <c r="Z1423" s="105"/>
      <c r="AA1423" s="105"/>
      <c r="AB1423" s="105"/>
      <c r="AC1423" s="91"/>
      <c r="AD1423" s="105"/>
      <c r="AE1423" s="105"/>
      <c r="AF1423" s="91"/>
      <c r="AG1423" s="105"/>
      <c r="AH1423" s="105"/>
      <c r="AI1423" s="105" t="str">
        <f t="shared" si="1"/>
        <v/>
      </c>
      <c r="AJ1423" s="108" t="str">
        <f t="shared" si="2"/>
        <v/>
      </c>
    </row>
    <row r="1424" ht="15.75" customHeight="1">
      <c r="A1424" s="104"/>
      <c r="B1424" s="105" t="str">
        <f>IFERROR(__xludf.DUMMYFUNCTION("ARRAY_CONSTRAIN(
  ARRAYFORMULA(
    IF(
      'Final Report'!A1424="""",
      """",
      TEXTJOIN(
        "", "" &amp; CHAR(10),
        TRUE,
        IFERROR(
          VLOOKUP(
            TRIM(
              SPLIT('Final Report'!A1424, "","")
         "&amp;"   ),
            'URL Details'!A:B,
            2,
            FALSE
          ),
          """"
        )
      )
    )
  ),
  1,
  1
)
"),"")</f>
        <v/>
      </c>
      <c r="C1424" s="105" t="str">
        <f>IFERROR(__xludf.DUMMYFUNCTION("IFERROR(IF('Final Report'!A1424="""","""", TEXTJOIN(CHAR(10), TRUE, ARRAYFORMULA( ""• ""&amp; FILTER( TRIM(FLATTEN(SPLIT( REGEXREPLACE( SUBSTITUTE(TEXTJOIN("","", TRUE, IFERROR(ARRAYFORMULA(VLOOKUP(TRIM(SPLIT('Final Report'!A1424, "","")), 'URL Details'!A:D, "&amp;"4, FALSE)),"""") ), CHAR(10), "",""), ""\s*,\s*"", "",""), "",""))), TRIM(FLATTEN(SPLIT( REGEXREPLACE( SUBSTITUTE(TEXTJOIN("","", TRUE, IFERROR(ARRAYFORMULA(VLOOKUP(TRIM(SPLIT('Final Report'!A1424, "","")), 'URL Details'!A:D, 4, FALSE)),"""") ), CHAR(10),"&amp;" "",""), ""\s*,\s*"", "",""), "","")))&lt;&gt;"""" ) ) ) ),"""")
"),"")</f>
        <v/>
      </c>
      <c r="D1424" s="105"/>
      <c r="E1424" s="105"/>
      <c r="F1424" s="110" t="b">
        <v>0</v>
      </c>
      <c r="G1424" s="105" t="str">
        <f>IF(F1424=True, IFERROR(VLOOKUP(D1424, Repository!A:B, 2, 0), ""), "")</f>
        <v/>
      </c>
      <c r="H1424" s="105"/>
      <c r="I1424" s="105"/>
      <c r="J1424" s="105" t="str">
        <f>IF(F1424=True, IFERROR(VLOOKUP(D1424, Repository!A:C, 3, 0), ""), "")</f>
        <v/>
      </c>
      <c r="K1424" s="105"/>
      <c r="L1424" s="105" t="str">
        <f>IF(F1424=True, IFERROR(VLOOKUP(D1424, Repository!A:E, 5, 0), ""), "")</f>
        <v/>
      </c>
      <c r="M1424" s="105"/>
      <c r="N1424" s="105" t="str">
        <f>IF(F1424=True, IFERROR(VLOOKUP(D1424, Repository!A:G, 7, 0), ""), "")</f>
        <v/>
      </c>
      <c r="O1424" s="105" t="str">
        <f>IFERROR(__xludf.DUMMYFUNCTION("ARRAY_CONSTRAIN(
  ARRAYFORMULA(
    IFERROR(
      LET(
        list, N1424,
        arr, TRIM(SPLIT(list, "","")),
        names, XLOOKUP(
          arr,
          'Conformance Score'!A:A,
          'Conformance Score'!B:B,
          ""Not found""
     "&amp;"   ),
        TEXTJOIN("", "", TRUE, names)
      ),
      """"
    )
  ),
  1,
  1
)
"),"")</f>
        <v/>
      </c>
      <c r="P1424" s="105" t="str">
        <f>IF(F1424="Yes", IFERROR(VLOOKUP(D1424, Repository!A:F, 6, 0), ""), "")</f>
        <v/>
      </c>
      <c r="Q1424" s="105" t="str">
        <f>IF(F1424="Yes", IFERROR(VLOOKUP(D1424, Repository!A:I, 8, 0), ""), "")</f>
        <v/>
      </c>
      <c r="R1424" s="105" t="str">
        <f>IF(F1424="Yes", IFERROR(VLOOKUP(D1424, Repository!A:J, 9, 0), ""), "")</f>
        <v/>
      </c>
      <c r="S1424" s="105"/>
      <c r="T1424" s="105"/>
      <c r="U1424" s="105"/>
      <c r="V1424" s="105"/>
      <c r="W1424" s="105"/>
      <c r="X1424" s="105"/>
      <c r="Y1424" s="105"/>
      <c r="Z1424" s="105"/>
      <c r="AA1424" s="105"/>
      <c r="AB1424" s="105"/>
      <c r="AC1424" s="91"/>
      <c r="AD1424" s="105"/>
      <c r="AE1424" s="105"/>
      <c r="AF1424" s="91"/>
      <c r="AG1424" s="105"/>
      <c r="AH1424" s="105"/>
      <c r="AI1424" s="105" t="str">
        <f t="shared" si="1"/>
        <v/>
      </c>
      <c r="AJ1424" s="108" t="str">
        <f t="shared" si="2"/>
        <v/>
      </c>
    </row>
    <row r="1425" ht="15.75" customHeight="1">
      <c r="A1425" s="104"/>
      <c r="B1425" s="105" t="str">
        <f>IFERROR(__xludf.DUMMYFUNCTION("ARRAY_CONSTRAIN(
  ARRAYFORMULA(
    IF(
      'Final Report'!A1425="""",
      """",
      TEXTJOIN(
        "", "" &amp; CHAR(10),
        TRUE,
        IFERROR(
          VLOOKUP(
            TRIM(
              SPLIT('Final Report'!A1425, "","")
         "&amp;"   ),
            'URL Details'!A:B,
            2,
            FALSE
          ),
          """"
        )
      )
    )
  ),
  1,
  1
)
"),"")</f>
        <v/>
      </c>
      <c r="C1425" s="105" t="str">
        <f>IFERROR(__xludf.DUMMYFUNCTION("IFERROR(IF('Final Report'!A1425="""","""", TEXTJOIN(CHAR(10), TRUE, ARRAYFORMULA( ""• ""&amp; FILTER( TRIM(FLATTEN(SPLIT( REGEXREPLACE( SUBSTITUTE(TEXTJOIN("","", TRUE, IFERROR(ARRAYFORMULA(VLOOKUP(TRIM(SPLIT('Final Report'!A1425, "","")), 'URL Details'!A:D, "&amp;"4, FALSE)),"""") ), CHAR(10), "",""), ""\s*,\s*"", "",""), "",""))), TRIM(FLATTEN(SPLIT( REGEXREPLACE( SUBSTITUTE(TEXTJOIN("","", TRUE, IFERROR(ARRAYFORMULA(VLOOKUP(TRIM(SPLIT('Final Report'!A1425, "","")), 'URL Details'!A:D, 4, FALSE)),"""") ), CHAR(10),"&amp;" "",""), ""\s*,\s*"", "",""), "","")))&lt;&gt;"""" ) ) ) ),"""")
"),"")</f>
        <v/>
      </c>
      <c r="D1425" s="105"/>
      <c r="E1425" s="105"/>
      <c r="F1425" s="110" t="b">
        <v>0</v>
      </c>
      <c r="G1425" s="105" t="str">
        <f>IF(F1425=True, IFERROR(VLOOKUP(D1425, Repository!A:B, 2, 0), ""), "")</f>
        <v/>
      </c>
      <c r="H1425" s="105"/>
      <c r="I1425" s="105"/>
      <c r="J1425" s="105" t="str">
        <f>IF(F1425=True, IFERROR(VLOOKUP(D1425, Repository!A:C, 3, 0), ""), "")</f>
        <v/>
      </c>
      <c r="K1425" s="105"/>
      <c r="L1425" s="105" t="str">
        <f>IF(F1425=True, IFERROR(VLOOKUP(D1425, Repository!A:E, 5, 0), ""), "")</f>
        <v/>
      </c>
      <c r="M1425" s="105"/>
      <c r="N1425" s="105" t="str">
        <f>IF(F1425=True, IFERROR(VLOOKUP(D1425, Repository!A:G, 7, 0), ""), "")</f>
        <v/>
      </c>
      <c r="O1425" s="105" t="str">
        <f>IFERROR(__xludf.DUMMYFUNCTION("ARRAY_CONSTRAIN(
  ARRAYFORMULA(
    IFERROR(
      LET(
        list, N1425,
        arr, TRIM(SPLIT(list, "","")),
        names, XLOOKUP(
          arr,
          'Conformance Score'!A:A,
          'Conformance Score'!B:B,
          ""Not found""
     "&amp;"   ),
        TEXTJOIN("", "", TRUE, names)
      ),
      """"
    )
  ),
  1,
  1
)
"),"")</f>
        <v/>
      </c>
      <c r="P1425" s="105" t="str">
        <f>IF(F1425="Yes", IFERROR(VLOOKUP(D1425, Repository!A:F, 6, 0), ""), "")</f>
        <v/>
      </c>
      <c r="Q1425" s="105" t="str">
        <f>IF(F1425="Yes", IFERROR(VLOOKUP(D1425, Repository!A:I, 8, 0), ""), "")</f>
        <v/>
      </c>
      <c r="R1425" s="105" t="str">
        <f>IF(F1425="Yes", IFERROR(VLOOKUP(D1425, Repository!A:J, 9, 0), ""), "")</f>
        <v/>
      </c>
      <c r="S1425" s="105"/>
      <c r="T1425" s="105"/>
      <c r="U1425" s="105"/>
      <c r="V1425" s="105"/>
      <c r="W1425" s="105"/>
      <c r="X1425" s="105"/>
      <c r="Y1425" s="105"/>
      <c r="Z1425" s="105"/>
      <c r="AA1425" s="105"/>
      <c r="AB1425" s="105"/>
      <c r="AC1425" s="91"/>
      <c r="AD1425" s="105"/>
      <c r="AE1425" s="105"/>
      <c r="AF1425" s="91"/>
      <c r="AG1425" s="105"/>
      <c r="AH1425" s="105"/>
      <c r="AI1425" s="105" t="str">
        <f t="shared" si="1"/>
        <v/>
      </c>
      <c r="AJ1425" s="108" t="str">
        <f t="shared" si="2"/>
        <v/>
      </c>
    </row>
    <row r="1426" ht="15.75" customHeight="1">
      <c r="A1426" s="104"/>
      <c r="B1426" s="105" t="str">
        <f>IFERROR(__xludf.DUMMYFUNCTION("ARRAY_CONSTRAIN(
  ARRAYFORMULA(
    IF(
      'Final Report'!A1426="""",
      """",
      TEXTJOIN(
        "", "" &amp; CHAR(10),
        TRUE,
        IFERROR(
          VLOOKUP(
            TRIM(
              SPLIT('Final Report'!A1426, "","")
         "&amp;"   ),
            'URL Details'!A:B,
            2,
            FALSE
          ),
          """"
        )
      )
    )
  ),
  1,
  1
)
"),"")</f>
        <v/>
      </c>
      <c r="C1426" s="105" t="str">
        <f>IFERROR(__xludf.DUMMYFUNCTION("IFERROR(IF('Final Report'!A1426="""","""", TEXTJOIN(CHAR(10), TRUE, ARRAYFORMULA( ""• ""&amp; FILTER( TRIM(FLATTEN(SPLIT( REGEXREPLACE( SUBSTITUTE(TEXTJOIN("","", TRUE, IFERROR(ARRAYFORMULA(VLOOKUP(TRIM(SPLIT('Final Report'!A1426, "","")), 'URL Details'!A:D, "&amp;"4, FALSE)),"""") ), CHAR(10), "",""), ""\s*,\s*"", "",""), "",""))), TRIM(FLATTEN(SPLIT( REGEXREPLACE( SUBSTITUTE(TEXTJOIN("","", TRUE, IFERROR(ARRAYFORMULA(VLOOKUP(TRIM(SPLIT('Final Report'!A1426, "","")), 'URL Details'!A:D, 4, FALSE)),"""") ), CHAR(10),"&amp;" "",""), ""\s*,\s*"", "",""), "","")))&lt;&gt;"""" ) ) ) ),"""")
"),"")</f>
        <v/>
      </c>
      <c r="D1426" s="105"/>
      <c r="E1426" s="105"/>
      <c r="F1426" s="110" t="b">
        <v>0</v>
      </c>
      <c r="G1426" s="105" t="str">
        <f>IF(F1426=True, IFERROR(VLOOKUP(D1426, Repository!A:B, 2, 0), ""), "")</f>
        <v/>
      </c>
      <c r="H1426" s="105"/>
      <c r="I1426" s="105"/>
      <c r="J1426" s="105" t="str">
        <f>IF(F1426=True, IFERROR(VLOOKUP(D1426, Repository!A:C, 3, 0), ""), "")</f>
        <v/>
      </c>
      <c r="K1426" s="105"/>
      <c r="L1426" s="105" t="str">
        <f>IF(F1426=True, IFERROR(VLOOKUP(D1426, Repository!A:E, 5, 0), ""), "")</f>
        <v/>
      </c>
      <c r="M1426" s="105"/>
      <c r="N1426" s="105" t="str">
        <f>IF(F1426=True, IFERROR(VLOOKUP(D1426, Repository!A:G, 7, 0), ""), "")</f>
        <v/>
      </c>
      <c r="O1426" s="105" t="str">
        <f>IFERROR(__xludf.DUMMYFUNCTION("ARRAY_CONSTRAIN(
  ARRAYFORMULA(
    IFERROR(
      LET(
        list, N1426,
        arr, TRIM(SPLIT(list, "","")),
        names, XLOOKUP(
          arr,
          'Conformance Score'!A:A,
          'Conformance Score'!B:B,
          ""Not found""
     "&amp;"   ),
        TEXTJOIN("", "", TRUE, names)
      ),
      """"
    )
  ),
  1,
  1
)
"),"")</f>
        <v/>
      </c>
      <c r="P1426" s="105" t="str">
        <f>IF(F1426="Yes", IFERROR(VLOOKUP(D1426, Repository!A:F, 6, 0), ""), "")</f>
        <v/>
      </c>
      <c r="Q1426" s="105" t="str">
        <f>IF(F1426="Yes", IFERROR(VLOOKUP(D1426, Repository!A:I, 8, 0), ""), "")</f>
        <v/>
      </c>
      <c r="R1426" s="105" t="str">
        <f>IF(F1426="Yes", IFERROR(VLOOKUP(D1426, Repository!A:J, 9, 0), ""), "")</f>
        <v/>
      </c>
      <c r="S1426" s="105"/>
      <c r="T1426" s="105"/>
      <c r="U1426" s="105"/>
      <c r="V1426" s="105"/>
      <c r="W1426" s="105"/>
      <c r="X1426" s="105"/>
      <c r="Y1426" s="105"/>
      <c r="Z1426" s="105"/>
      <c r="AA1426" s="105"/>
      <c r="AB1426" s="105"/>
      <c r="AC1426" s="91"/>
      <c r="AD1426" s="105"/>
      <c r="AE1426" s="105"/>
      <c r="AF1426" s="91"/>
      <c r="AG1426" s="105"/>
      <c r="AH1426" s="105"/>
      <c r="AI1426" s="105" t="str">
        <f t="shared" si="1"/>
        <v/>
      </c>
      <c r="AJ1426" s="108" t="str">
        <f t="shared" si="2"/>
        <v/>
      </c>
    </row>
    <row r="1427" ht="15.75" customHeight="1">
      <c r="A1427" s="104"/>
      <c r="B1427" s="105" t="str">
        <f>IFERROR(__xludf.DUMMYFUNCTION("ARRAY_CONSTRAIN(
  ARRAYFORMULA(
    IF(
      'Final Report'!A1427="""",
      """",
      TEXTJOIN(
        "", "" &amp; CHAR(10),
        TRUE,
        IFERROR(
          VLOOKUP(
            TRIM(
              SPLIT('Final Report'!A1427, "","")
         "&amp;"   ),
            'URL Details'!A:B,
            2,
            FALSE
          ),
          """"
        )
      )
    )
  ),
  1,
  1
)
"),"")</f>
        <v/>
      </c>
      <c r="C1427" s="105" t="str">
        <f>IFERROR(__xludf.DUMMYFUNCTION("IFERROR(IF('Final Report'!A1427="""","""", TEXTJOIN(CHAR(10), TRUE, ARRAYFORMULA( ""• ""&amp; FILTER( TRIM(FLATTEN(SPLIT( REGEXREPLACE( SUBSTITUTE(TEXTJOIN("","", TRUE, IFERROR(ARRAYFORMULA(VLOOKUP(TRIM(SPLIT('Final Report'!A1427, "","")), 'URL Details'!A:D, "&amp;"4, FALSE)),"""") ), CHAR(10), "",""), ""\s*,\s*"", "",""), "",""))), TRIM(FLATTEN(SPLIT( REGEXREPLACE( SUBSTITUTE(TEXTJOIN("","", TRUE, IFERROR(ARRAYFORMULA(VLOOKUP(TRIM(SPLIT('Final Report'!A1427, "","")), 'URL Details'!A:D, 4, FALSE)),"""") ), CHAR(10),"&amp;" "",""), ""\s*,\s*"", "",""), "","")))&lt;&gt;"""" ) ) ) ),"""")
"),"")</f>
        <v/>
      </c>
      <c r="D1427" s="105"/>
      <c r="E1427" s="105"/>
      <c r="F1427" s="110" t="b">
        <v>0</v>
      </c>
      <c r="G1427" s="105" t="str">
        <f>IF(F1427=True, IFERROR(VLOOKUP(D1427, Repository!A:B, 2, 0), ""), "")</f>
        <v/>
      </c>
      <c r="H1427" s="105"/>
      <c r="I1427" s="105"/>
      <c r="J1427" s="105" t="str">
        <f>IF(F1427=True, IFERROR(VLOOKUP(D1427, Repository!A:C, 3, 0), ""), "")</f>
        <v/>
      </c>
      <c r="K1427" s="105"/>
      <c r="L1427" s="105" t="str">
        <f>IF(F1427=True, IFERROR(VLOOKUP(D1427, Repository!A:E, 5, 0), ""), "")</f>
        <v/>
      </c>
      <c r="M1427" s="105"/>
      <c r="N1427" s="105" t="str">
        <f>IF(F1427=True, IFERROR(VLOOKUP(D1427, Repository!A:G, 7, 0), ""), "")</f>
        <v/>
      </c>
      <c r="O1427" s="105" t="str">
        <f>IFERROR(__xludf.DUMMYFUNCTION("ARRAY_CONSTRAIN(
  ARRAYFORMULA(
    IFERROR(
      LET(
        list, N1427,
        arr, TRIM(SPLIT(list, "","")),
        names, XLOOKUP(
          arr,
          'Conformance Score'!A:A,
          'Conformance Score'!B:B,
          ""Not found""
     "&amp;"   ),
        TEXTJOIN("", "", TRUE, names)
      ),
      """"
    )
  ),
  1,
  1
)
"),"")</f>
        <v/>
      </c>
      <c r="P1427" s="105" t="str">
        <f>IF(F1427="Yes", IFERROR(VLOOKUP(D1427, Repository!A:F, 6, 0), ""), "")</f>
        <v/>
      </c>
      <c r="Q1427" s="105" t="str">
        <f>IF(F1427="Yes", IFERROR(VLOOKUP(D1427, Repository!A:I, 8, 0), ""), "")</f>
        <v/>
      </c>
      <c r="R1427" s="105" t="str">
        <f>IF(F1427="Yes", IFERROR(VLOOKUP(D1427, Repository!A:J, 9, 0), ""), "")</f>
        <v/>
      </c>
      <c r="S1427" s="105"/>
      <c r="T1427" s="105"/>
      <c r="U1427" s="105"/>
      <c r="V1427" s="105"/>
      <c r="W1427" s="105"/>
      <c r="X1427" s="105"/>
      <c r="Y1427" s="105"/>
      <c r="Z1427" s="105"/>
      <c r="AA1427" s="105"/>
      <c r="AB1427" s="105"/>
      <c r="AC1427" s="91"/>
      <c r="AD1427" s="105"/>
      <c r="AE1427" s="105"/>
      <c r="AF1427" s="91"/>
      <c r="AG1427" s="105"/>
      <c r="AH1427" s="105"/>
      <c r="AI1427" s="105" t="str">
        <f t="shared" si="1"/>
        <v/>
      </c>
      <c r="AJ1427" s="108" t="str">
        <f t="shared" si="2"/>
        <v/>
      </c>
    </row>
    <row r="1428" ht="15.75" customHeight="1">
      <c r="A1428" s="104"/>
      <c r="B1428" s="105" t="str">
        <f>IFERROR(__xludf.DUMMYFUNCTION("ARRAY_CONSTRAIN(
  ARRAYFORMULA(
    IF(
      'Final Report'!A1428="""",
      """",
      TEXTJOIN(
        "", "" &amp; CHAR(10),
        TRUE,
        IFERROR(
          VLOOKUP(
            TRIM(
              SPLIT('Final Report'!A1428, "","")
         "&amp;"   ),
            'URL Details'!A:B,
            2,
            FALSE
          ),
          """"
        )
      )
    )
  ),
  1,
  1
)
"),"")</f>
        <v/>
      </c>
      <c r="C1428" s="105" t="str">
        <f>IFERROR(__xludf.DUMMYFUNCTION("IFERROR(IF('Final Report'!A1428="""","""", TEXTJOIN(CHAR(10), TRUE, ARRAYFORMULA( ""• ""&amp; FILTER( TRIM(FLATTEN(SPLIT( REGEXREPLACE( SUBSTITUTE(TEXTJOIN("","", TRUE, IFERROR(ARRAYFORMULA(VLOOKUP(TRIM(SPLIT('Final Report'!A1428, "","")), 'URL Details'!A:D, "&amp;"4, FALSE)),"""") ), CHAR(10), "",""), ""\s*,\s*"", "",""), "",""))), TRIM(FLATTEN(SPLIT( REGEXREPLACE( SUBSTITUTE(TEXTJOIN("","", TRUE, IFERROR(ARRAYFORMULA(VLOOKUP(TRIM(SPLIT('Final Report'!A1428, "","")), 'URL Details'!A:D, 4, FALSE)),"""") ), CHAR(10),"&amp;" "",""), ""\s*,\s*"", "",""), "","")))&lt;&gt;"""" ) ) ) ),"""")
"),"")</f>
        <v/>
      </c>
      <c r="D1428" s="105"/>
      <c r="E1428" s="105"/>
      <c r="F1428" s="110" t="b">
        <v>0</v>
      </c>
      <c r="G1428" s="105" t="str">
        <f>IF(F1428=True, IFERROR(VLOOKUP(D1428, Repository!A:B, 2, 0), ""), "")</f>
        <v/>
      </c>
      <c r="H1428" s="105"/>
      <c r="I1428" s="105"/>
      <c r="J1428" s="105" t="str">
        <f>IF(F1428=True, IFERROR(VLOOKUP(D1428, Repository!A:C, 3, 0), ""), "")</f>
        <v/>
      </c>
      <c r="K1428" s="105"/>
      <c r="L1428" s="105" t="str">
        <f>IF(F1428=True, IFERROR(VLOOKUP(D1428, Repository!A:E, 5, 0), ""), "")</f>
        <v/>
      </c>
      <c r="M1428" s="105"/>
      <c r="N1428" s="105" t="str">
        <f>IF(F1428=True, IFERROR(VLOOKUP(D1428, Repository!A:G, 7, 0), ""), "")</f>
        <v/>
      </c>
      <c r="O1428" s="105" t="str">
        <f>IFERROR(__xludf.DUMMYFUNCTION("ARRAY_CONSTRAIN(
  ARRAYFORMULA(
    IFERROR(
      LET(
        list, N1428,
        arr, TRIM(SPLIT(list, "","")),
        names, XLOOKUP(
          arr,
          'Conformance Score'!A:A,
          'Conformance Score'!B:B,
          ""Not found""
     "&amp;"   ),
        TEXTJOIN("", "", TRUE, names)
      ),
      """"
    )
  ),
  1,
  1
)
"),"")</f>
        <v/>
      </c>
      <c r="P1428" s="105" t="str">
        <f>IF(F1428="Yes", IFERROR(VLOOKUP(D1428, Repository!A:F, 6, 0), ""), "")</f>
        <v/>
      </c>
      <c r="Q1428" s="105" t="str">
        <f>IF(F1428="Yes", IFERROR(VLOOKUP(D1428, Repository!A:I, 8, 0), ""), "")</f>
        <v/>
      </c>
      <c r="R1428" s="105" t="str">
        <f>IF(F1428="Yes", IFERROR(VLOOKUP(D1428, Repository!A:J, 9, 0), ""), "")</f>
        <v/>
      </c>
      <c r="S1428" s="105"/>
      <c r="T1428" s="105"/>
      <c r="U1428" s="105"/>
      <c r="V1428" s="105"/>
      <c r="W1428" s="105"/>
      <c r="X1428" s="105"/>
      <c r="Y1428" s="105"/>
      <c r="Z1428" s="105"/>
      <c r="AA1428" s="105"/>
      <c r="AB1428" s="105"/>
      <c r="AC1428" s="91"/>
      <c r="AD1428" s="105"/>
      <c r="AE1428" s="105"/>
      <c r="AF1428" s="91"/>
      <c r="AG1428" s="105"/>
      <c r="AH1428" s="105"/>
      <c r="AI1428" s="105" t="str">
        <f t="shared" si="1"/>
        <v/>
      </c>
      <c r="AJ1428" s="108" t="str">
        <f t="shared" si="2"/>
        <v/>
      </c>
    </row>
    <row r="1429" ht="15.75" customHeight="1">
      <c r="A1429" s="104"/>
      <c r="B1429" s="105" t="str">
        <f>IFERROR(__xludf.DUMMYFUNCTION("ARRAY_CONSTRAIN(
  ARRAYFORMULA(
    IF(
      'Final Report'!A1429="""",
      """",
      TEXTJOIN(
        "", "" &amp; CHAR(10),
        TRUE,
        IFERROR(
          VLOOKUP(
            TRIM(
              SPLIT('Final Report'!A1429, "","")
         "&amp;"   ),
            'URL Details'!A:B,
            2,
            FALSE
          ),
          """"
        )
      )
    )
  ),
  1,
  1
)
"),"")</f>
        <v/>
      </c>
      <c r="C1429" s="105" t="str">
        <f>IFERROR(__xludf.DUMMYFUNCTION("IFERROR(IF('Final Report'!A1429="""","""", TEXTJOIN(CHAR(10), TRUE, ARRAYFORMULA( ""• ""&amp; FILTER( TRIM(FLATTEN(SPLIT( REGEXREPLACE( SUBSTITUTE(TEXTJOIN("","", TRUE, IFERROR(ARRAYFORMULA(VLOOKUP(TRIM(SPLIT('Final Report'!A1429, "","")), 'URL Details'!A:D, "&amp;"4, FALSE)),"""") ), CHAR(10), "",""), ""\s*,\s*"", "",""), "",""))), TRIM(FLATTEN(SPLIT( REGEXREPLACE( SUBSTITUTE(TEXTJOIN("","", TRUE, IFERROR(ARRAYFORMULA(VLOOKUP(TRIM(SPLIT('Final Report'!A1429, "","")), 'URL Details'!A:D, 4, FALSE)),"""") ), CHAR(10),"&amp;" "",""), ""\s*,\s*"", "",""), "","")))&lt;&gt;"""" ) ) ) ),"""")
"),"")</f>
        <v/>
      </c>
      <c r="D1429" s="105"/>
      <c r="E1429" s="105"/>
      <c r="F1429" s="110" t="b">
        <v>0</v>
      </c>
      <c r="G1429" s="105" t="str">
        <f>IF(F1429=True, IFERROR(VLOOKUP(D1429, Repository!A:B, 2, 0), ""), "")</f>
        <v/>
      </c>
      <c r="H1429" s="105"/>
      <c r="I1429" s="105"/>
      <c r="J1429" s="105" t="str">
        <f>IF(F1429=True, IFERROR(VLOOKUP(D1429, Repository!A:C, 3, 0), ""), "")</f>
        <v/>
      </c>
      <c r="K1429" s="105"/>
      <c r="L1429" s="105" t="str">
        <f>IF(F1429=True, IFERROR(VLOOKUP(D1429, Repository!A:E, 5, 0), ""), "")</f>
        <v/>
      </c>
      <c r="M1429" s="105"/>
      <c r="N1429" s="105" t="str">
        <f>IF(F1429=True, IFERROR(VLOOKUP(D1429, Repository!A:G, 7, 0), ""), "")</f>
        <v/>
      </c>
      <c r="O1429" s="105" t="str">
        <f>IFERROR(__xludf.DUMMYFUNCTION("ARRAY_CONSTRAIN(
  ARRAYFORMULA(
    IFERROR(
      LET(
        list, N1429,
        arr, TRIM(SPLIT(list, "","")),
        names, XLOOKUP(
          arr,
          'Conformance Score'!A:A,
          'Conformance Score'!B:B,
          ""Not found""
     "&amp;"   ),
        TEXTJOIN("", "", TRUE, names)
      ),
      """"
    )
  ),
  1,
  1
)
"),"")</f>
        <v/>
      </c>
      <c r="P1429" s="105" t="str">
        <f>IF(F1429="Yes", IFERROR(VLOOKUP(D1429, Repository!A:F, 6, 0), ""), "")</f>
        <v/>
      </c>
      <c r="Q1429" s="105" t="str">
        <f>IF(F1429="Yes", IFERROR(VLOOKUP(D1429, Repository!A:I, 8, 0), ""), "")</f>
        <v/>
      </c>
      <c r="R1429" s="105" t="str">
        <f>IF(F1429="Yes", IFERROR(VLOOKUP(D1429, Repository!A:J, 9, 0), ""), "")</f>
        <v/>
      </c>
      <c r="S1429" s="105"/>
      <c r="T1429" s="105"/>
      <c r="U1429" s="105"/>
      <c r="V1429" s="105"/>
      <c r="W1429" s="105"/>
      <c r="X1429" s="105"/>
      <c r="Y1429" s="105"/>
      <c r="Z1429" s="105"/>
      <c r="AA1429" s="105"/>
      <c r="AB1429" s="105"/>
      <c r="AC1429" s="91"/>
      <c r="AD1429" s="105"/>
      <c r="AE1429" s="105"/>
      <c r="AF1429" s="91"/>
      <c r="AG1429" s="105"/>
      <c r="AH1429" s="105"/>
      <c r="AI1429" s="105" t="str">
        <f t="shared" si="1"/>
        <v/>
      </c>
      <c r="AJ1429" s="108" t="str">
        <f t="shared" si="2"/>
        <v/>
      </c>
    </row>
    <row r="1430" ht="15.75" customHeight="1">
      <c r="A1430" s="104"/>
      <c r="B1430" s="105" t="str">
        <f>IFERROR(__xludf.DUMMYFUNCTION("ARRAY_CONSTRAIN(
  ARRAYFORMULA(
    IF(
      'Final Report'!A1430="""",
      """",
      TEXTJOIN(
        "", "" &amp; CHAR(10),
        TRUE,
        IFERROR(
          VLOOKUP(
            TRIM(
              SPLIT('Final Report'!A1430, "","")
         "&amp;"   ),
            'URL Details'!A:B,
            2,
            FALSE
          ),
          """"
        )
      )
    )
  ),
  1,
  1
)
"),"")</f>
        <v/>
      </c>
      <c r="C1430" s="105" t="str">
        <f>IFERROR(__xludf.DUMMYFUNCTION("IFERROR(IF('Final Report'!A1430="""","""", TEXTJOIN(CHAR(10), TRUE, ARRAYFORMULA( ""• ""&amp; FILTER( TRIM(FLATTEN(SPLIT( REGEXREPLACE( SUBSTITUTE(TEXTJOIN("","", TRUE, IFERROR(ARRAYFORMULA(VLOOKUP(TRIM(SPLIT('Final Report'!A1430, "","")), 'URL Details'!A:D, "&amp;"4, FALSE)),"""") ), CHAR(10), "",""), ""\s*,\s*"", "",""), "",""))), TRIM(FLATTEN(SPLIT( REGEXREPLACE( SUBSTITUTE(TEXTJOIN("","", TRUE, IFERROR(ARRAYFORMULA(VLOOKUP(TRIM(SPLIT('Final Report'!A1430, "","")), 'URL Details'!A:D, 4, FALSE)),"""") ), CHAR(10),"&amp;" "",""), ""\s*,\s*"", "",""), "","")))&lt;&gt;"""" ) ) ) ),"""")
"),"")</f>
        <v/>
      </c>
      <c r="D1430" s="105"/>
      <c r="E1430" s="105"/>
      <c r="F1430" s="110" t="b">
        <v>0</v>
      </c>
      <c r="G1430" s="105" t="str">
        <f>IF(F1430=True, IFERROR(VLOOKUP(D1430, Repository!A:B, 2, 0), ""), "")</f>
        <v/>
      </c>
      <c r="H1430" s="105"/>
      <c r="I1430" s="105"/>
      <c r="J1430" s="105" t="str">
        <f>IF(F1430=True, IFERROR(VLOOKUP(D1430, Repository!A:C, 3, 0), ""), "")</f>
        <v/>
      </c>
      <c r="K1430" s="105"/>
      <c r="L1430" s="105" t="str">
        <f>IF(F1430=True, IFERROR(VLOOKUP(D1430, Repository!A:E, 5, 0), ""), "")</f>
        <v/>
      </c>
      <c r="M1430" s="105"/>
      <c r="N1430" s="105" t="str">
        <f>IF(F1430=True, IFERROR(VLOOKUP(D1430, Repository!A:G, 7, 0), ""), "")</f>
        <v/>
      </c>
      <c r="O1430" s="105" t="str">
        <f>IFERROR(__xludf.DUMMYFUNCTION("ARRAY_CONSTRAIN(
  ARRAYFORMULA(
    IFERROR(
      LET(
        list, N1430,
        arr, TRIM(SPLIT(list, "","")),
        names, XLOOKUP(
          arr,
          'Conformance Score'!A:A,
          'Conformance Score'!B:B,
          ""Not found""
     "&amp;"   ),
        TEXTJOIN("", "", TRUE, names)
      ),
      """"
    )
  ),
  1,
  1
)
"),"")</f>
        <v/>
      </c>
      <c r="P1430" s="105" t="str">
        <f>IF(F1430="Yes", IFERROR(VLOOKUP(D1430, Repository!A:F, 6, 0), ""), "")</f>
        <v/>
      </c>
      <c r="Q1430" s="105" t="str">
        <f>IF(F1430="Yes", IFERROR(VLOOKUP(D1430, Repository!A:I, 8, 0), ""), "")</f>
        <v/>
      </c>
      <c r="R1430" s="105" t="str">
        <f>IF(F1430="Yes", IFERROR(VLOOKUP(D1430, Repository!A:J, 9, 0), ""), "")</f>
        <v/>
      </c>
      <c r="S1430" s="105"/>
      <c r="T1430" s="105"/>
      <c r="U1430" s="105"/>
      <c r="V1430" s="105"/>
      <c r="W1430" s="105"/>
      <c r="X1430" s="105"/>
      <c r="Y1430" s="105"/>
      <c r="Z1430" s="105"/>
      <c r="AA1430" s="105"/>
      <c r="AB1430" s="105"/>
      <c r="AC1430" s="91"/>
      <c r="AD1430" s="105"/>
      <c r="AE1430" s="105"/>
      <c r="AF1430" s="91"/>
      <c r="AG1430" s="105"/>
      <c r="AH1430" s="105"/>
      <c r="AI1430" s="105" t="str">
        <f t="shared" si="1"/>
        <v/>
      </c>
      <c r="AJ1430" s="108" t="str">
        <f t="shared" si="2"/>
        <v/>
      </c>
    </row>
    <row r="1431" ht="15.75" customHeight="1">
      <c r="A1431" s="104"/>
      <c r="B1431" s="105" t="str">
        <f>IFERROR(__xludf.DUMMYFUNCTION("ARRAY_CONSTRAIN(
  ARRAYFORMULA(
    IF(
      'Final Report'!A1431="""",
      """",
      TEXTJOIN(
        "", "" &amp; CHAR(10),
        TRUE,
        IFERROR(
          VLOOKUP(
            TRIM(
              SPLIT('Final Report'!A1431, "","")
         "&amp;"   ),
            'URL Details'!A:B,
            2,
            FALSE
          ),
          """"
        )
      )
    )
  ),
  1,
  1
)
"),"")</f>
        <v/>
      </c>
      <c r="C1431" s="105" t="str">
        <f>IFERROR(__xludf.DUMMYFUNCTION("IFERROR(IF('Final Report'!A1431="""","""", TEXTJOIN(CHAR(10), TRUE, ARRAYFORMULA( ""• ""&amp; FILTER( TRIM(FLATTEN(SPLIT( REGEXREPLACE( SUBSTITUTE(TEXTJOIN("","", TRUE, IFERROR(ARRAYFORMULA(VLOOKUP(TRIM(SPLIT('Final Report'!A1431, "","")), 'URL Details'!A:D, "&amp;"4, FALSE)),"""") ), CHAR(10), "",""), ""\s*,\s*"", "",""), "",""))), TRIM(FLATTEN(SPLIT( REGEXREPLACE( SUBSTITUTE(TEXTJOIN("","", TRUE, IFERROR(ARRAYFORMULA(VLOOKUP(TRIM(SPLIT('Final Report'!A1431, "","")), 'URL Details'!A:D, 4, FALSE)),"""") ), CHAR(10),"&amp;" "",""), ""\s*,\s*"", "",""), "","")))&lt;&gt;"""" ) ) ) ),"""")
"),"")</f>
        <v/>
      </c>
      <c r="D1431" s="105"/>
      <c r="E1431" s="105"/>
      <c r="F1431" s="110" t="b">
        <v>0</v>
      </c>
      <c r="G1431" s="105" t="str">
        <f>IF(F1431=True, IFERROR(VLOOKUP(D1431, Repository!A:B, 2, 0), ""), "")</f>
        <v/>
      </c>
      <c r="H1431" s="105"/>
      <c r="I1431" s="105"/>
      <c r="J1431" s="105" t="str">
        <f>IF(F1431=True, IFERROR(VLOOKUP(D1431, Repository!A:C, 3, 0), ""), "")</f>
        <v/>
      </c>
      <c r="K1431" s="105"/>
      <c r="L1431" s="105" t="str">
        <f>IF(F1431=True, IFERROR(VLOOKUP(D1431, Repository!A:E, 5, 0), ""), "")</f>
        <v/>
      </c>
      <c r="M1431" s="105"/>
      <c r="N1431" s="105" t="str">
        <f>IF(F1431=True, IFERROR(VLOOKUP(D1431, Repository!A:G, 7, 0), ""), "")</f>
        <v/>
      </c>
      <c r="O1431" s="105" t="str">
        <f>IFERROR(__xludf.DUMMYFUNCTION("ARRAY_CONSTRAIN(
  ARRAYFORMULA(
    IFERROR(
      LET(
        list, N1431,
        arr, TRIM(SPLIT(list, "","")),
        names, XLOOKUP(
          arr,
          'Conformance Score'!A:A,
          'Conformance Score'!B:B,
          ""Not found""
     "&amp;"   ),
        TEXTJOIN("", "", TRUE, names)
      ),
      """"
    )
  ),
  1,
  1
)
"),"")</f>
        <v/>
      </c>
      <c r="P1431" s="105" t="str">
        <f>IF(F1431="Yes", IFERROR(VLOOKUP(D1431, Repository!A:F, 6, 0), ""), "")</f>
        <v/>
      </c>
      <c r="Q1431" s="105" t="str">
        <f>IF(F1431="Yes", IFERROR(VLOOKUP(D1431, Repository!A:I, 8, 0), ""), "")</f>
        <v/>
      </c>
      <c r="R1431" s="105" t="str">
        <f>IF(F1431="Yes", IFERROR(VLOOKUP(D1431, Repository!A:J, 9, 0), ""), "")</f>
        <v/>
      </c>
      <c r="S1431" s="105"/>
      <c r="T1431" s="105"/>
      <c r="U1431" s="105"/>
      <c r="V1431" s="105"/>
      <c r="W1431" s="105"/>
      <c r="X1431" s="105"/>
      <c r="Y1431" s="105"/>
      <c r="Z1431" s="105"/>
      <c r="AA1431" s="105"/>
      <c r="AB1431" s="105"/>
      <c r="AC1431" s="91"/>
      <c r="AD1431" s="105"/>
      <c r="AE1431" s="105"/>
      <c r="AF1431" s="91"/>
      <c r="AG1431" s="105"/>
      <c r="AH1431" s="105"/>
      <c r="AI1431" s="105" t="str">
        <f t="shared" si="1"/>
        <v/>
      </c>
      <c r="AJ1431" s="108" t="str">
        <f t="shared" si="2"/>
        <v/>
      </c>
    </row>
    <row r="1432" ht="15.75" customHeight="1">
      <c r="A1432" s="104"/>
      <c r="B1432" s="105" t="str">
        <f>IFERROR(__xludf.DUMMYFUNCTION("ARRAY_CONSTRAIN(
  ARRAYFORMULA(
    IF(
      'Final Report'!A1432="""",
      """",
      TEXTJOIN(
        "", "" &amp; CHAR(10),
        TRUE,
        IFERROR(
          VLOOKUP(
            TRIM(
              SPLIT('Final Report'!A1432, "","")
         "&amp;"   ),
            'URL Details'!A:B,
            2,
            FALSE
          ),
          """"
        )
      )
    )
  ),
  1,
  1
)
"),"")</f>
        <v/>
      </c>
      <c r="C1432" s="105" t="str">
        <f>IFERROR(__xludf.DUMMYFUNCTION("IFERROR(IF('Final Report'!A1432="""","""", TEXTJOIN(CHAR(10), TRUE, ARRAYFORMULA( ""• ""&amp; FILTER( TRIM(FLATTEN(SPLIT( REGEXREPLACE( SUBSTITUTE(TEXTJOIN("","", TRUE, IFERROR(ARRAYFORMULA(VLOOKUP(TRIM(SPLIT('Final Report'!A1432, "","")), 'URL Details'!A:D, "&amp;"4, FALSE)),"""") ), CHAR(10), "",""), ""\s*,\s*"", "",""), "",""))), TRIM(FLATTEN(SPLIT( REGEXREPLACE( SUBSTITUTE(TEXTJOIN("","", TRUE, IFERROR(ARRAYFORMULA(VLOOKUP(TRIM(SPLIT('Final Report'!A1432, "","")), 'URL Details'!A:D, 4, FALSE)),"""") ), CHAR(10),"&amp;" "",""), ""\s*,\s*"", "",""), "","")))&lt;&gt;"""" ) ) ) ),"""")
"),"")</f>
        <v/>
      </c>
      <c r="D1432" s="105"/>
      <c r="E1432" s="105"/>
      <c r="F1432" s="110" t="b">
        <v>0</v>
      </c>
      <c r="G1432" s="105" t="str">
        <f>IF(F1432=True, IFERROR(VLOOKUP(D1432, Repository!A:B, 2, 0), ""), "")</f>
        <v/>
      </c>
      <c r="H1432" s="105"/>
      <c r="I1432" s="105"/>
      <c r="J1432" s="105" t="str">
        <f>IF(F1432=True, IFERROR(VLOOKUP(D1432, Repository!A:C, 3, 0), ""), "")</f>
        <v/>
      </c>
      <c r="K1432" s="105"/>
      <c r="L1432" s="105" t="str">
        <f>IF(F1432=True, IFERROR(VLOOKUP(D1432, Repository!A:E, 5, 0), ""), "")</f>
        <v/>
      </c>
      <c r="M1432" s="105"/>
      <c r="N1432" s="105" t="str">
        <f>IF(F1432=True, IFERROR(VLOOKUP(D1432, Repository!A:G, 7, 0), ""), "")</f>
        <v/>
      </c>
      <c r="O1432" s="105" t="str">
        <f>IFERROR(__xludf.DUMMYFUNCTION("ARRAY_CONSTRAIN(
  ARRAYFORMULA(
    IFERROR(
      LET(
        list, N1432,
        arr, TRIM(SPLIT(list, "","")),
        names, XLOOKUP(
          arr,
          'Conformance Score'!A:A,
          'Conformance Score'!B:B,
          ""Not found""
     "&amp;"   ),
        TEXTJOIN("", "", TRUE, names)
      ),
      """"
    )
  ),
  1,
  1
)
"),"")</f>
        <v/>
      </c>
      <c r="P1432" s="105" t="str">
        <f>IF(F1432="Yes", IFERROR(VLOOKUP(D1432, Repository!A:F, 6, 0), ""), "")</f>
        <v/>
      </c>
      <c r="Q1432" s="105" t="str">
        <f>IF(F1432="Yes", IFERROR(VLOOKUP(D1432, Repository!A:I, 8, 0), ""), "")</f>
        <v/>
      </c>
      <c r="R1432" s="105" t="str">
        <f>IF(F1432="Yes", IFERROR(VLOOKUP(D1432, Repository!A:J, 9, 0), ""), "")</f>
        <v/>
      </c>
      <c r="S1432" s="105"/>
      <c r="T1432" s="105"/>
      <c r="U1432" s="105"/>
      <c r="V1432" s="105"/>
      <c r="W1432" s="105"/>
      <c r="X1432" s="105"/>
      <c r="Y1432" s="105"/>
      <c r="Z1432" s="105"/>
      <c r="AA1432" s="105"/>
      <c r="AB1432" s="105"/>
      <c r="AC1432" s="91"/>
      <c r="AD1432" s="105"/>
      <c r="AE1432" s="105"/>
      <c r="AF1432" s="91"/>
      <c r="AG1432" s="105"/>
      <c r="AH1432" s="105"/>
      <c r="AI1432" s="105" t="str">
        <f t="shared" si="1"/>
        <v/>
      </c>
      <c r="AJ1432" s="108" t="str">
        <f t="shared" si="2"/>
        <v/>
      </c>
    </row>
    <row r="1433" ht="15.75" customHeight="1">
      <c r="A1433" s="104"/>
      <c r="B1433" s="105" t="str">
        <f>IFERROR(__xludf.DUMMYFUNCTION("ARRAY_CONSTRAIN(
  ARRAYFORMULA(
    IF(
      'Final Report'!A1433="""",
      """",
      TEXTJOIN(
        "", "" &amp; CHAR(10),
        TRUE,
        IFERROR(
          VLOOKUP(
            TRIM(
              SPLIT('Final Report'!A1433, "","")
         "&amp;"   ),
            'URL Details'!A:B,
            2,
            FALSE
          ),
          """"
        )
      )
    )
  ),
  1,
  1
)
"),"")</f>
        <v/>
      </c>
      <c r="C1433" s="105" t="str">
        <f>IFERROR(__xludf.DUMMYFUNCTION("IFERROR(IF('Final Report'!A1433="""","""", TEXTJOIN(CHAR(10), TRUE, ARRAYFORMULA( ""• ""&amp; FILTER( TRIM(FLATTEN(SPLIT( REGEXREPLACE( SUBSTITUTE(TEXTJOIN("","", TRUE, IFERROR(ARRAYFORMULA(VLOOKUP(TRIM(SPLIT('Final Report'!A1433, "","")), 'URL Details'!A:D, "&amp;"4, FALSE)),"""") ), CHAR(10), "",""), ""\s*,\s*"", "",""), "",""))), TRIM(FLATTEN(SPLIT( REGEXREPLACE( SUBSTITUTE(TEXTJOIN("","", TRUE, IFERROR(ARRAYFORMULA(VLOOKUP(TRIM(SPLIT('Final Report'!A1433, "","")), 'URL Details'!A:D, 4, FALSE)),"""") ), CHAR(10),"&amp;" "",""), ""\s*,\s*"", "",""), "","")))&lt;&gt;"""" ) ) ) ),"""")
"),"")</f>
        <v/>
      </c>
      <c r="D1433" s="105"/>
      <c r="E1433" s="105"/>
      <c r="F1433" s="110" t="b">
        <v>0</v>
      </c>
      <c r="G1433" s="105" t="str">
        <f>IF(F1433=True, IFERROR(VLOOKUP(D1433, Repository!A:B, 2, 0), ""), "")</f>
        <v/>
      </c>
      <c r="H1433" s="105"/>
      <c r="I1433" s="105"/>
      <c r="J1433" s="105" t="str">
        <f>IF(F1433=True, IFERROR(VLOOKUP(D1433, Repository!A:C, 3, 0), ""), "")</f>
        <v/>
      </c>
      <c r="K1433" s="105"/>
      <c r="L1433" s="105" t="str">
        <f>IF(F1433=True, IFERROR(VLOOKUP(D1433, Repository!A:E, 5, 0), ""), "")</f>
        <v/>
      </c>
      <c r="M1433" s="105"/>
      <c r="N1433" s="105" t="str">
        <f>IF(F1433=True, IFERROR(VLOOKUP(D1433, Repository!A:G, 7, 0), ""), "")</f>
        <v/>
      </c>
      <c r="O1433" s="105" t="str">
        <f>IFERROR(__xludf.DUMMYFUNCTION("ARRAY_CONSTRAIN(
  ARRAYFORMULA(
    IFERROR(
      LET(
        list, N1433,
        arr, TRIM(SPLIT(list, "","")),
        names, XLOOKUP(
          arr,
          'Conformance Score'!A:A,
          'Conformance Score'!B:B,
          ""Not found""
     "&amp;"   ),
        TEXTJOIN("", "", TRUE, names)
      ),
      """"
    )
  ),
  1,
  1
)
"),"")</f>
        <v/>
      </c>
      <c r="P1433" s="105" t="str">
        <f>IF(F1433="Yes", IFERROR(VLOOKUP(D1433, Repository!A:F, 6, 0), ""), "")</f>
        <v/>
      </c>
      <c r="Q1433" s="105" t="str">
        <f>IF(F1433="Yes", IFERROR(VLOOKUP(D1433, Repository!A:I, 8, 0), ""), "")</f>
        <v/>
      </c>
      <c r="R1433" s="105" t="str">
        <f>IF(F1433="Yes", IFERROR(VLOOKUP(D1433, Repository!A:J, 9, 0), ""), "")</f>
        <v/>
      </c>
      <c r="S1433" s="105"/>
      <c r="T1433" s="105"/>
      <c r="U1433" s="105"/>
      <c r="V1433" s="105"/>
      <c r="W1433" s="105"/>
      <c r="X1433" s="105"/>
      <c r="Y1433" s="105"/>
      <c r="Z1433" s="105"/>
      <c r="AA1433" s="105"/>
      <c r="AB1433" s="105"/>
      <c r="AC1433" s="91"/>
      <c r="AD1433" s="105"/>
      <c r="AE1433" s="105"/>
      <c r="AF1433" s="91"/>
      <c r="AG1433" s="105"/>
      <c r="AH1433" s="105"/>
      <c r="AI1433" s="105" t="str">
        <f t="shared" si="1"/>
        <v/>
      </c>
      <c r="AJ1433" s="108" t="str">
        <f t="shared" si="2"/>
        <v/>
      </c>
    </row>
    <row r="1434" ht="15.75" customHeight="1">
      <c r="A1434" s="104"/>
      <c r="B1434" s="105" t="str">
        <f>IFERROR(__xludf.DUMMYFUNCTION("ARRAY_CONSTRAIN(
  ARRAYFORMULA(
    IF(
      'Final Report'!A1434="""",
      """",
      TEXTJOIN(
        "", "" &amp; CHAR(10),
        TRUE,
        IFERROR(
          VLOOKUP(
            TRIM(
              SPLIT('Final Report'!A1434, "","")
         "&amp;"   ),
            'URL Details'!A:B,
            2,
            FALSE
          ),
          """"
        )
      )
    )
  ),
  1,
  1
)
"),"")</f>
        <v/>
      </c>
      <c r="C1434" s="105" t="str">
        <f>IFERROR(__xludf.DUMMYFUNCTION("IFERROR(IF('Final Report'!A1434="""","""", TEXTJOIN(CHAR(10), TRUE, ARRAYFORMULA( ""• ""&amp; FILTER( TRIM(FLATTEN(SPLIT( REGEXREPLACE( SUBSTITUTE(TEXTJOIN("","", TRUE, IFERROR(ARRAYFORMULA(VLOOKUP(TRIM(SPLIT('Final Report'!A1434, "","")), 'URL Details'!A:D, "&amp;"4, FALSE)),"""") ), CHAR(10), "",""), ""\s*,\s*"", "",""), "",""))), TRIM(FLATTEN(SPLIT( REGEXREPLACE( SUBSTITUTE(TEXTJOIN("","", TRUE, IFERROR(ARRAYFORMULA(VLOOKUP(TRIM(SPLIT('Final Report'!A1434, "","")), 'URL Details'!A:D, 4, FALSE)),"""") ), CHAR(10),"&amp;" "",""), ""\s*,\s*"", "",""), "","")))&lt;&gt;"""" ) ) ) ),"""")
"),"")</f>
        <v/>
      </c>
      <c r="D1434" s="105"/>
      <c r="E1434" s="105"/>
      <c r="F1434" s="110" t="b">
        <v>0</v>
      </c>
      <c r="G1434" s="105" t="str">
        <f>IF(F1434=True, IFERROR(VLOOKUP(D1434, Repository!A:B, 2, 0), ""), "")</f>
        <v/>
      </c>
      <c r="H1434" s="105"/>
      <c r="I1434" s="105"/>
      <c r="J1434" s="105" t="str">
        <f>IF(F1434=True, IFERROR(VLOOKUP(D1434, Repository!A:C, 3, 0), ""), "")</f>
        <v/>
      </c>
      <c r="K1434" s="105"/>
      <c r="L1434" s="105" t="str">
        <f>IF(F1434=True, IFERROR(VLOOKUP(D1434, Repository!A:E, 5, 0), ""), "")</f>
        <v/>
      </c>
      <c r="M1434" s="105"/>
      <c r="N1434" s="105" t="str">
        <f>IF(F1434=True, IFERROR(VLOOKUP(D1434, Repository!A:G, 7, 0), ""), "")</f>
        <v/>
      </c>
      <c r="O1434" s="105" t="str">
        <f>IFERROR(__xludf.DUMMYFUNCTION("ARRAY_CONSTRAIN(
  ARRAYFORMULA(
    IFERROR(
      LET(
        list, N1434,
        arr, TRIM(SPLIT(list, "","")),
        names, XLOOKUP(
          arr,
          'Conformance Score'!A:A,
          'Conformance Score'!B:B,
          ""Not found""
     "&amp;"   ),
        TEXTJOIN("", "", TRUE, names)
      ),
      """"
    )
  ),
  1,
  1
)
"),"")</f>
        <v/>
      </c>
      <c r="P1434" s="105" t="str">
        <f>IF(F1434="Yes", IFERROR(VLOOKUP(D1434, Repository!A:F, 6, 0), ""), "")</f>
        <v/>
      </c>
      <c r="Q1434" s="105" t="str">
        <f>IF(F1434="Yes", IFERROR(VLOOKUP(D1434, Repository!A:I, 8, 0), ""), "")</f>
        <v/>
      </c>
      <c r="R1434" s="105" t="str">
        <f>IF(F1434="Yes", IFERROR(VLOOKUP(D1434, Repository!A:J, 9, 0), ""), "")</f>
        <v/>
      </c>
      <c r="S1434" s="105"/>
      <c r="T1434" s="105"/>
      <c r="U1434" s="105"/>
      <c r="V1434" s="105"/>
      <c r="W1434" s="105"/>
      <c r="X1434" s="105"/>
      <c r="Y1434" s="105"/>
      <c r="Z1434" s="105"/>
      <c r="AA1434" s="105"/>
      <c r="AB1434" s="105"/>
      <c r="AC1434" s="91"/>
      <c r="AD1434" s="105"/>
      <c r="AE1434" s="105"/>
      <c r="AF1434" s="91"/>
      <c r="AG1434" s="105"/>
      <c r="AH1434" s="105"/>
      <c r="AI1434" s="105" t="str">
        <f t="shared" si="1"/>
        <v/>
      </c>
      <c r="AJ1434" s="108" t="str">
        <f t="shared" si="2"/>
        <v/>
      </c>
    </row>
    <row r="1435" ht="15.75" customHeight="1">
      <c r="A1435" s="104"/>
      <c r="B1435" s="105" t="str">
        <f>IFERROR(__xludf.DUMMYFUNCTION("ARRAY_CONSTRAIN(
  ARRAYFORMULA(
    IF(
      'Final Report'!A1435="""",
      """",
      TEXTJOIN(
        "", "" &amp; CHAR(10),
        TRUE,
        IFERROR(
          VLOOKUP(
            TRIM(
              SPLIT('Final Report'!A1435, "","")
         "&amp;"   ),
            'URL Details'!A:B,
            2,
            FALSE
          ),
          """"
        )
      )
    )
  ),
  1,
  1
)
"),"")</f>
        <v/>
      </c>
      <c r="C1435" s="105" t="str">
        <f>IFERROR(__xludf.DUMMYFUNCTION("IFERROR(IF('Final Report'!A1435="""","""", TEXTJOIN(CHAR(10), TRUE, ARRAYFORMULA( ""• ""&amp; FILTER( TRIM(FLATTEN(SPLIT( REGEXREPLACE( SUBSTITUTE(TEXTJOIN("","", TRUE, IFERROR(ARRAYFORMULA(VLOOKUP(TRIM(SPLIT('Final Report'!A1435, "","")), 'URL Details'!A:D, "&amp;"4, FALSE)),"""") ), CHAR(10), "",""), ""\s*,\s*"", "",""), "",""))), TRIM(FLATTEN(SPLIT( REGEXREPLACE( SUBSTITUTE(TEXTJOIN("","", TRUE, IFERROR(ARRAYFORMULA(VLOOKUP(TRIM(SPLIT('Final Report'!A1435, "","")), 'URL Details'!A:D, 4, FALSE)),"""") ), CHAR(10),"&amp;" "",""), ""\s*,\s*"", "",""), "","")))&lt;&gt;"""" ) ) ) ),"""")
"),"")</f>
        <v/>
      </c>
      <c r="D1435" s="105"/>
      <c r="E1435" s="105"/>
      <c r="F1435" s="110" t="b">
        <v>0</v>
      </c>
      <c r="G1435" s="105" t="str">
        <f>IF(F1435=True, IFERROR(VLOOKUP(D1435, Repository!A:B, 2, 0), ""), "")</f>
        <v/>
      </c>
      <c r="H1435" s="105"/>
      <c r="I1435" s="105"/>
      <c r="J1435" s="105" t="str">
        <f>IF(F1435=True, IFERROR(VLOOKUP(D1435, Repository!A:C, 3, 0), ""), "")</f>
        <v/>
      </c>
      <c r="K1435" s="105"/>
      <c r="L1435" s="105" t="str">
        <f>IF(F1435=True, IFERROR(VLOOKUP(D1435, Repository!A:E, 5, 0), ""), "")</f>
        <v/>
      </c>
      <c r="M1435" s="105"/>
      <c r="N1435" s="105" t="str">
        <f>IF(F1435=True, IFERROR(VLOOKUP(D1435, Repository!A:G, 7, 0), ""), "")</f>
        <v/>
      </c>
      <c r="O1435" s="105" t="str">
        <f>IFERROR(__xludf.DUMMYFUNCTION("ARRAY_CONSTRAIN(
  ARRAYFORMULA(
    IFERROR(
      LET(
        list, N1435,
        arr, TRIM(SPLIT(list, "","")),
        names, XLOOKUP(
          arr,
          'Conformance Score'!A:A,
          'Conformance Score'!B:B,
          ""Not found""
     "&amp;"   ),
        TEXTJOIN("", "", TRUE, names)
      ),
      """"
    )
  ),
  1,
  1
)
"),"")</f>
        <v/>
      </c>
      <c r="P1435" s="105" t="str">
        <f>IF(F1435="Yes", IFERROR(VLOOKUP(D1435, Repository!A:F, 6, 0), ""), "")</f>
        <v/>
      </c>
      <c r="Q1435" s="105" t="str">
        <f>IF(F1435="Yes", IFERROR(VLOOKUP(D1435, Repository!A:I, 8, 0), ""), "")</f>
        <v/>
      </c>
      <c r="R1435" s="105" t="str">
        <f>IF(F1435="Yes", IFERROR(VLOOKUP(D1435, Repository!A:J, 9, 0), ""), "")</f>
        <v/>
      </c>
      <c r="S1435" s="105"/>
      <c r="T1435" s="105"/>
      <c r="U1435" s="105"/>
      <c r="V1435" s="105"/>
      <c r="W1435" s="105"/>
      <c r="X1435" s="105"/>
      <c r="Y1435" s="105"/>
      <c r="Z1435" s="105"/>
      <c r="AA1435" s="105"/>
      <c r="AB1435" s="105"/>
      <c r="AC1435" s="91"/>
      <c r="AD1435" s="105"/>
      <c r="AE1435" s="105"/>
      <c r="AF1435" s="91"/>
      <c r="AG1435" s="105"/>
      <c r="AH1435" s="105"/>
      <c r="AI1435" s="105" t="str">
        <f t="shared" si="1"/>
        <v/>
      </c>
      <c r="AJ1435" s="108" t="str">
        <f t="shared" si="2"/>
        <v/>
      </c>
    </row>
    <row r="1436" ht="15.75" customHeight="1">
      <c r="A1436" s="104"/>
      <c r="B1436" s="105" t="str">
        <f>IFERROR(__xludf.DUMMYFUNCTION("ARRAY_CONSTRAIN(
  ARRAYFORMULA(
    IF(
      'Final Report'!A1436="""",
      """",
      TEXTJOIN(
        "", "" &amp; CHAR(10),
        TRUE,
        IFERROR(
          VLOOKUP(
            TRIM(
              SPLIT('Final Report'!A1436, "","")
         "&amp;"   ),
            'URL Details'!A:B,
            2,
            FALSE
          ),
          """"
        )
      )
    )
  ),
  1,
  1
)
"),"")</f>
        <v/>
      </c>
      <c r="C1436" s="105" t="str">
        <f>IFERROR(__xludf.DUMMYFUNCTION("IFERROR(IF('Final Report'!A1436="""","""", TEXTJOIN(CHAR(10), TRUE, ARRAYFORMULA( ""• ""&amp; FILTER( TRIM(FLATTEN(SPLIT( REGEXREPLACE( SUBSTITUTE(TEXTJOIN("","", TRUE, IFERROR(ARRAYFORMULA(VLOOKUP(TRIM(SPLIT('Final Report'!A1436, "","")), 'URL Details'!A:D, "&amp;"4, FALSE)),"""") ), CHAR(10), "",""), ""\s*,\s*"", "",""), "",""))), TRIM(FLATTEN(SPLIT( REGEXREPLACE( SUBSTITUTE(TEXTJOIN("","", TRUE, IFERROR(ARRAYFORMULA(VLOOKUP(TRIM(SPLIT('Final Report'!A1436, "","")), 'URL Details'!A:D, 4, FALSE)),"""") ), CHAR(10),"&amp;" "",""), ""\s*,\s*"", "",""), "","")))&lt;&gt;"""" ) ) ) ),"""")
"),"")</f>
        <v/>
      </c>
      <c r="D1436" s="105"/>
      <c r="E1436" s="105"/>
      <c r="F1436" s="110" t="b">
        <v>0</v>
      </c>
      <c r="G1436" s="105" t="str">
        <f>IF(F1436=True, IFERROR(VLOOKUP(D1436, Repository!A:B, 2, 0), ""), "")</f>
        <v/>
      </c>
      <c r="H1436" s="105"/>
      <c r="I1436" s="105"/>
      <c r="J1436" s="105" t="str">
        <f>IF(F1436=True, IFERROR(VLOOKUP(D1436, Repository!A:C, 3, 0), ""), "")</f>
        <v/>
      </c>
      <c r="K1436" s="105"/>
      <c r="L1436" s="105" t="str">
        <f>IF(F1436=True, IFERROR(VLOOKUP(D1436, Repository!A:E, 5, 0), ""), "")</f>
        <v/>
      </c>
      <c r="M1436" s="105"/>
      <c r="N1436" s="105" t="str">
        <f>IF(F1436=True, IFERROR(VLOOKUP(D1436, Repository!A:G, 7, 0), ""), "")</f>
        <v/>
      </c>
      <c r="O1436" s="105" t="str">
        <f>IFERROR(__xludf.DUMMYFUNCTION("ARRAY_CONSTRAIN(
  ARRAYFORMULA(
    IFERROR(
      LET(
        list, N1436,
        arr, TRIM(SPLIT(list, "","")),
        names, XLOOKUP(
          arr,
          'Conformance Score'!A:A,
          'Conformance Score'!B:B,
          ""Not found""
     "&amp;"   ),
        TEXTJOIN("", "", TRUE, names)
      ),
      """"
    )
  ),
  1,
  1
)
"),"")</f>
        <v/>
      </c>
      <c r="P1436" s="105" t="str">
        <f>IF(F1436="Yes", IFERROR(VLOOKUP(D1436, Repository!A:F, 6, 0), ""), "")</f>
        <v/>
      </c>
      <c r="Q1436" s="105" t="str">
        <f>IF(F1436="Yes", IFERROR(VLOOKUP(D1436, Repository!A:I, 8, 0), ""), "")</f>
        <v/>
      </c>
      <c r="R1436" s="105" t="str">
        <f>IF(F1436="Yes", IFERROR(VLOOKUP(D1436, Repository!A:J, 9, 0), ""), "")</f>
        <v/>
      </c>
      <c r="S1436" s="105"/>
      <c r="T1436" s="105"/>
      <c r="U1436" s="105"/>
      <c r="V1436" s="105"/>
      <c r="W1436" s="105"/>
      <c r="X1436" s="105"/>
      <c r="Y1436" s="105"/>
      <c r="Z1436" s="105"/>
      <c r="AA1436" s="105"/>
      <c r="AB1436" s="105"/>
      <c r="AC1436" s="91"/>
      <c r="AD1436" s="105"/>
      <c r="AE1436" s="105"/>
      <c r="AF1436" s="91"/>
      <c r="AG1436" s="105"/>
      <c r="AH1436" s="105"/>
      <c r="AI1436" s="105" t="str">
        <f t="shared" si="1"/>
        <v/>
      </c>
      <c r="AJ1436" s="108" t="str">
        <f t="shared" si="2"/>
        <v/>
      </c>
    </row>
    <row r="1437" ht="15.75" customHeight="1">
      <c r="A1437" s="104"/>
      <c r="B1437" s="105" t="str">
        <f>IFERROR(__xludf.DUMMYFUNCTION("ARRAY_CONSTRAIN(
  ARRAYFORMULA(
    IF(
      'Final Report'!A1437="""",
      """",
      TEXTJOIN(
        "", "" &amp; CHAR(10),
        TRUE,
        IFERROR(
          VLOOKUP(
            TRIM(
              SPLIT('Final Report'!A1437, "","")
         "&amp;"   ),
            'URL Details'!A:B,
            2,
            FALSE
          ),
          """"
        )
      )
    )
  ),
  1,
  1
)
"),"")</f>
        <v/>
      </c>
      <c r="C1437" s="105" t="str">
        <f>IFERROR(__xludf.DUMMYFUNCTION("IFERROR(IF('Final Report'!A1437="""","""", TEXTJOIN(CHAR(10), TRUE, ARRAYFORMULA( ""• ""&amp; FILTER( TRIM(FLATTEN(SPLIT( REGEXREPLACE( SUBSTITUTE(TEXTJOIN("","", TRUE, IFERROR(ARRAYFORMULA(VLOOKUP(TRIM(SPLIT('Final Report'!A1437, "","")), 'URL Details'!A:D, "&amp;"4, FALSE)),"""") ), CHAR(10), "",""), ""\s*,\s*"", "",""), "",""))), TRIM(FLATTEN(SPLIT( REGEXREPLACE( SUBSTITUTE(TEXTJOIN("","", TRUE, IFERROR(ARRAYFORMULA(VLOOKUP(TRIM(SPLIT('Final Report'!A1437, "","")), 'URL Details'!A:D, 4, FALSE)),"""") ), CHAR(10),"&amp;" "",""), ""\s*,\s*"", "",""), "","")))&lt;&gt;"""" ) ) ) ),"""")
"),"")</f>
        <v/>
      </c>
      <c r="D1437" s="105"/>
      <c r="E1437" s="105"/>
      <c r="F1437" s="110" t="b">
        <v>0</v>
      </c>
      <c r="G1437" s="105" t="str">
        <f>IF(F1437=True, IFERROR(VLOOKUP(D1437, Repository!A:B, 2, 0), ""), "")</f>
        <v/>
      </c>
      <c r="H1437" s="105"/>
      <c r="I1437" s="105"/>
      <c r="J1437" s="105" t="str">
        <f>IF(F1437=True, IFERROR(VLOOKUP(D1437, Repository!A:C, 3, 0), ""), "")</f>
        <v/>
      </c>
      <c r="K1437" s="105"/>
      <c r="L1437" s="105" t="str">
        <f>IF(F1437=True, IFERROR(VLOOKUP(D1437, Repository!A:E, 5, 0), ""), "")</f>
        <v/>
      </c>
      <c r="M1437" s="105"/>
      <c r="N1437" s="105" t="str">
        <f>IF(F1437=True, IFERROR(VLOOKUP(D1437, Repository!A:G, 7, 0), ""), "")</f>
        <v/>
      </c>
      <c r="O1437" s="105" t="str">
        <f>IFERROR(__xludf.DUMMYFUNCTION("ARRAY_CONSTRAIN(
  ARRAYFORMULA(
    IFERROR(
      LET(
        list, N1437,
        arr, TRIM(SPLIT(list, "","")),
        names, XLOOKUP(
          arr,
          'Conformance Score'!A:A,
          'Conformance Score'!B:B,
          ""Not found""
     "&amp;"   ),
        TEXTJOIN("", "", TRUE, names)
      ),
      """"
    )
  ),
  1,
  1
)
"),"")</f>
        <v/>
      </c>
      <c r="P1437" s="105" t="str">
        <f>IF(F1437="Yes", IFERROR(VLOOKUP(D1437, Repository!A:F, 6, 0), ""), "")</f>
        <v/>
      </c>
      <c r="Q1437" s="105" t="str">
        <f>IF(F1437="Yes", IFERROR(VLOOKUP(D1437, Repository!A:I, 8, 0), ""), "")</f>
        <v/>
      </c>
      <c r="R1437" s="105" t="str">
        <f>IF(F1437="Yes", IFERROR(VLOOKUP(D1437, Repository!A:J, 9, 0), ""), "")</f>
        <v/>
      </c>
      <c r="S1437" s="105"/>
      <c r="T1437" s="105"/>
      <c r="U1437" s="105"/>
      <c r="V1437" s="105"/>
      <c r="W1437" s="105"/>
      <c r="X1437" s="105"/>
      <c r="Y1437" s="105"/>
      <c r="Z1437" s="105"/>
      <c r="AA1437" s="105"/>
      <c r="AB1437" s="105"/>
      <c r="AC1437" s="91"/>
      <c r="AD1437" s="105"/>
      <c r="AE1437" s="105"/>
      <c r="AF1437" s="91"/>
      <c r="AG1437" s="105"/>
      <c r="AH1437" s="105"/>
      <c r="AI1437" s="105" t="str">
        <f t="shared" si="1"/>
        <v/>
      </c>
      <c r="AJ1437" s="108" t="str">
        <f t="shared" si="2"/>
        <v/>
      </c>
    </row>
    <row r="1438" ht="15.75" customHeight="1">
      <c r="A1438" s="104"/>
      <c r="B1438" s="105" t="str">
        <f>IFERROR(__xludf.DUMMYFUNCTION("ARRAY_CONSTRAIN(
  ARRAYFORMULA(
    IF(
      'Final Report'!A1438="""",
      """",
      TEXTJOIN(
        "", "" &amp; CHAR(10),
        TRUE,
        IFERROR(
          VLOOKUP(
            TRIM(
              SPLIT('Final Report'!A1438, "","")
         "&amp;"   ),
            'URL Details'!A:B,
            2,
            FALSE
          ),
          """"
        )
      )
    )
  ),
  1,
  1
)
"),"")</f>
        <v/>
      </c>
      <c r="C1438" s="105" t="str">
        <f>IFERROR(__xludf.DUMMYFUNCTION("IFERROR(IF('Final Report'!A1438="""","""", TEXTJOIN(CHAR(10), TRUE, ARRAYFORMULA( ""• ""&amp; FILTER( TRIM(FLATTEN(SPLIT( REGEXREPLACE( SUBSTITUTE(TEXTJOIN("","", TRUE, IFERROR(ARRAYFORMULA(VLOOKUP(TRIM(SPLIT('Final Report'!A1438, "","")), 'URL Details'!A:D, "&amp;"4, FALSE)),"""") ), CHAR(10), "",""), ""\s*,\s*"", "",""), "",""))), TRIM(FLATTEN(SPLIT( REGEXREPLACE( SUBSTITUTE(TEXTJOIN("","", TRUE, IFERROR(ARRAYFORMULA(VLOOKUP(TRIM(SPLIT('Final Report'!A1438, "","")), 'URL Details'!A:D, 4, FALSE)),"""") ), CHAR(10),"&amp;" "",""), ""\s*,\s*"", "",""), "","")))&lt;&gt;"""" ) ) ) ),"""")
"),"")</f>
        <v/>
      </c>
      <c r="D1438" s="105"/>
      <c r="E1438" s="105"/>
      <c r="F1438" s="110" t="b">
        <v>0</v>
      </c>
      <c r="G1438" s="105" t="str">
        <f>IF(F1438=True, IFERROR(VLOOKUP(D1438, Repository!A:B, 2, 0), ""), "")</f>
        <v/>
      </c>
      <c r="H1438" s="105"/>
      <c r="I1438" s="105"/>
      <c r="J1438" s="105" t="str">
        <f>IF(F1438=True, IFERROR(VLOOKUP(D1438, Repository!A:C, 3, 0), ""), "")</f>
        <v/>
      </c>
      <c r="K1438" s="105"/>
      <c r="L1438" s="105" t="str">
        <f>IF(F1438=True, IFERROR(VLOOKUP(D1438, Repository!A:E, 5, 0), ""), "")</f>
        <v/>
      </c>
      <c r="M1438" s="105"/>
      <c r="N1438" s="105" t="str">
        <f>IF(F1438=True, IFERROR(VLOOKUP(D1438, Repository!A:G, 7, 0), ""), "")</f>
        <v/>
      </c>
      <c r="O1438" s="105" t="str">
        <f>IFERROR(__xludf.DUMMYFUNCTION("ARRAY_CONSTRAIN(
  ARRAYFORMULA(
    IFERROR(
      LET(
        list, N1438,
        arr, TRIM(SPLIT(list, "","")),
        names, XLOOKUP(
          arr,
          'Conformance Score'!A:A,
          'Conformance Score'!B:B,
          ""Not found""
     "&amp;"   ),
        TEXTJOIN("", "", TRUE, names)
      ),
      """"
    )
  ),
  1,
  1
)
"),"")</f>
        <v/>
      </c>
      <c r="P1438" s="105" t="str">
        <f>IF(F1438="Yes", IFERROR(VLOOKUP(D1438, Repository!A:F, 6, 0), ""), "")</f>
        <v/>
      </c>
      <c r="Q1438" s="105" t="str">
        <f>IF(F1438="Yes", IFERROR(VLOOKUP(D1438, Repository!A:I, 8, 0), ""), "")</f>
        <v/>
      </c>
      <c r="R1438" s="105" t="str">
        <f>IF(F1438="Yes", IFERROR(VLOOKUP(D1438, Repository!A:J, 9, 0), ""), "")</f>
        <v/>
      </c>
      <c r="S1438" s="105"/>
      <c r="T1438" s="105"/>
      <c r="U1438" s="105"/>
      <c r="V1438" s="105"/>
      <c r="W1438" s="105"/>
      <c r="X1438" s="105"/>
      <c r="Y1438" s="105"/>
      <c r="Z1438" s="105"/>
      <c r="AA1438" s="105"/>
      <c r="AB1438" s="105"/>
      <c r="AC1438" s="91"/>
      <c r="AD1438" s="105"/>
      <c r="AE1438" s="105"/>
      <c r="AF1438" s="91"/>
      <c r="AG1438" s="105"/>
      <c r="AH1438" s="105"/>
      <c r="AI1438" s="105" t="str">
        <f t="shared" si="1"/>
        <v/>
      </c>
      <c r="AJ1438" s="108" t="str">
        <f t="shared" si="2"/>
        <v/>
      </c>
    </row>
    <row r="1439" ht="15.75" customHeight="1">
      <c r="A1439" s="104"/>
      <c r="B1439" s="105" t="str">
        <f>IFERROR(__xludf.DUMMYFUNCTION("ARRAY_CONSTRAIN(
  ARRAYFORMULA(
    IF(
      'Final Report'!A1439="""",
      """",
      TEXTJOIN(
        "", "" &amp; CHAR(10),
        TRUE,
        IFERROR(
          VLOOKUP(
            TRIM(
              SPLIT('Final Report'!A1439, "","")
         "&amp;"   ),
            'URL Details'!A:B,
            2,
            FALSE
          ),
          """"
        )
      )
    )
  ),
  1,
  1
)
"),"")</f>
        <v/>
      </c>
      <c r="C1439" s="105" t="str">
        <f>IFERROR(__xludf.DUMMYFUNCTION("IFERROR(IF('Final Report'!A1439="""","""", TEXTJOIN(CHAR(10), TRUE, ARRAYFORMULA( ""• ""&amp; FILTER( TRIM(FLATTEN(SPLIT( REGEXREPLACE( SUBSTITUTE(TEXTJOIN("","", TRUE, IFERROR(ARRAYFORMULA(VLOOKUP(TRIM(SPLIT('Final Report'!A1439, "","")), 'URL Details'!A:D, "&amp;"4, FALSE)),"""") ), CHAR(10), "",""), ""\s*,\s*"", "",""), "",""))), TRIM(FLATTEN(SPLIT( REGEXREPLACE( SUBSTITUTE(TEXTJOIN("","", TRUE, IFERROR(ARRAYFORMULA(VLOOKUP(TRIM(SPLIT('Final Report'!A1439, "","")), 'URL Details'!A:D, 4, FALSE)),"""") ), CHAR(10),"&amp;" "",""), ""\s*,\s*"", "",""), "","")))&lt;&gt;"""" ) ) ) ),"""")
"),"")</f>
        <v/>
      </c>
      <c r="D1439" s="105"/>
      <c r="E1439" s="105"/>
      <c r="F1439" s="110" t="b">
        <v>0</v>
      </c>
      <c r="G1439" s="105" t="str">
        <f>IF(F1439=True, IFERROR(VLOOKUP(D1439, Repository!A:B, 2, 0), ""), "")</f>
        <v/>
      </c>
      <c r="H1439" s="105"/>
      <c r="I1439" s="105"/>
      <c r="J1439" s="105" t="str">
        <f>IF(F1439=True, IFERROR(VLOOKUP(D1439, Repository!A:C, 3, 0), ""), "")</f>
        <v/>
      </c>
      <c r="K1439" s="105"/>
      <c r="L1439" s="105" t="str">
        <f>IF(F1439=True, IFERROR(VLOOKUP(D1439, Repository!A:E, 5, 0), ""), "")</f>
        <v/>
      </c>
      <c r="M1439" s="105"/>
      <c r="N1439" s="105" t="str">
        <f>IF(F1439=True, IFERROR(VLOOKUP(D1439, Repository!A:G, 7, 0), ""), "")</f>
        <v/>
      </c>
      <c r="O1439" s="105" t="str">
        <f>IFERROR(__xludf.DUMMYFUNCTION("ARRAY_CONSTRAIN(
  ARRAYFORMULA(
    IFERROR(
      LET(
        list, N1439,
        arr, TRIM(SPLIT(list, "","")),
        names, XLOOKUP(
          arr,
          'Conformance Score'!A:A,
          'Conformance Score'!B:B,
          ""Not found""
     "&amp;"   ),
        TEXTJOIN("", "", TRUE, names)
      ),
      """"
    )
  ),
  1,
  1
)
"),"")</f>
        <v/>
      </c>
      <c r="P1439" s="105" t="str">
        <f>IF(F1439="Yes", IFERROR(VLOOKUP(D1439, Repository!A:F, 6, 0), ""), "")</f>
        <v/>
      </c>
      <c r="Q1439" s="105" t="str">
        <f>IF(F1439="Yes", IFERROR(VLOOKUP(D1439, Repository!A:I, 8, 0), ""), "")</f>
        <v/>
      </c>
      <c r="R1439" s="105" t="str">
        <f>IF(F1439="Yes", IFERROR(VLOOKUP(D1439, Repository!A:J, 9, 0), ""), "")</f>
        <v/>
      </c>
      <c r="S1439" s="105"/>
      <c r="T1439" s="105"/>
      <c r="U1439" s="105"/>
      <c r="V1439" s="105"/>
      <c r="W1439" s="105"/>
      <c r="X1439" s="105"/>
      <c r="Y1439" s="105"/>
      <c r="Z1439" s="105"/>
      <c r="AA1439" s="105"/>
      <c r="AB1439" s="105"/>
      <c r="AC1439" s="91"/>
      <c r="AD1439" s="105"/>
      <c r="AE1439" s="105"/>
      <c r="AF1439" s="91"/>
      <c r="AG1439" s="105"/>
      <c r="AH1439" s="105"/>
      <c r="AI1439" s="105" t="str">
        <f t="shared" si="1"/>
        <v/>
      </c>
      <c r="AJ1439" s="108" t="str">
        <f t="shared" si="2"/>
        <v/>
      </c>
    </row>
    <row r="1440" ht="15.75" customHeight="1">
      <c r="A1440" s="104"/>
      <c r="B1440" s="105" t="str">
        <f>IFERROR(__xludf.DUMMYFUNCTION("ARRAY_CONSTRAIN(
  ARRAYFORMULA(
    IF(
      'Final Report'!A1440="""",
      """",
      TEXTJOIN(
        "", "" &amp; CHAR(10),
        TRUE,
        IFERROR(
          VLOOKUP(
            TRIM(
              SPLIT('Final Report'!A1440, "","")
         "&amp;"   ),
            'URL Details'!A:B,
            2,
            FALSE
          ),
          """"
        )
      )
    )
  ),
  1,
  1
)
"),"")</f>
        <v/>
      </c>
      <c r="C1440" s="105" t="str">
        <f>IFERROR(__xludf.DUMMYFUNCTION("IFERROR(IF('Final Report'!A1440="""","""", TEXTJOIN(CHAR(10), TRUE, ARRAYFORMULA( ""• ""&amp; FILTER( TRIM(FLATTEN(SPLIT( REGEXREPLACE( SUBSTITUTE(TEXTJOIN("","", TRUE, IFERROR(ARRAYFORMULA(VLOOKUP(TRIM(SPLIT('Final Report'!A1440, "","")), 'URL Details'!A:D, "&amp;"4, FALSE)),"""") ), CHAR(10), "",""), ""\s*,\s*"", "",""), "",""))), TRIM(FLATTEN(SPLIT( REGEXREPLACE( SUBSTITUTE(TEXTJOIN("","", TRUE, IFERROR(ARRAYFORMULA(VLOOKUP(TRIM(SPLIT('Final Report'!A1440, "","")), 'URL Details'!A:D, 4, FALSE)),"""") ), CHAR(10),"&amp;" "",""), ""\s*,\s*"", "",""), "","")))&lt;&gt;"""" ) ) ) ),"""")
"),"")</f>
        <v/>
      </c>
      <c r="D1440" s="105"/>
      <c r="E1440" s="105"/>
      <c r="F1440" s="110" t="b">
        <v>0</v>
      </c>
      <c r="G1440" s="105" t="str">
        <f>IF(F1440=True, IFERROR(VLOOKUP(D1440, Repository!A:B, 2, 0), ""), "")</f>
        <v/>
      </c>
      <c r="H1440" s="105"/>
      <c r="I1440" s="105"/>
      <c r="J1440" s="105" t="str">
        <f>IF(F1440=True, IFERROR(VLOOKUP(D1440, Repository!A:C, 3, 0), ""), "")</f>
        <v/>
      </c>
      <c r="K1440" s="105"/>
      <c r="L1440" s="105" t="str">
        <f>IF(F1440=True, IFERROR(VLOOKUP(D1440, Repository!A:E, 5, 0), ""), "")</f>
        <v/>
      </c>
      <c r="M1440" s="105"/>
      <c r="N1440" s="105" t="str">
        <f>IF(F1440=True, IFERROR(VLOOKUP(D1440, Repository!A:G, 7, 0), ""), "")</f>
        <v/>
      </c>
      <c r="O1440" s="105" t="str">
        <f>IFERROR(__xludf.DUMMYFUNCTION("ARRAY_CONSTRAIN(
  ARRAYFORMULA(
    IFERROR(
      LET(
        list, N1440,
        arr, TRIM(SPLIT(list, "","")),
        names, XLOOKUP(
          arr,
          'Conformance Score'!A:A,
          'Conformance Score'!B:B,
          ""Not found""
     "&amp;"   ),
        TEXTJOIN("", "", TRUE, names)
      ),
      """"
    )
  ),
  1,
  1
)
"),"")</f>
        <v/>
      </c>
      <c r="P1440" s="105" t="str">
        <f>IF(F1440="Yes", IFERROR(VLOOKUP(D1440, Repository!A:F, 6, 0), ""), "")</f>
        <v/>
      </c>
      <c r="Q1440" s="105" t="str">
        <f>IF(F1440="Yes", IFERROR(VLOOKUP(D1440, Repository!A:I, 8, 0), ""), "")</f>
        <v/>
      </c>
      <c r="R1440" s="105" t="str">
        <f>IF(F1440="Yes", IFERROR(VLOOKUP(D1440, Repository!A:J, 9, 0), ""), "")</f>
        <v/>
      </c>
      <c r="S1440" s="105"/>
      <c r="T1440" s="105"/>
      <c r="U1440" s="105"/>
      <c r="V1440" s="105"/>
      <c r="W1440" s="105"/>
      <c r="X1440" s="105"/>
      <c r="Y1440" s="105"/>
      <c r="Z1440" s="105"/>
      <c r="AA1440" s="105"/>
      <c r="AB1440" s="105"/>
      <c r="AC1440" s="91"/>
      <c r="AD1440" s="105"/>
      <c r="AE1440" s="105"/>
      <c r="AF1440" s="91"/>
      <c r="AG1440" s="105"/>
      <c r="AH1440" s="105"/>
      <c r="AI1440" s="105" t="str">
        <f t="shared" si="1"/>
        <v/>
      </c>
      <c r="AJ1440" s="108" t="str">
        <f t="shared" si="2"/>
        <v/>
      </c>
    </row>
    <row r="1441" ht="15.75" customHeight="1">
      <c r="A1441" s="104"/>
      <c r="B1441" s="105" t="str">
        <f>IFERROR(__xludf.DUMMYFUNCTION("ARRAY_CONSTRAIN(
  ARRAYFORMULA(
    IF(
      'Final Report'!A1441="""",
      """",
      TEXTJOIN(
        "", "" &amp; CHAR(10),
        TRUE,
        IFERROR(
          VLOOKUP(
            TRIM(
              SPLIT('Final Report'!A1441, "","")
         "&amp;"   ),
            'URL Details'!A:B,
            2,
            FALSE
          ),
          """"
        )
      )
    )
  ),
  1,
  1
)
"),"")</f>
        <v/>
      </c>
      <c r="C1441" s="105" t="str">
        <f>IFERROR(__xludf.DUMMYFUNCTION("IFERROR(IF('Final Report'!A1441="""","""", TEXTJOIN(CHAR(10), TRUE, ARRAYFORMULA( ""• ""&amp; FILTER( TRIM(FLATTEN(SPLIT( REGEXREPLACE( SUBSTITUTE(TEXTJOIN("","", TRUE, IFERROR(ARRAYFORMULA(VLOOKUP(TRIM(SPLIT('Final Report'!A1441, "","")), 'URL Details'!A:D, "&amp;"4, FALSE)),"""") ), CHAR(10), "",""), ""\s*,\s*"", "",""), "",""))), TRIM(FLATTEN(SPLIT( REGEXREPLACE( SUBSTITUTE(TEXTJOIN("","", TRUE, IFERROR(ARRAYFORMULA(VLOOKUP(TRIM(SPLIT('Final Report'!A1441, "","")), 'URL Details'!A:D, 4, FALSE)),"""") ), CHAR(10),"&amp;" "",""), ""\s*,\s*"", "",""), "","")))&lt;&gt;"""" ) ) ) ),"""")
"),"")</f>
        <v/>
      </c>
      <c r="D1441" s="105"/>
      <c r="E1441" s="105"/>
      <c r="F1441" s="110" t="b">
        <v>0</v>
      </c>
      <c r="G1441" s="105" t="str">
        <f>IF(F1441=True, IFERROR(VLOOKUP(D1441, Repository!A:B, 2, 0), ""), "")</f>
        <v/>
      </c>
      <c r="H1441" s="105"/>
      <c r="I1441" s="105"/>
      <c r="J1441" s="105" t="str">
        <f>IF(F1441=True, IFERROR(VLOOKUP(D1441, Repository!A:C, 3, 0), ""), "")</f>
        <v/>
      </c>
      <c r="K1441" s="105"/>
      <c r="L1441" s="105" t="str">
        <f>IF(F1441=True, IFERROR(VLOOKUP(D1441, Repository!A:E, 5, 0), ""), "")</f>
        <v/>
      </c>
      <c r="M1441" s="105"/>
      <c r="N1441" s="105" t="str">
        <f>IF(F1441=True, IFERROR(VLOOKUP(D1441, Repository!A:G, 7, 0), ""), "")</f>
        <v/>
      </c>
      <c r="O1441" s="105" t="str">
        <f>IFERROR(__xludf.DUMMYFUNCTION("ARRAY_CONSTRAIN(
  ARRAYFORMULA(
    IFERROR(
      LET(
        list, N1441,
        arr, TRIM(SPLIT(list, "","")),
        names, XLOOKUP(
          arr,
          'Conformance Score'!A:A,
          'Conformance Score'!B:B,
          ""Not found""
     "&amp;"   ),
        TEXTJOIN("", "", TRUE, names)
      ),
      """"
    )
  ),
  1,
  1
)
"),"")</f>
        <v/>
      </c>
      <c r="P1441" s="105" t="str">
        <f>IF(F1441="Yes", IFERROR(VLOOKUP(D1441, Repository!A:F, 6, 0), ""), "")</f>
        <v/>
      </c>
      <c r="Q1441" s="105" t="str">
        <f>IF(F1441="Yes", IFERROR(VLOOKUP(D1441, Repository!A:I, 8, 0), ""), "")</f>
        <v/>
      </c>
      <c r="R1441" s="105" t="str">
        <f>IF(F1441="Yes", IFERROR(VLOOKUP(D1441, Repository!A:J, 9, 0), ""), "")</f>
        <v/>
      </c>
      <c r="S1441" s="105"/>
      <c r="T1441" s="105"/>
      <c r="U1441" s="105"/>
      <c r="V1441" s="105"/>
      <c r="W1441" s="105"/>
      <c r="X1441" s="105"/>
      <c r="Y1441" s="105"/>
      <c r="Z1441" s="105"/>
      <c r="AA1441" s="105"/>
      <c r="AB1441" s="105"/>
      <c r="AC1441" s="91"/>
      <c r="AD1441" s="105"/>
      <c r="AE1441" s="105"/>
      <c r="AF1441" s="91"/>
      <c r="AG1441" s="105"/>
      <c r="AH1441" s="105"/>
      <c r="AI1441" s="105" t="str">
        <f t="shared" si="1"/>
        <v/>
      </c>
      <c r="AJ1441" s="108" t="str">
        <f t="shared" si="2"/>
        <v/>
      </c>
    </row>
    <row r="1442" ht="15.75" customHeight="1">
      <c r="A1442" s="104"/>
      <c r="B1442" s="105" t="str">
        <f>IFERROR(__xludf.DUMMYFUNCTION("ARRAY_CONSTRAIN(
  ARRAYFORMULA(
    IF(
      'Final Report'!A1442="""",
      """",
      TEXTJOIN(
        "", "" &amp; CHAR(10),
        TRUE,
        IFERROR(
          VLOOKUP(
            TRIM(
              SPLIT('Final Report'!A1442, "","")
         "&amp;"   ),
            'URL Details'!A:B,
            2,
            FALSE
          ),
          """"
        )
      )
    )
  ),
  1,
  1
)
"),"")</f>
        <v/>
      </c>
      <c r="C1442" s="105" t="str">
        <f>IFERROR(__xludf.DUMMYFUNCTION("IFERROR(IF('Final Report'!A1442="""","""", TEXTJOIN(CHAR(10), TRUE, ARRAYFORMULA( ""• ""&amp; FILTER( TRIM(FLATTEN(SPLIT( REGEXREPLACE( SUBSTITUTE(TEXTJOIN("","", TRUE, IFERROR(ARRAYFORMULA(VLOOKUP(TRIM(SPLIT('Final Report'!A1442, "","")), 'URL Details'!A:D, "&amp;"4, FALSE)),"""") ), CHAR(10), "",""), ""\s*,\s*"", "",""), "",""))), TRIM(FLATTEN(SPLIT( REGEXREPLACE( SUBSTITUTE(TEXTJOIN("","", TRUE, IFERROR(ARRAYFORMULA(VLOOKUP(TRIM(SPLIT('Final Report'!A1442, "","")), 'URL Details'!A:D, 4, FALSE)),"""") ), CHAR(10),"&amp;" "",""), ""\s*,\s*"", "",""), "","")))&lt;&gt;"""" ) ) ) ),"""")
"),"")</f>
        <v/>
      </c>
      <c r="D1442" s="105"/>
      <c r="E1442" s="105"/>
      <c r="F1442" s="110" t="b">
        <v>0</v>
      </c>
      <c r="G1442" s="105" t="str">
        <f>IF(F1442=True, IFERROR(VLOOKUP(D1442, Repository!A:B, 2, 0), ""), "")</f>
        <v/>
      </c>
      <c r="H1442" s="105"/>
      <c r="I1442" s="105"/>
      <c r="J1442" s="105" t="str">
        <f>IF(F1442=True, IFERROR(VLOOKUP(D1442, Repository!A:C, 3, 0), ""), "")</f>
        <v/>
      </c>
      <c r="K1442" s="105"/>
      <c r="L1442" s="105" t="str">
        <f>IF(F1442=True, IFERROR(VLOOKUP(D1442, Repository!A:E, 5, 0), ""), "")</f>
        <v/>
      </c>
      <c r="M1442" s="105"/>
      <c r="N1442" s="105" t="str">
        <f>IF(F1442=True, IFERROR(VLOOKUP(D1442, Repository!A:G, 7, 0), ""), "")</f>
        <v/>
      </c>
      <c r="O1442" s="105" t="str">
        <f>IFERROR(__xludf.DUMMYFUNCTION("ARRAY_CONSTRAIN(
  ARRAYFORMULA(
    IFERROR(
      LET(
        list, N1442,
        arr, TRIM(SPLIT(list, "","")),
        names, XLOOKUP(
          arr,
          'Conformance Score'!A:A,
          'Conformance Score'!B:B,
          ""Not found""
     "&amp;"   ),
        TEXTJOIN("", "", TRUE, names)
      ),
      """"
    )
  ),
  1,
  1
)
"),"")</f>
        <v/>
      </c>
      <c r="P1442" s="105" t="str">
        <f>IF(F1442="Yes", IFERROR(VLOOKUP(D1442, Repository!A:F, 6, 0), ""), "")</f>
        <v/>
      </c>
      <c r="Q1442" s="105" t="str">
        <f>IF(F1442="Yes", IFERROR(VLOOKUP(D1442, Repository!A:I, 8, 0), ""), "")</f>
        <v/>
      </c>
      <c r="R1442" s="105" t="str">
        <f>IF(F1442="Yes", IFERROR(VLOOKUP(D1442, Repository!A:J, 9, 0), ""), "")</f>
        <v/>
      </c>
      <c r="S1442" s="105"/>
      <c r="T1442" s="105"/>
      <c r="U1442" s="105"/>
      <c r="V1442" s="105"/>
      <c r="W1442" s="105"/>
      <c r="X1442" s="105"/>
      <c r="Y1442" s="105"/>
      <c r="Z1442" s="105"/>
      <c r="AA1442" s="105"/>
      <c r="AB1442" s="105"/>
      <c r="AC1442" s="91"/>
      <c r="AD1442" s="105"/>
      <c r="AE1442" s="105"/>
      <c r="AF1442" s="91"/>
      <c r="AG1442" s="105"/>
      <c r="AH1442" s="105"/>
      <c r="AI1442" s="105" t="str">
        <f t="shared" si="1"/>
        <v/>
      </c>
      <c r="AJ1442" s="108" t="str">
        <f t="shared" si="2"/>
        <v/>
      </c>
    </row>
    <row r="1443" ht="15.75" customHeight="1">
      <c r="A1443" s="104"/>
      <c r="B1443" s="105" t="str">
        <f>IFERROR(__xludf.DUMMYFUNCTION("ARRAY_CONSTRAIN(
  ARRAYFORMULA(
    IF(
      'Final Report'!A1443="""",
      """",
      TEXTJOIN(
        "", "" &amp; CHAR(10),
        TRUE,
        IFERROR(
          VLOOKUP(
            TRIM(
              SPLIT('Final Report'!A1443, "","")
         "&amp;"   ),
            'URL Details'!A:B,
            2,
            FALSE
          ),
          """"
        )
      )
    )
  ),
  1,
  1
)
"),"")</f>
        <v/>
      </c>
      <c r="C1443" s="105" t="str">
        <f>IFERROR(__xludf.DUMMYFUNCTION("IFERROR(IF('Final Report'!A1443="""","""", TEXTJOIN(CHAR(10), TRUE, ARRAYFORMULA( ""• ""&amp; FILTER( TRIM(FLATTEN(SPLIT( REGEXREPLACE( SUBSTITUTE(TEXTJOIN("","", TRUE, IFERROR(ARRAYFORMULA(VLOOKUP(TRIM(SPLIT('Final Report'!A1443, "","")), 'URL Details'!A:D, "&amp;"4, FALSE)),"""") ), CHAR(10), "",""), ""\s*,\s*"", "",""), "",""))), TRIM(FLATTEN(SPLIT( REGEXREPLACE( SUBSTITUTE(TEXTJOIN("","", TRUE, IFERROR(ARRAYFORMULA(VLOOKUP(TRIM(SPLIT('Final Report'!A1443, "","")), 'URL Details'!A:D, 4, FALSE)),"""") ), CHAR(10),"&amp;" "",""), ""\s*,\s*"", "",""), "","")))&lt;&gt;"""" ) ) ) ),"""")
"),"")</f>
        <v/>
      </c>
      <c r="D1443" s="105"/>
      <c r="E1443" s="105"/>
      <c r="F1443" s="110" t="b">
        <v>0</v>
      </c>
      <c r="G1443" s="105" t="str">
        <f>IF(F1443=True, IFERROR(VLOOKUP(D1443, Repository!A:B, 2, 0), ""), "")</f>
        <v/>
      </c>
      <c r="H1443" s="105"/>
      <c r="I1443" s="105"/>
      <c r="J1443" s="105" t="str">
        <f>IF(F1443=True, IFERROR(VLOOKUP(D1443, Repository!A:C, 3, 0), ""), "")</f>
        <v/>
      </c>
      <c r="K1443" s="105"/>
      <c r="L1443" s="105" t="str">
        <f>IF(F1443=True, IFERROR(VLOOKUP(D1443, Repository!A:E, 5, 0), ""), "")</f>
        <v/>
      </c>
      <c r="M1443" s="105"/>
      <c r="N1443" s="105" t="str">
        <f>IF(F1443=True, IFERROR(VLOOKUP(D1443, Repository!A:G, 7, 0), ""), "")</f>
        <v/>
      </c>
      <c r="O1443" s="105" t="str">
        <f>IFERROR(__xludf.DUMMYFUNCTION("ARRAY_CONSTRAIN(
  ARRAYFORMULA(
    IFERROR(
      LET(
        list, N1443,
        arr, TRIM(SPLIT(list, "","")),
        names, XLOOKUP(
          arr,
          'Conformance Score'!A:A,
          'Conformance Score'!B:B,
          ""Not found""
     "&amp;"   ),
        TEXTJOIN("", "", TRUE, names)
      ),
      """"
    )
  ),
  1,
  1
)
"),"")</f>
        <v/>
      </c>
      <c r="P1443" s="105" t="str">
        <f>IF(F1443="Yes", IFERROR(VLOOKUP(D1443, Repository!A:F, 6, 0), ""), "")</f>
        <v/>
      </c>
      <c r="Q1443" s="105" t="str">
        <f>IF(F1443="Yes", IFERROR(VLOOKUP(D1443, Repository!A:I, 8, 0), ""), "")</f>
        <v/>
      </c>
      <c r="R1443" s="105" t="str">
        <f>IF(F1443="Yes", IFERROR(VLOOKUP(D1443, Repository!A:J, 9, 0), ""), "")</f>
        <v/>
      </c>
      <c r="S1443" s="105"/>
      <c r="T1443" s="105"/>
      <c r="U1443" s="105"/>
      <c r="V1443" s="105"/>
      <c r="W1443" s="105"/>
      <c r="X1443" s="105"/>
      <c r="Y1443" s="105"/>
      <c r="Z1443" s="105"/>
      <c r="AA1443" s="105"/>
      <c r="AB1443" s="105"/>
      <c r="AC1443" s="91"/>
      <c r="AD1443" s="105"/>
      <c r="AE1443" s="105"/>
      <c r="AF1443" s="91"/>
      <c r="AG1443" s="105"/>
      <c r="AH1443" s="105"/>
      <c r="AI1443" s="105" t="str">
        <f t="shared" si="1"/>
        <v/>
      </c>
      <c r="AJ1443" s="108" t="str">
        <f t="shared" si="2"/>
        <v/>
      </c>
    </row>
    <row r="1444" ht="15.75" customHeight="1">
      <c r="A1444" s="104"/>
      <c r="B1444" s="105" t="str">
        <f>IFERROR(__xludf.DUMMYFUNCTION("ARRAY_CONSTRAIN(
  ARRAYFORMULA(
    IF(
      'Final Report'!A1444="""",
      """",
      TEXTJOIN(
        "", "" &amp; CHAR(10),
        TRUE,
        IFERROR(
          VLOOKUP(
            TRIM(
              SPLIT('Final Report'!A1444, "","")
         "&amp;"   ),
            'URL Details'!A:B,
            2,
            FALSE
          ),
          """"
        )
      )
    )
  ),
  1,
  1
)
"),"")</f>
        <v/>
      </c>
      <c r="C1444" s="105" t="str">
        <f>IFERROR(__xludf.DUMMYFUNCTION("IFERROR(IF('Final Report'!A1444="""","""", TEXTJOIN(CHAR(10), TRUE, ARRAYFORMULA( ""• ""&amp; FILTER( TRIM(FLATTEN(SPLIT( REGEXREPLACE( SUBSTITUTE(TEXTJOIN("","", TRUE, IFERROR(ARRAYFORMULA(VLOOKUP(TRIM(SPLIT('Final Report'!A1444, "","")), 'URL Details'!A:D, "&amp;"4, FALSE)),"""") ), CHAR(10), "",""), ""\s*,\s*"", "",""), "",""))), TRIM(FLATTEN(SPLIT( REGEXREPLACE( SUBSTITUTE(TEXTJOIN("","", TRUE, IFERROR(ARRAYFORMULA(VLOOKUP(TRIM(SPLIT('Final Report'!A1444, "","")), 'URL Details'!A:D, 4, FALSE)),"""") ), CHAR(10),"&amp;" "",""), ""\s*,\s*"", "",""), "","")))&lt;&gt;"""" ) ) ) ),"""")
"),"")</f>
        <v/>
      </c>
      <c r="D1444" s="105"/>
      <c r="E1444" s="105"/>
      <c r="F1444" s="110" t="b">
        <v>0</v>
      </c>
      <c r="G1444" s="105" t="str">
        <f>IF(F1444=True, IFERROR(VLOOKUP(D1444, Repository!A:B, 2, 0), ""), "")</f>
        <v/>
      </c>
      <c r="H1444" s="105"/>
      <c r="I1444" s="105"/>
      <c r="J1444" s="105" t="str">
        <f>IF(F1444=True, IFERROR(VLOOKUP(D1444, Repository!A:C, 3, 0), ""), "")</f>
        <v/>
      </c>
      <c r="K1444" s="105"/>
      <c r="L1444" s="105" t="str">
        <f>IF(F1444=True, IFERROR(VLOOKUP(D1444, Repository!A:E, 5, 0), ""), "")</f>
        <v/>
      </c>
      <c r="M1444" s="105"/>
      <c r="N1444" s="105" t="str">
        <f>IF(F1444=True, IFERROR(VLOOKUP(D1444, Repository!A:G, 7, 0), ""), "")</f>
        <v/>
      </c>
      <c r="O1444" s="105" t="str">
        <f>IFERROR(__xludf.DUMMYFUNCTION("ARRAY_CONSTRAIN(
  ARRAYFORMULA(
    IFERROR(
      LET(
        list, N1444,
        arr, TRIM(SPLIT(list, "","")),
        names, XLOOKUP(
          arr,
          'Conformance Score'!A:A,
          'Conformance Score'!B:B,
          ""Not found""
     "&amp;"   ),
        TEXTJOIN("", "", TRUE, names)
      ),
      """"
    )
  ),
  1,
  1
)
"),"")</f>
        <v/>
      </c>
      <c r="P1444" s="105" t="str">
        <f>IF(F1444="Yes", IFERROR(VLOOKUP(D1444, Repository!A:F, 6, 0), ""), "")</f>
        <v/>
      </c>
      <c r="Q1444" s="105" t="str">
        <f>IF(F1444="Yes", IFERROR(VLOOKUP(D1444, Repository!A:I, 8, 0), ""), "")</f>
        <v/>
      </c>
      <c r="R1444" s="105" t="str">
        <f>IF(F1444="Yes", IFERROR(VLOOKUP(D1444, Repository!A:J, 9, 0), ""), "")</f>
        <v/>
      </c>
      <c r="S1444" s="105"/>
      <c r="T1444" s="105"/>
      <c r="U1444" s="105"/>
      <c r="V1444" s="105"/>
      <c r="W1444" s="105"/>
      <c r="X1444" s="105"/>
      <c r="Y1444" s="105"/>
      <c r="Z1444" s="105"/>
      <c r="AA1444" s="105"/>
      <c r="AB1444" s="105"/>
      <c r="AC1444" s="91"/>
      <c r="AD1444" s="105"/>
      <c r="AE1444" s="105"/>
      <c r="AF1444" s="91"/>
      <c r="AG1444" s="105"/>
      <c r="AH1444" s="105"/>
      <c r="AI1444" s="105" t="str">
        <f t="shared" si="1"/>
        <v/>
      </c>
      <c r="AJ1444" s="108" t="str">
        <f t="shared" si="2"/>
        <v/>
      </c>
    </row>
    <row r="1445" ht="15.75" customHeight="1">
      <c r="A1445" s="104"/>
      <c r="B1445" s="105" t="str">
        <f>IFERROR(__xludf.DUMMYFUNCTION("ARRAY_CONSTRAIN(
  ARRAYFORMULA(
    IF(
      'Final Report'!A1445="""",
      """",
      TEXTJOIN(
        "", "" &amp; CHAR(10),
        TRUE,
        IFERROR(
          VLOOKUP(
            TRIM(
              SPLIT('Final Report'!A1445, "","")
         "&amp;"   ),
            'URL Details'!A:B,
            2,
            FALSE
          ),
          """"
        )
      )
    )
  ),
  1,
  1
)
"),"")</f>
        <v/>
      </c>
      <c r="C1445" s="105" t="str">
        <f>IFERROR(__xludf.DUMMYFUNCTION("IFERROR(IF('Final Report'!A1445="""","""", TEXTJOIN(CHAR(10), TRUE, ARRAYFORMULA( ""• ""&amp; FILTER( TRIM(FLATTEN(SPLIT( REGEXREPLACE( SUBSTITUTE(TEXTJOIN("","", TRUE, IFERROR(ARRAYFORMULA(VLOOKUP(TRIM(SPLIT('Final Report'!A1445, "","")), 'URL Details'!A:D, "&amp;"4, FALSE)),"""") ), CHAR(10), "",""), ""\s*,\s*"", "",""), "",""))), TRIM(FLATTEN(SPLIT( REGEXREPLACE( SUBSTITUTE(TEXTJOIN("","", TRUE, IFERROR(ARRAYFORMULA(VLOOKUP(TRIM(SPLIT('Final Report'!A1445, "","")), 'URL Details'!A:D, 4, FALSE)),"""") ), CHAR(10),"&amp;" "",""), ""\s*,\s*"", "",""), "","")))&lt;&gt;"""" ) ) ) ),"""")
"),"")</f>
        <v/>
      </c>
      <c r="D1445" s="105"/>
      <c r="E1445" s="105"/>
      <c r="F1445" s="110" t="b">
        <v>0</v>
      </c>
      <c r="G1445" s="105" t="str">
        <f>IF(F1445=True, IFERROR(VLOOKUP(D1445, Repository!A:B, 2, 0), ""), "")</f>
        <v/>
      </c>
      <c r="H1445" s="105"/>
      <c r="I1445" s="105"/>
      <c r="J1445" s="105" t="str">
        <f>IF(F1445=True, IFERROR(VLOOKUP(D1445, Repository!A:C, 3, 0), ""), "")</f>
        <v/>
      </c>
      <c r="K1445" s="105"/>
      <c r="L1445" s="105" t="str">
        <f>IF(F1445=True, IFERROR(VLOOKUP(D1445, Repository!A:E, 5, 0), ""), "")</f>
        <v/>
      </c>
      <c r="M1445" s="105"/>
      <c r="N1445" s="105" t="str">
        <f>IF(F1445=True, IFERROR(VLOOKUP(D1445, Repository!A:G, 7, 0), ""), "")</f>
        <v/>
      </c>
      <c r="O1445" s="105" t="str">
        <f>IFERROR(__xludf.DUMMYFUNCTION("ARRAY_CONSTRAIN(
  ARRAYFORMULA(
    IFERROR(
      LET(
        list, N1445,
        arr, TRIM(SPLIT(list, "","")),
        names, XLOOKUP(
          arr,
          'Conformance Score'!A:A,
          'Conformance Score'!B:B,
          ""Not found""
     "&amp;"   ),
        TEXTJOIN("", "", TRUE, names)
      ),
      """"
    )
  ),
  1,
  1
)
"),"")</f>
        <v/>
      </c>
      <c r="P1445" s="105" t="str">
        <f>IF(F1445="Yes", IFERROR(VLOOKUP(D1445, Repository!A:F, 6, 0), ""), "")</f>
        <v/>
      </c>
      <c r="Q1445" s="105" t="str">
        <f>IF(F1445="Yes", IFERROR(VLOOKUP(D1445, Repository!A:I, 8, 0), ""), "")</f>
        <v/>
      </c>
      <c r="R1445" s="105" t="str">
        <f>IF(F1445="Yes", IFERROR(VLOOKUP(D1445, Repository!A:J, 9, 0), ""), "")</f>
        <v/>
      </c>
      <c r="S1445" s="105"/>
      <c r="T1445" s="105"/>
      <c r="U1445" s="105"/>
      <c r="V1445" s="105"/>
      <c r="W1445" s="105"/>
      <c r="X1445" s="105"/>
      <c r="Y1445" s="105"/>
      <c r="Z1445" s="105"/>
      <c r="AA1445" s="105"/>
      <c r="AB1445" s="105"/>
      <c r="AC1445" s="91"/>
      <c r="AD1445" s="105"/>
      <c r="AE1445" s="105"/>
      <c r="AF1445" s="91"/>
      <c r="AG1445" s="105"/>
      <c r="AH1445" s="105"/>
      <c r="AI1445" s="105" t="str">
        <f t="shared" si="1"/>
        <v/>
      </c>
      <c r="AJ1445" s="108" t="str">
        <f t="shared" si="2"/>
        <v/>
      </c>
    </row>
    <row r="1446" ht="15.75" customHeight="1">
      <c r="A1446" s="104"/>
      <c r="B1446" s="105" t="str">
        <f>IFERROR(__xludf.DUMMYFUNCTION("ARRAY_CONSTRAIN(
  ARRAYFORMULA(
    IF(
      'Final Report'!A1446="""",
      """",
      TEXTJOIN(
        "", "" &amp; CHAR(10),
        TRUE,
        IFERROR(
          VLOOKUP(
            TRIM(
              SPLIT('Final Report'!A1446, "","")
         "&amp;"   ),
            'URL Details'!A:B,
            2,
            FALSE
          ),
          """"
        )
      )
    )
  ),
  1,
  1
)
"),"")</f>
        <v/>
      </c>
      <c r="C1446" s="105" t="str">
        <f>IFERROR(__xludf.DUMMYFUNCTION("IFERROR(IF('Final Report'!A1446="""","""", TEXTJOIN(CHAR(10), TRUE, ARRAYFORMULA( ""• ""&amp; FILTER( TRIM(FLATTEN(SPLIT( REGEXREPLACE( SUBSTITUTE(TEXTJOIN("","", TRUE, IFERROR(ARRAYFORMULA(VLOOKUP(TRIM(SPLIT('Final Report'!A1446, "","")), 'URL Details'!A:D, "&amp;"4, FALSE)),"""") ), CHAR(10), "",""), ""\s*,\s*"", "",""), "",""))), TRIM(FLATTEN(SPLIT( REGEXREPLACE( SUBSTITUTE(TEXTJOIN("","", TRUE, IFERROR(ARRAYFORMULA(VLOOKUP(TRIM(SPLIT('Final Report'!A1446, "","")), 'URL Details'!A:D, 4, FALSE)),"""") ), CHAR(10),"&amp;" "",""), ""\s*,\s*"", "",""), "","")))&lt;&gt;"""" ) ) ) ),"""")
"),"")</f>
        <v/>
      </c>
      <c r="D1446" s="105"/>
      <c r="E1446" s="105"/>
      <c r="F1446" s="110" t="b">
        <v>0</v>
      </c>
      <c r="G1446" s="105" t="str">
        <f>IF(F1446=True, IFERROR(VLOOKUP(D1446, Repository!A:B, 2, 0), ""), "")</f>
        <v/>
      </c>
      <c r="H1446" s="105"/>
      <c r="I1446" s="105"/>
      <c r="J1446" s="105" t="str">
        <f>IF(F1446=True, IFERROR(VLOOKUP(D1446, Repository!A:C, 3, 0), ""), "")</f>
        <v/>
      </c>
      <c r="K1446" s="105"/>
      <c r="L1446" s="105" t="str">
        <f>IF(F1446=True, IFERROR(VLOOKUP(D1446, Repository!A:E, 5, 0), ""), "")</f>
        <v/>
      </c>
      <c r="M1446" s="105"/>
      <c r="N1446" s="105" t="str">
        <f>IF(F1446=True, IFERROR(VLOOKUP(D1446, Repository!A:G, 7, 0), ""), "")</f>
        <v/>
      </c>
      <c r="O1446" s="105" t="str">
        <f>IFERROR(__xludf.DUMMYFUNCTION("ARRAY_CONSTRAIN(
  ARRAYFORMULA(
    IFERROR(
      LET(
        list, N1446,
        arr, TRIM(SPLIT(list, "","")),
        names, XLOOKUP(
          arr,
          'Conformance Score'!A:A,
          'Conformance Score'!B:B,
          ""Not found""
     "&amp;"   ),
        TEXTJOIN("", "", TRUE, names)
      ),
      """"
    )
  ),
  1,
  1
)
"),"")</f>
        <v/>
      </c>
      <c r="P1446" s="105" t="str">
        <f>IF(F1446="Yes", IFERROR(VLOOKUP(D1446, Repository!A:F, 6, 0), ""), "")</f>
        <v/>
      </c>
      <c r="Q1446" s="105" t="str">
        <f>IF(F1446="Yes", IFERROR(VLOOKUP(D1446, Repository!A:I, 8, 0), ""), "")</f>
        <v/>
      </c>
      <c r="R1446" s="105" t="str">
        <f>IF(F1446="Yes", IFERROR(VLOOKUP(D1446, Repository!A:J, 9, 0), ""), "")</f>
        <v/>
      </c>
      <c r="S1446" s="105"/>
      <c r="T1446" s="105"/>
      <c r="U1446" s="105"/>
      <c r="V1446" s="105"/>
      <c r="W1446" s="105"/>
      <c r="X1446" s="105"/>
      <c r="Y1446" s="105"/>
      <c r="Z1446" s="105"/>
      <c r="AA1446" s="105"/>
      <c r="AB1446" s="105"/>
      <c r="AC1446" s="91"/>
      <c r="AD1446" s="105"/>
      <c r="AE1446" s="105"/>
      <c r="AF1446" s="91"/>
      <c r="AG1446" s="105"/>
      <c r="AH1446" s="105"/>
      <c r="AI1446" s="105" t="str">
        <f t="shared" si="1"/>
        <v/>
      </c>
      <c r="AJ1446" s="108" t="str">
        <f t="shared" si="2"/>
        <v/>
      </c>
    </row>
    <row r="1447" ht="15.75" customHeight="1">
      <c r="A1447" s="104"/>
      <c r="B1447" s="105" t="str">
        <f>IFERROR(__xludf.DUMMYFUNCTION("ARRAY_CONSTRAIN(
  ARRAYFORMULA(
    IF(
      'Final Report'!A1447="""",
      """",
      TEXTJOIN(
        "", "" &amp; CHAR(10),
        TRUE,
        IFERROR(
          VLOOKUP(
            TRIM(
              SPLIT('Final Report'!A1447, "","")
         "&amp;"   ),
            'URL Details'!A:B,
            2,
            FALSE
          ),
          """"
        )
      )
    )
  ),
  1,
  1
)
"),"")</f>
        <v/>
      </c>
      <c r="C1447" s="105" t="str">
        <f>IFERROR(__xludf.DUMMYFUNCTION("IFERROR(IF('Final Report'!A1447="""","""", TEXTJOIN(CHAR(10), TRUE, ARRAYFORMULA( ""• ""&amp; FILTER( TRIM(FLATTEN(SPLIT( REGEXREPLACE( SUBSTITUTE(TEXTJOIN("","", TRUE, IFERROR(ARRAYFORMULA(VLOOKUP(TRIM(SPLIT('Final Report'!A1447, "","")), 'URL Details'!A:D, "&amp;"4, FALSE)),"""") ), CHAR(10), "",""), ""\s*,\s*"", "",""), "",""))), TRIM(FLATTEN(SPLIT( REGEXREPLACE( SUBSTITUTE(TEXTJOIN("","", TRUE, IFERROR(ARRAYFORMULA(VLOOKUP(TRIM(SPLIT('Final Report'!A1447, "","")), 'URL Details'!A:D, 4, FALSE)),"""") ), CHAR(10),"&amp;" "",""), ""\s*,\s*"", "",""), "","")))&lt;&gt;"""" ) ) ) ),"""")
"),"")</f>
        <v/>
      </c>
      <c r="D1447" s="105"/>
      <c r="E1447" s="105"/>
      <c r="F1447" s="110" t="b">
        <v>0</v>
      </c>
      <c r="G1447" s="105" t="str">
        <f>IF(F1447=True, IFERROR(VLOOKUP(D1447, Repository!A:B, 2, 0), ""), "")</f>
        <v/>
      </c>
      <c r="H1447" s="105"/>
      <c r="I1447" s="105"/>
      <c r="J1447" s="105" t="str">
        <f>IF(F1447=True, IFERROR(VLOOKUP(D1447, Repository!A:C, 3, 0), ""), "")</f>
        <v/>
      </c>
      <c r="K1447" s="105"/>
      <c r="L1447" s="105" t="str">
        <f>IF(F1447=True, IFERROR(VLOOKUP(D1447, Repository!A:E, 5, 0), ""), "")</f>
        <v/>
      </c>
      <c r="M1447" s="105"/>
      <c r="N1447" s="105" t="str">
        <f>IF(F1447=True, IFERROR(VLOOKUP(D1447, Repository!A:G, 7, 0), ""), "")</f>
        <v/>
      </c>
      <c r="O1447" s="105" t="str">
        <f>IFERROR(__xludf.DUMMYFUNCTION("ARRAY_CONSTRAIN(
  ARRAYFORMULA(
    IFERROR(
      LET(
        list, N1447,
        arr, TRIM(SPLIT(list, "","")),
        names, XLOOKUP(
          arr,
          'Conformance Score'!A:A,
          'Conformance Score'!B:B,
          ""Not found""
     "&amp;"   ),
        TEXTJOIN("", "", TRUE, names)
      ),
      """"
    )
  ),
  1,
  1
)
"),"")</f>
        <v/>
      </c>
      <c r="P1447" s="105" t="str">
        <f>IF(F1447="Yes", IFERROR(VLOOKUP(D1447, Repository!A:F, 6, 0), ""), "")</f>
        <v/>
      </c>
      <c r="Q1447" s="105" t="str">
        <f>IF(F1447="Yes", IFERROR(VLOOKUP(D1447, Repository!A:I, 8, 0), ""), "")</f>
        <v/>
      </c>
      <c r="R1447" s="105" t="str">
        <f>IF(F1447="Yes", IFERROR(VLOOKUP(D1447, Repository!A:J, 9, 0), ""), "")</f>
        <v/>
      </c>
      <c r="S1447" s="105"/>
      <c r="T1447" s="105"/>
      <c r="U1447" s="105"/>
      <c r="V1447" s="105"/>
      <c r="W1447" s="105"/>
      <c r="X1447" s="105"/>
      <c r="Y1447" s="105"/>
      <c r="Z1447" s="105"/>
      <c r="AA1447" s="105"/>
      <c r="AB1447" s="105"/>
      <c r="AC1447" s="91"/>
      <c r="AD1447" s="105"/>
      <c r="AE1447" s="105"/>
      <c r="AF1447" s="91"/>
      <c r="AG1447" s="105"/>
      <c r="AH1447" s="105"/>
      <c r="AI1447" s="105" t="str">
        <f t="shared" si="1"/>
        <v/>
      </c>
      <c r="AJ1447" s="108" t="str">
        <f t="shared" si="2"/>
        <v/>
      </c>
    </row>
    <row r="1448" ht="15.75" customHeight="1">
      <c r="A1448" s="104"/>
      <c r="B1448" s="105" t="str">
        <f>IFERROR(__xludf.DUMMYFUNCTION("ARRAY_CONSTRAIN(
  ARRAYFORMULA(
    IF(
      'Final Report'!A1448="""",
      """",
      TEXTJOIN(
        "", "" &amp; CHAR(10),
        TRUE,
        IFERROR(
          VLOOKUP(
            TRIM(
              SPLIT('Final Report'!A1448, "","")
         "&amp;"   ),
            'URL Details'!A:B,
            2,
            FALSE
          ),
          """"
        )
      )
    )
  ),
  1,
  1
)
"),"")</f>
        <v/>
      </c>
      <c r="C1448" s="105" t="str">
        <f>IFERROR(__xludf.DUMMYFUNCTION("IFERROR(IF('Final Report'!A1448="""","""", TEXTJOIN(CHAR(10), TRUE, ARRAYFORMULA( ""• ""&amp; FILTER( TRIM(FLATTEN(SPLIT( REGEXREPLACE( SUBSTITUTE(TEXTJOIN("","", TRUE, IFERROR(ARRAYFORMULA(VLOOKUP(TRIM(SPLIT('Final Report'!A1448, "","")), 'URL Details'!A:D, "&amp;"4, FALSE)),"""") ), CHAR(10), "",""), ""\s*,\s*"", "",""), "",""))), TRIM(FLATTEN(SPLIT( REGEXREPLACE( SUBSTITUTE(TEXTJOIN("","", TRUE, IFERROR(ARRAYFORMULA(VLOOKUP(TRIM(SPLIT('Final Report'!A1448, "","")), 'URL Details'!A:D, 4, FALSE)),"""") ), CHAR(10),"&amp;" "",""), ""\s*,\s*"", "",""), "","")))&lt;&gt;"""" ) ) ) ),"""")
"),"")</f>
        <v/>
      </c>
      <c r="D1448" s="105"/>
      <c r="E1448" s="105"/>
      <c r="F1448" s="110" t="b">
        <v>0</v>
      </c>
      <c r="G1448" s="105" t="str">
        <f>IF(F1448=True, IFERROR(VLOOKUP(D1448, Repository!A:B, 2, 0), ""), "")</f>
        <v/>
      </c>
      <c r="H1448" s="105"/>
      <c r="I1448" s="105"/>
      <c r="J1448" s="105" t="str">
        <f>IF(F1448=True, IFERROR(VLOOKUP(D1448, Repository!A:C, 3, 0), ""), "")</f>
        <v/>
      </c>
      <c r="K1448" s="105"/>
      <c r="L1448" s="105" t="str">
        <f>IF(F1448=True, IFERROR(VLOOKUP(D1448, Repository!A:E, 5, 0), ""), "")</f>
        <v/>
      </c>
      <c r="M1448" s="105"/>
      <c r="N1448" s="105" t="str">
        <f>IF(F1448=True, IFERROR(VLOOKUP(D1448, Repository!A:G, 7, 0), ""), "")</f>
        <v/>
      </c>
      <c r="O1448" s="105" t="str">
        <f>IFERROR(__xludf.DUMMYFUNCTION("ARRAY_CONSTRAIN(
  ARRAYFORMULA(
    IFERROR(
      LET(
        list, N1448,
        arr, TRIM(SPLIT(list, "","")),
        names, XLOOKUP(
          arr,
          'Conformance Score'!A:A,
          'Conformance Score'!B:B,
          ""Not found""
     "&amp;"   ),
        TEXTJOIN("", "", TRUE, names)
      ),
      """"
    )
  ),
  1,
  1
)
"),"")</f>
        <v/>
      </c>
      <c r="P1448" s="105" t="str">
        <f>IF(F1448="Yes", IFERROR(VLOOKUP(D1448, Repository!A:F, 6, 0), ""), "")</f>
        <v/>
      </c>
      <c r="Q1448" s="105" t="str">
        <f>IF(F1448="Yes", IFERROR(VLOOKUP(D1448, Repository!A:I, 8, 0), ""), "")</f>
        <v/>
      </c>
      <c r="R1448" s="105" t="str">
        <f>IF(F1448="Yes", IFERROR(VLOOKUP(D1448, Repository!A:J, 9, 0), ""), "")</f>
        <v/>
      </c>
      <c r="S1448" s="105"/>
      <c r="T1448" s="105"/>
      <c r="U1448" s="105"/>
      <c r="V1448" s="105"/>
      <c r="W1448" s="105"/>
      <c r="X1448" s="105"/>
      <c r="Y1448" s="105"/>
      <c r="Z1448" s="105"/>
      <c r="AA1448" s="105"/>
      <c r="AB1448" s="105"/>
      <c r="AC1448" s="91"/>
      <c r="AD1448" s="105"/>
      <c r="AE1448" s="105"/>
      <c r="AF1448" s="91"/>
      <c r="AG1448" s="105"/>
      <c r="AH1448" s="105"/>
      <c r="AI1448" s="105" t="str">
        <f t="shared" si="1"/>
        <v/>
      </c>
      <c r="AJ1448" s="108" t="str">
        <f t="shared" si="2"/>
        <v/>
      </c>
    </row>
    <row r="1449" ht="15.75" customHeight="1">
      <c r="A1449" s="104"/>
      <c r="B1449" s="105" t="str">
        <f>IFERROR(__xludf.DUMMYFUNCTION("ARRAY_CONSTRAIN(
  ARRAYFORMULA(
    IF(
      'Final Report'!A1449="""",
      """",
      TEXTJOIN(
        "", "" &amp; CHAR(10),
        TRUE,
        IFERROR(
          VLOOKUP(
            TRIM(
              SPLIT('Final Report'!A1449, "","")
         "&amp;"   ),
            'URL Details'!A:B,
            2,
            FALSE
          ),
          """"
        )
      )
    )
  ),
  1,
  1
)
"),"")</f>
        <v/>
      </c>
      <c r="C1449" s="105" t="str">
        <f>IFERROR(__xludf.DUMMYFUNCTION("IFERROR(IF('Final Report'!A1449="""","""", TEXTJOIN(CHAR(10), TRUE, ARRAYFORMULA( ""• ""&amp; FILTER( TRIM(FLATTEN(SPLIT( REGEXREPLACE( SUBSTITUTE(TEXTJOIN("","", TRUE, IFERROR(ARRAYFORMULA(VLOOKUP(TRIM(SPLIT('Final Report'!A1449, "","")), 'URL Details'!A:D, "&amp;"4, FALSE)),"""") ), CHAR(10), "",""), ""\s*,\s*"", "",""), "",""))), TRIM(FLATTEN(SPLIT( REGEXREPLACE( SUBSTITUTE(TEXTJOIN("","", TRUE, IFERROR(ARRAYFORMULA(VLOOKUP(TRIM(SPLIT('Final Report'!A1449, "","")), 'URL Details'!A:D, 4, FALSE)),"""") ), CHAR(10),"&amp;" "",""), ""\s*,\s*"", "",""), "","")))&lt;&gt;"""" ) ) ) ),"""")
"),"")</f>
        <v/>
      </c>
      <c r="D1449" s="105"/>
      <c r="E1449" s="105"/>
      <c r="F1449" s="110" t="b">
        <v>0</v>
      </c>
      <c r="G1449" s="105" t="str">
        <f>IF(F1449=True, IFERROR(VLOOKUP(D1449, Repository!A:B, 2, 0), ""), "")</f>
        <v/>
      </c>
      <c r="H1449" s="105"/>
      <c r="I1449" s="105"/>
      <c r="J1449" s="105" t="str">
        <f>IF(F1449=True, IFERROR(VLOOKUP(D1449, Repository!A:C, 3, 0), ""), "")</f>
        <v/>
      </c>
      <c r="K1449" s="105"/>
      <c r="L1449" s="105" t="str">
        <f>IF(F1449=True, IFERROR(VLOOKUP(D1449, Repository!A:E, 5, 0), ""), "")</f>
        <v/>
      </c>
      <c r="M1449" s="105"/>
      <c r="N1449" s="105" t="str">
        <f>IF(F1449=True, IFERROR(VLOOKUP(D1449, Repository!A:G, 7, 0), ""), "")</f>
        <v/>
      </c>
      <c r="O1449" s="105" t="str">
        <f>IFERROR(__xludf.DUMMYFUNCTION("ARRAY_CONSTRAIN(
  ARRAYFORMULA(
    IFERROR(
      LET(
        list, N1449,
        arr, TRIM(SPLIT(list, "","")),
        names, XLOOKUP(
          arr,
          'Conformance Score'!A:A,
          'Conformance Score'!B:B,
          ""Not found""
     "&amp;"   ),
        TEXTJOIN("", "", TRUE, names)
      ),
      """"
    )
  ),
  1,
  1
)
"),"")</f>
        <v/>
      </c>
      <c r="P1449" s="105" t="str">
        <f>IF(F1449="Yes", IFERROR(VLOOKUP(D1449, Repository!A:F, 6, 0), ""), "")</f>
        <v/>
      </c>
      <c r="Q1449" s="105" t="str">
        <f>IF(F1449="Yes", IFERROR(VLOOKUP(D1449, Repository!A:I, 8, 0), ""), "")</f>
        <v/>
      </c>
      <c r="R1449" s="105" t="str">
        <f>IF(F1449="Yes", IFERROR(VLOOKUP(D1449, Repository!A:J, 9, 0), ""), "")</f>
        <v/>
      </c>
      <c r="S1449" s="105"/>
      <c r="T1449" s="105"/>
      <c r="U1449" s="105"/>
      <c r="V1449" s="105"/>
      <c r="W1449" s="105"/>
      <c r="X1449" s="105"/>
      <c r="Y1449" s="105"/>
      <c r="Z1449" s="105"/>
      <c r="AA1449" s="105"/>
      <c r="AB1449" s="105"/>
      <c r="AC1449" s="91"/>
      <c r="AD1449" s="105"/>
      <c r="AE1449" s="105"/>
      <c r="AF1449" s="91"/>
      <c r="AG1449" s="105"/>
      <c r="AH1449" s="105"/>
      <c r="AI1449" s="105" t="str">
        <f t="shared" si="1"/>
        <v/>
      </c>
      <c r="AJ1449" s="108" t="str">
        <f t="shared" si="2"/>
        <v/>
      </c>
    </row>
    <row r="1450" ht="15.75" customHeight="1">
      <c r="A1450" s="104"/>
      <c r="B1450" s="105" t="str">
        <f>IFERROR(__xludf.DUMMYFUNCTION("ARRAY_CONSTRAIN(
  ARRAYFORMULA(
    IF(
      'Final Report'!A1450="""",
      """",
      TEXTJOIN(
        "", "" &amp; CHAR(10),
        TRUE,
        IFERROR(
          VLOOKUP(
            TRIM(
              SPLIT('Final Report'!A1450, "","")
         "&amp;"   ),
            'URL Details'!A:B,
            2,
            FALSE
          ),
          """"
        )
      )
    )
  ),
  1,
  1
)
"),"")</f>
        <v/>
      </c>
      <c r="C1450" s="105" t="str">
        <f>IFERROR(__xludf.DUMMYFUNCTION("IFERROR(IF('Final Report'!A1450="""","""", TEXTJOIN(CHAR(10), TRUE, ARRAYFORMULA( ""• ""&amp; FILTER( TRIM(FLATTEN(SPLIT( REGEXREPLACE( SUBSTITUTE(TEXTJOIN("","", TRUE, IFERROR(ARRAYFORMULA(VLOOKUP(TRIM(SPLIT('Final Report'!A1450, "","")), 'URL Details'!A:D, "&amp;"4, FALSE)),"""") ), CHAR(10), "",""), ""\s*,\s*"", "",""), "",""))), TRIM(FLATTEN(SPLIT( REGEXREPLACE( SUBSTITUTE(TEXTJOIN("","", TRUE, IFERROR(ARRAYFORMULA(VLOOKUP(TRIM(SPLIT('Final Report'!A1450, "","")), 'URL Details'!A:D, 4, FALSE)),"""") ), CHAR(10),"&amp;" "",""), ""\s*,\s*"", "",""), "","")))&lt;&gt;"""" ) ) ) ),"""")
"),"")</f>
        <v/>
      </c>
      <c r="D1450" s="105"/>
      <c r="E1450" s="105"/>
      <c r="F1450" s="110" t="b">
        <v>0</v>
      </c>
      <c r="G1450" s="105" t="str">
        <f>IF(F1450=True, IFERROR(VLOOKUP(D1450, Repository!A:B, 2, 0), ""), "")</f>
        <v/>
      </c>
      <c r="H1450" s="105"/>
      <c r="I1450" s="105"/>
      <c r="J1450" s="105" t="str">
        <f>IF(F1450=True, IFERROR(VLOOKUP(D1450, Repository!A:C, 3, 0), ""), "")</f>
        <v/>
      </c>
      <c r="K1450" s="105"/>
      <c r="L1450" s="105" t="str">
        <f>IF(F1450=True, IFERROR(VLOOKUP(D1450, Repository!A:E, 5, 0), ""), "")</f>
        <v/>
      </c>
      <c r="M1450" s="105"/>
      <c r="N1450" s="105" t="str">
        <f>IF(F1450=True, IFERROR(VLOOKUP(D1450, Repository!A:G, 7, 0), ""), "")</f>
        <v/>
      </c>
      <c r="O1450" s="105" t="str">
        <f>IFERROR(__xludf.DUMMYFUNCTION("ARRAY_CONSTRAIN(
  ARRAYFORMULA(
    IFERROR(
      LET(
        list, N1450,
        arr, TRIM(SPLIT(list, "","")),
        names, XLOOKUP(
          arr,
          'Conformance Score'!A:A,
          'Conformance Score'!B:B,
          ""Not found""
     "&amp;"   ),
        TEXTJOIN("", "", TRUE, names)
      ),
      """"
    )
  ),
  1,
  1
)
"),"")</f>
        <v/>
      </c>
      <c r="P1450" s="105" t="str">
        <f>IF(F1450="Yes", IFERROR(VLOOKUP(D1450, Repository!A:F, 6, 0), ""), "")</f>
        <v/>
      </c>
      <c r="Q1450" s="105" t="str">
        <f>IF(F1450="Yes", IFERROR(VLOOKUP(D1450, Repository!A:I, 8, 0), ""), "")</f>
        <v/>
      </c>
      <c r="R1450" s="105" t="str">
        <f>IF(F1450="Yes", IFERROR(VLOOKUP(D1450, Repository!A:J, 9, 0), ""), "")</f>
        <v/>
      </c>
      <c r="S1450" s="105"/>
      <c r="T1450" s="105"/>
      <c r="U1450" s="105"/>
      <c r="V1450" s="105"/>
      <c r="W1450" s="105"/>
      <c r="X1450" s="105"/>
      <c r="Y1450" s="105"/>
      <c r="Z1450" s="105"/>
      <c r="AA1450" s="105"/>
      <c r="AB1450" s="105"/>
      <c r="AC1450" s="91"/>
      <c r="AD1450" s="105"/>
      <c r="AE1450" s="105"/>
      <c r="AF1450" s="91"/>
      <c r="AG1450" s="105"/>
      <c r="AH1450" s="105"/>
      <c r="AI1450" s="105" t="str">
        <f t="shared" si="1"/>
        <v/>
      </c>
      <c r="AJ1450" s="108" t="str">
        <f t="shared" si="2"/>
        <v/>
      </c>
    </row>
    <row r="1451" ht="15.75" customHeight="1">
      <c r="A1451" s="104"/>
      <c r="B1451" s="105" t="str">
        <f>IFERROR(__xludf.DUMMYFUNCTION("ARRAY_CONSTRAIN(
  ARRAYFORMULA(
    IF(
      'Final Report'!A1451="""",
      """",
      TEXTJOIN(
        "", "" &amp; CHAR(10),
        TRUE,
        IFERROR(
          VLOOKUP(
            TRIM(
              SPLIT('Final Report'!A1451, "","")
         "&amp;"   ),
            'URL Details'!A:B,
            2,
            FALSE
          ),
          """"
        )
      )
    )
  ),
  1,
  1
)
"),"")</f>
        <v/>
      </c>
      <c r="C1451" s="105" t="str">
        <f>IFERROR(__xludf.DUMMYFUNCTION("IFERROR(IF('Final Report'!A1451="""","""", TEXTJOIN(CHAR(10), TRUE, ARRAYFORMULA( ""• ""&amp; FILTER( TRIM(FLATTEN(SPLIT( REGEXREPLACE( SUBSTITUTE(TEXTJOIN("","", TRUE, IFERROR(ARRAYFORMULA(VLOOKUP(TRIM(SPLIT('Final Report'!A1451, "","")), 'URL Details'!A:D, "&amp;"4, FALSE)),"""") ), CHAR(10), "",""), ""\s*,\s*"", "",""), "",""))), TRIM(FLATTEN(SPLIT( REGEXREPLACE( SUBSTITUTE(TEXTJOIN("","", TRUE, IFERROR(ARRAYFORMULA(VLOOKUP(TRIM(SPLIT('Final Report'!A1451, "","")), 'URL Details'!A:D, 4, FALSE)),"""") ), CHAR(10),"&amp;" "",""), ""\s*,\s*"", "",""), "","")))&lt;&gt;"""" ) ) ) ),"""")
"),"")</f>
        <v/>
      </c>
      <c r="D1451" s="105"/>
      <c r="E1451" s="105"/>
      <c r="F1451" s="110" t="b">
        <v>0</v>
      </c>
      <c r="G1451" s="105" t="str">
        <f>IF(F1451=True, IFERROR(VLOOKUP(D1451, Repository!A:B, 2, 0), ""), "")</f>
        <v/>
      </c>
      <c r="H1451" s="105"/>
      <c r="I1451" s="105"/>
      <c r="J1451" s="105" t="str">
        <f>IF(F1451=True, IFERROR(VLOOKUP(D1451, Repository!A:C, 3, 0), ""), "")</f>
        <v/>
      </c>
      <c r="K1451" s="105"/>
      <c r="L1451" s="105" t="str">
        <f>IF(F1451=True, IFERROR(VLOOKUP(D1451, Repository!A:E, 5, 0), ""), "")</f>
        <v/>
      </c>
      <c r="M1451" s="105"/>
      <c r="N1451" s="105" t="str">
        <f>IF(F1451=True, IFERROR(VLOOKUP(D1451, Repository!A:G, 7, 0), ""), "")</f>
        <v/>
      </c>
      <c r="O1451" s="105" t="str">
        <f>IFERROR(__xludf.DUMMYFUNCTION("ARRAY_CONSTRAIN(
  ARRAYFORMULA(
    IFERROR(
      LET(
        list, N1451,
        arr, TRIM(SPLIT(list, "","")),
        names, XLOOKUP(
          arr,
          'Conformance Score'!A:A,
          'Conformance Score'!B:B,
          ""Not found""
     "&amp;"   ),
        TEXTJOIN("", "", TRUE, names)
      ),
      """"
    )
  ),
  1,
  1
)
"),"")</f>
        <v/>
      </c>
      <c r="P1451" s="105" t="str">
        <f>IF(F1451="Yes", IFERROR(VLOOKUP(D1451, Repository!A:F, 6, 0), ""), "")</f>
        <v/>
      </c>
      <c r="Q1451" s="105" t="str">
        <f>IF(F1451="Yes", IFERROR(VLOOKUP(D1451, Repository!A:I, 8, 0), ""), "")</f>
        <v/>
      </c>
      <c r="R1451" s="105" t="str">
        <f>IF(F1451="Yes", IFERROR(VLOOKUP(D1451, Repository!A:J, 9, 0), ""), "")</f>
        <v/>
      </c>
      <c r="S1451" s="105"/>
      <c r="T1451" s="105"/>
      <c r="U1451" s="105"/>
      <c r="V1451" s="105"/>
      <c r="W1451" s="105"/>
      <c r="X1451" s="105"/>
      <c r="Y1451" s="105"/>
      <c r="Z1451" s="105"/>
      <c r="AA1451" s="105"/>
      <c r="AB1451" s="105"/>
      <c r="AC1451" s="91"/>
      <c r="AD1451" s="105"/>
      <c r="AE1451" s="105"/>
      <c r="AF1451" s="91"/>
      <c r="AG1451" s="105"/>
      <c r="AH1451" s="105"/>
      <c r="AI1451" s="105" t="str">
        <f t="shared" si="1"/>
        <v/>
      </c>
      <c r="AJ1451" s="108" t="str">
        <f t="shared" si="2"/>
        <v/>
      </c>
    </row>
    <row r="1452" ht="15.75" customHeight="1">
      <c r="A1452" s="104"/>
      <c r="B1452" s="105" t="str">
        <f>IFERROR(__xludf.DUMMYFUNCTION("ARRAY_CONSTRAIN(
  ARRAYFORMULA(
    IF(
      'Final Report'!A1452="""",
      """",
      TEXTJOIN(
        "", "" &amp; CHAR(10),
        TRUE,
        IFERROR(
          VLOOKUP(
            TRIM(
              SPLIT('Final Report'!A1452, "","")
         "&amp;"   ),
            'URL Details'!A:B,
            2,
            FALSE
          ),
          """"
        )
      )
    )
  ),
  1,
  1
)
"),"")</f>
        <v/>
      </c>
      <c r="C1452" s="105" t="str">
        <f>IFERROR(__xludf.DUMMYFUNCTION("IFERROR(IF('Final Report'!A1452="""","""", TEXTJOIN(CHAR(10), TRUE, ARRAYFORMULA( ""• ""&amp; FILTER( TRIM(FLATTEN(SPLIT( REGEXREPLACE( SUBSTITUTE(TEXTJOIN("","", TRUE, IFERROR(ARRAYFORMULA(VLOOKUP(TRIM(SPLIT('Final Report'!A1452, "","")), 'URL Details'!A:D, "&amp;"4, FALSE)),"""") ), CHAR(10), "",""), ""\s*,\s*"", "",""), "",""))), TRIM(FLATTEN(SPLIT( REGEXREPLACE( SUBSTITUTE(TEXTJOIN("","", TRUE, IFERROR(ARRAYFORMULA(VLOOKUP(TRIM(SPLIT('Final Report'!A1452, "","")), 'URL Details'!A:D, 4, FALSE)),"""") ), CHAR(10),"&amp;" "",""), ""\s*,\s*"", "",""), "","")))&lt;&gt;"""" ) ) ) ),"""")
"),"")</f>
        <v/>
      </c>
      <c r="D1452" s="105"/>
      <c r="E1452" s="105"/>
      <c r="F1452" s="110" t="b">
        <v>0</v>
      </c>
      <c r="G1452" s="105" t="str">
        <f>IF(F1452=True, IFERROR(VLOOKUP(D1452, Repository!A:B, 2, 0), ""), "")</f>
        <v/>
      </c>
      <c r="H1452" s="105"/>
      <c r="I1452" s="105"/>
      <c r="J1452" s="105" t="str">
        <f>IF(F1452=True, IFERROR(VLOOKUP(D1452, Repository!A:C, 3, 0), ""), "")</f>
        <v/>
      </c>
      <c r="K1452" s="105"/>
      <c r="L1452" s="105" t="str">
        <f>IF(F1452=True, IFERROR(VLOOKUP(D1452, Repository!A:E, 5, 0), ""), "")</f>
        <v/>
      </c>
      <c r="M1452" s="105"/>
      <c r="N1452" s="105" t="str">
        <f>IF(F1452=True, IFERROR(VLOOKUP(D1452, Repository!A:G, 7, 0), ""), "")</f>
        <v/>
      </c>
      <c r="O1452" s="105" t="str">
        <f>IFERROR(__xludf.DUMMYFUNCTION("ARRAY_CONSTRAIN(
  ARRAYFORMULA(
    IFERROR(
      LET(
        list, N1452,
        arr, TRIM(SPLIT(list, "","")),
        names, XLOOKUP(
          arr,
          'Conformance Score'!A:A,
          'Conformance Score'!B:B,
          ""Not found""
     "&amp;"   ),
        TEXTJOIN("", "", TRUE, names)
      ),
      """"
    )
  ),
  1,
  1
)
"),"")</f>
        <v/>
      </c>
      <c r="P1452" s="105" t="str">
        <f>IF(F1452="Yes", IFERROR(VLOOKUP(D1452, Repository!A:F, 6, 0), ""), "")</f>
        <v/>
      </c>
      <c r="Q1452" s="105" t="str">
        <f>IF(F1452="Yes", IFERROR(VLOOKUP(D1452, Repository!A:I, 8, 0), ""), "")</f>
        <v/>
      </c>
      <c r="R1452" s="105" t="str">
        <f>IF(F1452="Yes", IFERROR(VLOOKUP(D1452, Repository!A:J, 9, 0), ""), "")</f>
        <v/>
      </c>
      <c r="S1452" s="105"/>
      <c r="T1452" s="105"/>
      <c r="U1452" s="105"/>
      <c r="V1452" s="105"/>
      <c r="W1452" s="105"/>
      <c r="X1452" s="105"/>
      <c r="Y1452" s="105"/>
      <c r="Z1452" s="105"/>
      <c r="AA1452" s="105"/>
      <c r="AB1452" s="105"/>
      <c r="AC1452" s="91"/>
      <c r="AD1452" s="105"/>
      <c r="AE1452" s="105"/>
      <c r="AF1452" s="91"/>
      <c r="AG1452" s="105"/>
      <c r="AH1452" s="105"/>
      <c r="AI1452" s="105" t="str">
        <f t="shared" si="1"/>
        <v/>
      </c>
      <c r="AJ1452" s="108" t="str">
        <f t="shared" si="2"/>
        <v/>
      </c>
    </row>
    <row r="1453" ht="15.75" customHeight="1">
      <c r="A1453" s="104"/>
      <c r="B1453" s="105" t="str">
        <f>IFERROR(__xludf.DUMMYFUNCTION("ARRAY_CONSTRAIN(
  ARRAYFORMULA(
    IF(
      'Final Report'!A1453="""",
      """",
      TEXTJOIN(
        "", "" &amp; CHAR(10),
        TRUE,
        IFERROR(
          VLOOKUP(
            TRIM(
              SPLIT('Final Report'!A1453, "","")
         "&amp;"   ),
            'URL Details'!A:B,
            2,
            FALSE
          ),
          """"
        )
      )
    )
  ),
  1,
  1
)
"),"")</f>
        <v/>
      </c>
      <c r="C1453" s="105" t="str">
        <f>IFERROR(__xludf.DUMMYFUNCTION("IFERROR(IF('Final Report'!A1453="""","""", TEXTJOIN(CHAR(10), TRUE, ARRAYFORMULA( ""• ""&amp; FILTER( TRIM(FLATTEN(SPLIT( REGEXREPLACE( SUBSTITUTE(TEXTJOIN("","", TRUE, IFERROR(ARRAYFORMULA(VLOOKUP(TRIM(SPLIT('Final Report'!A1453, "","")), 'URL Details'!A:D, "&amp;"4, FALSE)),"""") ), CHAR(10), "",""), ""\s*,\s*"", "",""), "",""))), TRIM(FLATTEN(SPLIT( REGEXREPLACE( SUBSTITUTE(TEXTJOIN("","", TRUE, IFERROR(ARRAYFORMULA(VLOOKUP(TRIM(SPLIT('Final Report'!A1453, "","")), 'URL Details'!A:D, 4, FALSE)),"""") ), CHAR(10),"&amp;" "",""), ""\s*,\s*"", "",""), "","")))&lt;&gt;"""" ) ) ) ),"""")
"),"")</f>
        <v/>
      </c>
      <c r="D1453" s="105"/>
      <c r="E1453" s="105"/>
      <c r="F1453" s="110" t="b">
        <v>0</v>
      </c>
      <c r="G1453" s="105" t="str">
        <f>IF(F1453=True, IFERROR(VLOOKUP(D1453, Repository!A:B, 2, 0), ""), "")</f>
        <v/>
      </c>
      <c r="H1453" s="105"/>
      <c r="I1453" s="105"/>
      <c r="J1453" s="105" t="str">
        <f>IF(F1453=True, IFERROR(VLOOKUP(D1453, Repository!A:C, 3, 0), ""), "")</f>
        <v/>
      </c>
      <c r="K1453" s="105"/>
      <c r="L1453" s="105" t="str">
        <f>IF(F1453=True, IFERROR(VLOOKUP(D1453, Repository!A:E, 5, 0), ""), "")</f>
        <v/>
      </c>
      <c r="M1453" s="105"/>
      <c r="N1453" s="105" t="str">
        <f>IF(F1453=True, IFERROR(VLOOKUP(D1453, Repository!A:G, 7, 0), ""), "")</f>
        <v/>
      </c>
      <c r="O1453" s="105" t="str">
        <f>IFERROR(__xludf.DUMMYFUNCTION("ARRAY_CONSTRAIN(
  ARRAYFORMULA(
    IFERROR(
      LET(
        list, N1453,
        arr, TRIM(SPLIT(list, "","")),
        names, XLOOKUP(
          arr,
          'Conformance Score'!A:A,
          'Conformance Score'!B:B,
          ""Not found""
     "&amp;"   ),
        TEXTJOIN("", "", TRUE, names)
      ),
      """"
    )
  ),
  1,
  1
)
"),"")</f>
        <v/>
      </c>
      <c r="P1453" s="105" t="str">
        <f>IF(F1453="Yes", IFERROR(VLOOKUP(D1453, Repository!A:F, 6, 0), ""), "")</f>
        <v/>
      </c>
      <c r="Q1453" s="105" t="str">
        <f>IF(F1453="Yes", IFERROR(VLOOKUP(D1453, Repository!A:I, 8, 0), ""), "")</f>
        <v/>
      </c>
      <c r="R1453" s="105" t="str">
        <f>IF(F1453="Yes", IFERROR(VLOOKUP(D1453, Repository!A:J, 9, 0), ""), "")</f>
        <v/>
      </c>
      <c r="S1453" s="105"/>
      <c r="T1453" s="105"/>
      <c r="U1453" s="105"/>
      <c r="V1453" s="105"/>
      <c r="W1453" s="105"/>
      <c r="X1453" s="105"/>
      <c r="Y1453" s="105"/>
      <c r="Z1453" s="105"/>
      <c r="AA1453" s="105"/>
      <c r="AB1453" s="105"/>
      <c r="AC1453" s="91"/>
      <c r="AD1453" s="105"/>
      <c r="AE1453" s="105"/>
      <c r="AF1453" s="91"/>
      <c r="AG1453" s="105"/>
      <c r="AH1453" s="105"/>
      <c r="AI1453" s="105" t="str">
        <f t="shared" si="1"/>
        <v/>
      </c>
      <c r="AJ1453" s="108" t="str">
        <f t="shared" si="2"/>
        <v/>
      </c>
    </row>
    <row r="1454" ht="15.75" customHeight="1">
      <c r="A1454" s="104"/>
      <c r="B1454" s="105" t="str">
        <f>IFERROR(__xludf.DUMMYFUNCTION("ARRAY_CONSTRAIN(
  ARRAYFORMULA(
    IF(
      'Final Report'!A1454="""",
      """",
      TEXTJOIN(
        "", "" &amp; CHAR(10),
        TRUE,
        IFERROR(
          VLOOKUP(
            TRIM(
              SPLIT('Final Report'!A1454, "","")
         "&amp;"   ),
            'URL Details'!A:B,
            2,
            FALSE
          ),
          """"
        )
      )
    )
  ),
  1,
  1
)
"),"")</f>
        <v/>
      </c>
      <c r="C1454" s="105" t="str">
        <f>IFERROR(__xludf.DUMMYFUNCTION("IFERROR(IF('Final Report'!A1454="""","""", TEXTJOIN(CHAR(10), TRUE, ARRAYFORMULA( ""• ""&amp; FILTER( TRIM(FLATTEN(SPLIT( REGEXREPLACE( SUBSTITUTE(TEXTJOIN("","", TRUE, IFERROR(ARRAYFORMULA(VLOOKUP(TRIM(SPLIT('Final Report'!A1454, "","")), 'URL Details'!A:D, "&amp;"4, FALSE)),"""") ), CHAR(10), "",""), ""\s*,\s*"", "",""), "",""))), TRIM(FLATTEN(SPLIT( REGEXREPLACE( SUBSTITUTE(TEXTJOIN("","", TRUE, IFERROR(ARRAYFORMULA(VLOOKUP(TRIM(SPLIT('Final Report'!A1454, "","")), 'URL Details'!A:D, 4, FALSE)),"""") ), CHAR(10),"&amp;" "",""), ""\s*,\s*"", "",""), "","")))&lt;&gt;"""" ) ) ) ),"""")
"),"")</f>
        <v/>
      </c>
      <c r="D1454" s="105"/>
      <c r="E1454" s="105"/>
      <c r="F1454" s="110" t="b">
        <v>0</v>
      </c>
      <c r="G1454" s="105" t="str">
        <f>IF(F1454=True, IFERROR(VLOOKUP(D1454, Repository!A:B, 2, 0), ""), "")</f>
        <v/>
      </c>
      <c r="H1454" s="105"/>
      <c r="I1454" s="105"/>
      <c r="J1454" s="105" t="str">
        <f>IF(F1454=True, IFERROR(VLOOKUP(D1454, Repository!A:C, 3, 0), ""), "")</f>
        <v/>
      </c>
      <c r="K1454" s="105"/>
      <c r="L1454" s="105" t="str">
        <f>IF(F1454=True, IFERROR(VLOOKUP(D1454, Repository!A:E, 5, 0), ""), "")</f>
        <v/>
      </c>
      <c r="M1454" s="105"/>
      <c r="N1454" s="105" t="str">
        <f>IF(F1454=True, IFERROR(VLOOKUP(D1454, Repository!A:G, 7, 0), ""), "")</f>
        <v/>
      </c>
      <c r="O1454" s="105" t="str">
        <f>IFERROR(__xludf.DUMMYFUNCTION("ARRAY_CONSTRAIN(
  ARRAYFORMULA(
    IFERROR(
      LET(
        list, N1454,
        arr, TRIM(SPLIT(list, "","")),
        names, XLOOKUP(
          arr,
          'Conformance Score'!A:A,
          'Conformance Score'!B:B,
          ""Not found""
     "&amp;"   ),
        TEXTJOIN("", "", TRUE, names)
      ),
      """"
    )
  ),
  1,
  1
)
"),"")</f>
        <v/>
      </c>
      <c r="P1454" s="105" t="str">
        <f>IF(F1454="Yes", IFERROR(VLOOKUP(D1454, Repository!A:F, 6, 0), ""), "")</f>
        <v/>
      </c>
      <c r="Q1454" s="105" t="str">
        <f>IF(F1454="Yes", IFERROR(VLOOKUP(D1454, Repository!A:I, 8, 0), ""), "")</f>
        <v/>
      </c>
      <c r="R1454" s="105" t="str">
        <f>IF(F1454="Yes", IFERROR(VLOOKUP(D1454, Repository!A:J, 9, 0), ""), "")</f>
        <v/>
      </c>
      <c r="S1454" s="105"/>
      <c r="T1454" s="105"/>
      <c r="U1454" s="105"/>
      <c r="V1454" s="105"/>
      <c r="W1454" s="105"/>
      <c r="X1454" s="105"/>
      <c r="Y1454" s="105"/>
      <c r="Z1454" s="105"/>
      <c r="AA1454" s="105"/>
      <c r="AB1454" s="105"/>
      <c r="AC1454" s="91"/>
      <c r="AD1454" s="105"/>
      <c r="AE1454" s="105"/>
      <c r="AF1454" s="91"/>
      <c r="AG1454" s="105"/>
      <c r="AH1454" s="105"/>
      <c r="AI1454" s="105" t="str">
        <f t="shared" si="1"/>
        <v/>
      </c>
      <c r="AJ1454" s="108" t="str">
        <f t="shared" si="2"/>
        <v/>
      </c>
    </row>
    <row r="1455" ht="15.75" customHeight="1">
      <c r="A1455" s="104"/>
      <c r="B1455" s="105" t="str">
        <f>IFERROR(__xludf.DUMMYFUNCTION("ARRAY_CONSTRAIN(
  ARRAYFORMULA(
    IF(
      'Final Report'!A1455="""",
      """",
      TEXTJOIN(
        "", "" &amp; CHAR(10),
        TRUE,
        IFERROR(
          VLOOKUP(
            TRIM(
              SPLIT('Final Report'!A1455, "","")
         "&amp;"   ),
            'URL Details'!A:B,
            2,
            FALSE
          ),
          """"
        )
      )
    )
  ),
  1,
  1
)
"),"")</f>
        <v/>
      </c>
      <c r="C1455" s="105" t="str">
        <f>IFERROR(__xludf.DUMMYFUNCTION("IFERROR(IF('Final Report'!A1455="""","""", TEXTJOIN(CHAR(10), TRUE, ARRAYFORMULA( ""• ""&amp; FILTER( TRIM(FLATTEN(SPLIT( REGEXREPLACE( SUBSTITUTE(TEXTJOIN("","", TRUE, IFERROR(ARRAYFORMULA(VLOOKUP(TRIM(SPLIT('Final Report'!A1455, "","")), 'URL Details'!A:D, "&amp;"4, FALSE)),"""") ), CHAR(10), "",""), ""\s*,\s*"", "",""), "",""))), TRIM(FLATTEN(SPLIT( REGEXREPLACE( SUBSTITUTE(TEXTJOIN("","", TRUE, IFERROR(ARRAYFORMULA(VLOOKUP(TRIM(SPLIT('Final Report'!A1455, "","")), 'URL Details'!A:D, 4, FALSE)),"""") ), CHAR(10),"&amp;" "",""), ""\s*,\s*"", "",""), "","")))&lt;&gt;"""" ) ) ) ),"""")
"),"")</f>
        <v/>
      </c>
      <c r="D1455" s="105"/>
      <c r="E1455" s="105"/>
      <c r="F1455" s="110" t="b">
        <v>0</v>
      </c>
      <c r="G1455" s="105" t="str">
        <f>IF(F1455=True, IFERROR(VLOOKUP(D1455, Repository!A:B, 2, 0), ""), "")</f>
        <v/>
      </c>
      <c r="H1455" s="105"/>
      <c r="I1455" s="105"/>
      <c r="J1455" s="105" t="str">
        <f>IF(F1455=True, IFERROR(VLOOKUP(D1455, Repository!A:C, 3, 0), ""), "")</f>
        <v/>
      </c>
      <c r="K1455" s="105"/>
      <c r="L1455" s="105" t="str">
        <f>IF(F1455=True, IFERROR(VLOOKUP(D1455, Repository!A:E, 5, 0), ""), "")</f>
        <v/>
      </c>
      <c r="M1455" s="105"/>
      <c r="N1455" s="105" t="str">
        <f>IF(F1455=True, IFERROR(VLOOKUP(D1455, Repository!A:G, 7, 0), ""), "")</f>
        <v/>
      </c>
      <c r="O1455" s="105" t="str">
        <f>IFERROR(__xludf.DUMMYFUNCTION("ARRAY_CONSTRAIN(
  ARRAYFORMULA(
    IFERROR(
      LET(
        list, N1455,
        arr, TRIM(SPLIT(list, "","")),
        names, XLOOKUP(
          arr,
          'Conformance Score'!A:A,
          'Conformance Score'!B:B,
          ""Not found""
     "&amp;"   ),
        TEXTJOIN("", "", TRUE, names)
      ),
      """"
    )
  ),
  1,
  1
)
"),"")</f>
        <v/>
      </c>
      <c r="P1455" s="105" t="str">
        <f>IF(F1455="Yes", IFERROR(VLOOKUP(D1455, Repository!A:F, 6, 0), ""), "")</f>
        <v/>
      </c>
      <c r="Q1455" s="105" t="str">
        <f>IF(F1455="Yes", IFERROR(VLOOKUP(D1455, Repository!A:I, 8, 0), ""), "")</f>
        <v/>
      </c>
      <c r="R1455" s="105" t="str">
        <f>IF(F1455="Yes", IFERROR(VLOOKUP(D1455, Repository!A:J, 9, 0), ""), "")</f>
        <v/>
      </c>
      <c r="S1455" s="105"/>
      <c r="T1455" s="105"/>
      <c r="U1455" s="105"/>
      <c r="V1455" s="105"/>
      <c r="W1455" s="105"/>
      <c r="X1455" s="105"/>
      <c r="Y1455" s="105"/>
      <c r="Z1455" s="105"/>
      <c r="AA1455" s="105"/>
      <c r="AB1455" s="105"/>
      <c r="AC1455" s="91"/>
      <c r="AD1455" s="105"/>
      <c r="AE1455" s="105"/>
      <c r="AF1455" s="91"/>
      <c r="AG1455" s="105"/>
      <c r="AH1455" s="105"/>
      <c r="AI1455" s="105" t="str">
        <f t="shared" si="1"/>
        <v/>
      </c>
      <c r="AJ1455" s="108" t="str">
        <f t="shared" si="2"/>
        <v/>
      </c>
    </row>
    <row r="1456" ht="15.75" customHeight="1">
      <c r="A1456" s="104"/>
      <c r="B1456" s="105" t="str">
        <f>IFERROR(__xludf.DUMMYFUNCTION("ARRAY_CONSTRAIN(
  ARRAYFORMULA(
    IF(
      'Final Report'!A1456="""",
      """",
      TEXTJOIN(
        "", "" &amp; CHAR(10),
        TRUE,
        IFERROR(
          VLOOKUP(
            TRIM(
              SPLIT('Final Report'!A1456, "","")
         "&amp;"   ),
            'URL Details'!A:B,
            2,
            FALSE
          ),
          """"
        )
      )
    )
  ),
  1,
  1
)
"),"")</f>
        <v/>
      </c>
      <c r="C1456" s="105" t="str">
        <f>IFERROR(__xludf.DUMMYFUNCTION("IFERROR(IF('Final Report'!A1456="""","""", TEXTJOIN(CHAR(10), TRUE, ARRAYFORMULA( ""• ""&amp; FILTER( TRIM(FLATTEN(SPLIT( REGEXREPLACE( SUBSTITUTE(TEXTJOIN("","", TRUE, IFERROR(ARRAYFORMULA(VLOOKUP(TRIM(SPLIT('Final Report'!A1456, "","")), 'URL Details'!A:D, "&amp;"4, FALSE)),"""") ), CHAR(10), "",""), ""\s*,\s*"", "",""), "",""))), TRIM(FLATTEN(SPLIT( REGEXREPLACE( SUBSTITUTE(TEXTJOIN("","", TRUE, IFERROR(ARRAYFORMULA(VLOOKUP(TRIM(SPLIT('Final Report'!A1456, "","")), 'URL Details'!A:D, 4, FALSE)),"""") ), CHAR(10),"&amp;" "",""), ""\s*,\s*"", "",""), "","")))&lt;&gt;"""" ) ) ) ),"""")
"),"")</f>
        <v/>
      </c>
      <c r="D1456" s="105"/>
      <c r="E1456" s="105"/>
      <c r="F1456" s="110" t="b">
        <v>0</v>
      </c>
      <c r="G1456" s="105" t="str">
        <f>IF(F1456=True, IFERROR(VLOOKUP(D1456, Repository!A:B, 2, 0), ""), "")</f>
        <v/>
      </c>
      <c r="H1456" s="105"/>
      <c r="I1456" s="105"/>
      <c r="J1456" s="105" t="str">
        <f>IF(F1456=True, IFERROR(VLOOKUP(D1456, Repository!A:C, 3, 0), ""), "")</f>
        <v/>
      </c>
      <c r="K1456" s="105"/>
      <c r="L1456" s="105" t="str">
        <f>IF(F1456=True, IFERROR(VLOOKUP(D1456, Repository!A:E, 5, 0), ""), "")</f>
        <v/>
      </c>
      <c r="M1456" s="105"/>
      <c r="N1456" s="105" t="str">
        <f>IF(F1456=True, IFERROR(VLOOKUP(D1456, Repository!A:G, 7, 0), ""), "")</f>
        <v/>
      </c>
      <c r="O1456" s="105" t="str">
        <f>IFERROR(__xludf.DUMMYFUNCTION("ARRAY_CONSTRAIN(
  ARRAYFORMULA(
    IFERROR(
      LET(
        list, N1456,
        arr, TRIM(SPLIT(list, "","")),
        names, XLOOKUP(
          arr,
          'Conformance Score'!A:A,
          'Conformance Score'!B:B,
          ""Not found""
     "&amp;"   ),
        TEXTJOIN("", "", TRUE, names)
      ),
      """"
    )
  ),
  1,
  1
)
"),"")</f>
        <v/>
      </c>
      <c r="P1456" s="105" t="str">
        <f>IF(F1456="Yes", IFERROR(VLOOKUP(D1456, Repository!A:F, 6, 0), ""), "")</f>
        <v/>
      </c>
      <c r="Q1456" s="105" t="str">
        <f>IF(F1456="Yes", IFERROR(VLOOKUP(D1456, Repository!A:I, 8, 0), ""), "")</f>
        <v/>
      </c>
      <c r="R1456" s="105" t="str">
        <f>IF(F1456="Yes", IFERROR(VLOOKUP(D1456, Repository!A:J, 9, 0), ""), "")</f>
        <v/>
      </c>
      <c r="S1456" s="105"/>
      <c r="T1456" s="105"/>
      <c r="U1456" s="105"/>
      <c r="V1456" s="105"/>
      <c r="W1456" s="105"/>
      <c r="X1456" s="105"/>
      <c r="Y1456" s="105"/>
      <c r="Z1456" s="105"/>
      <c r="AA1456" s="105"/>
      <c r="AB1456" s="105"/>
      <c r="AC1456" s="91"/>
      <c r="AD1456" s="105"/>
      <c r="AE1456" s="105"/>
      <c r="AF1456" s="91"/>
      <c r="AG1456" s="105"/>
      <c r="AH1456" s="105"/>
      <c r="AI1456" s="105" t="str">
        <f t="shared" si="1"/>
        <v/>
      </c>
      <c r="AJ1456" s="108" t="str">
        <f t="shared" si="2"/>
        <v/>
      </c>
    </row>
    <row r="1457" ht="15.75" customHeight="1">
      <c r="A1457" s="104"/>
      <c r="B1457" s="105" t="str">
        <f>IFERROR(__xludf.DUMMYFUNCTION("ARRAY_CONSTRAIN(
  ARRAYFORMULA(
    IF(
      'Final Report'!A1457="""",
      """",
      TEXTJOIN(
        "", "" &amp; CHAR(10),
        TRUE,
        IFERROR(
          VLOOKUP(
            TRIM(
              SPLIT('Final Report'!A1457, "","")
         "&amp;"   ),
            'URL Details'!A:B,
            2,
            FALSE
          ),
          """"
        )
      )
    )
  ),
  1,
  1
)
"),"")</f>
        <v/>
      </c>
      <c r="C1457" s="105" t="str">
        <f>IFERROR(__xludf.DUMMYFUNCTION("IFERROR(IF('Final Report'!A1457="""","""", TEXTJOIN(CHAR(10), TRUE, ARRAYFORMULA( ""• ""&amp; FILTER( TRIM(FLATTEN(SPLIT( REGEXREPLACE( SUBSTITUTE(TEXTJOIN("","", TRUE, IFERROR(ARRAYFORMULA(VLOOKUP(TRIM(SPLIT('Final Report'!A1457, "","")), 'URL Details'!A:D, "&amp;"4, FALSE)),"""") ), CHAR(10), "",""), ""\s*,\s*"", "",""), "",""))), TRIM(FLATTEN(SPLIT( REGEXREPLACE( SUBSTITUTE(TEXTJOIN("","", TRUE, IFERROR(ARRAYFORMULA(VLOOKUP(TRIM(SPLIT('Final Report'!A1457, "","")), 'URL Details'!A:D, 4, FALSE)),"""") ), CHAR(10),"&amp;" "",""), ""\s*,\s*"", "",""), "","")))&lt;&gt;"""" ) ) ) ),"""")
"),"")</f>
        <v/>
      </c>
      <c r="D1457" s="105"/>
      <c r="E1457" s="105"/>
      <c r="F1457" s="110" t="b">
        <v>0</v>
      </c>
      <c r="G1457" s="105" t="str">
        <f>IF(F1457=True, IFERROR(VLOOKUP(D1457, Repository!A:B, 2, 0), ""), "")</f>
        <v/>
      </c>
      <c r="H1457" s="105"/>
      <c r="I1457" s="105"/>
      <c r="J1457" s="105" t="str">
        <f>IF(F1457=True, IFERROR(VLOOKUP(D1457, Repository!A:C, 3, 0), ""), "")</f>
        <v/>
      </c>
      <c r="K1457" s="105"/>
      <c r="L1457" s="105" t="str">
        <f>IF(F1457=True, IFERROR(VLOOKUP(D1457, Repository!A:E, 5, 0), ""), "")</f>
        <v/>
      </c>
      <c r="M1457" s="105"/>
      <c r="N1457" s="105" t="str">
        <f>IF(F1457=True, IFERROR(VLOOKUP(D1457, Repository!A:G, 7, 0), ""), "")</f>
        <v/>
      </c>
      <c r="O1457" s="105" t="str">
        <f>IFERROR(__xludf.DUMMYFUNCTION("ARRAY_CONSTRAIN(
  ARRAYFORMULA(
    IFERROR(
      LET(
        list, N1457,
        arr, TRIM(SPLIT(list, "","")),
        names, XLOOKUP(
          arr,
          'Conformance Score'!A:A,
          'Conformance Score'!B:B,
          ""Not found""
     "&amp;"   ),
        TEXTJOIN("", "", TRUE, names)
      ),
      """"
    )
  ),
  1,
  1
)
"),"")</f>
        <v/>
      </c>
      <c r="P1457" s="105" t="str">
        <f>IF(F1457="Yes", IFERROR(VLOOKUP(D1457, Repository!A:F, 6, 0), ""), "")</f>
        <v/>
      </c>
      <c r="Q1457" s="105" t="str">
        <f>IF(F1457="Yes", IFERROR(VLOOKUP(D1457, Repository!A:I, 8, 0), ""), "")</f>
        <v/>
      </c>
      <c r="R1457" s="105" t="str">
        <f>IF(F1457="Yes", IFERROR(VLOOKUP(D1457, Repository!A:J, 9, 0), ""), "")</f>
        <v/>
      </c>
      <c r="S1457" s="105"/>
      <c r="T1457" s="105"/>
      <c r="U1457" s="105"/>
      <c r="V1457" s="105"/>
      <c r="W1457" s="105"/>
      <c r="X1457" s="105"/>
      <c r="Y1457" s="105"/>
      <c r="Z1457" s="105"/>
      <c r="AA1457" s="105"/>
      <c r="AB1457" s="105"/>
      <c r="AC1457" s="91"/>
      <c r="AD1457" s="105"/>
      <c r="AE1457" s="105"/>
      <c r="AF1457" s="91"/>
      <c r="AG1457" s="105"/>
      <c r="AH1457" s="105"/>
      <c r="AI1457" s="105" t="str">
        <f t="shared" si="1"/>
        <v/>
      </c>
      <c r="AJ1457" s="108" t="str">
        <f t="shared" si="2"/>
        <v/>
      </c>
    </row>
    <row r="1458" ht="15.75" customHeight="1">
      <c r="A1458" s="104"/>
      <c r="B1458" s="105" t="str">
        <f>IFERROR(__xludf.DUMMYFUNCTION("ARRAY_CONSTRAIN(
  ARRAYFORMULA(
    IF(
      'Final Report'!A1458="""",
      """",
      TEXTJOIN(
        "", "" &amp; CHAR(10),
        TRUE,
        IFERROR(
          VLOOKUP(
            TRIM(
              SPLIT('Final Report'!A1458, "","")
         "&amp;"   ),
            'URL Details'!A:B,
            2,
            FALSE
          ),
          """"
        )
      )
    )
  ),
  1,
  1
)
"),"")</f>
        <v/>
      </c>
      <c r="C1458" s="105" t="str">
        <f>IFERROR(__xludf.DUMMYFUNCTION("IFERROR(IF('Final Report'!A1458="""","""", TEXTJOIN(CHAR(10), TRUE, ARRAYFORMULA( ""• ""&amp; FILTER( TRIM(FLATTEN(SPLIT( REGEXREPLACE( SUBSTITUTE(TEXTJOIN("","", TRUE, IFERROR(ARRAYFORMULA(VLOOKUP(TRIM(SPLIT('Final Report'!A1458, "","")), 'URL Details'!A:D, "&amp;"4, FALSE)),"""") ), CHAR(10), "",""), ""\s*,\s*"", "",""), "",""))), TRIM(FLATTEN(SPLIT( REGEXREPLACE( SUBSTITUTE(TEXTJOIN("","", TRUE, IFERROR(ARRAYFORMULA(VLOOKUP(TRIM(SPLIT('Final Report'!A1458, "","")), 'URL Details'!A:D, 4, FALSE)),"""") ), CHAR(10),"&amp;" "",""), ""\s*,\s*"", "",""), "","")))&lt;&gt;"""" ) ) ) ),"""")
"),"")</f>
        <v/>
      </c>
      <c r="D1458" s="105"/>
      <c r="E1458" s="105"/>
      <c r="F1458" s="110" t="b">
        <v>0</v>
      </c>
      <c r="G1458" s="105" t="str">
        <f>IF(F1458=True, IFERROR(VLOOKUP(D1458, Repository!A:B, 2, 0), ""), "")</f>
        <v/>
      </c>
      <c r="H1458" s="105"/>
      <c r="I1458" s="105"/>
      <c r="J1458" s="105" t="str">
        <f>IF(F1458=True, IFERROR(VLOOKUP(D1458, Repository!A:C, 3, 0), ""), "")</f>
        <v/>
      </c>
      <c r="K1458" s="105"/>
      <c r="L1458" s="105" t="str">
        <f>IF(F1458=True, IFERROR(VLOOKUP(D1458, Repository!A:E, 5, 0), ""), "")</f>
        <v/>
      </c>
      <c r="M1458" s="105"/>
      <c r="N1458" s="105" t="str">
        <f>IF(F1458=True, IFERROR(VLOOKUP(D1458, Repository!A:G, 7, 0), ""), "")</f>
        <v/>
      </c>
      <c r="O1458" s="105" t="str">
        <f>IFERROR(__xludf.DUMMYFUNCTION("ARRAY_CONSTRAIN(
  ARRAYFORMULA(
    IFERROR(
      LET(
        list, N1458,
        arr, TRIM(SPLIT(list, "","")),
        names, XLOOKUP(
          arr,
          'Conformance Score'!A:A,
          'Conformance Score'!B:B,
          ""Not found""
     "&amp;"   ),
        TEXTJOIN("", "", TRUE, names)
      ),
      """"
    )
  ),
  1,
  1
)
"),"")</f>
        <v/>
      </c>
      <c r="P1458" s="105" t="str">
        <f>IF(F1458="Yes", IFERROR(VLOOKUP(D1458, Repository!A:F, 6, 0), ""), "")</f>
        <v/>
      </c>
      <c r="Q1458" s="105" t="str">
        <f>IF(F1458="Yes", IFERROR(VLOOKUP(D1458, Repository!A:I, 8, 0), ""), "")</f>
        <v/>
      </c>
      <c r="R1458" s="105" t="str">
        <f>IF(F1458="Yes", IFERROR(VLOOKUP(D1458, Repository!A:J, 9, 0), ""), "")</f>
        <v/>
      </c>
      <c r="S1458" s="105"/>
      <c r="T1458" s="105"/>
      <c r="U1458" s="105"/>
      <c r="V1458" s="105"/>
      <c r="W1458" s="105"/>
      <c r="X1458" s="105"/>
      <c r="Y1458" s="105"/>
      <c r="Z1458" s="105"/>
      <c r="AA1458" s="105"/>
      <c r="AB1458" s="105"/>
      <c r="AC1458" s="91"/>
      <c r="AD1458" s="105"/>
      <c r="AE1458" s="105"/>
      <c r="AF1458" s="91"/>
      <c r="AG1458" s="105"/>
      <c r="AH1458" s="105"/>
      <c r="AI1458" s="105" t="str">
        <f t="shared" si="1"/>
        <v/>
      </c>
      <c r="AJ1458" s="108" t="str">
        <f t="shared" si="2"/>
        <v/>
      </c>
    </row>
    <row r="1459" ht="15.75" customHeight="1">
      <c r="A1459" s="104"/>
      <c r="B1459" s="105" t="str">
        <f>IFERROR(__xludf.DUMMYFUNCTION("ARRAY_CONSTRAIN(
  ARRAYFORMULA(
    IF(
      'Final Report'!A1459="""",
      """",
      TEXTJOIN(
        "", "" &amp; CHAR(10),
        TRUE,
        IFERROR(
          VLOOKUP(
            TRIM(
              SPLIT('Final Report'!A1459, "","")
         "&amp;"   ),
            'URL Details'!A:B,
            2,
            FALSE
          ),
          """"
        )
      )
    )
  ),
  1,
  1
)
"),"")</f>
        <v/>
      </c>
      <c r="C1459" s="105" t="str">
        <f>IFERROR(__xludf.DUMMYFUNCTION("IFERROR(IF('Final Report'!A1459="""","""", TEXTJOIN(CHAR(10), TRUE, ARRAYFORMULA( ""• ""&amp; FILTER( TRIM(FLATTEN(SPLIT( REGEXREPLACE( SUBSTITUTE(TEXTJOIN("","", TRUE, IFERROR(ARRAYFORMULA(VLOOKUP(TRIM(SPLIT('Final Report'!A1459, "","")), 'URL Details'!A:D, "&amp;"4, FALSE)),"""") ), CHAR(10), "",""), ""\s*,\s*"", "",""), "",""))), TRIM(FLATTEN(SPLIT( REGEXREPLACE( SUBSTITUTE(TEXTJOIN("","", TRUE, IFERROR(ARRAYFORMULA(VLOOKUP(TRIM(SPLIT('Final Report'!A1459, "","")), 'URL Details'!A:D, 4, FALSE)),"""") ), CHAR(10),"&amp;" "",""), ""\s*,\s*"", "",""), "","")))&lt;&gt;"""" ) ) ) ),"""")
"),"")</f>
        <v/>
      </c>
      <c r="D1459" s="105"/>
      <c r="E1459" s="105"/>
      <c r="F1459" s="110" t="b">
        <v>0</v>
      </c>
      <c r="G1459" s="105" t="str">
        <f>IF(F1459=True, IFERROR(VLOOKUP(D1459, Repository!A:B, 2, 0), ""), "")</f>
        <v/>
      </c>
      <c r="H1459" s="105"/>
      <c r="I1459" s="105"/>
      <c r="J1459" s="105" t="str">
        <f>IF(F1459=True, IFERROR(VLOOKUP(D1459, Repository!A:C, 3, 0), ""), "")</f>
        <v/>
      </c>
      <c r="K1459" s="105"/>
      <c r="L1459" s="105" t="str">
        <f>IF(F1459=True, IFERROR(VLOOKUP(D1459, Repository!A:E, 5, 0), ""), "")</f>
        <v/>
      </c>
      <c r="M1459" s="105"/>
      <c r="N1459" s="105" t="str">
        <f>IF(F1459=True, IFERROR(VLOOKUP(D1459, Repository!A:G, 7, 0), ""), "")</f>
        <v/>
      </c>
      <c r="O1459" s="105" t="str">
        <f>IFERROR(__xludf.DUMMYFUNCTION("ARRAY_CONSTRAIN(
  ARRAYFORMULA(
    IFERROR(
      LET(
        list, N1459,
        arr, TRIM(SPLIT(list, "","")),
        names, XLOOKUP(
          arr,
          'Conformance Score'!A:A,
          'Conformance Score'!B:B,
          ""Not found""
     "&amp;"   ),
        TEXTJOIN("", "", TRUE, names)
      ),
      """"
    )
  ),
  1,
  1
)
"),"")</f>
        <v/>
      </c>
      <c r="P1459" s="105" t="str">
        <f>IF(F1459="Yes", IFERROR(VLOOKUP(D1459, Repository!A:F, 6, 0), ""), "")</f>
        <v/>
      </c>
      <c r="Q1459" s="105" t="str">
        <f>IF(F1459="Yes", IFERROR(VLOOKUP(D1459, Repository!A:I, 8, 0), ""), "")</f>
        <v/>
      </c>
      <c r="R1459" s="105" t="str">
        <f>IF(F1459="Yes", IFERROR(VLOOKUP(D1459, Repository!A:J, 9, 0), ""), "")</f>
        <v/>
      </c>
      <c r="S1459" s="105"/>
      <c r="T1459" s="105"/>
      <c r="U1459" s="105"/>
      <c r="V1459" s="105"/>
      <c r="W1459" s="105"/>
      <c r="X1459" s="105"/>
      <c r="Y1459" s="105"/>
      <c r="Z1459" s="105"/>
      <c r="AA1459" s="105"/>
      <c r="AB1459" s="105"/>
      <c r="AC1459" s="91"/>
      <c r="AD1459" s="105"/>
      <c r="AE1459" s="105"/>
      <c r="AF1459" s="91"/>
      <c r="AG1459" s="105"/>
      <c r="AH1459" s="105"/>
      <c r="AI1459" s="105" t="str">
        <f t="shared" si="1"/>
        <v/>
      </c>
      <c r="AJ1459" s="108" t="str">
        <f t="shared" si="2"/>
        <v/>
      </c>
    </row>
    <row r="1460" ht="15.75" customHeight="1">
      <c r="A1460" s="104"/>
      <c r="B1460" s="105" t="str">
        <f>IFERROR(__xludf.DUMMYFUNCTION("ARRAY_CONSTRAIN(
  ARRAYFORMULA(
    IF(
      'Final Report'!A1460="""",
      """",
      TEXTJOIN(
        "", "" &amp; CHAR(10),
        TRUE,
        IFERROR(
          VLOOKUP(
            TRIM(
              SPLIT('Final Report'!A1460, "","")
         "&amp;"   ),
            'URL Details'!A:B,
            2,
            FALSE
          ),
          """"
        )
      )
    )
  ),
  1,
  1
)
"),"")</f>
        <v/>
      </c>
      <c r="C1460" s="105" t="str">
        <f>IFERROR(__xludf.DUMMYFUNCTION("IFERROR(IF('Final Report'!A1460="""","""", TEXTJOIN(CHAR(10), TRUE, ARRAYFORMULA( ""• ""&amp; FILTER( TRIM(FLATTEN(SPLIT( REGEXREPLACE( SUBSTITUTE(TEXTJOIN("","", TRUE, IFERROR(ARRAYFORMULA(VLOOKUP(TRIM(SPLIT('Final Report'!A1460, "","")), 'URL Details'!A:D, "&amp;"4, FALSE)),"""") ), CHAR(10), "",""), ""\s*,\s*"", "",""), "",""))), TRIM(FLATTEN(SPLIT( REGEXREPLACE( SUBSTITUTE(TEXTJOIN("","", TRUE, IFERROR(ARRAYFORMULA(VLOOKUP(TRIM(SPLIT('Final Report'!A1460, "","")), 'URL Details'!A:D, 4, FALSE)),"""") ), CHAR(10),"&amp;" "",""), ""\s*,\s*"", "",""), "","")))&lt;&gt;"""" ) ) ) ),"""")
"),"")</f>
        <v/>
      </c>
      <c r="D1460" s="105"/>
      <c r="E1460" s="105"/>
      <c r="F1460" s="110" t="b">
        <v>0</v>
      </c>
      <c r="G1460" s="105" t="str">
        <f>IF(F1460=True, IFERROR(VLOOKUP(D1460, Repository!A:B, 2, 0), ""), "")</f>
        <v/>
      </c>
      <c r="H1460" s="105"/>
      <c r="I1460" s="105"/>
      <c r="J1460" s="105" t="str">
        <f>IF(F1460=True, IFERROR(VLOOKUP(D1460, Repository!A:C, 3, 0), ""), "")</f>
        <v/>
      </c>
      <c r="K1460" s="105"/>
      <c r="L1460" s="105" t="str">
        <f>IF(F1460=True, IFERROR(VLOOKUP(D1460, Repository!A:E, 5, 0), ""), "")</f>
        <v/>
      </c>
      <c r="M1460" s="105"/>
      <c r="N1460" s="105" t="str">
        <f>IF(F1460=True, IFERROR(VLOOKUP(D1460, Repository!A:G, 7, 0), ""), "")</f>
        <v/>
      </c>
      <c r="O1460" s="105" t="str">
        <f>IFERROR(__xludf.DUMMYFUNCTION("ARRAY_CONSTRAIN(
  ARRAYFORMULA(
    IFERROR(
      LET(
        list, N1460,
        arr, TRIM(SPLIT(list, "","")),
        names, XLOOKUP(
          arr,
          'Conformance Score'!A:A,
          'Conformance Score'!B:B,
          ""Not found""
     "&amp;"   ),
        TEXTJOIN("", "", TRUE, names)
      ),
      """"
    )
  ),
  1,
  1
)
"),"")</f>
        <v/>
      </c>
      <c r="P1460" s="105" t="str">
        <f>IF(F1460="Yes", IFERROR(VLOOKUP(D1460, Repository!A:F, 6, 0), ""), "")</f>
        <v/>
      </c>
      <c r="Q1460" s="105" t="str">
        <f>IF(F1460="Yes", IFERROR(VLOOKUP(D1460, Repository!A:I, 8, 0), ""), "")</f>
        <v/>
      </c>
      <c r="R1460" s="105" t="str">
        <f>IF(F1460="Yes", IFERROR(VLOOKUP(D1460, Repository!A:J, 9, 0), ""), "")</f>
        <v/>
      </c>
      <c r="S1460" s="105"/>
      <c r="T1460" s="105"/>
      <c r="U1460" s="105"/>
      <c r="V1460" s="105"/>
      <c r="W1460" s="105"/>
      <c r="X1460" s="105"/>
      <c r="Y1460" s="105"/>
      <c r="Z1460" s="105"/>
      <c r="AA1460" s="105"/>
      <c r="AB1460" s="105"/>
      <c r="AC1460" s="91"/>
      <c r="AD1460" s="105"/>
      <c r="AE1460" s="105"/>
      <c r="AF1460" s="91"/>
      <c r="AG1460" s="105"/>
      <c r="AH1460" s="105"/>
      <c r="AI1460" s="105" t="str">
        <f t="shared" si="1"/>
        <v/>
      </c>
      <c r="AJ1460" s="108" t="str">
        <f t="shared" si="2"/>
        <v/>
      </c>
    </row>
    <row r="1461" ht="15.75" customHeight="1">
      <c r="A1461" s="104"/>
      <c r="B1461" s="105" t="str">
        <f>IFERROR(__xludf.DUMMYFUNCTION("ARRAY_CONSTRAIN(
  ARRAYFORMULA(
    IF(
      'Final Report'!A1461="""",
      """",
      TEXTJOIN(
        "", "" &amp; CHAR(10),
        TRUE,
        IFERROR(
          VLOOKUP(
            TRIM(
              SPLIT('Final Report'!A1461, "","")
         "&amp;"   ),
            'URL Details'!A:B,
            2,
            FALSE
          ),
          """"
        )
      )
    )
  ),
  1,
  1
)
"),"")</f>
        <v/>
      </c>
      <c r="C1461" s="105" t="str">
        <f>IFERROR(__xludf.DUMMYFUNCTION("IFERROR(IF('Final Report'!A1461="""","""", TEXTJOIN(CHAR(10), TRUE, ARRAYFORMULA( ""• ""&amp; FILTER( TRIM(FLATTEN(SPLIT( REGEXREPLACE( SUBSTITUTE(TEXTJOIN("","", TRUE, IFERROR(ARRAYFORMULA(VLOOKUP(TRIM(SPLIT('Final Report'!A1461, "","")), 'URL Details'!A:D, "&amp;"4, FALSE)),"""") ), CHAR(10), "",""), ""\s*,\s*"", "",""), "",""))), TRIM(FLATTEN(SPLIT( REGEXREPLACE( SUBSTITUTE(TEXTJOIN("","", TRUE, IFERROR(ARRAYFORMULA(VLOOKUP(TRIM(SPLIT('Final Report'!A1461, "","")), 'URL Details'!A:D, 4, FALSE)),"""") ), CHAR(10),"&amp;" "",""), ""\s*,\s*"", "",""), "","")))&lt;&gt;"""" ) ) ) ),"""")
"),"")</f>
        <v/>
      </c>
      <c r="D1461" s="105"/>
      <c r="E1461" s="105"/>
      <c r="F1461" s="110" t="b">
        <v>0</v>
      </c>
      <c r="G1461" s="105" t="str">
        <f>IF(F1461=True, IFERROR(VLOOKUP(D1461, Repository!A:B, 2, 0), ""), "")</f>
        <v/>
      </c>
      <c r="H1461" s="105"/>
      <c r="I1461" s="105"/>
      <c r="J1461" s="105" t="str">
        <f>IF(F1461=True, IFERROR(VLOOKUP(D1461, Repository!A:C, 3, 0), ""), "")</f>
        <v/>
      </c>
      <c r="K1461" s="105"/>
      <c r="L1461" s="105" t="str">
        <f>IF(F1461=True, IFERROR(VLOOKUP(D1461, Repository!A:E, 5, 0), ""), "")</f>
        <v/>
      </c>
      <c r="M1461" s="105"/>
      <c r="N1461" s="105" t="str">
        <f>IF(F1461=True, IFERROR(VLOOKUP(D1461, Repository!A:G, 7, 0), ""), "")</f>
        <v/>
      </c>
      <c r="O1461" s="105" t="str">
        <f>IFERROR(__xludf.DUMMYFUNCTION("ARRAY_CONSTRAIN(
  ARRAYFORMULA(
    IFERROR(
      LET(
        list, N1461,
        arr, TRIM(SPLIT(list, "","")),
        names, XLOOKUP(
          arr,
          'Conformance Score'!A:A,
          'Conformance Score'!B:B,
          ""Not found""
     "&amp;"   ),
        TEXTJOIN("", "", TRUE, names)
      ),
      """"
    )
  ),
  1,
  1
)
"),"")</f>
        <v/>
      </c>
      <c r="P1461" s="105" t="str">
        <f>IF(F1461="Yes", IFERROR(VLOOKUP(D1461, Repository!A:F, 6, 0), ""), "")</f>
        <v/>
      </c>
      <c r="Q1461" s="105" t="str">
        <f>IF(F1461="Yes", IFERROR(VLOOKUP(D1461, Repository!A:I, 8, 0), ""), "")</f>
        <v/>
      </c>
      <c r="R1461" s="105" t="str">
        <f>IF(F1461="Yes", IFERROR(VLOOKUP(D1461, Repository!A:J, 9, 0), ""), "")</f>
        <v/>
      </c>
      <c r="S1461" s="105"/>
      <c r="T1461" s="105"/>
      <c r="U1461" s="105"/>
      <c r="V1461" s="105"/>
      <c r="W1461" s="105"/>
      <c r="X1461" s="105"/>
      <c r="Y1461" s="105"/>
      <c r="Z1461" s="105"/>
      <c r="AA1461" s="105"/>
      <c r="AB1461" s="105"/>
      <c r="AC1461" s="91"/>
      <c r="AD1461" s="105"/>
      <c r="AE1461" s="105"/>
      <c r="AF1461" s="91"/>
      <c r="AG1461" s="105"/>
      <c r="AH1461" s="105"/>
      <c r="AI1461" s="105" t="str">
        <f t="shared" si="1"/>
        <v/>
      </c>
      <c r="AJ1461" s="108" t="str">
        <f t="shared" si="2"/>
        <v/>
      </c>
    </row>
    <row r="1462" ht="15.75" customHeight="1">
      <c r="A1462" s="104"/>
      <c r="B1462" s="105" t="str">
        <f>IFERROR(__xludf.DUMMYFUNCTION("ARRAY_CONSTRAIN(
  ARRAYFORMULA(
    IF(
      'Final Report'!A1462="""",
      """",
      TEXTJOIN(
        "", "" &amp; CHAR(10),
        TRUE,
        IFERROR(
          VLOOKUP(
            TRIM(
              SPLIT('Final Report'!A1462, "","")
         "&amp;"   ),
            'URL Details'!A:B,
            2,
            FALSE
          ),
          """"
        )
      )
    )
  ),
  1,
  1
)
"),"")</f>
        <v/>
      </c>
      <c r="C1462" s="105" t="str">
        <f>IFERROR(__xludf.DUMMYFUNCTION("IFERROR(IF('Final Report'!A1462="""","""", TEXTJOIN(CHAR(10), TRUE, ARRAYFORMULA( ""• ""&amp; FILTER( TRIM(FLATTEN(SPLIT( REGEXREPLACE( SUBSTITUTE(TEXTJOIN("","", TRUE, IFERROR(ARRAYFORMULA(VLOOKUP(TRIM(SPLIT('Final Report'!A1462, "","")), 'URL Details'!A:D, "&amp;"4, FALSE)),"""") ), CHAR(10), "",""), ""\s*,\s*"", "",""), "",""))), TRIM(FLATTEN(SPLIT( REGEXREPLACE( SUBSTITUTE(TEXTJOIN("","", TRUE, IFERROR(ARRAYFORMULA(VLOOKUP(TRIM(SPLIT('Final Report'!A1462, "","")), 'URL Details'!A:D, 4, FALSE)),"""") ), CHAR(10),"&amp;" "",""), ""\s*,\s*"", "",""), "","")))&lt;&gt;"""" ) ) ) ),"""")
"),"")</f>
        <v/>
      </c>
      <c r="D1462" s="105"/>
      <c r="E1462" s="105"/>
      <c r="F1462" s="110" t="b">
        <v>0</v>
      </c>
      <c r="G1462" s="105" t="str">
        <f>IF(F1462=True, IFERROR(VLOOKUP(D1462, Repository!A:B, 2, 0), ""), "")</f>
        <v/>
      </c>
      <c r="H1462" s="105"/>
      <c r="I1462" s="105"/>
      <c r="J1462" s="105" t="str">
        <f>IF(F1462=True, IFERROR(VLOOKUP(D1462, Repository!A:C, 3, 0), ""), "")</f>
        <v/>
      </c>
      <c r="K1462" s="105"/>
      <c r="L1462" s="105" t="str">
        <f>IF(F1462=True, IFERROR(VLOOKUP(D1462, Repository!A:E, 5, 0), ""), "")</f>
        <v/>
      </c>
      <c r="M1462" s="105"/>
      <c r="N1462" s="105" t="str">
        <f>IF(F1462=True, IFERROR(VLOOKUP(D1462, Repository!A:G, 7, 0), ""), "")</f>
        <v/>
      </c>
      <c r="O1462" s="105" t="str">
        <f>IFERROR(__xludf.DUMMYFUNCTION("ARRAY_CONSTRAIN(
  ARRAYFORMULA(
    IFERROR(
      LET(
        list, N1462,
        arr, TRIM(SPLIT(list, "","")),
        names, XLOOKUP(
          arr,
          'Conformance Score'!A:A,
          'Conformance Score'!B:B,
          ""Not found""
     "&amp;"   ),
        TEXTJOIN("", "", TRUE, names)
      ),
      """"
    )
  ),
  1,
  1
)
"),"")</f>
        <v/>
      </c>
      <c r="P1462" s="105" t="str">
        <f>IF(F1462="Yes", IFERROR(VLOOKUP(D1462, Repository!A:F, 6, 0), ""), "")</f>
        <v/>
      </c>
      <c r="Q1462" s="105" t="str">
        <f>IF(F1462="Yes", IFERROR(VLOOKUP(D1462, Repository!A:I, 8, 0), ""), "")</f>
        <v/>
      </c>
      <c r="R1462" s="105" t="str">
        <f>IF(F1462="Yes", IFERROR(VLOOKUP(D1462, Repository!A:J, 9, 0), ""), "")</f>
        <v/>
      </c>
      <c r="S1462" s="105"/>
      <c r="T1462" s="105"/>
      <c r="U1462" s="105"/>
      <c r="V1462" s="105"/>
      <c r="W1462" s="105"/>
      <c r="X1462" s="105"/>
      <c r="Y1462" s="105"/>
      <c r="Z1462" s="105"/>
      <c r="AA1462" s="105"/>
      <c r="AB1462" s="105"/>
      <c r="AC1462" s="91"/>
      <c r="AD1462" s="105"/>
      <c r="AE1462" s="105"/>
      <c r="AF1462" s="91"/>
      <c r="AG1462" s="105"/>
      <c r="AH1462" s="105"/>
      <c r="AI1462" s="105" t="str">
        <f t="shared" si="1"/>
        <v/>
      </c>
      <c r="AJ1462" s="108" t="str">
        <f t="shared" si="2"/>
        <v/>
      </c>
    </row>
    <row r="1463" ht="15.75" customHeight="1">
      <c r="A1463" s="104"/>
      <c r="B1463" s="105" t="str">
        <f>IFERROR(__xludf.DUMMYFUNCTION("ARRAY_CONSTRAIN(
  ARRAYFORMULA(
    IF(
      'Final Report'!A1463="""",
      """",
      TEXTJOIN(
        "", "" &amp; CHAR(10),
        TRUE,
        IFERROR(
          VLOOKUP(
            TRIM(
              SPLIT('Final Report'!A1463, "","")
         "&amp;"   ),
            'URL Details'!A:B,
            2,
            FALSE
          ),
          """"
        )
      )
    )
  ),
  1,
  1
)
"),"")</f>
        <v/>
      </c>
      <c r="C1463" s="105" t="str">
        <f>IFERROR(__xludf.DUMMYFUNCTION("IFERROR(IF('Final Report'!A1463="""","""", TEXTJOIN(CHAR(10), TRUE, ARRAYFORMULA( ""• ""&amp; FILTER( TRIM(FLATTEN(SPLIT( REGEXREPLACE( SUBSTITUTE(TEXTJOIN("","", TRUE, IFERROR(ARRAYFORMULA(VLOOKUP(TRIM(SPLIT('Final Report'!A1463, "","")), 'URL Details'!A:D, "&amp;"4, FALSE)),"""") ), CHAR(10), "",""), ""\s*,\s*"", "",""), "",""))), TRIM(FLATTEN(SPLIT( REGEXREPLACE( SUBSTITUTE(TEXTJOIN("","", TRUE, IFERROR(ARRAYFORMULA(VLOOKUP(TRIM(SPLIT('Final Report'!A1463, "","")), 'URL Details'!A:D, 4, FALSE)),"""") ), CHAR(10),"&amp;" "",""), ""\s*,\s*"", "",""), "","")))&lt;&gt;"""" ) ) ) ),"""")
"),"")</f>
        <v/>
      </c>
      <c r="D1463" s="105"/>
      <c r="E1463" s="105"/>
      <c r="F1463" s="110" t="b">
        <v>0</v>
      </c>
      <c r="G1463" s="105" t="str">
        <f>IF(F1463=True, IFERROR(VLOOKUP(D1463, Repository!A:B, 2, 0), ""), "")</f>
        <v/>
      </c>
      <c r="H1463" s="105"/>
      <c r="I1463" s="105"/>
      <c r="J1463" s="105" t="str">
        <f>IF(F1463=True, IFERROR(VLOOKUP(D1463, Repository!A:C, 3, 0), ""), "")</f>
        <v/>
      </c>
      <c r="K1463" s="105"/>
      <c r="L1463" s="105" t="str">
        <f>IF(F1463=True, IFERROR(VLOOKUP(D1463, Repository!A:E, 5, 0), ""), "")</f>
        <v/>
      </c>
      <c r="M1463" s="105"/>
      <c r="N1463" s="105" t="str">
        <f>IF(F1463=True, IFERROR(VLOOKUP(D1463, Repository!A:G, 7, 0), ""), "")</f>
        <v/>
      </c>
      <c r="O1463" s="105" t="str">
        <f>IFERROR(__xludf.DUMMYFUNCTION("ARRAY_CONSTRAIN(
  ARRAYFORMULA(
    IFERROR(
      LET(
        list, N1463,
        arr, TRIM(SPLIT(list, "","")),
        names, XLOOKUP(
          arr,
          'Conformance Score'!A:A,
          'Conformance Score'!B:B,
          ""Not found""
     "&amp;"   ),
        TEXTJOIN("", "", TRUE, names)
      ),
      """"
    )
  ),
  1,
  1
)
"),"")</f>
        <v/>
      </c>
      <c r="P1463" s="105" t="str">
        <f>IF(F1463="Yes", IFERROR(VLOOKUP(D1463, Repository!A:F, 6, 0), ""), "")</f>
        <v/>
      </c>
      <c r="Q1463" s="105" t="str">
        <f>IF(F1463="Yes", IFERROR(VLOOKUP(D1463, Repository!A:I, 8, 0), ""), "")</f>
        <v/>
      </c>
      <c r="R1463" s="105" t="str">
        <f>IF(F1463="Yes", IFERROR(VLOOKUP(D1463, Repository!A:J, 9, 0), ""), "")</f>
        <v/>
      </c>
      <c r="S1463" s="105"/>
      <c r="T1463" s="105"/>
      <c r="U1463" s="105"/>
      <c r="V1463" s="105"/>
      <c r="W1463" s="105"/>
      <c r="X1463" s="105"/>
      <c r="Y1463" s="105"/>
      <c r="Z1463" s="105"/>
      <c r="AA1463" s="105"/>
      <c r="AB1463" s="105"/>
      <c r="AC1463" s="91"/>
      <c r="AD1463" s="105"/>
      <c r="AE1463" s="105"/>
      <c r="AF1463" s="91"/>
      <c r="AG1463" s="105"/>
      <c r="AH1463" s="105"/>
      <c r="AI1463" s="105" t="str">
        <f t="shared" si="1"/>
        <v/>
      </c>
      <c r="AJ1463" s="108" t="str">
        <f t="shared" si="2"/>
        <v/>
      </c>
    </row>
    <row r="1464" ht="15.75" customHeight="1">
      <c r="A1464" s="104"/>
      <c r="B1464" s="105" t="str">
        <f>IFERROR(__xludf.DUMMYFUNCTION("ARRAY_CONSTRAIN(
  ARRAYFORMULA(
    IF(
      'Final Report'!A1464="""",
      """",
      TEXTJOIN(
        "", "" &amp; CHAR(10),
        TRUE,
        IFERROR(
          VLOOKUP(
            TRIM(
              SPLIT('Final Report'!A1464, "","")
         "&amp;"   ),
            'URL Details'!A:B,
            2,
            FALSE
          ),
          """"
        )
      )
    )
  ),
  1,
  1
)
"),"")</f>
        <v/>
      </c>
      <c r="C1464" s="105" t="str">
        <f>IFERROR(__xludf.DUMMYFUNCTION("IFERROR(IF('Final Report'!A1464="""","""", TEXTJOIN(CHAR(10), TRUE, ARRAYFORMULA( ""• ""&amp; FILTER( TRIM(FLATTEN(SPLIT( REGEXREPLACE( SUBSTITUTE(TEXTJOIN("","", TRUE, IFERROR(ARRAYFORMULA(VLOOKUP(TRIM(SPLIT('Final Report'!A1464, "","")), 'URL Details'!A:D, "&amp;"4, FALSE)),"""") ), CHAR(10), "",""), ""\s*,\s*"", "",""), "",""))), TRIM(FLATTEN(SPLIT( REGEXREPLACE( SUBSTITUTE(TEXTJOIN("","", TRUE, IFERROR(ARRAYFORMULA(VLOOKUP(TRIM(SPLIT('Final Report'!A1464, "","")), 'URL Details'!A:D, 4, FALSE)),"""") ), CHAR(10),"&amp;" "",""), ""\s*,\s*"", "",""), "","")))&lt;&gt;"""" ) ) ) ),"""")
"),"")</f>
        <v/>
      </c>
      <c r="D1464" s="105"/>
      <c r="E1464" s="105"/>
      <c r="F1464" s="110" t="b">
        <v>0</v>
      </c>
      <c r="G1464" s="105" t="str">
        <f>IF(F1464=True, IFERROR(VLOOKUP(D1464, Repository!A:B, 2, 0), ""), "")</f>
        <v/>
      </c>
      <c r="H1464" s="105"/>
      <c r="I1464" s="105"/>
      <c r="J1464" s="105" t="str">
        <f>IF(F1464=True, IFERROR(VLOOKUP(D1464, Repository!A:C, 3, 0), ""), "")</f>
        <v/>
      </c>
      <c r="K1464" s="105"/>
      <c r="L1464" s="105" t="str">
        <f>IF(F1464=True, IFERROR(VLOOKUP(D1464, Repository!A:E, 5, 0), ""), "")</f>
        <v/>
      </c>
      <c r="M1464" s="105"/>
      <c r="N1464" s="105" t="str">
        <f>IF(F1464=True, IFERROR(VLOOKUP(D1464, Repository!A:G, 7, 0), ""), "")</f>
        <v/>
      </c>
      <c r="O1464" s="105" t="str">
        <f>IFERROR(__xludf.DUMMYFUNCTION("ARRAY_CONSTRAIN(
  ARRAYFORMULA(
    IFERROR(
      LET(
        list, N1464,
        arr, TRIM(SPLIT(list, "","")),
        names, XLOOKUP(
          arr,
          'Conformance Score'!A:A,
          'Conformance Score'!B:B,
          ""Not found""
     "&amp;"   ),
        TEXTJOIN("", "", TRUE, names)
      ),
      """"
    )
  ),
  1,
  1
)
"),"")</f>
        <v/>
      </c>
      <c r="P1464" s="105" t="str">
        <f>IF(F1464="Yes", IFERROR(VLOOKUP(D1464, Repository!A:F, 6, 0), ""), "")</f>
        <v/>
      </c>
      <c r="Q1464" s="105" t="str">
        <f>IF(F1464="Yes", IFERROR(VLOOKUP(D1464, Repository!A:I, 8, 0), ""), "")</f>
        <v/>
      </c>
      <c r="R1464" s="105" t="str">
        <f>IF(F1464="Yes", IFERROR(VLOOKUP(D1464, Repository!A:J, 9, 0), ""), "")</f>
        <v/>
      </c>
      <c r="S1464" s="105"/>
      <c r="T1464" s="105"/>
      <c r="U1464" s="105"/>
      <c r="V1464" s="105"/>
      <c r="W1464" s="105"/>
      <c r="X1464" s="105"/>
      <c r="Y1464" s="105"/>
      <c r="Z1464" s="105"/>
      <c r="AA1464" s="105"/>
      <c r="AB1464" s="105"/>
      <c r="AC1464" s="91"/>
      <c r="AD1464" s="105"/>
      <c r="AE1464" s="105"/>
      <c r="AF1464" s="91"/>
      <c r="AG1464" s="105"/>
      <c r="AH1464" s="105"/>
      <c r="AI1464" s="105" t="str">
        <f t="shared" si="1"/>
        <v/>
      </c>
      <c r="AJ1464" s="108" t="str">
        <f t="shared" si="2"/>
        <v/>
      </c>
    </row>
    <row r="1465" ht="15.75" customHeight="1">
      <c r="A1465" s="104"/>
      <c r="B1465" s="105" t="str">
        <f>IFERROR(__xludf.DUMMYFUNCTION("ARRAY_CONSTRAIN(
  ARRAYFORMULA(
    IF(
      'Final Report'!A1465="""",
      """",
      TEXTJOIN(
        "", "" &amp; CHAR(10),
        TRUE,
        IFERROR(
          VLOOKUP(
            TRIM(
              SPLIT('Final Report'!A1465, "","")
         "&amp;"   ),
            'URL Details'!A:B,
            2,
            FALSE
          ),
          """"
        )
      )
    )
  ),
  1,
  1
)
"),"")</f>
        <v/>
      </c>
      <c r="C1465" s="105" t="str">
        <f>IFERROR(__xludf.DUMMYFUNCTION("IFERROR(IF('Final Report'!A1465="""","""", TEXTJOIN(CHAR(10), TRUE, ARRAYFORMULA( ""• ""&amp; FILTER( TRIM(FLATTEN(SPLIT( REGEXREPLACE( SUBSTITUTE(TEXTJOIN("","", TRUE, IFERROR(ARRAYFORMULA(VLOOKUP(TRIM(SPLIT('Final Report'!A1465, "","")), 'URL Details'!A:D, "&amp;"4, FALSE)),"""") ), CHAR(10), "",""), ""\s*,\s*"", "",""), "",""))), TRIM(FLATTEN(SPLIT( REGEXREPLACE( SUBSTITUTE(TEXTJOIN("","", TRUE, IFERROR(ARRAYFORMULA(VLOOKUP(TRIM(SPLIT('Final Report'!A1465, "","")), 'URL Details'!A:D, 4, FALSE)),"""") ), CHAR(10),"&amp;" "",""), ""\s*,\s*"", "",""), "","")))&lt;&gt;"""" ) ) ) ),"""")
"),"")</f>
        <v/>
      </c>
      <c r="D1465" s="105"/>
      <c r="E1465" s="105"/>
      <c r="F1465" s="110" t="b">
        <v>0</v>
      </c>
      <c r="G1465" s="105" t="str">
        <f>IF(F1465=True, IFERROR(VLOOKUP(D1465, Repository!A:B, 2, 0), ""), "")</f>
        <v/>
      </c>
      <c r="H1465" s="105"/>
      <c r="I1465" s="105"/>
      <c r="J1465" s="105" t="str">
        <f>IF(F1465=True, IFERROR(VLOOKUP(D1465, Repository!A:C, 3, 0), ""), "")</f>
        <v/>
      </c>
      <c r="K1465" s="105"/>
      <c r="L1465" s="105" t="str">
        <f>IF(F1465=True, IFERROR(VLOOKUP(D1465, Repository!A:E, 5, 0), ""), "")</f>
        <v/>
      </c>
      <c r="M1465" s="105"/>
      <c r="N1465" s="105" t="str">
        <f>IF(F1465=True, IFERROR(VLOOKUP(D1465, Repository!A:G, 7, 0), ""), "")</f>
        <v/>
      </c>
      <c r="O1465" s="105" t="str">
        <f>IFERROR(__xludf.DUMMYFUNCTION("ARRAY_CONSTRAIN(
  ARRAYFORMULA(
    IFERROR(
      LET(
        list, N1465,
        arr, TRIM(SPLIT(list, "","")),
        names, XLOOKUP(
          arr,
          'Conformance Score'!A:A,
          'Conformance Score'!B:B,
          ""Not found""
     "&amp;"   ),
        TEXTJOIN("", "", TRUE, names)
      ),
      """"
    )
  ),
  1,
  1
)
"),"")</f>
        <v/>
      </c>
      <c r="P1465" s="105" t="str">
        <f>IF(F1465="Yes", IFERROR(VLOOKUP(D1465, Repository!A:F, 6, 0), ""), "")</f>
        <v/>
      </c>
      <c r="Q1465" s="105" t="str">
        <f>IF(F1465="Yes", IFERROR(VLOOKUP(D1465, Repository!A:I, 8, 0), ""), "")</f>
        <v/>
      </c>
      <c r="R1465" s="105" t="str">
        <f>IF(F1465="Yes", IFERROR(VLOOKUP(D1465, Repository!A:J, 9, 0), ""), "")</f>
        <v/>
      </c>
      <c r="S1465" s="105"/>
      <c r="T1465" s="105"/>
      <c r="U1465" s="105"/>
      <c r="V1465" s="105"/>
      <c r="W1465" s="105"/>
      <c r="X1465" s="105"/>
      <c r="Y1465" s="105"/>
      <c r="Z1465" s="105"/>
      <c r="AA1465" s="105"/>
      <c r="AB1465" s="105"/>
      <c r="AC1465" s="91"/>
      <c r="AD1465" s="105"/>
      <c r="AE1465" s="105"/>
      <c r="AF1465" s="91"/>
      <c r="AG1465" s="105"/>
      <c r="AH1465" s="105"/>
      <c r="AI1465" s="105" t="str">
        <f t="shared" si="1"/>
        <v/>
      </c>
      <c r="AJ1465" s="108" t="str">
        <f t="shared" si="2"/>
        <v/>
      </c>
    </row>
    <row r="1466" ht="15.75" customHeight="1">
      <c r="A1466" s="104"/>
      <c r="B1466" s="105" t="str">
        <f>IFERROR(__xludf.DUMMYFUNCTION("ARRAY_CONSTRAIN(
  ARRAYFORMULA(
    IF(
      'Final Report'!A1466="""",
      """",
      TEXTJOIN(
        "", "" &amp; CHAR(10),
        TRUE,
        IFERROR(
          VLOOKUP(
            TRIM(
              SPLIT('Final Report'!A1466, "","")
         "&amp;"   ),
            'URL Details'!A:B,
            2,
            FALSE
          ),
          """"
        )
      )
    )
  ),
  1,
  1
)
"),"")</f>
        <v/>
      </c>
      <c r="C1466" s="105" t="str">
        <f>IFERROR(__xludf.DUMMYFUNCTION("IFERROR(IF('Final Report'!A1466="""","""", TEXTJOIN(CHAR(10), TRUE, ARRAYFORMULA( ""• ""&amp; FILTER( TRIM(FLATTEN(SPLIT( REGEXREPLACE( SUBSTITUTE(TEXTJOIN("","", TRUE, IFERROR(ARRAYFORMULA(VLOOKUP(TRIM(SPLIT('Final Report'!A1466, "","")), 'URL Details'!A:D, "&amp;"4, FALSE)),"""") ), CHAR(10), "",""), ""\s*,\s*"", "",""), "",""))), TRIM(FLATTEN(SPLIT( REGEXREPLACE( SUBSTITUTE(TEXTJOIN("","", TRUE, IFERROR(ARRAYFORMULA(VLOOKUP(TRIM(SPLIT('Final Report'!A1466, "","")), 'URL Details'!A:D, 4, FALSE)),"""") ), CHAR(10),"&amp;" "",""), ""\s*,\s*"", "",""), "","")))&lt;&gt;"""" ) ) ) ),"""")
"),"")</f>
        <v/>
      </c>
      <c r="D1466" s="105"/>
      <c r="E1466" s="105"/>
      <c r="F1466" s="110" t="b">
        <v>0</v>
      </c>
      <c r="G1466" s="105" t="str">
        <f>IF(F1466=True, IFERROR(VLOOKUP(D1466, Repository!A:B, 2, 0), ""), "")</f>
        <v/>
      </c>
      <c r="H1466" s="105"/>
      <c r="I1466" s="105"/>
      <c r="J1466" s="105" t="str">
        <f>IF(F1466=True, IFERROR(VLOOKUP(D1466, Repository!A:C, 3, 0), ""), "")</f>
        <v/>
      </c>
      <c r="K1466" s="105"/>
      <c r="L1466" s="105" t="str">
        <f>IF(F1466=True, IFERROR(VLOOKUP(D1466, Repository!A:E, 5, 0), ""), "")</f>
        <v/>
      </c>
      <c r="M1466" s="105"/>
      <c r="N1466" s="105" t="str">
        <f>IF(F1466=True, IFERROR(VLOOKUP(D1466, Repository!A:G, 7, 0), ""), "")</f>
        <v/>
      </c>
      <c r="O1466" s="105" t="str">
        <f>IFERROR(__xludf.DUMMYFUNCTION("ARRAY_CONSTRAIN(
  ARRAYFORMULA(
    IFERROR(
      LET(
        list, N1466,
        arr, TRIM(SPLIT(list, "","")),
        names, XLOOKUP(
          arr,
          'Conformance Score'!A:A,
          'Conformance Score'!B:B,
          ""Not found""
     "&amp;"   ),
        TEXTJOIN("", "", TRUE, names)
      ),
      """"
    )
  ),
  1,
  1
)
"),"")</f>
        <v/>
      </c>
      <c r="P1466" s="105" t="str">
        <f>IF(F1466="Yes", IFERROR(VLOOKUP(D1466, Repository!A:F, 6, 0), ""), "")</f>
        <v/>
      </c>
      <c r="Q1466" s="105" t="str">
        <f>IF(F1466="Yes", IFERROR(VLOOKUP(D1466, Repository!A:I, 8, 0), ""), "")</f>
        <v/>
      </c>
      <c r="R1466" s="105" t="str">
        <f>IF(F1466="Yes", IFERROR(VLOOKUP(D1466, Repository!A:J, 9, 0), ""), "")</f>
        <v/>
      </c>
      <c r="S1466" s="105"/>
      <c r="T1466" s="105"/>
      <c r="U1466" s="105"/>
      <c r="V1466" s="105"/>
      <c r="W1466" s="105"/>
      <c r="X1466" s="105"/>
      <c r="Y1466" s="105"/>
      <c r="Z1466" s="105"/>
      <c r="AA1466" s="105"/>
      <c r="AB1466" s="105"/>
      <c r="AC1466" s="91"/>
      <c r="AD1466" s="105"/>
      <c r="AE1466" s="105"/>
      <c r="AF1466" s="91"/>
      <c r="AG1466" s="105"/>
      <c r="AH1466" s="105"/>
      <c r="AI1466" s="105" t="str">
        <f t="shared" si="1"/>
        <v/>
      </c>
      <c r="AJ1466" s="108" t="str">
        <f t="shared" si="2"/>
        <v/>
      </c>
    </row>
    <row r="1467" ht="15.75" customHeight="1">
      <c r="A1467" s="104"/>
      <c r="B1467" s="105" t="str">
        <f>IFERROR(__xludf.DUMMYFUNCTION("ARRAY_CONSTRAIN(
  ARRAYFORMULA(
    IF(
      'Final Report'!A1467="""",
      """",
      TEXTJOIN(
        "", "" &amp; CHAR(10),
        TRUE,
        IFERROR(
          VLOOKUP(
            TRIM(
              SPLIT('Final Report'!A1467, "","")
         "&amp;"   ),
            'URL Details'!A:B,
            2,
            FALSE
          ),
          """"
        )
      )
    )
  ),
  1,
  1
)
"),"")</f>
        <v/>
      </c>
      <c r="C1467" s="105" t="str">
        <f>IFERROR(__xludf.DUMMYFUNCTION("IFERROR(IF('Final Report'!A1467="""","""", TEXTJOIN(CHAR(10), TRUE, ARRAYFORMULA( ""• ""&amp; FILTER( TRIM(FLATTEN(SPLIT( REGEXREPLACE( SUBSTITUTE(TEXTJOIN("","", TRUE, IFERROR(ARRAYFORMULA(VLOOKUP(TRIM(SPLIT('Final Report'!A1467, "","")), 'URL Details'!A:D, "&amp;"4, FALSE)),"""") ), CHAR(10), "",""), ""\s*,\s*"", "",""), "",""))), TRIM(FLATTEN(SPLIT( REGEXREPLACE( SUBSTITUTE(TEXTJOIN("","", TRUE, IFERROR(ARRAYFORMULA(VLOOKUP(TRIM(SPLIT('Final Report'!A1467, "","")), 'URL Details'!A:D, 4, FALSE)),"""") ), CHAR(10),"&amp;" "",""), ""\s*,\s*"", "",""), "","")))&lt;&gt;"""" ) ) ) ),"""")
"),"")</f>
        <v/>
      </c>
      <c r="D1467" s="105"/>
      <c r="E1467" s="105"/>
      <c r="F1467" s="110" t="b">
        <v>0</v>
      </c>
      <c r="G1467" s="105" t="str">
        <f>IF(F1467=True, IFERROR(VLOOKUP(D1467, Repository!A:B, 2, 0), ""), "")</f>
        <v/>
      </c>
      <c r="H1467" s="105"/>
      <c r="I1467" s="105"/>
      <c r="J1467" s="105" t="str">
        <f>IF(F1467=True, IFERROR(VLOOKUP(D1467, Repository!A:C, 3, 0), ""), "")</f>
        <v/>
      </c>
      <c r="K1467" s="105"/>
      <c r="L1467" s="105" t="str">
        <f>IF(F1467=True, IFERROR(VLOOKUP(D1467, Repository!A:E, 5, 0), ""), "")</f>
        <v/>
      </c>
      <c r="M1467" s="105"/>
      <c r="N1467" s="105" t="str">
        <f>IF(F1467=True, IFERROR(VLOOKUP(D1467, Repository!A:G, 7, 0), ""), "")</f>
        <v/>
      </c>
      <c r="O1467" s="105" t="str">
        <f>IFERROR(__xludf.DUMMYFUNCTION("ARRAY_CONSTRAIN(
  ARRAYFORMULA(
    IFERROR(
      LET(
        list, N1467,
        arr, TRIM(SPLIT(list, "","")),
        names, XLOOKUP(
          arr,
          'Conformance Score'!A:A,
          'Conformance Score'!B:B,
          ""Not found""
     "&amp;"   ),
        TEXTJOIN("", "", TRUE, names)
      ),
      """"
    )
  ),
  1,
  1
)
"),"")</f>
        <v/>
      </c>
      <c r="P1467" s="105" t="str">
        <f>IF(F1467="Yes", IFERROR(VLOOKUP(D1467, Repository!A:F, 6, 0), ""), "")</f>
        <v/>
      </c>
      <c r="Q1467" s="105" t="str">
        <f>IF(F1467="Yes", IFERROR(VLOOKUP(D1467, Repository!A:I, 8, 0), ""), "")</f>
        <v/>
      </c>
      <c r="R1467" s="105" t="str">
        <f>IF(F1467="Yes", IFERROR(VLOOKUP(D1467, Repository!A:J, 9, 0), ""), "")</f>
        <v/>
      </c>
      <c r="S1467" s="105"/>
      <c r="T1467" s="105"/>
      <c r="U1467" s="105"/>
      <c r="V1467" s="105"/>
      <c r="W1467" s="105"/>
      <c r="X1467" s="105"/>
      <c r="Y1467" s="105"/>
      <c r="Z1467" s="105"/>
      <c r="AA1467" s="105"/>
      <c r="AB1467" s="105"/>
      <c r="AC1467" s="91"/>
      <c r="AD1467" s="105"/>
      <c r="AE1467" s="105"/>
      <c r="AF1467" s="91"/>
      <c r="AG1467" s="105"/>
      <c r="AH1467" s="105"/>
      <c r="AI1467" s="105" t="str">
        <f t="shared" si="1"/>
        <v/>
      </c>
      <c r="AJ1467" s="108" t="str">
        <f t="shared" si="2"/>
        <v/>
      </c>
    </row>
    <row r="1468" ht="15.75" customHeight="1">
      <c r="A1468" s="104"/>
      <c r="B1468" s="105" t="str">
        <f>IFERROR(__xludf.DUMMYFUNCTION("ARRAY_CONSTRAIN(
  ARRAYFORMULA(
    IF(
      'Final Report'!A1468="""",
      """",
      TEXTJOIN(
        "", "" &amp; CHAR(10),
        TRUE,
        IFERROR(
          VLOOKUP(
            TRIM(
              SPLIT('Final Report'!A1468, "","")
         "&amp;"   ),
            'URL Details'!A:B,
            2,
            FALSE
          ),
          """"
        )
      )
    )
  ),
  1,
  1
)
"),"")</f>
        <v/>
      </c>
      <c r="C1468" s="105" t="str">
        <f>IFERROR(__xludf.DUMMYFUNCTION("IFERROR(IF('Final Report'!A1468="""","""", TEXTJOIN(CHAR(10), TRUE, ARRAYFORMULA( ""• ""&amp; FILTER( TRIM(FLATTEN(SPLIT( REGEXREPLACE( SUBSTITUTE(TEXTJOIN("","", TRUE, IFERROR(ARRAYFORMULA(VLOOKUP(TRIM(SPLIT('Final Report'!A1468, "","")), 'URL Details'!A:D, "&amp;"4, FALSE)),"""") ), CHAR(10), "",""), ""\s*,\s*"", "",""), "",""))), TRIM(FLATTEN(SPLIT( REGEXREPLACE( SUBSTITUTE(TEXTJOIN("","", TRUE, IFERROR(ARRAYFORMULA(VLOOKUP(TRIM(SPLIT('Final Report'!A1468, "","")), 'URL Details'!A:D, 4, FALSE)),"""") ), CHAR(10),"&amp;" "",""), ""\s*,\s*"", "",""), "","")))&lt;&gt;"""" ) ) ) ),"""")
"),"")</f>
        <v/>
      </c>
      <c r="D1468" s="105"/>
      <c r="E1468" s="105"/>
      <c r="F1468" s="110" t="b">
        <v>0</v>
      </c>
      <c r="G1468" s="105" t="str">
        <f>IF(F1468=True, IFERROR(VLOOKUP(D1468, Repository!A:B, 2, 0), ""), "")</f>
        <v/>
      </c>
      <c r="H1468" s="105"/>
      <c r="I1468" s="105"/>
      <c r="J1468" s="105" t="str">
        <f>IF(F1468=True, IFERROR(VLOOKUP(D1468, Repository!A:C, 3, 0), ""), "")</f>
        <v/>
      </c>
      <c r="K1468" s="105"/>
      <c r="L1468" s="105" t="str">
        <f>IF(F1468=True, IFERROR(VLOOKUP(D1468, Repository!A:E, 5, 0), ""), "")</f>
        <v/>
      </c>
      <c r="M1468" s="105"/>
      <c r="N1468" s="105" t="str">
        <f>IF(F1468=True, IFERROR(VLOOKUP(D1468, Repository!A:G, 7, 0), ""), "")</f>
        <v/>
      </c>
      <c r="O1468" s="105" t="str">
        <f>IFERROR(__xludf.DUMMYFUNCTION("ARRAY_CONSTRAIN(
  ARRAYFORMULA(
    IFERROR(
      LET(
        list, N1468,
        arr, TRIM(SPLIT(list, "","")),
        names, XLOOKUP(
          arr,
          'Conformance Score'!A:A,
          'Conformance Score'!B:B,
          ""Not found""
     "&amp;"   ),
        TEXTJOIN("", "", TRUE, names)
      ),
      """"
    )
  ),
  1,
  1
)
"),"")</f>
        <v/>
      </c>
      <c r="P1468" s="105" t="str">
        <f>IF(F1468="Yes", IFERROR(VLOOKUP(D1468, Repository!A:F, 6, 0), ""), "")</f>
        <v/>
      </c>
      <c r="Q1468" s="105" t="str">
        <f>IF(F1468="Yes", IFERROR(VLOOKUP(D1468, Repository!A:I, 8, 0), ""), "")</f>
        <v/>
      </c>
      <c r="R1468" s="105" t="str">
        <f>IF(F1468="Yes", IFERROR(VLOOKUP(D1468, Repository!A:J, 9, 0), ""), "")</f>
        <v/>
      </c>
      <c r="S1468" s="105"/>
      <c r="T1468" s="105"/>
      <c r="U1468" s="105"/>
      <c r="V1468" s="105"/>
      <c r="W1468" s="105"/>
      <c r="X1468" s="105"/>
      <c r="Y1468" s="105"/>
      <c r="Z1468" s="105"/>
      <c r="AA1468" s="105"/>
      <c r="AB1468" s="105"/>
      <c r="AC1468" s="91"/>
      <c r="AD1468" s="105"/>
      <c r="AE1468" s="105"/>
      <c r="AF1468" s="91"/>
      <c r="AG1468" s="105"/>
      <c r="AH1468" s="105"/>
      <c r="AI1468" s="105" t="str">
        <f t="shared" si="1"/>
        <v/>
      </c>
      <c r="AJ1468" s="108" t="str">
        <f t="shared" si="2"/>
        <v/>
      </c>
    </row>
    <row r="1469" ht="15.75" customHeight="1">
      <c r="A1469" s="104"/>
      <c r="B1469" s="105" t="str">
        <f>IFERROR(__xludf.DUMMYFUNCTION("ARRAY_CONSTRAIN(
  ARRAYFORMULA(
    IF(
      'Final Report'!A1469="""",
      """",
      TEXTJOIN(
        "", "" &amp; CHAR(10),
        TRUE,
        IFERROR(
          VLOOKUP(
            TRIM(
              SPLIT('Final Report'!A1469, "","")
         "&amp;"   ),
            'URL Details'!A:B,
            2,
            FALSE
          ),
          """"
        )
      )
    )
  ),
  1,
  1
)
"),"")</f>
        <v/>
      </c>
      <c r="C1469" s="105" t="str">
        <f>IFERROR(__xludf.DUMMYFUNCTION("IFERROR(IF('Final Report'!A1469="""","""", TEXTJOIN(CHAR(10), TRUE, ARRAYFORMULA( ""• ""&amp; FILTER( TRIM(FLATTEN(SPLIT( REGEXREPLACE( SUBSTITUTE(TEXTJOIN("","", TRUE, IFERROR(ARRAYFORMULA(VLOOKUP(TRIM(SPLIT('Final Report'!A1469, "","")), 'URL Details'!A:D, "&amp;"4, FALSE)),"""") ), CHAR(10), "",""), ""\s*,\s*"", "",""), "",""))), TRIM(FLATTEN(SPLIT( REGEXREPLACE( SUBSTITUTE(TEXTJOIN("","", TRUE, IFERROR(ARRAYFORMULA(VLOOKUP(TRIM(SPLIT('Final Report'!A1469, "","")), 'URL Details'!A:D, 4, FALSE)),"""") ), CHAR(10),"&amp;" "",""), ""\s*,\s*"", "",""), "","")))&lt;&gt;"""" ) ) ) ),"""")
"),"")</f>
        <v/>
      </c>
      <c r="D1469" s="105"/>
      <c r="E1469" s="105"/>
      <c r="F1469" s="110" t="b">
        <v>0</v>
      </c>
      <c r="G1469" s="105" t="str">
        <f>IF(F1469=True, IFERROR(VLOOKUP(D1469, Repository!A:B, 2, 0), ""), "")</f>
        <v/>
      </c>
      <c r="H1469" s="105"/>
      <c r="I1469" s="105"/>
      <c r="J1469" s="105" t="str">
        <f>IF(F1469=True, IFERROR(VLOOKUP(D1469, Repository!A:C, 3, 0), ""), "")</f>
        <v/>
      </c>
      <c r="K1469" s="105"/>
      <c r="L1469" s="105" t="str">
        <f>IF(F1469=True, IFERROR(VLOOKUP(D1469, Repository!A:E, 5, 0), ""), "")</f>
        <v/>
      </c>
      <c r="M1469" s="105"/>
      <c r="N1469" s="105" t="str">
        <f>IF(F1469=True, IFERROR(VLOOKUP(D1469, Repository!A:G, 7, 0), ""), "")</f>
        <v/>
      </c>
      <c r="O1469" s="105" t="str">
        <f>IFERROR(__xludf.DUMMYFUNCTION("ARRAY_CONSTRAIN(
  ARRAYFORMULA(
    IFERROR(
      LET(
        list, N1469,
        arr, TRIM(SPLIT(list, "","")),
        names, XLOOKUP(
          arr,
          'Conformance Score'!A:A,
          'Conformance Score'!B:B,
          ""Not found""
     "&amp;"   ),
        TEXTJOIN("", "", TRUE, names)
      ),
      """"
    )
  ),
  1,
  1
)
"),"")</f>
        <v/>
      </c>
      <c r="P1469" s="105" t="str">
        <f>IF(F1469="Yes", IFERROR(VLOOKUP(D1469, Repository!A:F, 6, 0), ""), "")</f>
        <v/>
      </c>
      <c r="Q1469" s="105" t="str">
        <f>IF(F1469="Yes", IFERROR(VLOOKUP(D1469, Repository!A:I, 8, 0), ""), "")</f>
        <v/>
      </c>
      <c r="R1469" s="105" t="str">
        <f>IF(F1469="Yes", IFERROR(VLOOKUP(D1469, Repository!A:J, 9, 0), ""), "")</f>
        <v/>
      </c>
      <c r="S1469" s="105"/>
      <c r="T1469" s="105"/>
      <c r="U1469" s="105"/>
      <c r="V1469" s="105"/>
      <c r="W1469" s="105"/>
      <c r="X1469" s="105"/>
      <c r="Y1469" s="105"/>
      <c r="Z1469" s="105"/>
      <c r="AA1469" s="105"/>
      <c r="AB1469" s="105"/>
      <c r="AC1469" s="91"/>
      <c r="AD1469" s="105"/>
      <c r="AE1469" s="105"/>
      <c r="AF1469" s="91"/>
      <c r="AG1469" s="105"/>
      <c r="AH1469" s="105"/>
      <c r="AI1469" s="105" t="str">
        <f t="shared" si="1"/>
        <v/>
      </c>
      <c r="AJ1469" s="108" t="str">
        <f t="shared" si="2"/>
        <v/>
      </c>
    </row>
    <row r="1470" ht="15.75" customHeight="1">
      <c r="A1470" s="104"/>
      <c r="B1470" s="105" t="str">
        <f>IFERROR(__xludf.DUMMYFUNCTION("ARRAY_CONSTRAIN(
  ARRAYFORMULA(
    IF(
      'Final Report'!A1470="""",
      """",
      TEXTJOIN(
        "", "" &amp; CHAR(10),
        TRUE,
        IFERROR(
          VLOOKUP(
            TRIM(
              SPLIT('Final Report'!A1470, "","")
         "&amp;"   ),
            'URL Details'!A:B,
            2,
            FALSE
          ),
          """"
        )
      )
    )
  ),
  1,
  1
)
"),"")</f>
        <v/>
      </c>
      <c r="C1470" s="105" t="str">
        <f>IFERROR(__xludf.DUMMYFUNCTION("IFERROR(IF('Final Report'!A1470="""","""", TEXTJOIN(CHAR(10), TRUE, ARRAYFORMULA( ""• ""&amp; FILTER( TRIM(FLATTEN(SPLIT( REGEXREPLACE( SUBSTITUTE(TEXTJOIN("","", TRUE, IFERROR(ARRAYFORMULA(VLOOKUP(TRIM(SPLIT('Final Report'!A1470, "","")), 'URL Details'!A:D, "&amp;"4, FALSE)),"""") ), CHAR(10), "",""), ""\s*,\s*"", "",""), "",""))), TRIM(FLATTEN(SPLIT( REGEXREPLACE( SUBSTITUTE(TEXTJOIN("","", TRUE, IFERROR(ARRAYFORMULA(VLOOKUP(TRIM(SPLIT('Final Report'!A1470, "","")), 'URL Details'!A:D, 4, FALSE)),"""") ), CHAR(10),"&amp;" "",""), ""\s*,\s*"", "",""), "","")))&lt;&gt;"""" ) ) ) ),"""")
"),"")</f>
        <v/>
      </c>
      <c r="D1470" s="105"/>
      <c r="E1470" s="105"/>
      <c r="F1470" s="110" t="b">
        <v>0</v>
      </c>
      <c r="G1470" s="105" t="str">
        <f>IF(F1470=True, IFERROR(VLOOKUP(D1470, Repository!A:B, 2, 0), ""), "")</f>
        <v/>
      </c>
      <c r="H1470" s="105"/>
      <c r="I1470" s="105"/>
      <c r="J1470" s="105" t="str">
        <f>IF(F1470=True, IFERROR(VLOOKUP(D1470, Repository!A:C, 3, 0), ""), "")</f>
        <v/>
      </c>
      <c r="K1470" s="105"/>
      <c r="L1470" s="105" t="str">
        <f>IF(F1470=True, IFERROR(VLOOKUP(D1470, Repository!A:E, 5, 0), ""), "")</f>
        <v/>
      </c>
      <c r="M1470" s="105"/>
      <c r="N1470" s="105" t="str">
        <f>IF(F1470=True, IFERROR(VLOOKUP(D1470, Repository!A:G, 7, 0), ""), "")</f>
        <v/>
      </c>
      <c r="O1470" s="105" t="str">
        <f>IFERROR(__xludf.DUMMYFUNCTION("ARRAY_CONSTRAIN(
  ARRAYFORMULA(
    IFERROR(
      LET(
        list, N1470,
        arr, TRIM(SPLIT(list, "","")),
        names, XLOOKUP(
          arr,
          'Conformance Score'!A:A,
          'Conformance Score'!B:B,
          ""Not found""
     "&amp;"   ),
        TEXTJOIN("", "", TRUE, names)
      ),
      """"
    )
  ),
  1,
  1
)
"),"")</f>
        <v/>
      </c>
      <c r="P1470" s="105" t="str">
        <f>IF(F1470="Yes", IFERROR(VLOOKUP(D1470, Repository!A:F, 6, 0), ""), "")</f>
        <v/>
      </c>
      <c r="Q1470" s="105" t="str">
        <f>IF(F1470="Yes", IFERROR(VLOOKUP(D1470, Repository!A:I, 8, 0), ""), "")</f>
        <v/>
      </c>
      <c r="R1470" s="105" t="str">
        <f>IF(F1470="Yes", IFERROR(VLOOKUP(D1470, Repository!A:J, 9, 0), ""), "")</f>
        <v/>
      </c>
      <c r="S1470" s="105"/>
      <c r="T1470" s="105"/>
      <c r="U1470" s="105"/>
      <c r="V1470" s="105"/>
      <c r="W1470" s="105"/>
      <c r="X1470" s="105"/>
      <c r="Y1470" s="105"/>
      <c r="Z1470" s="105"/>
      <c r="AA1470" s="105"/>
      <c r="AB1470" s="105"/>
      <c r="AC1470" s="91"/>
      <c r="AD1470" s="105"/>
      <c r="AE1470" s="105"/>
      <c r="AF1470" s="91"/>
      <c r="AG1470" s="105"/>
      <c r="AH1470" s="105"/>
      <c r="AI1470" s="105" t="str">
        <f t="shared" si="1"/>
        <v/>
      </c>
      <c r="AJ1470" s="108" t="str">
        <f t="shared" si="2"/>
        <v/>
      </c>
    </row>
    <row r="1471" ht="15.75" customHeight="1">
      <c r="A1471" s="104"/>
      <c r="B1471" s="105" t="str">
        <f>IFERROR(__xludf.DUMMYFUNCTION("ARRAY_CONSTRAIN(
  ARRAYFORMULA(
    IF(
      'Final Report'!A1471="""",
      """",
      TEXTJOIN(
        "", "" &amp; CHAR(10),
        TRUE,
        IFERROR(
          VLOOKUP(
            TRIM(
              SPLIT('Final Report'!A1471, "","")
         "&amp;"   ),
            'URL Details'!A:B,
            2,
            FALSE
          ),
          """"
        )
      )
    )
  ),
  1,
  1
)
"),"")</f>
        <v/>
      </c>
      <c r="C1471" s="105" t="str">
        <f>IFERROR(__xludf.DUMMYFUNCTION("IFERROR(IF('Final Report'!A1471="""","""", TEXTJOIN(CHAR(10), TRUE, ARRAYFORMULA( ""• ""&amp; FILTER( TRIM(FLATTEN(SPLIT( REGEXREPLACE( SUBSTITUTE(TEXTJOIN("","", TRUE, IFERROR(ARRAYFORMULA(VLOOKUP(TRIM(SPLIT('Final Report'!A1471, "","")), 'URL Details'!A:D, "&amp;"4, FALSE)),"""") ), CHAR(10), "",""), ""\s*,\s*"", "",""), "",""))), TRIM(FLATTEN(SPLIT( REGEXREPLACE( SUBSTITUTE(TEXTJOIN("","", TRUE, IFERROR(ARRAYFORMULA(VLOOKUP(TRIM(SPLIT('Final Report'!A1471, "","")), 'URL Details'!A:D, 4, FALSE)),"""") ), CHAR(10),"&amp;" "",""), ""\s*,\s*"", "",""), "","")))&lt;&gt;"""" ) ) ) ),"""")
"),"")</f>
        <v/>
      </c>
      <c r="D1471" s="105"/>
      <c r="E1471" s="105"/>
      <c r="F1471" s="110" t="b">
        <v>0</v>
      </c>
      <c r="G1471" s="105" t="str">
        <f>IF(F1471=True, IFERROR(VLOOKUP(D1471, Repository!A:B, 2, 0), ""), "")</f>
        <v/>
      </c>
      <c r="H1471" s="105"/>
      <c r="I1471" s="105"/>
      <c r="J1471" s="105" t="str">
        <f>IF(F1471=True, IFERROR(VLOOKUP(D1471, Repository!A:C, 3, 0), ""), "")</f>
        <v/>
      </c>
      <c r="K1471" s="105"/>
      <c r="L1471" s="105" t="str">
        <f>IF(F1471=True, IFERROR(VLOOKUP(D1471, Repository!A:E, 5, 0), ""), "")</f>
        <v/>
      </c>
      <c r="M1471" s="105"/>
      <c r="N1471" s="105" t="str">
        <f>IF(F1471=True, IFERROR(VLOOKUP(D1471, Repository!A:G, 7, 0), ""), "")</f>
        <v/>
      </c>
      <c r="O1471" s="105" t="str">
        <f>IFERROR(__xludf.DUMMYFUNCTION("ARRAY_CONSTRAIN(
  ARRAYFORMULA(
    IFERROR(
      LET(
        list, N1471,
        arr, TRIM(SPLIT(list, "","")),
        names, XLOOKUP(
          arr,
          'Conformance Score'!A:A,
          'Conformance Score'!B:B,
          ""Not found""
     "&amp;"   ),
        TEXTJOIN("", "", TRUE, names)
      ),
      """"
    )
  ),
  1,
  1
)
"),"")</f>
        <v/>
      </c>
      <c r="P1471" s="105" t="str">
        <f>IF(F1471="Yes", IFERROR(VLOOKUP(D1471, Repository!A:F, 6, 0), ""), "")</f>
        <v/>
      </c>
      <c r="Q1471" s="105" t="str">
        <f>IF(F1471="Yes", IFERROR(VLOOKUP(D1471, Repository!A:I, 8, 0), ""), "")</f>
        <v/>
      </c>
      <c r="R1471" s="105" t="str">
        <f>IF(F1471="Yes", IFERROR(VLOOKUP(D1471, Repository!A:J, 9, 0), ""), "")</f>
        <v/>
      </c>
      <c r="S1471" s="105"/>
      <c r="T1471" s="105"/>
      <c r="U1471" s="105"/>
      <c r="V1471" s="105"/>
      <c r="W1471" s="105"/>
      <c r="X1471" s="105"/>
      <c r="Y1471" s="105"/>
      <c r="Z1471" s="105"/>
      <c r="AA1471" s="105"/>
      <c r="AB1471" s="105"/>
      <c r="AC1471" s="91"/>
      <c r="AD1471" s="105"/>
      <c r="AE1471" s="105"/>
      <c r="AF1471" s="91"/>
      <c r="AG1471" s="105"/>
      <c r="AH1471" s="105"/>
      <c r="AI1471" s="105" t="str">
        <f t="shared" si="1"/>
        <v/>
      </c>
      <c r="AJ1471" s="108" t="str">
        <f t="shared" si="2"/>
        <v/>
      </c>
    </row>
    <row r="1472" ht="15.75" customHeight="1">
      <c r="A1472" s="104"/>
      <c r="B1472" s="105" t="str">
        <f>IFERROR(__xludf.DUMMYFUNCTION("ARRAY_CONSTRAIN(
  ARRAYFORMULA(
    IF(
      'Final Report'!A1472="""",
      """",
      TEXTJOIN(
        "", "" &amp; CHAR(10),
        TRUE,
        IFERROR(
          VLOOKUP(
            TRIM(
              SPLIT('Final Report'!A1472, "","")
         "&amp;"   ),
            'URL Details'!A:B,
            2,
            FALSE
          ),
          """"
        )
      )
    )
  ),
  1,
  1
)
"),"")</f>
        <v/>
      </c>
      <c r="C1472" s="105" t="str">
        <f>IFERROR(__xludf.DUMMYFUNCTION("IFERROR(IF('Final Report'!A1472="""","""", TEXTJOIN(CHAR(10), TRUE, ARRAYFORMULA( ""• ""&amp; FILTER( TRIM(FLATTEN(SPLIT( REGEXREPLACE( SUBSTITUTE(TEXTJOIN("","", TRUE, IFERROR(ARRAYFORMULA(VLOOKUP(TRIM(SPLIT('Final Report'!A1472, "","")), 'URL Details'!A:D, "&amp;"4, FALSE)),"""") ), CHAR(10), "",""), ""\s*,\s*"", "",""), "",""))), TRIM(FLATTEN(SPLIT( REGEXREPLACE( SUBSTITUTE(TEXTJOIN("","", TRUE, IFERROR(ARRAYFORMULA(VLOOKUP(TRIM(SPLIT('Final Report'!A1472, "","")), 'URL Details'!A:D, 4, FALSE)),"""") ), CHAR(10),"&amp;" "",""), ""\s*,\s*"", "",""), "","")))&lt;&gt;"""" ) ) ) ),"""")
"),"")</f>
        <v/>
      </c>
      <c r="D1472" s="105"/>
      <c r="E1472" s="105"/>
      <c r="F1472" s="110" t="b">
        <v>0</v>
      </c>
      <c r="G1472" s="105" t="str">
        <f>IF(F1472=True, IFERROR(VLOOKUP(D1472, Repository!A:B, 2, 0), ""), "")</f>
        <v/>
      </c>
      <c r="H1472" s="105"/>
      <c r="I1472" s="105"/>
      <c r="J1472" s="105" t="str">
        <f>IF(F1472=True, IFERROR(VLOOKUP(D1472, Repository!A:C, 3, 0), ""), "")</f>
        <v/>
      </c>
      <c r="K1472" s="105"/>
      <c r="L1472" s="105" t="str">
        <f>IF(F1472=True, IFERROR(VLOOKUP(D1472, Repository!A:E, 5, 0), ""), "")</f>
        <v/>
      </c>
      <c r="M1472" s="105"/>
      <c r="N1472" s="105" t="str">
        <f>IF(F1472=True, IFERROR(VLOOKUP(D1472, Repository!A:G, 7, 0), ""), "")</f>
        <v/>
      </c>
      <c r="O1472" s="105" t="str">
        <f>IFERROR(__xludf.DUMMYFUNCTION("ARRAY_CONSTRAIN(
  ARRAYFORMULA(
    IFERROR(
      LET(
        list, N1472,
        arr, TRIM(SPLIT(list, "","")),
        names, XLOOKUP(
          arr,
          'Conformance Score'!A:A,
          'Conformance Score'!B:B,
          ""Not found""
     "&amp;"   ),
        TEXTJOIN("", "", TRUE, names)
      ),
      """"
    )
  ),
  1,
  1
)
"),"")</f>
        <v/>
      </c>
      <c r="P1472" s="105" t="str">
        <f>IF(F1472="Yes", IFERROR(VLOOKUP(D1472, Repository!A:F, 6, 0), ""), "")</f>
        <v/>
      </c>
      <c r="Q1472" s="105" t="str">
        <f>IF(F1472="Yes", IFERROR(VLOOKUP(D1472, Repository!A:I, 8, 0), ""), "")</f>
        <v/>
      </c>
      <c r="R1472" s="105" t="str">
        <f>IF(F1472="Yes", IFERROR(VLOOKUP(D1472, Repository!A:J, 9, 0), ""), "")</f>
        <v/>
      </c>
      <c r="S1472" s="105"/>
      <c r="T1472" s="105"/>
      <c r="U1472" s="105"/>
      <c r="V1472" s="105"/>
      <c r="W1472" s="105"/>
      <c r="X1472" s="105"/>
      <c r="Y1472" s="105"/>
      <c r="Z1472" s="105"/>
      <c r="AA1472" s="105"/>
      <c r="AB1472" s="105"/>
      <c r="AC1472" s="91"/>
      <c r="AD1472" s="105"/>
      <c r="AE1472" s="105"/>
      <c r="AF1472" s="91"/>
      <c r="AG1472" s="105"/>
      <c r="AH1472" s="105"/>
      <c r="AI1472" s="105" t="str">
        <f t="shared" si="1"/>
        <v/>
      </c>
      <c r="AJ1472" s="108" t="str">
        <f t="shared" si="2"/>
        <v/>
      </c>
    </row>
    <row r="1473" ht="15.75" customHeight="1">
      <c r="A1473" s="104"/>
      <c r="B1473" s="105" t="str">
        <f>IFERROR(__xludf.DUMMYFUNCTION("ARRAY_CONSTRAIN(
  ARRAYFORMULA(
    IF(
      'Final Report'!A1473="""",
      """",
      TEXTJOIN(
        "", "" &amp; CHAR(10),
        TRUE,
        IFERROR(
          VLOOKUP(
            TRIM(
              SPLIT('Final Report'!A1473, "","")
         "&amp;"   ),
            'URL Details'!A:B,
            2,
            FALSE
          ),
          """"
        )
      )
    )
  ),
  1,
  1
)
"),"")</f>
        <v/>
      </c>
      <c r="C1473" s="105" t="str">
        <f>IFERROR(__xludf.DUMMYFUNCTION("IFERROR(IF('Final Report'!A1473="""","""", TEXTJOIN(CHAR(10), TRUE, ARRAYFORMULA( ""• ""&amp; FILTER( TRIM(FLATTEN(SPLIT( REGEXREPLACE( SUBSTITUTE(TEXTJOIN("","", TRUE, IFERROR(ARRAYFORMULA(VLOOKUP(TRIM(SPLIT('Final Report'!A1473, "","")), 'URL Details'!A:D, "&amp;"4, FALSE)),"""") ), CHAR(10), "",""), ""\s*,\s*"", "",""), "",""))), TRIM(FLATTEN(SPLIT( REGEXREPLACE( SUBSTITUTE(TEXTJOIN("","", TRUE, IFERROR(ARRAYFORMULA(VLOOKUP(TRIM(SPLIT('Final Report'!A1473, "","")), 'URL Details'!A:D, 4, FALSE)),"""") ), CHAR(10),"&amp;" "",""), ""\s*,\s*"", "",""), "","")))&lt;&gt;"""" ) ) ) ),"""")
"),"")</f>
        <v/>
      </c>
      <c r="D1473" s="105"/>
      <c r="E1473" s="105"/>
      <c r="F1473" s="110" t="b">
        <v>0</v>
      </c>
      <c r="G1473" s="105" t="str">
        <f>IF(F1473=True, IFERROR(VLOOKUP(D1473, Repository!A:B, 2, 0), ""), "")</f>
        <v/>
      </c>
      <c r="H1473" s="105"/>
      <c r="I1473" s="105"/>
      <c r="J1473" s="105" t="str">
        <f>IF(F1473=True, IFERROR(VLOOKUP(D1473, Repository!A:C, 3, 0), ""), "")</f>
        <v/>
      </c>
      <c r="K1473" s="105"/>
      <c r="L1473" s="105" t="str">
        <f>IF(F1473=True, IFERROR(VLOOKUP(D1473, Repository!A:E, 5, 0), ""), "")</f>
        <v/>
      </c>
      <c r="M1473" s="105"/>
      <c r="N1473" s="105" t="str">
        <f>IF(F1473=True, IFERROR(VLOOKUP(D1473, Repository!A:G, 7, 0), ""), "")</f>
        <v/>
      </c>
      <c r="O1473" s="105" t="str">
        <f>IFERROR(__xludf.DUMMYFUNCTION("ARRAY_CONSTRAIN(
  ARRAYFORMULA(
    IFERROR(
      LET(
        list, N1473,
        arr, TRIM(SPLIT(list, "","")),
        names, XLOOKUP(
          arr,
          'Conformance Score'!A:A,
          'Conformance Score'!B:B,
          ""Not found""
     "&amp;"   ),
        TEXTJOIN("", "", TRUE, names)
      ),
      """"
    )
  ),
  1,
  1
)
"),"")</f>
        <v/>
      </c>
      <c r="P1473" s="105" t="str">
        <f>IF(F1473="Yes", IFERROR(VLOOKUP(D1473, Repository!A:F, 6, 0), ""), "")</f>
        <v/>
      </c>
      <c r="Q1473" s="105" t="str">
        <f>IF(F1473="Yes", IFERROR(VLOOKUP(D1473, Repository!A:I, 8, 0), ""), "")</f>
        <v/>
      </c>
      <c r="R1473" s="105" t="str">
        <f>IF(F1473="Yes", IFERROR(VLOOKUP(D1473, Repository!A:J, 9, 0), ""), "")</f>
        <v/>
      </c>
      <c r="S1473" s="105"/>
      <c r="T1473" s="105"/>
      <c r="U1473" s="105"/>
      <c r="V1473" s="105"/>
      <c r="W1473" s="105"/>
      <c r="X1473" s="105"/>
      <c r="Y1473" s="105"/>
      <c r="Z1473" s="105"/>
      <c r="AA1473" s="105"/>
      <c r="AB1473" s="105"/>
      <c r="AC1473" s="91"/>
      <c r="AD1473" s="105"/>
      <c r="AE1473" s="105"/>
      <c r="AF1473" s="91"/>
      <c r="AG1473" s="105"/>
      <c r="AH1473" s="105"/>
      <c r="AI1473" s="105" t="str">
        <f t="shared" si="1"/>
        <v/>
      </c>
      <c r="AJ1473" s="108" t="str">
        <f t="shared" si="2"/>
        <v/>
      </c>
    </row>
    <row r="1474" ht="15.75" customHeight="1">
      <c r="A1474" s="104"/>
      <c r="B1474" s="105" t="str">
        <f>IFERROR(__xludf.DUMMYFUNCTION("ARRAY_CONSTRAIN(
  ARRAYFORMULA(
    IF(
      'Final Report'!A1474="""",
      """",
      TEXTJOIN(
        "", "" &amp; CHAR(10),
        TRUE,
        IFERROR(
          VLOOKUP(
            TRIM(
              SPLIT('Final Report'!A1474, "","")
         "&amp;"   ),
            'URL Details'!A:B,
            2,
            FALSE
          ),
          """"
        )
      )
    )
  ),
  1,
  1
)
"),"")</f>
        <v/>
      </c>
      <c r="C1474" s="105" t="str">
        <f>IFERROR(__xludf.DUMMYFUNCTION("IFERROR(IF('Final Report'!A1474="""","""", TEXTJOIN(CHAR(10), TRUE, ARRAYFORMULA( ""• ""&amp; FILTER( TRIM(FLATTEN(SPLIT( REGEXREPLACE( SUBSTITUTE(TEXTJOIN("","", TRUE, IFERROR(ARRAYFORMULA(VLOOKUP(TRIM(SPLIT('Final Report'!A1474, "","")), 'URL Details'!A:D, "&amp;"4, FALSE)),"""") ), CHAR(10), "",""), ""\s*,\s*"", "",""), "",""))), TRIM(FLATTEN(SPLIT( REGEXREPLACE( SUBSTITUTE(TEXTJOIN("","", TRUE, IFERROR(ARRAYFORMULA(VLOOKUP(TRIM(SPLIT('Final Report'!A1474, "","")), 'URL Details'!A:D, 4, FALSE)),"""") ), CHAR(10),"&amp;" "",""), ""\s*,\s*"", "",""), "","")))&lt;&gt;"""" ) ) ) ),"""")
"),"")</f>
        <v/>
      </c>
      <c r="D1474" s="105"/>
      <c r="E1474" s="105"/>
      <c r="F1474" s="110" t="b">
        <v>0</v>
      </c>
      <c r="G1474" s="105" t="str">
        <f>IF(F1474=True, IFERROR(VLOOKUP(D1474, Repository!A:B, 2, 0), ""), "")</f>
        <v/>
      </c>
      <c r="H1474" s="105"/>
      <c r="I1474" s="105"/>
      <c r="J1474" s="105" t="str">
        <f>IF(F1474=True, IFERROR(VLOOKUP(D1474, Repository!A:C, 3, 0), ""), "")</f>
        <v/>
      </c>
      <c r="K1474" s="105"/>
      <c r="L1474" s="105" t="str">
        <f>IF(F1474=True, IFERROR(VLOOKUP(D1474, Repository!A:E, 5, 0), ""), "")</f>
        <v/>
      </c>
      <c r="M1474" s="105"/>
      <c r="N1474" s="105" t="str">
        <f>IF(F1474=True, IFERROR(VLOOKUP(D1474, Repository!A:G, 7, 0), ""), "")</f>
        <v/>
      </c>
      <c r="O1474" s="105" t="str">
        <f>IFERROR(__xludf.DUMMYFUNCTION("ARRAY_CONSTRAIN(
  ARRAYFORMULA(
    IFERROR(
      LET(
        list, N1474,
        arr, TRIM(SPLIT(list, "","")),
        names, XLOOKUP(
          arr,
          'Conformance Score'!A:A,
          'Conformance Score'!B:B,
          ""Not found""
     "&amp;"   ),
        TEXTJOIN("", "", TRUE, names)
      ),
      """"
    )
  ),
  1,
  1
)
"),"")</f>
        <v/>
      </c>
      <c r="P1474" s="105" t="str">
        <f>IF(F1474="Yes", IFERROR(VLOOKUP(D1474, Repository!A:F, 6, 0), ""), "")</f>
        <v/>
      </c>
      <c r="Q1474" s="105" t="str">
        <f>IF(F1474="Yes", IFERROR(VLOOKUP(D1474, Repository!A:I, 8, 0), ""), "")</f>
        <v/>
      </c>
      <c r="R1474" s="105" t="str">
        <f>IF(F1474="Yes", IFERROR(VLOOKUP(D1474, Repository!A:J, 9, 0), ""), "")</f>
        <v/>
      </c>
      <c r="S1474" s="105"/>
      <c r="T1474" s="105"/>
      <c r="U1474" s="105"/>
      <c r="V1474" s="105"/>
      <c r="W1474" s="105"/>
      <c r="X1474" s="105"/>
      <c r="Y1474" s="105"/>
      <c r="Z1474" s="105"/>
      <c r="AA1474" s="105"/>
      <c r="AB1474" s="105"/>
      <c r="AC1474" s="91"/>
      <c r="AD1474" s="105"/>
      <c r="AE1474" s="105"/>
      <c r="AF1474" s="91"/>
      <c r="AG1474" s="105"/>
      <c r="AH1474" s="105"/>
      <c r="AI1474" s="105" t="str">
        <f t="shared" si="1"/>
        <v/>
      </c>
      <c r="AJ1474" s="108" t="str">
        <f t="shared" si="2"/>
        <v/>
      </c>
    </row>
    <row r="1475" ht="15.75" customHeight="1">
      <c r="A1475" s="104"/>
      <c r="B1475" s="105" t="str">
        <f>IFERROR(__xludf.DUMMYFUNCTION("ARRAY_CONSTRAIN(
  ARRAYFORMULA(
    IF(
      'Final Report'!A1475="""",
      """",
      TEXTJOIN(
        "", "" &amp; CHAR(10),
        TRUE,
        IFERROR(
          VLOOKUP(
            TRIM(
              SPLIT('Final Report'!A1475, "","")
         "&amp;"   ),
            'URL Details'!A:B,
            2,
            FALSE
          ),
          """"
        )
      )
    )
  ),
  1,
  1
)
"),"")</f>
        <v/>
      </c>
      <c r="C1475" s="105" t="str">
        <f>IFERROR(__xludf.DUMMYFUNCTION("IFERROR(IF('Final Report'!A1475="""","""", TEXTJOIN(CHAR(10), TRUE, ARRAYFORMULA( ""• ""&amp; FILTER( TRIM(FLATTEN(SPLIT( REGEXREPLACE( SUBSTITUTE(TEXTJOIN("","", TRUE, IFERROR(ARRAYFORMULA(VLOOKUP(TRIM(SPLIT('Final Report'!A1475, "","")), 'URL Details'!A:D, "&amp;"4, FALSE)),"""") ), CHAR(10), "",""), ""\s*,\s*"", "",""), "",""))), TRIM(FLATTEN(SPLIT( REGEXREPLACE( SUBSTITUTE(TEXTJOIN("","", TRUE, IFERROR(ARRAYFORMULA(VLOOKUP(TRIM(SPLIT('Final Report'!A1475, "","")), 'URL Details'!A:D, 4, FALSE)),"""") ), CHAR(10),"&amp;" "",""), ""\s*,\s*"", "",""), "","")))&lt;&gt;"""" ) ) ) ),"""")
"),"")</f>
        <v/>
      </c>
      <c r="D1475" s="105"/>
      <c r="E1475" s="105"/>
      <c r="F1475" s="110" t="b">
        <v>0</v>
      </c>
      <c r="G1475" s="105" t="str">
        <f>IF(F1475=True, IFERROR(VLOOKUP(D1475, Repository!A:B, 2, 0), ""), "")</f>
        <v/>
      </c>
      <c r="H1475" s="105"/>
      <c r="I1475" s="105"/>
      <c r="J1475" s="105" t="str">
        <f>IF(F1475=True, IFERROR(VLOOKUP(D1475, Repository!A:C, 3, 0), ""), "")</f>
        <v/>
      </c>
      <c r="K1475" s="105"/>
      <c r="L1475" s="105" t="str">
        <f>IF(F1475=True, IFERROR(VLOOKUP(D1475, Repository!A:E, 5, 0), ""), "")</f>
        <v/>
      </c>
      <c r="M1475" s="105"/>
      <c r="N1475" s="105" t="str">
        <f>IF(F1475=True, IFERROR(VLOOKUP(D1475, Repository!A:G, 7, 0), ""), "")</f>
        <v/>
      </c>
      <c r="O1475" s="105" t="str">
        <f>IFERROR(__xludf.DUMMYFUNCTION("ARRAY_CONSTRAIN(
  ARRAYFORMULA(
    IFERROR(
      LET(
        list, N1475,
        arr, TRIM(SPLIT(list, "","")),
        names, XLOOKUP(
          arr,
          'Conformance Score'!A:A,
          'Conformance Score'!B:B,
          ""Not found""
     "&amp;"   ),
        TEXTJOIN("", "", TRUE, names)
      ),
      """"
    )
  ),
  1,
  1
)
"),"")</f>
        <v/>
      </c>
      <c r="P1475" s="105" t="str">
        <f>IF(F1475="Yes", IFERROR(VLOOKUP(D1475, Repository!A:F, 6, 0), ""), "")</f>
        <v/>
      </c>
      <c r="Q1475" s="105" t="str">
        <f>IF(F1475="Yes", IFERROR(VLOOKUP(D1475, Repository!A:I, 8, 0), ""), "")</f>
        <v/>
      </c>
      <c r="R1475" s="105" t="str">
        <f>IF(F1475="Yes", IFERROR(VLOOKUP(D1475, Repository!A:J, 9, 0), ""), "")</f>
        <v/>
      </c>
      <c r="S1475" s="105"/>
      <c r="T1475" s="105"/>
      <c r="U1475" s="105"/>
      <c r="V1475" s="105"/>
      <c r="W1475" s="105"/>
      <c r="X1475" s="105"/>
      <c r="Y1475" s="105"/>
      <c r="Z1475" s="105"/>
      <c r="AA1475" s="105"/>
      <c r="AB1475" s="105"/>
      <c r="AC1475" s="91"/>
      <c r="AD1475" s="105"/>
      <c r="AE1475" s="105"/>
      <c r="AF1475" s="91"/>
      <c r="AG1475" s="105"/>
      <c r="AH1475" s="105"/>
      <c r="AI1475" s="105" t="str">
        <f t="shared" si="1"/>
        <v/>
      </c>
      <c r="AJ1475" s="108" t="str">
        <f t="shared" si="2"/>
        <v/>
      </c>
    </row>
    <row r="1476" ht="15.75" customHeight="1">
      <c r="A1476" s="104"/>
      <c r="B1476" s="105" t="str">
        <f>IFERROR(__xludf.DUMMYFUNCTION("ARRAY_CONSTRAIN(
  ARRAYFORMULA(
    IF(
      'Final Report'!A1476="""",
      """",
      TEXTJOIN(
        "", "" &amp; CHAR(10),
        TRUE,
        IFERROR(
          VLOOKUP(
            TRIM(
              SPLIT('Final Report'!A1476, "","")
         "&amp;"   ),
            'URL Details'!A:B,
            2,
            FALSE
          ),
          """"
        )
      )
    )
  ),
  1,
  1
)
"),"")</f>
        <v/>
      </c>
      <c r="C1476" s="105" t="str">
        <f>IFERROR(__xludf.DUMMYFUNCTION("IFERROR(IF('Final Report'!A1476="""","""", TEXTJOIN(CHAR(10), TRUE, ARRAYFORMULA( ""• ""&amp; FILTER( TRIM(FLATTEN(SPLIT( REGEXREPLACE( SUBSTITUTE(TEXTJOIN("","", TRUE, IFERROR(ARRAYFORMULA(VLOOKUP(TRIM(SPLIT('Final Report'!A1476, "","")), 'URL Details'!A:D, "&amp;"4, FALSE)),"""") ), CHAR(10), "",""), ""\s*,\s*"", "",""), "",""))), TRIM(FLATTEN(SPLIT( REGEXREPLACE( SUBSTITUTE(TEXTJOIN("","", TRUE, IFERROR(ARRAYFORMULA(VLOOKUP(TRIM(SPLIT('Final Report'!A1476, "","")), 'URL Details'!A:D, 4, FALSE)),"""") ), CHAR(10),"&amp;" "",""), ""\s*,\s*"", "",""), "","")))&lt;&gt;"""" ) ) ) ),"""")
"),"")</f>
        <v/>
      </c>
      <c r="D1476" s="105"/>
      <c r="E1476" s="105"/>
      <c r="F1476" s="110" t="b">
        <v>0</v>
      </c>
      <c r="G1476" s="105" t="str">
        <f>IF(F1476=True, IFERROR(VLOOKUP(D1476, Repository!A:B, 2, 0), ""), "")</f>
        <v/>
      </c>
      <c r="H1476" s="105"/>
      <c r="I1476" s="105"/>
      <c r="J1476" s="105" t="str">
        <f>IF(F1476=True, IFERROR(VLOOKUP(D1476, Repository!A:C, 3, 0), ""), "")</f>
        <v/>
      </c>
      <c r="K1476" s="105"/>
      <c r="L1476" s="105" t="str">
        <f>IF(F1476=True, IFERROR(VLOOKUP(D1476, Repository!A:E, 5, 0), ""), "")</f>
        <v/>
      </c>
      <c r="M1476" s="105"/>
      <c r="N1476" s="105" t="str">
        <f>IF(F1476=True, IFERROR(VLOOKUP(D1476, Repository!A:G, 7, 0), ""), "")</f>
        <v/>
      </c>
      <c r="O1476" s="105" t="str">
        <f>IFERROR(__xludf.DUMMYFUNCTION("ARRAY_CONSTRAIN(
  ARRAYFORMULA(
    IFERROR(
      LET(
        list, N1476,
        arr, TRIM(SPLIT(list, "","")),
        names, XLOOKUP(
          arr,
          'Conformance Score'!A:A,
          'Conformance Score'!B:B,
          ""Not found""
     "&amp;"   ),
        TEXTJOIN("", "", TRUE, names)
      ),
      """"
    )
  ),
  1,
  1
)
"),"")</f>
        <v/>
      </c>
      <c r="P1476" s="105" t="str">
        <f>IF(F1476="Yes", IFERROR(VLOOKUP(D1476, Repository!A:F, 6, 0), ""), "")</f>
        <v/>
      </c>
      <c r="Q1476" s="105" t="str">
        <f>IF(F1476="Yes", IFERROR(VLOOKUP(D1476, Repository!A:I, 8, 0), ""), "")</f>
        <v/>
      </c>
      <c r="R1476" s="105" t="str">
        <f>IF(F1476="Yes", IFERROR(VLOOKUP(D1476, Repository!A:J, 9, 0), ""), "")</f>
        <v/>
      </c>
      <c r="S1476" s="105"/>
      <c r="T1476" s="105"/>
      <c r="U1476" s="105"/>
      <c r="V1476" s="105"/>
      <c r="W1476" s="105"/>
      <c r="X1476" s="105"/>
      <c r="Y1476" s="105"/>
      <c r="Z1476" s="105"/>
      <c r="AA1476" s="105"/>
      <c r="AB1476" s="105"/>
      <c r="AC1476" s="91"/>
      <c r="AD1476" s="105"/>
      <c r="AE1476" s="105"/>
      <c r="AF1476" s="91"/>
      <c r="AG1476" s="105"/>
      <c r="AH1476" s="105"/>
      <c r="AI1476" s="105" t="str">
        <f t="shared" si="1"/>
        <v/>
      </c>
      <c r="AJ1476" s="108" t="str">
        <f t="shared" si="2"/>
        <v/>
      </c>
    </row>
    <row r="1477" ht="15.75" customHeight="1">
      <c r="A1477" s="104"/>
      <c r="B1477" s="105" t="str">
        <f>IFERROR(__xludf.DUMMYFUNCTION("ARRAY_CONSTRAIN(
  ARRAYFORMULA(
    IF(
      'Final Report'!A1477="""",
      """",
      TEXTJOIN(
        "", "" &amp; CHAR(10),
        TRUE,
        IFERROR(
          VLOOKUP(
            TRIM(
              SPLIT('Final Report'!A1477, "","")
         "&amp;"   ),
            'URL Details'!A:B,
            2,
            FALSE
          ),
          """"
        )
      )
    )
  ),
  1,
  1
)
"),"")</f>
        <v/>
      </c>
      <c r="C1477" s="105" t="str">
        <f>IFERROR(__xludf.DUMMYFUNCTION("IFERROR(IF('Final Report'!A1477="""","""", TEXTJOIN(CHAR(10), TRUE, ARRAYFORMULA( ""• ""&amp; FILTER( TRIM(FLATTEN(SPLIT( REGEXREPLACE( SUBSTITUTE(TEXTJOIN("","", TRUE, IFERROR(ARRAYFORMULA(VLOOKUP(TRIM(SPLIT('Final Report'!A1477, "","")), 'URL Details'!A:D, "&amp;"4, FALSE)),"""") ), CHAR(10), "",""), ""\s*,\s*"", "",""), "",""))), TRIM(FLATTEN(SPLIT( REGEXREPLACE( SUBSTITUTE(TEXTJOIN("","", TRUE, IFERROR(ARRAYFORMULA(VLOOKUP(TRIM(SPLIT('Final Report'!A1477, "","")), 'URL Details'!A:D, 4, FALSE)),"""") ), CHAR(10),"&amp;" "",""), ""\s*,\s*"", "",""), "","")))&lt;&gt;"""" ) ) ) ),"""")
"),"")</f>
        <v/>
      </c>
      <c r="D1477" s="105"/>
      <c r="E1477" s="105"/>
      <c r="F1477" s="110" t="b">
        <v>0</v>
      </c>
      <c r="G1477" s="105" t="str">
        <f>IF(F1477=True, IFERROR(VLOOKUP(D1477, Repository!A:B, 2, 0), ""), "")</f>
        <v/>
      </c>
      <c r="H1477" s="105"/>
      <c r="I1477" s="105"/>
      <c r="J1477" s="105" t="str">
        <f>IF(F1477=True, IFERROR(VLOOKUP(D1477, Repository!A:C, 3, 0), ""), "")</f>
        <v/>
      </c>
      <c r="K1477" s="105"/>
      <c r="L1477" s="105" t="str">
        <f>IF(F1477=True, IFERROR(VLOOKUP(D1477, Repository!A:E, 5, 0), ""), "")</f>
        <v/>
      </c>
      <c r="M1477" s="105"/>
      <c r="N1477" s="105" t="str">
        <f>IF(F1477=True, IFERROR(VLOOKUP(D1477, Repository!A:G, 7, 0), ""), "")</f>
        <v/>
      </c>
      <c r="O1477" s="105" t="str">
        <f>IFERROR(__xludf.DUMMYFUNCTION("ARRAY_CONSTRAIN(
  ARRAYFORMULA(
    IFERROR(
      LET(
        list, N1477,
        arr, TRIM(SPLIT(list, "","")),
        names, XLOOKUP(
          arr,
          'Conformance Score'!A:A,
          'Conformance Score'!B:B,
          ""Not found""
     "&amp;"   ),
        TEXTJOIN("", "", TRUE, names)
      ),
      """"
    )
  ),
  1,
  1
)
"),"")</f>
        <v/>
      </c>
      <c r="P1477" s="105" t="str">
        <f>IF(F1477="Yes", IFERROR(VLOOKUP(D1477, Repository!A:F, 6, 0), ""), "")</f>
        <v/>
      </c>
      <c r="Q1477" s="105" t="str">
        <f>IF(F1477="Yes", IFERROR(VLOOKUP(D1477, Repository!A:I, 8, 0), ""), "")</f>
        <v/>
      </c>
      <c r="R1477" s="105" t="str">
        <f>IF(F1477="Yes", IFERROR(VLOOKUP(D1477, Repository!A:J, 9, 0), ""), "")</f>
        <v/>
      </c>
      <c r="S1477" s="105"/>
      <c r="T1477" s="105"/>
      <c r="U1477" s="105"/>
      <c r="V1477" s="105"/>
      <c r="W1477" s="105"/>
      <c r="X1477" s="105"/>
      <c r="Y1477" s="105"/>
      <c r="Z1477" s="105"/>
      <c r="AA1477" s="105"/>
      <c r="AB1477" s="105"/>
      <c r="AC1477" s="91"/>
      <c r="AD1477" s="105"/>
      <c r="AE1477" s="105"/>
      <c r="AF1477" s="91"/>
      <c r="AG1477" s="105"/>
      <c r="AH1477" s="105"/>
      <c r="AI1477" s="105" t="str">
        <f t="shared" si="1"/>
        <v/>
      </c>
      <c r="AJ1477" s="108" t="str">
        <f t="shared" si="2"/>
        <v/>
      </c>
    </row>
    <row r="1478" ht="15.75" customHeight="1">
      <c r="A1478" s="104"/>
      <c r="B1478" s="105" t="str">
        <f>IFERROR(__xludf.DUMMYFUNCTION("ARRAY_CONSTRAIN(
  ARRAYFORMULA(
    IF(
      'Final Report'!A1478="""",
      """",
      TEXTJOIN(
        "", "" &amp; CHAR(10),
        TRUE,
        IFERROR(
          VLOOKUP(
            TRIM(
              SPLIT('Final Report'!A1478, "","")
         "&amp;"   ),
            'URL Details'!A:B,
            2,
            FALSE
          ),
          """"
        )
      )
    )
  ),
  1,
  1
)
"),"")</f>
        <v/>
      </c>
      <c r="C1478" s="105" t="str">
        <f>IFERROR(__xludf.DUMMYFUNCTION("IFERROR(IF('Final Report'!A1478="""","""", TEXTJOIN(CHAR(10), TRUE, ARRAYFORMULA( ""• ""&amp; FILTER( TRIM(FLATTEN(SPLIT( REGEXREPLACE( SUBSTITUTE(TEXTJOIN("","", TRUE, IFERROR(ARRAYFORMULA(VLOOKUP(TRIM(SPLIT('Final Report'!A1478, "","")), 'URL Details'!A:D, "&amp;"4, FALSE)),"""") ), CHAR(10), "",""), ""\s*,\s*"", "",""), "",""))), TRIM(FLATTEN(SPLIT( REGEXREPLACE( SUBSTITUTE(TEXTJOIN("","", TRUE, IFERROR(ARRAYFORMULA(VLOOKUP(TRIM(SPLIT('Final Report'!A1478, "","")), 'URL Details'!A:D, 4, FALSE)),"""") ), CHAR(10),"&amp;" "",""), ""\s*,\s*"", "",""), "","")))&lt;&gt;"""" ) ) ) ),"""")
"),"")</f>
        <v/>
      </c>
      <c r="D1478" s="105"/>
      <c r="E1478" s="105"/>
      <c r="F1478" s="110" t="b">
        <v>0</v>
      </c>
      <c r="G1478" s="105" t="str">
        <f>IF(F1478=True, IFERROR(VLOOKUP(D1478, Repository!A:B, 2, 0), ""), "")</f>
        <v/>
      </c>
      <c r="H1478" s="105"/>
      <c r="I1478" s="105"/>
      <c r="J1478" s="105" t="str">
        <f>IF(F1478=True, IFERROR(VLOOKUP(D1478, Repository!A:C, 3, 0), ""), "")</f>
        <v/>
      </c>
      <c r="K1478" s="105"/>
      <c r="L1478" s="105" t="str">
        <f>IF(F1478=True, IFERROR(VLOOKUP(D1478, Repository!A:E, 5, 0), ""), "")</f>
        <v/>
      </c>
      <c r="M1478" s="105"/>
      <c r="N1478" s="105" t="str">
        <f>IF(F1478=True, IFERROR(VLOOKUP(D1478, Repository!A:G, 7, 0), ""), "")</f>
        <v/>
      </c>
      <c r="O1478" s="105" t="str">
        <f>IFERROR(__xludf.DUMMYFUNCTION("ARRAY_CONSTRAIN(
  ARRAYFORMULA(
    IFERROR(
      LET(
        list, N1478,
        arr, TRIM(SPLIT(list, "","")),
        names, XLOOKUP(
          arr,
          'Conformance Score'!A:A,
          'Conformance Score'!B:B,
          ""Not found""
     "&amp;"   ),
        TEXTJOIN("", "", TRUE, names)
      ),
      """"
    )
  ),
  1,
  1
)
"),"")</f>
        <v/>
      </c>
      <c r="P1478" s="105" t="str">
        <f>IF(F1478="Yes", IFERROR(VLOOKUP(D1478, Repository!A:F, 6, 0), ""), "")</f>
        <v/>
      </c>
      <c r="Q1478" s="105" t="str">
        <f>IF(F1478="Yes", IFERROR(VLOOKUP(D1478, Repository!A:I, 8, 0), ""), "")</f>
        <v/>
      </c>
      <c r="R1478" s="105" t="str">
        <f>IF(F1478="Yes", IFERROR(VLOOKUP(D1478, Repository!A:J, 9, 0), ""), "")</f>
        <v/>
      </c>
      <c r="S1478" s="105"/>
      <c r="T1478" s="105"/>
      <c r="U1478" s="105"/>
      <c r="V1478" s="105"/>
      <c r="W1478" s="105"/>
      <c r="X1478" s="105"/>
      <c r="Y1478" s="105"/>
      <c r="Z1478" s="105"/>
      <c r="AA1478" s="105"/>
      <c r="AB1478" s="105"/>
      <c r="AC1478" s="91"/>
      <c r="AD1478" s="105"/>
      <c r="AE1478" s="105"/>
      <c r="AF1478" s="91"/>
      <c r="AG1478" s="105"/>
      <c r="AH1478" s="105"/>
      <c r="AI1478" s="105" t="str">
        <f t="shared" si="1"/>
        <v/>
      </c>
      <c r="AJ1478" s="108" t="str">
        <f t="shared" si="2"/>
        <v/>
      </c>
    </row>
    <row r="1479" ht="15.75" customHeight="1">
      <c r="A1479" s="104"/>
      <c r="B1479" s="105" t="str">
        <f>IFERROR(__xludf.DUMMYFUNCTION("ARRAY_CONSTRAIN(
  ARRAYFORMULA(
    IF(
      'Final Report'!A1479="""",
      """",
      TEXTJOIN(
        "", "" &amp; CHAR(10),
        TRUE,
        IFERROR(
          VLOOKUP(
            TRIM(
              SPLIT('Final Report'!A1479, "","")
         "&amp;"   ),
            'URL Details'!A:B,
            2,
            FALSE
          ),
          """"
        )
      )
    )
  ),
  1,
  1
)
"),"")</f>
        <v/>
      </c>
      <c r="C1479" s="105" t="str">
        <f>IFERROR(__xludf.DUMMYFUNCTION("IFERROR(IF('Final Report'!A1479="""","""", TEXTJOIN(CHAR(10), TRUE, ARRAYFORMULA( ""• ""&amp; FILTER( TRIM(FLATTEN(SPLIT( REGEXREPLACE( SUBSTITUTE(TEXTJOIN("","", TRUE, IFERROR(ARRAYFORMULA(VLOOKUP(TRIM(SPLIT('Final Report'!A1479, "","")), 'URL Details'!A:D, "&amp;"4, FALSE)),"""") ), CHAR(10), "",""), ""\s*,\s*"", "",""), "",""))), TRIM(FLATTEN(SPLIT( REGEXREPLACE( SUBSTITUTE(TEXTJOIN("","", TRUE, IFERROR(ARRAYFORMULA(VLOOKUP(TRIM(SPLIT('Final Report'!A1479, "","")), 'URL Details'!A:D, 4, FALSE)),"""") ), CHAR(10),"&amp;" "",""), ""\s*,\s*"", "",""), "","")))&lt;&gt;"""" ) ) ) ),"""")
"),"")</f>
        <v/>
      </c>
      <c r="D1479" s="105"/>
      <c r="E1479" s="105"/>
      <c r="F1479" s="110" t="b">
        <v>0</v>
      </c>
      <c r="G1479" s="105" t="str">
        <f>IF(F1479=True, IFERROR(VLOOKUP(D1479, Repository!A:B, 2, 0), ""), "")</f>
        <v/>
      </c>
      <c r="H1479" s="105"/>
      <c r="I1479" s="105"/>
      <c r="J1479" s="105" t="str">
        <f>IF(F1479=True, IFERROR(VLOOKUP(D1479, Repository!A:C, 3, 0), ""), "")</f>
        <v/>
      </c>
      <c r="K1479" s="105"/>
      <c r="L1479" s="105" t="str">
        <f>IF(F1479=True, IFERROR(VLOOKUP(D1479, Repository!A:E, 5, 0), ""), "")</f>
        <v/>
      </c>
      <c r="M1479" s="105"/>
      <c r="N1479" s="105" t="str">
        <f>IF(F1479=True, IFERROR(VLOOKUP(D1479, Repository!A:G, 7, 0), ""), "")</f>
        <v/>
      </c>
      <c r="O1479" s="105" t="str">
        <f>IFERROR(__xludf.DUMMYFUNCTION("ARRAY_CONSTRAIN(
  ARRAYFORMULA(
    IFERROR(
      LET(
        list, N1479,
        arr, TRIM(SPLIT(list, "","")),
        names, XLOOKUP(
          arr,
          'Conformance Score'!A:A,
          'Conformance Score'!B:B,
          ""Not found""
     "&amp;"   ),
        TEXTJOIN("", "", TRUE, names)
      ),
      """"
    )
  ),
  1,
  1
)
"),"")</f>
        <v/>
      </c>
      <c r="P1479" s="105" t="str">
        <f>IF(F1479="Yes", IFERROR(VLOOKUP(D1479, Repository!A:F, 6, 0), ""), "")</f>
        <v/>
      </c>
      <c r="Q1479" s="105" t="str">
        <f>IF(F1479="Yes", IFERROR(VLOOKUP(D1479, Repository!A:I, 8, 0), ""), "")</f>
        <v/>
      </c>
      <c r="R1479" s="105" t="str">
        <f>IF(F1479="Yes", IFERROR(VLOOKUP(D1479, Repository!A:J, 9, 0), ""), "")</f>
        <v/>
      </c>
      <c r="S1479" s="105"/>
      <c r="T1479" s="105"/>
      <c r="U1479" s="105"/>
      <c r="V1479" s="105"/>
      <c r="W1479" s="105"/>
      <c r="X1479" s="105"/>
      <c r="Y1479" s="105"/>
      <c r="Z1479" s="105"/>
      <c r="AA1479" s="105"/>
      <c r="AB1479" s="105"/>
      <c r="AC1479" s="91"/>
      <c r="AD1479" s="105"/>
      <c r="AE1479" s="105"/>
      <c r="AF1479" s="91"/>
      <c r="AG1479" s="105"/>
      <c r="AH1479" s="105"/>
      <c r="AI1479" s="105" t="str">
        <f t="shared" si="1"/>
        <v/>
      </c>
      <c r="AJ1479" s="108" t="str">
        <f t="shared" si="2"/>
        <v/>
      </c>
    </row>
    <row r="1480" ht="15.75" customHeight="1">
      <c r="A1480" s="104"/>
      <c r="B1480" s="105" t="str">
        <f>IFERROR(__xludf.DUMMYFUNCTION("ARRAY_CONSTRAIN(
  ARRAYFORMULA(
    IF(
      'Final Report'!A1480="""",
      """",
      TEXTJOIN(
        "", "" &amp; CHAR(10),
        TRUE,
        IFERROR(
          VLOOKUP(
            TRIM(
              SPLIT('Final Report'!A1480, "","")
         "&amp;"   ),
            'URL Details'!A:B,
            2,
            FALSE
          ),
          """"
        )
      )
    )
  ),
  1,
  1
)
"),"")</f>
        <v/>
      </c>
      <c r="C1480" s="105" t="str">
        <f>IFERROR(__xludf.DUMMYFUNCTION("IFERROR(IF('Final Report'!A1480="""","""", TEXTJOIN(CHAR(10), TRUE, ARRAYFORMULA( ""• ""&amp; FILTER( TRIM(FLATTEN(SPLIT( REGEXREPLACE( SUBSTITUTE(TEXTJOIN("","", TRUE, IFERROR(ARRAYFORMULA(VLOOKUP(TRIM(SPLIT('Final Report'!A1480, "","")), 'URL Details'!A:D, "&amp;"4, FALSE)),"""") ), CHAR(10), "",""), ""\s*,\s*"", "",""), "",""))), TRIM(FLATTEN(SPLIT( REGEXREPLACE( SUBSTITUTE(TEXTJOIN("","", TRUE, IFERROR(ARRAYFORMULA(VLOOKUP(TRIM(SPLIT('Final Report'!A1480, "","")), 'URL Details'!A:D, 4, FALSE)),"""") ), CHAR(10),"&amp;" "",""), ""\s*,\s*"", "",""), "","")))&lt;&gt;"""" ) ) ) ),"""")
"),"")</f>
        <v/>
      </c>
      <c r="D1480" s="105"/>
      <c r="E1480" s="105"/>
      <c r="F1480" s="110" t="b">
        <v>0</v>
      </c>
      <c r="G1480" s="105" t="str">
        <f>IF(F1480=True, IFERROR(VLOOKUP(D1480, Repository!A:B, 2, 0), ""), "")</f>
        <v/>
      </c>
      <c r="H1480" s="105"/>
      <c r="I1480" s="105"/>
      <c r="J1480" s="105" t="str">
        <f>IF(F1480=True, IFERROR(VLOOKUP(D1480, Repository!A:C, 3, 0), ""), "")</f>
        <v/>
      </c>
      <c r="K1480" s="105"/>
      <c r="L1480" s="105" t="str">
        <f>IF(F1480=True, IFERROR(VLOOKUP(D1480, Repository!A:E, 5, 0), ""), "")</f>
        <v/>
      </c>
      <c r="M1480" s="105"/>
      <c r="N1480" s="105" t="str">
        <f>IF(F1480=True, IFERROR(VLOOKUP(D1480, Repository!A:G, 7, 0), ""), "")</f>
        <v/>
      </c>
      <c r="O1480" s="105" t="str">
        <f>IFERROR(__xludf.DUMMYFUNCTION("ARRAY_CONSTRAIN(
  ARRAYFORMULA(
    IFERROR(
      LET(
        list, N1480,
        arr, TRIM(SPLIT(list, "","")),
        names, XLOOKUP(
          arr,
          'Conformance Score'!A:A,
          'Conformance Score'!B:B,
          ""Not found""
     "&amp;"   ),
        TEXTJOIN("", "", TRUE, names)
      ),
      """"
    )
  ),
  1,
  1
)
"),"")</f>
        <v/>
      </c>
      <c r="P1480" s="105" t="str">
        <f>IF(F1480="Yes", IFERROR(VLOOKUP(D1480, Repository!A:F, 6, 0), ""), "")</f>
        <v/>
      </c>
      <c r="Q1480" s="105" t="str">
        <f>IF(F1480="Yes", IFERROR(VLOOKUP(D1480, Repository!A:I, 8, 0), ""), "")</f>
        <v/>
      </c>
      <c r="R1480" s="105" t="str">
        <f>IF(F1480="Yes", IFERROR(VLOOKUP(D1480, Repository!A:J, 9, 0), ""), "")</f>
        <v/>
      </c>
      <c r="S1480" s="105"/>
      <c r="T1480" s="105"/>
      <c r="U1480" s="105"/>
      <c r="V1480" s="105"/>
      <c r="W1480" s="105"/>
      <c r="X1480" s="105"/>
      <c r="Y1480" s="105"/>
      <c r="Z1480" s="105"/>
      <c r="AA1480" s="105"/>
      <c r="AB1480" s="105"/>
      <c r="AC1480" s="91"/>
      <c r="AD1480" s="105"/>
      <c r="AE1480" s="105"/>
      <c r="AF1480" s="91"/>
      <c r="AG1480" s="105"/>
      <c r="AH1480" s="105"/>
      <c r="AI1480" s="105" t="str">
        <f t="shared" si="1"/>
        <v/>
      </c>
      <c r="AJ1480" s="108" t="str">
        <f t="shared" si="2"/>
        <v/>
      </c>
    </row>
    <row r="1481" ht="15.75" customHeight="1">
      <c r="A1481" s="104"/>
      <c r="B1481" s="105" t="str">
        <f>IFERROR(__xludf.DUMMYFUNCTION("ARRAY_CONSTRAIN(
  ARRAYFORMULA(
    IF(
      'Final Report'!A1481="""",
      """",
      TEXTJOIN(
        "", "" &amp; CHAR(10),
        TRUE,
        IFERROR(
          VLOOKUP(
            TRIM(
              SPLIT('Final Report'!A1481, "","")
         "&amp;"   ),
            'URL Details'!A:B,
            2,
            FALSE
          ),
          """"
        )
      )
    )
  ),
  1,
  1
)
"),"")</f>
        <v/>
      </c>
      <c r="C1481" s="105" t="str">
        <f>IFERROR(__xludf.DUMMYFUNCTION("IFERROR(IF('Final Report'!A1481="""","""", TEXTJOIN(CHAR(10), TRUE, ARRAYFORMULA( ""• ""&amp; FILTER( TRIM(FLATTEN(SPLIT( REGEXREPLACE( SUBSTITUTE(TEXTJOIN("","", TRUE, IFERROR(ARRAYFORMULA(VLOOKUP(TRIM(SPLIT('Final Report'!A1481, "","")), 'URL Details'!A:D, "&amp;"4, FALSE)),"""") ), CHAR(10), "",""), ""\s*,\s*"", "",""), "",""))), TRIM(FLATTEN(SPLIT( REGEXREPLACE( SUBSTITUTE(TEXTJOIN("","", TRUE, IFERROR(ARRAYFORMULA(VLOOKUP(TRIM(SPLIT('Final Report'!A1481, "","")), 'URL Details'!A:D, 4, FALSE)),"""") ), CHAR(10),"&amp;" "",""), ""\s*,\s*"", "",""), "","")))&lt;&gt;"""" ) ) ) ),"""")
"),"")</f>
        <v/>
      </c>
      <c r="D1481" s="105"/>
      <c r="E1481" s="105"/>
      <c r="F1481" s="110" t="b">
        <v>0</v>
      </c>
      <c r="G1481" s="105" t="str">
        <f>IF(F1481=True, IFERROR(VLOOKUP(D1481, Repository!A:B, 2, 0), ""), "")</f>
        <v/>
      </c>
      <c r="H1481" s="105"/>
      <c r="I1481" s="105"/>
      <c r="J1481" s="105" t="str">
        <f>IF(F1481=True, IFERROR(VLOOKUP(D1481, Repository!A:C, 3, 0), ""), "")</f>
        <v/>
      </c>
      <c r="K1481" s="105"/>
      <c r="L1481" s="105" t="str">
        <f>IF(F1481=True, IFERROR(VLOOKUP(D1481, Repository!A:E, 5, 0), ""), "")</f>
        <v/>
      </c>
      <c r="M1481" s="105"/>
      <c r="N1481" s="105" t="str">
        <f>IF(F1481=True, IFERROR(VLOOKUP(D1481, Repository!A:G, 7, 0), ""), "")</f>
        <v/>
      </c>
      <c r="O1481" s="105" t="str">
        <f>IFERROR(__xludf.DUMMYFUNCTION("ARRAY_CONSTRAIN(
  ARRAYFORMULA(
    IFERROR(
      LET(
        list, N1481,
        arr, TRIM(SPLIT(list, "","")),
        names, XLOOKUP(
          arr,
          'Conformance Score'!A:A,
          'Conformance Score'!B:B,
          ""Not found""
     "&amp;"   ),
        TEXTJOIN("", "", TRUE, names)
      ),
      """"
    )
  ),
  1,
  1
)
"),"")</f>
        <v/>
      </c>
      <c r="P1481" s="105" t="str">
        <f>IF(F1481="Yes", IFERROR(VLOOKUP(D1481, Repository!A:F, 6, 0), ""), "")</f>
        <v/>
      </c>
      <c r="Q1481" s="105" t="str">
        <f>IF(F1481="Yes", IFERROR(VLOOKUP(D1481, Repository!A:I, 8, 0), ""), "")</f>
        <v/>
      </c>
      <c r="R1481" s="105" t="str">
        <f>IF(F1481="Yes", IFERROR(VLOOKUP(D1481, Repository!A:J, 9, 0), ""), "")</f>
        <v/>
      </c>
      <c r="S1481" s="105"/>
      <c r="T1481" s="105"/>
      <c r="U1481" s="105"/>
      <c r="V1481" s="105"/>
      <c r="W1481" s="105"/>
      <c r="X1481" s="105"/>
      <c r="Y1481" s="105"/>
      <c r="Z1481" s="105"/>
      <c r="AA1481" s="105"/>
      <c r="AB1481" s="105"/>
      <c r="AC1481" s="91"/>
      <c r="AD1481" s="105"/>
      <c r="AE1481" s="105"/>
      <c r="AF1481" s="91"/>
      <c r="AG1481" s="105"/>
      <c r="AH1481" s="105"/>
      <c r="AI1481" s="105" t="str">
        <f t="shared" si="1"/>
        <v/>
      </c>
      <c r="AJ1481" s="108" t="str">
        <f t="shared" si="2"/>
        <v/>
      </c>
    </row>
    <row r="1482" ht="15.75" customHeight="1">
      <c r="A1482" s="104"/>
      <c r="B1482" s="105" t="str">
        <f>IFERROR(__xludf.DUMMYFUNCTION("ARRAY_CONSTRAIN(
  ARRAYFORMULA(
    IF(
      'Final Report'!A1482="""",
      """",
      TEXTJOIN(
        "", "" &amp; CHAR(10),
        TRUE,
        IFERROR(
          VLOOKUP(
            TRIM(
              SPLIT('Final Report'!A1482, "","")
         "&amp;"   ),
            'URL Details'!A:B,
            2,
            FALSE
          ),
          """"
        )
      )
    )
  ),
  1,
  1
)
"),"")</f>
        <v/>
      </c>
      <c r="C1482" s="105" t="str">
        <f>IFERROR(__xludf.DUMMYFUNCTION("IFERROR(IF('Final Report'!A1482="""","""", TEXTJOIN(CHAR(10), TRUE, ARRAYFORMULA( ""• ""&amp; FILTER( TRIM(FLATTEN(SPLIT( REGEXREPLACE( SUBSTITUTE(TEXTJOIN("","", TRUE, IFERROR(ARRAYFORMULA(VLOOKUP(TRIM(SPLIT('Final Report'!A1482, "","")), 'URL Details'!A:D, "&amp;"4, FALSE)),"""") ), CHAR(10), "",""), ""\s*,\s*"", "",""), "",""))), TRIM(FLATTEN(SPLIT( REGEXREPLACE( SUBSTITUTE(TEXTJOIN("","", TRUE, IFERROR(ARRAYFORMULA(VLOOKUP(TRIM(SPLIT('Final Report'!A1482, "","")), 'URL Details'!A:D, 4, FALSE)),"""") ), CHAR(10),"&amp;" "",""), ""\s*,\s*"", "",""), "","")))&lt;&gt;"""" ) ) ) ),"""")
"),"")</f>
        <v/>
      </c>
      <c r="D1482" s="105"/>
      <c r="E1482" s="105"/>
      <c r="F1482" s="110" t="b">
        <v>0</v>
      </c>
      <c r="G1482" s="105" t="str">
        <f>IF(F1482=True, IFERROR(VLOOKUP(D1482, Repository!A:B, 2, 0), ""), "")</f>
        <v/>
      </c>
      <c r="H1482" s="105"/>
      <c r="I1482" s="105"/>
      <c r="J1482" s="105" t="str">
        <f>IF(F1482=True, IFERROR(VLOOKUP(D1482, Repository!A:C, 3, 0), ""), "")</f>
        <v/>
      </c>
      <c r="K1482" s="105"/>
      <c r="L1482" s="105" t="str">
        <f>IF(F1482=True, IFERROR(VLOOKUP(D1482, Repository!A:E, 5, 0), ""), "")</f>
        <v/>
      </c>
      <c r="M1482" s="105"/>
      <c r="N1482" s="105" t="str">
        <f>IF(F1482=True, IFERROR(VLOOKUP(D1482, Repository!A:G, 7, 0), ""), "")</f>
        <v/>
      </c>
      <c r="O1482" s="105" t="str">
        <f>IFERROR(__xludf.DUMMYFUNCTION("ARRAY_CONSTRAIN(
  ARRAYFORMULA(
    IFERROR(
      LET(
        list, N1482,
        arr, TRIM(SPLIT(list, "","")),
        names, XLOOKUP(
          arr,
          'Conformance Score'!A:A,
          'Conformance Score'!B:B,
          ""Not found""
     "&amp;"   ),
        TEXTJOIN("", "", TRUE, names)
      ),
      """"
    )
  ),
  1,
  1
)
"),"")</f>
        <v/>
      </c>
      <c r="P1482" s="105" t="str">
        <f>IF(F1482="Yes", IFERROR(VLOOKUP(D1482, Repository!A:F, 6, 0), ""), "")</f>
        <v/>
      </c>
      <c r="Q1482" s="105" t="str">
        <f>IF(F1482="Yes", IFERROR(VLOOKUP(D1482, Repository!A:I, 8, 0), ""), "")</f>
        <v/>
      </c>
      <c r="R1482" s="105" t="str">
        <f>IF(F1482="Yes", IFERROR(VLOOKUP(D1482, Repository!A:J, 9, 0), ""), "")</f>
        <v/>
      </c>
      <c r="S1482" s="105"/>
      <c r="T1482" s="105"/>
      <c r="U1482" s="105"/>
      <c r="V1482" s="105"/>
      <c r="W1482" s="105"/>
      <c r="X1482" s="105"/>
      <c r="Y1482" s="105"/>
      <c r="Z1482" s="105"/>
      <c r="AA1482" s="105"/>
      <c r="AB1482" s="105"/>
      <c r="AC1482" s="91"/>
      <c r="AD1482" s="105"/>
      <c r="AE1482" s="105"/>
      <c r="AF1482" s="91"/>
      <c r="AG1482" s="105"/>
      <c r="AH1482" s="105"/>
      <c r="AI1482" s="105" t="str">
        <f t="shared" si="1"/>
        <v/>
      </c>
      <c r="AJ1482" s="108" t="str">
        <f t="shared" si="2"/>
        <v/>
      </c>
    </row>
    <row r="1483" ht="15.75" customHeight="1">
      <c r="A1483" s="104"/>
      <c r="B1483" s="105" t="str">
        <f>IFERROR(__xludf.DUMMYFUNCTION("ARRAY_CONSTRAIN(
  ARRAYFORMULA(
    IF(
      'Final Report'!A1483="""",
      """",
      TEXTJOIN(
        "", "" &amp; CHAR(10),
        TRUE,
        IFERROR(
          VLOOKUP(
            TRIM(
              SPLIT('Final Report'!A1483, "","")
         "&amp;"   ),
            'URL Details'!A:B,
            2,
            FALSE
          ),
          """"
        )
      )
    )
  ),
  1,
  1
)
"),"")</f>
        <v/>
      </c>
      <c r="C1483" s="105" t="str">
        <f>IFERROR(__xludf.DUMMYFUNCTION("IFERROR(IF('Final Report'!A1483="""","""", TEXTJOIN(CHAR(10), TRUE, ARRAYFORMULA( ""• ""&amp; FILTER( TRIM(FLATTEN(SPLIT( REGEXREPLACE( SUBSTITUTE(TEXTJOIN("","", TRUE, IFERROR(ARRAYFORMULA(VLOOKUP(TRIM(SPLIT('Final Report'!A1483, "","")), 'URL Details'!A:D, "&amp;"4, FALSE)),"""") ), CHAR(10), "",""), ""\s*,\s*"", "",""), "",""))), TRIM(FLATTEN(SPLIT( REGEXREPLACE( SUBSTITUTE(TEXTJOIN("","", TRUE, IFERROR(ARRAYFORMULA(VLOOKUP(TRIM(SPLIT('Final Report'!A1483, "","")), 'URL Details'!A:D, 4, FALSE)),"""") ), CHAR(10),"&amp;" "",""), ""\s*,\s*"", "",""), "","")))&lt;&gt;"""" ) ) ) ),"""")
"),"")</f>
        <v/>
      </c>
      <c r="D1483" s="105"/>
      <c r="E1483" s="105"/>
      <c r="F1483" s="110" t="b">
        <v>0</v>
      </c>
      <c r="G1483" s="105" t="str">
        <f>IF(F1483=True, IFERROR(VLOOKUP(D1483, Repository!A:B, 2, 0), ""), "")</f>
        <v/>
      </c>
      <c r="H1483" s="105"/>
      <c r="I1483" s="105"/>
      <c r="J1483" s="105" t="str">
        <f>IF(F1483=True, IFERROR(VLOOKUP(D1483, Repository!A:C, 3, 0), ""), "")</f>
        <v/>
      </c>
      <c r="K1483" s="105"/>
      <c r="L1483" s="105" t="str">
        <f>IF(F1483=True, IFERROR(VLOOKUP(D1483, Repository!A:E, 5, 0), ""), "")</f>
        <v/>
      </c>
      <c r="M1483" s="105"/>
      <c r="N1483" s="105" t="str">
        <f>IF(F1483=True, IFERROR(VLOOKUP(D1483, Repository!A:G, 7, 0), ""), "")</f>
        <v/>
      </c>
      <c r="O1483" s="105" t="str">
        <f>IFERROR(__xludf.DUMMYFUNCTION("ARRAY_CONSTRAIN(
  ARRAYFORMULA(
    IFERROR(
      LET(
        list, N1483,
        arr, TRIM(SPLIT(list, "","")),
        names, XLOOKUP(
          arr,
          'Conformance Score'!A:A,
          'Conformance Score'!B:B,
          ""Not found""
     "&amp;"   ),
        TEXTJOIN("", "", TRUE, names)
      ),
      """"
    )
  ),
  1,
  1
)
"),"")</f>
        <v/>
      </c>
      <c r="P1483" s="105" t="str">
        <f>IF(F1483="Yes", IFERROR(VLOOKUP(D1483, Repository!A:F, 6, 0), ""), "")</f>
        <v/>
      </c>
      <c r="Q1483" s="105" t="str">
        <f>IF(F1483="Yes", IFERROR(VLOOKUP(D1483, Repository!A:I, 8, 0), ""), "")</f>
        <v/>
      </c>
      <c r="R1483" s="105" t="str">
        <f>IF(F1483="Yes", IFERROR(VLOOKUP(D1483, Repository!A:J, 9, 0), ""), "")</f>
        <v/>
      </c>
      <c r="S1483" s="105"/>
      <c r="T1483" s="105"/>
      <c r="U1483" s="105"/>
      <c r="V1483" s="105"/>
      <c r="W1483" s="105"/>
      <c r="X1483" s="105"/>
      <c r="Y1483" s="105"/>
      <c r="Z1483" s="105"/>
      <c r="AA1483" s="105"/>
      <c r="AB1483" s="105"/>
      <c r="AC1483" s="91"/>
      <c r="AD1483" s="105"/>
      <c r="AE1483" s="105"/>
      <c r="AF1483" s="91"/>
      <c r="AG1483" s="105"/>
      <c r="AH1483" s="105"/>
      <c r="AI1483" s="105" t="str">
        <f t="shared" si="1"/>
        <v/>
      </c>
      <c r="AJ1483" s="108" t="str">
        <f t="shared" si="2"/>
        <v/>
      </c>
    </row>
    <row r="1484" ht="15.75" customHeight="1">
      <c r="A1484" s="104"/>
      <c r="B1484" s="105" t="str">
        <f>IFERROR(__xludf.DUMMYFUNCTION("ARRAY_CONSTRAIN(
  ARRAYFORMULA(
    IF(
      'Final Report'!A1484="""",
      """",
      TEXTJOIN(
        "", "" &amp; CHAR(10),
        TRUE,
        IFERROR(
          VLOOKUP(
            TRIM(
              SPLIT('Final Report'!A1484, "","")
         "&amp;"   ),
            'URL Details'!A:B,
            2,
            FALSE
          ),
          """"
        )
      )
    )
  ),
  1,
  1
)
"),"")</f>
        <v/>
      </c>
      <c r="C1484" s="105" t="str">
        <f>IFERROR(__xludf.DUMMYFUNCTION("IFERROR(IF('Final Report'!A1484="""","""", TEXTJOIN(CHAR(10), TRUE, ARRAYFORMULA( ""• ""&amp; FILTER( TRIM(FLATTEN(SPLIT( REGEXREPLACE( SUBSTITUTE(TEXTJOIN("","", TRUE, IFERROR(ARRAYFORMULA(VLOOKUP(TRIM(SPLIT('Final Report'!A1484, "","")), 'URL Details'!A:D, "&amp;"4, FALSE)),"""") ), CHAR(10), "",""), ""\s*,\s*"", "",""), "",""))), TRIM(FLATTEN(SPLIT( REGEXREPLACE( SUBSTITUTE(TEXTJOIN("","", TRUE, IFERROR(ARRAYFORMULA(VLOOKUP(TRIM(SPLIT('Final Report'!A1484, "","")), 'URL Details'!A:D, 4, FALSE)),"""") ), CHAR(10),"&amp;" "",""), ""\s*,\s*"", "",""), "","")))&lt;&gt;"""" ) ) ) ),"""")
"),"")</f>
        <v/>
      </c>
      <c r="D1484" s="105"/>
      <c r="E1484" s="105"/>
      <c r="F1484" s="110" t="b">
        <v>0</v>
      </c>
      <c r="G1484" s="105" t="str">
        <f>IF(F1484=True, IFERROR(VLOOKUP(D1484, Repository!A:B, 2, 0), ""), "")</f>
        <v/>
      </c>
      <c r="H1484" s="105"/>
      <c r="I1484" s="105"/>
      <c r="J1484" s="105" t="str">
        <f>IF(F1484=True, IFERROR(VLOOKUP(D1484, Repository!A:C, 3, 0), ""), "")</f>
        <v/>
      </c>
      <c r="K1484" s="105"/>
      <c r="L1484" s="105" t="str">
        <f>IF(F1484=True, IFERROR(VLOOKUP(D1484, Repository!A:E, 5, 0), ""), "")</f>
        <v/>
      </c>
      <c r="M1484" s="105"/>
      <c r="N1484" s="105" t="str">
        <f>IF(F1484=True, IFERROR(VLOOKUP(D1484, Repository!A:G, 7, 0), ""), "")</f>
        <v/>
      </c>
      <c r="O1484" s="105" t="str">
        <f>IFERROR(__xludf.DUMMYFUNCTION("ARRAY_CONSTRAIN(
  ARRAYFORMULA(
    IFERROR(
      LET(
        list, N1484,
        arr, TRIM(SPLIT(list, "","")),
        names, XLOOKUP(
          arr,
          'Conformance Score'!A:A,
          'Conformance Score'!B:B,
          ""Not found""
     "&amp;"   ),
        TEXTJOIN("", "", TRUE, names)
      ),
      """"
    )
  ),
  1,
  1
)
"),"")</f>
        <v/>
      </c>
      <c r="P1484" s="105" t="str">
        <f>IF(F1484="Yes", IFERROR(VLOOKUP(D1484, Repository!A:F, 6, 0), ""), "")</f>
        <v/>
      </c>
      <c r="Q1484" s="105" t="str">
        <f>IF(F1484="Yes", IFERROR(VLOOKUP(D1484, Repository!A:I, 8, 0), ""), "")</f>
        <v/>
      </c>
      <c r="R1484" s="105" t="str">
        <f>IF(F1484="Yes", IFERROR(VLOOKUP(D1484, Repository!A:J, 9, 0), ""), "")</f>
        <v/>
      </c>
      <c r="S1484" s="105"/>
      <c r="T1484" s="105"/>
      <c r="U1484" s="105"/>
      <c r="V1484" s="105"/>
      <c r="W1484" s="105"/>
      <c r="X1484" s="105"/>
      <c r="Y1484" s="105"/>
      <c r="Z1484" s="105"/>
      <c r="AA1484" s="105"/>
      <c r="AB1484" s="105"/>
      <c r="AC1484" s="91"/>
      <c r="AD1484" s="105"/>
      <c r="AE1484" s="105"/>
      <c r="AF1484" s="91"/>
      <c r="AG1484" s="105"/>
      <c r="AH1484" s="105"/>
      <c r="AI1484" s="105" t="str">
        <f t="shared" si="1"/>
        <v/>
      </c>
      <c r="AJ1484" s="108" t="str">
        <f t="shared" si="2"/>
        <v/>
      </c>
    </row>
    <row r="1485" ht="15.75" customHeight="1">
      <c r="A1485" s="104"/>
      <c r="B1485" s="105" t="str">
        <f>IFERROR(__xludf.DUMMYFUNCTION("ARRAY_CONSTRAIN(
  ARRAYFORMULA(
    IF(
      'Final Report'!A1485="""",
      """",
      TEXTJOIN(
        "", "" &amp; CHAR(10),
        TRUE,
        IFERROR(
          VLOOKUP(
            TRIM(
              SPLIT('Final Report'!A1485, "","")
         "&amp;"   ),
            'URL Details'!A:B,
            2,
            FALSE
          ),
          """"
        )
      )
    )
  ),
  1,
  1
)
"),"")</f>
        <v/>
      </c>
      <c r="C1485" s="105" t="str">
        <f>IFERROR(__xludf.DUMMYFUNCTION("IFERROR(IF('Final Report'!A1485="""","""", TEXTJOIN(CHAR(10), TRUE, ARRAYFORMULA( ""• ""&amp; FILTER( TRIM(FLATTEN(SPLIT( REGEXREPLACE( SUBSTITUTE(TEXTJOIN("","", TRUE, IFERROR(ARRAYFORMULA(VLOOKUP(TRIM(SPLIT('Final Report'!A1485, "","")), 'URL Details'!A:D, "&amp;"4, FALSE)),"""") ), CHAR(10), "",""), ""\s*,\s*"", "",""), "",""))), TRIM(FLATTEN(SPLIT( REGEXREPLACE( SUBSTITUTE(TEXTJOIN("","", TRUE, IFERROR(ARRAYFORMULA(VLOOKUP(TRIM(SPLIT('Final Report'!A1485, "","")), 'URL Details'!A:D, 4, FALSE)),"""") ), CHAR(10),"&amp;" "",""), ""\s*,\s*"", "",""), "","")))&lt;&gt;"""" ) ) ) ),"""")
"),"")</f>
        <v/>
      </c>
      <c r="D1485" s="105"/>
      <c r="E1485" s="105"/>
      <c r="F1485" s="110" t="b">
        <v>0</v>
      </c>
      <c r="G1485" s="105" t="str">
        <f>IF(F1485=True, IFERROR(VLOOKUP(D1485, Repository!A:B, 2, 0), ""), "")</f>
        <v/>
      </c>
      <c r="H1485" s="105"/>
      <c r="I1485" s="105"/>
      <c r="J1485" s="105" t="str">
        <f>IF(F1485=True, IFERROR(VLOOKUP(D1485, Repository!A:C, 3, 0), ""), "")</f>
        <v/>
      </c>
      <c r="K1485" s="105"/>
      <c r="L1485" s="105" t="str">
        <f>IF(F1485=True, IFERROR(VLOOKUP(D1485, Repository!A:E, 5, 0), ""), "")</f>
        <v/>
      </c>
      <c r="M1485" s="105"/>
      <c r="N1485" s="105" t="str">
        <f>IF(F1485=True, IFERROR(VLOOKUP(D1485, Repository!A:G, 7, 0), ""), "")</f>
        <v/>
      </c>
      <c r="O1485" s="105" t="str">
        <f>IFERROR(__xludf.DUMMYFUNCTION("ARRAY_CONSTRAIN(
  ARRAYFORMULA(
    IFERROR(
      LET(
        list, N1485,
        arr, TRIM(SPLIT(list, "","")),
        names, XLOOKUP(
          arr,
          'Conformance Score'!A:A,
          'Conformance Score'!B:B,
          ""Not found""
     "&amp;"   ),
        TEXTJOIN("", "", TRUE, names)
      ),
      """"
    )
  ),
  1,
  1
)
"),"")</f>
        <v/>
      </c>
      <c r="P1485" s="105" t="str">
        <f>IF(F1485="Yes", IFERROR(VLOOKUP(D1485, Repository!A:F, 6, 0), ""), "")</f>
        <v/>
      </c>
      <c r="Q1485" s="105" t="str">
        <f>IF(F1485="Yes", IFERROR(VLOOKUP(D1485, Repository!A:I, 8, 0), ""), "")</f>
        <v/>
      </c>
      <c r="R1485" s="105" t="str">
        <f>IF(F1485="Yes", IFERROR(VLOOKUP(D1485, Repository!A:J, 9, 0), ""), "")</f>
        <v/>
      </c>
      <c r="S1485" s="105"/>
      <c r="T1485" s="105"/>
      <c r="U1485" s="105"/>
      <c r="V1485" s="105"/>
      <c r="W1485" s="105"/>
      <c r="X1485" s="105"/>
      <c r="Y1485" s="105"/>
      <c r="Z1485" s="105"/>
      <c r="AA1485" s="105"/>
      <c r="AB1485" s="105"/>
      <c r="AC1485" s="91"/>
      <c r="AD1485" s="105"/>
      <c r="AE1485" s="105"/>
      <c r="AF1485" s="91"/>
      <c r="AG1485" s="105"/>
      <c r="AH1485" s="105"/>
      <c r="AI1485" s="105" t="str">
        <f t="shared" si="1"/>
        <v/>
      </c>
      <c r="AJ1485" s="108" t="str">
        <f t="shared" si="2"/>
        <v/>
      </c>
    </row>
    <row r="1486" ht="15.75" customHeight="1">
      <c r="A1486" s="104"/>
      <c r="B1486" s="105" t="str">
        <f>IFERROR(__xludf.DUMMYFUNCTION("ARRAY_CONSTRAIN(
  ARRAYFORMULA(
    IF(
      'Final Report'!A1486="""",
      """",
      TEXTJOIN(
        "", "" &amp; CHAR(10),
        TRUE,
        IFERROR(
          VLOOKUP(
            TRIM(
              SPLIT('Final Report'!A1486, "","")
         "&amp;"   ),
            'URL Details'!A:B,
            2,
            FALSE
          ),
          """"
        )
      )
    )
  ),
  1,
  1
)
"),"")</f>
        <v/>
      </c>
      <c r="C1486" s="105" t="str">
        <f>IFERROR(__xludf.DUMMYFUNCTION("IFERROR(IF('Final Report'!A1486="""","""", TEXTJOIN(CHAR(10), TRUE, ARRAYFORMULA( ""• ""&amp; FILTER( TRIM(FLATTEN(SPLIT( REGEXREPLACE( SUBSTITUTE(TEXTJOIN("","", TRUE, IFERROR(ARRAYFORMULA(VLOOKUP(TRIM(SPLIT('Final Report'!A1486, "","")), 'URL Details'!A:D, "&amp;"4, FALSE)),"""") ), CHAR(10), "",""), ""\s*,\s*"", "",""), "",""))), TRIM(FLATTEN(SPLIT( REGEXREPLACE( SUBSTITUTE(TEXTJOIN("","", TRUE, IFERROR(ARRAYFORMULA(VLOOKUP(TRIM(SPLIT('Final Report'!A1486, "","")), 'URL Details'!A:D, 4, FALSE)),"""") ), CHAR(10),"&amp;" "",""), ""\s*,\s*"", "",""), "","")))&lt;&gt;"""" ) ) ) ),"""")
"),"")</f>
        <v/>
      </c>
      <c r="D1486" s="105"/>
      <c r="E1486" s="105"/>
      <c r="F1486" s="110" t="b">
        <v>0</v>
      </c>
      <c r="G1486" s="105" t="str">
        <f>IF(F1486=True, IFERROR(VLOOKUP(D1486, Repository!A:B, 2, 0), ""), "")</f>
        <v/>
      </c>
      <c r="H1486" s="105"/>
      <c r="I1486" s="105"/>
      <c r="J1486" s="105" t="str">
        <f>IF(F1486=True, IFERROR(VLOOKUP(D1486, Repository!A:C, 3, 0), ""), "")</f>
        <v/>
      </c>
      <c r="K1486" s="105"/>
      <c r="L1486" s="105" t="str">
        <f>IF(F1486=True, IFERROR(VLOOKUP(D1486, Repository!A:E, 5, 0), ""), "")</f>
        <v/>
      </c>
      <c r="M1486" s="105"/>
      <c r="N1486" s="105" t="str">
        <f>IF(F1486=True, IFERROR(VLOOKUP(D1486, Repository!A:G, 7, 0), ""), "")</f>
        <v/>
      </c>
      <c r="O1486" s="105" t="str">
        <f>IFERROR(__xludf.DUMMYFUNCTION("ARRAY_CONSTRAIN(
  ARRAYFORMULA(
    IFERROR(
      LET(
        list, N1486,
        arr, TRIM(SPLIT(list, "","")),
        names, XLOOKUP(
          arr,
          'Conformance Score'!A:A,
          'Conformance Score'!B:B,
          ""Not found""
     "&amp;"   ),
        TEXTJOIN("", "", TRUE, names)
      ),
      """"
    )
  ),
  1,
  1
)
"),"")</f>
        <v/>
      </c>
      <c r="P1486" s="105" t="str">
        <f>IF(F1486="Yes", IFERROR(VLOOKUP(D1486, Repository!A:F, 6, 0), ""), "")</f>
        <v/>
      </c>
      <c r="Q1486" s="105" t="str">
        <f>IF(F1486="Yes", IFERROR(VLOOKUP(D1486, Repository!A:I, 8, 0), ""), "")</f>
        <v/>
      </c>
      <c r="R1486" s="105" t="str">
        <f>IF(F1486="Yes", IFERROR(VLOOKUP(D1486, Repository!A:J, 9, 0), ""), "")</f>
        <v/>
      </c>
      <c r="S1486" s="105"/>
      <c r="T1486" s="105"/>
      <c r="U1486" s="105"/>
      <c r="V1486" s="105"/>
      <c r="W1486" s="105"/>
      <c r="X1486" s="105"/>
      <c r="Y1486" s="105"/>
      <c r="Z1486" s="105"/>
      <c r="AA1486" s="105"/>
      <c r="AB1486" s="105"/>
      <c r="AC1486" s="91"/>
      <c r="AD1486" s="105"/>
      <c r="AE1486" s="105"/>
      <c r="AF1486" s="91"/>
      <c r="AG1486" s="105"/>
      <c r="AH1486" s="105"/>
      <c r="AI1486" s="105" t="str">
        <f t="shared" si="1"/>
        <v/>
      </c>
      <c r="AJ1486" s="108" t="str">
        <f t="shared" si="2"/>
        <v/>
      </c>
    </row>
    <row r="1487" ht="15.75" customHeight="1">
      <c r="A1487" s="104"/>
      <c r="B1487" s="105" t="str">
        <f>IFERROR(__xludf.DUMMYFUNCTION("ARRAY_CONSTRAIN(
  ARRAYFORMULA(
    IF(
      'Final Report'!A1487="""",
      """",
      TEXTJOIN(
        "", "" &amp; CHAR(10),
        TRUE,
        IFERROR(
          VLOOKUP(
            TRIM(
              SPLIT('Final Report'!A1487, "","")
         "&amp;"   ),
            'URL Details'!A:B,
            2,
            FALSE
          ),
          """"
        )
      )
    )
  ),
  1,
  1
)
"),"")</f>
        <v/>
      </c>
      <c r="C1487" s="105" t="str">
        <f>IFERROR(__xludf.DUMMYFUNCTION("IFERROR(IF('Final Report'!A1487="""","""", TEXTJOIN(CHAR(10), TRUE, ARRAYFORMULA( ""• ""&amp; FILTER( TRIM(FLATTEN(SPLIT( REGEXREPLACE( SUBSTITUTE(TEXTJOIN("","", TRUE, IFERROR(ARRAYFORMULA(VLOOKUP(TRIM(SPLIT('Final Report'!A1487, "","")), 'URL Details'!A:D, "&amp;"4, FALSE)),"""") ), CHAR(10), "",""), ""\s*,\s*"", "",""), "",""))), TRIM(FLATTEN(SPLIT( REGEXREPLACE( SUBSTITUTE(TEXTJOIN("","", TRUE, IFERROR(ARRAYFORMULA(VLOOKUP(TRIM(SPLIT('Final Report'!A1487, "","")), 'URL Details'!A:D, 4, FALSE)),"""") ), CHAR(10),"&amp;" "",""), ""\s*,\s*"", "",""), "","")))&lt;&gt;"""" ) ) ) ),"""")
"),"")</f>
        <v/>
      </c>
      <c r="D1487" s="105"/>
      <c r="E1487" s="105"/>
      <c r="F1487" s="110" t="b">
        <v>0</v>
      </c>
      <c r="G1487" s="105" t="str">
        <f>IF(F1487=True, IFERROR(VLOOKUP(D1487, Repository!A:B, 2, 0), ""), "")</f>
        <v/>
      </c>
      <c r="H1487" s="105"/>
      <c r="I1487" s="105"/>
      <c r="J1487" s="105" t="str">
        <f>IF(F1487=True, IFERROR(VLOOKUP(D1487, Repository!A:C, 3, 0), ""), "")</f>
        <v/>
      </c>
      <c r="K1487" s="105"/>
      <c r="L1487" s="105" t="str">
        <f>IF(F1487=True, IFERROR(VLOOKUP(D1487, Repository!A:E, 5, 0), ""), "")</f>
        <v/>
      </c>
      <c r="M1487" s="105"/>
      <c r="N1487" s="105" t="str">
        <f>IF(F1487=True, IFERROR(VLOOKUP(D1487, Repository!A:G, 7, 0), ""), "")</f>
        <v/>
      </c>
      <c r="O1487" s="105" t="str">
        <f>IFERROR(__xludf.DUMMYFUNCTION("ARRAY_CONSTRAIN(
  ARRAYFORMULA(
    IFERROR(
      LET(
        list, N1487,
        arr, TRIM(SPLIT(list, "","")),
        names, XLOOKUP(
          arr,
          'Conformance Score'!A:A,
          'Conformance Score'!B:B,
          ""Not found""
     "&amp;"   ),
        TEXTJOIN("", "", TRUE, names)
      ),
      """"
    )
  ),
  1,
  1
)
"),"")</f>
        <v/>
      </c>
      <c r="P1487" s="105" t="str">
        <f>IF(F1487="Yes", IFERROR(VLOOKUP(D1487, Repository!A:F, 6, 0), ""), "")</f>
        <v/>
      </c>
      <c r="Q1487" s="105" t="str">
        <f>IF(F1487="Yes", IFERROR(VLOOKUP(D1487, Repository!A:I, 8, 0), ""), "")</f>
        <v/>
      </c>
      <c r="R1487" s="105" t="str">
        <f>IF(F1487="Yes", IFERROR(VLOOKUP(D1487, Repository!A:J, 9, 0), ""), "")</f>
        <v/>
      </c>
      <c r="S1487" s="105"/>
      <c r="T1487" s="105"/>
      <c r="U1487" s="105"/>
      <c r="V1487" s="105"/>
      <c r="W1487" s="105"/>
      <c r="X1487" s="105"/>
      <c r="Y1487" s="105"/>
      <c r="Z1487" s="105"/>
      <c r="AA1487" s="105"/>
      <c r="AB1487" s="105"/>
      <c r="AC1487" s="91"/>
      <c r="AD1487" s="105"/>
      <c r="AE1487" s="105"/>
      <c r="AF1487" s="91"/>
      <c r="AG1487" s="105"/>
      <c r="AH1487" s="105"/>
      <c r="AI1487" s="105" t="str">
        <f t="shared" si="1"/>
        <v/>
      </c>
      <c r="AJ1487" s="108" t="str">
        <f t="shared" si="2"/>
        <v/>
      </c>
    </row>
    <row r="1488" ht="15.75" customHeight="1">
      <c r="A1488" s="104"/>
      <c r="B1488" s="105" t="str">
        <f>IFERROR(__xludf.DUMMYFUNCTION("ARRAY_CONSTRAIN(
  ARRAYFORMULA(
    IF(
      'Final Report'!A1488="""",
      """",
      TEXTJOIN(
        "", "" &amp; CHAR(10),
        TRUE,
        IFERROR(
          VLOOKUP(
            TRIM(
              SPLIT('Final Report'!A1488, "","")
         "&amp;"   ),
            'URL Details'!A:B,
            2,
            FALSE
          ),
          """"
        )
      )
    )
  ),
  1,
  1
)
"),"")</f>
        <v/>
      </c>
      <c r="C1488" s="105" t="str">
        <f>IFERROR(__xludf.DUMMYFUNCTION("IFERROR(IF('Final Report'!A1488="""","""", TEXTJOIN(CHAR(10), TRUE, ARRAYFORMULA( ""• ""&amp; FILTER( TRIM(FLATTEN(SPLIT( REGEXREPLACE( SUBSTITUTE(TEXTJOIN("","", TRUE, IFERROR(ARRAYFORMULA(VLOOKUP(TRIM(SPLIT('Final Report'!A1488, "","")), 'URL Details'!A:D, "&amp;"4, FALSE)),"""") ), CHAR(10), "",""), ""\s*,\s*"", "",""), "",""))), TRIM(FLATTEN(SPLIT( REGEXREPLACE( SUBSTITUTE(TEXTJOIN("","", TRUE, IFERROR(ARRAYFORMULA(VLOOKUP(TRIM(SPLIT('Final Report'!A1488, "","")), 'URL Details'!A:D, 4, FALSE)),"""") ), CHAR(10),"&amp;" "",""), ""\s*,\s*"", "",""), "","")))&lt;&gt;"""" ) ) ) ),"""")
"),"")</f>
        <v/>
      </c>
      <c r="D1488" s="105"/>
      <c r="E1488" s="105"/>
      <c r="F1488" s="110" t="b">
        <v>0</v>
      </c>
      <c r="G1488" s="105" t="str">
        <f>IF(F1488=True, IFERROR(VLOOKUP(D1488, Repository!A:B, 2, 0), ""), "")</f>
        <v/>
      </c>
      <c r="H1488" s="105"/>
      <c r="I1488" s="105"/>
      <c r="J1488" s="105" t="str">
        <f>IF(F1488=True, IFERROR(VLOOKUP(D1488, Repository!A:C, 3, 0), ""), "")</f>
        <v/>
      </c>
      <c r="K1488" s="105"/>
      <c r="L1488" s="105" t="str">
        <f>IF(F1488=True, IFERROR(VLOOKUP(D1488, Repository!A:E, 5, 0), ""), "")</f>
        <v/>
      </c>
      <c r="M1488" s="105"/>
      <c r="N1488" s="105" t="str">
        <f>IF(F1488=True, IFERROR(VLOOKUP(D1488, Repository!A:G, 7, 0), ""), "")</f>
        <v/>
      </c>
      <c r="O1488" s="105" t="str">
        <f>IFERROR(__xludf.DUMMYFUNCTION("ARRAY_CONSTRAIN(
  ARRAYFORMULA(
    IFERROR(
      LET(
        list, N1488,
        arr, TRIM(SPLIT(list, "","")),
        names, XLOOKUP(
          arr,
          'Conformance Score'!A:A,
          'Conformance Score'!B:B,
          ""Not found""
     "&amp;"   ),
        TEXTJOIN("", "", TRUE, names)
      ),
      """"
    )
  ),
  1,
  1
)
"),"")</f>
        <v/>
      </c>
      <c r="P1488" s="105" t="str">
        <f>IF(F1488="Yes", IFERROR(VLOOKUP(D1488, Repository!A:F, 6, 0), ""), "")</f>
        <v/>
      </c>
      <c r="Q1488" s="105" t="str">
        <f>IF(F1488="Yes", IFERROR(VLOOKUP(D1488, Repository!A:I, 8, 0), ""), "")</f>
        <v/>
      </c>
      <c r="R1488" s="105" t="str">
        <f>IF(F1488="Yes", IFERROR(VLOOKUP(D1488, Repository!A:J, 9, 0), ""), "")</f>
        <v/>
      </c>
      <c r="S1488" s="105"/>
      <c r="T1488" s="105"/>
      <c r="U1488" s="105"/>
      <c r="V1488" s="105"/>
      <c r="W1488" s="105"/>
      <c r="X1488" s="105"/>
      <c r="Y1488" s="105"/>
      <c r="Z1488" s="105"/>
      <c r="AA1488" s="105"/>
      <c r="AB1488" s="105"/>
      <c r="AC1488" s="91"/>
      <c r="AD1488" s="105"/>
      <c r="AE1488" s="105"/>
      <c r="AF1488" s="91"/>
      <c r="AG1488" s="105"/>
      <c r="AH1488" s="105"/>
      <c r="AI1488" s="105" t="str">
        <f t="shared" si="1"/>
        <v/>
      </c>
      <c r="AJ1488" s="108" t="str">
        <f t="shared" si="2"/>
        <v/>
      </c>
    </row>
    <row r="1489" ht="15.75" customHeight="1">
      <c r="A1489" s="104"/>
      <c r="B1489" s="105" t="str">
        <f>IFERROR(__xludf.DUMMYFUNCTION("ARRAY_CONSTRAIN(
  ARRAYFORMULA(
    IF(
      'Final Report'!A1489="""",
      """",
      TEXTJOIN(
        "", "" &amp; CHAR(10),
        TRUE,
        IFERROR(
          VLOOKUP(
            TRIM(
              SPLIT('Final Report'!A1489, "","")
         "&amp;"   ),
            'URL Details'!A:B,
            2,
            FALSE
          ),
          """"
        )
      )
    )
  ),
  1,
  1
)
"),"")</f>
        <v/>
      </c>
      <c r="C1489" s="105" t="str">
        <f>IFERROR(__xludf.DUMMYFUNCTION("IFERROR(IF('Final Report'!A1489="""","""", TEXTJOIN(CHAR(10), TRUE, ARRAYFORMULA( ""• ""&amp; FILTER( TRIM(FLATTEN(SPLIT( REGEXREPLACE( SUBSTITUTE(TEXTJOIN("","", TRUE, IFERROR(ARRAYFORMULA(VLOOKUP(TRIM(SPLIT('Final Report'!A1489, "","")), 'URL Details'!A:D, "&amp;"4, FALSE)),"""") ), CHAR(10), "",""), ""\s*,\s*"", "",""), "",""))), TRIM(FLATTEN(SPLIT( REGEXREPLACE( SUBSTITUTE(TEXTJOIN("","", TRUE, IFERROR(ARRAYFORMULA(VLOOKUP(TRIM(SPLIT('Final Report'!A1489, "","")), 'URL Details'!A:D, 4, FALSE)),"""") ), CHAR(10),"&amp;" "",""), ""\s*,\s*"", "",""), "","")))&lt;&gt;"""" ) ) ) ),"""")
"),"")</f>
        <v/>
      </c>
      <c r="D1489" s="105"/>
      <c r="E1489" s="105"/>
      <c r="F1489" s="110" t="b">
        <v>0</v>
      </c>
      <c r="G1489" s="105" t="str">
        <f>IF(F1489=True, IFERROR(VLOOKUP(D1489, Repository!A:B, 2, 0), ""), "")</f>
        <v/>
      </c>
      <c r="H1489" s="105"/>
      <c r="I1489" s="105"/>
      <c r="J1489" s="105" t="str">
        <f>IF(F1489=True, IFERROR(VLOOKUP(D1489, Repository!A:C, 3, 0), ""), "")</f>
        <v/>
      </c>
      <c r="K1489" s="105"/>
      <c r="L1489" s="105" t="str">
        <f>IF(F1489=True, IFERROR(VLOOKUP(D1489, Repository!A:E, 5, 0), ""), "")</f>
        <v/>
      </c>
      <c r="M1489" s="105"/>
      <c r="N1489" s="105" t="str">
        <f>IF(F1489=True, IFERROR(VLOOKUP(D1489, Repository!A:G, 7, 0), ""), "")</f>
        <v/>
      </c>
      <c r="O1489" s="105" t="str">
        <f>IFERROR(__xludf.DUMMYFUNCTION("ARRAY_CONSTRAIN(
  ARRAYFORMULA(
    IFERROR(
      LET(
        list, N1489,
        arr, TRIM(SPLIT(list, "","")),
        names, XLOOKUP(
          arr,
          'Conformance Score'!A:A,
          'Conformance Score'!B:B,
          ""Not found""
     "&amp;"   ),
        TEXTJOIN("", "", TRUE, names)
      ),
      """"
    )
  ),
  1,
  1
)
"),"")</f>
        <v/>
      </c>
      <c r="P1489" s="105" t="str">
        <f>IF(F1489="Yes", IFERROR(VLOOKUP(D1489, Repository!A:F, 6, 0), ""), "")</f>
        <v/>
      </c>
      <c r="Q1489" s="105" t="str">
        <f>IF(F1489="Yes", IFERROR(VLOOKUP(D1489, Repository!A:I, 8, 0), ""), "")</f>
        <v/>
      </c>
      <c r="R1489" s="105" t="str">
        <f>IF(F1489="Yes", IFERROR(VLOOKUP(D1489, Repository!A:J, 9, 0), ""), "")</f>
        <v/>
      </c>
      <c r="S1489" s="105"/>
      <c r="T1489" s="105"/>
      <c r="U1489" s="105"/>
      <c r="V1489" s="105"/>
      <c r="W1489" s="105"/>
      <c r="X1489" s="105"/>
      <c r="Y1489" s="105"/>
      <c r="Z1489" s="105"/>
      <c r="AA1489" s="105"/>
      <c r="AB1489" s="105"/>
      <c r="AC1489" s="91"/>
      <c r="AD1489" s="105"/>
      <c r="AE1489" s="105"/>
      <c r="AF1489" s="91"/>
      <c r="AG1489" s="105"/>
      <c r="AH1489" s="105"/>
      <c r="AI1489" s="105" t="str">
        <f t="shared" si="1"/>
        <v/>
      </c>
      <c r="AJ1489" s="108" t="str">
        <f t="shared" si="2"/>
        <v/>
      </c>
    </row>
    <row r="1490" ht="15.75" customHeight="1">
      <c r="A1490" s="104"/>
      <c r="B1490" s="105" t="str">
        <f>IFERROR(__xludf.DUMMYFUNCTION("ARRAY_CONSTRAIN(
  ARRAYFORMULA(
    IF(
      'Final Report'!A1490="""",
      """",
      TEXTJOIN(
        "", "" &amp; CHAR(10),
        TRUE,
        IFERROR(
          VLOOKUP(
            TRIM(
              SPLIT('Final Report'!A1490, "","")
         "&amp;"   ),
            'URL Details'!A:B,
            2,
            FALSE
          ),
          """"
        )
      )
    )
  ),
  1,
  1
)
"),"")</f>
        <v/>
      </c>
      <c r="C1490" s="105" t="str">
        <f>IFERROR(__xludf.DUMMYFUNCTION("IFERROR(IF('Final Report'!A1490="""","""", TEXTJOIN(CHAR(10), TRUE, ARRAYFORMULA( ""• ""&amp; FILTER( TRIM(FLATTEN(SPLIT( REGEXREPLACE( SUBSTITUTE(TEXTJOIN("","", TRUE, IFERROR(ARRAYFORMULA(VLOOKUP(TRIM(SPLIT('Final Report'!A1490, "","")), 'URL Details'!A:D, "&amp;"4, FALSE)),"""") ), CHAR(10), "",""), ""\s*,\s*"", "",""), "",""))), TRIM(FLATTEN(SPLIT( REGEXREPLACE( SUBSTITUTE(TEXTJOIN("","", TRUE, IFERROR(ARRAYFORMULA(VLOOKUP(TRIM(SPLIT('Final Report'!A1490, "","")), 'URL Details'!A:D, 4, FALSE)),"""") ), CHAR(10),"&amp;" "",""), ""\s*,\s*"", "",""), "","")))&lt;&gt;"""" ) ) ) ),"""")
"),"")</f>
        <v/>
      </c>
      <c r="D1490" s="105"/>
      <c r="E1490" s="105"/>
      <c r="F1490" s="110" t="b">
        <v>0</v>
      </c>
      <c r="G1490" s="105" t="str">
        <f>IF(F1490=True, IFERROR(VLOOKUP(D1490, Repository!A:B, 2, 0), ""), "")</f>
        <v/>
      </c>
      <c r="H1490" s="105"/>
      <c r="I1490" s="105"/>
      <c r="J1490" s="105" t="str">
        <f>IF(F1490=True, IFERROR(VLOOKUP(D1490, Repository!A:C, 3, 0), ""), "")</f>
        <v/>
      </c>
      <c r="K1490" s="105"/>
      <c r="L1490" s="105" t="str">
        <f>IF(F1490=True, IFERROR(VLOOKUP(D1490, Repository!A:E, 5, 0), ""), "")</f>
        <v/>
      </c>
      <c r="M1490" s="105"/>
      <c r="N1490" s="105" t="str">
        <f>IF(F1490=True, IFERROR(VLOOKUP(D1490, Repository!A:G, 7, 0), ""), "")</f>
        <v/>
      </c>
      <c r="O1490" s="105" t="str">
        <f>IFERROR(__xludf.DUMMYFUNCTION("ARRAY_CONSTRAIN(
  ARRAYFORMULA(
    IFERROR(
      LET(
        list, N1490,
        arr, TRIM(SPLIT(list, "","")),
        names, XLOOKUP(
          arr,
          'Conformance Score'!A:A,
          'Conformance Score'!B:B,
          ""Not found""
     "&amp;"   ),
        TEXTJOIN("", "", TRUE, names)
      ),
      """"
    )
  ),
  1,
  1
)
"),"")</f>
        <v/>
      </c>
      <c r="P1490" s="105" t="str">
        <f>IF(F1490="Yes", IFERROR(VLOOKUP(D1490, Repository!A:F, 6, 0), ""), "")</f>
        <v/>
      </c>
      <c r="Q1490" s="105" t="str">
        <f>IF(F1490="Yes", IFERROR(VLOOKUP(D1490, Repository!A:I, 8, 0), ""), "")</f>
        <v/>
      </c>
      <c r="R1490" s="105" t="str">
        <f>IF(F1490="Yes", IFERROR(VLOOKUP(D1490, Repository!A:J, 9, 0), ""), "")</f>
        <v/>
      </c>
      <c r="S1490" s="105"/>
      <c r="T1490" s="105"/>
      <c r="U1490" s="105"/>
      <c r="V1490" s="105"/>
      <c r="W1490" s="105"/>
      <c r="X1490" s="105"/>
      <c r="Y1490" s="105"/>
      <c r="Z1490" s="105"/>
      <c r="AA1490" s="105"/>
      <c r="AB1490" s="105"/>
      <c r="AC1490" s="91"/>
      <c r="AD1490" s="105"/>
      <c r="AE1490" s="105"/>
      <c r="AF1490" s="91"/>
      <c r="AG1490" s="105"/>
      <c r="AH1490" s="105"/>
      <c r="AI1490" s="105" t="str">
        <f t="shared" si="1"/>
        <v/>
      </c>
      <c r="AJ1490" s="108" t="str">
        <f t="shared" si="2"/>
        <v/>
      </c>
    </row>
    <row r="1491" ht="15.75" customHeight="1">
      <c r="A1491" s="104"/>
      <c r="B1491" s="105" t="str">
        <f>IFERROR(__xludf.DUMMYFUNCTION("ARRAY_CONSTRAIN(
  ARRAYFORMULA(
    IF(
      'Final Report'!A1491="""",
      """",
      TEXTJOIN(
        "", "" &amp; CHAR(10),
        TRUE,
        IFERROR(
          VLOOKUP(
            TRIM(
              SPLIT('Final Report'!A1491, "","")
         "&amp;"   ),
            'URL Details'!A:B,
            2,
            FALSE
          ),
          """"
        )
      )
    )
  ),
  1,
  1
)
"),"")</f>
        <v/>
      </c>
      <c r="C1491" s="105" t="str">
        <f>IFERROR(__xludf.DUMMYFUNCTION("IFERROR(IF('Final Report'!A1491="""","""", TEXTJOIN(CHAR(10), TRUE, ARRAYFORMULA( ""• ""&amp; FILTER( TRIM(FLATTEN(SPLIT( REGEXREPLACE( SUBSTITUTE(TEXTJOIN("","", TRUE, IFERROR(ARRAYFORMULA(VLOOKUP(TRIM(SPLIT('Final Report'!A1491, "","")), 'URL Details'!A:D, "&amp;"4, FALSE)),"""") ), CHAR(10), "",""), ""\s*,\s*"", "",""), "",""))), TRIM(FLATTEN(SPLIT( REGEXREPLACE( SUBSTITUTE(TEXTJOIN("","", TRUE, IFERROR(ARRAYFORMULA(VLOOKUP(TRIM(SPLIT('Final Report'!A1491, "","")), 'URL Details'!A:D, 4, FALSE)),"""") ), CHAR(10),"&amp;" "",""), ""\s*,\s*"", "",""), "","")))&lt;&gt;"""" ) ) ) ),"""")
"),"")</f>
        <v/>
      </c>
      <c r="D1491" s="105"/>
      <c r="E1491" s="105"/>
      <c r="F1491" s="110" t="b">
        <v>0</v>
      </c>
      <c r="G1491" s="105" t="str">
        <f>IF(F1491=True, IFERROR(VLOOKUP(D1491, Repository!A:B, 2, 0), ""), "")</f>
        <v/>
      </c>
      <c r="H1491" s="105"/>
      <c r="I1491" s="105"/>
      <c r="J1491" s="105" t="str">
        <f>IF(F1491=True, IFERROR(VLOOKUP(D1491, Repository!A:C, 3, 0), ""), "")</f>
        <v/>
      </c>
      <c r="K1491" s="105"/>
      <c r="L1491" s="105" t="str">
        <f>IF(F1491=True, IFERROR(VLOOKUP(D1491, Repository!A:E, 5, 0), ""), "")</f>
        <v/>
      </c>
      <c r="M1491" s="105"/>
      <c r="N1491" s="105" t="str">
        <f>IF(F1491=True, IFERROR(VLOOKUP(D1491, Repository!A:G, 7, 0), ""), "")</f>
        <v/>
      </c>
      <c r="O1491" s="105" t="str">
        <f>IFERROR(__xludf.DUMMYFUNCTION("ARRAY_CONSTRAIN(
  ARRAYFORMULA(
    IFERROR(
      LET(
        list, N1491,
        arr, TRIM(SPLIT(list, "","")),
        names, XLOOKUP(
          arr,
          'Conformance Score'!A:A,
          'Conformance Score'!B:B,
          ""Not found""
     "&amp;"   ),
        TEXTJOIN("", "", TRUE, names)
      ),
      """"
    )
  ),
  1,
  1
)
"),"")</f>
        <v/>
      </c>
      <c r="P1491" s="105" t="str">
        <f>IF(F1491="Yes", IFERROR(VLOOKUP(D1491, Repository!A:F, 6, 0), ""), "")</f>
        <v/>
      </c>
      <c r="Q1491" s="105" t="str">
        <f>IF(F1491="Yes", IFERROR(VLOOKUP(D1491, Repository!A:I, 8, 0), ""), "")</f>
        <v/>
      </c>
      <c r="R1491" s="105" t="str">
        <f>IF(F1491="Yes", IFERROR(VLOOKUP(D1491, Repository!A:J, 9, 0), ""), "")</f>
        <v/>
      </c>
      <c r="S1491" s="105"/>
      <c r="T1491" s="105"/>
      <c r="U1491" s="105"/>
      <c r="V1491" s="105"/>
      <c r="W1491" s="105"/>
      <c r="X1491" s="105"/>
      <c r="Y1491" s="105"/>
      <c r="Z1491" s="105"/>
      <c r="AA1491" s="105"/>
      <c r="AB1491" s="105"/>
      <c r="AC1491" s="91"/>
      <c r="AD1491" s="105"/>
      <c r="AE1491" s="105"/>
      <c r="AF1491" s="91"/>
      <c r="AG1491" s="105"/>
      <c r="AH1491" s="105"/>
      <c r="AI1491" s="105" t="str">
        <f t="shared" si="1"/>
        <v/>
      </c>
      <c r="AJ1491" s="108" t="str">
        <f t="shared" si="2"/>
        <v/>
      </c>
    </row>
    <row r="1492" ht="15.75" customHeight="1">
      <c r="A1492" s="104"/>
      <c r="B1492" s="105" t="str">
        <f>IFERROR(__xludf.DUMMYFUNCTION("ARRAY_CONSTRAIN(
  ARRAYFORMULA(
    IF(
      'Final Report'!A1492="""",
      """",
      TEXTJOIN(
        "", "" &amp; CHAR(10),
        TRUE,
        IFERROR(
          VLOOKUP(
            TRIM(
              SPLIT('Final Report'!A1492, "","")
         "&amp;"   ),
            'URL Details'!A:B,
            2,
            FALSE
          ),
          """"
        )
      )
    )
  ),
  1,
  1
)
"),"")</f>
        <v/>
      </c>
      <c r="C1492" s="105" t="str">
        <f>IFERROR(__xludf.DUMMYFUNCTION("IFERROR(IF('Final Report'!A1492="""","""", TEXTJOIN(CHAR(10), TRUE, ARRAYFORMULA( ""• ""&amp; FILTER( TRIM(FLATTEN(SPLIT( REGEXREPLACE( SUBSTITUTE(TEXTJOIN("","", TRUE, IFERROR(ARRAYFORMULA(VLOOKUP(TRIM(SPLIT('Final Report'!A1492, "","")), 'URL Details'!A:D, "&amp;"4, FALSE)),"""") ), CHAR(10), "",""), ""\s*,\s*"", "",""), "",""))), TRIM(FLATTEN(SPLIT( REGEXREPLACE( SUBSTITUTE(TEXTJOIN("","", TRUE, IFERROR(ARRAYFORMULA(VLOOKUP(TRIM(SPLIT('Final Report'!A1492, "","")), 'URL Details'!A:D, 4, FALSE)),"""") ), CHAR(10),"&amp;" "",""), ""\s*,\s*"", "",""), "","")))&lt;&gt;"""" ) ) ) ),"""")
"),"")</f>
        <v/>
      </c>
      <c r="D1492" s="105"/>
      <c r="E1492" s="105"/>
      <c r="F1492" s="110" t="b">
        <v>0</v>
      </c>
      <c r="G1492" s="105" t="str">
        <f>IF(F1492=True, IFERROR(VLOOKUP(D1492, Repository!A:B, 2, 0), ""), "")</f>
        <v/>
      </c>
      <c r="H1492" s="105"/>
      <c r="I1492" s="105"/>
      <c r="J1492" s="105" t="str">
        <f>IF(F1492=True, IFERROR(VLOOKUP(D1492, Repository!A:C, 3, 0), ""), "")</f>
        <v/>
      </c>
      <c r="K1492" s="105"/>
      <c r="L1492" s="105" t="str">
        <f>IF(F1492=True, IFERROR(VLOOKUP(D1492, Repository!A:E, 5, 0), ""), "")</f>
        <v/>
      </c>
      <c r="M1492" s="105"/>
      <c r="N1492" s="105" t="str">
        <f>IF(F1492=True, IFERROR(VLOOKUP(D1492, Repository!A:G, 7, 0), ""), "")</f>
        <v/>
      </c>
      <c r="O1492" s="105" t="str">
        <f>IFERROR(__xludf.DUMMYFUNCTION("ARRAY_CONSTRAIN(
  ARRAYFORMULA(
    IFERROR(
      LET(
        list, N1492,
        arr, TRIM(SPLIT(list, "","")),
        names, XLOOKUP(
          arr,
          'Conformance Score'!A:A,
          'Conformance Score'!B:B,
          ""Not found""
     "&amp;"   ),
        TEXTJOIN("", "", TRUE, names)
      ),
      """"
    )
  ),
  1,
  1
)
"),"")</f>
        <v/>
      </c>
      <c r="P1492" s="105" t="str">
        <f>IF(F1492="Yes", IFERROR(VLOOKUP(D1492, Repository!A:F, 6, 0), ""), "")</f>
        <v/>
      </c>
      <c r="Q1492" s="105" t="str">
        <f>IF(F1492="Yes", IFERROR(VLOOKUP(D1492, Repository!A:I, 8, 0), ""), "")</f>
        <v/>
      </c>
      <c r="R1492" s="105" t="str">
        <f>IF(F1492="Yes", IFERROR(VLOOKUP(D1492, Repository!A:J, 9, 0), ""), "")</f>
        <v/>
      </c>
      <c r="S1492" s="105"/>
      <c r="T1492" s="105"/>
      <c r="U1492" s="105"/>
      <c r="V1492" s="105"/>
      <c r="W1492" s="105"/>
      <c r="X1492" s="105"/>
      <c r="Y1492" s="105"/>
      <c r="Z1492" s="105"/>
      <c r="AA1492" s="105"/>
      <c r="AB1492" s="105"/>
      <c r="AC1492" s="91"/>
      <c r="AD1492" s="105"/>
      <c r="AE1492" s="105"/>
      <c r="AF1492" s="91"/>
      <c r="AG1492" s="105"/>
      <c r="AH1492" s="105"/>
      <c r="AI1492" s="105" t="str">
        <f t="shared" si="1"/>
        <v/>
      </c>
      <c r="AJ1492" s="108" t="str">
        <f t="shared" si="2"/>
        <v/>
      </c>
    </row>
    <row r="1493" ht="15.75" customHeight="1">
      <c r="A1493" s="104"/>
      <c r="B1493" s="105" t="str">
        <f>IFERROR(__xludf.DUMMYFUNCTION("ARRAY_CONSTRAIN(
  ARRAYFORMULA(
    IF(
      'Final Report'!A1493="""",
      """",
      TEXTJOIN(
        "", "" &amp; CHAR(10),
        TRUE,
        IFERROR(
          VLOOKUP(
            TRIM(
              SPLIT('Final Report'!A1493, "","")
         "&amp;"   ),
            'URL Details'!A:B,
            2,
            FALSE
          ),
          """"
        )
      )
    )
  ),
  1,
  1
)
"),"")</f>
        <v/>
      </c>
      <c r="C1493" s="105" t="str">
        <f>IFERROR(__xludf.DUMMYFUNCTION("IFERROR(IF('Final Report'!A1493="""","""", TEXTJOIN(CHAR(10), TRUE, ARRAYFORMULA( ""• ""&amp; FILTER( TRIM(FLATTEN(SPLIT( REGEXREPLACE( SUBSTITUTE(TEXTJOIN("","", TRUE, IFERROR(ARRAYFORMULA(VLOOKUP(TRIM(SPLIT('Final Report'!A1493, "","")), 'URL Details'!A:D, "&amp;"4, FALSE)),"""") ), CHAR(10), "",""), ""\s*,\s*"", "",""), "",""))), TRIM(FLATTEN(SPLIT( REGEXREPLACE( SUBSTITUTE(TEXTJOIN("","", TRUE, IFERROR(ARRAYFORMULA(VLOOKUP(TRIM(SPLIT('Final Report'!A1493, "","")), 'URL Details'!A:D, 4, FALSE)),"""") ), CHAR(10),"&amp;" "",""), ""\s*,\s*"", "",""), "","")))&lt;&gt;"""" ) ) ) ),"""")
"),"")</f>
        <v/>
      </c>
      <c r="D1493" s="105"/>
      <c r="E1493" s="105"/>
      <c r="F1493" s="110" t="b">
        <v>0</v>
      </c>
      <c r="G1493" s="105" t="str">
        <f>IF(F1493=True, IFERROR(VLOOKUP(D1493, Repository!A:B, 2, 0), ""), "")</f>
        <v/>
      </c>
      <c r="H1493" s="105"/>
      <c r="I1493" s="105"/>
      <c r="J1493" s="105" t="str">
        <f>IF(F1493=True, IFERROR(VLOOKUP(D1493, Repository!A:C, 3, 0), ""), "")</f>
        <v/>
      </c>
      <c r="K1493" s="105"/>
      <c r="L1493" s="105" t="str">
        <f>IF(F1493=True, IFERROR(VLOOKUP(D1493, Repository!A:E, 5, 0), ""), "")</f>
        <v/>
      </c>
      <c r="M1493" s="105"/>
      <c r="N1493" s="105" t="str">
        <f>IF(F1493=True, IFERROR(VLOOKUP(D1493, Repository!A:G, 7, 0), ""), "")</f>
        <v/>
      </c>
      <c r="O1493" s="105" t="str">
        <f>IFERROR(__xludf.DUMMYFUNCTION("ARRAY_CONSTRAIN(
  ARRAYFORMULA(
    IFERROR(
      LET(
        list, N1493,
        arr, TRIM(SPLIT(list, "","")),
        names, XLOOKUP(
          arr,
          'Conformance Score'!A:A,
          'Conformance Score'!B:B,
          ""Not found""
     "&amp;"   ),
        TEXTJOIN("", "", TRUE, names)
      ),
      """"
    )
  ),
  1,
  1
)
"),"")</f>
        <v/>
      </c>
      <c r="P1493" s="105" t="str">
        <f>IF(F1493="Yes", IFERROR(VLOOKUP(D1493, Repository!A:F, 6, 0), ""), "")</f>
        <v/>
      </c>
      <c r="Q1493" s="105" t="str">
        <f>IF(F1493="Yes", IFERROR(VLOOKUP(D1493, Repository!A:I, 8, 0), ""), "")</f>
        <v/>
      </c>
      <c r="R1493" s="105" t="str">
        <f>IF(F1493="Yes", IFERROR(VLOOKUP(D1493, Repository!A:J, 9, 0), ""), "")</f>
        <v/>
      </c>
      <c r="S1493" s="105"/>
      <c r="T1493" s="105"/>
      <c r="U1493" s="105"/>
      <c r="V1493" s="105"/>
      <c r="W1493" s="105"/>
      <c r="X1493" s="105"/>
      <c r="Y1493" s="105"/>
      <c r="Z1493" s="105"/>
      <c r="AA1493" s="105"/>
      <c r="AB1493" s="105"/>
      <c r="AC1493" s="91"/>
      <c r="AD1493" s="105"/>
      <c r="AE1493" s="105"/>
      <c r="AF1493" s="91"/>
      <c r="AG1493" s="105"/>
      <c r="AH1493" s="105"/>
      <c r="AI1493" s="105" t="str">
        <f t="shared" si="1"/>
        <v/>
      </c>
      <c r="AJ1493" s="108" t="str">
        <f t="shared" si="2"/>
        <v/>
      </c>
    </row>
    <row r="1494" ht="15.75" customHeight="1">
      <c r="A1494" s="104"/>
      <c r="B1494" s="105" t="str">
        <f>IFERROR(__xludf.DUMMYFUNCTION("ARRAY_CONSTRAIN(
  ARRAYFORMULA(
    IF(
      'Final Report'!A1494="""",
      """",
      TEXTJOIN(
        "", "" &amp; CHAR(10),
        TRUE,
        IFERROR(
          VLOOKUP(
            TRIM(
              SPLIT('Final Report'!A1494, "","")
         "&amp;"   ),
            'URL Details'!A:B,
            2,
            FALSE
          ),
          """"
        )
      )
    )
  ),
  1,
  1
)
"),"")</f>
        <v/>
      </c>
      <c r="C1494" s="105" t="str">
        <f>IFERROR(__xludf.DUMMYFUNCTION("IFERROR(IF('Final Report'!A1494="""","""", TEXTJOIN(CHAR(10), TRUE, ARRAYFORMULA( ""• ""&amp; FILTER( TRIM(FLATTEN(SPLIT( REGEXREPLACE( SUBSTITUTE(TEXTJOIN("","", TRUE, IFERROR(ARRAYFORMULA(VLOOKUP(TRIM(SPLIT('Final Report'!A1494, "","")), 'URL Details'!A:D, "&amp;"4, FALSE)),"""") ), CHAR(10), "",""), ""\s*,\s*"", "",""), "",""))), TRIM(FLATTEN(SPLIT( REGEXREPLACE( SUBSTITUTE(TEXTJOIN("","", TRUE, IFERROR(ARRAYFORMULA(VLOOKUP(TRIM(SPLIT('Final Report'!A1494, "","")), 'URL Details'!A:D, 4, FALSE)),"""") ), CHAR(10),"&amp;" "",""), ""\s*,\s*"", "",""), "","")))&lt;&gt;"""" ) ) ) ),"""")
"),"")</f>
        <v/>
      </c>
      <c r="D1494" s="105"/>
      <c r="E1494" s="105"/>
      <c r="F1494" s="110" t="b">
        <v>0</v>
      </c>
      <c r="G1494" s="105" t="str">
        <f>IF(F1494=True, IFERROR(VLOOKUP(D1494, Repository!A:B, 2, 0), ""), "")</f>
        <v/>
      </c>
      <c r="H1494" s="105"/>
      <c r="I1494" s="105"/>
      <c r="J1494" s="105" t="str">
        <f>IF(F1494=True, IFERROR(VLOOKUP(D1494, Repository!A:C, 3, 0), ""), "")</f>
        <v/>
      </c>
      <c r="K1494" s="105"/>
      <c r="L1494" s="105" t="str">
        <f>IF(F1494=True, IFERROR(VLOOKUP(D1494, Repository!A:E, 5, 0), ""), "")</f>
        <v/>
      </c>
      <c r="M1494" s="105"/>
      <c r="N1494" s="105" t="str">
        <f>IF(F1494=True, IFERROR(VLOOKUP(D1494, Repository!A:G, 7, 0), ""), "")</f>
        <v/>
      </c>
      <c r="O1494" s="105" t="str">
        <f>IFERROR(__xludf.DUMMYFUNCTION("ARRAY_CONSTRAIN(
  ARRAYFORMULA(
    IFERROR(
      LET(
        list, N1494,
        arr, TRIM(SPLIT(list, "","")),
        names, XLOOKUP(
          arr,
          'Conformance Score'!A:A,
          'Conformance Score'!B:B,
          ""Not found""
     "&amp;"   ),
        TEXTJOIN("", "", TRUE, names)
      ),
      """"
    )
  ),
  1,
  1
)
"),"")</f>
        <v/>
      </c>
      <c r="P1494" s="105" t="str">
        <f>IF(F1494="Yes", IFERROR(VLOOKUP(D1494, Repository!A:F, 6, 0), ""), "")</f>
        <v/>
      </c>
      <c r="Q1494" s="105" t="str">
        <f>IF(F1494="Yes", IFERROR(VLOOKUP(D1494, Repository!A:I, 8, 0), ""), "")</f>
        <v/>
      </c>
      <c r="R1494" s="105" t="str">
        <f>IF(F1494="Yes", IFERROR(VLOOKUP(D1494, Repository!A:J, 9, 0), ""), "")</f>
        <v/>
      </c>
      <c r="S1494" s="105"/>
      <c r="T1494" s="105"/>
      <c r="U1494" s="105"/>
      <c r="V1494" s="105"/>
      <c r="W1494" s="105"/>
      <c r="X1494" s="105"/>
      <c r="Y1494" s="105"/>
      <c r="Z1494" s="105"/>
      <c r="AA1494" s="105"/>
      <c r="AB1494" s="105"/>
      <c r="AC1494" s="91"/>
      <c r="AD1494" s="105"/>
      <c r="AE1494" s="105"/>
      <c r="AF1494" s="91"/>
      <c r="AG1494" s="105"/>
      <c r="AH1494" s="105"/>
      <c r="AI1494" s="105" t="str">
        <f t="shared" si="1"/>
        <v/>
      </c>
      <c r="AJ1494" s="108" t="str">
        <f t="shared" si="2"/>
        <v/>
      </c>
    </row>
    <row r="1495" ht="15.75" customHeight="1">
      <c r="A1495" s="104"/>
      <c r="B1495" s="105" t="str">
        <f>IFERROR(__xludf.DUMMYFUNCTION("ARRAY_CONSTRAIN(
  ARRAYFORMULA(
    IF(
      'Final Report'!A1495="""",
      """",
      TEXTJOIN(
        "", "" &amp; CHAR(10),
        TRUE,
        IFERROR(
          VLOOKUP(
            TRIM(
              SPLIT('Final Report'!A1495, "","")
         "&amp;"   ),
            'URL Details'!A:B,
            2,
            FALSE
          ),
          """"
        )
      )
    )
  ),
  1,
  1
)
"),"")</f>
        <v/>
      </c>
      <c r="C1495" s="105" t="str">
        <f>IFERROR(__xludf.DUMMYFUNCTION("IFERROR(IF('Final Report'!A1495="""","""", TEXTJOIN(CHAR(10), TRUE, ARRAYFORMULA( ""• ""&amp; FILTER( TRIM(FLATTEN(SPLIT( REGEXREPLACE( SUBSTITUTE(TEXTJOIN("","", TRUE, IFERROR(ARRAYFORMULA(VLOOKUP(TRIM(SPLIT('Final Report'!A1495, "","")), 'URL Details'!A:D, "&amp;"4, FALSE)),"""") ), CHAR(10), "",""), ""\s*,\s*"", "",""), "",""))), TRIM(FLATTEN(SPLIT( REGEXREPLACE( SUBSTITUTE(TEXTJOIN("","", TRUE, IFERROR(ARRAYFORMULA(VLOOKUP(TRIM(SPLIT('Final Report'!A1495, "","")), 'URL Details'!A:D, 4, FALSE)),"""") ), CHAR(10),"&amp;" "",""), ""\s*,\s*"", "",""), "","")))&lt;&gt;"""" ) ) ) ),"""")
"),"")</f>
        <v/>
      </c>
      <c r="D1495" s="105"/>
      <c r="E1495" s="105"/>
      <c r="F1495" s="110" t="b">
        <v>0</v>
      </c>
      <c r="G1495" s="105" t="str">
        <f>IF(F1495=True, IFERROR(VLOOKUP(D1495, Repository!A:B, 2, 0), ""), "")</f>
        <v/>
      </c>
      <c r="H1495" s="105"/>
      <c r="I1495" s="105"/>
      <c r="J1495" s="105" t="str">
        <f>IF(F1495=True, IFERROR(VLOOKUP(D1495, Repository!A:C, 3, 0), ""), "")</f>
        <v/>
      </c>
      <c r="K1495" s="105"/>
      <c r="L1495" s="105" t="str">
        <f>IF(F1495=True, IFERROR(VLOOKUP(D1495, Repository!A:E, 5, 0), ""), "")</f>
        <v/>
      </c>
      <c r="M1495" s="105"/>
      <c r="N1495" s="105" t="str">
        <f>IF(F1495=True, IFERROR(VLOOKUP(D1495, Repository!A:G, 7, 0), ""), "")</f>
        <v/>
      </c>
      <c r="O1495" s="105" t="str">
        <f>IFERROR(__xludf.DUMMYFUNCTION("ARRAY_CONSTRAIN(
  ARRAYFORMULA(
    IFERROR(
      LET(
        list, N1495,
        arr, TRIM(SPLIT(list, "","")),
        names, XLOOKUP(
          arr,
          'Conformance Score'!A:A,
          'Conformance Score'!B:B,
          ""Not found""
     "&amp;"   ),
        TEXTJOIN("", "", TRUE, names)
      ),
      """"
    )
  ),
  1,
  1
)
"),"")</f>
        <v/>
      </c>
      <c r="P1495" s="105" t="str">
        <f>IF(F1495="Yes", IFERROR(VLOOKUP(D1495, Repository!A:F, 6, 0), ""), "")</f>
        <v/>
      </c>
      <c r="Q1495" s="105" t="str">
        <f>IF(F1495="Yes", IFERROR(VLOOKUP(D1495, Repository!A:I, 8, 0), ""), "")</f>
        <v/>
      </c>
      <c r="R1495" s="105" t="str">
        <f>IF(F1495="Yes", IFERROR(VLOOKUP(D1495, Repository!A:J, 9, 0), ""), "")</f>
        <v/>
      </c>
      <c r="S1495" s="105"/>
      <c r="T1495" s="105"/>
      <c r="U1495" s="105"/>
      <c r="V1495" s="105"/>
      <c r="W1495" s="105"/>
      <c r="X1495" s="105"/>
      <c r="Y1495" s="105"/>
      <c r="Z1495" s="105"/>
      <c r="AA1495" s="105"/>
      <c r="AB1495" s="105"/>
      <c r="AC1495" s="91"/>
      <c r="AD1495" s="105"/>
      <c r="AE1495" s="105"/>
      <c r="AF1495" s="91"/>
      <c r="AG1495" s="105"/>
      <c r="AH1495" s="105"/>
      <c r="AI1495" s="105" t="str">
        <f t="shared" si="1"/>
        <v/>
      </c>
      <c r="AJ1495" s="108" t="str">
        <f t="shared" si="2"/>
        <v/>
      </c>
    </row>
    <row r="1496" ht="15.75" customHeight="1">
      <c r="A1496" s="104"/>
      <c r="B1496" s="105" t="str">
        <f>IFERROR(__xludf.DUMMYFUNCTION("ARRAY_CONSTRAIN(
  ARRAYFORMULA(
    IF(
      'Final Report'!A1496="""",
      """",
      TEXTJOIN(
        "", "" &amp; CHAR(10),
        TRUE,
        IFERROR(
          VLOOKUP(
            TRIM(
              SPLIT('Final Report'!A1496, "","")
         "&amp;"   ),
            'URL Details'!A:B,
            2,
            FALSE
          ),
          """"
        )
      )
    )
  ),
  1,
  1
)
"),"")</f>
        <v/>
      </c>
      <c r="C1496" s="105" t="str">
        <f>IFERROR(__xludf.DUMMYFUNCTION("IFERROR(IF('Final Report'!A1496="""","""", TEXTJOIN(CHAR(10), TRUE, ARRAYFORMULA( ""• ""&amp; FILTER( TRIM(FLATTEN(SPLIT( REGEXREPLACE( SUBSTITUTE(TEXTJOIN("","", TRUE, IFERROR(ARRAYFORMULA(VLOOKUP(TRIM(SPLIT('Final Report'!A1496, "","")), 'URL Details'!A:D, "&amp;"4, FALSE)),"""") ), CHAR(10), "",""), ""\s*,\s*"", "",""), "",""))), TRIM(FLATTEN(SPLIT( REGEXREPLACE( SUBSTITUTE(TEXTJOIN("","", TRUE, IFERROR(ARRAYFORMULA(VLOOKUP(TRIM(SPLIT('Final Report'!A1496, "","")), 'URL Details'!A:D, 4, FALSE)),"""") ), CHAR(10),"&amp;" "",""), ""\s*,\s*"", "",""), "","")))&lt;&gt;"""" ) ) ) ),"""")
"),"")</f>
        <v/>
      </c>
      <c r="D1496" s="105"/>
      <c r="E1496" s="105"/>
      <c r="F1496" s="110" t="b">
        <v>0</v>
      </c>
      <c r="G1496" s="105" t="str">
        <f>IF(F1496=True, IFERROR(VLOOKUP(D1496, Repository!A:B, 2, 0), ""), "")</f>
        <v/>
      </c>
      <c r="H1496" s="105"/>
      <c r="I1496" s="105"/>
      <c r="J1496" s="105" t="str">
        <f>IF(F1496=True, IFERROR(VLOOKUP(D1496, Repository!A:C, 3, 0), ""), "")</f>
        <v/>
      </c>
      <c r="K1496" s="105"/>
      <c r="L1496" s="105" t="str">
        <f>IF(F1496=True, IFERROR(VLOOKUP(D1496, Repository!A:E, 5, 0), ""), "")</f>
        <v/>
      </c>
      <c r="M1496" s="105"/>
      <c r="N1496" s="105" t="str">
        <f>IF(F1496=True, IFERROR(VLOOKUP(D1496, Repository!A:G, 7, 0), ""), "")</f>
        <v/>
      </c>
      <c r="O1496" s="105" t="str">
        <f>IFERROR(__xludf.DUMMYFUNCTION("ARRAY_CONSTRAIN(
  ARRAYFORMULA(
    IFERROR(
      LET(
        list, N1496,
        arr, TRIM(SPLIT(list, "","")),
        names, XLOOKUP(
          arr,
          'Conformance Score'!A:A,
          'Conformance Score'!B:B,
          ""Not found""
     "&amp;"   ),
        TEXTJOIN("", "", TRUE, names)
      ),
      """"
    )
  ),
  1,
  1
)
"),"")</f>
        <v/>
      </c>
      <c r="P1496" s="105" t="str">
        <f>IF(F1496="Yes", IFERROR(VLOOKUP(D1496, Repository!A:F, 6, 0), ""), "")</f>
        <v/>
      </c>
      <c r="Q1496" s="105" t="str">
        <f>IF(F1496="Yes", IFERROR(VLOOKUP(D1496, Repository!A:I, 8, 0), ""), "")</f>
        <v/>
      </c>
      <c r="R1496" s="105" t="str">
        <f>IF(F1496="Yes", IFERROR(VLOOKUP(D1496, Repository!A:J, 9, 0), ""), "")</f>
        <v/>
      </c>
      <c r="S1496" s="105"/>
      <c r="T1496" s="105"/>
      <c r="U1496" s="105"/>
      <c r="V1496" s="105"/>
      <c r="W1496" s="105"/>
      <c r="X1496" s="105"/>
      <c r="Y1496" s="105"/>
      <c r="Z1496" s="105"/>
      <c r="AA1496" s="105"/>
      <c r="AB1496" s="105"/>
      <c r="AC1496" s="91"/>
      <c r="AD1496" s="105"/>
      <c r="AE1496" s="105"/>
      <c r="AF1496" s="91"/>
      <c r="AG1496" s="105"/>
      <c r="AH1496" s="105"/>
      <c r="AI1496" s="105" t="str">
        <f t="shared" si="1"/>
        <v/>
      </c>
      <c r="AJ1496" s="108" t="str">
        <f t="shared" si="2"/>
        <v/>
      </c>
    </row>
    <row r="1497" ht="15.75" customHeight="1">
      <c r="A1497" s="104"/>
      <c r="B1497" s="105" t="str">
        <f>IFERROR(__xludf.DUMMYFUNCTION("ARRAY_CONSTRAIN(
  ARRAYFORMULA(
    IF(
      'Final Report'!A1497="""",
      """",
      TEXTJOIN(
        "", "" &amp; CHAR(10),
        TRUE,
        IFERROR(
          VLOOKUP(
            TRIM(
              SPLIT('Final Report'!A1497, "","")
         "&amp;"   ),
            'URL Details'!A:B,
            2,
            FALSE
          ),
          """"
        )
      )
    )
  ),
  1,
  1
)
"),"")</f>
        <v/>
      </c>
      <c r="C1497" s="105" t="str">
        <f>IFERROR(__xludf.DUMMYFUNCTION("IFERROR(IF('Final Report'!A1497="""","""", TEXTJOIN(CHAR(10), TRUE, ARRAYFORMULA( ""• ""&amp; FILTER( TRIM(FLATTEN(SPLIT( REGEXREPLACE( SUBSTITUTE(TEXTJOIN("","", TRUE, IFERROR(ARRAYFORMULA(VLOOKUP(TRIM(SPLIT('Final Report'!A1497, "","")), 'URL Details'!A:D, "&amp;"4, FALSE)),"""") ), CHAR(10), "",""), ""\s*,\s*"", "",""), "",""))), TRIM(FLATTEN(SPLIT( REGEXREPLACE( SUBSTITUTE(TEXTJOIN("","", TRUE, IFERROR(ARRAYFORMULA(VLOOKUP(TRIM(SPLIT('Final Report'!A1497, "","")), 'URL Details'!A:D, 4, FALSE)),"""") ), CHAR(10),"&amp;" "",""), ""\s*,\s*"", "",""), "","")))&lt;&gt;"""" ) ) ) ),"""")
"),"")</f>
        <v/>
      </c>
      <c r="D1497" s="105"/>
      <c r="E1497" s="105"/>
      <c r="F1497" s="110" t="b">
        <v>0</v>
      </c>
      <c r="G1497" s="105" t="str">
        <f>IF(F1497=True, IFERROR(VLOOKUP(D1497, Repository!A:B, 2, 0), ""), "")</f>
        <v/>
      </c>
      <c r="H1497" s="105"/>
      <c r="I1497" s="105"/>
      <c r="J1497" s="105" t="str">
        <f>IF(F1497=True, IFERROR(VLOOKUP(D1497, Repository!A:C, 3, 0), ""), "")</f>
        <v/>
      </c>
      <c r="K1497" s="105"/>
      <c r="L1497" s="105" t="str">
        <f>IF(F1497=True, IFERROR(VLOOKUP(D1497, Repository!A:E, 5, 0), ""), "")</f>
        <v/>
      </c>
      <c r="M1497" s="105"/>
      <c r="N1497" s="105" t="str">
        <f>IF(F1497=True, IFERROR(VLOOKUP(D1497, Repository!A:G, 7, 0), ""), "")</f>
        <v/>
      </c>
      <c r="O1497" s="105" t="str">
        <f>IFERROR(__xludf.DUMMYFUNCTION("ARRAY_CONSTRAIN(
  ARRAYFORMULA(
    IFERROR(
      LET(
        list, N1497,
        arr, TRIM(SPLIT(list, "","")),
        names, XLOOKUP(
          arr,
          'Conformance Score'!A:A,
          'Conformance Score'!B:B,
          ""Not found""
     "&amp;"   ),
        TEXTJOIN("", "", TRUE, names)
      ),
      """"
    )
  ),
  1,
  1
)
"),"")</f>
        <v/>
      </c>
      <c r="P1497" s="105" t="str">
        <f>IF(F1497="Yes", IFERROR(VLOOKUP(D1497, Repository!A:F, 6, 0), ""), "")</f>
        <v/>
      </c>
      <c r="Q1497" s="105" t="str">
        <f>IF(F1497="Yes", IFERROR(VLOOKUP(D1497, Repository!A:I, 8, 0), ""), "")</f>
        <v/>
      </c>
      <c r="R1497" s="105" t="str">
        <f>IF(F1497="Yes", IFERROR(VLOOKUP(D1497, Repository!A:J, 9, 0), ""), "")</f>
        <v/>
      </c>
      <c r="S1497" s="105"/>
      <c r="T1497" s="105"/>
      <c r="U1497" s="105"/>
      <c r="V1497" s="105"/>
      <c r="W1497" s="105"/>
      <c r="X1497" s="105"/>
      <c r="Y1497" s="105"/>
      <c r="Z1497" s="105"/>
      <c r="AA1497" s="105"/>
      <c r="AB1497" s="105"/>
      <c r="AC1497" s="91"/>
      <c r="AD1497" s="105"/>
      <c r="AE1497" s="105"/>
      <c r="AF1497" s="91"/>
      <c r="AG1497" s="105"/>
      <c r="AH1497" s="105"/>
      <c r="AI1497" s="105" t="str">
        <f t="shared" si="1"/>
        <v/>
      </c>
      <c r="AJ1497" s="108" t="str">
        <f t="shared" si="2"/>
        <v/>
      </c>
    </row>
    <row r="1498" ht="15.75" customHeight="1">
      <c r="A1498" s="104"/>
      <c r="B1498" s="105" t="str">
        <f>IFERROR(__xludf.DUMMYFUNCTION("ARRAY_CONSTRAIN(
  ARRAYFORMULA(
    IF(
      'Final Report'!A1498="""",
      """",
      TEXTJOIN(
        "", "" &amp; CHAR(10),
        TRUE,
        IFERROR(
          VLOOKUP(
            TRIM(
              SPLIT('Final Report'!A1498, "","")
         "&amp;"   ),
            'URL Details'!A:B,
            2,
            FALSE
          ),
          """"
        )
      )
    )
  ),
  1,
  1
)
"),"")</f>
        <v/>
      </c>
      <c r="C1498" s="105" t="str">
        <f>IFERROR(__xludf.DUMMYFUNCTION("IFERROR(IF('Final Report'!A1498="""","""", TEXTJOIN(CHAR(10), TRUE, ARRAYFORMULA( ""• ""&amp; FILTER( TRIM(FLATTEN(SPLIT( REGEXREPLACE( SUBSTITUTE(TEXTJOIN("","", TRUE, IFERROR(ARRAYFORMULA(VLOOKUP(TRIM(SPLIT('Final Report'!A1498, "","")), 'URL Details'!A:D, "&amp;"4, FALSE)),"""") ), CHAR(10), "",""), ""\s*,\s*"", "",""), "",""))), TRIM(FLATTEN(SPLIT( REGEXREPLACE( SUBSTITUTE(TEXTJOIN("","", TRUE, IFERROR(ARRAYFORMULA(VLOOKUP(TRIM(SPLIT('Final Report'!A1498, "","")), 'URL Details'!A:D, 4, FALSE)),"""") ), CHAR(10),"&amp;" "",""), ""\s*,\s*"", "",""), "","")))&lt;&gt;"""" ) ) ) ),"""")
"),"")</f>
        <v/>
      </c>
      <c r="D1498" s="105"/>
      <c r="E1498" s="105"/>
      <c r="F1498" s="110" t="b">
        <v>0</v>
      </c>
      <c r="G1498" s="105" t="str">
        <f>IF(F1498=True, IFERROR(VLOOKUP(D1498, Repository!A:B, 2, 0), ""), "")</f>
        <v/>
      </c>
      <c r="H1498" s="105"/>
      <c r="I1498" s="105"/>
      <c r="J1498" s="105" t="str">
        <f>IF(F1498=True, IFERROR(VLOOKUP(D1498, Repository!A:C, 3, 0), ""), "")</f>
        <v/>
      </c>
      <c r="K1498" s="105"/>
      <c r="L1498" s="105" t="str">
        <f>IF(F1498=True, IFERROR(VLOOKUP(D1498, Repository!A:E, 5, 0), ""), "")</f>
        <v/>
      </c>
      <c r="M1498" s="105"/>
      <c r="N1498" s="105" t="str">
        <f>IF(F1498=True, IFERROR(VLOOKUP(D1498, Repository!A:G, 7, 0), ""), "")</f>
        <v/>
      </c>
      <c r="O1498" s="105" t="str">
        <f>IFERROR(__xludf.DUMMYFUNCTION("ARRAY_CONSTRAIN(
  ARRAYFORMULA(
    IFERROR(
      LET(
        list, N1498,
        arr, TRIM(SPLIT(list, "","")),
        names, XLOOKUP(
          arr,
          'Conformance Score'!A:A,
          'Conformance Score'!B:B,
          ""Not found""
     "&amp;"   ),
        TEXTJOIN("", "", TRUE, names)
      ),
      """"
    )
  ),
  1,
  1
)
"),"")</f>
        <v/>
      </c>
      <c r="P1498" s="105" t="str">
        <f>IF(F1498="Yes", IFERROR(VLOOKUP(D1498, Repository!A:F, 6, 0), ""), "")</f>
        <v/>
      </c>
      <c r="Q1498" s="105" t="str">
        <f>IF(F1498="Yes", IFERROR(VLOOKUP(D1498, Repository!A:I, 8, 0), ""), "")</f>
        <v/>
      </c>
      <c r="R1498" s="105" t="str">
        <f>IF(F1498="Yes", IFERROR(VLOOKUP(D1498, Repository!A:J, 9, 0), ""), "")</f>
        <v/>
      </c>
      <c r="S1498" s="105"/>
      <c r="T1498" s="105"/>
      <c r="U1498" s="105"/>
      <c r="V1498" s="105"/>
      <c r="W1498" s="105"/>
      <c r="X1498" s="105"/>
      <c r="Y1498" s="105"/>
      <c r="Z1498" s="105"/>
      <c r="AA1498" s="105"/>
      <c r="AB1498" s="105"/>
      <c r="AC1498" s="91"/>
      <c r="AD1498" s="105"/>
      <c r="AE1498" s="105"/>
      <c r="AF1498" s="91"/>
      <c r="AG1498" s="105"/>
      <c r="AH1498" s="105"/>
      <c r="AI1498" s="105" t="str">
        <f t="shared" si="1"/>
        <v/>
      </c>
      <c r="AJ1498" s="108" t="str">
        <f t="shared" si="2"/>
        <v/>
      </c>
    </row>
    <row r="1499" ht="15.75" customHeight="1">
      <c r="A1499" s="104"/>
      <c r="B1499" s="105" t="str">
        <f>IFERROR(__xludf.DUMMYFUNCTION("ARRAY_CONSTRAIN(
  ARRAYFORMULA(
    IF(
      'Final Report'!A1499="""",
      """",
      TEXTJOIN(
        "", "" &amp; CHAR(10),
        TRUE,
        IFERROR(
          VLOOKUP(
            TRIM(
              SPLIT('Final Report'!A1499, "","")
         "&amp;"   ),
            'URL Details'!A:B,
            2,
            FALSE
          ),
          """"
        )
      )
    )
  ),
  1,
  1
)
"),"")</f>
        <v/>
      </c>
      <c r="C1499" s="105" t="str">
        <f>IFERROR(__xludf.DUMMYFUNCTION("IFERROR(IF('Final Report'!A1499="""","""", TEXTJOIN(CHAR(10), TRUE, ARRAYFORMULA( ""• ""&amp; FILTER( TRIM(FLATTEN(SPLIT( REGEXREPLACE( SUBSTITUTE(TEXTJOIN("","", TRUE, IFERROR(ARRAYFORMULA(VLOOKUP(TRIM(SPLIT('Final Report'!A1499, "","")), 'URL Details'!A:D, "&amp;"4, FALSE)),"""") ), CHAR(10), "",""), ""\s*,\s*"", "",""), "",""))), TRIM(FLATTEN(SPLIT( REGEXREPLACE( SUBSTITUTE(TEXTJOIN("","", TRUE, IFERROR(ARRAYFORMULA(VLOOKUP(TRIM(SPLIT('Final Report'!A1499, "","")), 'URL Details'!A:D, 4, FALSE)),"""") ), CHAR(10),"&amp;" "",""), ""\s*,\s*"", "",""), "","")))&lt;&gt;"""" ) ) ) ),"""")
"),"")</f>
        <v/>
      </c>
      <c r="D1499" s="105"/>
      <c r="E1499" s="105"/>
      <c r="F1499" s="110" t="b">
        <v>0</v>
      </c>
      <c r="G1499" s="105" t="str">
        <f>IF(F1499=True, IFERROR(VLOOKUP(D1499, Repository!A:B, 2, 0), ""), "")</f>
        <v/>
      </c>
      <c r="H1499" s="105"/>
      <c r="I1499" s="105"/>
      <c r="J1499" s="105" t="str">
        <f>IF(F1499=True, IFERROR(VLOOKUP(D1499, Repository!A:C, 3, 0), ""), "")</f>
        <v/>
      </c>
      <c r="K1499" s="105"/>
      <c r="L1499" s="105" t="str">
        <f>IF(F1499=True, IFERROR(VLOOKUP(D1499, Repository!A:E, 5, 0), ""), "")</f>
        <v/>
      </c>
      <c r="M1499" s="105"/>
      <c r="N1499" s="105" t="str">
        <f>IF(F1499=True, IFERROR(VLOOKUP(D1499, Repository!A:G, 7, 0), ""), "")</f>
        <v/>
      </c>
      <c r="O1499" s="105" t="str">
        <f>IFERROR(__xludf.DUMMYFUNCTION("ARRAY_CONSTRAIN(
  ARRAYFORMULA(
    IFERROR(
      LET(
        list, N1499,
        arr, TRIM(SPLIT(list, "","")),
        names, XLOOKUP(
          arr,
          'Conformance Score'!A:A,
          'Conformance Score'!B:B,
          ""Not found""
     "&amp;"   ),
        TEXTJOIN("", "", TRUE, names)
      ),
      """"
    )
  ),
  1,
  1
)
"),"")</f>
        <v/>
      </c>
      <c r="P1499" s="105" t="str">
        <f>IF(F1499="Yes", IFERROR(VLOOKUP(D1499, Repository!A:F, 6, 0), ""), "")</f>
        <v/>
      </c>
      <c r="Q1499" s="105" t="str">
        <f>IF(F1499="Yes", IFERROR(VLOOKUP(D1499, Repository!A:I, 8, 0), ""), "")</f>
        <v/>
      </c>
      <c r="R1499" s="105" t="str">
        <f>IF(F1499="Yes", IFERROR(VLOOKUP(D1499, Repository!A:J, 9, 0), ""), "")</f>
        <v/>
      </c>
      <c r="S1499" s="105"/>
      <c r="T1499" s="105"/>
      <c r="U1499" s="105"/>
      <c r="V1499" s="105"/>
      <c r="W1499" s="105"/>
      <c r="X1499" s="105"/>
      <c r="Y1499" s="105"/>
      <c r="Z1499" s="105"/>
      <c r="AA1499" s="105"/>
      <c r="AB1499" s="105"/>
      <c r="AC1499" s="91"/>
      <c r="AD1499" s="105"/>
      <c r="AE1499" s="105"/>
      <c r="AF1499" s="91"/>
      <c r="AG1499" s="105"/>
      <c r="AH1499" s="105"/>
      <c r="AI1499" s="105" t="str">
        <f t="shared" si="1"/>
        <v/>
      </c>
      <c r="AJ1499" s="108" t="str">
        <f t="shared" si="2"/>
        <v/>
      </c>
    </row>
    <row r="1500" ht="15.75" customHeight="1">
      <c r="A1500" s="104"/>
      <c r="B1500" s="105" t="str">
        <f>IFERROR(__xludf.DUMMYFUNCTION("ARRAY_CONSTRAIN(
  ARRAYFORMULA(
    IF(
      'Final Report'!A1500="""",
      """",
      TEXTJOIN(
        "", "" &amp; CHAR(10),
        TRUE,
        IFERROR(
          VLOOKUP(
            TRIM(
              SPLIT('Final Report'!A1500, "","")
         "&amp;"   ),
            'URL Details'!A:B,
            2,
            FALSE
          ),
          """"
        )
      )
    )
  ),
  1,
  1
)
"),"")</f>
        <v/>
      </c>
      <c r="C1500" s="105" t="str">
        <f>IFERROR(__xludf.DUMMYFUNCTION("IFERROR(IF('Final Report'!A1500="""","""", TEXTJOIN(CHAR(10), TRUE, ARRAYFORMULA( ""• ""&amp; FILTER( TRIM(FLATTEN(SPLIT( REGEXREPLACE( SUBSTITUTE(TEXTJOIN("","", TRUE, IFERROR(ARRAYFORMULA(VLOOKUP(TRIM(SPLIT('Final Report'!A1500, "","")), 'URL Details'!A:D, "&amp;"4, FALSE)),"""") ), CHAR(10), "",""), ""\s*,\s*"", "",""), "",""))), TRIM(FLATTEN(SPLIT( REGEXREPLACE( SUBSTITUTE(TEXTJOIN("","", TRUE, IFERROR(ARRAYFORMULA(VLOOKUP(TRIM(SPLIT('Final Report'!A1500, "","")), 'URL Details'!A:D, 4, FALSE)),"""") ), CHAR(10),"&amp;" "",""), ""\s*,\s*"", "",""), "","")))&lt;&gt;"""" ) ) ) ),"""")
"),"")</f>
        <v/>
      </c>
      <c r="D1500" s="105"/>
      <c r="E1500" s="105"/>
      <c r="F1500" s="110" t="b">
        <v>0</v>
      </c>
      <c r="G1500" s="105" t="str">
        <f>IF(F1500=True, IFERROR(VLOOKUP(D1500, Repository!A:B, 2, 0), ""), "")</f>
        <v/>
      </c>
      <c r="H1500" s="105"/>
      <c r="I1500" s="105"/>
      <c r="J1500" s="105" t="str">
        <f>IF(F1500=True, IFERROR(VLOOKUP(D1500, Repository!A:C, 3, 0), ""), "")</f>
        <v/>
      </c>
      <c r="K1500" s="105"/>
      <c r="L1500" s="105" t="str">
        <f>IF(F1500=True, IFERROR(VLOOKUP(D1500, Repository!A:E, 5, 0), ""), "")</f>
        <v/>
      </c>
      <c r="M1500" s="105"/>
      <c r="N1500" s="105" t="str">
        <f>IF(F1500=True, IFERROR(VLOOKUP(D1500, Repository!A:G, 7, 0), ""), "")</f>
        <v/>
      </c>
      <c r="O1500" s="105" t="str">
        <f>IFERROR(__xludf.DUMMYFUNCTION("ARRAY_CONSTRAIN(
  ARRAYFORMULA(
    IFERROR(
      LET(
        list, N1500,
        arr, TRIM(SPLIT(list, "","")),
        names, XLOOKUP(
          arr,
          'Conformance Score'!A:A,
          'Conformance Score'!B:B,
          ""Not found""
     "&amp;"   ),
        TEXTJOIN("", "", TRUE, names)
      ),
      """"
    )
  ),
  1,
  1
)
"),"")</f>
        <v/>
      </c>
      <c r="P1500" s="105" t="str">
        <f>IF(F1500="Yes", IFERROR(VLOOKUP(D1500, Repository!A:F, 6, 0), ""), "")</f>
        <v/>
      </c>
      <c r="Q1500" s="105" t="str">
        <f>IF(F1500="Yes", IFERROR(VLOOKUP(D1500, Repository!A:I, 8, 0), ""), "")</f>
        <v/>
      </c>
      <c r="R1500" s="105" t="str">
        <f>IF(F1500="Yes", IFERROR(VLOOKUP(D1500, Repository!A:J, 9, 0), ""), "")</f>
        <v/>
      </c>
      <c r="S1500" s="105"/>
      <c r="T1500" s="105"/>
      <c r="U1500" s="105"/>
      <c r="V1500" s="105"/>
      <c r="W1500" s="105"/>
      <c r="X1500" s="105"/>
      <c r="Y1500" s="105"/>
      <c r="Z1500" s="105"/>
      <c r="AA1500" s="105"/>
      <c r="AB1500" s="105"/>
      <c r="AC1500" s="91"/>
      <c r="AD1500" s="105"/>
      <c r="AE1500" s="105"/>
      <c r="AF1500" s="91"/>
      <c r="AG1500" s="105"/>
      <c r="AH1500" s="105"/>
      <c r="AI1500" s="105" t="str">
        <f t="shared" si="1"/>
        <v/>
      </c>
      <c r="AJ1500" s="108" t="str">
        <f t="shared" si="2"/>
        <v/>
      </c>
    </row>
    <row r="1501" ht="15.75" customHeight="1">
      <c r="A1501" s="104"/>
      <c r="B1501" s="105" t="str">
        <f>IFERROR(__xludf.DUMMYFUNCTION("ARRAY_CONSTRAIN(
  ARRAYFORMULA(
    IF(
      'Final Report'!A1501="""",
      """",
      TEXTJOIN(
        "", "" &amp; CHAR(10),
        TRUE,
        IFERROR(
          VLOOKUP(
            TRIM(
              SPLIT('Final Report'!A1501, "","")
         "&amp;"   ),
            'URL Details'!A:B,
            2,
            FALSE
          ),
          """"
        )
      )
    )
  ),
  1,
  1
)
"),"")</f>
        <v/>
      </c>
      <c r="C1501" s="105" t="str">
        <f>IFERROR(__xludf.DUMMYFUNCTION("IFERROR(IF('Final Report'!A1501="""","""", TEXTJOIN(CHAR(10), TRUE, ARRAYFORMULA( ""• ""&amp; FILTER( TRIM(FLATTEN(SPLIT( REGEXREPLACE( SUBSTITUTE(TEXTJOIN("","", TRUE, IFERROR(ARRAYFORMULA(VLOOKUP(TRIM(SPLIT('Final Report'!A1501, "","")), 'URL Details'!A:D, "&amp;"4, FALSE)),"""") ), CHAR(10), "",""), ""\s*,\s*"", "",""), "",""))), TRIM(FLATTEN(SPLIT( REGEXREPLACE( SUBSTITUTE(TEXTJOIN("","", TRUE, IFERROR(ARRAYFORMULA(VLOOKUP(TRIM(SPLIT('Final Report'!A1501, "","")), 'URL Details'!A:D, 4, FALSE)),"""") ), CHAR(10),"&amp;" "",""), ""\s*,\s*"", "",""), "","")))&lt;&gt;"""" ) ) ) ),"""")
"),"")</f>
        <v/>
      </c>
      <c r="D1501" s="105"/>
      <c r="E1501" s="105"/>
      <c r="F1501" s="110" t="b">
        <v>0</v>
      </c>
      <c r="G1501" s="105" t="str">
        <f>IF(F1501=True, IFERROR(VLOOKUP(D1501, Repository!A:B, 2, 0), ""), "")</f>
        <v/>
      </c>
      <c r="H1501" s="105"/>
      <c r="I1501" s="105"/>
      <c r="J1501" s="105" t="str">
        <f>IF(F1501=True, IFERROR(VLOOKUP(D1501, Repository!A:C, 3, 0), ""), "")</f>
        <v/>
      </c>
      <c r="K1501" s="105"/>
      <c r="L1501" s="105" t="str">
        <f>IF(F1501=True, IFERROR(VLOOKUP(D1501, Repository!A:E, 5, 0), ""), "")</f>
        <v/>
      </c>
      <c r="M1501" s="105"/>
      <c r="N1501" s="105" t="str">
        <f>IF(F1501=True, IFERROR(VLOOKUP(D1501, Repository!A:G, 7, 0), ""), "")</f>
        <v/>
      </c>
      <c r="O1501" s="105" t="str">
        <f>IFERROR(__xludf.DUMMYFUNCTION("ARRAY_CONSTRAIN(
  ARRAYFORMULA(
    IFERROR(
      LET(
        list, N1501,
        arr, TRIM(SPLIT(list, "","")),
        names, XLOOKUP(
          arr,
          'Conformance Score'!A:A,
          'Conformance Score'!B:B,
          ""Not found""
     "&amp;"   ),
        TEXTJOIN("", "", TRUE, names)
      ),
      """"
    )
  ),
  1,
  1
)
"),"")</f>
        <v/>
      </c>
      <c r="P1501" s="105" t="str">
        <f>IF(F1501="Yes", IFERROR(VLOOKUP(D1501, Repository!A:F, 6, 0), ""), "")</f>
        <v/>
      </c>
      <c r="Q1501" s="105" t="str">
        <f>IF(F1501="Yes", IFERROR(VLOOKUP(D1501, Repository!A:I, 8, 0), ""), "")</f>
        <v/>
      </c>
      <c r="R1501" s="105" t="str">
        <f>IF(F1501="Yes", IFERROR(VLOOKUP(D1501, Repository!A:J, 9, 0), ""), "")</f>
        <v/>
      </c>
      <c r="S1501" s="105"/>
      <c r="T1501" s="105"/>
      <c r="U1501" s="105"/>
      <c r="V1501" s="105"/>
      <c r="W1501" s="105"/>
      <c r="X1501" s="105"/>
      <c r="Y1501" s="105"/>
      <c r="Z1501" s="105"/>
      <c r="AA1501" s="105"/>
      <c r="AB1501" s="105"/>
      <c r="AC1501" s="91"/>
      <c r="AD1501" s="105"/>
      <c r="AE1501" s="105"/>
      <c r="AF1501" s="91"/>
      <c r="AG1501" s="105"/>
      <c r="AH1501" s="105"/>
      <c r="AI1501" s="105" t="str">
        <f t="shared" si="1"/>
        <v/>
      </c>
      <c r="AJ1501" s="108" t="str">
        <f t="shared" si="2"/>
        <v/>
      </c>
    </row>
    <row r="1502" ht="15.75" customHeight="1">
      <c r="A1502" s="104"/>
      <c r="B1502" s="105" t="str">
        <f>IFERROR(__xludf.DUMMYFUNCTION("ARRAY_CONSTRAIN(
  ARRAYFORMULA(
    IF(
      'Final Report'!A1502="""",
      """",
      TEXTJOIN(
        "", "" &amp; CHAR(10),
        TRUE,
        IFERROR(
          VLOOKUP(
            TRIM(
              SPLIT('Final Report'!A1502, "","")
         "&amp;"   ),
            'URL Details'!A:B,
            2,
            FALSE
          ),
          """"
        )
      )
    )
  ),
  1,
  1
)
"),"")</f>
        <v/>
      </c>
      <c r="C1502" s="105" t="str">
        <f>IFERROR(__xludf.DUMMYFUNCTION("IFERROR(IF('Final Report'!A1502="""","""", TEXTJOIN(CHAR(10), TRUE, ARRAYFORMULA( ""• ""&amp; FILTER( TRIM(FLATTEN(SPLIT( REGEXREPLACE( SUBSTITUTE(TEXTJOIN("","", TRUE, IFERROR(ARRAYFORMULA(VLOOKUP(TRIM(SPLIT('Final Report'!A1502, "","")), 'URL Details'!A:D, "&amp;"4, FALSE)),"""") ), CHAR(10), "",""), ""\s*,\s*"", "",""), "",""))), TRIM(FLATTEN(SPLIT( REGEXREPLACE( SUBSTITUTE(TEXTJOIN("","", TRUE, IFERROR(ARRAYFORMULA(VLOOKUP(TRIM(SPLIT('Final Report'!A1502, "","")), 'URL Details'!A:D, 4, FALSE)),"""") ), CHAR(10),"&amp;" "",""), ""\s*,\s*"", "",""), "","")))&lt;&gt;"""" ) ) ) ),"""")
"),"")</f>
        <v/>
      </c>
      <c r="D1502" s="105"/>
      <c r="E1502" s="105"/>
      <c r="F1502" s="110" t="b">
        <v>0</v>
      </c>
      <c r="G1502" s="105" t="str">
        <f>IF(F1502=True, IFERROR(VLOOKUP(D1502, Repository!A:B, 2, 0), ""), "")</f>
        <v/>
      </c>
      <c r="H1502" s="105"/>
      <c r="I1502" s="105"/>
      <c r="J1502" s="105" t="str">
        <f>IF(F1502=True, IFERROR(VLOOKUP(D1502, Repository!A:C, 3, 0), ""), "")</f>
        <v/>
      </c>
      <c r="K1502" s="105"/>
      <c r="L1502" s="105" t="str">
        <f>IF(F1502=True, IFERROR(VLOOKUP(D1502, Repository!A:E, 5, 0), ""), "")</f>
        <v/>
      </c>
      <c r="M1502" s="105"/>
      <c r="N1502" s="105" t="str">
        <f>IF(F1502=True, IFERROR(VLOOKUP(D1502, Repository!A:G, 7, 0), ""), "")</f>
        <v/>
      </c>
      <c r="O1502" s="105" t="str">
        <f>IFERROR(__xludf.DUMMYFUNCTION("ARRAY_CONSTRAIN(
  ARRAYFORMULA(
    IFERROR(
      LET(
        list, N1502,
        arr, TRIM(SPLIT(list, "","")),
        names, XLOOKUP(
          arr,
          'Conformance Score'!A:A,
          'Conformance Score'!B:B,
          ""Not found""
     "&amp;"   ),
        TEXTJOIN("", "", TRUE, names)
      ),
      """"
    )
  ),
  1,
  1
)
"),"")</f>
        <v/>
      </c>
      <c r="P1502" s="105" t="str">
        <f>IF(F1502="Yes", IFERROR(VLOOKUP(D1502, Repository!A:F, 6, 0), ""), "")</f>
        <v/>
      </c>
      <c r="Q1502" s="105" t="str">
        <f>IF(F1502="Yes", IFERROR(VLOOKUP(D1502, Repository!A:I, 8, 0), ""), "")</f>
        <v/>
      </c>
      <c r="R1502" s="105" t="str">
        <f>IF(F1502="Yes", IFERROR(VLOOKUP(D1502, Repository!A:J, 9, 0), ""), "")</f>
        <v/>
      </c>
      <c r="S1502" s="105"/>
      <c r="T1502" s="105"/>
      <c r="U1502" s="105"/>
      <c r="V1502" s="105"/>
      <c r="W1502" s="105"/>
      <c r="X1502" s="105"/>
      <c r="Y1502" s="105"/>
      <c r="Z1502" s="105"/>
      <c r="AA1502" s="105"/>
      <c r="AB1502" s="105"/>
      <c r="AC1502" s="91"/>
      <c r="AD1502" s="105"/>
      <c r="AE1502" s="105"/>
      <c r="AF1502" s="91"/>
      <c r="AG1502" s="105"/>
      <c r="AH1502" s="105"/>
      <c r="AI1502" s="105" t="str">
        <f t="shared" si="1"/>
        <v/>
      </c>
      <c r="AJ1502" s="108" t="str">
        <f t="shared" si="2"/>
        <v/>
      </c>
    </row>
    <row r="1503" ht="15.75" customHeight="1">
      <c r="A1503" s="104"/>
      <c r="B1503" s="105" t="str">
        <f>IFERROR(__xludf.DUMMYFUNCTION("ARRAY_CONSTRAIN(
  ARRAYFORMULA(
    IF(
      'Final Report'!A1503="""",
      """",
      TEXTJOIN(
        "", "" &amp; CHAR(10),
        TRUE,
        IFERROR(
          VLOOKUP(
            TRIM(
              SPLIT('Final Report'!A1503, "","")
         "&amp;"   ),
            'URL Details'!A:B,
            2,
            FALSE
          ),
          """"
        )
      )
    )
  ),
  1,
  1
)
"),"")</f>
        <v/>
      </c>
      <c r="C1503" s="105" t="str">
        <f>IFERROR(__xludf.DUMMYFUNCTION("IFERROR(IF('Final Report'!A1503="""","""", TEXTJOIN(CHAR(10), TRUE, ARRAYFORMULA( ""• ""&amp; FILTER( TRIM(FLATTEN(SPLIT( REGEXREPLACE( SUBSTITUTE(TEXTJOIN("","", TRUE, IFERROR(ARRAYFORMULA(VLOOKUP(TRIM(SPLIT('Final Report'!A1503, "","")), 'URL Details'!A:D, "&amp;"4, FALSE)),"""") ), CHAR(10), "",""), ""\s*,\s*"", "",""), "",""))), TRIM(FLATTEN(SPLIT( REGEXREPLACE( SUBSTITUTE(TEXTJOIN("","", TRUE, IFERROR(ARRAYFORMULA(VLOOKUP(TRIM(SPLIT('Final Report'!A1503, "","")), 'URL Details'!A:D, 4, FALSE)),"""") ), CHAR(10),"&amp;" "",""), ""\s*,\s*"", "",""), "","")))&lt;&gt;"""" ) ) ) ),"""")
"),"")</f>
        <v/>
      </c>
      <c r="D1503" s="105"/>
      <c r="E1503" s="105"/>
      <c r="F1503" s="110" t="b">
        <v>0</v>
      </c>
      <c r="G1503" s="105" t="str">
        <f>IF(F1503=True, IFERROR(VLOOKUP(D1503, Repository!A:B, 2, 0), ""), "")</f>
        <v/>
      </c>
      <c r="H1503" s="105"/>
      <c r="I1503" s="105"/>
      <c r="J1503" s="105" t="str">
        <f>IF(F1503=True, IFERROR(VLOOKUP(D1503, Repository!A:C, 3, 0), ""), "")</f>
        <v/>
      </c>
      <c r="K1503" s="105"/>
      <c r="L1503" s="105" t="str">
        <f>IF(F1503=True, IFERROR(VLOOKUP(D1503, Repository!A:E, 5, 0), ""), "")</f>
        <v/>
      </c>
      <c r="M1503" s="105"/>
      <c r="N1503" s="105" t="str">
        <f>IF(F1503=True, IFERROR(VLOOKUP(D1503, Repository!A:G, 7, 0), ""), "")</f>
        <v/>
      </c>
      <c r="O1503" s="105" t="str">
        <f>IFERROR(__xludf.DUMMYFUNCTION("ARRAY_CONSTRAIN(
  ARRAYFORMULA(
    IFERROR(
      LET(
        list, N1503,
        arr, TRIM(SPLIT(list, "","")),
        names, XLOOKUP(
          arr,
          'Conformance Score'!A:A,
          'Conformance Score'!B:B,
          ""Not found""
     "&amp;"   ),
        TEXTJOIN("", "", TRUE, names)
      ),
      """"
    )
  ),
  1,
  1
)
"),"")</f>
        <v/>
      </c>
      <c r="P1503" s="105" t="str">
        <f>IF(F1503="Yes", IFERROR(VLOOKUP(D1503, Repository!A:F, 6, 0), ""), "")</f>
        <v/>
      </c>
      <c r="Q1503" s="105" t="str">
        <f>IF(F1503="Yes", IFERROR(VLOOKUP(D1503, Repository!A:I, 8, 0), ""), "")</f>
        <v/>
      </c>
      <c r="R1503" s="105" t="str">
        <f>IF(F1503="Yes", IFERROR(VLOOKUP(D1503, Repository!A:J, 9, 0), ""), "")</f>
        <v/>
      </c>
      <c r="S1503" s="105"/>
      <c r="T1503" s="105"/>
      <c r="U1503" s="105"/>
      <c r="V1503" s="105"/>
      <c r="W1503" s="105"/>
      <c r="X1503" s="105"/>
      <c r="Y1503" s="105"/>
      <c r="Z1503" s="105"/>
      <c r="AA1503" s="105"/>
      <c r="AB1503" s="105"/>
      <c r="AC1503" s="91"/>
      <c r="AD1503" s="105"/>
      <c r="AE1503" s="105"/>
      <c r="AF1503" s="91"/>
      <c r="AG1503" s="105"/>
      <c r="AH1503" s="105"/>
      <c r="AI1503" s="105" t="str">
        <f t="shared" si="1"/>
        <v/>
      </c>
      <c r="AJ1503" s="108" t="str">
        <f t="shared" si="2"/>
        <v/>
      </c>
    </row>
    <row r="1504" ht="15.75" customHeight="1">
      <c r="A1504" s="104"/>
      <c r="B1504" s="105" t="str">
        <f>IFERROR(__xludf.DUMMYFUNCTION("ARRAY_CONSTRAIN(
  ARRAYFORMULA(
    IF(
      'Final Report'!A1504="""",
      """",
      TEXTJOIN(
        "", "" &amp; CHAR(10),
        TRUE,
        IFERROR(
          VLOOKUP(
            TRIM(
              SPLIT('Final Report'!A1504, "","")
         "&amp;"   ),
            'URL Details'!A:B,
            2,
            FALSE
          ),
          """"
        )
      )
    )
  ),
  1,
  1
)
"),"")</f>
        <v/>
      </c>
      <c r="C1504" s="105" t="str">
        <f>IFERROR(__xludf.DUMMYFUNCTION("IFERROR(IF('Final Report'!A1504="""","""", TEXTJOIN(CHAR(10), TRUE, ARRAYFORMULA( ""• ""&amp; FILTER( TRIM(FLATTEN(SPLIT( REGEXREPLACE( SUBSTITUTE(TEXTJOIN("","", TRUE, IFERROR(ARRAYFORMULA(VLOOKUP(TRIM(SPLIT('Final Report'!A1504, "","")), 'URL Details'!A:D, "&amp;"4, FALSE)),"""") ), CHAR(10), "",""), ""\s*,\s*"", "",""), "",""))), TRIM(FLATTEN(SPLIT( REGEXREPLACE( SUBSTITUTE(TEXTJOIN("","", TRUE, IFERROR(ARRAYFORMULA(VLOOKUP(TRIM(SPLIT('Final Report'!A1504, "","")), 'URL Details'!A:D, 4, FALSE)),"""") ), CHAR(10),"&amp;" "",""), ""\s*,\s*"", "",""), "","")))&lt;&gt;"""" ) ) ) ),"""")
"),"")</f>
        <v/>
      </c>
      <c r="D1504" s="105"/>
      <c r="E1504" s="105"/>
      <c r="F1504" s="110" t="b">
        <v>0</v>
      </c>
      <c r="G1504" s="105" t="str">
        <f>IF(F1504=True, IFERROR(VLOOKUP(D1504, Repository!A:B, 2, 0), ""), "")</f>
        <v/>
      </c>
      <c r="H1504" s="105"/>
      <c r="I1504" s="105"/>
      <c r="J1504" s="105" t="str">
        <f>IF(F1504=True, IFERROR(VLOOKUP(D1504, Repository!A:C, 3, 0), ""), "")</f>
        <v/>
      </c>
      <c r="K1504" s="105"/>
      <c r="L1504" s="105" t="str">
        <f>IF(F1504=True, IFERROR(VLOOKUP(D1504, Repository!A:E, 5, 0), ""), "")</f>
        <v/>
      </c>
      <c r="M1504" s="105"/>
      <c r="N1504" s="105" t="str">
        <f>IF(F1504=True, IFERROR(VLOOKUP(D1504, Repository!A:G, 7, 0), ""), "")</f>
        <v/>
      </c>
      <c r="O1504" s="105" t="str">
        <f>IFERROR(__xludf.DUMMYFUNCTION("ARRAY_CONSTRAIN(
  ARRAYFORMULA(
    IFERROR(
      LET(
        list, N1504,
        arr, TRIM(SPLIT(list, "","")),
        names, XLOOKUP(
          arr,
          'Conformance Score'!A:A,
          'Conformance Score'!B:B,
          ""Not found""
     "&amp;"   ),
        TEXTJOIN("", "", TRUE, names)
      ),
      """"
    )
  ),
  1,
  1
)
"),"")</f>
        <v/>
      </c>
      <c r="P1504" s="105" t="str">
        <f>IF(F1504="Yes", IFERROR(VLOOKUP(D1504, Repository!A:F, 6, 0), ""), "")</f>
        <v/>
      </c>
      <c r="Q1504" s="105" t="str">
        <f>IF(F1504="Yes", IFERROR(VLOOKUP(D1504, Repository!A:I, 8, 0), ""), "")</f>
        <v/>
      </c>
      <c r="R1504" s="105" t="str">
        <f>IF(F1504="Yes", IFERROR(VLOOKUP(D1504, Repository!A:J, 9, 0), ""), "")</f>
        <v/>
      </c>
      <c r="S1504" s="105"/>
      <c r="T1504" s="105"/>
      <c r="U1504" s="105"/>
      <c r="V1504" s="105"/>
      <c r="W1504" s="105"/>
      <c r="X1504" s="105"/>
      <c r="Y1504" s="105"/>
      <c r="Z1504" s="105"/>
      <c r="AA1504" s="105"/>
      <c r="AB1504" s="105"/>
      <c r="AC1504" s="91"/>
      <c r="AD1504" s="105"/>
      <c r="AE1504" s="105"/>
      <c r="AF1504" s="91"/>
      <c r="AG1504" s="105"/>
      <c r="AH1504" s="105"/>
      <c r="AI1504" s="105" t="str">
        <f t="shared" si="1"/>
        <v/>
      </c>
      <c r="AJ1504" s="108" t="str">
        <f t="shared" si="2"/>
        <v/>
      </c>
    </row>
    <row r="1505" ht="15.75" customHeight="1">
      <c r="A1505" s="104"/>
      <c r="B1505" s="105" t="str">
        <f>IFERROR(__xludf.DUMMYFUNCTION("ARRAY_CONSTRAIN(
  ARRAYFORMULA(
    IF(
      'Final Report'!A1505="""",
      """",
      TEXTJOIN(
        "", "" &amp; CHAR(10),
        TRUE,
        IFERROR(
          VLOOKUP(
            TRIM(
              SPLIT('Final Report'!A1505, "","")
         "&amp;"   ),
            'URL Details'!A:B,
            2,
            FALSE
          ),
          """"
        )
      )
    )
  ),
  1,
  1
)
"),"")</f>
        <v/>
      </c>
      <c r="C1505" s="105" t="str">
        <f>IFERROR(__xludf.DUMMYFUNCTION("IFERROR(IF('Final Report'!A1505="""","""", TEXTJOIN(CHAR(10), TRUE, ARRAYFORMULA( ""• ""&amp; FILTER( TRIM(FLATTEN(SPLIT( REGEXREPLACE( SUBSTITUTE(TEXTJOIN("","", TRUE, IFERROR(ARRAYFORMULA(VLOOKUP(TRIM(SPLIT('Final Report'!A1505, "","")), 'URL Details'!A:D, "&amp;"4, FALSE)),"""") ), CHAR(10), "",""), ""\s*,\s*"", "",""), "",""))), TRIM(FLATTEN(SPLIT( REGEXREPLACE( SUBSTITUTE(TEXTJOIN("","", TRUE, IFERROR(ARRAYFORMULA(VLOOKUP(TRIM(SPLIT('Final Report'!A1505, "","")), 'URL Details'!A:D, 4, FALSE)),"""") ), CHAR(10),"&amp;" "",""), ""\s*,\s*"", "",""), "","")))&lt;&gt;"""" ) ) ) ),"""")
"),"")</f>
        <v/>
      </c>
      <c r="D1505" s="105"/>
      <c r="E1505" s="105"/>
      <c r="F1505" s="110" t="b">
        <v>0</v>
      </c>
      <c r="G1505" s="105" t="str">
        <f>IF(F1505=True, IFERROR(VLOOKUP(D1505, Repository!A:B, 2, 0), ""), "")</f>
        <v/>
      </c>
      <c r="H1505" s="105"/>
      <c r="I1505" s="105"/>
      <c r="J1505" s="105" t="str">
        <f>IF(F1505=True, IFERROR(VLOOKUP(D1505, Repository!A:C, 3, 0), ""), "")</f>
        <v/>
      </c>
      <c r="K1505" s="105"/>
      <c r="L1505" s="105" t="str">
        <f>IF(F1505=True, IFERROR(VLOOKUP(D1505, Repository!A:E, 5, 0), ""), "")</f>
        <v/>
      </c>
      <c r="M1505" s="105"/>
      <c r="N1505" s="105" t="str">
        <f>IF(F1505=True, IFERROR(VLOOKUP(D1505, Repository!A:G, 7, 0), ""), "")</f>
        <v/>
      </c>
      <c r="O1505" s="105" t="str">
        <f>IFERROR(__xludf.DUMMYFUNCTION("ARRAY_CONSTRAIN(
  ARRAYFORMULA(
    IFERROR(
      LET(
        list, N1505,
        arr, TRIM(SPLIT(list, "","")),
        names, XLOOKUP(
          arr,
          'Conformance Score'!A:A,
          'Conformance Score'!B:B,
          ""Not found""
     "&amp;"   ),
        TEXTJOIN("", "", TRUE, names)
      ),
      """"
    )
  ),
  1,
  1
)
"),"")</f>
        <v/>
      </c>
      <c r="P1505" s="105" t="str">
        <f>IF(F1505="Yes", IFERROR(VLOOKUP(D1505, Repository!A:F, 6, 0), ""), "")</f>
        <v/>
      </c>
      <c r="Q1505" s="105" t="str">
        <f>IF(F1505="Yes", IFERROR(VLOOKUP(D1505, Repository!A:I, 8, 0), ""), "")</f>
        <v/>
      </c>
      <c r="R1505" s="105" t="str">
        <f>IF(F1505="Yes", IFERROR(VLOOKUP(D1505, Repository!A:J, 9, 0), ""), "")</f>
        <v/>
      </c>
      <c r="S1505" s="105"/>
      <c r="T1505" s="105"/>
      <c r="U1505" s="105"/>
      <c r="V1505" s="105"/>
      <c r="W1505" s="105"/>
      <c r="X1505" s="105"/>
      <c r="Y1505" s="105"/>
      <c r="Z1505" s="105"/>
      <c r="AA1505" s="105"/>
      <c r="AB1505" s="105"/>
      <c r="AC1505" s="91"/>
      <c r="AD1505" s="105"/>
      <c r="AE1505" s="105"/>
      <c r="AF1505" s="91"/>
      <c r="AG1505" s="105"/>
      <c r="AH1505" s="105"/>
      <c r="AI1505" s="105" t="str">
        <f t="shared" si="1"/>
        <v/>
      </c>
      <c r="AJ1505" s="108" t="str">
        <f t="shared" si="2"/>
        <v/>
      </c>
    </row>
    <row r="1506" ht="15.75" customHeight="1">
      <c r="A1506" s="104"/>
      <c r="B1506" s="105" t="str">
        <f>IFERROR(__xludf.DUMMYFUNCTION("ARRAY_CONSTRAIN(
  ARRAYFORMULA(
    IF(
      'Final Report'!A1506="""",
      """",
      TEXTJOIN(
        "", "" &amp; CHAR(10),
        TRUE,
        IFERROR(
          VLOOKUP(
            TRIM(
              SPLIT('Final Report'!A1506, "","")
         "&amp;"   ),
            'URL Details'!A:B,
            2,
            FALSE
          ),
          """"
        )
      )
    )
  ),
  1,
  1
)
"),"")</f>
        <v/>
      </c>
      <c r="C1506" s="105" t="str">
        <f>IFERROR(__xludf.DUMMYFUNCTION("IFERROR(IF('Final Report'!A1506="""","""", TEXTJOIN(CHAR(10), TRUE, ARRAYFORMULA( ""• ""&amp; FILTER( TRIM(FLATTEN(SPLIT( REGEXREPLACE( SUBSTITUTE(TEXTJOIN("","", TRUE, IFERROR(ARRAYFORMULA(VLOOKUP(TRIM(SPLIT('Final Report'!A1506, "","")), 'URL Details'!A:D, "&amp;"4, FALSE)),"""") ), CHAR(10), "",""), ""\s*,\s*"", "",""), "",""))), TRIM(FLATTEN(SPLIT( REGEXREPLACE( SUBSTITUTE(TEXTJOIN("","", TRUE, IFERROR(ARRAYFORMULA(VLOOKUP(TRIM(SPLIT('Final Report'!A1506, "","")), 'URL Details'!A:D, 4, FALSE)),"""") ), CHAR(10),"&amp;" "",""), ""\s*,\s*"", "",""), "","")))&lt;&gt;"""" ) ) ) ),"""")
"),"")</f>
        <v/>
      </c>
      <c r="D1506" s="105"/>
      <c r="E1506" s="105"/>
      <c r="F1506" s="110" t="b">
        <v>0</v>
      </c>
      <c r="G1506" s="105" t="str">
        <f>IF(F1506=True, IFERROR(VLOOKUP(D1506, Repository!A:B, 2, 0), ""), "")</f>
        <v/>
      </c>
      <c r="H1506" s="105"/>
      <c r="I1506" s="105"/>
      <c r="J1506" s="105" t="str">
        <f>IF(F1506=True, IFERROR(VLOOKUP(D1506, Repository!A:C, 3, 0), ""), "")</f>
        <v/>
      </c>
      <c r="K1506" s="105"/>
      <c r="L1506" s="105" t="str">
        <f>IF(F1506=True, IFERROR(VLOOKUP(D1506, Repository!A:E, 5, 0), ""), "")</f>
        <v/>
      </c>
      <c r="M1506" s="105"/>
      <c r="N1506" s="105" t="str">
        <f>IF(F1506=True, IFERROR(VLOOKUP(D1506, Repository!A:G, 7, 0), ""), "")</f>
        <v/>
      </c>
      <c r="O1506" s="105" t="str">
        <f>IFERROR(__xludf.DUMMYFUNCTION("ARRAY_CONSTRAIN(
  ARRAYFORMULA(
    IFERROR(
      LET(
        list, N1506,
        arr, TRIM(SPLIT(list, "","")),
        names, XLOOKUP(
          arr,
          'Conformance Score'!A:A,
          'Conformance Score'!B:B,
          ""Not found""
     "&amp;"   ),
        TEXTJOIN("", "", TRUE, names)
      ),
      """"
    )
  ),
  1,
  1
)
"),"")</f>
        <v/>
      </c>
      <c r="P1506" s="105" t="str">
        <f>IF(F1506="Yes", IFERROR(VLOOKUP(D1506, Repository!A:F, 6, 0), ""), "")</f>
        <v/>
      </c>
      <c r="Q1506" s="105" t="str">
        <f>IF(F1506="Yes", IFERROR(VLOOKUP(D1506, Repository!A:I, 8, 0), ""), "")</f>
        <v/>
      </c>
      <c r="R1506" s="105" t="str">
        <f>IF(F1506="Yes", IFERROR(VLOOKUP(D1506, Repository!A:J, 9, 0), ""), "")</f>
        <v/>
      </c>
      <c r="S1506" s="105"/>
      <c r="T1506" s="105"/>
      <c r="U1506" s="105"/>
      <c r="V1506" s="105"/>
      <c r="W1506" s="105"/>
      <c r="X1506" s="105"/>
      <c r="Y1506" s="105"/>
      <c r="Z1506" s="105"/>
      <c r="AA1506" s="105"/>
      <c r="AB1506" s="105"/>
      <c r="AC1506" s="91"/>
      <c r="AD1506" s="105"/>
      <c r="AE1506" s="105"/>
      <c r="AF1506" s="91"/>
      <c r="AG1506" s="105"/>
      <c r="AH1506" s="105"/>
      <c r="AI1506" s="105" t="str">
        <f t="shared" si="1"/>
        <v/>
      </c>
      <c r="AJ1506" s="108" t="str">
        <f t="shared" si="2"/>
        <v/>
      </c>
    </row>
    <row r="1507" ht="15.75" customHeight="1">
      <c r="A1507" s="104"/>
      <c r="B1507" s="105" t="str">
        <f>IFERROR(__xludf.DUMMYFUNCTION("ARRAY_CONSTRAIN(
  ARRAYFORMULA(
    IF(
      'Final Report'!A1507="""",
      """",
      TEXTJOIN(
        "", "" &amp; CHAR(10),
        TRUE,
        IFERROR(
          VLOOKUP(
            TRIM(
              SPLIT('Final Report'!A1507, "","")
         "&amp;"   ),
            'URL Details'!A:B,
            2,
            FALSE
          ),
          """"
        )
      )
    )
  ),
  1,
  1
)
"),"")</f>
        <v/>
      </c>
      <c r="C1507" s="105" t="str">
        <f>IFERROR(__xludf.DUMMYFUNCTION("IFERROR(IF('Final Report'!A1507="""","""", TEXTJOIN(CHAR(10), TRUE, ARRAYFORMULA( ""• ""&amp; FILTER( TRIM(FLATTEN(SPLIT( REGEXREPLACE( SUBSTITUTE(TEXTJOIN("","", TRUE, IFERROR(ARRAYFORMULA(VLOOKUP(TRIM(SPLIT('Final Report'!A1507, "","")), 'URL Details'!A:D, "&amp;"4, FALSE)),"""") ), CHAR(10), "",""), ""\s*,\s*"", "",""), "",""))), TRIM(FLATTEN(SPLIT( REGEXREPLACE( SUBSTITUTE(TEXTJOIN("","", TRUE, IFERROR(ARRAYFORMULA(VLOOKUP(TRIM(SPLIT('Final Report'!A1507, "","")), 'URL Details'!A:D, 4, FALSE)),"""") ), CHAR(10),"&amp;" "",""), ""\s*,\s*"", "",""), "","")))&lt;&gt;"""" ) ) ) ),"""")
"),"")</f>
        <v/>
      </c>
      <c r="D1507" s="105"/>
      <c r="E1507" s="105"/>
      <c r="F1507" s="110" t="b">
        <v>0</v>
      </c>
      <c r="G1507" s="105" t="str">
        <f>IF(F1507=True, IFERROR(VLOOKUP(D1507, Repository!A:B, 2, 0), ""), "")</f>
        <v/>
      </c>
      <c r="H1507" s="105"/>
      <c r="I1507" s="105"/>
      <c r="J1507" s="105" t="str">
        <f>IF(F1507=True, IFERROR(VLOOKUP(D1507, Repository!A:C, 3, 0), ""), "")</f>
        <v/>
      </c>
      <c r="K1507" s="105"/>
      <c r="L1507" s="105" t="str">
        <f>IF(F1507=True, IFERROR(VLOOKUP(D1507, Repository!A:E, 5, 0), ""), "")</f>
        <v/>
      </c>
      <c r="M1507" s="105"/>
      <c r="N1507" s="105" t="str">
        <f>IF(F1507=True, IFERROR(VLOOKUP(D1507, Repository!A:G, 7, 0), ""), "")</f>
        <v/>
      </c>
      <c r="O1507" s="105" t="str">
        <f>IFERROR(__xludf.DUMMYFUNCTION("ARRAY_CONSTRAIN(
  ARRAYFORMULA(
    IFERROR(
      LET(
        list, N1507,
        arr, TRIM(SPLIT(list, "","")),
        names, XLOOKUP(
          arr,
          'Conformance Score'!A:A,
          'Conformance Score'!B:B,
          ""Not found""
     "&amp;"   ),
        TEXTJOIN("", "", TRUE, names)
      ),
      """"
    )
  ),
  1,
  1
)
"),"")</f>
        <v/>
      </c>
      <c r="P1507" s="105" t="str">
        <f>IF(F1507="Yes", IFERROR(VLOOKUP(D1507, Repository!A:F, 6, 0), ""), "")</f>
        <v/>
      </c>
      <c r="Q1507" s="105" t="str">
        <f>IF(F1507="Yes", IFERROR(VLOOKUP(D1507, Repository!A:I, 8, 0), ""), "")</f>
        <v/>
      </c>
      <c r="R1507" s="105" t="str">
        <f>IF(F1507="Yes", IFERROR(VLOOKUP(D1507, Repository!A:J, 9, 0), ""), "")</f>
        <v/>
      </c>
      <c r="S1507" s="105"/>
      <c r="T1507" s="105"/>
      <c r="U1507" s="105"/>
      <c r="V1507" s="105"/>
      <c r="W1507" s="105"/>
      <c r="X1507" s="105"/>
      <c r="Y1507" s="105"/>
      <c r="Z1507" s="105"/>
      <c r="AA1507" s="105"/>
      <c r="AB1507" s="105"/>
      <c r="AC1507" s="91"/>
      <c r="AD1507" s="105"/>
      <c r="AE1507" s="105"/>
      <c r="AF1507" s="91"/>
      <c r="AG1507" s="105"/>
      <c r="AH1507" s="105"/>
      <c r="AI1507" s="105" t="str">
        <f t="shared" si="1"/>
        <v/>
      </c>
      <c r="AJ1507" s="108" t="str">
        <f t="shared" si="2"/>
        <v/>
      </c>
    </row>
    <row r="1508" ht="15.75" customHeight="1">
      <c r="A1508" s="104"/>
      <c r="B1508" s="105" t="str">
        <f>IFERROR(__xludf.DUMMYFUNCTION("ARRAY_CONSTRAIN(
  ARRAYFORMULA(
    IF(
      'Final Report'!A1508="""",
      """",
      TEXTJOIN(
        "", "" &amp; CHAR(10),
        TRUE,
        IFERROR(
          VLOOKUP(
            TRIM(
              SPLIT('Final Report'!A1508, "","")
         "&amp;"   ),
            'URL Details'!A:B,
            2,
            FALSE
          ),
          """"
        )
      )
    )
  ),
  1,
  1
)
"),"")</f>
        <v/>
      </c>
      <c r="C1508" s="105" t="str">
        <f>IFERROR(__xludf.DUMMYFUNCTION("IFERROR(IF('Final Report'!A1508="""","""", TEXTJOIN(CHAR(10), TRUE, ARRAYFORMULA( ""• ""&amp; FILTER( TRIM(FLATTEN(SPLIT( REGEXREPLACE( SUBSTITUTE(TEXTJOIN("","", TRUE, IFERROR(ARRAYFORMULA(VLOOKUP(TRIM(SPLIT('Final Report'!A1508, "","")), 'URL Details'!A:D, "&amp;"4, FALSE)),"""") ), CHAR(10), "",""), ""\s*,\s*"", "",""), "",""))), TRIM(FLATTEN(SPLIT( REGEXREPLACE( SUBSTITUTE(TEXTJOIN("","", TRUE, IFERROR(ARRAYFORMULA(VLOOKUP(TRIM(SPLIT('Final Report'!A1508, "","")), 'URL Details'!A:D, 4, FALSE)),"""") ), CHAR(10),"&amp;" "",""), ""\s*,\s*"", "",""), "","")))&lt;&gt;"""" ) ) ) ),"""")
"),"")</f>
        <v/>
      </c>
      <c r="D1508" s="105"/>
      <c r="E1508" s="105"/>
      <c r="F1508" s="110" t="b">
        <v>0</v>
      </c>
      <c r="G1508" s="105" t="str">
        <f>IF(F1508=True, IFERROR(VLOOKUP(D1508, Repository!A:B, 2, 0), ""), "")</f>
        <v/>
      </c>
      <c r="H1508" s="105"/>
      <c r="I1508" s="105"/>
      <c r="J1508" s="105" t="str">
        <f>IF(F1508=True, IFERROR(VLOOKUP(D1508, Repository!A:C, 3, 0), ""), "")</f>
        <v/>
      </c>
      <c r="K1508" s="105"/>
      <c r="L1508" s="105" t="str">
        <f>IF(F1508=True, IFERROR(VLOOKUP(D1508, Repository!A:E, 5, 0), ""), "")</f>
        <v/>
      </c>
      <c r="M1508" s="105"/>
      <c r="N1508" s="105" t="str">
        <f>IF(F1508=True, IFERROR(VLOOKUP(D1508, Repository!A:G, 7, 0), ""), "")</f>
        <v/>
      </c>
      <c r="O1508" s="105" t="str">
        <f>IFERROR(__xludf.DUMMYFUNCTION("ARRAY_CONSTRAIN(
  ARRAYFORMULA(
    IFERROR(
      LET(
        list, N1508,
        arr, TRIM(SPLIT(list, "","")),
        names, XLOOKUP(
          arr,
          'Conformance Score'!A:A,
          'Conformance Score'!B:B,
          ""Not found""
     "&amp;"   ),
        TEXTJOIN("", "", TRUE, names)
      ),
      """"
    )
  ),
  1,
  1
)
"),"")</f>
        <v/>
      </c>
      <c r="P1508" s="105" t="str">
        <f>IF(F1508="Yes", IFERROR(VLOOKUP(D1508, Repository!A:F, 6, 0), ""), "")</f>
        <v/>
      </c>
      <c r="Q1508" s="105" t="str">
        <f>IF(F1508="Yes", IFERROR(VLOOKUP(D1508, Repository!A:I, 8, 0), ""), "")</f>
        <v/>
      </c>
      <c r="R1508" s="105" t="str">
        <f>IF(F1508="Yes", IFERROR(VLOOKUP(D1508, Repository!A:J, 9, 0), ""), "")</f>
        <v/>
      </c>
      <c r="S1508" s="105"/>
      <c r="T1508" s="105"/>
      <c r="U1508" s="105"/>
      <c r="V1508" s="105"/>
      <c r="W1508" s="105"/>
      <c r="X1508" s="105"/>
      <c r="Y1508" s="105"/>
      <c r="Z1508" s="105"/>
      <c r="AA1508" s="105"/>
      <c r="AB1508" s="105"/>
      <c r="AC1508" s="91"/>
      <c r="AD1508" s="105"/>
      <c r="AE1508" s="105"/>
      <c r="AF1508" s="91"/>
      <c r="AG1508" s="105"/>
      <c r="AH1508" s="105"/>
      <c r="AI1508" s="105" t="str">
        <f t="shared" si="1"/>
        <v/>
      </c>
      <c r="AJ1508" s="108" t="str">
        <f t="shared" si="2"/>
        <v/>
      </c>
    </row>
    <row r="1509" ht="15.75" customHeight="1">
      <c r="A1509" s="104"/>
      <c r="B1509" s="105" t="str">
        <f>IFERROR(__xludf.DUMMYFUNCTION("ARRAY_CONSTRAIN(
  ARRAYFORMULA(
    IF(
      'Final Report'!A1509="""",
      """",
      TEXTJOIN(
        "", "" &amp; CHAR(10),
        TRUE,
        IFERROR(
          VLOOKUP(
            TRIM(
              SPLIT('Final Report'!A1509, "","")
         "&amp;"   ),
            'URL Details'!A:B,
            2,
            FALSE
          ),
          """"
        )
      )
    )
  ),
  1,
  1
)
"),"")</f>
        <v/>
      </c>
      <c r="C1509" s="105" t="str">
        <f>IFERROR(__xludf.DUMMYFUNCTION("IFERROR(IF('Final Report'!A1509="""","""", TEXTJOIN(CHAR(10), TRUE, ARRAYFORMULA( ""• ""&amp; FILTER( TRIM(FLATTEN(SPLIT( REGEXREPLACE( SUBSTITUTE(TEXTJOIN("","", TRUE, IFERROR(ARRAYFORMULA(VLOOKUP(TRIM(SPLIT('Final Report'!A1509, "","")), 'URL Details'!A:D, "&amp;"4, FALSE)),"""") ), CHAR(10), "",""), ""\s*,\s*"", "",""), "",""))), TRIM(FLATTEN(SPLIT( REGEXREPLACE( SUBSTITUTE(TEXTJOIN("","", TRUE, IFERROR(ARRAYFORMULA(VLOOKUP(TRIM(SPLIT('Final Report'!A1509, "","")), 'URL Details'!A:D, 4, FALSE)),"""") ), CHAR(10),"&amp;" "",""), ""\s*,\s*"", "",""), "","")))&lt;&gt;"""" ) ) ) ),"""")
"),"")</f>
        <v/>
      </c>
      <c r="D1509" s="105"/>
      <c r="E1509" s="105"/>
      <c r="F1509" s="110" t="b">
        <v>0</v>
      </c>
      <c r="G1509" s="105" t="str">
        <f>IF(F1509=True, IFERROR(VLOOKUP(D1509, Repository!A:B, 2, 0), ""), "")</f>
        <v/>
      </c>
      <c r="H1509" s="105"/>
      <c r="I1509" s="105"/>
      <c r="J1509" s="105" t="str">
        <f>IF(F1509=True, IFERROR(VLOOKUP(D1509, Repository!A:C, 3, 0), ""), "")</f>
        <v/>
      </c>
      <c r="K1509" s="105"/>
      <c r="L1509" s="105" t="str">
        <f>IF(F1509=True, IFERROR(VLOOKUP(D1509, Repository!A:E, 5, 0), ""), "")</f>
        <v/>
      </c>
      <c r="M1509" s="105"/>
      <c r="N1509" s="105" t="str">
        <f>IF(F1509=True, IFERROR(VLOOKUP(D1509, Repository!A:G, 7, 0), ""), "")</f>
        <v/>
      </c>
      <c r="O1509" s="105" t="str">
        <f>IFERROR(__xludf.DUMMYFUNCTION("ARRAY_CONSTRAIN(
  ARRAYFORMULA(
    IFERROR(
      LET(
        list, N1509,
        arr, TRIM(SPLIT(list, "","")),
        names, XLOOKUP(
          arr,
          'Conformance Score'!A:A,
          'Conformance Score'!B:B,
          ""Not found""
     "&amp;"   ),
        TEXTJOIN("", "", TRUE, names)
      ),
      """"
    )
  ),
  1,
  1
)
"),"")</f>
        <v/>
      </c>
      <c r="P1509" s="105" t="str">
        <f>IF(F1509="Yes", IFERROR(VLOOKUP(D1509, Repository!A:F, 6, 0), ""), "")</f>
        <v/>
      </c>
      <c r="Q1509" s="105" t="str">
        <f>IF(F1509="Yes", IFERROR(VLOOKUP(D1509, Repository!A:I, 8, 0), ""), "")</f>
        <v/>
      </c>
      <c r="R1509" s="105" t="str">
        <f>IF(F1509="Yes", IFERROR(VLOOKUP(D1509, Repository!A:J, 9, 0), ""), "")</f>
        <v/>
      </c>
      <c r="S1509" s="105"/>
      <c r="T1509" s="105"/>
      <c r="U1509" s="105"/>
      <c r="V1509" s="105"/>
      <c r="W1509" s="105"/>
      <c r="X1509" s="105"/>
      <c r="Y1509" s="105"/>
      <c r="Z1509" s="105"/>
      <c r="AA1509" s="105"/>
      <c r="AB1509" s="105"/>
      <c r="AC1509" s="91"/>
      <c r="AD1509" s="105"/>
      <c r="AE1509" s="105"/>
      <c r="AF1509" s="91"/>
      <c r="AG1509" s="105"/>
      <c r="AH1509" s="105"/>
      <c r="AI1509" s="105" t="str">
        <f t="shared" si="1"/>
        <v/>
      </c>
      <c r="AJ1509" s="108" t="str">
        <f t="shared" si="2"/>
        <v/>
      </c>
    </row>
    <row r="1510" ht="15.75" customHeight="1">
      <c r="A1510" s="104"/>
      <c r="B1510" s="105" t="str">
        <f>IFERROR(__xludf.DUMMYFUNCTION("ARRAY_CONSTRAIN(
  ARRAYFORMULA(
    IF(
      'Final Report'!A1510="""",
      """",
      TEXTJOIN(
        "", "" &amp; CHAR(10),
        TRUE,
        IFERROR(
          VLOOKUP(
            TRIM(
              SPLIT('Final Report'!A1510, "","")
         "&amp;"   ),
            'URL Details'!A:B,
            2,
            FALSE
          ),
          """"
        )
      )
    )
  ),
  1,
  1
)
"),"")</f>
        <v/>
      </c>
      <c r="C1510" s="105" t="str">
        <f>IFERROR(__xludf.DUMMYFUNCTION("IFERROR(IF('Final Report'!A1510="""","""", TEXTJOIN(CHAR(10), TRUE, ARRAYFORMULA( ""• ""&amp; FILTER( TRIM(FLATTEN(SPLIT( REGEXREPLACE( SUBSTITUTE(TEXTJOIN("","", TRUE, IFERROR(ARRAYFORMULA(VLOOKUP(TRIM(SPLIT('Final Report'!A1510, "","")), 'URL Details'!A:D, "&amp;"4, FALSE)),"""") ), CHAR(10), "",""), ""\s*,\s*"", "",""), "",""))), TRIM(FLATTEN(SPLIT( REGEXREPLACE( SUBSTITUTE(TEXTJOIN("","", TRUE, IFERROR(ARRAYFORMULA(VLOOKUP(TRIM(SPLIT('Final Report'!A1510, "","")), 'URL Details'!A:D, 4, FALSE)),"""") ), CHAR(10),"&amp;" "",""), ""\s*,\s*"", "",""), "","")))&lt;&gt;"""" ) ) ) ),"""")
"),"")</f>
        <v/>
      </c>
      <c r="D1510" s="105"/>
      <c r="E1510" s="105"/>
      <c r="F1510" s="110" t="b">
        <v>0</v>
      </c>
      <c r="G1510" s="105" t="str">
        <f>IF(F1510=True, IFERROR(VLOOKUP(D1510, Repository!A:B, 2, 0), ""), "")</f>
        <v/>
      </c>
      <c r="H1510" s="105"/>
      <c r="I1510" s="105"/>
      <c r="J1510" s="105" t="str">
        <f>IF(F1510=True, IFERROR(VLOOKUP(D1510, Repository!A:C, 3, 0), ""), "")</f>
        <v/>
      </c>
      <c r="K1510" s="105"/>
      <c r="L1510" s="105" t="str">
        <f>IF(F1510=True, IFERROR(VLOOKUP(D1510, Repository!A:E, 5, 0), ""), "")</f>
        <v/>
      </c>
      <c r="M1510" s="105"/>
      <c r="N1510" s="105" t="str">
        <f>IF(F1510=True, IFERROR(VLOOKUP(D1510, Repository!A:G, 7, 0), ""), "")</f>
        <v/>
      </c>
      <c r="O1510" s="105" t="str">
        <f>IFERROR(__xludf.DUMMYFUNCTION("ARRAY_CONSTRAIN(
  ARRAYFORMULA(
    IFERROR(
      LET(
        list, N1510,
        arr, TRIM(SPLIT(list, "","")),
        names, XLOOKUP(
          arr,
          'Conformance Score'!A:A,
          'Conformance Score'!B:B,
          ""Not found""
     "&amp;"   ),
        TEXTJOIN("", "", TRUE, names)
      ),
      """"
    )
  ),
  1,
  1
)
"),"")</f>
        <v/>
      </c>
      <c r="P1510" s="105" t="str">
        <f>IF(F1510="Yes", IFERROR(VLOOKUP(D1510, Repository!A:F, 6, 0), ""), "")</f>
        <v/>
      </c>
      <c r="Q1510" s="105" t="str">
        <f>IF(F1510="Yes", IFERROR(VLOOKUP(D1510, Repository!A:I, 8, 0), ""), "")</f>
        <v/>
      </c>
      <c r="R1510" s="105" t="str">
        <f>IF(F1510="Yes", IFERROR(VLOOKUP(D1510, Repository!A:J, 9, 0), ""), "")</f>
        <v/>
      </c>
      <c r="S1510" s="105"/>
      <c r="T1510" s="105"/>
      <c r="U1510" s="105"/>
      <c r="V1510" s="105"/>
      <c r="W1510" s="105"/>
      <c r="X1510" s="105"/>
      <c r="Y1510" s="105"/>
      <c r="Z1510" s="105"/>
      <c r="AA1510" s="105"/>
      <c r="AB1510" s="105"/>
      <c r="AC1510" s="91"/>
      <c r="AD1510" s="105"/>
      <c r="AE1510" s="105"/>
      <c r="AF1510" s="91"/>
      <c r="AG1510" s="105"/>
      <c r="AH1510" s="105"/>
      <c r="AI1510" s="105" t="str">
        <f t="shared" si="1"/>
        <v/>
      </c>
      <c r="AJ1510" s="108" t="str">
        <f t="shared" si="2"/>
        <v/>
      </c>
    </row>
    <row r="1511" ht="15.75" customHeight="1">
      <c r="A1511" s="104"/>
      <c r="B1511" s="105" t="str">
        <f>IFERROR(__xludf.DUMMYFUNCTION("ARRAY_CONSTRAIN(
  ARRAYFORMULA(
    IF(
      'Final Report'!A1511="""",
      """",
      TEXTJOIN(
        "", "" &amp; CHAR(10),
        TRUE,
        IFERROR(
          VLOOKUP(
            TRIM(
              SPLIT('Final Report'!A1511, "","")
         "&amp;"   ),
            'URL Details'!A:B,
            2,
            FALSE
          ),
          """"
        )
      )
    )
  ),
  1,
  1
)
"),"")</f>
        <v/>
      </c>
      <c r="C1511" s="105" t="str">
        <f>IFERROR(__xludf.DUMMYFUNCTION("IFERROR(IF('Final Report'!A1511="""","""", TEXTJOIN(CHAR(10), TRUE, ARRAYFORMULA( ""• ""&amp; FILTER( TRIM(FLATTEN(SPLIT( REGEXREPLACE( SUBSTITUTE(TEXTJOIN("","", TRUE, IFERROR(ARRAYFORMULA(VLOOKUP(TRIM(SPLIT('Final Report'!A1511, "","")), 'URL Details'!A:D, "&amp;"4, FALSE)),"""") ), CHAR(10), "",""), ""\s*,\s*"", "",""), "",""))), TRIM(FLATTEN(SPLIT( REGEXREPLACE( SUBSTITUTE(TEXTJOIN("","", TRUE, IFERROR(ARRAYFORMULA(VLOOKUP(TRIM(SPLIT('Final Report'!A1511, "","")), 'URL Details'!A:D, 4, FALSE)),"""") ), CHAR(10),"&amp;" "",""), ""\s*,\s*"", "",""), "","")))&lt;&gt;"""" ) ) ) ),"""")
"),"")</f>
        <v/>
      </c>
      <c r="D1511" s="105"/>
      <c r="E1511" s="105"/>
      <c r="F1511" s="110" t="b">
        <v>0</v>
      </c>
      <c r="G1511" s="105" t="str">
        <f>IF(F1511=True, IFERROR(VLOOKUP(D1511, Repository!A:B, 2, 0), ""), "")</f>
        <v/>
      </c>
      <c r="H1511" s="105"/>
      <c r="I1511" s="105"/>
      <c r="J1511" s="105" t="str">
        <f>IF(F1511=True, IFERROR(VLOOKUP(D1511, Repository!A:C, 3, 0), ""), "")</f>
        <v/>
      </c>
      <c r="K1511" s="105"/>
      <c r="L1511" s="105" t="str">
        <f>IF(F1511=True, IFERROR(VLOOKUP(D1511, Repository!A:E, 5, 0), ""), "")</f>
        <v/>
      </c>
      <c r="M1511" s="105"/>
      <c r="N1511" s="105" t="str">
        <f>IF(F1511=True, IFERROR(VLOOKUP(D1511, Repository!A:G, 7, 0), ""), "")</f>
        <v/>
      </c>
      <c r="O1511" s="105" t="str">
        <f>IFERROR(__xludf.DUMMYFUNCTION("ARRAY_CONSTRAIN(
  ARRAYFORMULA(
    IFERROR(
      LET(
        list, N1511,
        arr, TRIM(SPLIT(list, "","")),
        names, XLOOKUP(
          arr,
          'Conformance Score'!A:A,
          'Conformance Score'!B:B,
          ""Not found""
     "&amp;"   ),
        TEXTJOIN("", "", TRUE, names)
      ),
      """"
    )
  ),
  1,
  1
)
"),"")</f>
        <v/>
      </c>
      <c r="P1511" s="105" t="str">
        <f>IF(F1511="Yes", IFERROR(VLOOKUP(D1511, Repository!A:F, 6, 0), ""), "")</f>
        <v/>
      </c>
      <c r="Q1511" s="105" t="str">
        <f>IF(F1511="Yes", IFERROR(VLOOKUP(D1511, Repository!A:I, 8, 0), ""), "")</f>
        <v/>
      </c>
      <c r="R1511" s="105" t="str">
        <f>IF(F1511="Yes", IFERROR(VLOOKUP(D1511, Repository!A:J, 9, 0), ""), "")</f>
        <v/>
      </c>
      <c r="S1511" s="105"/>
      <c r="T1511" s="105"/>
      <c r="U1511" s="105"/>
      <c r="V1511" s="105"/>
      <c r="W1511" s="105"/>
      <c r="X1511" s="105"/>
      <c r="Y1511" s="105"/>
      <c r="Z1511" s="105"/>
      <c r="AA1511" s="105"/>
      <c r="AB1511" s="105"/>
      <c r="AC1511" s="91"/>
      <c r="AD1511" s="105"/>
      <c r="AE1511" s="105"/>
      <c r="AF1511" s="91"/>
      <c r="AG1511" s="105"/>
      <c r="AH1511" s="105"/>
      <c r="AI1511" s="105" t="str">
        <f t="shared" si="1"/>
        <v/>
      </c>
      <c r="AJ1511" s="108" t="str">
        <f t="shared" si="2"/>
        <v/>
      </c>
    </row>
    <row r="1512" ht="15.75" customHeight="1">
      <c r="A1512" s="104"/>
      <c r="B1512" s="105" t="str">
        <f>IFERROR(__xludf.DUMMYFUNCTION("ARRAY_CONSTRAIN(
  ARRAYFORMULA(
    IF(
      'Final Report'!A1512="""",
      """",
      TEXTJOIN(
        "", "" &amp; CHAR(10),
        TRUE,
        IFERROR(
          VLOOKUP(
            TRIM(
              SPLIT('Final Report'!A1512, "","")
         "&amp;"   ),
            'URL Details'!A:B,
            2,
            FALSE
          ),
          """"
        )
      )
    )
  ),
  1,
  1
)
"),"")</f>
        <v/>
      </c>
      <c r="C1512" s="105" t="str">
        <f>IFERROR(__xludf.DUMMYFUNCTION("IFERROR(IF('Final Report'!A1512="""","""", TEXTJOIN(CHAR(10), TRUE, ARRAYFORMULA( ""• ""&amp; FILTER( TRIM(FLATTEN(SPLIT( REGEXREPLACE( SUBSTITUTE(TEXTJOIN("","", TRUE, IFERROR(ARRAYFORMULA(VLOOKUP(TRIM(SPLIT('Final Report'!A1512, "","")), 'URL Details'!A:D, "&amp;"4, FALSE)),"""") ), CHAR(10), "",""), ""\s*,\s*"", "",""), "",""))), TRIM(FLATTEN(SPLIT( REGEXREPLACE( SUBSTITUTE(TEXTJOIN("","", TRUE, IFERROR(ARRAYFORMULA(VLOOKUP(TRIM(SPLIT('Final Report'!A1512, "","")), 'URL Details'!A:D, 4, FALSE)),"""") ), CHAR(10),"&amp;" "",""), ""\s*,\s*"", "",""), "","")))&lt;&gt;"""" ) ) ) ),"""")
"),"")</f>
        <v/>
      </c>
      <c r="D1512" s="105"/>
      <c r="E1512" s="105"/>
      <c r="F1512" s="110" t="b">
        <v>0</v>
      </c>
      <c r="G1512" s="105" t="str">
        <f>IF(F1512=True, IFERROR(VLOOKUP(D1512, Repository!A:B, 2, 0), ""), "")</f>
        <v/>
      </c>
      <c r="H1512" s="105"/>
      <c r="I1512" s="105"/>
      <c r="J1512" s="105" t="str">
        <f>IF(F1512=True, IFERROR(VLOOKUP(D1512, Repository!A:C, 3, 0), ""), "")</f>
        <v/>
      </c>
      <c r="K1512" s="105"/>
      <c r="L1512" s="105" t="str">
        <f>IF(F1512=True, IFERROR(VLOOKUP(D1512, Repository!A:E, 5, 0), ""), "")</f>
        <v/>
      </c>
      <c r="M1512" s="105"/>
      <c r="N1512" s="105" t="str">
        <f>IF(F1512=True, IFERROR(VLOOKUP(D1512, Repository!A:G, 7, 0), ""), "")</f>
        <v/>
      </c>
      <c r="O1512" s="105" t="str">
        <f>IFERROR(__xludf.DUMMYFUNCTION("ARRAY_CONSTRAIN(
  ARRAYFORMULA(
    IFERROR(
      LET(
        list, N1512,
        arr, TRIM(SPLIT(list, "","")),
        names, XLOOKUP(
          arr,
          'Conformance Score'!A:A,
          'Conformance Score'!B:B,
          ""Not found""
     "&amp;"   ),
        TEXTJOIN("", "", TRUE, names)
      ),
      """"
    )
  ),
  1,
  1
)
"),"")</f>
        <v/>
      </c>
      <c r="P1512" s="105" t="str">
        <f>IF(F1512="Yes", IFERROR(VLOOKUP(D1512, Repository!A:F, 6, 0), ""), "")</f>
        <v/>
      </c>
      <c r="Q1512" s="105" t="str">
        <f>IF(F1512="Yes", IFERROR(VLOOKUP(D1512, Repository!A:I, 8, 0), ""), "")</f>
        <v/>
      </c>
      <c r="R1512" s="105" t="str">
        <f>IF(F1512="Yes", IFERROR(VLOOKUP(D1512, Repository!A:J, 9, 0), ""), "")</f>
        <v/>
      </c>
      <c r="S1512" s="105"/>
      <c r="T1512" s="105"/>
      <c r="U1512" s="105"/>
      <c r="V1512" s="105"/>
      <c r="W1512" s="105"/>
      <c r="X1512" s="105"/>
      <c r="Y1512" s="105"/>
      <c r="Z1512" s="105"/>
      <c r="AA1512" s="105"/>
      <c r="AB1512" s="105"/>
      <c r="AC1512" s="91"/>
      <c r="AD1512" s="105"/>
      <c r="AE1512" s="105"/>
      <c r="AF1512" s="91"/>
      <c r="AG1512" s="105"/>
      <c r="AH1512" s="105"/>
      <c r="AI1512" s="105" t="str">
        <f t="shared" si="1"/>
        <v/>
      </c>
      <c r="AJ1512" s="108" t="str">
        <f t="shared" si="2"/>
        <v/>
      </c>
    </row>
    <row r="1513" ht="15.75" customHeight="1">
      <c r="A1513" s="104"/>
      <c r="B1513" s="105" t="str">
        <f>IFERROR(__xludf.DUMMYFUNCTION("ARRAY_CONSTRAIN(
  ARRAYFORMULA(
    IF(
      'Final Report'!A1513="""",
      """",
      TEXTJOIN(
        "", "" &amp; CHAR(10),
        TRUE,
        IFERROR(
          VLOOKUP(
            TRIM(
              SPLIT('Final Report'!A1513, "","")
         "&amp;"   ),
            'URL Details'!A:B,
            2,
            FALSE
          ),
          """"
        )
      )
    )
  ),
  1,
  1
)
"),"")</f>
        <v/>
      </c>
      <c r="C1513" s="105" t="str">
        <f>IFERROR(__xludf.DUMMYFUNCTION("IFERROR(IF('Final Report'!A1513="""","""", TEXTJOIN(CHAR(10), TRUE, ARRAYFORMULA( ""• ""&amp; FILTER( TRIM(FLATTEN(SPLIT( REGEXREPLACE( SUBSTITUTE(TEXTJOIN("","", TRUE, IFERROR(ARRAYFORMULA(VLOOKUP(TRIM(SPLIT('Final Report'!A1513, "","")), 'URL Details'!A:D, "&amp;"4, FALSE)),"""") ), CHAR(10), "",""), ""\s*,\s*"", "",""), "",""))), TRIM(FLATTEN(SPLIT( REGEXREPLACE( SUBSTITUTE(TEXTJOIN("","", TRUE, IFERROR(ARRAYFORMULA(VLOOKUP(TRIM(SPLIT('Final Report'!A1513, "","")), 'URL Details'!A:D, 4, FALSE)),"""") ), CHAR(10),"&amp;" "",""), ""\s*,\s*"", "",""), "","")))&lt;&gt;"""" ) ) ) ),"""")
"),"")</f>
        <v/>
      </c>
      <c r="D1513" s="105"/>
      <c r="E1513" s="105"/>
      <c r="F1513" s="110" t="b">
        <v>0</v>
      </c>
      <c r="G1513" s="105" t="str">
        <f>IF(F1513=True, IFERROR(VLOOKUP(D1513, Repository!A:B, 2, 0), ""), "")</f>
        <v/>
      </c>
      <c r="H1513" s="105"/>
      <c r="I1513" s="105"/>
      <c r="J1513" s="105" t="str">
        <f>IF(F1513=True, IFERROR(VLOOKUP(D1513, Repository!A:C, 3, 0), ""), "")</f>
        <v/>
      </c>
      <c r="K1513" s="105"/>
      <c r="L1513" s="105" t="str">
        <f>IF(F1513=True, IFERROR(VLOOKUP(D1513, Repository!A:E, 5, 0), ""), "")</f>
        <v/>
      </c>
      <c r="M1513" s="105"/>
      <c r="N1513" s="105" t="str">
        <f>IF(F1513=True, IFERROR(VLOOKUP(D1513, Repository!A:G, 7, 0), ""), "")</f>
        <v/>
      </c>
      <c r="O1513" s="105" t="str">
        <f>IFERROR(__xludf.DUMMYFUNCTION("ARRAY_CONSTRAIN(
  ARRAYFORMULA(
    IFERROR(
      LET(
        list, N1513,
        arr, TRIM(SPLIT(list, "","")),
        names, XLOOKUP(
          arr,
          'Conformance Score'!A:A,
          'Conformance Score'!B:B,
          ""Not found""
     "&amp;"   ),
        TEXTJOIN("", "", TRUE, names)
      ),
      """"
    )
  ),
  1,
  1
)
"),"")</f>
        <v/>
      </c>
      <c r="P1513" s="105" t="str">
        <f>IF(F1513="Yes", IFERROR(VLOOKUP(D1513, Repository!A:F, 6, 0), ""), "")</f>
        <v/>
      </c>
      <c r="Q1513" s="105" t="str">
        <f>IF(F1513="Yes", IFERROR(VLOOKUP(D1513, Repository!A:I, 8, 0), ""), "")</f>
        <v/>
      </c>
      <c r="R1513" s="105" t="str">
        <f>IF(F1513="Yes", IFERROR(VLOOKUP(D1513, Repository!A:J, 9, 0), ""), "")</f>
        <v/>
      </c>
      <c r="S1513" s="105"/>
      <c r="T1513" s="105"/>
      <c r="U1513" s="105"/>
      <c r="V1513" s="105"/>
      <c r="W1513" s="105"/>
      <c r="X1513" s="105"/>
      <c r="Y1513" s="105"/>
      <c r="Z1513" s="105"/>
      <c r="AA1513" s="105"/>
      <c r="AB1513" s="105"/>
      <c r="AC1513" s="91"/>
      <c r="AD1513" s="105"/>
      <c r="AE1513" s="105"/>
      <c r="AF1513" s="91"/>
      <c r="AG1513" s="105"/>
      <c r="AH1513" s="105"/>
      <c r="AI1513" s="105" t="str">
        <f t="shared" si="1"/>
        <v/>
      </c>
      <c r="AJ1513" s="108" t="str">
        <f t="shared" si="2"/>
        <v/>
      </c>
    </row>
    <row r="1514" ht="15.75" customHeight="1">
      <c r="A1514" s="104"/>
      <c r="B1514" s="105" t="str">
        <f>IFERROR(__xludf.DUMMYFUNCTION("ARRAY_CONSTRAIN(
  ARRAYFORMULA(
    IF(
      'Final Report'!A1514="""",
      """",
      TEXTJOIN(
        "", "" &amp; CHAR(10),
        TRUE,
        IFERROR(
          VLOOKUP(
            TRIM(
              SPLIT('Final Report'!A1514, "","")
         "&amp;"   ),
            'URL Details'!A:B,
            2,
            FALSE
          ),
          """"
        )
      )
    )
  ),
  1,
  1
)
"),"")</f>
        <v/>
      </c>
      <c r="C1514" s="105" t="str">
        <f>IFERROR(__xludf.DUMMYFUNCTION("IFERROR(IF('Final Report'!A1514="""","""", TEXTJOIN(CHAR(10), TRUE, ARRAYFORMULA( ""• ""&amp; FILTER( TRIM(FLATTEN(SPLIT( REGEXREPLACE( SUBSTITUTE(TEXTJOIN("","", TRUE, IFERROR(ARRAYFORMULA(VLOOKUP(TRIM(SPLIT('Final Report'!A1514, "","")), 'URL Details'!A:D, "&amp;"4, FALSE)),"""") ), CHAR(10), "",""), ""\s*,\s*"", "",""), "",""))), TRIM(FLATTEN(SPLIT( REGEXREPLACE( SUBSTITUTE(TEXTJOIN("","", TRUE, IFERROR(ARRAYFORMULA(VLOOKUP(TRIM(SPLIT('Final Report'!A1514, "","")), 'URL Details'!A:D, 4, FALSE)),"""") ), CHAR(10),"&amp;" "",""), ""\s*,\s*"", "",""), "","")))&lt;&gt;"""" ) ) ) ),"""")
"),"")</f>
        <v/>
      </c>
      <c r="D1514" s="105"/>
      <c r="E1514" s="105"/>
      <c r="F1514" s="110" t="b">
        <v>0</v>
      </c>
      <c r="G1514" s="105" t="str">
        <f>IF(F1514=True, IFERROR(VLOOKUP(D1514, Repository!A:B, 2, 0), ""), "")</f>
        <v/>
      </c>
      <c r="H1514" s="105"/>
      <c r="I1514" s="105"/>
      <c r="J1514" s="105" t="str">
        <f>IF(F1514=True, IFERROR(VLOOKUP(D1514, Repository!A:C, 3, 0), ""), "")</f>
        <v/>
      </c>
      <c r="K1514" s="105"/>
      <c r="L1514" s="105" t="str">
        <f>IF(F1514=True, IFERROR(VLOOKUP(D1514, Repository!A:E, 5, 0), ""), "")</f>
        <v/>
      </c>
      <c r="M1514" s="105"/>
      <c r="N1514" s="105" t="str">
        <f>IF(F1514=True, IFERROR(VLOOKUP(D1514, Repository!A:G, 7, 0), ""), "")</f>
        <v/>
      </c>
      <c r="O1514" s="105" t="str">
        <f>IFERROR(__xludf.DUMMYFUNCTION("ARRAY_CONSTRAIN(
  ARRAYFORMULA(
    IFERROR(
      LET(
        list, N1514,
        arr, TRIM(SPLIT(list, "","")),
        names, XLOOKUP(
          arr,
          'Conformance Score'!A:A,
          'Conformance Score'!B:B,
          ""Not found""
     "&amp;"   ),
        TEXTJOIN("", "", TRUE, names)
      ),
      """"
    )
  ),
  1,
  1
)
"),"")</f>
        <v/>
      </c>
      <c r="P1514" s="105" t="str">
        <f>IF(F1514="Yes", IFERROR(VLOOKUP(D1514, Repository!A:F, 6, 0), ""), "")</f>
        <v/>
      </c>
      <c r="Q1514" s="105" t="str">
        <f>IF(F1514="Yes", IFERROR(VLOOKUP(D1514, Repository!A:I, 8, 0), ""), "")</f>
        <v/>
      </c>
      <c r="R1514" s="105" t="str">
        <f>IF(F1514="Yes", IFERROR(VLOOKUP(D1514, Repository!A:J, 9, 0), ""), "")</f>
        <v/>
      </c>
      <c r="S1514" s="105"/>
      <c r="T1514" s="105"/>
      <c r="U1514" s="105"/>
      <c r="V1514" s="105"/>
      <c r="W1514" s="105"/>
      <c r="X1514" s="105"/>
      <c r="Y1514" s="105"/>
      <c r="Z1514" s="105"/>
      <c r="AA1514" s="105"/>
      <c r="AB1514" s="105"/>
      <c r="AC1514" s="91"/>
      <c r="AD1514" s="105"/>
      <c r="AE1514" s="105"/>
      <c r="AF1514" s="91"/>
      <c r="AG1514" s="105"/>
      <c r="AH1514" s="105"/>
      <c r="AI1514" s="105" t="str">
        <f t="shared" si="1"/>
        <v/>
      </c>
      <c r="AJ1514" s="108" t="str">
        <f t="shared" si="2"/>
        <v/>
      </c>
    </row>
    <row r="1515" ht="15.75" customHeight="1">
      <c r="A1515" s="104"/>
      <c r="B1515" s="105" t="str">
        <f>IFERROR(__xludf.DUMMYFUNCTION("ARRAY_CONSTRAIN(
  ARRAYFORMULA(
    IF(
      'Final Report'!A1515="""",
      """",
      TEXTJOIN(
        "", "" &amp; CHAR(10),
        TRUE,
        IFERROR(
          VLOOKUP(
            TRIM(
              SPLIT('Final Report'!A1515, "","")
         "&amp;"   ),
            'URL Details'!A:B,
            2,
            FALSE
          ),
          """"
        )
      )
    )
  ),
  1,
  1
)
"),"")</f>
        <v/>
      </c>
      <c r="C1515" s="105" t="str">
        <f>IFERROR(__xludf.DUMMYFUNCTION("IFERROR(IF('Final Report'!A1515="""","""", TEXTJOIN(CHAR(10), TRUE, ARRAYFORMULA( ""• ""&amp; FILTER( TRIM(FLATTEN(SPLIT( REGEXREPLACE( SUBSTITUTE(TEXTJOIN("","", TRUE, IFERROR(ARRAYFORMULA(VLOOKUP(TRIM(SPLIT('Final Report'!A1515, "","")), 'URL Details'!A:D, "&amp;"4, FALSE)),"""") ), CHAR(10), "",""), ""\s*,\s*"", "",""), "",""))), TRIM(FLATTEN(SPLIT( REGEXREPLACE( SUBSTITUTE(TEXTJOIN("","", TRUE, IFERROR(ARRAYFORMULA(VLOOKUP(TRIM(SPLIT('Final Report'!A1515, "","")), 'URL Details'!A:D, 4, FALSE)),"""") ), CHAR(10),"&amp;" "",""), ""\s*,\s*"", "",""), "","")))&lt;&gt;"""" ) ) ) ),"""")
"),"")</f>
        <v/>
      </c>
      <c r="D1515" s="105"/>
      <c r="E1515" s="105"/>
      <c r="F1515" s="110" t="b">
        <v>0</v>
      </c>
      <c r="G1515" s="105" t="str">
        <f>IF(F1515=True, IFERROR(VLOOKUP(D1515, Repository!A:B, 2, 0), ""), "")</f>
        <v/>
      </c>
      <c r="H1515" s="105"/>
      <c r="I1515" s="105"/>
      <c r="J1515" s="105" t="str">
        <f>IF(F1515=True, IFERROR(VLOOKUP(D1515, Repository!A:C, 3, 0), ""), "")</f>
        <v/>
      </c>
      <c r="K1515" s="105"/>
      <c r="L1515" s="105" t="str">
        <f>IF(F1515=True, IFERROR(VLOOKUP(D1515, Repository!A:E, 5, 0), ""), "")</f>
        <v/>
      </c>
      <c r="M1515" s="105"/>
      <c r="N1515" s="105" t="str">
        <f>IF(F1515=True, IFERROR(VLOOKUP(D1515, Repository!A:G, 7, 0), ""), "")</f>
        <v/>
      </c>
      <c r="O1515" s="105" t="str">
        <f>IFERROR(__xludf.DUMMYFUNCTION("ARRAY_CONSTRAIN(
  ARRAYFORMULA(
    IFERROR(
      LET(
        list, N1515,
        arr, TRIM(SPLIT(list, "","")),
        names, XLOOKUP(
          arr,
          'Conformance Score'!A:A,
          'Conformance Score'!B:B,
          ""Not found""
     "&amp;"   ),
        TEXTJOIN("", "", TRUE, names)
      ),
      """"
    )
  ),
  1,
  1
)
"),"")</f>
        <v/>
      </c>
      <c r="P1515" s="105" t="str">
        <f>IF(F1515="Yes", IFERROR(VLOOKUP(D1515, Repository!A:F, 6, 0), ""), "")</f>
        <v/>
      </c>
      <c r="Q1515" s="105" t="str">
        <f>IF(F1515="Yes", IFERROR(VLOOKUP(D1515, Repository!A:I, 8, 0), ""), "")</f>
        <v/>
      </c>
      <c r="R1515" s="105" t="str">
        <f>IF(F1515="Yes", IFERROR(VLOOKUP(D1515, Repository!A:J, 9, 0), ""), "")</f>
        <v/>
      </c>
      <c r="S1515" s="105"/>
      <c r="T1515" s="105"/>
      <c r="U1515" s="105"/>
      <c r="V1515" s="105"/>
      <c r="W1515" s="105"/>
      <c r="X1515" s="105"/>
      <c r="Y1515" s="105"/>
      <c r="Z1515" s="105"/>
      <c r="AA1515" s="105"/>
      <c r="AB1515" s="105"/>
      <c r="AC1515" s="91"/>
      <c r="AD1515" s="105"/>
      <c r="AE1515" s="105"/>
      <c r="AF1515" s="91"/>
      <c r="AG1515" s="105"/>
      <c r="AH1515" s="105"/>
      <c r="AI1515" s="105" t="str">
        <f t="shared" si="1"/>
        <v/>
      </c>
      <c r="AJ1515" s="108" t="str">
        <f t="shared" si="2"/>
        <v/>
      </c>
    </row>
    <row r="1516" ht="15.75" customHeight="1">
      <c r="A1516" s="104"/>
      <c r="B1516" s="105" t="str">
        <f>IFERROR(__xludf.DUMMYFUNCTION("ARRAY_CONSTRAIN(
  ARRAYFORMULA(
    IF(
      'Final Report'!A1516="""",
      """",
      TEXTJOIN(
        "", "" &amp; CHAR(10),
        TRUE,
        IFERROR(
          VLOOKUP(
            TRIM(
              SPLIT('Final Report'!A1516, "","")
         "&amp;"   ),
            'URL Details'!A:B,
            2,
            FALSE
          ),
          """"
        )
      )
    )
  ),
  1,
  1
)
"),"")</f>
        <v/>
      </c>
      <c r="C1516" s="105" t="str">
        <f>IFERROR(__xludf.DUMMYFUNCTION("IFERROR(IF('Final Report'!A1516="""","""", TEXTJOIN(CHAR(10), TRUE, ARRAYFORMULA( ""• ""&amp; FILTER( TRIM(FLATTEN(SPLIT( REGEXREPLACE( SUBSTITUTE(TEXTJOIN("","", TRUE, IFERROR(ARRAYFORMULA(VLOOKUP(TRIM(SPLIT('Final Report'!A1516, "","")), 'URL Details'!A:D, "&amp;"4, FALSE)),"""") ), CHAR(10), "",""), ""\s*,\s*"", "",""), "",""))), TRIM(FLATTEN(SPLIT( REGEXREPLACE( SUBSTITUTE(TEXTJOIN("","", TRUE, IFERROR(ARRAYFORMULA(VLOOKUP(TRIM(SPLIT('Final Report'!A1516, "","")), 'URL Details'!A:D, 4, FALSE)),"""") ), CHAR(10),"&amp;" "",""), ""\s*,\s*"", "",""), "","")))&lt;&gt;"""" ) ) ) ),"""")
"),"")</f>
        <v/>
      </c>
      <c r="D1516" s="105"/>
      <c r="E1516" s="105"/>
      <c r="F1516" s="110" t="b">
        <v>0</v>
      </c>
      <c r="G1516" s="105" t="str">
        <f>IF(F1516=True, IFERROR(VLOOKUP(D1516, Repository!A:B, 2, 0), ""), "")</f>
        <v/>
      </c>
      <c r="H1516" s="105"/>
      <c r="I1516" s="105"/>
      <c r="J1516" s="105" t="str">
        <f>IF(F1516=True, IFERROR(VLOOKUP(D1516, Repository!A:C, 3, 0), ""), "")</f>
        <v/>
      </c>
      <c r="K1516" s="105"/>
      <c r="L1516" s="105" t="str">
        <f>IF(F1516=True, IFERROR(VLOOKUP(D1516, Repository!A:E, 5, 0), ""), "")</f>
        <v/>
      </c>
      <c r="M1516" s="105"/>
      <c r="N1516" s="105" t="str">
        <f>IF(F1516=True, IFERROR(VLOOKUP(D1516, Repository!A:G, 7, 0), ""), "")</f>
        <v/>
      </c>
      <c r="O1516" s="105" t="str">
        <f>IFERROR(__xludf.DUMMYFUNCTION("ARRAY_CONSTRAIN(
  ARRAYFORMULA(
    IFERROR(
      LET(
        list, N1516,
        arr, TRIM(SPLIT(list, "","")),
        names, XLOOKUP(
          arr,
          'Conformance Score'!A:A,
          'Conformance Score'!B:B,
          ""Not found""
     "&amp;"   ),
        TEXTJOIN("", "", TRUE, names)
      ),
      """"
    )
  ),
  1,
  1
)
"),"")</f>
        <v/>
      </c>
      <c r="P1516" s="105" t="str">
        <f>IF(F1516="Yes", IFERROR(VLOOKUP(D1516, Repository!A:F, 6, 0), ""), "")</f>
        <v/>
      </c>
      <c r="Q1516" s="105" t="str">
        <f>IF(F1516="Yes", IFERROR(VLOOKUP(D1516, Repository!A:I, 8, 0), ""), "")</f>
        <v/>
      </c>
      <c r="R1516" s="105" t="str">
        <f>IF(F1516="Yes", IFERROR(VLOOKUP(D1516, Repository!A:J, 9, 0), ""), "")</f>
        <v/>
      </c>
      <c r="S1516" s="105"/>
      <c r="T1516" s="105"/>
      <c r="U1516" s="105"/>
      <c r="V1516" s="105"/>
      <c r="W1516" s="105"/>
      <c r="X1516" s="105"/>
      <c r="Y1516" s="105"/>
      <c r="Z1516" s="105"/>
      <c r="AA1516" s="105"/>
      <c r="AB1516" s="105"/>
      <c r="AC1516" s="91"/>
      <c r="AD1516" s="105"/>
      <c r="AE1516" s="105"/>
      <c r="AF1516" s="91"/>
      <c r="AG1516" s="105"/>
      <c r="AH1516" s="105"/>
      <c r="AI1516" s="105" t="str">
        <f t="shared" si="1"/>
        <v/>
      </c>
      <c r="AJ1516" s="108" t="str">
        <f t="shared" si="2"/>
        <v/>
      </c>
    </row>
    <row r="1517" ht="15.75" customHeight="1">
      <c r="A1517" s="104"/>
      <c r="B1517" s="105" t="str">
        <f>IFERROR(__xludf.DUMMYFUNCTION("ARRAY_CONSTRAIN(
  ARRAYFORMULA(
    IF(
      'Final Report'!A1517="""",
      """",
      TEXTJOIN(
        "", "" &amp; CHAR(10),
        TRUE,
        IFERROR(
          VLOOKUP(
            TRIM(
              SPLIT('Final Report'!A1517, "","")
         "&amp;"   ),
            'URL Details'!A:B,
            2,
            FALSE
          ),
          """"
        )
      )
    )
  ),
  1,
  1
)
"),"")</f>
        <v/>
      </c>
      <c r="C1517" s="105" t="str">
        <f>IFERROR(__xludf.DUMMYFUNCTION("IFERROR(IF('Final Report'!A1517="""","""", TEXTJOIN(CHAR(10), TRUE, ARRAYFORMULA( ""• ""&amp; FILTER( TRIM(FLATTEN(SPLIT( REGEXREPLACE( SUBSTITUTE(TEXTJOIN("","", TRUE, IFERROR(ARRAYFORMULA(VLOOKUP(TRIM(SPLIT('Final Report'!A1517, "","")), 'URL Details'!A:D, "&amp;"4, FALSE)),"""") ), CHAR(10), "",""), ""\s*,\s*"", "",""), "",""))), TRIM(FLATTEN(SPLIT( REGEXREPLACE( SUBSTITUTE(TEXTJOIN("","", TRUE, IFERROR(ARRAYFORMULA(VLOOKUP(TRIM(SPLIT('Final Report'!A1517, "","")), 'URL Details'!A:D, 4, FALSE)),"""") ), CHAR(10),"&amp;" "",""), ""\s*,\s*"", "",""), "","")))&lt;&gt;"""" ) ) ) ),"""")
"),"")</f>
        <v/>
      </c>
      <c r="D1517" s="105"/>
      <c r="E1517" s="105"/>
      <c r="F1517" s="110" t="b">
        <v>0</v>
      </c>
      <c r="G1517" s="105" t="str">
        <f>IF(F1517=True, IFERROR(VLOOKUP(D1517, Repository!A:B, 2, 0), ""), "")</f>
        <v/>
      </c>
      <c r="H1517" s="105"/>
      <c r="I1517" s="105"/>
      <c r="J1517" s="105" t="str">
        <f>IF(F1517=True, IFERROR(VLOOKUP(D1517, Repository!A:C, 3, 0), ""), "")</f>
        <v/>
      </c>
      <c r="K1517" s="105"/>
      <c r="L1517" s="105" t="str">
        <f>IF(F1517=True, IFERROR(VLOOKUP(D1517, Repository!A:E, 5, 0), ""), "")</f>
        <v/>
      </c>
      <c r="M1517" s="105"/>
      <c r="N1517" s="105" t="str">
        <f>IF(F1517=True, IFERROR(VLOOKUP(D1517, Repository!A:G, 7, 0), ""), "")</f>
        <v/>
      </c>
      <c r="O1517" s="105" t="str">
        <f>IFERROR(__xludf.DUMMYFUNCTION("ARRAY_CONSTRAIN(
  ARRAYFORMULA(
    IFERROR(
      LET(
        list, N1517,
        arr, TRIM(SPLIT(list, "","")),
        names, XLOOKUP(
          arr,
          'Conformance Score'!A:A,
          'Conformance Score'!B:B,
          ""Not found""
     "&amp;"   ),
        TEXTJOIN("", "", TRUE, names)
      ),
      """"
    )
  ),
  1,
  1
)
"),"")</f>
        <v/>
      </c>
      <c r="P1517" s="105" t="str">
        <f>IF(F1517="Yes", IFERROR(VLOOKUP(D1517, Repository!A:F, 6, 0), ""), "")</f>
        <v/>
      </c>
      <c r="Q1517" s="105" t="str">
        <f>IF(F1517="Yes", IFERROR(VLOOKUP(D1517, Repository!A:I, 8, 0), ""), "")</f>
        <v/>
      </c>
      <c r="R1517" s="105" t="str">
        <f>IF(F1517="Yes", IFERROR(VLOOKUP(D1517, Repository!A:J, 9, 0), ""), "")</f>
        <v/>
      </c>
      <c r="S1517" s="105"/>
      <c r="T1517" s="105"/>
      <c r="U1517" s="105"/>
      <c r="V1517" s="105"/>
      <c r="W1517" s="105"/>
      <c r="X1517" s="105"/>
      <c r="Y1517" s="105"/>
      <c r="Z1517" s="105"/>
      <c r="AA1517" s="105"/>
      <c r="AB1517" s="105"/>
      <c r="AC1517" s="91"/>
      <c r="AD1517" s="105"/>
      <c r="AE1517" s="105"/>
      <c r="AF1517" s="91"/>
      <c r="AG1517" s="105"/>
      <c r="AH1517" s="105"/>
      <c r="AI1517" s="105" t="str">
        <f t="shared" si="1"/>
        <v/>
      </c>
      <c r="AJ1517" s="108" t="str">
        <f t="shared" si="2"/>
        <v/>
      </c>
    </row>
    <row r="1518" ht="15.75" customHeight="1">
      <c r="A1518" s="104"/>
      <c r="B1518" s="105" t="str">
        <f>IFERROR(__xludf.DUMMYFUNCTION("ARRAY_CONSTRAIN(
  ARRAYFORMULA(
    IF(
      'Final Report'!A1518="""",
      """",
      TEXTJOIN(
        "", "" &amp; CHAR(10),
        TRUE,
        IFERROR(
          VLOOKUP(
            TRIM(
              SPLIT('Final Report'!A1518, "","")
         "&amp;"   ),
            'URL Details'!A:B,
            2,
            FALSE
          ),
          """"
        )
      )
    )
  ),
  1,
  1
)
"),"")</f>
        <v/>
      </c>
      <c r="C1518" s="105" t="str">
        <f>IFERROR(__xludf.DUMMYFUNCTION("IFERROR(IF('Final Report'!A1518="""","""", TEXTJOIN(CHAR(10), TRUE, ARRAYFORMULA( ""• ""&amp; FILTER( TRIM(FLATTEN(SPLIT( REGEXREPLACE( SUBSTITUTE(TEXTJOIN("","", TRUE, IFERROR(ARRAYFORMULA(VLOOKUP(TRIM(SPLIT('Final Report'!A1518, "","")), 'URL Details'!A:D, "&amp;"4, FALSE)),"""") ), CHAR(10), "",""), ""\s*,\s*"", "",""), "",""))), TRIM(FLATTEN(SPLIT( REGEXREPLACE( SUBSTITUTE(TEXTJOIN("","", TRUE, IFERROR(ARRAYFORMULA(VLOOKUP(TRIM(SPLIT('Final Report'!A1518, "","")), 'URL Details'!A:D, 4, FALSE)),"""") ), CHAR(10),"&amp;" "",""), ""\s*,\s*"", "",""), "","")))&lt;&gt;"""" ) ) ) ),"""")
"),"")</f>
        <v/>
      </c>
      <c r="D1518" s="105"/>
      <c r="E1518" s="105"/>
      <c r="F1518" s="110" t="b">
        <v>0</v>
      </c>
      <c r="G1518" s="105" t="str">
        <f>IF(F1518=True, IFERROR(VLOOKUP(D1518, Repository!A:B, 2, 0), ""), "")</f>
        <v/>
      </c>
      <c r="H1518" s="105"/>
      <c r="I1518" s="105"/>
      <c r="J1518" s="105" t="str">
        <f>IF(F1518=True, IFERROR(VLOOKUP(D1518, Repository!A:C, 3, 0), ""), "")</f>
        <v/>
      </c>
      <c r="K1518" s="105"/>
      <c r="L1518" s="105" t="str">
        <f>IF(F1518=True, IFERROR(VLOOKUP(D1518, Repository!A:E, 5, 0), ""), "")</f>
        <v/>
      </c>
      <c r="M1518" s="105"/>
      <c r="N1518" s="105" t="str">
        <f>IF(F1518=True, IFERROR(VLOOKUP(D1518, Repository!A:G, 7, 0), ""), "")</f>
        <v/>
      </c>
      <c r="O1518" s="105" t="str">
        <f>IFERROR(__xludf.DUMMYFUNCTION("ARRAY_CONSTRAIN(
  ARRAYFORMULA(
    IFERROR(
      LET(
        list, N1518,
        arr, TRIM(SPLIT(list, "","")),
        names, XLOOKUP(
          arr,
          'Conformance Score'!A:A,
          'Conformance Score'!B:B,
          ""Not found""
     "&amp;"   ),
        TEXTJOIN("", "", TRUE, names)
      ),
      """"
    )
  ),
  1,
  1
)
"),"")</f>
        <v/>
      </c>
      <c r="P1518" s="105" t="str">
        <f>IF(F1518="Yes", IFERROR(VLOOKUP(D1518, Repository!A:F, 6, 0), ""), "")</f>
        <v/>
      </c>
      <c r="Q1518" s="105" t="str">
        <f>IF(F1518="Yes", IFERROR(VLOOKUP(D1518, Repository!A:I, 8, 0), ""), "")</f>
        <v/>
      </c>
      <c r="R1518" s="105" t="str">
        <f>IF(F1518="Yes", IFERROR(VLOOKUP(D1518, Repository!A:J, 9, 0), ""), "")</f>
        <v/>
      </c>
      <c r="S1518" s="105"/>
      <c r="T1518" s="105"/>
      <c r="U1518" s="105"/>
      <c r="V1518" s="105"/>
      <c r="W1518" s="105"/>
      <c r="X1518" s="105"/>
      <c r="Y1518" s="105"/>
      <c r="Z1518" s="105"/>
      <c r="AA1518" s="105"/>
      <c r="AB1518" s="105"/>
      <c r="AC1518" s="91"/>
      <c r="AD1518" s="105"/>
      <c r="AE1518" s="105"/>
      <c r="AF1518" s="91"/>
      <c r="AG1518" s="105"/>
      <c r="AH1518" s="105"/>
      <c r="AI1518" s="105" t="str">
        <f t="shared" si="1"/>
        <v/>
      </c>
      <c r="AJ1518" s="108" t="str">
        <f t="shared" si="2"/>
        <v/>
      </c>
    </row>
    <row r="1519" ht="15.75" customHeight="1">
      <c r="A1519" s="104"/>
      <c r="B1519" s="105" t="str">
        <f>IFERROR(__xludf.DUMMYFUNCTION("ARRAY_CONSTRAIN(
  ARRAYFORMULA(
    IF(
      'Final Report'!A1519="""",
      """",
      TEXTJOIN(
        "", "" &amp; CHAR(10),
        TRUE,
        IFERROR(
          VLOOKUP(
            TRIM(
              SPLIT('Final Report'!A1519, "","")
         "&amp;"   ),
            'URL Details'!A:B,
            2,
            FALSE
          ),
          """"
        )
      )
    )
  ),
  1,
  1
)
"),"")</f>
        <v/>
      </c>
      <c r="C1519" s="105" t="str">
        <f>IFERROR(__xludf.DUMMYFUNCTION("IFERROR(IF('Final Report'!A1519="""","""", TEXTJOIN(CHAR(10), TRUE, ARRAYFORMULA( ""• ""&amp; FILTER( TRIM(FLATTEN(SPLIT( REGEXREPLACE( SUBSTITUTE(TEXTJOIN("","", TRUE, IFERROR(ARRAYFORMULA(VLOOKUP(TRIM(SPLIT('Final Report'!A1519, "","")), 'URL Details'!A:D, "&amp;"4, FALSE)),"""") ), CHAR(10), "",""), ""\s*,\s*"", "",""), "",""))), TRIM(FLATTEN(SPLIT( REGEXREPLACE( SUBSTITUTE(TEXTJOIN("","", TRUE, IFERROR(ARRAYFORMULA(VLOOKUP(TRIM(SPLIT('Final Report'!A1519, "","")), 'URL Details'!A:D, 4, FALSE)),"""") ), CHAR(10),"&amp;" "",""), ""\s*,\s*"", "",""), "","")))&lt;&gt;"""" ) ) ) ),"""")
"),"")</f>
        <v/>
      </c>
      <c r="D1519" s="105"/>
      <c r="E1519" s="105"/>
      <c r="F1519" s="110" t="b">
        <v>0</v>
      </c>
      <c r="G1519" s="105" t="str">
        <f>IF(F1519=True, IFERROR(VLOOKUP(D1519, Repository!A:B, 2, 0), ""), "")</f>
        <v/>
      </c>
      <c r="H1519" s="105"/>
      <c r="I1519" s="105"/>
      <c r="J1519" s="105" t="str">
        <f>IF(F1519=True, IFERROR(VLOOKUP(D1519, Repository!A:C, 3, 0), ""), "")</f>
        <v/>
      </c>
      <c r="K1519" s="105"/>
      <c r="L1519" s="105" t="str">
        <f>IF(F1519=True, IFERROR(VLOOKUP(D1519, Repository!A:E, 5, 0), ""), "")</f>
        <v/>
      </c>
      <c r="M1519" s="105"/>
      <c r="N1519" s="105" t="str">
        <f>IF(F1519=True, IFERROR(VLOOKUP(D1519, Repository!A:G, 7, 0), ""), "")</f>
        <v/>
      </c>
      <c r="O1519" s="105" t="str">
        <f>IFERROR(__xludf.DUMMYFUNCTION("ARRAY_CONSTRAIN(
  ARRAYFORMULA(
    IFERROR(
      LET(
        list, N1519,
        arr, TRIM(SPLIT(list, "","")),
        names, XLOOKUP(
          arr,
          'Conformance Score'!A:A,
          'Conformance Score'!B:B,
          ""Not found""
     "&amp;"   ),
        TEXTJOIN("", "", TRUE, names)
      ),
      """"
    )
  ),
  1,
  1
)
"),"")</f>
        <v/>
      </c>
      <c r="P1519" s="105" t="str">
        <f>IF(F1519="Yes", IFERROR(VLOOKUP(D1519, Repository!A:F, 6, 0), ""), "")</f>
        <v/>
      </c>
      <c r="Q1519" s="105" t="str">
        <f>IF(F1519="Yes", IFERROR(VLOOKUP(D1519, Repository!A:I, 8, 0), ""), "")</f>
        <v/>
      </c>
      <c r="R1519" s="105" t="str">
        <f>IF(F1519="Yes", IFERROR(VLOOKUP(D1519, Repository!A:J, 9, 0), ""), "")</f>
        <v/>
      </c>
      <c r="S1519" s="105"/>
      <c r="T1519" s="105"/>
      <c r="U1519" s="105"/>
      <c r="V1519" s="105"/>
      <c r="W1519" s="105"/>
      <c r="X1519" s="105"/>
      <c r="Y1519" s="105"/>
      <c r="Z1519" s="105"/>
      <c r="AA1519" s="105"/>
      <c r="AB1519" s="105"/>
      <c r="AC1519" s="91"/>
      <c r="AD1519" s="105"/>
      <c r="AE1519" s="105"/>
      <c r="AF1519" s="91"/>
      <c r="AG1519" s="105"/>
      <c r="AH1519" s="105"/>
      <c r="AI1519" s="105" t="str">
        <f t="shared" si="1"/>
        <v/>
      </c>
      <c r="AJ1519" s="108" t="str">
        <f t="shared" si="2"/>
        <v/>
      </c>
    </row>
    <row r="1520" ht="15.75" customHeight="1">
      <c r="A1520" s="104"/>
      <c r="B1520" s="105" t="str">
        <f>IFERROR(__xludf.DUMMYFUNCTION("ARRAY_CONSTRAIN(
  ARRAYFORMULA(
    IF(
      'Final Report'!A1520="""",
      """",
      TEXTJOIN(
        "", "" &amp; CHAR(10),
        TRUE,
        IFERROR(
          VLOOKUP(
            TRIM(
              SPLIT('Final Report'!A1520, "","")
         "&amp;"   ),
            'URL Details'!A:B,
            2,
            FALSE
          ),
          """"
        )
      )
    )
  ),
  1,
  1
)
"),"")</f>
        <v/>
      </c>
      <c r="C1520" s="105" t="str">
        <f>IFERROR(__xludf.DUMMYFUNCTION("IFERROR(IF('Final Report'!A1520="""","""", TEXTJOIN(CHAR(10), TRUE, ARRAYFORMULA( ""• ""&amp; FILTER( TRIM(FLATTEN(SPLIT( REGEXREPLACE( SUBSTITUTE(TEXTJOIN("","", TRUE, IFERROR(ARRAYFORMULA(VLOOKUP(TRIM(SPLIT('Final Report'!A1520, "","")), 'URL Details'!A:D, "&amp;"4, FALSE)),"""") ), CHAR(10), "",""), ""\s*,\s*"", "",""), "",""))), TRIM(FLATTEN(SPLIT( REGEXREPLACE( SUBSTITUTE(TEXTJOIN("","", TRUE, IFERROR(ARRAYFORMULA(VLOOKUP(TRIM(SPLIT('Final Report'!A1520, "","")), 'URL Details'!A:D, 4, FALSE)),"""") ), CHAR(10),"&amp;" "",""), ""\s*,\s*"", "",""), "","")))&lt;&gt;"""" ) ) ) ),"""")
"),"")</f>
        <v/>
      </c>
      <c r="D1520" s="105"/>
      <c r="E1520" s="105"/>
      <c r="F1520" s="110" t="b">
        <v>0</v>
      </c>
      <c r="G1520" s="105" t="str">
        <f>IF(F1520=True, IFERROR(VLOOKUP(D1520, Repository!A:B, 2, 0), ""), "")</f>
        <v/>
      </c>
      <c r="H1520" s="105"/>
      <c r="I1520" s="105"/>
      <c r="J1520" s="105" t="str">
        <f>IF(F1520=True, IFERROR(VLOOKUP(D1520, Repository!A:C, 3, 0), ""), "")</f>
        <v/>
      </c>
      <c r="K1520" s="105"/>
      <c r="L1520" s="105" t="str">
        <f>IF(F1520=True, IFERROR(VLOOKUP(D1520, Repository!A:E, 5, 0), ""), "")</f>
        <v/>
      </c>
      <c r="M1520" s="105"/>
      <c r="N1520" s="105" t="str">
        <f>IF(F1520=True, IFERROR(VLOOKUP(D1520, Repository!A:G, 7, 0), ""), "")</f>
        <v/>
      </c>
      <c r="O1520" s="105" t="str">
        <f>IFERROR(__xludf.DUMMYFUNCTION("ARRAY_CONSTRAIN(
  ARRAYFORMULA(
    IFERROR(
      LET(
        list, N1520,
        arr, TRIM(SPLIT(list, "","")),
        names, XLOOKUP(
          arr,
          'Conformance Score'!A:A,
          'Conformance Score'!B:B,
          ""Not found""
     "&amp;"   ),
        TEXTJOIN("", "", TRUE, names)
      ),
      """"
    )
  ),
  1,
  1
)
"),"")</f>
        <v/>
      </c>
      <c r="P1520" s="105" t="str">
        <f>IF(F1520="Yes", IFERROR(VLOOKUP(D1520, Repository!A:F, 6, 0), ""), "")</f>
        <v/>
      </c>
      <c r="Q1520" s="105" t="str">
        <f>IF(F1520="Yes", IFERROR(VLOOKUP(D1520, Repository!A:I, 8, 0), ""), "")</f>
        <v/>
      </c>
      <c r="R1520" s="105" t="str">
        <f>IF(F1520="Yes", IFERROR(VLOOKUP(D1520, Repository!A:J, 9, 0), ""), "")</f>
        <v/>
      </c>
      <c r="S1520" s="105"/>
      <c r="T1520" s="105"/>
      <c r="U1520" s="105"/>
      <c r="V1520" s="105"/>
      <c r="W1520" s="105"/>
      <c r="X1520" s="105"/>
      <c r="Y1520" s="105"/>
      <c r="Z1520" s="105"/>
      <c r="AA1520" s="105"/>
      <c r="AB1520" s="105"/>
      <c r="AC1520" s="91"/>
      <c r="AD1520" s="105"/>
      <c r="AE1520" s="105"/>
      <c r="AF1520" s="91"/>
      <c r="AG1520" s="105"/>
      <c r="AH1520" s="105"/>
      <c r="AI1520" s="105" t="str">
        <f t="shared" si="1"/>
        <v/>
      </c>
      <c r="AJ1520" s="108" t="str">
        <f t="shared" si="2"/>
        <v/>
      </c>
    </row>
    <row r="1521" ht="15.75" customHeight="1">
      <c r="A1521" s="104"/>
      <c r="B1521" s="105" t="str">
        <f>IFERROR(__xludf.DUMMYFUNCTION("ARRAY_CONSTRAIN(
  ARRAYFORMULA(
    IF(
      'Final Report'!A1521="""",
      """",
      TEXTJOIN(
        "", "" &amp; CHAR(10),
        TRUE,
        IFERROR(
          VLOOKUP(
            TRIM(
              SPLIT('Final Report'!A1521, "","")
         "&amp;"   ),
            'URL Details'!A:B,
            2,
            FALSE
          ),
          """"
        )
      )
    )
  ),
  1,
  1
)
"),"")</f>
        <v/>
      </c>
      <c r="C1521" s="105" t="str">
        <f>IFERROR(__xludf.DUMMYFUNCTION("IFERROR(IF('Final Report'!A1521="""","""", TEXTJOIN(CHAR(10), TRUE, ARRAYFORMULA( ""• ""&amp; FILTER( TRIM(FLATTEN(SPLIT( REGEXREPLACE( SUBSTITUTE(TEXTJOIN("","", TRUE, IFERROR(ARRAYFORMULA(VLOOKUP(TRIM(SPLIT('Final Report'!A1521, "","")), 'URL Details'!A:D, "&amp;"4, FALSE)),"""") ), CHAR(10), "",""), ""\s*,\s*"", "",""), "",""))), TRIM(FLATTEN(SPLIT( REGEXREPLACE( SUBSTITUTE(TEXTJOIN("","", TRUE, IFERROR(ARRAYFORMULA(VLOOKUP(TRIM(SPLIT('Final Report'!A1521, "","")), 'URL Details'!A:D, 4, FALSE)),"""") ), CHAR(10),"&amp;" "",""), ""\s*,\s*"", "",""), "","")))&lt;&gt;"""" ) ) ) ),"""")
"),"")</f>
        <v/>
      </c>
      <c r="D1521" s="105"/>
      <c r="E1521" s="105"/>
      <c r="F1521" s="110" t="b">
        <v>0</v>
      </c>
      <c r="G1521" s="105" t="str">
        <f>IF(F1521=True, IFERROR(VLOOKUP(D1521, Repository!A:B, 2, 0), ""), "")</f>
        <v/>
      </c>
      <c r="H1521" s="105"/>
      <c r="I1521" s="105"/>
      <c r="J1521" s="105" t="str">
        <f>IF(F1521=True, IFERROR(VLOOKUP(D1521, Repository!A:C, 3, 0), ""), "")</f>
        <v/>
      </c>
      <c r="K1521" s="105"/>
      <c r="L1521" s="105" t="str">
        <f>IF(F1521=True, IFERROR(VLOOKUP(D1521, Repository!A:E, 5, 0), ""), "")</f>
        <v/>
      </c>
      <c r="M1521" s="105"/>
      <c r="N1521" s="105" t="str">
        <f>IF(F1521=True, IFERROR(VLOOKUP(D1521, Repository!A:G, 7, 0), ""), "")</f>
        <v/>
      </c>
      <c r="O1521" s="105" t="str">
        <f>IFERROR(__xludf.DUMMYFUNCTION("ARRAY_CONSTRAIN(
  ARRAYFORMULA(
    IFERROR(
      LET(
        list, N1521,
        arr, TRIM(SPLIT(list, "","")),
        names, XLOOKUP(
          arr,
          'Conformance Score'!A:A,
          'Conformance Score'!B:B,
          ""Not found""
     "&amp;"   ),
        TEXTJOIN("", "", TRUE, names)
      ),
      """"
    )
  ),
  1,
  1
)
"),"")</f>
        <v/>
      </c>
      <c r="P1521" s="105" t="str">
        <f>IF(F1521="Yes", IFERROR(VLOOKUP(D1521, Repository!A:F, 6, 0), ""), "")</f>
        <v/>
      </c>
      <c r="Q1521" s="105" t="str">
        <f>IF(F1521="Yes", IFERROR(VLOOKUP(D1521, Repository!A:I, 8, 0), ""), "")</f>
        <v/>
      </c>
      <c r="R1521" s="105" t="str">
        <f>IF(F1521="Yes", IFERROR(VLOOKUP(D1521, Repository!A:J, 9, 0), ""), "")</f>
        <v/>
      </c>
      <c r="S1521" s="105"/>
      <c r="T1521" s="105"/>
      <c r="U1521" s="105"/>
      <c r="V1521" s="105"/>
      <c r="W1521" s="105"/>
      <c r="X1521" s="105"/>
      <c r="Y1521" s="105"/>
      <c r="Z1521" s="105"/>
      <c r="AA1521" s="105"/>
      <c r="AB1521" s="105"/>
      <c r="AC1521" s="91"/>
      <c r="AD1521" s="105"/>
      <c r="AE1521" s="105"/>
      <c r="AF1521" s="91"/>
      <c r="AG1521" s="105"/>
      <c r="AH1521" s="105"/>
      <c r="AI1521" s="105" t="str">
        <f t="shared" si="1"/>
        <v/>
      </c>
      <c r="AJ1521" s="108" t="str">
        <f t="shared" si="2"/>
        <v/>
      </c>
    </row>
    <row r="1522" ht="15.75" customHeight="1">
      <c r="A1522" s="104"/>
      <c r="B1522" s="105" t="str">
        <f>IFERROR(__xludf.DUMMYFUNCTION("ARRAY_CONSTRAIN(
  ARRAYFORMULA(
    IF(
      'Final Report'!A1522="""",
      """",
      TEXTJOIN(
        "", "" &amp; CHAR(10),
        TRUE,
        IFERROR(
          VLOOKUP(
            TRIM(
              SPLIT('Final Report'!A1522, "","")
         "&amp;"   ),
            'URL Details'!A:B,
            2,
            FALSE
          ),
          """"
        )
      )
    )
  ),
  1,
  1
)
"),"")</f>
        <v/>
      </c>
      <c r="C1522" s="105" t="str">
        <f>IFERROR(__xludf.DUMMYFUNCTION("IFERROR(IF('Final Report'!A1522="""","""", TEXTJOIN(CHAR(10), TRUE, ARRAYFORMULA( ""• ""&amp; FILTER( TRIM(FLATTEN(SPLIT( REGEXREPLACE( SUBSTITUTE(TEXTJOIN("","", TRUE, IFERROR(ARRAYFORMULA(VLOOKUP(TRIM(SPLIT('Final Report'!A1522, "","")), 'URL Details'!A:D, "&amp;"4, FALSE)),"""") ), CHAR(10), "",""), ""\s*,\s*"", "",""), "",""))), TRIM(FLATTEN(SPLIT( REGEXREPLACE( SUBSTITUTE(TEXTJOIN("","", TRUE, IFERROR(ARRAYFORMULA(VLOOKUP(TRIM(SPLIT('Final Report'!A1522, "","")), 'URL Details'!A:D, 4, FALSE)),"""") ), CHAR(10),"&amp;" "",""), ""\s*,\s*"", "",""), "","")))&lt;&gt;"""" ) ) ) ),"""")
"),"")</f>
        <v/>
      </c>
      <c r="D1522" s="105"/>
      <c r="E1522" s="105"/>
      <c r="F1522" s="110" t="b">
        <v>0</v>
      </c>
      <c r="G1522" s="105" t="str">
        <f>IF(F1522=True, IFERROR(VLOOKUP(D1522, Repository!A:B, 2, 0), ""), "")</f>
        <v/>
      </c>
      <c r="H1522" s="105"/>
      <c r="I1522" s="105"/>
      <c r="J1522" s="105" t="str">
        <f>IF(F1522=True, IFERROR(VLOOKUP(D1522, Repository!A:C, 3, 0), ""), "")</f>
        <v/>
      </c>
      <c r="K1522" s="105"/>
      <c r="L1522" s="105" t="str">
        <f>IF(F1522=True, IFERROR(VLOOKUP(D1522, Repository!A:E, 5, 0), ""), "")</f>
        <v/>
      </c>
      <c r="M1522" s="105"/>
      <c r="N1522" s="105" t="str">
        <f>IF(F1522=True, IFERROR(VLOOKUP(D1522, Repository!A:G, 7, 0), ""), "")</f>
        <v/>
      </c>
      <c r="O1522" s="105" t="str">
        <f>IFERROR(__xludf.DUMMYFUNCTION("ARRAY_CONSTRAIN(
  ARRAYFORMULA(
    IFERROR(
      LET(
        list, N1522,
        arr, TRIM(SPLIT(list, "","")),
        names, XLOOKUP(
          arr,
          'Conformance Score'!A:A,
          'Conformance Score'!B:B,
          ""Not found""
     "&amp;"   ),
        TEXTJOIN("", "", TRUE, names)
      ),
      """"
    )
  ),
  1,
  1
)
"),"")</f>
        <v/>
      </c>
      <c r="P1522" s="105" t="str">
        <f>IF(F1522="Yes", IFERROR(VLOOKUP(D1522, Repository!A:F, 6, 0), ""), "")</f>
        <v/>
      </c>
      <c r="Q1522" s="105" t="str">
        <f>IF(F1522="Yes", IFERROR(VLOOKUP(D1522, Repository!A:I, 8, 0), ""), "")</f>
        <v/>
      </c>
      <c r="R1522" s="105" t="str">
        <f>IF(F1522="Yes", IFERROR(VLOOKUP(D1522, Repository!A:J, 9, 0), ""), "")</f>
        <v/>
      </c>
      <c r="S1522" s="105"/>
      <c r="T1522" s="105"/>
      <c r="U1522" s="105"/>
      <c r="V1522" s="105"/>
      <c r="W1522" s="105"/>
      <c r="X1522" s="105"/>
      <c r="Y1522" s="105"/>
      <c r="Z1522" s="105"/>
      <c r="AA1522" s="105"/>
      <c r="AB1522" s="105"/>
      <c r="AC1522" s="91"/>
      <c r="AD1522" s="105"/>
      <c r="AE1522" s="105"/>
      <c r="AF1522" s="91"/>
      <c r="AG1522" s="105"/>
      <c r="AH1522" s="105"/>
      <c r="AI1522" s="105" t="str">
        <f t="shared" si="1"/>
        <v/>
      </c>
      <c r="AJ1522" s="108" t="str">
        <f t="shared" si="2"/>
        <v/>
      </c>
    </row>
    <row r="1523" ht="15.75" customHeight="1">
      <c r="A1523" s="104"/>
      <c r="B1523" s="105" t="str">
        <f>IFERROR(__xludf.DUMMYFUNCTION("ARRAY_CONSTRAIN(
  ARRAYFORMULA(
    IF(
      'Final Report'!A1523="""",
      """",
      TEXTJOIN(
        "", "" &amp; CHAR(10),
        TRUE,
        IFERROR(
          VLOOKUP(
            TRIM(
              SPLIT('Final Report'!A1523, "","")
         "&amp;"   ),
            'URL Details'!A:B,
            2,
            FALSE
          ),
          """"
        )
      )
    )
  ),
  1,
  1
)
"),"")</f>
        <v/>
      </c>
      <c r="C1523" s="105" t="str">
        <f>IFERROR(__xludf.DUMMYFUNCTION("IFERROR(IF('Final Report'!A1523="""","""", TEXTJOIN(CHAR(10), TRUE, ARRAYFORMULA( ""• ""&amp; FILTER( TRIM(FLATTEN(SPLIT( REGEXREPLACE( SUBSTITUTE(TEXTJOIN("","", TRUE, IFERROR(ARRAYFORMULA(VLOOKUP(TRIM(SPLIT('Final Report'!A1523, "","")), 'URL Details'!A:D, "&amp;"4, FALSE)),"""") ), CHAR(10), "",""), ""\s*,\s*"", "",""), "",""))), TRIM(FLATTEN(SPLIT( REGEXREPLACE( SUBSTITUTE(TEXTJOIN("","", TRUE, IFERROR(ARRAYFORMULA(VLOOKUP(TRIM(SPLIT('Final Report'!A1523, "","")), 'URL Details'!A:D, 4, FALSE)),"""") ), CHAR(10),"&amp;" "",""), ""\s*,\s*"", "",""), "","")))&lt;&gt;"""" ) ) ) ),"""")
"),"")</f>
        <v/>
      </c>
      <c r="D1523" s="105"/>
      <c r="E1523" s="105"/>
      <c r="F1523" s="110" t="b">
        <v>0</v>
      </c>
      <c r="G1523" s="105" t="str">
        <f>IF(F1523=True, IFERROR(VLOOKUP(D1523, Repository!A:B, 2, 0), ""), "")</f>
        <v/>
      </c>
      <c r="H1523" s="105"/>
      <c r="I1523" s="105"/>
      <c r="J1523" s="105" t="str">
        <f>IF(F1523=True, IFERROR(VLOOKUP(D1523, Repository!A:C, 3, 0), ""), "")</f>
        <v/>
      </c>
      <c r="K1523" s="105"/>
      <c r="L1523" s="105" t="str">
        <f>IF(F1523=True, IFERROR(VLOOKUP(D1523, Repository!A:E, 5, 0), ""), "")</f>
        <v/>
      </c>
      <c r="M1523" s="105"/>
      <c r="N1523" s="105" t="str">
        <f>IF(F1523=True, IFERROR(VLOOKUP(D1523, Repository!A:G, 7, 0), ""), "")</f>
        <v/>
      </c>
      <c r="O1523" s="105" t="str">
        <f>IFERROR(__xludf.DUMMYFUNCTION("ARRAY_CONSTRAIN(
  ARRAYFORMULA(
    IFERROR(
      LET(
        list, N1523,
        arr, TRIM(SPLIT(list, "","")),
        names, XLOOKUP(
          arr,
          'Conformance Score'!A:A,
          'Conformance Score'!B:B,
          ""Not found""
     "&amp;"   ),
        TEXTJOIN("", "", TRUE, names)
      ),
      """"
    )
  ),
  1,
  1
)
"),"")</f>
        <v/>
      </c>
      <c r="P1523" s="105" t="str">
        <f>IF(F1523="Yes", IFERROR(VLOOKUP(D1523, Repository!A:F, 6, 0), ""), "")</f>
        <v/>
      </c>
      <c r="Q1523" s="105" t="str">
        <f>IF(F1523="Yes", IFERROR(VLOOKUP(D1523, Repository!A:I, 8, 0), ""), "")</f>
        <v/>
      </c>
      <c r="R1523" s="105" t="str">
        <f>IF(F1523="Yes", IFERROR(VLOOKUP(D1523, Repository!A:J, 9, 0), ""), "")</f>
        <v/>
      </c>
      <c r="S1523" s="105"/>
      <c r="T1523" s="105"/>
      <c r="U1523" s="105"/>
      <c r="V1523" s="105"/>
      <c r="W1523" s="105"/>
      <c r="X1523" s="105"/>
      <c r="Y1523" s="105"/>
      <c r="Z1523" s="105"/>
      <c r="AA1523" s="105"/>
      <c r="AB1523" s="105"/>
      <c r="AC1523" s="91"/>
      <c r="AD1523" s="105"/>
      <c r="AE1523" s="105"/>
      <c r="AF1523" s="91"/>
      <c r="AG1523" s="105"/>
      <c r="AH1523" s="105"/>
      <c r="AI1523" s="105" t="str">
        <f t="shared" si="1"/>
        <v/>
      </c>
      <c r="AJ1523" s="108" t="str">
        <f t="shared" si="2"/>
        <v/>
      </c>
    </row>
    <row r="1524" ht="15.75" customHeight="1">
      <c r="A1524" s="104"/>
      <c r="B1524" s="105" t="str">
        <f>IFERROR(__xludf.DUMMYFUNCTION("ARRAY_CONSTRAIN(
  ARRAYFORMULA(
    IF(
      'Final Report'!A1524="""",
      """",
      TEXTJOIN(
        "", "" &amp; CHAR(10),
        TRUE,
        IFERROR(
          VLOOKUP(
            TRIM(
              SPLIT('Final Report'!A1524, "","")
         "&amp;"   ),
            'URL Details'!A:B,
            2,
            FALSE
          ),
          """"
        )
      )
    )
  ),
  1,
  1
)
"),"")</f>
        <v/>
      </c>
      <c r="C1524" s="105" t="str">
        <f>IFERROR(__xludf.DUMMYFUNCTION("IFERROR(IF('Final Report'!A1524="""","""", TEXTJOIN(CHAR(10), TRUE, ARRAYFORMULA( ""• ""&amp; FILTER( TRIM(FLATTEN(SPLIT( REGEXREPLACE( SUBSTITUTE(TEXTJOIN("","", TRUE, IFERROR(ARRAYFORMULA(VLOOKUP(TRIM(SPLIT('Final Report'!A1524, "","")), 'URL Details'!A:D, "&amp;"4, FALSE)),"""") ), CHAR(10), "",""), ""\s*,\s*"", "",""), "",""))), TRIM(FLATTEN(SPLIT( REGEXREPLACE( SUBSTITUTE(TEXTJOIN("","", TRUE, IFERROR(ARRAYFORMULA(VLOOKUP(TRIM(SPLIT('Final Report'!A1524, "","")), 'URL Details'!A:D, 4, FALSE)),"""") ), CHAR(10),"&amp;" "",""), ""\s*,\s*"", "",""), "","")))&lt;&gt;"""" ) ) ) ),"""")
"),"")</f>
        <v/>
      </c>
      <c r="D1524" s="105"/>
      <c r="E1524" s="105"/>
      <c r="F1524" s="110" t="b">
        <v>0</v>
      </c>
      <c r="G1524" s="105" t="str">
        <f>IF(F1524=True, IFERROR(VLOOKUP(D1524, Repository!A:B, 2, 0), ""), "")</f>
        <v/>
      </c>
      <c r="H1524" s="105"/>
      <c r="I1524" s="105"/>
      <c r="J1524" s="105" t="str">
        <f>IF(F1524=True, IFERROR(VLOOKUP(D1524, Repository!A:C, 3, 0), ""), "")</f>
        <v/>
      </c>
      <c r="K1524" s="105"/>
      <c r="L1524" s="105" t="str">
        <f>IF(F1524=True, IFERROR(VLOOKUP(D1524, Repository!A:E, 5, 0), ""), "")</f>
        <v/>
      </c>
      <c r="M1524" s="105"/>
      <c r="N1524" s="105" t="str">
        <f>IF(F1524=True, IFERROR(VLOOKUP(D1524, Repository!A:G, 7, 0), ""), "")</f>
        <v/>
      </c>
      <c r="O1524" s="105" t="str">
        <f>IFERROR(__xludf.DUMMYFUNCTION("ARRAY_CONSTRAIN(
  ARRAYFORMULA(
    IFERROR(
      LET(
        list, N1524,
        arr, TRIM(SPLIT(list, "","")),
        names, XLOOKUP(
          arr,
          'Conformance Score'!A:A,
          'Conformance Score'!B:B,
          ""Not found""
     "&amp;"   ),
        TEXTJOIN("", "", TRUE, names)
      ),
      """"
    )
  ),
  1,
  1
)
"),"")</f>
        <v/>
      </c>
      <c r="P1524" s="105" t="str">
        <f>IF(F1524="Yes", IFERROR(VLOOKUP(D1524, Repository!A:F, 6, 0), ""), "")</f>
        <v/>
      </c>
      <c r="Q1524" s="105" t="str">
        <f>IF(F1524="Yes", IFERROR(VLOOKUP(D1524, Repository!A:I, 8, 0), ""), "")</f>
        <v/>
      </c>
      <c r="R1524" s="105" t="str">
        <f>IF(F1524="Yes", IFERROR(VLOOKUP(D1524, Repository!A:J, 9, 0), ""), "")</f>
        <v/>
      </c>
      <c r="S1524" s="105"/>
      <c r="T1524" s="105"/>
      <c r="U1524" s="105"/>
      <c r="V1524" s="105"/>
      <c r="W1524" s="105"/>
      <c r="X1524" s="105"/>
      <c r="Y1524" s="105"/>
      <c r="Z1524" s="105"/>
      <c r="AA1524" s="105"/>
      <c r="AB1524" s="105"/>
      <c r="AC1524" s="91"/>
      <c r="AD1524" s="105"/>
      <c r="AE1524" s="105"/>
      <c r="AF1524" s="91"/>
      <c r="AG1524" s="105"/>
      <c r="AH1524" s="105"/>
      <c r="AI1524" s="105" t="str">
        <f t="shared" si="1"/>
        <v/>
      </c>
      <c r="AJ1524" s="108" t="str">
        <f t="shared" si="2"/>
        <v/>
      </c>
    </row>
    <row r="1525" ht="15.75" customHeight="1">
      <c r="A1525" s="104"/>
      <c r="B1525" s="105" t="str">
        <f>IFERROR(__xludf.DUMMYFUNCTION("ARRAY_CONSTRAIN(
  ARRAYFORMULA(
    IF(
      'Final Report'!A1525="""",
      """",
      TEXTJOIN(
        "", "" &amp; CHAR(10),
        TRUE,
        IFERROR(
          VLOOKUP(
            TRIM(
              SPLIT('Final Report'!A1525, "","")
         "&amp;"   ),
            'URL Details'!A:B,
            2,
            FALSE
          ),
          """"
        )
      )
    )
  ),
  1,
  1
)
"),"")</f>
        <v/>
      </c>
      <c r="C1525" s="105" t="str">
        <f>IFERROR(__xludf.DUMMYFUNCTION("IFERROR(IF('Final Report'!A1525="""","""", TEXTJOIN(CHAR(10), TRUE, ARRAYFORMULA( ""• ""&amp; FILTER( TRIM(FLATTEN(SPLIT( REGEXREPLACE( SUBSTITUTE(TEXTJOIN("","", TRUE, IFERROR(ARRAYFORMULA(VLOOKUP(TRIM(SPLIT('Final Report'!A1525, "","")), 'URL Details'!A:D, "&amp;"4, FALSE)),"""") ), CHAR(10), "",""), ""\s*,\s*"", "",""), "",""))), TRIM(FLATTEN(SPLIT( REGEXREPLACE( SUBSTITUTE(TEXTJOIN("","", TRUE, IFERROR(ARRAYFORMULA(VLOOKUP(TRIM(SPLIT('Final Report'!A1525, "","")), 'URL Details'!A:D, 4, FALSE)),"""") ), CHAR(10),"&amp;" "",""), ""\s*,\s*"", "",""), "","")))&lt;&gt;"""" ) ) ) ),"""")
"),"")</f>
        <v/>
      </c>
      <c r="D1525" s="105"/>
      <c r="E1525" s="105"/>
      <c r="F1525" s="110" t="b">
        <v>0</v>
      </c>
      <c r="G1525" s="105" t="str">
        <f>IF(F1525=True, IFERROR(VLOOKUP(D1525, Repository!A:B, 2, 0), ""), "")</f>
        <v/>
      </c>
      <c r="H1525" s="105"/>
      <c r="I1525" s="105"/>
      <c r="J1525" s="105" t="str">
        <f>IF(F1525=True, IFERROR(VLOOKUP(D1525, Repository!A:C, 3, 0), ""), "")</f>
        <v/>
      </c>
      <c r="K1525" s="105"/>
      <c r="L1525" s="105" t="str">
        <f>IF(F1525=True, IFERROR(VLOOKUP(D1525, Repository!A:E, 5, 0), ""), "")</f>
        <v/>
      </c>
      <c r="M1525" s="105"/>
      <c r="N1525" s="105" t="str">
        <f>IF(F1525=True, IFERROR(VLOOKUP(D1525, Repository!A:G, 7, 0), ""), "")</f>
        <v/>
      </c>
      <c r="O1525" s="105" t="str">
        <f>IFERROR(__xludf.DUMMYFUNCTION("ARRAY_CONSTRAIN(
  ARRAYFORMULA(
    IFERROR(
      LET(
        list, N1525,
        arr, TRIM(SPLIT(list, "","")),
        names, XLOOKUP(
          arr,
          'Conformance Score'!A:A,
          'Conformance Score'!B:B,
          ""Not found""
     "&amp;"   ),
        TEXTJOIN("", "", TRUE, names)
      ),
      """"
    )
  ),
  1,
  1
)
"),"")</f>
        <v/>
      </c>
      <c r="P1525" s="105" t="str">
        <f>IF(F1525="Yes", IFERROR(VLOOKUP(D1525, Repository!A:F, 6, 0), ""), "")</f>
        <v/>
      </c>
      <c r="Q1525" s="105" t="str">
        <f>IF(F1525="Yes", IFERROR(VLOOKUP(D1525, Repository!A:I, 8, 0), ""), "")</f>
        <v/>
      </c>
      <c r="R1525" s="105" t="str">
        <f>IF(F1525="Yes", IFERROR(VLOOKUP(D1525, Repository!A:J, 9, 0), ""), "")</f>
        <v/>
      </c>
      <c r="S1525" s="105"/>
      <c r="T1525" s="105"/>
      <c r="U1525" s="105"/>
      <c r="V1525" s="105"/>
      <c r="W1525" s="105"/>
      <c r="X1525" s="105"/>
      <c r="Y1525" s="105"/>
      <c r="Z1525" s="105"/>
      <c r="AA1525" s="105"/>
      <c r="AB1525" s="105"/>
      <c r="AC1525" s="91"/>
      <c r="AD1525" s="105"/>
      <c r="AE1525" s="105"/>
      <c r="AF1525" s="91"/>
      <c r="AG1525" s="105"/>
      <c r="AH1525" s="105"/>
      <c r="AI1525" s="105" t="str">
        <f t="shared" si="1"/>
        <v/>
      </c>
      <c r="AJ1525" s="108" t="str">
        <f t="shared" si="2"/>
        <v/>
      </c>
    </row>
    <row r="1526" ht="15.75" customHeight="1">
      <c r="A1526" s="104"/>
      <c r="B1526" s="105" t="str">
        <f>IFERROR(__xludf.DUMMYFUNCTION("ARRAY_CONSTRAIN(
  ARRAYFORMULA(
    IF(
      'Final Report'!A1526="""",
      """",
      TEXTJOIN(
        "", "" &amp; CHAR(10),
        TRUE,
        IFERROR(
          VLOOKUP(
            TRIM(
              SPLIT('Final Report'!A1526, "","")
         "&amp;"   ),
            'URL Details'!A:B,
            2,
            FALSE
          ),
          """"
        )
      )
    )
  ),
  1,
  1
)
"),"")</f>
        <v/>
      </c>
      <c r="C1526" s="105" t="str">
        <f>IFERROR(__xludf.DUMMYFUNCTION("IFERROR(IF('Final Report'!A1526="""","""", TEXTJOIN(CHAR(10), TRUE, ARRAYFORMULA( ""• ""&amp; FILTER( TRIM(FLATTEN(SPLIT( REGEXREPLACE( SUBSTITUTE(TEXTJOIN("","", TRUE, IFERROR(ARRAYFORMULA(VLOOKUP(TRIM(SPLIT('Final Report'!A1526, "","")), 'URL Details'!A:D, "&amp;"4, FALSE)),"""") ), CHAR(10), "",""), ""\s*,\s*"", "",""), "",""))), TRIM(FLATTEN(SPLIT( REGEXREPLACE( SUBSTITUTE(TEXTJOIN("","", TRUE, IFERROR(ARRAYFORMULA(VLOOKUP(TRIM(SPLIT('Final Report'!A1526, "","")), 'URL Details'!A:D, 4, FALSE)),"""") ), CHAR(10),"&amp;" "",""), ""\s*,\s*"", "",""), "","")))&lt;&gt;"""" ) ) ) ),"""")
"),"")</f>
        <v/>
      </c>
      <c r="D1526" s="105"/>
      <c r="E1526" s="105"/>
      <c r="F1526" s="110" t="b">
        <v>0</v>
      </c>
      <c r="G1526" s="105" t="str">
        <f>IF(F1526=True, IFERROR(VLOOKUP(D1526, Repository!A:B, 2, 0), ""), "")</f>
        <v/>
      </c>
      <c r="H1526" s="105"/>
      <c r="I1526" s="105"/>
      <c r="J1526" s="105" t="str">
        <f>IF(F1526=True, IFERROR(VLOOKUP(D1526, Repository!A:C, 3, 0), ""), "")</f>
        <v/>
      </c>
      <c r="K1526" s="105"/>
      <c r="L1526" s="105" t="str">
        <f>IF(F1526=True, IFERROR(VLOOKUP(D1526, Repository!A:E, 5, 0), ""), "")</f>
        <v/>
      </c>
      <c r="M1526" s="105"/>
      <c r="N1526" s="105" t="str">
        <f>IF(F1526=True, IFERROR(VLOOKUP(D1526, Repository!A:G, 7, 0), ""), "")</f>
        <v/>
      </c>
      <c r="O1526" s="105" t="str">
        <f>IFERROR(__xludf.DUMMYFUNCTION("ARRAY_CONSTRAIN(
  ARRAYFORMULA(
    IFERROR(
      LET(
        list, N1526,
        arr, TRIM(SPLIT(list, "","")),
        names, XLOOKUP(
          arr,
          'Conformance Score'!A:A,
          'Conformance Score'!B:B,
          ""Not found""
     "&amp;"   ),
        TEXTJOIN("", "", TRUE, names)
      ),
      """"
    )
  ),
  1,
  1
)
"),"")</f>
        <v/>
      </c>
      <c r="P1526" s="105" t="str">
        <f>IF(F1526="Yes", IFERROR(VLOOKUP(D1526, Repository!A:F, 6, 0), ""), "")</f>
        <v/>
      </c>
      <c r="Q1526" s="105" t="str">
        <f>IF(F1526="Yes", IFERROR(VLOOKUP(D1526, Repository!A:I, 8, 0), ""), "")</f>
        <v/>
      </c>
      <c r="R1526" s="105" t="str">
        <f>IF(F1526="Yes", IFERROR(VLOOKUP(D1526, Repository!A:J, 9, 0), ""), "")</f>
        <v/>
      </c>
      <c r="S1526" s="105"/>
      <c r="T1526" s="105"/>
      <c r="U1526" s="105"/>
      <c r="V1526" s="105"/>
      <c r="W1526" s="105"/>
      <c r="X1526" s="105"/>
      <c r="Y1526" s="105"/>
      <c r="Z1526" s="105"/>
      <c r="AA1526" s="105"/>
      <c r="AB1526" s="105"/>
      <c r="AC1526" s="91"/>
      <c r="AD1526" s="105"/>
      <c r="AE1526" s="105"/>
      <c r="AF1526" s="91"/>
      <c r="AG1526" s="105"/>
      <c r="AH1526" s="105"/>
      <c r="AI1526" s="105" t="str">
        <f t="shared" si="1"/>
        <v/>
      </c>
      <c r="AJ1526" s="108" t="str">
        <f t="shared" si="2"/>
        <v/>
      </c>
    </row>
    <row r="1527" ht="15.75" customHeight="1">
      <c r="A1527" s="104"/>
      <c r="B1527" s="105" t="str">
        <f>IFERROR(__xludf.DUMMYFUNCTION("ARRAY_CONSTRAIN(
  ARRAYFORMULA(
    IF(
      'Final Report'!A1527="""",
      """",
      TEXTJOIN(
        "", "" &amp; CHAR(10),
        TRUE,
        IFERROR(
          VLOOKUP(
            TRIM(
              SPLIT('Final Report'!A1527, "","")
         "&amp;"   ),
            'URL Details'!A:B,
            2,
            FALSE
          ),
          """"
        )
      )
    )
  ),
  1,
  1
)
"),"")</f>
        <v/>
      </c>
      <c r="C1527" s="105" t="str">
        <f>IFERROR(__xludf.DUMMYFUNCTION("IFERROR(IF('Final Report'!A1527="""","""", TEXTJOIN(CHAR(10), TRUE, ARRAYFORMULA( ""• ""&amp; FILTER( TRIM(FLATTEN(SPLIT( REGEXREPLACE( SUBSTITUTE(TEXTJOIN("","", TRUE, IFERROR(ARRAYFORMULA(VLOOKUP(TRIM(SPLIT('Final Report'!A1527, "","")), 'URL Details'!A:D, "&amp;"4, FALSE)),"""") ), CHAR(10), "",""), ""\s*,\s*"", "",""), "",""))), TRIM(FLATTEN(SPLIT( REGEXREPLACE( SUBSTITUTE(TEXTJOIN("","", TRUE, IFERROR(ARRAYFORMULA(VLOOKUP(TRIM(SPLIT('Final Report'!A1527, "","")), 'URL Details'!A:D, 4, FALSE)),"""") ), CHAR(10),"&amp;" "",""), ""\s*,\s*"", "",""), "","")))&lt;&gt;"""" ) ) ) ),"""")
"),"")</f>
        <v/>
      </c>
      <c r="D1527" s="105"/>
      <c r="E1527" s="105"/>
      <c r="F1527" s="110" t="b">
        <v>0</v>
      </c>
      <c r="G1527" s="105" t="str">
        <f>IF(F1527=True, IFERROR(VLOOKUP(D1527, Repository!A:B, 2, 0), ""), "")</f>
        <v/>
      </c>
      <c r="H1527" s="105"/>
      <c r="I1527" s="105"/>
      <c r="J1527" s="105" t="str">
        <f>IF(F1527=True, IFERROR(VLOOKUP(D1527, Repository!A:C, 3, 0), ""), "")</f>
        <v/>
      </c>
      <c r="K1527" s="105"/>
      <c r="L1527" s="105" t="str">
        <f>IF(F1527=True, IFERROR(VLOOKUP(D1527, Repository!A:E, 5, 0), ""), "")</f>
        <v/>
      </c>
      <c r="M1527" s="105"/>
      <c r="N1527" s="105" t="str">
        <f>IF(F1527=True, IFERROR(VLOOKUP(D1527, Repository!A:G, 7, 0), ""), "")</f>
        <v/>
      </c>
      <c r="O1527" s="105" t="str">
        <f>IFERROR(__xludf.DUMMYFUNCTION("ARRAY_CONSTRAIN(
  ARRAYFORMULA(
    IFERROR(
      LET(
        list, N1527,
        arr, TRIM(SPLIT(list, "","")),
        names, XLOOKUP(
          arr,
          'Conformance Score'!A:A,
          'Conformance Score'!B:B,
          ""Not found""
     "&amp;"   ),
        TEXTJOIN("", "", TRUE, names)
      ),
      """"
    )
  ),
  1,
  1
)
"),"")</f>
        <v/>
      </c>
      <c r="P1527" s="105" t="str">
        <f>IF(F1527="Yes", IFERROR(VLOOKUP(D1527, Repository!A:F, 6, 0), ""), "")</f>
        <v/>
      </c>
      <c r="Q1527" s="105" t="str">
        <f>IF(F1527="Yes", IFERROR(VLOOKUP(D1527, Repository!A:I, 8, 0), ""), "")</f>
        <v/>
      </c>
      <c r="R1527" s="105" t="str">
        <f>IF(F1527="Yes", IFERROR(VLOOKUP(D1527, Repository!A:J, 9, 0), ""), "")</f>
        <v/>
      </c>
      <c r="S1527" s="105"/>
      <c r="T1527" s="105"/>
      <c r="U1527" s="105"/>
      <c r="V1527" s="105"/>
      <c r="W1527" s="105"/>
      <c r="X1527" s="105"/>
      <c r="Y1527" s="105"/>
      <c r="Z1527" s="105"/>
      <c r="AA1527" s="105"/>
      <c r="AB1527" s="105"/>
      <c r="AC1527" s="91"/>
      <c r="AD1527" s="105"/>
      <c r="AE1527" s="105"/>
      <c r="AF1527" s="91"/>
      <c r="AG1527" s="105"/>
      <c r="AH1527" s="105"/>
      <c r="AI1527" s="105" t="str">
        <f t="shared" si="1"/>
        <v/>
      </c>
      <c r="AJ1527" s="108" t="str">
        <f t="shared" si="2"/>
        <v/>
      </c>
    </row>
    <row r="1528" ht="15.75" customHeight="1">
      <c r="A1528" s="104"/>
      <c r="B1528" s="105" t="str">
        <f>IFERROR(__xludf.DUMMYFUNCTION("ARRAY_CONSTRAIN(
  ARRAYFORMULA(
    IF(
      'Final Report'!A1528="""",
      """",
      TEXTJOIN(
        "", "" &amp; CHAR(10),
        TRUE,
        IFERROR(
          VLOOKUP(
            TRIM(
              SPLIT('Final Report'!A1528, "","")
         "&amp;"   ),
            'URL Details'!A:B,
            2,
            FALSE
          ),
          """"
        )
      )
    )
  ),
  1,
  1
)
"),"")</f>
        <v/>
      </c>
      <c r="C1528" s="105" t="str">
        <f>IFERROR(__xludf.DUMMYFUNCTION("IFERROR(IF('Final Report'!A1528="""","""", TEXTJOIN(CHAR(10), TRUE, ARRAYFORMULA( ""• ""&amp; FILTER( TRIM(FLATTEN(SPLIT( REGEXREPLACE( SUBSTITUTE(TEXTJOIN("","", TRUE, IFERROR(ARRAYFORMULA(VLOOKUP(TRIM(SPLIT('Final Report'!A1528, "","")), 'URL Details'!A:D, "&amp;"4, FALSE)),"""") ), CHAR(10), "",""), ""\s*,\s*"", "",""), "",""))), TRIM(FLATTEN(SPLIT( REGEXREPLACE( SUBSTITUTE(TEXTJOIN("","", TRUE, IFERROR(ARRAYFORMULA(VLOOKUP(TRIM(SPLIT('Final Report'!A1528, "","")), 'URL Details'!A:D, 4, FALSE)),"""") ), CHAR(10),"&amp;" "",""), ""\s*,\s*"", "",""), "","")))&lt;&gt;"""" ) ) ) ),"""")
"),"")</f>
        <v/>
      </c>
      <c r="D1528" s="105"/>
      <c r="E1528" s="105"/>
      <c r="F1528" s="110" t="b">
        <v>0</v>
      </c>
      <c r="G1528" s="105" t="str">
        <f>IF(F1528=True, IFERROR(VLOOKUP(D1528, Repository!A:B, 2, 0), ""), "")</f>
        <v/>
      </c>
      <c r="H1528" s="105"/>
      <c r="I1528" s="105"/>
      <c r="J1528" s="105" t="str">
        <f>IF(F1528=True, IFERROR(VLOOKUP(D1528, Repository!A:C, 3, 0), ""), "")</f>
        <v/>
      </c>
      <c r="K1528" s="105"/>
      <c r="L1528" s="105" t="str">
        <f>IF(F1528=True, IFERROR(VLOOKUP(D1528, Repository!A:E, 5, 0), ""), "")</f>
        <v/>
      </c>
      <c r="M1528" s="105"/>
      <c r="N1528" s="105" t="str">
        <f>IF(F1528=True, IFERROR(VLOOKUP(D1528, Repository!A:G, 7, 0), ""), "")</f>
        <v/>
      </c>
      <c r="O1528" s="105" t="str">
        <f>IFERROR(__xludf.DUMMYFUNCTION("ARRAY_CONSTRAIN(
  ARRAYFORMULA(
    IFERROR(
      LET(
        list, N1528,
        arr, TRIM(SPLIT(list, "","")),
        names, XLOOKUP(
          arr,
          'Conformance Score'!A:A,
          'Conformance Score'!B:B,
          ""Not found""
     "&amp;"   ),
        TEXTJOIN("", "", TRUE, names)
      ),
      """"
    )
  ),
  1,
  1
)
"),"")</f>
        <v/>
      </c>
      <c r="P1528" s="105" t="str">
        <f>IF(F1528="Yes", IFERROR(VLOOKUP(D1528, Repository!A:F, 6, 0), ""), "")</f>
        <v/>
      </c>
      <c r="Q1528" s="105" t="str">
        <f>IF(F1528="Yes", IFERROR(VLOOKUP(D1528, Repository!A:I, 8, 0), ""), "")</f>
        <v/>
      </c>
      <c r="R1528" s="105" t="str">
        <f>IF(F1528="Yes", IFERROR(VLOOKUP(D1528, Repository!A:J, 9, 0), ""), "")</f>
        <v/>
      </c>
      <c r="S1528" s="105"/>
      <c r="T1528" s="105"/>
      <c r="U1528" s="105"/>
      <c r="V1528" s="105"/>
      <c r="W1528" s="105"/>
      <c r="X1528" s="105"/>
      <c r="Y1528" s="105"/>
      <c r="Z1528" s="105"/>
      <c r="AA1528" s="105"/>
      <c r="AB1528" s="105"/>
      <c r="AC1528" s="91"/>
      <c r="AD1528" s="105"/>
      <c r="AE1528" s="105"/>
      <c r="AF1528" s="91"/>
      <c r="AG1528" s="105"/>
      <c r="AH1528" s="105"/>
      <c r="AI1528" s="105" t="str">
        <f t="shared" si="1"/>
        <v/>
      </c>
      <c r="AJ1528" s="108" t="str">
        <f t="shared" si="2"/>
        <v/>
      </c>
    </row>
    <row r="1529" ht="15.75" customHeight="1">
      <c r="A1529" s="104"/>
      <c r="B1529" s="105" t="str">
        <f>IFERROR(__xludf.DUMMYFUNCTION("ARRAY_CONSTRAIN(
  ARRAYFORMULA(
    IF(
      'Final Report'!A1529="""",
      """",
      TEXTJOIN(
        "", "" &amp; CHAR(10),
        TRUE,
        IFERROR(
          VLOOKUP(
            TRIM(
              SPLIT('Final Report'!A1529, "","")
         "&amp;"   ),
            'URL Details'!A:B,
            2,
            FALSE
          ),
          """"
        )
      )
    )
  ),
  1,
  1
)
"),"")</f>
        <v/>
      </c>
      <c r="C1529" s="105" t="str">
        <f>IFERROR(__xludf.DUMMYFUNCTION("IFERROR(IF('Final Report'!A1529="""","""", TEXTJOIN(CHAR(10), TRUE, ARRAYFORMULA( ""• ""&amp; FILTER( TRIM(FLATTEN(SPLIT( REGEXREPLACE( SUBSTITUTE(TEXTJOIN("","", TRUE, IFERROR(ARRAYFORMULA(VLOOKUP(TRIM(SPLIT('Final Report'!A1529, "","")), 'URL Details'!A:D, "&amp;"4, FALSE)),"""") ), CHAR(10), "",""), ""\s*,\s*"", "",""), "",""))), TRIM(FLATTEN(SPLIT( REGEXREPLACE( SUBSTITUTE(TEXTJOIN("","", TRUE, IFERROR(ARRAYFORMULA(VLOOKUP(TRIM(SPLIT('Final Report'!A1529, "","")), 'URL Details'!A:D, 4, FALSE)),"""") ), CHAR(10),"&amp;" "",""), ""\s*,\s*"", "",""), "","")))&lt;&gt;"""" ) ) ) ),"""")
"),"")</f>
        <v/>
      </c>
      <c r="D1529" s="105"/>
      <c r="E1529" s="105"/>
      <c r="F1529" s="110" t="b">
        <v>0</v>
      </c>
      <c r="G1529" s="105" t="str">
        <f>IF(F1529=True, IFERROR(VLOOKUP(D1529, Repository!A:B, 2, 0), ""), "")</f>
        <v/>
      </c>
      <c r="H1529" s="105"/>
      <c r="I1529" s="105"/>
      <c r="J1529" s="105" t="str">
        <f>IF(F1529=True, IFERROR(VLOOKUP(D1529, Repository!A:C, 3, 0), ""), "")</f>
        <v/>
      </c>
      <c r="K1529" s="105"/>
      <c r="L1529" s="105" t="str">
        <f>IF(F1529=True, IFERROR(VLOOKUP(D1529, Repository!A:E, 5, 0), ""), "")</f>
        <v/>
      </c>
      <c r="M1529" s="105"/>
      <c r="N1529" s="105" t="str">
        <f>IF(F1529=True, IFERROR(VLOOKUP(D1529, Repository!A:G, 7, 0), ""), "")</f>
        <v/>
      </c>
      <c r="O1529" s="105" t="str">
        <f>IFERROR(__xludf.DUMMYFUNCTION("ARRAY_CONSTRAIN(
  ARRAYFORMULA(
    IFERROR(
      LET(
        list, N1529,
        arr, TRIM(SPLIT(list, "","")),
        names, XLOOKUP(
          arr,
          'Conformance Score'!A:A,
          'Conformance Score'!B:B,
          ""Not found""
     "&amp;"   ),
        TEXTJOIN("", "", TRUE, names)
      ),
      """"
    )
  ),
  1,
  1
)
"),"")</f>
        <v/>
      </c>
      <c r="P1529" s="105" t="str">
        <f>IF(F1529="Yes", IFERROR(VLOOKUP(D1529, Repository!A:F, 6, 0), ""), "")</f>
        <v/>
      </c>
      <c r="Q1529" s="105" t="str">
        <f>IF(F1529="Yes", IFERROR(VLOOKUP(D1529, Repository!A:I, 8, 0), ""), "")</f>
        <v/>
      </c>
      <c r="R1529" s="105" t="str">
        <f>IF(F1529="Yes", IFERROR(VLOOKUP(D1529, Repository!A:J, 9, 0), ""), "")</f>
        <v/>
      </c>
      <c r="S1529" s="105"/>
      <c r="T1529" s="105"/>
      <c r="U1529" s="105"/>
      <c r="V1529" s="105"/>
      <c r="W1529" s="105"/>
      <c r="X1529" s="105"/>
      <c r="Y1529" s="105"/>
      <c r="Z1529" s="105"/>
      <c r="AA1529" s="105"/>
      <c r="AB1529" s="105"/>
      <c r="AC1529" s="91"/>
      <c r="AD1529" s="105"/>
      <c r="AE1529" s="105"/>
      <c r="AF1529" s="91"/>
      <c r="AG1529" s="105"/>
      <c r="AH1529" s="105"/>
      <c r="AI1529" s="105" t="str">
        <f t="shared" si="1"/>
        <v/>
      </c>
      <c r="AJ1529" s="108" t="str">
        <f t="shared" si="2"/>
        <v/>
      </c>
    </row>
    <row r="1530" ht="15.75" customHeight="1">
      <c r="A1530" s="104"/>
      <c r="B1530" s="105" t="str">
        <f>IFERROR(__xludf.DUMMYFUNCTION("ARRAY_CONSTRAIN(
  ARRAYFORMULA(
    IF(
      'Final Report'!A1530="""",
      """",
      TEXTJOIN(
        "", "" &amp; CHAR(10),
        TRUE,
        IFERROR(
          VLOOKUP(
            TRIM(
              SPLIT('Final Report'!A1530, "","")
         "&amp;"   ),
            'URL Details'!A:B,
            2,
            FALSE
          ),
          """"
        )
      )
    )
  ),
  1,
  1
)
"),"")</f>
        <v/>
      </c>
      <c r="C1530" s="105" t="str">
        <f>IFERROR(__xludf.DUMMYFUNCTION("IFERROR(IF('Final Report'!A1530="""","""", TEXTJOIN(CHAR(10), TRUE, ARRAYFORMULA( ""• ""&amp; FILTER( TRIM(FLATTEN(SPLIT( REGEXREPLACE( SUBSTITUTE(TEXTJOIN("","", TRUE, IFERROR(ARRAYFORMULA(VLOOKUP(TRIM(SPLIT('Final Report'!A1530, "","")), 'URL Details'!A:D, "&amp;"4, FALSE)),"""") ), CHAR(10), "",""), ""\s*,\s*"", "",""), "",""))), TRIM(FLATTEN(SPLIT( REGEXREPLACE( SUBSTITUTE(TEXTJOIN("","", TRUE, IFERROR(ARRAYFORMULA(VLOOKUP(TRIM(SPLIT('Final Report'!A1530, "","")), 'URL Details'!A:D, 4, FALSE)),"""") ), CHAR(10),"&amp;" "",""), ""\s*,\s*"", "",""), "","")))&lt;&gt;"""" ) ) ) ),"""")
"),"")</f>
        <v/>
      </c>
      <c r="D1530" s="105"/>
      <c r="E1530" s="105"/>
      <c r="F1530" s="110" t="b">
        <v>0</v>
      </c>
      <c r="G1530" s="105" t="str">
        <f>IF(F1530=True, IFERROR(VLOOKUP(D1530, Repository!A:B, 2, 0), ""), "")</f>
        <v/>
      </c>
      <c r="H1530" s="105"/>
      <c r="I1530" s="105"/>
      <c r="J1530" s="105" t="str">
        <f>IF(F1530=True, IFERROR(VLOOKUP(D1530, Repository!A:C, 3, 0), ""), "")</f>
        <v/>
      </c>
      <c r="K1530" s="105"/>
      <c r="L1530" s="105" t="str">
        <f>IF(F1530=True, IFERROR(VLOOKUP(D1530, Repository!A:E, 5, 0), ""), "")</f>
        <v/>
      </c>
      <c r="M1530" s="105"/>
      <c r="N1530" s="105" t="str">
        <f>IF(F1530=True, IFERROR(VLOOKUP(D1530, Repository!A:G, 7, 0), ""), "")</f>
        <v/>
      </c>
      <c r="O1530" s="105" t="str">
        <f>IFERROR(__xludf.DUMMYFUNCTION("ARRAY_CONSTRAIN(
  ARRAYFORMULA(
    IFERROR(
      LET(
        list, N1530,
        arr, TRIM(SPLIT(list, "","")),
        names, XLOOKUP(
          arr,
          'Conformance Score'!A:A,
          'Conformance Score'!B:B,
          ""Not found""
     "&amp;"   ),
        TEXTJOIN("", "", TRUE, names)
      ),
      """"
    )
  ),
  1,
  1
)
"),"")</f>
        <v/>
      </c>
      <c r="P1530" s="105" t="str">
        <f>IF(F1530="Yes", IFERROR(VLOOKUP(D1530, Repository!A:F, 6, 0), ""), "")</f>
        <v/>
      </c>
      <c r="Q1530" s="105" t="str">
        <f>IF(F1530="Yes", IFERROR(VLOOKUP(D1530, Repository!A:I, 8, 0), ""), "")</f>
        <v/>
      </c>
      <c r="R1530" s="105" t="str">
        <f>IF(F1530="Yes", IFERROR(VLOOKUP(D1530, Repository!A:J, 9, 0), ""), "")</f>
        <v/>
      </c>
      <c r="S1530" s="105"/>
      <c r="T1530" s="105"/>
      <c r="U1530" s="105"/>
      <c r="V1530" s="105"/>
      <c r="W1530" s="105"/>
      <c r="X1530" s="105"/>
      <c r="Y1530" s="105"/>
      <c r="Z1530" s="105"/>
      <c r="AA1530" s="105"/>
      <c r="AB1530" s="105"/>
      <c r="AC1530" s="91"/>
      <c r="AD1530" s="105"/>
      <c r="AE1530" s="105"/>
      <c r="AF1530" s="91"/>
      <c r="AG1530" s="105"/>
      <c r="AH1530" s="105"/>
      <c r="AI1530" s="105" t="str">
        <f t="shared" si="1"/>
        <v/>
      </c>
      <c r="AJ1530" s="108" t="str">
        <f t="shared" si="2"/>
        <v/>
      </c>
    </row>
    <row r="1531" ht="15.75" customHeight="1">
      <c r="A1531" s="104"/>
      <c r="B1531" s="105" t="str">
        <f>IFERROR(__xludf.DUMMYFUNCTION("ARRAY_CONSTRAIN(
  ARRAYFORMULA(
    IF(
      'Final Report'!A1531="""",
      """",
      TEXTJOIN(
        "", "" &amp; CHAR(10),
        TRUE,
        IFERROR(
          VLOOKUP(
            TRIM(
              SPLIT('Final Report'!A1531, "","")
         "&amp;"   ),
            'URL Details'!A:B,
            2,
            FALSE
          ),
          """"
        )
      )
    )
  ),
  1,
  1
)
"),"")</f>
        <v/>
      </c>
      <c r="C1531" s="105" t="str">
        <f>IFERROR(__xludf.DUMMYFUNCTION("IFERROR(IF('Final Report'!A1531="""","""", TEXTJOIN(CHAR(10), TRUE, ARRAYFORMULA( ""• ""&amp; FILTER( TRIM(FLATTEN(SPLIT( REGEXREPLACE( SUBSTITUTE(TEXTJOIN("","", TRUE, IFERROR(ARRAYFORMULA(VLOOKUP(TRIM(SPLIT('Final Report'!A1531, "","")), 'URL Details'!A:D, "&amp;"4, FALSE)),"""") ), CHAR(10), "",""), ""\s*,\s*"", "",""), "",""))), TRIM(FLATTEN(SPLIT( REGEXREPLACE( SUBSTITUTE(TEXTJOIN("","", TRUE, IFERROR(ARRAYFORMULA(VLOOKUP(TRIM(SPLIT('Final Report'!A1531, "","")), 'URL Details'!A:D, 4, FALSE)),"""") ), CHAR(10),"&amp;" "",""), ""\s*,\s*"", "",""), "","")))&lt;&gt;"""" ) ) ) ),"""")
"),"")</f>
        <v/>
      </c>
      <c r="D1531" s="105"/>
      <c r="E1531" s="105"/>
      <c r="F1531" s="110" t="b">
        <v>0</v>
      </c>
      <c r="G1531" s="105" t="str">
        <f>IF(F1531=True, IFERROR(VLOOKUP(D1531, Repository!A:B, 2, 0), ""), "")</f>
        <v/>
      </c>
      <c r="H1531" s="105"/>
      <c r="I1531" s="105"/>
      <c r="J1531" s="105" t="str">
        <f>IF(F1531=True, IFERROR(VLOOKUP(D1531, Repository!A:C, 3, 0), ""), "")</f>
        <v/>
      </c>
      <c r="K1531" s="105"/>
      <c r="L1531" s="105" t="str">
        <f>IF(F1531=True, IFERROR(VLOOKUP(D1531, Repository!A:E, 5, 0), ""), "")</f>
        <v/>
      </c>
      <c r="M1531" s="105"/>
      <c r="N1531" s="105" t="str">
        <f>IF(F1531=True, IFERROR(VLOOKUP(D1531, Repository!A:G, 7, 0), ""), "")</f>
        <v/>
      </c>
      <c r="O1531" s="105" t="str">
        <f>IFERROR(__xludf.DUMMYFUNCTION("ARRAY_CONSTRAIN(
  ARRAYFORMULA(
    IFERROR(
      LET(
        list, N1531,
        arr, TRIM(SPLIT(list, "","")),
        names, XLOOKUP(
          arr,
          'Conformance Score'!A:A,
          'Conformance Score'!B:B,
          ""Not found""
     "&amp;"   ),
        TEXTJOIN("", "", TRUE, names)
      ),
      """"
    )
  ),
  1,
  1
)
"),"")</f>
        <v/>
      </c>
      <c r="P1531" s="105" t="str">
        <f>IF(F1531="Yes", IFERROR(VLOOKUP(D1531, Repository!A:F, 6, 0), ""), "")</f>
        <v/>
      </c>
      <c r="Q1531" s="105" t="str">
        <f>IF(F1531="Yes", IFERROR(VLOOKUP(D1531, Repository!A:I, 8, 0), ""), "")</f>
        <v/>
      </c>
      <c r="R1531" s="105" t="str">
        <f>IF(F1531="Yes", IFERROR(VLOOKUP(D1531, Repository!A:J, 9, 0), ""), "")</f>
        <v/>
      </c>
      <c r="S1531" s="105"/>
      <c r="T1531" s="105"/>
      <c r="U1531" s="105"/>
      <c r="V1531" s="105"/>
      <c r="W1531" s="105"/>
      <c r="X1531" s="105"/>
      <c r="Y1531" s="105"/>
      <c r="Z1531" s="105"/>
      <c r="AA1531" s="105"/>
      <c r="AB1531" s="105"/>
      <c r="AC1531" s="91"/>
      <c r="AD1531" s="105"/>
      <c r="AE1531" s="105"/>
      <c r="AF1531" s="91"/>
      <c r="AG1531" s="105"/>
      <c r="AH1531" s="105"/>
      <c r="AI1531" s="105" t="str">
        <f t="shared" si="1"/>
        <v/>
      </c>
      <c r="AJ1531" s="108" t="str">
        <f t="shared" si="2"/>
        <v/>
      </c>
    </row>
    <row r="1532" ht="15.75" customHeight="1">
      <c r="A1532" s="104"/>
      <c r="B1532" s="105" t="str">
        <f>IFERROR(__xludf.DUMMYFUNCTION("ARRAY_CONSTRAIN(
  ARRAYFORMULA(
    IF(
      'Final Report'!A1532="""",
      """",
      TEXTJOIN(
        "", "" &amp; CHAR(10),
        TRUE,
        IFERROR(
          VLOOKUP(
            TRIM(
              SPLIT('Final Report'!A1532, "","")
         "&amp;"   ),
            'URL Details'!A:B,
            2,
            FALSE
          ),
          """"
        )
      )
    )
  ),
  1,
  1
)
"),"")</f>
        <v/>
      </c>
      <c r="C1532" s="105" t="str">
        <f>IFERROR(__xludf.DUMMYFUNCTION("IFERROR(IF('Final Report'!A1532="""","""", TEXTJOIN(CHAR(10), TRUE, ARRAYFORMULA( ""• ""&amp; FILTER( TRIM(FLATTEN(SPLIT( REGEXREPLACE( SUBSTITUTE(TEXTJOIN("","", TRUE, IFERROR(ARRAYFORMULA(VLOOKUP(TRIM(SPLIT('Final Report'!A1532, "","")), 'URL Details'!A:D, "&amp;"4, FALSE)),"""") ), CHAR(10), "",""), ""\s*,\s*"", "",""), "",""))), TRIM(FLATTEN(SPLIT( REGEXREPLACE( SUBSTITUTE(TEXTJOIN("","", TRUE, IFERROR(ARRAYFORMULA(VLOOKUP(TRIM(SPLIT('Final Report'!A1532, "","")), 'URL Details'!A:D, 4, FALSE)),"""") ), CHAR(10),"&amp;" "",""), ""\s*,\s*"", "",""), "","")))&lt;&gt;"""" ) ) ) ),"""")
"),"")</f>
        <v/>
      </c>
      <c r="D1532" s="105"/>
      <c r="E1532" s="105"/>
      <c r="F1532" s="110" t="b">
        <v>0</v>
      </c>
      <c r="G1532" s="105" t="str">
        <f>IF(F1532=True, IFERROR(VLOOKUP(D1532, Repository!A:B, 2, 0), ""), "")</f>
        <v/>
      </c>
      <c r="H1532" s="105"/>
      <c r="I1532" s="105"/>
      <c r="J1532" s="105" t="str">
        <f>IF(F1532=True, IFERROR(VLOOKUP(D1532, Repository!A:C, 3, 0), ""), "")</f>
        <v/>
      </c>
      <c r="K1532" s="105"/>
      <c r="L1532" s="105" t="str">
        <f>IF(F1532=True, IFERROR(VLOOKUP(D1532, Repository!A:E, 5, 0), ""), "")</f>
        <v/>
      </c>
      <c r="M1532" s="105"/>
      <c r="N1532" s="105" t="str">
        <f>IF(F1532=True, IFERROR(VLOOKUP(D1532, Repository!A:G, 7, 0), ""), "")</f>
        <v/>
      </c>
      <c r="O1532" s="105" t="str">
        <f>IFERROR(__xludf.DUMMYFUNCTION("ARRAY_CONSTRAIN(
  ARRAYFORMULA(
    IFERROR(
      LET(
        list, N1532,
        arr, TRIM(SPLIT(list, "","")),
        names, XLOOKUP(
          arr,
          'Conformance Score'!A:A,
          'Conformance Score'!B:B,
          ""Not found""
     "&amp;"   ),
        TEXTJOIN("", "", TRUE, names)
      ),
      """"
    )
  ),
  1,
  1
)
"),"")</f>
        <v/>
      </c>
      <c r="P1532" s="105" t="str">
        <f>IF(F1532="Yes", IFERROR(VLOOKUP(D1532, Repository!A:F, 6, 0), ""), "")</f>
        <v/>
      </c>
      <c r="Q1532" s="105" t="str">
        <f>IF(F1532="Yes", IFERROR(VLOOKUP(D1532, Repository!A:I, 8, 0), ""), "")</f>
        <v/>
      </c>
      <c r="R1532" s="105" t="str">
        <f>IF(F1532="Yes", IFERROR(VLOOKUP(D1532, Repository!A:J, 9, 0), ""), "")</f>
        <v/>
      </c>
      <c r="S1532" s="105"/>
      <c r="T1532" s="105"/>
      <c r="U1532" s="105"/>
      <c r="V1532" s="105"/>
      <c r="W1532" s="105"/>
      <c r="X1532" s="105"/>
      <c r="Y1532" s="105"/>
      <c r="Z1532" s="105"/>
      <c r="AA1532" s="105"/>
      <c r="AB1532" s="105"/>
      <c r="AC1532" s="91"/>
      <c r="AD1532" s="105"/>
      <c r="AE1532" s="105"/>
      <c r="AF1532" s="91"/>
      <c r="AG1532" s="105"/>
      <c r="AH1532" s="105"/>
      <c r="AI1532" s="105" t="str">
        <f t="shared" si="1"/>
        <v/>
      </c>
      <c r="AJ1532" s="108" t="str">
        <f t="shared" si="2"/>
        <v/>
      </c>
    </row>
    <row r="1533" ht="15.75" customHeight="1">
      <c r="A1533" s="104"/>
      <c r="B1533" s="105" t="str">
        <f>IFERROR(__xludf.DUMMYFUNCTION("ARRAY_CONSTRAIN(
  ARRAYFORMULA(
    IF(
      'Final Report'!A1533="""",
      """",
      TEXTJOIN(
        "", "" &amp; CHAR(10),
        TRUE,
        IFERROR(
          VLOOKUP(
            TRIM(
              SPLIT('Final Report'!A1533, "","")
         "&amp;"   ),
            'URL Details'!A:B,
            2,
            FALSE
          ),
          """"
        )
      )
    )
  ),
  1,
  1
)
"),"")</f>
        <v/>
      </c>
      <c r="C1533" s="105" t="str">
        <f>IFERROR(__xludf.DUMMYFUNCTION("IFERROR(IF('Final Report'!A1533="""","""", TEXTJOIN(CHAR(10), TRUE, ARRAYFORMULA( ""• ""&amp; FILTER( TRIM(FLATTEN(SPLIT( REGEXREPLACE( SUBSTITUTE(TEXTJOIN("","", TRUE, IFERROR(ARRAYFORMULA(VLOOKUP(TRIM(SPLIT('Final Report'!A1533, "","")), 'URL Details'!A:D, "&amp;"4, FALSE)),"""") ), CHAR(10), "",""), ""\s*,\s*"", "",""), "",""))), TRIM(FLATTEN(SPLIT( REGEXREPLACE( SUBSTITUTE(TEXTJOIN("","", TRUE, IFERROR(ARRAYFORMULA(VLOOKUP(TRIM(SPLIT('Final Report'!A1533, "","")), 'URL Details'!A:D, 4, FALSE)),"""") ), CHAR(10),"&amp;" "",""), ""\s*,\s*"", "",""), "","")))&lt;&gt;"""" ) ) ) ),"""")
"),"")</f>
        <v/>
      </c>
      <c r="D1533" s="105"/>
      <c r="E1533" s="105"/>
      <c r="F1533" s="110" t="b">
        <v>0</v>
      </c>
      <c r="G1533" s="105" t="str">
        <f>IF(F1533=True, IFERROR(VLOOKUP(D1533, Repository!A:B, 2, 0), ""), "")</f>
        <v/>
      </c>
      <c r="H1533" s="105"/>
      <c r="I1533" s="105"/>
      <c r="J1533" s="105" t="str">
        <f>IF(F1533=True, IFERROR(VLOOKUP(D1533, Repository!A:C, 3, 0), ""), "")</f>
        <v/>
      </c>
      <c r="K1533" s="105"/>
      <c r="L1533" s="105" t="str">
        <f>IF(F1533=True, IFERROR(VLOOKUP(D1533, Repository!A:E, 5, 0), ""), "")</f>
        <v/>
      </c>
      <c r="M1533" s="105"/>
      <c r="N1533" s="105" t="str">
        <f>IF(F1533=True, IFERROR(VLOOKUP(D1533, Repository!A:G, 7, 0), ""), "")</f>
        <v/>
      </c>
      <c r="O1533" s="105" t="str">
        <f>IFERROR(__xludf.DUMMYFUNCTION("ARRAY_CONSTRAIN(
  ARRAYFORMULA(
    IFERROR(
      LET(
        list, N1533,
        arr, TRIM(SPLIT(list, "","")),
        names, XLOOKUP(
          arr,
          'Conformance Score'!A:A,
          'Conformance Score'!B:B,
          ""Not found""
     "&amp;"   ),
        TEXTJOIN("", "", TRUE, names)
      ),
      """"
    )
  ),
  1,
  1
)
"),"")</f>
        <v/>
      </c>
      <c r="P1533" s="105" t="str">
        <f>IF(F1533="Yes", IFERROR(VLOOKUP(D1533, Repository!A:F, 6, 0), ""), "")</f>
        <v/>
      </c>
      <c r="Q1533" s="105" t="str">
        <f>IF(F1533="Yes", IFERROR(VLOOKUP(D1533, Repository!A:I, 8, 0), ""), "")</f>
        <v/>
      </c>
      <c r="R1533" s="105" t="str">
        <f>IF(F1533="Yes", IFERROR(VLOOKUP(D1533, Repository!A:J, 9, 0), ""), "")</f>
        <v/>
      </c>
      <c r="S1533" s="105"/>
      <c r="T1533" s="105"/>
      <c r="U1533" s="105"/>
      <c r="V1533" s="105"/>
      <c r="W1533" s="105"/>
      <c r="X1533" s="105"/>
      <c r="Y1533" s="105"/>
      <c r="Z1533" s="105"/>
      <c r="AA1533" s="105"/>
      <c r="AB1533" s="105"/>
      <c r="AC1533" s="91"/>
      <c r="AD1533" s="105"/>
      <c r="AE1533" s="105"/>
      <c r="AF1533" s="91"/>
      <c r="AG1533" s="105"/>
      <c r="AH1533" s="105"/>
      <c r="AI1533" s="105" t="str">
        <f t="shared" si="1"/>
        <v/>
      </c>
      <c r="AJ1533" s="108" t="str">
        <f t="shared" si="2"/>
        <v/>
      </c>
    </row>
    <row r="1534" ht="15.75" customHeight="1">
      <c r="A1534" s="104"/>
      <c r="B1534" s="105" t="str">
        <f>IFERROR(__xludf.DUMMYFUNCTION("ARRAY_CONSTRAIN(
  ARRAYFORMULA(
    IF(
      'Final Report'!A1534="""",
      """",
      TEXTJOIN(
        "", "" &amp; CHAR(10),
        TRUE,
        IFERROR(
          VLOOKUP(
            TRIM(
              SPLIT('Final Report'!A1534, "","")
         "&amp;"   ),
            'URL Details'!A:B,
            2,
            FALSE
          ),
          """"
        )
      )
    )
  ),
  1,
  1
)
"),"")</f>
        <v/>
      </c>
      <c r="C1534" s="105" t="str">
        <f>IFERROR(__xludf.DUMMYFUNCTION("IFERROR(IF('Final Report'!A1534="""","""", TEXTJOIN(CHAR(10), TRUE, ARRAYFORMULA( ""• ""&amp; FILTER( TRIM(FLATTEN(SPLIT( REGEXREPLACE( SUBSTITUTE(TEXTJOIN("","", TRUE, IFERROR(ARRAYFORMULA(VLOOKUP(TRIM(SPLIT('Final Report'!A1534, "","")), 'URL Details'!A:D, "&amp;"4, FALSE)),"""") ), CHAR(10), "",""), ""\s*,\s*"", "",""), "",""))), TRIM(FLATTEN(SPLIT( REGEXREPLACE( SUBSTITUTE(TEXTJOIN("","", TRUE, IFERROR(ARRAYFORMULA(VLOOKUP(TRIM(SPLIT('Final Report'!A1534, "","")), 'URL Details'!A:D, 4, FALSE)),"""") ), CHAR(10),"&amp;" "",""), ""\s*,\s*"", "",""), "","")))&lt;&gt;"""" ) ) ) ),"""")
"),"")</f>
        <v/>
      </c>
      <c r="D1534" s="105"/>
      <c r="E1534" s="105"/>
      <c r="F1534" s="110" t="b">
        <v>0</v>
      </c>
      <c r="G1534" s="105" t="str">
        <f>IF(F1534=True, IFERROR(VLOOKUP(D1534, Repository!A:B, 2, 0), ""), "")</f>
        <v/>
      </c>
      <c r="H1534" s="105"/>
      <c r="I1534" s="105"/>
      <c r="J1534" s="105" t="str">
        <f>IF(F1534=True, IFERROR(VLOOKUP(D1534, Repository!A:C, 3, 0), ""), "")</f>
        <v/>
      </c>
      <c r="K1534" s="105"/>
      <c r="L1534" s="105" t="str">
        <f>IF(F1534=True, IFERROR(VLOOKUP(D1534, Repository!A:E, 5, 0), ""), "")</f>
        <v/>
      </c>
      <c r="M1534" s="105"/>
      <c r="N1534" s="105" t="str">
        <f>IF(F1534=True, IFERROR(VLOOKUP(D1534, Repository!A:G, 7, 0), ""), "")</f>
        <v/>
      </c>
      <c r="O1534" s="105" t="str">
        <f>IFERROR(__xludf.DUMMYFUNCTION("ARRAY_CONSTRAIN(
  ARRAYFORMULA(
    IFERROR(
      LET(
        list, N1534,
        arr, TRIM(SPLIT(list, "","")),
        names, XLOOKUP(
          arr,
          'Conformance Score'!A:A,
          'Conformance Score'!B:B,
          ""Not found""
     "&amp;"   ),
        TEXTJOIN("", "", TRUE, names)
      ),
      """"
    )
  ),
  1,
  1
)
"),"")</f>
        <v/>
      </c>
      <c r="P1534" s="105" t="str">
        <f>IF(F1534="Yes", IFERROR(VLOOKUP(D1534, Repository!A:F, 6, 0), ""), "")</f>
        <v/>
      </c>
      <c r="Q1534" s="105" t="str">
        <f>IF(F1534="Yes", IFERROR(VLOOKUP(D1534, Repository!A:I, 8, 0), ""), "")</f>
        <v/>
      </c>
      <c r="R1534" s="105" t="str">
        <f>IF(F1534="Yes", IFERROR(VLOOKUP(D1534, Repository!A:J, 9, 0), ""), "")</f>
        <v/>
      </c>
      <c r="S1534" s="105"/>
      <c r="T1534" s="105"/>
      <c r="U1534" s="105"/>
      <c r="V1534" s="105"/>
      <c r="W1534" s="105"/>
      <c r="X1534" s="105"/>
      <c r="Y1534" s="105"/>
      <c r="Z1534" s="105"/>
      <c r="AA1534" s="105"/>
      <c r="AB1534" s="105"/>
      <c r="AC1534" s="91"/>
      <c r="AD1534" s="105"/>
      <c r="AE1534" s="105"/>
      <c r="AF1534" s="91"/>
      <c r="AG1534" s="105"/>
      <c r="AH1534" s="105"/>
      <c r="AI1534" s="105" t="str">
        <f t="shared" si="1"/>
        <v/>
      </c>
      <c r="AJ1534" s="108" t="str">
        <f t="shared" si="2"/>
        <v/>
      </c>
    </row>
    <row r="1535" ht="15.75" customHeight="1">
      <c r="A1535" s="104"/>
      <c r="B1535" s="105" t="str">
        <f>IFERROR(__xludf.DUMMYFUNCTION("ARRAY_CONSTRAIN(
  ARRAYFORMULA(
    IF(
      'Final Report'!A1535="""",
      """",
      TEXTJOIN(
        "", "" &amp; CHAR(10),
        TRUE,
        IFERROR(
          VLOOKUP(
            TRIM(
              SPLIT('Final Report'!A1535, "","")
         "&amp;"   ),
            'URL Details'!A:B,
            2,
            FALSE
          ),
          """"
        )
      )
    )
  ),
  1,
  1
)
"),"")</f>
        <v/>
      </c>
      <c r="C1535" s="105" t="str">
        <f>IFERROR(__xludf.DUMMYFUNCTION("IFERROR(IF('Final Report'!A1535="""","""", TEXTJOIN(CHAR(10), TRUE, ARRAYFORMULA( ""• ""&amp; FILTER( TRIM(FLATTEN(SPLIT( REGEXREPLACE( SUBSTITUTE(TEXTJOIN("","", TRUE, IFERROR(ARRAYFORMULA(VLOOKUP(TRIM(SPLIT('Final Report'!A1535, "","")), 'URL Details'!A:D, "&amp;"4, FALSE)),"""") ), CHAR(10), "",""), ""\s*,\s*"", "",""), "",""))), TRIM(FLATTEN(SPLIT( REGEXREPLACE( SUBSTITUTE(TEXTJOIN("","", TRUE, IFERROR(ARRAYFORMULA(VLOOKUP(TRIM(SPLIT('Final Report'!A1535, "","")), 'URL Details'!A:D, 4, FALSE)),"""") ), CHAR(10),"&amp;" "",""), ""\s*,\s*"", "",""), "","")))&lt;&gt;"""" ) ) ) ),"""")
"),"")</f>
        <v/>
      </c>
      <c r="D1535" s="105"/>
      <c r="E1535" s="105"/>
      <c r="F1535" s="110" t="b">
        <v>0</v>
      </c>
      <c r="G1535" s="105" t="str">
        <f>IF(F1535=True, IFERROR(VLOOKUP(D1535, Repository!A:B, 2, 0), ""), "")</f>
        <v/>
      </c>
      <c r="H1535" s="105"/>
      <c r="I1535" s="105"/>
      <c r="J1535" s="105" t="str">
        <f>IF(F1535=True, IFERROR(VLOOKUP(D1535, Repository!A:C, 3, 0), ""), "")</f>
        <v/>
      </c>
      <c r="K1535" s="105"/>
      <c r="L1535" s="105" t="str">
        <f>IF(F1535=True, IFERROR(VLOOKUP(D1535, Repository!A:E, 5, 0), ""), "")</f>
        <v/>
      </c>
      <c r="M1535" s="105"/>
      <c r="N1535" s="105" t="str">
        <f>IF(F1535=True, IFERROR(VLOOKUP(D1535, Repository!A:G, 7, 0), ""), "")</f>
        <v/>
      </c>
      <c r="O1535" s="105" t="str">
        <f>IFERROR(__xludf.DUMMYFUNCTION("ARRAY_CONSTRAIN(
  ARRAYFORMULA(
    IFERROR(
      LET(
        list, N1535,
        arr, TRIM(SPLIT(list, "","")),
        names, XLOOKUP(
          arr,
          'Conformance Score'!A:A,
          'Conformance Score'!B:B,
          ""Not found""
     "&amp;"   ),
        TEXTJOIN("", "", TRUE, names)
      ),
      """"
    )
  ),
  1,
  1
)
"),"")</f>
        <v/>
      </c>
      <c r="P1535" s="105" t="str">
        <f>IF(F1535="Yes", IFERROR(VLOOKUP(D1535, Repository!A:F, 6, 0), ""), "")</f>
        <v/>
      </c>
      <c r="Q1535" s="105" t="str">
        <f>IF(F1535="Yes", IFERROR(VLOOKUP(D1535, Repository!A:I, 8, 0), ""), "")</f>
        <v/>
      </c>
      <c r="R1535" s="105" t="str">
        <f>IF(F1535="Yes", IFERROR(VLOOKUP(D1535, Repository!A:J, 9, 0), ""), "")</f>
        <v/>
      </c>
      <c r="S1535" s="105"/>
      <c r="T1535" s="105"/>
      <c r="U1535" s="105"/>
      <c r="V1535" s="105"/>
      <c r="W1535" s="105"/>
      <c r="X1535" s="105"/>
      <c r="Y1535" s="105"/>
      <c r="Z1535" s="105"/>
      <c r="AA1535" s="105"/>
      <c r="AB1535" s="105"/>
      <c r="AC1535" s="91"/>
      <c r="AD1535" s="105"/>
      <c r="AE1535" s="105"/>
      <c r="AF1535" s="91"/>
      <c r="AG1535" s="105"/>
      <c r="AH1535" s="105"/>
      <c r="AI1535" s="105" t="str">
        <f t="shared" si="1"/>
        <v/>
      </c>
      <c r="AJ1535" s="108" t="str">
        <f t="shared" si="2"/>
        <v/>
      </c>
    </row>
    <row r="1536" ht="15.75" customHeight="1">
      <c r="A1536" s="104"/>
      <c r="B1536" s="105" t="str">
        <f>IFERROR(__xludf.DUMMYFUNCTION("ARRAY_CONSTRAIN(
  ARRAYFORMULA(
    IF(
      'Final Report'!A1536="""",
      """",
      TEXTJOIN(
        "", "" &amp; CHAR(10),
        TRUE,
        IFERROR(
          VLOOKUP(
            TRIM(
              SPLIT('Final Report'!A1536, "","")
         "&amp;"   ),
            'URL Details'!A:B,
            2,
            FALSE
          ),
          """"
        )
      )
    )
  ),
  1,
  1
)
"),"")</f>
        <v/>
      </c>
      <c r="C1536" s="105" t="str">
        <f>IFERROR(__xludf.DUMMYFUNCTION("IFERROR(IF('Final Report'!A1536="""","""", TEXTJOIN(CHAR(10), TRUE, ARRAYFORMULA( ""• ""&amp; FILTER( TRIM(FLATTEN(SPLIT( REGEXREPLACE( SUBSTITUTE(TEXTJOIN("","", TRUE, IFERROR(ARRAYFORMULA(VLOOKUP(TRIM(SPLIT('Final Report'!A1536, "","")), 'URL Details'!A:D, "&amp;"4, FALSE)),"""") ), CHAR(10), "",""), ""\s*,\s*"", "",""), "",""))), TRIM(FLATTEN(SPLIT( REGEXREPLACE( SUBSTITUTE(TEXTJOIN("","", TRUE, IFERROR(ARRAYFORMULA(VLOOKUP(TRIM(SPLIT('Final Report'!A1536, "","")), 'URL Details'!A:D, 4, FALSE)),"""") ), CHAR(10),"&amp;" "",""), ""\s*,\s*"", "",""), "","")))&lt;&gt;"""" ) ) ) ),"""")
"),"")</f>
        <v/>
      </c>
      <c r="D1536" s="105"/>
      <c r="E1536" s="105"/>
      <c r="F1536" s="110" t="b">
        <v>0</v>
      </c>
      <c r="G1536" s="105" t="str">
        <f>IF(F1536=True, IFERROR(VLOOKUP(D1536, Repository!A:B, 2, 0), ""), "")</f>
        <v/>
      </c>
      <c r="H1536" s="105"/>
      <c r="I1536" s="105"/>
      <c r="J1536" s="105" t="str">
        <f>IF(F1536=True, IFERROR(VLOOKUP(D1536, Repository!A:C, 3, 0), ""), "")</f>
        <v/>
      </c>
      <c r="K1536" s="105"/>
      <c r="L1536" s="105" t="str">
        <f>IF(F1536=True, IFERROR(VLOOKUP(D1536, Repository!A:E, 5, 0), ""), "")</f>
        <v/>
      </c>
      <c r="M1536" s="105"/>
      <c r="N1536" s="105" t="str">
        <f>IF(F1536=True, IFERROR(VLOOKUP(D1536, Repository!A:G, 7, 0), ""), "")</f>
        <v/>
      </c>
      <c r="O1536" s="105" t="str">
        <f>IFERROR(__xludf.DUMMYFUNCTION("ARRAY_CONSTRAIN(
  ARRAYFORMULA(
    IFERROR(
      LET(
        list, N1536,
        arr, TRIM(SPLIT(list, "","")),
        names, XLOOKUP(
          arr,
          'Conformance Score'!A:A,
          'Conformance Score'!B:B,
          ""Not found""
     "&amp;"   ),
        TEXTJOIN("", "", TRUE, names)
      ),
      """"
    )
  ),
  1,
  1
)
"),"")</f>
        <v/>
      </c>
      <c r="P1536" s="105" t="str">
        <f>IF(F1536="Yes", IFERROR(VLOOKUP(D1536, Repository!A:F, 6, 0), ""), "")</f>
        <v/>
      </c>
      <c r="Q1536" s="105" t="str">
        <f>IF(F1536="Yes", IFERROR(VLOOKUP(D1536, Repository!A:I, 8, 0), ""), "")</f>
        <v/>
      </c>
      <c r="R1536" s="105" t="str">
        <f>IF(F1536="Yes", IFERROR(VLOOKUP(D1536, Repository!A:J, 9, 0), ""), "")</f>
        <v/>
      </c>
      <c r="S1536" s="105"/>
      <c r="T1536" s="105"/>
      <c r="U1536" s="105"/>
      <c r="V1536" s="105"/>
      <c r="W1536" s="105"/>
      <c r="X1536" s="105"/>
      <c r="Y1536" s="105"/>
      <c r="Z1536" s="105"/>
      <c r="AA1536" s="105"/>
      <c r="AB1536" s="105"/>
      <c r="AC1536" s="91"/>
      <c r="AD1536" s="105"/>
      <c r="AE1536" s="105"/>
      <c r="AF1536" s="91"/>
      <c r="AG1536" s="105"/>
      <c r="AH1536" s="105"/>
      <c r="AI1536" s="105" t="str">
        <f t="shared" si="1"/>
        <v/>
      </c>
      <c r="AJ1536" s="108" t="str">
        <f t="shared" si="2"/>
        <v/>
      </c>
    </row>
    <row r="1537" ht="15.75" customHeight="1">
      <c r="A1537" s="104"/>
      <c r="B1537" s="105" t="str">
        <f>IFERROR(__xludf.DUMMYFUNCTION("ARRAY_CONSTRAIN(
  ARRAYFORMULA(
    IF(
      'Final Report'!A1537="""",
      """",
      TEXTJOIN(
        "", "" &amp; CHAR(10),
        TRUE,
        IFERROR(
          VLOOKUP(
            TRIM(
              SPLIT('Final Report'!A1537, "","")
         "&amp;"   ),
            'URL Details'!A:B,
            2,
            FALSE
          ),
          """"
        )
      )
    )
  ),
  1,
  1
)
"),"")</f>
        <v/>
      </c>
      <c r="C1537" s="105" t="str">
        <f>IFERROR(__xludf.DUMMYFUNCTION("IFERROR(IF('Final Report'!A1537="""","""", TEXTJOIN(CHAR(10), TRUE, ARRAYFORMULA( ""• ""&amp; FILTER( TRIM(FLATTEN(SPLIT( REGEXREPLACE( SUBSTITUTE(TEXTJOIN("","", TRUE, IFERROR(ARRAYFORMULA(VLOOKUP(TRIM(SPLIT('Final Report'!A1537, "","")), 'URL Details'!A:D, "&amp;"4, FALSE)),"""") ), CHAR(10), "",""), ""\s*,\s*"", "",""), "",""))), TRIM(FLATTEN(SPLIT( REGEXREPLACE( SUBSTITUTE(TEXTJOIN("","", TRUE, IFERROR(ARRAYFORMULA(VLOOKUP(TRIM(SPLIT('Final Report'!A1537, "","")), 'URL Details'!A:D, 4, FALSE)),"""") ), CHAR(10),"&amp;" "",""), ""\s*,\s*"", "",""), "","")))&lt;&gt;"""" ) ) ) ),"""")
"),"")</f>
        <v/>
      </c>
      <c r="D1537" s="105"/>
      <c r="E1537" s="105"/>
      <c r="F1537" s="110" t="b">
        <v>0</v>
      </c>
      <c r="G1537" s="105" t="str">
        <f>IF(F1537=True, IFERROR(VLOOKUP(D1537, Repository!A:B, 2, 0), ""), "")</f>
        <v/>
      </c>
      <c r="H1537" s="105"/>
      <c r="I1537" s="105"/>
      <c r="J1537" s="105" t="str">
        <f>IF(F1537=True, IFERROR(VLOOKUP(D1537, Repository!A:C, 3, 0), ""), "")</f>
        <v/>
      </c>
      <c r="K1537" s="105"/>
      <c r="L1537" s="105" t="str">
        <f>IF(F1537=True, IFERROR(VLOOKUP(D1537, Repository!A:E, 5, 0), ""), "")</f>
        <v/>
      </c>
      <c r="M1537" s="105"/>
      <c r="N1537" s="105" t="str">
        <f>IF(F1537=True, IFERROR(VLOOKUP(D1537, Repository!A:G, 7, 0), ""), "")</f>
        <v/>
      </c>
      <c r="O1537" s="105" t="str">
        <f>IFERROR(__xludf.DUMMYFUNCTION("ARRAY_CONSTRAIN(
  ARRAYFORMULA(
    IFERROR(
      LET(
        list, N1537,
        arr, TRIM(SPLIT(list, "","")),
        names, XLOOKUP(
          arr,
          'Conformance Score'!A:A,
          'Conformance Score'!B:B,
          ""Not found""
     "&amp;"   ),
        TEXTJOIN("", "", TRUE, names)
      ),
      """"
    )
  ),
  1,
  1
)
"),"")</f>
        <v/>
      </c>
      <c r="P1537" s="105" t="str">
        <f>IF(F1537="Yes", IFERROR(VLOOKUP(D1537, Repository!A:F, 6, 0), ""), "")</f>
        <v/>
      </c>
      <c r="Q1537" s="105" t="str">
        <f>IF(F1537="Yes", IFERROR(VLOOKUP(D1537, Repository!A:I, 8, 0), ""), "")</f>
        <v/>
      </c>
      <c r="R1537" s="105" t="str">
        <f>IF(F1537="Yes", IFERROR(VLOOKUP(D1537, Repository!A:J, 9, 0), ""), "")</f>
        <v/>
      </c>
      <c r="S1537" s="105"/>
      <c r="T1537" s="105"/>
      <c r="U1537" s="105"/>
      <c r="V1537" s="105"/>
      <c r="W1537" s="105"/>
      <c r="X1537" s="105"/>
      <c r="Y1537" s="105"/>
      <c r="Z1537" s="105"/>
      <c r="AA1537" s="105"/>
      <c r="AB1537" s="105"/>
      <c r="AC1537" s="91"/>
      <c r="AD1537" s="105"/>
      <c r="AE1537" s="105"/>
      <c r="AF1537" s="91"/>
      <c r="AG1537" s="105"/>
      <c r="AH1537" s="105"/>
      <c r="AI1537" s="105" t="str">
        <f t="shared" si="1"/>
        <v/>
      </c>
      <c r="AJ1537" s="108" t="str">
        <f t="shared" si="2"/>
        <v/>
      </c>
    </row>
    <row r="1538" ht="15.75" customHeight="1">
      <c r="A1538" s="104"/>
      <c r="B1538" s="105" t="str">
        <f>IFERROR(__xludf.DUMMYFUNCTION("ARRAY_CONSTRAIN(
  ARRAYFORMULA(
    IF(
      'Final Report'!A1538="""",
      """",
      TEXTJOIN(
        "", "" &amp; CHAR(10),
        TRUE,
        IFERROR(
          VLOOKUP(
            TRIM(
              SPLIT('Final Report'!A1538, "","")
         "&amp;"   ),
            'URL Details'!A:B,
            2,
            FALSE
          ),
          """"
        )
      )
    )
  ),
  1,
  1
)
"),"")</f>
        <v/>
      </c>
      <c r="C1538" s="105" t="str">
        <f>IFERROR(__xludf.DUMMYFUNCTION("IFERROR(IF('Final Report'!A1538="""","""", TEXTJOIN(CHAR(10), TRUE, ARRAYFORMULA( ""• ""&amp; FILTER( TRIM(FLATTEN(SPLIT( REGEXREPLACE( SUBSTITUTE(TEXTJOIN("","", TRUE, IFERROR(ARRAYFORMULA(VLOOKUP(TRIM(SPLIT('Final Report'!A1538, "","")), 'URL Details'!A:D, "&amp;"4, FALSE)),"""") ), CHAR(10), "",""), ""\s*,\s*"", "",""), "",""))), TRIM(FLATTEN(SPLIT( REGEXREPLACE( SUBSTITUTE(TEXTJOIN("","", TRUE, IFERROR(ARRAYFORMULA(VLOOKUP(TRIM(SPLIT('Final Report'!A1538, "","")), 'URL Details'!A:D, 4, FALSE)),"""") ), CHAR(10),"&amp;" "",""), ""\s*,\s*"", "",""), "","")))&lt;&gt;"""" ) ) ) ),"""")
"),"")</f>
        <v/>
      </c>
      <c r="D1538" s="105"/>
      <c r="E1538" s="105"/>
      <c r="F1538" s="110" t="b">
        <v>0</v>
      </c>
      <c r="G1538" s="105" t="str">
        <f>IF(F1538=True, IFERROR(VLOOKUP(D1538, Repository!A:B, 2, 0), ""), "")</f>
        <v/>
      </c>
      <c r="H1538" s="105"/>
      <c r="I1538" s="105"/>
      <c r="J1538" s="105" t="str">
        <f>IF(F1538=True, IFERROR(VLOOKUP(D1538, Repository!A:C, 3, 0), ""), "")</f>
        <v/>
      </c>
      <c r="K1538" s="105"/>
      <c r="L1538" s="105" t="str">
        <f>IF(F1538=True, IFERROR(VLOOKUP(D1538, Repository!A:E, 5, 0), ""), "")</f>
        <v/>
      </c>
      <c r="M1538" s="105"/>
      <c r="N1538" s="105" t="str">
        <f>IF(F1538=True, IFERROR(VLOOKUP(D1538, Repository!A:G, 7, 0), ""), "")</f>
        <v/>
      </c>
      <c r="O1538" s="105" t="str">
        <f>IFERROR(__xludf.DUMMYFUNCTION("ARRAY_CONSTRAIN(
  ARRAYFORMULA(
    IFERROR(
      LET(
        list, N1538,
        arr, TRIM(SPLIT(list, "","")),
        names, XLOOKUP(
          arr,
          'Conformance Score'!A:A,
          'Conformance Score'!B:B,
          ""Not found""
     "&amp;"   ),
        TEXTJOIN("", "", TRUE, names)
      ),
      """"
    )
  ),
  1,
  1
)
"),"")</f>
        <v/>
      </c>
      <c r="P1538" s="105" t="str">
        <f>IF(F1538="Yes", IFERROR(VLOOKUP(D1538, Repository!A:F, 6, 0), ""), "")</f>
        <v/>
      </c>
      <c r="Q1538" s="105" t="str">
        <f>IF(F1538="Yes", IFERROR(VLOOKUP(D1538, Repository!A:I, 8, 0), ""), "")</f>
        <v/>
      </c>
      <c r="R1538" s="105" t="str">
        <f>IF(F1538="Yes", IFERROR(VLOOKUP(D1538, Repository!A:J, 9, 0), ""), "")</f>
        <v/>
      </c>
      <c r="S1538" s="105"/>
      <c r="T1538" s="105"/>
      <c r="U1538" s="105"/>
      <c r="V1538" s="105"/>
      <c r="W1538" s="105"/>
      <c r="X1538" s="105"/>
      <c r="Y1538" s="105"/>
      <c r="Z1538" s="105"/>
      <c r="AA1538" s="105"/>
      <c r="AB1538" s="105"/>
      <c r="AC1538" s="91"/>
      <c r="AD1538" s="105"/>
      <c r="AE1538" s="105"/>
      <c r="AF1538" s="91"/>
      <c r="AG1538" s="105"/>
      <c r="AH1538" s="105"/>
      <c r="AI1538" s="105" t="str">
        <f t="shared" si="1"/>
        <v/>
      </c>
      <c r="AJ1538" s="108" t="str">
        <f t="shared" si="2"/>
        <v/>
      </c>
    </row>
    <row r="1539" ht="15.75" customHeight="1">
      <c r="A1539" s="104"/>
      <c r="B1539" s="105" t="str">
        <f>IFERROR(__xludf.DUMMYFUNCTION("ARRAY_CONSTRAIN(
  ARRAYFORMULA(
    IF(
      'Final Report'!A1539="""",
      """",
      TEXTJOIN(
        "", "" &amp; CHAR(10),
        TRUE,
        IFERROR(
          VLOOKUP(
            TRIM(
              SPLIT('Final Report'!A1539, "","")
         "&amp;"   ),
            'URL Details'!A:B,
            2,
            FALSE
          ),
          """"
        )
      )
    )
  ),
  1,
  1
)
"),"")</f>
        <v/>
      </c>
      <c r="C1539" s="105" t="str">
        <f>IFERROR(__xludf.DUMMYFUNCTION("IFERROR(IF('Final Report'!A1539="""","""", TEXTJOIN(CHAR(10), TRUE, ARRAYFORMULA( ""• ""&amp; FILTER( TRIM(FLATTEN(SPLIT( REGEXREPLACE( SUBSTITUTE(TEXTJOIN("","", TRUE, IFERROR(ARRAYFORMULA(VLOOKUP(TRIM(SPLIT('Final Report'!A1539, "","")), 'URL Details'!A:D, "&amp;"4, FALSE)),"""") ), CHAR(10), "",""), ""\s*,\s*"", "",""), "",""))), TRIM(FLATTEN(SPLIT( REGEXREPLACE( SUBSTITUTE(TEXTJOIN("","", TRUE, IFERROR(ARRAYFORMULA(VLOOKUP(TRIM(SPLIT('Final Report'!A1539, "","")), 'URL Details'!A:D, 4, FALSE)),"""") ), CHAR(10),"&amp;" "",""), ""\s*,\s*"", "",""), "","")))&lt;&gt;"""" ) ) ) ),"""")
"),"")</f>
        <v/>
      </c>
      <c r="D1539" s="105"/>
      <c r="E1539" s="105"/>
      <c r="F1539" s="110" t="b">
        <v>0</v>
      </c>
      <c r="G1539" s="105" t="str">
        <f>IF(F1539=True, IFERROR(VLOOKUP(D1539, Repository!A:B, 2, 0), ""), "")</f>
        <v/>
      </c>
      <c r="H1539" s="105"/>
      <c r="I1539" s="105"/>
      <c r="J1539" s="105" t="str">
        <f>IF(F1539=True, IFERROR(VLOOKUP(D1539, Repository!A:C, 3, 0), ""), "")</f>
        <v/>
      </c>
      <c r="K1539" s="105"/>
      <c r="L1539" s="105" t="str">
        <f>IF(F1539=True, IFERROR(VLOOKUP(D1539, Repository!A:E, 5, 0), ""), "")</f>
        <v/>
      </c>
      <c r="M1539" s="105"/>
      <c r="N1539" s="105" t="str">
        <f>IF(F1539=True, IFERROR(VLOOKUP(D1539, Repository!A:G, 7, 0), ""), "")</f>
        <v/>
      </c>
      <c r="O1539" s="105" t="str">
        <f>IFERROR(__xludf.DUMMYFUNCTION("ARRAY_CONSTRAIN(
  ARRAYFORMULA(
    IFERROR(
      LET(
        list, N1539,
        arr, TRIM(SPLIT(list, "","")),
        names, XLOOKUP(
          arr,
          'Conformance Score'!A:A,
          'Conformance Score'!B:B,
          ""Not found""
     "&amp;"   ),
        TEXTJOIN("", "", TRUE, names)
      ),
      """"
    )
  ),
  1,
  1
)
"),"")</f>
        <v/>
      </c>
      <c r="P1539" s="105" t="str">
        <f>IF(F1539="Yes", IFERROR(VLOOKUP(D1539, Repository!A:F, 6, 0), ""), "")</f>
        <v/>
      </c>
      <c r="Q1539" s="105" t="str">
        <f>IF(F1539="Yes", IFERROR(VLOOKUP(D1539, Repository!A:I, 8, 0), ""), "")</f>
        <v/>
      </c>
      <c r="R1539" s="105" t="str">
        <f>IF(F1539="Yes", IFERROR(VLOOKUP(D1539, Repository!A:J, 9, 0), ""), "")</f>
        <v/>
      </c>
      <c r="S1539" s="105"/>
      <c r="T1539" s="105"/>
      <c r="U1539" s="105"/>
      <c r="V1539" s="105"/>
      <c r="W1539" s="105"/>
      <c r="X1539" s="105"/>
      <c r="Y1539" s="105"/>
      <c r="Z1539" s="105"/>
      <c r="AA1539" s="105"/>
      <c r="AB1539" s="105"/>
      <c r="AC1539" s="91"/>
      <c r="AD1539" s="105"/>
      <c r="AE1539" s="105"/>
      <c r="AF1539" s="91"/>
      <c r="AG1539" s="105"/>
      <c r="AH1539" s="105"/>
      <c r="AI1539" s="105" t="str">
        <f t="shared" si="1"/>
        <v/>
      </c>
      <c r="AJ1539" s="108" t="str">
        <f t="shared" si="2"/>
        <v/>
      </c>
    </row>
    <row r="1540" ht="15.75" customHeight="1">
      <c r="A1540" s="104"/>
      <c r="B1540" s="105" t="str">
        <f>IFERROR(__xludf.DUMMYFUNCTION("ARRAY_CONSTRAIN(
  ARRAYFORMULA(
    IF(
      'Final Report'!A1540="""",
      """",
      TEXTJOIN(
        "", "" &amp; CHAR(10),
        TRUE,
        IFERROR(
          VLOOKUP(
            TRIM(
              SPLIT('Final Report'!A1540, "","")
         "&amp;"   ),
            'URL Details'!A:B,
            2,
            FALSE
          ),
          """"
        )
      )
    )
  ),
  1,
  1
)
"),"")</f>
        <v/>
      </c>
      <c r="C1540" s="105" t="str">
        <f>IFERROR(__xludf.DUMMYFUNCTION("IFERROR(IF('Final Report'!A1540="""","""", TEXTJOIN(CHAR(10), TRUE, ARRAYFORMULA( ""• ""&amp; FILTER( TRIM(FLATTEN(SPLIT( REGEXREPLACE( SUBSTITUTE(TEXTJOIN("","", TRUE, IFERROR(ARRAYFORMULA(VLOOKUP(TRIM(SPLIT('Final Report'!A1540, "","")), 'URL Details'!A:D, "&amp;"4, FALSE)),"""") ), CHAR(10), "",""), ""\s*,\s*"", "",""), "",""))), TRIM(FLATTEN(SPLIT( REGEXREPLACE( SUBSTITUTE(TEXTJOIN("","", TRUE, IFERROR(ARRAYFORMULA(VLOOKUP(TRIM(SPLIT('Final Report'!A1540, "","")), 'URL Details'!A:D, 4, FALSE)),"""") ), CHAR(10),"&amp;" "",""), ""\s*,\s*"", "",""), "","")))&lt;&gt;"""" ) ) ) ),"""")
"),"")</f>
        <v/>
      </c>
      <c r="D1540" s="105"/>
      <c r="E1540" s="105"/>
      <c r="F1540" s="110" t="b">
        <v>0</v>
      </c>
      <c r="G1540" s="105" t="str">
        <f>IF(F1540=True, IFERROR(VLOOKUP(D1540, Repository!A:B, 2, 0), ""), "")</f>
        <v/>
      </c>
      <c r="H1540" s="105"/>
      <c r="I1540" s="105"/>
      <c r="J1540" s="105" t="str">
        <f>IF(F1540=True, IFERROR(VLOOKUP(D1540, Repository!A:C, 3, 0), ""), "")</f>
        <v/>
      </c>
      <c r="K1540" s="105"/>
      <c r="L1540" s="105" t="str">
        <f>IF(F1540=True, IFERROR(VLOOKUP(D1540, Repository!A:E, 5, 0), ""), "")</f>
        <v/>
      </c>
      <c r="M1540" s="105"/>
      <c r="N1540" s="105" t="str">
        <f>IF(F1540=True, IFERROR(VLOOKUP(D1540, Repository!A:G, 7, 0), ""), "")</f>
        <v/>
      </c>
      <c r="O1540" s="105" t="str">
        <f>IFERROR(__xludf.DUMMYFUNCTION("ARRAY_CONSTRAIN(
  ARRAYFORMULA(
    IFERROR(
      LET(
        list, N1540,
        arr, TRIM(SPLIT(list, "","")),
        names, XLOOKUP(
          arr,
          'Conformance Score'!A:A,
          'Conformance Score'!B:B,
          ""Not found""
     "&amp;"   ),
        TEXTJOIN("", "", TRUE, names)
      ),
      """"
    )
  ),
  1,
  1
)
"),"")</f>
        <v/>
      </c>
      <c r="P1540" s="105" t="str">
        <f>IF(F1540="Yes", IFERROR(VLOOKUP(D1540, Repository!A:F, 6, 0), ""), "")</f>
        <v/>
      </c>
      <c r="Q1540" s="105" t="str">
        <f>IF(F1540="Yes", IFERROR(VLOOKUP(D1540, Repository!A:I, 8, 0), ""), "")</f>
        <v/>
      </c>
      <c r="R1540" s="105" t="str">
        <f>IF(F1540="Yes", IFERROR(VLOOKUP(D1540, Repository!A:J, 9, 0), ""), "")</f>
        <v/>
      </c>
      <c r="S1540" s="105"/>
      <c r="T1540" s="105"/>
      <c r="U1540" s="105"/>
      <c r="V1540" s="105"/>
      <c r="W1540" s="105"/>
      <c r="X1540" s="105"/>
      <c r="Y1540" s="105"/>
      <c r="Z1540" s="105"/>
      <c r="AA1540" s="105"/>
      <c r="AB1540" s="105"/>
      <c r="AC1540" s="91"/>
      <c r="AD1540" s="105"/>
      <c r="AE1540" s="105"/>
      <c r="AF1540" s="91"/>
      <c r="AG1540" s="105"/>
      <c r="AH1540" s="105"/>
      <c r="AI1540" s="105" t="str">
        <f t="shared" si="1"/>
        <v/>
      </c>
      <c r="AJ1540" s="108" t="str">
        <f t="shared" si="2"/>
        <v/>
      </c>
    </row>
    <row r="1541" ht="15.75" customHeight="1">
      <c r="A1541" s="104"/>
      <c r="B1541" s="105" t="str">
        <f>IFERROR(__xludf.DUMMYFUNCTION("ARRAY_CONSTRAIN(
  ARRAYFORMULA(
    IF(
      'Final Report'!A1541="""",
      """",
      TEXTJOIN(
        "", "" &amp; CHAR(10),
        TRUE,
        IFERROR(
          VLOOKUP(
            TRIM(
              SPLIT('Final Report'!A1541, "","")
         "&amp;"   ),
            'URL Details'!A:B,
            2,
            FALSE
          ),
          """"
        )
      )
    )
  ),
  1,
  1
)
"),"")</f>
        <v/>
      </c>
      <c r="C1541" s="105" t="str">
        <f>IFERROR(__xludf.DUMMYFUNCTION("IFERROR(IF('Final Report'!A1541="""","""", TEXTJOIN(CHAR(10), TRUE, ARRAYFORMULA( ""• ""&amp; FILTER( TRIM(FLATTEN(SPLIT( REGEXREPLACE( SUBSTITUTE(TEXTJOIN("","", TRUE, IFERROR(ARRAYFORMULA(VLOOKUP(TRIM(SPLIT('Final Report'!A1541, "","")), 'URL Details'!A:D, "&amp;"4, FALSE)),"""") ), CHAR(10), "",""), ""\s*,\s*"", "",""), "",""))), TRIM(FLATTEN(SPLIT( REGEXREPLACE( SUBSTITUTE(TEXTJOIN("","", TRUE, IFERROR(ARRAYFORMULA(VLOOKUP(TRIM(SPLIT('Final Report'!A1541, "","")), 'URL Details'!A:D, 4, FALSE)),"""") ), CHAR(10),"&amp;" "",""), ""\s*,\s*"", "",""), "","")))&lt;&gt;"""" ) ) ) ),"""")
"),"")</f>
        <v/>
      </c>
      <c r="D1541" s="105"/>
      <c r="E1541" s="105"/>
      <c r="F1541" s="110" t="b">
        <v>0</v>
      </c>
      <c r="G1541" s="105" t="str">
        <f>IF(F1541=True, IFERROR(VLOOKUP(D1541, Repository!A:B, 2, 0), ""), "")</f>
        <v/>
      </c>
      <c r="H1541" s="105"/>
      <c r="I1541" s="105"/>
      <c r="J1541" s="105" t="str">
        <f>IF(F1541=True, IFERROR(VLOOKUP(D1541, Repository!A:C, 3, 0), ""), "")</f>
        <v/>
      </c>
      <c r="K1541" s="105"/>
      <c r="L1541" s="105" t="str">
        <f>IF(F1541=True, IFERROR(VLOOKUP(D1541, Repository!A:E, 5, 0), ""), "")</f>
        <v/>
      </c>
      <c r="M1541" s="105"/>
      <c r="N1541" s="105" t="str">
        <f>IF(F1541=True, IFERROR(VLOOKUP(D1541, Repository!A:G, 7, 0), ""), "")</f>
        <v/>
      </c>
      <c r="O1541" s="105" t="str">
        <f>IFERROR(__xludf.DUMMYFUNCTION("ARRAY_CONSTRAIN(
  ARRAYFORMULA(
    IFERROR(
      LET(
        list, N1541,
        arr, TRIM(SPLIT(list, "","")),
        names, XLOOKUP(
          arr,
          'Conformance Score'!A:A,
          'Conformance Score'!B:B,
          ""Not found""
     "&amp;"   ),
        TEXTJOIN("", "", TRUE, names)
      ),
      """"
    )
  ),
  1,
  1
)
"),"")</f>
        <v/>
      </c>
      <c r="P1541" s="105" t="str">
        <f>IF(F1541="Yes", IFERROR(VLOOKUP(D1541, Repository!A:F, 6, 0), ""), "")</f>
        <v/>
      </c>
      <c r="Q1541" s="105" t="str">
        <f>IF(F1541="Yes", IFERROR(VLOOKUP(D1541, Repository!A:I, 8, 0), ""), "")</f>
        <v/>
      </c>
      <c r="R1541" s="105" t="str">
        <f>IF(F1541="Yes", IFERROR(VLOOKUP(D1541, Repository!A:J, 9, 0), ""), "")</f>
        <v/>
      </c>
      <c r="S1541" s="105"/>
      <c r="T1541" s="105"/>
      <c r="U1541" s="105"/>
      <c r="V1541" s="105"/>
      <c r="W1541" s="105"/>
      <c r="X1541" s="105"/>
      <c r="Y1541" s="105"/>
      <c r="Z1541" s="105"/>
      <c r="AA1541" s="105"/>
      <c r="AB1541" s="105"/>
      <c r="AC1541" s="91"/>
      <c r="AD1541" s="105"/>
      <c r="AE1541" s="105"/>
      <c r="AF1541" s="91"/>
      <c r="AG1541" s="105"/>
      <c r="AH1541" s="105"/>
      <c r="AI1541" s="105" t="str">
        <f t="shared" si="1"/>
        <v/>
      </c>
      <c r="AJ1541" s="108" t="str">
        <f t="shared" si="2"/>
        <v/>
      </c>
    </row>
    <row r="1542" ht="15.75" customHeight="1">
      <c r="A1542" s="104"/>
      <c r="B1542" s="105" t="str">
        <f>IFERROR(__xludf.DUMMYFUNCTION("ARRAY_CONSTRAIN(
  ARRAYFORMULA(
    IF(
      'Final Report'!A1542="""",
      """",
      TEXTJOIN(
        "", "" &amp; CHAR(10),
        TRUE,
        IFERROR(
          VLOOKUP(
            TRIM(
              SPLIT('Final Report'!A1542, "","")
         "&amp;"   ),
            'URL Details'!A:B,
            2,
            FALSE
          ),
          """"
        )
      )
    )
  ),
  1,
  1
)
"),"")</f>
        <v/>
      </c>
      <c r="C1542" s="105" t="str">
        <f>IFERROR(__xludf.DUMMYFUNCTION("IFERROR(IF('Final Report'!A1542="""","""", TEXTJOIN(CHAR(10), TRUE, ARRAYFORMULA( ""• ""&amp; FILTER( TRIM(FLATTEN(SPLIT( REGEXREPLACE( SUBSTITUTE(TEXTJOIN("","", TRUE, IFERROR(ARRAYFORMULA(VLOOKUP(TRIM(SPLIT('Final Report'!A1542, "","")), 'URL Details'!A:D, "&amp;"4, FALSE)),"""") ), CHAR(10), "",""), ""\s*,\s*"", "",""), "",""))), TRIM(FLATTEN(SPLIT( REGEXREPLACE( SUBSTITUTE(TEXTJOIN("","", TRUE, IFERROR(ARRAYFORMULA(VLOOKUP(TRIM(SPLIT('Final Report'!A1542, "","")), 'URL Details'!A:D, 4, FALSE)),"""") ), CHAR(10),"&amp;" "",""), ""\s*,\s*"", "",""), "","")))&lt;&gt;"""" ) ) ) ),"""")
"),"")</f>
        <v/>
      </c>
      <c r="D1542" s="105"/>
      <c r="E1542" s="105"/>
      <c r="F1542" s="110" t="b">
        <v>0</v>
      </c>
      <c r="G1542" s="105" t="str">
        <f>IF(F1542=True, IFERROR(VLOOKUP(D1542, Repository!A:B, 2, 0), ""), "")</f>
        <v/>
      </c>
      <c r="H1542" s="105"/>
      <c r="I1542" s="105"/>
      <c r="J1542" s="105" t="str">
        <f>IF(F1542=True, IFERROR(VLOOKUP(D1542, Repository!A:C, 3, 0), ""), "")</f>
        <v/>
      </c>
      <c r="K1542" s="105"/>
      <c r="L1542" s="105" t="str">
        <f>IF(F1542=True, IFERROR(VLOOKUP(D1542, Repository!A:E, 5, 0), ""), "")</f>
        <v/>
      </c>
      <c r="M1542" s="105"/>
      <c r="N1542" s="105" t="str">
        <f>IF(F1542=True, IFERROR(VLOOKUP(D1542, Repository!A:G, 7, 0), ""), "")</f>
        <v/>
      </c>
      <c r="O1542" s="105" t="str">
        <f>IFERROR(__xludf.DUMMYFUNCTION("ARRAY_CONSTRAIN(
  ARRAYFORMULA(
    IFERROR(
      LET(
        list, N1542,
        arr, TRIM(SPLIT(list, "","")),
        names, XLOOKUP(
          arr,
          'Conformance Score'!A:A,
          'Conformance Score'!B:B,
          ""Not found""
     "&amp;"   ),
        TEXTJOIN("", "", TRUE, names)
      ),
      """"
    )
  ),
  1,
  1
)
"),"")</f>
        <v/>
      </c>
      <c r="P1542" s="105" t="str">
        <f>IF(F1542="Yes", IFERROR(VLOOKUP(D1542, Repository!A:F, 6, 0), ""), "")</f>
        <v/>
      </c>
      <c r="Q1542" s="105" t="str">
        <f>IF(F1542="Yes", IFERROR(VLOOKUP(D1542, Repository!A:I, 8, 0), ""), "")</f>
        <v/>
      </c>
      <c r="R1542" s="105" t="str">
        <f>IF(F1542="Yes", IFERROR(VLOOKUP(D1542, Repository!A:J, 9, 0), ""), "")</f>
        <v/>
      </c>
      <c r="S1542" s="105"/>
      <c r="T1542" s="105"/>
      <c r="U1542" s="105"/>
      <c r="V1542" s="105"/>
      <c r="W1542" s="105"/>
      <c r="X1542" s="105"/>
      <c r="Y1542" s="105"/>
      <c r="Z1542" s="105"/>
      <c r="AA1542" s="105"/>
      <c r="AB1542" s="105"/>
      <c r="AC1542" s="91"/>
      <c r="AD1542" s="105"/>
      <c r="AE1542" s="105"/>
      <c r="AF1542" s="91"/>
      <c r="AG1542" s="105"/>
      <c r="AH1542" s="105"/>
      <c r="AI1542" s="105" t="str">
        <f t="shared" si="1"/>
        <v/>
      </c>
      <c r="AJ1542" s="108" t="str">
        <f t="shared" si="2"/>
        <v/>
      </c>
    </row>
    <row r="1543" ht="15.75" customHeight="1">
      <c r="A1543" s="104"/>
      <c r="B1543" s="105" t="str">
        <f>IFERROR(__xludf.DUMMYFUNCTION("ARRAY_CONSTRAIN(
  ARRAYFORMULA(
    IF(
      'Final Report'!A1543="""",
      """",
      TEXTJOIN(
        "", "" &amp; CHAR(10),
        TRUE,
        IFERROR(
          VLOOKUP(
            TRIM(
              SPLIT('Final Report'!A1543, "","")
         "&amp;"   ),
            'URL Details'!A:B,
            2,
            FALSE
          ),
          """"
        )
      )
    )
  ),
  1,
  1
)
"),"")</f>
        <v/>
      </c>
      <c r="C1543" s="105" t="str">
        <f>IFERROR(__xludf.DUMMYFUNCTION("IFERROR(IF('Final Report'!A1543="""","""", TEXTJOIN(CHAR(10), TRUE, ARRAYFORMULA( ""• ""&amp; FILTER( TRIM(FLATTEN(SPLIT( REGEXREPLACE( SUBSTITUTE(TEXTJOIN("","", TRUE, IFERROR(ARRAYFORMULA(VLOOKUP(TRIM(SPLIT('Final Report'!A1543, "","")), 'URL Details'!A:D, "&amp;"4, FALSE)),"""") ), CHAR(10), "",""), ""\s*,\s*"", "",""), "",""))), TRIM(FLATTEN(SPLIT( REGEXREPLACE( SUBSTITUTE(TEXTJOIN("","", TRUE, IFERROR(ARRAYFORMULA(VLOOKUP(TRIM(SPLIT('Final Report'!A1543, "","")), 'URL Details'!A:D, 4, FALSE)),"""") ), CHAR(10),"&amp;" "",""), ""\s*,\s*"", "",""), "","")))&lt;&gt;"""" ) ) ) ),"""")
"),"")</f>
        <v/>
      </c>
      <c r="D1543" s="105"/>
      <c r="E1543" s="105"/>
      <c r="F1543" s="110" t="b">
        <v>0</v>
      </c>
      <c r="G1543" s="105" t="str">
        <f>IF(F1543=True, IFERROR(VLOOKUP(D1543, Repository!A:B, 2, 0), ""), "")</f>
        <v/>
      </c>
      <c r="H1543" s="105"/>
      <c r="I1543" s="105"/>
      <c r="J1543" s="105" t="str">
        <f>IF(F1543=True, IFERROR(VLOOKUP(D1543, Repository!A:C, 3, 0), ""), "")</f>
        <v/>
      </c>
      <c r="K1543" s="105"/>
      <c r="L1543" s="105" t="str">
        <f>IF(F1543=True, IFERROR(VLOOKUP(D1543, Repository!A:E, 5, 0), ""), "")</f>
        <v/>
      </c>
      <c r="M1543" s="105"/>
      <c r="N1543" s="105" t="str">
        <f>IF(F1543=True, IFERROR(VLOOKUP(D1543, Repository!A:G, 7, 0), ""), "")</f>
        <v/>
      </c>
      <c r="O1543" s="105" t="str">
        <f>IFERROR(__xludf.DUMMYFUNCTION("ARRAY_CONSTRAIN(
  ARRAYFORMULA(
    IFERROR(
      LET(
        list, N1543,
        arr, TRIM(SPLIT(list, "","")),
        names, XLOOKUP(
          arr,
          'Conformance Score'!A:A,
          'Conformance Score'!B:B,
          ""Not found""
     "&amp;"   ),
        TEXTJOIN("", "", TRUE, names)
      ),
      """"
    )
  ),
  1,
  1
)
"),"")</f>
        <v/>
      </c>
      <c r="P1543" s="105" t="str">
        <f>IF(F1543="Yes", IFERROR(VLOOKUP(D1543, Repository!A:F, 6, 0), ""), "")</f>
        <v/>
      </c>
      <c r="Q1543" s="105" t="str">
        <f>IF(F1543="Yes", IFERROR(VLOOKUP(D1543, Repository!A:I, 8, 0), ""), "")</f>
        <v/>
      </c>
      <c r="R1543" s="105" t="str">
        <f>IF(F1543="Yes", IFERROR(VLOOKUP(D1543, Repository!A:J, 9, 0), ""), "")</f>
        <v/>
      </c>
      <c r="S1543" s="105"/>
      <c r="T1543" s="105"/>
      <c r="U1543" s="105"/>
      <c r="V1543" s="105"/>
      <c r="W1543" s="105"/>
      <c r="X1543" s="105"/>
      <c r="Y1543" s="105"/>
      <c r="Z1543" s="105"/>
      <c r="AA1543" s="105"/>
      <c r="AB1543" s="105"/>
      <c r="AC1543" s="91"/>
      <c r="AD1543" s="105"/>
      <c r="AE1543" s="105"/>
      <c r="AF1543" s="91"/>
      <c r="AG1543" s="105"/>
      <c r="AH1543" s="105"/>
      <c r="AI1543" s="105" t="str">
        <f t="shared" si="1"/>
        <v/>
      </c>
      <c r="AJ1543" s="108" t="str">
        <f t="shared" si="2"/>
        <v/>
      </c>
    </row>
    <row r="1544" ht="15.75" customHeight="1">
      <c r="A1544" s="104"/>
      <c r="B1544" s="105" t="str">
        <f>IFERROR(__xludf.DUMMYFUNCTION("ARRAY_CONSTRAIN(
  ARRAYFORMULA(
    IF(
      'Final Report'!A1544="""",
      """",
      TEXTJOIN(
        "", "" &amp; CHAR(10),
        TRUE,
        IFERROR(
          VLOOKUP(
            TRIM(
              SPLIT('Final Report'!A1544, "","")
         "&amp;"   ),
            'URL Details'!A:B,
            2,
            FALSE
          ),
          """"
        )
      )
    )
  ),
  1,
  1
)
"),"")</f>
        <v/>
      </c>
      <c r="C1544" s="105" t="str">
        <f>IFERROR(__xludf.DUMMYFUNCTION("IFERROR(IF('Final Report'!A1544="""","""", TEXTJOIN(CHAR(10), TRUE, ARRAYFORMULA( ""• ""&amp; FILTER( TRIM(FLATTEN(SPLIT( REGEXREPLACE( SUBSTITUTE(TEXTJOIN("","", TRUE, IFERROR(ARRAYFORMULA(VLOOKUP(TRIM(SPLIT('Final Report'!A1544, "","")), 'URL Details'!A:D, "&amp;"4, FALSE)),"""") ), CHAR(10), "",""), ""\s*,\s*"", "",""), "",""))), TRIM(FLATTEN(SPLIT( REGEXREPLACE( SUBSTITUTE(TEXTJOIN("","", TRUE, IFERROR(ARRAYFORMULA(VLOOKUP(TRIM(SPLIT('Final Report'!A1544, "","")), 'URL Details'!A:D, 4, FALSE)),"""") ), CHAR(10),"&amp;" "",""), ""\s*,\s*"", "",""), "","")))&lt;&gt;"""" ) ) ) ),"""")
"),"")</f>
        <v/>
      </c>
      <c r="D1544" s="105"/>
      <c r="E1544" s="105"/>
      <c r="F1544" s="110" t="b">
        <v>0</v>
      </c>
      <c r="G1544" s="105" t="str">
        <f>IF(F1544=True, IFERROR(VLOOKUP(D1544, Repository!A:B, 2, 0), ""), "")</f>
        <v/>
      </c>
      <c r="H1544" s="105"/>
      <c r="I1544" s="105"/>
      <c r="J1544" s="105" t="str">
        <f>IF(F1544=True, IFERROR(VLOOKUP(D1544, Repository!A:C, 3, 0), ""), "")</f>
        <v/>
      </c>
      <c r="K1544" s="105"/>
      <c r="L1544" s="105" t="str">
        <f>IF(F1544=True, IFERROR(VLOOKUP(D1544, Repository!A:E, 5, 0), ""), "")</f>
        <v/>
      </c>
      <c r="M1544" s="105"/>
      <c r="N1544" s="105" t="str">
        <f>IF(F1544=True, IFERROR(VLOOKUP(D1544, Repository!A:G, 7, 0), ""), "")</f>
        <v/>
      </c>
      <c r="O1544" s="105" t="str">
        <f>IFERROR(__xludf.DUMMYFUNCTION("ARRAY_CONSTRAIN(
  ARRAYFORMULA(
    IFERROR(
      LET(
        list, N1544,
        arr, TRIM(SPLIT(list, "","")),
        names, XLOOKUP(
          arr,
          'Conformance Score'!A:A,
          'Conformance Score'!B:B,
          ""Not found""
     "&amp;"   ),
        TEXTJOIN("", "", TRUE, names)
      ),
      """"
    )
  ),
  1,
  1
)
"),"")</f>
        <v/>
      </c>
      <c r="P1544" s="105" t="str">
        <f>IF(F1544="Yes", IFERROR(VLOOKUP(D1544, Repository!A:F, 6, 0), ""), "")</f>
        <v/>
      </c>
      <c r="Q1544" s="105" t="str">
        <f>IF(F1544="Yes", IFERROR(VLOOKUP(D1544, Repository!A:I, 8, 0), ""), "")</f>
        <v/>
      </c>
      <c r="R1544" s="105" t="str">
        <f>IF(F1544="Yes", IFERROR(VLOOKUP(D1544, Repository!A:J, 9, 0), ""), "")</f>
        <v/>
      </c>
      <c r="S1544" s="105"/>
      <c r="T1544" s="105"/>
      <c r="U1544" s="105"/>
      <c r="V1544" s="105"/>
      <c r="W1544" s="105"/>
      <c r="X1544" s="105"/>
      <c r="Y1544" s="105"/>
      <c r="Z1544" s="105"/>
      <c r="AA1544" s="105"/>
      <c r="AB1544" s="105"/>
      <c r="AC1544" s="91"/>
      <c r="AD1544" s="105"/>
      <c r="AE1544" s="105"/>
      <c r="AF1544" s="91"/>
      <c r="AG1544" s="105"/>
      <c r="AH1544" s="105"/>
      <c r="AI1544" s="105" t="str">
        <f t="shared" si="1"/>
        <v/>
      </c>
      <c r="AJ1544" s="108" t="str">
        <f t="shared" si="2"/>
        <v/>
      </c>
    </row>
    <row r="1545" ht="15.75" customHeight="1">
      <c r="A1545" s="104"/>
      <c r="B1545" s="105" t="str">
        <f>IFERROR(__xludf.DUMMYFUNCTION("ARRAY_CONSTRAIN(
  ARRAYFORMULA(
    IF(
      'Final Report'!A1545="""",
      """",
      TEXTJOIN(
        "", "" &amp; CHAR(10),
        TRUE,
        IFERROR(
          VLOOKUP(
            TRIM(
              SPLIT('Final Report'!A1545, "","")
         "&amp;"   ),
            'URL Details'!A:B,
            2,
            FALSE
          ),
          """"
        )
      )
    )
  ),
  1,
  1
)
"),"")</f>
        <v/>
      </c>
      <c r="C1545" s="105" t="str">
        <f>IFERROR(__xludf.DUMMYFUNCTION("IFERROR(IF('Final Report'!A1545="""","""", TEXTJOIN(CHAR(10), TRUE, ARRAYFORMULA( ""• ""&amp; FILTER( TRIM(FLATTEN(SPLIT( REGEXREPLACE( SUBSTITUTE(TEXTJOIN("","", TRUE, IFERROR(ARRAYFORMULA(VLOOKUP(TRIM(SPLIT('Final Report'!A1545, "","")), 'URL Details'!A:D, "&amp;"4, FALSE)),"""") ), CHAR(10), "",""), ""\s*,\s*"", "",""), "",""))), TRIM(FLATTEN(SPLIT( REGEXREPLACE( SUBSTITUTE(TEXTJOIN("","", TRUE, IFERROR(ARRAYFORMULA(VLOOKUP(TRIM(SPLIT('Final Report'!A1545, "","")), 'URL Details'!A:D, 4, FALSE)),"""") ), CHAR(10),"&amp;" "",""), ""\s*,\s*"", "",""), "","")))&lt;&gt;"""" ) ) ) ),"""")
"),"")</f>
        <v/>
      </c>
      <c r="D1545" s="105"/>
      <c r="E1545" s="105"/>
      <c r="F1545" s="110" t="b">
        <v>0</v>
      </c>
      <c r="G1545" s="105" t="str">
        <f>IF(F1545=True, IFERROR(VLOOKUP(D1545, Repository!A:B, 2, 0), ""), "")</f>
        <v/>
      </c>
      <c r="H1545" s="105"/>
      <c r="I1545" s="105"/>
      <c r="J1545" s="105" t="str">
        <f>IF(F1545=True, IFERROR(VLOOKUP(D1545, Repository!A:C, 3, 0), ""), "")</f>
        <v/>
      </c>
      <c r="K1545" s="105"/>
      <c r="L1545" s="105" t="str">
        <f>IF(F1545=True, IFERROR(VLOOKUP(D1545, Repository!A:E, 5, 0), ""), "")</f>
        <v/>
      </c>
      <c r="M1545" s="105"/>
      <c r="N1545" s="105" t="str">
        <f>IF(F1545=True, IFERROR(VLOOKUP(D1545, Repository!A:G, 7, 0), ""), "")</f>
        <v/>
      </c>
      <c r="O1545" s="105" t="str">
        <f>IFERROR(__xludf.DUMMYFUNCTION("ARRAY_CONSTRAIN(
  ARRAYFORMULA(
    IFERROR(
      LET(
        list, N1545,
        arr, TRIM(SPLIT(list, "","")),
        names, XLOOKUP(
          arr,
          'Conformance Score'!A:A,
          'Conformance Score'!B:B,
          ""Not found""
     "&amp;"   ),
        TEXTJOIN("", "", TRUE, names)
      ),
      """"
    )
  ),
  1,
  1
)
"),"")</f>
        <v/>
      </c>
      <c r="P1545" s="105" t="str">
        <f>IF(F1545="Yes", IFERROR(VLOOKUP(D1545, Repository!A:F, 6, 0), ""), "")</f>
        <v/>
      </c>
      <c r="Q1545" s="105" t="str">
        <f>IF(F1545="Yes", IFERROR(VLOOKUP(D1545, Repository!A:I, 8, 0), ""), "")</f>
        <v/>
      </c>
      <c r="R1545" s="105" t="str">
        <f>IF(F1545="Yes", IFERROR(VLOOKUP(D1545, Repository!A:J, 9, 0), ""), "")</f>
        <v/>
      </c>
      <c r="S1545" s="105"/>
      <c r="T1545" s="105"/>
      <c r="U1545" s="105"/>
      <c r="V1545" s="105"/>
      <c r="W1545" s="105"/>
      <c r="X1545" s="105"/>
      <c r="Y1545" s="105"/>
      <c r="Z1545" s="105"/>
      <c r="AA1545" s="105"/>
      <c r="AB1545" s="105"/>
      <c r="AC1545" s="91"/>
      <c r="AD1545" s="105"/>
      <c r="AE1545" s="105"/>
      <c r="AF1545" s="91"/>
      <c r="AG1545" s="105"/>
      <c r="AH1545" s="105"/>
      <c r="AI1545" s="105" t="str">
        <f t="shared" si="1"/>
        <v/>
      </c>
      <c r="AJ1545" s="108" t="str">
        <f t="shared" si="2"/>
        <v/>
      </c>
    </row>
    <row r="1546" ht="15.75" customHeight="1">
      <c r="A1546" s="104"/>
      <c r="B1546" s="105" t="str">
        <f>IFERROR(__xludf.DUMMYFUNCTION("ARRAY_CONSTRAIN(
  ARRAYFORMULA(
    IF(
      'Final Report'!A1546="""",
      """",
      TEXTJOIN(
        "", "" &amp; CHAR(10),
        TRUE,
        IFERROR(
          VLOOKUP(
            TRIM(
              SPLIT('Final Report'!A1546, "","")
         "&amp;"   ),
            'URL Details'!A:B,
            2,
            FALSE
          ),
          """"
        )
      )
    )
  ),
  1,
  1
)
"),"")</f>
        <v/>
      </c>
      <c r="C1546" s="105" t="str">
        <f>IFERROR(__xludf.DUMMYFUNCTION("IFERROR(IF('Final Report'!A1546="""","""", TEXTJOIN(CHAR(10), TRUE, ARRAYFORMULA( ""• ""&amp; FILTER( TRIM(FLATTEN(SPLIT( REGEXREPLACE( SUBSTITUTE(TEXTJOIN("","", TRUE, IFERROR(ARRAYFORMULA(VLOOKUP(TRIM(SPLIT('Final Report'!A1546, "","")), 'URL Details'!A:D, "&amp;"4, FALSE)),"""") ), CHAR(10), "",""), ""\s*,\s*"", "",""), "",""))), TRIM(FLATTEN(SPLIT( REGEXREPLACE( SUBSTITUTE(TEXTJOIN("","", TRUE, IFERROR(ARRAYFORMULA(VLOOKUP(TRIM(SPLIT('Final Report'!A1546, "","")), 'URL Details'!A:D, 4, FALSE)),"""") ), CHAR(10),"&amp;" "",""), ""\s*,\s*"", "",""), "","")))&lt;&gt;"""" ) ) ) ),"""")
"),"")</f>
        <v/>
      </c>
      <c r="D1546" s="105"/>
      <c r="E1546" s="105"/>
      <c r="F1546" s="110" t="b">
        <v>0</v>
      </c>
      <c r="G1546" s="105" t="str">
        <f>IF(F1546=True, IFERROR(VLOOKUP(D1546, Repository!A:B, 2, 0), ""), "")</f>
        <v/>
      </c>
      <c r="H1546" s="105"/>
      <c r="I1546" s="105"/>
      <c r="J1546" s="105" t="str">
        <f>IF(F1546=True, IFERROR(VLOOKUP(D1546, Repository!A:C, 3, 0), ""), "")</f>
        <v/>
      </c>
      <c r="K1546" s="105"/>
      <c r="L1546" s="105" t="str">
        <f>IF(F1546=True, IFERROR(VLOOKUP(D1546, Repository!A:E, 5, 0), ""), "")</f>
        <v/>
      </c>
      <c r="M1546" s="105"/>
      <c r="N1546" s="105" t="str">
        <f>IF(F1546=True, IFERROR(VLOOKUP(D1546, Repository!A:G, 7, 0), ""), "")</f>
        <v/>
      </c>
      <c r="O1546" s="105" t="str">
        <f>IFERROR(__xludf.DUMMYFUNCTION("ARRAY_CONSTRAIN(
  ARRAYFORMULA(
    IFERROR(
      LET(
        list, N1546,
        arr, TRIM(SPLIT(list, "","")),
        names, XLOOKUP(
          arr,
          'Conformance Score'!A:A,
          'Conformance Score'!B:B,
          ""Not found""
     "&amp;"   ),
        TEXTJOIN("", "", TRUE, names)
      ),
      """"
    )
  ),
  1,
  1
)
"),"")</f>
        <v/>
      </c>
      <c r="P1546" s="105" t="str">
        <f>IF(F1546="Yes", IFERROR(VLOOKUP(D1546, Repository!A:F, 6, 0), ""), "")</f>
        <v/>
      </c>
      <c r="Q1546" s="105" t="str">
        <f>IF(F1546="Yes", IFERROR(VLOOKUP(D1546, Repository!A:I, 8, 0), ""), "")</f>
        <v/>
      </c>
      <c r="R1546" s="105" t="str">
        <f>IF(F1546="Yes", IFERROR(VLOOKUP(D1546, Repository!A:J, 9, 0), ""), "")</f>
        <v/>
      </c>
      <c r="S1546" s="105"/>
      <c r="T1546" s="105"/>
      <c r="U1546" s="105"/>
      <c r="V1546" s="105"/>
      <c r="W1546" s="105"/>
      <c r="X1546" s="105"/>
      <c r="Y1546" s="105"/>
      <c r="Z1546" s="105"/>
      <c r="AA1546" s="105"/>
      <c r="AB1546" s="105"/>
      <c r="AC1546" s="91"/>
      <c r="AD1546" s="105"/>
      <c r="AE1546" s="105"/>
      <c r="AF1546" s="91"/>
      <c r="AG1546" s="105"/>
      <c r="AH1546" s="105"/>
      <c r="AI1546" s="105" t="str">
        <f t="shared" si="1"/>
        <v/>
      </c>
      <c r="AJ1546" s="108" t="str">
        <f t="shared" si="2"/>
        <v/>
      </c>
    </row>
    <row r="1547" ht="15.75" customHeight="1">
      <c r="A1547" s="104"/>
      <c r="B1547" s="105" t="str">
        <f>IFERROR(__xludf.DUMMYFUNCTION("ARRAY_CONSTRAIN(
  ARRAYFORMULA(
    IF(
      'Final Report'!A1547="""",
      """",
      TEXTJOIN(
        "", "" &amp; CHAR(10),
        TRUE,
        IFERROR(
          VLOOKUP(
            TRIM(
              SPLIT('Final Report'!A1547, "","")
         "&amp;"   ),
            'URL Details'!A:B,
            2,
            FALSE
          ),
          """"
        )
      )
    )
  ),
  1,
  1
)
"),"")</f>
        <v/>
      </c>
      <c r="C1547" s="105" t="str">
        <f>IFERROR(__xludf.DUMMYFUNCTION("IFERROR(IF('Final Report'!A1547="""","""", TEXTJOIN(CHAR(10), TRUE, ARRAYFORMULA( ""• ""&amp; FILTER( TRIM(FLATTEN(SPLIT( REGEXREPLACE( SUBSTITUTE(TEXTJOIN("","", TRUE, IFERROR(ARRAYFORMULA(VLOOKUP(TRIM(SPLIT('Final Report'!A1547, "","")), 'URL Details'!A:D, "&amp;"4, FALSE)),"""") ), CHAR(10), "",""), ""\s*,\s*"", "",""), "",""))), TRIM(FLATTEN(SPLIT( REGEXREPLACE( SUBSTITUTE(TEXTJOIN("","", TRUE, IFERROR(ARRAYFORMULA(VLOOKUP(TRIM(SPLIT('Final Report'!A1547, "","")), 'URL Details'!A:D, 4, FALSE)),"""") ), CHAR(10),"&amp;" "",""), ""\s*,\s*"", "",""), "","")))&lt;&gt;"""" ) ) ) ),"""")
"),"")</f>
        <v/>
      </c>
      <c r="D1547" s="105"/>
      <c r="E1547" s="105"/>
      <c r="F1547" s="110" t="b">
        <v>0</v>
      </c>
      <c r="G1547" s="105" t="str">
        <f>IF(F1547=True, IFERROR(VLOOKUP(D1547, Repository!A:B, 2, 0), ""), "")</f>
        <v/>
      </c>
      <c r="H1547" s="105"/>
      <c r="I1547" s="105"/>
      <c r="J1547" s="105" t="str">
        <f>IF(F1547=True, IFERROR(VLOOKUP(D1547, Repository!A:C, 3, 0), ""), "")</f>
        <v/>
      </c>
      <c r="K1547" s="105"/>
      <c r="L1547" s="105" t="str">
        <f>IF(F1547=True, IFERROR(VLOOKUP(D1547, Repository!A:E, 5, 0), ""), "")</f>
        <v/>
      </c>
      <c r="M1547" s="105"/>
      <c r="N1547" s="105" t="str">
        <f>IF(F1547=True, IFERROR(VLOOKUP(D1547, Repository!A:G, 7, 0), ""), "")</f>
        <v/>
      </c>
      <c r="O1547" s="105" t="str">
        <f>IFERROR(__xludf.DUMMYFUNCTION("ARRAY_CONSTRAIN(
  ARRAYFORMULA(
    IFERROR(
      LET(
        list, N1547,
        arr, TRIM(SPLIT(list, "","")),
        names, XLOOKUP(
          arr,
          'Conformance Score'!A:A,
          'Conformance Score'!B:B,
          ""Not found""
     "&amp;"   ),
        TEXTJOIN("", "", TRUE, names)
      ),
      """"
    )
  ),
  1,
  1
)
"),"")</f>
        <v/>
      </c>
      <c r="P1547" s="105" t="str">
        <f>IF(F1547="Yes", IFERROR(VLOOKUP(D1547, Repository!A:F, 6, 0), ""), "")</f>
        <v/>
      </c>
      <c r="Q1547" s="105" t="str">
        <f>IF(F1547="Yes", IFERROR(VLOOKUP(D1547, Repository!A:I, 8, 0), ""), "")</f>
        <v/>
      </c>
      <c r="R1547" s="105" t="str">
        <f>IF(F1547="Yes", IFERROR(VLOOKUP(D1547, Repository!A:J, 9, 0), ""), "")</f>
        <v/>
      </c>
      <c r="S1547" s="105"/>
      <c r="T1547" s="105"/>
      <c r="U1547" s="105"/>
      <c r="V1547" s="105"/>
      <c r="W1547" s="105"/>
      <c r="X1547" s="105"/>
      <c r="Y1547" s="105"/>
      <c r="Z1547" s="105"/>
      <c r="AA1547" s="105"/>
      <c r="AB1547" s="105"/>
      <c r="AC1547" s="91"/>
      <c r="AD1547" s="105"/>
      <c r="AE1547" s="105"/>
      <c r="AF1547" s="91"/>
      <c r="AG1547" s="105"/>
      <c r="AH1547" s="105"/>
      <c r="AI1547" s="105" t="str">
        <f t="shared" si="1"/>
        <v/>
      </c>
      <c r="AJ1547" s="108" t="str">
        <f t="shared" si="2"/>
        <v/>
      </c>
    </row>
    <row r="1548" ht="15.75" customHeight="1">
      <c r="A1548" s="104"/>
      <c r="B1548" s="105" t="str">
        <f>IFERROR(__xludf.DUMMYFUNCTION("ARRAY_CONSTRAIN(
  ARRAYFORMULA(
    IF(
      'Final Report'!A1548="""",
      """",
      TEXTJOIN(
        "", "" &amp; CHAR(10),
        TRUE,
        IFERROR(
          VLOOKUP(
            TRIM(
              SPLIT('Final Report'!A1548, "","")
         "&amp;"   ),
            'URL Details'!A:B,
            2,
            FALSE
          ),
          """"
        )
      )
    )
  ),
  1,
  1
)
"),"")</f>
        <v/>
      </c>
      <c r="C1548" s="105" t="str">
        <f>IFERROR(__xludf.DUMMYFUNCTION("IFERROR(IF('Final Report'!A1548="""","""", TEXTJOIN(CHAR(10), TRUE, ARRAYFORMULA( ""• ""&amp; FILTER( TRIM(FLATTEN(SPLIT( REGEXREPLACE( SUBSTITUTE(TEXTJOIN("","", TRUE, IFERROR(ARRAYFORMULA(VLOOKUP(TRIM(SPLIT('Final Report'!A1548, "","")), 'URL Details'!A:D, "&amp;"4, FALSE)),"""") ), CHAR(10), "",""), ""\s*,\s*"", "",""), "",""))), TRIM(FLATTEN(SPLIT( REGEXREPLACE( SUBSTITUTE(TEXTJOIN("","", TRUE, IFERROR(ARRAYFORMULA(VLOOKUP(TRIM(SPLIT('Final Report'!A1548, "","")), 'URL Details'!A:D, 4, FALSE)),"""") ), CHAR(10),"&amp;" "",""), ""\s*,\s*"", "",""), "","")))&lt;&gt;"""" ) ) ) ),"""")
"),"")</f>
        <v/>
      </c>
      <c r="D1548" s="105"/>
      <c r="E1548" s="105"/>
      <c r="F1548" s="110" t="b">
        <v>0</v>
      </c>
      <c r="G1548" s="105" t="str">
        <f>IF(F1548=True, IFERROR(VLOOKUP(D1548, Repository!A:B, 2, 0), ""), "")</f>
        <v/>
      </c>
      <c r="H1548" s="105"/>
      <c r="I1548" s="105"/>
      <c r="J1548" s="105" t="str">
        <f>IF(F1548=True, IFERROR(VLOOKUP(D1548, Repository!A:C, 3, 0), ""), "")</f>
        <v/>
      </c>
      <c r="K1548" s="105"/>
      <c r="L1548" s="105" t="str">
        <f>IF(F1548=True, IFERROR(VLOOKUP(D1548, Repository!A:E, 5, 0), ""), "")</f>
        <v/>
      </c>
      <c r="M1548" s="105"/>
      <c r="N1548" s="105" t="str">
        <f>IF(F1548=True, IFERROR(VLOOKUP(D1548, Repository!A:G, 7, 0), ""), "")</f>
        <v/>
      </c>
      <c r="O1548" s="105" t="str">
        <f>IFERROR(__xludf.DUMMYFUNCTION("ARRAY_CONSTRAIN(
  ARRAYFORMULA(
    IFERROR(
      LET(
        list, N1548,
        arr, TRIM(SPLIT(list, "","")),
        names, XLOOKUP(
          arr,
          'Conformance Score'!A:A,
          'Conformance Score'!B:B,
          ""Not found""
     "&amp;"   ),
        TEXTJOIN("", "", TRUE, names)
      ),
      """"
    )
  ),
  1,
  1
)
"),"")</f>
        <v/>
      </c>
      <c r="P1548" s="105" t="str">
        <f>IF(F1548="Yes", IFERROR(VLOOKUP(D1548, Repository!A:F, 6, 0), ""), "")</f>
        <v/>
      </c>
      <c r="Q1548" s="105" t="str">
        <f>IF(F1548="Yes", IFERROR(VLOOKUP(D1548, Repository!A:I, 8, 0), ""), "")</f>
        <v/>
      </c>
      <c r="R1548" s="105" t="str">
        <f>IF(F1548="Yes", IFERROR(VLOOKUP(D1548, Repository!A:J, 9, 0), ""), "")</f>
        <v/>
      </c>
      <c r="S1548" s="105"/>
      <c r="T1548" s="105"/>
      <c r="U1548" s="105"/>
      <c r="V1548" s="105"/>
      <c r="W1548" s="105"/>
      <c r="X1548" s="105"/>
      <c r="Y1548" s="105"/>
      <c r="Z1548" s="105"/>
      <c r="AA1548" s="105"/>
      <c r="AB1548" s="105"/>
      <c r="AC1548" s="91"/>
      <c r="AD1548" s="105"/>
      <c r="AE1548" s="105"/>
      <c r="AF1548" s="91"/>
      <c r="AG1548" s="105"/>
      <c r="AH1548" s="105"/>
      <c r="AI1548" s="105" t="str">
        <f t="shared" si="1"/>
        <v/>
      </c>
      <c r="AJ1548" s="108" t="str">
        <f t="shared" si="2"/>
        <v/>
      </c>
    </row>
    <row r="1549" ht="15.75" customHeight="1">
      <c r="A1549" s="104"/>
      <c r="B1549" s="105" t="str">
        <f>IFERROR(__xludf.DUMMYFUNCTION("ARRAY_CONSTRAIN(
  ARRAYFORMULA(
    IF(
      'Final Report'!A1549="""",
      """",
      TEXTJOIN(
        "", "" &amp; CHAR(10),
        TRUE,
        IFERROR(
          VLOOKUP(
            TRIM(
              SPLIT('Final Report'!A1549, "","")
         "&amp;"   ),
            'URL Details'!A:B,
            2,
            FALSE
          ),
          """"
        )
      )
    )
  ),
  1,
  1
)
"),"")</f>
        <v/>
      </c>
      <c r="C1549" s="105" t="str">
        <f>IFERROR(__xludf.DUMMYFUNCTION("IFERROR(IF('Final Report'!A1549="""","""", TEXTJOIN(CHAR(10), TRUE, ARRAYFORMULA( ""• ""&amp; FILTER( TRIM(FLATTEN(SPLIT( REGEXREPLACE( SUBSTITUTE(TEXTJOIN("","", TRUE, IFERROR(ARRAYFORMULA(VLOOKUP(TRIM(SPLIT('Final Report'!A1549, "","")), 'URL Details'!A:D, "&amp;"4, FALSE)),"""") ), CHAR(10), "",""), ""\s*,\s*"", "",""), "",""))), TRIM(FLATTEN(SPLIT( REGEXREPLACE( SUBSTITUTE(TEXTJOIN("","", TRUE, IFERROR(ARRAYFORMULA(VLOOKUP(TRIM(SPLIT('Final Report'!A1549, "","")), 'URL Details'!A:D, 4, FALSE)),"""") ), CHAR(10),"&amp;" "",""), ""\s*,\s*"", "",""), "","")))&lt;&gt;"""" ) ) ) ),"""")
"),"")</f>
        <v/>
      </c>
      <c r="D1549" s="105"/>
      <c r="E1549" s="105"/>
      <c r="F1549" s="110" t="b">
        <v>0</v>
      </c>
      <c r="G1549" s="105" t="str">
        <f>IF(F1549=True, IFERROR(VLOOKUP(D1549, Repository!A:B, 2, 0), ""), "")</f>
        <v/>
      </c>
      <c r="H1549" s="105"/>
      <c r="I1549" s="105"/>
      <c r="J1549" s="105" t="str">
        <f>IF(F1549=True, IFERROR(VLOOKUP(D1549, Repository!A:C, 3, 0), ""), "")</f>
        <v/>
      </c>
      <c r="K1549" s="105"/>
      <c r="L1549" s="105" t="str">
        <f>IF(F1549=True, IFERROR(VLOOKUP(D1549, Repository!A:E, 5, 0), ""), "")</f>
        <v/>
      </c>
      <c r="M1549" s="105"/>
      <c r="N1549" s="105" t="str">
        <f>IF(F1549=True, IFERROR(VLOOKUP(D1549, Repository!A:G, 7, 0), ""), "")</f>
        <v/>
      </c>
      <c r="O1549" s="105" t="str">
        <f>IFERROR(__xludf.DUMMYFUNCTION("ARRAY_CONSTRAIN(
  ARRAYFORMULA(
    IFERROR(
      LET(
        list, N1549,
        arr, TRIM(SPLIT(list, "","")),
        names, XLOOKUP(
          arr,
          'Conformance Score'!A:A,
          'Conformance Score'!B:B,
          ""Not found""
     "&amp;"   ),
        TEXTJOIN("", "", TRUE, names)
      ),
      """"
    )
  ),
  1,
  1
)
"),"")</f>
        <v/>
      </c>
      <c r="P1549" s="105" t="str">
        <f>IF(F1549="Yes", IFERROR(VLOOKUP(D1549, Repository!A:F, 6, 0), ""), "")</f>
        <v/>
      </c>
      <c r="Q1549" s="105" t="str">
        <f>IF(F1549="Yes", IFERROR(VLOOKUP(D1549, Repository!A:I, 8, 0), ""), "")</f>
        <v/>
      </c>
      <c r="R1549" s="105" t="str">
        <f>IF(F1549="Yes", IFERROR(VLOOKUP(D1549, Repository!A:J, 9, 0), ""), "")</f>
        <v/>
      </c>
      <c r="S1549" s="105"/>
      <c r="T1549" s="105"/>
      <c r="U1549" s="105"/>
      <c r="V1549" s="105"/>
      <c r="W1549" s="105"/>
      <c r="X1549" s="105"/>
      <c r="Y1549" s="105"/>
      <c r="Z1549" s="105"/>
      <c r="AA1549" s="105"/>
      <c r="AB1549" s="105"/>
      <c r="AC1549" s="91"/>
      <c r="AD1549" s="105"/>
      <c r="AE1549" s="105"/>
      <c r="AF1549" s="91"/>
      <c r="AG1549" s="105"/>
      <c r="AH1549" s="105"/>
      <c r="AI1549" s="105" t="str">
        <f t="shared" si="1"/>
        <v/>
      </c>
      <c r="AJ1549" s="108" t="str">
        <f t="shared" si="2"/>
        <v/>
      </c>
    </row>
    <row r="1550" ht="15.75" customHeight="1">
      <c r="A1550" s="104"/>
      <c r="B1550" s="105" t="str">
        <f>IFERROR(__xludf.DUMMYFUNCTION("ARRAY_CONSTRAIN(
  ARRAYFORMULA(
    IF(
      'Final Report'!A1550="""",
      """",
      TEXTJOIN(
        "", "" &amp; CHAR(10),
        TRUE,
        IFERROR(
          VLOOKUP(
            TRIM(
              SPLIT('Final Report'!A1550, "","")
         "&amp;"   ),
            'URL Details'!A:B,
            2,
            FALSE
          ),
          """"
        )
      )
    )
  ),
  1,
  1
)
"),"")</f>
        <v/>
      </c>
      <c r="C1550" s="105" t="str">
        <f>IFERROR(__xludf.DUMMYFUNCTION("IFERROR(IF('Final Report'!A1550="""","""", TEXTJOIN(CHAR(10), TRUE, ARRAYFORMULA( ""• ""&amp; FILTER( TRIM(FLATTEN(SPLIT( REGEXREPLACE( SUBSTITUTE(TEXTJOIN("","", TRUE, IFERROR(ARRAYFORMULA(VLOOKUP(TRIM(SPLIT('Final Report'!A1550, "","")), 'URL Details'!A:D, "&amp;"4, FALSE)),"""") ), CHAR(10), "",""), ""\s*,\s*"", "",""), "",""))), TRIM(FLATTEN(SPLIT( REGEXREPLACE( SUBSTITUTE(TEXTJOIN("","", TRUE, IFERROR(ARRAYFORMULA(VLOOKUP(TRIM(SPLIT('Final Report'!A1550, "","")), 'URL Details'!A:D, 4, FALSE)),"""") ), CHAR(10),"&amp;" "",""), ""\s*,\s*"", "",""), "","")))&lt;&gt;"""" ) ) ) ),"""")
"),"")</f>
        <v/>
      </c>
      <c r="D1550" s="105"/>
      <c r="E1550" s="105"/>
      <c r="F1550" s="110" t="b">
        <v>0</v>
      </c>
      <c r="G1550" s="105" t="str">
        <f>IF(F1550=True, IFERROR(VLOOKUP(D1550, Repository!A:B, 2, 0), ""), "")</f>
        <v/>
      </c>
      <c r="H1550" s="105"/>
      <c r="I1550" s="105"/>
      <c r="J1550" s="105" t="str">
        <f>IF(F1550=True, IFERROR(VLOOKUP(D1550, Repository!A:C, 3, 0), ""), "")</f>
        <v/>
      </c>
      <c r="K1550" s="105"/>
      <c r="L1550" s="105" t="str">
        <f>IF(F1550=True, IFERROR(VLOOKUP(D1550, Repository!A:E, 5, 0), ""), "")</f>
        <v/>
      </c>
      <c r="M1550" s="105"/>
      <c r="N1550" s="105" t="str">
        <f>IF(F1550=True, IFERROR(VLOOKUP(D1550, Repository!A:G, 7, 0), ""), "")</f>
        <v/>
      </c>
      <c r="O1550" s="105" t="str">
        <f>IFERROR(__xludf.DUMMYFUNCTION("ARRAY_CONSTRAIN(
  ARRAYFORMULA(
    IFERROR(
      LET(
        list, N1550,
        arr, TRIM(SPLIT(list, "","")),
        names, XLOOKUP(
          arr,
          'Conformance Score'!A:A,
          'Conformance Score'!B:B,
          ""Not found""
     "&amp;"   ),
        TEXTJOIN("", "", TRUE, names)
      ),
      """"
    )
  ),
  1,
  1
)
"),"")</f>
        <v/>
      </c>
      <c r="P1550" s="105" t="str">
        <f>IF(F1550="Yes", IFERROR(VLOOKUP(D1550, Repository!A:F, 6, 0), ""), "")</f>
        <v/>
      </c>
      <c r="Q1550" s="105" t="str">
        <f>IF(F1550="Yes", IFERROR(VLOOKUP(D1550, Repository!A:I, 8, 0), ""), "")</f>
        <v/>
      </c>
      <c r="R1550" s="105" t="str">
        <f>IF(F1550="Yes", IFERROR(VLOOKUP(D1550, Repository!A:J, 9, 0), ""), "")</f>
        <v/>
      </c>
      <c r="S1550" s="105"/>
      <c r="T1550" s="105"/>
      <c r="U1550" s="105"/>
      <c r="V1550" s="105"/>
      <c r="W1550" s="105"/>
      <c r="X1550" s="105"/>
      <c r="Y1550" s="105"/>
      <c r="Z1550" s="105"/>
      <c r="AA1550" s="105"/>
      <c r="AB1550" s="105"/>
      <c r="AC1550" s="91"/>
      <c r="AD1550" s="105"/>
      <c r="AE1550" s="105"/>
      <c r="AF1550" s="91"/>
      <c r="AG1550" s="105"/>
      <c r="AH1550" s="105"/>
      <c r="AI1550" s="105" t="str">
        <f t="shared" si="1"/>
        <v/>
      </c>
      <c r="AJ1550" s="108" t="str">
        <f t="shared" si="2"/>
        <v/>
      </c>
    </row>
    <row r="1551" ht="15.75" customHeight="1">
      <c r="A1551" s="104"/>
      <c r="B1551" s="105" t="str">
        <f>IFERROR(__xludf.DUMMYFUNCTION("ARRAY_CONSTRAIN(
  ARRAYFORMULA(
    IF(
      'Final Report'!A1551="""",
      """",
      TEXTJOIN(
        "", "" &amp; CHAR(10),
        TRUE,
        IFERROR(
          VLOOKUP(
            TRIM(
              SPLIT('Final Report'!A1551, "","")
         "&amp;"   ),
            'URL Details'!A:B,
            2,
            FALSE
          ),
          """"
        )
      )
    )
  ),
  1,
  1
)
"),"")</f>
        <v/>
      </c>
      <c r="C1551" s="105" t="str">
        <f>IFERROR(__xludf.DUMMYFUNCTION("IFERROR(IF('Final Report'!A1551="""","""", TEXTJOIN(CHAR(10), TRUE, ARRAYFORMULA( ""• ""&amp; FILTER( TRIM(FLATTEN(SPLIT( REGEXREPLACE( SUBSTITUTE(TEXTJOIN("","", TRUE, IFERROR(ARRAYFORMULA(VLOOKUP(TRIM(SPLIT('Final Report'!A1551, "","")), 'URL Details'!A:D, "&amp;"4, FALSE)),"""") ), CHAR(10), "",""), ""\s*,\s*"", "",""), "",""))), TRIM(FLATTEN(SPLIT( REGEXREPLACE( SUBSTITUTE(TEXTJOIN("","", TRUE, IFERROR(ARRAYFORMULA(VLOOKUP(TRIM(SPLIT('Final Report'!A1551, "","")), 'URL Details'!A:D, 4, FALSE)),"""") ), CHAR(10),"&amp;" "",""), ""\s*,\s*"", "",""), "","")))&lt;&gt;"""" ) ) ) ),"""")
"),"")</f>
        <v/>
      </c>
      <c r="D1551" s="105"/>
      <c r="E1551" s="105"/>
      <c r="F1551" s="110" t="b">
        <v>0</v>
      </c>
      <c r="G1551" s="105" t="str">
        <f>IF(F1551=True, IFERROR(VLOOKUP(D1551, Repository!A:B, 2, 0), ""), "")</f>
        <v/>
      </c>
      <c r="H1551" s="105"/>
      <c r="I1551" s="105"/>
      <c r="J1551" s="105" t="str">
        <f>IF(F1551=True, IFERROR(VLOOKUP(D1551, Repository!A:C, 3, 0), ""), "")</f>
        <v/>
      </c>
      <c r="K1551" s="105"/>
      <c r="L1551" s="105" t="str">
        <f>IF(F1551=True, IFERROR(VLOOKUP(D1551, Repository!A:E, 5, 0), ""), "")</f>
        <v/>
      </c>
      <c r="M1551" s="105"/>
      <c r="N1551" s="105" t="str">
        <f>IF(F1551=True, IFERROR(VLOOKUP(D1551, Repository!A:G, 7, 0), ""), "")</f>
        <v/>
      </c>
      <c r="O1551" s="105" t="str">
        <f>IFERROR(__xludf.DUMMYFUNCTION("ARRAY_CONSTRAIN(
  ARRAYFORMULA(
    IFERROR(
      LET(
        list, N1551,
        arr, TRIM(SPLIT(list, "","")),
        names, XLOOKUP(
          arr,
          'Conformance Score'!A:A,
          'Conformance Score'!B:B,
          ""Not found""
     "&amp;"   ),
        TEXTJOIN("", "", TRUE, names)
      ),
      """"
    )
  ),
  1,
  1
)
"),"")</f>
        <v/>
      </c>
      <c r="P1551" s="105" t="str">
        <f>IF(F1551="Yes", IFERROR(VLOOKUP(D1551, Repository!A:F, 6, 0), ""), "")</f>
        <v/>
      </c>
      <c r="Q1551" s="105" t="str">
        <f>IF(F1551="Yes", IFERROR(VLOOKUP(D1551, Repository!A:I, 8, 0), ""), "")</f>
        <v/>
      </c>
      <c r="R1551" s="105" t="str">
        <f>IF(F1551="Yes", IFERROR(VLOOKUP(D1551, Repository!A:J, 9, 0), ""), "")</f>
        <v/>
      </c>
      <c r="S1551" s="105"/>
      <c r="T1551" s="105"/>
      <c r="U1551" s="105"/>
      <c r="V1551" s="105"/>
      <c r="W1551" s="105"/>
      <c r="X1551" s="105"/>
      <c r="Y1551" s="105"/>
      <c r="Z1551" s="105"/>
      <c r="AA1551" s="105"/>
      <c r="AB1551" s="105"/>
      <c r="AC1551" s="91"/>
      <c r="AD1551" s="105"/>
      <c r="AE1551" s="105"/>
      <c r="AF1551" s="91"/>
      <c r="AG1551" s="105"/>
      <c r="AH1551" s="105"/>
      <c r="AI1551" s="105" t="str">
        <f t="shared" si="1"/>
        <v/>
      </c>
      <c r="AJ1551" s="108" t="str">
        <f t="shared" si="2"/>
        <v/>
      </c>
    </row>
    <row r="1552" ht="15.75" customHeight="1">
      <c r="A1552" s="104"/>
      <c r="B1552" s="105" t="str">
        <f>IFERROR(__xludf.DUMMYFUNCTION("ARRAY_CONSTRAIN(
  ARRAYFORMULA(
    IF(
      'Final Report'!A1552="""",
      """",
      TEXTJOIN(
        "", "" &amp; CHAR(10),
        TRUE,
        IFERROR(
          VLOOKUP(
            TRIM(
              SPLIT('Final Report'!A1552, "","")
         "&amp;"   ),
            'URL Details'!A:B,
            2,
            FALSE
          ),
          """"
        )
      )
    )
  ),
  1,
  1
)
"),"")</f>
        <v/>
      </c>
      <c r="C1552" s="105" t="str">
        <f>IFERROR(__xludf.DUMMYFUNCTION("IFERROR(IF('Final Report'!A1552="""","""", TEXTJOIN(CHAR(10), TRUE, ARRAYFORMULA( ""• ""&amp; FILTER( TRIM(FLATTEN(SPLIT( REGEXREPLACE( SUBSTITUTE(TEXTJOIN("","", TRUE, IFERROR(ARRAYFORMULA(VLOOKUP(TRIM(SPLIT('Final Report'!A1552, "","")), 'URL Details'!A:D, "&amp;"4, FALSE)),"""") ), CHAR(10), "",""), ""\s*,\s*"", "",""), "",""))), TRIM(FLATTEN(SPLIT( REGEXREPLACE( SUBSTITUTE(TEXTJOIN("","", TRUE, IFERROR(ARRAYFORMULA(VLOOKUP(TRIM(SPLIT('Final Report'!A1552, "","")), 'URL Details'!A:D, 4, FALSE)),"""") ), CHAR(10),"&amp;" "",""), ""\s*,\s*"", "",""), "","")))&lt;&gt;"""" ) ) ) ),"""")
"),"")</f>
        <v/>
      </c>
      <c r="D1552" s="105"/>
      <c r="E1552" s="105"/>
      <c r="F1552" s="110" t="b">
        <v>0</v>
      </c>
      <c r="G1552" s="105" t="str">
        <f>IF(F1552=True, IFERROR(VLOOKUP(D1552, Repository!A:B, 2, 0), ""), "")</f>
        <v/>
      </c>
      <c r="H1552" s="105"/>
      <c r="I1552" s="105"/>
      <c r="J1552" s="105" t="str">
        <f>IF(F1552=True, IFERROR(VLOOKUP(D1552, Repository!A:C, 3, 0), ""), "")</f>
        <v/>
      </c>
      <c r="K1552" s="105"/>
      <c r="L1552" s="105" t="str">
        <f>IF(F1552=True, IFERROR(VLOOKUP(D1552, Repository!A:E, 5, 0), ""), "")</f>
        <v/>
      </c>
      <c r="M1552" s="105"/>
      <c r="N1552" s="105" t="str">
        <f>IF(F1552=True, IFERROR(VLOOKUP(D1552, Repository!A:G, 7, 0), ""), "")</f>
        <v/>
      </c>
      <c r="O1552" s="105" t="str">
        <f>IFERROR(__xludf.DUMMYFUNCTION("ARRAY_CONSTRAIN(
  ARRAYFORMULA(
    IFERROR(
      LET(
        list, N1552,
        arr, TRIM(SPLIT(list, "","")),
        names, XLOOKUP(
          arr,
          'Conformance Score'!A:A,
          'Conformance Score'!B:B,
          ""Not found""
     "&amp;"   ),
        TEXTJOIN("", "", TRUE, names)
      ),
      """"
    )
  ),
  1,
  1
)
"),"")</f>
        <v/>
      </c>
      <c r="P1552" s="105" t="str">
        <f>IF(F1552="Yes", IFERROR(VLOOKUP(D1552, Repository!A:F, 6, 0), ""), "")</f>
        <v/>
      </c>
      <c r="Q1552" s="105" t="str">
        <f>IF(F1552="Yes", IFERROR(VLOOKUP(D1552, Repository!A:I, 8, 0), ""), "")</f>
        <v/>
      </c>
      <c r="R1552" s="105" t="str">
        <f>IF(F1552="Yes", IFERROR(VLOOKUP(D1552, Repository!A:J, 9, 0), ""), "")</f>
        <v/>
      </c>
      <c r="S1552" s="105"/>
      <c r="T1552" s="105"/>
      <c r="U1552" s="105"/>
      <c r="V1552" s="105"/>
      <c r="W1552" s="105"/>
      <c r="X1552" s="105"/>
      <c r="Y1552" s="105"/>
      <c r="Z1552" s="105"/>
      <c r="AA1552" s="105"/>
      <c r="AB1552" s="105"/>
      <c r="AC1552" s="91"/>
      <c r="AD1552" s="105"/>
      <c r="AE1552" s="105"/>
      <c r="AF1552" s="91"/>
      <c r="AG1552" s="105"/>
      <c r="AH1552" s="105"/>
      <c r="AI1552" s="105" t="str">
        <f t="shared" si="1"/>
        <v/>
      </c>
      <c r="AJ1552" s="108" t="str">
        <f t="shared" si="2"/>
        <v/>
      </c>
    </row>
    <row r="1553" ht="15.75" customHeight="1">
      <c r="A1553" s="104"/>
      <c r="B1553" s="105" t="str">
        <f>IFERROR(__xludf.DUMMYFUNCTION("ARRAY_CONSTRAIN(
  ARRAYFORMULA(
    IF(
      'Final Report'!A1553="""",
      """",
      TEXTJOIN(
        "", "" &amp; CHAR(10),
        TRUE,
        IFERROR(
          VLOOKUP(
            TRIM(
              SPLIT('Final Report'!A1553, "","")
         "&amp;"   ),
            'URL Details'!A:B,
            2,
            FALSE
          ),
          """"
        )
      )
    )
  ),
  1,
  1
)
"),"")</f>
        <v/>
      </c>
      <c r="C1553" s="105" t="str">
        <f>IFERROR(__xludf.DUMMYFUNCTION("IFERROR(IF('Final Report'!A1553="""","""", TEXTJOIN(CHAR(10), TRUE, ARRAYFORMULA( ""• ""&amp; FILTER( TRIM(FLATTEN(SPLIT( REGEXREPLACE( SUBSTITUTE(TEXTJOIN("","", TRUE, IFERROR(ARRAYFORMULA(VLOOKUP(TRIM(SPLIT('Final Report'!A1553, "","")), 'URL Details'!A:D, "&amp;"4, FALSE)),"""") ), CHAR(10), "",""), ""\s*,\s*"", "",""), "",""))), TRIM(FLATTEN(SPLIT( REGEXREPLACE( SUBSTITUTE(TEXTJOIN("","", TRUE, IFERROR(ARRAYFORMULA(VLOOKUP(TRIM(SPLIT('Final Report'!A1553, "","")), 'URL Details'!A:D, 4, FALSE)),"""") ), CHAR(10),"&amp;" "",""), ""\s*,\s*"", "",""), "","")))&lt;&gt;"""" ) ) ) ),"""")
"),"")</f>
        <v/>
      </c>
      <c r="D1553" s="105"/>
      <c r="E1553" s="105"/>
      <c r="F1553" s="110" t="b">
        <v>0</v>
      </c>
      <c r="G1553" s="105" t="str">
        <f>IF(F1553=True, IFERROR(VLOOKUP(D1553, Repository!A:B, 2, 0), ""), "")</f>
        <v/>
      </c>
      <c r="H1553" s="105"/>
      <c r="I1553" s="105"/>
      <c r="J1553" s="105" t="str">
        <f>IF(F1553=True, IFERROR(VLOOKUP(D1553, Repository!A:C, 3, 0), ""), "")</f>
        <v/>
      </c>
      <c r="K1553" s="105"/>
      <c r="L1553" s="105" t="str">
        <f>IF(F1553=True, IFERROR(VLOOKUP(D1553, Repository!A:E, 5, 0), ""), "")</f>
        <v/>
      </c>
      <c r="M1553" s="105"/>
      <c r="N1553" s="105" t="str">
        <f>IF(F1553=True, IFERROR(VLOOKUP(D1553, Repository!A:G, 7, 0), ""), "")</f>
        <v/>
      </c>
      <c r="O1553" s="105" t="str">
        <f>IFERROR(__xludf.DUMMYFUNCTION("ARRAY_CONSTRAIN(
  ARRAYFORMULA(
    IFERROR(
      LET(
        list, N1553,
        arr, TRIM(SPLIT(list, "","")),
        names, XLOOKUP(
          arr,
          'Conformance Score'!A:A,
          'Conformance Score'!B:B,
          ""Not found""
     "&amp;"   ),
        TEXTJOIN("", "", TRUE, names)
      ),
      """"
    )
  ),
  1,
  1
)
"),"")</f>
        <v/>
      </c>
      <c r="P1553" s="105" t="str">
        <f>IF(F1553="Yes", IFERROR(VLOOKUP(D1553, Repository!A:F, 6, 0), ""), "")</f>
        <v/>
      </c>
      <c r="Q1553" s="105" t="str">
        <f>IF(F1553="Yes", IFERROR(VLOOKUP(D1553, Repository!A:I, 8, 0), ""), "")</f>
        <v/>
      </c>
      <c r="R1553" s="105" t="str">
        <f>IF(F1553="Yes", IFERROR(VLOOKUP(D1553, Repository!A:J, 9, 0), ""), "")</f>
        <v/>
      </c>
      <c r="S1553" s="105"/>
      <c r="T1553" s="105"/>
      <c r="U1553" s="105"/>
      <c r="V1553" s="105"/>
      <c r="W1553" s="105"/>
      <c r="X1553" s="105"/>
      <c r="Y1553" s="105"/>
      <c r="Z1553" s="105"/>
      <c r="AA1553" s="105"/>
      <c r="AB1553" s="105"/>
      <c r="AC1553" s="91"/>
      <c r="AD1553" s="105"/>
      <c r="AE1553" s="105"/>
      <c r="AF1553" s="91"/>
      <c r="AG1553" s="105"/>
      <c r="AH1553" s="105"/>
      <c r="AI1553" s="105" t="str">
        <f t="shared" si="1"/>
        <v/>
      </c>
      <c r="AJ1553" s="108" t="str">
        <f t="shared" si="2"/>
        <v/>
      </c>
    </row>
    <row r="1554" ht="15.75" customHeight="1">
      <c r="A1554" s="104"/>
      <c r="B1554" s="105" t="str">
        <f>IFERROR(__xludf.DUMMYFUNCTION("ARRAY_CONSTRAIN(
  ARRAYFORMULA(
    IF(
      'Final Report'!A1554="""",
      """",
      TEXTJOIN(
        "", "" &amp; CHAR(10),
        TRUE,
        IFERROR(
          VLOOKUP(
            TRIM(
              SPLIT('Final Report'!A1554, "","")
         "&amp;"   ),
            'URL Details'!A:B,
            2,
            FALSE
          ),
          """"
        )
      )
    )
  ),
  1,
  1
)
"),"")</f>
        <v/>
      </c>
      <c r="C1554" s="105" t="str">
        <f>IFERROR(__xludf.DUMMYFUNCTION("IFERROR(IF('Final Report'!A1554="""","""", TEXTJOIN(CHAR(10), TRUE, ARRAYFORMULA( ""• ""&amp; FILTER( TRIM(FLATTEN(SPLIT( REGEXREPLACE( SUBSTITUTE(TEXTJOIN("","", TRUE, IFERROR(ARRAYFORMULA(VLOOKUP(TRIM(SPLIT('Final Report'!A1554, "","")), 'URL Details'!A:D, "&amp;"4, FALSE)),"""") ), CHAR(10), "",""), ""\s*,\s*"", "",""), "",""))), TRIM(FLATTEN(SPLIT( REGEXREPLACE( SUBSTITUTE(TEXTJOIN("","", TRUE, IFERROR(ARRAYFORMULA(VLOOKUP(TRIM(SPLIT('Final Report'!A1554, "","")), 'URL Details'!A:D, 4, FALSE)),"""") ), CHAR(10),"&amp;" "",""), ""\s*,\s*"", "",""), "","")))&lt;&gt;"""" ) ) ) ),"""")
"),"")</f>
        <v/>
      </c>
      <c r="D1554" s="105"/>
      <c r="E1554" s="105"/>
      <c r="F1554" s="110" t="b">
        <v>0</v>
      </c>
      <c r="G1554" s="105" t="str">
        <f>IF(F1554=True, IFERROR(VLOOKUP(D1554, Repository!A:B, 2, 0), ""), "")</f>
        <v/>
      </c>
      <c r="H1554" s="105"/>
      <c r="I1554" s="105"/>
      <c r="J1554" s="105" t="str">
        <f>IF(F1554=True, IFERROR(VLOOKUP(D1554, Repository!A:C, 3, 0), ""), "")</f>
        <v/>
      </c>
      <c r="K1554" s="105"/>
      <c r="L1554" s="105" t="str">
        <f>IF(F1554=True, IFERROR(VLOOKUP(D1554, Repository!A:E, 5, 0), ""), "")</f>
        <v/>
      </c>
      <c r="M1554" s="105"/>
      <c r="N1554" s="105" t="str">
        <f>IF(F1554=True, IFERROR(VLOOKUP(D1554, Repository!A:G, 7, 0), ""), "")</f>
        <v/>
      </c>
      <c r="O1554" s="105" t="str">
        <f>IFERROR(__xludf.DUMMYFUNCTION("ARRAY_CONSTRAIN(
  ARRAYFORMULA(
    IFERROR(
      LET(
        list, N1554,
        arr, TRIM(SPLIT(list, "","")),
        names, XLOOKUP(
          arr,
          'Conformance Score'!A:A,
          'Conformance Score'!B:B,
          ""Not found""
     "&amp;"   ),
        TEXTJOIN("", "", TRUE, names)
      ),
      """"
    )
  ),
  1,
  1
)
"),"")</f>
        <v/>
      </c>
      <c r="P1554" s="105" t="str">
        <f>IF(F1554="Yes", IFERROR(VLOOKUP(D1554, Repository!A:F, 6, 0), ""), "")</f>
        <v/>
      </c>
      <c r="Q1554" s="105" t="str">
        <f>IF(F1554="Yes", IFERROR(VLOOKUP(D1554, Repository!A:I, 8, 0), ""), "")</f>
        <v/>
      </c>
      <c r="R1554" s="105" t="str">
        <f>IF(F1554="Yes", IFERROR(VLOOKUP(D1554, Repository!A:J, 9, 0), ""), "")</f>
        <v/>
      </c>
      <c r="S1554" s="105"/>
      <c r="T1554" s="105"/>
      <c r="U1554" s="105"/>
      <c r="V1554" s="105"/>
      <c r="W1554" s="105"/>
      <c r="X1554" s="105"/>
      <c r="Y1554" s="105"/>
      <c r="Z1554" s="105"/>
      <c r="AA1554" s="105"/>
      <c r="AB1554" s="105"/>
      <c r="AC1554" s="91"/>
      <c r="AD1554" s="105"/>
      <c r="AE1554" s="105"/>
      <c r="AF1554" s="91"/>
      <c r="AG1554" s="105"/>
      <c r="AH1554" s="105"/>
      <c r="AI1554" s="105" t="str">
        <f t="shared" si="1"/>
        <v/>
      </c>
      <c r="AJ1554" s="108" t="str">
        <f t="shared" si="2"/>
        <v/>
      </c>
    </row>
    <row r="1555" ht="15.75" customHeight="1">
      <c r="A1555" s="104"/>
      <c r="B1555" s="105" t="str">
        <f>IFERROR(__xludf.DUMMYFUNCTION("ARRAY_CONSTRAIN(
  ARRAYFORMULA(
    IF(
      'Final Report'!A1555="""",
      """",
      TEXTJOIN(
        "", "" &amp; CHAR(10),
        TRUE,
        IFERROR(
          VLOOKUP(
            TRIM(
              SPLIT('Final Report'!A1555, "","")
         "&amp;"   ),
            'URL Details'!A:B,
            2,
            FALSE
          ),
          """"
        )
      )
    )
  ),
  1,
  1
)
"),"")</f>
        <v/>
      </c>
      <c r="C1555" s="105" t="str">
        <f>IFERROR(__xludf.DUMMYFUNCTION("IFERROR(IF('Final Report'!A1555="""","""", TEXTJOIN(CHAR(10), TRUE, ARRAYFORMULA( ""• ""&amp; FILTER( TRIM(FLATTEN(SPLIT( REGEXREPLACE( SUBSTITUTE(TEXTJOIN("","", TRUE, IFERROR(ARRAYFORMULA(VLOOKUP(TRIM(SPLIT('Final Report'!A1555, "","")), 'URL Details'!A:D, "&amp;"4, FALSE)),"""") ), CHAR(10), "",""), ""\s*,\s*"", "",""), "",""))), TRIM(FLATTEN(SPLIT( REGEXREPLACE( SUBSTITUTE(TEXTJOIN("","", TRUE, IFERROR(ARRAYFORMULA(VLOOKUP(TRIM(SPLIT('Final Report'!A1555, "","")), 'URL Details'!A:D, 4, FALSE)),"""") ), CHAR(10),"&amp;" "",""), ""\s*,\s*"", "",""), "","")))&lt;&gt;"""" ) ) ) ),"""")
"),"")</f>
        <v/>
      </c>
      <c r="D1555" s="105"/>
      <c r="E1555" s="105"/>
      <c r="F1555" s="110" t="b">
        <v>0</v>
      </c>
      <c r="G1555" s="105" t="str">
        <f>IF(F1555=True, IFERROR(VLOOKUP(D1555, Repository!A:B, 2, 0), ""), "")</f>
        <v/>
      </c>
      <c r="H1555" s="105"/>
      <c r="I1555" s="105"/>
      <c r="J1555" s="105" t="str">
        <f>IF(F1555=True, IFERROR(VLOOKUP(D1555, Repository!A:C, 3, 0), ""), "")</f>
        <v/>
      </c>
      <c r="K1555" s="105"/>
      <c r="L1555" s="105" t="str">
        <f>IF(F1555=True, IFERROR(VLOOKUP(D1555, Repository!A:E, 5, 0), ""), "")</f>
        <v/>
      </c>
      <c r="M1555" s="105"/>
      <c r="N1555" s="105" t="str">
        <f>IF(F1555=True, IFERROR(VLOOKUP(D1555, Repository!A:G, 7, 0), ""), "")</f>
        <v/>
      </c>
      <c r="O1555" s="105" t="str">
        <f>IFERROR(__xludf.DUMMYFUNCTION("ARRAY_CONSTRAIN(
  ARRAYFORMULA(
    IFERROR(
      LET(
        list, N1555,
        arr, TRIM(SPLIT(list, "","")),
        names, XLOOKUP(
          arr,
          'Conformance Score'!A:A,
          'Conformance Score'!B:B,
          ""Not found""
     "&amp;"   ),
        TEXTJOIN("", "", TRUE, names)
      ),
      """"
    )
  ),
  1,
  1
)
"),"")</f>
        <v/>
      </c>
      <c r="P1555" s="105" t="str">
        <f>IF(F1555="Yes", IFERROR(VLOOKUP(D1555, Repository!A:F, 6, 0), ""), "")</f>
        <v/>
      </c>
      <c r="Q1555" s="105" t="str">
        <f>IF(F1555="Yes", IFERROR(VLOOKUP(D1555, Repository!A:I, 8, 0), ""), "")</f>
        <v/>
      </c>
      <c r="R1555" s="105" t="str">
        <f>IF(F1555="Yes", IFERROR(VLOOKUP(D1555, Repository!A:J, 9, 0), ""), "")</f>
        <v/>
      </c>
      <c r="S1555" s="105"/>
      <c r="T1555" s="105"/>
      <c r="U1555" s="105"/>
      <c r="V1555" s="105"/>
      <c r="W1555" s="105"/>
      <c r="X1555" s="105"/>
      <c r="Y1555" s="105"/>
      <c r="Z1555" s="105"/>
      <c r="AA1555" s="105"/>
      <c r="AB1555" s="105"/>
      <c r="AC1555" s="91"/>
      <c r="AD1555" s="105"/>
      <c r="AE1555" s="105"/>
      <c r="AF1555" s="91"/>
      <c r="AG1555" s="105"/>
      <c r="AH1555" s="105"/>
      <c r="AI1555" s="105" t="str">
        <f t="shared" si="1"/>
        <v/>
      </c>
      <c r="AJ1555" s="108" t="str">
        <f t="shared" si="2"/>
        <v/>
      </c>
    </row>
    <row r="1556" ht="15.75" customHeight="1">
      <c r="A1556" s="104"/>
      <c r="B1556" s="105" t="str">
        <f>IFERROR(__xludf.DUMMYFUNCTION("ARRAY_CONSTRAIN(
  ARRAYFORMULA(
    IF(
      'Final Report'!A1556="""",
      """",
      TEXTJOIN(
        "", "" &amp; CHAR(10),
        TRUE,
        IFERROR(
          VLOOKUP(
            TRIM(
              SPLIT('Final Report'!A1556, "","")
         "&amp;"   ),
            'URL Details'!A:B,
            2,
            FALSE
          ),
          """"
        )
      )
    )
  ),
  1,
  1
)
"),"")</f>
        <v/>
      </c>
      <c r="C1556" s="105" t="str">
        <f>IFERROR(__xludf.DUMMYFUNCTION("IFERROR(IF('Final Report'!A1556="""","""", TEXTJOIN(CHAR(10), TRUE, ARRAYFORMULA( ""• ""&amp; FILTER( TRIM(FLATTEN(SPLIT( REGEXREPLACE( SUBSTITUTE(TEXTJOIN("","", TRUE, IFERROR(ARRAYFORMULA(VLOOKUP(TRIM(SPLIT('Final Report'!A1556, "","")), 'URL Details'!A:D, "&amp;"4, FALSE)),"""") ), CHAR(10), "",""), ""\s*,\s*"", "",""), "",""))), TRIM(FLATTEN(SPLIT( REGEXREPLACE( SUBSTITUTE(TEXTJOIN("","", TRUE, IFERROR(ARRAYFORMULA(VLOOKUP(TRIM(SPLIT('Final Report'!A1556, "","")), 'URL Details'!A:D, 4, FALSE)),"""") ), CHAR(10),"&amp;" "",""), ""\s*,\s*"", "",""), "","")))&lt;&gt;"""" ) ) ) ),"""")
"),"")</f>
        <v/>
      </c>
      <c r="D1556" s="105"/>
      <c r="E1556" s="105"/>
      <c r="F1556" s="110" t="b">
        <v>0</v>
      </c>
      <c r="G1556" s="105" t="str">
        <f>IF(F1556=True, IFERROR(VLOOKUP(D1556, Repository!A:B, 2, 0), ""), "")</f>
        <v/>
      </c>
      <c r="H1556" s="105"/>
      <c r="I1556" s="105"/>
      <c r="J1556" s="105" t="str">
        <f>IF(F1556=True, IFERROR(VLOOKUP(D1556, Repository!A:C, 3, 0), ""), "")</f>
        <v/>
      </c>
      <c r="K1556" s="105"/>
      <c r="L1556" s="105" t="str">
        <f>IF(F1556=True, IFERROR(VLOOKUP(D1556, Repository!A:E, 5, 0), ""), "")</f>
        <v/>
      </c>
      <c r="M1556" s="105"/>
      <c r="N1556" s="105" t="str">
        <f>IF(F1556=True, IFERROR(VLOOKUP(D1556, Repository!A:G, 7, 0), ""), "")</f>
        <v/>
      </c>
      <c r="O1556" s="105" t="str">
        <f>IFERROR(__xludf.DUMMYFUNCTION("ARRAY_CONSTRAIN(
  ARRAYFORMULA(
    IFERROR(
      LET(
        list, N1556,
        arr, TRIM(SPLIT(list, "","")),
        names, XLOOKUP(
          arr,
          'Conformance Score'!A:A,
          'Conformance Score'!B:B,
          ""Not found""
     "&amp;"   ),
        TEXTJOIN("", "", TRUE, names)
      ),
      """"
    )
  ),
  1,
  1
)
"),"")</f>
        <v/>
      </c>
      <c r="P1556" s="105" t="str">
        <f>IF(F1556="Yes", IFERROR(VLOOKUP(D1556, Repository!A:F, 6, 0), ""), "")</f>
        <v/>
      </c>
      <c r="Q1556" s="105" t="str">
        <f>IF(F1556="Yes", IFERROR(VLOOKUP(D1556, Repository!A:I, 8, 0), ""), "")</f>
        <v/>
      </c>
      <c r="R1556" s="105" t="str">
        <f>IF(F1556="Yes", IFERROR(VLOOKUP(D1556, Repository!A:J, 9, 0), ""), "")</f>
        <v/>
      </c>
      <c r="S1556" s="105"/>
      <c r="T1556" s="105"/>
      <c r="U1556" s="105"/>
      <c r="V1556" s="105"/>
      <c r="W1556" s="105"/>
      <c r="X1556" s="105"/>
      <c r="Y1556" s="105"/>
      <c r="Z1556" s="105"/>
      <c r="AA1556" s="105"/>
      <c r="AB1556" s="105"/>
      <c r="AC1556" s="91"/>
      <c r="AD1556" s="105"/>
      <c r="AE1556" s="105"/>
      <c r="AF1556" s="91"/>
      <c r="AG1556" s="105"/>
      <c r="AH1556" s="105"/>
      <c r="AI1556" s="105" t="str">
        <f t="shared" si="1"/>
        <v/>
      </c>
      <c r="AJ1556" s="108" t="str">
        <f t="shared" si="2"/>
        <v/>
      </c>
    </row>
    <row r="1557" ht="15.75" customHeight="1">
      <c r="A1557" s="104"/>
      <c r="B1557" s="105" t="str">
        <f>IFERROR(__xludf.DUMMYFUNCTION("ARRAY_CONSTRAIN(
  ARRAYFORMULA(
    IF(
      'Final Report'!A1557="""",
      """",
      TEXTJOIN(
        "", "" &amp; CHAR(10),
        TRUE,
        IFERROR(
          VLOOKUP(
            TRIM(
              SPLIT('Final Report'!A1557, "","")
         "&amp;"   ),
            'URL Details'!A:B,
            2,
            FALSE
          ),
          """"
        )
      )
    )
  ),
  1,
  1
)
"),"")</f>
        <v/>
      </c>
      <c r="C1557" s="105" t="str">
        <f>IFERROR(__xludf.DUMMYFUNCTION("IFERROR(IF('Final Report'!A1557="""","""", TEXTJOIN(CHAR(10), TRUE, ARRAYFORMULA( ""• ""&amp; FILTER( TRIM(FLATTEN(SPLIT( REGEXREPLACE( SUBSTITUTE(TEXTJOIN("","", TRUE, IFERROR(ARRAYFORMULA(VLOOKUP(TRIM(SPLIT('Final Report'!A1557, "","")), 'URL Details'!A:D, "&amp;"4, FALSE)),"""") ), CHAR(10), "",""), ""\s*,\s*"", "",""), "",""))), TRIM(FLATTEN(SPLIT( REGEXREPLACE( SUBSTITUTE(TEXTJOIN("","", TRUE, IFERROR(ARRAYFORMULA(VLOOKUP(TRIM(SPLIT('Final Report'!A1557, "","")), 'URL Details'!A:D, 4, FALSE)),"""") ), CHAR(10),"&amp;" "",""), ""\s*,\s*"", "",""), "","")))&lt;&gt;"""" ) ) ) ),"""")
"),"")</f>
        <v/>
      </c>
      <c r="D1557" s="105"/>
      <c r="E1557" s="105"/>
      <c r="F1557" s="110" t="b">
        <v>0</v>
      </c>
      <c r="G1557" s="105" t="str">
        <f>IF(F1557=True, IFERROR(VLOOKUP(D1557, Repository!A:B, 2, 0), ""), "")</f>
        <v/>
      </c>
      <c r="H1557" s="105"/>
      <c r="I1557" s="105"/>
      <c r="J1557" s="105" t="str">
        <f>IF(F1557=True, IFERROR(VLOOKUP(D1557, Repository!A:C, 3, 0), ""), "")</f>
        <v/>
      </c>
      <c r="K1557" s="105"/>
      <c r="L1557" s="105" t="str">
        <f>IF(F1557=True, IFERROR(VLOOKUP(D1557, Repository!A:E, 5, 0), ""), "")</f>
        <v/>
      </c>
      <c r="M1557" s="105"/>
      <c r="N1557" s="105" t="str">
        <f>IF(F1557=True, IFERROR(VLOOKUP(D1557, Repository!A:G, 7, 0), ""), "")</f>
        <v/>
      </c>
      <c r="O1557" s="105" t="str">
        <f>IFERROR(__xludf.DUMMYFUNCTION("ARRAY_CONSTRAIN(
  ARRAYFORMULA(
    IFERROR(
      LET(
        list, N1557,
        arr, TRIM(SPLIT(list, "","")),
        names, XLOOKUP(
          arr,
          'Conformance Score'!A:A,
          'Conformance Score'!B:B,
          ""Not found""
     "&amp;"   ),
        TEXTJOIN("", "", TRUE, names)
      ),
      """"
    )
  ),
  1,
  1
)
"),"")</f>
        <v/>
      </c>
      <c r="P1557" s="105" t="str">
        <f>IF(F1557="Yes", IFERROR(VLOOKUP(D1557, Repository!A:F, 6, 0), ""), "")</f>
        <v/>
      </c>
      <c r="Q1557" s="105" t="str">
        <f>IF(F1557="Yes", IFERROR(VLOOKUP(D1557, Repository!A:I, 8, 0), ""), "")</f>
        <v/>
      </c>
      <c r="R1557" s="105" t="str">
        <f>IF(F1557="Yes", IFERROR(VLOOKUP(D1557, Repository!A:J, 9, 0), ""), "")</f>
        <v/>
      </c>
      <c r="S1557" s="105"/>
      <c r="T1557" s="105"/>
      <c r="U1557" s="105"/>
      <c r="V1557" s="105"/>
      <c r="W1557" s="105"/>
      <c r="X1557" s="105"/>
      <c r="Y1557" s="105"/>
      <c r="Z1557" s="105"/>
      <c r="AA1557" s="105"/>
      <c r="AB1557" s="105"/>
      <c r="AC1557" s="91"/>
      <c r="AD1557" s="105"/>
      <c r="AE1557" s="105"/>
      <c r="AF1557" s="91"/>
      <c r="AG1557" s="105"/>
      <c r="AH1557" s="105"/>
      <c r="AI1557" s="105" t="str">
        <f t="shared" si="1"/>
        <v/>
      </c>
      <c r="AJ1557" s="108" t="str">
        <f t="shared" si="2"/>
        <v/>
      </c>
    </row>
    <row r="1558" ht="15.75" customHeight="1">
      <c r="A1558" s="104"/>
      <c r="B1558" s="105" t="str">
        <f>IFERROR(__xludf.DUMMYFUNCTION("ARRAY_CONSTRAIN(
  ARRAYFORMULA(
    IF(
      'Final Report'!A1558="""",
      """",
      TEXTJOIN(
        "", "" &amp; CHAR(10),
        TRUE,
        IFERROR(
          VLOOKUP(
            TRIM(
              SPLIT('Final Report'!A1558, "","")
         "&amp;"   ),
            'URL Details'!A:B,
            2,
            FALSE
          ),
          """"
        )
      )
    )
  ),
  1,
  1
)
"),"")</f>
        <v/>
      </c>
      <c r="C1558" s="105" t="str">
        <f>IFERROR(__xludf.DUMMYFUNCTION("IFERROR(IF('Final Report'!A1558="""","""", TEXTJOIN(CHAR(10), TRUE, ARRAYFORMULA( ""• ""&amp; FILTER( TRIM(FLATTEN(SPLIT( REGEXREPLACE( SUBSTITUTE(TEXTJOIN("","", TRUE, IFERROR(ARRAYFORMULA(VLOOKUP(TRIM(SPLIT('Final Report'!A1558, "","")), 'URL Details'!A:D, "&amp;"4, FALSE)),"""") ), CHAR(10), "",""), ""\s*,\s*"", "",""), "",""))), TRIM(FLATTEN(SPLIT( REGEXREPLACE( SUBSTITUTE(TEXTJOIN("","", TRUE, IFERROR(ARRAYFORMULA(VLOOKUP(TRIM(SPLIT('Final Report'!A1558, "","")), 'URL Details'!A:D, 4, FALSE)),"""") ), CHAR(10),"&amp;" "",""), ""\s*,\s*"", "",""), "","")))&lt;&gt;"""" ) ) ) ),"""")
"),"")</f>
        <v/>
      </c>
      <c r="D1558" s="105"/>
      <c r="E1558" s="105"/>
      <c r="F1558" s="110" t="b">
        <v>0</v>
      </c>
      <c r="G1558" s="105" t="str">
        <f>IF(F1558=True, IFERROR(VLOOKUP(D1558, Repository!A:B, 2, 0), ""), "")</f>
        <v/>
      </c>
      <c r="H1558" s="105"/>
      <c r="I1558" s="105"/>
      <c r="J1558" s="105" t="str">
        <f>IF(F1558=True, IFERROR(VLOOKUP(D1558, Repository!A:C, 3, 0), ""), "")</f>
        <v/>
      </c>
      <c r="K1558" s="105"/>
      <c r="L1558" s="105" t="str">
        <f>IF(F1558=True, IFERROR(VLOOKUP(D1558, Repository!A:E, 5, 0), ""), "")</f>
        <v/>
      </c>
      <c r="M1558" s="105"/>
      <c r="N1558" s="105" t="str">
        <f>IF(F1558=True, IFERROR(VLOOKUP(D1558, Repository!A:G, 7, 0), ""), "")</f>
        <v/>
      </c>
      <c r="O1558" s="105" t="str">
        <f>IFERROR(__xludf.DUMMYFUNCTION("ARRAY_CONSTRAIN(
  ARRAYFORMULA(
    IFERROR(
      LET(
        list, N1558,
        arr, TRIM(SPLIT(list, "","")),
        names, XLOOKUP(
          arr,
          'Conformance Score'!A:A,
          'Conformance Score'!B:B,
          ""Not found""
     "&amp;"   ),
        TEXTJOIN("", "", TRUE, names)
      ),
      """"
    )
  ),
  1,
  1
)
"),"")</f>
        <v/>
      </c>
      <c r="P1558" s="105" t="str">
        <f>IF(F1558="Yes", IFERROR(VLOOKUP(D1558, Repository!A:F, 6, 0), ""), "")</f>
        <v/>
      </c>
      <c r="Q1558" s="105" t="str">
        <f>IF(F1558="Yes", IFERROR(VLOOKUP(D1558, Repository!A:I, 8, 0), ""), "")</f>
        <v/>
      </c>
      <c r="R1558" s="105" t="str">
        <f>IF(F1558="Yes", IFERROR(VLOOKUP(D1558, Repository!A:J, 9, 0), ""), "")</f>
        <v/>
      </c>
      <c r="S1558" s="105"/>
      <c r="T1558" s="105"/>
      <c r="U1558" s="105"/>
      <c r="V1558" s="105"/>
      <c r="W1558" s="105"/>
      <c r="X1558" s="105"/>
      <c r="Y1558" s="105"/>
      <c r="Z1558" s="105"/>
      <c r="AA1558" s="105"/>
      <c r="AB1558" s="105"/>
      <c r="AC1558" s="91"/>
      <c r="AD1558" s="105"/>
      <c r="AE1558" s="105"/>
      <c r="AF1558" s="91"/>
      <c r="AG1558" s="105"/>
      <c r="AH1558" s="105"/>
      <c r="AI1558" s="105" t="str">
        <f t="shared" si="1"/>
        <v/>
      </c>
      <c r="AJ1558" s="108" t="str">
        <f t="shared" si="2"/>
        <v/>
      </c>
    </row>
    <row r="1559" ht="15.75" customHeight="1">
      <c r="A1559" s="104"/>
      <c r="B1559" s="105" t="str">
        <f>IFERROR(__xludf.DUMMYFUNCTION("ARRAY_CONSTRAIN(
  ARRAYFORMULA(
    IF(
      'Final Report'!A1559="""",
      """",
      TEXTJOIN(
        "", "" &amp; CHAR(10),
        TRUE,
        IFERROR(
          VLOOKUP(
            TRIM(
              SPLIT('Final Report'!A1559, "","")
         "&amp;"   ),
            'URL Details'!A:B,
            2,
            FALSE
          ),
          """"
        )
      )
    )
  ),
  1,
  1
)
"),"")</f>
        <v/>
      </c>
      <c r="C1559" s="105" t="str">
        <f>IFERROR(__xludf.DUMMYFUNCTION("IFERROR(IF('Final Report'!A1559="""","""", TEXTJOIN(CHAR(10), TRUE, ARRAYFORMULA( ""• ""&amp; FILTER( TRIM(FLATTEN(SPLIT( REGEXREPLACE( SUBSTITUTE(TEXTJOIN("","", TRUE, IFERROR(ARRAYFORMULA(VLOOKUP(TRIM(SPLIT('Final Report'!A1559, "","")), 'URL Details'!A:D, "&amp;"4, FALSE)),"""") ), CHAR(10), "",""), ""\s*,\s*"", "",""), "",""))), TRIM(FLATTEN(SPLIT( REGEXREPLACE( SUBSTITUTE(TEXTJOIN("","", TRUE, IFERROR(ARRAYFORMULA(VLOOKUP(TRIM(SPLIT('Final Report'!A1559, "","")), 'URL Details'!A:D, 4, FALSE)),"""") ), CHAR(10),"&amp;" "",""), ""\s*,\s*"", "",""), "","")))&lt;&gt;"""" ) ) ) ),"""")
"),"")</f>
        <v/>
      </c>
      <c r="D1559" s="105"/>
      <c r="E1559" s="105"/>
      <c r="F1559" s="110" t="b">
        <v>0</v>
      </c>
      <c r="G1559" s="105" t="str">
        <f>IF(F1559=True, IFERROR(VLOOKUP(D1559, Repository!A:B, 2, 0), ""), "")</f>
        <v/>
      </c>
      <c r="H1559" s="105"/>
      <c r="I1559" s="105"/>
      <c r="J1559" s="105" t="str">
        <f>IF(F1559=True, IFERROR(VLOOKUP(D1559, Repository!A:C, 3, 0), ""), "")</f>
        <v/>
      </c>
      <c r="K1559" s="105"/>
      <c r="L1559" s="105" t="str">
        <f>IF(F1559=True, IFERROR(VLOOKUP(D1559, Repository!A:E, 5, 0), ""), "")</f>
        <v/>
      </c>
      <c r="M1559" s="105"/>
      <c r="N1559" s="105" t="str">
        <f>IF(F1559=True, IFERROR(VLOOKUP(D1559, Repository!A:G, 7, 0), ""), "")</f>
        <v/>
      </c>
      <c r="O1559" s="105" t="str">
        <f>IFERROR(__xludf.DUMMYFUNCTION("ARRAY_CONSTRAIN(
  ARRAYFORMULA(
    IFERROR(
      LET(
        list, N1559,
        arr, TRIM(SPLIT(list, "","")),
        names, XLOOKUP(
          arr,
          'Conformance Score'!A:A,
          'Conformance Score'!B:B,
          ""Not found""
     "&amp;"   ),
        TEXTJOIN("", "", TRUE, names)
      ),
      """"
    )
  ),
  1,
  1
)
"),"")</f>
        <v/>
      </c>
      <c r="P1559" s="105" t="str">
        <f>IF(F1559="Yes", IFERROR(VLOOKUP(D1559, Repository!A:F, 6, 0), ""), "")</f>
        <v/>
      </c>
      <c r="Q1559" s="105" t="str">
        <f>IF(F1559="Yes", IFERROR(VLOOKUP(D1559, Repository!A:I, 8, 0), ""), "")</f>
        <v/>
      </c>
      <c r="R1559" s="105" t="str">
        <f>IF(F1559="Yes", IFERROR(VLOOKUP(D1559, Repository!A:J, 9, 0), ""), "")</f>
        <v/>
      </c>
      <c r="S1559" s="105"/>
      <c r="T1559" s="105"/>
      <c r="U1559" s="105"/>
      <c r="V1559" s="105"/>
      <c r="W1559" s="105"/>
      <c r="X1559" s="105"/>
      <c r="Y1559" s="105"/>
      <c r="Z1559" s="105"/>
      <c r="AA1559" s="105"/>
      <c r="AB1559" s="105"/>
      <c r="AC1559" s="91"/>
      <c r="AD1559" s="105"/>
      <c r="AE1559" s="105"/>
      <c r="AF1559" s="91"/>
      <c r="AG1559" s="105"/>
      <c r="AH1559" s="105"/>
      <c r="AI1559" s="105" t="str">
        <f t="shared" si="1"/>
        <v/>
      </c>
      <c r="AJ1559" s="108" t="str">
        <f t="shared" si="2"/>
        <v/>
      </c>
    </row>
    <row r="1560" ht="15.75" customHeight="1">
      <c r="A1560" s="104"/>
      <c r="B1560" s="105" t="str">
        <f>IFERROR(__xludf.DUMMYFUNCTION("ARRAY_CONSTRAIN(
  ARRAYFORMULA(
    IF(
      'Final Report'!A1560="""",
      """",
      TEXTJOIN(
        "", "" &amp; CHAR(10),
        TRUE,
        IFERROR(
          VLOOKUP(
            TRIM(
              SPLIT('Final Report'!A1560, "","")
         "&amp;"   ),
            'URL Details'!A:B,
            2,
            FALSE
          ),
          """"
        )
      )
    )
  ),
  1,
  1
)
"),"")</f>
        <v/>
      </c>
      <c r="C1560" s="105" t="str">
        <f>IFERROR(__xludf.DUMMYFUNCTION("IFERROR(IF('Final Report'!A1560="""","""", TEXTJOIN(CHAR(10), TRUE, ARRAYFORMULA( ""• ""&amp; FILTER( TRIM(FLATTEN(SPLIT( REGEXREPLACE( SUBSTITUTE(TEXTJOIN("","", TRUE, IFERROR(ARRAYFORMULA(VLOOKUP(TRIM(SPLIT('Final Report'!A1560, "","")), 'URL Details'!A:D, "&amp;"4, FALSE)),"""") ), CHAR(10), "",""), ""\s*,\s*"", "",""), "",""))), TRIM(FLATTEN(SPLIT( REGEXREPLACE( SUBSTITUTE(TEXTJOIN("","", TRUE, IFERROR(ARRAYFORMULA(VLOOKUP(TRIM(SPLIT('Final Report'!A1560, "","")), 'URL Details'!A:D, 4, FALSE)),"""") ), CHAR(10),"&amp;" "",""), ""\s*,\s*"", "",""), "","")))&lt;&gt;"""" ) ) ) ),"""")
"),"")</f>
        <v/>
      </c>
      <c r="D1560" s="105"/>
      <c r="E1560" s="105"/>
      <c r="F1560" s="110" t="b">
        <v>0</v>
      </c>
      <c r="G1560" s="105" t="str">
        <f>IF(F1560=True, IFERROR(VLOOKUP(D1560, Repository!A:B, 2, 0), ""), "")</f>
        <v/>
      </c>
      <c r="H1560" s="105"/>
      <c r="I1560" s="105"/>
      <c r="J1560" s="105" t="str">
        <f>IF(F1560=True, IFERROR(VLOOKUP(D1560, Repository!A:C, 3, 0), ""), "")</f>
        <v/>
      </c>
      <c r="K1560" s="105"/>
      <c r="L1560" s="105" t="str">
        <f>IF(F1560=True, IFERROR(VLOOKUP(D1560, Repository!A:E, 5, 0), ""), "")</f>
        <v/>
      </c>
      <c r="M1560" s="105"/>
      <c r="N1560" s="105" t="str">
        <f>IF(F1560=True, IFERROR(VLOOKUP(D1560, Repository!A:G, 7, 0), ""), "")</f>
        <v/>
      </c>
      <c r="O1560" s="105" t="str">
        <f>IFERROR(__xludf.DUMMYFUNCTION("ARRAY_CONSTRAIN(
  ARRAYFORMULA(
    IFERROR(
      LET(
        list, N1560,
        arr, TRIM(SPLIT(list, "","")),
        names, XLOOKUP(
          arr,
          'Conformance Score'!A:A,
          'Conformance Score'!B:B,
          ""Not found""
     "&amp;"   ),
        TEXTJOIN("", "", TRUE, names)
      ),
      """"
    )
  ),
  1,
  1
)
"),"")</f>
        <v/>
      </c>
      <c r="P1560" s="105" t="str">
        <f>IF(F1560="Yes", IFERROR(VLOOKUP(D1560, Repository!A:F, 6, 0), ""), "")</f>
        <v/>
      </c>
      <c r="Q1560" s="105" t="str">
        <f>IF(F1560="Yes", IFERROR(VLOOKUP(D1560, Repository!A:I, 8, 0), ""), "")</f>
        <v/>
      </c>
      <c r="R1560" s="105" t="str">
        <f>IF(F1560="Yes", IFERROR(VLOOKUP(D1560, Repository!A:J, 9, 0), ""), "")</f>
        <v/>
      </c>
      <c r="S1560" s="105"/>
      <c r="T1560" s="105"/>
      <c r="U1560" s="105"/>
      <c r="V1560" s="105"/>
      <c r="W1560" s="105"/>
      <c r="X1560" s="105"/>
      <c r="Y1560" s="105"/>
      <c r="Z1560" s="105"/>
      <c r="AA1560" s="105"/>
      <c r="AB1560" s="105"/>
      <c r="AC1560" s="91"/>
      <c r="AD1560" s="105"/>
      <c r="AE1560" s="105"/>
      <c r="AF1560" s="91"/>
      <c r="AG1560" s="105"/>
      <c r="AH1560" s="105"/>
      <c r="AI1560" s="105" t="str">
        <f t="shared" si="1"/>
        <v/>
      </c>
      <c r="AJ1560" s="108" t="str">
        <f t="shared" si="2"/>
        <v/>
      </c>
    </row>
    <row r="1561" ht="15.75" customHeight="1">
      <c r="A1561" s="104"/>
      <c r="B1561" s="105" t="str">
        <f>IFERROR(__xludf.DUMMYFUNCTION("ARRAY_CONSTRAIN(
  ARRAYFORMULA(
    IF(
      'Final Report'!A1561="""",
      """",
      TEXTJOIN(
        "", "" &amp; CHAR(10),
        TRUE,
        IFERROR(
          VLOOKUP(
            TRIM(
              SPLIT('Final Report'!A1561, "","")
         "&amp;"   ),
            'URL Details'!A:B,
            2,
            FALSE
          ),
          """"
        )
      )
    )
  ),
  1,
  1
)
"),"")</f>
        <v/>
      </c>
      <c r="C1561" s="105" t="str">
        <f>IFERROR(__xludf.DUMMYFUNCTION("IFERROR(IF('Final Report'!A1561="""","""", TEXTJOIN(CHAR(10), TRUE, ARRAYFORMULA( ""• ""&amp; FILTER( TRIM(FLATTEN(SPLIT( REGEXREPLACE( SUBSTITUTE(TEXTJOIN("","", TRUE, IFERROR(ARRAYFORMULA(VLOOKUP(TRIM(SPLIT('Final Report'!A1561, "","")), 'URL Details'!A:D, "&amp;"4, FALSE)),"""") ), CHAR(10), "",""), ""\s*,\s*"", "",""), "",""))), TRIM(FLATTEN(SPLIT( REGEXREPLACE( SUBSTITUTE(TEXTJOIN("","", TRUE, IFERROR(ARRAYFORMULA(VLOOKUP(TRIM(SPLIT('Final Report'!A1561, "","")), 'URL Details'!A:D, 4, FALSE)),"""") ), CHAR(10),"&amp;" "",""), ""\s*,\s*"", "",""), "","")))&lt;&gt;"""" ) ) ) ),"""")
"),"")</f>
        <v/>
      </c>
      <c r="D1561" s="105"/>
      <c r="E1561" s="105"/>
      <c r="F1561" s="110" t="b">
        <v>0</v>
      </c>
      <c r="G1561" s="105" t="str">
        <f>IF(F1561=True, IFERROR(VLOOKUP(D1561, Repository!A:B, 2, 0), ""), "")</f>
        <v/>
      </c>
      <c r="H1561" s="105"/>
      <c r="I1561" s="105"/>
      <c r="J1561" s="105" t="str">
        <f>IF(F1561=True, IFERROR(VLOOKUP(D1561, Repository!A:C, 3, 0), ""), "")</f>
        <v/>
      </c>
      <c r="K1561" s="105"/>
      <c r="L1561" s="105" t="str">
        <f>IF(F1561=True, IFERROR(VLOOKUP(D1561, Repository!A:E, 5, 0), ""), "")</f>
        <v/>
      </c>
      <c r="M1561" s="105"/>
      <c r="N1561" s="105" t="str">
        <f>IF(F1561=True, IFERROR(VLOOKUP(D1561, Repository!A:G, 7, 0), ""), "")</f>
        <v/>
      </c>
      <c r="O1561" s="105" t="str">
        <f>IFERROR(__xludf.DUMMYFUNCTION("ARRAY_CONSTRAIN(
  ARRAYFORMULA(
    IFERROR(
      LET(
        list, N1561,
        arr, TRIM(SPLIT(list, "","")),
        names, XLOOKUP(
          arr,
          'Conformance Score'!A:A,
          'Conformance Score'!B:B,
          ""Not found""
     "&amp;"   ),
        TEXTJOIN("", "", TRUE, names)
      ),
      """"
    )
  ),
  1,
  1
)
"),"")</f>
        <v/>
      </c>
      <c r="P1561" s="105" t="str">
        <f>IF(F1561="Yes", IFERROR(VLOOKUP(D1561, Repository!A:F, 6, 0), ""), "")</f>
        <v/>
      </c>
      <c r="Q1561" s="105" t="str">
        <f>IF(F1561="Yes", IFERROR(VLOOKUP(D1561, Repository!A:I, 8, 0), ""), "")</f>
        <v/>
      </c>
      <c r="R1561" s="105" t="str">
        <f>IF(F1561="Yes", IFERROR(VLOOKUP(D1561, Repository!A:J, 9, 0), ""), "")</f>
        <v/>
      </c>
      <c r="S1561" s="105"/>
      <c r="T1561" s="105"/>
      <c r="U1561" s="105"/>
      <c r="V1561" s="105"/>
      <c r="W1561" s="105"/>
      <c r="X1561" s="105"/>
      <c r="Y1561" s="105"/>
      <c r="Z1561" s="105"/>
      <c r="AA1561" s="105"/>
      <c r="AB1561" s="105"/>
      <c r="AC1561" s="91"/>
      <c r="AD1561" s="105"/>
      <c r="AE1561" s="105"/>
      <c r="AF1561" s="91"/>
      <c r="AG1561" s="105"/>
      <c r="AH1561" s="105"/>
      <c r="AI1561" s="105" t="str">
        <f t="shared" si="1"/>
        <v/>
      </c>
      <c r="AJ1561" s="108" t="str">
        <f t="shared" si="2"/>
        <v/>
      </c>
    </row>
    <row r="1562" ht="15.75" customHeight="1">
      <c r="A1562" s="104"/>
      <c r="B1562" s="105" t="str">
        <f>IFERROR(__xludf.DUMMYFUNCTION("ARRAY_CONSTRAIN(
  ARRAYFORMULA(
    IF(
      'Final Report'!A1562="""",
      """",
      TEXTJOIN(
        "", "" &amp; CHAR(10),
        TRUE,
        IFERROR(
          VLOOKUP(
            TRIM(
              SPLIT('Final Report'!A1562, "","")
         "&amp;"   ),
            'URL Details'!A:B,
            2,
            FALSE
          ),
          """"
        )
      )
    )
  ),
  1,
  1
)
"),"")</f>
        <v/>
      </c>
      <c r="C1562" s="105" t="str">
        <f>IFERROR(__xludf.DUMMYFUNCTION("IFERROR(IF('Final Report'!A1562="""","""", TEXTJOIN(CHAR(10), TRUE, ARRAYFORMULA( ""• ""&amp; FILTER( TRIM(FLATTEN(SPLIT( REGEXREPLACE( SUBSTITUTE(TEXTJOIN("","", TRUE, IFERROR(ARRAYFORMULA(VLOOKUP(TRIM(SPLIT('Final Report'!A1562, "","")), 'URL Details'!A:D, "&amp;"4, FALSE)),"""") ), CHAR(10), "",""), ""\s*,\s*"", "",""), "",""))), TRIM(FLATTEN(SPLIT( REGEXREPLACE( SUBSTITUTE(TEXTJOIN("","", TRUE, IFERROR(ARRAYFORMULA(VLOOKUP(TRIM(SPLIT('Final Report'!A1562, "","")), 'URL Details'!A:D, 4, FALSE)),"""") ), CHAR(10),"&amp;" "",""), ""\s*,\s*"", "",""), "","")))&lt;&gt;"""" ) ) ) ),"""")
"),"")</f>
        <v/>
      </c>
      <c r="D1562" s="105"/>
      <c r="E1562" s="105"/>
      <c r="F1562" s="110" t="b">
        <v>0</v>
      </c>
      <c r="G1562" s="105" t="str">
        <f>IF(F1562=True, IFERROR(VLOOKUP(D1562, Repository!A:B, 2, 0), ""), "")</f>
        <v/>
      </c>
      <c r="H1562" s="105"/>
      <c r="I1562" s="105"/>
      <c r="J1562" s="105" t="str">
        <f>IF(F1562=True, IFERROR(VLOOKUP(D1562, Repository!A:C, 3, 0), ""), "")</f>
        <v/>
      </c>
      <c r="K1562" s="105"/>
      <c r="L1562" s="105" t="str">
        <f>IF(F1562=True, IFERROR(VLOOKUP(D1562, Repository!A:E, 5, 0), ""), "")</f>
        <v/>
      </c>
      <c r="M1562" s="105"/>
      <c r="N1562" s="105" t="str">
        <f>IF(F1562=True, IFERROR(VLOOKUP(D1562, Repository!A:G, 7, 0), ""), "")</f>
        <v/>
      </c>
      <c r="O1562" s="105" t="str">
        <f>IFERROR(__xludf.DUMMYFUNCTION("ARRAY_CONSTRAIN(
  ARRAYFORMULA(
    IFERROR(
      LET(
        list, N1562,
        arr, TRIM(SPLIT(list, "","")),
        names, XLOOKUP(
          arr,
          'Conformance Score'!A:A,
          'Conformance Score'!B:B,
          ""Not found""
     "&amp;"   ),
        TEXTJOIN("", "", TRUE, names)
      ),
      """"
    )
  ),
  1,
  1
)
"),"")</f>
        <v/>
      </c>
      <c r="P1562" s="105" t="str">
        <f>IF(F1562="Yes", IFERROR(VLOOKUP(D1562, Repository!A:F, 6, 0), ""), "")</f>
        <v/>
      </c>
      <c r="Q1562" s="105" t="str">
        <f>IF(F1562="Yes", IFERROR(VLOOKUP(D1562, Repository!A:I, 8, 0), ""), "")</f>
        <v/>
      </c>
      <c r="R1562" s="105" t="str">
        <f>IF(F1562="Yes", IFERROR(VLOOKUP(D1562, Repository!A:J, 9, 0), ""), "")</f>
        <v/>
      </c>
      <c r="S1562" s="105"/>
      <c r="T1562" s="105"/>
      <c r="U1562" s="105"/>
      <c r="V1562" s="105"/>
      <c r="W1562" s="105"/>
      <c r="X1562" s="105"/>
      <c r="Y1562" s="105"/>
      <c r="Z1562" s="105"/>
      <c r="AA1562" s="105"/>
      <c r="AB1562" s="105"/>
      <c r="AC1562" s="91"/>
      <c r="AD1562" s="105"/>
      <c r="AE1562" s="105"/>
      <c r="AF1562" s="91"/>
      <c r="AG1562" s="105"/>
      <c r="AH1562" s="105"/>
      <c r="AI1562" s="105" t="str">
        <f t="shared" si="1"/>
        <v/>
      </c>
      <c r="AJ1562" s="108" t="str">
        <f t="shared" si="2"/>
        <v/>
      </c>
    </row>
    <row r="1563" ht="15.75" customHeight="1">
      <c r="A1563" s="104"/>
      <c r="B1563" s="105" t="str">
        <f>IFERROR(__xludf.DUMMYFUNCTION("ARRAY_CONSTRAIN(
  ARRAYFORMULA(
    IF(
      'Final Report'!A1563="""",
      """",
      TEXTJOIN(
        "", "" &amp; CHAR(10),
        TRUE,
        IFERROR(
          VLOOKUP(
            TRIM(
              SPLIT('Final Report'!A1563, "","")
         "&amp;"   ),
            'URL Details'!A:B,
            2,
            FALSE
          ),
          """"
        )
      )
    )
  ),
  1,
  1
)
"),"")</f>
        <v/>
      </c>
      <c r="C1563" s="105" t="str">
        <f>IFERROR(__xludf.DUMMYFUNCTION("IFERROR(IF('Final Report'!A1563="""","""", TEXTJOIN(CHAR(10), TRUE, ARRAYFORMULA( ""• ""&amp; FILTER( TRIM(FLATTEN(SPLIT( REGEXREPLACE( SUBSTITUTE(TEXTJOIN("","", TRUE, IFERROR(ARRAYFORMULA(VLOOKUP(TRIM(SPLIT('Final Report'!A1563, "","")), 'URL Details'!A:D, "&amp;"4, FALSE)),"""") ), CHAR(10), "",""), ""\s*,\s*"", "",""), "",""))), TRIM(FLATTEN(SPLIT( REGEXREPLACE( SUBSTITUTE(TEXTJOIN("","", TRUE, IFERROR(ARRAYFORMULA(VLOOKUP(TRIM(SPLIT('Final Report'!A1563, "","")), 'URL Details'!A:D, 4, FALSE)),"""") ), CHAR(10),"&amp;" "",""), ""\s*,\s*"", "",""), "","")))&lt;&gt;"""" ) ) ) ),"""")
"),"")</f>
        <v/>
      </c>
      <c r="D1563" s="105"/>
      <c r="E1563" s="105"/>
      <c r="F1563" s="110" t="b">
        <v>0</v>
      </c>
      <c r="G1563" s="105" t="str">
        <f>IF(F1563=True, IFERROR(VLOOKUP(D1563, Repository!A:B, 2, 0), ""), "")</f>
        <v/>
      </c>
      <c r="H1563" s="105"/>
      <c r="I1563" s="105"/>
      <c r="J1563" s="105" t="str">
        <f>IF(F1563=True, IFERROR(VLOOKUP(D1563, Repository!A:C, 3, 0), ""), "")</f>
        <v/>
      </c>
      <c r="K1563" s="105"/>
      <c r="L1563" s="105" t="str">
        <f>IF(F1563=True, IFERROR(VLOOKUP(D1563, Repository!A:E, 5, 0), ""), "")</f>
        <v/>
      </c>
      <c r="M1563" s="105"/>
      <c r="N1563" s="105" t="str">
        <f>IF(F1563=True, IFERROR(VLOOKUP(D1563, Repository!A:G, 7, 0), ""), "")</f>
        <v/>
      </c>
      <c r="O1563" s="105" t="str">
        <f>IFERROR(__xludf.DUMMYFUNCTION("ARRAY_CONSTRAIN(
  ARRAYFORMULA(
    IFERROR(
      LET(
        list, N1563,
        arr, TRIM(SPLIT(list, "","")),
        names, XLOOKUP(
          arr,
          'Conformance Score'!A:A,
          'Conformance Score'!B:B,
          ""Not found""
     "&amp;"   ),
        TEXTJOIN("", "", TRUE, names)
      ),
      """"
    )
  ),
  1,
  1
)
"),"")</f>
        <v/>
      </c>
      <c r="P1563" s="105" t="str">
        <f>IF(F1563="Yes", IFERROR(VLOOKUP(D1563, Repository!A:F, 6, 0), ""), "")</f>
        <v/>
      </c>
      <c r="Q1563" s="105" t="str">
        <f>IF(F1563="Yes", IFERROR(VLOOKUP(D1563, Repository!A:I, 8, 0), ""), "")</f>
        <v/>
      </c>
      <c r="R1563" s="105" t="str">
        <f>IF(F1563="Yes", IFERROR(VLOOKUP(D1563, Repository!A:J, 9, 0), ""), "")</f>
        <v/>
      </c>
      <c r="S1563" s="105"/>
      <c r="T1563" s="105"/>
      <c r="U1563" s="105"/>
      <c r="V1563" s="105"/>
      <c r="W1563" s="105"/>
      <c r="X1563" s="105"/>
      <c r="Y1563" s="105"/>
      <c r="Z1563" s="105"/>
      <c r="AA1563" s="105"/>
      <c r="AB1563" s="105"/>
      <c r="AC1563" s="91"/>
      <c r="AD1563" s="105"/>
      <c r="AE1563" s="105"/>
      <c r="AF1563" s="91"/>
      <c r="AG1563" s="105"/>
      <c r="AH1563" s="105"/>
      <c r="AI1563" s="105" t="str">
        <f t="shared" si="1"/>
        <v/>
      </c>
      <c r="AJ1563" s="108" t="str">
        <f t="shared" si="2"/>
        <v/>
      </c>
    </row>
    <row r="1564" ht="15.75" customHeight="1">
      <c r="A1564" s="104"/>
      <c r="B1564" s="105" t="str">
        <f>IFERROR(__xludf.DUMMYFUNCTION("ARRAY_CONSTRAIN(
  ARRAYFORMULA(
    IF(
      'Final Report'!A1564="""",
      """",
      TEXTJOIN(
        "", "" &amp; CHAR(10),
        TRUE,
        IFERROR(
          VLOOKUP(
            TRIM(
              SPLIT('Final Report'!A1564, "","")
         "&amp;"   ),
            'URL Details'!A:B,
            2,
            FALSE
          ),
          """"
        )
      )
    )
  ),
  1,
  1
)
"),"")</f>
        <v/>
      </c>
      <c r="C1564" s="105" t="str">
        <f>IFERROR(__xludf.DUMMYFUNCTION("IFERROR(IF('Final Report'!A1564="""","""", TEXTJOIN(CHAR(10), TRUE, ARRAYFORMULA( ""• ""&amp; FILTER( TRIM(FLATTEN(SPLIT( REGEXREPLACE( SUBSTITUTE(TEXTJOIN("","", TRUE, IFERROR(ARRAYFORMULA(VLOOKUP(TRIM(SPLIT('Final Report'!A1564, "","")), 'URL Details'!A:D, "&amp;"4, FALSE)),"""") ), CHAR(10), "",""), ""\s*,\s*"", "",""), "",""))), TRIM(FLATTEN(SPLIT( REGEXREPLACE( SUBSTITUTE(TEXTJOIN("","", TRUE, IFERROR(ARRAYFORMULA(VLOOKUP(TRIM(SPLIT('Final Report'!A1564, "","")), 'URL Details'!A:D, 4, FALSE)),"""") ), CHAR(10),"&amp;" "",""), ""\s*,\s*"", "",""), "","")))&lt;&gt;"""" ) ) ) ),"""")
"),"")</f>
        <v/>
      </c>
      <c r="D1564" s="105"/>
      <c r="E1564" s="105"/>
      <c r="F1564" s="110" t="b">
        <v>0</v>
      </c>
      <c r="G1564" s="105" t="str">
        <f>IF(F1564=True, IFERROR(VLOOKUP(D1564, Repository!A:B, 2, 0), ""), "")</f>
        <v/>
      </c>
      <c r="H1564" s="105"/>
      <c r="I1564" s="105"/>
      <c r="J1564" s="105" t="str">
        <f>IF(F1564=True, IFERROR(VLOOKUP(D1564, Repository!A:C, 3, 0), ""), "")</f>
        <v/>
      </c>
      <c r="K1564" s="105"/>
      <c r="L1564" s="105" t="str">
        <f>IF(F1564=True, IFERROR(VLOOKUP(D1564, Repository!A:E, 5, 0), ""), "")</f>
        <v/>
      </c>
      <c r="M1564" s="105"/>
      <c r="N1564" s="105" t="str">
        <f>IF(F1564=True, IFERROR(VLOOKUP(D1564, Repository!A:G, 7, 0), ""), "")</f>
        <v/>
      </c>
      <c r="O1564" s="105" t="str">
        <f>IFERROR(__xludf.DUMMYFUNCTION("ARRAY_CONSTRAIN(
  ARRAYFORMULA(
    IFERROR(
      LET(
        list, N1564,
        arr, TRIM(SPLIT(list, "","")),
        names, XLOOKUP(
          arr,
          'Conformance Score'!A:A,
          'Conformance Score'!B:B,
          ""Not found""
     "&amp;"   ),
        TEXTJOIN("", "", TRUE, names)
      ),
      """"
    )
  ),
  1,
  1
)
"),"")</f>
        <v/>
      </c>
      <c r="P1564" s="105" t="str">
        <f>IF(F1564="Yes", IFERROR(VLOOKUP(D1564, Repository!A:F, 6, 0), ""), "")</f>
        <v/>
      </c>
      <c r="Q1564" s="105" t="str">
        <f>IF(F1564="Yes", IFERROR(VLOOKUP(D1564, Repository!A:I, 8, 0), ""), "")</f>
        <v/>
      </c>
      <c r="R1564" s="105" t="str">
        <f>IF(F1564="Yes", IFERROR(VLOOKUP(D1564, Repository!A:J, 9, 0), ""), "")</f>
        <v/>
      </c>
      <c r="S1564" s="105"/>
      <c r="T1564" s="105"/>
      <c r="U1564" s="105"/>
      <c r="V1564" s="105"/>
      <c r="W1564" s="105"/>
      <c r="X1564" s="105"/>
      <c r="Y1564" s="105"/>
      <c r="Z1564" s="105"/>
      <c r="AA1564" s="105"/>
      <c r="AB1564" s="105"/>
      <c r="AC1564" s="91"/>
      <c r="AD1564" s="105"/>
      <c r="AE1564" s="105"/>
      <c r="AF1564" s="91"/>
      <c r="AG1564" s="105"/>
      <c r="AH1564" s="105"/>
      <c r="AI1564" s="105" t="str">
        <f t="shared" si="1"/>
        <v/>
      </c>
      <c r="AJ1564" s="108" t="str">
        <f t="shared" si="2"/>
        <v/>
      </c>
    </row>
    <row r="1565" ht="15.75" customHeight="1">
      <c r="A1565" s="104"/>
      <c r="B1565" s="105" t="str">
        <f>IFERROR(__xludf.DUMMYFUNCTION("ARRAY_CONSTRAIN(
  ARRAYFORMULA(
    IF(
      'Final Report'!A1565="""",
      """",
      TEXTJOIN(
        "", "" &amp; CHAR(10),
        TRUE,
        IFERROR(
          VLOOKUP(
            TRIM(
              SPLIT('Final Report'!A1565, "","")
         "&amp;"   ),
            'URL Details'!A:B,
            2,
            FALSE
          ),
          """"
        )
      )
    )
  ),
  1,
  1
)
"),"")</f>
        <v/>
      </c>
      <c r="C1565" s="105" t="str">
        <f>IFERROR(__xludf.DUMMYFUNCTION("IFERROR(IF('Final Report'!A1565="""","""", TEXTJOIN(CHAR(10), TRUE, ARRAYFORMULA( ""• ""&amp; FILTER( TRIM(FLATTEN(SPLIT( REGEXREPLACE( SUBSTITUTE(TEXTJOIN("","", TRUE, IFERROR(ARRAYFORMULA(VLOOKUP(TRIM(SPLIT('Final Report'!A1565, "","")), 'URL Details'!A:D, "&amp;"4, FALSE)),"""") ), CHAR(10), "",""), ""\s*,\s*"", "",""), "",""))), TRIM(FLATTEN(SPLIT( REGEXREPLACE( SUBSTITUTE(TEXTJOIN("","", TRUE, IFERROR(ARRAYFORMULA(VLOOKUP(TRIM(SPLIT('Final Report'!A1565, "","")), 'URL Details'!A:D, 4, FALSE)),"""") ), CHAR(10),"&amp;" "",""), ""\s*,\s*"", "",""), "","")))&lt;&gt;"""" ) ) ) ),"""")
"),"")</f>
        <v/>
      </c>
      <c r="D1565" s="105"/>
      <c r="E1565" s="105"/>
      <c r="F1565" s="110" t="b">
        <v>0</v>
      </c>
      <c r="G1565" s="105" t="str">
        <f>IF(F1565=True, IFERROR(VLOOKUP(D1565, Repository!A:B, 2, 0), ""), "")</f>
        <v/>
      </c>
      <c r="H1565" s="105"/>
      <c r="I1565" s="105"/>
      <c r="J1565" s="105" t="str">
        <f>IF(F1565=True, IFERROR(VLOOKUP(D1565, Repository!A:C, 3, 0), ""), "")</f>
        <v/>
      </c>
      <c r="K1565" s="105"/>
      <c r="L1565" s="105" t="str">
        <f>IF(F1565=True, IFERROR(VLOOKUP(D1565, Repository!A:E, 5, 0), ""), "")</f>
        <v/>
      </c>
      <c r="M1565" s="105"/>
      <c r="N1565" s="105" t="str">
        <f>IF(F1565=True, IFERROR(VLOOKUP(D1565, Repository!A:G, 7, 0), ""), "")</f>
        <v/>
      </c>
      <c r="O1565" s="105" t="str">
        <f>IFERROR(__xludf.DUMMYFUNCTION("ARRAY_CONSTRAIN(
  ARRAYFORMULA(
    IFERROR(
      LET(
        list, N1565,
        arr, TRIM(SPLIT(list, "","")),
        names, XLOOKUP(
          arr,
          'Conformance Score'!A:A,
          'Conformance Score'!B:B,
          ""Not found""
     "&amp;"   ),
        TEXTJOIN("", "", TRUE, names)
      ),
      """"
    )
  ),
  1,
  1
)
"),"")</f>
        <v/>
      </c>
      <c r="P1565" s="105" t="str">
        <f>IF(F1565="Yes", IFERROR(VLOOKUP(D1565, Repository!A:F, 6, 0), ""), "")</f>
        <v/>
      </c>
      <c r="Q1565" s="105" t="str">
        <f>IF(F1565="Yes", IFERROR(VLOOKUP(D1565, Repository!A:I, 8, 0), ""), "")</f>
        <v/>
      </c>
      <c r="R1565" s="105" t="str">
        <f>IF(F1565="Yes", IFERROR(VLOOKUP(D1565, Repository!A:J, 9, 0), ""), "")</f>
        <v/>
      </c>
      <c r="S1565" s="105"/>
      <c r="T1565" s="105"/>
      <c r="U1565" s="105"/>
      <c r="V1565" s="105"/>
      <c r="W1565" s="105"/>
      <c r="X1565" s="105"/>
      <c r="Y1565" s="105"/>
      <c r="Z1565" s="105"/>
      <c r="AA1565" s="105"/>
      <c r="AB1565" s="105"/>
      <c r="AC1565" s="91"/>
      <c r="AD1565" s="105"/>
      <c r="AE1565" s="105"/>
      <c r="AF1565" s="91"/>
      <c r="AG1565" s="105"/>
      <c r="AH1565" s="105"/>
      <c r="AI1565" s="105" t="str">
        <f t="shared" si="1"/>
        <v/>
      </c>
      <c r="AJ1565" s="108" t="str">
        <f t="shared" si="2"/>
        <v/>
      </c>
    </row>
    <row r="1566" ht="15.75" customHeight="1">
      <c r="A1566" s="104"/>
      <c r="B1566" s="105" t="str">
        <f>IFERROR(__xludf.DUMMYFUNCTION("ARRAY_CONSTRAIN(
  ARRAYFORMULA(
    IF(
      'Final Report'!A1566="""",
      """",
      TEXTJOIN(
        "", "" &amp; CHAR(10),
        TRUE,
        IFERROR(
          VLOOKUP(
            TRIM(
              SPLIT('Final Report'!A1566, "","")
         "&amp;"   ),
            'URL Details'!A:B,
            2,
            FALSE
          ),
          """"
        )
      )
    )
  ),
  1,
  1
)
"),"")</f>
        <v/>
      </c>
      <c r="C1566" s="105" t="str">
        <f>IFERROR(__xludf.DUMMYFUNCTION("IFERROR(IF('Final Report'!A1566="""","""", TEXTJOIN(CHAR(10), TRUE, ARRAYFORMULA( ""• ""&amp; FILTER( TRIM(FLATTEN(SPLIT( REGEXREPLACE( SUBSTITUTE(TEXTJOIN("","", TRUE, IFERROR(ARRAYFORMULA(VLOOKUP(TRIM(SPLIT('Final Report'!A1566, "","")), 'URL Details'!A:D, "&amp;"4, FALSE)),"""") ), CHAR(10), "",""), ""\s*,\s*"", "",""), "",""))), TRIM(FLATTEN(SPLIT( REGEXREPLACE( SUBSTITUTE(TEXTJOIN("","", TRUE, IFERROR(ARRAYFORMULA(VLOOKUP(TRIM(SPLIT('Final Report'!A1566, "","")), 'URL Details'!A:D, 4, FALSE)),"""") ), CHAR(10),"&amp;" "",""), ""\s*,\s*"", "",""), "","")))&lt;&gt;"""" ) ) ) ),"""")
"),"")</f>
        <v/>
      </c>
      <c r="D1566" s="105"/>
      <c r="E1566" s="105"/>
      <c r="F1566" s="110" t="b">
        <v>0</v>
      </c>
      <c r="G1566" s="105" t="str">
        <f>IF(F1566=True, IFERROR(VLOOKUP(D1566, Repository!A:B, 2, 0), ""), "")</f>
        <v/>
      </c>
      <c r="H1566" s="105"/>
      <c r="I1566" s="105"/>
      <c r="J1566" s="105" t="str">
        <f>IF(F1566=True, IFERROR(VLOOKUP(D1566, Repository!A:C, 3, 0), ""), "")</f>
        <v/>
      </c>
      <c r="K1566" s="105"/>
      <c r="L1566" s="105" t="str">
        <f>IF(F1566=True, IFERROR(VLOOKUP(D1566, Repository!A:E, 5, 0), ""), "")</f>
        <v/>
      </c>
      <c r="M1566" s="105"/>
      <c r="N1566" s="105" t="str">
        <f>IF(F1566=True, IFERROR(VLOOKUP(D1566, Repository!A:G, 7, 0), ""), "")</f>
        <v/>
      </c>
      <c r="O1566" s="105" t="str">
        <f>IFERROR(__xludf.DUMMYFUNCTION("ARRAY_CONSTRAIN(
  ARRAYFORMULA(
    IFERROR(
      LET(
        list, N1566,
        arr, TRIM(SPLIT(list, "","")),
        names, XLOOKUP(
          arr,
          'Conformance Score'!A:A,
          'Conformance Score'!B:B,
          ""Not found""
     "&amp;"   ),
        TEXTJOIN("", "", TRUE, names)
      ),
      """"
    )
  ),
  1,
  1
)
"),"")</f>
        <v/>
      </c>
      <c r="P1566" s="105" t="str">
        <f>IF(F1566="Yes", IFERROR(VLOOKUP(D1566, Repository!A:F, 6, 0), ""), "")</f>
        <v/>
      </c>
      <c r="Q1566" s="105" t="str">
        <f>IF(F1566="Yes", IFERROR(VLOOKUP(D1566, Repository!A:I, 8, 0), ""), "")</f>
        <v/>
      </c>
      <c r="R1566" s="105" t="str">
        <f>IF(F1566="Yes", IFERROR(VLOOKUP(D1566, Repository!A:J, 9, 0), ""), "")</f>
        <v/>
      </c>
      <c r="S1566" s="105"/>
      <c r="T1566" s="105"/>
      <c r="U1566" s="105"/>
      <c r="V1566" s="105"/>
      <c r="W1566" s="105"/>
      <c r="X1566" s="105"/>
      <c r="Y1566" s="105"/>
      <c r="Z1566" s="105"/>
      <c r="AA1566" s="105"/>
      <c r="AB1566" s="105"/>
      <c r="AC1566" s="91"/>
      <c r="AD1566" s="105"/>
      <c r="AE1566" s="105"/>
      <c r="AF1566" s="91"/>
      <c r="AG1566" s="105"/>
      <c r="AH1566" s="105"/>
      <c r="AI1566" s="105" t="str">
        <f t="shared" si="1"/>
        <v/>
      </c>
      <c r="AJ1566" s="108" t="str">
        <f t="shared" si="2"/>
        <v/>
      </c>
    </row>
    <row r="1567" ht="15.75" customHeight="1">
      <c r="A1567" s="104"/>
      <c r="B1567" s="105" t="str">
        <f>IFERROR(__xludf.DUMMYFUNCTION("ARRAY_CONSTRAIN(
  ARRAYFORMULA(
    IF(
      'Final Report'!A1567="""",
      """",
      TEXTJOIN(
        "", "" &amp; CHAR(10),
        TRUE,
        IFERROR(
          VLOOKUP(
            TRIM(
              SPLIT('Final Report'!A1567, "","")
         "&amp;"   ),
            'URL Details'!A:B,
            2,
            FALSE
          ),
          """"
        )
      )
    )
  ),
  1,
  1
)
"),"")</f>
        <v/>
      </c>
      <c r="C1567" s="105" t="str">
        <f>IFERROR(__xludf.DUMMYFUNCTION("IFERROR(IF('Final Report'!A1567="""","""", TEXTJOIN(CHAR(10), TRUE, ARRAYFORMULA( ""• ""&amp; FILTER( TRIM(FLATTEN(SPLIT( REGEXREPLACE( SUBSTITUTE(TEXTJOIN("","", TRUE, IFERROR(ARRAYFORMULA(VLOOKUP(TRIM(SPLIT('Final Report'!A1567, "","")), 'URL Details'!A:D, "&amp;"4, FALSE)),"""") ), CHAR(10), "",""), ""\s*,\s*"", "",""), "",""))), TRIM(FLATTEN(SPLIT( REGEXREPLACE( SUBSTITUTE(TEXTJOIN("","", TRUE, IFERROR(ARRAYFORMULA(VLOOKUP(TRIM(SPLIT('Final Report'!A1567, "","")), 'URL Details'!A:D, 4, FALSE)),"""") ), CHAR(10),"&amp;" "",""), ""\s*,\s*"", "",""), "","")))&lt;&gt;"""" ) ) ) ),"""")
"),"")</f>
        <v/>
      </c>
      <c r="D1567" s="105"/>
      <c r="E1567" s="105"/>
      <c r="F1567" s="110" t="b">
        <v>0</v>
      </c>
      <c r="G1567" s="105" t="str">
        <f>IF(F1567=True, IFERROR(VLOOKUP(D1567, Repository!A:B, 2, 0), ""), "")</f>
        <v/>
      </c>
      <c r="H1567" s="105"/>
      <c r="I1567" s="105"/>
      <c r="J1567" s="105" t="str">
        <f>IF(F1567=True, IFERROR(VLOOKUP(D1567, Repository!A:C, 3, 0), ""), "")</f>
        <v/>
      </c>
      <c r="K1567" s="105"/>
      <c r="L1567" s="105" t="str">
        <f>IF(F1567=True, IFERROR(VLOOKUP(D1567, Repository!A:E, 5, 0), ""), "")</f>
        <v/>
      </c>
      <c r="M1567" s="105"/>
      <c r="N1567" s="105" t="str">
        <f>IF(F1567=True, IFERROR(VLOOKUP(D1567, Repository!A:G, 7, 0), ""), "")</f>
        <v/>
      </c>
      <c r="O1567" s="105" t="str">
        <f>IFERROR(__xludf.DUMMYFUNCTION("ARRAY_CONSTRAIN(
  ARRAYFORMULA(
    IFERROR(
      LET(
        list, N1567,
        arr, TRIM(SPLIT(list, "","")),
        names, XLOOKUP(
          arr,
          'Conformance Score'!A:A,
          'Conformance Score'!B:B,
          ""Not found""
     "&amp;"   ),
        TEXTJOIN("", "", TRUE, names)
      ),
      """"
    )
  ),
  1,
  1
)
"),"")</f>
        <v/>
      </c>
      <c r="P1567" s="105" t="str">
        <f>IF(F1567="Yes", IFERROR(VLOOKUP(D1567, Repository!A:F, 6, 0), ""), "")</f>
        <v/>
      </c>
      <c r="Q1567" s="105" t="str">
        <f>IF(F1567="Yes", IFERROR(VLOOKUP(D1567, Repository!A:I, 8, 0), ""), "")</f>
        <v/>
      </c>
      <c r="R1567" s="105" t="str">
        <f>IF(F1567="Yes", IFERROR(VLOOKUP(D1567, Repository!A:J, 9, 0), ""), "")</f>
        <v/>
      </c>
      <c r="S1567" s="105"/>
      <c r="T1567" s="105"/>
      <c r="U1567" s="105"/>
      <c r="V1567" s="105"/>
      <c r="W1567" s="105"/>
      <c r="X1567" s="105"/>
      <c r="Y1567" s="105"/>
      <c r="Z1567" s="105"/>
      <c r="AA1567" s="105"/>
      <c r="AB1567" s="105"/>
      <c r="AC1567" s="91"/>
      <c r="AD1567" s="105"/>
      <c r="AE1567" s="105"/>
      <c r="AF1567" s="91"/>
      <c r="AG1567" s="105"/>
      <c r="AH1567" s="105"/>
      <c r="AI1567" s="105" t="str">
        <f t="shared" si="1"/>
        <v/>
      </c>
      <c r="AJ1567" s="108" t="str">
        <f t="shared" si="2"/>
        <v/>
      </c>
    </row>
    <row r="1568" ht="15.75" customHeight="1">
      <c r="A1568" s="104"/>
      <c r="B1568" s="105" t="str">
        <f>IFERROR(__xludf.DUMMYFUNCTION("ARRAY_CONSTRAIN(
  ARRAYFORMULA(
    IF(
      'Final Report'!A1568="""",
      """",
      TEXTJOIN(
        "", "" &amp; CHAR(10),
        TRUE,
        IFERROR(
          VLOOKUP(
            TRIM(
              SPLIT('Final Report'!A1568, "","")
         "&amp;"   ),
            'URL Details'!A:B,
            2,
            FALSE
          ),
          """"
        )
      )
    )
  ),
  1,
  1
)
"),"")</f>
        <v/>
      </c>
      <c r="C1568" s="105" t="str">
        <f>IFERROR(__xludf.DUMMYFUNCTION("IFERROR(IF('Final Report'!A1568="""","""", TEXTJOIN(CHAR(10), TRUE, ARRAYFORMULA( ""• ""&amp; FILTER( TRIM(FLATTEN(SPLIT( REGEXREPLACE( SUBSTITUTE(TEXTJOIN("","", TRUE, IFERROR(ARRAYFORMULA(VLOOKUP(TRIM(SPLIT('Final Report'!A1568, "","")), 'URL Details'!A:D, "&amp;"4, FALSE)),"""") ), CHAR(10), "",""), ""\s*,\s*"", "",""), "",""))), TRIM(FLATTEN(SPLIT( REGEXREPLACE( SUBSTITUTE(TEXTJOIN("","", TRUE, IFERROR(ARRAYFORMULA(VLOOKUP(TRIM(SPLIT('Final Report'!A1568, "","")), 'URL Details'!A:D, 4, FALSE)),"""") ), CHAR(10),"&amp;" "",""), ""\s*,\s*"", "",""), "","")))&lt;&gt;"""" ) ) ) ),"""")
"),"")</f>
        <v/>
      </c>
      <c r="D1568" s="105"/>
      <c r="E1568" s="105"/>
      <c r="F1568" s="110" t="b">
        <v>0</v>
      </c>
      <c r="G1568" s="105" t="str">
        <f>IF(F1568=True, IFERROR(VLOOKUP(D1568, Repository!A:B, 2, 0), ""), "")</f>
        <v/>
      </c>
      <c r="H1568" s="105"/>
      <c r="I1568" s="105"/>
      <c r="J1568" s="105" t="str">
        <f>IF(F1568=True, IFERROR(VLOOKUP(D1568, Repository!A:C, 3, 0), ""), "")</f>
        <v/>
      </c>
      <c r="K1568" s="105"/>
      <c r="L1568" s="105" t="str">
        <f>IF(F1568=True, IFERROR(VLOOKUP(D1568, Repository!A:E, 5, 0), ""), "")</f>
        <v/>
      </c>
      <c r="M1568" s="105"/>
      <c r="N1568" s="105" t="str">
        <f>IF(F1568=True, IFERROR(VLOOKUP(D1568, Repository!A:G, 7, 0), ""), "")</f>
        <v/>
      </c>
      <c r="O1568" s="105" t="str">
        <f>IFERROR(__xludf.DUMMYFUNCTION("ARRAY_CONSTRAIN(
  ARRAYFORMULA(
    IFERROR(
      LET(
        list, N1568,
        arr, TRIM(SPLIT(list, "","")),
        names, XLOOKUP(
          arr,
          'Conformance Score'!A:A,
          'Conformance Score'!B:B,
          ""Not found""
     "&amp;"   ),
        TEXTJOIN("", "", TRUE, names)
      ),
      """"
    )
  ),
  1,
  1
)
"),"")</f>
        <v/>
      </c>
      <c r="P1568" s="105" t="str">
        <f>IF(F1568="Yes", IFERROR(VLOOKUP(D1568, Repository!A:F, 6, 0), ""), "")</f>
        <v/>
      </c>
      <c r="Q1568" s="105" t="str">
        <f>IF(F1568="Yes", IFERROR(VLOOKUP(D1568, Repository!A:I, 8, 0), ""), "")</f>
        <v/>
      </c>
      <c r="R1568" s="105" t="str">
        <f>IF(F1568="Yes", IFERROR(VLOOKUP(D1568, Repository!A:J, 9, 0), ""), "")</f>
        <v/>
      </c>
      <c r="S1568" s="105"/>
      <c r="T1568" s="105"/>
      <c r="U1568" s="105"/>
      <c r="V1568" s="105"/>
      <c r="W1568" s="105"/>
      <c r="X1568" s="105"/>
      <c r="Y1568" s="105"/>
      <c r="Z1568" s="105"/>
      <c r="AA1568" s="105"/>
      <c r="AB1568" s="105"/>
      <c r="AC1568" s="91"/>
      <c r="AD1568" s="105"/>
      <c r="AE1568" s="105"/>
      <c r="AF1568" s="91"/>
      <c r="AG1568" s="105"/>
      <c r="AH1568" s="105"/>
      <c r="AI1568" s="105" t="str">
        <f t="shared" si="1"/>
        <v/>
      </c>
      <c r="AJ1568" s="108" t="str">
        <f t="shared" si="2"/>
        <v/>
      </c>
    </row>
    <row r="1569" ht="15.75" customHeight="1">
      <c r="A1569" s="104"/>
      <c r="B1569" s="105" t="str">
        <f>IFERROR(__xludf.DUMMYFUNCTION("ARRAY_CONSTRAIN(
  ARRAYFORMULA(
    IF(
      'Final Report'!A1569="""",
      """",
      TEXTJOIN(
        "", "" &amp; CHAR(10),
        TRUE,
        IFERROR(
          VLOOKUP(
            TRIM(
              SPLIT('Final Report'!A1569, "","")
         "&amp;"   ),
            'URL Details'!A:B,
            2,
            FALSE
          ),
          """"
        )
      )
    )
  ),
  1,
  1
)
"),"")</f>
        <v/>
      </c>
      <c r="C1569" s="105" t="str">
        <f>IFERROR(__xludf.DUMMYFUNCTION("IFERROR(IF('Final Report'!A1569="""","""", TEXTJOIN(CHAR(10), TRUE, ARRAYFORMULA( ""• ""&amp; FILTER( TRIM(FLATTEN(SPLIT( REGEXREPLACE( SUBSTITUTE(TEXTJOIN("","", TRUE, IFERROR(ARRAYFORMULA(VLOOKUP(TRIM(SPLIT('Final Report'!A1569, "","")), 'URL Details'!A:D, "&amp;"4, FALSE)),"""") ), CHAR(10), "",""), ""\s*,\s*"", "",""), "",""))), TRIM(FLATTEN(SPLIT( REGEXREPLACE( SUBSTITUTE(TEXTJOIN("","", TRUE, IFERROR(ARRAYFORMULA(VLOOKUP(TRIM(SPLIT('Final Report'!A1569, "","")), 'URL Details'!A:D, 4, FALSE)),"""") ), CHAR(10),"&amp;" "",""), ""\s*,\s*"", "",""), "","")))&lt;&gt;"""" ) ) ) ),"""")
"),"")</f>
        <v/>
      </c>
      <c r="D1569" s="105"/>
      <c r="E1569" s="105"/>
      <c r="F1569" s="110" t="b">
        <v>0</v>
      </c>
      <c r="G1569" s="105" t="str">
        <f>IF(F1569=True, IFERROR(VLOOKUP(D1569, Repository!A:B, 2, 0), ""), "")</f>
        <v/>
      </c>
      <c r="H1569" s="105"/>
      <c r="I1569" s="105"/>
      <c r="J1569" s="105" t="str">
        <f>IF(F1569=True, IFERROR(VLOOKUP(D1569, Repository!A:C, 3, 0), ""), "")</f>
        <v/>
      </c>
      <c r="K1569" s="105"/>
      <c r="L1569" s="105" t="str">
        <f>IF(F1569=True, IFERROR(VLOOKUP(D1569, Repository!A:E, 5, 0), ""), "")</f>
        <v/>
      </c>
      <c r="M1569" s="105"/>
      <c r="N1569" s="105" t="str">
        <f>IF(F1569=True, IFERROR(VLOOKUP(D1569, Repository!A:G, 7, 0), ""), "")</f>
        <v/>
      </c>
      <c r="O1569" s="105" t="str">
        <f>IFERROR(__xludf.DUMMYFUNCTION("ARRAY_CONSTRAIN(
  ARRAYFORMULA(
    IFERROR(
      LET(
        list, N1569,
        arr, TRIM(SPLIT(list, "","")),
        names, XLOOKUP(
          arr,
          'Conformance Score'!A:A,
          'Conformance Score'!B:B,
          ""Not found""
     "&amp;"   ),
        TEXTJOIN("", "", TRUE, names)
      ),
      """"
    )
  ),
  1,
  1
)
"),"")</f>
        <v/>
      </c>
      <c r="P1569" s="105" t="str">
        <f>IF(F1569="Yes", IFERROR(VLOOKUP(D1569, Repository!A:F, 6, 0), ""), "")</f>
        <v/>
      </c>
      <c r="Q1569" s="105" t="str">
        <f>IF(F1569="Yes", IFERROR(VLOOKUP(D1569, Repository!A:I, 8, 0), ""), "")</f>
        <v/>
      </c>
      <c r="R1569" s="105" t="str">
        <f>IF(F1569="Yes", IFERROR(VLOOKUP(D1569, Repository!A:J, 9, 0), ""), "")</f>
        <v/>
      </c>
      <c r="S1569" s="105"/>
      <c r="T1569" s="105"/>
      <c r="U1569" s="105"/>
      <c r="V1569" s="105"/>
      <c r="W1569" s="105"/>
      <c r="X1569" s="105"/>
      <c r="Y1569" s="105"/>
      <c r="Z1569" s="105"/>
      <c r="AA1569" s="105"/>
      <c r="AB1569" s="105"/>
      <c r="AC1569" s="91"/>
      <c r="AD1569" s="105"/>
      <c r="AE1569" s="105"/>
      <c r="AF1569" s="91"/>
      <c r="AG1569" s="105"/>
      <c r="AH1569" s="105"/>
      <c r="AI1569" s="105" t="str">
        <f t="shared" si="1"/>
        <v/>
      </c>
      <c r="AJ1569" s="108" t="str">
        <f t="shared" si="2"/>
        <v/>
      </c>
    </row>
    <row r="1570" ht="15.75" customHeight="1">
      <c r="A1570" s="104"/>
      <c r="B1570" s="105" t="str">
        <f>IFERROR(__xludf.DUMMYFUNCTION("ARRAY_CONSTRAIN(
  ARRAYFORMULA(
    IF(
      'Final Report'!A1570="""",
      """",
      TEXTJOIN(
        "", "" &amp; CHAR(10),
        TRUE,
        IFERROR(
          VLOOKUP(
            TRIM(
              SPLIT('Final Report'!A1570, "","")
         "&amp;"   ),
            'URL Details'!A:B,
            2,
            FALSE
          ),
          """"
        )
      )
    )
  ),
  1,
  1
)
"),"")</f>
        <v/>
      </c>
      <c r="C1570" s="105" t="str">
        <f>IFERROR(__xludf.DUMMYFUNCTION("IFERROR(IF('Final Report'!A1570="""","""", TEXTJOIN(CHAR(10), TRUE, ARRAYFORMULA( ""• ""&amp; FILTER( TRIM(FLATTEN(SPLIT( REGEXREPLACE( SUBSTITUTE(TEXTJOIN("","", TRUE, IFERROR(ARRAYFORMULA(VLOOKUP(TRIM(SPLIT('Final Report'!A1570, "","")), 'URL Details'!A:D, "&amp;"4, FALSE)),"""") ), CHAR(10), "",""), ""\s*,\s*"", "",""), "",""))), TRIM(FLATTEN(SPLIT( REGEXREPLACE( SUBSTITUTE(TEXTJOIN("","", TRUE, IFERROR(ARRAYFORMULA(VLOOKUP(TRIM(SPLIT('Final Report'!A1570, "","")), 'URL Details'!A:D, 4, FALSE)),"""") ), CHAR(10),"&amp;" "",""), ""\s*,\s*"", "",""), "","")))&lt;&gt;"""" ) ) ) ),"""")
"),"")</f>
        <v/>
      </c>
      <c r="D1570" s="105"/>
      <c r="E1570" s="105"/>
      <c r="F1570" s="110" t="b">
        <v>0</v>
      </c>
      <c r="G1570" s="105" t="str">
        <f>IF(F1570=True, IFERROR(VLOOKUP(D1570, Repository!A:B, 2, 0), ""), "")</f>
        <v/>
      </c>
      <c r="H1570" s="105"/>
      <c r="I1570" s="105"/>
      <c r="J1570" s="105" t="str">
        <f>IF(F1570=True, IFERROR(VLOOKUP(D1570, Repository!A:C, 3, 0), ""), "")</f>
        <v/>
      </c>
      <c r="K1570" s="105"/>
      <c r="L1570" s="105" t="str">
        <f>IF(F1570=True, IFERROR(VLOOKUP(D1570, Repository!A:E, 5, 0), ""), "")</f>
        <v/>
      </c>
      <c r="M1570" s="105"/>
      <c r="N1570" s="105" t="str">
        <f>IF(F1570=True, IFERROR(VLOOKUP(D1570, Repository!A:G, 7, 0), ""), "")</f>
        <v/>
      </c>
      <c r="O1570" s="105" t="str">
        <f>IFERROR(__xludf.DUMMYFUNCTION("ARRAY_CONSTRAIN(
  ARRAYFORMULA(
    IFERROR(
      LET(
        list, N1570,
        arr, TRIM(SPLIT(list, "","")),
        names, XLOOKUP(
          arr,
          'Conformance Score'!A:A,
          'Conformance Score'!B:B,
          ""Not found""
     "&amp;"   ),
        TEXTJOIN("", "", TRUE, names)
      ),
      """"
    )
  ),
  1,
  1
)
"),"")</f>
        <v/>
      </c>
      <c r="P1570" s="105" t="str">
        <f>IF(F1570="Yes", IFERROR(VLOOKUP(D1570, Repository!A:F, 6, 0), ""), "")</f>
        <v/>
      </c>
      <c r="Q1570" s="105" t="str">
        <f>IF(F1570="Yes", IFERROR(VLOOKUP(D1570, Repository!A:I, 8, 0), ""), "")</f>
        <v/>
      </c>
      <c r="R1570" s="105" t="str">
        <f>IF(F1570="Yes", IFERROR(VLOOKUP(D1570, Repository!A:J, 9, 0), ""), "")</f>
        <v/>
      </c>
      <c r="S1570" s="105"/>
      <c r="T1570" s="105"/>
      <c r="U1570" s="105"/>
      <c r="V1570" s="105"/>
      <c r="W1570" s="105"/>
      <c r="X1570" s="105"/>
      <c r="Y1570" s="105"/>
      <c r="Z1570" s="105"/>
      <c r="AA1570" s="105"/>
      <c r="AB1570" s="105"/>
      <c r="AC1570" s="91"/>
      <c r="AD1570" s="105"/>
      <c r="AE1570" s="105"/>
      <c r="AF1570" s="91"/>
      <c r="AG1570" s="105"/>
      <c r="AH1570" s="105"/>
      <c r="AI1570" s="105" t="str">
        <f t="shared" si="1"/>
        <v/>
      </c>
      <c r="AJ1570" s="108" t="str">
        <f t="shared" si="2"/>
        <v/>
      </c>
    </row>
    <row r="1571" ht="15.75" customHeight="1">
      <c r="A1571" s="104"/>
      <c r="B1571" s="105" t="str">
        <f>IFERROR(__xludf.DUMMYFUNCTION("ARRAY_CONSTRAIN(
  ARRAYFORMULA(
    IF(
      'Final Report'!A1571="""",
      """",
      TEXTJOIN(
        "", "" &amp; CHAR(10),
        TRUE,
        IFERROR(
          VLOOKUP(
            TRIM(
              SPLIT('Final Report'!A1571, "","")
         "&amp;"   ),
            'URL Details'!A:B,
            2,
            FALSE
          ),
          """"
        )
      )
    )
  ),
  1,
  1
)
"),"")</f>
        <v/>
      </c>
      <c r="C1571" s="105" t="str">
        <f>IFERROR(__xludf.DUMMYFUNCTION("IFERROR(IF('Final Report'!A1571="""","""", TEXTJOIN(CHAR(10), TRUE, ARRAYFORMULA( ""• ""&amp; FILTER( TRIM(FLATTEN(SPLIT( REGEXREPLACE( SUBSTITUTE(TEXTJOIN("","", TRUE, IFERROR(ARRAYFORMULA(VLOOKUP(TRIM(SPLIT('Final Report'!A1571, "","")), 'URL Details'!A:D, "&amp;"4, FALSE)),"""") ), CHAR(10), "",""), ""\s*,\s*"", "",""), "",""))), TRIM(FLATTEN(SPLIT( REGEXREPLACE( SUBSTITUTE(TEXTJOIN("","", TRUE, IFERROR(ARRAYFORMULA(VLOOKUP(TRIM(SPLIT('Final Report'!A1571, "","")), 'URL Details'!A:D, 4, FALSE)),"""") ), CHAR(10),"&amp;" "",""), ""\s*,\s*"", "",""), "","")))&lt;&gt;"""" ) ) ) ),"""")
"),"")</f>
        <v/>
      </c>
      <c r="D1571" s="105"/>
      <c r="E1571" s="105"/>
      <c r="F1571" s="110" t="b">
        <v>0</v>
      </c>
      <c r="G1571" s="105" t="str">
        <f>IF(F1571=True, IFERROR(VLOOKUP(D1571, Repository!A:B, 2, 0), ""), "")</f>
        <v/>
      </c>
      <c r="H1571" s="105"/>
      <c r="I1571" s="105"/>
      <c r="J1571" s="105" t="str">
        <f>IF(F1571=True, IFERROR(VLOOKUP(D1571, Repository!A:C, 3, 0), ""), "")</f>
        <v/>
      </c>
      <c r="K1571" s="105"/>
      <c r="L1571" s="105" t="str">
        <f>IF(F1571=True, IFERROR(VLOOKUP(D1571, Repository!A:E, 5, 0), ""), "")</f>
        <v/>
      </c>
      <c r="M1571" s="105"/>
      <c r="N1571" s="105" t="str">
        <f>IF(F1571=True, IFERROR(VLOOKUP(D1571, Repository!A:G, 7, 0), ""), "")</f>
        <v/>
      </c>
      <c r="O1571" s="105" t="str">
        <f>IFERROR(__xludf.DUMMYFUNCTION("ARRAY_CONSTRAIN(
  ARRAYFORMULA(
    IFERROR(
      LET(
        list, N1571,
        arr, TRIM(SPLIT(list, "","")),
        names, XLOOKUP(
          arr,
          'Conformance Score'!A:A,
          'Conformance Score'!B:B,
          ""Not found""
     "&amp;"   ),
        TEXTJOIN("", "", TRUE, names)
      ),
      """"
    )
  ),
  1,
  1
)
"),"")</f>
        <v/>
      </c>
      <c r="P1571" s="105" t="str">
        <f>IF(F1571="Yes", IFERROR(VLOOKUP(D1571, Repository!A:F, 6, 0), ""), "")</f>
        <v/>
      </c>
      <c r="Q1571" s="105" t="str">
        <f>IF(F1571="Yes", IFERROR(VLOOKUP(D1571, Repository!A:I, 8, 0), ""), "")</f>
        <v/>
      </c>
      <c r="R1571" s="105" t="str">
        <f>IF(F1571="Yes", IFERROR(VLOOKUP(D1571, Repository!A:J, 9, 0), ""), "")</f>
        <v/>
      </c>
      <c r="S1571" s="105"/>
      <c r="T1571" s="105"/>
      <c r="U1571" s="105"/>
      <c r="V1571" s="105"/>
      <c r="W1571" s="105"/>
      <c r="X1571" s="105"/>
      <c r="Y1571" s="105"/>
      <c r="Z1571" s="105"/>
      <c r="AA1571" s="105"/>
      <c r="AB1571" s="105"/>
      <c r="AC1571" s="91"/>
      <c r="AD1571" s="105"/>
      <c r="AE1571" s="105"/>
      <c r="AF1571" s="91"/>
      <c r="AG1571" s="105"/>
      <c r="AH1571" s="105"/>
      <c r="AI1571" s="105" t="str">
        <f t="shared" si="1"/>
        <v/>
      </c>
      <c r="AJ1571" s="108" t="str">
        <f t="shared" si="2"/>
        <v/>
      </c>
    </row>
    <row r="1572" ht="15.75" customHeight="1">
      <c r="A1572" s="104"/>
      <c r="B1572" s="105" t="str">
        <f>IFERROR(__xludf.DUMMYFUNCTION("ARRAY_CONSTRAIN(
  ARRAYFORMULA(
    IF(
      'Final Report'!A1572="""",
      """",
      TEXTJOIN(
        "", "" &amp; CHAR(10),
        TRUE,
        IFERROR(
          VLOOKUP(
            TRIM(
              SPLIT('Final Report'!A1572, "","")
         "&amp;"   ),
            'URL Details'!A:B,
            2,
            FALSE
          ),
          """"
        )
      )
    )
  ),
  1,
  1
)
"),"")</f>
        <v/>
      </c>
      <c r="C1572" s="105" t="str">
        <f>IFERROR(__xludf.DUMMYFUNCTION("IFERROR(IF('Final Report'!A1572="""","""", TEXTJOIN(CHAR(10), TRUE, ARRAYFORMULA( ""• ""&amp; FILTER( TRIM(FLATTEN(SPLIT( REGEXREPLACE( SUBSTITUTE(TEXTJOIN("","", TRUE, IFERROR(ARRAYFORMULA(VLOOKUP(TRIM(SPLIT('Final Report'!A1572, "","")), 'URL Details'!A:D, "&amp;"4, FALSE)),"""") ), CHAR(10), "",""), ""\s*,\s*"", "",""), "",""))), TRIM(FLATTEN(SPLIT( REGEXREPLACE( SUBSTITUTE(TEXTJOIN("","", TRUE, IFERROR(ARRAYFORMULA(VLOOKUP(TRIM(SPLIT('Final Report'!A1572, "","")), 'URL Details'!A:D, 4, FALSE)),"""") ), CHAR(10),"&amp;" "",""), ""\s*,\s*"", "",""), "","")))&lt;&gt;"""" ) ) ) ),"""")
"),"")</f>
        <v/>
      </c>
      <c r="D1572" s="105"/>
      <c r="E1572" s="105"/>
      <c r="F1572" s="110" t="b">
        <v>0</v>
      </c>
      <c r="G1572" s="105" t="str">
        <f>IF(F1572=True, IFERROR(VLOOKUP(D1572, Repository!A:B, 2, 0), ""), "")</f>
        <v/>
      </c>
      <c r="H1572" s="105"/>
      <c r="I1572" s="105"/>
      <c r="J1572" s="105" t="str">
        <f>IF(F1572=True, IFERROR(VLOOKUP(D1572, Repository!A:C, 3, 0), ""), "")</f>
        <v/>
      </c>
      <c r="K1572" s="105"/>
      <c r="L1572" s="105" t="str">
        <f>IF(F1572=True, IFERROR(VLOOKUP(D1572, Repository!A:E, 5, 0), ""), "")</f>
        <v/>
      </c>
      <c r="M1572" s="105"/>
      <c r="N1572" s="105" t="str">
        <f>IF(F1572=True, IFERROR(VLOOKUP(D1572, Repository!A:G, 7, 0), ""), "")</f>
        <v/>
      </c>
      <c r="O1572" s="105" t="str">
        <f>IFERROR(__xludf.DUMMYFUNCTION("ARRAY_CONSTRAIN(
  ARRAYFORMULA(
    IFERROR(
      LET(
        list, N1572,
        arr, TRIM(SPLIT(list, "","")),
        names, XLOOKUP(
          arr,
          'Conformance Score'!A:A,
          'Conformance Score'!B:B,
          ""Not found""
     "&amp;"   ),
        TEXTJOIN("", "", TRUE, names)
      ),
      """"
    )
  ),
  1,
  1
)
"),"")</f>
        <v/>
      </c>
      <c r="P1572" s="105" t="str">
        <f>IF(F1572="Yes", IFERROR(VLOOKUP(D1572, Repository!A:F, 6, 0), ""), "")</f>
        <v/>
      </c>
      <c r="Q1572" s="105" t="str">
        <f>IF(F1572="Yes", IFERROR(VLOOKUP(D1572, Repository!A:I, 8, 0), ""), "")</f>
        <v/>
      </c>
      <c r="R1572" s="105" t="str">
        <f>IF(F1572="Yes", IFERROR(VLOOKUP(D1572, Repository!A:J, 9, 0), ""), "")</f>
        <v/>
      </c>
      <c r="S1572" s="105"/>
      <c r="T1572" s="105"/>
      <c r="U1572" s="105"/>
      <c r="V1572" s="105"/>
      <c r="W1572" s="105"/>
      <c r="X1572" s="105"/>
      <c r="Y1572" s="105"/>
      <c r="Z1572" s="105"/>
      <c r="AA1572" s="105"/>
      <c r="AB1572" s="105"/>
      <c r="AC1572" s="91"/>
      <c r="AD1572" s="105"/>
      <c r="AE1572" s="105"/>
      <c r="AF1572" s="91"/>
      <c r="AG1572" s="105"/>
      <c r="AH1572" s="105"/>
      <c r="AI1572" s="105" t="str">
        <f t="shared" si="1"/>
        <v/>
      </c>
      <c r="AJ1572" s="108" t="str">
        <f t="shared" si="2"/>
        <v/>
      </c>
    </row>
    <row r="1573" ht="15.75" customHeight="1">
      <c r="A1573" s="104"/>
      <c r="B1573" s="105" t="str">
        <f>IFERROR(__xludf.DUMMYFUNCTION("ARRAY_CONSTRAIN(
  ARRAYFORMULA(
    IF(
      'Final Report'!A1573="""",
      """",
      TEXTJOIN(
        "", "" &amp; CHAR(10),
        TRUE,
        IFERROR(
          VLOOKUP(
            TRIM(
              SPLIT('Final Report'!A1573, "","")
         "&amp;"   ),
            'URL Details'!A:B,
            2,
            FALSE
          ),
          """"
        )
      )
    )
  ),
  1,
  1
)
"),"")</f>
        <v/>
      </c>
      <c r="C1573" s="105" t="str">
        <f>IFERROR(__xludf.DUMMYFUNCTION("IFERROR(IF('Final Report'!A1573="""","""", TEXTJOIN(CHAR(10), TRUE, ARRAYFORMULA( ""• ""&amp; FILTER( TRIM(FLATTEN(SPLIT( REGEXREPLACE( SUBSTITUTE(TEXTJOIN("","", TRUE, IFERROR(ARRAYFORMULA(VLOOKUP(TRIM(SPLIT('Final Report'!A1573, "","")), 'URL Details'!A:D, "&amp;"4, FALSE)),"""") ), CHAR(10), "",""), ""\s*,\s*"", "",""), "",""))), TRIM(FLATTEN(SPLIT( REGEXREPLACE( SUBSTITUTE(TEXTJOIN("","", TRUE, IFERROR(ARRAYFORMULA(VLOOKUP(TRIM(SPLIT('Final Report'!A1573, "","")), 'URL Details'!A:D, 4, FALSE)),"""") ), CHAR(10),"&amp;" "",""), ""\s*,\s*"", "",""), "","")))&lt;&gt;"""" ) ) ) ),"""")
"),"")</f>
        <v/>
      </c>
      <c r="D1573" s="105"/>
      <c r="E1573" s="105"/>
      <c r="F1573" s="110" t="b">
        <v>0</v>
      </c>
      <c r="G1573" s="105" t="str">
        <f>IF(F1573=True, IFERROR(VLOOKUP(D1573, Repository!A:B, 2, 0), ""), "")</f>
        <v/>
      </c>
      <c r="H1573" s="105"/>
      <c r="I1573" s="105"/>
      <c r="J1573" s="105" t="str">
        <f>IF(F1573=True, IFERROR(VLOOKUP(D1573, Repository!A:C, 3, 0), ""), "")</f>
        <v/>
      </c>
      <c r="K1573" s="105"/>
      <c r="L1573" s="105" t="str">
        <f>IF(F1573=True, IFERROR(VLOOKUP(D1573, Repository!A:E, 5, 0), ""), "")</f>
        <v/>
      </c>
      <c r="M1573" s="105"/>
      <c r="N1573" s="105" t="str">
        <f>IF(F1573=True, IFERROR(VLOOKUP(D1573, Repository!A:G, 7, 0), ""), "")</f>
        <v/>
      </c>
      <c r="O1573" s="105" t="str">
        <f>IFERROR(__xludf.DUMMYFUNCTION("ARRAY_CONSTRAIN(
  ARRAYFORMULA(
    IFERROR(
      LET(
        list, N1573,
        arr, TRIM(SPLIT(list, "","")),
        names, XLOOKUP(
          arr,
          'Conformance Score'!A:A,
          'Conformance Score'!B:B,
          ""Not found""
     "&amp;"   ),
        TEXTJOIN("", "", TRUE, names)
      ),
      """"
    )
  ),
  1,
  1
)
"),"")</f>
        <v/>
      </c>
      <c r="P1573" s="105" t="str">
        <f>IF(F1573="Yes", IFERROR(VLOOKUP(D1573, Repository!A:F, 6, 0), ""), "")</f>
        <v/>
      </c>
      <c r="Q1573" s="105" t="str">
        <f>IF(F1573="Yes", IFERROR(VLOOKUP(D1573, Repository!A:I, 8, 0), ""), "")</f>
        <v/>
      </c>
      <c r="R1573" s="105" t="str">
        <f>IF(F1573="Yes", IFERROR(VLOOKUP(D1573, Repository!A:J, 9, 0), ""), "")</f>
        <v/>
      </c>
      <c r="S1573" s="105"/>
      <c r="T1573" s="105"/>
      <c r="U1573" s="105"/>
      <c r="V1573" s="105"/>
      <c r="W1573" s="105"/>
      <c r="X1573" s="105"/>
      <c r="Y1573" s="105"/>
      <c r="Z1573" s="105"/>
      <c r="AA1573" s="105"/>
      <c r="AB1573" s="105"/>
      <c r="AC1573" s="91"/>
      <c r="AD1573" s="105"/>
      <c r="AE1573" s="105"/>
      <c r="AF1573" s="91"/>
      <c r="AG1573" s="105"/>
      <c r="AH1573" s="105"/>
      <c r="AI1573" s="105" t="str">
        <f t="shared" si="1"/>
        <v/>
      </c>
      <c r="AJ1573" s="108" t="str">
        <f t="shared" si="2"/>
        <v/>
      </c>
    </row>
    <row r="1574" ht="15.75" customHeight="1">
      <c r="A1574" s="104"/>
      <c r="B1574" s="105" t="str">
        <f>IFERROR(__xludf.DUMMYFUNCTION("ARRAY_CONSTRAIN(
  ARRAYFORMULA(
    IF(
      'Final Report'!A1574="""",
      """",
      TEXTJOIN(
        "", "" &amp; CHAR(10),
        TRUE,
        IFERROR(
          VLOOKUP(
            TRIM(
              SPLIT('Final Report'!A1574, "","")
         "&amp;"   ),
            'URL Details'!A:B,
            2,
            FALSE
          ),
          """"
        )
      )
    )
  ),
  1,
  1
)
"),"")</f>
        <v/>
      </c>
      <c r="C1574" s="105" t="str">
        <f>IFERROR(__xludf.DUMMYFUNCTION("IFERROR(IF('Final Report'!A1574="""","""", TEXTJOIN(CHAR(10), TRUE, ARRAYFORMULA( ""• ""&amp; FILTER( TRIM(FLATTEN(SPLIT( REGEXREPLACE( SUBSTITUTE(TEXTJOIN("","", TRUE, IFERROR(ARRAYFORMULA(VLOOKUP(TRIM(SPLIT('Final Report'!A1574, "","")), 'URL Details'!A:D, "&amp;"4, FALSE)),"""") ), CHAR(10), "",""), ""\s*,\s*"", "",""), "",""))), TRIM(FLATTEN(SPLIT( REGEXREPLACE( SUBSTITUTE(TEXTJOIN("","", TRUE, IFERROR(ARRAYFORMULA(VLOOKUP(TRIM(SPLIT('Final Report'!A1574, "","")), 'URL Details'!A:D, 4, FALSE)),"""") ), CHAR(10),"&amp;" "",""), ""\s*,\s*"", "",""), "","")))&lt;&gt;"""" ) ) ) ),"""")
"),"")</f>
        <v/>
      </c>
      <c r="D1574" s="105"/>
      <c r="E1574" s="105"/>
      <c r="F1574" s="110" t="b">
        <v>0</v>
      </c>
      <c r="G1574" s="105" t="str">
        <f>IF(F1574=True, IFERROR(VLOOKUP(D1574, Repository!A:B, 2, 0), ""), "")</f>
        <v/>
      </c>
      <c r="H1574" s="105"/>
      <c r="I1574" s="105"/>
      <c r="J1574" s="105" t="str">
        <f>IF(F1574=True, IFERROR(VLOOKUP(D1574, Repository!A:C, 3, 0), ""), "")</f>
        <v/>
      </c>
      <c r="K1574" s="105"/>
      <c r="L1574" s="105" t="str">
        <f>IF(F1574=True, IFERROR(VLOOKUP(D1574, Repository!A:E, 5, 0), ""), "")</f>
        <v/>
      </c>
      <c r="M1574" s="105"/>
      <c r="N1574" s="105" t="str">
        <f>IF(F1574=True, IFERROR(VLOOKUP(D1574, Repository!A:G, 7, 0), ""), "")</f>
        <v/>
      </c>
      <c r="O1574" s="105" t="str">
        <f>IFERROR(__xludf.DUMMYFUNCTION("ARRAY_CONSTRAIN(
  ARRAYFORMULA(
    IFERROR(
      LET(
        list, N1574,
        arr, TRIM(SPLIT(list, "","")),
        names, XLOOKUP(
          arr,
          'Conformance Score'!A:A,
          'Conformance Score'!B:B,
          ""Not found""
     "&amp;"   ),
        TEXTJOIN("", "", TRUE, names)
      ),
      """"
    )
  ),
  1,
  1
)
"),"")</f>
        <v/>
      </c>
      <c r="P1574" s="105" t="str">
        <f>IF(F1574="Yes", IFERROR(VLOOKUP(D1574, Repository!A:F, 6, 0), ""), "")</f>
        <v/>
      </c>
      <c r="Q1574" s="105" t="str">
        <f>IF(F1574="Yes", IFERROR(VLOOKUP(D1574, Repository!A:I, 8, 0), ""), "")</f>
        <v/>
      </c>
      <c r="R1574" s="105" t="str">
        <f>IF(F1574="Yes", IFERROR(VLOOKUP(D1574, Repository!A:J, 9, 0), ""), "")</f>
        <v/>
      </c>
      <c r="S1574" s="105"/>
      <c r="T1574" s="105"/>
      <c r="U1574" s="105"/>
      <c r="V1574" s="105"/>
      <c r="W1574" s="105"/>
      <c r="X1574" s="105"/>
      <c r="Y1574" s="105"/>
      <c r="Z1574" s="105"/>
      <c r="AA1574" s="105"/>
      <c r="AB1574" s="105"/>
      <c r="AC1574" s="91"/>
      <c r="AD1574" s="105"/>
      <c r="AE1574" s="105"/>
      <c r="AF1574" s="91"/>
      <c r="AG1574" s="105"/>
      <c r="AH1574" s="105"/>
      <c r="AI1574" s="105" t="str">
        <f t="shared" si="1"/>
        <v/>
      </c>
      <c r="AJ1574" s="108" t="str">
        <f t="shared" si="2"/>
        <v/>
      </c>
    </row>
    <row r="1575" ht="15.75" customHeight="1">
      <c r="A1575" s="104"/>
      <c r="B1575" s="105" t="str">
        <f>IFERROR(__xludf.DUMMYFUNCTION("ARRAY_CONSTRAIN(
  ARRAYFORMULA(
    IF(
      'Final Report'!A1575="""",
      """",
      TEXTJOIN(
        "", "" &amp; CHAR(10),
        TRUE,
        IFERROR(
          VLOOKUP(
            TRIM(
              SPLIT('Final Report'!A1575, "","")
         "&amp;"   ),
            'URL Details'!A:B,
            2,
            FALSE
          ),
          """"
        )
      )
    )
  ),
  1,
  1
)
"),"")</f>
        <v/>
      </c>
      <c r="C1575" s="105" t="str">
        <f>IFERROR(__xludf.DUMMYFUNCTION("IFERROR(IF('Final Report'!A1575="""","""", TEXTJOIN(CHAR(10), TRUE, ARRAYFORMULA( ""• ""&amp; FILTER( TRIM(FLATTEN(SPLIT( REGEXREPLACE( SUBSTITUTE(TEXTJOIN("","", TRUE, IFERROR(ARRAYFORMULA(VLOOKUP(TRIM(SPLIT('Final Report'!A1575, "","")), 'URL Details'!A:D, "&amp;"4, FALSE)),"""") ), CHAR(10), "",""), ""\s*,\s*"", "",""), "",""))), TRIM(FLATTEN(SPLIT( REGEXREPLACE( SUBSTITUTE(TEXTJOIN("","", TRUE, IFERROR(ARRAYFORMULA(VLOOKUP(TRIM(SPLIT('Final Report'!A1575, "","")), 'URL Details'!A:D, 4, FALSE)),"""") ), CHAR(10),"&amp;" "",""), ""\s*,\s*"", "",""), "","")))&lt;&gt;"""" ) ) ) ),"""")
"),"")</f>
        <v/>
      </c>
      <c r="D1575" s="105"/>
      <c r="E1575" s="105"/>
      <c r="F1575" s="110" t="b">
        <v>0</v>
      </c>
      <c r="G1575" s="105" t="str">
        <f>IF(F1575=True, IFERROR(VLOOKUP(D1575, Repository!A:B, 2, 0), ""), "")</f>
        <v/>
      </c>
      <c r="H1575" s="105"/>
      <c r="I1575" s="105"/>
      <c r="J1575" s="105" t="str">
        <f>IF(F1575=True, IFERROR(VLOOKUP(D1575, Repository!A:C, 3, 0), ""), "")</f>
        <v/>
      </c>
      <c r="K1575" s="105"/>
      <c r="L1575" s="105" t="str">
        <f>IF(F1575=True, IFERROR(VLOOKUP(D1575, Repository!A:E, 5, 0), ""), "")</f>
        <v/>
      </c>
      <c r="M1575" s="105"/>
      <c r="N1575" s="105" t="str">
        <f>IF(F1575=True, IFERROR(VLOOKUP(D1575, Repository!A:G, 7, 0), ""), "")</f>
        <v/>
      </c>
      <c r="O1575" s="105" t="str">
        <f>IFERROR(__xludf.DUMMYFUNCTION("ARRAY_CONSTRAIN(
  ARRAYFORMULA(
    IFERROR(
      LET(
        list, N1575,
        arr, TRIM(SPLIT(list, "","")),
        names, XLOOKUP(
          arr,
          'Conformance Score'!A:A,
          'Conformance Score'!B:B,
          ""Not found""
     "&amp;"   ),
        TEXTJOIN("", "", TRUE, names)
      ),
      """"
    )
  ),
  1,
  1
)
"),"")</f>
        <v/>
      </c>
      <c r="P1575" s="105" t="str">
        <f>IF(F1575="Yes", IFERROR(VLOOKUP(D1575, Repository!A:F, 6, 0), ""), "")</f>
        <v/>
      </c>
      <c r="Q1575" s="105" t="str">
        <f>IF(F1575="Yes", IFERROR(VLOOKUP(D1575, Repository!A:I, 8, 0), ""), "")</f>
        <v/>
      </c>
      <c r="R1575" s="105" t="str">
        <f>IF(F1575="Yes", IFERROR(VLOOKUP(D1575, Repository!A:J, 9, 0), ""), "")</f>
        <v/>
      </c>
      <c r="S1575" s="105"/>
      <c r="T1575" s="105"/>
      <c r="U1575" s="105"/>
      <c r="V1575" s="105"/>
      <c r="W1575" s="105"/>
      <c r="X1575" s="105"/>
      <c r="Y1575" s="105"/>
      <c r="Z1575" s="105"/>
      <c r="AA1575" s="105"/>
      <c r="AB1575" s="105"/>
      <c r="AC1575" s="91"/>
      <c r="AD1575" s="105"/>
      <c r="AE1575" s="105"/>
      <c r="AF1575" s="91"/>
      <c r="AG1575" s="105"/>
      <c r="AH1575" s="105"/>
      <c r="AI1575" s="105" t="str">
        <f t="shared" si="1"/>
        <v/>
      </c>
      <c r="AJ1575" s="108" t="str">
        <f t="shared" si="2"/>
        <v/>
      </c>
    </row>
    <row r="1576" ht="15.75" customHeight="1">
      <c r="A1576" s="104"/>
      <c r="B1576" s="105" t="str">
        <f>IFERROR(__xludf.DUMMYFUNCTION("ARRAY_CONSTRAIN(
  ARRAYFORMULA(
    IF(
      'Final Report'!A1576="""",
      """",
      TEXTJOIN(
        "", "" &amp; CHAR(10),
        TRUE,
        IFERROR(
          VLOOKUP(
            TRIM(
              SPLIT('Final Report'!A1576, "","")
         "&amp;"   ),
            'URL Details'!A:B,
            2,
            FALSE
          ),
          """"
        )
      )
    )
  ),
  1,
  1
)
"),"")</f>
        <v/>
      </c>
      <c r="C1576" s="105" t="str">
        <f>IFERROR(__xludf.DUMMYFUNCTION("IFERROR(IF('Final Report'!A1576="""","""", TEXTJOIN(CHAR(10), TRUE, ARRAYFORMULA( ""• ""&amp; FILTER( TRIM(FLATTEN(SPLIT( REGEXREPLACE( SUBSTITUTE(TEXTJOIN("","", TRUE, IFERROR(ARRAYFORMULA(VLOOKUP(TRIM(SPLIT('Final Report'!A1576, "","")), 'URL Details'!A:D, "&amp;"4, FALSE)),"""") ), CHAR(10), "",""), ""\s*,\s*"", "",""), "",""))), TRIM(FLATTEN(SPLIT( REGEXREPLACE( SUBSTITUTE(TEXTJOIN("","", TRUE, IFERROR(ARRAYFORMULA(VLOOKUP(TRIM(SPLIT('Final Report'!A1576, "","")), 'URL Details'!A:D, 4, FALSE)),"""") ), CHAR(10),"&amp;" "",""), ""\s*,\s*"", "",""), "","")))&lt;&gt;"""" ) ) ) ),"""")
"),"")</f>
        <v/>
      </c>
      <c r="D1576" s="105"/>
      <c r="E1576" s="105"/>
      <c r="F1576" s="110" t="b">
        <v>0</v>
      </c>
      <c r="G1576" s="105" t="str">
        <f>IF(F1576=True, IFERROR(VLOOKUP(D1576, Repository!A:B, 2, 0), ""), "")</f>
        <v/>
      </c>
      <c r="H1576" s="105"/>
      <c r="I1576" s="105"/>
      <c r="J1576" s="105" t="str">
        <f>IF(F1576=True, IFERROR(VLOOKUP(D1576, Repository!A:C, 3, 0), ""), "")</f>
        <v/>
      </c>
      <c r="K1576" s="105"/>
      <c r="L1576" s="105" t="str">
        <f>IF(F1576=True, IFERROR(VLOOKUP(D1576, Repository!A:E, 5, 0), ""), "")</f>
        <v/>
      </c>
      <c r="M1576" s="105"/>
      <c r="N1576" s="105" t="str">
        <f>IF(F1576=True, IFERROR(VLOOKUP(D1576, Repository!A:G, 7, 0), ""), "")</f>
        <v/>
      </c>
      <c r="O1576" s="105" t="str">
        <f>IFERROR(__xludf.DUMMYFUNCTION("ARRAY_CONSTRAIN(
  ARRAYFORMULA(
    IFERROR(
      LET(
        list, N1576,
        arr, TRIM(SPLIT(list, "","")),
        names, XLOOKUP(
          arr,
          'Conformance Score'!A:A,
          'Conformance Score'!B:B,
          ""Not found""
     "&amp;"   ),
        TEXTJOIN("", "", TRUE, names)
      ),
      """"
    )
  ),
  1,
  1
)
"),"")</f>
        <v/>
      </c>
      <c r="P1576" s="105" t="str">
        <f>IF(F1576="Yes", IFERROR(VLOOKUP(D1576, Repository!A:F, 6, 0), ""), "")</f>
        <v/>
      </c>
      <c r="Q1576" s="105" t="str">
        <f>IF(F1576="Yes", IFERROR(VLOOKUP(D1576, Repository!A:I, 8, 0), ""), "")</f>
        <v/>
      </c>
      <c r="R1576" s="105" t="str">
        <f>IF(F1576="Yes", IFERROR(VLOOKUP(D1576, Repository!A:J, 9, 0), ""), "")</f>
        <v/>
      </c>
      <c r="S1576" s="105"/>
      <c r="T1576" s="105"/>
      <c r="U1576" s="105"/>
      <c r="V1576" s="105"/>
      <c r="W1576" s="105"/>
      <c r="X1576" s="105"/>
      <c r="Y1576" s="105"/>
      <c r="Z1576" s="105"/>
      <c r="AA1576" s="105"/>
      <c r="AB1576" s="105"/>
      <c r="AC1576" s="91"/>
      <c r="AD1576" s="105"/>
      <c r="AE1576" s="105"/>
      <c r="AF1576" s="91"/>
      <c r="AG1576" s="105"/>
      <c r="AH1576" s="105"/>
      <c r="AI1576" s="105" t="str">
        <f t="shared" si="1"/>
        <v/>
      </c>
      <c r="AJ1576" s="108" t="str">
        <f t="shared" si="2"/>
        <v/>
      </c>
    </row>
    <row r="1577" ht="15.75" customHeight="1">
      <c r="A1577" s="104"/>
      <c r="B1577" s="105" t="str">
        <f>IFERROR(__xludf.DUMMYFUNCTION("ARRAY_CONSTRAIN(
  ARRAYFORMULA(
    IF(
      'Final Report'!A1577="""",
      """",
      TEXTJOIN(
        "", "" &amp; CHAR(10),
        TRUE,
        IFERROR(
          VLOOKUP(
            TRIM(
              SPLIT('Final Report'!A1577, "","")
         "&amp;"   ),
            'URL Details'!A:B,
            2,
            FALSE
          ),
          """"
        )
      )
    )
  ),
  1,
  1
)
"),"")</f>
        <v/>
      </c>
      <c r="C1577" s="105" t="str">
        <f>IFERROR(__xludf.DUMMYFUNCTION("IFERROR(IF('Final Report'!A1577="""","""", TEXTJOIN(CHAR(10), TRUE, ARRAYFORMULA( ""• ""&amp; FILTER( TRIM(FLATTEN(SPLIT( REGEXREPLACE( SUBSTITUTE(TEXTJOIN("","", TRUE, IFERROR(ARRAYFORMULA(VLOOKUP(TRIM(SPLIT('Final Report'!A1577, "","")), 'URL Details'!A:D, "&amp;"4, FALSE)),"""") ), CHAR(10), "",""), ""\s*,\s*"", "",""), "",""))), TRIM(FLATTEN(SPLIT( REGEXREPLACE( SUBSTITUTE(TEXTJOIN("","", TRUE, IFERROR(ARRAYFORMULA(VLOOKUP(TRIM(SPLIT('Final Report'!A1577, "","")), 'URL Details'!A:D, 4, FALSE)),"""") ), CHAR(10),"&amp;" "",""), ""\s*,\s*"", "",""), "","")))&lt;&gt;"""" ) ) ) ),"""")
"),"")</f>
        <v/>
      </c>
      <c r="D1577" s="105"/>
      <c r="E1577" s="105"/>
      <c r="F1577" s="110" t="b">
        <v>0</v>
      </c>
      <c r="G1577" s="105" t="str">
        <f>IF(F1577=True, IFERROR(VLOOKUP(D1577, Repository!A:B, 2, 0), ""), "")</f>
        <v/>
      </c>
      <c r="H1577" s="105"/>
      <c r="I1577" s="105"/>
      <c r="J1577" s="105" t="str">
        <f>IF(F1577=True, IFERROR(VLOOKUP(D1577, Repository!A:C, 3, 0), ""), "")</f>
        <v/>
      </c>
      <c r="K1577" s="105"/>
      <c r="L1577" s="105" t="str">
        <f>IF(F1577=True, IFERROR(VLOOKUP(D1577, Repository!A:E, 5, 0), ""), "")</f>
        <v/>
      </c>
      <c r="M1577" s="105"/>
      <c r="N1577" s="105" t="str">
        <f>IF(F1577=True, IFERROR(VLOOKUP(D1577, Repository!A:G, 7, 0), ""), "")</f>
        <v/>
      </c>
      <c r="O1577" s="105" t="str">
        <f>IFERROR(__xludf.DUMMYFUNCTION("ARRAY_CONSTRAIN(
  ARRAYFORMULA(
    IFERROR(
      LET(
        list, N1577,
        arr, TRIM(SPLIT(list, "","")),
        names, XLOOKUP(
          arr,
          'Conformance Score'!A:A,
          'Conformance Score'!B:B,
          ""Not found""
     "&amp;"   ),
        TEXTJOIN("", "", TRUE, names)
      ),
      """"
    )
  ),
  1,
  1
)
"),"")</f>
        <v/>
      </c>
      <c r="P1577" s="105" t="str">
        <f>IF(F1577="Yes", IFERROR(VLOOKUP(D1577, Repository!A:F, 6, 0), ""), "")</f>
        <v/>
      </c>
      <c r="Q1577" s="105" t="str">
        <f>IF(F1577="Yes", IFERROR(VLOOKUP(D1577, Repository!A:I, 8, 0), ""), "")</f>
        <v/>
      </c>
      <c r="R1577" s="105" t="str">
        <f>IF(F1577="Yes", IFERROR(VLOOKUP(D1577, Repository!A:J, 9, 0), ""), "")</f>
        <v/>
      </c>
      <c r="S1577" s="105"/>
      <c r="T1577" s="105"/>
      <c r="U1577" s="105"/>
      <c r="V1577" s="105"/>
      <c r="W1577" s="105"/>
      <c r="X1577" s="105"/>
      <c r="Y1577" s="105"/>
      <c r="Z1577" s="105"/>
      <c r="AA1577" s="105"/>
      <c r="AB1577" s="105"/>
      <c r="AC1577" s="91"/>
      <c r="AD1577" s="105"/>
      <c r="AE1577" s="105"/>
      <c r="AF1577" s="91"/>
      <c r="AG1577" s="105"/>
      <c r="AH1577" s="105"/>
      <c r="AI1577" s="105" t="str">
        <f t="shared" si="1"/>
        <v/>
      </c>
      <c r="AJ1577" s="108" t="str">
        <f t="shared" si="2"/>
        <v/>
      </c>
    </row>
    <row r="1578" ht="15.75" customHeight="1">
      <c r="A1578" s="104"/>
      <c r="B1578" s="105" t="str">
        <f>IFERROR(__xludf.DUMMYFUNCTION("ARRAY_CONSTRAIN(
  ARRAYFORMULA(
    IF(
      'Final Report'!A1578="""",
      """",
      TEXTJOIN(
        "", "" &amp; CHAR(10),
        TRUE,
        IFERROR(
          VLOOKUP(
            TRIM(
              SPLIT('Final Report'!A1578, "","")
         "&amp;"   ),
            'URL Details'!A:B,
            2,
            FALSE
          ),
          """"
        )
      )
    )
  ),
  1,
  1
)
"),"")</f>
        <v/>
      </c>
      <c r="C1578" s="105" t="str">
        <f>IFERROR(__xludf.DUMMYFUNCTION("IFERROR(IF('Final Report'!A1578="""","""", TEXTJOIN(CHAR(10), TRUE, ARRAYFORMULA( ""• ""&amp; FILTER( TRIM(FLATTEN(SPLIT( REGEXREPLACE( SUBSTITUTE(TEXTJOIN("","", TRUE, IFERROR(ARRAYFORMULA(VLOOKUP(TRIM(SPLIT('Final Report'!A1578, "","")), 'URL Details'!A:D, "&amp;"4, FALSE)),"""") ), CHAR(10), "",""), ""\s*,\s*"", "",""), "",""))), TRIM(FLATTEN(SPLIT( REGEXREPLACE( SUBSTITUTE(TEXTJOIN("","", TRUE, IFERROR(ARRAYFORMULA(VLOOKUP(TRIM(SPLIT('Final Report'!A1578, "","")), 'URL Details'!A:D, 4, FALSE)),"""") ), CHAR(10),"&amp;" "",""), ""\s*,\s*"", "",""), "","")))&lt;&gt;"""" ) ) ) ),"""")
"),"")</f>
        <v/>
      </c>
      <c r="D1578" s="105"/>
      <c r="E1578" s="105"/>
      <c r="F1578" s="110" t="b">
        <v>0</v>
      </c>
      <c r="G1578" s="105" t="str">
        <f>IF(F1578=True, IFERROR(VLOOKUP(D1578, Repository!A:B, 2, 0), ""), "")</f>
        <v/>
      </c>
      <c r="H1578" s="105"/>
      <c r="I1578" s="105"/>
      <c r="J1578" s="105" t="str">
        <f>IF(F1578=True, IFERROR(VLOOKUP(D1578, Repository!A:C, 3, 0), ""), "")</f>
        <v/>
      </c>
      <c r="K1578" s="105"/>
      <c r="L1578" s="105" t="str">
        <f>IF(F1578=True, IFERROR(VLOOKUP(D1578, Repository!A:E, 5, 0), ""), "")</f>
        <v/>
      </c>
      <c r="M1578" s="105"/>
      <c r="N1578" s="105" t="str">
        <f>IF(F1578=True, IFERROR(VLOOKUP(D1578, Repository!A:G, 7, 0), ""), "")</f>
        <v/>
      </c>
      <c r="O1578" s="105" t="str">
        <f>IFERROR(__xludf.DUMMYFUNCTION("ARRAY_CONSTRAIN(
  ARRAYFORMULA(
    IFERROR(
      LET(
        list, N1578,
        arr, TRIM(SPLIT(list, "","")),
        names, XLOOKUP(
          arr,
          'Conformance Score'!A:A,
          'Conformance Score'!B:B,
          ""Not found""
     "&amp;"   ),
        TEXTJOIN("", "", TRUE, names)
      ),
      """"
    )
  ),
  1,
  1
)
"),"")</f>
        <v/>
      </c>
      <c r="P1578" s="105" t="str">
        <f>IF(F1578="Yes", IFERROR(VLOOKUP(D1578, Repository!A:F, 6, 0), ""), "")</f>
        <v/>
      </c>
      <c r="Q1578" s="105" t="str">
        <f>IF(F1578="Yes", IFERROR(VLOOKUP(D1578, Repository!A:I, 8, 0), ""), "")</f>
        <v/>
      </c>
      <c r="R1578" s="105" t="str">
        <f>IF(F1578="Yes", IFERROR(VLOOKUP(D1578, Repository!A:J, 9, 0), ""), "")</f>
        <v/>
      </c>
      <c r="S1578" s="105"/>
      <c r="T1578" s="105"/>
      <c r="U1578" s="105"/>
      <c r="V1578" s="105"/>
      <c r="W1578" s="105"/>
      <c r="X1578" s="105"/>
      <c r="Y1578" s="105"/>
      <c r="Z1578" s="105"/>
      <c r="AA1578" s="105"/>
      <c r="AB1578" s="105"/>
      <c r="AC1578" s="91"/>
      <c r="AD1578" s="105"/>
      <c r="AE1578" s="105"/>
      <c r="AF1578" s="91"/>
      <c r="AG1578" s="105"/>
      <c r="AH1578" s="105"/>
      <c r="AI1578" s="105" t="str">
        <f t="shared" si="1"/>
        <v/>
      </c>
      <c r="AJ1578" s="108" t="str">
        <f t="shared" si="2"/>
        <v/>
      </c>
    </row>
    <row r="1579" ht="15.75" customHeight="1">
      <c r="A1579" s="104"/>
      <c r="B1579" s="105" t="str">
        <f>IFERROR(__xludf.DUMMYFUNCTION("ARRAY_CONSTRAIN(
  ARRAYFORMULA(
    IF(
      'Final Report'!A1579="""",
      """",
      TEXTJOIN(
        "", "" &amp; CHAR(10),
        TRUE,
        IFERROR(
          VLOOKUP(
            TRIM(
              SPLIT('Final Report'!A1579, "","")
         "&amp;"   ),
            'URL Details'!A:B,
            2,
            FALSE
          ),
          """"
        )
      )
    )
  ),
  1,
  1
)
"),"")</f>
        <v/>
      </c>
      <c r="C1579" s="105" t="str">
        <f>IFERROR(__xludf.DUMMYFUNCTION("IFERROR(IF('Final Report'!A1579="""","""", TEXTJOIN(CHAR(10), TRUE, ARRAYFORMULA( ""• ""&amp; FILTER( TRIM(FLATTEN(SPLIT( REGEXREPLACE( SUBSTITUTE(TEXTJOIN("","", TRUE, IFERROR(ARRAYFORMULA(VLOOKUP(TRIM(SPLIT('Final Report'!A1579, "","")), 'URL Details'!A:D, "&amp;"4, FALSE)),"""") ), CHAR(10), "",""), ""\s*,\s*"", "",""), "",""))), TRIM(FLATTEN(SPLIT( REGEXREPLACE( SUBSTITUTE(TEXTJOIN("","", TRUE, IFERROR(ARRAYFORMULA(VLOOKUP(TRIM(SPLIT('Final Report'!A1579, "","")), 'URL Details'!A:D, 4, FALSE)),"""") ), CHAR(10),"&amp;" "",""), ""\s*,\s*"", "",""), "","")))&lt;&gt;"""" ) ) ) ),"""")
"),"")</f>
        <v/>
      </c>
      <c r="D1579" s="105"/>
      <c r="E1579" s="105"/>
      <c r="F1579" s="110" t="b">
        <v>0</v>
      </c>
      <c r="G1579" s="105" t="str">
        <f>IF(F1579=True, IFERROR(VLOOKUP(D1579, Repository!A:B, 2, 0), ""), "")</f>
        <v/>
      </c>
      <c r="H1579" s="105"/>
      <c r="I1579" s="105"/>
      <c r="J1579" s="105" t="str">
        <f>IF(F1579=True, IFERROR(VLOOKUP(D1579, Repository!A:C, 3, 0), ""), "")</f>
        <v/>
      </c>
      <c r="K1579" s="105"/>
      <c r="L1579" s="105" t="str">
        <f>IF(F1579=True, IFERROR(VLOOKUP(D1579, Repository!A:E, 5, 0), ""), "")</f>
        <v/>
      </c>
      <c r="M1579" s="105"/>
      <c r="N1579" s="105" t="str">
        <f>IF(F1579=True, IFERROR(VLOOKUP(D1579, Repository!A:G, 7, 0), ""), "")</f>
        <v/>
      </c>
      <c r="O1579" s="105" t="str">
        <f>IFERROR(__xludf.DUMMYFUNCTION("ARRAY_CONSTRAIN(
  ARRAYFORMULA(
    IFERROR(
      LET(
        list, N1579,
        arr, TRIM(SPLIT(list, "","")),
        names, XLOOKUP(
          arr,
          'Conformance Score'!A:A,
          'Conformance Score'!B:B,
          ""Not found""
     "&amp;"   ),
        TEXTJOIN("", "", TRUE, names)
      ),
      """"
    )
  ),
  1,
  1
)
"),"")</f>
        <v/>
      </c>
      <c r="P1579" s="105" t="str">
        <f>IF(F1579="Yes", IFERROR(VLOOKUP(D1579, Repository!A:F, 6, 0), ""), "")</f>
        <v/>
      </c>
      <c r="Q1579" s="105" t="str">
        <f>IF(F1579="Yes", IFERROR(VLOOKUP(D1579, Repository!A:I, 8, 0), ""), "")</f>
        <v/>
      </c>
      <c r="R1579" s="105" t="str">
        <f>IF(F1579="Yes", IFERROR(VLOOKUP(D1579, Repository!A:J, 9, 0), ""), "")</f>
        <v/>
      </c>
      <c r="S1579" s="105"/>
      <c r="T1579" s="105"/>
      <c r="U1579" s="105"/>
      <c r="V1579" s="105"/>
      <c r="W1579" s="105"/>
      <c r="X1579" s="105"/>
      <c r="Y1579" s="105"/>
      <c r="Z1579" s="105"/>
      <c r="AA1579" s="105"/>
      <c r="AB1579" s="105"/>
      <c r="AC1579" s="91"/>
      <c r="AD1579" s="105"/>
      <c r="AE1579" s="105"/>
      <c r="AF1579" s="91"/>
      <c r="AG1579" s="105"/>
      <c r="AH1579" s="105"/>
      <c r="AI1579" s="105" t="str">
        <f t="shared" si="1"/>
        <v/>
      </c>
      <c r="AJ1579" s="108" t="str">
        <f t="shared" si="2"/>
        <v/>
      </c>
    </row>
    <row r="1580" ht="15.75" customHeight="1">
      <c r="A1580" s="104"/>
      <c r="B1580" s="105" t="str">
        <f>IFERROR(__xludf.DUMMYFUNCTION("ARRAY_CONSTRAIN(
  ARRAYFORMULA(
    IF(
      'Final Report'!A1580="""",
      """",
      TEXTJOIN(
        "", "" &amp; CHAR(10),
        TRUE,
        IFERROR(
          VLOOKUP(
            TRIM(
              SPLIT('Final Report'!A1580, "","")
         "&amp;"   ),
            'URL Details'!A:B,
            2,
            FALSE
          ),
          """"
        )
      )
    )
  ),
  1,
  1
)
"),"")</f>
        <v/>
      </c>
      <c r="C1580" s="105" t="str">
        <f>IFERROR(__xludf.DUMMYFUNCTION("IFERROR(IF('Final Report'!A1580="""","""", TEXTJOIN(CHAR(10), TRUE, ARRAYFORMULA( ""• ""&amp; FILTER( TRIM(FLATTEN(SPLIT( REGEXREPLACE( SUBSTITUTE(TEXTJOIN("","", TRUE, IFERROR(ARRAYFORMULA(VLOOKUP(TRIM(SPLIT('Final Report'!A1580, "","")), 'URL Details'!A:D, "&amp;"4, FALSE)),"""") ), CHAR(10), "",""), ""\s*,\s*"", "",""), "",""))), TRIM(FLATTEN(SPLIT( REGEXREPLACE( SUBSTITUTE(TEXTJOIN("","", TRUE, IFERROR(ARRAYFORMULA(VLOOKUP(TRIM(SPLIT('Final Report'!A1580, "","")), 'URL Details'!A:D, 4, FALSE)),"""") ), CHAR(10),"&amp;" "",""), ""\s*,\s*"", "",""), "","")))&lt;&gt;"""" ) ) ) ),"""")
"),"")</f>
        <v/>
      </c>
      <c r="D1580" s="105"/>
      <c r="E1580" s="105"/>
      <c r="F1580" s="110" t="b">
        <v>0</v>
      </c>
      <c r="G1580" s="105" t="str">
        <f>IF(F1580=True, IFERROR(VLOOKUP(D1580, Repository!A:B, 2, 0), ""), "")</f>
        <v/>
      </c>
      <c r="H1580" s="105"/>
      <c r="I1580" s="105"/>
      <c r="J1580" s="105" t="str">
        <f>IF(F1580=True, IFERROR(VLOOKUP(D1580, Repository!A:C, 3, 0), ""), "")</f>
        <v/>
      </c>
      <c r="K1580" s="105"/>
      <c r="L1580" s="105" t="str">
        <f>IF(F1580=True, IFERROR(VLOOKUP(D1580, Repository!A:E, 5, 0), ""), "")</f>
        <v/>
      </c>
      <c r="M1580" s="105"/>
      <c r="N1580" s="105" t="str">
        <f>IF(F1580=True, IFERROR(VLOOKUP(D1580, Repository!A:G, 7, 0), ""), "")</f>
        <v/>
      </c>
      <c r="O1580" s="105" t="str">
        <f>IFERROR(__xludf.DUMMYFUNCTION("ARRAY_CONSTRAIN(
  ARRAYFORMULA(
    IFERROR(
      LET(
        list, N1580,
        arr, TRIM(SPLIT(list, "","")),
        names, XLOOKUP(
          arr,
          'Conformance Score'!A:A,
          'Conformance Score'!B:B,
          ""Not found""
     "&amp;"   ),
        TEXTJOIN("", "", TRUE, names)
      ),
      """"
    )
  ),
  1,
  1
)
"),"")</f>
        <v/>
      </c>
      <c r="P1580" s="105" t="str">
        <f>IF(F1580="Yes", IFERROR(VLOOKUP(D1580, Repository!A:F, 6, 0), ""), "")</f>
        <v/>
      </c>
      <c r="Q1580" s="105" t="str">
        <f>IF(F1580="Yes", IFERROR(VLOOKUP(D1580, Repository!A:I, 8, 0), ""), "")</f>
        <v/>
      </c>
      <c r="R1580" s="105" t="str">
        <f>IF(F1580="Yes", IFERROR(VLOOKUP(D1580, Repository!A:J, 9, 0), ""), "")</f>
        <v/>
      </c>
      <c r="S1580" s="105"/>
      <c r="T1580" s="105"/>
      <c r="U1580" s="105"/>
      <c r="V1580" s="105"/>
      <c r="W1580" s="105"/>
      <c r="X1580" s="105"/>
      <c r="Y1580" s="105"/>
      <c r="Z1580" s="105"/>
      <c r="AA1580" s="105"/>
      <c r="AB1580" s="105"/>
      <c r="AC1580" s="91"/>
      <c r="AD1580" s="105"/>
      <c r="AE1580" s="105"/>
      <c r="AF1580" s="91"/>
      <c r="AG1580" s="105"/>
      <c r="AH1580" s="105"/>
      <c r="AI1580" s="105" t="str">
        <f t="shared" si="1"/>
        <v/>
      </c>
      <c r="AJ1580" s="108" t="str">
        <f t="shared" si="2"/>
        <v/>
      </c>
    </row>
    <row r="1581" ht="15.75" customHeight="1">
      <c r="A1581" s="104"/>
      <c r="B1581" s="105" t="str">
        <f>IFERROR(__xludf.DUMMYFUNCTION("ARRAY_CONSTRAIN(
  ARRAYFORMULA(
    IF(
      'Final Report'!A1581="""",
      """",
      TEXTJOIN(
        "", "" &amp; CHAR(10),
        TRUE,
        IFERROR(
          VLOOKUP(
            TRIM(
              SPLIT('Final Report'!A1581, "","")
         "&amp;"   ),
            'URL Details'!A:B,
            2,
            FALSE
          ),
          """"
        )
      )
    )
  ),
  1,
  1
)
"),"")</f>
        <v/>
      </c>
      <c r="C1581" s="105" t="str">
        <f>IFERROR(__xludf.DUMMYFUNCTION("IFERROR(IF('Final Report'!A1581="""","""", TEXTJOIN(CHAR(10), TRUE, ARRAYFORMULA( ""• ""&amp; FILTER( TRIM(FLATTEN(SPLIT( REGEXREPLACE( SUBSTITUTE(TEXTJOIN("","", TRUE, IFERROR(ARRAYFORMULA(VLOOKUP(TRIM(SPLIT('Final Report'!A1581, "","")), 'URL Details'!A:D, "&amp;"4, FALSE)),"""") ), CHAR(10), "",""), ""\s*,\s*"", "",""), "",""))), TRIM(FLATTEN(SPLIT( REGEXREPLACE( SUBSTITUTE(TEXTJOIN("","", TRUE, IFERROR(ARRAYFORMULA(VLOOKUP(TRIM(SPLIT('Final Report'!A1581, "","")), 'URL Details'!A:D, 4, FALSE)),"""") ), CHAR(10),"&amp;" "",""), ""\s*,\s*"", "",""), "","")))&lt;&gt;"""" ) ) ) ),"""")
"),"")</f>
        <v/>
      </c>
      <c r="D1581" s="105"/>
      <c r="E1581" s="105"/>
      <c r="F1581" s="110" t="b">
        <v>0</v>
      </c>
      <c r="G1581" s="105" t="str">
        <f>IF(F1581=True, IFERROR(VLOOKUP(D1581, Repository!A:B, 2, 0), ""), "")</f>
        <v/>
      </c>
      <c r="H1581" s="105"/>
      <c r="I1581" s="105"/>
      <c r="J1581" s="105" t="str">
        <f>IF(F1581=True, IFERROR(VLOOKUP(D1581, Repository!A:C, 3, 0), ""), "")</f>
        <v/>
      </c>
      <c r="K1581" s="105"/>
      <c r="L1581" s="105" t="str">
        <f>IF(F1581=True, IFERROR(VLOOKUP(D1581, Repository!A:E, 5, 0), ""), "")</f>
        <v/>
      </c>
      <c r="M1581" s="105"/>
      <c r="N1581" s="105" t="str">
        <f>IF(F1581=True, IFERROR(VLOOKUP(D1581, Repository!A:G, 7, 0), ""), "")</f>
        <v/>
      </c>
      <c r="O1581" s="105" t="str">
        <f>IFERROR(__xludf.DUMMYFUNCTION("ARRAY_CONSTRAIN(
  ARRAYFORMULA(
    IFERROR(
      LET(
        list, N1581,
        arr, TRIM(SPLIT(list, "","")),
        names, XLOOKUP(
          arr,
          'Conformance Score'!A:A,
          'Conformance Score'!B:B,
          ""Not found""
     "&amp;"   ),
        TEXTJOIN("", "", TRUE, names)
      ),
      """"
    )
  ),
  1,
  1
)
"),"")</f>
        <v/>
      </c>
      <c r="P1581" s="105" t="str">
        <f>IF(F1581="Yes", IFERROR(VLOOKUP(D1581, Repository!A:F, 6, 0), ""), "")</f>
        <v/>
      </c>
      <c r="Q1581" s="105" t="str">
        <f>IF(F1581="Yes", IFERROR(VLOOKUP(D1581, Repository!A:I, 8, 0), ""), "")</f>
        <v/>
      </c>
      <c r="R1581" s="105" t="str">
        <f>IF(F1581="Yes", IFERROR(VLOOKUP(D1581, Repository!A:J, 9, 0), ""), "")</f>
        <v/>
      </c>
      <c r="S1581" s="105"/>
      <c r="T1581" s="105"/>
      <c r="U1581" s="105"/>
      <c r="V1581" s="105"/>
      <c r="W1581" s="105"/>
      <c r="X1581" s="105"/>
      <c r="Y1581" s="105"/>
      <c r="Z1581" s="105"/>
      <c r="AA1581" s="105"/>
      <c r="AB1581" s="105"/>
      <c r="AC1581" s="91"/>
      <c r="AD1581" s="105"/>
      <c r="AE1581" s="105"/>
      <c r="AF1581" s="91"/>
      <c r="AG1581" s="105"/>
      <c r="AH1581" s="105"/>
      <c r="AI1581" s="105" t="str">
        <f t="shared" si="1"/>
        <v/>
      </c>
      <c r="AJ1581" s="108" t="str">
        <f t="shared" si="2"/>
        <v/>
      </c>
    </row>
    <row r="1582" ht="15.75" customHeight="1">
      <c r="A1582" s="104"/>
      <c r="B1582" s="105" t="str">
        <f>IFERROR(__xludf.DUMMYFUNCTION("ARRAY_CONSTRAIN(
  ARRAYFORMULA(
    IF(
      'Final Report'!A1582="""",
      """",
      TEXTJOIN(
        "", "" &amp; CHAR(10),
        TRUE,
        IFERROR(
          VLOOKUP(
            TRIM(
              SPLIT('Final Report'!A1582, "","")
         "&amp;"   ),
            'URL Details'!A:B,
            2,
            FALSE
          ),
          """"
        )
      )
    )
  ),
  1,
  1
)
"),"")</f>
        <v/>
      </c>
      <c r="C1582" s="105" t="str">
        <f>IFERROR(__xludf.DUMMYFUNCTION("IFERROR(IF('Final Report'!A1582="""","""", TEXTJOIN(CHAR(10), TRUE, ARRAYFORMULA( ""• ""&amp; FILTER( TRIM(FLATTEN(SPLIT( REGEXREPLACE( SUBSTITUTE(TEXTJOIN("","", TRUE, IFERROR(ARRAYFORMULA(VLOOKUP(TRIM(SPLIT('Final Report'!A1582, "","")), 'URL Details'!A:D, "&amp;"4, FALSE)),"""") ), CHAR(10), "",""), ""\s*,\s*"", "",""), "",""))), TRIM(FLATTEN(SPLIT( REGEXREPLACE( SUBSTITUTE(TEXTJOIN("","", TRUE, IFERROR(ARRAYFORMULA(VLOOKUP(TRIM(SPLIT('Final Report'!A1582, "","")), 'URL Details'!A:D, 4, FALSE)),"""") ), CHAR(10),"&amp;" "",""), ""\s*,\s*"", "",""), "","")))&lt;&gt;"""" ) ) ) ),"""")
"),"")</f>
        <v/>
      </c>
      <c r="D1582" s="105"/>
      <c r="E1582" s="105"/>
      <c r="F1582" s="110" t="b">
        <v>0</v>
      </c>
      <c r="G1582" s="105" t="str">
        <f>IF(F1582=True, IFERROR(VLOOKUP(D1582, Repository!A:B, 2, 0), ""), "")</f>
        <v/>
      </c>
      <c r="H1582" s="105"/>
      <c r="I1582" s="105"/>
      <c r="J1582" s="105" t="str">
        <f>IF(F1582=True, IFERROR(VLOOKUP(D1582, Repository!A:C, 3, 0), ""), "")</f>
        <v/>
      </c>
      <c r="K1582" s="105"/>
      <c r="L1582" s="105" t="str">
        <f>IF(F1582=True, IFERROR(VLOOKUP(D1582, Repository!A:E, 5, 0), ""), "")</f>
        <v/>
      </c>
      <c r="M1582" s="105"/>
      <c r="N1582" s="105" t="str">
        <f>IF(F1582=True, IFERROR(VLOOKUP(D1582, Repository!A:G, 7, 0), ""), "")</f>
        <v/>
      </c>
      <c r="O1582" s="105" t="str">
        <f>IFERROR(__xludf.DUMMYFUNCTION("ARRAY_CONSTRAIN(
  ARRAYFORMULA(
    IFERROR(
      LET(
        list, N1582,
        arr, TRIM(SPLIT(list, "","")),
        names, XLOOKUP(
          arr,
          'Conformance Score'!A:A,
          'Conformance Score'!B:B,
          ""Not found""
     "&amp;"   ),
        TEXTJOIN("", "", TRUE, names)
      ),
      """"
    )
  ),
  1,
  1
)
"),"")</f>
        <v/>
      </c>
      <c r="P1582" s="105" t="str">
        <f>IF(F1582="Yes", IFERROR(VLOOKUP(D1582, Repository!A:F, 6, 0), ""), "")</f>
        <v/>
      </c>
      <c r="Q1582" s="105" t="str">
        <f>IF(F1582="Yes", IFERROR(VLOOKUP(D1582, Repository!A:I, 8, 0), ""), "")</f>
        <v/>
      </c>
      <c r="R1582" s="105" t="str">
        <f>IF(F1582="Yes", IFERROR(VLOOKUP(D1582, Repository!A:J, 9, 0), ""), "")</f>
        <v/>
      </c>
      <c r="S1582" s="105"/>
      <c r="T1582" s="105"/>
      <c r="U1582" s="105"/>
      <c r="V1582" s="105"/>
      <c r="W1582" s="105"/>
      <c r="X1582" s="105"/>
      <c r="Y1582" s="105"/>
      <c r="Z1582" s="105"/>
      <c r="AA1582" s="105"/>
      <c r="AB1582" s="105"/>
      <c r="AC1582" s="91"/>
      <c r="AD1582" s="105"/>
      <c r="AE1582" s="105"/>
      <c r="AF1582" s="91"/>
      <c r="AG1582" s="105"/>
      <c r="AH1582" s="105"/>
      <c r="AI1582" s="105" t="str">
        <f t="shared" si="1"/>
        <v/>
      </c>
      <c r="AJ1582" s="108" t="str">
        <f t="shared" si="2"/>
        <v/>
      </c>
    </row>
    <row r="1583" ht="15.75" customHeight="1">
      <c r="A1583" s="104"/>
      <c r="B1583" s="105" t="str">
        <f>IFERROR(__xludf.DUMMYFUNCTION("ARRAY_CONSTRAIN(
  ARRAYFORMULA(
    IF(
      'Final Report'!A1583="""",
      """",
      TEXTJOIN(
        "", "" &amp; CHAR(10),
        TRUE,
        IFERROR(
          VLOOKUP(
            TRIM(
              SPLIT('Final Report'!A1583, "","")
         "&amp;"   ),
            'URL Details'!A:B,
            2,
            FALSE
          ),
          """"
        )
      )
    )
  ),
  1,
  1
)
"),"")</f>
        <v/>
      </c>
      <c r="C1583" s="105" t="str">
        <f>IFERROR(__xludf.DUMMYFUNCTION("IFERROR(IF('Final Report'!A1583="""","""", TEXTJOIN(CHAR(10), TRUE, ARRAYFORMULA( ""• ""&amp; FILTER( TRIM(FLATTEN(SPLIT( REGEXREPLACE( SUBSTITUTE(TEXTJOIN("","", TRUE, IFERROR(ARRAYFORMULA(VLOOKUP(TRIM(SPLIT('Final Report'!A1583, "","")), 'URL Details'!A:D, "&amp;"4, FALSE)),"""") ), CHAR(10), "",""), ""\s*,\s*"", "",""), "",""))), TRIM(FLATTEN(SPLIT( REGEXREPLACE( SUBSTITUTE(TEXTJOIN("","", TRUE, IFERROR(ARRAYFORMULA(VLOOKUP(TRIM(SPLIT('Final Report'!A1583, "","")), 'URL Details'!A:D, 4, FALSE)),"""") ), CHAR(10),"&amp;" "",""), ""\s*,\s*"", "",""), "","")))&lt;&gt;"""" ) ) ) ),"""")
"),"")</f>
        <v/>
      </c>
      <c r="D1583" s="105"/>
      <c r="E1583" s="105"/>
      <c r="F1583" s="110" t="b">
        <v>0</v>
      </c>
      <c r="G1583" s="105" t="str">
        <f>IF(F1583=True, IFERROR(VLOOKUP(D1583, Repository!A:B, 2, 0), ""), "")</f>
        <v/>
      </c>
      <c r="H1583" s="105"/>
      <c r="I1583" s="105"/>
      <c r="J1583" s="105" t="str">
        <f>IF(F1583=True, IFERROR(VLOOKUP(D1583, Repository!A:C, 3, 0), ""), "")</f>
        <v/>
      </c>
      <c r="K1583" s="105"/>
      <c r="L1583" s="105" t="str">
        <f>IF(F1583=True, IFERROR(VLOOKUP(D1583, Repository!A:E, 5, 0), ""), "")</f>
        <v/>
      </c>
      <c r="M1583" s="105"/>
      <c r="N1583" s="105" t="str">
        <f>IF(F1583=True, IFERROR(VLOOKUP(D1583, Repository!A:G, 7, 0), ""), "")</f>
        <v/>
      </c>
      <c r="O1583" s="105" t="str">
        <f>IFERROR(__xludf.DUMMYFUNCTION("ARRAY_CONSTRAIN(
  ARRAYFORMULA(
    IFERROR(
      LET(
        list, N1583,
        arr, TRIM(SPLIT(list, "","")),
        names, XLOOKUP(
          arr,
          'Conformance Score'!A:A,
          'Conformance Score'!B:B,
          ""Not found""
     "&amp;"   ),
        TEXTJOIN("", "", TRUE, names)
      ),
      """"
    )
  ),
  1,
  1
)
"),"")</f>
        <v/>
      </c>
      <c r="P1583" s="105" t="str">
        <f>IF(F1583="Yes", IFERROR(VLOOKUP(D1583, Repository!A:F, 6, 0), ""), "")</f>
        <v/>
      </c>
      <c r="Q1583" s="105" t="str">
        <f>IF(F1583="Yes", IFERROR(VLOOKUP(D1583, Repository!A:I, 8, 0), ""), "")</f>
        <v/>
      </c>
      <c r="R1583" s="105" t="str">
        <f>IF(F1583="Yes", IFERROR(VLOOKUP(D1583, Repository!A:J, 9, 0), ""), "")</f>
        <v/>
      </c>
      <c r="S1583" s="105"/>
      <c r="T1583" s="105"/>
      <c r="U1583" s="105"/>
      <c r="V1583" s="105"/>
      <c r="W1583" s="105"/>
      <c r="X1583" s="105"/>
      <c r="Y1583" s="105"/>
      <c r="Z1583" s="105"/>
      <c r="AA1583" s="105"/>
      <c r="AB1583" s="105"/>
      <c r="AC1583" s="91"/>
      <c r="AD1583" s="105"/>
      <c r="AE1583" s="105"/>
      <c r="AF1583" s="91"/>
      <c r="AG1583" s="105"/>
      <c r="AH1583" s="105"/>
      <c r="AI1583" s="105" t="str">
        <f t="shared" si="1"/>
        <v/>
      </c>
      <c r="AJ1583" s="108" t="str">
        <f t="shared" si="2"/>
        <v/>
      </c>
    </row>
    <row r="1584" ht="15.75" customHeight="1">
      <c r="A1584" s="104"/>
      <c r="B1584" s="105" t="str">
        <f>IFERROR(__xludf.DUMMYFUNCTION("ARRAY_CONSTRAIN(
  ARRAYFORMULA(
    IF(
      'Final Report'!A1584="""",
      """",
      TEXTJOIN(
        "", "" &amp; CHAR(10),
        TRUE,
        IFERROR(
          VLOOKUP(
            TRIM(
              SPLIT('Final Report'!A1584, "","")
         "&amp;"   ),
            'URL Details'!A:B,
            2,
            FALSE
          ),
          """"
        )
      )
    )
  ),
  1,
  1
)
"),"")</f>
        <v/>
      </c>
      <c r="C1584" s="105" t="str">
        <f>IFERROR(__xludf.DUMMYFUNCTION("IFERROR(IF('Final Report'!A1584="""","""", TEXTJOIN(CHAR(10), TRUE, ARRAYFORMULA( ""• ""&amp; FILTER( TRIM(FLATTEN(SPLIT( REGEXREPLACE( SUBSTITUTE(TEXTJOIN("","", TRUE, IFERROR(ARRAYFORMULA(VLOOKUP(TRIM(SPLIT('Final Report'!A1584, "","")), 'URL Details'!A:D, "&amp;"4, FALSE)),"""") ), CHAR(10), "",""), ""\s*,\s*"", "",""), "",""))), TRIM(FLATTEN(SPLIT( REGEXREPLACE( SUBSTITUTE(TEXTJOIN("","", TRUE, IFERROR(ARRAYFORMULA(VLOOKUP(TRIM(SPLIT('Final Report'!A1584, "","")), 'URL Details'!A:D, 4, FALSE)),"""") ), CHAR(10),"&amp;" "",""), ""\s*,\s*"", "",""), "","")))&lt;&gt;"""" ) ) ) ),"""")
"),"")</f>
        <v/>
      </c>
      <c r="D1584" s="105"/>
      <c r="E1584" s="105"/>
      <c r="F1584" s="110" t="b">
        <v>0</v>
      </c>
      <c r="G1584" s="105" t="str">
        <f>IF(F1584=True, IFERROR(VLOOKUP(D1584, Repository!A:B, 2, 0), ""), "")</f>
        <v/>
      </c>
      <c r="H1584" s="105"/>
      <c r="I1584" s="105"/>
      <c r="J1584" s="105" t="str">
        <f>IF(F1584=True, IFERROR(VLOOKUP(D1584, Repository!A:C, 3, 0), ""), "")</f>
        <v/>
      </c>
      <c r="K1584" s="105"/>
      <c r="L1584" s="105" t="str">
        <f>IF(F1584=True, IFERROR(VLOOKUP(D1584, Repository!A:E, 5, 0), ""), "")</f>
        <v/>
      </c>
      <c r="M1584" s="105"/>
      <c r="N1584" s="105" t="str">
        <f>IF(F1584=True, IFERROR(VLOOKUP(D1584, Repository!A:G, 7, 0), ""), "")</f>
        <v/>
      </c>
      <c r="O1584" s="105" t="str">
        <f>IFERROR(__xludf.DUMMYFUNCTION("ARRAY_CONSTRAIN(
  ARRAYFORMULA(
    IFERROR(
      LET(
        list, N1584,
        arr, TRIM(SPLIT(list, "","")),
        names, XLOOKUP(
          arr,
          'Conformance Score'!A:A,
          'Conformance Score'!B:B,
          ""Not found""
     "&amp;"   ),
        TEXTJOIN("", "", TRUE, names)
      ),
      """"
    )
  ),
  1,
  1
)
"),"")</f>
        <v/>
      </c>
      <c r="P1584" s="105" t="str">
        <f>IF(F1584="Yes", IFERROR(VLOOKUP(D1584, Repository!A:F, 6, 0), ""), "")</f>
        <v/>
      </c>
      <c r="Q1584" s="105" t="str">
        <f>IF(F1584="Yes", IFERROR(VLOOKUP(D1584, Repository!A:I, 8, 0), ""), "")</f>
        <v/>
      </c>
      <c r="R1584" s="105" t="str">
        <f>IF(F1584="Yes", IFERROR(VLOOKUP(D1584, Repository!A:J, 9, 0), ""), "")</f>
        <v/>
      </c>
      <c r="S1584" s="105"/>
      <c r="T1584" s="105"/>
      <c r="U1584" s="105"/>
      <c r="V1584" s="105"/>
      <c r="W1584" s="105"/>
      <c r="X1584" s="105"/>
      <c r="Y1584" s="105"/>
      <c r="Z1584" s="105"/>
      <c r="AA1584" s="105"/>
      <c r="AB1584" s="105"/>
      <c r="AC1584" s="91"/>
      <c r="AD1584" s="105"/>
      <c r="AE1584" s="105"/>
      <c r="AF1584" s="91"/>
      <c r="AG1584" s="105"/>
      <c r="AH1584" s="105"/>
      <c r="AI1584" s="105" t="str">
        <f t="shared" si="1"/>
        <v/>
      </c>
      <c r="AJ1584" s="108" t="str">
        <f t="shared" si="2"/>
        <v/>
      </c>
    </row>
    <row r="1585" ht="15.75" customHeight="1">
      <c r="A1585" s="104"/>
      <c r="B1585" s="105" t="str">
        <f>IFERROR(__xludf.DUMMYFUNCTION("ARRAY_CONSTRAIN(
  ARRAYFORMULA(
    IF(
      'Final Report'!A1585="""",
      """",
      TEXTJOIN(
        "", "" &amp; CHAR(10),
        TRUE,
        IFERROR(
          VLOOKUP(
            TRIM(
              SPLIT('Final Report'!A1585, "","")
         "&amp;"   ),
            'URL Details'!A:B,
            2,
            FALSE
          ),
          """"
        )
      )
    )
  ),
  1,
  1
)
"),"")</f>
        <v/>
      </c>
      <c r="C1585" s="105" t="str">
        <f>IFERROR(__xludf.DUMMYFUNCTION("IFERROR(IF('Final Report'!A1585="""","""", TEXTJOIN(CHAR(10), TRUE, ARRAYFORMULA( ""• ""&amp; FILTER( TRIM(FLATTEN(SPLIT( REGEXREPLACE( SUBSTITUTE(TEXTJOIN("","", TRUE, IFERROR(ARRAYFORMULA(VLOOKUP(TRIM(SPLIT('Final Report'!A1585, "","")), 'URL Details'!A:D, "&amp;"4, FALSE)),"""") ), CHAR(10), "",""), ""\s*,\s*"", "",""), "",""))), TRIM(FLATTEN(SPLIT( REGEXREPLACE( SUBSTITUTE(TEXTJOIN("","", TRUE, IFERROR(ARRAYFORMULA(VLOOKUP(TRIM(SPLIT('Final Report'!A1585, "","")), 'URL Details'!A:D, 4, FALSE)),"""") ), CHAR(10),"&amp;" "",""), ""\s*,\s*"", "",""), "","")))&lt;&gt;"""" ) ) ) ),"""")
"),"")</f>
        <v/>
      </c>
      <c r="D1585" s="105"/>
      <c r="E1585" s="105"/>
      <c r="F1585" s="110" t="b">
        <v>0</v>
      </c>
      <c r="G1585" s="105" t="str">
        <f>IF(F1585=True, IFERROR(VLOOKUP(D1585, Repository!A:B, 2, 0), ""), "")</f>
        <v/>
      </c>
      <c r="H1585" s="105"/>
      <c r="I1585" s="105"/>
      <c r="J1585" s="105" t="str">
        <f>IF(F1585=True, IFERROR(VLOOKUP(D1585, Repository!A:C, 3, 0), ""), "")</f>
        <v/>
      </c>
      <c r="K1585" s="105"/>
      <c r="L1585" s="105" t="str">
        <f>IF(F1585=True, IFERROR(VLOOKUP(D1585, Repository!A:E, 5, 0), ""), "")</f>
        <v/>
      </c>
      <c r="M1585" s="105"/>
      <c r="N1585" s="105" t="str">
        <f>IF(F1585=True, IFERROR(VLOOKUP(D1585, Repository!A:G, 7, 0), ""), "")</f>
        <v/>
      </c>
      <c r="O1585" s="105" t="str">
        <f>IFERROR(__xludf.DUMMYFUNCTION("ARRAY_CONSTRAIN(
  ARRAYFORMULA(
    IFERROR(
      LET(
        list, N1585,
        arr, TRIM(SPLIT(list, "","")),
        names, XLOOKUP(
          arr,
          'Conformance Score'!A:A,
          'Conformance Score'!B:B,
          ""Not found""
     "&amp;"   ),
        TEXTJOIN("", "", TRUE, names)
      ),
      """"
    )
  ),
  1,
  1
)
"),"")</f>
        <v/>
      </c>
      <c r="P1585" s="105" t="str">
        <f>IF(F1585="Yes", IFERROR(VLOOKUP(D1585, Repository!A:F, 6, 0), ""), "")</f>
        <v/>
      </c>
      <c r="Q1585" s="105" t="str">
        <f>IF(F1585="Yes", IFERROR(VLOOKUP(D1585, Repository!A:I, 8, 0), ""), "")</f>
        <v/>
      </c>
      <c r="R1585" s="105" t="str">
        <f>IF(F1585="Yes", IFERROR(VLOOKUP(D1585, Repository!A:J, 9, 0), ""), "")</f>
        <v/>
      </c>
      <c r="S1585" s="105"/>
      <c r="T1585" s="105"/>
      <c r="U1585" s="105"/>
      <c r="V1585" s="105"/>
      <c r="W1585" s="105"/>
      <c r="X1585" s="105"/>
      <c r="Y1585" s="105"/>
      <c r="Z1585" s="105"/>
      <c r="AA1585" s="105"/>
      <c r="AB1585" s="105"/>
      <c r="AC1585" s="91"/>
      <c r="AD1585" s="105"/>
      <c r="AE1585" s="105"/>
      <c r="AF1585" s="91"/>
      <c r="AG1585" s="105"/>
      <c r="AH1585" s="105"/>
      <c r="AI1585" s="105" t="str">
        <f t="shared" si="1"/>
        <v/>
      </c>
      <c r="AJ1585" s="108" t="str">
        <f t="shared" si="2"/>
        <v/>
      </c>
    </row>
    <row r="1586" ht="15.75" customHeight="1">
      <c r="A1586" s="104"/>
      <c r="B1586" s="105" t="str">
        <f>IFERROR(__xludf.DUMMYFUNCTION("ARRAY_CONSTRAIN(
  ARRAYFORMULA(
    IF(
      'Final Report'!A1586="""",
      """",
      TEXTJOIN(
        "", "" &amp; CHAR(10),
        TRUE,
        IFERROR(
          VLOOKUP(
            TRIM(
              SPLIT('Final Report'!A1586, "","")
         "&amp;"   ),
            'URL Details'!A:B,
            2,
            FALSE
          ),
          """"
        )
      )
    )
  ),
  1,
  1
)
"),"")</f>
        <v/>
      </c>
      <c r="C1586" s="105" t="str">
        <f>IFERROR(__xludf.DUMMYFUNCTION("IFERROR(IF('Final Report'!A1586="""","""", TEXTJOIN(CHAR(10), TRUE, ARRAYFORMULA( ""• ""&amp; FILTER( TRIM(FLATTEN(SPLIT( REGEXREPLACE( SUBSTITUTE(TEXTJOIN("","", TRUE, IFERROR(ARRAYFORMULA(VLOOKUP(TRIM(SPLIT('Final Report'!A1586, "","")), 'URL Details'!A:D, "&amp;"4, FALSE)),"""") ), CHAR(10), "",""), ""\s*,\s*"", "",""), "",""))), TRIM(FLATTEN(SPLIT( REGEXREPLACE( SUBSTITUTE(TEXTJOIN("","", TRUE, IFERROR(ARRAYFORMULA(VLOOKUP(TRIM(SPLIT('Final Report'!A1586, "","")), 'URL Details'!A:D, 4, FALSE)),"""") ), CHAR(10),"&amp;" "",""), ""\s*,\s*"", "",""), "","")))&lt;&gt;"""" ) ) ) ),"""")
"),"")</f>
        <v/>
      </c>
      <c r="D1586" s="105"/>
      <c r="E1586" s="105"/>
      <c r="F1586" s="110" t="b">
        <v>0</v>
      </c>
      <c r="G1586" s="105" t="str">
        <f>IF(F1586=True, IFERROR(VLOOKUP(D1586, Repository!A:B, 2, 0), ""), "")</f>
        <v/>
      </c>
      <c r="H1586" s="105"/>
      <c r="I1586" s="105"/>
      <c r="J1586" s="105" t="str">
        <f>IF(F1586=True, IFERROR(VLOOKUP(D1586, Repository!A:C, 3, 0), ""), "")</f>
        <v/>
      </c>
      <c r="K1586" s="105"/>
      <c r="L1586" s="105" t="str">
        <f>IF(F1586=True, IFERROR(VLOOKUP(D1586, Repository!A:E, 5, 0), ""), "")</f>
        <v/>
      </c>
      <c r="M1586" s="105"/>
      <c r="N1586" s="105" t="str">
        <f>IF(F1586=True, IFERROR(VLOOKUP(D1586, Repository!A:G, 7, 0), ""), "")</f>
        <v/>
      </c>
      <c r="O1586" s="105" t="str">
        <f>IFERROR(__xludf.DUMMYFUNCTION("ARRAY_CONSTRAIN(
  ARRAYFORMULA(
    IFERROR(
      LET(
        list, N1586,
        arr, TRIM(SPLIT(list, "","")),
        names, XLOOKUP(
          arr,
          'Conformance Score'!A:A,
          'Conformance Score'!B:B,
          ""Not found""
     "&amp;"   ),
        TEXTJOIN("", "", TRUE, names)
      ),
      """"
    )
  ),
  1,
  1
)
"),"")</f>
        <v/>
      </c>
      <c r="P1586" s="105" t="str">
        <f>IF(F1586="Yes", IFERROR(VLOOKUP(D1586, Repository!A:F, 6, 0), ""), "")</f>
        <v/>
      </c>
      <c r="Q1586" s="105" t="str">
        <f>IF(F1586="Yes", IFERROR(VLOOKUP(D1586, Repository!A:I, 8, 0), ""), "")</f>
        <v/>
      </c>
      <c r="R1586" s="105" t="str">
        <f>IF(F1586="Yes", IFERROR(VLOOKUP(D1586, Repository!A:J, 9, 0), ""), "")</f>
        <v/>
      </c>
      <c r="S1586" s="105"/>
      <c r="T1586" s="105"/>
      <c r="U1586" s="105"/>
      <c r="V1586" s="105"/>
      <c r="W1586" s="105"/>
      <c r="X1586" s="105"/>
      <c r="Y1586" s="105"/>
      <c r="Z1586" s="105"/>
      <c r="AA1586" s="105"/>
      <c r="AB1586" s="105"/>
      <c r="AC1586" s="91"/>
      <c r="AD1586" s="105"/>
      <c r="AE1586" s="105"/>
      <c r="AF1586" s="91"/>
      <c r="AG1586" s="105"/>
      <c r="AH1586" s="105"/>
      <c r="AI1586" s="105" t="str">
        <f t="shared" si="1"/>
        <v/>
      </c>
      <c r="AJ1586" s="108" t="str">
        <f t="shared" si="2"/>
        <v/>
      </c>
    </row>
    <row r="1587" ht="15.75" customHeight="1">
      <c r="A1587" s="104"/>
      <c r="B1587" s="105" t="str">
        <f>IFERROR(__xludf.DUMMYFUNCTION("ARRAY_CONSTRAIN(
  ARRAYFORMULA(
    IF(
      'Final Report'!A1587="""",
      """",
      TEXTJOIN(
        "", "" &amp; CHAR(10),
        TRUE,
        IFERROR(
          VLOOKUP(
            TRIM(
              SPLIT('Final Report'!A1587, "","")
         "&amp;"   ),
            'URL Details'!A:B,
            2,
            FALSE
          ),
          """"
        )
      )
    )
  ),
  1,
  1
)
"),"")</f>
        <v/>
      </c>
      <c r="C1587" s="105" t="str">
        <f>IFERROR(__xludf.DUMMYFUNCTION("IFERROR(IF('Final Report'!A1587="""","""", TEXTJOIN(CHAR(10), TRUE, ARRAYFORMULA( ""• ""&amp; FILTER( TRIM(FLATTEN(SPLIT( REGEXREPLACE( SUBSTITUTE(TEXTJOIN("","", TRUE, IFERROR(ARRAYFORMULA(VLOOKUP(TRIM(SPLIT('Final Report'!A1587, "","")), 'URL Details'!A:D, "&amp;"4, FALSE)),"""") ), CHAR(10), "",""), ""\s*,\s*"", "",""), "",""))), TRIM(FLATTEN(SPLIT( REGEXREPLACE( SUBSTITUTE(TEXTJOIN("","", TRUE, IFERROR(ARRAYFORMULA(VLOOKUP(TRIM(SPLIT('Final Report'!A1587, "","")), 'URL Details'!A:D, 4, FALSE)),"""") ), CHAR(10),"&amp;" "",""), ""\s*,\s*"", "",""), "","")))&lt;&gt;"""" ) ) ) ),"""")
"),"")</f>
        <v/>
      </c>
      <c r="D1587" s="105"/>
      <c r="E1587" s="105"/>
      <c r="F1587" s="110" t="b">
        <v>0</v>
      </c>
      <c r="G1587" s="105" t="str">
        <f>IF(F1587=True, IFERROR(VLOOKUP(D1587, Repository!A:B, 2, 0), ""), "")</f>
        <v/>
      </c>
      <c r="H1587" s="105"/>
      <c r="I1587" s="105"/>
      <c r="J1587" s="105" t="str">
        <f>IF(F1587=True, IFERROR(VLOOKUP(D1587, Repository!A:C, 3, 0), ""), "")</f>
        <v/>
      </c>
      <c r="K1587" s="105"/>
      <c r="L1587" s="105" t="str">
        <f>IF(F1587=True, IFERROR(VLOOKUP(D1587, Repository!A:E, 5, 0), ""), "")</f>
        <v/>
      </c>
      <c r="M1587" s="105"/>
      <c r="N1587" s="105" t="str">
        <f>IF(F1587=True, IFERROR(VLOOKUP(D1587, Repository!A:G, 7, 0), ""), "")</f>
        <v/>
      </c>
      <c r="O1587" s="105" t="str">
        <f>IFERROR(__xludf.DUMMYFUNCTION("ARRAY_CONSTRAIN(
  ARRAYFORMULA(
    IFERROR(
      LET(
        list, N1587,
        arr, TRIM(SPLIT(list, "","")),
        names, XLOOKUP(
          arr,
          'Conformance Score'!A:A,
          'Conformance Score'!B:B,
          ""Not found""
     "&amp;"   ),
        TEXTJOIN("", "", TRUE, names)
      ),
      """"
    )
  ),
  1,
  1
)
"),"")</f>
        <v/>
      </c>
      <c r="P1587" s="105" t="str">
        <f>IF(F1587="Yes", IFERROR(VLOOKUP(D1587, Repository!A:F, 6, 0), ""), "")</f>
        <v/>
      </c>
      <c r="Q1587" s="105" t="str">
        <f>IF(F1587="Yes", IFERROR(VLOOKUP(D1587, Repository!A:I, 8, 0), ""), "")</f>
        <v/>
      </c>
      <c r="R1587" s="105" t="str">
        <f>IF(F1587="Yes", IFERROR(VLOOKUP(D1587, Repository!A:J, 9, 0), ""), "")</f>
        <v/>
      </c>
      <c r="S1587" s="105"/>
      <c r="T1587" s="105"/>
      <c r="U1587" s="105"/>
      <c r="V1587" s="105"/>
      <c r="W1587" s="105"/>
      <c r="X1587" s="105"/>
      <c r="Y1587" s="105"/>
      <c r="Z1587" s="105"/>
      <c r="AA1587" s="105"/>
      <c r="AB1587" s="105"/>
      <c r="AC1587" s="91"/>
      <c r="AD1587" s="105"/>
      <c r="AE1587" s="105"/>
      <c r="AF1587" s="91"/>
      <c r="AG1587" s="105"/>
      <c r="AH1587" s="105"/>
      <c r="AI1587" s="105" t="str">
        <f t="shared" si="1"/>
        <v/>
      </c>
      <c r="AJ1587" s="108" t="str">
        <f t="shared" si="2"/>
        <v/>
      </c>
    </row>
    <row r="1588" ht="15.75" customHeight="1">
      <c r="A1588" s="104"/>
      <c r="B1588" s="105" t="str">
        <f>IFERROR(__xludf.DUMMYFUNCTION("ARRAY_CONSTRAIN(
  ARRAYFORMULA(
    IF(
      'Final Report'!A1588="""",
      """",
      TEXTJOIN(
        "", "" &amp; CHAR(10),
        TRUE,
        IFERROR(
          VLOOKUP(
            TRIM(
              SPLIT('Final Report'!A1588, "","")
         "&amp;"   ),
            'URL Details'!A:B,
            2,
            FALSE
          ),
          """"
        )
      )
    )
  ),
  1,
  1
)
"),"")</f>
        <v/>
      </c>
      <c r="C1588" s="105" t="str">
        <f>IFERROR(__xludf.DUMMYFUNCTION("IFERROR(IF('Final Report'!A1588="""","""", TEXTJOIN(CHAR(10), TRUE, ARRAYFORMULA( ""• ""&amp; FILTER( TRIM(FLATTEN(SPLIT( REGEXREPLACE( SUBSTITUTE(TEXTJOIN("","", TRUE, IFERROR(ARRAYFORMULA(VLOOKUP(TRIM(SPLIT('Final Report'!A1588, "","")), 'URL Details'!A:D, "&amp;"4, FALSE)),"""") ), CHAR(10), "",""), ""\s*,\s*"", "",""), "",""))), TRIM(FLATTEN(SPLIT( REGEXREPLACE( SUBSTITUTE(TEXTJOIN("","", TRUE, IFERROR(ARRAYFORMULA(VLOOKUP(TRIM(SPLIT('Final Report'!A1588, "","")), 'URL Details'!A:D, 4, FALSE)),"""") ), CHAR(10),"&amp;" "",""), ""\s*,\s*"", "",""), "","")))&lt;&gt;"""" ) ) ) ),"""")
"),"")</f>
        <v/>
      </c>
      <c r="D1588" s="105"/>
      <c r="E1588" s="105"/>
      <c r="F1588" s="110" t="b">
        <v>0</v>
      </c>
      <c r="G1588" s="105" t="str">
        <f>IF(F1588=True, IFERROR(VLOOKUP(D1588, Repository!A:B, 2, 0), ""), "")</f>
        <v/>
      </c>
      <c r="H1588" s="105"/>
      <c r="I1588" s="105"/>
      <c r="J1588" s="105" t="str">
        <f>IF(F1588=True, IFERROR(VLOOKUP(D1588, Repository!A:C, 3, 0), ""), "")</f>
        <v/>
      </c>
      <c r="K1588" s="105"/>
      <c r="L1588" s="105" t="str">
        <f>IF(F1588=True, IFERROR(VLOOKUP(D1588, Repository!A:E, 5, 0), ""), "")</f>
        <v/>
      </c>
      <c r="M1588" s="105"/>
      <c r="N1588" s="105" t="str">
        <f>IF(F1588=True, IFERROR(VLOOKUP(D1588, Repository!A:G, 7, 0), ""), "")</f>
        <v/>
      </c>
      <c r="O1588" s="105" t="str">
        <f>IFERROR(__xludf.DUMMYFUNCTION("ARRAY_CONSTRAIN(
  ARRAYFORMULA(
    IFERROR(
      LET(
        list, N1588,
        arr, TRIM(SPLIT(list, "","")),
        names, XLOOKUP(
          arr,
          'Conformance Score'!A:A,
          'Conformance Score'!B:B,
          ""Not found""
     "&amp;"   ),
        TEXTJOIN("", "", TRUE, names)
      ),
      """"
    )
  ),
  1,
  1
)
"),"")</f>
        <v/>
      </c>
      <c r="P1588" s="105" t="str">
        <f>IF(F1588="Yes", IFERROR(VLOOKUP(D1588, Repository!A:F, 6, 0), ""), "")</f>
        <v/>
      </c>
      <c r="Q1588" s="105" t="str">
        <f>IF(F1588="Yes", IFERROR(VLOOKUP(D1588, Repository!A:I, 8, 0), ""), "")</f>
        <v/>
      </c>
      <c r="R1588" s="105" t="str">
        <f>IF(F1588="Yes", IFERROR(VLOOKUP(D1588, Repository!A:J, 9, 0), ""), "")</f>
        <v/>
      </c>
      <c r="S1588" s="105"/>
      <c r="T1588" s="105"/>
      <c r="U1588" s="105"/>
      <c r="V1588" s="105"/>
      <c r="W1588" s="105"/>
      <c r="X1588" s="105"/>
      <c r="Y1588" s="105"/>
      <c r="Z1588" s="105"/>
      <c r="AA1588" s="105"/>
      <c r="AB1588" s="105"/>
      <c r="AC1588" s="91"/>
      <c r="AD1588" s="105"/>
      <c r="AE1588" s="105"/>
      <c r="AF1588" s="91"/>
      <c r="AG1588" s="105"/>
      <c r="AH1588" s="105"/>
      <c r="AI1588" s="105" t="str">
        <f t="shared" si="1"/>
        <v/>
      </c>
      <c r="AJ1588" s="108" t="str">
        <f t="shared" si="2"/>
        <v/>
      </c>
    </row>
    <row r="1589" ht="15.75" customHeight="1">
      <c r="A1589" s="104"/>
      <c r="B1589" s="105" t="str">
        <f>IFERROR(__xludf.DUMMYFUNCTION("ARRAY_CONSTRAIN(
  ARRAYFORMULA(
    IF(
      'Final Report'!A1589="""",
      """",
      TEXTJOIN(
        "", "" &amp; CHAR(10),
        TRUE,
        IFERROR(
          VLOOKUP(
            TRIM(
              SPLIT('Final Report'!A1589, "","")
         "&amp;"   ),
            'URL Details'!A:B,
            2,
            FALSE
          ),
          """"
        )
      )
    )
  ),
  1,
  1
)
"),"")</f>
        <v/>
      </c>
      <c r="C1589" s="105" t="str">
        <f>IFERROR(__xludf.DUMMYFUNCTION("IFERROR(IF('Final Report'!A1589="""","""", TEXTJOIN(CHAR(10), TRUE, ARRAYFORMULA( ""• ""&amp; FILTER( TRIM(FLATTEN(SPLIT( REGEXREPLACE( SUBSTITUTE(TEXTJOIN("","", TRUE, IFERROR(ARRAYFORMULA(VLOOKUP(TRIM(SPLIT('Final Report'!A1589, "","")), 'URL Details'!A:D, "&amp;"4, FALSE)),"""") ), CHAR(10), "",""), ""\s*,\s*"", "",""), "",""))), TRIM(FLATTEN(SPLIT( REGEXREPLACE( SUBSTITUTE(TEXTJOIN("","", TRUE, IFERROR(ARRAYFORMULA(VLOOKUP(TRIM(SPLIT('Final Report'!A1589, "","")), 'URL Details'!A:D, 4, FALSE)),"""") ), CHAR(10),"&amp;" "",""), ""\s*,\s*"", "",""), "","")))&lt;&gt;"""" ) ) ) ),"""")
"),"")</f>
        <v/>
      </c>
      <c r="D1589" s="105"/>
      <c r="E1589" s="105"/>
      <c r="F1589" s="110" t="b">
        <v>0</v>
      </c>
      <c r="G1589" s="105" t="str">
        <f>IF(F1589=True, IFERROR(VLOOKUP(D1589, Repository!A:B, 2, 0), ""), "")</f>
        <v/>
      </c>
      <c r="H1589" s="105"/>
      <c r="I1589" s="105"/>
      <c r="J1589" s="105" t="str">
        <f>IF(F1589=True, IFERROR(VLOOKUP(D1589, Repository!A:C, 3, 0), ""), "")</f>
        <v/>
      </c>
      <c r="K1589" s="105"/>
      <c r="L1589" s="105" t="str">
        <f>IF(F1589=True, IFERROR(VLOOKUP(D1589, Repository!A:E, 5, 0), ""), "")</f>
        <v/>
      </c>
      <c r="M1589" s="105"/>
      <c r="N1589" s="105" t="str">
        <f>IF(F1589=True, IFERROR(VLOOKUP(D1589, Repository!A:G, 7, 0), ""), "")</f>
        <v/>
      </c>
      <c r="O1589" s="105" t="str">
        <f>IFERROR(__xludf.DUMMYFUNCTION("ARRAY_CONSTRAIN(
  ARRAYFORMULA(
    IFERROR(
      LET(
        list, N1589,
        arr, TRIM(SPLIT(list, "","")),
        names, XLOOKUP(
          arr,
          'Conformance Score'!A:A,
          'Conformance Score'!B:B,
          ""Not found""
     "&amp;"   ),
        TEXTJOIN("", "", TRUE, names)
      ),
      """"
    )
  ),
  1,
  1
)
"),"")</f>
        <v/>
      </c>
      <c r="P1589" s="105" t="str">
        <f>IF(F1589="Yes", IFERROR(VLOOKUP(D1589, Repository!A:F, 6, 0), ""), "")</f>
        <v/>
      </c>
      <c r="Q1589" s="105" t="str">
        <f>IF(F1589="Yes", IFERROR(VLOOKUP(D1589, Repository!A:I, 8, 0), ""), "")</f>
        <v/>
      </c>
      <c r="R1589" s="105" t="str">
        <f>IF(F1589="Yes", IFERROR(VLOOKUP(D1589, Repository!A:J, 9, 0), ""), "")</f>
        <v/>
      </c>
      <c r="S1589" s="105"/>
      <c r="T1589" s="105"/>
      <c r="U1589" s="105"/>
      <c r="V1589" s="105"/>
      <c r="W1589" s="105"/>
      <c r="X1589" s="105"/>
      <c r="Y1589" s="105"/>
      <c r="Z1589" s="105"/>
      <c r="AA1589" s="105"/>
      <c r="AB1589" s="105"/>
      <c r="AC1589" s="91"/>
      <c r="AD1589" s="105"/>
      <c r="AE1589" s="105"/>
      <c r="AF1589" s="91"/>
      <c r="AG1589" s="105"/>
      <c r="AH1589" s="105"/>
      <c r="AI1589" s="105" t="str">
        <f t="shared" si="1"/>
        <v/>
      </c>
      <c r="AJ1589" s="108" t="str">
        <f t="shared" si="2"/>
        <v/>
      </c>
    </row>
    <row r="1590" ht="15.75" customHeight="1">
      <c r="A1590" s="104"/>
      <c r="B1590" s="105" t="str">
        <f>IFERROR(__xludf.DUMMYFUNCTION("ARRAY_CONSTRAIN(
  ARRAYFORMULA(
    IF(
      'Final Report'!A1590="""",
      """",
      TEXTJOIN(
        "", "" &amp; CHAR(10),
        TRUE,
        IFERROR(
          VLOOKUP(
            TRIM(
              SPLIT('Final Report'!A1590, "","")
         "&amp;"   ),
            'URL Details'!A:B,
            2,
            FALSE
          ),
          """"
        )
      )
    )
  ),
  1,
  1
)
"),"")</f>
        <v/>
      </c>
      <c r="C1590" s="105" t="str">
        <f>IFERROR(__xludf.DUMMYFUNCTION("IFERROR(IF('Final Report'!A1590="""","""", TEXTJOIN(CHAR(10), TRUE, ARRAYFORMULA( ""• ""&amp; FILTER( TRIM(FLATTEN(SPLIT( REGEXREPLACE( SUBSTITUTE(TEXTJOIN("","", TRUE, IFERROR(ARRAYFORMULA(VLOOKUP(TRIM(SPLIT('Final Report'!A1590, "","")), 'URL Details'!A:D, "&amp;"4, FALSE)),"""") ), CHAR(10), "",""), ""\s*,\s*"", "",""), "",""))), TRIM(FLATTEN(SPLIT( REGEXREPLACE( SUBSTITUTE(TEXTJOIN("","", TRUE, IFERROR(ARRAYFORMULA(VLOOKUP(TRIM(SPLIT('Final Report'!A1590, "","")), 'URL Details'!A:D, 4, FALSE)),"""") ), CHAR(10),"&amp;" "",""), ""\s*,\s*"", "",""), "","")))&lt;&gt;"""" ) ) ) ),"""")
"),"")</f>
        <v/>
      </c>
      <c r="D1590" s="105"/>
      <c r="E1590" s="105"/>
      <c r="F1590" s="110" t="b">
        <v>0</v>
      </c>
      <c r="G1590" s="105" t="str">
        <f>IF(F1590=True, IFERROR(VLOOKUP(D1590, Repository!A:B, 2, 0), ""), "")</f>
        <v/>
      </c>
      <c r="H1590" s="105"/>
      <c r="I1590" s="105"/>
      <c r="J1590" s="105" t="str">
        <f>IF(F1590=True, IFERROR(VLOOKUP(D1590, Repository!A:C, 3, 0), ""), "")</f>
        <v/>
      </c>
      <c r="K1590" s="105"/>
      <c r="L1590" s="105" t="str">
        <f>IF(F1590=True, IFERROR(VLOOKUP(D1590, Repository!A:E, 5, 0), ""), "")</f>
        <v/>
      </c>
      <c r="M1590" s="105"/>
      <c r="N1590" s="105" t="str">
        <f>IF(F1590=True, IFERROR(VLOOKUP(D1590, Repository!A:G, 7, 0), ""), "")</f>
        <v/>
      </c>
      <c r="O1590" s="105" t="str">
        <f>IFERROR(__xludf.DUMMYFUNCTION("ARRAY_CONSTRAIN(
  ARRAYFORMULA(
    IFERROR(
      LET(
        list, N1590,
        arr, TRIM(SPLIT(list, "","")),
        names, XLOOKUP(
          arr,
          'Conformance Score'!A:A,
          'Conformance Score'!B:B,
          ""Not found""
     "&amp;"   ),
        TEXTJOIN("", "", TRUE, names)
      ),
      """"
    )
  ),
  1,
  1
)
"),"")</f>
        <v/>
      </c>
      <c r="P1590" s="105" t="str">
        <f>IF(F1590="Yes", IFERROR(VLOOKUP(D1590, Repository!A:F, 6, 0), ""), "")</f>
        <v/>
      </c>
      <c r="Q1590" s="105" t="str">
        <f>IF(F1590="Yes", IFERROR(VLOOKUP(D1590, Repository!A:I, 8, 0), ""), "")</f>
        <v/>
      </c>
      <c r="R1590" s="105" t="str">
        <f>IF(F1590="Yes", IFERROR(VLOOKUP(D1590, Repository!A:J, 9, 0), ""), "")</f>
        <v/>
      </c>
      <c r="S1590" s="105"/>
      <c r="T1590" s="105"/>
      <c r="U1590" s="105"/>
      <c r="V1590" s="105"/>
      <c r="W1590" s="105"/>
      <c r="X1590" s="105"/>
      <c r="Y1590" s="105"/>
      <c r="Z1590" s="105"/>
      <c r="AA1590" s="105"/>
      <c r="AB1590" s="105"/>
      <c r="AC1590" s="91"/>
      <c r="AD1590" s="105"/>
      <c r="AE1590" s="105"/>
      <c r="AF1590" s="91"/>
      <c r="AG1590" s="105"/>
      <c r="AH1590" s="105"/>
      <c r="AI1590" s="105" t="str">
        <f t="shared" si="1"/>
        <v/>
      </c>
      <c r="AJ1590" s="108" t="str">
        <f t="shared" si="2"/>
        <v/>
      </c>
    </row>
    <row r="1591" ht="15.75" customHeight="1">
      <c r="A1591" s="104"/>
      <c r="B1591" s="105" t="str">
        <f>IFERROR(__xludf.DUMMYFUNCTION("ARRAY_CONSTRAIN(
  ARRAYFORMULA(
    IF(
      'Final Report'!A1591="""",
      """",
      TEXTJOIN(
        "", "" &amp; CHAR(10),
        TRUE,
        IFERROR(
          VLOOKUP(
            TRIM(
              SPLIT('Final Report'!A1591, "","")
         "&amp;"   ),
            'URL Details'!A:B,
            2,
            FALSE
          ),
          """"
        )
      )
    )
  ),
  1,
  1
)
"),"")</f>
        <v/>
      </c>
      <c r="C1591" s="105" t="str">
        <f>IFERROR(__xludf.DUMMYFUNCTION("IFERROR(IF('Final Report'!A1591="""","""", TEXTJOIN(CHAR(10), TRUE, ARRAYFORMULA( ""• ""&amp; FILTER( TRIM(FLATTEN(SPLIT( REGEXREPLACE( SUBSTITUTE(TEXTJOIN("","", TRUE, IFERROR(ARRAYFORMULA(VLOOKUP(TRIM(SPLIT('Final Report'!A1591, "","")), 'URL Details'!A:D, "&amp;"4, FALSE)),"""") ), CHAR(10), "",""), ""\s*,\s*"", "",""), "",""))), TRIM(FLATTEN(SPLIT( REGEXREPLACE( SUBSTITUTE(TEXTJOIN("","", TRUE, IFERROR(ARRAYFORMULA(VLOOKUP(TRIM(SPLIT('Final Report'!A1591, "","")), 'URL Details'!A:D, 4, FALSE)),"""") ), CHAR(10),"&amp;" "",""), ""\s*,\s*"", "",""), "","")))&lt;&gt;"""" ) ) ) ),"""")
"),"")</f>
        <v/>
      </c>
      <c r="D1591" s="105"/>
      <c r="E1591" s="105"/>
      <c r="F1591" s="110" t="b">
        <v>0</v>
      </c>
      <c r="G1591" s="105" t="str">
        <f>IF(F1591=True, IFERROR(VLOOKUP(D1591, Repository!A:B, 2, 0), ""), "")</f>
        <v/>
      </c>
      <c r="H1591" s="105"/>
      <c r="I1591" s="105"/>
      <c r="J1591" s="105" t="str">
        <f>IF(F1591=True, IFERROR(VLOOKUP(D1591, Repository!A:C, 3, 0), ""), "")</f>
        <v/>
      </c>
      <c r="K1591" s="105"/>
      <c r="L1591" s="105" t="str">
        <f>IF(F1591=True, IFERROR(VLOOKUP(D1591, Repository!A:E, 5, 0), ""), "")</f>
        <v/>
      </c>
      <c r="M1591" s="105"/>
      <c r="N1591" s="105" t="str">
        <f>IF(F1591=True, IFERROR(VLOOKUP(D1591, Repository!A:G, 7, 0), ""), "")</f>
        <v/>
      </c>
      <c r="O1591" s="105" t="str">
        <f>IFERROR(__xludf.DUMMYFUNCTION("ARRAY_CONSTRAIN(
  ARRAYFORMULA(
    IFERROR(
      LET(
        list, N1591,
        arr, TRIM(SPLIT(list, "","")),
        names, XLOOKUP(
          arr,
          'Conformance Score'!A:A,
          'Conformance Score'!B:B,
          ""Not found""
     "&amp;"   ),
        TEXTJOIN("", "", TRUE, names)
      ),
      """"
    )
  ),
  1,
  1
)
"),"")</f>
        <v/>
      </c>
      <c r="P1591" s="105" t="str">
        <f>IF(F1591="Yes", IFERROR(VLOOKUP(D1591, Repository!A:F, 6, 0), ""), "")</f>
        <v/>
      </c>
      <c r="Q1591" s="105" t="str">
        <f>IF(F1591="Yes", IFERROR(VLOOKUP(D1591, Repository!A:I, 8, 0), ""), "")</f>
        <v/>
      </c>
      <c r="R1591" s="105" t="str">
        <f>IF(F1591="Yes", IFERROR(VLOOKUP(D1591, Repository!A:J, 9, 0), ""), "")</f>
        <v/>
      </c>
      <c r="S1591" s="105"/>
      <c r="T1591" s="105"/>
      <c r="U1591" s="105"/>
      <c r="V1591" s="105"/>
      <c r="W1591" s="105"/>
      <c r="X1591" s="105"/>
      <c r="Y1591" s="105"/>
      <c r="Z1591" s="105"/>
      <c r="AA1591" s="105"/>
      <c r="AB1591" s="105"/>
      <c r="AC1591" s="91"/>
      <c r="AD1591" s="105"/>
      <c r="AE1591" s="105"/>
      <c r="AF1591" s="91"/>
      <c r="AG1591" s="105"/>
      <c r="AH1591" s="105"/>
      <c r="AI1591" s="105" t="str">
        <f t="shared" si="1"/>
        <v/>
      </c>
      <c r="AJ1591" s="108" t="str">
        <f t="shared" si="2"/>
        <v/>
      </c>
    </row>
    <row r="1592" ht="15.75" customHeight="1">
      <c r="A1592" s="104"/>
      <c r="B1592" s="105" t="str">
        <f>IFERROR(__xludf.DUMMYFUNCTION("ARRAY_CONSTRAIN(
  ARRAYFORMULA(
    IF(
      'Final Report'!A1592="""",
      """",
      TEXTJOIN(
        "", "" &amp; CHAR(10),
        TRUE,
        IFERROR(
          VLOOKUP(
            TRIM(
              SPLIT('Final Report'!A1592, "","")
         "&amp;"   ),
            'URL Details'!A:B,
            2,
            FALSE
          ),
          """"
        )
      )
    )
  ),
  1,
  1
)
"),"")</f>
        <v/>
      </c>
      <c r="C1592" s="105" t="str">
        <f>IFERROR(__xludf.DUMMYFUNCTION("IFERROR(IF('Final Report'!A1592="""","""", TEXTJOIN(CHAR(10), TRUE, ARRAYFORMULA( ""• ""&amp; FILTER( TRIM(FLATTEN(SPLIT( REGEXREPLACE( SUBSTITUTE(TEXTJOIN("","", TRUE, IFERROR(ARRAYFORMULA(VLOOKUP(TRIM(SPLIT('Final Report'!A1592, "","")), 'URL Details'!A:D, "&amp;"4, FALSE)),"""") ), CHAR(10), "",""), ""\s*,\s*"", "",""), "",""))), TRIM(FLATTEN(SPLIT( REGEXREPLACE( SUBSTITUTE(TEXTJOIN("","", TRUE, IFERROR(ARRAYFORMULA(VLOOKUP(TRIM(SPLIT('Final Report'!A1592, "","")), 'URL Details'!A:D, 4, FALSE)),"""") ), CHAR(10),"&amp;" "",""), ""\s*,\s*"", "",""), "","")))&lt;&gt;"""" ) ) ) ),"""")
"),"")</f>
        <v/>
      </c>
      <c r="D1592" s="105"/>
      <c r="E1592" s="105"/>
      <c r="F1592" s="110" t="b">
        <v>0</v>
      </c>
      <c r="G1592" s="105" t="str">
        <f>IF(F1592=True, IFERROR(VLOOKUP(D1592, Repository!A:B, 2, 0), ""), "")</f>
        <v/>
      </c>
      <c r="H1592" s="105"/>
      <c r="I1592" s="105"/>
      <c r="J1592" s="105" t="str">
        <f>IF(F1592=True, IFERROR(VLOOKUP(D1592, Repository!A:C, 3, 0), ""), "")</f>
        <v/>
      </c>
      <c r="K1592" s="105"/>
      <c r="L1592" s="105" t="str">
        <f>IF(F1592=True, IFERROR(VLOOKUP(D1592, Repository!A:E, 5, 0), ""), "")</f>
        <v/>
      </c>
      <c r="M1592" s="105"/>
      <c r="N1592" s="105" t="str">
        <f>IF(F1592=True, IFERROR(VLOOKUP(D1592, Repository!A:G, 7, 0), ""), "")</f>
        <v/>
      </c>
      <c r="O1592" s="105" t="str">
        <f>IFERROR(__xludf.DUMMYFUNCTION("ARRAY_CONSTRAIN(
  ARRAYFORMULA(
    IFERROR(
      LET(
        list, N1592,
        arr, TRIM(SPLIT(list, "","")),
        names, XLOOKUP(
          arr,
          'Conformance Score'!A:A,
          'Conformance Score'!B:B,
          ""Not found""
     "&amp;"   ),
        TEXTJOIN("", "", TRUE, names)
      ),
      """"
    )
  ),
  1,
  1
)
"),"")</f>
        <v/>
      </c>
      <c r="P1592" s="105" t="str">
        <f>IF(F1592="Yes", IFERROR(VLOOKUP(D1592, Repository!A:F, 6, 0), ""), "")</f>
        <v/>
      </c>
      <c r="Q1592" s="105" t="str">
        <f>IF(F1592="Yes", IFERROR(VLOOKUP(D1592, Repository!A:I, 8, 0), ""), "")</f>
        <v/>
      </c>
      <c r="R1592" s="105" t="str">
        <f>IF(F1592="Yes", IFERROR(VLOOKUP(D1592, Repository!A:J, 9, 0), ""), "")</f>
        <v/>
      </c>
      <c r="S1592" s="105"/>
      <c r="T1592" s="105"/>
      <c r="U1592" s="105"/>
      <c r="V1592" s="105"/>
      <c r="W1592" s="105"/>
      <c r="X1592" s="105"/>
      <c r="Y1592" s="105"/>
      <c r="Z1592" s="105"/>
      <c r="AA1592" s="105"/>
      <c r="AB1592" s="105"/>
      <c r="AC1592" s="91"/>
      <c r="AD1592" s="105"/>
      <c r="AE1592" s="105"/>
      <c r="AF1592" s="91"/>
      <c r="AG1592" s="105"/>
      <c r="AH1592" s="105"/>
      <c r="AI1592" s="105" t="str">
        <f t="shared" si="1"/>
        <v/>
      </c>
      <c r="AJ1592" s="108" t="str">
        <f t="shared" si="2"/>
        <v/>
      </c>
    </row>
    <row r="1593" ht="15.75" customHeight="1">
      <c r="A1593" s="104"/>
      <c r="B1593" s="105" t="str">
        <f>IFERROR(__xludf.DUMMYFUNCTION("ARRAY_CONSTRAIN(
  ARRAYFORMULA(
    IF(
      'Final Report'!A1593="""",
      """",
      TEXTJOIN(
        "", "" &amp; CHAR(10),
        TRUE,
        IFERROR(
          VLOOKUP(
            TRIM(
              SPLIT('Final Report'!A1593, "","")
         "&amp;"   ),
            'URL Details'!A:B,
            2,
            FALSE
          ),
          """"
        )
      )
    )
  ),
  1,
  1
)
"),"")</f>
        <v/>
      </c>
      <c r="C1593" s="105" t="str">
        <f>IFERROR(__xludf.DUMMYFUNCTION("IFERROR(IF('Final Report'!A1593="""","""", TEXTJOIN(CHAR(10), TRUE, ARRAYFORMULA( ""• ""&amp; FILTER( TRIM(FLATTEN(SPLIT( REGEXREPLACE( SUBSTITUTE(TEXTJOIN("","", TRUE, IFERROR(ARRAYFORMULA(VLOOKUP(TRIM(SPLIT('Final Report'!A1593, "","")), 'URL Details'!A:D, "&amp;"4, FALSE)),"""") ), CHAR(10), "",""), ""\s*,\s*"", "",""), "",""))), TRIM(FLATTEN(SPLIT( REGEXREPLACE( SUBSTITUTE(TEXTJOIN("","", TRUE, IFERROR(ARRAYFORMULA(VLOOKUP(TRIM(SPLIT('Final Report'!A1593, "","")), 'URL Details'!A:D, 4, FALSE)),"""") ), CHAR(10),"&amp;" "",""), ""\s*,\s*"", "",""), "","")))&lt;&gt;"""" ) ) ) ),"""")
"),"")</f>
        <v/>
      </c>
      <c r="D1593" s="105"/>
      <c r="E1593" s="105"/>
      <c r="F1593" s="110" t="b">
        <v>0</v>
      </c>
      <c r="G1593" s="105" t="str">
        <f>IF(F1593=True, IFERROR(VLOOKUP(D1593, Repository!A:B, 2, 0), ""), "")</f>
        <v/>
      </c>
      <c r="H1593" s="105"/>
      <c r="I1593" s="105"/>
      <c r="J1593" s="105" t="str">
        <f>IF(F1593=True, IFERROR(VLOOKUP(D1593, Repository!A:C, 3, 0), ""), "")</f>
        <v/>
      </c>
      <c r="K1593" s="105"/>
      <c r="L1593" s="105" t="str">
        <f>IF(F1593=True, IFERROR(VLOOKUP(D1593, Repository!A:E, 5, 0), ""), "")</f>
        <v/>
      </c>
      <c r="M1593" s="105"/>
      <c r="N1593" s="105" t="str">
        <f>IF(F1593=True, IFERROR(VLOOKUP(D1593, Repository!A:G, 7, 0), ""), "")</f>
        <v/>
      </c>
      <c r="O1593" s="105" t="str">
        <f>IFERROR(__xludf.DUMMYFUNCTION("ARRAY_CONSTRAIN(
  ARRAYFORMULA(
    IFERROR(
      LET(
        list, N1593,
        arr, TRIM(SPLIT(list, "","")),
        names, XLOOKUP(
          arr,
          'Conformance Score'!A:A,
          'Conformance Score'!B:B,
          ""Not found""
     "&amp;"   ),
        TEXTJOIN("", "", TRUE, names)
      ),
      """"
    )
  ),
  1,
  1
)
"),"")</f>
        <v/>
      </c>
      <c r="P1593" s="105" t="str">
        <f>IF(F1593="Yes", IFERROR(VLOOKUP(D1593, Repository!A:F, 6, 0), ""), "")</f>
        <v/>
      </c>
      <c r="Q1593" s="105" t="str">
        <f>IF(F1593="Yes", IFERROR(VLOOKUP(D1593, Repository!A:I, 8, 0), ""), "")</f>
        <v/>
      </c>
      <c r="R1593" s="105" t="str">
        <f>IF(F1593="Yes", IFERROR(VLOOKUP(D1593, Repository!A:J, 9, 0), ""), "")</f>
        <v/>
      </c>
      <c r="S1593" s="105"/>
      <c r="T1593" s="105"/>
      <c r="U1593" s="105"/>
      <c r="V1593" s="105"/>
      <c r="W1593" s="105"/>
      <c r="X1593" s="105"/>
      <c r="Y1593" s="105"/>
      <c r="Z1593" s="105"/>
      <c r="AA1593" s="105"/>
      <c r="AB1593" s="105"/>
      <c r="AC1593" s="91"/>
      <c r="AD1593" s="105"/>
      <c r="AE1593" s="105"/>
      <c r="AF1593" s="91"/>
      <c r="AG1593" s="105"/>
      <c r="AH1593" s="105"/>
      <c r="AI1593" s="105" t="str">
        <f t="shared" si="1"/>
        <v/>
      </c>
      <c r="AJ1593" s="108" t="str">
        <f t="shared" si="2"/>
        <v/>
      </c>
    </row>
    <row r="1594" ht="15.75" customHeight="1">
      <c r="A1594" s="104"/>
      <c r="B1594" s="105" t="str">
        <f>IFERROR(__xludf.DUMMYFUNCTION("ARRAY_CONSTRAIN(
  ARRAYFORMULA(
    IF(
      'Final Report'!A1594="""",
      """",
      TEXTJOIN(
        "", "" &amp; CHAR(10),
        TRUE,
        IFERROR(
          VLOOKUP(
            TRIM(
              SPLIT('Final Report'!A1594, "","")
         "&amp;"   ),
            'URL Details'!A:B,
            2,
            FALSE
          ),
          """"
        )
      )
    )
  ),
  1,
  1
)
"),"")</f>
        <v/>
      </c>
      <c r="C1594" s="105" t="str">
        <f>IFERROR(__xludf.DUMMYFUNCTION("IFERROR(IF('Final Report'!A1594="""","""", TEXTJOIN(CHAR(10), TRUE, ARRAYFORMULA( ""• ""&amp; FILTER( TRIM(FLATTEN(SPLIT( REGEXREPLACE( SUBSTITUTE(TEXTJOIN("","", TRUE, IFERROR(ARRAYFORMULA(VLOOKUP(TRIM(SPLIT('Final Report'!A1594, "","")), 'URL Details'!A:D, "&amp;"4, FALSE)),"""") ), CHAR(10), "",""), ""\s*,\s*"", "",""), "",""))), TRIM(FLATTEN(SPLIT( REGEXREPLACE( SUBSTITUTE(TEXTJOIN("","", TRUE, IFERROR(ARRAYFORMULA(VLOOKUP(TRIM(SPLIT('Final Report'!A1594, "","")), 'URL Details'!A:D, 4, FALSE)),"""") ), CHAR(10),"&amp;" "",""), ""\s*,\s*"", "",""), "","")))&lt;&gt;"""" ) ) ) ),"""")
"),"")</f>
        <v/>
      </c>
      <c r="D1594" s="105"/>
      <c r="E1594" s="105"/>
      <c r="F1594" s="110" t="b">
        <v>0</v>
      </c>
      <c r="G1594" s="105" t="str">
        <f>IF(F1594=True, IFERROR(VLOOKUP(D1594, Repository!A:B, 2, 0), ""), "")</f>
        <v/>
      </c>
      <c r="H1594" s="105"/>
      <c r="I1594" s="105"/>
      <c r="J1594" s="105" t="str">
        <f>IF(F1594=True, IFERROR(VLOOKUP(D1594, Repository!A:C, 3, 0), ""), "")</f>
        <v/>
      </c>
      <c r="K1594" s="105"/>
      <c r="L1594" s="105" t="str">
        <f>IF(F1594=True, IFERROR(VLOOKUP(D1594, Repository!A:E, 5, 0), ""), "")</f>
        <v/>
      </c>
      <c r="M1594" s="105"/>
      <c r="N1594" s="105" t="str">
        <f>IF(F1594=True, IFERROR(VLOOKUP(D1594, Repository!A:G, 7, 0), ""), "")</f>
        <v/>
      </c>
      <c r="O1594" s="105" t="str">
        <f>IFERROR(__xludf.DUMMYFUNCTION("ARRAY_CONSTRAIN(
  ARRAYFORMULA(
    IFERROR(
      LET(
        list, N1594,
        arr, TRIM(SPLIT(list, "","")),
        names, XLOOKUP(
          arr,
          'Conformance Score'!A:A,
          'Conformance Score'!B:B,
          ""Not found""
     "&amp;"   ),
        TEXTJOIN("", "", TRUE, names)
      ),
      """"
    )
  ),
  1,
  1
)
"),"")</f>
        <v/>
      </c>
      <c r="P1594" s="105" t="str">
        <f>IF(F1594="Yes", IFERROR(VLOOKUP(D1594, Repository!A:F, 6, 0), ""), "")</f>
        <v/>
      </c>
      <c r="Q1594" s="105" t="str">
        <f>IF(F1594="Yes", IFERROR(VLOOKUP(D1594, Repository!A:I, 8, 0), ""), "")</f>
        <v/>
      </c>
      <c r="R1594" s="105" t="str">
        <f>IF(F1594="Yes", IFERROR(VLOOKUP(D1594, Repository!A:J, 9, 0), ""), "")</f>
        <v/>
      </c>
      <c r="S1594" s="105"/>
      <c r="T1594" s="105"/>
      <c r="U1594" s="105"/>
      <c r="V1594" s="105"/>
      <c r="W1594" s="105"/>
      <c r="X1594" s="105"/>
      <c r="Y1594" s="105"/>
      <c r="Z1594" s="105"/>
      <c r="AA1594" s="105"/>
      <c r="AB1594" s="105"/>
      <c r="AC1594" s="91"/>
      <c r="AD1594" s="105"/>
      <c r="AE1594" s="105"/>
      <c r="AF1594" s="91"/>
      <c r="AG1594" s="105"/>
      <c r="AH1594" s="105"/>
      <c r="AI1594" s="105" t="str">
        <f t="shared" si="1"/>
        <v/>
      </c>
      <c r="AJ1594" s="108" t="str">
        <f t="shared" si="2"/>
        <v/>
      </c>
    </row>
    <row r="1595" ht="15.75" customHeight="1">
      <c r="A1595" s="104"/>
      <c r="B1595" s="105" t="str">
        <f>IFERROR(__xludf.DUMMYFUNCTION("ARRAY_CONSTRAIN(
  ARRAYFORMULA(
    IF(
      'Final Report'!A1595="""",
      """",
      TEXTJOIN(
        "", "" &amp; CHAR(10),
        TRUE,
        IFERROR(
          VLOOKUP(
            TRIM(
              SPLIT('Final Report'!A1595, "","")
         "&amp;"   ),
            'URL Details'!A:B,
            2,
            FALSE
          ),
          """"
        )
      )
    )
  ),
  1,
  1
)
"),"")</f>
        <v/>
      </c>
      <c r="C1595" s="105" t="str">
        <f>IFERROR(__xludf.DUMMYFUNCTION("IFERROR(IF('Final Report'!A1595="""","""", TEXTJOIN(CHAR(10), TRUE, ARRAYFORMULA( ""• ""&amp; FILTER( TRIM(FLATTEN(SPLIT( REGEXREPLACE( SUBSTITUTE(TEXTJOIN("","", TRUE, IFERROR(ARRAYFORMULA(VLOOKUP(TRIM(SPLIT('Final Report'!A1595, "","")), 'URL Details'!A:D, "&amp;"4, FALSE)),"""") ), CHAR(10), "",""), ""\s*,\s*"", "",""), "",""))), TRIM(FLATTEN(SPLIT( REGEXREPLACE( SUBSTITUTE(TEXTJOIN("","", TRUE, IFERROR(ARRAYFORMULA(VLOOKUP(TRIM(SPLIT('Final Report'!A1595, "","")), 'URL Details'!A:D, 4, FALSE)),"""") ), CHAR(10),"&amp;" "",""), ""\s*,\s*"", "",""), "","")))&lt;&gt;"""" ) ) ) ),"""")
"),"")</f>
        <v/>
      </c>
      <c r="D1595" s="105"/>
      <c r="E1595" s="105"/>
      <c r="F1595" s="110" t="b">
        <v>0</v>
      </c>
      <c r="G1595" s="105" t="str">
        <f>IF(F1595=True, IFERROR(VLOOKUP(D1595, Repository!A:B, 2, 0), ""), "")</f>
        <v/>
      </c>
      <c r="H1595" s="105"/>
      <c r="I1595" s="105"/>
      <c r="J1595" s="105" t="str">
        <f>IF(F1595=True, IFERROR(VLOOKUP(D1595, Repository!A:C, 3, 0), ""), "")</f>
        <v/>
      </c>
      <c r="K1595" s="105"/>
      <c r="L1595" s="105" t="str">
        <f>IF(F1595=True, IFERROR(VLOOKUP(D1595, Repository!A:E, 5, 0), ""), "")</f>
        <v/>
      </c>
      <c r="M1595" s="105"/>
      <c r="N1595" s="105" t="str">
        <f>IF(F1595=True, IFERROR(VLOOKUP(D1595, Repository!A:G, 7, 0), ""), "")</f>
        <v/>
      </c>
      <c r="O1595" s="105" t="str">
        <f>IFERROR(__xludf.DUMMYFUNCTION("ARRAY_CONSTRAIN(
  ARRAYFORMULA(
    IFERROR(
      LET(
        list, N1595,
        arr, TRIM(SPLIT(list, "","")),
        names, XLOOKUP(
          arr,
          'Conformance Score'!A:A,
          'Conformance Score'!B:B,
          ""Not found""
     "&amp;"   ),
        TEXTJOIN("", "", TRUE, names)
      ),
      """"
    )
  ),
  1,
  1
)
"),"")</f>
        <v/>
      </c>
      <c r="P1595" s="105" t="str">
        <f>IF(F1595="Yes", IFERROR(VLOOKUP(D1595, Repository!A:F, 6, 0), ""), "")</f>
        <v/>
      </c>
      <c r="Q1595" s="105" t="str">
        <f>IF(F1595="Yes", IFERROR(VLOOKUP(D1595, Repository!A:I, 8, 0), ""), "")</f>
        <v/>
      </c>
      <c r="R1595" s="105" t="str">
        <f>IF(F1595="Yes", IFERROR(VLOOKUP(D1595, Repository!A:J, 9, 0), ""), "")</f>
        <v/>
      </c>
      <c r="S1595" s="105"/>
      <c r="T1595" s="105"/>
      <c r="U1595" s="105"/>
      <c r="V1595" s="105"/>
      <c r="W1595" s="105"/>
      <c r="X1595" s="105"/>
      <c r="Y1595" s="105"/>
      <c r="Z1595" s="105"/>
      <c r="AA1595" s="105"/>
      <c r="AB1595" s="105"/>
      <c r="AC1595" s="91"/>
      <c r="AD1595" s="105"/>
      <c r="AE1595" s="105"/>
      <c r="AF1595" s="91"/>
      <c r="AG1595" s="105"/>
      <c r="AH1595" s="105"/>
      <c r="AI1595" s="105" t="str">
        <f t="shared" si="1"/>
        <v/>
      </c>
      <c r="AJ1595" s="108" t="str">
        <f t="shared" si="2"/>
        <v/>
      </c>
    </row>
    <row r="1596" ht="15.75" customHeight="1">
      <c r="A1596" s="104"/>
      <c r="B1596" s="105" t="str">
        <f>IFERROR(__xludf.DUMMYFUNCTION("ARRAY_CONSTRAIN(
  ARRAYFORMULA(
    IF(
      'Final Report'!A1596="""",
      """",
      TEXTJOIN(
        "", "" &amp; CHAR(10),
        TRUE,
        IFERROR(
          VLOOKUP(
            TRIM(
              SPLIT('Final Report'!A1596, "","")
         "&amp;"   ),
            'URL Details'!A:B,
            2,
            FALSE
          ),
          """"
        )
      )
    )
  ),
  1,
  1
)
"),"")</f>
        <v/>
      </c>
      <c r="C1596" s="105" t="str">
        <f>IFERROR(__xludf.DUMMYFUNCTION("IFERROR(IF('Final Report'!A1596="""","""", TEXTJOIN(CHAR(10), TRUE, ARRAYFORMULA( ""• ""&amp; FILTER( TRIM(FLATTEN(SPLIT( REGEXREPLACE( SUBSTITUTE(TEXTJOIN("","", TRUE, IFERROR(ARRAYFORMULA(VLOOKUP(TRIM(SPLIT('Final Report'!A1596, "","")), 'URL Details'!A:D, "&amp;"4, FALSE)),"""") ), CHAR(10), "",""), ""\s*,\s*"", "",""), "",""))), TRIM(FLATTEN(SPLIT( REGEXREPLACE( SUBSTITUTE(TEXTJOIN("","", TRUE, IFERROR(ARRAYFORMULA(VLOOKUP(TRIM(SPLIT('Final Report'!A1596, "","")), 'URL Details'!A:D, 4, FALSE)),"""") ), CHAR(10),"&amp;" "",""), ""\s*,\s*"", "",""), "","")))&lt;&gt;"""" ) ) ) ),"""")
"),"")</f>
        <v/>
      </c>
      <c r="D1596" s="105"/>
      <c r="E1596" s="105"/>
      <c r="F1596" s="110" t="b">
        <v>0</v>
      </c>
      <c r="G1596" s="105" t="str">
        <f>IF(F1596=True, IFERROR(VLOOKUP(D1596, Repository!A:B, 2, 0), ""), "")</f>
        <v/>
      </c>
      <c r="H1596" s="105"/>
      <c r="I1596" s="105"/>
      <c r="J1596" s="105" t="str">
        <f>IF(F1596=True, IFERROR(VLOOKUP(D1596, Repository!A:C, 3, 0), ""), "")</f>
        <v/>
      </c>
      <c r="K1596" s="105"/>
      <c r="L1596" s="105" t="str">
        <f>IF(F1596=True, IFERROR(VLOOKUP(D1596, Repository!A:E, 5, 0), ""), "")</f>
        <v/>
      </c>
      <c r="M1596" s="105"/>
      <c r="N1596" s="105" t="str">
        <f>IF(F1596=True, IFERROR(VLOOKUP(D1596, Repository!A:G, 7, 0), ""), "")</f>
        <v/>
      </c>
      <c r="O1596" s="105" t="str">
        <f>IFERROR(__xludf.DUMMYFUNCTION("ARRAY_CONSTRAIN(
  ARRAYFORMULA(
    IFERROR(
      LET(
        list, N1596,
        arr, TRIM(SPLIT(list, "","")),
        names, XLOOKUP(
          arr,
          'Conformance Score'!A:A,
          'Conformance Score'!B:B,
          ""Not found""
     "&amp;"   ),
        TEXTJOIN("", "", TRUE, names)
      ),
      """"
    )
  ),
  1,
  1
)
"),"")</f>
        <v/>
      </c>
      <c r="P1596" s="105" t="str">
        <f>IF(F1596="Yes", IFERROR(VLOOKUP(D1596, Repository!A:F, 6, 0), ""), "")</f>
        <v/>
      </c>
      <c r="Q1596" s="105" t="str">
        <f>IF(F1596="Yes", IFERROR(VLOOKUP(D1596, Repository!A:I, 8, 0), ""), "")</f>
        <v/>
      </c>
      <c r="R1596" s="105" t="str">
        <f>IF(F1596="Yes", IFERROR(VLOOKUP(D1596, Repository!A:J, 9, 0), ""), "")</f>
        <v/>
      </c>
      <c r="S1596" s="105"/>
      <c r="T1596" s="105"/>
      <c r="U1596" s="105"/>
      <c r="V1596" s="105"/>
      <c r="W1596" s="105"/>
      <c r="X1596" s="105"/>
      <c r="Y1596" s="105"/>
      <c r="Z1596" s="105"/>
      <c r="AA1596" s="105"/>
      <c r="AB1596" s="105"/>
      <c r="AC1596" s="91"/>
      <c r="AD1596" s="105"/>
      <c r="AE1596" s="105"/>
      <c r="AF1596" s="91"/>
      <c r="AG1596" s="105"/>
      <c r="AH1596" s="105"/>
      <c r="AI1596" s="105" t="str">
        <f t="shared" si="1"/>
        <v/>
      </c>
      <c r="AJ1596" s="108" t="str">
        <f t="shared" si="2"/>
        <v/>
      </c>
    </row>
    <row r="1597" ht="15.75" customHeight="1">
      <c r="A1597" s="104"/>
      <c r="B1597" s="105" t="str">
        <f>IFERROR(__xludf.DUMMYFUNCTION("ARRAY_CONSTRAIN(
  ARRAYFORMULA(
    IF(
      'Final Report'!A1597="""",
      """",
      TEXTJOIN(
        "", "" &amp; CHAR(10),
        TRUE,
        IFERROR(
          VLOOKUP(
            TRIM(
              SPLIT('Final Report'!A1597, "","")
         "&amp;"   ),
            'URL Details'!A:B,
            2,
            FALSE
          ),
          """"
        )
      )
    )
  ),
  1,
  1
)
"),"")</f>
        <v/>
      </c>
      <c r="C1597" s="105" t="str">
        <f>IFERROR(__xludf.DUMMYFUNCTION("IFERROR(IF('Final Report'!A1597="""","""", TEXTJOIN(CHAR(10), TRUE, ARRAYFORMULA( ""• ""&amp; FILTER( TRIM(FLATTEN(SPLIT( REGEXREPLACE( SUBSTITUTE(TEXTJOIN("","", TRUE, IFERROR(ARRAYFORMULA(VLOOKUP(TRIM(SPLIT('Final Report'!A1597, "","")), 'URL Details'!A:D, "&amp;"4, FALSE)),"""") ), CHAR(10), "",""), ""\s*,\s*"", "",""), "",""))), TRIM(FLATTEN(SPLIT( REGEXREPLACE( SUBSTITUTE(TEXTJOIN("","", TRUE, IFERROR(ARRAYFORMULA(VLOOKUP(TRIM(SPLIT('Final Report'!A1597, "","")), 'URL Details'!A:D, 4, FALSE)),"""") ), CHAR(10),"&amp;" "",""), ""\s*,\s*"", "",""), "","")))&lt;&gt;"""" ) ) ) ),"""")
"),"")</f>
        <v/>
      </c>
      <c r="D1597" s="105"/>
      <c r="E1597" s="105"/>
      <c r="F1597" s="110" t="b">
        <v>0</v>
      </c>
      <c r="G1597" s="105" t="str">
        <f>IF(F1597=True, IFERROR(VLOOKUP(D1597, Repository!A:B, 2, 0), ""), "")</f>
        <v/>
      </c>
      <c r="H1597" s="105"/>
      <c r="I1597" s="105"/>
      <c r="J1597" s="105" t="str">
        <f>IF(F1597=True, IFERROR(VLOOKUP(D1597, Repository!A:C, 3, 0), ""), "")</f>
        <v/>
      </c>
      <c r="K1597" s="105"/>
      <c r="L1597" s="105" t="str">
        <f>IF(F1597=True, IFERROR(VLOOKUP(D1597, Repository!A:E, 5, 0), ""), "")</f>
        <v/>
      </c>
      <c r="M1597" s="105"/>
      <c r="N1597" s="105" t="str">
        <f>IF(F1597=True, IFERROR(VLOOKUP(D1597, Repository!A:G, 7, 0), ""), "")</f>
        <v/>
      </c>
      <c r="O1597" s="105" t="str">
        <f>IFERROR(__xludf.DUMMYFUNCTION("ARRAY_CONSTRAIN(
  ARRAYFORMULA(
    IFERROR(
      LET(
        list, N1597,
        arr, TRIM(SPLIT(list, "","")),
        names, XLOOKUP(
          arr,
          'Conformance Score'!A:A,
          'Conformance Score'!B:B,
          ""Not found""
     "&amp;"   ),
        TEXTJOIN("", "", TRUE, names)
      ),
      """"
    )
  ),
  1,
  1
)
"),"")</f>
        <v/>
      </c>
      <c r="P1597" s="105" t="str">
        <f>IF(F1597="Yes", IFERROR(VLOOKUP(D1597, Repository!A:F, 6, 0), ""), "")</f>
        <v/>
      </c>
      <c r="Q1597" s="105" t="str">
        <f>IF(F1597="Yes", IFERROR(VLOOKUP(D1597, Repository!A:I, 8, 0), ""), "")</f>
        <v/>
      </c>
      <c r="R1597" s="105" t="str">
        <f>IF(F1597="Yes", IFERROR(VLOOKUP(D1597, Repository!A:J, 9, 0), ""), "")</f>
        <v/>
      </c>
      <c r="S1597" s="105"/>
      <c r="T1597" s="105"/>
      <c r="U1597" s="105"/>
      <c r="V1597" s="105"/>
      <c r="W1597" s="105"/>
      <c r="X1597" s="105"/>
      <c r="Y1597" s="105"/>
      <c r="Z1597" s="105"/>
      <c r="AA1597" s="105"/>
      <c r="AB1597" s="105"/>
      <c r="AC1597" s="91"/>
      <c r="AD1597" s="105"/>
      <c r="AE1597" s="105"/>
      <c r="AF1597" s="91"/>
      <c r="AG1597" s="105"/>
      <c r="AH1597" s="105"/>
      <c r="AI1597" s="105" t="str">
        <f t="shared" si="1"/>
        <v/>
      </c>
      <c r="AJ1597" s="108" t="str">
        <f t="shared" si="2"/>
        <v/>
      </c>
    </row>
    <row r="1598" ht="15.75" customHeight="1">
      <c r="A1598" s="104"/>
      <c r="B1598" s="105" t="str">
        <f>IFERROR(__xludf.DUMMYFUNCTION("ARRAY_CONSTRAIN(
  ARRAYFORMULA(
    IF(
      'Final Report'!A1598="""",
      """",
      TEXTJOIN(
        "", "" &amp; CHAR(10),
        TRUE,
        IFERROR(
          VLOOKUP(
            TRIM(
              SPLIT('Final Report'!A1598, "","")
         "&amp;"   ),
            'URL Details'!A:B,
            2,
            FALSE
          ),
          """"
        )
      )
    )
  ),
  1,
  1
)
"),"")</f>
        <v/>
      </c>
      <c r="C1598" s="105" t="str">
        <f>IFERROR(__xludf.DUMMYFUNCTION("IFERROR(IF('Final Report'!A1598="""","""", TEXTJOIN(CHAR(10), TRUE, ARRAYFORMULA( ""• ""&amp; FILTER( TRIM(FLATTEN(SPLIT( REGEXREPLACE( SUBSTITUTE(TEXTJOIN("","", TRUE, IFERROR(ARRAYFORMULA(VLOOKUP(TRIM(SPLIT('Final Report'!A1598, "","")), 'URL Details'!A:D, "&amp;"4, FALSE)),"""") ), CHAR(10), "",""), ""\s*,\s*"", "",""), "",""))), TRIM(FLATTEN(SPLIT( REGEXREPLACE( SUBSTITUTE(TEXTJOIN("","", TRUE, IFERROR(ARRAYFORMULA(VLOOKUP(TRIM(SPLIT('Final Report'!A1598, "","")), 'URL Details'!A:D, 4, FALSE)),"""") ), CHAR(10),"&amp;" "",""), ""\s*,\s*"", "",""), "","")))&lt;&gt;"""" ) ) ) ),"""")
"),"")</f>
        <v/>
      </c>
      <c r="D1598" s="105"/>
      <c r="E1598" s="105"/>
      <c r="F1598" s="110" t="b">
        <v>0</v>
      </c>
      <c r="G1598" s="105" t="str">
        <f>IF(F1598=True, IFERROR(VLOOKUP(D1598, Repository!A:B, 2, 0), ""), "")</f>
        <v/>
      </c>
      <c r="H1598" s="105"/>
      <c r="I1598" s="105"/>
      <c r="J1598" s="105" t="str">
        <f>IF(F1598=True, IFERROR(VLOOKUP(D1598, Repository!A:C, 3, 0), ""), "")</f>
        <v/>
      </c>
      <c r="K1598" s="105"/>
      <c r="L1598" s="105" t="str">
        <f>IF(F1598=True, IFERROR(VLOOKUP(D1598, Repository!A:E, 5, 0), ""), "")</f>
        <v/>
      </c>
      <c r="M1598" s="105"/>
      <c r="N1598" s="105" t="str">
        <f>IF(F1598=True, IFERROR(VLOOKUP(D1598, Repository!A:G, 7, 0), ""), "")</f>
        <v/>
      </c>
      <c r="O1598" s="105" t="str">
        <f>IFERROR(__xludf.DUMMYFUNCTION("ARRAY_CONSTRAIN(
  ARRAYFORMULA(
    IFERROR(
      LET(
        list, N1598,
        arr, TRIM(SPLIT(list, "","")),
        names, XLOOKUP(
          arr,
          'Conformance Score'!A:A,
          'Conformance Score'!B:B,
          ""Not found""
     "&amp;"   ),
        TEXTJOIN("", "", TRUE, names)
      ),
      """"
    )
  ),
  1,
  1
)
"),"")</f>
        <v/>
      </c>
      <c r="P1598" s="105" t="str">
        <f>IF(F1598="Yes", IFERROR(VLOOKUP(D1598, Repository!A:F, 6, 0), ""), "")</f>
        <v/>
      </c>
      <c r="Q1598" s="105" t="str">
        <f>IF(F1598="Yes", IFERROR(VLOOKUP(D1598, Repository!A:I, 8, 0), ""), "")</f>
        <v/>
      </c>
      <c r="R1598" s="105" t="str">
        <f>IF(F1598="Yes", IFERROR(VLOOKUP(D1598, Repository!A:J, 9, 0), ""), "")</f>
        <v/>
      </c>
      <c r="S1598" s="105"/>
      <c r="T1598" s="105"/>
      <c r="U1598" s="105"/>
      <c r="V1598" s="105"/>
      <c r="W1598" s="105"/>
      <c r="X1598" s="105"/>
      <c r="Y1598" s="105"/>
      <c r="Z1598" s="105"/>
      <c r="AA1598" s="105"/>
      <c r="AB1598" s="105"/>
      <c r="AC1598" s="91"/>
      <c r="AD1598" s="105"/>
      <c r="AE1598" s="105"/>
      <c r="AF1598" s="91"/>
      <c r="AG1598" s="105"/>
      <c r="AH1598" s="105"/>
      <c r="AI1598" s="105" t="str">
        <f t="shared" si="1"/>
        <v/>
      </c>
      <c r="AJ1598" s="108" t="str">
        <f t="shared" si="2"/>
        <v/>
      </c>
    </row>
    <row r="1599" ht="15.75" customHeight="1">
      <c r="A1599" s="104"/>
      <c r="B1599" s="105" t="str">
        <f>IFERROR(__xludf.DUMMYFUNCTION("ARRAY_CONSTRAIN(
  ARRAYFORMULA(
    IF(
      'Final Report'!A1599="""",
      """",
      TEXTJOIN(
        "", "" &amp; CHAR(10),
        TRUE,
        IFERROR(
          VLOOKUP(
            TRIM(
              SPLIT('Final Report'!A1599, "","")
         "&amp;"   ),
            'URL Details'!A:B,
            2,
            FALSE
          ),
          """"
        )
      )
    )
  ),
  1,
  1
)
"),"")</f>
        <v/>
      </c>
      <c r="C1599" s="105" t="str">
        <f>IFERROR(__xludf.DUMMYFUNCTION("IFERROR(IF('Final Report'!A1599="""","""", TEXTJOIN(CHAR(10), TRUE, ARRAYFORMULA( ""• ""&amp; FILTER( TRIM(FLATTEN(SPLIT( REGEXREPLACE( SUBSTITUTE(TEXTJOIN("","", TRUE, IFERROR(ARRAYFORMULA(VLOOKUP(TRIM(SPLIT('Final Report'!A1599, "","")), 'URL Details'!A:D, "&amp;"4, FALSE)),"""") ), CHAR(10), "",""), ""\s*,\s*"", "",""), "",""))), TRIM(FLATTEN(SPLIT( REGEXREPLACE( SUBSTITUTE(TEXTJOIN("","", TRUE, IFERROR(ARRAYFORMULA(VLOOKUP(TRIM(SPLIT('Final Report'!A1599, "","")), 'URL Details'!A:D, 4, FALSE)),"""") ), CHAR(10),"&amp;" "",""), ""\s*,\s*"", "",""), "","")))&lt;&gt;"""" ) ) ) ),"""")
"),"")</f>
        <v/>
      </c>
      <c r="D1599" s="105"/>
      <c r="E1599" s="105"/>
      <c r="F1599" s="110" t="b">
        <v>0</v>
      </c>
      <c r="G1599" s="105" t="str">
        <f>IF(F1599=True, IFERROR(VLOOKUP(D1599, Repository!A:B, 2, 0), ""), "")</f>
        <v/>
      </c>
      <c r="H1599" s="105"/>
      <c r="I1599" s="105"/>
      <c r="J1599" s="105" t="str">
        <f>IF(F1599=True, IFERROR(VLOOKUP(D1599, Repository!A:C, 3, 0), ""), "")</f>
        <v/>
      </c>
      <c r="K1599" s="105"/>
      <c r="L1599" s="105" t="str">
        <f>IF(F1599=True, IFERROR(VLOOKUP(D1599, Repository!A:E, 5, 0), ""), "")</f>
        <v/>
      </c>
      <c r="M1599" s="105"/>
      <c r="N1599" s="105" t="str">
        <f>IF(F1599=True, IFERROR(VLOOKUP(D1599, Repository!A:G, 7, 0), ""), "")</f>
        <v/>
      </c>
      <c r="O1599" s="105" t="str">
        <f>IFERROR(__xludf.DUMMYFUNCTION("ARRAY_CONSTRAIN(
  ARRAYFORMULA(
    IFERROR(
      LET(
        list, N1599,
        arr, TRIM(SPLIT(list, "","")),
        names, XLOOKUP(
          arr,
          'Conformance Score'!A:A,
          'Conformance Score'!B:B,
          ""Not found""
     "&amp;"   ),
        TEXTJOIN("", "", TRUE, names)
      ),
      """"
    )
  ),
  1,
  1
)
"),"")</f>
        <v/>
      </c>
      <c r="P1599" s="105" t="str">
        <f>IF(F1599="Yes", IFERROR(VLOOKUP(D1599, Repository!A:F, 6, 0), ""), "")</f>
        <v/>
      </c>
      <c r="Q1599" s="105" t="str">
        <f>IF(F1599="Yes", IFERROR(VLOOKUP(D1599, Repository!A:I, 8, 0), ""), "")</f>
        <v/>
      </c>
      <c r="R1599" s="105" t="str">
        <f>IF(F1599="Yes", IFERROR(VLOOKUP(D1599, Repository!A:J, 9, 0), ""), "")</f>
        <v/>
      </c>
      <c r="S1599" s="105"/>
      <c r="T1599" s="105"/>
      <c r="U1599" s="105"/>
      <c r="V1599" s="105"/>
      <c r="W1599" s="105"/>
      <c r="X1599" s="105"/>
      <c r="Y1599" s="105"/>
      <c r="Z1599" s="105"/>
      <c r="AA1599" s="105"/>
      <c r="AB1599" s="105"/>
      <c r="AC1599" s="91"/>
      <c r="AD1599" s="105"/>
      <c r="AE1599" s="105"/>
      <c r="AF1599" s="91"/>
      <c r="AG1599" s="105"/>
      <c r="AH1599" s="105"/>
      <c r="AI1599" s="105" t="str">
        <f t="shared" si="1"/>
        <v/>
      </c>
      <c r="AJ1599" s="108" t="str">
        <f t="shared" si="2"/>
        <v/>
      </c>
    </row>
    <row r="1600" ht="15.75" customHeight="1">
      <c r="A1600" s="104"/>
      <c r="B1600" s="105" t="str">
        <f>IFERROR(__xludf.DUMMYFUNCTION("ARRAY_CONSTRAIN(
  ARRAYFORMULA(
    IF(
      'Final Report'!A1600="""",
      """",
      TEXTJOIN(
        "", "" &amp; CHAR(10),
        TRUE,
        IFERROR(
          VLOOKUP(
            TRIM(
              SPLIT('Final Report'!A1600, "","")
         "&amp;"   ),
            'URL Details'!A:B,
            2,
            FALSE
          ),
          """"
        )
      )
    )
  ),
  1,
  1
)
"),"")</f>
        <v/>
      </c>
      <c r="C1600" s="105" t="str">
        <f>IFERROR(__xludf.DUMMYFUNCTION("IFERROR(IF('Final Report'!A1600="""","""", TEXTJOIN(CHAR(10), TRUE, ARRAYFORMULA( ""• ""&amp; FILTER( TRIM(FLATTEN(SPLIT( REGEXREPLACE( SUBSTITUTE(TEXTJOIN("","", TRUE, IFERROR(ARRAYFORMULA(VLOOKUP(TRIM(SPLIT('Final Report'!A1600, "","")), 'URL Details'!A:D, "&amp;"4, FALSE)),"""") ), CHAR(10), "",""), ""\s*,\s*"", "",""), "",""))), TRIM(FLATTEN(SPLIT( REGEXREPLACE( SUBSTITUTE(TEXTJOIN("","", TRUE, IFERROR(ARRAYFORMULA(VLOOKUP(TRIM(SPLIT('Final Report'!A1600, "","")), 'URL Details'!A:D, 4, FALSE)),"""") ), CHAR(10),"&amp;" "",""), ""\s*,\s*"", "",""), "","")))&lt;&gt;"""" ) ) ) ),"""")
"),"")</f>
        <v/>
      </c>
      <c r="D1600" s="105"/>
      <c r="E1600" s="105"/>
      <c r="F1600" s="110" t="b">
        <v>0</v>
      </c>
      <c r="G1600" s="105" t="str">
        <f>IF(F1600=True, IFERROR(VLOOKUP(D1600, Repository!A:B, 2, 0), ""), "")</f>
        <v/>
      </c>
      <c r="H1600" s="105"/>
      <c r="I1600" s="105"/>
      <c r="J1600" s="105" t="str">
        <f>IF(F1600=True, IFERROR(VLOOKUP(D1600, Repository!A:C, 3, 0), ""), "")</f>
        <v/>
      </c>
      <c r="K1600" s="105"/>
      <c r="L1600" s="105" t="str">
        <f>IF(F1600=True, IFERROR(VLOOKUP(D1600, Repository!A:E, 5, 0), ""), "")</f>
        <v/>
      </c>
      <c r="M1600" s="105"/>
      <c r="N1600" s="105" t="str">
        <f>IF(F1600=True, IFERROR(VLOOKUP(D1600, Repository!A:G, 7, 0), ""), "")</f>
        <v/>
      </c>
      <c r="O1600" s="105" t="str">
        <f>IFERROR(__xludf.DUMMYFUNCTION("ARRAY_CONSTRAIN(
  ARRAYFORMULA(
    IFERROR(
      LET(
        list, N1600,
        arr, TRIM(SPLIT(list, "","")),
        names, XLOOKUP(
          arr,
          'Conformance Score'!A:A,
          'Conformance Score'!B:B,
          ""Not found""
     "&amp;"   ),
        TEXTJOIN("", "", TRUE, names)
      ),
      """"
    )
  ),
  1,
  1
)
"),"")</f>
        <v/>
      </c>
      <c r="P1600" s="105" t="str">
        <f>IF(F1600="Yes", IFERROR(VLOOKUP(D1600, Repository!A:F, 6, 0), ""), "")</f>
        <v/>
      </c>
      <c r="Q1600" s="105" t="str">
        <f>IF(F1600="Yes", IFERROR(VLOOKUP(D1600, Repository!A:I, 8, 0), ""), "")</f>
        <v/>
      </c>
      <c r="R1600" s="105" t="str">
        <f>IF(F1600="Yes", IFERROR(VLOOKUP(D1600, Repository!A:J, 9, 0), ""), "")</f>
        <v/>
      </c>
      <c r="S1600" s="105"/>
      <c r="T1600" s="105"/>
      <c r="U1600" s="105"/>
      <c r="V1600" s="105"/>
      <c r="W1600" s="105"/>
      <c r="X1600" s="105"/>
      <c r="Y1600" s="105"/>
      <c r="Z1600" s="105"/>
      <c r="AA1600" s="105"/>
      <c r="AB1600" s="105"/>
      <c r="AC1600" s="91"/>
      <c r="AD1600" s="105"/>
      <c r="AE1600" s="105"/>
      <c r="AF1600" s="91"/>
      <c r="AG1600" s="105"/>
      <c r="AH1600" s="105"/>
      <c r="AI1600" s="105" t="str">
        <f t="shared" si="1"/>
        <v/>
      </c>
      <c r="AJ1600" s="108" t="str">
        <f t="shared" si="2"/>
        <v/>
      </c>
    </row>
    <row r="1601" ht="15.75" customHeight="1">
      <c r="A1601" s="104"/>
      <c r="B1601" s="105" t="str">
        <f>IFERROR(__xludf.DUMMYFUNCTION("ARRAY_CONSTRAIN(
  ARRAYFORMULA(
    IF(
      'Final Report'!A1601="""",
      """",
      TEXTJOIN(
        "", "" &amp; CHAR(10),
        TRUE,
        IFERROR(
          VLOOKUP(
            TRIM(
              SPLIT('Final Report'!A1601, "","")
         "&amp;"   ),
            'URL Details'!A:B,
            2,
            FALSE
          ),
          """"
        )
      )
    )
  ),
  1,
  1
)
"),"")</f>
        <v/>
      </c>
      <c r="C1601" s="105" t="str">
        <f>IFERROR(__xludf.DUMMYFUNCTION("IFERROR(IF('Final Report'!A1601="""","""", TEXTJOIN(CHAR(10), TRUE, ARRAYFORMULA( ""• ""&amp; FILTER( TRIM(FLATTEN(SPLIT( REGEXREPLACE( SUBSTITUTE(TEXTJOIN("","", TRUE, IFERROR(ARRAYFORMULA(VLOOKUP(TRIM(SPLIT('Final Report'!A1601, "","")), 'URL Details'!A:D, "&amp;"4, FALSE)),"""") ), CHAR(10), "",""), ""\s*,\s*"", "",""), "",""))), TRIM(FLATTEN(SPLIT( REGEXREPLACE( SUBSTITUTE(TEXTJOIN("","", TRUE, IFERROR(ARRAYFORMULA(VLOOKUP(TRIM(SPLIT('Final Report'!A1601, "","")), 'URL Details'!A:D, 4, FALSE)),"""") ), CHAR(10),"&amp;" "",""), ""\s*,\s*"", "",""), "","")))&lt;&gt;"""" ) ) ) ),"""")
"),"")</f>
        <v/>
      </c>
      <c r="D1601" s="105"/>
      <c r="E1601" s="105"/>
      <c r="F1601" s="110" t="b">
        <v>0</v>
      </c>
      <c r="G1601" s="105" t="str">
        <f>IF(F1601=True, IFERROR(VLOOKUP(D1601, Repository!A:B, 2, 0), ""), "")</f>
        <v/>
      </c>
      <c r="H1601" s="105"/>
      <c r="I1601" s="105"/>
      <c r="J1601" s="105" t="str">
        <f>IF(F1601=True, IFERROR(VLOOKUP(D1601, Repository!A:C, 3, 0), ""), "")</f>
        <v/>
      </c>
      <c r="K1601" s="105"/>
      <c r="L1601" s="105" t="str">
        <f>IF(F1601=True, IFERROR(VLOOKUP(D1601, Repository!A:E, 5, 0), ""), "")</f>
        <v/>
      </c>
      <c r="M1601" s="105"/>
      <c r="N1601" s="105" t="str">
        <f>IF(F1601=True, IFERROR(VLOOKUP(D1601, Repository!A:G, 7, 0), ""), "")</f>
        <v/>
      </c>
      <c r="O1601" s="105" t="str">
        <f>IFERROR(__xludf.DUMMYFUNCTION("ARRAY_CONSTRAIN(
  ARRAYFORMULA(
    IFERROR(
      LET(
        list, N1601,
        arr, TRIM(SPLIT(list, "","")),
        names, XLOOKUP(
          arr,
          'Conformance Score'!A:A,
          'Conformance Score'!B:B,
          ""Not found""
     "&amp;"   ),
        TEXTJOIN("", "", TRUE, names)
      ),
      """"
    )
  ),
  1,
  1
)
"),"")</f>
        <v/>
      </c>
      <c r="P1601" s="105" t="str">
        <f>IF(F1601="Yes", IFERROR(VLOOKUP(D1601, Repository!A:F, 6, 0), ""), "")</f>
        <v/>
      </c>
      <c r="Q1601" s="105" t="str">
        <f>IF(F1601="Yes", IFERROR(VLOOKUP(D1601, Repository!A:I, 8, 0), ""), "")</f>
        <v/>
      </c>
      <c r="R1601" s="105" t="str">
        <f>IF(F1601="Yes", IFERROR(VLOOKUP(D1601, Repository!A:J, 9, 0), ""), "")</f>
        <v/>
      </c>
      <c r="S1601" s="105"/>
      <c r="T1601" s="105"/>
      <c r="U1601" s="105"/>
      <c r="V1601" s="105"/>
      <c r="W1601" s="105"/>
      <c r="X1601" s="105"/>
      <c r="Y1601" s="105"/>
      <c r="Z1601" s="105"/>
      <c r="AA1601" s="105"/>
      <c r="AB1601" s="105"/>
      <c r="AC1601" s="91"/>
      <c r="AD1601" s="105"/>
      <c r="AE1601" s="105"/>
      <c r="AF1601" s="91"/>
      <c r="AG1601" s="105"/>
      <c r="AH1601" s="105"/>
      <c r="AI1601" s="105" t="str">
        <f t="shared" si="1"/>
        <v/>
      </c>
      <c r="AJ1601" s="108" t="str">
        <f t="shared" si="2"/>
        <v/>
      </c>
    </row>
    <row r="1602" ht="15.75" customHeight="1">
      <c r="A1602" s="104"/>
      <c r="B1602" s="105" t="str">
        <f>IFERROR(__xludf.DUMMYFUNCTION("ARRAY_CONSTRAIN(
  ARRAYFORMULA(
    IF(
      'Final Report'!A1602="""",
      """",
      TEXTJOIN(
        "", "" &amp; CHAR(10),
        TRUE,
        IFERROR(
          VLOOKUP(
            TRIM(
              SPLIT('Final Report'!A1602, "","")
         "&amp;"   ),
            'URL Details'!A:B,
            2,
            FALSE
          ),
          """"
        )
      )
    )
  ),
  1,
  1
)
"),"")</f>
        <v/>
      </c>
      <c r="C1602" s="105" t="str">
        <f>IFERROR(__xludf.DUMMYFUNCTION("IFERROR(IF('Final Report'!A1602="""","""", TEXTJOIN(CHAR(10), TRUE, ARRAYFORMULA( ""• ""&amp; FILTER( TRIM(FLATTEN(SPLIT( REGEXREPLACE( SUBSTITUTE(TEXTJOIN("","", TRUE, IFERROR(ARRAYFORMULA(VLOOKUP(TRIM(SPLIT('Final Report'!A1602, "","")), 'URL Details'!A:D, "&amp;"4, FALSE)),"""") ), CHAR(10), "",""), ""\s*,\s*"", "",""), "",""))), TRIM(FLATTEN(SPLIT( REGEXREPLACE( SUBSTITUTE(TEXTJOIN("","", TRUE, IFERROR(ARRAYFORMULA(VLOOKUP(TRIM(SPLIT('Final Report'!A1602, "","")), 'URL Details'!A:D, 4, FALSE)),"""") ), CHAR(10),"&amp;" "",""), ""\s*,\s*"", "",""), "","")))&lt;&gt;"""" ) ) ) ),"""")
"),"")</f>
        <v/>
      </c>
      <c r="D1602" s="105"/>
      <c r="E1602" s="105"/>
      <c r="F1602" s="110" t="b">
        <v>0</v>
      </c>
      <c r="G1602" s="105" t="str">
        <f>IF(F1602=True, IFERROR(VLOOKUP(D1602, Repository!A:B, 2, 0), ""), "")</f>
        <v/>
      </c>
      <c r="H1602" s="105"/>
      <c r="I1602" s="105"/>
      <c r="J1602" s="105" t="str">
        <f>IF(F1602=True, IFERROR(VLOOKUP(D1602, Repository!A:C, 3, 0), ""), "")</f>
        <v/>
      </c>
      <c r="K1602" s="105"/>
      <c r="L1602" s="105" t="str">
        <f>IF(F1602=True, IFERROR(VLOOKUP(D1602, Repository!A:E, 5, 0), ""), "")</f>
        <v/>
      </c>
      <c r="M1602" s="105"/>
      <c r="N1602" s="105" t="str">
        <f>IF(F1602=True, IFERROR(VLOOKUP(D1602, Repository!A:G, 7, 0), ""), "")</f>
        <v/>
      </c>
      <c r="O1602" s="105" t="str">
        <f>IFERROR(__xludf.DUMMYFUNCTION("ARRAY_CONSTRAIN(
  ARRAYFORMULA(
    IFERROR(
      LET(
        list, N1602,
        arr, TRIM(SPLIT(list, "","")),
        names, XLOOKUP(
          arr,
          'Conformance Score'!A:A,
          'Conformance Score'!B:B,
          ""Not found""
     "&amp;"   ),
        TEXTJOIN("", "", TRUE, names)
      ),
      """"
    )
  ),
  1,
  1
)
"),"")</f>
        <v/>
      </c>
      <c r="P1602" s="105" t="str">
        <f>IF(F1602="Yes", IFERROR(VLOOKUP(D1602, Repository!A:F, 6, 0), ""), "")</f>
        <v/>
      </c>
      <c r="Q1602" s="105" t="str">
        <f>IF(F1602="Yes", IFERROR(VLOOKUP(D1602, Repository!A:I, 8, 0), ""), "")</f>
        <v/>
      </c>
      <c r="R1602" s="105" t="str">
        <f>IF(F1602="Yes", IFERROR(VLOOKUP(D1602, Repository!A:J, 9, 0), ""), "")</f>
        <v/>
      </c>
      <c r="S1602" s="105"/>
      <c r="T1602" s="105"/>
      <c r="U1602" s="105"/>
      <c r="V1602" s="105"/>
      <c r="W1602" s="105"/>
      <c r="X1602" s="105"/>
      <c r="Y1602" s="105"/>
      <c r="Z1602" s="105"/>
      <c r="AA1602" s="105"/>
      <c r="AB1602" s="105"/>
      <c r="AC1602" s="91"/>
      <c r="AD1602" s="105"/>
      <c r="AE1602" s="105"/>
      <c r="AF1602" s="91"/>
      <c r="AG1602" s="105"/>
      <c r="AH1602" s="105"/>
      <c r="AI1602" s="105" t="str">
        <f t="shared" si="1"/>
        <v/>
      </c>
      <c r="AJ1602" s="108" t="str">
        <f t="shared" si="2"/>
        <v/>
      </c>
    </row>
    <row r="1603" ht="15.75" customHeight="1">
      <c r="A1603" s="104"/>
      <c r="B1603" s="105" t="str">
        <f>IFERROR(__xludf.DUMMYFUNCTION("ARRAY_CONSTRAIN(
  ARRAYFORMULA(
    IF(
      'Final Report'!A1603="""",
      """",
      TEXTJOIN(
        "", "" &amp; CHAR(10),
        TRUE,
        IFERROR(
          VLOOKUP(
            TRIM(
              SPLIT('Final Report'!A1603, "","")
         "&amp;"   ),
            'URL Details'!A:B,
            2,
            FALSE
          ),
          """"
        )
      )
    )
  ),
  1,
  1
)
"),"")</f>
        <v/>
      </c>
      <c r="C1603" s="105" t="str">
        <f>IFERROR(__xludf.DUMMYFUNCTION("IFERROR(IF('Final Report'!A1603="""","""", TEXTJOIN(CHAR(10), TRUE, ARRAYFORMULA( ""• ""&amp; FILTER( TRIM(FLATTEN(SPLIT( REGEXREPLACE( SUBSTITUTE(TEXTJOIN("","", TRUE, IFERROR(ARRAYFORMULA(VLOOKUP(TRIM(SPLIT('Final Report'!A1603, "","")), 'URL Details'!A:D, "&amp;"4, FALSE)),"""") ), CHAR(10), "",""), ""\s*,\s*"", "",""), "",""))), TRIM(FLATTEN(SPLIT( REGEXREPLACE( SUBSTITUTE(TEXTJOIN("","", TRUE, IFERROR(ARRAYFORMULA(VLOOKUP(TRIM(SPLIT('Final Report'!A1603, "","")), 'URL Details'!A:D, 4, FALSE)),"""") ), CHAR(10),"&amp;" "",""), ""\s*,\s*"", "",""), "","")))&lt;&gt;"""" ) ) ) ),"""")
"),"")</f>
        <v/>
      </c>
      <c r="D1603" s="105"/>
      <c r="E1603" s="105"/>
      <c r="F1603" s="110" t="b">
        <v>0</v>
      </c>
      <c r="G1603" s="105" t="str">
        <f>IF(F1603=True, IFERROR(VLOOKUP(D1603, Repository!A:B, 2, 0), ""), "")</f>
        <v/>
      </c>
      <c r="H1603" s="105"/>
      <c r="I1603" s="105"/>
      <c r="J1603" s="105" t="str">
        <f>IF(F1603=True, IFERROR(VLOOKUP(D1603, Repository!A:C, 3, 0), ""), "")</f>
        <v/>
      </c>
      <c r="K1603" s="105"/>
      <c r="L1603" s="105" t="str">
        <f>IF(F1603=True, IFERROR(VLOOKUP(D1603, Repository!A:E, 5, 0), ""), "")</f>
        <v/>
      </c>
      <c r="M1603" s="105"/>
      <c r="N1603" s="105" t="str">
        <f>IF(F1603=True, IFERROR(VLOOKUP(D1603, Repository!A:G, 7, 0), ""), "")</f>
        <v/>
      </c>
      <c r="O1603" s="105" t="str">
        <f>IFERROR(__xludf.DUMMYFUNCTION("ARRAY_CONSTRAIN(
  ARRAYFORMULA(
    IFERROR(
      LET(
        list, N1603,
        arr, TRIM(SPLIT(list, "","")),
        names, XLOOKUP(
          arr,
          'Conformance Score'!A:A,
          'Conformance Score'!B:B,
          ""Not found""
     "&amp;"   ),
        TEXTJOIN("", "", TRUE, names)
      ),
      """"
    )
  ),
  1,
  1
)
"),"")</f>
        <v/>
      </c>
      <c r="P1603" s="105" t="str">
        <f>IF(F1603="Yes", IFERROR(VLOOKUP(D1603, Repository!A:F, 6, 0), ""), "")</f>
        <v/>
      </c>
      <c r="Q1603" s="105" t="str">
        <f>IF(F1603="Yes", IFERROR(VLOOKUP(D1603, Repository!A:I, 8, 0), ""), "")</f>
        <v/>
      </c>
      <c r="R1603" s="105" t="str">
        <f>IF(F1603="Yes", IFERROR(VLOOKUP(D1603, Repository!A:J, 9, 0), ""), "")</f>
        <v/>
      </c>
      <c r="S1603" s="105"/>
      <c r="T1603" s="105"/>
      <c r="U1603" s="105"/>
      <c r="V1603" s="105"/>
      <c r="W1603" s="105"/>
      <c r="X1603" s="105"/>
      <c r="Y1603" s="105"/>
      <c r="Z1603" s="105"/>
      <c r="AA1603" s="105"/>
      <c r="AB1603" s="105"/>
      <c r="AC1603" s="91"/>
      <c r="AD1603" s="105"/>
      <c r="AE1603" s="105"/>
      <c r="AF1603" s="91"/>
      <c r="AG1603" s="105"/>
      <c r="AH1603" s="105"/>
      <c r="AI1603" s="105" t="str">
        <f t="shared" si="1"/>
        <v/>
      </c>
      <c r="AJ1603" s="108" t="str">
        <f t="shared" si="2"/>
        <v/>
      </c>
    </row>
    <row r="1604" ht="15.75" customHeight="1">
      <c r="A1604" s="104"/>
      <c r="B1604" s="105" t="str">
        <f>IFERROR(__xludf.DUMMYFUNCTION("ARRAY_CONSTRAIN(
  ARRAYFORMULA(
    IF(
      'Final Report'!A1604="""",
      """",
      TEXTJOIN(
        "", "" &amp; CHAR(10),
        TRUE,
        IFERROR(
          VLOOKUP(
            TRIM(
              SPLIT('Final Report'!A1604, "","")
         "&amp;"   ),
            'URL Details'!A:B,
            2,
            FALSE
          ),
          """"
        )
      )
    )
  ),
  1,
  1
)
"),"")</f>
        <v/>
      </c>
      <c r="C1604" s="105" t="str">
        <f>IFERROR(__xludf.DUMMYFUNCTION("IFERROR(IF('Final Report'!A1604="""","""", TEXTJOIN(CHAR(10), TRUE, ARRAYFORMULA( ""• ""&amp; FILTER( TRIM(FLATTEN(SPLIT( REGEXREPLACE( SUBSTITUTE(TEXTJOIN("","", TRUE, IFERROR(ARRAYFORMULA(VLOOKUP(TRIM(SPLIT('Final Report'!A1604, "","")), 'URL Details'!A:D, "&amp;"4, FALSE)),"""") ), CHAR(10), "",""), ""\s*,\s*"", "",""), "",""))), TRIM(FLATTEN(SPLIT( REGEXREPLACE( SUBSTITUTE(TEXTJOIN("","", TRUE, IFERROR(ARRAYFORMULA(VLOOKUP(TRIM(SPLIT('Final Report'!A1604, "","")), 'URL Details'!A:D, 4, FALSE)),"""") ), CHAR(10),"&amp;" "",""), ""\s*,\s*"", "",""), "","")))&lt;&gt;"""" ) ) ) ),"""")
"),"")</f>
        <v/>
      </c>
      <c r="D1604" s="105"/>
      <c r="E1604" s="105"/>
      <c r="F1604" s="110" t="b">
        <v>0</v>
      </c>
      <c r="G1604" s="105" t="str">
        <f>IF(F1604=True, IFERROR(VLOOKUP(D1604, Repository!A:B, 2, 0), ""), "")</f>
        <v/>
      </c>
      <c r="H1604" s="105"/>
      <c r="I1604" s="105"/>
      <c r="J1604" s="105" t="str">
        <f>IF(F1604=True, IFERROR(VLOOKUP(D1604, Repository!A:C, 3, 0), ""), "")</f>
        <v/>
      </c>
      <c r="K1604" s="105"/>
      <c r="L1604" s="105" t="str">
        <f>IF(F1604=True, IFERROR(VLOOKUP(D1604, Repository!A:E, 5, 0), ""), "")</f>
        <v/>
      </c>
      <c r="M1604" s="105"/>
      <c r="N1604" s="105" t="str">
        <f>IF(F1604=True, IFERROR(VLOOKUP(D1604, Repository!A:G, 7, 0), ""), "")</f>
        <v/>
      </c>
      <c r="O1604" s="105" t="str">
        <f>IFERROR(__xludf.DUMMYFUNCTION("ARRAY_CONSTRAIN(
  ARRAYFORMULA(
    IFERROR(
      LET(
        list, N1604,
        arr, TRIM(SPLIT(list, "","")),
        names, XLOOKUP(
          arr,
          'Conformance Score'!A:A,
          'Conformance Score'!B:B,
          ""Not found""
     "&amp;"   ),
        TEXTJOIN("", "", TRUE, names)
      ),
      """"
    )
  ),
  1,
  1
)
"),"")</f>
        <v/>
      </c>
      <c r="P1604" s="105" t="str">
        <f>IF(F1604="Yes", IFERROR(VLOOKUP(D1604, Repository!A:F, 6, 0), ""), "")</f>
        <v/>
      </c>
      <c r="Q1604" s="105" t="str">
        <f>IF(F1604="Yes", IFERROR(VLOOKUP(D1604, Repository!A:I, 8, 0), ""), "")</f>
        <v/>
      </c>
      <c r="R1604" s="105" t="str">
        <f>IF(F1604="Yes", IFERROR(VLOOKUP(D1604, Repository!A:J, 9, 0), ""), "")</f>
        <v/>
      </c>
      <c r="S1604" s="105"/>
      <c r="T1604" s="105"/>
      <c r="U1604" s="105"/>
      <c r="V1604" s="105"/>
      <c r="W1604" s="105"/>
      <c r="X1604" s="105"/>
      <c r="Y1604" s="105"/>
      <c r="Z1604" s="105"/>
      <c r="AA1604" s="105"/>
      <c r="AB1604" s="105"/>
      <c r="AC1604" s="91"/>
      <c r="AD1604" s="105"/>
      <c r="AE1604" s="105"/>
      <c r="AF1604" s="91"/>
      <c r="AG1604" s="105"/>
      <c r="AH1604" s="105"/>
      <c r="AI1604" s="105" t="str">
        <f t="shared" si="1"/>
        <v/>
      </c>
      <c r="AJ1604" s="108" t="str">
        <f t="shared" si="2"/>
        <v/>
      </c>
    </row>
    <row r="1605" ht="15.75" customHeight="1">
      <c r="A1605" s="104"/>
      <c r="B1605" s="105" t="str">
        <f>IFERROR(__xludf.DUMMYFUNCTION("ARRAY_CONSTRAIN(
  ARRAYFORMULA(
    IF(
      'Final Report'!A1605="""",
      """",
      TEXTJOIN(
        "", "" &amp; CHAR(10),
        TRUE,
        IFERROR(
          VLOOKUP(
            TRIM(
              SPLIT('Final Report'!A1605, "","")
         "&amp;"   ),
            'URL Details'!A:B,
            2,
            FALSE
          ),
          """"
        )
      )
    )
  ),
  1,
  1
)
"),"")</f>
        <v/>
      </c>
      <c r="C1605" s="105" t="str">
        <f>IFERROR(__xludf.DUMMYFUNCTION("IFERROR(IF('Final Report'!A1605="""","""", TEXTJOIN(CHAR(10), TRUE, ARRAYFORMULA( ""• ""&amp; FILTER( TRIM(FLATTEN(SPLIT( REGEXREPLACE( SUBSTITUTE(TEXTJOIN("","", TRUE, IFERROR(ARRAYFORMULA(VLOOKUP(TRIM(SPLIT('Final Report'!A1605, "","")), 'URL Details'!A:D, "&amp;"4, FALSE)),"""") ), CHAR(10), "",""), ""\s*,\s*"", "",""), "",""))), TRIM(FLATTEN(SPLIT( REGEXREPLACE( SUBSTITUTE(TEXTJOIN("","", TRUE, IFERROR(ARRAYFORMULA(VLOOKUP(TRIM(SPLIT('Final Report'!A1605, "","")), 'URL Details'!A:D, 4, FALSE)),"""") ), CHAR(10),"&amp;" "",""), ""\s*,\s*"", "",""), "","")))&lt;&gt;"""" ) ) ) ),"""")
"),"")</f>
        <v/>
      </c>
      <c r="D1605" s="105"/>
      <c r="E1605" s="105"/>
      <c r="F1605" s="110" t="b">
        <v>0</v>
      </c>
      <c r="G1605" s="105" t="str">
        <f>IF(F1605=True, IFERROR(VLOOKUP(D1605, Repository!A:B, 2, 0), ""), "")</f>
        <v/>
      </c>
      <c r="H1605" s="105"/>
      <c r="I1605" s="105"/>
      <c r="J1605" s="105" t="str">
        <f>IF(F1605=True, IFERROR(VLOOKUP(D1605, Repository!A:C, 3, 0), ""), "")</f>
        <v/>
      </c>
      <c r="K1605" s="105"/>
      <c r="L1605" s="105" t="str">
        <f>IF(F1605=True, IFERROR(VLOOKUP(D1605, Repository!A:E, 5, 0), ""), "")</f>
        <v/>
      </c>
      <c r="M1605" s="105"/>
      <c r="N1605" s="105" t="str">
        <f>IF(F1605=True, IFERROR(VLOOKUP(D1605, Repository!A:G, 7, 0), ""), "")</f>
        <v/>
      </c>
      <c r="O1605" s="105" t="str">
        <f>IFERROR(__xludf.DUMMYFUNCTION("ARRAY_CONSTRAIN(
  ARRAYFORMULA(
    IFERROR(
      LET(
        list, N1605,
        arr, TRIM(SPLIT(list, "","")),
        names, XLOOKUP(
          arr,
          'Conformance Score'!A:A,
          'Conformance Score'!B:B,
          ""Not found""
     "&amp;"   ),
        TEXTJOIN("", "", TRUE, names)
      ),
      """"
    )
  ),
  1,
  1
)
"),"")</f>
        <v/>
      </c>
      <c r="P1605" s="105" t="str">
        <f>IF(F1605="Yes", IFERROR(VLOOKUP(D1605, Repository!A:F, 6, 0), ""), "")</f>
        <v/>
      </c>
      <c r="Q1605" s="105" t="str">
        <f>IF(F1605="Yes", IFERROR(VLOOKUP(D1605, Repository!A:I, 8, 0), ""), "")</f>
        <v/>
      </c>
      <c r="R1605" s="105" t="str">
        <f>IF(F1605="Yes", IFERROR(VLOOKUP(D1605, Repository!A:J, 9, 0), ""), "")</f>
        <v/>
      </c>
      <c r="S1605" s="105"/>
      <c r="T1605" s="105"/>
      <c r="U1605" s="105"/>
      <c r="V1605" s="105"/>
      <c r="W1605" s="105"/>
      <c r="X1605" s="105"/>
      <c r="Y1605" s="105"/>
      <c r="Z1605" s="105"/>
      <c r="AA1605" s="105"/>
      <c r="AB1605" s="105"/>
      <c r="AC1605" s="91"/>
      <c r="AD1605" s="105"/>
      <c r="AE1605" s="105"/>
      <c r="AF1605" s="91"/>
      <c r="AG1605" s="105"/>
      <c r="AH1605" s="105"/>
      <c r="AI1605" s="105" t="str">
        <f t="shared" si="1"/>
        <v/>
      </c>
      <c r="AJ1605" s="108" t="str">
        <f t="shared" si="2"/>
        <v/>
      </c>
    </row>
    <row r="1606" ht="15.75" customHeight="1">
      <c r="A1606" s="104"/>
      <c r="B1606" s="105" t="str">
        <f>IFERROR(__xludf.DUMMYFUNCTION("ARRAY_CONSTRAIN(
  ARRAYFORMULA(
    IF(
      'Final Report'!A1606="""",
      """",
      TEXTJOIN(
        "", "" &amp; CHAR(10),
        TRUE,
        IFERROR(
          VLOOKUP(
            TRIM(
              SPLIT('Final Report'!A1606, "","")
         "&amp;"   ),
            'URL Details'!A:B,
            2,
            FALSE
          ),
          """"
        )
      )
    )
  ),
  1,
  1
)
"),"")</f>
        <v/>
      </c>
      <c r="C1606" s="105" t="str">
        <f>IFERROR(__xludf.DUMMYFUNCTION("IFERROR(IF('Final Report'!A1606="""","""", TEXTJOIN(CHAR(10), TRUE, ARRAYFORMULA( ""• ""&amp; FILTER( TRIM(FLATTEN(SPLIT( REGEXREPLACE( SUBSTITUTE(TEXTJOIN("","", TRUE, IFERROR(ARRAYFORMULA(VLOOKUP(TRIM(SPLIT('Final Report'!A1606, "","")), 'URL Details'!A:D, "&amp;"4, FALSE)),"""") ), CHAR(10), "",""), ""\s*,\s*"", "",""), "",""))), TRIM(FLATTEN(SPLIT( REGEXREPLACE( SUBSTITUTE(TEXTJOIN("","", TRUE, IFERROR(ARRAYFORMULA(VLOOKUP(TRIM(SPLIT('Final Report'!A1606, "","")), 'URL Details'!A:D, 4, FALSE)),"""") ), CHAR(10),"&amp;" "",""), ""\s*,\s*"", "",""), "","")))&lt;&gt;"""" ) ) ) ),"""")
"),"")</f>
        <v/>
      </c>
      <c r="D1606" s="105"/>
      <c r="E1606" s="105"/>
      <c r="F1606" s="110" t="b">
        <v>0</v>
      </c>
      <c r="G1606" s="105" t="str">
        <f>IF(F1606=True, IFERROR(VLOOKUP(D1606, Repository!A:B, 2, 0), ""), "")</f>
        <v/>
      </c>
      <c r="H1606" s="105"/>
      <c r="I1606" s="105"/>
      <c r="J1606" s="105" t="str">
        <f>IF(F1606=True, IFERROR(VLOOKUP(D1606, Repository!A:C, 3, 0), ""), "")</f>
        <v/>
      </c>
      <c r="K1606" s="105"/>
      <c r="L1606" s="105" t="str">
        <f>IF(F1606=True, IFERROR(VLOOKUP(D1606, Repository!A:E, 5, 0), ""), "")</f>
        <v/>
      </c>
      <c r="M1606" s="105"/>
      <c r="N1606" s="105" t="str">
        <f>IF(F1606=True, IFERROR(VLOOKUP(D1606, Repository!A:G, 7, 0), ""), "")</f>
        <v/>
      </c>
      <c r="O1606" s="105" t="str">
        <f>IFERROR(__xludf.DUMMYFUNCTION("ARRAY_CONSTRAIN(
  ARRAYFORMULA(
    IFERROR(
      LET(
        list, N1606,
        arr, TRIM(SPLIT(list, "","")),
        names, XLOOKUP(
          arr,
          'Conformance Score'!A:A,
          'Conformance Score'!B:B,
          ""Not found""
     "&amp;"   ),
        TEXTJOIN("", "", TRUE, names)
      ),
      """"
    )
  ),
  1,
  1
)
"),"")</f>
        <v/>
      </c>
      <c r="P1606" s="105" t="str">
        <f>IF(F1606="Yes", IFERROR(VLOOKUP(D1606, Repository!A:F, 6, 0), ""), "")</f>
        <v/>
      </c>
      <c r="Q1606" s="105" t="str">
        <f>IF(F1606="Yes", IFERROR(VLOOKUP(D1606, Repository!A:I, 8, 0), ""), "")</f>
        <v/>
      </c>
      <c r="R1606" s="105" t="str">
        <f>IF(F1606="Yes", IFERROR(VLOOKUP(D1606, Repository!A:J, 9, 0), ""), "")</f>
        <v/>
      </c>
      <c r="S1606" s="105"/>
      <c r="T1606" s="105"/>
      <c r="U1606" s="105"/>
      <c r="V1606" s="105"/>
      <c r="W1606" s="105"/>
      <c r="X1606" s="105"/>
      <c r="Y1606" s="105"/>
      <c r="Z1606" s="105"/>
      <c r="AA1606" s="105"/>
      <c r="AB1606" s="105"/>
      <c r="AC1606" s="91"/>
      <c r="AD1606" s="105"/>
      <c r="AE1606" s="105"/>
      <c r="AF1606" s="91"/>
      <c r="AG1606" s="105"/>
      <c r="AH1606" s="105"/>
      <c r="AI1606" s="105" t="str">
        <f t="shared" si="1"/>
        <v/>
      </c>
      <c r="AJ1606" s="108" t="str">
        <f t="shared" si="2"/>
        <v/>
      </c>
    </row>
    <row r="1607" ht="15.75" customHeight="1">
      <c r="A1607" s="104"/>
      <c r="B1607" s="105" t="str">
        <f>IFERROR(__xludf.DUMMYFUNCTION("ARRAY_CONSTRAIN(
  ARRAYFORMULA(
    IF(
      'Final Report'!A1607="""",
      """",
      TEXTJOIN(
        "", "" &amp; CHAR(10),
        TRUE,
        IFERROR(
          VLOOKUP(
            TRIM(
              SPLIT('Final Report'!A1607, "","")
         "&amp;"   ),
            'URL Details'!A:B,
            2,
            FALSE
          ),
          """"
        )
      )
    )
  ),
  1,
  1
)
"),"")</f>
        <v/>
      </c>
      <c r="C1607" s="105" t="str">
        <f>IFERROR(__xludf.DUMMYFUNCTION("IFERROR(IF('Final Report'!A1607="""","""", TEXTJOIN(CHAR(10), TRUE, ARRAYFORMULA( ""• ""&amp; FILTER( TRIM(FLATTEN(SPLIT( REGEXREPLACE( SUBSTITUTE(TEXTJOIN("","", TRUE, IFERROR(ARRAYFORMULA(VLOOKUP(TRIM(SPLIT('Final Report'!A1607, "","")), 'URL Details'!A:D, "&amp;"4, FALSE)),"""") ), CHAR(10), "",""), ""\s*,\s*"", "",""), "",""))), TRIM(FLATTEN(SPLIT( REGEXREPLACE( SUBSTITUTE(TEXTJOIN("","", TRUE, IFERROR(ARRAYFORMULA(VLOOKUP(TRIM(SPLIT('Final Report'!A1607, "","")), 'URL Details'!A:D, 4, FALSE)),"""") ), CHAR(10),"&amp;" "",""), ""\s*,\s*"", "",""), "","")))&lt;&gt;"""" ) ) ) ),"""")
"),"")</f>
        <v/>
      </c>
      <c r="D1607" s="105"/>
      <c r="E1607" s="105"/>
      <c r="F1607" s="110" t="b">
        <v>0</v>
      </c>
      <c r="G1607" s="105" t="str">
        <f>IF(F1607=True, IFERROR(VLOOKUP(D1607, Repository!A:B, 2, 0), ""), "")</f>
        <v/>
      </c>
      <c r="H1607" s="105"/>
      <c r="I1607" s="105"/>
      <c r="J1607" s="105" t="str">
        <f>IF(F1607=True, IFERROR(VLOOKUP(D1607, Repository!A:C, 3, 0), ""), "")</f>
        <v/>
      </c>
      <c r="K1607" s="105"/>
      <c r="L1607" s="105" t="str">
        <f>IF(F1607=True, IFERROR(VLOOKUP(D1607, Repository!A:E, 5, 0), ""), "")</f>
        <v/>
      </c>
      <c r="M1607" s="105"/>
      <c r="N1607" s="105" t="str">
        <f>IF(F1607=True, IFERROR(VLOOKUP(D1607, Repository!A:G, 7, 0), ""), "")</f>
        <v/>
      </c>
      <c r="O1607" s="105" t="str">
        <f>IFERROR(__xludf.DUMMYFUNCTION("ARRAY_CONSTRAIN(
  ARRAYFORMULA(
    IFERROR(
      LET(
        list, N1607,
        arr, TRIM(SPLIT(list, "","")),
        names, XLOOKUP(
          arr,
          'Conformance Score'!A:A,
          'Conformance Score'!B:B,
          ""Not found""
     "&amp;"   ),
        TEXTJOIN("", "", TRUE, names)
      ),
      """"
    )
  ),
  1,
  1
)
"),"")</f>
        <v/>
      </c>
      <c r="P1607" s="105" t="str">
        <f>IF(F1607="Yes", IFERROR(VLOOKUP(D1607, Repository!A:F, 6, 0), ""), "")</f>
        <v/>
      </c>
      <c r="Q1607" s="105" t="str">
        <f>IF(F1607="Yes", IFERROR(VLOOKUP(D1607, Repository!A:I, 8, 0), ""), "")</f>
        <v/>
      </c>
      <c r="R1607" s="105" t="str">
        <f>IF(F1607="Yes", IFERROR(VLOOKUP(D1607, Repository!A:J, 9, 0), ""), "")</f>
        <v/>
      </c>
      <c r="S1607" s="105"/>
      <c r="T1607" s="105"/>
      <c r="U1607" s="105"/>
      <c r="V1607" s="105"/>
      <c r="W1607" s="105"/>
      <c r="X1607" s="105"/>
      <c r="Y1607" s="105"/>
      <c r="Z1607" s="105"/>
      <c r="AA1607" s="105"/>
      <c r="AB1607" s="105"/>
      <c r="AC1607" s="91"/>
      <c r="AD1607" s="105"/>
      <c r="AE1607" s="105"/>
      <c r="AF1607" s="91"/>
      <c r="AG1607" s="105"/>
      <c r="AH1607" s="105"/>
      <c r="AI1607" s="105" t="str">
        <f t="shared" si="1"/>
        <v/>
      </c>
      <c r="AJ1607" s="108" t="str">
        <f t="shared" si="2"/>
        <v/>
      </c>
    </row>
    <row r="1608" ht="15.75" customHeight="1">
      <c r="A1608" s="104"/>
      <c r="B1608" s="105" t="str">
        <f>IFERROR(__xludf.DUMMYFUNCTION("ARRAY_CONSTRAIN(
  ARRAYFORMULA(
    IF(
      'Final Report'!A1608="""",
      """",
      TEXTJOIN(
        "", "" &amp; CHAR(10),
        TRUE,
        IFERROR(
          VLOOKUP(
            TRIM(
              SPLIT('Final Report'!A1608, "","")
         "&amp;"   ),
            'URL Details'!A:B,
            2,
            FALSE
          ),
          """"
        )
      )
    )
  ),
  1,
  1
)
"),"")</f>
        <v/>
      </c>
      <c r="C1608" s="105" t="str">
        <f>IFERROR(__xludf.DUMMYFUNCTION("IFERROR(IF('Final Report'!A1608="""","""", TEXTJOIN(CHAR(10), TRUE, ARRAYFORMULA( ""• ""&amp; FILTER( TRIM(FLATTEN(SPLIT( REGEXREPLACE( SUBSTITUTE(TEXTJOIN("","", TRUE, IFERROR(ARRAYFORMULA(VLOOKUP(TRIM(SPLIT('Final Report'!A1608, "","")), 'URL Details'!A:D, "&amp;"4, FALSE)),"""") ), CHAR(10), "",""), ""\s*,\s*"", "",""), "",""))), TRIM(FLATTEN(SPLIT( REGEXREPLACE( SUBSTITUTE(TEXTJOIN("","", TRUE, IFERROR(ARRAYFORMULA(VLOOKUP(TRIM(SPLIT('Final Report'!A1608, "","")), 'URL Details'!A:D, 4, FALSE)),"""") ), CHAR(10),"&amp;" "",""), ""\s*,\s*"", "",""), "","")))&lt;&gt;"""" ) ) ) ),"""")
"),"")</f>
        <v/>
      </c>
      <c r="D1608" s="105"/>
      <c r="E1608" s="105"/>
      <c r="F1608" s="110" t="b">
        <v>0</v>
      </c>
      <c r="G1608" s="105" t="str">
        <f>IF(F1608=True, IFERROR(VLOOKUP(D1608, Repository!A:B, 2, 0), ""), "")</f>
        <v/>
      </c>
      <c r="H1608" s="105"/>
      <c r="I1608" s="105"/>
      <c r="J1608" s="105" t="str">
        <f>IF(F1608=True, IFERROR(VLOOKUP(D1608, Repository!A:C, 3, 0), ""), "")</f>
        <v/>
      </c>
      <c r="K1608" s="105"/>
      <c r="L1608" s="105" t="str">
        <f>IF(F1608=True, IFERROR(VLOOKUP(D1608, Repository!A:E, 5, 0), ""), "")</f>
        <v/>
      </c>
      <c r="M1608" s="105"/>
      <c r="N1608" s="105" t="str">
        <f>IF(F1608=True, IFERROR(VLOOKUP(D1608, Repository!A:G, 7, 0), ""), "")</f>
        <v/>
      </c>
      <c r="O1608" s="105" t="str">
        <f>IFERROR(__xludf.DUMMYFUNCTION("ARRAY_CONSTRAIN(
  ARRAYFORMULA(
    IFERROR(
      LET(
        list, N1608,
        arr, TRIM(SPLIT(list, "","")),
        names, XLOOKUP(
          arr,
          'Conformance Score'!A:A,
          'Conformance Score'!B:B,
          ""Not found""
     "&amp;"   ),
        TEXTJOIN("", "", TRUE, names)
      ),
      """"
    )
  ),
  1,
  1
)
"),"")</f>
        <v/>
      </c>
      <c r="P1608" s="105" t="str">
        <f>IF(F1608="Yes", IFERROR(VLOOKUP(D1608, Repository!A:F, 6, 0), ""), "")</f>
        <v/>
      </c>
      <c r="Q1608" s="105" t="str">
        <f>IF(F1608="Yes", IFERROR(VLOOKUP(D1608, Repository!A:I, 8, 0), ""), "")</f>
        <v/>
      </c>
      <c r="R1608" s="105" t="str">
        <f>IF(F1608="Yes", IFERROR(VLOOKUP(D1608, Repository!A:J, 9, 0), ""), "")</f>
        <v/>
      </c>
      <c r="S1608" s="105"/>
      <c r="T1608" s="105"/>
      <c r="U1608" s="105"/>
      <c r="V1608" s="105"/>
      <c r="W1608" s="105"/>
      <c r="X1608" s="105"/>
      <c r="Y1608" s="105"/>
      <c r="Z1608" s="105"/>
      <c r="AA1608" s="105"/>
      <c r="AB1608" s="105"/>
      <c r="AC1608" s="91"/>
      <c r="AD1608" s="105"/>
      <c r="AE1608" s="105"/>
      <c r="AF1608" s="91"/>
      <c r="AG1608" s="105"/>
      <c r="AH1608" s="105"/>
      <c r="AI1608" s="105" t="str">
        <f t="shared" si="1"/>
        <v/>
      </c>
      <c r="AJ1608" s="108" t="str">
        <f t="shared" si="2"/>
        <v/>
      </c>
    </row>
    <row r="1609" ht="15.75" customHeight="1">
      <c r="A1609" s="104"/>
      <c r="B1609" s="105" t="str">
        <f>IFERROR(__xludf.DUMMYFUNCTION("ARRAY_CONSTRAIN(
  ARRAYFORMULA(
    IF(
      'Final Report'!A1609="""",
      """",
      TEXTJOIN(
        "", "" &amp; CHAR(10),
        TRUE,
        IFERROR(
          VLOOKUP(
            TRIM(
              SPLIT('Final Report'!A1609, "","")
         "&amp;"   ),
            'URL Details'!A:B,
            2,
            FALSE
          ),
          """"
        )
      )
    )
  ),
  1,
  1
)
"),"")</f>
        <v/>
      </c>
      <c r="C1609" s="105" t="str">
        <f>IFERROR(__xludf.DUMMYFUNCTION("IFERROR(IF('Final Report'!A1609="""","""", TEXTJOIN(CHAR(10), TRUE, ARRAYFORMULA( ""• ""&amp; FILTER( TRIM(FLATTEN(SPLIT( REGEXREPLACE( SUBSTITUTE(TEXTJOIN("","", TRUE, IFERROR(ARRAYFORMULA(VLOOKUP(TRIM(SPLIT('Final Report'!A1609, "","")), 'URL Details'!A:D, "&amp;"4, FALSE)),"""") ), CHAR(10), "",""), ""\s*,\s*"", "",""), "",""))), TRIM(FLATTEN(SPLIT( REGEXREPLACE( SUBSTITUTE(TEXTJOIN("","", TRUE, IFERROR(ARRAYFORMULA(VLOOKUP(TRIM(SPLIT('Final Report'!A1609, "","")), 'URL Details'!A:D, 4, FALSE)),"""") ), CHAR(10),"&amp;" "",""), ""\s*,\s*"", "",""), "","")))&lt;&gt;"""" ) ) ) ),"""")
"),"")</f>
        <v/>
      </c>
      <c r="D1609" s="105"/>
      <c r="E1609" s="105"/>
      <c r="F1609" s="110" t="b">
        <v>0</v>
      </c>
      <c r="G1609" s="105" t="str">
        <f>IF(F1609=True, IFERROR(VLOOKUP(D1609, Repository!A:B, 2, 0), ""), "")</f>
        <v/>
      </c>
      <c r="H1609" s="105"/>
      <c r="I1609" s="105"/>
      <c r="J1609" s="105" t="str">
        <f>IF(F1609=True, IFERROR(VLOOKUP(D1609, Repository!A:C, 3, 0), ""), "")</f>
        <v/>
      </c>
      <c r="K1609" s="105"/>
      <c r="L1609" s="105" t="str">
        <f>IF(F1609=True, IFERROR(VLOOKUP(D1609, Repository!A:E, 5, 0), ""), "")</f>
        <v/>
      </c>
      <c r="M1609" s="105"/>
      <c r="N1609" s="105" t="str">
        <f>IF(F1609=True, IFERROR(VLOOKUP(D1609, Repository!A:G, 7, 0), ""), "")</f>
        <v/>
      </c>
      <c r="O1609" s="105" t="str">
        <f>IFERROR(__xludf.DUMMYFUNCTION("ARRAY_CONSTRAIN(
  ARRAYFORMULA(
    IFERROR(
      LET(
        list, N1609,
        arr, TRIM(SPLIT(list, "","")),
        names, XLOOKUP(
          arr,
          'Conformance Score'!A:A,
          'Conformance Score'!B:B,
          ""Not found""
     "&amp;"   ),
        TEXTJOIN("", "", TRUE, names)
      ),
      """"
    )
  ),
  1,
  1
)
"),"")</f>
        <v/>
      </c>
      <c r="P1609" s="105" t="str">
        <f>IF(F1609="Yes", IFERROR(VLOOKUP(D1609, Repository!A:F, 6, 0), ""), "")</f>
        <v/>
      </c>
      <c r="Q1609" s="105" t="str">
        <f>IF(F1609="Yes", IFERROR(VLOOKUP(D1609, Repository!A:I, 8, 0), ""), "")</f>
        <v/>
      </c>
      <c r="R1609" s="105" t="str">
        <f>IF(F1609="Yes", IFERROR(VLOOKUP(D1609, Repository!A:J, 9, 0), ""), "")</f>
        <v/>
      </c>
      <c r="S1609" s="105"/>
      <c r="T1609" s="105"/>
      <c r="U1609" s="105"/>
      <c r="V1609" s="105"/>
      <c r="W1609" s="105"/>
      <c r="X1609" s="105"/>
      <c r="Y1609" s="105"/>
      <c r="Z1609" s="105"/>
      <c r="AA1609" s="105"/>
      <c r="AB1609" s="105"/>
      <c r="AC1609" s="91"/>
      <c r="AD1609" s="105"/>
      <c r="AE1609" s="105"/>
      <c r="AF1609" s="91"/>
      <c r="AG1609" s="105"/>
      <c r="AH1609" s="105"/>
      <c r="AI1609" s="105" t="str">
        <f t="shared" si="1"/>
        <v/>
      </c>
      <c r="AJ1609" s="108" t="str">
        <f t="shared" si="2"/>
        <v/>
      </c>
    </row>
    <row r="1610" ht="15.75" customHeight="1">
      <c r="A1610" s="104"/>
      <c r="B1610" s="105" t="str">
        <f>IFERROR(__xludf.DUMMYFUNCTION("ARRAY_CONSTRAIN(
  ARRAYFORMULA(
    IF(
      'Final Report'!A1610="""",
      """",
      TEXTJOIN(
        "", "" &amp; CHAR(10),
        TRUE,
        IFERROR(
          VLOOKUP(
            TRIM(
              SPLIT('Final Report'!A1610, "","")
         "&amp;"   ),
            'URL Details'!A:B,
            2,
            FALSE
          ),
          """"
        )
      )
    )
  ),
  1,
  1
)
"),"")</f>
        <v/>
      </c>
      <c r="C1610" s="105" t="str">
        <f>IFERROR(__xludf.DUMMYFUNCTION("IFERROR(IF('Final Report'!A1610="""","""", TEXTJOIN(CHAR(10), TRUE, ARRAYFORMULA( ""• ""&amp; FILTER( TRIM(FLATTEN(SPLIT( REGEXREPLACE( SUBSTITUTE(TEXTJOIN("","", TRUE, IFERROR(ARRAYFORMULA(VLOOKUP(TRIM(SPLIT('Final Report'!A1610, "","")), 'URL Details'!A:D, "&amp;"4, FALSE)),"""") ), CHAR(10), "",""), ""\s*,\s*"", "",""), "",""))), TRIM(FLATTEN(SPLIT( REGEXREPLACE( SUBSTITUTE(TEXTJOIN("","", TRUE, IFERROR(ARRAYFORMULA(VLOOKUP(TRIM(SPLIT('Final Report'!A1610, "","")), 'URL Details'!A:D, 4, FALSE)),"""") ), CHAR(10),"&amp;" "",""), ""\s*,\s*"", "",""), "","")))&lt;&gt;"""" ) ) ) ),"""")
"),"")</f>
        <v/>
      </c>
      <c r="D1610" s="105"/>
      <c r="E1610" s="105"/>
      <c r="F1610" s="110" t="b">
        <v>0</v>
      </c>
      <c r="G1610" s="105" t="str">
        <f>IF(F1610=True, IFERROR(VLOOKUP(D1610, Repository!A:B, 2, 0), ""), "")</f>
        <v/>
      </c>
      <c r="H1610" s="105"/>
      <c r="I1610" s="105"/>
      <c r="J1610" s="105" t="str">
        <f>IF(F1610=True, IFERROR(VLOOKUP(D1610, Repository!A:C, 3, 0), ""), "")</f>
        <v/>
      </c>
      <c r="K1610" s="105"/>
      <c r="L1610" s="105" t="str">
        <f>IF(F1610=True, IFERROR(VLOOKUP(D1610, Repository!A:E, 5, 0), ""), "")</f>
        <v/>
      </c>
      <c r="M1610" s="105"/>
      <c r="N1610" s="105" t="str">
        <f>IF(F1610=True, IFERROR(VLOOKUP(D1610, Repository!A:G, 7, 0), ""), "")</f>
        <v/>
      </c>
      <c r="O1610" s="105" t="str">
        <f>IFERROR(__xludf.DUMMYFUNCTION("ARRAY_CONSTRAIN(
  ARRAYFORMULA(
    IFERROR(
      LET(
        list, N1610,
        arr, TRIM(SPLIT(list, "","")),
        names, XLOOKUP(
          arr,
          'Conformance Score'!A:A,
          'Conformance Score'!B:B,
          ""Not found""
     "&amp;"   ),
        TEXTJOIN("", "", TRUE, names)
      ),
      """"
    )
  ),
  1,
  1
)
"),"")</f>
        <v/>
      </c>
      <c r="P1610" s="105" t="str">
        <f>IF(F1610="Yes", IFERROR(VLOOKUP(D1610, Repository!A:F, 6, 0), ""), "")</f>
        <v/>
      </c>
      <c r="Q1610" s="105" t="str">
        <f>IF(F1610="Yes", IFERROR(VLOOKUP(D1610, Repository!A:I, 8, 0), ""), "")</f>
        <v/>
      </c>
      <c r="R1610" s="105" t="str">
        <f>IF(F1610="Yes", IFERROR(VLOOKUP(D1610, Repository!A:J, 9, 0), ""), "")</f>
        <v/>
      </c>
      <c r="S1610" s="105"/>
      <c r="T1610" s="105"/>
      <c r="U1610" s="105"/>
      <c r="V1610" s="105"/>
      <c r="W1610" s="105"/>
      <c r="X1610" s="105"/>
      <c r="Y1610" s="105"/>
      <c r="Z1610" s="105"/>
      <c r="AA1610" s="105"/>
      <c r="AB1610" s="105"/>
      <c r="AC1610" s="91"/>
      <c r="AD1610" s="105"/>
      <c r="AE1610" s="105"/>
      <c r="AF1610" s="91"/>
      <c r="AG1610" s="105"/>
      <c r="AH1610" s="105"/>
      <c r="AI1610" s="105" t="str">
        <f t="shared" si="1"/>
        <v/>
      </c>
      <c r="AJ1610" s="108" t="str">
        <f t="shared" si="2"/>
        <v/>
      </c>
    </row>
    <row r="1611" ht="15.75" customHeight="1">
      <c r="A1611" s="104"/>
      <c r="B1611" s="105" t="str">
        <f>IFERROR(__xludf.DUMMYFUNCTION("ARRAY_CONSTRAIN(
  ARRAYFORMULA(
    IF(
      'Final Report'!A1611="""",
      """",
      TEXTJOIN(
        "", "" &amp; CHAR(10),
        TRUE,
        IFERROR(
          VLOOKUP(
            TRIM(
              SPLIT('Final Report'!A1611, "","")
         "&amp;"   ),
            'URL Details'!A:B,
            2,
            FALSE
          ),
          """"
        )
      )
    )
  ),
  1,
  1
)
"),"")</f>
        <v/>
      </c>
      <c r="C1611" s="105" t="str">
        <f>IFERROR(__xludf.DUMMYFUNCTION("IFERROR(IF('Final Report'!A1611="""","""", TEXTJOIN(CHAR(10), TRUE, ARRAYFORMULA( ""• ""&amp; FILTER( TRIM(FLATTEN(SPLIT( REGEXREPLACE( SUBSTITUTE(TEXTJOIN("","", TRUE, IFERROR(ARRAYFORMULA(VLOOKUP(TRIM(SPLIT('Final Report'!A1611, "","")), 'URL Details'!A:D, "&amp;"4, FALSE)),"""") ), CHAR(10), "",""), ""\s*,\s*"", "",""), "",""))), TRIM(FLATTEN(SPLIT( REGEXREPLACE( SUBSTITUTE(TEXTJOIN("","", TRUE, IFERROR(ARRAYFORMULA(VLOOKUP(TRIM(SPLIT('Final Report'!A1611, "","")), 'URL Details'!A:D, 4, FALSE)),"""") ), CHAR(10),"&amp;" "",""), ""\s*,\s*"", "",""), "","")))&lt;&gt;"""" ) ) ) ),"""")
"),"")</f>
        <v/>
      </c>
      <c r="D1611" s="105"/>
      <c r="E1611" s="105"/>
      <c r="F1611" s="110" t="b">
        <v>0</v>
      </c>
      <c r="G1611" s="105" t="str">
        <f>IF(F1611=True, IFERROR(VLOOKUP(D1611, Repository!A:B, 2, 0), ""), "")</f>
        <v/>
      </c>
      <c r="H1611" s="105"/>
      <c r="I1611" s="105"/>
      <c r="J1611" s="105" t="str">
        <f>IF(F1611=True, IFERROR(VLOOKUP(D1611, Repository!A:C, 3, 0), ""), "")</f>
        <v/>
      </c>
      <c r="K1611" s="105"/>
      <c r="L1611" s="105" t="str">
        <f>IF(F1611=True, IFERROR(VLOOKUP(D1611, Repository!A:E, 5, 0), ""), "")</f>
        <v/>
      </c>
      <c r="M1611" s="105"/>
      <c r="N1611" s="105" t="str">
        <f>IF(F1611=True, IFERROR(VLOOKUP(D1611, Repository!A:G, 7, 0), ""), "")</f>
        <v/>
      </c>
      <c r="O1611" s="105" t="str">
        <f>IFERROR(__xludf.DUMMYFUNCTION("ARRAY_CONSTRAIN(
  ARRAYFORMULA(
    IFERROR(
      LET(
        list, N1611,
        arr, TRIM(SPLIT(list, "","")),
        names, XLOOKUP(
          arr,
          'Conformance Score'!A:A,
          'Conformance Score'!B:B,
          ""Not found""
     "&amp;"   ),
        TEXTJOIN("", "", TRUE, names)
      ),
      """"
    )
  ),
  1,
  1
)
"),"")</f>
        <v/>
      </c>
      <c r="P1611" s="105" t="str">
        <f>IF(F1611="Yes", IFERROR(VLOOKUP(D1611, Repository!A:F, 6, 0), ""), "")</f>
        <v/>
      </c>
      <c r="Q1611" s="105" t="str">
        <f>IF(F1611="Yes", IFERROR(VLOOKUP(D1611, Repository!A:I, 8, 0), ""), "")</f>
        <v/>
      </c>
      <c r="R1611" s="105" t="str">
        <f>IF(F1611="Yes", IFERROR(VLOOKUP(D1611, Repository!A:J, 9, 0), ""), "")</f>
        <v/>
      </c>
      <c r="S1611" s="105"/>
      <c r="T1611" s="105"/>
      <c r="U1611" s="105"/>
      <c r="V1611" s="105"/>
      <c r="W1611" s="105"/>
      <c r="X1611" s="105"/>
      <c r="Y1611" s="105"/>
      <c r="Z1611" s="105"/>
      <c r="AA1611" s="105"/>
      <c r="AB1611" s="105"/>
      <c r="AC1611" s="91"/>
      <c r="AD1611" s="105"/>
      <c r="AE1611" s="105"/>
      <c r="AF1611" s="91"/>
      <c r="AG1611" s="105"/>
      <c r="AH1611" s="105"/>
      <c r="AI1611" s="105" t="str">
        <f t="shared" si="1"/>
        <v/>
      </c>
      <c r="AJ1611" s="108" t="str">
        <f t="shared" si="2"/>
        <v/>
      </c>
    </row>
    <row r="1612" ht="15.75" customHeight="1">
      <c r="A1612" s="104"/>
      <c r="B1612" s="105" t="str">
        <f>IFERROR(__xludf.DUMMYFUNCTION("ARRAY_CONSTRAIN(
  ARRAYFORMULA(
    IF(
      'Final Report'!A1612="""",
      """",
      TEXTJOIN(
        "", "" &amp; CHAR(10),
        TRUE,
        IFERROR(
          VLOOKUP(
            TRIM(
              SPLIT('Final Report'!A1612, "","")
         "&amp;"   ),
            'URL Details'!A:B,
            2,
            FALSE
          ),
          """"
        )
      )
    )
  ),
  1,
  1
)
"),"")</f>
        <v/>
      </c>
      <c r="C1612" s="105" t="str">
        <f>IFERROR(__xludf.DUMMYFUNCTION("IFERROR(IF('Final Report'!A1612="""","""", TEXTJOIN(CHAR(10), TRUE, ARRAYFORMULA( ""• ""&amp; FILTER( TRIM(FLATTEN(SPLIT( REGEXREPLACE( SUBSTITUTE(TEXTJOIN("","", TRUE, IFERROR(ARRAYFORMULA(VLOOKUP(TRIM(SPLIT('Final Report'!A1612, "","")), 'URL Details'!A:D, "&amp;"4, FALSE)),"""") ), CHAR(10), "",""), ""\s*,\s*"", "",""), "",""))), TRIM(FLATTEN(SPLIT( REGEXREPLACE( SUBSTITUTE(TEXTJOIN("","", TRUE, IFERROR(ARRAYFORMULA(VLOOKUP(TRIM(SPLIT('Final Report'!A1612, "","")), 'URL Details'!A:D, 4, FALSE)),"""") ), CHAR(10),"&amp;" "",""), ""\s*,\s*"", "",""), "","")))&lt;&gt;"""" ) ) ) ),"""")
"),"")</f>
        <v/>
      </c>
      <c r="D1612" s="105"/>
      <c r="E1612" s="105"/>
      <c r="F1612" s="110" t="b">
        <v>0</v>
      </c>
      <c r="G1612" s="105" t="str">
        <f>IF(F1612=True, IFERROR(VLOOKUP(D1612, Repository!A:B, 2, 0), ""), "")</f>
        <v/>
      </c>
      <c r="H1612" s="105"/>
      <c r="I1612" s="105"/>
      <c r="J1612" s="105" t="str">
        <f>IF(F1612=True, IFERROR(VLOOKUP(D1612, Repository!A:C, 3, 0), ""), "")</f>
        <v/>
      </c>
      <c r="K1612" s="105"/>
      <c r="L1612" s="105" t="str">
        <f>IF(F1612=True, IFERROR(VLOOKUP(D1612, Repository!A:E, 5, 0), ""), "")</f>
        <v/>
      </c>
      <c r="M1612" s="105"/>
      <c r="N1612" s="105" t="str">
        <f>IF(F1612=True, IFERROR(VLOOKUP(D1612, Repository!A:G, 7, 0), ""), "")</f>
        <v/>
      </c>
      <c r="O1612" s="105" t="str">
        <f>IFERROR(__xludf.DUMMYFUNCTION("ARRAY_CONSTRAIN(
  ARRAYFORMULA(
    IFERROR(
      LET(
        list, N1612,
        arr, TRIM(SPLIT(list, "","")),
        names, XLOOKUP(
          arr,
          'Conformance Score'!A:A,
          'Conformance Score'!B:B,
          ""Not found""
     "&amp;"   ),
        TEXTJOIN("", "", TRUE, names)
      ),
      """"
    )
  ),
  1,
  1
)
"),"")</f>
        <v/>
      </c>
      <c r="P1612" s="105" t="str">
        <f>IF(F1612="Yes", IFERROR(VLOOKUP(D1612, Repository!A:F, 6, 0), ""), "")</f>
        <v/>
      </c>
      <c r="Q1612" s="105" t="str">
        <f>IF(F1612="Yes", IFERROR(VLOOKUP(D1612, Repository!A:I, 8, 0), ""), "")</f>
        <v/>
      </c>
      <c r="R1612" s="105" t="str">
        <f>IF(F1612="Yes", IFERROR(VLOOKUP(D1612, Repository!A:J, 9, 0), ""), "")</f>
        <v/>
      </c>
      <c r="S1612" s="105"/>
      <c r="T1612" s="105"/>
      <c r="U1612" s="105"/>
      <c r="V1612" s="105"/>
      <c r="W1612" s="105"/>
      <c r="X1612" s="105"/>
      <c r="Y1612" s="105"/>
      <c r="Z1612" s="105"/>
      <c r="AA1612" s="105"/>
      <c r="AB1612" s="105"/>
      <c r="AC1612" s="91"/>
      <c r="AD1612" s="105"/>
      <c r="AE1612" s="105"/>
      <c r="AF1612" s="91"/>
      <c r="AG1612" s="105"/>
      <c r="AH1612" s="105"/>
      <c r="AI1612" s="105" t="str">
        <f t="shared" si="1"/>
        <v/>
      </c>
      <c r="AJ1612" s="108" t="str">
        <f t="shared" si="2"/>
        <v/>
      </c>
    </row>
    <row r="1613" ht="15.75" customHeight="1">
      <c r="A1613" s="104"/>
      <c r="B1613" s="105" t="str">
        <f>IFERROR(__xludf.DUMMYFUNCTION("ARRAY_CONSTRAIN(
  ARRAYFORMULA(
    IF(
      'Final Report'!A1613="""",
      """",
      TEXTJOIN(
        "", "" &amp; CHAR(10),
        TRUE,
        IFERROR(
          VLOOKUP(
            TRIM(
              SPLIT('Final Report'!A1613, "","")
         "&amp;"   ),
            'URL Details'!A:B,
            2,
            FALSE
          ),
          """"
        )
      )
    )
  ),
  1,
  1
)
"),"")</f>
        <v/>
      </c>
      <c r="C1613" s="105" t="str">
        <f>IFERROR(__xludf.DUMMYFUNCTION("IFERROR(IF('Final Report'!A1613="""","""", TEXTJOIN(CHAR(10), TRUE, ARRAYFORMULA( ""• ""&amp; FILTER( TRIM(FLATTEN(SPLIT( REGEXREPLACE( SUBSTITUTE(TEXTJOIN("","", TRUE, IFERROR(ARRAYFORMULA(VLOOKUP(TRIM(SPLIT('Final Report'!A1613, "","")), 'URL Details'!A:D, "&amp;"4, FALSE)),"""") ), CHAR(10), "",""), ""\s*,\s*"", "",""), "",""))), TRIM(FLATTEN(SPLIT( REGEXREPLACE( SUBSTITUTE(TEXTJOIN("","", TRUE, IFERROR(ARRAYFORMULA(VLOOKUP(TRIM(SPLIT('Final Report'!A1613, "","")), 'URL Details'!A:D, 4, FALSE)),"""") ), CHAR(10),"&amp;" "",""), ""\s*,\s*"", "",""), "","")))&lt;&gt;"""" ) ) ) ),"""")
"),"")</f>
        <v/>
      </c>
      <c r="D1613" s="105"/>
      <c r="E1613" s="105"/>
      <c r="F1613" s="110" t="b">
        <v>0</v>
      </c>
      <c r="G1613" s="105" t="str">
        <f>IF(F1613=True, IFERROR(VLOOKUP(D1613, Repository!A:B, 2, 0), ""), "")</f>
        <v/>
      </c>
      <c r="H1613" s="105"/>
      <c r="I1613" s="105"/>
      <c r="J1613" s="105" t="str">
        <f>IF(F1613=True, IFERROR(VLOOKUP(D1613, Repository!A:C, 3, 0), ""), "")</f>
        <v/>
      </c>
      <c r="K1613" s="105"/>
      <c r="L1613" s="105" t="str">
        <f>IF(F1613=True, IFERROR(VLOOKUP(D1613, Repository!A:E, 5, 0), ""), "")</f>
        <v/>
      </c>
      <c r="M1613" s="105"/>
      <c r="N1613" s="105" t="str">
        <f>IF(F1613=True, IFERROR(VLOOKUP(D1613, Repository!A:G, 7, 0), ""), "")</f>
        <v/>
      </c>
      <c r="O1613" s="105" t="str">
        <f>IFERROR(__xludf.DUMMYFUNCTION("ARRAY_CONSTRAIN(
  ARRAYFORMULA(
    IFERROR(
      LET(
        list, N1613,
        arr, TRIM(SPLIT(list, "","")),
        names, XLOOKUP(
          arr,
          'Conformance Score'!A:A,
          'Conformance Score'!B:B,
          ""Not found""
     "&amp;"   ),
        TEXTJOIN("", "", TRUE, names)
      ),
      """"
    )
  ),
  1,
  1
)
"),"")</f>
        <v/>
      </c>
      <c r="P1613" s="105" t="str">
        <f>IF(F1613="Yes", IFERROR(VLOOKUP(D1613, Repository!A:F, 6, 0), ""), "")</f>
        <v/>
      </c>
      <c r="Q1613" s="105" t="str">
        <f>IF(F1613="Yes", IFERROR(VLOOKUP(D1613, Repository!A:I, 8, 0), ""), "")</f>
        <v/>
      </c>
      <c r="R1613" s="105" t="str">
        <f>IF(F1613="Yes", IFERROR(VLOOKUP(D1613, Repository!A:J, 9, 0), ""), "")</f>
        <v/>
      </c>
      <c r="S1613" s="105"/>
      <c r="T1613" s="105"/>
      <c r="U1613" s="105"/>
      <c r="V1613" s="105"/>
      <c r="W1613" s="105"/>
      <c r="X1613" s="105"/>
      <c r="Y1613" s="105"/>
      <c r="Z1613" s="105"/>
      <c r="AA1613" s="105"/>
      <c r="AB1613" s="105"/>
      <c r="AC1613" s="91"/>
      <c r="AD1613" s="105"/>
      <c r="AE1613" s="105"/>
      <c r="AF1613" s="91"/>
      <c r="AG1613" s="105"/>
      <c r="AH1613" s="105"/>
      <c r="AI1613" s="105" t="str">
        <f t="shared" si="1"/>
        <v/>
      </c>
      <c r="AJ1613" s="108" t="str">
        <f t="shared" si="2"/>
        <v/>
      </c>
    </row>
    <row r="1614" ht="15.75" customHeight="1">
      <c r="A1614" s="104"/>
      <c r="B1614" s="105" t="str">
        <f>IFERROR(__xludf.DUMMYFUNCTION("ARRAY_CONSTRAIN(
  ARRAYFORMULA(
    IF(
      'Final Report'!A1614="""",
      """",
      TEXTJOIN(
        "", "" &amp; CHAR(10),
        TRUE,
        IFERROR(
          VLOOKUP(
            TRIM(
              SPLIT('Final Report'!A1614, "","")
         "&amp;"   ),
            'URL Details'!A:B,
            2,
            FALSE
          ),
          """"
        )
      )
    )
  ),
  1,
  1
)
"),"")</f>
        <v/>
      </c>
      <c r="C1614" s="105" t="str">
        <f>IFERROR(__xludf.DUMMYFUNCTION("IFERROR(IF('Final Report'!A1614="""","""", TEXTJOIN(CHAR(10), TRUE, ARRAYFORMULA( ""• ""&amp; FILTER( TRIM(FLATTEN(SPLIT( REGEXREPLACE( SUBSTITUTE(TEXTJOIN("","", TRUE, IFERROR(ARRAYFORMULA(VLOOKUP(TRIM(SPLIT('Final Report'!A1614, "","")), 'URL Details'!A:D, "&amp;"4, FALSE)),"""") ), CHAR(10), "",""), ""\s*,\s*"", "",""), "",""))), TRIM(FLATTEN(SPLIT( REGEXREPLACE( SUBSTITUTE(TEXTJOIN("","", TRUE, IFERROR(ARRAYFORMULA(VLOOKUP(TRIM(SPLIT('Final Report'!A1614, "","")), 'URL Details'!A:D, 4, FALSE)),"""") ), CHAR(10),"&amp;" "",""), ""\s*,\s*"", "",""), "","")))&lt;&gt;"""" ) ) ) ),"""")
"),"")</f>
        <v/>
      </c>
      <c r="D1614" s="105"/>
      <c r="E1614" s="105"/>
      <c r="F1614" s="110" t="b">
        <v>0</v>
      </c>
      <c r="G1614" s="105" t="str">
        <f>IF(F1614=True, IFERROR(VLOOKUP(D1614, Repository!A:B, 2, 0), ""), "")</f>
        <v/>
      </c>
      <c r="H1614" s="105"/>
      <c r="I1614" s="105"/>
      <c r="J1614" s="105" t="str">
        <f>IF(F1614=True, IFERROR(VLOOKUP(D1614, Repository!A:C, 3, 0), ""), "")</f>
        <v/>
      </c>
      <c r="K1614" s="105"/>
      <c r="L1614" s="105" t="str">
        <f>IF(F1614=True, IFERROR(VLOOKUP(D1614, Repository!A:E, 5, 0), ""), "")</f>
        <v/>
      </c>
      <c r="M1614" s="105"/>
      <c r="N1614" s="105" t="str">
        <f>IF(F1614=True, IFERROR(VLOOKUP(D1614, Repository!A:G, 7, 0), ""), "")</f>
        <v/>
      </c>
      <c r="O1614" s="105" t="str">
        <f>IFERROR(__xludf.DUMMYFUNCTION("ARRAY_CONSTRAIN(
  ARRAYFORMULA(
    IFERROR(
      LET(
        list, N1614,
        arr, TRIM(SPLIT(list, "","")),
        names, XLOOKUP(
          arr,
          'Conformance Score'!A:A,
          'Conformance Score'!B:B,
          ""Not found""
     "&amp;"   ),
        TEXTJOIN("", "", TRUE, names)
      ),
      """"
    )
  ),
  1,
  1
)
"),"")</f>
        <v/>
      </c>
      <c r="P1614" s="105" t="str">
        <f>IF(F1614="Yes", IFERROR(VLOOKUP(D1614, Repository!A:F, 6, 0), ""), "")</f>
        <v/>
      </c>
      <c r="Q1614" s="105" t="str">
        <f>IF(F1614="Yes", IFERROR(VLOOKUP(D1614, Repository!A:I, 8, 0), ""), "")</f>
        <v/>
      </c>
      <c r="R1614" s="105" t="str">
        <f>IF(F1614="Yes", IFERROR(VLOOKUP(D1614, Repository!A:J, 9, 0), ""), "")</f>
        <v/>
      </c>
      <c r="S1614" s="105"/>
      <c r="T1614" s="105"/>
      <c r="U1614" s="105"/>
      <c r="V1614" s="105"/>
      <c r="W1614" s="105"/>
      <c r="X1614" s="105"/>
      <c r="Y1614" s="105"/>
      <c r="Z1614" s="105"/>
      <c r="AA1614" s="105"/>
      <c r="AB1614" s="105"/>
      <c r="AC1614" s="91"/>
      <c r="AD1614" s="105"/>
      <c r="AE1614" s="105"/>
      <c r="AF1614" s="91"/>
      <c r="AG1614" s="105"/>
      <c r="AH1614" s="105"/>
      <c r="AI1614" s="105" t="str">
        <f t="shared" si="1"/>
        <v/>
      </c>
      <c r="AJ1614" s="108" t="str">
        <f t="shared" si="2"/>
        <v/>
      </c>
    </row>
    <row r="1615" ht="15.75" customHeight="1">
      <c r="A1615" s="104"/>
      <c r="B1615" s="105" t="str">
        <f>IFERROR(__xludf.DUMMYFUNCTION("ARRAY_CONSTRAIN(
  ARRAYFORMULA(
    IF(
      'Final Report'!A1615="""",
      """",
      TEXTJOIN(
        "", "" &amp; CHAR(10),
        TRUE,
        IFERROR(
          VLOOKUP(
            TRIM(
              SPLIT('Final Report'!A1615, "","")
         "&amp;"   ),
            'URL Details'!A:B,
            2,
            FALSE
          ),
          """"
        )
      )
    )
  ),
  1,
  1
)
"),"")</f>
        <v/>
      </c>
      <c r="C1615" s="105" t="str">
        <f>IFERROR(__xludf.DUMMYFUNCTION("IFERROR(IF('Final Report'!A1615="""","""", TEXTJOIN(CHAR(10), TRUE, ARRAYFORMULA( ""• ""&amp; FILTER( TRIM(FLATTEN(SPLIT( REGEXREPLACE( SUBSTITUTE(TEXTJOIN("","", TRUE, IFERROR(ARRAYFORMULA(VLOOKUP(TRIM(SPLIT('Final Report'!A1615, "","")), 'URL Details'!A:D, "&amp;"4, FALSE)),"""") ), CHAR(10), "",""), ""\s*,\s*"", "",""), "",""))), TRIM(FLATTEN(SPLIT( REGEXREPLACE( SUBSTITUTE(TEXTJOIN("","", TRUE, IFERROR(ARRAYFORMULA(VLOOKUP(TRIM(SPLIT('Final Report'!A1615, "","")), 'URL Details'!A:D, 4, FALSE)),"""") ), CHAR(10),"&amp;" "",""), ""\s*,\s*"", "",""), "","")))&lt;&gt;"""" ) ) ) ),"""")
"),"")</f>
        <v/>
      </c>
      <c r="D1615" s="105"/>
      <c r="E1615" s="105"/>
      <c r="F1615" s="110" t="b">
        <v>0</v>
      </c>
      <c r="G1615" s="105" t="str">
        <f>IF(F1615=True, IFERROR(VLOOKUP(D1615, Repository!A:B, 2, 0), ""), "")</f>
        <v/>
      </c>
      <c r="H1615" s="105"/>
      <c r="I1615" s="105"/>
      <c r="J1615" s="105" t="str">
        <f>IF(F1615=True, IFERROR(VLOOKUP(D1615, Repository!A:C, 3, 0), ""), "")</f>
        <v/>
      </c>
      <c r="K1615" s="105"/>
      <c r="L1615" s="105" t="str">
        <f>IF(F1615=True, IFERROR(VLOOKUP(D1615, Repository!A:E, 5, 0), ""), "")</f>
        <v/>
      </c>
      <c r="M1615" s="105"/>
      <c r="N1615" s="105" t="str">
        <f>IF(F1615=True, IFERROR(VLOOKUP(D1615, Repository!A:G, 7, 0), ""), "")</f>
        <v/>
      </c>
      <c r="O1615" s="105" t="str">
        <f>IFERROR(__xludf.DUMMYFUNCTION("ARRAY_CONSTRAIN(
  ARRAYFORMULA(
    IFERROR(
      LET(
        list, N1615,
        arr, TRIM(SPLIT(list, "","")),
        names, XLOOKUP(
          arr,
          'Conformance Score'!A:A,
          'Conformance Score'!B:B,
          ""Not found""
     "&amp;"   ),
        TEXTJOIN("", "", TRUE, names)
      ),
      """"
    )
  ),
  1,
  1
)
"),"")</f>
        <v/>
      </c>
      <c r="P1615" s="105" t="str">
        <f>IF(F1615="Yes", IFERROR(VLOOKUP(D1615, Repository!A:F, 6, 0), ""), "")</f>
        <v/>
      </c>
      <c r="Q1615" s="105" t="str">
        <f>IF(F1615="Yes", IFERROR(VLOOKUP(D1615, Repository!A:I, 8, 0), ""), "")</f>
        <v/>
      </c>
      <c r="R1615" s="105" t="str">
        <f>IF(F1615="Yes", IFERROR(VLOOKUP(D1615, Repository!A:J, 9, 0), ""), "")</f>
        <v/>
      </c>
      <c r="S1615" s="105"/>
      <c r="T1615" s="105"/>
      <c r="U1615" s="105"/>
      <c r="V1615" s="105"/>
      <c r="W1615" s="105"/>
      <c r="X1615" s="105"/>
      <c r="Y1615" s="105"/>
      <c r="Z1615" s="105"/>
      <c r="AA1615" s="105"/>
      <c r="AB1615" s="105"/>
      <c r="AC1615" s="91"/>
      <c r="AD1615" s="105"/>
      <c r="AE1615" s="105"/>
      <c r="AF1615" s="91"/>
      <c r="AG1615" s="105"/>
      <c r="AH1615" s="105"/>
      <c r="AI1615" s="105" t="str">
        <f t="shared" si="1"/>
        <v/>
      </c>
      <c r="AJ1615" s="108" t="str">
        <f t="shared" si="2"/>
        <v/>
      </c>
    </row>
    <row r="1616" ht="15.75" customHeight="1">
      <c r="A1616" s="104"/>
      <c r="B1616" s="105" t="str">
        <f>IFERROR(__xludf.DUMMYFUNCTION("ARRAY_CONSTRAIN(
  ARRAYFORMULA(
    IF(
      'Final Report'!A1616="""",
      """",
      TEXTJOIN(
        "", "" &amp; CHAR(10),
        TRUE,
        IFERROR(
          VLOOKUP(
            TRIM(
              SPLIT('Final Report'!A1616, "","")
         "&amp;"   ),
            'URL Details'!A:B,
            2,
            FALSE
          ),
          """"
        )
      )
    )
  ),
  1,
  1
)
"),"")</f>
        <v/>
      </c>
      <c r="C1616" s="105" t="str">
        <f>IFERROR(__xludf.DUMMYFUNCTION("IFERROR(IF('Final Report'!A1616="""","""", TEXTJOIN(CHAR(10), TRUE, ARRAYFORMULA( ""• ""&amp; FILTER( TRIM(FLATTEN(SPLIT( REGEXREPLACE( SUBSTITUTE(TEXTJOIN("","", TRUE, IFERROR(ARRAYFORMULA(VLOOKUP(TRIM(SPLIT('Final Report'!A1616, "","")), 'URL Details'!A:D, "&amp;"4, FALSE)),"""") ), CHAR(10), "",""), ""\s*,\s*"", "",""), "",""))), TRIM(FLATTEN(SPLIT( REGEXREPLACE( SUBSTITUTE(TEXTJOIN("","", TRUE, IFERROR(ARRAYFORMULA(VLOOKUP(TRIM(SPLIT('Final Report'!A1616, "","")), 'URL Details'!A:D, 4, FALSE)),"""") ), CHAR(10),"&amp;" "",""), ""\s*,\s*"", "",""), "","")))&lt;&gt;"""" ) ) ) ),"""")
"),"")</f>
        <v/>
      </c>
      <c r="D1616" s="105"/>
      <c r="E1616" s="105"/>
      <c r="F1616" s="110" t="b">
        <v>0</v>
      </c>
      <c r="G1616" s="105" t="str">
        <f>IF(F1616=True, IFERROR(VLOOKUP(D1616, Repository!A:B, 2, 0), ""), "")</f>
        <v/>
      </c>
      <c r="H1616" s="105"/>
      <c r="I1616" s="105"/>
      <c r="J1616" s="105" t="str">
        <f>IF(F1616=True, IFERROR(VLOOKUP(D1616, Repository!A:C, 3, 0), ""), "")</f>
        <v/>
      </c>
      <c r="K1616" s="105"/>
      <c r="L1616" s="105" t="str">
        <f>IF(F1616=True, IFERROR(VLOOKUP(D1616, Repository!A:E, 5, 0), ""), "")</f>
        <v/>
      </c>
      <c r="M1616" s="105"/>
      <c r="N1616" s="105" t="str">
        <f>IF(F1616=True, IFERROR(VLOOKUP(D1616, Repository!A:G, 7, 0), ""), "")</f>
        <v/>
      </c>
      <c r="O1616" s="105" t="str">
        <f>IFERROR(__xludf.DUMMYFUNCTION("ARRAY_CONSTRAIN(
  ARRAYFORMULA(
    IFERROR(
      LET(
        list, N1616,
        arr, TRIM(SPLIT(list, "","")),
        names, XLOOKUP(
          arr,
          'Conformance Score'!A:A,
          'Conformance Score'!B:B,
          ""Not found""
     "&amp;"   ),
        TEXTJOIN("", "", TRUE, names)
      ),
      """"
    )
  ),
  1,
  1
)
"),"")</f>
        <v/>
      </c>
      <c r="P1616" s="105" t="str">
        <f>IF(F1616="Yes", IFERROR(VLOOKUP(D1616, Repository!A:F, 6, 0), ""), "")</f>
        <v/>
      </c>
      <c r="Q1616" s="105" t="str">
        <f>IF(F1616="Yes", IFERROR(VLOOKUP(D1616, Repository!A:I, 8, 0), ""), "")</f>
        <v/>
      </c>
      <c r="R1616" s="105" t="str">
        <f>IF(F1616="Yes", IFERROR(VLOOKUP(D1616, Repository!A:J, 9, 0), ""), "")</f>
        <v/>
      </c>
      <c r="S1616" s="105"/>
      <c r="T1616" s="105"/>
      <c r="U1616" s="105"/>
      <c r="V1616" s="105"/>
      <c r="W1616" s="105"/>
      <c r="X1616" s="105"/>
      <c r="Y1616" s="105"/>
      <c r="Z1616" s="105"/>
      <c r="AA1616" s="105"/>
      <c r="AB1616" s="105"/>
      <c r="AC1616" s="91"/>
      <c r="AD1616" s="105"/>
      <c r="AE1616" s="105"/>
      <c r="AF1616" s="91"/>
      <c r="AG1616" s="105"/>
      <c r="AH1616" s="105"/>
      <c r="AI1616" s="105" t="str">
        <f t="shared" si="1"/>
        <v/>
      </c>
      <c r="AJ1616" s="108" t="str">
        <f t="shared" si="2"/>
        <v/>
      </c>
    </row>
    <row r="1617" ht="15.75" customHeight="1">
      <c r="A1617" s="104"/>
      <c r="B1617" s="105" t="str">
        <f>IFERROR(__xludf.DUMMYFUNCTION("ARRAY_CONSTRAIN(
  ARRAYFORMULA(
    IF(
      'Final Report'!A1617="""",
      """",
      TEXTJOIN(
        "", "" &amp; CHAR(10),
        TRUE,
        IFERROR(
          VLOOKUP(
            TRIM(
              SPLIT('Final Report'!A1617, "","")
         "&amp;"   ),
            'URL Details'!A:B,
            2,
            FALSE
          ),
          """"
        )
      )
    )
  ),
  1,
  1
)
"),"")</f>
        <v/>
      </c>
      <c r="C1617" s="105" t="str">
        <f>IFERROR(__xludf.DUMMYFUNCTION("IFERROR(IF('Final Report'!A1617="""","""", TEXTJOIN(CHAR(10), TRUE, ARRAYFORMULA( ""• ""&amp; FILTER( TRIM(FLATTEN(SPLIT( REGEXREPLACE( SUBSTITUTE(TEXTJOIN("","", TRUE, IFERROR(ARRAYFORMULA(VLOOKUP(TRIM(SPLIT('Final Report'!A1617, "","")), 'URL Details'!A:D, "&amp;"4, FALSE)),"""") ), CHAR(10), "",""), ""\s*,\s*"", "",""), "",""))), TRIM(FLATTEN(SPLIT( REGEXREPLACE( SUBSTITUTE(TEXTJOIN("","", TRUE, IFERROR(ARRAYFORMULA(VLOOKUP(TRIM(SPLIT('Final Report'!A1617, "","")), 'URL Details'!A:D, 4, FALSE)),"""") ), CHAR(10),"&amp;" "",""), ""\s*,\s*"", "",""), "","")))&lt;&gt;"""" ) ) ) ),"""")
"),"")</f>
        <v/>
      </c>
      <c r="D1617" s="105"/>
      <c r="E1617" s="105"/>
      <c r="F1617" s="110" t="b">
        <v>0</v>
      </c>
      <c r="G1617" s="105" t="str">
        <f>IF(F1617=True, IFERROR(VLOOKUP(D1617, Repository!A:B, 2, 0), ""), "")</f>
        <v/>
      </c>
      <c r="H1617" s="105"/>
      <c r="I1617" s="105"/>
      <c r="J1617" s="105" t="str">
        <f>IF(F1617=True, IFERROR(VLOOKUP(D1617, Repository!A:C, 3, 0), ""), "")</f>
        <v/>
      </c>
      <c r="K1617" s="105"/>
      <c r="L1617" s="105" t="str">
        <f>IF(F1617=True, IFERROR(VLOOKUP(D1617, Repository!A:E, 5, 0), ""), "")</f>
        <v/>
      </c>
      <c r="M1617" s="105"/>
      <c r="N1617" s="105" t="str">
        <f>IF(F1617=True, IFERROR(VLOOKUP(D1617, Repository!A:G, 7, 0), ""), "")</f>
        <v/>
      </c>
      <c r="O1617" s="105" t="str">
        <f>IFERROR(__xludf.DUMMYFUNCTION("ARRAY_CONSTRAIN(
  ARRAYFORMULA(
    IFERROR(
      LET(
        list, N1617,
        arr, TRIM(SPLIT(list, "","")),
        names, XLOOKUP(
          arr,
          'Conformance Score'!A:A,
          'Conformance Score'!B:B,
          ""Not found""
     "&amp;"   ),
        TEXTJOIN("", "", TRUE, names)
      ),
      """"
    )
  ),
  1,
  1
)
"),"")</f>
        <v/>
      </c>
      <c r="P1617" s="105" t="str">
        <f>IF(F1617="Yes", IFERROR(VLOOKUP(D1617, Repository!A:F, 6, 0), ""), "")</f>
        <v/>
      </c>
      <c r="Q1617" s="105" t="str">
        <f>IF(F1617="Yes", IFERROR(VLOOKUP(D1617, Repository!A:I, 8, 0), ""), "")</f>
        <v/>
      </c>
      <c r="R1617" s="105" t="str">
        <f>IF(F1617="Yes", IFERROR(VLOOKUP(D1617, Repository!A:J, 9, 0), ""), "")</f>
        <v/>
      </c>
      <c r="S1617" s="105"/>
      <c r="T1617" s="105"/>
      <c r="U1617" s="105"/>
      <c r="V1617" s="105"/>
      <c r="W1617" s="105"/>
      <c r="X1617" s="105"/>
      <c r="Y1617" s="105"/>
      <c r="Z1617" s="105"/>
      <c r="AA1617" s="105"/>
      <c r="AB1617" s="105"/>
      <c r="AC1617" s="91"/>
      <c r="AD1617" s="105"/>
      <c r="AE1617" s="105"/>
      <c r="AF1617" s="91"/>
      <c r="AG1617" s="105"/>
      <c r="AH1617" s="105"/>
      <c r="AI1617" s="105" t="str">
        <f t="shared" si="1"/>
        <v/>
      </c>
      <c r="AJ1617" s="108" t="str">
        <f t="shared" si="2"/>
        <v/>
      </c>
    </row>
    <row r="1618" ht="15.75" customHeight="1">
      <c r="A1618" s="104"/>
      <c r="B1618" s="105" t="str">
        <f>IFERROR(__xludf.DUMMYFUNCTION("ARRAY_CONSTRAIN(
  ARRAYFORMULA(
    IF(
      'Final Report'!A1618="""",
      """",
      TEXTJOIN(
        "", "" &amp; CHAR(10),
        TRUE,
        IFERROR(
          VLOOKUP(
            TRIM(
              SPLIT('Final Report'!A1618, "","")
         "&amp;"   ),
            'URL Details'!A:B,
            2,
            FALSE
          ),
          """"
        )
      )
    )
  ),
  1,
  1
)
"),"")</f>
        <v/>
      </c>
      <c r="C1618" s="105" t="str">
        <f>IFERROR(__xludf.DUMMYFUNCTION("IFERROR(IF('Final Report'!A1618="""","""", TEXTJOIN(CHAR(10), TRUE, ARRAYFORMULA( ""• ""&amp; FILTER( TRIM(FLATTEN(SPLIT( REGEXREPLACE( SUBSTITUTE(TEXTJOIN("","", TRUE, IFERROR(ARRAYFORMULA(VLOOKUP(TRIM(SPLIT('Final Report'!A1618, "","")), 'URL Details'!A:D, "&amp;"4, FALSE)),"""") ), CHAR(10), "",""), ""\s*,\s*"", "",""), "",""))), TRIM(FLATTEN(SPLIT( REGEXREPLACE( SUBSTITUTE(TEXTJOIN("","", TRUE, IFERROR(ARRAYFORMULA(VLOOKUP(TRIM(SPLIT('Final Report'!A1618, "","")), 'URL Details'!A:D, 4, FALSE)),"""") ), CHAR(10),"&amp;" "",""), ""\s*,\s*"", "",""), "","")))&lt;&gt;"""" ) ) ) ),"""")
"),"")</f>
        <v/>
      </c>
      <c r="D1618" s="105"/>
      <c r="E1618" s="105"/>
      <c r="F1618" s="110" t="b">
        <v>0</v>
      </c>
      <c r="G1618" s="105" t="str">
        <f>IF(F1618=True, IFERROR(VLOOKUP(D1618, Repository!A:B, 2, 0), ""), "")</f>
        <v/>
      </c>
      <c r="H1618" s="105"/>
      <c r="I1618" s="105"/>
      <c r="J1618" s="105" t="str">
        <f>IF(F1618=True, IFERROR(VLOOKUP(D1618, Repository!A:C, 3, 0), ""), "")</f>
        <v/>
      </c>
      <c r="K1618" s="105"/>
      <c r="L1618" s="105" t="str">
        <f>IF(F1618=True, IFERROR(VLOOKUP(D1618, Repository!A:E, 5, 0), ""), "")</f>
        <v/>
      </c>
      <c r="M1618" s="105"/>
      <c r="N1618" s="105" t="str">
        <f>IF(F1618=True, IFERROR(VLOOKUP(D1618, Repository!A:G, 7, 0), ""), "")</f>
        <v/>
      </c>
      <c r="O1618" s="105" t="str">
        <f>IFERROR(__xludf.DUMMYFUNCTION("ARRAY_CONSTRAIN(
  ARRAYFORMULA(
    IFERROR(
      LET(
        list, N1618,
        arr, TRIM(SPLIT(list, "","")),
        names, XLOOKUP(
          arr,
          'Conformance Score'!A:A,
          'Conformance Score'!B:B,
          ""Not found""
     "&amp;"   ),
        TEXTJOIN("", "", TRUE, names)
      ),
      """"
    )
  ),
  1,
  1
)
"),"")</f>
        <v/>
      </c>
      <c r="P1618" s="105" t="str">
        <f>IF(F1618="Yes", IFERROR(VLOOKUP(D1618, Repository!A:F, 6, 0), ""), "")</f>
        <v/>
      </c>
      <c r="Q1618" s="105" t="str">
        <f>IF(F1618="Yes", IFERROR(VLOOKUP(D1618, Repository!A:I, 8, 0), ""), "")</f>
        <v/>
      </c>
      <c r="R1618" s="105" t="str">
        <f>IF(F1618="Yes", IFERROR(VLOOKUP(D1618, Repository!A:J, 9, 0), ""), "")</f>
        <v/>
      </c>
      <c r="S1618" s="105"/>
      <c r="T1618" s="105"/>
      <c r="U1618" s="105"/>
      <c r="V1618" s="105"/>
      <c r="W1618" s="105"/>
      <c r="X1618" s="105"/>
      <c r="Y1618" s="105"/>
      <c r="Z1618" s="105"/>
      <c r="AA1618" s="105"/>
      <c r="AB1618" s="105"/>
      <c r="AC1618" s="91"/>
      <c r="AD1618" s="105"/>
      <c r="AE1618" s="105"/>
      <c r="AF1618" s="91"/>
      <c r="AG1618" s="105"/>
      <c r="AH1618" s="105"/>
      <c r="AI1618" s="105" t="str">
        <f t="shared" si="1"/>
        <v/>
      </c>
      <c r="AJ1618" s="108" t="str">
        <f t="shared" si="2"/>
        <v/>
      </c>
    </row>
    <row r="1619" ht="15.75" customHeight="1">
      <c r="A1619" s="104"/>
      <c r="B1619" s="105" t="str">
        <f>IFERROR(__xludf.DUMMYFUNCTION("ARRAY_CONSTRAIN(
  ARRAYFORMULA(
    IF(
      'Final Report'!A1619="""",
      """",
      TEXTJOIN(
        "", "" &amp; CHAR(10),
        TRUE,
        IFERROR(
          VLOOKUP(
            TRIM(
              SPLIT('Final Report'!A1619, "","")
         "&amp;"   ),
            'URL Details'!A:B,
            2,
            FALSE
          ),
          """"
        )
      )
    )
  ),
  1,
  1
)
"),"")</f>
        <v/>
      </c>
      <c r="C1619" s="105" t="str">
        <f>IFERROR(__xludf.DUMMYFUNCTION("IFERROR(IF('Final Report'!A1619="""","""", TEXTJOIN(CHAR(10), TRUE, ARRAYFORMULA( ""• ""&amp; FILTER( TRIM(FLATTEN(SPLIT( REGEXREPLACE( SUBSTITUTE(TEXTJOIN("","", TRUE, IFERROR(ARRAYFORMULA(VLOOKUP(TRIM(SPLIT('Final Report'!A1619, "","")), 'URL Details'!A:D, "&amp;"4, FALSE)),"""") ), CHAR(10), "",""), ""\s*,\s*"", "",""), "",""))), TRIM(FLATTEN(SPLIT( REGEXREPLACE( SUBSTITUTE(TEXTJOIN("","", TRUE, IFERROR(ARRAYFORMULA(VLOOKUP(TRIM(SPLIT('Final Report'!A1619, "","")), 'URL Details'!A:D, 4, FALSE)),"""") ), CHAR(10),"&amp;" "",""), ""\s*,\s*"", "",""), "","")))&lt;&gt;"""" ) ) ) ),"""")
"),"")</f>
        <v/>
      </c>
      <c r="D1619" s="105"/>
      <c r="E1619" s="105"/>
      <c r="F1619" s="110" t="b">
        <v>0</v>
      </c>
      <c r="G1619" s="105" t="str">
        <f>IF(F1619=True, IFERROR(VLOOKUP(D1619, Repository!A:B, 2, 0), ""), "")</f>
        <v/>
      </c>
      <c r="H1619" s="105"/>
      <c r="I1619" s="105"/>
      <c r="J1619" s="105" t="str">
        <f>IF(F1619=True, IFERROR(VLOOKUP(D1619, Repository!A:C, 3, 0), ""), "")</f>
        <v/>
      </c>
      <c r="K1619" s="105"/>
      <c r="L1619" s="105" t="str">
        <f>IF(F1619=True, IFERROR(VLOOKUP(D1619, Repository!A:E, 5, 0), ""), "")</f>
        <v/>
      </c>
      <c r="M1619" s="105"/>
      <c r="N1619" s="105" t="str">
        <f>IF(F1619=True, IFERROR(VLOOKUP(D1619, Repository!A:G, 7, 0), ""), "")</f>
        <v/>
      </c>
      <c r="O1619" s="105" t="str">
        <f>IFERROR(__xludf.DUMMYFUNCTION("ARRAY_CONSTRAIN(
  ARRAYFORMULA(
    IFERROR(
      LET(
        list, N1619,
        arr, TRIM(SPLIT(list, "","")),
        names, XLOOKUP(
          arr,
          'Conformance Score'!A:A,
          'Conformance Score'!B:B,
          ""Not found""
     "&amp;"   ),
        TEXTJOIN("", "", TRUE, names)
      ),
      """"
    )
  ),
  1,
  1
)
"),"")</f>
        <v/>
      </c>
      <c r="P1619" s="105" t="str">
        <f>IF(F1619="Yes", IFERROR(VLOOKUP(D1619, Repository!A:F, 6, 0), ""), "")</f>
        <v/>
      </c>
      <c r="Q1619" s="105" t="str">
        <f>IF(F1619="Yes", IFERROR(VLOOKUP(D1619, Repository!A:I, 8, 0), ""), "")</f>
        <v/>
      </c>
      <c r="R1619" s="105" t="str">
        <f>IF(F1619="Yes", IFERROR(VLOOKUP(D1619, Repository!A:J, 9, 0), ""), "")</f>
        <v/>
      </c>
      <c r="S1619" s="105"/>
      <c r="T1619" s="105"/>
      <c r="U1619" s="105"/>
      <c r="V1619" s="105"/>
      <c r="W1619" s="105"/>
      <c r="X1619" s="105"/>
      <c r="Y1619" s="105"/>
      <c r="Z1619" s="105"/>
      <c r="AA1619" s="105"/>
      <c r="AB1619" s="105"/>
      <c r="AC1619" s="91"/>
      <c r="AD1619" s="105"/>
      <c r="AE1619" s="105"/>
      <c r="AF1619" s="91"/>
      <c r="AG1619" s="105"/>
      <c r="AH1619" s="105"/>
      <c r="AI1619" s="105" t="str">
        <f t="shared" si="1"/>
        <v/>
      </c>
      <c r="AJ1619" s="108" t="str">
        <f t="shared" si="2"/>
        <v/>
      </c>
    </row>
    <row r="1620" ht="15.75" customHeight="1">
      <c r="A1620" s="104"/>
      <c r="B1620" s="105" t="str">
        <f>IFERROR(__xludf.DUMMYFUNCTION("ARRAY_CONSTRAIN(
  ARRAYFORMULA(
    IF(
      'Final Report'!A1620="""",
      """",
      TEXTJOIN(
        "", "" &amp; CHAR(10),
        TRUE,
        IFERROR(
          VLOOKUP(
            TRIM(
              SPLIT('Final Report'!A1620, "","")
         "&amp;"   ),
            'URL Details'!A:B,
            2,
            FALSE
          ),
          """"
        )
      )
    )
  ),
  1,
  1
)
"),"")</f>
        <v/>
      </c>
      <c r="C1620" s="105" t="str">
        <f>IFERROR(__xludf.DUMMYFUNCTION("IFERROR(IF('Final Report'!A1620="""","""", TEXTJOIN(CHAR(10), TRUE, ARRAYFORMULA( ""• ""&amp; FILTER( TRIM(FLATTEN(SPLIT( REGEXREPLACE( SUBSTITUTE(TEXTJOIN("","", TRUE, IFERROR(ARRAYFORMULA(VLOOKUP(TRIM(SPLIT('Final Report'!A1620, "","")), 'URL Details'!A:D, "&amp;"4, FALSE)),"""") ), CHAR(10), "",""), ""\s*,\s*"", "",""), "",""))), TRIM(FLATTEN(SPLIT( REGEXREPLACE( SUBSTITUTE(TEXTJOIN("","", TRUE, IFERROR(ARRAYFORMULA(VLOOKUP(TRIM(SPLIT('Final Report'!A1620, "","")), 'URL Details'!A:D, 4, FALSE)),"""") ), CHAR(10),"&amp;" "",""), ""\s*,\s*"", "",""), "","")))&lt;&gt;"""" ) ) ) ),"""")
"),"")</f>
        <v/>
      </c>
      <c r="D1620" s="105"/>
      <c r="E1620" s="105"/>
      <c r="F1620" s="110" t="b">
        <v>0</v>
      </c>
      <c r="G1620" s="105" t="str">
        <f>IF(F1620=True, IFERROR(VLOOKUP(D1620, Repository!A:B, 2, 0), ""), "")</f>
        <v/>
      </c>
      <c r="H1620" s="105"/>
      <c r="I1620" s="105"/>
      <c r="J1620" s="105" t="str">
        <f>IF(F1620=True, IFERROR(VLOOKUP(D1620, Repository!A:C, 3, 0), ""), "")</f>
        <v/>
      </c>
      <c r="K1620" s="105"/>
      <c r="L1620" s="105" t="str">
        <f>IF(F1620=True, IFERROR(VLOOKUP(D1620, Repository!A:E, 5, 0), ""), "")</f>
        <v/>
      </c>
      <c r="M1620" s="105"/>
      <c r="N1620" s="105" t="str">
        <f>IF(F1620=True, IFERROR(VLOOKUP(D1620, Repository!A:G, 7, 0), ""), "")</f>
        <v/>
      </c>
      <c r="O1620" s="105" t="str">
        <f>IFERROR(__xludf.DUMMYFUNCTION("ARRAY_CONSTRAIN(
  ARRAYFORMULA(
    IFERROR(
      LET(
        list, N1620,
        arr, TRIM(SPLIT(list, "","")),
        names, XLOOKUP(
          arr,
          'Conformance Score'!A:A,
          'Conformance Score'!B:B,
          ""Not found""
     "&amp;"   ),
        TEXTJOIN("", "", TRUE, names)
      ),
      """"
    )
  ),
  1,
  1
)
"),"")</f>
        <v/>
      </c>
      <c r="P1620" s="105" t="str">
        <f>IF(F1620="Yes", IFERROR(VLOOKUP(D1620, Repository!A:F, 6, 0), ""), "")</f>
        <v/>
      </c>
      <c r="Q1620" s="105" t="str">
        <f>IF(F1620="Yes", IFERROR(VLOOKUP(D1620, Repository!A:I, 8, 0), ""), "")</f>
        <v/>
      </c>
      <c r="R1620" s="105" t="str">
        <f>IF(F1620="Yes", IFERROR(VLOOKUP(D1620, Repository!A:J, 9, 0), ""), "")</f>
        <v/>
      </c>
      <c r="S1620" s="105"/>
      <c r="T1620" s="105"/>
      <c r="U1620" s="105"/>
      <c r="V1620" s="105"/>
      <c r="W1620" s="105"/>
      <c r="X1620" s="105"/>
      <c r="Y1620" s="105"/>
      <c r="Z1620" s="105"/>
      <c r="AA1620" s="105"/>
      <c r="AB1620" s="105"/>
      <c r="AC1620" s="91"/>
      <c r="AD1620" s="105"/>
      <c r="AE1620" s="105"/>
      <c r="AF1620" s="91"/>
      <c r="AG1620" s="105"/>
      <c r="AH1620" s="105"/>
      <c r="AI1620" s="105" t="str">
        <f t="shared" si="1"/>
        <v/>
      </c>
      <c r="AJ1620" s="108" t="str">
        <f t="shared" si="2"/>
        <v/>
      </c>
    </row>
    <row r="1621" ht="15.75" customHeight="1">
      <c r="A1621" s="104"/>
      <c r="B1621" s="105" t="str">
        <f>IFERROR(__xludf.DUMMYFUNCTION("ARRAY_CONSTRAIN(
  ARRAYFORMULA(
    IF(
      'Final Report'!A1621="""",
      """",
      TEXTJOIN(
        "", "" &amp; CHAR(10),
        TRUE,
        IFERROR(
          VLOOKUP(
            TRIM(
              SPLIT('Final Report'!A1621, "","")
         "&amp;"   ),
            'URL Details'!A:B,
            2,
            FALSE
          ),
          """"
        )
      )
    )
  ),
  1,
  1
)
"),"")</f>
        <v/>
      </c>
      <c r="C1621" s="105" t="str">
        <f>IFERROR(__xludf.DUMMYFUNCTION("IFERROR(IF('Final Report'!A1621="""","""", TEXTJOIN(CHAR(10), TRUE, ARRAYFORMULA( ""• ""&amp; FILTER( TRIM(FLATTEN(SPLIT( REGEXREPLACE( SUBSTITUTE(TEXTJOIN("","", TRUE, IFERROR(ARRAYFORMULA(VLOOKUP(TRIM(SPLIT('Final Report'!A1621, "","")), 'URL Details'!A:D, "&amp;"4, FALSE)),"""") ), CHAR(10), "",""), ""\s*,\s*"", "",""), "",""))), TRIM(FLATTEN(SPLIT( REGEXREPLACE( SUBSTITUTE(TEXTJOIN("","", TRUE, IFERROR(ARRAYFORMULA(VLOOKUP(TRIM(SPLIT('Final Report'!A1621, "","")), 'URL Details'!A:D, 4, FALSE)),"""") ), CHAR(10),"&amp;" "",""), ""\s*,\s*"", "",""), "","")))&lt;&gt;"""" ) ) ) ),"""")
"),"")</f>
        <v/>
      </c>
      <c r="D1621" s="105"/>
      <c r="E1621" s="105"/>
      <c r="F1621" s="110" t="b">
        <v>0</v>
      </c>
      <c r="G1621" s="105" t="str">
        <f>IF(F1621=True, IFERROR(VLOOKUP(D1621, Repository!A:B, 2, 0), ""), "")</f>
        <v/>
      </c>
      <c r="H1621" s="105"/>
      <c r="I1621" s="105"/>
      <c r="J1621" s="105" t="str">
        <f>IF(F1621=True, IFERROR(VLOOKUP(D1621, Repository!A:C, 3, 0), ""), "")</f>
        <v/>
      </c>
      <c r="K1621" s="105"/>
      <c r="L1621" s="105" t="str">
        <f>IF(F1621=True, IFERROR(VLOOKUP(D1621, Repository!A:E, 5, 0), ""), "")</f>
        <v/>
      </c>
      <c r="M1621" s="105"/>
      <c r="N1621" s="105" t="str">
        <f>IF(F1621=True, IFERROR(VLOOKUP(D1621, Repository!A:G, 7, 0), ""), "")</f>
        <v/>
      </c>
      <c r="O1621" s="105" t="str">
        <f>IFERROR(__xludf.DUMMYFUNCTION("ARRAY_CONSTRAIN(
  ARRAYFORMULA(
    IFERROR(
      LET(
        list, N1621,
        arr, TRIM(SPLIT(list, "","")),
        names, XLOOKUP(
          arr,
          'Conformance Score'!A:A,
          'Conformance Score'!B:B,
          ""Not found""
     "&amp;"   ),
        TEXTJOIN("", "", TRUE, names)
      ),
      """"
    )
  ),
  1,
  1
)
"),"")</f>
        <v/>
      </c>
      <c r="P1621" s="105" t="str">
        <f>IF(F1621="Yes", IFERROR(VLOOKUP(D1621, Repository!A:F, 6, 0), ""), "")</f>
        <v/>
      </c>
      <c r="Q1621" s="105" t="str">
        <f>IF(F1621="Yes", IFERROR(VLOOKUP(D1621, Repository!A:I, 8, 0), ""), "")</f>
        <v/>
      </c>
      <c r="R1621" s="105" t="str">
        <f>IF(F1621="Yes", IFERROR(VLOOKUP(D1621, Repository!A:J, 9, 0), ""), "")</f>
        <v/>
      </c>
      <c r="S1621" s="105"/>
      <c r="T1621" s="105"/>
      <c r="U1621" s="105"/>
      <c r="V1621" s="105"/>
      <c r="W1621" s="105"/>
      <c r="X1621" s="105"/>
      <c r="Y1621" s="105"/>
      <c r="Z1621" s="105"/>
      <c r="AA1621" s="105"/>
      <c r="AB1621" s="105"/>
      <c r="AC1621" s="91"/>
      <c r="AD1621" s="105"/>
      <c r="AE1621" s="105"/>
      <c r="AF1621" s="91"/>
      <c r="AG1621" s="105"/>
      <c r="AH1621" s="105"/>
      <c r="AI1621" s="105" t="str">
        <f t="shared" si="1"/>
        <v/>
      </c>
      <c r="AJ1621" s="108" t="str">
        <f t="shared" si="2"/>
        <v/>
      </c>
    </row>
    <row r="1622" ht="15.75" customHeight="1">
      <c r="A1622" s="104"/>
      <c r="B1622" s="105" t="str">
        <f>IFERROR(__xludf.DUMMYFUNCTION("ARRAY_CONSTRAIN(
  ARRAYFORMULA(
    IF(
      'Final Report'!A1622="""",
      """",
      TEXTJOIN(
        "", "" &amp; CHAR(10),
        TRUE,
        IFERROR(
          VLOOKUP(
            TRIM(
              SPLIT('Final Report'!A1622, "","")
         "&amp;"   ),
            'URL Details'!A:B,
            2,
            FALSE
          ),
          """"
        )
      )
    )
  ),
  1,
  1
)
"),"")</f>
        <v/>
      </c>
      <c r="C1622" s="105" t="str">
        <f>IFERROR(__xludf.DUMMYFUNCTION("IFERROR(IF('Final Report'!A1622="""","""", TEXTJOIN(CHAR(10), TRUE, ARRAYFORMULA( ""• ""&amp; FILTER( TRIM(FLATTEN(SPLIT( REGEXREPLACE( SUBSTITUTE(TEXTJOIN("","", TRUE, IFERROR(ARRAYFORMULA(VLOOKUP(TRIM(SPLIT('Final Report'!A1622, "","")), 'URL Details'!A:D, "&amp;"4, FALSE)),"""") ), CHAR(10), "",""), ""\s*,\s*"", "",""), "",""))), TRIM(FLATTEN(SPLIT( REGEXREPLACE( SUBSTITUTE(TEXTJOIN("","", TRUE, IFERROR(ARRAYFORMULA(VLOOKUP(TRIM(SPLIT('Final Report'!A1622, "","")), 'URL Details'!A:D, 4, FALSE)),"""") ), CHAR(10),"&amp;" "",""), ""\s*,\s*"", "",""), "","")))&lt;&gt;"""" ) ) ) ),"""")
"),"")</f>
        <v/>
      </c>
      <c r="D1622" s="105"/>
      <c r="E1622" s="105"/>
      <c r="F1622" s="110" t="b">
        <v>0</v>
      </c>
      <c r="G1622" s="105" t="str">
        <f>IF(F1622=True, IFERROR(VLOOKUP(D1622, Repository!A:B, 2, 0), ""), "")</f>
        <v/>
      </c>
      <c r="H1622" s="105"/>
      <c r="I1622" s="105"/>
      <c r="J1622" s="105" t="str">
        <f>IF(F1622=True, IFERROR(VLOOKUP(D1622, Repository!A:C, 3, 0), ""), "")</f>
        <v/>
      </c>
      <c r="K1622" s="105"/>
      <c r="L1622" s="105" t="str">
        <f>IF(F1622=True, IFERROR(VLOOKUP(D1622, Repository!A:E, 5, 0), ""), "")</f>
        <v/>
      </c>
      <c r="M1622" s="105"/>
      <c r="N1622" s="105" t="str">
        <f>IF(F1622=True, IFERROR(VLOOKUP(D1622, Repository!A:G, 7, 0), ""), "")</f>
        <v/>
      </c>
      <c r="O1622" s="105" t="str">
        <f>IFERROR(__xludf.DUMMYFUNCTION("ARRAY_CONSTRAIN(
  ARRAYFORMULA(
    IFERROR(
      LET(
        list, N1622,
        arr, TRIM(SPLIT(list, "","")),
        names, XLOOKUP(
          arr,
          'Conformance Score'!A:A,
          'Conformance Score'!B:B,
          ""Not found""
     "&amp;"   ),
        TEXTJOIN("", "", TRUE, names)
      ),
      """"
    )
  ),
  1,
  1
)
"),"")</f>
        <v/>
      </c>
      <c r="P1622" s="105" t="str">
        <f>IF(F1622="Yes", IFERROR(VLOOKUP(D1622, Repository!A:F, 6, 0), ""), "")</f>
        <v/>
      </c>
      <c r="Q1622" s="105" t="str">
        <f>IF(F1622="Yes", IFERROR(VLOOKUP(D1622, Repository!A:I, 8, 0), ""), "")</f>
        <v/>
      </c>
      <c r="R1622" s="105" t="str">
        <f>IF(F1622="Yes", IFERROR(VLOOKUP(D1622, Repository!A:J, 9, 0), ""), "")</f>
        <v/>
      </c>
      <c r="S1622" s="105"/>
      <c r="T1622" s="105"/>
      <c r="U1622" s="105"/>
      <c r="V1622" s="105"/>
      <c r="W1622" s="105"/>
      <c r="X1622" s="105"/>
      <c r="Y1622" s="105"/>
      <c r="Z1622" s="105"/>
      <c r="AA1622" s="105"/>
      <c r="AB1622" s="105"/>
      <c r="AC1622" s="91"/>
      <c r="AD1622" s="105"/>
      <c r="AE1622" s="105"/>
      <c r="AF1622" s="91"/>
      <c r="AG1622" s="105"/>
      <c r="AH1622" s="105"/>
      <c r="AI1622" s="105" t="str">
        <f t="shared" si="1"/>
        <v/>
      </c>
      <c r="AJ1622" s="108" t="str">
        <f t="shared" si="2"/>
        <v/>
      </c>
    </row>
    <row r="1623" ht="15.75" customHeight="1">
      <c r="A1623" s="104"/>
      <c r="B1623" s="105" t="str">
        <f>IFERROR(__xludf.DUMMYFUNCTION("ARRAY_CONSTRAIN(
  ARRAYFORMULA(
    IF(
      'Final Report'!A1623="""",
      """",
      TEXTJOIN(
        "", "" &amp; CHAR(10),
        TRUE,
        IFERROR(
          VLOOKUP(
            TRIM(
              SPLIT('Final Report'!A1623, "","")
         "&amp;"   ),
            'URL Details'!A:B,
            2,
            FALSE
          ),
          """"
        )
      )
    )
  ),
  1,
  1
)
"),"")</f>
        <v/>
      </c>
      <c r="C1623" s="105" t="str">
        <f>IFERROR(__xludf.DUMMYFUNCTION("IFERROR(IF('Final Report'!A1623="""","""", TEXTJOIN(CHAR(10), TRUE, ARRAYFORMULA( ""• ""&amp; FILTER( TRIM(FLATTEN(SPLIT( REGEXREPLACE( SUBSTITUTE(TEXTJOIN("","", TRUE, IFERROR(ARRAYFORMULA(VLOOKUP(TRIM(SPLIT('Final Report'!A1623, "","")), 'URL Details'!A:D, "&amp;"4, FALSE)),"""") ), CHAR(10), "",""), ""\s*,\s*"", "",""), "",""))), TRIM(FLATTEN(SPLIT( REGEXREPLACE( SUBSTITUTE(TEXTJOIN("","", TRUE, IFERROR(ARRAYFORMULA(VLOOKUP(TRIM(SPLIT('Final Report'!A1623, "","")), 'URL Details'!A:D, 4, FALSE)),"""") ), CHAR(10),"&amp;" "",""), ""\s*,\s*"", "",""), "","")))&lt;&gt;"""" ) ) ) ),"""")
"),"")</f>
        <v/>
      </c>
      <c r="D1623" s="105"/>
      <c r="E1623" s="105"/>
      <c r="F1623" s="110" t="b">
        <v>0</v>
      </c>
      <c r="G1623" s="105" t="str">
        <f>IF(F1623=True, IFERROR(VLOOKUP(D1623, Repository!A:B, 2, 0), ""), "")</f>
        <v/>
      </c>
      <c r="H1623" s="105"/>
      <c r="I1623" s="105"/>
      <c r="J1623" s="105" t="str">
        <f>IF(F1623=True, IFERROR(VLOOKUP(D1623, Repository!A:C, 3, 0), ""), "")</f>
        <v/>
      </c>
      <c r="K1623" s="105"/>
      <c r="L1623" s="105" t="str">
        <f>IF(F1623=True, IFERROR(VLOOKUP(D1623, Repository!A:E, 5, 0), ""), "")</f>
        <v/>
      </c>
      <c r="M1623" s="105"/>
      <c r="N1623" s="105" t="str">
        <f>IF(F1623=True, IFERROR(VLOOKUP(D1623, Repository!A:G, 7, 0), ""), "")</f>
        <v/>
      </c>
      <c r="O1623" s="105" t="str">
        <f>IFERROR(__xludf.DUMMYFUNCTION("ARRAY_CONSTRAIN(
  ARRAYFORMULA(
    IFERROR(
      LET(
        list, N1623,
        arr, TRIM(SPLIT(list, "","")),
        names, XLOOKUP(
          arr,
          'Conformance Score'!A:A,
          'Conformance Score'!B:B,
          ""Not found""
     "&amp;"   ),
        TEXTJOIN("", "", TRUE, names)
      ),
      """"
    )
  ),
  1,
  1
)
"),"")</f>
        <v/>
      </c>
      <c r="P1623" s="105" t="str">
        <f>IF(F1623="Yes", IFERROR(VLOOKUP(D1623, Repository!A:F, 6, 0), ""), "")</f>
        <v/>
      </c>
      <c r="Q1623" s="105" t="str">
        <f>IF(F1623="Yes", IFERROR(VLOOKUP(D1623, Repository!A:I, 8, 0), ""), "")</f>
        <v/>
      </c>
      <c r="R1623" s="105" t="str">
        <f>IF(F1623="Yes", IFERROR(VLOOKUP(D1623, Repository!A:J, 9, 0), ""), "")</f>
        <v/>
      </c>
      <c r="S1623" s="105"/>
      <c r="T1623" s="105"/>
      <c r="U1623" s="105"/>
      <c r="V1623" s="105"/>
      <c r="W1623" s="105"/>
      <c r="X1623" s="105"/>
      <c r="Y1623" s="105"/>
      <c r="Z1623" s="105"/>
      <c r="AA1623" s="105"/>
      <c r="AB1623" s="105"/>
      <c r="AC1623" s="91"/>
      <c r="AD1623" s="105"/>
      <c r="AE1623" s="105"/>
      <c r="AF1623" s="91"/>
      <c r="AG1623" s="105"/>
      <c r="AH1623" s="105"/>
      <c r="AI1623" s="105" t="str">
        <f t="shared" si="1"/>
        <v/>
      </c>
      <c r="AJ1623" s="108" t="str">
        <f t="shared" si="2"/>
        <v/>
      </c>
    </row>
    <row r="1624" ht="15.75" customHeight="1">
      <c r="A1624" s="104"/>
      <c r="B1624" s="105" t="str">
        <f>IFERROR(__xludf.DUMMYFUNCTION("ARRAY_CONSTRAIN(
  ARRAYFORMULA(
    IF(
      'Final Report'!A1624="""",
      """",
      TEXTJOIN(
        "", "" &amp; CHAR(10),
        TRUE,
        IFERROR(
          VLOOKUP(
            TRIM(
              SPLIT('Final Report'!A1624, "","")
         "&amp;"   ),
            'URL Details'!A:B,
            2,
            FALSE
          ),
          """"
        )
      )
    )
  ),
  1,
  1
)
"),"")</f>
        <v/>
      </c>
      <c r="C1624" s="105" t="str">
        <f>IFERROR(__xludf.DUMMYFUNCTION("IFERROR(IF('Final Report'!A1624="""","""", TEXTJOIN(CHAR(10), TRUE, ARRAYFORMULA( ""• ""&amp; FILTER( TRIM(FLATTEN(SPLIT( REGEXREPLACE( SUBSTITUTE(TEXTJOIN("","", TRUE, IFERROR(ARRAYFORMULA(VLOOKUP(TRIM(SPLIT('Final Report'!A1624, "","")), 'URL Details'!A:D, "&amp;"4, FALSE)),"""") ), CHAR(10), "",""), ""\s*,\s*"", "",""), "",""))), TRIM(FLATTEN(SPLIT( REGEXREPLACE( SUBSTITUTE(TEXTJOIN("","", TRUE, IFERROR(ARRAYFORMULA(VLOOKUP(TRIM(SPLIT('Final Report'!A1624, "","")), 'URL Details'!A:D, 4, FALSE)),"""") ), CHAR(10),"&amp;" "",""), ""\s*,\s*"", "",""), "","")))&lt;&gt;"""" ) ) ) ),"""")
"),"")</f>
        <v/>
      </c>
      <c r="D1624" s="105"/>
      <c r="E1624" s="105"/>
      <c r="F1624" s="110" t="b">
        <v>0</v>
      </c>
      <c r="G1624" s="105" t="str">
        <f>IF(F1624=True, IFERROR(VLOOKUP(D1624, Repository!A:B, 2, 0), ""), "")</f>
        <v/>
      </c>
      <c r="H1624" s="105"/>
      <c r="I1624" s="105"/>
      <c r="J1624" s="105" t="str">
        <f>IF(F1624=True, IFERROR(VLOOKUP(D1624, Repository!A:C, 3, 0), ""), "")</f>
        <v/>
      </c>
      <c r="K1624" s="105"/>
      <c r="L1624" s="105" t="str">
        <f>IF(F1624=True, IFERROR(VLOOKUP(D1624, Repository!A:E, 5, 0), ""), "")</f>
        <v/>
      </c>
      <c r="M1624" s="105"/>
      <c r="N1624" s="105" t="str">
        <f>IF(F1624=True, IFERROR(VLOOKUP(D1624, Repository!A:G, 7, 0), ""), "")</f>
        <v/>
      </c>
      <c r="O1624" s="105" t="str">
        <f>IFERROR(__xludf.DUMMYFUNCTION("ARRAY_CONSTRAIN(
  ARRAYFORMULA(
    IFERROR(
      LET(
        list, N1624,
        arr, TRIM(SPLIT(list, "","")),
        names, XLOOKUP(
          arr,
          'Conformance Score'!A:A,
          'Conformance Score'!B:B,
          ""Not found""
     "&amp;"   ),
        TEXTJOIN("", "", TRUE, names)
      ),
      """"
    )
  ),
  1,
  1
)
"),"")</f>
        <v/>
      </c>
      <c r="P1624" s="105" t="str">
        <f>IF(F1624="Yes", IFERROR(VLOOKUP(D1624, Repository!A:F, 6, 0), ""), "")</f>
        <v/>
      </c>
      <c r="Q1624" s="105" t="str">
        <f>IF(F1624="Yes", IFERROR(VLOOKUP(D1624, Repository!A:I, 8, 0), ""), "")</f>
        <v/>
      </c>
      <c r="R1624" s="105" t="str">
        <f>IF(F1624="Yes", IFERROR(VLOOKUP(D1624, Repository!A:J, 9, 0), ""), "")</f>
        <v/>
      </c>
      <c r="S1624" s="105"/>
      <c r="T1624" s="105"/>
      <c r="U1624" s="105"/>
      <c r="V1624" s="105"/>
      <c r="W1624" s="105"/>
      <c r="X1624" s="105"/>
      <c r="Y1624" s="105"/>
      <c r="Z1624" s="105"/>
      <c r="AA1624" s="105"/>
      <c r="AB1624" s="105"/>
      <c r="AC1624" s="91"/>
      <c r="AD1624" s="105"/>
      <c r="AE1624" s="105"/>
      <c r="AF1624" s="91"/>
      <c r="AG1624" s="105"/>
      <c r="AH1624" s="105"/>
      <c r="AI1624" s="105" t="str">
        <f t="shared" si="1"/>
        <v/>
      </c>
      <c r="AJ1624" s="108" t="str">
        <f t="shared" si="2"/>
        <v/>
      </c>
    </row>
    <row r="1625" ht="15.75" customHeight="1">
      <c r="A1625" s="104"/>
      <c r="B1625" s="105" t="str">
        <f>IFERROR(__xludf.DUMMYFUNCTION("ARRAY_CONSTRAIN(
  ARRAYFORMULA(
    IF(
      'Final Report'!A1625="""",
      """",
      TEXTJOIN(
        "", "" &amp; CHAR(10),
        TRUE,
        IFERROR(
          VLOOKUP(
            TRIM(
              SPLIT('Final Report'!A1625, "","")
         "&amp;"   ),
            'URL Details'!A:B,
            2,
            FALSE
          ),
          """"
        )
      )
    )
  ),
  1,
  1
)
"),"")</f>
        <v/>
      </c>
      <c r="C1625" s="105" t="str">
        <f>IFERROR(__xludf.DUMMYFUNCTION("IFERROR(IF('Final Report'!A1625="""","""", TEXTJOIN(CHAR(10), TRUE, ARRAYFORMULA( ""• ""&amp; FILTER( TRIM(FLATTEN(SPLIT( REGEXREPLACE( SUBSTITUTE(TEXTJOIN("","", TRUE, IFERROR(ARRAYFORMULA(VLOOKUP(TRIM(SPLIT('Final Report'!A1625, "","")), 'URL Details'!A:D, "&amp;"4, FALSE)),"""") ), CHAR(10), "",""), ""\s*,\s*"", "",""), "",""))), TRIM(FLATTEN(SPLIT( REGEXREPLACE( SUBSTITUTE(TEXTJOIN("","", TRUE, IFERROR(ARRAYFORMULA(VLOOKUP(TRIM(SPLIT('Final Report'!A1625, "","")), 'URL Details'!A:D, 4, FALSE)),"""") ), CHAR(10),"&amp;" "",""), ""\s*,\s*"", "",""), "","")))&lt;&gt;"""" ) ) ) ),"""")
"),"")</f>
        <v/>
      </c>
      <c r="D1625" s="105"/>
      <c r="E1625" s="105"/>
      <c r="F1625" s="110" t="b">
        <v>0</v>
      </c>
      <c r="G1625" s="105" t="str">
        <f>IF(F1625=True, IFERROR(VLOOKUP(D1625, Repository!A:B, 2, 0), ""), "")</f>
        <v/>
      </c>
      <c r="H1625" s="105"/>
      <c r="I1625" s="105"/>
      <c r="J1625" s="105" t="str">
        <f>IF(F1625=True, IFERROR(VLOOKUP(D1625, Repository!A:C, 3, 0), ""), "")</f>
        <v/>
      </c>
      <c r="K1625" s="105"/>
      <c r="L1625" s="105" t="str">
        <f>IF(F1625=True, IFERROR(VLOOKUP(D1625, Repository!A:E, 5, 0), ""), "")</f>
        <v/>
      </c>
      <c r="M1625" s="105"/>
      <c r="N1625" s="105" t="str">
        <f>IF(F1625=True, IFERROR(VLOOKUP(D1625, Repository!A:G, 7, 0), ""), "")</f>
        <v/>
      </c>
      <c r="O1625" s="105" t="str">
        <f>IFERROR(__xludf.DUMMYFUNCTION("ARRAY_CONSTRAIN(
  ARRAYFORMULA(
    IFERROR(
      LET(
        list, N1625,
        arr, TRIM(SPLIT(list, "","")),
        names, XLOOKUP(
          arr,
          'Conformance Score'!A:A,
          'Conformance Score'!B:B,
          ""Not found""
     "&amp;"   ),
        TEXTJOIN("", "", TRUE, names)
      ),
      """"
    )
  ),
  1,
  1
)
"),"")</f>
        <v/>
      </c>
      <c r="P1625" s="105" t="str">
        <f>IF(F1625="Yes", IFERROR(VLOOKUP(D1625, Repository!A:F, 6, 0), ""), "")</f>
        <v/>
      </c>
      <c r="Q1625" s="105" t="str">
        <f>IF(F1625="Yes", IFERROR(VLOOKUP(D1625, Repository!A:I, 8, 0), ""), "")</f>
        <v/>
      </c>
      <c r="R1625" s="105" t="str">
        <f>IF(F1625="Yes", IFERROR(VLOOKUP(D1625, Repository!A:J, 9, 0), ""), "")</f>
        <v/>
      </c>
      <c r="S1625" s="105"/>
      <c r="T1625" s="105"/>
      <c r="U1625" s="105"/>
      <c r="V1625" s="105"/>
      <c r="W1625" s="105"/>
      <c r="X1625" s="105"/>
      <c r="Y1625" s="105"/>
      <c r="Z1625" s="105"/>
      <c r="AA1625" s="105"/>
      <c r="AB1625" s="105"/>
      <c r="AC1625" s="91"/>
      <c r="AD1625" s="105"/>
      <c r="AE1625" s="105"/>
      <c r="AF1625" s="91"/>
      <c r="AG1625" s="105"/>
      <c r="AH1625" s="105"/>
      <c r="AI1625" s="105" t="str">
        <f t="shared" si="1"/>
        <v/>
      </c>
      <c r="AJ1625" s="108" t="str">
        <f t="shared" si="2"/>
        <v/>
      </c>
    </row>
    <row r="1626" ht="15.75" customHeight="1">
      <c r="A1626" s="104"/>
      <c r="B1626" s="105" t="str">
        <f>IFERROR(__xludf.DUMMYFUNCTION("ARRAY_CONSTRAIN(
  ARRAYFORMULA(
    IF(
      'Final Report'!A1626="""",
      """",
      TEXTJOIN(
        "", "" &amp; CHAR(10),
        TRUE,
        IFERROR(
          VLOOKUP(
            TRIM(
              SPLIT('Final Report'!A1626, "","")
         "&amp;"   ),
            'URL Details'!A:B,
            2,
            FALSE
          ),
          """"
        )
      )
    )
  ),
  1,
  1
)
"),"")</f>
        <v/>
      </c>
      <c r="C1626" s="105" t="str">
        <f>IFERROR(__xludf.DUMMYFUNCTION("IFERROR(IF('Final Report'!A1626="""","""", TEXTJOIN(CHAR(10), TRUE, ARRAYFORMULA( ""• ""&amp; FILTER( TRIM(FLATTEN(SPLIT( REGEXREPLACE( SUBSTITUTE(TEXTJOIN("","", TRUE, IFERROR(ARRAYFORMULA(VLOOKUP(TRIM(SPLIT('Final Report'!A1626, "","")), 'URL Details'!A:D, "&amp;"4, FALSE)),"""") ), CHAR(10), "",""), ""\s*,\s*"", "",""), "",""))), TRIM(FLATTEN(SPLIT( REGEXREPLACE( SUBSTITUTE(TEXTJOIN("","", TRUE, IFERROR(ARRAYFORMULA(VLOOKUP(TRIM(SPLIT('Final Report'!A1626, "","")), 'URL Details'!A:D, 4, FALSE)),"""") ), CHAR(10),"&amp;" "",""), ""\s*,\s*"", "",""), "","")))&lt;&gt;"""" ) ) ) ),"""")
"),"")</f>
        <v/>
      </c>
      <c r="D1626" s="105"/>
      <c r="E1626" s="105"/>
      <c r="F1626" s="110" t="b">
        <v>0</v>
      </c>
      <c r="G1626" s="105" t="str">
        <f>IF(F1626=True, IFERROR(VLOOKUP(D1626, Repository!A:B, 2, 0), ""), "")</f>
        <v/>
      </c>
      <c r="H1626" s="105"/>
      <c r="I1626" s="105"/>
      <c r="J1626" s="105" t="str">
        <f>IF(F1626=True, IFERROR(VLOOKUP(D1626, Repository!A:C, 3, 0), ""), "")</f>
        <v/>
      </c>
      <c r="K1626" s="105"/>
      <c r="L1626" s="105" t="str">
        <f>IF(F1626=True, IFERROR(VLOOKUP(D1626, Repository!A:E, 5, 0), ""), "")</f>
        <v/>
      </c>
      <c r="M1626" s="105"/>
      <c r="N1626" s="105" t="str">
        <f>IF(F1626=True, IFERROR(VLOOKUP(D1626, Repository!A:G, 7, 0), ""), "")</f>
        <v/>
      </c>
      <c r="O1626" s="105" t="str">
        <f>IFERROR(__xludf.DUMMYFUNCTION("ARRAY_CONSTRAIN(
  ARRAYFORMULA(
    IFERROR(
      LET(
        list, N1626,
        arr, TRIM(SPLIT(list, "","")),
        names, XLOOKUP(
          arr,
          'Conformance Score'!A:A,
          'Conformance Score'!B:B,
          ""Not found""
     "&amp;"   ),
        TEXTJOIN("", "", TRUE, names)
      ),
      """"
    )
  ),
  1,
  1
)
"),"")</f>
        <v/>
      </c>
      <c r="P1626" s="105" t="str">
        <f>IF(F1626="Yes", IFERROR(VLOOKUP(D1626, Repository!A:F, 6, 0), ""), "")</f>
        <v/>
      </c>
      <c r="Q1626" s="105" t="str">
        <f>IF(F1626="Yes", IFERROR(VLOOKUP(D1626, Repository!A:I, 8, 0), ""), "")</f>
        <v/>
      </c>
      <c r="R1626" s="105" t="str">
        <f>IF(F1626="Yes", IFERROR(VLOOKUP(D1626, Repository!A:J, 9, 0), ""), "")</f>
        <v/>
      </c>
      <c r="S1626" s="105"/>
      <c r="T1626" s="105"/>
      <c r="U1626" s="105"/>
      <c r="V1626" s="105"/>
      <c r="W1626" s="105"/>
      <c r="X1626" s="105"/>
      <c r="Y1626" s="105"/>
      <c r="Z1626" s="105"/>
      <c r="AA1626" s="105"/>
      <c r="AB1626" s="105"/>
      <c r="AC1626" s="91"/>
      <c r="AD1626" s="105"/>
      <c r="AE1626" s="105"/>
      <c r="AF1626" s="91"/>
      <c r="AG1626" s="105"/>
      <c r="AH1626" s="105"/>
      <c r="AI1626" s="105" t="str">
        <f t="shared" si="1"/>
        <v/>
      </c>
      <c r="AJ1626" s="108" t="str">
        <f t="shared" si="2"/>
        <v/>
      </c>
    </row>
    <row r="1627" ht="15.75" customHeight="1">
      <c r="A1627" s="104"/>
      <c r="B1627" s="105" t="str">
        <f>IFERROR(__xludf.DUMMYFUNCTION("ARRAY_CONSTRAIN(
  ARRAYFORMULA(
    IF(
      'Final Report'!A1627="""",
      """",
      TEXTJOIN(
        "", "" &amp; CHAR(10),
        TRUE,
        IFERROR(
          VLOOKUP(
            TRIM(
              SPLIT('Final Report'!A1627, "","")
         "&amp;"   ),
            'URL Details'!A:B,
            2,
            FALSE
          ),
          """"
        )
      )
    )
  ),
  1,
  1
)
"),"")</f>
        <v/>
      </c>
      <c r="C1627" s="105" t="str">
        <f>IFERROR(__xludf.DUMMYFUNCTION("IFERROR(IF('Final Report'!A1627="""","""", TEXTJOIN(CHAR(10), TRUE, ARRAYFORMULA( ""• ""&amp; FILTER( TRIM(FLATTEN(SPLIT( REGEXREPLACE( SUBSTITUTE(TEXTJOIN("","", TRUE, IFERROR(ARRAYFORMULA(VLOOKUP(TRIM(SPLIT('Final Report'!A1627, "","")), 'URL Details'!A:D, "&amp;"4, FALSE)),"""") ), CHAR(10), "",""), ""\s*,\s*"", "",""), "",""))), TRIM(FLATTEN(SPLIT( REGEXREPLACE( SUBSTITUTE(TEXTJOIN("","", TRUE, IFERROR(ARRAYFORMULA(VLOOKUP(TRIM(SPLIT('Final Report'!A1627, "","")), 'URL Details'!A:D, 4, FALSE)),"""") ), CHAR(10),"&amp;" "",""), ""\s*,\s*"", "",""), "","")))&lt;&gt;"""" ) ) ) ),"""")
"),"")</f>
        <v/>
      </c>
      <c r="D1627" s="105"/>
      <c r="E1627" s="105"/>
      <c r="F1627" s="110" t="b">
        <v>0</v>
      </c>
      <c r="G1627" s="105" t="str">
        <f>IF(F1627=True, IFERROR(VLOOKUP(D1627, Repository!A:B, 2, 0), ""), "")</f>
        <v/>
      </c>
      <c r="H1627" s="105"/>
      <c r="I1627" s="105"/>
      <c r="J1627" s="105" t="str">
        <f>IF(F1627=True, IFERROR(VLOOKUP(D1627, Repository!A:C, 3, 0), ""), "")</f>
        <v/>
      </c>
      <c r="K1627" s="105"/>
      <c r="L1627" s="105" t="str">
        <f>IF(F1627=True, IFERROR(VLOOKUP(D1627, Repository!A:E, 5, 0), ""), "")</f>
        <v/>
      </c>
      <c r="M1627" s="105"/>
      <c r="N1627" s="105" t="str">
        <f>IF(F1627=True, IFERROR(VLOOKUP(D1627, Repository!A:G, 7, 0), ""), "")</f>
        <v/>
      </c>
      <c r="O1627" s="105" t="str">
        <f>IFERROR(__xludf.DUMMYFUNCTION("ARRAY_CONSTRAIN(
  ARRAYFORMULA(
    IFERROR(
      LET(
        list, N1627,
        arr, TRIM(SPLIT(list, "","")),
        names, XLOOKUP(
          arr,
          'Conformance Score'!A:A,
          'Conformance Score'!B:B,
          ""Not found""
     "&amp;"   ),
        TEXTJOIN("", "", TRUE, names)
      ),
      """"
    )
  ),
  1,
  1
)
"),"")</f>
        <v/>
      </c>
      <c r="P1627" s="105" t="str">
        <f>IF(F1627="Yes", IFERROR(VLOOKUP(D1627, Repository!A:F, 6, 0), ""), "")</f>
        <v/>
      </c>
      <c r="Q1627" s="105" t="str">
        <f>IF(F1627="Yes", IFERROR(VLOOKUP(D1627, Repository!A:I, 8, 0), ""), "")</f>
        <v/>
      </c>
      <c r="R1627" s="105" t="str">
        <f>IF(F1627="Yes", IFERROR(VLOOKUP(D1627, Repository!A:J, 9, 0), ""), "")</f>
        <v/>
      </c>
      <c r="S1627" s="105"/>
      <c r="T1627" s="105"/>
      <c r="U1627" s="105"/>
      <c r="V1627" s="105"/>
      <c r="W1627" s="105"/>
      <c r="X1627" s="105"/>
      <c r="Y1627" s="105"/>
      <c r="Z1627" s="105"/>
      <c r="AA1627" s="105"/>
      <c r="AB1627" s="105"/>
      <c r="AC1627" s="91"/>
      <c r="AD1627" s="105"/>
      <c r="AE1627" s="105"/>
      <c r="AF1627" s="91"/>
      <c r="AG1627" s="105"/>
      <c r="AH1627" s="105"/>
      <c r="AI1627" s="105" t="str">
        <f t="shared" si="1"/>
        <v/>
      </c>
      <c r="AJ1627" s="108" t="str">
        <f t="shared" si="2"/>
        <v/>
      </c>
    </row>
    <row r="1628" ht="15.75" customHeight="1">
      <c r="A1628" s="104"/>
      <c r="B1628" s="105" t="str">
        <f>IFERROR(__xludf.DUMMYFUNCTION("ARRAY_CONSTRAIN(
  ARRAYFORMULA(
    IF(
      'Final Report'!A1628="""",
      """",
      TEXTJOIN(
        "", "" &amp; CHAR(10),
        TRUE,
        IFERROR(
          VLOOKUP(
            TRIM(
              SPLIT('Final Report'!A1628, "","")
         "&amp;"   ),
            'URL Details'!A:B,
            2,
            FALSE
          ),
          """"
        )
      )
    )
  ),
  1,
  1
)
"),"")</f>
        <v/>
      </c>
      <c r="C1628" s="105" t="str">
        <f>IFERROR(__xludf.DUMMYFUNCTION("IFERROR(IF('Final Report'!A1628="""","""", TEXTJOIN(CHAR(10), TRUE, ARRAYFORMULA( ""• ""&amp; FILTER( TRIM(FLATTEN(SPLIT( REGEXREPLACE( SUBSTITUTE(TEXTJOIN("","", TRUE, IFERROR(ARRAYFORMULA(VLOOKUP(TRIM(SPLIT('Final Report'!A1628, "","")), 'URL Details'!A:D, "&amp;"4, FALSE)),"""") ), CHAR(10), "",""), ""\s*,\s*"", "",""), "",""))), TRIM(FLATTEN(SPLIT( REGEXREPLACE( SUBSTITUTE(TEXTJOIN("","", TRUE, IFERROR(ARRAYFORMULA(VLOOKUP(TRIM(SPLIT('Final Report'!A1628, "","")), 'URL Details'!A:D, 4, FALSE)),"""") ), CHAR(10),"&amp;" "",""), ""\s*,\s*"", "",""), "","")))&lt;&gt;"""" ) ) ) ),"""")
"),"")</f>
        <v/>
      </c>
      <c r="D1628" s="105"/>
      <c r="E1628" s="105"/>
      <c r="F1628" s="110" t="b">
        <v>0</v>
      </c>
      <c r="G1628" s="105" t="str">
        <f>IF(F1628=True, IFERROR(VLOOKUP(D1628, Repository!A:B, 2, 0), ""), "")</f>
        <v/>
      </c>
      <c r="H1628" s="105"/>
      <c r="I1628" s="105"/>
      <c r="J1628" s="105" t="str">
        <f>IF(F1628=True, IFERROR(VLOOKUP(D1628, Repository!A:C, 3, 0), ""), "")</f>
        <v/>
      </c>
      <c r="K1628" s="105"/>
      <c r="L1628" s="105" t="str">
        <f>IF(F1628=True, IFERROR(VLOOKUP(D1628, Repository!A:E, 5, 0), ""), "")</f>
        <v/>
      </c>
      <c r="M1628" s="105"/>
      <c r="N1628" s="105" t="str">
        <f>IF(F1628=True, IFERROR(VLOOKUP(D1628, Repository!A:G, 7, 0), ""), "")</f>
        <v/>
      </c>
      <c r="O1628" s="105" t="str">
        <f>IFERROR(__xludf.DUMMYFUNCTION("ARRAY_CONSTRAIN(
  ARRAYFORMULA(
    IFERROR(
      LET(
        list, N1628,
        arr, TRIM(SPLIT(list, "","")),
        names, XLOOKUP(
          arr,
          'Conformance Score'!A:A,
          'Conformance Score'!B:B,
          ""Not found""
     "&amp;"   ),
        TEXTJOIN("", "", TRUE, names)
      ),
      """"
    )
  ),
  1,
  1
)
"),"")</f>
        <v/>
      </c>
      <c r="P1628" s="105" t="str">
        <f>IF(F1628="Yes", IFERROR(VLOOKUP(D1628, Repository!A:F, 6, 0), ""), "")</f>
        <v/>
      </c>
      <c r="Q1628" s="105" t="str">
        <f>IF(F1628="Yes", IFERROR(VLOOKUP(D1628, Repository!A:I, 8, 0), ""), "")</f>
        <v/>
      </c>
      <c r="R1628" s="105" t="str">
        <f>IF(F1628="Yes", IFERROR(VLOOKUP(D1628, Repository!A:J, 9, 0), ""), "")</f>
        <v/>
      </c>
      <c r="S1628" s="105"/>
      <c r="T1628" s="105"/>
      <c r="U1628" s="105"/>
      <c r="V1628" s="105"/>
      <c r="W1628" s="105"/>
      <c r="X1628" s="105"/>
      <c r="Y1628" s="105"/>
      <c r="Z1628" s="105"/>
      <c r="AA1628" s="105"/>
      <c r="AB1628" s="105"/>
      <c r="AC1628" s="91"/>
      <c r="AD1628" s="105"/>
      <c r="AE1628" s="105"/>
      <c r="AF1628" s="91"/>
      <c r="AG1628" s="105"/>
      <c r="AH1628" s="105"/>
      <c r="AI1628" s="105" t="str">
        <f t="shared" si="1"/>
        <v/>
      </c>
      <c r="AJ1628" s="108" t="str">
        <f t="shared" si="2"/>
        <v/>
      </c>
    </row>
    <row r="1629" ht="15.75" customHeight="1">
      <c r="A1629" s="104"/>
      <c r="B1629" s="105" t="str">
        <f>IFERROR(__xludf.DUMMYFUNCTION("ARRAY_CONSTRAIN(
  ARRAYFORMULA(
    IF(
      'Final Report'!A1629="""",
      """",
      TEXTJOIN(
        "", "" &amp; CHAR(10),
        TRUE,
        IFERROR(
          VLOOKUP(
            TRIM(
              SPLIT('Final Report'!A1629, "","")
         "&amp;"   ),
            'URL Details'!A:B,
            2,
            FALSE
          ),
          """"
        )
      )
    )
  ),
  1,
  1
)
"),"")</f>
        <v/>
      </c>
      <c r="C1629" s="105" t="str">
        <f>IFERROR(__xludf.DUMMYFUNCTION("IFERROR(IF('Final Report'!A1629="""","""", TEXTJOIN(CHAR(10), TRUE, ARRAYFORMULA( ""• ""&amp; FILTER( TRIM(FLATTEN(SPLIT( REGEXREPLACE( SUBSTITUTE(TEXTJOIN("","", TRUE, IFERROR(ARRAYFORMULA(VLOOKUP(TRIM(SPLIT('Final Report'!A1629, "","")), 'URL Details'!A:D, "&amp;"4, FALSE)),"""") ), CHAR(10), "",""), ""\s*,\s*"", "",""), "",""))), TRIM(FLATTEN(SPLIT( REGEXREPLACE( SUBSTITUTE(TEXTJOIN("","", TRUE, IFERROR(ARRAYFORMULA(VLOOKUP(TRIM(SPLIT('Final Report'!A1629, "","")), 'URL Details'!A:D, 4, FALSE)),"""") ), CHAR(10),"&amp;" "",""), ""\s*,\s*"", "",""), "","")))&lt;&gt;"""" ) ) ) ),"""")
"),"")</f>
        <v/>
      </c>
      <c r="D1629" s="105"/>
      <c r="E1629" s="105"/>
      <c r="F1629" s="110" t="b">
        <v>0</v>
      </c>
      <c r="G1629" s="105" t="str">
        <f>IF(F1629=True, IFERROR(VLOOKUP(D1629, Repository!A:B, 2, 0), ""), "")</f>
        <v/>
      </c>
      <c r="H1629" s="105"/>
      <c r="I1629" s="105"/>
      <c r="J1629" s="105" t="str">
        <f>IF(F1629=True, IFERROR(VLOOKUP(D1629, Repository!A:C, 3, 0), ""), "")</f>
        <v/>
      </c>
      <c r="K1629" s="105"/>
      <c r="L1629" s="105" t="str">
        <f>IF(F1629=True, IFERROR(VLOOKUP(D1629, Repository!A:E, 5, 0), ""), "")</f>
        <v/>
      </c>
      <c r="M1629" s="105"/>
      <c r="N1629" s="105" t="str">
        <f>IF(F1629=True, IFERROR(VLOOKUP(D1629, Repository!A:G, 7, 0), ""), "")</f>
        <v/>
      </c>
      <c r="O1629" s="105" t="str">
        <f>IFERROR(__xludf.DUMMYFUNCTION("ARRAY_CONSTRAIN(
  ARRAYFORMULA(
    IFERROR(
      LET(
        list, N1629,
        arr, TRIM(SPLIT(list, "","")),
        names, XLOOKUP(
          arr,
          'Conformance Score'!A:A,
          'Conformance Score'!B:B,
          ""Not found""
     "&amp;"   ),
        TEXTJOIN("", "", TRUE, names)
      ),
      """"
    )
  ),
  1,
  1
)
"),"")</f>
        <v/>
      </c>
      <c r="P1629" s="105" t="str">
        <f>IF(F1629="Yes", IFERROR(VLOOKUP(D1629, Repository!A:F, 6, 0), ""), "")</f>
        <v/>
      </c>
      <c r="Q1629" s="105" t="str">
        <f>IF(F1629="Yes", IFERROR(VLOOKUP(D1629, Repository!A:I, 8, 0), ""), "")</f>
        <v/>
      </c>
      <c r="R1629" s="105" t="str">
        <f>IF(F1629="Yes", IFERROR(VLOOKUP(D1629, Repository!A:J, 9, 0), ""), "")</f>
        <v/>
      </c>
      <c r="S1629" s="105"/>
      <c r="T1629" s="105"/>
      <c r="U1629" s="105"/>
      <c r="V1629" s="105"/>
      <c r="W1629" s="105"/>
      <c r="X1629" s="105"/>
      <c r="Y1629" s="105"/>
      <c r="Z1629" s="105"/>
      <c r="AA1629" s="105"/>
      <c r="AB1629" s="105"/>
      <c r="AC1629" s="91"/>
      <c r="AD1629" s="105"/>
      <c r="AE1629" s="105"/>
      <c r="AF1629" s="91"/>
      <c r="AG1629" s="105"/>
      <c r="AH1629" s="105"/>
      <c r="AI1629" s="105" t="str">
        <f t="shared" si="1"/>
        <v/>
      </c>
      <c r="AJ1629" s="108" t="str">
        <f t="shared" si="2"/>
        <v/>
      </c>
    </row>
    <row r="1630" ht="15.75" customHeight="1">
      <c r="A1630" s="104"/>
      <c r="B1630" s="105" t="str">
        <f>IFERROR(__xludf.DUMMYFUNCTION("ARRAY_CONSTRAIN(
  ARRAYFORMULA(
    IF(
      'Final Report'!A1630="""",
      """",
      TEXTJOIN(
        "", "" &amp; CHAR(10),
        TRUE,
        IFERROR(
          VLOOKUP(
            TRIM(
              SPLIT('Final Report'!A1630, "","")
         "&amp;"   ),
            'URL Details'!A:B,
            2,
            FALSE
          ),
          """"
        )
      )
    )
  ),
  1,
  1
)
"),"")</f>
        <v/>
      </c>
      <c r="C1630" s="105" t="str">
        <f>IFERROR(__xludf.DUMMYFUNCTION("IFERROR(IF('Final Report'!A1630="""","""", TEXTJOIN(CHAR(10), TRUE, ARRAYFORMULA( ""• ""&amp; FILTER( TRIM(FLATTEN(SPLIT( REGEXREPLACE( SUBSTITUTE(TEXTJOIN("","", TRUE, IFERROR(ARRAYFORMULA(VLOOKUP(TRIM(SPLIT('Final Report'!A1630, "","")), 'URL Details'!A:D, "&amp;"4, FALSE)),"""") ), CHAR(10), "",""), ""\s*,\s*"", "",""), "",""))), TRIM(FLATTEN(SPLIT( REGEXREPLACE( SUBSTITUTE(TEXTJOIN("","", TRUE, IFERROR(ARRAYFORMULA(VLOOKUP(TRIM(SPLIT('Final Report'!A1630, "","")), 'URL Details'!A:D, 4, FALSE)),"""") ), CHAR(10),"&amp;" "",""), ""\s*,\s*"", "",""), "","")))&lt;&gt;"""" ) ) ) ),"""")
"),"")</f>
        <v/>
      </c>
      <c r="D1630" s="105"/>
      <c r="E1630" s="105"/>
      <c r="F1630" s="110" t="b">
        <v>0</v>
      </c>
      <c r="G1630" s="105" t="str">
        <f>IF(F1630=True, IFERROR(VLOOKUP(D1630, Repository!A:B, 2, 0), ""), "")</f>
        <v/>
      </c>
      <c r="H1630" s="105"/>
      <c r="I1630" s="105"/>
      <c r="J1630" s="105" t="str">
        <f>IF(F1630=True, IFERROR(VLOOKUP(D1630, Repository!A:C, 3, 0), ""), "")</f>
        <v/>
      </c>
      <c r="K1630" s="105"/>
      <c r="L1630" s="105" t="str">
        <f>IF(F1630=True, IFERROR(VLOOKUP(D1630, Repository!A:E, 5, 0), ""), "")</f>
        <v/>
      </c>
      <c r="M1630" s="105"/>
      <c r="N1630" s="105" t="str">
        <f>IF(F1630=True, IFERROR(VLOOKUP(D1630, Repository!A:G, 7, 0), ""), "")</f>
        <v/>
      </c>
      <c r="O1630" s="105" t="str">
        <f>IFERROR(__xludf.DUMMYFUNCTION("ARRAY_CONSTRAIN(
  ARRAYFORMULA(
    IFERROR(
      LET(
        list, N1630,
        arr, TRIM(SPLIT(list, "","")),
        names, XLOOKUP(
          arr,
          'Conformance Score'!A:A,
          'Conformance Score'!B:B,
          ""Not found""
     "&amp;"   ),
        TEXTJOIN("", "", TRUE, names)
      ),
      """"
    )
  ),
  1,
  1
)
"),"")</f>
        <v/>
      </c>
      <c r="P1630" s="105" t="str">
        <f>IF(F1630="Yes", IFERROR(VLOOKUP(D1630, Repository!A:F, 6, 0), ""), "")</f>
        <v/>
      </c>
      <c r="Q1630" s="105" t="str">
        <f>IF(F1630="Yes", IFERROR(VLOOKUP(D1630, Repository!A:I, 8, 0), ""), "")</f>
        <v/>
      </c>
      <c r="R1630" s="105" t="str">
        <f>IF(F1630="Yes", IFERROR(VLOOKUP(D1630, Repository!A:J, 9, 0), ""), "")</f>
        <v/>
      </c>
      <c r="S1630" s="105"/>
      <c r="T1630" s="105"/>
      <c r="U1630" s="105"/>
      <c r="V1630" s="105"/>
      <c r="W1630" s="105"/>
      <c r="X1630" s="105"/>
      <c r="Y1630" s="105"/>
      <c r="Z1630" s="105"/>
      <c r="AA1630" s="105"/>
      <c r="AB1630" s="105"/>
      <c r="AC1630" s="91"/>
      <c r="AD1630" s="105"/>
      <c r="AE1630" s="105"/>
      <c r="AF1630" s="91"/>
      <c r="AG1630" s="105"/>
      <c r="AH1630" s="105"/>
      <c r="AI1630" s="105" t="str">
        <f t="shared" si="1"/>
        <v/>
      </c>
      <c r="AJ1630" s="108" t="str">
        <f t="shared" si="2"/>
        <v/>
      </c>
    </row>
    <row r="1631" ht="15.75" customHeight="1">
      <c r="A1631" s="104"/>
      <c r="B1631" s="105" t="str">
        <f>IFERROR(__xludf.DUMMYFUNCTION("ARRAY_CONSTRAIN(
  ARRAYFORMULA(
    IF(
      'Final Report'!A1631="""",
      """",
      TEXTJOIN(
        "", "" &amp; CHAR(10),
        TRUE,
        IFERROR(
          VLOOKUP(
            TRIM(
              SPLIT('Final Report'!A1631, "","")
         "&amp;"   ),
            'URL Details'!A:B,
            2,
            FALSE
          ),
          """"
        )
      )
    )
  ),
  1,
  1
)
"),"")</f>
        <v/>
      </c>
      <c r="C1631" s="105" t="str">
        <f>IFERROR(__xludf.DUMMYFUNCTION("IFERROR(IF('Final Report'!A1631="""","""", TEXTJOIN(CHAR(10), TRUE, ARRAYFORMULA( ""• ""&amp; FILTER( TRIM(FLATTEN(SPLIT( REGEXREPLACE( SUBSTITUTE(TEXTJOIN("","", TRUE, IFERROR(ARRAYFORMULA(VLOOKUP(TRIM(SPLIT('Final Report'!A1631, "","")), 'URL Details'!A:D, "&amp;"4, FALSE)),"""") ), CHAR(10), "",""), ""\s*,\s*"", "",""), "",""))), TRIM(FLATTEN(SPLIT( REGEXREPLACE( SUBSTITUTE(TEXTJOIN("","", TRUE, IFERROR(ARRAYFORMULA(VLOOKUP(TRIM(SPLIT('Final Report'!A1631, "","")), 'URL Details'!A:D, 4, FALSE)),"""") ), CHAR(10),"&amp;" "",""), ""\s*,\s*"", "",""), "","")))&lt;&gt;"""" ) ) ) ),"""")
"),"")</f>
        <v/>
      </c>
      <c r="D1631" s="105"/>
      <c r="E1631" s="105"/>
      <c r="F1631" s="110" t="b">
        <v>0</v>
      </c>
      <c r="G1631" s="105" t="str">
        <f>IF(F1631=True, IFERROR(VLOOKUP(D1631, Repository!A:B, 2, 0), ""), "")</f>
        <v/>
      </c>
      <c r="H1631" s="105"/>
      <c r="I1631" s="105"/>
      <c r="J1631" s="105" t="str">
        <f>IF(F1631=True, IFERROR(VLOOKUP(D1631, Repository!A:C, 3, 0), ""), "")</f>
        <v/>
      </c>
      <c r="K1631" s="105"/>
      <c r="L1631" s="105" t="str">
        <f>IF(F1631=True, IFERROR(VLOOKUP(D1631, Repository!A:E, 5, 0), ""), "")</f>
        <v/>
      </c>
      <c r="M1631" s="105"/>
      <c r="N1631" s="105" t="str">
        <f>IF(F1631=True, IFERROR(VLOOKUP(D1631, Repository!A:G, 7, 0), ""), "")</f>
        <v/>
      </c>
      <c r="O1631" s="105" t="str">
        <f>IFERROR(__xludf.DUMMYFUNCTION("ARRAY_CONSTRAIN(
  ARRAYFORMULA(
    IFERROR(
      LET(
        list, N1631,
        arr, TRIM(SPLIT(list, "","")),
        names, XLOOKUP(
          arr,
          'Conformance Score'!A:A,
          'Conformance Score'!B:B,
          ""Not found""
     "&amp;"   ),
        TEXTJOIN("", "", TRUE, names)
      ),
      """"
    )
  ),
  1,
  1
)
"),"")</f>
        <v/>
      </c>
      <c r="P1631" s="105" t="str">
        <f>IF(F1631="Yes", IFERROR(VLOOKUP(D1631, Repository!A:F, 6, 0), ""), "")</f>
        <v/>
      </c>
      <c r="Q1631" s="105" t="str">
        <f>IF(F1631="Yes", IFERROR(VLOOKUP(D1631, Repository!A:I, 8, 0), ""), "")</f>
        <v/>
      </c>
      <c r="R1631" s="105" t="str">
        <f>IF(F1631="Yes", IFERROR(VLOOKUP(D1631, Repository!A:J, 9, 0), ""), "")</f>
        <v/>
      </c>
      <c r="S1631" s="105"/>
      <c r="T1631" s="105"/>
      <c r="U1631" s="105"/>
      <c r="V1631" s="105"/>
      <c r="W1631" s="105"/>
      <c r="X1631" s="105"/>
      <c r="Y1631" s="105"/>
      <c r="Z1631" s="105"/>
      <c r="AA1631" s="105"/>
      <c r="AB1631" s="105"/>
      <c r="AC1631" s="91"/>
      <c r="AD1631" s="105"/>
      <c r="AE1631" s="105"/>
      <c r="AF1631" s="91"/>
      <c r="AG1631" s="105"/>
      <c r="AH1631" s="105"/>
      <c r="AI1631" s="105" t="str">
        <f t="shared" si="1"/>
        <v/>
      </c>
      <c r="AJ1631" s="108" t="str">
        <f t="shared" si="2"/>
        <v/>
      </c>
    </row>
    <row r="1632" ht="15.75" customHeight="1">
      <c r="A1632" s="104"/>
      <c r="B1632" s="105" t="str">
        <f>IFERROR(__xludf.DUMMYFUNCTION("ARRAY_CONSTRAIN(
  ARRAYFORMULA(
    IF(
      'Final Report'!A1632="""",
      """",
      TEXTJOIN(
        "", "" &amp; CHAR(10),
        TRUE,
        IFERROR(
          VLOOKUP(
            TRIM(
              SPLIT('Final Report'!A1632, "","")
         "&amp;"   ),
            'URL Details'!A:B,
            2,
            FALSE
          ),
          """"
        )
      )
    )
  ),
  1,
  1
)
"),"")</f>
        <v/>
      </c>
      <c r="C1632" s="105" t="str">
        <f>IFERROR(__xludf.DUMMYFUNCTION("IFERROR(IF('Final Report'!A1632="""","""", TEXTJOIN(CHAR(10), TRUE, ARRAYFORMULA( ""• ""&amp; FILTER( TRIM(FLATTEN(SPLIT( REGEXREPLACE( SUBSTITUTE(TEXTJOIN("","", TRUE, IFERROR(ARRAYFORMULA(VLOOKUP(TRIM(SPLIT('Final Report'!A1632, "","")), 'URL Details'!A:D, "&amp;"4, FALSE)),"""") ), CHAR(10), "",""), ""\s*,\s*"", "",""), "",""))), TRIM(FLATTEN(SPLIT( REGEXREPLACE( SUBSTITUTE(TEXTJOIN("","", TRUE, IFERROR(ARRAYFORMULA(VLOOKUP(TRIM(SPLIT('Final Report'!A1632, "","")), 'URL Details'!A:D, 4, FALSE)),"""") ), CHAR(10),"&amp;" "",""), ""\s*,\s*"", "",""), "","")))&lt;&gt;"""" ) ) ) ),"""")
"),"")</f>
        <v/>
      </c>
      <c r="D1632" s="105"/>
      <c r="E1632" s="105"/>
      <c r="F1632" s="110" t="b">
        <v>0</v>
      </c>
      <c r="G1632" s="105" t="str">
        <f>IF(F1632=True, IFERROR(VLOOKUP(D1632, Repository!A:B, 2, 0), ""), "")</f>
        <v/>
      </c>
      <c r="H1632" s="105"/>
      <c r="I1632" s="105"/>
      <c r="J1632" s="105" t="str">
        <f>IF(F1632=True, IFERROR(VLOOKUP(D1632, Repository!A:C, 3, 0), ""), "")</f>
        <v/>
      </c>
      <c r="K1632" s="105"/>
      <c r="L1632" s="105" t="str">
        <f>IF(F1632=True, IFERROR(VLOOKUP(D1632, Repository!A:E, 5, 0), ""), "")</f>
        <v/>
      </c>
      <c r="M1632" s="105"/>
      <c r="N1632" s="105" t="str">
        <f>IF(F1632=True, IFERROR(VLOOKUP(D1632, Repository!A:G, 7, 0), ""), "")</f>
        <v/>
      </c>
      <c r="O1632" s="105" t="str">
        <f>IFERROR(__xludf.DUMMYFUNCTION("ARRAY_CONSTRAIN(
  ARRAYFORMULA(
    IFERROR(
      LET(
        list, N1632,
        arr, TRIM(SPLIT(list, "","")),
        names, XLOOKUP(
          arr,
          'Conformance Score'!A:A,
          'Conformance Score'!B:B,
          ""Not found""
     "&amp;"   ),
        TEXTJOIN("", "", TRUE, names)
      ),
      """"
    )
  ),
  1,
  1
)
"),"")</f>
        <v/>
      </c>
      <c r="P1632" s="105" t="str">
        <f>IF(F1632="Yes", IFERROR(VLOOKUP(D1632, Repository!A:F, 6, 0), ""), "")</f>
        <v/>
      </c>
      <c r="Q1632" s="105" t="str">
        <f>IF(F1632="Yes", IFERROR(VLOOKUP(D1632, Repository!A:I, 8, 0), ""), "")</f>
        <v/>
      </c>
      <c r="R1632" s="105" t="str">
        <f>IF(F1632="Yes", IFERROR(VLOOKUP(D1632, Repository!A:J, 9, 0), ""), "")</f>
        <v/>
      </c>
      <c r="S1632" s="105"/>
      <c r="T1632" s="105"/>
      <c r="U1632" s="105"/>
      <c r="V1632" s="105"/>
      <c r="W1632" s="105"/>
      <c r="X1632" s="105"/>
      <c r="Y1632" s="105"/>
      <c r="Z1632" s="105"/>
      <c r="AA1632" s="105"/>
      <c r="AB1632" s="105"/>
      <c r="AC1632" s="91"/>
      <c r="AD1632" s="105"/>
      <c r="AE1632" s="105"/>
      <c r="AF1632" s="91"/>
      <c r="AG1632" s="105"/>
      <c r="AH1632" s="105"/>
      <c r="AI1632" s="105" t="str">
        <f t="shared" si="1"/>
        <v/>
      </c>
      <c r="AJ1632" s="108" t="str">
        <f t="shared" si="2"/>
        <v/>
      </c>
    </row>
    <row r="1633" ht="15.75" customHeight="1">
      <c r="A1633" s="104"/>
      <c r="B1633" s="105" t="str">
        <f>IFERROR(__xludf.DUMMYFUNCTION("ARRAY_CONSTRAIN(
  ARRAYFORMULA(
    IF(
      'Final Report'!A1633="""",
      """",
      TEXTJOIN(
        "", "" &amp; CHAR(10),
        TRUE,
        IFERROR(
          VLOOKUP(
            TRIM(
              SPLIT('Final Report'!A1633, "","")
         "&amp;"   ),
            'URL Details'!A:B,
            2,
            FALSE
          ),
          """"
        )
      )
    )
  ),
  1,
  1
)
"),"")</f>
        <v/>
      </c>
      <c r="C1633" s="105" t="str">
        <f>IFERROR(__xludf.DUMMYFUNCTION("IFERROR(IF('Final Report'!A1633="""","""", TEXTJOIN(CHAR(10), TRUE, ARRAYFORMULA( ""• ""&amp; FILTER( TRIM(FLATTEN(SPLIT( REGEXREPLACE( SUBSTITUTE(TEXTJOIN("","", TRUE, IFERROR(ARRAYFORMULA(VLOOKUP(TRIM(SPLIT('Final Report'!A1633, "","")), 'URL Details'!A:D, "&amp;"4, FALSE)),"""") ), CHAR(10), "",""), ""\s*,\s*"", "",""), "",""))), TRIM(FLATTEN(SPLIT( REGEXREPLACE( SUBSTITUTE(TEXTJOIN("","", TRUE, IFERROR(ARRAYFORMULA(VLOOKUP(TRIM(SPLIT('Final Report'!A1633, "","")), 'URL Details'!A:D, 4, FALSE)),"""") ), CHAR(10),"&amp;" "",""), ""\s*,\s*"", "",""), "","")))&lt;&gt;"""" ) ) ) ),"""")
"),"")</f>
        <v/>
      </c>
      <c r="D1633" s="105"/>
      <c r="E1633" s="105"/>
      <c r="F1633" s="110" t="b">
        <v>0</v>
      </c>
      <c r="G1633" s="105" t="str">
        <f>IF(F1633=True, IFERROR(VLOOKUP(D1633, Repository!A:B, 2, 0), ""), "")</f>
        <v/>
      </c>
      <c r="H1633" s="105"/>
      <c r="I1633" s="105"/>
      <c r="J1633" s="105" t="str">
        <f>IF(F1633=True, IFERROR(VLOOKUP(D1633, Repository!A:C, 3, 0), ""), "")</f>
        <v/>
      </c>
      <c r="K1633" s="105"/>
      <c r="L1633" s="105" t="str">
        <f>IF(F1633=True, IFERROR(VLOOKUP(D1633, Repository!A:E, 5, 0), ""), "")</f>
        <v/>
      </c>
      <c r="M1633" s="105"/>
      <c r="N1633" s="105" t="str">
        <f>IF(F1633=True, IFERROR(VLOOKUP(D1633, Repository!A:G, 7, 0), ""), "")</f>
        <v/>
      </c>
      <c r="O1633" s="105" t="str">
        <f>IFERROR(__xludf.DUMMYFUNCTION("ARRAY_CONSTRAIN(
  ARRAYFORMULA(
    IFERROR(
      LET(
        list, N1633,
        arr, TRIM(SPLIT(list, "","")),
        names, XLOOKUP(
          arr,
          'Conformance Score'!A:A,
          'Conformance Score'!B:B,
          ""Not found""
     "&amp;"   ),
        TEXTJOIN("", "", TRUE, names)
      ),
      """"
    )
  ),
  1,
  1
)
"),"")</f>
        <v/>
      </c>
      <c r="P1633" s="105" t="str">
        <f>IF(F1633="Yes", IFERROR(VLOOKUP(D1633, Repository!A:F, 6, 0), ""), "")</f>
        <v/>
      </c>
      <c r="Q1633" s="105" t="str">
        <f>IF(F1633="Yes", IFERROR(VLOOKUP(D1633, Repository!A:I, 8, 0), ""), "")</f>
        <v/>
      </c>
      <c r="R1633" s="105" t="str">
        <f>IF(F1633="Yes", IFERROR(VLOOKUP(D1633, Repository!A:J, 9, 0), ""), "")</f>
        <v/>
      </c>
      <c r="S1633" s="105"/>
      <c r="T1633" s="105"/>
      <c r="U1633" s="105"/>
      <c r="V1633" s="105"/>
      <c r="W1633" s="105"/>
      <c r="X1633" s="105"/>
      <c r="Y1633" s="105"/>
      <c r="Z1633" s="105"/>
      <c r="AA1633" s="105"/>
      <c r="AB1633" s="105"/>
      <c r="AC1633" s="91"/>
      <c r="AD1633" s="105"/>
      <c r="AE1633" s="105"/>
      <c r="AF1633" s="91"/>
      <c r="AG1633" s="105"/>
      <c r="AH1633" s="105"/>
      <c r="AI1633" s="105" t="str">
        <f t="shared" si="1"/>
        <v/>
      </c>
      <c r="AJ1633" s="108" t="str">
        <f t="shared" si="2"/>
        <v/>
      </c>
    </row>
    <row r="1634" ht="15.75" customHeight="1">
      <c r="A1634" s="104"/>
      <c r="B1634" s="105" t="str">
        <f>IFERROR(__xludf.DUMMYFUNCTION("ARRAY_CONSTRAIN(
  ARRAYFORMULA(
    IF(
      'Final Report'!A1634="""",
      """",
      TEXTJOIN(
        "", "" &amp; CHAR(10),
        TRUE,
        IFERROR(
          VLOOKUP(
            TRIM(
              SPLIT('Final Report'!A1634, "","")
         "&amp;"   ),
            'URL Details'!A:B,
            2,
            FALSE
          ),
          """"
        )
      )
    )
  ),
  1,
  1
)
"),"")</f>
        <v/>
      </c>
      <c r="C1634" s="105" t="str">
        <f>IFERROR(__xludf.DUMMYFUNCTION("IFERROR(IF('Final Report'!A1634="""","""", TEXTJOIN(CHAR(10), TRUE, ARRAYFORMULA( ""• ""&amp; FILTER( TRIM(FLATTEN(SPLIT( REGEXREPLACE( SUBSTITUTE(TEXTJOIN("","", TRUE, IFERROR(ARRAYFORMULA(VLOOKUP(TRIM(SPLIT('Final Report'!A1634, "","")), 'URL Details'!A:D, "&amp;"4, FALSE)),"""") ), CHAR(10), "",""), ""\s*,\s*"", "",""), "",""))), TRIM(FLATTEN(SPLIT( REGEXREPLACE( SUBSTITUTE(TEXTJOIN("","", TRUE, IFERROR(ARRAYFORMULA(VLOOKUP(TRIM(SPLIT('Final Report'!A1634, "","")), 'URL Details'!A:D, 4, FALSE)),"""") ), CHAR(10),"&amp;" "",""), ""\s*,\s*"", "",""), "","")))&lt;&gt;"""" ) ) ) ),"""")
"),"")</f>
        <v/>
      </c>
      <c r="D1634" s="105"/>
      <c r="E1634" s="105"/>
      <c r="F1634" s="110" t="b">
        <v>0</v>
      </c>
      <c r="G1634" s="105" t="str">
        <f>IF(F1634=True, IFERROR(VLOOKUP(D1634, Repository!A:B, 2, 0), ""), "")</f>
        <v/>
      </c>
      <c r="H1634" s="105"/>
      <c r="I1634" s="105"/>
      <c r="J1634" s="105" t="str">
        <f>IF(F1634=True, IFERROR(VLOOKUP(D1634, Repository!A:C, 3, 0), ""), "")</f>
        <v/>
      </c>
      <c r="K1634" s="105"/>
      <c r="L1634" s="105" t="str">
        <f>IF(F1634=True, IFERROR(VLOOKUP(D1634, Repository!A:E, 5, 0), ""), "")</f>
        <v/>
      </c>
      <c r="M1634" s="105"/>
      <c r="N1634" s="105" t="str">
        <f>IF(F1634=True, IFERROR(VLOOKUP(D1634, Repository!A:G, 7, 0), ""), "")</f>
        <v/>
      </c>
      <c r="O1634" s="105" t="str">
        <f>IFERROR(__xludf.DUMMYFUNCTION("ARRAY_CONSTRAIN(
  ARRAYFORMULA(
    IFERROR(
      LET(
        list, N1634,
        arr, TRIM(SPLIT(list, "","")),
        names, XLOOKUP(
          arr,
          'Conformance Score'!A:A,
          'Conformance Score'!B:B,
          ""Not found""
     "&amp;"   ),
        TEXTJOIN("", "", TRUE, names)
      ),
      """"
    )
  ),
  1,
  1
)
"),"")</f>
        <v/>
      </c>
      <c r="P1634" s="105" t="str">
        <f>IF(F1634="Yes", IFERROR(VLOOKUP(D1634, Repository!A:F, 6, 0), ""), "")</f>
        <v/>
      </c>
      <c r="Q1634" s="105" t="str">
        <f>IF(F1634="Yes", IFERROR(VLOOKUP(D1634, Repository!A:I, 8, 0), ""), "")</f>
        <v/>
      </c>
      <c r="R1634" s="105" t="str">
        <f>IF(F1634="Yes", IFERROR(VLOOKUP(D1634, Repository!A:J, 9, 0), ""), "")</f>
        <v/>
      </c>
      <c r="S1634" s="105"/>
      <c r="T1634" s="105"/>
      <c r="U1634" s="105"/>
      <c r="V1634" s="105"/>
      <c r="W1634" s="105"/>
      <c r="X1634" s="105"/>
      <c r="Y1634" s="105"/>
      <c r="Z1634" s="105"/>
      <c r="AA1634" s="105"/>
      <c r="AB1634" s="105"/>
      <c r="AC1634" s="91"/>
      <c r="AD1634" s="105"/>
      <c r="AE1634" s="105"/>
      <c r="AF1634" s="91"/>
      <c r="AG1634" s="105"/>
      <c r="AH1634" s="105"/>
      <c r="AI1634" s="105" t="str">
        <f t="shared" si="1"/>
        <v/>
      </c>
      <c r="AJ1634" s="108" t="str">
        <f t="shared" si="2"/>
        <v/>
      </c>
    </row>
    <row r="1635" ht="15.75" customHeight="1">
      <c r="A1635" s="104"/>
      <c r="B1635" s="105" t="str">
        <f>IFERROR(__xludf.DUMMYFUNCTION("ARRAY_CONSTRAIN(
  ARRAYFORMULA(
    IF(
      'Final Report'!A1635="""",
      """",
      TEXTJOIN(
        "", "" &amp; CHAR(10),
        TRUE,
        IFERROR(
          VLOOKUP(
            TRIM(
              SPLIT('Final Report'!A1635, "","")
         "&amp;"   ),
            'URL Details'!A:B,
            2,
            FALSE
          ),
          """"
        )
      )
    )
  ),
  1,
  1
)
"),"")</f>
        <v/>
      </c>
      <c r="C1635" s="105" t="str">
        <f>IFERROR(__xludf.DUMMYFUNCTION("IFERROR(IF('Final Report'!A1635="""","""", TEXTJOIN(CHAR(10), TRUE, ARRAYFORMULA( ""• ""&amp; FILTER( TRIM(FLATTEN(SPLIT( REGEXREPLACE( SUBSTITUTE(TEXTJOIN("","", TRUE, IFERROR(ARRAYFORMULA(VLOOKUP(TRIM(SPLIT('Final Report'!A1635, "","")), 'URL Details'!A:D, "&amp;"4, FALSE)),"""") ), CHAR(10), "",""), ""\s*,\s*"", "",""), "",""))), TRIM(FLATTEN(SPLIT( REGEXREPLACE( SUBSTITUTE(TEXTJOIN("","", TRUE, IFERROR(ARRAYFORMULA(VLOOKUP(TRIM(SPLIT('Final Report'!A1635, "","")), 'URL Details'!A:D, 4, FALSE)),"""") ), CHAR(10),"&amp;" "",""), ""\s*,\s*"", "",""), "","")))&lt;&gt;"""" ) ) ) ),"""")
"),"")</f>
        <v/>
      </c>
      <c r="D1635" s="105"/>
      <c r="E1635" s="105"/>
      <c r="F1635" s="110" t="b">
        <v>0</v>
      </c>
      <c r="G1635" s="105" t="str">
        <f>IF(F1635=True, IFERROR(VLOOKUP(D1635, Repository!A:B, 2, 0), ""), "")</f>
        <v/>
      </c>
      <c r="H1635" s="105"/>
      <c r="I1635" s="105"/>
      <c r="J1635" s="105" t="str">
        <f>IF(F1635=True, IFERROR(VLOOKUP(D1635, Repository!A:C, 3, 0), ""), "")</f>
        <v/>
      </c>
      <c r="K1635" s="105"/>
      <c r="L1635" s="105" t="str">
        <f>IF(F1635=True, IFERROR(VLOOKUP(D1635, Repository!A:E, 5, 0), ""), "")</f>
        <v/>
      </c>
      <c r="M1635" s="105"/>
      <c r="N1635" s="105" t="str">
        <f>IF(F1635=True, IFERROR(VLOOKUP(D1635, Repository!A:G, 7, 0), ""), "")</f>
        <v/>
      </c>
      <c r="O1635" s="105" t="str">
        <f>IFERROR(__xludf.DUMMYFUNCTION("ARRAY_CONSTRAIN(
  ARRAYFORMULA(
    IFERROR(
      LET(
        list, N1635,
        arr, TRIM(SPLIT(list, "","")),
        names, XLOOKUP(
          arr,
          'Conformance Score'!A:A,
          'Conformance Score'!B:B,
          ""Not found""
     "&amp;"   ),
        TEXTJOIN("", "", TRUE, names)
      ),
      """"
    )
  ),
  1,
  1
)
"),"")</f>
        <v/>
      </c>
      <c r="P1635" s="105" t="str">
        <f>IF(F1635="Yes", IFERROR(VLOOKUP(D1635, Repository!A:F, 6, 0), ""), "")</f>
        <v/>
      </c>
      <c r="Q1635" s="105" t="str">
        <f>IF(F1635="Yes", IFERROR(VLOOKUP(D1635, Repository!A:I, 8, 0), ""), "")</f>
        <v/>
      </c>
      <c r="R1635" s="105" t="str">
        <f>IF(F1635="Yes", IFERROR(VLOOKUP(D1635, Repository!A:J, 9, 0), ""), "")</f>
        <v/>
      </c>
      <c r="S1635" s="105"/>
      <c r="T1635" s="105"/>
      <c r="U1635" s="105"/>
      <c r="V1635" s="105"/>
      <c r="W1635" s="105"/>
      <c r="X1635" s="105"/>
      <c r="Y1635" s="105"/>
      <c r="Z1635" s="105"/>
      <c r="AA1635" s="105"/>
      <c r="AB1635" s="105"/>
      <c r="AC1635" s="91"/>
      <c r="AD1635" s="105"/>
      <c r="AE1635" s="105"/>
      <c r="AF1635" s="91"/>
      <c r="AG1635" s="105"/>
      <c r="AH1635" s="105"/>
      <c r="AI1635" s="105" t="str">
        <f t="shared" si="1"/>
        <v/>
      </c>
      <c r="AJ1635" s="108" t="str">
        <f t="shared" si="2"/>
        <v/>
      </c>
    </row>
    <row r="1636" ht="15.75" customHeight="1">
      <c r="A1636" s="104"/>
      <c r="B1636" s="105" t="str">
        <f>IFERROR(__xludf.DUMMYFUNCTION("ARRAY_CONSTRAIN(
  ARRAYFORMULA(
    IF(
      'Final Report'!A1636="""",
      """",
      TEXTJOIN(
        "", "" &amp; CHAR(10),
        TRUE,
        IFERROR(
          VLOOKUP(
            TRIM(
              SPLIT('Final Report'!A1636, "","")
         "&amp;"   ),
            'URL Details'!A:B,
            2,
            FALSE
          ),
          """"
        )
      )
    )
  ),
  1,
  1
)
"),"")</f>
        <v/>
      </c>
      <c r="C1636" s="105" t="str">
        <f>IFERROR(__xludf.DUMMYFUNCTION("IFERROR(IF('Final Report'!A1636="""","""", TEXTJOIN(CHAR(10), TRUE, ARRAYFORMULA( ""• ""&amp; FILTER( TRIM(FLATTEN(SPLIT( REGEXREPLACE( SUBSTITUTE(TEXTJOIN("","", TRUE, IFERROR(ARRAYFORMULA(VLOOKUP(TRIM(SPLIT('Final Report'!A1636, "","")), 'URL Details'!A:D, "&amp;"4, FALSE)),"""") ), CHAR(10), "",""), ""\s*,\s*"", "",""), "",""))), TRIM(FLATTEN(SPLIT( REGEXREPLACE( SUBSTITUTE(TEXTJOIN("","", TRUE, IFERROR(ARRAYFORMULA(VLOOKUP(TRIM(SPLIT('Final Report'!A1636, "","")), 'URL Details'!A:D, 4, FALSE)),"""") ), CHAR(10),"&amp;" "",""), ""\s*,\s*"", "",""), "","")))&lt;&gt;"""" ) ) ) ),"""")
"),"")</f>
        <v/>
      </c>
      <c r="D1636" s="105"/>
      <c r="E1636" s="105"/>
      <c r="F1636" s="110" t="b">
        <v>0</v>
      </c>
      <c r="G1636" s="105" t="str">
        <f>IF(F1636=True, IFERROR(VLOOKUP(D1636, Repository!A:B, 2, 0), ""), "")</f>
        <v/>
      </c>
      <c r="H1636" s="105"/>
      <c r="I1636" s="105"/>
      <c r="J1636" s="105" t="str">
        <f>IF(F1636=True, IFERROR(VLOOKUP(D1636, Repository!A:C, 3, 0), ""), "")</f>
        <v/>
      </c>
      <c r="K1636" s="105"/>
      <c r="L1636" s="105" t="str">
        <f>IF(F1636=True, IFERROR(VLOOKUP(D1636, Repository!A:E, 5, 0), ""), "")</f>
        <v/>
      </c>
      <c r="M1636" s="105"/>
      <c r="N1636" s="105" t="str">
        <f>IF(F1636=True, IFERROR(VLOOKUP(D1636, Repository!A:G, 7, 0), ""), "")</f>
        <v/>
      </c>
      <c r="O1636" s="105" t="str">
        <f>IFERROR(__xludf.DUMMYFUNCTION("ARRAY_CONSTRAIN(
  ARRAYFORMULA(
    IFERROR(
      LET(
        list, N1636,
        arr, TRIM(SPLIT(list, "","")),
        names, XLOOKUP(
          arr,
          'Conformance Score'!A:A,
          'Conformance Score'!B:B,
          ""Not found""
     "&amp;"   ),
        TEXTJOIN("", "", TRUE, names)
      ),
      """"
    )
  ),
  1,
  1
)
"),"")</f>
        <v/>
      </c>
      <c r="P1636" s="105" t="str">
        <f>IF(F1636="Yes", IFERROR(VLOOKUP(D1636, Repository!A:F, 6, 0), ""), "")</f>
        <v/>
      </c>
      <c r="Q1636" s="105" t="str">
        <f>IF(F1636="Yes", IFERROR(VLOOKUP(D1636, Repository!A:I, 8, 0), ""), "")</f>
        <v/>
      </c>
      <c r="R1636" s="105" t="str">
        <f>IF(F1636="Yes", IFERROR(VLOOKUP(D1636, Repository!A:J, 9, 0), ""), "")</f>
        <v/>
      </c>
      <c r="S1636" s="105"/>
      <c r="T1636" s="105"/>
      <c r="U1636" s="105"/>
      <c r="V1636" s="105"/>
      <c r="W1636" s="105"/>
      <c r="X1636" s="105"/>
      <c r="Y1636" s="105"/>
      <c r="Z1636" s="105"/>
      <c r="AA1636" s="105"/>
      <c r="AB1636" s="105"/>
      <c r="AC1636" s="91"/>
      <c r="AD1636" s="105"/>
      <c r="AE1636" s="105"/>
      <c r="AF1636" s="91"/>
      <c r="AG1636" s="105"/>
      <c r="AH1636" s="105"/>
      <c r="AI1636" s="105" t="str">
        <f t="shared" si="1"/>
        <v/>
      </c>
      <c r="AJ1636" s="108" t="str">
        <f t="shared" si="2"/>
        <v/>
      </c>
    </row>
    <row r="1637" ht="15.75" customHeight="1">
      <c r="A1637" s="104"/>
      <c r="B1637" s="105" t="str">
        <f>IFERROR(__xludf.DUMMYFUNCTION("ARRAY_CONSTRAIN(
  ARRAYFORMULA(
    IF(
      'Final Report'!A1637="""",
      """",
      TEXTJOIN(
        "", "" &amp; CHAR(10),
        TRUE,
        IFERROR(
          VLOOKUP(
            TRIM(
              SPLIT('Final Report'!A1637, "","")
         "&amp;"   ),
            'URL Details'!A:B,
            2,
            FALSE
          ),
          """"
        )
      )
    )
  ),
  1,
  1
)
"),"")</f>
        <v/>
      </c>
      <c r="C1637" s="105" t="str">
        <f>IFERROR(__xludf.DUMMYFUNCTION("IFERROR(IF('Final Report'!A1637="""","""", TEXTJOIN(CHAR(10), TRUE, ARRAYFORMULA( ""• ""&amp; FILTER( TRIM(FLATTEN(SPLIT( REGEXREPLACE( SUBSTITUTE(TEXTJOIN("","", TRUE, IFERROR(ARRAYFORMULA(VLOOKUP(TRIM(SPLIT('Final Report'!A1637, "","")), 'URL Details'!A:D, "&amp;"4, FALSE)),"""") ), CHAR(10), "",""), ""\s*,\s*"", "",""), "",""))), TRIM(FLATTEN(SPLIT( REGEXREPLACE( SUBSTITUTE(TEXTJOIN("","", TRUE, IFERROR(ARRAYFORMULA(VLOOKUP(TRIM(SPLIT('Final Report'!A1637, "","")), 'URL Details'!A:D, 4, FALSE)),"""") ), CHAR(10),"&amp;" "",""), ""\s*,\s*"", "",""), "","")))&lt;&gt;"""" ) ) ) ),"""")
"),"")</f>
        <v/>
      </c>
      <c r="D1637" s="105"/>
      <c r="E1637" s="105"/>
      <c r="F1637" s="110" t="b">
        <v>0</v>
      </c>
      <c r="G1637" s="105" t="str">
        <f>IF(F1637=True, IFERROR(VLOOKUP(D1637, Repository!A:B, 2, 0), ""), "")</f>
        <v/>
      </c>
      <c r="H1637" s="105"/>
      <c r="I1637" s="105"/>
      <c r="J1637" s="105" t="str">
        <f>IF(F1637=True, IFERROR(VLOOKUP(D1637, Repository!A:C, 3, 0), ""), "")</f>
        <v/>
      </c>
      <c r="K1637" s="105"/>
      <c r="L1637" s="105" t="str">
        <f>IF(F1637=True, IFERROR(VLOOKUP(D1637, Repository!A:E, 5, 0), ""), "")</f>
        <v/>
      </c>
      <c r="M1637" s="105"/>
      <c r="N1637" s="105" t="str">
        <f>IF(F1637=True, IFERROR(VLOOKUP(D1637, Repository!A:G, 7, 0), ""), "")</f>
        <v/>
      </c>
      <c r="O1637" s="105" t="str">
        <f>IFERROR(__xludf.DUMMYFUNCTION("ARRAY_CONSTRAIN(
  ARRAYFORMULA(
    IFERROR(
      LET(
        list, N1637,
        arr, TRIM(SPLIT(list, "","")),
        names, XLOOKUP(
          arr,
          'Conformance Score'!A:A,
          'Conformance Score'!B:B,
          ""Not found""
     "&amp;"   ),
        TEXTJOIN("", "", TRUE, names)
      ),
      """"
    )
  ),
  1,
  1
)
"),"")</f>
        <v/>
      </c>
      <c r="P1637" s="105" t="str">
        <f>IF(F1637="Yes", IFERROR(VLOOKUP(D1637, Repository!A:F, 6, 0), ""), "")</f>
        <v/>
      </c>
      <c r="Q1637" s="105" t="str">
        <f>IF(F1637="Yes", IFERROR(VLOOKUP(D1637, Repository!A:I, 8, 0), ""), "")</f>
        <v/>
      </c>
      <c r="R1637" s="105" t="str">
        <f>IF(F1637="Yes", IFERROR(VLOOKUP(D1637, Repository!A:J, 9, 0), ""), "")</f>
        <v/>
      </c>
      <c r="S1637" s="105"/>
      <c r="T1637" s="105"/>
      <c r="U1637" s="105"/>
      <c r="V1637" s="105"/>
      <c r="W1637" s="105"/>
      <c r="X1637" s="105"/>
      <c r="Y1637" s="105"/>
      <c r="Z1637" s="105"/>
      <c r="AA1637" s="105"/>
      <c r="AB1637" s="105"/>
      <c r="AC1637" s="91"/>
      <c r="AD1637" s="105"/>
      <c r="AE1637" s="105"/>
      <c r="AF1637" s="91"/>
      <c r="AG1637" s="105"/>
      <c r="AH1637" s="105"/>
      <c r="AI1637" s="105" t="str">
        <f t="shared" si="1"/>
        <v/>
      </c>
      <c r="AJ1637" s="108" t="str">
        <f t="shared" si="2"/>
        <v/>
      </c>
    </row>
    <row r="1638" ht="15.75" customHeight="1">
      <c r="A1638" s="104"/>
      <c r="B1638" s="105" t="str">
        <f>IFERROR(__xludf.DUMMYFUNCTION("ARRAY_CONSTRAIN(
  ARRAYFORMULA(
    IF(
      'Final Report'!A1638="""",
      """",
      TEXTJOIN(
        "", "" &amp; CHAR(10),
        TRUE,
        IFERROR(
          VLOOKUP(
            TRIM(
              SPLIT('Final Report'!A1638, "","")
         "&amp;"   ),
            'URL Details'!A:B,
            2,
            FALSE
          ),
          """"
        )
      )
    )
  ),
  1,
  1
)
"),"")</f>
        <v/>
      </c>
      <c r="C1638" s="105" t="str">
        <f>IFERROR(__xludf.DUMMYFUNCTION("IFERROR(IF('Final Report'!A1638="""","""", TEXTJOIN(CHAR(10), TRUE, ARRAYFORMULA( ""• ""&amp; FILTER( TRIM(FLATTEN(SPLIT( REGEXREPLACE( SUBSTITUTE(TEXTJOIN("","", TRUE, IFERROR(ARRAYFORMULA(VLOOKUP(TRIM(SPLIT('Final Report'!A1638, "","")), 'URL Details'!A:D, "&amp;"4, FALSE)),"""") ), CHAR(10), "",""), ""\s*,\s*"", "",""), "",""))), TRIM(FLATTEN(SPLIT( REGEXREPLACE( SUBSTITUTE(TEXTJOIN("","", TRUE, IFERROR(ARRAYFORMULA(VLOOKUP(TRIM(SPLIT('Final Report'!A1638, "","")), 'URL Details'!A:D, 4, FALSE)),"""") ), CHAR(10),"&amp;" "",""), ""\s*,\s*"", "",""), "","")))&lt;&gt;"""" ) ) ) ),"""")
"),"")</f>
        <v/>
      </c>
      <c r="D1638" s="105"/>
      <c r="E1638" s="105"/>
      <c r="F1638" s="110" t="b">
        <v>0</v>
      </c>
      <c r="G1638" s="105" t="str">
        <f>IF(F1638=True, IFERROR(VLOOKUP(D1638, Repository!A:B, 2, 0), ""), "")</f>
        <v/>
      </c>
      <c r="H1638" s="105"/>
      <c r="I1638" s="105"/>
      <c r="J1638" s="105" t="str">
        <f>IF(F1638=True, IFERROR(VLOOKUP(D1638, Repository!A:C, 3, 0), ""), "")</f>
        <v/>
      </c>
      <c r="K1638" s="105"/>
      <c r="L1638" s="105" t="str">
        <f>IF(F1638=True, IFERROR(VLOOKUP(D1638, Repository!A:E, 5, 0), ""), "")</f>
        <v/>
      </c>
      <c r="M1638" s="105"/>
      <c r="N1638" s="105" t="str">
        <f>IF(F1638=True, IFERROR(VLOOKUP(D1638, Repository!A:G, 7, 0), ""), "")</f>
        <v/>
      </c>
      <c r="O1638" s="105" t="str">
        <f>IFERROR(__xludf.DUMMYFUNCTION("ARRAY_CONSTRAIN(
  ARRAYFORMULA(
    IFERROR(
      LET(
        list, N1638,
        arr, TRIM(SPLIT(list, "","")),
        names, XLOOKUP(
          arr,
          'Conformance Score'!A:A,
          'Conformance Score'!B:B,
          ""Not found""
     "&amp;"   ),
        TEXTJOIN("", "", TRUE, names)
      ),
      """"
    )
  ),
  1,
  1
)
"),"")</f>
        <v/>
      </c>
      <c r="P1638" s="105" t="str">
        <f>IF(F1638="Yes", IFERROR(VLOOKUP(D1638, Repository!A:F, 6, 0), ""), "")</f>
        <v/>
      </c>
      <c r="Q1638" s="105" t="str">
        <f>IF(F1638="Yes", IFERROR(VLOOKUP(D1638, Repository!A:I, 8, 0), ""), "")</f>
        <v/>
      </c>
      <c r="R1638" s="105" t="str">
        <f>IF(F1638="Yes", IFERROR(VLOOKUP(D1638, Repository!A:J, 9, 0), ""), "")</f>
        <v/>
      </c>
      <c r="S1638" s="105"/>
      <c r="T1638" s="105"/>
      <c r="U1638" s="105"/>
      <c r="V1638" s="105"/>
      <c r="W1638" s="105"/>
      <c r="X1638" s="105"/>
      <c r="Y1638" s="105"/>
      <c r="Z1638" s="105"/>
      <c r="AA1638" s="105"/>
      <c r="AB1638" s="105"/>
      <c r="AC1638" s="91"/>
      <c r="AD1638" s="105"/>
      <c r="AE1638" s="105"/>
      <c r="AF1638" s="91"/>
      <c r="AG1638" s="105"/>
      <c r="AH1638" s="105"/>
      <c r="AI1638" s="105" t="str">
        <f t="shared" si="1"/>
        <v/>
      </c>
      <c r="AJ1638" s="108" t="str">
        <f t="shared" si="2"/>
        <v/>
      </c>
    </row>
    <row r="1639" ht="15.75" customHeight="1">
      <c r="A1639" s="104"/>
      <c r="B1639" s="105" t="str">
        <f>IFERROR(__xludf.DUMMYFUNCTION("ARRAY_CONSTRAIN(
  ARRAYFORMULA(
    IF(
      'Final Report'!A1639="""",
      """",
      TEXTJOIN(
        "", "" &amp; CHAR(10),
        TRUE,
        IFERROR(
          VLOOKUP(
            TRIM(
              SPLIT('Final Report'!A1639, "","")
         "&amp;"   ),
            'URL Details'!A:B,
            2,
            FALSE
          ),
          """"
        )
      )
    )
  ),
  1,
  1
)
"),"")</f>
        <v/>
      </c>
      <c r="C1639" s="105" t="str">
        <f>IFERROR(__xludf.DUMMYFUNCTION("IFERROR(IF('Final Report'!A1639="""","""", TEXTJOIN(CHAR(10), TRUE, ARRAYFORMULA( ""• ""&amp; FILTER( TRIM(FLATTEN(SPLIT( REGEXREPLACE( SUBSTITUTE(TEXTJOIN("","", TRUE, IFERROR(ARRAYFORMULA(VLOOKUP(TRIM(SPLIT('Final Report'!A1639, "","")), 'URL Details'!A:D, "&amp;"4, FALSE)),"""") ), CHAR(10), "",""), ""\s*,\s*"", "",""), "",""))), TRIM(FLATTEN(SPLIT( REGEXREPLACE( SUBSTITUTE(TEXTJOIN("","", TRUE, IFERROR(ARRAYFORMULA(VLOOKUP(TRIM(SPLIT('Final Report'!A1639, "","")), 'URL Details'!A:D, 4, FALSE)),"""") ), CHAR(10),"&amp;" "",""), ""\s*,\s*"", "",""), "","")))&lt;&gt;"""" ) ) ) ),"""")
"),"")</f>
        <v/>
      </c>
      <c r="D1639" s="105"/>
      <c r="E1639" s="105"/>
      <c r="F1639" s="110" t="b">
        <v>0</v>
      </c>
      <c r="G1639" s="105" t="str">
        <f>IF(F1639=True, IFERROR(VLOOKUP(D1639, Repository!A:B, 2, 0), ""), "")</f>
        <v/>
      </c>
      <c r="H1639" s="105"/>
      <c r="I1639" s="105"/>
      <c r="J1639" s="105" t="str">
        <f>IF(F1639=True, IFERROR(VLOOKUP(D1639, Repository!A:C, 3, 0), ""), "")</f>
        <v/>
      </c>
      <c r="K1639" s="105"/>
      <c r="L1639" s="105" t="str">
        <f>IF(F1639=True, IFERROR(VLOOKUP(D1639, Repository!A:E, 5, 0), ""), "")</f>
        <v/>
      </c>
      <c r="M1639" s="105"/>
      <c r="N1639" s="105" t="str">
        <f>IF(F1639=True, IFERROR(VLOOKUP(D1639, Repository!A:G, 7, 0), ""), "")</f>
        <v/>
      </c>
      <c r="O1639" s="105" t="str">
        <f>IFERROR(__xludf.DUMMYFUNCTION("ARRAY_CONSTRAIN(
  ARRAYFORMULA(
    IFERROR(
      LET(
        list, N1639,
        arr, TRIM(SPLIT(list, "","")),
        names, XLOOKUP(
          arr,
          'Conformance Score'!A:A,
          'Conformance Score'!B:B,
          ""Not found""
     "&amp;"   ),
        TEXTJOIN("", "", TRUE, names)
      ),
      """"
    )
  ),
  1,
  1
)
"),"")</f>
        <v/>
      </c>
      <c r="P1639" s="105" t="str">
        <f>IF(F1639="Yes", IFERROR(VLOOKUP(D1639, Repository!A:F, 6, 0), ""), "")</f>
        <v/>
      </c>
      <c r="Q1639" s="105" t="str">
        <f>IF(F1639="Yes", IFERROR(VLOOKUP(D1639, Repository!A:I, 8, 0), ""), "")</f>
        <v/>
      </c>
      <c r="R1639" s="105" t="str">
        <f>IF(F1639="Yes", IFERROR(VLOOKUP(D1639, Repository!A:J, 9, 0), ""), "")</f>
        <v/>
      </c>
      <c r="S1639" s="105"/>
      <c r="T1639" s="105"/>
      <c r="U1639" s="105"/>
      <c r="V1639" s="105"/>
      <c r="W1639" s="105"/>
      <c r="X1639" s="105"/>
      <c r="Y1639" s="105"/>
      <c r="Z1639" s="105"/>
      <c r="AA1639" s="105"/>
      <c r="AB1639" s="105"/>
      <c r="AC1639" s="91"/>
      <c r="AD1639" s="105"/>
      <c r="AE1639" s="105"/>
      <c r="AF1639" s="91"/>
      <c r="AG1639" s="105"/>
      <c r="AH1639" s="105"/>
      <c r="AI1639" s="105" t="str">
        <f t="shared" si="1"/>
        <v/>
      </c>
      <c r="AJ1639" s="108" t="str">
        <f t="shared" si="2"/>
        <v/>
      </c>
    </row>
    <row r="1640" ht="15.75" customHeight="1">
      <c r="A1640" s="104"/>
      <c r="B1640" s="105" t="str">
        <f>IFERROR(__xludf.DUMMYFUNCTION("ARRAY_CONSTRAIN(
  ARRAYFORMULA(
    IF(
      'Final Report'!A1640="""",
      """",
      TEXTJOIN(
        "", "" &amp; CHAR(10),
        TRUE,
        IFERROR(
          VLOOKUP(
            TRIM(
              SPLIT('Final Report'!A1640, "","")
         "&amp;"   ),
            'URL Details'!A:B,
            2,
            FALSE
          ),
          """"
        )
      )
    )
  ),
  1,
  1
)
"),"")</f>
        <v/>
      </c>
      <c r="C1640" s="105" t="str">
        <f>IFERROR(__xludf.DUMMYFUNCTION("IFERROR(IF('Final Report'!A1640="""","""", TEXTJOIN(CHAR(10), TRUE, ARRAYFORMULA( ""• ""&amp; FILTER( TRIM(FLATTEN(SPLIT( REGEXREPLACE( SUBSTITUTE(TEXTJOIN("","", TRUE, IFERROR(ARRAYFORMULA(VLOOKUP(TRIM(SPLIT('Final Report'!A1640, "","")), 'URL Details'!A:D, "&amp;"4, FALSE)),"""") ), CHAR(10), "",""), ""\s*,\s*"", "",""), "",""))), TRIM(FLATTEN(SPLIT( REGEXREPLACE( SUBSTITUTE(TEXTJOIN("","", TRUE, IFERROR(ARRAYFORMULA(VLOOKUP(TRIM(SPLIT('Final Report'!A1640, "","")), 'URL Details'!A:D, 4, FALSE)),"""") ), CHAR(10),"&amp;" "",""), ""\s*,\s*"", "",""), "","")))&lt;&gt;"""" ) ) ) ),"""")
"),"")</f>
        <v/>
      </c>
      <c r="D1640" s="105"/>
      <c r="E1640" s="105"/>
      <c r="F1640" s="110" t="b">
        <v>0</v>
      </c>
      <c r="G1640" s="105" t="str">
        <f>IF(F1640=True, IFERROR(VLOOKUP(D1640, Repository!A:B, 2, 0), ""), "")</f>
        <v/>
      </c>
      <c r="H1640" s="105"/>
      <c r="I1640" s="105"/>
      <c r="J1640" s="105" t="str">
        <f>IF(F1640=True, IFERROR(VLOOKUP(D1640, Repository!A:C, 3, 0), ""), "")</f>
        <v/>
      </c>
      <c r="K1640" s="105"/>
      <c r="L1640" s="105" t="str">
        <f>IF(F1640=True, IFERROR(VLOOKUP(D1640, Repository!A:E, 5, 0), ""), "")</f>
        <v/>
      </c>
      <c r="M1640" s="105"/>
      <c r="N1640" s="105" t="str">
        <f>IF(F1640=True, IFERROR(VLOOKUP(D1640, Repository!A:G, 7, 0), ""), "")</f>
        <v/>
      </c>
      <c r="O1640" s="105" t="str">
        <f>IFERROR(__xludf.DUMMYFUNCTION("ARRAY_CONSTRAIN(
  ARRAYFORMULA(
    IFERROR(
      LET(
        list, N1640,
        arr, TRIM(SPLIT(list, "","")),
        names, XLOOKUP(
          arr,
          'Conformance Score'!A:A,
          'Conformance Score'!B:B,
          ""Not found""
     "&amp;"   ),
        TEXTJOIN("", "", TRUE, names)
      ),
      """"
    )
  ),
  1,
  1
)
"),"")</f>
        <v/>
      </c>
      <c r="P1640" s="105" t="str">
        <f>IF(F1640="Yes", IFERROR(VLOOKUP(D1640, Repository!A:F, 6, 0), ""), "")</f>
        <v/>
      </c>
      <c r="Q1640" s="105" t="str">
        <f>IF(F1640="Yes", IFERROR(VLOOKUP(D1640, Repository!A:I, 8, 0), ""), "")</f>
        <v/>
      </c>
      <c r="R1640" s="105" t="str">
        <f>IF(F1640="Yes", IFERROR(VLOOKUP(D1640, Repository!A:J, 9, 0), ""), "")</f>
        <v/>
      </c>
      <c r="S1640" s="105"/>
      <c r="T1640" s="105"/>
      <c r="U1640" s="105"/>
      <c r="V1640" s="105"/>
      <c r="W1640" s="105"/>
      <c r="X1640" s="105"/>
      <c r="Y1640" s="105"/>
      <c r="Z1640" s="105"/>
      <c r="AA1640" s="105"/>
      <c r="AB1640" s="105"/>
      <c r="AC1640" s="91"/>
      <c r="AD1640" s="105"/>
      <c r="AE1640" s="105"/>
      <c r="AF1640" s="91"/>
      <c r="AG1640" s="105"/>
      <c r="AH1640" s="105"/>
      <c r="AI1640" s="105" t="str">
        <f t="shared" si="1"/>
        <v/>
      </c>
      <c r="AJ1640" s="108" t="str">
        <f t="shared" si="2"/>
        <v/>
      </c>
    </row>
    <row r="1641" ht="15.75" customHeight="1">
      <c r="A1641" s="104"/>
      <c r="B1641" s="105" t="str">
        <f>IFERROR(__xludf.DUMMYFUNCTION("ARRAY_CONSTRAIN(
  ARRAYFORMULA(
    IF(
      'Final Report'!A1641="""",
      """",
      TEXTJOIN(
        "", "" &amp; CHAR(10),
        TRUE,
        IFERROR(
          VLOOKUP(
            TRIM(
              SPLIT('Final Report'!A1641, "","")
         "&amp;"   ),
            'URL Details'!A:B,
            2,
            FALSE
          ),
          """"
        )
      )
    )
  ),
  1,
  1
)
"),"")</f>
        <v/>
      </c>
      <c r="C1641" s="105" t="str">
        <f>IFERROR(__xludf.DUMMYFUNCTION("IFERROR(IF('Final Report'!A1641="""","""", TEXTJOIN(CHAR(10), TRUE, ARRAYFORMULA( ""• ""&amp; FILTER( TRIM(FLATTEN(SPLIT( REGEXREPLACE( SUBSTITUTE(TEXTJOIN("","", TRUE, IFERROR(ARRAYFORMULA(VLOOKUP(TRIM(SPLIT('Final Report'!A1641, "","")), 'URL Details'!A:D, "&amp;"4, FALSE)),"""") ), CHAR(10), "",""), ""\s*,\s*"", "",""), "",""))), TRIM(FLATTEN(SPLIT( REGEXREPLACE( SUBSTITUTE(TEXTJOIN("","", TRUE, IFERROR(ARRAYFORMULA(VLOOKUP(TRIM(SPLIT('Final Report'!A1641, "","")), 'URL Details'!A:D, 4, FALSE)),"""") ), CHAR(10),"&amp;" "",""), ""\s*,\s*"", "",""), "","")))&lt;&gt;"""" ) ) ) ),"""")
"),"")</f>
        <v/>
      </c>
      <c r="D1641" s="105"/>
      <c r="E1641" s="105"/>
      <c r="F1641" s="110" t="b">
        <v>0</v>
      </c>
      <c r="G1641" s="105" t="str">
        <f>IF(F1641=True, IFERROR(VLOOKUP(D1641, Repository!A:B, 2, 0), ""), "")</f>
        <v/>
      </c>
      <c r="H1641" s="105"/>
      <c r="I1641" s="105"/>
      <c r="J1641" s="105" t="str">
        <f>IF(F1641=True, IFERROR(VLOOKUP(D1641, Repository!A:C, 3, 0), ""), "")</f>
        <v/>
      </c>
      <c r="K1641" s="105"/>
      <c r="L1641" s="105" t="str">
        <f>IF(F1641=True, IFERROR(VLOOKUP(D1641, Repository!A:E, 5, 0), ""), "")</f>
        <v/>
      </c>
      <c r="M1641" s="105"/>
      <c r="N1641" s="105" t="str">
        <f>IF(F1641=True, IFERROR(VLOOKUP(D1641, Repository!A:G, 7, 0), ""), "")</f>
        <v/>
      </c>
      <c r="O1641" s="105" t="str">
        <f>IFERROR(__xludf.DUMMYFUNCTION("ARRAY_CONSTRAIN(
  ARRAYFORMULA(
    IFERROR(
      LET(
        list, N1641,
        arr, TRIM(SPLIT(list, "","")),
        names, XLOOKUP(
          arr,
          'Conformance Score'!A:A,
          'Conformance Score'!B:B,
          ""Not found""
     "&amp;"   ),
        TEXTJOIN("", "", TRUE, names)
      ),
      """"
    )
  ),
  1,
  1
)
"),"")</f>
        <v/>
      </c>
      <c r="P1641" s="105" t="str">
        <f>IF(F1641="Yes", IFERROR(VLOOKUP(D1641, Repository!A:F, 6, 0), ""), "")</f>
        <v/>
      </c>
      <c r="Q1641" s="105" t="str">
        <f>IF(F1641="Yes", IFERROR(VLOOKUP(D1641, Repository!A:I, 8, 0), ""), "")</f>
        <v/>
      </c>
      <c r="R1641" s="105" t="str">
        <f>IF(F1641="Yes", IFERROR(VLOOKUP(D1641, Repository!A:J, 9, 0), ""), "")</f>
        <v/>
      </c>
      <c r="S1641" s="105"/>
      <c r="T1641" s="105"/>
      <c r="U1641" s="105"/>
      <c r="V1641" s="105"/>
      <c r="W1641" s="105"/>
      <c r="X1641" s="105"/>
      <c r="Y1641" s="105"/>
      <c r="Z1641" s="105"/>
      <c r="AA1641" s="105"/>
      <c r="AB1641" s="105"/>
      <c r="AC1641" s="91"/>
      <c r="AD1641" s="105"/>
      <c r="AE1641" s="105"/>
      <c r="AF1641" s="91"/>
      <c r="AG1641" s="105"/>
      <c r="AH1641" s="105"/>
      <c r="AI1641" s="105" t="str">
        <f t="shared" si="1"/>
        <v/>
      </c>
      <c r="AJ1641" s="108" t="str">
        <f t="shared" si="2"/>
        <v/>
      </c>
    </row>
    <row r="1642" ht="15.75" customHeight="1">
      <c r="A1642" s="104"/>
      <c r="B1642" s="105" t="str">
        <f>IFERROR(__xludf.DUMMYFUNCTION("ARRAY_CONSTRAIN(
  ARRAYFORMULA(
    IF(
      'Final Report'!A1642="""",
      """",
      TEXTJOIN(
        "", "" &amp; CHAR(10),
        TRUE,
        IFERROR(
          VLOOKUP(
            TRIM(
              SPLIT('Final Report'!A1642, "","")
         "&amp;"   ),
            'URL Details'!A:B,
            2,
            FALSE
          ),
          """"
        )
      )
    )
  ),
  1,
  1
)
"),"")</f>
        <v/>
      </c>
      <c r="C1642" s="105" t="str">
        <f>IFERROR(__xludf.DUMMYFUNCTION("IFERROR(IF('Final Report'!A1642="""","""", TEXTJOIN(CHAR(10), TRUE, ARRAYFORMULA( ""• ""&amp; FILTER( TRIM(FLATTEN(SPLIT( REGEXREPLACE( SUBSTITUTE(TEXTJOIN("","", TRUE, IFERROR(ARRAYFORMULA(VLOOKUP(TRIM(SPLIT('Final Report'!A1642, "","")), 'URL Details'!A:D, "&amp;"4, FALSE)),"""") ), CHAR(10), "",""), ""\s*,\s*"", "",""), "",""))), TRIM(FLATTEN(SPLIT( REGEXREPLACE( SUBSTITUTE(TEXTJOIN("","", TRUE, IFERROR(ARRAYFORMULA(VLOOKUP(TRIM(SPLIT('Final Report'!A1642, "","")), 'URL Details'!A:D, 4, FALSE)),"""") ), CHAR(10),"&amp;" "",""), ""\s*,\s*"", "",""), "","")))&lt;&gt;"""" ) ) ) ),"""")
"),"")</f>
        <v/>
      </c>
      <c r="D1642" s="105"/>
      <c r="E1642" s="105"/>
      <c r="F1642" s="110" t="b">
        <v>0</v>
      </c>
      <c r="G1642" s="105" t="str">
        <f>IF(F1642=True, IFERROR(VLOOKUP(D1642, Repository!A:B, 2, 0), ""), "")</f>
        <v/>
      </c>
      <c r="H1642" s="105"/>
      <c r="I1642" s="105"/>
      <c r="J1642" s="105" t="str">
        <f>IF(F1642=True, IFERROR(VLOOKUP(D1642, Repository!A:C, 3, 0), ""), "")</f>
        <v/>
      </c>
      <c r="K1642" s="105"/>
      <c r="L1642" s="105" t="str">
        <f>IF(F1642=True, IFERROR(VLOOKUP(D1642, Repository!A:E, 5, 0), ""), "")</f>
        <v/>
      </c>
      <c r="M1642" s="105"/>
      <c r="N1642" s="105" t="str">
        <f>IF(F1642=True, IFERROR(VLOOKUP(D1642, Repository!A:G, 7, 0), ""), "")</f>
        <v/>
      </c>
      <c r="O1642" s="105" t="str">
        <f>IFERROR(__xludf.DUMMYFUNCTION("ARRAY_CONSTRAIN(
  ARRAYFORMULA(
    IFERROR(
      LET(
        list, N1642,
        arr, TRIM(SPLIT(list, "","")),
        names, XLOOKUP(
          arr,
          'Conformance Score'!A:A,
          'Conformance Score'!B:B,
          ""Not found""
     "&amp;"   ),
        TEXTJOIN("", "", TRUE, names)
      ),
      """"
    )
  ),
  1,
  1
)
"),"")</f>
        <v/>
      </c>
      <c r="P1642" s="105" t="str">
        <f>IF(F1642="Yes", IFERROR(VLOOKUP(D1642, Repository!A:F, 6, 0), ""), "")</f>
        <v/>
      </c>
      <c r="Q1642" s="105" t="str">
        <f>IF(F1642="Yes", IFERROR(VLOOKUP(D1642, Repository!A:I, 8, 0), ""), "")</f>
        <v/>
      </c>
      <c r="R1642" s="105" t="str">
        <f>IF(F1642="Yes", IFERROR(VLOOKUP(D1642, Repository!A:J, 9, 0), ""), "")</f>
        <v/>
      </c>
      <c r="S1642" s="105"/>
      <c r="T1642" s="105"/>
      <c r="U1642" s="105"/>
      <c r="V1642" s="105"/>
      <c r="W1642" s="105"/>
      <c r="X1642" s="105"/>
      <c r="Y1642" s="105"/>
      <c r="Z1642" s="105"/>
      <c r="AA1642" s="105"/>
      <c r="AB1642" s="105"/>
      <c r="AC1642" s="91"/>
      <c r="AD1642" s="105"/>
      <c r="AE1642" s="105"/>
      <c r="AF1642" s="91"/>
      <c r="AG1642" s="105"/>
      <c r="AH1642" s="105"/>
      <c r="AI1642" s="105" t="str">
        <f t="shared" si="1"/>
        <v/>
      </c>
      <c r="AJ1642" s="108" t="str">
        <f t="shared" si="2"/>
        <v/>
      </c>
    </row>
    <row r="1643" ht="15.75" customHeight="1">
      <c r="A1643" s="104"/>
      <c r="B1643" s="105" t="str">
        <f>IFERROR(__xludf.DUMMYFUNCTION("ARRAY_CONSTRAIN(
  ARRAYFORMULA(
    IF(
      'Final Report'!A1643="""",
      """",
      TEXTJOIN(
        "", "" &amp; CHAR(10),
        TRUE,
        IFERROR(
          VLOOKUP(
            TRIM(
              SPLIT('Final Report'!A1643, "","")
         "&amp;"   ),
            'URL Details'!A:B,
            2,
            FALSE
          ),
          """"
        )
      )
    )
  ),
  1,
  1
)
"),"")</f>
        <v/>
      </c>
      <c r="C1643" s="105" t="str">
        <f>IFERROR(__xludf.DUMMYFUNCTION("IFERROR(IF('Final Report'!A1643="""","""", TEXTJOIN(CHAR(10), TRUE, ARRAYFORMULA( ""• ""&amp; FILTER( TRIM(FLATTEN(SPLIT( REGEXREPLACE( SUBSTITUTE(TEXTJOIN("","", TRUE, IFERROR(ARRAYFORMULA(VLOOKUP(TRIM(SPLIT('Final Report'!A1643, "","")), 'URL Details'!A:D, "&amp;"4, FALSE)),"""") ), CHAR(10), "",""), ""\s*,\s*"", "",""), "",""))), TRIM(FLATTEN(SPLIT( REGEXREPLACE( SUBSTITUTE(TEXTJOIN("","", TRUE, IFERROR(ARRAYFORMULA(VLOOKUP(TRIM(SPLIT('Final Report'!A1643, "","")), 'URL Details'!A:D, 4, FALSE)),"""") ), CHAR(10),"&amp;" "",""), ""\s*,\s*"", "",""), "","")))&lt;&gt;"""" ) ) ) ),"""")
"),"")</f>
        <v/>
      </c>
      <c r="D1643" s="105"/>
      <c r="E1643" s="105"/>
      <c r="F1643" s="110" t="b">
        <v>0</v>
      </c>
      <c r="G1643" s="105" t="str">
        <f>IF(F1643=True, IFERROR(VLOOKUP(D1643, Repository!A:B, 2, 0), ""), "")</f>
        <v/>
      </c>
      <c r="H1643" s="105"/>
      <c r="I1643" s="105"/>
      <c r="J1643" s="105" t="str">
        <f>IF(F1643=True, IFERROR(VLOOKUP(D1643, Repository!A:C, 3, 0), ""), "")</f>
        <v/>
      </c>
      <c r="K1643" s="105"/>
      <c r="L1643" s="105" t="str">
        <f>IF(F1643=True, IFERROR(VLOOKUP(D1643, Repository!A:E, 5, 0), ""), "")</f>
        <v/>
      </c>
      <c r="M1643" s="105"/>
      <c r="N1643" s="105" t="str">
        <f>IF(F1643=True, IFERROR(VLOOKUP(D1643, Repository!A:G, 7, 0), ""), "")</f>
        <v/>
      </c>
      <c r="O1643" s="105" t="str">
        <f>IFERROR(__xludf.DUMMYFUNCTION("ARRAY_CONSTRAIN(
  ARRAYFORMULA(
    IFERROR(
      LET(
        list, N1643,
        arr, TRIM(SPLIT(list, "","")),
        names, XLOOKUP(
          arr,
          'Conformance Score'!A:A,
          'Conformance Score'!B:B,
          ""Not found""
     "&amp;"   ),
        TEXTJOIN("", "", TRUE, names)
      ),
      """"
    )
  ),
  1,
  1
)
"),"")</f>
        <v/>
      </c>
      <c r="P1643" s="105" t="str">
        <f>IF(F1643="Yes", IFERROR(VLOOKUP(D1643, Repository!A:F, 6, 0), ""), "")</f>
        <v/>
      </c>
      <c r="Q1643" s="105" t="str">
        <f>IF(F1643="Yes", IFERROR(VLOOKUP(D1643, Repository!A:I, 8, 0), ""), "")</f>
        <v/>
      </c>
      <c r="R1643" s="105" t="str">
        <f>IF(F1643="Yes", IFERROR(VLOOKUP(D1643, Repository!A:J, 9, 0), ""), "")</f>
        <v/>
      </c>
      <c r="S1643" s="105"/>
      <c r="T1643" s="105"/>
      <c r="U1643" s="105"/>
      <c r="V1643" s="105"/>
      <c r="W1643" s="105"/>
      <c r="X1643" s="105"/>
      <c r="Y1643" s="105"/>
      <c r="Z1643" s="105"/>
      <c r="AA1643" s="105"/>
      <c r="AB1643" s="105"/>
      <c r="AC1643" s="91"/>
      <c r="AD1643" s="105"/>
      <c r="AE1643" s="105"/>
      <c r="AF1643" s="91"/>
      <c r="AG1643" s="105"/>
      <c r="AH1643" s="105"/>
      <c r="AI1643" s="105" t="str">
        <f t="shared" si="1"/>
        <v/>
      </c>
      <c r="AJ1643" s="108" t="str">
        <f t="shared" si="2"/>
        <v/>
      </c>
    </row>
    <row r="1644" ht="15.75" customHeight="1">
      <c r="A1644" s="104"/>
      <c r="B1644" s="105" t="str">
        <f>IFERROR(__xludf.DUMMYFUNCTION("ARRAY_CONSTRAIN(
  ARRAYFORMULA(
    IF(
      'Final Report'!A1644="""",
      """",
      TEXTJOIN(
        "", "" &amp; CHAR(10),
        TRUE,
        IFERROR(
          VLOOKUP(
            TRIM(
              SPLIT('Final Report'!A1644, "","")
         "&amp;"   ),
            'URL Details'!A:B,
            2,
            FALSE
          ),
          """"
        )
      )
    )
  ),
  1,
  1
)
"),"")</f>
        <v/>
      </c>
      <c r="C1644" s="105" t="str">
        <f>IFERROR(__xludf.DUMMYFUNCTION("IFERROR(IF('Final Report'!A1644="""","""", TEXTJOIN(CHAR(10), TRUE, ARRAYFORMULA( ""• ""&amp; FILTER( TRIM(FLATTEN(SPLIT( REGEXREPLACE( SUBSTITUTE(TEXTJOIN("","", TRUE, IFERROR(ARRAYFORMULA(VLOOKUP(TRIM(SPLIT('Final Report'!A1644, "","")), 'URL Details'!A:D, "&amp;"4, FALSE)),"""") ), CHAR(10), "",""), ""\s*,\s*"", "",""), "",""))), TRIM(FLATTEN(SPLIT( REGEXREPLACE( SUBSTITUTE(TEXTJOIN("","", TRUE, IFERROR(ARRAYFORMULA(VLOOKUP(TRIM(SPLIT('Final Report'!A1644, "","")), 'URL Details'!A:D, 4, FALSE)),"""") ), CHAR(10),"&amp;" "",""), ""\s*,\s*"", "",""), "","")))&lt;&gt;"""" ) ) ) ),"""")
"),"")</f>
        <v/>
      </c>
      <c r="D1644" s="105"/>
      <c r="E1644" s="105"/>
      <c r="F1644" s="110" t="b">
        <v>0</v>
      </c>
      <c r="G1644" s="105" t="str">
        <f>IF(F1644=True, IFERROR(VLOOKUP(D1644, Repository!A:B, 2, 0), ""), "")</f>
        <v/>
      </c>
      <c r="H1644" s="105"/>
      <c r="I1644" s="105"/>
      <c r="J1644" s="105" t="str">
        <f>IF(F1644=True, IFERROR(VLOOKUP(D1644, Repository!A:C, 3, 0), ""), "")</f>
        <v/>
      </c>
      <c r="K1644" s="105"/>
      <c r="L1644" s="105" t="str">
        <f>IF(F1644=True, IFERROR(VLOOKUP(D1644, Repository!A:E, 5, 0), ""), "")</f>
        <v/>
      </c>
      <c r="M1644" s="105"/>
      <c r="N1644" s="105" t="str">
        <f>IF(F1644=True, IFERROR(VLOOKUP(D1644, Repository!A:G, 7, 0), ""), "")</f>
        <v/>
      </c>
      <c r="O1644" s="105" t="str">
        <f>IFERROR(__xludf.DUMMYFUNCTION("ARRAY_CONSTRAIN(
  ARRAYFORMULA(
    IFERROR(
      LET(
        list, N1644,
        arr, TRIM(SPLIT(list, "","")),
        names, XLOOKUP(
          arr,
          'Conformance Score'!A:A,
          'Conformance Score'!B:B,
          ""Not found""
     "&amp;"   ),
        TEXTJOIN("", "", TRUE, names)
      ),
      """"
    )
  ),
  1,
  1
)
"),"")</f>
        <v/>
      </c>
      <c r="P1644" s="105" t="str">
        <f>IF(F1644="Yes", IFERROR(VLOOKUP(D1644, Repository!A:F, 6, 0), ""), "")</f>
        <v/>
      </c>
      <c r="Q1644" s="105" t="str">
        <f>IF(F1644="Yes", IFERROR(VLOOKUP(D1644, Repository!A:I, 8, 0), ""), "")</f>
        <v/>
      </c>
      <c r="R1644" s="105" t="str">
        <f>IF(F1644="Yes", IFERROR(VLOOKUP(D1644, Repository!A:J, 9, 0), ""), "")</f>
        <v/>
      </c>
      <c r="S1644" s="105"/>
      <c r="T1644" s="105"/>
      <c r="U1644" s="105"/>
      <c r="V1644" s="105"/>
      <c r="W1644" s="105"/>
      <c r="X1644" s="105"/>
      <c r="Y1644" s="105"/>
      <c r="Z1644" s="105"/>
      <c r="AA1644" s="105"/>
      <c r="AB1644" s="105"/>
      <c r="AC1644" s="91"/>
      <c r="AD1644" s="105"/>
      <c r="AE1644" s="105"/>
      <c r="AF1644" s="91"/>
      <c r="AG1644" s="105"/>
      <c r="AH1644" s="105"/>
      <c r="AI1644" s="105" t="str">
        <f t="shared" si="1"/>
        <v/>
      </c>
      <c r="AJ1644" s="108" t="str">
        <f t="shared" si="2"/>
        <v/>
      </c>
    </row>
    <row r="1645" ht="15.75" customHeight="1">
      <c r="A1645" s="104"/>
      <c r="B1645" s="105" t="str">
        <f>IFERROR(__xludf.DUMMYFUNCTION("ARRAY_CONSTRAIN(
  ARRAYFORMULA(
    IF(
      'Final Report'!A1645="""",
      """",
      TEXTJOIN(
        "", "" &amp; CHAR(10),
        TRUE,
        IFERROR(
          VLOOKUP(
            TRIM(
              SPLIT('Final Report'!A1645, "","")
         "&amp;"   ),
            'URL Details'!A:B,
            2,
            FALSE
          ),
          """"
        )
      )
    )
  ),
  1,
  1
)
"),"")</f>
        <v/>
      </c>
      <c r="C1645" s="105" t="str">
        <f>IFERROR(__xludf.DUMMYFUNCTION("IFERROR(IF('Final Report'!A1645="""","""", TEXTJOIN(CHAR(10), TRUE, ARRAYFORMULA( ""• ""&amp; FILTER( TRIM(FLATTEN(SPLIT( REGEXREPLACE( SUBSTITUTE(TEXTJOIN("","", TRUE, IFERROR(ARRAYFORMULA(VLOOKUP(TRIM(SPLIT('Final Report'!A1645, "","")), 'URL Details'!A:D, "&amp;"4, FALSE)),"""") ), CHAR(10), "",""), ""\s*,\s*"", "",""), "",""))), TRIM(FLATTEN(SPLIT( REGEXREPLACE( SUBSTITUTE(TEXTJOIN("","", TRUE, IFERROR(ARRAYFORMULA(VLOOKUP(TRIM(SPLIT('Final Report'!A1645, "","")), 'URL Details'!A:D, 4, FALSE)),"""") ), CHAR(10),"&amp;" "",""), ""\s*,\s*"", "",""), "","")))&lt;&gt;"""" ) ) ) ),"""")
"),"")</f>
        <v/>
      </c>
      <c r="D1645" s="105"/>
      <c r="E1645" s="105"/>
      <c r="F1645" s="110" t="b">
        <v>0</v>
      </c>
      <c r="G1645" s="105" t="str">
        <f>IF(F1645=True, IFERROR(VLOOKUP(D1645, Repository!A:B, 2, 0), ""), "")</f>
        <v/>
      </c>
      <c r="H1645" s="105"/>
      <c r="I1645" s="105"/>
      <c r="J1645" s="105" t="str">
        <f>IF(F1645=True, IFERROR(VLOOKUP(D1645, Repository!A:C, 3, 0), ""), "")</f>
        <v/>
      </c>
      <c r="K1645" s="105"/>
      <c r="L1645" s="105" t="str">
        <f>IF(F1645=True, IFERROR(VLOOKUP(D1645, Repository!A:E, 5, 0), ""), "")</f>
        <v/>
      </c>
      <c r="M1645" s="105"/>
      <c r="N1645" s="105" t="str">
        <f>IF(F1645=True, IFERROR(VLOOKUP(D1645, Repository!A:G, 7, 0), ""), "")</f>
        <v/>
      </c>
      <c r="O1645" s="105" t="str">
        <f>IFERROR(__xludf.DUMMYFUNCTION("ARRAY_CONSTRAIN(
  ARRAYFORMULA(
    IFERROR(
      LET(
        list, N1645,
        arr, TRIM(SPLIT(list, "","")),
        names, XLOOKUP(
          arr,
          'Conformance Score'!A:A,
          'Conformance Score'!B:B,
          ""Not found""
     "&amp;"   ),
        TEXTJOIN("", "", TRUE, names)
      ),
      """"
    )
  ),
  1,
  1
)
"),"")</f>
        <v/>
      </c>
      <c r="P1645" s="105" t="str">
        <f>IF(F1645="Yes", IFERROR(VLOOKUP(D1645, Repository!A:F, 6, 0), ""), "")</f>
        <v/>
      </c>
      <c r="Q1645" s="105" t="str">
        <f>IF(F1645="Yes", IFERROR(VLOOKUP(D1645, Repository!A:I, 8, 0), ""), "")</f>
        <v/>
      </c>
      <c r="R1645" s="105" t="str">
        <f>IF(F1645="Yes", IFERROR(VLOOKUP(D1645, Repository!A:J, 9, 0), ""), "")</f>
        <v/>
      </c>
      <c r="S1645" s="105"/>
      <c r="T1645" s="105"/>
      <c r="U1645" s="105"/>
      <c r="V1645" s="105"/>
      <c r="W1645" s="105"/>
      <c r="X1645" s="105"/>
      <c r="Y1645" s="105"/>
      <c r="Z1645" s="105"/>
      <c r="AA1645" s="105"/>
      <c r="AB1645" s="105"/>
      <c r="AC1645" s="91"/>
      <c r="AD1645" s="105"/>
      <c r="AE1645" s="105"/>
      <c r="AF1645" s="91"/>
      <c r="AG1645" s="105"/>
      <c r="AH1645" s="105"/>
      <c r="AI1645" s="105" t="str">
        <f t="shared" si="1"/>
        <v/>
      </c>
      <c r="AJ1645" s="108" t="str">
        <f t="shared" si="2"/>
        <v/>
      </c>
    </row>
    <row r="1646" ht="15.75" customHeight="1">
      <c r="A1646" s="104"/>
      <c r="B1646" s="105" t="str">
        <f>IFERROR(__xludf.DUMMYFUNCTION("ARRAY_CONSTRAIN(
  ARRAYFORMULA(
    IF(
      'Final Report'!A1646="""",
      """",
      TEXTJOIN(
        "", "" &amp; CHAR(10),
        TRUE,
        IFERROR(
          VLOOKUP(
            TRIM(
              SPLIT('Final Report'!A1646, "","")
         "&amp;"   ),
            'URL Details'!A:B,
            2,
            FALSE
          ),
          """"
        )
      )
    )
  ),
  1,
  1
)
"),"")</f>
        <v/>
      </c>
      <c r="C1646" s="105" t="str">
        <f>IFERROR(__xludf.DUMMYFUNCTION("IFERROR(IF('Final Report'!A1646="""","""", TEXTJOIN(CHAR(10), TRUE, ARRAYFORMULA( ""• ""&amp; FILTER( TRIM(FLATTEN(SPLIT( REGEXREPLACE( SUBSTITUTE(TEXTJOIN("","", TRUE, IFERROR(ARRAYFORMULA(VLOOKUP(TRIM(SPLIT('Final Report'!A1646, "","")), 'URL Details'!A:D, "&amp;"4, FALSE)),"""") ), CHAR(10), "",""), ""\s*,\s*"", "",""), "",""))), TRIM(FLATTEN(SPLIT( REGEXREPLACE( SUBSTITUTE(TEXTJOIN("","", TRUE, IFERROR(ARRAYFORMULA(VLOOKUP(TRIM(SPLIT('Final Report'!A1646, "","")), 'URL Details'!A:D, 4, FALSE)),"""") ), CHAR(10),"&amp;" "",""), ""\s*,\s*"", "",""), "","")))&lt;&gt;"""" ) ) ) ),"""")
"),"")</f>
        <v/>
      </c>
      <c r="D1646" s="105"/>
      <c r="E1646" s="105"/>
      <c r="F1646" s="110" t="b">
        <v>0</v>
      </c>
      <c r="G1646" s="105" t="str">
        <f>IF(F1646=True, IFERROR(VLOOKUP(D1646, Repository!A:B, 2, 0), ""), "")</f>
        <v/>
      </c>
      <c r="H1646" s="105"/>
      <c r="I1646" s="105"/>
      <c r="J1646" s="105" t="str">
        <f>IF(F1646=True, IFERROR(VLOOKUP(D1646, Repository!A:C, 3, 0), ""), "")</f>
        <v/>
      </c>
      <c r="K1646" s="105"/>
      <c r="L1646" s="105" t="str">
        <f>IF(F1646=True, IFERROR(VLOOKUP(D1646, Repository!A:E, 5, 0), ""), "")</f>
        <v/>
      </c>
      <c r="M1646" s="105"/>
      <c r="N1646" s="105" t="str">
        <f>IF(F1646=True, IFERROR(VLOOKUP(D1646, Repository!A:G, 7, 0), ""), "")</f>
        <v/>
      </c>
      <c r="O1646" s="105" t="str">
        <f>IFERROR(__xludf.DUMMYFUNCTION("ARRAY_CONSTRAIN(
  ARRAYFORMULA(
    IFERROR(
      LET(
        list, N1646,
        arr, TRIM(SPLIT(list, "","")),
        names, XLOOKUP(
          arr,
          'Conformance Score'!A:A,
          'Conformance Score'!B:B,
          ""Not found""
     "&amp;"   ),
        TEXTJOIN("", "", TRUE, names)
      ),
      """"
    )
  ),
  1,
  1
)
"),"")</f>
        <v/>
      </c>
      <c r="P1646" s="105" t="str">
        <f>IF(F1646="Yes", IFERROR(VLOOKUP(D1646, Repository!A:F, 6, 0), ""), "")</f>
        <v/>
      </c>
      <c r="Q1646" s="105" t="str">
        <f>IF(F1646="Yes", IFERROR(VLOOKUP(D1646, Repository!A:I, 8, 0), ""), "")</f>
        <v/>
      </c>
      <c r="R1646" s="105" t="str">
        <f>IF(F1646="Yes", IFERROR(VLOOKUP(D1646, Repository!A:J, 9, 0), ""), "")</f>
        <v/>
      </c>
      <c r="S1646" s="105"/>
      <c r="T1646" s="105"/>
      <c r="U1646" s="105"/>
      <c r="V1646" s="105"/>
      <c r="W1646" s="105"/>
      <c r="X1646" s="105"/>
      <c r="Y1646" s="105"/>
      <c r="Z1646" s="105"/>
      <c r="AA1646" s="105"/>
      <c r="AB1646" s="105"/>
      <c r="AC1646" s="91"/>
      <c r="AD1646" s="105"/>
      <c r="AE1646" s="105"/>
      <c r="AF1646" s="91"/>
      <c r="AG1646" s="105"/>
      <c r="AH1646" s="105"/>
      <c r="AI1646" s="105" t="str">
        <f t="shared" si="1"/>
        <v/>
      </c>
      <c r="AJ1646" s="108" t="str">
        <f t="shared" si="2"/>
        <v/>
      </c>
    </row>
    <row r="1647" ht="15.75" customHeight="1">
      <c r="A1647" s="104"/>
      <c r="B1647" s="105" t="str">
        <f>IFERROR(__xludf.DUMMYFUNCTION("ARRAY_CONSTRAIN(
  ARRAYFORMULA(
    IF(
      'Final Report'!A1647="""",
      """",
      TEXTJOIN(
        "", "" &amp; CHAR(10),
        TRUE,
        IFERROR(
          VLOOKUP(
            TRIM(
              SPLIT('Final Report'!A1647, "","")
         "&amp;"   ),
            'URL Details'!A:B,
            2,
            FALSE
          ),
          """"
        )
      )
    )
  ),
  1,
  1
)
"),"")</f>
        <v/>
      </c>
      <c r="C1647" s="105" t="str">
        <f>IFERROR(__xludf.DUMMYFUNCTION("IFERROR(IF('Final Report'!A1647="""","""", TEXTJOIN(CHAR(10), TRUE, ARRAYFORMULA( ""• ""&amp; FILTER( TRIM(FLATTEN(SPLIT( REGEXREPLACE( SUBSTITUTE(TEXTJOIN("","", TRUE, IFERROR(ARRAYFORMULA(VLOOKUP(TRIM(SPLIT('Final Report'!A1647, "","")), 'URL Details'!A:D, "&amp;"4, FALSE)),"""") ), CHAR(10), "",""), ""\s*,\s*"", "",""), "",""))), TRIM(FLATTEN(SPLIT( REGEXREPLACE( SUBSTITUTE(TEXTJOIN("","", TRUE, IFERROR(ARRAYFORMULA(VLOOKUP(TRIM(SPLIT('Final Report'!A1647, "","")), 'URL Details'!A:D, 4, FALSE)),"""") ), CHAR(10),"&amp;" "",""), ""\s*,\s*"", "",""), "","")))&lt;&gt;"""" ) ) ) ),"""")
"),"")</f>
        <v/>
      </c>
      <c r="D1647" s="105"/>
      <c r="E1647" s="105"/>
      <c r="F1647" s="110" t="b">
        <v>0</v>
      </c>
      <c r="G1647" s="105" t="str">
        <f>IF(F1647=True, IFERROR(VLOOKUP(D1647, Repository!A:B, 2, 0), ""), "")</f>
        <v/>
      </c>
      <c r="H1647" s="105"/>
      <c r="I1647" s="105"/>
      <c r="J1647" s="105" t="str">
        <f>IF(F1647=True, IFERROR(VLOOKUP(D1647, Repository!A:C, 3, 0), ""), "")</f>
        <v/>
      </c>
      <c r="K1647" s="105"/>
      <c r="L1647" s="105" t="str">
        <f>IF(F1647=True, IFERROR(VLOOKUP(D1647, Repository!A:E, 5, 0), ""), "")</f>
        <v/>
      </c>
      <c r="M1647" s="105"/>
      <c r="N1647" s="105" t="str">
        <f>IF(F1647=True, IFERROR(VLOOKUP(D1647, Repository!A:G, 7, 0), ""), "")</f>
        <v/>
      </c>
      <c r="O1647" s="105" t="str">
        <f>IFERROR(__xludf.DUMMYFUNCTION("ARRAY_CONSTRAIN(
  ARRAYFORMULA(
    IFERROR(
      LET(
        list, N1647,
        arr, TRIM(SPLIT(list, "","")),
        names, XLOOKUP(
          arr,
          'Conformance Score'!A:A,
          'Conformance Score'!B:B,
          ""Not found""
     "&amp;"   ),
        TEXTJOIN("", "", TRUE, names)
      ),
      """"
    )
  ),
  1,
  1
)
"),"")</f>
        <v/>
      </c>
      <c r="P1647" s="105" t="str">
        <f>IF(F1647="Yes", IFERROR(VLOOKUP(D1647, Repository!A:F, 6, 0), ""), "")</f>
        <v/>
      </c>
      <c r="Q1647" s="105" t="str">
        <f>IF(F1647="Yes", IFERROR(VLOOKUP(D1647, Repository!A:I, 8, 0), ""), "")</f>
        <v/>
      </c>
      <c r="R1647" s="105" t="str">
        <f>IF(F1647="Yes", IFERROR(VLOOKUP(D1647, Repository!A:J, 9, 0), ""), "")</f>
        <v/>
      </c>
      <c r="S1647" s="105"/>
      <c r="T1647" s="105"/>
      <c r="U1647" s="105"/>
      <c r="V1647" s="105"/>
      <c r="W1647" s="105"/>
      <c r="X1647" s="105"/>
      <c r="Y1647" s="105"/>
      <c r="Z1647" s="105"/>
      <c r="AA1647" s="105"/>
      <c r="AB1647" s="105"/>
      <c r="AC1647" s="91"/>
      <c r="AD1647" s="105"/>
      <c r="AE1647" s="105"/>
      <c r="AF1647" s="91"/>
      <c r="AG1647" s="105"/>
      <c r="AH1647" s="105"/>
      <c r="AI1647" s="105" t="str">
        <f t="shared" si="1"/>
        <v/>
      </c>
      <c r="AJ1647" s="108" t="str">
        <f t="shared" si="2"/>
        <v/>
      </c>
    </row>
    <row r="1648" ht="15.75" customHeight="1">
      <c r="A1648" s="104"/>
      <c r="B1648" s="105" t="str">
        <f>IFERROR(__xludf.DUMMYFUNCTION("ARRAY_CONSTRAIN(
  ARRAYFORMULA(
    IF(
      'Final Report'!A1648="""",
      """",
      TEXTJOIN(
        "", "" &amp; CHAR(10),
        TRUE,
        IFERROR(
          VLOOKUP(
            TRIM(
              SPLIT('Final Report'!A1648, "","")
         "&amp;"   ),
            'URL Details'!A:B,
            2,
            FALSE
          ),
          """"
        )
      )
    )
  ),
  1,
  1
)
"),"")</f>
        <v/>
      </c>
      <c r="C1648" s="105" t="str">
        <f>IFERROR(__xludf.DUMMYFUNCTION("IFERROR(IF('Final Report'!A1648="""","""", TEXTJOIN(CHAR(10), TRUE, ARRAYFORMULA( ""• ""&amp; FILTER( TRIM(FLATTEN(SPLIT( REGEXREPLACE( SUBSTITUTE(TEXTJOIN("","", TRUE, IFERROR(ARRAYFORMULA(VLOOKUP(TRIM(SPLIT('Final Report'!A1648, "","")), 'URL Details'!A:D, "&amp;"4, FALSE)),"""") ), CHAR(10), "",""), ""\s*,\s*"", "",""), "",""))), TRIM(FLATTEN(SPLIT( REGEXREPLACE( SUBSTITUTE(TEXTJOIN("","", TRUE, IFERROR(ARRAYFORMULA(VLOOKUP(TRIM(SPLIT('Final Report'!A1648, "","")), 'URL Details'!A:D, 4, FALSE)),"""") ), CHAR(10),"&amp;" "",""), ""\s*,\s*"", "",""), "","")))&lt;&gt;"""" ) ) ) ),"""")
"),"")</f>
        <v/>
      </c>
      <c r="D1648" s="105"/>
      <c r="E1648" s="105"/>
      <c r="F1648" s="110" t="b">
        <v>0</v>
      </c>
      <c r="G1648" s="105" t="str">
        <f>IF(F1648=True, IFERROR(VLOOKUP(D1648, Repository!A:B, 2, 0), ""), "")</f>
        <v/>
      </c>
      <c r="H1648" s="105"/>
      <c r="I1648" s="105"/>
      <c r="J1648" s="105" t="str">
        <f>IF(F1648=True, IFERROR(VLOOKUP(D1648, Repository!A:C, 3, 0), ""), "")</f>
        <v/>
      </c>
      <c r="K1648" s="105"/>
      <c r="L1648" s="105" t="str">
        <f>IF(F1648=True, IFERROR(VLOOKUP(D1648, Repository!A:E, 5, 0), ""), "")</f>
        <v/>
      </c>
      <c r="M1648" s="105"/>
      <c r="N1648" s="105" t="str">
        <f>IF(F1648=True, IFERROR(VLOOKUP(D1648, Repository!A:G, 7, 0), ""), "")</f>
        <v/>
      </c>
      <c r="O1648" s="105" t="str">
        <f>IFERROR(__xludf.DUMMYFUNCTION("ARRAY_CONSTRAIN(
  ARRAYFORMULA(
    IFERROR(
      LET(
        list, N1648,
        arr, TRIM(SPLIT(list, "","")),
        names, XLOOKUP(
          arr,
          'Conformance Score'!A:A,
          'Conformance Score'!B:B,
          ""Not found""
     "&amp;"   ),
        TEXTJOIN("", "", TRUE, names)
      ),
      """"
    )
  ),
  1,
  1
)
"),"")</f>
        <v/>
      </c>
      <c r="P1648" s="105" t="str">
        <f>IF(F1648="Yes", IFERROR(VLOOKUP(D1648, Repository!A:F, 6, 0), ""), "")</f>
        <v/>
      </c>
      <c r="Q1648" s="105" t="str">
        <f>IF(F1648="Yes", IFERROR(VLOOKUP(D1648, Repository!A:I, 8, 0), ""), "")</f>
        <v/>
      </c>
      <c r="R1648" s="105" t="str">
        <f>IF(F1648="Yes", IFERROR(VLOOKUP(D1648, Repository!A:J, 9, 0), ""), "")</f>
        <v/>
      </c>
      <c r="S1648" s="105"/>
      <c r="T1648" s="105"/>
      <c r="U1648" s="105"/>
      <c r="V1648" s="105"/>
      <c r="W1648" s="105"/>
      <c r="X1648" s="105"/>
      <c r="Y1648" s="105"/>
      <c r="Z1648" s="105"/>
      <c r="AA1648" s="105"/>
      <c r="AB1648" s="105"/>
      <c r="AC1648" s="91"/>
      <c r="AD1648" s="105"/>
      <c r="AE1648" s="105"/>
      <c r="AF1648" s="91"/>
      <c r="AG1648" s="105"/>
      <c r="AH1648" s="105"/>
      <c r="AI1648" s="105" t="str">
        <f t="shared" si="1"/>
        <v/>
      </c>
      <c r="AJ1648" s="108" t="str">
        <f t="shared" si="2"/>
        <v/>
      </c>
    </row>
    <row r="1649" ht="15.75" customHeight="1">
      <c r="A1649" s="104"/>
      <c r="B1649" s="105" t="str">
        <f>IFERROR(__xludf.DUMMYFUNCTION("ARRAY_CONSTRAIN(
  ARRAYFORMULA(
    IF(
      'Final Report'!A1649="""",
      """",
      TEXTJOIN(
        "", "" &amp; CHAR(10),
        TRUE,
        IFERROR(
          VLOOKUP(
            TRIM(
              SPLIT('Final Report'!A1649, "","")
         "&amp;"   ),
            'URL Details'!A:B,
            2,
            FALSE
          ),
          """"
        )
      )
    )
  ),
  1,
  1
)
"),"")</f>
        <v/>
      </c>
      <c r="C1649" s="105" t="str">
        <f>IFERROR(__xludf.DUMMYFUNCTION("IFERROR(IF('Final Report'!A1649="""","""", TEXTJOIN(CHAR(10), TRUE, ARRAYFORMULA( ""• ""&amp; FILTER( TRIM(FLATTEN(SPLIT( REGEXREPLACE( SUBSTITUTE(TEXTJOIN("","", TRUE, IFERROR(ARRAYFORMULA(VLOOKUP(TRIM(SPLIT('Final Report'!A1649, "","")), 'URL Details'!A:D, "&amp;"4, FALSE)),"""") ), CHAR(10), "",""), ""\s*,\s*"", "",""), "",""))), TRIM(FLATTEN(SPLIT( REGEXREPLACE( SUBSTITUTE(TEXTJOIN("","", TRUE, IFERROR(ARRAYFORMULA(VLOOKUP(TRIM(SPLIT('Final Report'!A1649, "","")), 'URL Details'!A:D, 4, FALSE)),"""") ), CHAR(10),"&amp;" "",""), ""\s*,\s*"", "",""), "","")))&lt;&gt;"""" ) ) ) ),"""")
"),"")</f>
        <v/>
      </c>
      <c r="D1649" s="105"/>
      <c r="E1649" s="105"/>
      <c r="F1649" s="110" t="b">
        <v>0</v>
      </c>
      <c r="G1649" s="105" t="str">
        <f>IF(F1649=True, IFERROR(VLOOKUP(D1649, Repository!A:B, 2, 0), ""), "")</f>
        <v/>
      </c>
      <c r="H1649" s="105"/>
      <c r="I1649" s="105"/>
      <c r="J1649" s="105" t="str">
        <f>IF(F1649=True, IFERROR(VLOOKUP(D1649, Repository!A:C, 3, 0), ""), "")</f>
        <v/>
      </c>
      <c r="K1649" s="105"/>
      <c r="L1649" s="105" t="str">
        <f>IF(F1649=True, IFERROR(VLOOKUP(D1649, Repository!A:E, 5, 0), ""), "")</f>
        <v/>
      </c>
      <c r="M1649" s="105"/>
      <c r="N1649" s="105" t="str">
        <f>IF(F1649=True, IFERROR(VLOOKUP(D1649, Repository!A:G, 7, 0), ""), "")</f>
        <v/>
      </c>
      <c r="O1649" s="105" t="str">
        <f>IFERROR(__xludf.DUMMYFUNCTION("ARRAY_CONSTRAIN(
  ARRAYFORMULA(
    IFERROR(
      LET(
        list, N1649,
        arr, TRIM(SPLIT(list, "","")),
        names, XLOOKUP(
          arr,
          'Conformance Score'!A:A,
          'Conformance Score'!B:B,
          ""Not found""
     "&amp;"   ),
        TEXTJOIN("", "", TRUE, names)
      ),
      """"
    )
  ),
  1,
  1
)
"),"")</f>
        <v/>
      </c>
      <c r="P1649" s="105" t="str">
        <f>IF(F1649="Yes", IFERROR(VLOOKUP(D1649, Repository!A:F, 6, 0), ""), "")</f>
        <v/>
      </c>
      <c r="Q1649" s="105" t="str">
        <f>IF(F1649="Yes", IFERROR(VLOOKUP(D1649, Repository!A:I, 8, 0), ""), "")</f>
        <v/>
      </c>
      <c r="R1649" s="105" t="str">
        <f>IF(F1649="Yes", IFERROR(VLOOKUP(D1649, Repository!A:J, 9, 0), ""), "")</f>
        <v/>
      </c>
      <c r="S1649" s="105"/>
      <c r="T1649" s="105"/>
      <c r="U1649" s="105"/>
      <c r="V1649" s="105"/>
      <c r="W1649" s="105"/>
      <c r="X1649" s="105"/>
      <c r="Y1649" s="105"/>
      <c r="Z1649" s="105"/>
      <c r="AA1649" s="105"/>
      <c r="AB1649" s="105"/>
      <c r="AC1649" s="91"/>
      <c r="AD1649" s="105"/>
      <c r="AE1649" s="105"/>
      <c r="AF1649" s="91"/>
      <c r="AG1649" s="105"/>
      <c r="AH1649" s="105"/>
      <c r="AI1649" s="105" t="str">
        <f t="shared" si="1"/>
        <v/>
      </c>
      <c r="AJ1649" s="108" t="str">
        <f t="shared" si="2"/>
        <v/>
      </c>
    </row>
    <row r="1650" ht="15.75" customHeight="1">
      <c r="A1650" s="104"/>
      <c r="B1650" s="105" t="str">
        <f>IFERROR(__xludf.DUMMYFUNCTION("ARRAY_CONSTRAIN(
  ARRAYFORMULA(
    IF(
      'Final Report'!A1650="""",
      """",
      TEXTJOIN(
        "", "" &amp; CHAR(10),
        TRUE,
        IFERROR(
          VLOOKUP(
            TRIM(
              SPLIT('Final Report'!A1650, "","")
         "&amp;"   ),
            'URL Details'!A:B,
            2,
            FALSE
          ),
          """"
        )
      )
    )
  ),
  1,
  1
)
"),"")</f>
        <v/>
      </c>
      <c r="C1650" s="105" t="str">
        <f>IFERROR(__xludf.DUMMYFUNCTION("IFERROR(IF('Final Report'!A1650="""","""", TEXTJOIN(CHAR(10), TRUE, ARRAYFORMULA( ""• ""&amp; FILTER( TRIM(FLATTEN(SPLIT( REGEXREPLACE( SUBSTITUTE(TEXTJOIN("","", TRUE, IFERROR(ARRAYFORMULA(VLOOKUP(TRIM(SPLIT('Final Report'!A1650, "","")), 'URL Details'!A:D, "&amp;"4, FALSE)),"""") ), CHAR(10), "",""), ""\s*,\s*"", "",""), "",""))), TRIM(FLATTEN(SPLIT( REGEXREPLACE( SUBSTITUTE(TEXTJOIN("","", TRUE, IFERROR(ARRAYFORMULA(VLOOKUP(TRIM(SPLIT('Final Report'!A1650, "","")), 'URL Details'!A:D, 4, FALSE)),"""") ), CHAR(10),"&amp;" "",""), ""\s*,\s*"", "",""), "","")))&lt;&gt;"""" ) ) ) ),"""")
"),"")</f>
        <v/>
      </c>
      <c r="D1650" s="105"/>
      <c r="E1650" s="105"/>
      <c r="F1650" s="110" t="b">
        <v>0</v>
      </c>
      <c r="G1650" s="105" t="str">
        <f>IF(F1650=True, IFERROR(VLOOKUP(D1650, Repository!A:B, 2, 0), ""), "")</f>
        <v/>
      </c>
      <c r="H1650" s="105"/>
      <c r="I1650" s="105"/>
      <c r="J1650" s="105" t="str">
        <f>IF(F1650=True, IFERROR(VLOOKUP(D1650, Repository!A:C, 3, 0), ""), "")</f>
        <v/>
      </c>
      <c r="K1650" s="105"/>
      <c r="L1650" s="105" t="str">
        <f>IF(F1650=True, IFERROR(VLOOKUP(D1650, Repository!A:E, 5, 0), ""), "")</f>
        <v/>
      </c>
      <c r="M1650" s="105"/>
      <c r="N1650" s="105" t="str">
        <f>IF(F1650=True, IFERROR(VLOOKUP(D1650, Repository!A:G, 7, 0), ""), "")</f>
        <v/>
      </c>
      <c r="O1650" s="105" t="str">
        <f>IFERROR(__xludf.DUMMYFUNCTION("ARRAY_CONSTRAIN(
  ARRAYFORMULA(
    IFERROR(
      LET(
        list, N1650,
        arr, TRIM(SPLIT(list, "","")),
        names, XLOOKUP(
          arr,
          'Conformance Score'!A:A,
          'Conformance Score'!B:B,
          ""Not found""
     "&amp;"   ),
        TEXTJOIN("", "", TRUE, names)
      ),
      """"
    )
  ),
  1,
  1
)
"),"")</f>
        <v/>
      </c>
      <c r="P1650" s="105" t="str">
        <f>IF(F1650="Yes", IFERROR(VLOOKUP(D1650, Repository!A:F, 6, 0), ""), "")</f>
        <v/>
      </c>
      <c r="Q1650" s="105" t="str">
        <f>IF(F1650="Yes", IFERROR(VLOOKUP(D1650, Repository!A:I, 8, 0), ""), "")</f>
        <v/>
      </c>
      <c r="R1650" s="105" t="str">
        <f>IF(F1650="Yes", IFERROR(VLOOKUP(D1650, Repository!A:J, 9, 0), ""), "")</f>
        <v/>
      </c>
      <c r="S1650" s="105"/>
      <c r="T1650" s="105"/>
      <c r="U1650" s="105"/>
      <c r="V1650" s="105"/>
      <c r="W1650" s="105"/>
      <c r="X1650" s="105"/>
      <c r="Y1650" s="105"/>
      <c r="Z1650" s="105"/>
      <c r="AA1650" s="105"/>
      <c r="AB1650" s="105"/>
      <c r="AC1650" s="91"/>
      <c r="AD1650" s="105"/>
      <c r="AE1650" s="105"/>
      <c r="AF1650" s="91"/>
      <c r="AG1650" s="105"/>
      <c r="AH1650" s="105"/>
      <c r="AI1650" s="105" t="str">
        <f t="shared" si="1"/>
        <v/>
      </c>
      <c r="AJ1650" s="108" t="str">
        <f t="shared" si="2"/>
        <v/>
      </c>
    </row>
    <row r="1651" ht="15.75" customHeight="1">
      <c r="A1651" s="104"/>
      <c r="B1651" s="105" t="str">
        <f>IFERROR(__xludf.DUMMYFUNCTION("ARRAY_CONSTRAIN(
  ARRAYFORMULA(
    IF(
      'Final Report'!A1651="""",
      """",
      TEXTJOIN(
        "", "" &amp; CHAR(10),
        TRUE,
        IFERROR(
          VLOOKUP(
            TRIM(
              SPLIT('Final Report'!A1651, "","")
         "&amp;"   ),
            'URL Details'!A:B,
            2,
            FALSE
          ),
          """"
        )
      )
    )
  ),
  1,
  1
)
"),"")</f>
        <v/>
      </c>
      <c r="C1651" s="105" t="str">
        <f>IFERROR(__xludf.DUMMYFUNCTION("IFERROR(IF('Final Report'!A1651="""","""", TEXTJOIN(CHAR(10), TRUE, ARRAYFORMULA( ""• ""&amp; FILTER( TRIM(FLATTEN(SPLIT( REGEXREPLACE( SUBSTITUTE(TEXTJOIN("","", TRUE, IFERROR(ARRAYFORMULA(VLOOKUP(TRIM(SPLIT('Final Report'!A1651, "","")), 'URL Details'!A:D, "&amp;"4, FALSE)),"""") ), CHAR(10), "",""), ""\s*,\s*"", "",""), "",""))), TRIM(FLATTEN(SPLIT( REGEXREPLACE( SUBSTITUTE(TEXTJOIN("","", TRUE, IFERROR(ARRAYFORMULA(VLOOKUP(TRIM(SPLIT('Final Report'!A1651, "","")), 'URL Details'!A:D, 4, FALSE)),"""") ), CHAR(10),"&amp;" "",""), ""\s*,\s*"", "",""), "","")))&lt;&gt;"""" ) ) ) ),"""")
"),"")</f>
        <v/>
      </c>
      <c r="D1651" s="105"/>
      <c r="E1651" s="105"/>
      <c r="F1651" s="110" t="b">
        <v>0</v>
      </c>
      <c r="G1651" s="105" t="str">
        <f>IF(F1651=True, IFERROR(VLOOKUP(D1651, Repository!A:B, 2, 0), ""), "")</f>
        <v/>
      </c>
      <c r="H1651" s="105"/>
      <c r="I1651" s="105"/>
      <c r="J1651" s="105" t="str">
        <f>IF(F1651=True, IFERROR(VLOOKUP(D1651, Repository!A:C, 3, 0), ""), "")</f>
        <v/>
      </c>
      <c r="K1651" s="105"/>
      <c r="L1651" s="105" t="str">
        <f>IF(F1651=True, IFERROR(VLOOKUP(D1651, Repository!A:E, 5, 0), ""), "")</f>
        <v/>
      </c>
      <c r="M1651" s="105"/>
      <c r="N1651" s="105" t="str">
        <f>IF(F1651=True, IFERROR(VLOOKUP(D1651, Repository!A:G, 7, 0), ""), "")</f>
        <v/>
      </c>
      <c r="O1651" s="105" t="str">
        <f>IFERROR(__xludf.DUMMYFUNCTION("ARRAY_CONSTRAIN(
  ARRAYFORMULA(
    IFERROR(
      LET(
        list, N1651,
        arr, TRIM(SPLIT(list, "","")),
        names, XLOOKUP(
          arr,
          'Conformance Score'!A:A,
          'Conformance Score'!B:B,
          ""Not found""
     "&amp;"   ),
        TEXTJOIN("", "", TRUE, names)
      ),
      """"
    )
  ),
  1,
  1
)
"),"")</f>
        <v/>
      </c>
      <c r="P1651" s="105" t="str">
        <f>IF(F1651="Yes", IFERROR(VLOOKUP(D1651, Repository!A:F, 6, 0), ""), "")</f>
        <v/>
      </c>
      <c r="Q1651" s="105" t="str">
        <f>IF(F1651="Yes", IFERROR(VLOOKUP(D1651, Repository!A:I, 8, 0), ""), "")</f>
        <v/>
      </c>
      <c r="R1651" s="105" t="str">
        <f>IF(F1651="Yes", IFERROR(VLOOKUP(D1651, Repository!A:J, 9, 0), ""), "")</f>
        <v/>
      </c>
      <c r="S1651" s="105"/>
      <c r="T1651" s="105"/>
      <c r="U1651" s="105"/>
      <c r="V1651" s="105"/>
      <c r="W1651" s="105"/>
      <c r="X1651" s="105"/>
      <c r="Y1651" s="105"/>
      <c r="Z1651" s="105"/>
      <c r="AA1651" s="105"/>
      <c r="AB1651" s="105"/>
      <c r="AC1651" s="91"/>
      <c r="AD1651" s="105"/>
      <c r="AE1651" s="105"/>
      <c r="AF1651" s="91"/>
      <c r="AG1651" s="105"/>
      <c r="AH1651" s="105"/>
      <c r="AI1651" s="105" t="str">
        <f t="shared" si="1"/>
        <v/>
      </c>
      <c r="AJ1651" s="108" t="str">
        <f t="shared" si="2"/>
        <v/>
      </c>
    </row>
    <row r="1652" ht="15.75" customHeight="1">
      <c r="A1652" s="104"/>
      <c r="B1652" s="105" t="str">
        <f>IFERROR(__xludf.DUMMYFUNCTION("ARRAY_CONSTRAIN(
  ARRAYFORMULA(
    IF(
      'Final Report'!A1652="""",
      """",
      TEXTJOIN(
        "", "" &amp; CHAR(10),
        TRUE,
        IFERROR(
          VLOOKUP(
            TRIM(
              SPLIT('Final Report'!A1652, "","")
         "&amp;"   ),
            'URL Details'!A:B,
            2,
            FALSE
          ),
          """"
        )
      )
    )
  ),
  1,
  1
)
"),"")</f>
        <v/>
      </c>
      <c r="C1652" s="105" t="str">
        <f>IFERROR(__xludf.DUMMYFUNCTION("IFERROR(IF('Final Report'!A1652="""","""", TEXTJOIN(CHAR(10), TRUE, ARRAYFORMULA( ""• ""&amp; FILTER( TRIM(FLATTEN(SPLIT( REGEXREPLACE( SUBSTITUTE(TEXTJOIN("","", TRUE, IFERROR(ARRAYFORMULA(VLOOKUP(TRIM(SPLIT('Final Report'!A1652, "","")), 'URL Details'!A:D, "&amp;"4, FALSE)),"""") ), CHAR(10), "",""), ""\s*,\s*"", "",""), "",""))), TRIM(FLATTEN(SPLIT( REGEXREPLACE( SUBSTITUTE(TEXTJOIN("","", TRUE, IFERROR(ARRAYFORMULA(VLOOKUP(TRIM(SPLIT('Final Report'!A1652, "","")), 'URL Details'!A:D, 4, FALSE)),"""") ), CHAR(10),"&amp;" "",""), ""\s*,\s*"", "",""), "","")))&lt;&gt;"""" ) ) ) ),"""")
"),"")</f>
        <v/>
      </c>
      <c r="D1652" s="105"/>
      <c r="E1652" s="105"/>
      <c r="F1652" s="110" t="b">
        <v>0</v>
      </c>
      <c r="G1652" s="105" t="str">
        <f>IF(F1652=True, IFERROR(VLOOKUP(D1652, Repository!A:B, 2, 0), ""), "")</f>
        <v/>
      </c>
      <c r="H1652" s="105"/>
      <c r="I1652" s="105"/>
      <c r="J1652" s="105" t="str">
        <f>IF(F1652=True, IFERROR(VLOOKUP(D1652, Repository!A:C, 3, 0), ""), "")</f>
        <v/>
      </c>
      <c r="K1652" s="105"/>
      <c r="L1652" s="105" t="str">
        <f>IF(F1652=True, IFERROR(VLOOKUP(D1652, Repository!A:E, 5, 0), ""), "")</f>
        <v/>
      </c>
      <c r="M1652" s="105"/>
      <c r="N1652" s="105" t="str">
        <f>IF(F1652=True, IFERROR(VLOOKUP(D1652, Repository!A:G, 7, 0), ""), "")</f>
        <v/>
      </c>
      <c r="O1652" s="105" t="str">
        <f>IFERROR(__xludf.DUMMYFUNCTION("ARRAY_CONSTRAIN(
  ARRAYFORMULA(
    IFERROR(
      LET(
        list, N1652,
        arr, TRIM(SPLIT(list, "","")),
        names, XLOOKUP(
          arr,
          'Conformance Score'!A:A,
          'Conformance Score'!B:B,
          ""Not found""
     "&amp;"   ),
        TEXTJOIN("", "", TRUE, names)
      ),
      """"
    )
  ),
  1,
  1
)
"),"")</f>
        <v/>
      </c>
      <c r="P1652" s="105" t="str">
        <f>IF(F1652="Yes", IFERROR(VLOOKUP(D1652, Repository!A:F, 6, 0), ""), "")</f>
        <v/>
      </c>
      <c r="Q1652" s="105" t="str">
        <f>IF(F1652="Yes", IFERROR(VLOOKUP(D1652, Repository!A:I, 8, 0), ""), "")</f>
        <v/>
      </c>
      <c r="R1652" s="105" t="str">
        <f>IF(F1652="Yes", IFERROR(VLOOKUP(D1652, Repository!A:J, 9, 0), ""), "")</f>
        <v/>
      </c>
      <c r="S1652" s="105"/>
      <c r="T1652" s="105"/>
      <c r="U1652" s="105"/>
      <c r="V1652" s="105"/>
      <c r="W1652" s="105"/>
      <c r="X1652" s="105"/>
      <c r="Y1652" s="105"/>
      <c r="Z1652" s="105"/>
      <c r="AA1652" s="105"/>
      <c r="AB1652" s="105"/>
      <c r="AC1652" s="91"/>
      <c r="AD1652" s="105"/>
      <c r="AE1652" s="105"/>
      <c r="AF1652" s="91"/>
      <c r="AG1652" s="105"/>
      <c r="AH1652" s="105"/>
      <c r="AI1652" s="105" t="str">
        <f t="shared" si="1"/>
        <v/>
      </c>
      <c r="AJ1652" s="108" t="str">
        <f t="shared" si="2"/>
        <v/>
      </c>
    </row>
    <row r="1653" ht="15.75" customHeight="1">
      <c r="A1653" s="104"/>
      <c r="B1653" s="105" t="str">
        <f>IFERROR(__xludf.DUMMYFUNCTION("ARRAY_CONSTRAIN(
  ARRAYFORMULA(
    IF(
      'Final Report'!A1653="""",
      """",
      TEXTJOIN(
        "", "" &amp; CHAR(10),
        TRUE,
        IFERROR(
          VLOOKUP(
            TRIM(
              SPLIT('Final Report'!A1653, "","")
         "&amp;"   ),
            'URL Details'!A:B,
            2,
            FALSE
          ),
          """"
        )
      )
    )
  ),
  1,
  1
)
"),"")</f>
        <v/>
      </c>
      <c r="C1653" s="105" t="str">
        <f>IFERROR(__xludf.DUMMYFUNCTION("IFERROR(IF('Final Report'!A1653="""","""", TEXTJOIN(CHAR(10), TRUE, ARRAYFORMULA( ""• ""&amp; FILTER( TRIM(FLATTEN(SPLIT( REGEXREPLACE( SUBSTITUTE(TEXTJOIN("","", TRUE, IFERROR(ARRAYFORMULA(VLOOKUP(TRIM(SPLIT('Final Report'!A1653, "","")), 'URL Details'!A:D, "&amp;"4, FALSE)),"""") ), CHAR(10), "",""), ""\s*,\s*"", "",""), "",""))), TRIM(FLATTEN(SPLIT( REGEXREPLACE( SUBSTITUTE(TEXTJOIN("","", TRUE, IFERROR(ARRAYFORMULA(VLOOKUP(TRIM(SPLIT('Final Report'!A1653, "","")), 'URL Details'!A:D, 4, FALSE)),"""") ), CHAR(10),"&amp;" "",""), ""\s*,\s*"", "",""), "","")))&lt;&gt;"""" ) ) ) ),"""")
"),"")</f>
        <v/>
      </c>
      <c r="D1653" s="105"/>
      <c r="E1653" s="105"/>
      <c r="F1653" s="110" t="b">
        <v>0</v>
      </c>
      <c r="G1653" s="105" t="str">
        <f>IF(F1653=True, IFERROR(VLOOKUP(D1653, Repository!A:B, 2, 0), ""), "")</f>
        <v/>
      </c>
      <c r="H1653" s="105"/>
      <c r="I1653" s="105"/>
      <c r="J1653" s="105" t="str">
        <f>IF(F1653=True, IFERROR(VLOOKUP(D1653, Repository!A:C, 3, 0), ""), "")</f>
        <v/>
      </c>
      <c r="K1653" s="105"/>
      <c r="L1653" s="105" t="str">
        <f>IF(F1653=True, IFERROR(VLOOKUP(D1653, Repository!A:E, 5, 0), ""), "")</f>
        <v/>
      </c>
      <c r="M1653" s="105"/>
      <c r="N1653" s="105" t="str">
        <f>IF(F1653=True, IFERROR(VLOOKUP(D1653, Repository!A:G, 7, 0), ""), "")</f>
        <v/>
      </c>
      <c r="O1653" s="105" t="str">
        <f>IFERROR(__xludf.DUMMYFUNCTION("ARRAY_CONSTRAIN(
  ARRAYFORMULA(
    IFERROR(
      LET(
        list, N1653,
        arr, TRIM(SPLIT(list, "","")),
        names, XLOOKUP(
          arr,
          'Conformance Score'!A:A,
          'Conformance Score'!B:B,
          ""Not found""
     "&amp;"   ),
        TEXTJOIN("", "", TRUE, names)
      ),
      """"
    )
  ),
  1,
  1
)
"),"")</f>
        <v/>
      </c>
      <c r="P1653" s="105" t="str">
        <f>IF(F1653="Yes", IFERROR(VLOOKUP(D1653, Repository!A:F, 6, 0), ""), "")</f>
        <v/>
      </c>
      <c r="Q1653" s="105" t="str">
        <f>IF(F1653="Yes", IFERROR(VLOOKUP(D1653, Repository!A:I, 8, 0), ""), "")</f>
        <v/>
      </c>
      <c r="R1653" s="105" t="str">
        <f>IF(F1653="Yes", IFERROR(VLOOKUP(D1653, Repository!A:J, 9, 0), ""), "")</f>
        <v/>
      </c>
      <c r="S1653" s="105"/>
      <c r="T1653" s="105"/>
      <c r="U1653" s="105"/>
      <c r="V1653" s="105"/>
      <c r="W1653" s="105"/>
      <c r="X1653" s="105"/>
      <c r="Y1653" s="105"/>
      <c r="Z1653" s="105"/>
      <c r="AA1653" s="105"/>
      <c r="AB1653" s="105"/>
      <c r="AC1653" s="91"/>
      <c r="AD1653" s="105"/>
      <c r="AE1653" s="105"/>
      <c r="AF1653" s="91"/>
      <c r="AG1653" s="105"/>
      <c r="AH1653" s="105"/>
      <c r="AI1653" s="105" t="str">
        <f t="shared" si="1"/>
        <v/>
      </c>
      <c r="AJ1653" s="108" t="str">
        <f t="shared" si="2"/>
        <v/>
      </c>
    </row>
    <row r="1654" ht="15.75" customHeight="1">
      <c r="A1654" s="104"/>
      <c r="B1654" s="105" t="str">
        <f>IFERROR(__xludf.DUMMYFUNCTION("ARRAY_CONSTRAIN(
  ARRAYFORMULA(
    IF(
      'Final Report'!A1654="""",
      """",
      TEXTJOIN(
        "", "" &amp; CHAR(10),
        TRUE,
        IFERROR(
          VLOOKUP(
            TRIM(
              SPLIT('Final Report'!A1654, "","")
         "&amp;"   ),
            'URL Details'!A:B,
            2,
            FALSE
          ),
          """"
        )
      )
    )
  ),
  1,
  1
)
"),"")</f>
        <v/>
      </c>
      <c r="C1654" s="105" t="str">
        <f>IFERROR(__xludf.DUMMYFUNCTION("IFERROR(IF('Final Report'!A1654="""","""", TEXTJOIN(CHAR(10), TRUE, ARRAYFORMULA( ""• ""&amp; FILTER( TRIM(FLATTEN(SPLIT( REGEXREPLACE( SUBSTITUTE(TEXTJOIN("","", TRUE, IFERROR(ARRAYFORMULA(VLOOKUP(TRIM(SPLIT('Final Report'!A1654, "","")), 'URL Details'!A:D, "&amp;"4, FALSE)),"""") ), CHAR(10), "",""), ""\s*,\s*"", "",""), "",""))), TRIM(FLATTEN(SPLIT( REGEXREPLACE( SUBSTITUTE(TEXTJOIN("","", TRUE, IFERROR(ARRAYFORMULA(VLOOKUP(TRIM(SPLIT('Final Report'!A1654, "","")), 'URL Details'!A:D, 4, FALSE)),"""") ), CHAR(10),"&amp;" "",""), ""\s*,\s*"", "",""), "","")))&lt;&gt;"""" ) ) ) ),"""")
"),"")</f>
        <v/>
      </c>
      <c r="D1654" s="105"/>
      <c r="E1654" s="105"/>
      <c r="F1654" s="110" t="b">
        <v>0</v>
      </c>
      <c r="G1654" s="105" t="str">
        <f>IF(F1654=True, IFERROR(VLOOKUP(D1654, Repository!A:B, 2, 0), ""), "")</f>
        <v/>
      </c>
      <c r="H1654" s="105"/>
      <c r="I1654" s="105"/>
      <c r="J1654" s="105" t="str">
        <f>IF(F1654=True, IFERROR(VLOOKUP(D1654, Repository!A:C, 3, 0), ""), "")</f>
        <v/>
      </c>
      <c r="K1654" s="105"/>
      <c r="L1654" s="105" t="str">
        <f>IF(F1654=True, IFERROR(VLOOKUP(D1654, Repository!A:E, 5, 0), ""), "")</f>
        <v/>
      </c>
      <c r="M1654" s="105"/>
      <c r="N1654" s="105" t="str">
        <f>IF(F1654=True, IFERROR(VLOOKUP(D1654, Repository!A:G, 7, 0), ""), "")</f>
        <v/>
      </c>
      <c r="O1654" s="105" t="str">
        <f>IFERROR(__xludf.DUMMYFUNCTION("ARRAY_CONSTRAIN(
  ARRAYFORMULA(
    IFERROR(
      LET(
        list, N1654,
        arr, TRIM(SPLIT(list, "","")),
        names, XLOOKUP(
          arr,
          'Conformance Score'!A:A,
          'Conformance Score'!B:B,
          ""Not found""
     "&amp;"   ),
        TEXTJOIN("", "", TRUE, names)
      ),
      """"
    )
  ),
  1,
  1
)
"),"")</f>
        <v/>
      </c>
      <c r="P1654" s="105" t="str">
        <f>IF(F1654="Yes", IFERROR(VLOOKUP(D1654, Repository!A:F, 6, 0), ""), "")</f>
        <v/>
      </c>
      <c r="Q1654" s="105" t="str">
        <f>IF(F1654="Yes", IFERROR(VLOOKUP(D1654, Repository!A:I, 8, 0), ""), "")</f>
        <v/>
      </c>
      <c r="R1654" s="105" t="str">
        <f>IF(F1654="Yes", IFERROR(VLOOKUP(D1654, Repository!A:J, 9, 0), ""), "")</f>
        <v/>
      </c>
      <c r="S1654" s="105"/>
      <c r="T1654" s="105"/>
      <c r="U1654" s="105"/>
      <c r="V1654" s="105"/>
      <c r="W1654" s="105"/>
      <c r="X1654" s="105"/>
      <c r="Y1654" s="105"/>
      <c r="Z1654" s="105"/>
      <c r="AA1654" s="105"/>
      <c r="AB1654" s="105"/>
      <c r="AC1654" s="91"/>
      <c r="AD1654" s="105"/>
      <c r="AE1654" s="105"/>
      <c r="AF1654" s="91"/>
      <c r="AG1654" s="105"/>
      <c r="AH1654" s="105"/>
      <c r="AI1654" s="105" t="str">
        <f t="shared" si="1"/>
        <v/>
      </c>
      <c r="AJ1654" s="108" t="str">
        <f t="shared" si="2"/>
        <v/>
      </c>
    </row>
    <row r="1655" ht="15.75" customHeight="1">
      <c r="A1655" s="104"/>
      <c r="B1655" s="105" t="str">
        <f>IFERROR(__xludf.DUMMYFUNCTION("ARRAY_CONSTRAIN(
  ARRAYFORMULA(
    IF(
      'Final Report'!A1655="""",
      """",
      TEXTJOIN(
        "", "" &amp; CHAR(10),
        TRUE,
        IFERROR(
          VLOOKUP(
            TRIM(
              SPLIT('Final Report'!A1655, "","")
         "&amp;"   ),
            'URL Details'!A:B,
            2,
            FALSE
          ),
          """"
        )
      )
    )
  ),
  1,
  1
)
"),"")</f>
        <v/>
      </c>
      <c r="C1655" s="105" t="str">
        <f>IFERROR(__xludf.DUMMYFUNCTION("IFERROR(IF('Final Report'!A1655="""","""", TEXTJOIN(CHAR(10), TRUE, ARRAYFORMULA( ""• ""&amp; FILTER( TRIM(FLATTEN(SPLIT( REGEXREPLACE( SUBSTITUTE(TEXTJOIN("","", TRUE, IFERROR(ARRAYFORMULA(VLOOKUP(TRIM(SPLIT('Final Report'!A1655, "","")), 'URL Details'!A:D, "&amp;"4, FALSE)),"""") ), CHAR(10), "",""), ""\s*,\s*"", "",""), "",""))), TRIM(FLATTEN(SPLIT( REGEXREPLACE( SUBSTITUTE(TEXTJOIN("","", TRUE, IFERROR(ARRAYFORMULA(VLOOKUP(TRIM(SPLIT('Final Report'!A1655, "","")), 'URL Details'!A:D, 4, FALSE)),"""") ), CHAR(10),"&amp;" "",""), ""\s*,\s*"", "",""), "","")))&lt;&gt;"""" ) ) ) ),"""")
"),"")</f>
        <v/>
      </c>
      <c r="D1655" s="105"/>
      <c r="E1655" s="105"/>
      <c r="F1655" s="110" t="b">
        <v>0</v>
      </c>
      <c r="G1655" s="105" t="str">
        <f>IF(F1655=True, IFERROR(VLOOKUP(D1655, Repository!A:B, 2, 0), ""), "")</f>
        <v/>
      </c>
      <c r="H1655" s="105"/>
      <c r="I1655" s="105"/>
      <c r="J1655" s="105" t="str">
        <f>IF(F1655=True, IFERROR(VLOOKUP(D1655, Repository!A:C, 3, 0), ""), "")</f>
        <v/>
      </c>
      <c r="K1655" s="105"/>
      <c r="L1655" s="105" t="str">
        <f>IF(F1655=True, IFERROR(VLOOKUP(D1655, Repository!A:E, 5, 0), ""), "")</f>
        <v/>
      </c>
      <c r="M1655" s="105"/>
      <c r="N1655" s="105" t="str">
        <f>IF(F1655=True, IFERROR(VLOOKUP(D1655, Repository!A:G, 7, 0), ""), "")</f>
        <v/>
      </c>
      <c r="O1655" s="105" t="str">
        <f>IFERROR(__xludf.DUMMYFUNCTION("ARRAY_CONSTRAIN(
  ARRAYFORMULA(
    IFERROR(
      LET(
        list, N1655,
        arr, TRIM(SPLIT(list, "","")),
        names, XLOOKUP(
          arr,
          'Conformance Score'!A:A,
          'Conformance Score'!B:B,
          ""Not found""
     "&amp;"   ),
        TEXTJOIN("", "", TRUE, names)
      ),
      """"
    )
  ),
  1,
  1
)
"),"")</f>
        <v/>
      </c>
      <c r="P1655" s="105" t="str">
        <f>IF(F1655="Yes", IFERROR(VLOOKUP(D1655, Repository!A:F, 6, 0), ""), "")</f>
        <v/>
      </c>
      <c r="Q1655" s="105" t="str">
        <f>IF(F1655="Yes", IFERROR(VLOOKUP(D1655, Repository!A:I, 8, 0), ""), "")</f>
        <v/>
      </c>
      <c r="R1655" s="105" t="str">
        <f>IF(F1655="Yes", IFERROR(VLOOKUP(D1655, Repository!A:J, 9, 0), ""), "")</f>
        <v/>
      </c>
      <c r="S1655" s="105"/>
      <c r="T1655" s="105"/>
      <c r="U1655" s="105"/>
      <c r="V1655" s="105"/>
      <c r="W1655" s="105"/>
      <c r="X1655" s="105"/>
      <c r="Y1655" s="105"/>
      <c r="Z1655" s="105"/>
      <c r="AA1655" s="105"/>
      <c r="AB1655" s="105"/>
      <c r="AC1655" s="91"/>
      <c r="AD1655" s="105"/>
      <c r="AE1655" s="105"/>
      <c r="AF1655" s="91"/>
      <c r="AG1655" s="105"/>
      <c r="AH1655" s="105"/>
      <c r="AI1655" s="105" t="str">
        <f t="shared" si="1"/>
        <v/>
      </c>
      <c r="AJ1655" s="108" t="str">
        <f t="shared" si="2"/>
        <v/>
      </c>
    </row>
    <row r="1656" ht="15.75" customHeight="1">
      <c r="A1656" s="104"/>
      <c r="B1656" s="105" t="str">
        <f>IFERROR(__xludf.DUMMYFUNCTION("ARRAY_CONSTRAIN(
  ARRAYFORMULA(
    IF(
      'Final Report'!A1656="""",
      """",
      TEXTJOIN(
        "", "" &amp; CHAR(10),
        TRUE,
        IFERROR(
          VLOOKUP(
            TRIM(
              SPLIT('Final Report'!A1656, "","")
         "&amp;"   ),
            'URL Details'!A:B,
            2,
            FALSE
          ),
          """"
        )
      )
    )
  ),
  1,
  1
)
"),"")</f>
        <v/>
      </c>
      <c r="C1656" s="105" t="str">
        <f>IFERROR(__xludf.DUMMYFUNCTION("IFERROR(IF('Final Report'!A1656="""","""", TEXTJOIN(CHAR(10), TRUE, ARRAYFORMULA( ""• ""&amp; FILTER( TRIM(FLATTEN(SPLIT( REGEXREPLACE( SUBSTITUTE(TEXTJOIN("","", TRUE, IFERROR(ARRAYFORMULA(VLOOKUP(TRIM(SPLIT('Final Report'!A1656, "","")), 'URL Details'!A:D, "&amp;"4, FALSE)),"""") ), CHAR(10), "",""), ""\s*,\s*"", "",""), "",""))), TRIM(FLATTEN(SPLIT( REGEXREPLACE( SUBSTITUTE(TEXTJOIN("","", TRUE, IFERROR(ARRAYFORMULA(VLOOKUP(TRIM(SPLIT('Final Report'!A1656, "","")), 'URL Details'!A:D, 4, FALSE)),"""") ), CHAR(10),"&amp;" "",""), ""\s*,\s*"", "",""), "","")))&lt;&gt;"""" ) ) ) ),"""")
"),"")</f>
        <v/>
      </c>
      <c r="D1656" s="105"/>
      <c r="E1656" s="105"/>
      <c r="F1656" s="110" t="b">
        <v>0</v>
      </c>
      <c r="G1656" s="105" t="str">
        <f>IF(F1656=True, IFERROR(VLOOKUP(D1656, Repository!A:B, 2, 0), ""), "")</f>
        <v/>
      </c>
      <c r="H1656" s="105"/>
      <c r="I1656" s="105"/>
      <c r="J1656" s="105" t="str">
        <f>IF(F1656=True, IFERROR(VLOOKUP(D1656, Repository!A:C, 3, 0), ""), "")</f>
        <v/>
      </c>
      <c r="K1656" s="105"/>
      <c r="L1656" s="105" t="str">
        <f>IF(F1656=True, IFERROR(VLOOKUP(D1656, Repository!A:E, 5, 0), ""), "")</f>
        <v/>
      </c>
      <c r="M1656" s="105"/>
      <c r="N1656" s="105" t="str">
        <f>IF(F1656=True, IFERROR(VLOOKUP(D1656, Repository!A:G, 7, 0), ""), "")</f>
        <v/>
      </c>
      <c r="O1656" s="105" t="str">
        <f>IFERROR(__xludf.DUMMYFUNCTION("ARRAY_CONSTRAIN(
  ARRAYFORMULA(
    IFERROR(
      LET(
        list, N1656,
        arr, TRIM(SPLIT(list, "","")),
        names, XLOOKUP(
          arr,
          'Conformance Score'!A:A,
          'Conformance Score'!B:B,
          ""Not found""
     "&amp;"   ),
        TEXTJOIN("", "", TRUE, names)
      ),
      """"
    )
  ),
  1,
  1
)
"),"")</f>
        <v/>
      </c>
      <c r="P1656" s="105" t="str">
        <f>IF(F1656="Yes", IFERROR(VLOOKUP(D1656, Repository!A:F, 6, 0), ""), "")</f>
        <v/>
      </c>
      <c r="Q1656" s="105" t="str">
        <f>IF(F1656="Yes", IFERROR(VLOOKUP(D1656, Repository!A:I, 8, 0), ""), "")</f>
        <v/>
      </c>
      <c r="R1656" s="105" t="str">
        <f>IF(F1656="Yes", IFERROR(VLOOKUP(D1656, Repository!A:J, 9, 0), ""), "")</f>
        <v/>
      </c>
      <c r="S1656" s="105"/>
      <c r="T1656" s="105"/>
      <c r="U1656" s="105"/>
      <c r="V1656" s="105"/>
      <c r="W1656" s="105"/>
      <c r="X1656" s="105"/>
      <c r="Y1656" s="105"/>
      <c r="Z1656" s="105"/>
      <c r="AA1656" s="105"/>
      <c r="AB1656" s="105"/>
      <c r="AC1656" s="91"/>
      <c r="AD1656" s="105"/>
      <c r="AE1656" s="105"/>
      <c r="AF1656" s="91"/>
      <c r="AG1656" s="105"/>
      <c r="AH1656" s="105"/>
      <c r="AI1656" s="105" t="str">
        <f t="shared" si="1"/>
        <v/>
      </c>
      <c r="AJ1656" s="108" t="str">
        <f t="shared" si="2"/>
        <v/>
      </c>
    </row>
    <row r="1657" ht="15.75" customHeight="1">
      <c r="A1657" s="104"/>
      <c r="B1657" s="105" t="str">
        <f>IFERROR(__xludf.DUMMYFUNCTION("ARRAY_CONSTRAIN(
  ARRAYFORMULA(
    IF(
      'Final Report'!A1657="""",
      """",
      TEXTJOIN(
        "", "" &amp; CHAR(10),
        TRUE,
        IFERROR(
          VLOOKUP(
            TRIM(
              SPLIT('Final Report'!A1657, "","")
         "&amp;"   ),
            'URL Details'!A:B,
            2,
            FALSE
          ),
          """"
        )
      )
    )
  ),
  1,
  1
)
"),"")</f>
        <v/>
      </c>
      <c r="C1657" s="105" t="str">
        <f>IFERROR(__xludf.DUMMYFUNCTION("IFERROR(IF('Final Report'!A1657="""","""", TEXTJOIN(CHAR(10), TRUE, ARRAYFORMULA( ""• ""&amp; FILTER( TRIM(FLATTEN(SPLIT( REGEXREPLACE( SUBSTITUTE(TEXTJOIN("","", TRUE, IFERROR(ARRAYFORMULA(VLOOKUP(TRIM(SPLIT('Final Report'!A1657, "","")), 'URL Details'!A:D, "&amp;"4, FALSE)),"""") ), CHAR(10), "",""), ""\s*,\s*"", "",""), "",""))), TRIM(FLATTEN(SPLIT( REGEXREPLACE( SUBSTITUTE(TEXTJOIN("","", TRUE, IFERROR(ARRAYFORMULA(VLOOKUP(TRIM(SPLIT('Final Report'!A1657, "","")), 'URL Details'!A:D, 4, FALSE)),"""") ), CHAR(10),"&amp;" "",""), ""\s*,\s*"", "",""), "","")))&lt;&gt;"""" ) ) ) ),"""")
"),"")</f>
        <v/>
      </c>
      <c r="D1657" s="105"/>
      <c r="E1657" s="105"/>
      <c r="F1657" s="110" t="b">
        <v>0</v>
      </c>
      <c r="G1657" s="105" t="str">
        <f>IF(F1657=True, IFERROR(VLOOKUP(D1657, Repository!A:B, 2, 0), ""), "")</f>
        <v/>
      </c>
      <c r="H1657" s="105"/>
      <c r="I1657" s="105"/>
      <c r="J1657" s="105" t="str">
        <f>IF(F1657=True, IFERROR(VLOOKUP(D1657, Repository!A:C, 3, 0), ""), "")</f>
        <v/>
      </c>
      <c r="K1657" s="105"/>
      <c r="L1657" s="105" t="str">
        <f>IF(F1657=True, IFERROR(VLOOKUP(D1657, Repository!A:E, 5, 0), ""), "")</f>
        <v/>
      </c>
      <c r="M1657" s="105"/>
      <c r="N1657" s="105" t="str">
        <f>IF(F1657=True, IFERROR(VLOOKUP(D1657, Repository!A:G, 7, 0), ""), "")</f>
        <v/>
      </c>
      <c r="O1657" s="105" t="str">
        <f>IFERROR(__xludf.DUMMYFUNCTION("ARRAY_CONSTRAIN(
  ARRAYFORMULA(
    IFERROR(
      LET(
        list, N1657,
        arr, TRIM(SPLIT(list, "","")),
        names, XLOOKUP(
          arr,
          'Conformance Score'!A:A,
          'Conformance Score'!B:B,
          ""Not found""
     "&amp;"   ),
        TEXTJOIN("", "", TRUE, names)
      ),
      """"
    )
  ),
  1,
  1
)
"),"")</f>
        <v/>
      </c>
      <c r="P1657" s="105" t="str">
        <f>IF(F1657="Yes", IFERROR(VLOOKUP(D1657, Repository!A:F, 6, 0), ""), "")</f>
        <v/>
      </c>
      <c r="Q1657" s="105" t="str">
        <f>IF(F1657="Yes", IFERROR(VLOOKUP(D1657, Repository!A:I, 8, 0), ""), "")</f>
        <v/>
      </c>
      <c r="R1657" s="105" t="str">
        <f>IF(F1657="Yes", IFERROR(VLOOKUP(D1657, Repository!A:J, 9, 0), ""), "")</f>
        <v/>
      </c>
      <c r="S1657" s="105"/>
      <c r="T1657" s="105"/>
      <c r="U1657" s="105"/>
      <c r="V1657" s="105"/>
      <c r="W1657" s="105"/>
      <c r="X1657" s="105"/>
      <c r="Y1657" s="105"/>
      <c r="Z1657" s="105"/>
      <c r="AA1657" s="105"/>
      <c r="AB1657" s="105"/>
      <c r="AC1657" s="91"/>
      <c r="AD1657" s="105"/>
      <c r="AE1657" s="105"/>
      <c r="AF1657" s="91"/>
      <c r="AG1657" s="105"/>
      <c r="AH1657" s="105"/>
      <c r="AI1657" s="105" t="str">
        <f t="shared" si="1"/>
        <v/>
      </c>
      <c r="AJ1657" s="108" t="str">
        <f t="shared" si="2"/>
        <v/>
      </c>
    </row>
    <row r="1658" ht="15.75" customHeight="1">
      <c r="A1658" s="104"/>
      <c r="B1658" s="105" t="str">
        <f>IFERROR(__xludf.DUMMYFUNCTION("ARRAY_CONSTRAIN(
  ARRAYFORMULA(
    IF(
      'Final Report'!A1658="""",
      """",
      TEXTJOIN(
        "", "" &amp; CHAR(10),
        TRUE,
        IFERROR(
          VLOOKUP(
            TRIM(
              SPLIT('Final Report'!A1658, "","")
         "&amp;"   ),
            'URL Details'!A:B,
            2,
            FALSE
          ),
          """"
        )
      )
    )
  ),
  1,
  1
)
"),"")</f>
        <v/>
      </c>
      <c r="C1658" s="105" t="str">
        <f>IFERROR(__xludf.DUMMYFUNCTION("IFERROR(IF('Final Report'!A1658="""","""", TEXTJOIN(CHAR(10), TRUE, ARRAYFORMULA( ""• ""&amp; FILTER( TRIM(FLATTEN(SPLIT( REGEXREPLACE( SUBSTITUTE(TEXTJOIN("","", TRUE, IFERROR(ARRAYFORMULA(VLOOKUP(TRIM(SPLIT('Final Report'!A1658, "","")), 'URL Details'!A:D, "&amp;"4, FALSE)),"""") ), CHAR(10), "",""), ""\s*,\s*"", "",""), "",""))), TRIM(FLATTEN(SPLIT( REGEXREPLACE( SUBSTITUTE(TEXTJOIN("","", TRUE, IFERROR(ARRAYFORMULA(VLOOKUP(TRIM(SPLIT('Final Report'!A1658, "","")), 'URL Details'!A:D, 4, FALSE)),"""") ), CHAR(10),"&amp;" "",""), ""\s*,\s*"", "",""), "","")))&lt;&gt;"""" ) ) ) ),"""")
"),"")</f>
        <v/>
      </c>
      <c r="D1658" s="105"/>
      <c r="E1658" s="105"/>
      <c r="F1658" s="110" t="b">
        <v>0</v>
      </c>
      <c r="G1658" s="105" t="str">
        <f>IF(F1658=True, IFERROR(VLOOKUP(D1658, Repository!A:B, 2, 0), ""), "")</f>
        <v/>
      </c>
      <c r="H1658" s="105"/>
      <c r="I1658" s="105"/>
      <c r="J1658" s="105" t="str">
        <f>IF(F1658=True, IFERROR(VLOOKUP(D1658, Repository!A:C, 3, 0), ""), "")</f>
        <v/>
      </c>
      <c r="K1658" s="105"/>
      <c r="L1658" s="105" t="str">
        <f>IF(F1658=True, IFERROR(VLOOKUP(D1658, Repository!A:E, 5, 0), ""), "")</f>
        <v/>
      </c>
      <c r="M1658" s="105"/>
      <c r="N1658" s="105" t="str">
        <f>IF(F1658=True, IFERROR(VLOOKUP(D1658, Repository!A:G, 7, 0), ""), "")</f>
        <v/>
      </c>
      <c r="O1658" s="105" t="str">
        <f>IFERROR(__xludf.DUMMYFUNCTION("ARRAY_CONSTRAIN(
  ARRAYFORMULA(
    IFERROR(
      LET(
        list, N1658,
        arr, TRIM(SPLIT(list, "","")),
        names, XLOOKUP(
          arr,
          'Conformance Score'!A:A,
          'Conformance Score'!B:B,
          ""Not found""
     "&amp;"   ),
        TEXTJOIN("", "", TRUE, names)
      ),
      """"
    )
  ),
  1,
  1
)
"),"")</f>
        <v/>
      </c>
      <c r="P1658" s="105" t="str">
        <f>IF(F1658="Yes", IFERROR(VLOOKUP(D1658, Repository!A:F, 6, 0), ""), "")</f>
        <v/>
      </c>
      <c r="Q1658" s="105" t="str">
        <f>IF(F1658="Yes", IFERROR(VLOOKUP(D1658, Repository!A:I, 8, 0), ""), "")</f>
        <v/>
      </c>
      <c r="R1658" s="105" t="str">
        <f>IF(F1658="Yes", IFERROR(VLOOKUP(D1658, Repository!A:J, 9, 0), ""), "")</f>
        <v/>
      </c>
      <c r="S1658" s="105"/>
      <c r="T1658" s="105"/>
      <c r="U1658" s="105"/>
      <c r="V1658" s="105"/>
      <c r="W1658" s="105"/>
      <c r="X1658" s="105"/>
      <c r="Y1658" s="105"/>
      <c r="Z1658" s="105"/>
      <c r="AA1658" s="105"/>
      <c r="AB1658" s="105"/>
      <c r="AC1658" s="91"/>
      <c r="AD1658" s="105"/>
      <c r="AE1658" s="105"/>
      <c r="AF1658" s="91"/>
      <c r="AG1658" s="105"/>
      <c r="AH1658" s="105"/>
      <c r="AI1658" s="105" t="str">
        <f t="shared" si="1"/>
        <v/>
      </c>
      <c r="AJ1658" s="108" t="str">
        <f t="shared" si="2"/>
        <v/>
      </c>
    </row>
    <row r="1659" ht="15.75" customHeight="1">
      <c r="A1659" s="104"/>
      <c r="B1659" s="105" t="str">
        <f>IFERROR(__xludf.DUMMYFUNCTION("ARRAY_CONSTRAIN(
  ARRAYFORMULA(
    IF(
      'Final Report'!A1659="""",
      """",
      TEXTJOIN(
        "", "" &amp; CHAR(10),
        TRUE,
        IFERROR(
          VLOOKUP(
            TRIM(
              SPLIT('Final Report'!A1659, "","")
         "&amp;"   ),
            'URL Details'!A:B,
            2,
            FALSE
          ),
          """"
        )
      )
    )
  ),
  1,
  1
)
"),"")</f>
        <v/>
      </c>
      <c r="C1659" s="105" t="str">
        <f>IFERROR(__xludf.DUMMYFUNCTION("IFERROR(IF('Final Report'!A1659="""","""", TEXTJOIN(CHAR(10), TRUE, ARRAYFORMULA( ""• ""&amp; FILTER( TRIM(FLATTEN(SPLIT( REGEXREPLACE( SUBSTITUTE(TEXTJOIN("","", TRUE, IFERROR(ARRAYFORMULA(VLOOKUP(TRIM(SPLIT('Final Report'!A1659, "","")), 'URL Details'!A:D, "&amp;"4, FALSE)),"""") ), CHAR(10), "",""), ""\s*,\s*"", "",""), "",""))), TRIM(FLATTEN(SPLIT( REGEXREPLACE( SUBSTITUTE(TEXTJOIN("","", TRUE, IFERROR(ARRAYFORMULA(VLOOKUP(TRIM(SPLIT('Final Report'!A1659, "","")), 'URL Details'!A:D, 4, FALSE)),"""") ), CHAR(10),"&amp;" "",""), ""\s*,\s*"", "",""), "","")))&lt;&gt;"""" ) ) ) ),"""")
"),"")</f>
        <v/>
      </c>
      <c r="D1659" s="105"/>
      <c r="E1659" s="105"/>
      <c r="F1659" s="110" t="b">
        <v>0</v>
      </c>
      <c r="G1659" s="105" t="str">
        <f>IF(F1659=True, IFERROR(VLOOKUP(D1659, Repository!A:B, 2, 0), ""), "")</f>
        <v/>
      </c>
      <c r="H1659" s="105"/>
      <c r="I1659" s="105"/>
      <c r="J1659" s="105" t="str">
        <f>IF(F1659=True, IFERROR(VLOOKUP(D1659, Repository!A:C, 3, 0), ""), "")</f>
        <v/>
      </c>
      <c r="K1659" s="105"/>
      <c r="L1659" s="105" t="str">
        <f>IF(F1659=True, IFERROR(VLOOKUP(D1659, Repository!A:E, 5, 0), ""), "")</f>
        <v/>
      </c>
      <c r="M1659" s="105"/>
      <c r="N1659" s="105" t="str">
        <f>IF(F1659=True, IFERROR(VLOOKUP(D1659, Repository!A:G, 7, 0), ""), "")</f>
        <v/>
      </c>
      <c r="O1659" s="105" t="str">
        <f>IFERROR(__xludf.DUMMYFUNCTION("ARRAY_CONSTRAIN(
  ARRAYFORMULA(
    IFERROR(
      LET(
        list, N1659,
        arr, TRIM(SPLIT(list, "","")),
        names, XLOOKUP(
          arr,
          'Conformance Score'!A:A,
          'Conformance Score'!B:B,
          ""Not found""
     "&amp;"   ),
        TEXTJOIN("", "", TRUE, names)
      ),
      """"
    )
  ),
  1,
  1
)
"),"")</f>
        <v/>
      </c>
      <c r="P1659" s="105" t="str">
        <f>IF(F1659="Yes", IFERROR(VLOOKUP(D1659, Repository!A:F, 6, 0), ""), "")</f>
        <v/>
      </c>
      <c r="Q1659" s="105" t="str">
        <f>IF(F1659="Yes", IFERROR(VLOOKUP(D1659, Repository!A:I, 8, 0), ""), "")</f>
        <v/>
      </c>
      <c r="R1659" s="105" t="str">
        <f>IF(F1659="Yes", IFERROR(VLOOKUP(D1659, Repository!A:J, 9, 0), ""), "")</f>
        <v/>
      </c>
      <c r="S1659" s="105"/>
      <c r="T1659" s="105"/>
      <c r="U1659" s="105"/>
      <c r="V1659" s="105"/>
      <c r="W1659" s="105"/>
      <c r="X1659" s="105"/>
      <c r="Y1659" s="105"/>
      <c r="Z1659" s="105"/>
      <c r="AA1659" s="105"/>
      <c r="AB1659" s="105"/>
      <c r="AC1659" s="91"/>
      <c r="AD1659" s="105"/>
      <c r="AE1659" s="105"/>
      <c r="AF1659" s="91"/>
      <c r="AG1659" s="105"/>
      <c r="AH1659" s="105"/>
      <c r="AI1659" s="105" t="str">
        <f t="shared" si="1"/>
        <v/>
      </c>
      <c r="AJ1659" s="108" t="str">
        <f t="shared" si="2"/>
        <v/>
      </c>
    </row>
    <row r="1660" ht="15.75" customHeight="1">
      <c r="A1660" s="104"/>
      <c r="B1660" s="105" t="str">
        <f>IFERROR(__xludf.DUMMYFUNCTION("ARRAY_CONSTRAIN(
  ARRAYFORMULA(
    IF(
      'Final Report'!A1660="""",
      """",
      TEXTJOIN(
        "", "" &amp; CHAR(10),
        TRUE,
        IFERROR(
          VLOOKUP(
            TRIM(
              SPLIT('Final Report'!A1660, "","")
         "&amp;"   ),
            'URL Details'!A:B,
            2,
            FALSE
          ),
          """"
        )
      )
    )
  ),
  1,
  1
)
"),"")</f>
        <v/>
      </c>
      <c r="C1660" s="105" t="str">
        <f>IFERROR(__xludf.DUMMYFUNCTION("IFERROR(IF('Final Report'!A1660="""","""", TEXTJOIN(CHAR(10), TRUE, ARRAYFORMULA( ""• ""&amp; FILTER( TRIM(FLATTEN(SPLIT( REGEXREPLACE( SUBSTITUTE(TEXTJOIN("","", TRUE, IFERROR(ARRAYFORMULA(VLOOKUP(TRIM(SPLIT('Final Report'!A1660, "","")), 'URL Details'!A:D, "&amp;"4, FALSE)),"""") ), CHAR(10), "",""), ""\s*,\s*"", "",""), "",""))), TRIM(FLATTEN(SPLIT( REGEXREPLACE( SUBSTITUTE(TEXTJOIN("","", TRUE, IFERROR(ARRAYFORMULA(VLOOKUP(TRIM(SPLIT('Final Report'!A1660, "","")), 'URL Details'!A:D, 4, FALSE)),"""") ), CHAR(10),"&amp;" "",""), ""\s*,\s*"", "",""), "","")))&lt;&gt;"""" ) ) ) ),"""")
"),"")</f>
        <v/>
      </c>
      <c r="D1660" s="105"/>
      <c r="E1660" s="105"/>
      <c r="F1660" s="110" t="b">
        <v>0</v>
      </c>
      <c r="G1660" s="105" t="str">
        <f>IF(F1660=True, IFERROR(VLOOKUP(D1660, Repository!A:B, 2, 0), ""), "")</f>
        <v/>
      </c>
      <c r="H1660" s="105"/>
      <c r="I1660" s="105"/>
      <c r="J1660" s="105" t="str">
        <f>IF(F1660=True, IFERROR(VLOOKUP(D1660, Repository!A:C, 3, 0), ""), "")</f>
        <v/>
      </c>
      <c r="K1660" s="105"/>
      <c r="L1660" s="105" t="str">
        <f>IF(F1660=True, IFERROR(VLOOKUP(D1660, Repository!A:E, 5, 0), ""), "")</f>
        <v/>
      </c>
      <c r="M1660" s="105"/>
      <c r="N1660" s="105" t="str">
        <f>IF(F1660=True, IFERROR(VLOOKUP(D1660, Repository!A:G, 7, 0), ""), "")</f>
        <v/>
      </c>
      <c r="O1660" s="105" t="str">
        <f>IFERROR(__xludf.DUMMYFUNCTION("ARRAY_CONSTRAIN(
  ARRAYFORMULA(
    IFERROR(
      LET(
        list, N1660,
        arr, TRIM(SPLIT(list, "","")),
        names, XLOOKUP(
          arr,
          'Conformance Score'!A:A,
          'Conformance Score'!B:B,
          ""Not found""
     "&amp;"   ),
        TEXTJOIN("", "", TRUE, names)
      ),
      """"
    )
  ),
  1,
  1
)
"),"")</f>
        <v/>
      </c>
      <c r="P1660" s="105" t="str">
        <f>IF(F1660="Yes", IFERROR(VLOOKUP(D1660, Repository!A:F, 6, 0), ""), "")</f>
        <v/>
      </c>
      <c r="Q1660" s="105" t="str">
        <f>IF(F1660="Yes", IFERROR(VLOOKUP(D1660, Repository!A:I, 8, 0), ""), "")</f>
        <v/>
      </c>
      <c r="R1660" s="105" t="str">
        <f>IF(F1660="Yes", IFERROR(VLOOKUP(D1660, Repository!A:J, 9, 0), ""), "")</f>
        <v/>
      </c>
      <c r="S1660" s="105"/>
      <c r="T1660" s="105"/>
      <c r="U1660" s="105"/>
      <c r="V1660" s="105"/>
      <c r="W1660" s="105"/>
      <c r="X1660" s="105"/>
      <c r="Y1660" s="105"/>
      <c r="Z1660" s="105"/>
      <c r="AA1660" s="105"/>
      <c r="AB1660" s="105"/>
      <c r="AC1660" s="91"/>
      <c r="AD1660" s="105"/>
      <c r="AE1660" s="105"/>
      <c r="AF1660" s="91"/>
      <c r="AG1660" s="105"/>
      <c r="AH1660" s="105"/>
      <c r="AI1660" s="105" t="str">
        <f t="shared" si="1"/>
        <v/>
      </c>
      <c r="AJ1660" s="108" t="str">
        <f t="shared" si="2"/>
        <v/>
      </c>
    </row>
    <row r="1661" ht="15.75" customHeight="1">
      <c r="A1661" s="104"/>
      <c r="B1661" s="105" t="str">
        <f>IFERROR(__xludf.DUMMYFUNCTION("ARRAY_CONSTRAIN(
  ARRAYFORMULA(
    IF(
      'Final Report'!A1661="""",
      """",
      TEXTJOIN(
        "", "" &amp; CHAR(10),
        TRUE,
        IFERROR(
          VLOOKUP(
            TRIM(
              SPLIT('Final Report'!A1661, "","")
         "&amp;"   ),
            'URL Details'!A:B,
            2,
            FALSE
          ),
          """"
        )
      )
    )
  ),
  1,
  1
)
"),"")</f>
        <v/>
      </c>
      <c r="C1661" s="105" t="str">
        <f>IFERROR(__xludf.DUMMYFUNCTION("IFERROR(IF('Final Report'!A1661="""","""", TEXTJOIN(CHAR(10), TRUE, ARRAYFORMULA( ""• ""&amp; FILTER( TRIM(FLATTEN(SPLIT( REGEXREPLACE( SUBSTITUTE(TEXTJOIN("","", TRUE, IFERROR(ARRAYFORMULA(VLOOKUP(TRIM(SPLIT('Final Report'!A1661, "","")), 'URL Details'!A:D, "&amp;"4, FALSE)),"""") ), CHAR(10), "",""), ""\s*,\s*"", "",""), "",""))), TRIM(FLATTEN(SPLIT( REGEXREPLACE( SUBSTITUTE(TEXTJOIN("","", TRUE, IFERROR(ARRAYFORMULA(VLOOKUP(TRIM(SPLIT('Final Report'!A1661, "","")), 'URL Details'!A:D, 4, FALSE)),"""") ), CHAR(10),"&amp;" "",""), ""\s*,\s*"", "",""), "","")))&lt;&gt;"""" ) ) ) ),"""")
"),"")</f>
        <v/>
      </c>
      <c r="D1661" s="105"/>
      <c r="E1661" s="105"/>
      <c r="F1661" s="110" t="b">
        <v>0</v>
      </c>
      <c r="G1661" s="105" t="str">
        <f>IF(F1661=True, IFERROR(VLOOKUP(D1661, Repository!A:B, 2, 0), ""), "")</f>
        <v/>
      </c>
      <c r="H1661" s="105"/>
      <c r="I1661" s="105"/>
      <c r="J1661" s="105" t="str">
        <f>IF(F1661=True, IFERROR(VLOOKUP(D1661, Repository!A:C, 3, 0), ""), "")</f>
        <v/>
      </c>
      <c r="K1661" s="105"/>
      <c r="L1661" s="105" t="str">
        <f>IF(F1661=True, IFERROR(VLOOKUP(D1661, Repository!A:E, 5, 0), ""), "")</f>
        <v/>
      </c>
      <c r="M1661" s="105"/>
      <c r="N1661" s="105" t="str">
        <f>IF(F1661=True, IFERROR(VLOOKUP(D1661, Repository!A:G, 7, 0), ""), "")</f>
        <v/>
      </c>
      <c r="O1661" s="105" t="str">
        <f>IFERROR(__xludf.DUMMYFUNCTION("ARRAY_CONSTRAIN(
  ARRAYFORMULA(
    IFERROR(
      LET(
        list, N1661,
        arr, TRIM(SPLIT(list, "","")),
        names, XLOOKUP(
          arr,
          'Conformance Score'!A:A,
          'Conformance Score'!B:B,
          ""Not found""
     "&amp;"   ),
        TEXTJOIN("", "", TRUE, names)
      ),
      """"
    )
  ),
  1,
  1
)
"),"")</f>
        <v/>
      </c>
      <c r="P1661" s="105" t="str">
        <f>IF(F1661="Yes", IFERROR(VLOOKUP(D1661, Repository!A:F, 6, 0), ""), "")</f>
        <v/>
      </c>
      <c r="Q1661" s="105" t="str">
        <f>IF(F1661="Yes", IFERROR(VLOOKUP(D1661, Repository!A:I, 8, 0), ""), "")</f>
        <v/>
      </c>
      <c r="R1661" s="105" t="str">
        <f>IF(F1661="Yes", IFERROR(VLOOKUP(D1661, Repository!A:J, 9, 0), ""), "")</f>
        <v/>
      </c>
      <c r="S1661" s="105"/>
      <c r="T1661" s="105"/>
      <c r="U1661" s="105"/>
      <c r="V1661" s="105"/>
      <c r="W1661" s="105"/>
      <c r="X1661" s="105"/>
      <c r="Y1661" s="105"/>
      <c r="Z1661" s="105"/>
      <c r="AA1661" s="105"/>
      <c r="AB1661" s="105"/>
      <c r="AC1661" s="91"/>
      <c r="AD1661" s="105"/>
      <c r="AE1661" s="105"/>
      <c r="AF1661" s="91"/>
      <c r="AG1661" s="105"/>
      <c r="AH1661" s="105"/>
      <c r="AI1661" s="105" t="str">
        <f t="shared" si="1"/>
        <v/>
      </c>
      <c r="AJ1661" s="108" t="str">
        <f t="shared" si="2"/>
        <v/>
      </c>
    </row>
    <row r="1662" ht="15.75" customHeight="1">
      <c r="A1662" s="104"/>
      <c r="B1662" s="105" t="str">
        <f>IFERROR(__xludf.DUMMYFUNCTION("ARRAY_CONSTRAIN(
  ARRAYFORMULA(
    IF(
      'Final Report'!A1662="""",
      """",
      TEXTJOIN(
        "", "" &amp; CHAR(10),
        TRUE,
        IFERROR(
          VLOOKUP(
            TRIM(
              SPLIT('Final Report'!A1662, "","")
         "&amp;"   ),
            'URL Details'!A:B,
            2,
            FALSE
          ),
          """"
        )
      )
    )
  ),
  1,
  1
)
"),"")</f>
        <v/>
      </c>
      <c r="C1662" s="105" t="str">
        <f>IFERROR(__xludf.DUMMYFUNCTION("IFERROR(IF('Final Report'!A1662="""","""", TEXTJOIN(CHAR(10), TRUE, ARRAYFORMULA( ""• ""&amp; FILTER( TRIM(FLATTEN(SPLIT( REGEXREPLACE( SUBSTITUTE(TEXTJOIN("","", TRUE, IFERROR(ARRAYFORMULA(VLOOKUP(TRIM(SPLIT('Final Report'!A1662, "","")), 'URL Details'!A:D, "&amp;"4, FALSE)),"""") ), CHAR(10), "",""), ""\s*,\s*"", "",""), "",""))), TRIM(FLATTEN(SPLIT( REGEXREPLACE( SUBSTITUTE(TEXTJOIN("","", TRUE, IFERROR(ARRAYFORMULA(VLOOKUP(TRIM(SPLIT('Final Report'!A1662, "","")), 'URL Details'!A:D, 4, FALSE)),"""") ), CHAR(10),"&amp;" "",""), ""\s*,\s*"", "",""), "","")))&lt;&gt;"""" ) ) ) ),"""")
"),"")</f>
        <v/>
      </c>
      <c r="D1662" s="105"/>
      <c r="E1662" s="105"/>
      <c r="F1662" s="110" t="b">
        <v>0</v>
      </c>
      <c r="G1662" s="105" t="str">
        <f>IF(F1662=True, IFERROR(VLOOKUP(D1662, Repository!A:B, 2, 0), ""), "")</f>
        <v/>
      </c>
      <c r="H1662" s="105"/>
      <c r="I1662" s="105"/>
      <c r="J1662" s="105" t="str">
        <f>IF(F1662=True, IFERROR(VLOOKUP(D1662, Repository!A:C, 3, 0), ""), "")</f>
        <v/>
      </c>
      <c r="K1662" s="105"/>
      <c r="L1662" s="105" t="str">
        <f>IF(F1662=True, IFERROR(VLOOKUP(D1662, Repository!A:E, 5, 0), ""), "")</f>
        <v/>
      </c>
      <c r="M1662" s="105"/>
      <c r="N1662" s="105" t="str">
        <f>IF(F1662=True, IFERROR(VLOOKUP(D1662, Repository!A:G, 7, 0), ""), "")</f>
        <v/>
      </c>
      <c r="O1662" s="105" t="str">
        <f>IFERROR(__xludf.DUMMYFUNCTION("ARRAY_CONSTRAIN(
  ARRAYFORMULA(
    IFERROR(
      LET(
        list, N1662,
        arr, TRIM(SPLIT(list, "","")),
        names, XLOOKUP(
          arr,
          'Conformance Score'!A:A,
          'Conformance Score'!B:B,
          ""Not found""
     "&amp;"   ),
        TEXTJOIN("", "", TRUE, names)
      ),
      """"
    )
  ),
  1,
  1
)
"),"")</f>
        <v/>
      </c>
      <c r="P1662" s="105" t="str">
        <f>IF(F1662="Yes", IFERROR(VLOOKUP(D1662, Repository!A:F, 6, 0), ""), "")</f>
        <v/>
      </c>
      <c r="Q1662" s="105" t="str">
        <f>IF(F1662="Yes", IFERROR(VLOOKUP(D1662, Repository!A:I, 8, 0), ""), "")</f>
        <v/>
      </c>
      <c r="R1662" s="105" t="str">
        <f>IF(F1662="Yes", IFERROR(VLOOKUP(D1662, Repository!A:J, 9, 0), ""), "")</f>
        <v/>
      </c>
      <c r="S1662" s="105"/>
      <c r="T1662" s="105"/>
      <c r="U1662" s="105"/>
      <c r="V1662" s="105"/>
      <c r="W1662" s="105"/>
      <c r="X1662" s="105"/>
      <c r="Y1662" s="105"/>
      <c r="Z1662" s="105"/>
      <c r="AA1662" s="105"/>
      <c r="AB1662" s="105"/>
      <c r="AC1662" s="91"/>
      <c r="AD1662" s="105"/>
      <c r="AE1662" s="105"/>
      <c r="AF1662" s="91"/>
      <c r="AG1662" s="105"/>
      <c r="AH1662" s="105"/>
      <c r="AI1662" s="105" t="str">
        <f t="shared" si="1"/>
        <v/>
      </c>
      <c r="AJ1662" s="108" t="str">
        <f t="shared" si="2"/>
        <v/>
      </c>
    </row>
    <row r="1663" ht="15.75" customHeight="1">
      <c r="A1663" s="104"/>
      <c r="B1663" s="105" t="str">
        <f>IFERROR(__xludf.DUMMYFUNCTION("ARRAY_CONSTRAIN(
  ARRAYFORMULA(
    IF(
      'Final Report'!A1663="""",
      """",
      TEXTJOIN(
        "", "" &amp; CHAR(10),
        TRUE,
        IFERROR(
          VLOOKUP(
            TRIM(
              SPLIT('Final Report'!A1663, "","")
         "&amp;"   ),
            'URL Details'!A:B,
            2,
            FALSE
          ),
          """"
        )
      )
    )
  ),
  1,
  1
)
"),"")</f>
        <v/>
      </c>
      <c r="C1663" s="105" t="str">
        <f>IFERROR(__xludf.DUMMYFUNCTION("IFERROR(IF('Final Report'!A1663="""","""", TEXTJOIN(CHAR(10), TRUE, ARRAYFORMULA( ""• ""&amp; FILTER( TRIM(FLATTEN(SPLIT( REGEXREPLACE( SUBSTITUTE(TEXTJOIN("","", TRUE, IFERROR(ARRAYFORMULA(VLOOKUP(TRIM(SPLIT('Final Report'!A1663, "","")), 'URL Details'!A:D, "&amp;"4, FALSE)),"""") ), CHAR(10), "",""), ""\s*,\s*"", "",""), "",""))), TRIM(FLATTEN(SPLIT( REGEXREPLACE( SUBSTITUTE(TEXTJOIN("","", TRUE, IFERROR(ARRAYFORMULA(VLOOKUP(TRIM(SPLIT('Final Report'!A1663, "","")), 'URL Details'!A:D, 4, FALSE)),"""") ), CHAR(10),"&amp;" "",""), ""\s*,\s*"", "",""), "","")))&lt;&gt;"""" ) ) ) ),"""")
"),"")</f>
        <v/>
      </c>
      <c r="D1663" s="105"/>
      <c r="E1663" s="105"/>
      <c r="F1663" s="110" t="b">
        <v>0</v>
      </c>
      <c r="G1663" s="105" t="str">
        <f>IF(F1663=True, IFERROR(VLOOKUP(D1663, Repository!A:B, 2, 0), ""), "")</f>
        <v/>
      </c>
      <c r="H1663" s="105"/>
      <c r="I1663" s="105"/>
      <c r="J1663" s="105" t="str">
        <f>IF(F1663=True, IFERROR(VLOOKUP(D1663, Repository!A:C, 3, 0), ""), "")</f>
        <v/>
      </c>
      <c r="K1663" s="105"/>
      <c r="L1663" s="105" t="str">
        <f>IF(F1663=True, IFERROR(VLOOKUP(D1663, Repository!A:E, 5, 0), ""), "")</f>
        <v/>
      </c>
      <c r="M1663" s="105"/>
      <c r="N1663" s="105" t="str">
        <f>IF(F1663=True, IFERROR(VLOOKUP(D1663, Repository!A:G, 7, 0), ""), "")</f>
        <v/>
      </c>
      <c r="O1663" s="105" t="str">
        <f>IFERROR(__xludf.DUMMYFUNCTION("ARRAY_CONSTRAIN(
  ARRAYFORMULA(
    IFERROR(
      LET(
        list, N1663,
        arr, TRIM(SPLIT(list, "","")),
        names, XLOOKUP(
          arr,
          'Conformance Score'!A:A,
          'Conformance Score'!B:B,
          ""Not found""
     "&amp;"   ),
        TEXTJOIN("", "", TRUE, names)
      ),
      """"
    )
  ),
  1,
  1
)
"),"")</f>
        <v/>
      </c>
      <c r="P1663" s="105" t="str">
        <f>IF(F1663="Yes", IFERROR(VLOOKUP(D1663, Repository!A:F, 6, 0), ""), "")</f>
        <v/>
      </c>
      <c r="Q1663" s="105" t="str">
        <f>IF(F1663="Yes", IFERROR(VLOOKUP(D1663, Repository!A:I, 8, 0), ""), "")</f>
        <v/>
      </c>
      <c r="R1663" s="105" t="str">
        <f>IF(F1663="Yes", IFERROR(VLOOKUP(D1663, Repository!A:J, 9, 0), ""), "")</f>
        <v/>
      </c>
      <c r="S1663" s="105"/>
      <c r="T1663" s="105"/>
      <c r="U1663" s="105"/>
      <c r="V1663" s="105"/>
      <c r="W1663" s="105"/>
      <c r="X1663" s="105"/>
      <c r="Y1663" s="105"/>
      <c r="Z1663" s="105"/>
      <c r="AA1663" s="105"/>
      <c r="AB1663" s="105"/>
      <c r="AC1663" s="91"/>
      <c r="AD1663" s="105"/>
      <c r="AE1663" s="105"/>
      <c r="AF1663" s="91"/>
      <c r="AG1663" s="105"/>
      <c r="AH1663" s="105"/>
      <c r="AI1663" s="105" t="str">
        <f t="shared" si="1"/>
        <v/>
      </c>
      <c r="AJ1663" s="108" t="str">
        <f t="shared" si="2"/>
        <v/>
      </c>
    </row>
    <row r="1664" ht="15.75" customHeight="1">
      <c r="A1664" s="104"/>
      <c r="B1664" s="105" t="str">
        <f>IFERROR(__xludf.DUMMYFUNCTION("ARRAY_CONSTRAIN(
  ARRAYFORMULA(
    IF(
      'Final Report'!A1664="""",
      """",
      TEXTJOIN(
        "", "" &amp; CHAR(10),
        TRUE,
        IFERROR(
          VLOOKUP(
            TRIM(
              SPLIT('Final Report'!A1664, "","")
         "&amp;"   ),
            'URL Details'!A:B,
            2,
            FALSE
          ),
          """"
        )
      )
    )
  ),
  1,
  1
)
"),"")</f>
        <v/>
      </c>
      <c r="C1664" s="105" t="str">
        <f>IFERROR(__xludf.DUMMYFUNCTION("IFERROR(IF('Final Report'!A1664="""","""", TEXTJOIN(CHAR(10), TRUE, ARRAYFORMULA( ""• ""&amp; FILTER( TRIM(FLATTEN(SPLIT( REGEXREPLACE( SUBSTITUTE(TEXTJOIN("","", TRUE, IFERROR(ARRAYFORMULA(VLOOKUP(TRIM(SPLIT('Final Report'!A1664, "","")), 'URL Details'!A:D, "&amp;"4, FALSE)),"""") ), CHAR(10), "",""), ""\s*,\s*"", "",""), "",""))), TRIM(FLATTEN(SPLIT( REGEXREPLACE( SUBSTITUTE(TEXTJOIN("","", TRUE, IFERROR(ARRAYFORMULA(VLOOKUP(TRIM(SPLIT('Final Report'!A1664, "","")), 'URL Details'!A:D, 4, FALSE)),"""") ), CHAR(10),"&amp;" "",""), ""\s*,\s*"", "",""), "","")))&lt;&gt;"""" ) ) ) ),"""")
"),"")</f>
        <v/>
      </c>
      <c r="D1664" s="105"/>
      <c r="E1664" s="105"/>
      <c r="F1664" s="110" t="b">
        <v>0</v>
      </c>
      <c r="G1664" s="105" t="str">
        <f>IF(F1664=True, IFERROR(VLOOKUP(D1664, Repository!A:B, 2, 0), ""), "")</f>
        <v/>
      </c>
      <c r="H1664" s="105"/>
      <c r="I1664" s="105"/>
      <c r="J1664" s="105" t="str">
        <f>IF(F1664=True, IFERROR(VLOOKUP(D1664, Repository!A:C, 3, 0), ""), "")</f>
        <v/>
      </c>
      <c r="K1664" s="105"/>
      <c r="L1664" s="105" t="str">
        <f>IF(F1664=True, IFERROR(VLOOKUP(D1664, Repository!A:E, 5, 0), ""), "")</f>
        <v/>
      </c>
      <c r="M1664" s="105"/>
      <c r="N1664" s="105" t="str">
        <f>IF(F1664=True, IFERROR(VLOOKUP(D1664, Repository!A:G, 7, 0), ""), "")</f>
        <v/>
      </c>
      <c r="O1664" s="105" t="str">
        <f>IFERROR(__xludf.DUMMYFUNCTION("ARRAY_CONSTRAIN(
  ARRAYFORMULA(
    IFERROR(
      LET(
        list, N1664,
        arr, TRIM(SPLIT(list, "","")),
        names, XLOOKUP(
          arr,
          'Conformance Score'!A:A,
          'Conformance Score'!B:B,
          ""Not found""
     "&amp;"   ),
        TEXTJOIN("", "", TRUE, names)
      ),
      """"
    )
  ),
  1,
  1
)
"),"")</f>
        <v/>
      </c>
      <c r="P1664" s="105" t="str">
        <f>IF(F1664="Yes", IFERROR(VLOOKUP(D1664, Repository!A:F, 6, 0), ""), "")</f>
        <v/>
      </c>
      <c r="Q1664" s="105" t="str">
        <f>IF(F1664="Yes", IFERROR(VLOOKUP(D1664, Repository!A:I, 8, 0), ""), "")</f>
        <v/>
      </c>
      <c r="R1664" s="105" t="str">
        <f>IF(F1664="Yes", IFERROR(VLOOKUP(D1664, Repository!A:J, 9, 0), ""), "")</f>
        <v/>
      </c>
      <c r="S1664" s="105"/>
      <c r="T1664" s="105"/>
      <c r="U1664" s="105"/>
      <c r="V1664" s="105"/>
      <c r="W1664" s="105"/>
      <c r="X1664" s="105"/>
      <c r="Y1664" s="105"/>
      <c r="Z1664" s="105"/>
      <c r="AA1664" s="105"/>
      <c r="AB1664" s="105"/>
      <c r="AC1664" s="91"/>
      <c r="AD1664" s="105"/>
      <c r="AE1664" s="105"/>
      <c r="AF1664" s="91"/>
      <c r="AG1664" s="105"/>
      <c r="AH1664" s="105"/>
      <c r="AI1664" s="105" t="str">
        <f t="shared" si="1"/>
        <v/>
      </c>
      <c r="AJ1664" s="108" t="str">
        <f t="shared" si="2"/>
        <v/>
      </c>
    </row>
    <row r="1665" ht="15.75" customHeight="1">
      <c r="A1665" s="104"/>
      <c r="B1665" s="105" t="str">
        <f>IFERROR(__xludf.DUMMYFUNCTION("ARRAY_CONSTRAIN(
  ARRAYFORMULA(
    IF(
      'Final Report'!A1665="""",
      """",
      TEXTJOIN(
        "", "" &amp; CHAR(10),
        TRUE,
        IFERROR(
          VLOOKUP(
            TRIM(
              SPLIT('Final Report'!A1665, "","")
         "&amp;"   ),
            'URL Details'!A:B,
            2,
            FALSE
          ),
          """"
        )
      )
    )
  ),
  1,
  1
)
"),"")</f>
        <v/>
      </c>
      <c r="C1665" s="105" t="str">
        <f>IFERROR(__xludf.DUMMYFUNCTION("IFERROR(IF('Final Report'!A1665="""","""", TEXTJOIN(CHAR(10), TRUE, ARRAYFORMULA( ""• ""&amp; FILTER( TRIM(FLATTEN(SPLIT( REGEXREPLACE( SUBSTITUTE(TEXTJOIN("","", TRUE, IFERROR(ARRAYFORMULA(VLOOKUP(TRIM(SPLIT('Final Report'!A1665, "","")), 'URL Details'!A:D, "&amp;"4, FALSE)),"""") ), CHAR(10), "",""), ""\s*,\s*"", "",""), "",""))), TRIM(FLATTEN(SPLIT( REGEXREPLACE( SUBSTITUTE(TEXTJOIN("","", TRUE, IFERROR(ARRAYFORMULA(VLOOKUP(TRIM(SPLIT('Final Report'!A1665, "","")), 'URL Details'!A:D, 4, FALSE)),"""") ), CHAR(10),"&amp;" "",""), ""\s*,\s*"", "",""), "","")))&lt;&gt;"""" ) ) ) ),"""")
"),"")</f>
        <v/>
      </c>
      <c r="D1665" s="105"/>
      <c r="E1665" s="105"/>
      <c r="F1665" s="110" t="b">
        <v>0</v>
      </c>
      <c r="G1665" s="105" t="str">
        <f>IF(F1665=True, IFERROR(VLOOKUP(D1665, Repository!A:B, 2, 0), ""), "")</f>
        <v/>
      </c>
      <c r="H1665" s="105"/>
      <c r="I1665" s="105"/>
      <c r="J1665" s="105" t="str">
        <f>IF(F1665=True, IFERROR(VLOOKUP(D1665, Repository!A:C, 3, 0), ""), "")</f>
        <v/>
      </c>
      <c r="K1665" s="105"/>
      <c r="L1665" s="105" t="str">
        <f>IF(F1665=True, IFERROR(VLOOKUP(D1665, Repository!A:E, 5, 0), ""), "")</f>
        <v/>
      </c>
      <c r="M1665" s="105"/>
      <c r="N1665" s="105" t="str">
        <f>IF(F1665=True, IFERROR(VLOOKUP(D1665, Repository!A:G, 7, 0), ""), "")</f>
        <v/>
      </c>
      <c r="O1665" s="105" t="str">
        <f>IFERROR(__xludf.DUMMYFUNCTION("ARRAY_CONSTRAIN(
  ARRAYFORMULA(
    IFERROR(
      LET(
        list, N1665,
        arr, TRIM(SPLIT(list, "","")),
        names, XLOOKUP(
          arr,
          'Conformance Score'!A:A,
          'Conformance Score'!B:B,
          ""Not found""
     "&amp;"   ),
        TEXTJOIN("", "", TRUE, names)
      ),
      """"
    )
  ),
  1,
  1
)
"),"")</f>
        <v/>
      </c>
      <c r="P1665" s="105" t="str">
        <f>IF(F1665="Yes", IFERROR(VLOOKUP(D1665, Repository!A:F, 6, 0), ""), "")</f>
        <v/>
      </c>
      <c r="Q1665" s="105" t="str">
        <f>IF(F1665="Yes", IFERROR(VLOOKUP(D1665, Repository!A:I, 8, 0), ""), "")</f>
        <v/>
      </c>
      <c r="R1665" s="105" t="str">
        <f>IF(F1665="Yes", IFERROR(VLOOKUP(D1665, Repository!A:J, 9, 0), ""), "")</f>
        <v/>
      </c>
      <c r="S1665" s="105"/>
      <c r="T1665" s="105"/>
      <c r="U1665" s="105"/>
      <c r="V1665" s="105"/>
      <c r="W1665" s="105"/>
      <c r="X1665" s="105"/>
      <c r="Y1665" s="105"/>
      <c r="Z1665" s="105"/>
      <c r="AA1665" s="105"/>
      <c r="AB1665" s="105"/>
      <c r="AC1665" s="91"/>
      <c r="AD1665" s="105"/>
      <c r="AE1665" s="105"/>
      <c r="AF1665" s="91"/>
      <c r="AG1665" s="105"/>
      <c r="AH1665" s="105"/>
      <c r="AI1665" s="105" t="str">
        <f t="shared" si="1"/>
        <v/>
      </c>
      <c r="AJ1665" s="108" t="str">
        <f t="shared" si="2"/>
        <v/>
      </c>
    </row>
    <row r="1666" ht="15.75" customHeight="1">
      <c r="A1666" s="104"/>
      <c r="B1666" s="105" t="str">
        <f>IFERROR(__xludf.DUMMYFUNCTION("ARRAY_CONSTRAIN(
  ARRAYFORMULA(
    IF(
      'Final Report'!A1666="""",
      """",
      TEXTJOIN(
        "", "" &amp; CHAR(10),
        TRUE,
        IFERROR(
          VLOOKUP(
            TRIM(
              SPLIT('Final Report'!A1666, "","")
         "&amp;"   ),
            'URL Details'!A:B,
            2,
            FALSE
          ),
          """"
        )
      )
    )
  ),
  1,
  1
)
"),"")</f>
        <v/>
      </c>
      <c r="C1666" s="105" t="str">
        <f>IFERROR(__xludf.DUMMYFUNCTION("IFERROR(IF('Final Report'!A1666="""","""", TEXTJOIN(CHAR(10), TRUE, ARRAYFORMULA( ""• ""&amp; FILTER( TRIM(FLATTEN(SPLIT( REGEXREPLACE( SUBSTITUTE(TEXTJOIN("","", TRUE, IFERROR(ARRAYFORMULA(VLOOKUP(TRIM(SPLIT('Final Report'!A1666, "","")), 'URL Details'!A:D, "&amp;"4, FALSE)),"""") ), CHAR(10), "",""), ""\s*,\s*"", "",""), "",""))), TRIM(FLATTEN(SPLIT( REGEXREPLACE( SUBSTITUTE(TEXTJOIN("","", TRUE, IFERROR(ARRAYFORMULA(VLOOKUP(TRIM(SPLIT('Final Report'!A1666, "","")), 'URL Details'!A:D, 4, FALSE)),"""") ), CHAR(10),"&amp;" "",""), ""\s*,\s*"", "",""), "","")))&lt;&gt;"""" ) ) ) ),"""")
"),"")</f>
        <v/>
      </c>
      <c r="D1666" s="105"/>
      <c r="E1666" s="105"/>
      <c r="F1666" s="110" t="b">
        <v>0</v>
      </c>
      <c r="G1666" s="105" t="str">
        <f>IF(F1666=True, IFERROR(VLOOKUP(D1666, Repository!A:B, 2, 0), ""), "")</f>
        <v/>
      </c>
      <c r="H1666" s="105"/>
      <c r="I1666" s="105"/>
      <c r="J1666" s="105" t="str">
        <f>IF(F1666=True, IFERROR(VLOOKUP(D1666, Repository!A:C, 3, 0), ""), "")</f>
        <v/>
      </c>
      <c r="K1666" s="105"/>
      <c r="L1666" s="105" t="str">
        <f>IF(F1666=True, IFERROR(VLOOKUP(D1666, Repository!A:E, 5, 0), ""), "")</f>
        <v/>
      </c>
      <c r="M1666" s="105"/>
      <c r="N1666" s="105" t="str">
        <f>IF(F1666=True, IFERROR(VLOOKUP(D1666, Repository!A:G, 7, 0), ""), "")</f>
        <v/>
      </c>
      <c r="O1666" s="105" t="str">
        <f>IFERROR(__xludf.DUMMYFUNCTION("ARRAY_CONSTRAIN(
  ARRAYFORMULA(
    IFERROR(
      LET(
        list, N1666,
        arr, TRIM(SPLIT(list, "","")),
        names, XLOOKUP(
          arr,
          'Conformance Score'!A:A,
          'Conformance Score'!B:B,
          ""Not found""
     "&amp;"   ),
        TEXTJOIN("", "", TRUE, names)
      ),
      """"
    )
  ),
  1,
  1
)
"),"")</f>
        <v/>
      </c>
      <c r="P1666" s="105" t="str">
        <f>IF(F1666="Yes", IFERROR(VLOOKUP(D1666, Repository!A:F, 6, 0), ""), "")</f>
        <v/>
      </c>
      <c r="Q1666" s="105" t="str">
        <f>IF(F1666="Yes", IFERROR(VLOOKUP(D1666, Repository!A:I, 8, 0), ""), "")</f>
        <v/>
      </c>
      <c r="R1666" s="105" t="str">
        <f>IF(F1666="Yes", IFERROR(VLOOKUP(D1666, Repository!A:J, 9, 0), ""), "")</f>
        <v/>
      </c>
      <c r="S1666" s="105"/>
      <c r="T1666" s="105"/>
      <c r="U1666" s="105"/>
      <c r="V1666" s="105"/>
      <c r="W1666" s="105"/>
      <c r="X1666" s="105"/>
      <c r="Y1666" s="105"/>
      <c r="Z1666" s="105"/>
      <c r="AA1666" s="105"/>
      <c r="AB1666" s="105"/>
      <c r="AC1666" s="91"/>
      <c r="AD1666" s="105"/>
      <c r="AE1666" s="105"/>
      <c r="AF1666" s="91"/>
      <c r="AG1666" s="105"/>
      <c r="AH1666" s="105"/>
      <c r="AI1666" s="105" t="str">
        <f t="shared" si="1"/>
        <v/>
      </c>
      <c r="AJ1666" s="108" t="str">
        <f t="shared" si="2"/>
        <v/>
      </c>
    </row>
    <row r="1667" ht="15.75" customHeight="1">
      <c r="A1667" s="104"/>
      <c r="B1667" s="105" t="str">
        <f>IFERROR(__xludf.DUMMYFUNCTION("ARRAY_CONSTRAIN(
  ARRAYFORMULA(
    IF(
      'Final Report'!A1667="""",
      """",
      TEXTJOIN(
        "", "" &amp; CHAR(10),
        TRUE,
        IFERROR(
          VLOOKUP(
            TRIM(
              SPLIT('Final Report'!A1667, "","")
         "&amp;"   ),
            'URL Details'!A:B,
            2,
            FALSE
          ),
          """"
        )
      )
    )
  ),
  1,
  1
)
"),"")</f>
        <v/>
      </c>
      <c r="C1667" s="105" t="str">
        <f>IFERROR(__xludf.DUMMYFUNCTION("IFERROR(IF('Final Report'!A1667="""","""", TEXTJOIN(CHAR(10), TRUE, ARRAYFORMULA( ""• ""&amp; FILTER( TRIM(FLATTEN(SPLIT( REGEXREPLACE( SUBSTITUTE(TEXTJOIN("","", TRUE, IFERROR(ARRAYFORMULA(VLOOKUP(TRIM(SPLIT('Final Report'!A1667, "","")), 'URL Details'!A:D, "&amp;"4, FALSE)),"""") ), CHAR(10), "",""), ""\s*,\s*"", "",""), "",""))), TRIM(FLATTEN(SPLIT( REGEXREPLACE( SUBSTITUTE(TEXTJOIN("","", TRUE, IFERROR(ARRAYFORMULA(VLOOKUP(TRIM(SPLIT('Final Report'!A1667, "","")), 'URL Details'!A:D, 4, FALSE)),"""") ), CHAR(10),"&amp;" "",""), ""\s*,\s*"", "",""), "","")))&lt;&gt;"""" ) ) ) ),"""")
"),"")</f>
        <v/>
      </c>
      <c r="D1667" s="105"/>
      <c r="E1667" s="105"/>
      <c r="F1667" s="110" t="b">
        <v>0</v>
      </c>
      <c r="G1667" s="105" t="str">
        <f>IF(F1667=True, IFERROR(VLOOKUP(D1667, Repository!A:B, 2, 0), ""), "")</f>
        <v/>
      </c>
      <c r="H1667" s="105"/>
      <c r="I1667" s="105"/>
      <c r="J1667" s="105" t="str">
        <f>IF(F1667=True, IFERROR(VLOOKUP(D1667, Repository!A:C, 3, 0), ""), "")</f>
        <v/>
      </c>
      <c r="K1667" s="105"/>
      <c r="L1667" s="105" t="str">
        <f>IF(F1667=True, IFERROR(VLOOKUP(D1667, Repository!A:E, 5, 0), ""), "")</f>
        <v/>
      </c>
      <c r="M1667" s="105"/>
      <c r="N1667" s="105" t="str">
        <f>IF(F1667=True, IFERROR(VLOOKUP(D1667, Repository!A:G, 7, 0), ""), "")</f>
        <v/>
      </c>
      <c r="O1667" s="105" t="str">
        <f>IFERROR(__xludf.DUMMYFUNCTION("ARRAY_CONSTRAIN(
  ARRAYFORMULA(
    IFERROR(
      LET(
        list, N1667,
        arr, TRIM(SPLIT(list, "","")),
        names, XLOOKUP(
          arr,
          'Conformance Score'!A:A,
          'Conformance Score'!B:B,
          ""Not found""
     "&amp;"   ),
        TEXTJOIN("", "", TRUE, names)
      ),
      """"
    )
  ),
  1,
  1
)
"),"")</f>
        <v/>
      </c>
      <c r="P1667" s="105" t="str">
        <f>IF(F1667="Yes", IFERROR(VLOOKUP(D1667, Repository!A:F, 6, 0), ""), "")</f>
        <v/>
      </c>
      <c r="Q1667" s="105" t="str">
        <f>IF(F1667="Yes", IFERROR(VLOOKUP(D1667, Repository!A:I, 8, 0), ""), "")</f>
        <v/>
      </c>
      <c r="R1667" s="105" t="str">
        <f>IF(F1667="Yes", IFERROR(VLOOKUP(D1667, Repository!A:J, 9, 0), ""), "")</f>
        <v/>
      </c>
      <c r="S1667" s="105"/>
      <c r="T1667" s="105"/>
      <c r="U1667" s="105"/>
      <c r="V1667" s="105"/>
      <c r="W1667" s="105"/>
      <c r="X1667" s="105"/>
      <c r="Y1667" s="105"/>
      <c r="Z1667" s="105"/>
      <c r="AA1667" s="105"/>
      <c r="AB1667" s="105"/>
      <c r="AC1667" s="91"/>
      <c r="AD1667" s="105"/>
      <c r="AE1667" s="105"/>
      <c r="AF1667" s="91"/>
      <c r="AG1667" s="105"/>
      <c r="AH1667" s="105"/>
      <c r="AI1667" s="105" t="str">
        <f t="shared" si="1"/>
        <v/>
      </c>
      <c r="AJ1667" s="108" t="str">
        <f t="shared" si="2"/>
        <v/>
      </c>
    </row>
    <row r="1668" ht="15.75" customHeight="1">
      <c r="A1668" s="104"/>
      <c r="B1668" s="105" t="str">
        <f>IFERROR(__xludf.DUMMYFUNCTION("ARRAY_CONSTRAIN(
  ARRAYFORMULA(
    IF(
      'Final Report'!A1668="""",
      """",
      TEXTJOIN(
        "", "" &amp; CHAR(10),
        TRUE,
        IFERROR(
          VLOOKUP(
            TRIM(
              SPLIT('Final Report'!A1668, "","")
         "&amp;"   ),
            'URL Details'!A:B,
            2,
            FALSE
          ),
          """"
        )
      )
    )
  ),
  1,
  1
)
"),"")</f>
        <v/>
      </c>
      <c r="C1668" s="105" t="str">
        <f>IFERROR(__xludf.DUMMYFUNCTION("IFERROR(IF('Final Report'!A1668="""","""", TEXTJOIN(CHAR(10), TRUE, ARRAYFORMULA( ""• ""&amp; FILTER( TRIM(FLATTEN(SPLIT( REGEXREPLACE( SUBSTITUTE(TEXTJOIN("","", TRUE, IFERROR(ARRAYFORMULA(VLOOKUP(TRIM(SPLIT('Final Report'!A1668, "","")), 'URL Details'!A:D, "&amp;"4, FALSE)),"""") ), CHAR(10), "",""), ""\s*,\s*"", "",""), "",""))), TRIM(FLATTEN(SPLIT( REGEXREPLACE( SUBSTITUTE(TEXTJOIN("","", TRUE, IFERROR(ARRAYFORMULA(VLOOKUP(TRIM(SPLIT('Final Report'!A1668, "","")), 'URL Details'!A:D, 4, FALSE)),"""") ), CHAR(10),"&amp;" "",""), ""\s*,\s*"", "",""), "","")))&lt;&gt;"""" ) ) ) ),"""")
"),"")</f>
        <v/>
      </c>
      <c r="D1668" s="105"/>
      <c r="E1668" s="105"/>
      <c r="F1668" s="110" t="b">
        <v>0</v>
      </c>
      <c r="G1668" s="105" t="str">
        <f>IF(F1668=True, IFERROR(VLOOKUP(D1668, Repository!A:B, 2, 0), ""), "")</f>
        <v/>
      </c>
      <c r="H1668" s="105"/>
      <c r="I1668" s="105"/>
      <c r="J1668" s="105" t="str">
        <f>IF(F1668=True, IFERROR(VLOOKUP(D1668, Repository!A:C, 3, 0), ""), "")</f>
        <v/>
      </c>
      <c r="K1668" s="105"/>
      <c r="L1668" s="105" t="str">
        <f>IF(F1668=True, IFERROR(VLOOKUP(D1668, Repository!A:E, 5, 0), ""), "")</f>
        <v/>
      </c>
      <c r="M1668" s="105"/>
      <c r="N1668" s="105" t="str">
        <f>IF(F1668=True, IFERROR(VLOOKUP(D1668, Repository!A:G, 7, 0), ""), "")</f>
        <v/>
      </c>
      <c r="O1668" s="105" t="str">
        <f>IFERROR(__xludf.DUMMYFUNCTION("ARRAY_CONSTRAIN(
  ARRAYFORMULA(
    IFERROR(
      LET(
        list, N1668,
        arr, TRIM(SPLIT(list, "","")),
        names, XLOOKUP(
          arr,
          'Conformance Score'!A:A,
          'Conformance Score'!B:B,
          ""Not found""
     "&amp;"   ),
        TEXTJOIN("", "", TRUE, names)
      ),
      """"
    )
  ),
  1,
  1
)
"),"")</f>
        <v/>
      </c>
      <c r="P1668" s="105" t="str">
        <f>IF(F1668="Yes", IFERROR(VLOOKUP(D1668, Repository!A:F, 6, 0), ""), "")</f>
        <v/>
      </c>
      <c r="Q1668" s="105" t="str">
        <f>IF(F1668="Yes", IFERROR(VLOOKUP(D1668, Repository!A:I, 8, 0), ""), "")</f>
        <v/>
      </c>
      <c r="R1668" s="105" t="str">
        <f>IF(F1668="Yes", IFERROR(VLOOKUP(D1668, Repository!A:J, 9, 0), ""), "")</f>
        <v/>
      </c>
      <c r="S1668" s="105"/>
      <c r="T1668" s="105"/>
      <c r="U1668" s="105"/>
      <c r="V1668" s="105"/>
      <c r="W1668" s="105"/>
      <c r="X1668" s="105"/>
      <c r="Y1668" s="105"/>
      <c r="Z1668" s="105"/>
      <c r="AA1668" s="105"/>
      <c r="AB1668" s="105"/>
      <c r="AC1668" s="91"/>
      <c r="AD1668" s="105"/>
      <c r="AE1668" s="105"/>
      <c r="AF1668" s="91"/>
      <c r="AG1668" s="105"/>
      <c r="AH1668" s="105"/>
      <c r="AI1668" s="105" t="str">
        <f t="shared" si="1"/>
        <v/>
      </c>
      <c r="AJ1668" s="108" t="str">
        <f t="shared" si="2"/>
        <v/>
      </c>
    </row>
    <row r="1669" ht="15.75" customHeight="1">
      <c r="A1669" s="104"/>
      <c r="B1669" s="105" t="str">
        <f>IFERROR(__xludf.DUMMYFUNCTION("ARRAY_CONSTRAIN(
  ARRAYFORMULA(
    IF(
      'Final Report'!A1669="""",
      """",
      TEXTJOIN(
        "", "" &amp; CHAR(10),
        TRUE,
        IFERROR(
          VLOOKUP(
            TRIM(
              SPLIT('Final Report'!A1669, "","")
         "&amp;"   ),
            'URL Details'!A:B,
            2,
            FALSE
          ),
          """"
        )
      )
    )
  ),
  1,
  1
)
"),"")</f>
        <v/>
      </c>
      <c r="C1669" s="105" t="str">
        <f>IFERROR(__xludf.DUMMYFUNCTION("IFERROR(IF('Final Report'!A1669="""","""", TEXTJOIN(CHAR(10), TRUE, ARRAYFORMULA( ""• ""&amp; FILTER( TRIM(FLATTEN(SPLIT( REGEXREPLACE( SUBSTITUTE(TEXTJOIN("","", TRUE, IFERROR(ARRAYFORMULA(VLOOKUP(TRIM(SPLIT('Final Report'!A1669, "","")), 'URL Details'!A:D, "&amp;"4, FALSE)),"""") ), CHAR(10), "",""), ""\s*,\s*"", "",""), "",""))), TRIM(FLATTEN(SPLIT( REGEXREPLACE( SUBSTITUTE(TEXTJOIN("","", TRUE, IFERROR(ARRAYFORMULA(VLOOKUP(TRIM(SPLIT('Final Report'!A1669, "","")), 'URL Details'!A:D, 4, FALSE)),"""") ), CHAR(10),"&amp;" "",""), ""\s*,\s*"", "",""), "","")))&lt;&gt;"""" ) ) ) ),"""")
"),"")</f>
        <v/>
      </c>
      <c r="D1669" s="105"/>
      <c r="E1669" s="105"/>
      <c r="F1669" s="110" t="b">
        <v>0</v>
      </c>
      <c r="G1669" s="105" t="str">
        <f>IF(F1669=True, IFERROR(VLOOKUP(D1669, Repository!A:B, 2, 0), ""), "")</f>
        <v/>
      </c>
      <c r="H1669" s="105"/>
      <c r="I1669" s="105"/>
      <c r="J1669" s="105" t="str">
        <f>IF(F1669=True, IFERROR(VLOOKUP(D1669, Repository!A:C, 3, 0), ""), "")</f>
        <v/>
      </c>
      <c r="K1669" s="105"/>
      <c r="L1669" s="105" t="str">
        <f>IF(F1669=True, IFERROR(VLOOKUP(D1669, Repository!A:E, 5, 0), ""), "")</f>
        <v/>
      </c>
      <c r="M1669" s="105"/>
      <c r="N1669" s="105" t="str">
        <f>IF(F1669=True, IFERROR(VLOOKUP(D1669, Repository!A:G, 7, 0), ""), "")</f>
        <v/>
      </c>
      <c r="O1669" s="105" t="str">
        <f>IFERROR(__xludf.DUMMYFUNCTION("ARRAY_CONSTRAIN(
  ARRAYFORMULA(
    IFERROR(
      LET(
        list, N1669,
        arr, TRIM(SPLIT(list, "","")),
        names, XLOOKUP(
          arr,
          'Conformance Score'!A:A,
          'Conformance Score'!B:B,
          ""Not found""
     "&amp;"   ),
        TEXTJOIN("", "", TRUE, names)
      ),
      """"
    )
  ),
  1,
  1
)
"),"")</f>
        <v/>
      </c>
      <c r="P1669" s="105" t="str">
        <f>IF(F1669="Yes", IFERROR(VLOOKUP(D1669, Repository!A:F, 6, 0), ""), "")</f>
        <v/>
      </c>
      <c r="Q1669" s="105" t="str">
        <f>IF(F1669="Yes", IFERROR(VLOOKUP(D1669, Repository!A:I, 8, 0), ""), "")</f>
        <v/>
      </c>
      <c r="R1669" s="105" t="str">
        <f>IF(F1669="Yes", IFERROR(VLOOKUP(D1669, Repository!A:J, 9, 0), ""), "")</f>
        <v/>
      </c>
      <c r="S1669" s="105"/>
      <c r="T1669" s="105"/>
      <c r="U1669" s="105"/>
      <c r="V1669" s="105"/>
      <c r="W1669" s="105"/>
      <c r="X1669" s="105"/>
      <c r="Y1669" s="105"/>
      <c r="Z1669" s="105"/>
      <c r="AA1669" s="105"/>
      <c r="AB1669" s="105"/>
      <c r="AC1669" s="91"/>
      <c r="AD1669" s="105"/>
      <c r="AE1669" s="105"/>
      <c r="AF1669" s="91"/>
      <c r="AG1669" s="105"/>
      <c r="AH1669" s="105"/>
      <c r="AI1669" s="105" t="str">
        <f t="shared" si="1"/>
        <v/>
      </c>
      <c r="AJ1669" s="108" t="str">
        <f t="shared" si="2"/>
        <v/>
      </c>
    </row>
    <row r="1670" ht="15.75" customHeight="1">
      <c r="A1670" s="104"/>
      <c r="B1670" s="105" t="str">
        <f>IFERROR(__xludf.DUMMYFUNCTION("ARRAY_CONSTRAIN(
  ARRAYFORMULA(
    IF(
      'Final Report'!A1670="""",
      """",
      TEXTJOIN(
        "", "" &amp; CHAR(10),
        TRUE,
        IFERROR(
          VLOOKUP(
            TRIM(
              SPLIT('Final Report'!A1670, "","")
         "&amp;"   ),
            'URL Details'!A:B,
            2,
            FALSE
          ),
          """"
        )
      )
    )
  ),
  1,
  1
)
"),"")</f>
        <v/>
      </c>
      <c r="C1670" s="105" t="str">
        <f>IFERROR(__xludf.DUMMYFUNCTION("IFERROR(IF('Final Report'!A1670="""","""", TEXTJOIN(CHAR(10), TRUE, ARRAYFORMULA( ""• ""&amp; FILTER( TRIM(FLATTEN(SPLIT( REGEXREPLACE( SUBSTITUTE(TEXTJOIN("","", TRUE, IFERROR(ARRAYFORMULA(VLOOKUP(TRIM(SPLIT('Final Report'!A1670, "","")), 'URL Details'!A:D, "&amp;"4, FALSE)),"""") ), CHAR(10), "",""), ""\s*,\s*"", "",""), "",""))), TRIM(FLATTEN(SPLIT( REGEXREPLACE( SUBSTITUTE(TEXTJOIN("","", TRUE, IFERROR(ARRAYFORMULA(VLOOKUP(TRIM(SPLIT('Final Report'!A1670, "","")), 'URL Details'!A:D, 4, FALSE)),"""") ), CHAR(10),"&amp;" "",""), ""\s*,\s*"", "",""), "","")))&lt;&gt;"""" ) ) ) ),"""")
"),"")</f>
        <v/>
      </c>
      <c r="D1670" s="105"/>
      <c r="E1670" s="105"/>
      <c r="F1670" s="110" t="b">
        <v>0</v>
      </c>
      <c r="G1670" s="105" t="str">
        <f>IF(F1670=True, IFERROR(VLOOKUP(D1670, Repository!A:B, 2, 0), ""), "")</f>
        <v/>
      </c>
      <c r="H1670" s="105"/>
      <c r="I1670" s="105"/>
      <c r="J1670" s="105" t="str">
        <f>IF(F1670=True, IFERROR(VLOOKUP(D1670, Repository!A:C, 3, 0), ""), "")</f>
        <v/>
      </c>
      <c r="K1670" s="105"/>
      <c r="L1670" s="105" t="str">
        <f>IF(F1670=True, IFERROR(VLOOKUP(D1670, Repository!A:E, 5, 0), ""), "")</f>
        <v/>
      </c>
      <c r="M1670" s="105"/>
      <c r="N1670" s="105" t="str">
        <f>IF(F1670=True, IFERROR(VLOOKUP(D1670, Repository!A:G, 7, 0), ""), "")</f>
        <v/>
      </c>
      <c r="O1670" s="105" t="str">
        <f>IFERROR(__xludf.DUMMYFUNCTION("ARRAY_CONSTRAIN(
  ARRAYFORMULA(
    IFERROR(
      LET(
        list, N1670,
        arr, TRIM(SPLIT(list, "","")),
        names, XLOOKUP(
          arr,
          'Conformance Score'!A:A,
          'Conformance Score'!B:B,
          ""Not found""
     "&amp;"   ),
        TEXTJOIN("", "", TRUE, names)
      ),
      """"
    )
  ),
  1,
  1
)
"),"")</f>
        <v/>
      </c>
      <c r="P1670" s="105" t="str">
        <f>IF(F1670="Yes", IFERROR(VLOOKUP(D1670, Repository!A:F, 6, 0), ""), "")</f>
        <v/>
      </c>
      <c r="Q1670" s="105" t="str">
        <f>IF(F1670="Yes", IFERROR(VLOOKUP(D1670, Repository!A:I, 8, 0), ""), "")</f>
        <v/>
      </c>
      <c r="R1670" s="105" t="str">
        <f>IF(F1670="Yes", IFERROR(VLOOKUP(D1670, Repository!A:J, 9, 0), ""), "")</f>
        <v/>
      </c>
      <c r="S1670" s="105"/>
      <c r="T1670" s="105"/>
      <c r="U1670" s="105"/>
      <c r="V1670" s="105"/>
      <c r="W1670" s="105"/>
      <c r="X1670" s="105"/>
      <c r="Y1670" s="105"/>
      <c r="Z1670" s="105"/>
      <c r="AA1670" s="105"/>
      <c r="AB1670" s="105"/>
      <c r="AC1670" s="91"/>
      <c r="AD1670" s="105"/>
      <c r="AE1670" s="105"/>
      <c r="AF1670" s="91"/>
      <c r="AG1670" s="105"/>
      <c r="AH1670" s="105"/>
      <c r="AI1670" s="105" t="str">
        <f t="shared" si="1"/>
        <v/>
      </c>
      <c r="AJ1670" s="108" t="str">
        <f t="shared" si="2"/>
        <v/>
      </c>
    </row>
    <row r="1671" ht="15.75" customHeight="1">
      <c r="A1671" s="104"/>
      <c r="B1671" s="105" t="str">
        <f>IFERROR(__xludf.DUMMYFUNCTION("ARRAY_CONSTRAIN(
  ARRAYFORMULA(
    IF(
      'Final Report'!A1671="""",
      """",
      TEXTJOIN(
        "", "" &amp; CHAR(10),
        TRUE,
        IFERROR(
          VLOOKUP(
            TRIM(
              SPLIT('Final Report'!A1671, "","")
         "&amp;"   ),
            'URL Details'!A:B,
            2,
            FALSE
          ),
          """"
        )
      )
    )
  ),
  1,
  1
)
"),"")</f>
        <v/>
      </c>
      <c r="C1671" s="105" t="str">
        <f>IFERROR(__xludf.DUMMYFUNCTION("IFERROR(IF('Final Report'!A1671="""","""", TEXTJOIN(CHAR(10), TRUE, ARRAYFORMULA( ""• ""&amp; FILTER( TRIM(FLATTEN(SPLIT( REGEXREPLACE( SUBSTITUTE(TEXTJOIN("","", TRUE, IFERROR(ARRAYFORMULA(VLOOKUP(TRIM(SPLIT('Final Report'!A1671, "","")), 'URL Details'!A:D, "&amp;"4, FALSE)),"""") ), CHAR(10), "",""), ""\s*,\s*"", "",""), "",""))), TRIM(FLATTEN(SPLIT( REGEXREPLACE( SUBSTITUTE(TEXTJOIN("","", TRUE, IFERROR(ARRAYFORMULA(VLOOKUP(TRIM(SPLIT('Final Report'!A1671, "","")), 'URL Details'!A:D, 4, FALSE)),"""") ), CHAR(10),"&amp;" "",""), ""\s*,\s*"", "",""), "","")))&lt;&gt;"""" ) ) ) ),"""")
"),"")</f>
        <v/>
      </c>
      <c r="D1671" s="105"/>
      <c r="E1671" s="105"/>
      <c r="F1671" s="110" t="b">
        <v>0</v>
      </c>
      <c r="G1671" s="105" t="str">
        <f>IF(F1671=True, IFERROR(VLOOKUP(D1671, Repository!A:B, 2, 0), ""), "")</f>
        <v/>
      </c>
      <c r="H1671" s="105"/>
      <c r="I1671" s="105"/>
      <c r="J1671" s="105" t="str">
        <f>IF(F1671=True, IFERROR(VLOOKUP(D1671, Repository!A:C, 3, 0), ""), "")</f>
        <v/>
      </c>
      <c r="K1671" s="105"/>
      <c r="L1671" s="105" t="str">
        <f>IF(F1671=True, IFERROR(VLOOKUP(D1671, Repository!A:E, 5, 0), ""), "")</f>
        <v/>
      </c>
      <c r="M1671" s="105"/>
      <c r="N1671" s="105" t="str">
        <f>IF(F1671=True, IFERROR(VLOOKUP(D1671, Repository!A:G, 7, 0), ""), "")</f>
        <v/>
      </c>
      <c r="O1671" s="105" t="str">
        <f>IFERROR(__xludf.DUMMYFUNCTION("ARRAY_CONSTRAIN(
  ARRAYFORMULA(
    IFERROR(
      LET(
        list, N1671,
        arr, TRIM(SPLIT(list, "","")),
        names, XLOOKUP(
          arr,
          'Conformance Score'!A:A,
          'Conformance Score'!B:B,
          ""Not found""
     "&amp;"   ),
        TEXTJOIN("", "", TRUE, names)
      ),
      """"
    )
  ),
  1,
  1
)
"),"")</f>
        <v/>
      </c>
      <c r="P1671" s="105" t="str">
        <f>IF(F1671="Yes", IFERROR(VLOOKUP(D1671, Repository!A:F, 6, 0), ""), "")</f>
        <v/>
      </c>
      <c r="Q1671" s="105" t="str">
        <f>IF(F1671="Yes", IFERROR(VLOOKUP(D1671, Repository!A:I, 8, 0), ""), "")</f>
        <v/>
      </c>
      <c r="R1671" s="105" t="str">
        <f>IF(F1671="Yes", IFERROR(VLOOKUP(D1671, Repository!A:J, 9, 0), ""), "")</f>
        <v/>
      </c>
      <c r="S1671" s="105"/>
      <c r="T1671" s="105"/>
      <c r="U1671" s="105"/>
      <c r="V1671" s="105"/>
      <c r="W1671" s="105"/>
      <c r="X1671" s="105"/>
      <c r="Y1671" s="105"/>
      <c r="Z1671" s="105"/>
      <c r="AA1671" s="105"/>
      <c r="AB1671" s="105"/>
      <c r="AC1671" s="91"/>
      <c r="AD1671" s="105"/>
      <c r="AE1671" s="105"/>
      <c r="AF1671" s="91"/>
      <c r="AG1671" s="105"/>
      <c r="AH1671" s="105"/>
      <c r="AI1671" s="105" t="str">
        <f t="shared" si="1"/>
        <v/>
      </c>
      <c r="AJ1671" s="108" t="str">
        <f t="shared" si="2"/>
        <v/>
      </c>
    </row>
    <row r="1672" ht="15.75" customHeight="1">
      <c r="A1672" s="104"/>
      <c r="B1672" s="105" t="str">
        <f>IFERROR(__xludf.DUMMYFUNCTION("ARRAY_CONSTRAIN(
  ARRAYFORMULA(
    IF(
      'Final Report'!A1672="""",
      """",
      TEXTJOIN(
        "", "" &amp; CHAR(10),
        TRUE,
        IFERROR(
          VLOOKUP(
            TRIM(
              SPLIT('Final Report'!A1672, "","")
         "&amp;"   ),
            'URL Details'!A:B,
            2,
            FALSE
          ),
          """"
        )
      )
    )
  ),
  1,
  1
)
"),"")</f>
        <v/>
      </c>
      <c r="C1672" s="105" t="str">
        <f>IFERROR(__xludf.DUMMYFUNCTION("IFERROR(IF('Final Report'!A1672="""","""", TEXTJOIN(CHAR(10), TRUE, ARRAYFORMULA( ""• ""&amp; FILTER( TRIM(FLATTEN(SPLIT( REGEXREPLACE( SUBSTITUTE(TEXTJOIN("","", TRUE, IFERROR(ARRAYFORMULA(VLOOKUP(TRIM(SPLIT('Final Report'!A1672, "","")), 'URL Details'!A:D, "&amp;"4, FALSE)),"""") ), CHAR(10), "",""), ""\s*,\s*"", "",""), "",""))), TRIM(FLATTEN(SPLIT( REGEXREPLACE( SUBSTITUTE(TEXTJOIN("","", TRUE, IFERROR(ARRAYFORMULA(VLOOKUP(TRIM(SPLIT('Final Report'!A1672, "","")), 'URL Details'!A:D, 4, FALSE)),"""") ), CHAR(10),"&amp;" "",""), ""\s*,\s*"", "",""), "","")))&lt;&gt;"""" ) ) ) ),"""")
"),"")</f>
        <v/>
      </c>
      <c r="D1672" s="105"/>
      <c r="E1672" s="105"/>
      <c r="F1672" s="110" t="b">
        <v>0</v>
      </c>
      <c r="G1672" s="105" t="str">
        <f>IF(F1672=True, IFERROR(VLOOKUP(D1672, Repository!A:B, 2, 0), ""), "")</f>
        <v/>
      </c>
      <c r="H1672" s="105"/>
      <c r="I1672" s="105"/>
      <c r="J1672" s="105" t="str">
        <f>IF(F1672=True, IFERROR(VLOOKUP(D1672, Repository!A:C, 3, 0), ""), "")</f>
        <v/>
      </c>
      <c r="K1672" s="105"/>
      <c r="L1672" s="105" t="str">
        <f>IF(F1672=True, IFERROR(VLOOKUP(D1672, Repository!A:E, 5, 0), ""), "")</f>
        <v/>
      </c>
      <c r="M1672" s="105"/>
      <c r="N1672" s="105" t="str">
        <f>IF(F1672=True, IFERROR(VLOOKUP(D1672, Repository!A:G, 7, 0), ""), "")</f>
        <v/>
      </c>
      <c r="O1672" s="105" t="str">
        <f>IFERROR(__xludf.DUMMYFUNCTION("ARRAY_CONSTRAIN(
  ARRAYFORMULA(
    IFERROR(
      LET(
        list, N1672,
        arr, TRIM(SPLIT(list, "","")),
        names, XLOOKUP(
          arr,
          'Conformance Score'!A:A,
          'Conformance Score'!B:B,
          ""Not found""
     "&amp;"   ),
        TEXTJOIN("", "", TRUE, names)
      ),
      """"
    )
  ),
  1,
  1
)
"),"")</f>
        <v/>
      </c>
      <c r="P1672" s="105" t="str">
        <f>IF(F1672="Yes", IFERROR(VLOOKUP(D1672, Repository!A:F, 6, 0), ""), "")</f>
        <v/>
      </c>
      <c r="Q1672" s="105" t="str">
        <f>IF(F1672="Yes", IFERROR(VLOOKUP(D1672, Repository!A:I, 8, 0), ""), "")</f>
        <v/>
      </c>
      <c r="R1672" s="105" t="str">
        <f>IF(F1672="Yes", IFERROR(VLOOKUP(D1672, Repository!A:J, 9, 0), ""), "")</f>
        <v/>
      </c>
      <c r="S1672" s="105"/>
      <c r="T1672" s="105"/>
      <c r="U1672" s="105"/>
      <c r="V1672" s="105"/>
      <c r="W1672" s="105"/>
      <c r="X1672" s="105"/>
      <c r="Y1672" s="105"/>
      <c r="Z1672" s="105"/>
      <c r="AA1672" s="105"/>
      <c r="AB1672" s="105"/>
      <c r="AC1672" s="91"/>
      <c r="AD1672" s="105"/>
      <c r="AE1672" s="105"/>
      <c r="AF1672" s="91"/>
      <c r="AG1672" s="105"/>
      <c r="AH1672" s="105"/>
      <c r="AI1672" s="105" t="str">
        <f t="shared" si="1"/>
        <v/>
      </c>
      <c r="AJ1672" s="108" t="str">
        <f t="shared" si="2"/>
        <v/>
      </c>
    </row>
    <row r="1673" ht="15.75" customHeight="1">
      <c r="A1673" s="104"/>
      <c r="B1673" s="105" t="str">
        <f>IFERROR(__xludf.DUMMYFUNCTION("ARRAY_CONSTRAIN(
  ARRAYFORMULA(
    IF(
      'Final Report'!A1673="""",
      """",
      TEXTJOIN(
        "", "" &amp; CHAR(10),
        TRUE,
        IFERROR(
          VLOOKUP(
            TRIM(
              SPLIT('Final Report'!A1673, "","")
         "&amp;"   ),
            'URL Details'!A:B,
            2,
            FALSE
          ),
          """"
        )
      )
    )
  ),
  1,
  1
)
"),"")</f>
        <v/>
      </c>
      <c r="C1673" s="105" t="str">
        <f>IFERROR(__xludf.DUMMYFUNCTION("IFERROR(IF('Final Report'!A1673="""","""", TEXTJOIN(CHAR(10), TRUE, ARRAYFORMULA( ""• ""&amp; FILTER( TRIM(FLATTEN(SPLIT( REGEXREPLACE( SUBSTITUTE(TEXTJOIN("","", TRUE, IFERROR(ARRAYFORMULA(VLOOKUP(TRIM(SPLIT('Final Report'!A1673, "","")), 'URL Details'!A:D, "&amp;"4, FALSE)),"""") ), CHAR(10), "",""), ""\s*,\s*"", "",""), "",""))), TRIM(FLATTEN(SPLIT( REGEXREPLACE( SUBSTITUTE(TEXTJOIN("","", TRUE, IFERROR(ARRAYFORMULA(VLOOKUP(TRIM(SPLIT('Final Report'!A1673, "","")), 'URL Details'!A:D, 4, FALSE)),"""") ), CHAR(10),"&amp;" "",""), ""\s*,\s*"", "",""), "","")))&lt;&gt;"""" ) ) ) ),"""")
"),"")</f>
        <v/>
      </c>
      <c r="D1673" s="105"/>
      <c r="E1673" s="105"/>
      <c r="F1673" s="110" t="b">
        <v>0</v>
      </c>
      <c r="G1673" s="105" t="str">
        <f>IF(F1673=True, IFERROR(VLOOKUP(D1673, Repository!A:B, 2, 0), ""), "")</f>
        <v/>
      </c>
      <c r="H1673" s="105"/>
      <c r="I1673" s="105"/>
      <c r="J1673" s="105" t="str">
        <f>IF(F1673=True, IFERROR(VLOOKUP(D1673, Repository!A:C, 3, 0), ""), "")</f>
        <v/>
      </c>
      <c r="K1673" s="105"/>
      <c r="L1673" s="105" t="str">
        <f>IF(F1673=True, IFERROR(VLOOKUP(D1673, Repository!A:E, 5, 0), ""), "")</f>
        <v/>
      </c>
      <c r="M1673" s="105"/>
      <c r="N1673" s="105" t="str">
        <f>IF(F1673=True, IFERROR(VLOOKUP(D1673, Repository!A:G, 7, 0), ""), "")</f>
        <v/>
      </c>
      <c r="O1673" s="105" t="str">
        <f>IFERROR(__xludf.DUMMYFUNCTION("ARRAY_CONSTRAIN(
  ARRAYFORMULA(
    IFERROR(
      LET(
        list, N1673,
        arr, TRIM(SPLIT(list, "","")),
        names, XLOOKUP(
          arr,
          'Conformance Score'!A:A,
          'Conformance Score'!B:B,
          ""Not found""
     "&amp;"   ),
        TEXTJOIN("", "", TRUE, names)
      ),
      """"
    )
  ),
  1,
  1
)
"),"")</f>
        <v/>
      </c>
      <c r="P1673" s="105" t="str">
        <f>IF(F1673="Yes", IFERROR(VLOOKUP(D1673, Repository!A:F, 6, 0), ""), "")</f>
        <v/>
      </c>
      <c r="Q1673" s="105" t="str">
        <f>IF(F1673="Yes", IFERROR(VLOOKUP(D1673, Repository!A:I, 8, 0), ""), "")</f>
        <v/>
      </c>
      <c r="R1673" s="105" t="str">
        <f>IF(F1673="Yes", IFERROR(VLOOKUP(D1673, Repository!A:J, 9, 0), ""), "")</f>
        <v/>
      </c>
      <c r="S1673" s="105"/>
      <c r="T1673" s="105"/>
      <c r="U1673" s="105"/>
      <c r="V1673" s="105"/>
      <c r="W1673" s="105"/>
      <c r="X1673" s="105"/>
      <c r="Y1673" s="105"/>
      <c r="Z1673" s="105"/>
      <c r="AA1673" s="105"/>
      <c r="AB1673" s="105"/>
      <c r="AC1673" s="91"/>
      <c r="AD1673" s="105"/>
      <c r="AE1673" s="105"/>
      <c r="AF1673" s="91"/>
      <c r="AG1673" s="105"/>
      <c r="AH1673" s="105"/>
      <c r="AI1673" s="105" t="str">
        <f t="shared" si="1"/>
        <v/>
      </c>
      <c r="AJ1673" s="108" t="str">
        <f t="shared" si="2"/>
        <v/>
      </c>
    </row>
    <row r="1674" ht="15.75" customHeight="1">
      <c r="A1674" s="104"/>
      <c r="B1674" s="105" t="str">
        <f>IFERROR(__xludf.DUMMYFUNCTION("ARRAY_CONSTRAIN(
  ARRAYFORMULA(
    IF(
      'Final Report'!A1674="""",
      """",
      TEXTJOIN(
        "", "" &amp; CHAR(10),
        TRUE,
        IFERROR(
          VLOOKUP(
            TRIM(
              SPLIT('Final Report'!A1674, "","")
         "&amp;"   ),
            'URL Details'!A:B,
            2,
            FALSE
          ),
          """"
        )
      )
    )
  ),
  1,
  1
)
"),"")</f>
        <v/>
      </c>
      <c r="C1674" s="105" t="str">
        <f>IFERROR(__xludf.DUMMYFUNCTION("IFERROR(IF('Final Report'!A1674="""","""", TEXTJOIN(CHAR(10), TRUE, ARRAYFORMULA( ""• ""&amp; FILTER( TRIM(FLATTEN(SPLIT( REGEXREPLACE( SUBSTITUTE(TEXTJOIN("","", TRUE, IFERROR(ARRAYFORMULA(VLOOKUP(TRIM(SPLIT('Final Report'!A1674, "","")), 'URL Details'!A:D, "&amp;"4, FALSE)),"""") ), CHAR(10), "",""), ""\s*,\s*"", "",""), "",""))), TRIM(FLATTEN(SPLIT( REGEXREPLACE( SUBSTITUTE(TEXTJOIN("","", TRUE, IFERROR(ARRAYFORMULA(VLOOKUP(TRIM(SPLIT('Final Report'!A1674, "","")), 'URL Details'!A:D, 4, FALSE)),"""") ), CHAR(10),"&amp;" "",""), ""\s*,\s*"", "",""), "","")))&lt;&gt;"""" ) ) ) ),"""")
"),"")</f>
        <v/>
      </c>
      <c r="D1674" s="105"/>
      <c r="E1674" s="105"/>
      <c r="F1674" s="110" t="b">
        <v>0</v>
      </c>
      <c r="G1674" s="105" t="str">
        <f>IF(F1674=True, IFERROR(VLOOKUP(D1674, Repository!A:B, 2, 0), ""), "")</f>
        <v/>
      </c>
      <c r="H1674" s="105"/>
      <c r="I1674" s="105"/>
      <c r="J1674" s="105" t="str">
        <f>IF(F1674=True, IFERROR(VLOOKUP(D1674, Repository!A:C, 3, 0), ""), "")</f>
        <v/>
      </c>
      <c r="K1674" s="105"/>
      <c r="L1674" s="105" t="str">
        <f>IF(F1674=True, IFERROR(VLOOKUP(D1674, Repository!A:E, 5, 0), ""), "")</f>
        <v/>
      </c>
      <c r="M1674" s="105"/>
      <c r="N1674" s="105" t="str">
        <f>IF(F1674=True, IFERROR(VLOOKUP(D1674, Repository!A:G, 7, 0), ""), "")</f>
        <v/>
      </c>
      <c r="O1674" s="105" t="str">
        <f>IFERROR(__xludf.DUMMYFUNCTION("ARRAY_CONSTRAIN(
  ARRAYFORMULA(
    IFERROR(
      LET(
        list, N1674,
        arr, TRIM(SPLIT(list, "","")),
        names, XLOOKUP(
          arr,
          'Conformance Score'!A:A,
          'Conformance Score'!B:B,
          ""Not found""
     "&amp;"   ),
        TEXTJOIN("", "", TRUE, names)
      ),
      """"
    )
  ),
  1,
  1
)
"),"")</f>
        <v/>
      </c>
      <c r="P1674" s="105" t="str">
        <f>IF(F1674="Yes", IFERROR(VLOOKUP(D1674, Repository!A:F, 6, 0), ""), "")</f>
        <v/>
      </c>
      <c r="Q1674" s="105" t="str">
        <f>IF(F1674="Yes", IFERROR(VLOOKUP(D1674, Repository!A:I, 8, 0), ""), "")</f>
        <v/>
      </c>
      <c r="R1674" s="105" t="str">
        <f>IF(F1674="Yes", IFERROR(VLOOKUP(D1674, Repository!A:J, 9, 0), ""), "")</f>
        <v/>
      </c>
      <c r="S1674" s="105"/>
      <c r="T1674" s="105"/>
      <c r="U1674" s="105"/>
      <c r="V1674" s="105"/>
      <c r="W1674" s="105"/>
      <c r="X1674" s="105"/>
      <c r="Y1674" s="105"/>
      <c r="Z1674" s="105"/>
      <c r="AA1674" s="105"/>
      <c r="AB1674" s="105"/>
      <c r="AC1674" s="91"/>
      <c r="AD1674" s="105"/>
      <c r="AE1674" s="105"/>
      <c r="AF1674" s="91"/>
      <c r="AG1674" s="105"/>
      <c r="AH1674" s="105"/>
      <c r="AI1674" s="105" t="str">
        <f t="shared" si="1"/>
        <v/>
      </c>
      <c r="AJ1674" s="108" t="str">
        <f t="shared" si="2"/>
        <v/>
      </c>
    </row>
    <row r="1675" ht="15.75" customHeight="1">
      <c r="A1675" s="104"/>
      <c r="B1675" s="105" t="str">
        <f>IFERROR(__xludf.DUMMYFUNCTION("ARRAY_CONSTRAIN(
  ARRAYFORMULA(
    IF(
      'Final Report'!A1675="""",
      """",
      TEXTJOIN(
        "", "" &amp; CHAR(10),
        TRUE,
        IFERROR(
          VLOOKUP(
            TRIM(
              SPLIT('Final Report'!A1675, "","")
         "&amp;"   ),
            'URL Details'!A:B,
            2,
            FALSE
          ),
          """"
        )
      )
    )
  ),
  1,
  1
)
"),"")</f>
        <v/>
      </c>
      <c r="C1675" s="105" t="str">
        <f>IFERROR(__xludf.DUMMYFUNCTION("IFERROR(IF('Final Report'!A1675="""","""", TEXTJOIN(CHAR(10), TRUE, ARRAYFORMULA( ""• ""&amp; FILTER( TRIM(FLATTEN(SPLIT( REGEXREPLACE( SUBSTITUTE(TEXTJOIN("","", TRUE, IFERROR(ARRAYFORMULA(VLOOKUP(TRIM(SPLIT('Final Report'!A1675, "","")), 'URL Details'!A:D, "&amp;"4, FALSE)),"""") ), CHAR(10), "",""), ""\s*,\s*"", "",""), "",""))), TRIM(FLATTEN(SPLIT( REGEXREPLACE( SUBSTITUTE(TEXTJOIN("","", TRUE, IFERROR(ARRAYFORMULA(VLOOKUP(TRIM(SPLIT('Final Report'!A1675, "","")), 'URL Details'!A:D, 4, FALSE)),"""") ), CHAR(10),"&amp;" "",""), ""\s*,\s*"", "",""), "","")))&lt;&gt;"""" ) ) ) ),"""")
"),"")</f>
        <v/>
      </c>
      <c r="D1675" s="105"/>
      <c r="E1675" s="105"/>
      <c r="F1675" s="110" t="b">
        <v>0</v>
      </c>
      <c r="G1675" s="105" t="str">
        <f>IF(F1675=True, IFERROR(VLOOKUP(D1675, Repository!A:B, 2, 0), ""), "")</f>
        <v/>
      </c>
      <c r="H1675" s="105"/>
      <c r="I1675" s="105"/>
      <c r="J1675" s="105" t="str">
        <f>IF(F1675=True, IFERROR(VLOOKUP(D1675, Repository!A:C, 3, 0), ""), "")</f>
        <v/>
      </c>
      <c r="K1675" s="105"/>
      <c r="L1675" s="105" t="str">
        <f>IF(F1675=True, IFERROR(VLOOKUP(D1675, Repository!A:E, 5, 0), ""), "")</f>
        <v/>
      </c>
      <c r="M1675" s="105"/>
      <c r="N1675" s="105" t="str">
        <f>IF(F1675=True, IFERROR(VLOOKUP(D1675, Repository!A:G, 7, 0), ""), "")</f>
        <v/>
      </c>
      <c r="O1675" s="105" t="str">
        <f>IFERROR(__xludf.DUMMYFUNCTION("ARRAY_CONSTRAIN(
  ARRAYFORMULA(
    IFERROR(
      LET(
        list, N1675,
        arr, TRIM(SPLIT(list, "","")),
        names, XLOOKUP(
          arr,
          'Conformance Score'!A:A,
          'Conformance Score'!B:B,
          ""Not found""
     "&amp;"   ),
        TEXTJOIN("", "", TRUE, names)
      ),
      """"
    )
  ),
  1,
  1
)
"),"")</f>
        <v/>
      </c>
      <c r="P1675" s="105" t="str">
        <f>IF(F1675="Yes", IFERROR(VLOOKUP(D1675, Repository!A:F, 6, 0), ""), "")</f>
        <v/>
      </c>
      <c r="Q1675" s="105" t="str">
        <f>IF(F1675="Yes", IFERROR(VLOOKUP(D1675, Repository!A:I, 8, 0), ""), "")</f>
        <v/>
      </c>
      <c r="R1675" s="105" t="str">
        <f>IF(F1675="Yes", IFERROR(VLOOKUP(D1675, Repository!A:J, 9, 0), ""), "")</f>
        <v/>
      </c>
      <c r="S1675" s="105"/>
      <c r="T1675" s="105"/>
      <c r="U1675" s="105"/>
      <c r="V1675" s="105"/>
      <c r="W1675" s="105"/>
      <c r="X1675" s="105"/>
      <c r="Y1675" s="105"/>
      <c r="Z1675" s="105"/>
      <c r="AA1675" s="105"/>
      <c r="AB1675" s="105"/>
      <c r="AC1675" s="91"/>
      <c r="AD1675" s="105"/>
      <c r="AE1675" s="105"/>
      <c r="AF1675" s="91"/>
      <c r="AG1675" s="105"/>
      <c r="AH1675" s="105"/>
      <c r="AI1675" s="105" t="str">
        <f t="shared" si="1"/>
        <v/>
      </c>
      <c r="AJ1675" s="108" t="str">
        <f t="shared" si="2"/>
        <v/>
      </c>
    </row>
    <row r="1676" ht="15.75" customHeight="1">
      <c r="A1676" s="104"/>
      <c r="B1676" s="105" t="str">
        <f>IFERROR(__xludf.DUMMYFUNCTION("ARRAY_CONSTRAIN(
  ARRAYFORMULA(
    IF(
      'Final Report'!A1676="""",
      """",
      TEXTJOIN(
        "", "" &amp; CHAR(10),
        TRUE,
        IFERROR(
          VLOOKUP(
            TRIM(
              SPLIT('Final Report'!A1676, "","")
         "&amp;"   ),
            'URL Details'!A:B,
            2,
            FALSE
          ),
          """"
        )
      )
    )
  ),
  1,
  1
)
"),"")</f>
        <v/>
      </c>
      <c r="C1676" s="105" t="str">
        <f>IFERROR(__xludf.DUMMYFUNCTION("IFERROR(IF('Final Report'!A1676="""","""", TEXTJOIN(CHAR(10), TRUE, ARRAYFORMULA( ""• ""&amp; FILTER( TRIM(FLATTEN(SPLIT( REGEXREPLACE( SUBSTITUTE(TEXTJOIN("","", TRUE, IFERROR(ARRAYFORMULA(VLOOKUP(TRIM(SPLIT('Final Report'!A1676, "","")), 'URL Details'!A:D, "&amp;"4, FALSE)),"""") ), CHAR(10), "",""), ""\s*,\s*"", "",""), "",""))), TRIM(FLATTEN(SPLIT( REGEXREPLACE( SUBSTITUTE(TEXTJOIN("","", TRUE, IFERROR(ARRAYFORMULA(VLOOKUP(TRIM(SPLIT('Final Report'!A1676, "","")), 'URL Details'!A:D, 4, FALSE)),"""") ), CHAR(10),"&amp;" "",""), ""\s*,\s*"", "",""), "","")))&lt;&gt;"""" ) ) ) ),"""")
"),"")</f>
        <v/>
      </c>
      <c r="D1676" s="105"/>
      <c r="E1676" s="105"/>
      <c r="F1676" s="110" t="b">
        <v>0</v>
      </c>
      <c r="G1676" s="105" t="str">
        <f>IF(F1676=True, IFERROR(VLOOKUP(D1676, Repository!A:B, 2, 0), ""), "")</f>
        <v/>
      </c>
      <c r="H1676" s="105"/>
      <c r="I1676" s="105"/>
      <c r="J1676" s="105" t="str">
        <f>IF(F1676=True, IFERROR(VLOOKUP(D1676, Repository!A:C, 3, 0), ""), "")</f>
        <v/>
      </c>
      <c r="K1676" s="105"/>
      <c r="L1676" s="105" t="str">
        <f>IF(F1676=True, IFERROR(VLOOKUP(D1676, Repository!A:E, 5, 0), ""), "")</f>
        <v/>
      </c>
      <c r="M1676" s="105"/>
      <c r="N1676" s="105" t="str">
        <f>IF(F1676=True, IFERROR(VLOOKUP(D1676, Repository!A:G, 7, 0), ""), "")</f>
        <v/>
      </c>
      <c r="O1676" s="105" t="str">
        <f>IFERROR(__xludf.DUMMYFUNCTION("ARRAY_CONSTRAIN(
  ARRAYFORMULA(
    IFERROR(
      LET(
        list, N1676,
        arr, TRIM(SPLIT(list, "","")),
        names, XLOOKUP(
          arr,
          'Conformance Score'!A:A,
          'Conformance Score'!B:B,
          ""Not found""
     "&amp;"   ),
        TEXTJOIN("", "", TRUE, names)
      ),
      """"
    )
  ),
  1,
  1
)
"),"")</f>
        <v/>
      </c>
      <c r="P1676" s="105" t="str">
        <f>IF(F1676="Yes", IFERROR(VLOOKUP(D1676, Repository!A:F, 6, 0), ""), "")</f>
        <v/>
      </c>
      <c r="Q1676" s="105" t="str">
        <f>IF(F1676="Yes", IFERROR(VLOOKUP(D1676, Repository!A:I, 8, 0), ""), "")</f>
        <v/>
      </c>
      <c r="R1676" s="105" t="str">
        <f>IF(F1676="Yes", IFERROR(VLOOKUP(D1676, Repository!A:J, 9, 0), ""), "")</f>
        <v/>
      </c>
      <c r="S1676" s="105"/>
      <c r="T1676" s="105"/>
      <c r="U1676" s="105"/>
      <c r="V1676" s="105"/>
      <c r="W1676" s="105"/>
      <c r="X1676" s="105"/>
      <c r="Y1676" s="105"/>
      <c r="Z1676" s="105"/>
      <c r="AA1676" s="105"/>
      <c r="AB1676" s="105"/>
      <c r="AC1676" s="91"/>
      <c r="AD1676" s="105"/>
      <c r="AE1676" s="105"/>
      <c r="AF1676" s="91"/>
      <c r="AG1676" s="105"/>
      <c r="AH1676" s="105"/>
      <c r="AI1676" s="105" t="str">
        <f t="shared" si="1"/>
        <v/>
      </c>
      <c r="AJ1676" s="108" t="str">
        <f t="shared" si="2"/>
        <v/>
      </c>
    </row>
    <row r="1677" ht="15.75" customHeight="1">
      <c r="A1677" s="104"/>
      <c r="B1677" s="105" t="str">
        <f>IFERROR(__xludf.DUMMYFUNCTION("ARRAY_CONSTRAIN(
  ARRAYFORMULA(
    IF(
      'Final Report'!A1677="""",
      """",
      TEXTJOIN(
        "", "" &amp; CHAR(10),
        TRUE,
        IFERROR(
          VLOOKUP(
            TRIM(
              SPLIT('Final Report'!A1677, "","")
         "&amp;"   ),
            'URL Details'!A:B,
            2,
            FALSE
          ),
          """"
        )
      )
    )
  ),
  1,
  1
)
"),"")</f>
        <v/>
      </c>
      <c r="C1677" s="105" t="str">
        <f>IFERROR(__xludf.DUMMYFUNCTION("IFERROR(IF('Final Report'!A1677="""","""", TEXTJOIN(CHAR(10), TRUE, ARRAYFORMULA( ""• ""&amp; FILTER( TRIM(FLATTEN(SPLIT( REGEXREPLACE( SUBSTITUTE(TEXTJOIN("","", TRUE, IFERROR(ARRAYFORMULA(VLOOKUP(TRIM(SPLIT('Final Report'!A1677, "","")), 'URL Details'!A:D, "&amp;"4, FALSE)),"""") ), CHAR(10), "",""), ""\s*,\s*"", "",""), "",""))), TRIM(FLATTEN(SPLIT( REGEXREPLACE( SUBSTITUTE(TEXTJOIN("","", TRUE, IFERROR(ARRAYFORMULA(VLOOKUP(TRIM(SPLIT('Final Report'!A1677, "","")), 'URL Details'!A:D, 4, FALSE)),"""") ), CHAR(10),"&amp;" "",""), ""\s*,\s*"", "",""), "","")))&lt;&gt;"""" ) ) ) ),"""")
"),"")</f>
        <v/>
      </c>
      <c r="D1677" s="105"/>
      <c r="E1677" s="105"/>
      <c r="F1677" s="110" t="b">
        <v>0</v>
      </c>
      <c r="G1677" s="105" t="str">
        <f>IF(F1677=True, IFERROR(VLOOKUP(D1677, Repository!A:B, 2, 0), ""), "")</f>
        <v/>
      </c>
      <c r="H1677" s="105"/>
      <c r="I1677" s="105"/>
      <c r="J1677" s="105" t="str">
        <f>IF(F1677=True, IFERROR(VLOOKUP(D1677, Repository!A:C, 3, 0), ""), "")</f>
        <v/>
      </c>
      <c r="K1677" s="105"/>
      <c r="L1677" s="105" t="str">
        <f>IF(F1677=True, IFERROR(VLOOKUP(D1677, Repository!A:E, 5, 0), ""), "")</f>
        <v/>
      </c>
      <c r="M1677" s="105"/>
      <c r="N1677" s="105" t="str">
        <f>IF(F1677=True, IFERROR(VLOOKUP(D1677, Repository!A:G, 7, 0), ""), "")</f>
        <v/>
      </c>
      <c r="O1677" s="105" t="str">
        <f>IFERROR(__xludf.DUMMYFUNCTION("ARRAY_CONSTRAIN(
  ARRAYFORMULA(
    IFERROR(
      LET(
        list, N1677,
        arr, TRIM(SPLIT(list, "","")),
        names, XLOOKUP(
          arr,
          'Conformance Score'!A:A,
          'Conformance Score'!B:B,
          ""Not found""
     "&amp;"   ),
        TEXTJOIN("", "", TRUE, names)
      ),
      """"
    )
  ),
  1,
  1
)
"),"")</f>
        <v/>
      </c>
      <c r="P1677" s="105" t="str">
        <f>IF(F1677="Yes", IFERROR(VLOOKUP(D1677, Repository!A:F, 6, 0), ""), "")</f>
        <v/>
      </c>
      <c r="Q1677" s="105" t="str">
        <f>IF(F1677="Yes", IFERROR(VLOOKUP(D1677, Repository!A:I, 8, 0), ""), "")</f>
        <v/>
      </c>
      <c r="R1677" s="105" t="str">
        <f>IF(F1677="Yes", IFERROR(VLOOKUP(D1677, Repository!A:J, 9, 0), ""), "")</f>
        <v/>
      </c>
      <c r="S1677" s="105"/>
      <c r="T1677" s="105"/>
      <c r="U1677" s="105"/>
      <c r="V1677" s="105"/>
      <c r="W1677" s="105"/>
      <c r="X1677" s="105"/>
      <c r="Y1677" s="105"/>
      <c r="Z1677" s="105"/>
      <c r="AA1677" s="105"/>
      <c r="AB1677" s="105"/>
      <c r="AC1677" s="91"/>
      <c r="AD1677" s="105"/>
      <c r="AE1677" s="105"/>
      <c r="AF1677" s="91"/>
      <c r="AG1677" s="105"/>
      <c r="AH1677" s="105"/>
      <c r="AI1677" s="105" t="str">
        <f t="shared" si="1"/>
        <v/>
      </c>
      <c r="AJ1677" s="108" t="str">
        <f t="shared" si="2"/>
        <v/>
      </c>
    </row>
    <row r="1678" ht="15.75" customHeight="1">
      <c r="A1678" s="104"/>
      <c r="B1678" s="105" t="str">
        <f>IFERROR(__xludf.DUMMYFUNCTION("ARRAY_CONSTRAIN(
  ARRAYFORMULA(
    IF(
      'Final Report'!A1678="""",
      """",
      TEXTJOIN(
        "", "" &amp; CHAR(10),
        TRUE,
        IFERROR(
          VLOOKUP(
            TRIM(
              SPLIT('Final Report'!A1678, "","")
         "&amp;"   ),
            'URL Details'!A:B,
            2,
            FALSE
          ),
          """"
        )
      )
    )
  ),
  1,
  1
)
"),"")</f>
        <v/>
      </c>
      <c r="C1678" s="105" t="str">
        <f>IFERROR(__xludf.DUMMYFUNCTION("IFERROR(IF('Final Report'!A1678="""","""", TEXTJOIN(CHAR(10), TRUE, ARRAYFORMULA( ""• ""&amp; FILTER( TRIM(FLATTEN(SPLIT( REGEXREPLACE( SUBSTITUTE(TEXTJOIN("","", TRUE, IFERROR(ARRAYFORMULA(VLOOKUP(TRIM(SPLIT('Final Report'!A1678, "","")), 'URL Details'!A:D, "&amp;"4, FALSE)),"""") ), CHAR(10), "",""), ""\s*,\s*"", "",""), "",""))), TRIM(FLATTEN(SPLIT( REGEXREPLACE( SUBSTITUTE(TEXTJOIN("","", TRUE, IFERROR(ARRAYFORMULA(VLOOKUP(TRIM(SPLIT('Final Report'!A1678, "","")), 'URL Details'!A:D, 4, FALSE)),"""") ), CHAR(10),"&amp;" "",""), ""\s*,\s*"", "",""), "","")))&lt;&gt;"""" ) ) ) ),"""")
"),"")</f>
        <v/>
      </c>
      <c r="D1678" s="105"/>
      <c r="E1678" s="105"/>
      <c r="F1678" s="110" t="b">
        <v>0</v>
      </c>
      <c r="G1678" s="105" t="str">
        <f>IF(F1678=True, IFERROR(VLOOKUP(D1678, Repository!A:B, 2, 0), ""), "")</f>
        <v/>
      </c>
      <c r="H1678" s="105"/>
      <c r="I1678" s="105"/>
      <c r="J1678" s="105" t="str">
        <f>IF(F1678=True, IFERROR(VLOOKUP(D1678, Repository!A:C, 3, 0), ""), "")</f>
        <v/>
      </c>
      <c r="K1678" s="105"/>
      <c r="L1678" s="105" t="str">
        <f>IF(F1678=True, IFERROR(VLOOKUP(D1678, Repository!A:E, 5, 0), ""), "")</f>
        <v/>
      </c>
      <c r="M1678" s="105"/>
      <c r="N1678" s="105" t="str">
        <f>IF(F1678=True, IFERROR(VLOOKUP(D1678, Repository!A:G, 7, 0), ""), "")</f>
        <v/>
      </c>
      <c r="O1678" s="105" t="str">
        <f>IFERROR(__xludf.DUMMYFUNCTION("ARRAY_CONSTRAIN(
  ARRAYFORMULA(
    IFERROR(
      LET(
        list, N1678,
        arr, TRIM(SPLIT(list, "","")),
        names, XLOOKUP(
          arr,
          'Conformance Score'!A:A,
          'Conformance Score'!B:B,
          ""Not found""
     "&amp;"   ),
        TEXTJOIN("", "", TRUE, names)
      ),
      """"
    )
  ),
  1,
  1
)
"),"")</f>
        <v/>
      </c>
      <c r="P1678" s="105" t="str">
        <f>IF(F1678="Yes", IFERROR(VLOOKUP(D1678, Repository!A:F, 6, 0), ""), "")</f>
        <v/>
      </c>
      <c r="Q1678" s="105" t="str">
        <f>IF(F1678="Yes", IFERROR(VLOOKUP(D1678, Repository!A:I, 8, 0), ""), "")</f>
        <v/>
      </c>
      <c r="R1678" s="105" t="str">
        <f>IF(F1678="Yes", IFERROR(VLOOKUP(D1678, Repository!A:J, 9, 0), ""), "")</f>
        <v/>
      </c>
      <c r="S1678" s="105"/>
      <c r="T1678" s="105"/>
      <c r="U1678" s="105"/>
      <c r="V1678" s="105"/>
      <c r="W1678" s="105"/>
      <c r="X1678" s="105"/>
      <c r="Y1678" s="105"/>
      <c r="Z1678" s="105"/>
      <c r="AA1678" s="105"/>
      <c r="AB1678" s="105"/>
      <c r="AC1678" s="91"/>
      <c r="AD1678" s="105"/>
      <c r="AE1678" s="105"/>
      <c r="AF1678" s="91"/>
      <c r="AG1678" s="105"/>
      <c r="AH1678" s="105"/>
      <c r="AI1678" s="105" t="str">
        <f t="shared" si="1"/>
        <v/>
      </c>
      <c r="AJ1678" s="108" t="str">
        <f t="shared" si="2"/>
        <v/>
      </c>
    </row>
    <row r="1679" ht="15.75" customHeight="1">
      <c r="A1679" s="104"/>
      <c r="B1679" s="105" t="str">
        <f>IFERROR(__xludf.DUMMYFUNCTION("ARRAY_CONSTRAIN(
  ARRAYFORMULA(
    IF(
      'Final Report'!A1679="""",
      """",
      TEXTJOIN(
        "", "" &amp; CHAR(10),
        TRUE,
        IFERROR(
          VLOOKUP(
            TRIM(
              SPLIT('Final Report'!A1679, "","")
         "&amp;"   ),
            'URL Details'!A:B,
            2,
            FALSE
          ),
          """"
        )
      )
    )
  ),
  1,
  1
)
"),"")</f>
        <v/>
      </c>
      <c r="C1679" s="105" t="str">
        <f>IFERROR(__xludf.DUMMYFUNCTION("IFERROR(IF('Final Report'!A1679="""","""", TEXTJOIN(CHAR(10), TRUE, ARRAYFORMULA( ""• ""&amp; FILTER( TRIM(FLATTEN(SPLIT( REGEXREPLACE( SUBSTITUTE(TEXTJOIN("","", TRUE, IFERROR(ARRAYFORMULA(VLOOKUP(TRIM(SPLIT('Final Report'!A1679, "","")), 'URL Details'!A:D, "&amp;"4, FALSE)),"""") ), CHAR(10), "",""), ""\s*,\s*"", "",""), "",""))), TRIM(FLATTEN(SPLIT( REGEXREPLACE( SUBSTITUTE(TEXTJOIN("","", TRUE, IFERROR(ARRAYFORMULA(VLOOKUP(TRIM(SPLIT('Final Report'!A1679, "","")), 'URL Details'!A:D, 4, FALSE)),"""") ), CHAR(10),"&amp;" "",""), ""\s*,\s*"", "",""), "","")))&lt;&gt;"""" ) ) ) ),"""")
"),"")</f>
        <v/>
      </c>
      <c r="D1679" s="105"/>
      <c r="E1679" s="105"/>
      <c r="F1679" s="110" t="b">
        <v>0</v>
      </c>
      <c r="G1679" s="105" t="str">
        <f>IF(F1679=True, IFERROR(VLOOKUP(D1679, Repository!A:B, 2, 0), ""), "")</f>
        <v/>
      </c>
      <c r="H1679" s="105"/>
      <c r="I1679" s="105"/>
      <c r="J1679" s="105" t="str">
        <f>IF(F1679=True, IFERROR(VLOOKUP(D1679, Repository!A:C, 3, 0), ""), "")</f>
        <v/>
      </c>
      <c r="K1679" s="105"/>
      <c r="L1679" s="105" t="str">
        <f>IF(F1679=True, IFERROR(VLOOKUP(D1679, Repository!A:E, 5, 0), ""), "")</f>
        <v/>
      </c>
      <c r="M1679" s="105"/>
      <c r="N1679" s="105" t="str">
        <f>IF(F1679=True, IFERROR(VLOOKUP(D1679, Repository!A:G, 7, 0), ""), "")</f>
        <v/>
      </c>
      <c r="O1679" s="105" t="str">
        <f>IFERROR(__xludf.DUMMYFUNCTION("ARRAY_CONSTRAIN(
  ARRAYFORMULA(
    IFERROR(
      LET(
        list, N1679,
        arr, TRIM(SPLIT(list, "","")),
        names, XLOOKUP(
          arr,
          'Conformance Score'!A:A,
          'Conformance Score'!B:B,
          ""Not found""
     "&amp;"   ),
        TEXTJOIN("", "", TRUE, names)
      ),
      """"
    )
  ),
  1,
  1
)
"),"")</f>
        <v/>
      </c>
      <c r="P1679" s="105" t="str">
        <f>IF(F1679="Yes", IFERROR(VLOOKUP(D1679, Repository!A:F, 6, 0), ""), "")</f>
        <v/>
      </c>
      <c r="Q1679" s="105" t="str">
        <f>IF(F1679="Yes", IFERROR(VLOOKUP(D1679, Repository!A:I, 8, 0), ""), "")</f>
        <v/>
      </c>
      <c r="R1679" s="105" t="str">
        <f>IF(F1679="Yes", IFERROR(VLOOKUP(D1679, Repository!A:J, 9, 0), ""), "")</f>
        <v/>
      </c>
      <c r="S1679" s="105"/>
      <c r="T1679" s="105"/>
      <c r="U1679" s="105"/>
      <c r="V1679" s="105"/>
      <c r="W1679" s="105"/>
      <c r="X1679" s="105"/>
      <c r="Y1679" s="105"/>
      <c r="Z1679" s="105"/>
      <c r="AA1679" s="105"/>
      <c r="AB1679" s="105"/>
      <c r="AC1679" s="91"/>
      <c r="AD1679" s="105"/>
      <c r="AE1679" s="105"/>
      <c r="AF1679" s="91"/>
      <c r="AG1679" s="105"/>
      <c r="AH1679" s="105"/>
      <c r="AI1679" s="105" t="str">
        <f t="shared" si="1"/>
        <v/>
      </c>
      <c r="AJ1679" s="108" t="str">
        <f t="shared" si="2"/>
        <v/>
      </c>
    </row>
    <row r="1680" ht="15.75" customHeight="1">
      <c r="A1680" s="104"/>
      <c r="B1680" s="105" t="str">
        <f>IFERROR(__xludf.DUMMYFUNCTION("ARRAY_CONSTRAIN(
  ARRAYFORMULA(
    IF(
      'Final Report'!A1680="""",
      """",
      TEXTJOIN(
        "", "" &amp; CHAR(10),
        TRUE,
        IFERROR(
          VLOOKUP(
            TRIM(
              SPLIT('Final Report'!A1680, "","")
         "&amp;"   ),
            'URL Details'!A:B,
            2,
            FALSE
          ),
          """"
        )
      )
    )
  ),
  1,
  1
)
"),"")</f>
        <v/>
      </c>
      <c r="C1680" s="105" t="str">
        <f>IFERROR(__xludf.DUMMYFUNCTION("IFERROR(IF('Final Report'!A1680="""","""", TEXTJOIN(CHAR(10), TRUE, ARRAYFORMULA( ""• ""&amp; FILTER( TRIM(FLATTEN(SPLIT( REGEXREPLACE( SUBSTITUTE(TEXTJOIN("","", TRUE, IFERROR(ARRAYFORMULA(VLOOKUP(TRIM(SPLIT('Final Report'!A1680, "","")), 'URL Details'!A:D, "&amp;"4, FALSE)),"""") ), CHAR(10), "",""), ""\s*,\s*"", "",""), "",""))), TRIM(FLATTEN(SPLIT( REGEXREPLACE( SUBSTITUTE(TEXTJOIN("","", TRUE, IFERROR(ARRAYFORMULA(VLOOKUP(TRIM(SPLIT('Final Report'!A1680, "","")), 'URL Details'!A:D, 4, FALSE)),"""") ), CHAR(10),"&amp;" "",""), ""\s*,\s*"", "",""), "","")))&lt;&gt;"""" ) ) ) ),"""")
"),"")</f>
        <v/>
      </c>
      <c r="D1680" s="105"/>
      <c r="E1680" s="105"/>
      <c r="F1680" s="110" t="b">
        <v>0</v>
      </c>
      <c r="G1680" s="105" t="str">
        <f>IF(F1680=True, IFERROR(VLOOKUP(D1680, Repository!A:B, 2, 0), ""), "")</f>
        <v/>
      </c>
      <c r="H1680" s="105"/>
      <c r="I1680" s="105"/>
      <c r="J1680" s="105" t="str">
        <f>IF(F1680=True, IFERROR(VLOOKUP(D1680, Repository!A:C, 3, 0), ""), "")</f>
        <v/>
      </c>
      <c r="K1680" s="105"/>
      <c r="L1680" s="105" t="str">
        <f>IF(F1680=True, IFERROR(VLOOKUP(D1680, Repository!A:E, 5, 0), ""), "")</f>
        <v/>
      </c>
      <c r="M1680" s="105"/>
      <c r="N1680" s="105" t="str">
        <f>IF(F1680=True, IFERROR(VLOOKUP(D1680, Repository!A:G, 7, 0), ""), "")</f>
        <v/>
      </c>
      <c r="O1680" s="105" t="str">
        <f>IFERROR(__xludf.DUMMYFUNCTION("ARRAY_CONSTRAIN(
  ARRAYFORMULA(
    IFERROR(
      LET(
        list, N1680,
        arr, TRIM(SPLIT(list, "","")),
        names, XLOOKUP(
          arr,
          'Conformance Score'!A:A,
          'Conformance Score'!B:B,
          ""Not found""
     "&amp;"   ),
        TEXTJOIN("", "", TRUE, names)
      ),
      """"
    )
  ),
  1,
  1
)
"),"")</f>
        <v/>
      </c>
      <c r="P1680" s="105" t="str">
        <f>IF(F1680="Yes", IFERROR(VLOOKUP(D1680, Repository!A:F, 6, 0), ""), "")</f>
        <v/>
      </c>
      <c r="Q1680" s="105" t="str">
        <f>IF(F1680="Yes", IFERROR(VLOOKUP(D1680, Repository!A:I, 8, 0), ""), "")</f>
        <v/>
      </c>
      <c r="R1680" s="105" t="str">
        <f>IF(F1680="Yes", IFERROR(VLOOKUP(D1680, Repository!A:J, 9, 0), ""), "")</f>
        <v/>
      </c>
      <c r="S1680" s="105"/>
      <c r="T1680" s="105"/>
      <c r="U1680" s="105"/>
      <c r="V1680" s="105"/>
      <c r="W1680" s="105"/>
      <c r="X1680" s="105"/>
      <c r="Y1680" s="105"/>
      <c r="Z1680" s="105"/>
      <c r="AA1680" s="105"/>
      <c r="AB1680" s="105"/>
      <c r="AC1680" s="91"/>
      <c r="AD1680" s="105"/>
      <c r="AE1680" s="105"/>
      <c r="AF1680" s="91"/>
      <c r="AG1680" s="105"/>
      <c r="AH1680" s="105"/>
      <c r="AI1680" s="105" t="str">
        <f t="shared" si="1"/>
        <v/>
      </c>
      <c r="AJ1680" s="108" t="str">
        <f t="shared" si="2"/>
        <v/>
      </c>
    </row>
    <row r="1681" ht="15.75" customHeight="1">
      <c r="A1681" s="104"/>
      <c r="B1681" s="105" t="str">
        <f>IFERROR(__xludf.DUMMYFUNCTION("ARRAY_CONSTRAIN(
  ARRAYFORMULA(
    IF(
      'Final Report'!A1681="""",
      """",
      TEXTJOIN(
        "", "" &amp; CHAR(10),
        TRUE,
        IFERROR(
          VLOOKUP(
            TRIM(
              SPLIT('Final Report'!A1681, "","")
         "&amp;"   ),
            'URL Details'!A:B,
            2,
            FALSE
          ),
          """"
        )
      )
    )
  ),
  1,
  1
)
"),"")</f>
        <v/>
      </c>
      <c r="C1681" s="105" t="str">
        <f>IFERROR(__xludf.DUMMYFUNCTION("IFERROR(IF('Final Report'!A1681="""","""", TEXTJOIN(CHAR(10), TRUE, ARRAYFORMULA( ""• ""&amp; FILTER( TRIM(FLATTEN(SPLIT( REGEXREPLACE( SUBSTITUTE(TEXTJOIN("","", TRUE, IFERROR(ARRAYFORMULA(VLOOKUP(TRIM(SPLIT('Final Report'!A1681, "","")), 'URL Details'!A:D, "&amp;"4, FALSE)),"""") ), CHAR(10), "",""), ""\s*,\s*"", "",""), "",""))), TRIM(FLATTEN(SPLIT( REGEXREPLACE( SUBSTITUTE(TEXTJOIN("","", TRUE, IFERROR(ARRAYFORMULA(VLOOKUP(TRIM(SPLIT('Final Report'!A1681, "","")), 'URL Details'!A:D, 4, FALSE)),"""") ), CHAR(10),"&amp;" "",""), ""\s*,\s*"", "",""), "","")))&lt;&gt;"""" ) ) ) ),"""")
"),"")</f>
        <v/>
      </c>
      <c r="D1681" s="105"/>
      <c r="E1681" s="105"/>
      <c r="F1681" s="110" t="b">
        <v>0</v>
      </c>
      <c r="G1681" s="105" t="str">
        <f>IF(F1681=True, IFERROR(VLOOKUP(D1681, Repository!A:B, 2, 0), ""), "")</f>
        <v/>
      </c>
      <c r="H1681" s="105"/>
      <c r="I1681" s="105"/>
      <c r="J1681" s="105" t="str">
        <f>IF(F1681=True, IFERROR(VLOOKUP(D1681, Repository!A:C, 3, 0), ""), "")</f>
        <v/>
      </c>
      <c r="K1681" s="105"/>
      <c r="L1681" s="105" t="str">
        <f>IF(F1681=True, IFERROR(VLOOKUP(D1681, Repository!A:E, 5, 0), ""), "")</f>
        <v/>
      </c>
      <c r="M1681" s="105"/>
      <c r="N1681" s="105" t="str">
        <f>IF(F1681=True, IFERROR(VLOOKUP(D1681, Repository!A:G, 7, 0), ""), "")</f>
        <v/>
      </c>
      <c r="O1681" s="105" t="str">
        <f>IFERROR(__xludf.DUMMYFUNCTION("ARRAY_CONSTRAIN(
  ARRAYFORMULA(
    IFERROR(
      LET(
        list, N1681,
        arr, TRIM(SPLIT(list, "","")),
        names, XLOOKUP(
          arr,
          'Conformance Score'!A:A,
          'Conformance Score'!B:B,
          ""Not found""
     "&amp;"   ),
        TEXTJOIN("", "", TRUE, names)
      ),
      """"
    )
  ),
  1,
  1
)
"),"")</f>
        <v/>
      </c>
      <c r="P1681" s="105" t="str">
        <f>IF(F1681="Yes", IFERROR(VLOOKUP(D1681, Repository!A:F, 6, 0), ""), "")</f>
        <v/>
      </c>
      <c r="Q1681" s="105" t="str">
        <f>IF(F1681="Yes", IFERROR(VLOOKUP(D1681, Repository!A:I, 8, 0), ""), "")</f>
        <v/>
      </c>
      <c r="R1681" s="105" t="str">
        <f>IF(F1681="Yes", IFERROR(VLOOKUP(D1681, Repository!A:J, 9, 0), ""), "")</f>
        <v/>
      </c>
      <c r="S1681" s="105"/>
      <c r="T1681" s="105"/>
      <c r="U1681" s="105"/>
      <c r="V1681" s="105"/>
      <c r="W1681" s="105"/>
      <c r="X1681" s="105"/>
      <c r="Y1681" s="105"/>
      <c r="Z1681" s="105"/>
      <c r="AA1681" s="105"/>
      <c r="AB1681" s="105"/>
      <c r="AC1681" s="91"/>
      <c r="AD1681" s="105"/>
      <c r="AE1681" s="105"/>
      <c r="AF1681" s="91"/>
      <c r="AG1681" s="105"/>
      <c r="AH1681" s="105"/>
      <c r="AI1681" s="105" t="str">
        <f t="shared" si="1"/>
        <v/>
      </c>
      <c r="AJ1681" s="108" t="str">
        <f t="shared" si="2"/>
        <v/>
      </c>
    </row>
    <row r="1682" ht="15.75" customHeight="1">
      <c r="A1682" s="104"/>
      <c r="B1682" s="105" t="str">
        <f>IFERROR(__xludf.DUMMYFUNCTION("ARRAY_CONSTRAIN(
  ARRAYFORMULA(
    IF(
      'Final Report'!A1682="""",
      """",
      TEXTJOIN(
        "", "" &amp; CHAR(10),
        TRUE,
        IFERROR(
          VLOOKUP(
            TRIM(
              SPLIT('Final Report'!A1682, "","")
         "&amp;"   ),
            'URL Details'!A:B,
            2,
            FALSE
          ),
          """"
        )
      )
    )
  ),
  1,
  1
)
"),"")</f>
        <v/>
      </c>
      <c r="C1682" s="105" t="str">
        <f>IFERROR(__xludf.DUMMYFUNCTION("IFERROR(IF('Final Report'!A1682="""","""", TEXTJOIN(CHAR(10), TRUE, ARRAYFORMULA( ""• ""&amp; FILTER( TRIM(FLATTEN(SPLIT( REGEXREPLACE( SUBSTITUTE(TEXTJOIN("","", TRUE, IFERROR(ARRAYFORMULA(VLOOKUP(TRIM(SPLIT('Final Report'!A1682, "","")), 'URL Details'!A:D, "&amp;"4, FALSE)),"""") ), CHAR(10), "",""), ""\s*,\s*"", "",""), "",""))), TRIM(FLATTEN(SPLIT( REGEXREPLACE( SUBSTITUTE(TEXTJOIN("","", TRUE, IFERROR(ARRAYFORMULA(VLOOKUP(TRIM(SPLIT('Final Report'!A1682, "","")), 'URL Details'!A:D, 4, FALSE)),"""") ), CHAR(10),"&amp;" "",""), ""\s*,\s*"", "",""), "","")))&lt;&gt;"""" ) ) ) ),"""")
"),"")</f>
        <v/>
      </c>
      <c r="D1682" s="105"/>
      <c r="E1682" s="105"/>
      <c r="F1682" s="110" t="b">
        <v>0</v>
      </c>
      <c r="G1682" s="105" t="str">
        <f>IF(F1682=True, IFERROR(VLOOKUP(D1682, Repository!A:B, 2, 0), ""), "")</f>
        <v/>
      </c>
      <c r="H1682" s="105"/>
      <c r="I1682" s="105"/>
      <c r="J1682" s="105" t="str">
        <f>IF(F1682=True, IFERROR(VLOOKUP(D1682, Repository!A:C, 3, 0), ""), "")</f>
        <v/>
      </c>
      <c r="K1682" s="105"/>
      <c r="L1682" s="105" t="str">
        <f>IF(F1682=True, IFERROR(VLOOKUP(D1682, Repository!A:E, 5, 0), ""), "")</f>
        <v/>
      </c>
      <c r="M1682" s="105"/>
      <c r="N1682" s="105" t="str">
        <f>IF(F1682=True, IFERROR(VLOOKUP(D1682, Repository!A:G, 7, 0), ""), "")</f>
        <v/>
      </c>
      <c r="O1682" s="105" t="str">
        <f>IFERROR(__xludf.DUMMYFUNCTION("ARRAY_CONSTRAIN(
  ARRAYFORMULA(
    IFERROR(
      LET(
        list, N1682,
        arr, TRIM(SPLIT(list, "","")),
        names, XLOOKUP(
          arr,
          'Conformance Score'!A:A,
          'Conformance Score'!B:B,
          ""Not found""
     "&amp;"   ),
        TEXTJOIN("", "", TRUE, names)
      ),
      """"
    )
  ),
  1,
  1
)
"),"")</f>
        <v/>
      </c>
      <c r="P1682" s="105" t="str">
        <f>IF(F1682="Yes", IFERROR(VLOOKUP(D1682, Repository!A:F, 6, 0), ""), "")</f>
        <v/>
      </c>
      <c r="Q1682" s="105" t="str">
        <f>IF(F1682="Yes", IFERROR(VLOOKUP(D1682, Repository!A:I, 8, 0), ""), "")</f>
        <v/>
      </c>
      <c r="R1682" s="105" t="str">
        <f>IF(F1682="Yes", IFERROR(VLOOKUP(D1682, Repository!A:J, 9, 0), ""), "")</f>
        <v/>
      </c>
      <c r="S1682" s="105"/>
      <c r="T1682" s="105"/>
      <c r="U1682" s="105"/>
      <c r="V1682" s="105"/>
      <c r="W1682" s="105"/>
      <c r="X1682" s="105"/>
      <c r="Y1682" s="105"/>
      <c r="Z1682" s="105"/>
      <c r="AA1682" s="105"/>
      <c r="AB1682" s="105"/>
      <c r="AC1682" s="91"/>
      <c r="AD1682" s="105"/>
      <c r="AE1682" s="105"/>
      <c r="AF1682" s="91"/>
      <c r="AG1682" s="105"/>
      <c r="AH1682" s="105"/>
      <c r="AI1682" s="105" t="str">
        <f t="shared" si="1"/>
        <v/>
      </c>
      <c r="AJ1682" s="108" t="str">
        <f t="shared" si="2"/>
        <v/>
      </c>
    </row>
    <row r="1683" ht="15.75" customHeight="1">
      <c r="A1683" s="104"/>
      <c r="B1683" s="105" t="str">
        <f>IFERROR(__xludf.DUMMYFUNCTION("ARRAY_CONSTRAIN(
  ARRAYFORMULA(
    IF(
      'Final Report'!A1683="""",
      """",
      TEXTJOIN(
        "", "" &amp; CHAR(10),
        TRUE,
        IFERROR(
          VLOOKUP(
            TRIM(
              SPLIT('Final Report'!A1683, "","")
         "&amp;"   ),
            'URL Details'!A:B,
            2,
            FALSE
          ),
          """"
        )
      )
    )
  ),
  1,
  1
)
"),"")</f>
        <v/>
      </c>
      <c r="C1683" s="105" t="str">
        <f>IFERROR(__xludf.DUMMYFUNCTION("IFERROR(IF('Final Report'!A1683="""","""", TEXTJOIN(CHAR(10), TRUE, ARRAYFORMULA( ""• ""&amp; FILTER( TRIM(FLATTEN(SPLIT( REGEXREPLACE( SUBSTITUTE(TEXTJOIN("","", TRUE, IFERROR(ARRAYFORMULA(VLOOKUP(TRIM(SPLIT('Final Report'!A1683, "","")), 'URL Details'!A:D, "&amp;"4, FALSE)),"""") ), CHAR(10), "",""), ""\s*,\s*"", "",""), "",""))), TRIM(FLATTEN(SPLIT( REGEXREPLACE( SUBSTITUTE(TEXTJOIN("","", TRUE, IFERROR(ARRAYFORMULA(VLOOKUP(TRIM(SPLIT('Final Report'!A1683, "","")), 'URL Details'!A:D, 4, FALSE)),"""") ), CHAR(10),"&amp;" "",""), ""\s*,\s*"", "",""), "","")))&lt;&gt;"""" ) ) ) ),"""")
"),"")</f>
        <v/>
      </c>
      <c r="D1683" s="105"/>
      <c r="E1683" s="105"/>
      <c r="F1683" s="110" t="b">
        <v>0</v>
      </c>
      <c r="G1683" s="105" t="str">
        <f>IF(F1683=True, IFERROR(VLOOKUP(D1683, Repository!A:B, 2, 0), ""), "")</f>
        <v/>
      </c>
      <c r="H1683" s="105"/>
      <c r="I1683" s="105"/>
      <c r="J1683" s="105" t="str">
        <f>IF(F1683=True, IFERROR(VLOOKUP(D1683, Repository!A:C, 3, 0), ""), "")</f>
        <v/>
      </c>
      <c r="K1683" s="105"/>
      <c r="L1683" s="105" t="str">
        <f>IF(F1683=True, IFERROR(VLOOKUP(D1683, Repository!A:E, 5, 0), ""), "")</f>
        <v/>
      </c>
      <c r="M1683" s="105"/>
      <c r="N1683" s="105" t="str">
        <f>IF(F1683=True, IFERROR(VLOOKUP(D1683, Repository!A:G, 7, 0), ""), "")</f>
        <v/>
      </c>
      <c r="O1683" s="105" t="str">
        <f>IFERROR(__xludf.DUMMYFUNCTION("ARRAY_CONSTRAIN(
  ARRAYFORMULA(
    IFERROR(
      LET(
        list, N1683,
        arr, TRIM(SPLIT(list, "","")),
        names, XLOOKUP(
          arr,
          'Conformance Score'!A:A,
          'Conformance Score'!B:B,
          ""Not found""
     "&amp;"   ),
        TEXTJOIN("", "", TRUE, names)
      ),
      """"
    )
  ),
  1,
  1
)
"),"")</f>
        <v/>
      </c>
      <c r="P1683" s="105" t="str">
        <f>IF(F1683="Yes", IFERROR(VLOOKUP(D1683, Repository!A:F, 6, 0), ""), "")</f>
        <v/>
      </c>
      <c r="Q1683" s="105" t="str">
        <f>IF(F1683="Yes", IFERROR(VLOOKUP(D1683, Repository!A:I, 8, 0), ""), "")</f>
        <v/>
      </c>
      <c r="R1683" s="105" t="str">
        <f>IF(F1683="Yes", IFERROR(VLOOKUP(D1683, Repository!A:J, 9, 0), ""), "")</f>
        <v/>
      </c>
      <c r="S1683" s="105"/>
      <c r="T1683" s="105"/>
      <c r="U1683" s="105"/>
      <c r="V1683" s="105"/>
      <c r="W1683" s="105"/>
      <c r="X1683" s="105"/>
      <c r="Y1683" s="105"/>
      <c r="Z1683" s="105"/>
      <c r="AA1683" s="105"/>
      <c r="AB1683" s="105"/>
      <c r="AC1683" s="91"/>
      <c r="AD1683" s="105"/>
      <c r="AE1683" s="105"/>
      <c r="AF1683" s="91"/>
      <c r="AG1683" s="105"/>
      <c r="AH1683" s="105"/>
      <c r="AI1683" s="105" t="str">
        <f t="shared" si="1"/>
        <v/>
      </c>
      <c r="AJ1683" s="108" t="str">
        <f t="shared" si="2"/>
        <v/>
      </c>
    </row>
    <row r="1684" ht="15.75" customHeight="1">
      <c r="A1684" s="104"/>
      <c r="B1684" s="105" t="str">
        <f>IFERROR(__xludf.DUMMYFUNCTION("ARRAY_CONSTRAIN(
  ARRAYFORMULA(
    IF(
      'Final Report'!A1684="""",
      """",
      TEXTJOIN(
        "", "" &amp; CHAR(10),
        TRUE,
        IFERROR(
          VLOOKUP(
            TRIM(
              SPLIT('Final Report'!A1684, "","")
         "&amp;"   ),
            'URL Details'!A:B,
            2,
            FALSE
          ),
          """"
        )
      )
    )
  ),
  1,
  1
)
"),"")</f>
        <v/>
      </c>
      <c r="C1684" s="105" t="str">
        <f>IFERROR(__xludf.DUMMYFUNCTION("IFERROR(IF('Final Report'!A1684="""","""", TEXTJOIN(CHAR(10), TRUE, ARRAYFORMULA( ""• ""&amp; FILTER( TRIM(FLATTEN(SPLIT( REGEXREPLACE( SUBSTITUTE(TEXTJOIN("","", TRUE, IFERROR(ARRAYFORMULA(VLOOKUP(TRIM(SPLIT('Final Report'!A1684, "","")), 'URL Details'!A:D, "&amp;"4, FALSE)),"""") ), CHAR(10), "",""), ""\s*,\s*"", "",""), "",""))), TRIM(FLATTEN(SPLIT( REGEXREPLACE( SUBSTITUTE(TEXTJOIN("","", TRUE, IFERROR(ARRAYFORMULA(VLOOKUP(TRIM(SPLIT('Final Report'!A1684, "","")), 'URL Details'!A:D, 4, FALSE)),"""") ), CHAR(10),"&amp;" "",""), ""\s*,\s*"", "",""), "","")))&lt;&gt;"""" ) ) ) ),"""")
"),"")</f>
        <v/>
      </c>
      <c r="D1684" s="105"/>
      <c r="E1684" s="105"/>
      <c r="F1684" s="110" t="b">
        <v>0</v>
      </c>
      <c r="G1684" s="105" t="str">
        <f>IF(F1684=True, IFERROR(VLOOKUP(D1684, Repository!A:B, 2, 0), ""), "")</f>
        <v/>
      </c>
      <c r="H1684" s="105"/>
      <c r="I1684" s="105"/>
      <c r="J1684" s="105" t="str">
        <f>IF(F1684=True, IFERROR(VLOOKUP(D1684, Repository!A:C, 3, 0), ""), "")</f>
        <v/>
      </c>
      <c r="K1684" s="105"/>
      <c r="L1684" s="105" t="str">
        <f>IF(F1684=True, IFERROR(VLOOKUP(D1684, Repository!A:E, 5, 0), ""), "")</f>
        <v/>
      </c>
      <c r="M1684" s="105"/>
      <c r="N1684" s="105" t="str">
        <f>IF(F1684=True, IFERROR(VLOOKUP(D1684, Repository!A:G, 7, 0), ""), "")</f>
        <v/>
      </c>
      <c r="O1684" s="105" t="str">
        <f>IFERROR(__xludf.DUMMYFUNCTION("ARRAY_CONSTRAIN(
  ARRAYFORMULA(
    IFERROR(
      LET(
        list, N1684,
        arr, TRIM(SPLIT(list, "","")),
        names, XLOOKUP(
          arr,
          'Conformance Score'!A:A,
          'Conformance Score'!B:B,
          ""Not found""
     "&amp;"   ),
        TEXTJOIN("", "", TRUE, names)
      ),
      """"
    )
  ),
  1,
  1
)
"),"")</f>
        <v/>
      </c>
      <c r="P1684" s="105" t="str">
        <f>IF(F1684="Yes", IFERROR(VLOOKUP(D1684, Repository!A:F, 6, 0), ""), "")</f>
        <v/>
      </c>
      <c r="Q1684" s="105" t="str">
        <f>IF(F1684="Yes", IFERROR(VLOOKUP(D1684, Repository!A:I, 8, 0), ""), "")</f>
        <v/>
      </c>
      <c r="R1684" s="105" t="str">
        <f>IF(F1684="Yes", IFERROR(VLOOKUP(D1684, Repository!A:J, 9, 0), ""), "")</f>
        <v/>
      </c>
      <c r="S1684" s="105"/>
      <c r="T1684" s="105"/>
      <c r="U1684" s="105"/>
      <c r="V1684" s="105"/>
      <c r="W1684" s="105"/>
      <c r="X1684" s="105"/>
      <c r="Y1684" s="105"/>
      <c r="Z1684" s="105"/>
      <c r="AA1684" s="105"/>
      <c r="AB1684" s="105"/>
      <c r="AC1684" s="91"/>
      <c r="AD1684" s="105"/>
      <c r="AE1684" s="105"/>
      <c r="AF1684" s="91"/>
      <c r="AG1684" s="105"/>
      <c r="AH1684" s="105"/>
      <c r="AI1684" s="105" t="str">
        <f t="shared" si="1"/>
        <v/>
      </c>
      <c r="AJ1684" s="108" t="str">
        <f t="shared" si="2"/>
        <v/>
      </c>
    </row>
    <row r="1685" ht="15.75" customHeight="1">
      <c r="A1685" s="104"/>
      <c r="B1685" s="105" t="str">
        <f>IFERROR(__xludf.DUMMYFUNCTION("ARRAY_CONSTRAIN(
  ARRAYFORMULA(
    IF(
      'Final Report'!A1685="""",
      """",
      TEXTJOIN(
        "", "" &amp; CHAR(10),
        TRUE,
        IFERROR(
          VLOOKUP(
            TRIM(
              SPLIT('Final Report'!A1685, "","")
         "&amp;"   ),
            'URL Details'!A:B,
            2,
            FALSE
          ),
          """"
        )
      )
    )
  ),
  1,
  1
)
"),"")</f>
        <v/>
      </c>
      <c r="C1685" s="105" t="str">
        <f>IFERROR(__xludf.DUMMYFUNCTION("IFERROR(IF('Final Report'!A1685="""","""", TEXTJOIN(CHAR(10), TRUE, ARRAYFORMULA( ""• ""&amp; FILTER( TRIM(FLATTEN(SPLIT( REGEXREPLACE( SUBSTITUTE(TEXTJOIN("","", TRUE, IFERROR(ARRAYFORMULA(VLOOKUP(TRIM(SPLIT('Final Report'!A1685, "","")), 'URL Details'!A:D, "&amp;"4, FALSE)),"""") ), CHAR(10), "",""), ""\s*,\s*"", "",""), "",""))), TRIM(FLATTEN(SPLIT( REGEXREPLACE( SUBSTITUTE(TEXTJOIN("","", TRUE, IFERROR(ARRAYFORMULA(VLOOKUP(TRIM(SPLIT('Final Report'!A1685, "","")), 'URL Details'!A:D, 4, FALSE)),"""") ), CHAR(10),"&amp;" "",""), ""\s*,\s*"", "",""), "","")))&lt;&gt;"""" ) ) ) ),"""")
"),"")</f>
        <v/>
      </c>
      <c r="D1685" s="105"/>
      <c r="E1685" s="105"/>
      <c r="F1685" s="110" t="b">
        <v>0</v>
      </c>
      <c r="G1685" s="105" t="str">
        <f>IF(F1685=True, IFERROR(VLOOKUP(D1685, Repository!A:B, 2, 0), ""), "")</f>
        <v/>
      </c>
      <c r="H1685" s="105"/>
      <c r="I1685" s="105"/>
      <c r="J1685" s="105" t="str">
        <f>IF(F1685=True, IFERROR(VLOOKUP(D1685, Repository!A:C, 3, 0), ""), "")</f>
        <v/>
      </c>
      <c r="K1685" s="105"/>
      <c r="L1685" s="105" t="str">
        <f>IF(F1685=True, IFERROR(VLOOKUP(D1685, Repository!A:E, 5, 0), ""), "")</f>
        <v/>
      </c>
      <c r="M1685" s="105"/>
      <c r="N1685" s="105" t="str">
        <f>IF(F1685=True, IFERROR(VLOOKUP(D1685, Repository!A:G, 7, 0), ""), "")</f>
        <v/>
      </c>
      <c r="O1685" s="105" t="str">
        <f>IFERROR(__xludf.DUMMYFUNCTION("ARRAY_CONSTRAIN(
  ARRAYFORMULA(
    IFERROR(
      LET(
        list, N1685,
        arr, TRIM(SPLIT(list, "","")),
        names, XLOOKUP(
          arr,
          'Conformance Score'!A:A,
          'Conformance Score'!B:B,
          ""Not found""
     "&amp;"   ),
        TEXTJOIN("", "", TRUE, names)
      ),
      """"
    )
  ),
  1,
  1
)
"),"")</f>
        <v/>
      </c>
      <c r="P1685" s="105" t="str">
        <f>IF(F1685="Yes", IFERROR(VLOOKUP(D1685, Repository!A:F, 6, 0), ""), "")</f>
        <v/>
      </c>
      <c r="Q1685" s="105" t="str">
        <f>IF(F1685="Yes", IFERROR(VLOOKUP(D1685, Repository!A:I, 8, 0), ""), "")</f>
        <v/>
      </c>
      <c r="R1685" s="105" t="str">
        <f>IF(F1685="Yes", IFERROR(VLOOKUP(D1685, Repository!A:J, 9, 0), ""), "")</f>
        <v/>
      </c>
      <c r="S1685" s="105"/>
      <c r="T1685" s="105"/>
      <c r="U1685" s="105"/>
      <c r="V1685" s="105"/>
      <c r="W1685" s="105"/>
      <c r="X1685" s="105"/>
      <c r="Y1685" s="105"/>
      <c r="Z1685" s="105"/>
      <c r="AA1685" s="105"/>
      <c r="AB1685" s="105"/>
      <c r="AC1685" s="91"/>
      <c r="AD1685" s="105"/>
      <c r="AE1685" s="105"/>
      <c r="AF1685" s="91"/>
      <c r="AG1685" s="105"/>
      <c r="AH1685" s="105"/>
      <c r="AI1685" s="105" t="str">
        <f t="shared" si="1"/>
        <v/>
      </c>
      <c r="AJ1685" s="108" t="str">
        <f t="shared" si="2"/>
        <v/>
      </c>
    </row>
    <row r="1686" ht="15.75" customHeight="1">
      <c r="A1686" s="104"/>
      <c r="B1686" s="105" t="str">
        <f>IFERROR(__xludf.DUMMYFUNCTION("ARRAY_CONSTRAIN(
  ARRAYFORMULA(
    IF(
      'Final Report'!A1686="""",
      """",
      TEXTJOIN(
        "", "" &amp; CHAR(10),
        TRUE,
        IFERROR(
          VLOOKUP(
            TRIM(
              SPLIT('Final Report'!A1686, "","")
         "&amp;"   ),
            'URL Details'!A:B,
            2,
            FALSE
          ),
          """"
        )
      )
    )
  ),
  1,
  1
)
"),"")</f>
        <v/>
      </c>
      <c r="C1686" s="105" t="str">
        <f>IFERROR(__xludf.DUMMYFUNCTION("IFERROR(IF('Final Report'!A1686="""","""", TEXTJOIN(CHAR(10), TRUE, ARRAYFORMULA( ""• ""&amp; FILTER( TRIM(FLATTEN(SPLIT( REGEXREPLACE( SUBSTITUTE(TEXTJOIN("","", TRUE, IFERROR(ARRAYFORMULA(VLOOKUP(TRIM(SPLIT('Final Report'!A1686, "","")), 'URL Details'!A:D, "&amp;"4, FALSE)),"""") ), CHAR(10), "",""), ""\s*,\s*"", "",""), "",""))), TRIM(FLATTEN(SPLIT( REGEXREPLACE( SUBSTITUTE(TEXTJOIN("","", TRUE, IFERROR(ARRAYFORMULA(VLOOKUP(TRIM(SPLIT('Final Report'!A1686, "","")), 'URL Details'!A:D, 4, FALSE)),"""") ), CHAR(10),"&amp;" "",""), ""\s*,\s*"", "",""), "","")))&lt;&gt;"""" ) ) ) ),"""")
"),"")</f>
        <v/>
      </c>
      <c r="D1686" s="105"/>
      <c r="E1686" s="105"/>
      <c r="F1686" s="110" t="b">
        <v>0</v>
      </c>
      <c r="G1686" s="105" t="str">
        <f>IF(F1686=True, IFERROR(VLOOKUP(D1686, Repository!A:B, 2, 0), ""), "")</f>
        <v/>
      </c>
      <c r="H1686" s="105"/>
      <c r="I1686" s="105"/>
      <c r="J1686" s="105" t="str">
        <f>IF(F1686=True, IFERROR(VLOOKUP(D1686, Repository!A:C, 3, 0), ""), "")</f>
        <v/>
      </c>
      <c r="K1686" s="105"/>
      <c r="L1686" s="105" t="str">
        <f>IF(F1686=True, IFERROR(VLOOKUP(D1686, Repository!A:E, 5, 0), ""), "")</f>
        <v/>
      </c>
      <c r="M1686" s="105"/>
      <c r="N1686" s="105" t="str">
        <f>IF(F1686=True, IFERROR(VLOOKUP(D1686, Repository!A:G, 7, 0), ""), "")</f>
        <v/>
      </c>
      <c r="O1686" s="105" t="str">
        <f>IFERROR(__xludf.DUMMYFUNCTION("ARRAY_CONSTRAIN(
  ARRAYFORMULA(
    IFERROR(
      LET(
        list, N1686,
        arr, TRIM(SPLIT(list, "","")),
        names, XLOOKUP(
          arr,
          'Conformance Score'!A:A,
          'Conformance Score'!B:B,
          ""Not found""
     "&amp;"   ),
        TEXTJOIN("", "", TRUE, names)
      ),
      """"
    )
  ),
  1,
  1
)
"),"")</f>
        <v/>
      </c>
      <c r="P1686" s="105" t="str">
        <f>IF(F1686="Yes", IFERROR(VLOOKUP(D1686, Repository!A:F, 6, 0), ""), "")</f>
        <v/>
      </c>
      <c r="Q1686" s="105" t="str">
        <f>IF(F1686="Yes", IFERROR(VLOOKUP(D1686, Repository!A:I, 8, 0), ""), "")</f>
        <v/>
      </c>
      <c r="R1686" s="105" t="str">
        <f>IF(F1686="Yes", IFERROR(VLOOKUP(D1686, Repository!A:J, 9, 0), ""), "")</f>
        <v/>
      </c>
      <c r="S1686" s="105"/>
      <c r="T1686" s="105"/>
      <c r="U1686" s="105"/>
      <c r="V1686" s="105"/>
      <c r="W1686" s="105"/>
      <c r="X1686" s="105"/>
      <c r="Y1686" s="105"/>
      <c r="Z1686" s="105"/>
      <c r="AA1686" s="105"/>
      <c r="AB1686" s="105"/>
      <c r="AC1686" s="91"/>
      <c r="AD1686" s="105"/>
      <c r="AE1686" s="105"/>
      <c r="AF1686" s="91"/>
      <c r="AG1686" s="105"/>
      <c r="AH1686" s="105"/>
      <c r="AI1686" s="105" t="str">
        <f t="shared" si="1"/>
        <v/>
      </c>
      <c r="AJ1686" s="108" t="str">
        <f t="shared" si="2"/>
        <v/>
      </c>
    </row>
    <row r="1687" ht="15.75" customHeight="1">
      <c r="A1687" s="104"/>
      <c r="B1687" s="105" t="str">
        <f>IFERROR(__xludf.DUMMYFUNCTION("ARRAY_CONSTRAIN(
  ARRAYFORMULA(
    IF(
      'Final Report'!A1687="""",
      """",
      TEXTJOIN(
        "", "" &amp; CHAR(10),
        TRUE,
        IFERROR(
          VLOOKUP(
            TRIM(
              SPLIT('Final Report'!A1687, "","")
         "&amp;"   ),
            'URL Details'!A:B,
            2,
            FALSE
          ),
          """"
        )
      )
    )
  ),
  1,
  1
)
"),"")</f>
        <v/>
      </c>
      <c r="C1687" s="105" t="str">
        <f>IFERROR(__xludf.DUMMYFUNCTION("IFERROR(IF('Final Report'!A1687="""","""", TEXTJOIN(CHAR(10), TRUE, ARRAYFORMULA( ""• ""&amp; FILTER( TRIM(FLATTEN(SPLIT( REGEXREPLACE( SUBSTITUTE(TEXTJOIN("","", TRUE, IFERROR(ARRAYFORMULA(VLOOKUP(TRIM(SPLIT('Final Report'!A1687, "","")), 'URL Details'!A:D, "&amp;"4, FALSE)),"""") ), CHAR(10), "",""), ""\s*,\s*"", "",""), "",""))), TRIM(FLATTEN(SPLIT( REGEXREPLACE( SUBSTITUTE(TEXTJOIN("","", TRUE, IFERROR(ARRAYFORMULA(VLOOKUP(TRIM(SPLIT('Final Report'!A1687, "","")), 'URL Details'!A:D, 4, FALSE)),"""") ), CHAR(10),"&amp;" "",""), ""\s*,\s*"", "",""), "","")))&lt;&gt;"""" ) ) ) ),"""")
"),"")</f>
        <v/>
      </c>
      <c r="D1687" s="105"/>
      <c r="E1687" s="105"/>
      <c r="F1687" s="110" t="b">
        <v>0</v>
      </c>
      <c r="G1687" s="105" t="str">
        <f>IF(F1687=True, IFERROR(VLOOKUP(D1687, Repository!A:B, 2, 0), ""), "")</f>
        <v/>
      </c>
      <c r="H1687" s="105"/>
      <c r="I1687" s="105"/>
      <c r="J1687" s="105" t="str">
        <f>IF(F1687=True, IFERROR(VLOOKUP(D1687, Repository!A:C, 3, 0), ""), "")</f>
        <v/>
      </c>
      <c r="K1687" s="105"/>
      <c r="L1687" s="105" t="str">
        <f>IF(F1687=True, IFERROR(VLOOKUP(D1687, Repository!A:E, 5, 0), ""), "")</f>
        <v/>
      </c>
      <c r="M1687" s="105"/>
      <c r="N1687" s="105" t="str">
        <f>IF(F1687=True, IFERROR(VLOOKUP(D1687, Repository!A:G, 7, 0), ""), "")</f>
        <v/>
      </c>
      <c r="O1687" s="105" t="str">
        <f>IFERROR(__xludf.DUMMYFUNCTION("ARRAY_CONSTRAIN(
  ARRAYFORMULA(
    IFERROR(
      LET(
        list, N1687,
        arr, TRIM(SPLIT(list, "","")),
        names, XLOOKUP(
          arr,
          'Conformance Score'!A:A,
          'Conformance Score'!B:B,
          ""Not found""
     "&amp;"   ),
        TEXTJOIN("", "", TRUE, names)
      ),
      """"
    )
  ),
  1,
  1
)
"),"")</f>
        <v/>
      </c>
      <c r="P1687" s="105" t="str">
        <f>IF(F1687="Yes", IFERROR(VLOOKUP(D1687, Repository!A:F, 6, 0), ""), "")</f>
        <v/>
      </c>
      <c r="Q1687" s="105" t="str">
        <f>IF(F1687="Yes", IFERROR(VLOOKUP(D1687, Repository!A:I, 8, 0), ""), "")</f>
        <v/>
      </c>
      <c r="R1687" s="105" t="str">
        <f>IF(F1687="Yes", IFERROR(VLOOKUP(D1687, Repository!A:J, 9, 0), ""), "")</f>
        <v/>
      </c>
      <c r="S1687" s="105"/>
      <c r="T1687" s="105"/>
      <c r="U1687" s="105"/>
      <c r="V1687" s="105"/>
      <c r="W1687" s="105"/>
      <c r="X1687" s="105"/>
      <c r="Y1687" s="105"/>
      <c r="Z1687" s="105"/>
      <c r="AA1687" s="105"/>
      <c r="AB1687" s="105"/>
      <c r="AC1687" s="91"/>
      <c r="AD1687" s="105"/>
      <c r="AE1687" s="105"/>
      <c r="AF1687" s="91"/>
      <c r="AG1687" s="105"/>
      <c r="AH1687" s="105"/>
      <c r="AI1687" s="105" t="str">
        <f t="shared" si="1"/>
        <v/>
      </c>
      <c r="AJ1687" s="108" t="str">
        <f t="shared" si="2"/>
        <v/>
      </c>
    </row>
    <row r="1688" ht="15.75" customHeight="1">
      <c r="A1688" s="104"/>
      <c r="B1688" s="105" t="str">
        <f>IFERROR(__xludf.DUMMYFUNCTION("ARRAY_CONSTRAIN(
  ARRAYFORMULA(
    IF(
      'Final Report'!A1688="""",
      """",
      TEXTJOIN(
        "", "" &amp; CHAR(10),
        TRUE,
        IFERROR(
          VLOOKUP(
            TRIM(
              SPLIT('Final Report'!A1688, "","")
         "&amp;"   ),
            'URL Details'!A:B,
            2,
            FALSE
          ),
          """"
        )
      )
    )
  ),
  1,
  1
)
"),"")</f>
        <v/>
      </c>
      <c r="C1688" s="105" t="str">
        <f>IFERROR(__xludf.DUMMYFUNCTION("IFERROR(IF('Final Report'!A1688="""","""", TEXTJOIN(CHAR(10), TRUE, ARRAYFORMULA( ""• ""&amp; FILTER( TRIM(FLATTEN(SPLIT( REGEXREPLACE( SUBSTITUTE(TEXTJOIN("","", TRUE, IFERROR(ARRAYFORMULA(VLOOKUP(TRIM(SPLIT('Final Report'!A1688, "","")), 'URL Details'!A:D, "&amp;"4, FALSE)),"""") ), CHAR(10), "",""), ""\s*,\s*"", "",""), "",""))), TRIM(FLATTEN(SPLIT( REGEXREPLACE( SUBSTITUTE(TEXTJOIN("","", TRUE, IFERROR(ARRAYFORMULA(VLOOKUP(TRIM(SPLIT('Final Report'!A1688, "","")), 'URL Details'!A:D, 4, FALSE)),"""") ), CHAR(10),"&amp;" "",""), ""\s*,\s*"", "",""), "","")))&lt;&gt;"""" ) ) ) ),"""")
"),"")</f>
        <v/>
      </c>
      <c r="D1688" s="105"/>
      <c r="E1688" s="105"/>
      <c r="F1688" s="110" t="b">
        <v>0</v>
      </c>
      <c r="G1688" s="105" t="str">
        <f>IF(F1688=True, IFERROR(VLOOKUP(D1688, Repository!A:B, 2, 0), ""), "")</f>
        <v/>
      </c>
      <c r="H1688" s="105"/>
      <c r="I1688" s="105"/>
      <c r="J1688" s="105" t="str">
        <f>IF(F1688=True, IFERROR(VLOOKUP(D1688, Repository!A:C, 3, 0), ""), "")</f>
        <v/>
      </c>
      <c r="K1688" s="105"/>
      <c r="L1688" s="105" t="str">
        <f>IF(F1688=True, IFERROR(VLOOKUP(D1688, Repository!A:E, 5, 0), ""), "")</f>
        <v/>
      </c>
      <c r="M1688" s="105"/>
      <c r="N1688" s="105" t="str">
        <f>IF(F1688=True, IFERROR(VLOOKUP(D1688, Repository!A:G, 7, 0), ""), "")</f>
        <v/>
      </c>
      <c r="O1688" s="105" t="str">
        <f>IFERROR(__xludf.DUMMYFUNCTION("ARRAY_CONSTRAIN(
  ARRAYFORMULA(
    IFERROR(
      LET(
        list, N1688,
        arr, TRIM(SPLIT(list, "","")),
        names, XLOOKUP(
          arr,
          'Conformance Score'!A:A,
          'Conformance Score'!B:B,
          ""Not found""
     "&amp;"   ),
        TEXTJOIN("", "", TRUE, names)
      ),
      """"
    )
  ),
  1,
  1
)
"),"")</f>
        <v/>
      </c>
      <c r="P1688" s="105" t="str">
        <f>IF(F1688="Yes", IFERROR(VLOOKUP(D1688, Repository!A:F, 6, 0), ""), "")</f>
        <v/>
      </c>
      <c r="Q1688" s="105" t="str">
        <f>IF(F1688="Yes", IFERROR(VLOOKUP(D1688, Repository!A:I, 8, 0), ""), "")</f>
        <v/>
      </c>
      <c r="R1688" s="105" t="str">
        <f>IF(F1688="Yes", IFERROR(VLOOKUP(D1688, Repository!A:J, 9, 0), ""), "")</f>
        <v/>
      </c>
      <c r="S1688" s="105"/>
      <c r="T1688" s="105"/>
      <c r="U1688" s="105"/>
      <c r="V1688" s="105"/>
      <c r="W1688" s="105"/>
      <c r="X1688" s="105"/>
      <c r="Y1688" s="105"/>
      <c r="Z1688" s="105"/>
      <c r="AA1688" s="105"/>
      <c r="AB1688" s="105"/>
      <c r="AC1688" s="91"/>
      <c r="AD1688" s="105"/>
      <c r="AE1688" s="105"/>
      <c r="AF1688" s="91"/>
      <c r="AG1688" s="105"/>
      <c r="AH1688" s="105"/>
      <c r="AI1688" s="105" t="str">
        <f t="shared" si="1"/>
        <v/>
      </c>
      <c r="AJ1688" s="108" t="str">
        <f t="shared" si="2"/>
        <v/>
      </c>
    </row>
    <row r="1689" ht="15.75" customHeight="1">
      <c r="A1689" s="104"/>
      <c r="B1689" s="105" t="str">
        <f>IFERROR(__xludf.DUMMYFUNCTION("ARRAY_CONSTRAIN(
  ARRAYFORMULA(
    IF(
      'Final Report'!A1689="""",
      """",
      TEXTJOIN(
        "", "" &amp; CHAR(10),
        TRUE,
        IFERROR(
          VLOOKUP(
            TRIM(
              SPLIT('Final Report'!A1689, "","")
         "&amp;"   ),
            'URL Details'!A:B,
            2,
            FALSE
          ),
          """"
        )
      )
    )
  ),
  1,
  1
)
"),"")</f>
        <v/>
      </c>
      <c r="C1689" s="105" t="str">
        <f>IFERROR(__xludf.DUMMYFUNCTION("IFERROR(IF('Final Report'!A1689="""","""", TEXTJOIN(CHAR(10), TRUE, ARRAYFORMULA( ""• ""&amp; FILTER( TRIM(FLATTEN(SPLIT( REGEXREPLACE( SUBSTITUTE(TEXTJOIN("","", TRUE, IFERROR(ARRAYFORMULA(VLOOKUP(TRIM(SPLIT('Final Report'!A1689, "","")), 'URL Details'!A:D, "&amp;"4, FALSE)),"""") ), CHAR(10), "",""), ""\s*,\s*"", "",""), "",""))), TRIM(FLATTEN(SPLIT( REGEXREPLACE( SUBSTITUTE(TEXTJOIN("","", TRUE, IFERROR(ARRAYFORMULA(VLOOKUP(TRIM(SPLIT('Final Report'!A1689, "","")), 'URL Details'!A:D, 4, FALSE)),"""") ), CHAR(10),"&amp;" "",""), ""\s*,\s*"", "",""), "","")))&lt;&gt;"""" ) ) ) ),"""")
"),"")</f>
        <v/>
      </c>
      <c r="D1689" s="105"/>
      <c r="E1689" s="105"/>
      <c r="F1689" s="110" t="b">
        <v>0</v>
      </c>
      <c r="G1689" s="105" t="str">
        <f>IF(F1689=True, IFERROR(VLOOKUP(D1689, Repository!A:B, 2, 0), ""), "")</f>
        <v/>
      </c>
      <c r="H1689" s="105"/>
      <c r="I1689" s="105"/>
      <c r="J1689" s="105" t="str">
        <f>IF(F1689=True, IFERROR(VLOOKUP(D1689, Repository!A:C, 3, 0), ""), "")</f>
        <v/>
      </c>
      <c r="K1689" s="105"/>
      <c r="L1689" s="105" t="str">
        <f>IF(F1689=True, IFERROR(VLOOKUP(D1689, Repository!A:E, 5, 0), ""), "")</f>
        <v/>
      </c>
      <c r="M1689" s="105"/>
      <c r="N1689" s="105" t="str">
        <f>IF(F1689=True, IFERROR(VLOOKUP(D1689, Repository!A:G, 7, 0), ""), "")</f>
        <v/>
      </c>
      <c r="O1689" s="105" t="str">
        <f>IFERROR(__xludf.DUMMYFUNCTION("ARRAY_CONSTRAIN(
  ARRAYFORMULA(
    IFERROR(
      LET(
        list, N1689,
        arr, TRIM(SPLIT(list, "","")),
        names, XLOOKUP(
          arr,
          'Conformance Score'!A:A,
          'Conformance Score'!B:B,
          ""Not found""
     "&amp;"   ),
        TEXTJOIN("", "", TRUE, names)
      ),
      """"
    )
  ),
  1,
  1
)
"),"")</f>
        <v/>
      </c>
      <c r="P1689" s="105" t="str">
        <f>IF(F1689="Yes", IFERROR(VLOOKUP(D1689, Repository!A:F, 6, 0), ""), "")</f>
        <v/>
      </c>
      <c r="Q1689" s="105" t="str">
        <f>IF(F1689="Yes", IFERROR(VLOOKUP(D1689, Repository!A:I, 8, 0), ""), "")</f>
        <v/>
      </c>
      <c r="R1689" s="105" t="str">
        <f>IF(F1689="Yes", IFERROR(VLOOKUP(D1689, Repository!A:J, 9, 0), ""), "")</f>
        <v/>
      </c>
      <c r="S1689" s="105"/>
      <c r="T1689" s="105"/>
      <c r="U1689" s="105"/>
      <c r="V1689" s="105"/>
      <c r="W1689" s="105"/>
      <c r="X1689" s="105"/>
      <c r="Y1689" s="105"/>
      <c r="Z1689" s="105"/>
      <c r="AA1689" s="105"/>
      <c r="AB1689" s="105"/>
      <c r="AC1689" s="91"/>
      <c r="AD1689" s="105"/>
      <c r="AE1689" s="105"/>
      <c r="AF1689" s="91"/>
      <c r="AG1689" s="105"/>
      <c r="AH1689" s="105"/>
      <c r="AI1689" s="105" t="str">
        <f t="shared" si="1"/>
        <v/>
      </c>
      <c r="AJ1689" s="108" t="str">
        <f t="shared" si="2"/>
        <v/>
      </c>
    </row>
    <row r="1690" ht="15.75" customHeight="1">
      <c r="A1690" s="104"/>
      <c r="B1690" s="105" t="str">
        <f>IFERROR(__xludf.DUMMYFUNCTION("ARRAY_CONSTRAIN(
  ARRAYFORMULA(
    IF(
      'Final Report'!A1690="""",
      """",
      TEXTJOIN(
        "", "" &amp; CHAR(10),
        TRUE,
        IFERROR(
          VLOOKUP(
            TRIM(
              SPLIT('Final Report'!A1690, "","")
         "&amp;"   ),
            'URL Details'!A:B,
            2,
            FALSE
          ),
          """"
        )
      )
    )
  ),
  1,
  1
)
"),"")</f>
        <v/>
      </c>
      <c r="C1690" s="105" t="str">
        <f>IFERROR(__xludf.DUMMYFUNCTION("IFERROR(IF('Final Report'!A1690="""","""", TEXTJOIN(CHAR(10), TRUE, ARRAYFORMULA( ""• ""&amp; FILTER( TRIM(FLATTEN(SPLIT( REGEXREPLACE( SUBSTITUTE(TEXTJOIN("","", TRUE, IFERROR(ARRAYFORMULA(VLOOKUP(TRIM(SPLIT('Final Report'!A1690, "","")), 'URL Details'!A:D, "&amp;"4, FALSE)),"""") ), CHAR(10), "",""), ""\s*,\s*"", "",""), "",""))), TRIM(FLATTEN(SPLIT( REGEXREPLACE( SUBSTITUTE(TEXTJOIN("","", TRUE, IFERROR(ARRAYFORMULA(VLOOKUP(TRIM(SPLIT('Final Report'!A1690, "","")), 'URL Details'!A:D, 4, FALSE)),"""") ), CHAR(10),"&amp;" "",""), ""\s*,\s*"", "",""), "","")))&lt;&gt;"""" ) ) ) ),"""")
"),"")</f>
        <v/>
      </c>
      <c r="D1690" s="105"/>
      <c r="E1690" s="105"/>
      <c r="F1690" s="110" t="b">
        <v>0</v>
      </c>
      <c r="G1690" s="105" t="str">
        <f>IF(F1690=True, IFERROR(VLOOKUP(D1690, Repository!A:B, 2, 0), ""), "")</f>
        <v/>
      </c>
      <c r="H1690" s="105"/>
      <c r="I1690" s="105"/>
      <c r="J1690" s="105" t="str">
        <f>IF(F1690=True, IFERROR(VLOOKUP(D1690, Repository!A:C, 3, 0), ""), "")</f>
        <v/>
      </c>
      <c r="K1690" s="105"/>
      <c r="L1690" s="105" t="str">
        <f>IF(F1690=True, IFERROR(VLOOKUP(D1690, Repository!A:E, 5, 0), ""), "")</f>
        <v/>
      </c>
      <c r="M1690" s="105"/>
      <c r="N1690" s="105" t="str">
        <f>IF(F1690=True, IFERROR(VLOOKUP(D1690, Repository!A:G, 7, 0), ""), "")</f>
        <v/>
      </c>
      <c r="O1690" s="105" t="str">
        <f>IFERROR(__xludf.DUMMYFUNCTION("ARRAY_CONSTRAIN(
  ARRAYFORMULA(
    IFERROR(
      LET(
        list, N1690,
        arr, TRIM(SPLIT(list, "","")),
        names, XLOOKUP(
          arr,
          'Conformance Score'!A:A,
          'Conformance Score'!B:B,
          ""Not found""
     "&amp;"   ),
        TEXTJOIN("", "", TRUE, names)
      ),
      """"
    )
  ),
  1,
  1
)
"),"")</f>
        <v/>
      </c>
      <c r="P1690" s="105" t="str">
        <f>IF(F1690="Yes", IFERROR(VLOOKUP(D1690, Repository!A:F, 6, 0), ""), "")</f>
        <v/>
      </c>
      <c r="Q1690" s="105" t="str">
        <f>IF(F1690="Yes", IFERROR(VLOOKUP(D1690, Repository!A:I, 8, 0), ""), "")</f>
        <v/>
      </c>
      <c r="R1690" s="105" t="str">
        <f>IF(F1690="Yes", IFERROR(VLOOKUP(D1690, Repository!A:J, 9, 0), ""), "")</f>
        <v/>
      </c>
      <c r="S1690" s="105"/>
      <c r="T1690" s="105"/>
      <c r="U1690" s="105"/>
      <c r="V1690" s="105"/>
      <c r="W1690" s="105"/>
      <c r="X1690" s="105"/>
      <c r="Y1690" s="105"/>
      <c r="Z1690" s="105"/>
      <c r="AA1690" s="105"/>
      <c r="AB1690" s="105"/>
      <c r="AC1690" s="91"/>
      <c r="AD1690" s="105"/>
      <c r="AE1690" s="105"/>
      <c r="AF1690" s="91"/>
      <c r="AG1690" s="105"/>
      <c r="AH1690" s="105"/>
      <c r="AI1690" s="105" t="str">
        <f t="shared" si="1"/>
        <v/>
      </c>
      <c r="AJ1690" s="108" t="str">
        <f t="shared" si="2"/>
        <v/>
      </c>
    </row>
    <row r="1691" ht="15.75" customHeight="1">
      <c r="A1691" s="104"/>
      <c r="B1691" s="105" t="str">
        <f>IFERROR(__xludf.DUMMYFUNCTION("ARRAY_CONSTRAIN(
  ARRAYFORMULA(
    IF(
      'Final Report'!A1691="""",
      """",
      TEXTJOIN(
        "", "" &amp; CHAR(10),
        TRUE,
        IFERROR(
          VLOOKUP(
            TRIM(
              SPLIT('Final Report'!A1691, "","")
         "&amp;"   ),
            'URL Details'!A:B,
            2,
            FALSE
          ),
          """"
        )
      )
    )
  ),
  1,
  1
)
"),"")</f>
        <v/>
      </c>
      <c r="C1691" s="105" t="str">
        <f>IFERROR(__xludf.DUMMYFUNCTION("IFERROR(IF('Final Report'!A1691="""","""", TEXTJOIN(CHAR(10), TRUE, ARRAYFORMULA( ""• ""&amp; FILTER( TRIM(FLATTEN(SPLIT( REGEXREPLACE( SUBSTITUTE(TEXTJOIN("","", TRUE, IFERROR(ARRAYFORMULA(VLOOKUP(TRIM(SPLIT('Final Report'!A1691, "","")), 'URL Details'!A:D, "&amp;"4, FALSE)),"""") ), CHAR(10), "",""), ""\s*,\s*"", "",""), "",""))), TRIM(FLATTEN(SPLIT( REGEXREPLACE( SUBSTITUTE(TEXTJOIN("","", TRUE, IFERROR(ARRAYFORMULA(VLOOKUP(TRIM(SPLIT('Final Report'!A1691, "","")), 'URL Details'!A:D, 4, FALSE)),"""") ), CHAR(10),"&amp;" "",""), ""\s*,\s*"", "",""), "","")))&lt;&gt;"""" ) ) ) ),"""")
"),"")</f>
        <v/>
      </c>
      <c r="D1691" s="105"/>
      <c r="E1691" s="105"/>
      <c r="F1691" s="110" t="b">
        <v>0</v>
      </c>
      <c r="G1691" s="105" t="str">
        <f>IF(F1691=True, IFERROR(VLOOKUP(D1691, Repository!A:B, 2, 0), ""), "")</f>
        <v/>
      </c>
      <c r="H1691" s="105"/>
      <c r="I1691" s="105"/>
      <c r="J1691" s="105" t="str">
        <f>IF(F1691=True, IFERROR(VLOOKUP(D1691, Repository!A:C, 3, 0), ""), "")</f>
        <v/>
      </c>
      <c r="K1691" s="105"/>
      <c r="L1691" s="105" t="str">
        <f>IF(F1691=True, IFERROR(VLOOKUP(D1691, Repository!A:E, 5, 0), ""), "")</f>
        <v/>
      </c>
      <c r="M1691" s="105"/>
      <c r="N1691" s="105" t="str">
        <f>IF(F1691=True, IFERROR(VLOOKUP(D1691, Repository!A:G, 7, 0), ""), "")</f>
        <v/>
      </c>
      <c r="O1691" s="105" t="str">
        <f>IFERROR(__xludf.DUMMYFUNCTION("ARRAY_CONSTRAIN(
  ARRAYFORMULA(
    IFERROR(
      LET(
        list, N1691,
        arr, TRIM(SPLIT(list, "","")),
        names, XLOOKUP(
          arr,
          'Conformance Score'!A:A,
          'Conformance Score'!B:B,
          ""Not found""
     "&amp;"   ),
        TEXTJOIN("", "", TRUE, names)
      ),
      """"
    )
  ),
  1,
  1
)
"),"")</f>
        <v/>
      </c>
      <c r="P1691" s="105" t="str">
        <f>IF(F1691="Yes", IFERROR(VLOOKUP(D1691, Repository!A:F, 6, 0), ""), "")</f>
        <v/>
      </c>
      <c r="Q1691" s="105" t="str">
        <f>IF(F1691="Yes", IFERROR(VLOOKUP(D1691, Repository!A:I, 8, 0), ""), "")</f>
        <v/>
      </c>
      <c r="R1691" s="105" t="str">
        <f>IF(F1691="Yes", IFERROR(VLOOKUP(D1691, Repository!A:J, 9, 0), ""), "")</f>
        <v/>
      </c>
      <c r="S1691" s="105"/>
      <c r="T1691" s="105"/>
      <c r="U1691" s="105"/>
      <c r="V1691" s="105"/>
      <c r="W1691" s="105"/>
      <c r="X1691" s="105"/>
      <c r="Y1691" s="105"/>
      <c r="Z1691" s="105"/>
      <c r="AA1691" s="105"/>
      <c r="AB1691" s="105"/>
      <c r="AC1691" s="91"/>
      <c r="AD1691" s="105"/>
      <c r="AE1691" s="105"/>
      <c r="AF1691" s="91"/>
      <c r="AG1691" s="105"/>
      <c r="AH1691" s="105"/>
      <c r="AI1691" s="105" t="str">
        <f t="shared" si="1"/>
        <v/>
      </c>
      <c r="AJ1691" s="108" t="str">
        <f t="shared" si="2"/>
        <v/>
      </c>
    </row>
    <row r="1692" ht="15.75" customHeight="1">
      <c r="A1692" s="104"/>
      <c r="B1692" s="105" t="str">
        <f>IFERROR(__xludf.DUMMYFUNCTION("ARRAY_CONSTRAIN(
  ARRAYFORMULA(
    IF(
      'Final Report'!A1692="""",
      """",
      TEXTJOIN(
        "", "" &amp; CHAR(10),
        TRUE,
        IFERROR(
          VLOOKUP(
            TRIM(
              SPLIT('Final Report'!A1692, "","")
         "&amp;"   ),
            'URL Details'!A:B,
            2,
            FALSE
          ),
          """"
        )
      )
    )
  ),
  1,
  1
)
"),"")</f>
        <v/>
      </c>
      <c r="C1692" s="105" t="str">
        <f>IFERROR(__xludf.DUMMYFUNCTION("IFERROR(IF('Final Report'!A1692="""","""", TEXTJOIN(CHAR(10), TRUE, ARRAYFORMULA( ""• ""&amp; FILTER( TRIM(FLATTEN(SPLIT( REGEXREPLACE( SUBSTITUTE(TEXTJOIN("","", TRUE, IFERROR(ARRAYFORMULA(VLOOKUP(TRIM(SPLIT('Final Report'!A1692, "","")), 'URL Details'!A:D, "&amp;"4, FALSE)),"""") ), CHAR(10), "",""), ""\s*,\s*"", "",""), "",""))), TRIM(FLATTEN(SPLIT( REGEXREPLACE( SUBSTITUTE(TEXTJOIN("","", TRUE, IFERROR(ARRAYFORMULA(VLOOKUP(TRIM(SPLIT('Final Report'!A1692, "","")), 'URL Details'!A:D, 4, FALSE)),"""") ), CHAR(10),"&amp;" "",""), ""\s*,\s*"", "",""), "","")))&lt;&gt;"""" ) ) ) ),"""")
"),"")</f>
        <v/>
      </c>
      <c r="D1692" s="105"/>
      <c r="E1692" s="105"/>
      <c r="F1692" s="110" t="b">
        <v>0</v>
      </c>
      <c r="G1692" s="105" t="str">
        <f>IF(F1692=True, IFERROR(VLOOKUP(D1692, Repository!A:B, 2, 0), ""), "")</f>
        <v/>
      </c>
      <c r="H1692" s="105"/>
      <c r="I1692" s="105"/>
      <c r="J1692" s="105" t="str">
        <f>IF(F1692=True, IFERROR(VLOOKUP(D1692, Repository!A:C, 3, 0), ""), "")</f>
        <v/>
      </c>
      <c r="K1692" s="105"/>
      <c r="L1692" s="105" t="str">
        <f>IF(F1692=True, IFERROR(VLOOKUP(D1692, Repository!A:E, 5, 0), ""), "")</f>
        <v/>
      </c>
      <c r="M1692" s="105"/>
      <c r="N1692" s="105" t="str">
        <f>IF(F1692=True, IFERROR(VLOOKUP(D1692, Repository!A:G, 7, 0), ""), "")</f>
        <v/>
      </c>
      <c r="O1692" s="105" t="str">
        <f>IFERROR(__xludf.DUMMYFUNCTION("ARRAY_CONSTRAIN(
  ARRAYFORMULA(
    IFERROR(
      LET(
        list, N1692,
        arr, TRIM(SPLIT(list, "","")),
        names, XLOOKUP(
          arr,
          'Conformance Score'!A:A,
          'Conformance Score'!B:B,
          ""Not found""
     "&amp;"   ),
        TEXTJOIN("", "", TRUE, names)
      ),
      """"
    )
  ),
  1,
  1
)
"),"")</f>
        <v/>
      </c>
      <c r="P1692" s="105" t="str">
        <f>IF(F1692="Yes", IFERROR(VLOOKUP(D1692, Repository!A:F, 6, 0), ""), "")</f>
        <v/>
      </c>
      <c r="Q1692" s="105" t="str">
        <f>IF(F1692="Yes", IFERROR(VLOOKUP(D1692, Repository!A:I, 8, 0), ""), "")</f>
        <v/>
      </c>
      <c r="R1692" s="105" t="str">
        <f>IF(F1692="Yes", IFERROR(VLOOKUP(D1692, Repository!A:J, 9, 0), ""), "")</f>
        <v/>
      </c>
      <c r="S1692" s="105"/>
      <c r="T1692" s="105"/>
      <c r="U1692" s="105"/>
      <c r="V1692" s="105"/>
      <c r="W1692" s="105"/>
      <c r="X1692" s="105"/>
      <c r="Y1692" s="105"/>
      <c r="Z1692" s="105"/>
      <c r="AA1692" s="105"/>
      <c r="AB1692" s="105"/>
      <c r="AC1692" s="91"/>
      <c r="AD1692" s="105"/>
      <c r="AE1692" s="105"/>
      <c r="AF1692" s="91"/>
      <c r="AG1692" s="105"/>
      <c r="AH1692" s="105"/>
      <c r="AI1692" s="105" t="str">
        <f t="shared" si="1"/>
        <v/>
      </c>
      <c r="AJ1692" s="108" t="str">
        <f t="shared" si="2"/>
        <v/>
      </c>
    </row>
    <row r="1693" ht="15.75" customHeight="1">
      <c r="A1693" s="104"/>
      <c r="B1693" s="105" t="str">
        <f>IFERROR(__xludf.DUMMYFUNCTION("ARRAY_CONSTRAIN(
  ARRAYFORMULA(
    IF(
      'Final Report'!A1693="""",
      """",
      TEXTJOIN(
        "", "" &amp; CHAR(10),
        TRUE,
        IFERROR(
          VLOOKUP(
            TRIM(
              SPLIT('Final Report'!A1693, "","")
         "&amp;"   ),
            'URL Details'!A:B,
            2,
            FALSE
          ),
          """"
        )
      )
    )
  ),
  1,
  1
)
"),"")</f>
        <v/>
      </c>
      <c r="C1693" s="105" t="str">
        <f>IFERROR(__xludf.DUMMYFUNCTION("IFERROR(IF('Final Report'!A1693="""","""", TEXTJOIN(CHAR(10), TRUE, ARRAYFORMULA( ""• ""&amp; FILTER( TRIM(FLATTEN(SPLIT( REGEXREPLACE( SUBSTITUTE(TEXTJOIN("","", TRUE, IFERROR(ARRAYFORMULA(VLOOKUP(TRIM(SPLIT('Final Report'!A1693, "","")), 'URL Details'!A:D, "&amp;"4, FALSE)),"""") ), CHAR(10), "",""), ""\s*,\s*"", "",""), "",""))), TRIM(FLATTEN(SPLIT( REGEXREPLACE( SUBSTITUTE(TEXTJOIN("","", TRUE, IFERROR(ARRAYFORMULA(VLOOKUP(TRIM(SPLIT('Final Report'!A1693, "","")), 'URL Details'!A:D, 4, FALSE)),"""") ), CHAR(10),"&amp;" "",""), ""\s*,\s*"", "",""), "","")))&lt;&gt;"""" ) ) ) ),"""")
"),"")</f>
        <v/>
      </c>
      <c r="D1693" s="105"/>
      <c r="E1693" s="105"/>
      <c r="F1693" s="110" t="b">
        <v>0</v>
      </c>
      <c r="G1693" s="105" t="str">
        <f>IF(F1693=True, IFERROR(VLOOKUP(D1693, Repository!A:B, 2, 0), ""), "")</f>
        <v/>
      </c>
      <c r="H1693" s="105"/>
      <c r="I1693" s="105"/>
      <c r="J1693" s="105" t="str">
        <f>IF(F1693=True, IFERROR(VLOOKUP(D1693, Repository!A:C, 3, 0), ""), "")</f>
        <v/>
      </c>
      <c r="K1693" s="105"/>
      <c r="L1693" s="105" t="str">
        <f>IF(F1693=True, IFERROR(VLOOKUP(D1693, Repository!A:E, 5, 0), ""), "")</f>
        <v/>
      </c>
      <c r="M1693" s="105"/>
      <c r="N1693" s="105" t="str">
        <f>IF(F1693=True, IFERROR(VLOOKUP(D1693, Repository!A:G, 7, 0), ""), "")</f>
        <v/>
      </c>
      <c r="O1693" s="105" t="str">
        <f>IFERROR(__xludf.DUMMYFUNCTION("ARRAY_CONSTRAIN(
  ARRAYFORMULA(
    IFERROR(
      LET(
        list, N1693,
        arr, TRIM(SPLIT(list, "","")),
        names, XLOOKUP(
          arr,
          'Conformance Score'!A:A,
          'Conformance Score'!B:B,
          ""Not found""
     "&amp;"   ),
        TEXTJOIN("", "", TRUE, names)
      ),
      """"
    )
  ),
  1,
  1
)
"),"")</f>
        <v/>
      </c>
      <c r="P1693" s="105" t="str">
        <f>IF(F1693="Yes", IFERROR(VLOOKUP(D1693, Repository!A:F, 6, 0), ""), "")</f>
        <v/>
      </c>
      <c r="Q1693" s="105" t="str">
        <f>IF(F1693="Yes", IFERROR(VLOOKUP(D1693, Repository!A:I, 8, 0), ""), "")</f>
        <v/>
      </c>
      <c r="R1693" s="105" t="str">
        <f>IF(F1693="Yes", IFERROR(VLOOKUP(D1693, Repository!A:J, 9, 0), ""), "")</f>
        <v/>
      </c>
      <c r="S1693" s="105"/>
      <c r="T1693" s="105"/>
      <c r="U1693" s="105"/>
      <c r="V1693" s="105"/>
      <c r="W1693" s="105"/>
      <c r="X1693" s="105"/>
      <c r="Y1693" s="105"/>
      <c r="Z1693" s="105"/>
      <c r="AA1693" s="105"/>
      <c r="AB1693" s="105"/>
      <c r="AC1693" s="91"/>
      <c r="AD1693" s="105"/>
      <c r="AE1693" s="105"/>
      <c r="AF1693" s="91"/>
      <c r="AG1693" s="105"/>
      <c r="AH1693" s="105"/>
      <c r="AI1693" s="105" t="str">
        <f t="shared" si="1"/>
        <v/>
      </c>
      <c r="AJ1693" s="108" t="str">
        <f t="shared" si="2"/>
        <v/>
      </c>
    </row>
    <row r="1694" ht="15.75" customHeight="1">
      <c r="A1694" s="104"/>
      <c r="B1694" s="105" t="str">
        <f>IFERROR(__xludf.DUMMYFUNCTION("ARRAY_CONSTRAIN(
  ARRAYFORMULA(
    IF(
      'Final Report'!A1694="""",
      """",
      TEXTJOIN(
        "", "" &amp; CHAR(10),
        TRUE,
        IFERROR(
          VLOOKUP(
            TRIM(
              SPLIT('Final Report'!A1694, "","")
         "&amp;"   ),
            'URL Details'!A:B,
            2,
            FALSE
          ),
          """"
        )
      )
    )
  ),
  1,
  1
)
"),"")</f>
        <v/>
      </c>
      <c r="C1694" s="105" t="str">
        <f>IFERROR(__xludf.DUMMYFUNCTION("IFERROR(IF('Final Report'!A1694="""","""", TEXTJOIN(CHAR(10), TRUE, ARRAYFORMULA( ""• ""&amp; FILTER( TRIM(FLATTEN(SPLIT( REGEXREPLACE( SUBSTITUTE(TEXTJOIN("","", TRUE, IFERROR(ARRAYFORMULA(VLOOKUP(TRIM(SPLIT('Final Report'!A1694, "","")), 'URL Details'!A:D, "&amp;"4, FALSE)),"""") ), CHAR(10), "",""), ""\s*,\s*"", "",""), "",""))), TRIM(FLATTEN(SPLIT( REGEXREPLACE( SUBSTITUTE(TEXTJOIN("","", TRUE, IFERROR(ARRAYFORMULA(VLOOKUP(TRIM(SPLIT('Final Report'!A1694, "","")), 'URL Details'!A:D, 4, FALSE)),"""") ), CHAR(10),"&amp;" "",""), ""\s*,\s*"", "",""), "","")))&lt;&gt;"""" ) ) ) ),"""")
"),"")</f>
        <v/>
      </c>
      <c r="D1694" s="105"/>
      <c r="E1694" s="105"/>
      <c r="F1694" s="110" t="b">
        <v>0</v>
      </c>
      <c r="G1694" s="105" t="str">
        <f>IF(F1694=True, IFERROR(VLOOKUP(D1694, Repository!A:B, 2, 0), ""), "")</f>
        <v/>
      </c>
      <c r="H1694" s="105"/>
      <c r="I1694" s="105"/>
      <c r="J1694" s="105" t="str">
        <f>IF(F1694=True, IFERROR(VLOOKUP(D1694, Repository!A:C, 3, 0), ""), "")</f>
        <v/>
      </c>
      <c r="K1694" s="105"/>
      <c r="L1694" s="105" t="str">
        <f>IF(F1694=True, IFERROR(VLOOKUP(D1694, Repository!A:E, 5, 0), ""), "")</f>
        <v/>
      </c>
      <c r="M1694" s="105"/>
      <c r="N1694" s="105" t="str">
        <f>IF(F1694=True, IFERROR(VLOOKUP(D1694, Repository!A:G, 7, 0), ""), "")</f>
        <v/>
      </c>
      <c r="O1694" s="105" t="str">
        <f>IFERROR(__xludf.DUMMYFUNCTION("ARRAY_CONSTRAIN(
  ARRAYFORMULA(
    IFERROR(
      LET(
        list, N1694,
        arr, TRIM(SPLIT(list, "","")),
        names, XLOOKUP(
          arr,
          'Conformance Score'!A:A,
          'Conformance Score'!B:B,
          ""Not found""
     "&amp;"   ),
        TEXTJOIN("", "", TRUE, names)
      ),
      """"
    )
  ),
  1,
  1
)
"),"")</f>
        <v/>
      </c>
      <c r="P1694" s="105" t="str">
        <f>IF(F1694="Yes", IFERROR(VLOOKUP(D1694, Repository!A:F, 6, 0), ""), "")</f>
        <v/>
      </c>
      <c r="Q1694" s="105" t="str">
        <f>IF(F1694="Yes", IFERROR(VLOOKUP(D1694, Repository!A:I, 8, 0), ""), "")</f>
        <v/>
      </c>
      <c r="R1694" s="105" t="str">
        <f>IF(F1694="Yes", IFERROR(VLOOKUP(D1694, Repository!A:J, 9, 0), ""), "")</f>
        <v/>
      </c>
      <c r="S1694" s="105"/>
      <c r="T1694" s="105"/>
      <c r="U1694" s="105"/>
      <c r="V1694" s="105"/>
      <c r="W1694" s="105"/>
      <c r="X1694" s="105"/>
      <c r="Y1694" s="105"/>
      <c r="Z1694" s="105"/>
      <c r="AA1694" s="105"/>
      <c r="AB1694" s="105"/>
      <c r="AC1694" s="91"/>
      <c r="AD1694" s="105"/>
      <c r="AE1694" s="105"/>
      <c r="AF1694" s="91"/>
      <c r="AG1694" s="105"/>
      <c r="AH1694" s="105"/>
      <c r="AI1694" s="105" t="str">
        <f t="shared" si="1"/>
        <v/>
      </c>
      <c r="AJ1694" s="108" t="str">
        <f t="shared" si="2"/>
        <v/>
      </c>
    </row>
    <row r="1695" ht="15.75" customHeight="1">
      <c r="A1695" s="104"/>
      <c r="B1695" s="105" t="str">
        <f>IFERROR(__xludf.DUMMYFUNCTION("ARRAY_CONSTRAIN(
  ARRAYFORMULA(
    IF(
      'Final Report'!A1695="""",
      """",
      TEXTJOIN(
        "", "" &amp; CHAR(10),
        TRUE,
        IFERROR(
          VLOOKUP(
            TRIM(
              SPLIT('Final Report'!A1695, "","")
         "&amp;"   ),
            'URL Details'!A:B,
            2,
            FALSE
          ),
          """"
        )
      )
    )
  ),
  1,
  1
)
"),"")</f>
        <v/>
      </c>
      <c r="C1695" s="105" t="str">
        <f>IFERROR(__xludf.DUMMYFUNCTION("IFERROR(IF('Final Report'!A1695="""","""", TEXTJOIN(CHAR(10), TRUE, ARRAYFORMULA( ""• ""&amp; FILTER( TRIM(FLATTEN(SPLIT( REGEXREPLACE( SUBSTITUTE(TEXTJOIN("","", TRUE, IFERROR(ARRAYFORMULA(VLOOKUP(TRIM(SPLIT('Final Report'!A1695, "","")), 'URL Details'!A:D, "&amp;"4, FALSE)),"""") ), CHAR(10), "",""), ""\s*,\s*"", "",""), "",""))), TRIM(FLATTEN(SPLIT( REGEXREPLACE( SUBSTITUTE(TEXTJOIN("","", TRUE, IFERROR(ARRAYFORMULA(VLOOKUP(TRIM(SPLIT('Final Report'!A1695, "","")), 'URL Details'!A:D, 4, FALSE)),"""") ), CHAR(10),"&amp;" "",""), ""\s*,\s*"", "",""), "","")))&lt;&gt;"""" ) ) ) ),"""")
"),"")</f>
        <v/>
      </c>
      <c r="D1695" s="105"/>
      <c r="E1695" s="105"/>
      <c r="F1695" s="110" t="b">
        <v>0</v>
      </c>
      <c r="G1695" s="105" t="str">
        <f>IF(F1695=True, IFERROR(VLOOKUP(D1695, Repository!A:B, 2, 0), ""), "")</f>
        <v/>
      </c>
      <c r="H1695" s="105"/>
      <c r="I1695" s="105"/>
      <c r="J1695" s="105" t="str">
        <f>IF(F1695=True, IFERROR(VLOOKUP(D1695, Repository!A:C, 3, 0), ""), "")</f>
        <v/>
      </c>
      <c r="K1695" s="105"/>
      <c r="L1695" s="105" t="str">
        <f>IF(F1695=True, IFERROR(VLOOKUP(D1695, Repository!A:E, 5, 0), ""), "")</f>
        <v/>
      </c>
      <c r="M1695" s="105"/>
      <c r="N1695" s="105" t="str">
        <f>IF(F1695=True, IFERROR(VLOOKUP(D1695, Repository!A:G, 7, 0), ""), "")</f>
        <v/>
      </c>
      <c r="O1695" s="105" t="str">
        <f>IFERROR(__xludf.DUMMYFUNCTION("ARRAY_CONSTRAIN(
  ARRAYFORMULA(
    IFERROR(
      LET(
        list, N1695,
        arr, TRIM(SPLIT(list, "","")),
        names, XLOOKUP(
          arr,
          'Conformance Score'!A:A,
          'Conformance Score'!B:B,
          ""Not found""
     "&amp;"   ),
        TEXTJOIN("", "", TRUE, names)
      ),
      """"
    )
  ),
  1,
  1
)
"),"")</f>
        <v/>
      </c>
      <c r="P1695" s="105" t="str">
        <f>IF(F1695="Yes", IFERROR(VLOOKUP(D1695, Repository!A:F, 6, 0), ""), "")</f>
        <v/>
      </c>
      <c r="Q1695" s="105" t="str">
        <f>IF(F1695="Yes", IFERROR(VLOOKUP(D1695, Repository!A:I, 8, 0), ""), "")</f>
        <v/>
      </c>
      <c r="R1695" s="105" t="str">
        <f>IF(F1695="Yes", IFERROR(VLOOKUP(D1695, Repository!A:J, 9, 0), ""), "")</f>
        <v/>
      </c>
      <c r="S1695" s="105"/>
      <c r="T1695" s="105"/>
      <c r="U1695" s="105"/>
      <c r="V1695" s="105"/>
      <c r="W1695" s="105"/>
      <c r="X1695" s="105"/>
      <c r="Y1695" s="105"/>
      <c r="Z1695" s="105"/>
      <c r="AA1695" s="105"/>
      <c r="AB1695" s="105"/>
      <c r="AC1695" s="91"/>
      <c r="AD1695" s="105"/>
      <c r="AE1695" s="105"/>
      <c r="AF1695" s="91"/>
      <c r="AG1695" s="105"/>
      <c r="AH1695" s="105"/>
      <c r="AI1695" s="105" t="str">
        <f t="shared" si="1"/>
        <v/>
      </c>
      <c r="AJ1695" s="108" t="str">
        <f t="shared" si="2"/>
        <v/>
      </c>
    </row>
    <row r="1696" ht="15.75" customHeight="1">
      <c r="A1696" s="104"/>
      <c r="B1696" s="105" t="str">
        <f>IFERROR(__xludf.DUMMYFUNCTION("ARRAY_CONSTRAIN(
  ARRAYFORMULA(
    IF(
      'Final Report'!A1696="""",
      """",
      TEXTJOIN(
        "", "" &amp; CHAR(10),
        TRUE,
        IFERROR(
          VLOOKUP(
            TRIM(
              SPLIT('Final Report'!A1696, "","")
         "&amp;"   ),
            'URL Details'!A:B,
            2,
            FALSE
          ),
          """"
        )
      )
    )
  ),
  1,
  1
)
"),"")</f>
        <v/>
      </c>
      <c r="C1696" s="105" t="str">
        <f>IFERROR(__xludf.DUMMYFUNCTION("IFERROR(IF('Final Report'!A1696="""","""", TEXTJOIN(CHAR(10), TRUE, ARRAYFORMULA( ""• ""&amp; FILTER( TRIM(FLATTEN(SPLIT( REGEXREPLACE( SUBSTITUTE(TEXTJOIN("","", TRUE, IFERROR(ARRAYFORMULA(VLOOKUP(TRIM(SPLIT('Final Report'!A1696, "","")), 'URL Details'!A:D, "&amp;"4, FALSE)),"""") ), CHAR(10), "",""), ""\s*,\s*"", "",""), "",""))), TRIM(FLATTEN(SPLIT( REGEXREPLACE( SUBSTITUTE(TEXTJOIN("","", TRUE, IFERROR(ARRAYFORMULA(VLOOKUP(TRIM(SPLIT('Final Report'!A1696, "","")), 'URL Details'!A:D, 4, FALSE)),"""") ), CHAR(10),"&amp;" "",""), ""\s*,\s*"", "",""), "","")))&lt;&gt;"""" ) ) ) ),"""")
"),"")</f>
        <v/>
      </c>
      <c r="D1696" s="105"/>
      <c r="E1696" s="105"/>
      <c r="F1696" s="110" t="b">
        <v>0</v>
      </c>
      <c r="G1696" s="105" t="str">
        <f>IF(F1696=True, IFERROR(VLOOKUP(D1696, Repository!A:B, 2, 0), ""), "")</f>
        <v/>
      </c>
      <c r="H1696" s="105"/>
      <c r="I1696" s="105"/>
      <c r="J1696" s="105" t="str">
        <f>IF(F1696=True, IFERROR(VLOOKUP(D1696, Repository!A:C, 3, 0), ""), "")</f>
        <v/>
      </c>
      <c r="K1696" s="105"/>
      <c r="L1696" s="105" t="str">
        <f>IF(F1696=True, IFERROR(VLOOKUP(D1696, Repository!A:E, 5, 0), ""), "")</f>
        <v/>
      </c>
      <c r="M1696" s="105"/>
      <c r="N1696" s="105" t="str">
        <f>IF(F1696=True, IFERROR(VLOOKUP(D1696, Repository!A:G, 7, 0), ""), "")</f>
        <v/>
      </c>
      <c r="O1696" s="105" t="str">
        <f>IFERROR(__xludf.DUMMYFUNCTION("ARRAY_CONSTRAIN(
  ARRAYFORMULA(
    IFERROR(
      LET(
        list, N1696,
        arr, TRIM(SPLIT(list, "","")),
        names, XLOOKUP(
          arr,
          'Conformance Score'!A:A,
          'Conformance Score'!B:B,
          ""Not found""
     "&amp;"   ),
        TEXTJOIN("", "", TRUE, names)
      ),
      """"
    )
  ),
  1,
  1
)
"),"")</f>
        <v/>
      </c>
      <c r="P1696" s="105" t="str">
        <f>IF(F1696="Yes", IFERROR(VLOOKUP(D1696, Repository!A:F, 6, 0), ""), "")</f>
        <v/>
      </c>
      <c r="Q1696" s="105" t="str">
        <f>IF(F1696="Yes", IFERROR(VLOOKUP(D1696, Repository!A:I, 8, 0), ""), "")</f>
        <v/>
      </c>
      <c r="R1696" s="105" t="str">
        <f>IF(F1696="Yes", IFERROR(VLOOKUP(D1696, Repository!A:J, 9, 0), ""), "")</f>
        <v/>
      </c>
      <c r="S1696" s="105"/>
      <c r="T1696" s="105"/>
      <c r="U1696" s="105"/>
      <c r="V1696" s="105"/>
      <c r="W1696" s="105"/>
      <c r="X1696" s="105"/>
      <c r="Y1696" s="105"/>
      <c r="Z1696" s="105"/>
      <c r="AA1696" s="105"/>
      <c r="AB1696" s="105"/>
      <c r="AC1696" s="91"/>
      <c r="AD1696" s="105"/>
      <c r="AE1696" s="105"/>
      <c r="AF1696" s="91"/>
      <c r="AG1696" s="105"/>
      <c r="AH1696" s="105"/>
      <c r="AI1696" s="105" t="str">
        <f t="shared" si="1"/>
        <v/>
      </c>
      <c r="AJ1696" s="108" t="str">
        <f t="shared" si="2"/>
        <v/>
      </c>
    </row>
    <row r="1697" ht="15.75" customHeight="1">
      <c r="A1697" s="104"/>
      <c r="B1697" s="105" t="str">
        <f>IFERROR(__xludf.DUMMYFUNCTION("ARRAY_CONSTRAIN(
  ARRAYFORMULA(
    IF(
      'Final Report'!A1697="""",
      """",
      TEXTJOIN(
        "", "" &amp; CHAR(10),
        TRUE,
        IFERROR(
          VLOOKUP(
            TRIM(
              SPLIT('Final Report'!A1697, "","")
         "&amp;"   ),
            'URL Details'!A:B,
            2,
            FALSE
          ),
          """"
        )
      )
    )
  ),
  1,
  1
)
"),"")</f>
        <v/>
      </c>
      <c r="C1697" s="105" t="str">
        <f>IFERROR(__xludf.DUMMYFUNCTION("IFERROR(IF('Final Report'!A1697="""","""", TEXTJOIN(CHAR(10), TRUE, ARRAYFORMULA( ""• ""&amp; FILTER( TRIM(FLATTEN(SPLIT( REGEXREPLACE( SUBSTITUTE(TEXTJOIN("","", TRUE, IFERROR(ARRAYFORMULA(VLOOKUP(TRIM(SPLIT('Final Report'!A1697, "","")), 'URL Details'!A:D, "&amp;"4, FALSE)),"""") ), CHAR(10), "",""), ""\s*,\s*"", "",""), "",""))), TRIM(FLATTEN(SPLIT( REGEXREPLACE( SUBSTITUTE(TEXTJOIN("","", TRUE, IFERROR(ARRAYFORMULA(VLOOKUP(TRIM(SPLIT('Final Report'!A1697, "","")), 'URL Details'!A:D, 4, FALSE)),"""") ), CHAR(10),"&amp;" "",""), ""\s*,\s*"", "",""), "","")))&lt;&gt;"""" ) ) ) ),"""")
"),"")</f>
        <v/>
      </c>
      <c r="D1697" s="105"/>
      <c r="E1697" s="105"/>
      <c r="F1697" s="110" t="b">
        <v>0</v>
      </c>
      <c r="G1697" s="105" t="str">
        <f>IF(F1697=True, IFERROR(VLOOKUP(D1697, Repository!A:B, 2, 0), ""), "")</f>
        <v/>
      </c>
      <c r="H1697" s="105"/>
      <c r="I1697" s="105"/>
      <c r="J1697" s="105" t="str">
        <f>IF(F1697=True, IFERROR(VLOOKUP(D1697, Repository!A:C, 3, 0), ""), "")</f>
        <v/>
      </c>
      <c r="K1697" s="105"/>
      <c r="L1697" s="105" t="str">
        <f>IF(F1697=True, IFERROR(VLOOKUP(D1697, Repository!A:E, 5, 0), ""), "")</f>
        <v/>
      </c>
      <c r="M1697" s="105"/>
      <c r="N1697" s="105" t="str">
        <f>IF(F1697=True, IFERROR(VLOOKUP(D1697, Repository!A:G, 7, 0), ""), "")</f>
        <v/>
      </c>
      <c r="O1697" s="105" t="str">
        <f>IFERROR(__xludf.DUMMYFUNCTION("ARRAY_CONSTRAIN(
  ARRAYFORMULA(
    IFERROR(
      LET(
        list, N1697,
        arr, TRIM(SPLIT(list, "","")),
        names, XLOOKUP(
          arr,
          'Conformance Score'!A:A,
          'Conformance Score'!B:B,
          ""Not found""
     "&amp;"   ),
        TEXTJOIN("", "", TRUE, names)
      ),
      """"
    )
  ),
  1,
  1
)
"),"")</f>
        <v/>
      </c>
      <c r="P1697" s="105" t="str">
        <f>IF(F1697="Yes", IFERROR(VLOOKUP(D1697, Repository!A:F, 6, 0), ""), "")</f>
        <v/>
      </c>
      <c r="Q1697" s="105" t="str">
        <f>IF(F1697="Yes", IFERROR(VLOOKUP(D1697, Repository!A:I, 8, 0), ""), "")</f>
        <v/>
      </c>
      <c r="R1697" s="105" t="str">
        <f>IF(F1697="Yes", IFERROR(VLOOKUP(D1697, Repository!A:J, 9, 0), ""), "")</f>
        <v/>
      </c>
      <c r="S1697" s="105"/>
      <c r="T1697" s="105"/>
      <c r="U1697" s="105"/>
      <c r="V1697" s="105"/>
      <c r="W1697" s="105"/>
      <c r="X1697" s="105"/>
      <c r="Y1697" s="105"/>
      <c r="Z1697" s="105"/>
      <c r="AA1697" s="105"/>
      <c r="AB1697" s="105"/>
      <c r="AC1697" s="91"/>
      <c r="AD1697" s="105"/>
      <c r="AE1697" s="105"/>
      <c r="AF1697" s="91"/>
      <c r="AG1697" s="105"/>
      <c r="AH1697" s="105"/>
      <c r="AI1697" s="105" t="str">
        <f t="shared" si="1"/>
        <v/>
      </c>
      <c r="AJ1697" s="108" t="str">
        <f t="shared" si="2"/>
        <v/>
      </c>
    </row>
    <row r="1698" ht="15.75" customHeight="1">
      <c r="A1698" s="104"/>
      <c r="B1698" s="105" t="str">
        <f>IFERROR(__xludf.DUMMYFUNCTION("ARRAY_CONSTRAIN(
  ARRAYFORMULA(
    IF(
      'Final Report'!A1698="""",
      """",
      TEXTJOIN(
        "", "" &amp; CHAR(10),
        TRUE,
        IFERROR(
          VLOOKUP(
            TRIM(
              SPLIT('Final Report'!A1698, "","")
         "&amp;"   ),
            'URL Details'!A:B,
            2,
            FALSE
          ),
          """"
        )
      )
    )
  ),
  1,
  1
)
"),"")</f>
        <v/>
      </c>
      <c r="C1698" s="105" t="str">
        <f>IFERROR(__xludf.DUMMYFUNCTION("IFERROR(IF('Final Report'!A1698="""","""", TEXTJOIN(CHAR(10), TRUE, ARRAYFORMULA( ""• ""&amp; FILTER( TRIM(FLATTEN(SPLIT( REGEXREPLACE( SUBSTITUTE(TEXTJOIN("","", TRUE, IFERROR(ARRAYFORMULA(VLOOKUP(TRIM(SPLIT('Final Report'!A1698, "","")), 'URL Details'!A:D, "&amp;"4, FALSE)),"""") ), CHAR(10), "",""), ""\s*,\s*"", "",""), "",""))), TRIM(FLATTEN(SPLIT( REGEXREPLACE( SUBSTITUTE(TEXTJOIN("","", TRUE, IFERROR(ARRAYFORMULA(VLOOKUP(TRIM(SPLIT('Final Report'!A1698, "","")), 'URL Details'!A:D, 4, FALSE)),"""") ), CHAR(10),"&amp;" "",""), ""\s*,\s*"", "",""), "","")))&lt;&gt;"""" ) ) ) ),"""")
"),"")</f>
        <v/>
      </c>
      <c r="D1698" s="105"/>
      <c r="E1698" s="105"/>
      <c r="F1698" s="110" t="b">
        <v>0</v>
      </c>
      <c r="G1698" s="105" t="str">
        <f>IF(F1698=True, IFERROR(VLOOKUP(D1698, Repository!A:B, 2, 0), ""), "")</f>
        <v/>
      </c>
      <c r="H1698" s="105"/>
      <c r="I1698" s="105"/>
      <c r="J1698" s="105" t="str">
        <f>IF(F1698=True, IFERROR(VLOOKUP(D1698, Repository!A:C, 3, 0), ""), "")</f>
        <v/>
      </c>
      <c r="K1698" s="105"/>
      <c r="L1698" s="105" t="str">
        <f>IF(F1698=True, IFERROR(VLOOKUP(D1698, Repository!A:E, 5, 0), ""), "")</f>
        <v/>
      </c>
      <c r="M1698" s="105"/>
      <c r="N1698" s="105" t="str">
        <f>IF(F1698=True, IFERROR(VLOOKUP(D1698, Repository!A:G, 7, 0), ""), "")</f>
        <v/>
      </c>
      <c r="O1698" s="105" t="str">
        <f>IFERROR(__xludf.DUMMYFUNCTION("ARRAY_CONSTRAIN(
  ARRAYFORMULA(
    IFERROR(
      LET(
        list, N1698,
        arr, TRIM(SPLIT(list, "","")),
        names, XLOOKUP(
          arr,
          'Conformance Score'!A:A,
          'Conformance Score'!B:B,
          ""Not found""
     "&amp;"   ),
        TEXTJOIN("", "", TRUE, names)
      ),
      """"
    )
  ),
  1,
  1
)
"),"")</f>
        <v/>
      </c>
      <c r="P1698" s="105" t="str">
        <f>IF(F1698="Yes", IFERROR(VLOOKUP(D1698, Repository!A:F, 6, 0), ""), "")</f>
        <v/>
      </c>
      <c r="Q1698" s="105" t="str">
        <f>IF(F1698="Yes", IFERROR(VLOOKUP(D1698, Repository!A:I, 8, 0), ""), "")</f>
        <v/>
      </c>
      <c r="R1698" s="105" t="str">
        <f>IF(F1698="Yes", IFERROR(VLOOKUP(D1698, Repository!A:J, 9, 0), ""), "")</f>
        <v/>
      </c>
      <c r="S1698" s="105"/>
      <c r="T1698" s="105"/>
      <c r="U1698" s="105"/>
      <c r="V1698" s="105"/>
      <c r="W1698" s="105"/>
      <c r="X1698" s="105"/>
      <c r="Y1698" s="105"/>
      <c r="Z1698" s="105"/>
      <c r="AA1698" s="105"/>
      <c r="AB1698" s="105"/>
      <c r="AC1698" s="91"/>
      <c r="AD1698" s="105"/>
      <c r="AE1698" s="105"/>
      <c r="AF1698" s="91"/>
      <c r="AG1698" s="105"/>
      <c r="AH1698" s="105"/>
      <c r="AI1698" s="105" t="str">
        <f t="shared" si="1"/>
        <v/>
      </c>
      <c r="AJ1698" s="108" t="str">
        <f t="shared" si="2"/>
        <v/>
      </c>
    </row>
    <row r="1699" ht="15.75" customHeight="1">
      <c r="A1699" s="104"/>
      <c r="B1699" s="105" t="str">
        <f>IFERROR(__xludf.DUMMYFUNCTION("ARRAY_CONSTRAIN(
  ARRAYFORMULA(
    IF(
      'Final Report'!A1699="""",
      """",
      TEXTJOIN(
        "", "" &amp; CHAR(10),
        TRUE,
        IFERROR(
          VLOOKUP(
            TRIM(
              SPLIT('Final Report'!A1699, "","")
         "&amp;"   ),
            'URL Details'!A:B,
            2,
            FALSE
          ),
          """"
        )
      )
    )
  ),
  1,
  1
)
"),"")</f>
        <v/>
      </c>
      <c r="C1699" s="105" t="str">
        <f>IFERROR(__xludf.DUMMYFUNCTION("IFERROR(IF('Final Report'!A1699="""","""", TEXTJOIN(CHAR(10), TRUE, ARRAYFORMULA( ""• ""&amp; FILTER( TRIM(FLATTEN(SPLIT( REGEXREPLACE( SUBSTITUTE(TEXTJOIN("","", TRUE, IFERROR(ARRAYFORMULA(VLOOKUP(TRIM(SPLIT('Final Report'!A1699, "","")), 'URL Details'!A:D, "&amp;"4, FALSE)),"""") ), CHAR(10), "",""), ""\s*,\s*"", "",""), "",""))), TRIM(FLATTEN(SPLIT( REGEXREPLACE( SUBSTITUTE(TEXTJOIN("","", TRUE, IFERROR(ARRAYFORMULA(VLOOKUP(TRIM(SPLIT('Final Report'!A1699, "","")), 'URL Details'!A:D, 4, FALSE)),"""") ), CHAR(10),"&amp;" "",""), ""\s*,\s*"", "",""), "","")))&lt;&gt;"""" ) ) ) ),"""")
"),"")</f>
        <v/>
      </c>
      <c r="D1699" s="105"/>
      <c r="E1699" s="105"/>
      <c r="F1699" s="110" t="b">
        <v>0</v>
      </c>
      <c r="G1699" s="105" t="str">
        <f>IF(F1699=True, IFERROR(VLOOKUP(D1699, Repository!A:B, 2, 0), ""), "")</f>
        <v/>
      </c>
      <c r="H1699" s="105"/>
      <c r="I1699" s="105"/>
      <c r="J1699" s="105" t="str">
        <f>IF(F1699=True, IFERROR(VLOOKUP(D1699, Repository!A:C, 3, 0), ""), "")</f>
        <v/>
      </c>
      <c r="K1699" s="105"/>
      <c r="L1699" s="105" t="str">
        <f>IF(F1699=True, IFERROR(VLOOKUP(D1699, Repository!A:E, 5, 0), ""), "")</f>
        <v/>
      </c>
      <c r="M1699" s="105"/>
      <c r="N1699" s="105" t="str">
        <f>IF(F1699=True, IFERROR(VLOOKUP(D1699, Repository!A:G, 7, 0), ""), "")</f>
        <v/>
      </c>
      <c r="O1699" s="105" t="str">
        <f>IFERROR(__xludf.DUMMYFUNCTION("ARRAY_CONSTRAIN(
  ARRAYFORMULA(
    IFERROR(
      LET(
        list, N1699,
        arr, TRIM(SPLIT(list, "","")),
        names, XLOOKUP(
          arr,
          'Conformance Score'!A:A,
          'Conformance Score'!B:B,
          ""Not found""
     "&amp;"   ),
        TEXTJOIN("", "", TRUE, names)
      ),
      """"
    )
  ),
  1,
  1
)
"),"")</f>
        <v/>
      </c>
      <c r="P1699" s="105" t="str">
        <f>IF(F1699="Yes", IFERROR(VLOOKUP(D1699, Repository!A:F, 6, 0), ""), "")</f>
        <v/>
      </c>
      <c r="Q1699" s="105" t="str">
        <f>IF(F1699="Yes", IFERROR(VLOOKUP(D1699, Repository!A:I, 8, 0), ""), "")</f>
        <v/>
      </c>
      <c r="R1699" s="105" t="str">
        <f>IF(F1699="Yes", IFERROR(VLOOKUP(D1699, Repository!A:J, 9, 0), ""), "")</f>
        <v/>
      </c>
      <c r="S1699" s="105"/>
      <c r="T1699" s="105"/>
      <c r="U1699" s="105"/>
      <c r="V1699" s="105"/>
      <c r="W1699" s="105"/>
      <c r="X1699" s="105"/>
      <c r="Y1699" s="105"/>
      <c r="Z1699" s="105"/>
      <c r="AA1699" s="105"/>
      <c r="AB1699" s="105"/>
      <c r="AC1699" s="91"/>
      <c r="AD1699" s="105"/>
      <c r="AE1699" s="105"/>
      <c r="AF1699" s="91"/>
      <c r="AG1699" s="105"/>
      <c r="AH1699" s="105"/>
      <c r="AI1699" s="105" t="str">
        <f t="shared" si="1"/>
        <v/>
      </c>
      <c r="AJ1699" s="108" t="str">
        <f t="shared" si="2"/>
        <v/>
      </c>
    </row>
    <row r="1700" ht="15.75" customHeight="1">
      <c r="A1700" s="104"/>
      <c r="B1700" s="105" t="str">
        <f>IFERROR(__xludf.DUMMYFUNCTION("ARRAY_CONSTRAIN(
  ARRAYFORMULA(
    IF(
      'Final Report'!A1700="""",
      """",
      TEXTJOIN(
        "", "" &amp; CHAR(10),
        TRUE,
        IFERROR(
          VLOOKUP(
            TRIM(
              SPLIT('Final Report'!A1700, "","")
         "&amp;"   ),
            'URL Details'!A:B,
            2,
            FALSE
          ),
          """"
        )
      )
    )
  ),
  1,
  1
)
"),"")</f>
        <v/>
      </c>
      <c r="C1700" s="105" t="str">
        <f>IFERROR(__xludf.DUMMYFUNCTION("IFERROR(IF('Final Report'!A1700="""","""", TEXTJOIN(CHAR(10), TRUE, ARRAYFORMULA( ""• ""&amp; FILTER( TRIM(FLATTEN(SPLIT( REGEXREPLACE( SUBSTITUTE(TEXTJOIN("","", TRUE, IFERROR(ARRAYFORMULA(VLOOKUP(TRIM(SPLIT('Final Report'!A1700, "","")), 'URL Details'!A:D, "&amp;"4, FALSE)),"""") ), CHAR(10), "",""), ""\s*,\s*"", "",""), "",""))), TRIM(FLATTEN(SPLIT( REGEXREPLACE( SUBSTITUTE(TEXTJOIN("","", TRUE, IFERROR(ARRAYFORMULA(VLOOKUP(TRIM(SPLIT('Final Report'!A1700, "","")), 'URL Details'!A:D, 4, FALSE)),"""") ), CHAR(10),"&amp;" "",""), ""\s*,\s*"", "",""), "","")))&lt;&gt;"""" ) ) ) ),"""")
"),"")</f>
        <v/>
      </c>
      <c r="D1700" s="105"/>
      <c r="E1700" s="105"/>
      <c r="F1700" s="110" t="b">
        <v>0</v>
      </c>
      <c r="G1700" s="105" t="str">
        <f>IF(F1700=True, IFERROR(VLOOKUP(D1700, Repository!A:B, 2, 0), ""), "")</f>
        <v/>
      </c>
      <c r="H1700" s="105"/>
      <c r="I1700" s="105"/>
      <c r="J1700" s="105" t="str">
        <f>IF(F1700=True, IFERROR(VLOOKUP(D1700, Repository!A:C, 3, 0), ""), "")</f>
        <v/>
      </c>
      <c r="K1700" s="105"/>
      <c r="L1700" s="105" t="str">
        <f>IF(F1700=True, IFERROR(VLOOKUP(D1700, Repository!A:E, 5, 0), ""), "")</f>
        <v/>
      </c>
      <c r="M1700" s="105"/>
      <c r="N1700" s="105" t="str">
        <f>IF(F1700=True, IFERROR(VLOOKUP(D1700, Repository!A:G, 7, 0), ""), "")</f>
        <v/>
      </c>
      <c r="O1700" s="105" t="str">
        <f>IFERROR(__xludf.DUMMYFUNCTION("ARRAY_CONSTRAIN(
  ARRAYFORMULA(
    IFERROR(
      LET(
        list, N1700,
        arr, TRIM(SPLIT(list, "","")),
        names, XLOOKUP(
          arr,
          'Conformance Score'!A:A,
          'Conformance Score'!B:B,
          ""Not found""
     "&amp;"   ),
        TEXTJOIN("", "", TRUE, names)
      ),
      """"
    )
  ),
  1,
  1
)
"),"")</f>
        <v/>
      </c>
      <c r="P1700" s="105" t="str">
        <f>IF(F1700="Yes", IFERROR(VLOOKUP(D1700, Repository!A:F, 6, 0), ""), "")</f>
        <v/>
      </c>
      <c r="Q1700" s="105" t="str">
        <f>IF(F1700="Yes", IFERROR(VLOOKUP(D1700, Repository!A:I, 8, 0), ""), "")</f>
        <v/>
      </c>
      <c r="R1700" s="105" t="str">
        <f>IF(F1700="Yes", IFERROR(VLOOKUP(D1700, Repository!A:J, 9, 0), ""), "")</f>
        <v/>
      </c>
      <c r="S1700" s="105"/>
      <c r="T1700" s="105"/>
      <c r="U1700" s="105"/>
      <c r="V1700" s="105"/>
      <c r="W1700" s="105"/>
      <c r="X1700" s="105"/>
      <c r="Y1700" s="105"/>
      <c r="Z1700" s="105"/>
      <c r="AA1700" s="105"/>
      <c r="AB1700" s="105"/>
      <c r="AC1700" s="91"/>
      <c r="AD1700" s="105"/>
      <c r="AE1700" s="105"/>
      <c r="AF1700" s="91"/>
      <c r="AG1700" s="105"/>
      <c r="AH1700" s="105"/>
      <c r="AI1700" s="105" t="str">
        <f t="shared" si="1"/>
        <v/>
      </c>
      <c r="AJ1700" s="108" t="str">
        <f t="shared" si="2"/>
        <v/>
      </c>
    </row>
    <row r="1701" ht="15.75" customHeight="1">
      <c r="A1701" s="104"/>
      <c r="B1701" s="105" t="str">
        <f>IFERROR(__xludf.DUMMYFUNCTION("ARRAY_CONSTRAIN(
  ARRAYFORMULA(
    IF(
      'Final Report'!A1701="""",
      """",
      TEXTJOIN(
        "", "" &amp; CHAR(10),
        TRUE,
        IFERROR(
          VLOOKUP(
            TRIM(
              SPLIT('Final Report'!A1701, "","")
         "&amp;"   ),
            'URL Details'!A:B,
            2,
            FALSE
          ),
          """"
        )
      )
    )
  ),
  1,
  1
)
"),"")</f>
        <v/>
      </c>
      <c r="C1701" s="105" t="str">
        <f>IFERROR(__xludf.DUMMYFUNCTION("IFERROR(IF('Final Report'!A1701="""","""", TEXTJOIN(CHAR(10), TRUE, ARRAYFORMULA( ""• ""&amp; FILTER( TRIM(FLATTEN(SPLIT( REGEXREPLACE( SUBSTITUTE(TEXTJOIN("","", TRUE, IFERROR(ARRAYFORMULA(VLOOKUP(TRIM(SPLIT('Final Report'!A1701, "","")), 'URL Details'!A:D, "&amp;"4, FALSE)),"""") ), CHAR(10), "",""), ""\s*,\s*"", "",""), "",""))), TRIM(FLATTEN(SPLIT( REGEXREPLACE( SUBSTITUTE(TEXTJOIN("","", TRUE, IFERROR(ARRAYFORMULA(VLOOKUP(TRIM(SPLIT('Final Report'!A1701, "","")), 'URL Details'!A:D, 4, FALSE)),"""") ), CHAR(10),"&amp;" "",""), ""\s*,\s*"", "",""), "","")))&lt;&gt;"""" ) ) ) ),"""")
"),"")</f>
        <v/>
      </c>
      <c r="D1701" s="105"/>
      <c r="E1701" s="105"/>
      <c r="F1701" s="110" t="b">
        <v>0</v>
      </c>
      <c r="G1701" s="105" t="str">
        <f>IF(F1701=True, IFERROR(VLOOKUP(D1701, Repository!A:B, 2, 0), ""), "")</f>
        <v/>
      </c>
      <c r="H1701" s="105"/>
      <c r="I1701" s="105"/>
      <c r="J1701" s="105" t="str">
        <f>IF(F1701=True, IFERROR(VLOOKUP(D1701, Repository!A:C, 3, 0), ""), "")</f>
        <v/>
      </c>
      <c r="K1701" s="105"/>
      <c r="L1701" s="105" t="str">
        <f>IF(F1701=True, IFERROR(VLOOKUP(D1701, Repository!A:E, 5, 0), ""), "")</f>
        <v/>
      </c>
      <c r="M1701" s="105"/>
      <c r="N1701" s="105" t="str">
        <f>IF(F1701=True, IFERROR(VLOOKUP(D1701, Repository!A:G, 7, 0), ""), "")</f>
        <v/>
      </c>
      <c r="O1701" s="105" t="str">
        <f>IFERROR(__xludf.DUMMYFUNCTION("ARRAY_CONSTRAIN(
  ARRAYFORMULA(
    IFERROR(
      LET(
        list, N1701,
        arr, TRIM(SPLIT(list, "","")),
        names, XLOOKUP(
          arr,
          'Conformance Score'!A:A,
          'Conformance Score'!B:B,
          ""Not found""
     "&amp;"   ),
        TEXTJOIN("", "", TRUE, names)
      ),
      """"
    )
  ),
  1,
  1
)
"),"")</f>
        <v/>
      </c>
      <c r="P1701" s="105" t="str">
        <f>IF(F1701="Yes", IFERROR(VLOOKUP(D1701, Repository!A:F, 6, 0), ""), "")</f>
        <v/>
      </c>
      <c r="Q1701" s="105" t="str">
        <f>IF(F1701="Yes", IFERROR(VLOOKUP(D1701, Repository!A:I, 8, 0), ""), "")</f>
        <v/>
      </c>
      <c r="R1701" s="105" t="str">
        <f>IF(F1701="Yes", IFERROR(VLOOKUP(D1701, Repository!A:J, 9, 0), ""), "")</f>
        <v/>
      </c>
      <c r="S1701" s="105"/>
      <c r="T1701" s="105"/>
      <c r="U1701" s="105"/>
      <c r="V1701" s="105"/>
      <c r="W1701" s="105"/>
      <c r="X1701" s="105"/>
      <c r="Y1701" s="105"/>
      <c r="Z1701" s="105"/>
      <c r="AA1701" s="105"/>
      <c r="AB1701" s="105"/>
      <c r="AC1701" s="91"/>
      <c r="AD1701" s="105"/>
      <c r="AE1701" s="105"/>
      <c r="AF1701" s="91"/>
      <c r="AG1701" s="105"/>
      <c r="AH1701" s="105"/>
      <c r="AI1701" s="105" t="str">
        <f t="shared" si="1"/>
        <v/>
      </c>
      <c r="AJ1701" s="108" t="str">
        <f t="shared" si="2"/>
        <v/>
      </c>
    </row>
    <row r="1702" ht="15.75" customHeight="1">
      <c r="A1702" s="104"/>
      <c r="B1702" s="105" t="str">
        <f>IFERROR(__xludf.DUMMYFUNCTION("ARRAY_CONSTRAIN(
  ARRAYFORMULA(
    IF(
      'Final Report'!A1702="""",
      """",
      TEXTJOIN(
        "", "" &amp; CHAR(10),
        TRUE,
        IFERROR(
          VLOOKUP(
            TRIM(
              SPLIT('Final Report'!A1702, "","")
         "&amp;"   ),
            'URL Details'!A:B,
            2,
            FALSE
          ),
          """"
        )
      )
    )
  ),
  1,
  1
)
"),"")</f>
        <v/>
      </c>
      <c r="C1702" s="105" t="str">
        <f>IFERROR(__xludf.DUMMYFUNCTION("IFERROR(IF('Final Report'!A1702="""","""", TEXTJOIN(CHAR(10), TRUE, ARRAYFORMULA( ""• ""&amp; FILTER( TRIM(FLATTEN(SPLIT( REGEXREPLACE( SUBSTITUTE(TEXTJOIN("","", TRUE, IFERROR(ARRAYFORMULA(VLOOKUP(TRIM(SPLIT('Final Report'!A1702, "","")), 'URL Details'!A:D, "&amp;"4, FALSE)),"""") ), CHAR(10), "",""), ""\s*,\s*"", "",""), "",""))), TRIM(FLATTEN(SPLIT( REGEXREPLACE( SUBSTITUTE(TEXTJOIN("","", TRUE, IFERROR(ARRAYFORMULA(VLOOKUP(TRIM(SPLIT('Final Report'!A1702, "","")), 'URL Details'!A:D, 4, FALSE)),"""") ), CHAR(10),"&amp;" "",""), ""\s*,\s*"", "",""), "","")))&lt;&gt;"""" ) ) ) ),"""")
"),"")</f>
        <v/>
      </c>
      <c r="D1702" s="105"/>
      <c r="E1702" s="105"/>
      <c r="F1702" s="110" t="b">
        <v>0</v>
      </c>
      <c r="G1702" s="105" t="str">
        <f>IF(F1702=True, IFERROR(VLOOKUP(D1702, Repository!A:B, 2, 0), ""), "")</f>
        <v/>
      </c>
      <c r="H1702" s="105"/>
      <c r="I1702" s="105"/>
      <c r="J1702" s="105" t="str">
        <f>IF(F1702=True, IFERROR(VLOOKUP(D1702, Repository!A:C, 3, 0), ""), "")</f>
        <v/>
      </c>
      <c r="K1702" s="105"/>
      <c r="L1702" s="105" t="str">
        <f>IF(F1702=True, IFERROR(VLOOKUP(D1702, Repository!A:E, 5, 0), ""), "")</f>
        <v/>
      </c>
      <c r="M1702" s="105"/>
      <c r="N1702" s="105" t="str">
        <f>IF(F1702=True, IFERROR(VLOOKUP(D1702, Repository!A:G, 7, 0), ""), "")</f>
        <v/>
      </c>
      <c r="O1702" s="105" t="str">
        <f>IFERROR(__xludf.DUMMYFUNCTION("ARRAY_CONSTRAIN(
  ARRAYFORMULA(
    IFERROR(
      LET(
        list, N1702,
        arr, TRIM(SPLIT(list, "","")),
        names, XLOOKUP(
          arr,
          'Conformance Score'!A:A,
          'Conformance Score'!B:B,
          ""Not found""
     "&amp;"   ),
        TEXTJOIN("", "", TRUE, names)
      ),
      """"
    )
  ),
  1,
  1
)
"),"")</f>
        <v/>
      </c>
      <c r="P1702" s="105" t="str">
        <f>IF(F1702="Yes", IFERROR(VLOOKUP(D1702, Repository!A:F, 6, 0), ""), "")</f>
        <v/>
      </c>
      <c r="Q1702" s="105" t="str">
        <f>IF(F1702="Yes", IFERROR(VLOOKUP(D1702, Repository!A:I, 8, 0), ""), "")</f>
        <v/>
      </c>
      <c r="R1702" s="105" t="str">
        <f>IF(F1702="Yes", IFERROR(VLOOKUP(D1702, Repository!A:J, 9, 0), ""), "")</f>
        <v/>
      </c>
      <c r="S1702" s="105"/>
      <c r="T1702" s="105"/>
      <c r="U1702" s="105"/>
      <c r="V1702" s="105"/>
      <c r="W1702" s="105"/>
      <c r="X1702" s="105"/>
      <c r="Y1702" s="105"/>
      <c r="Z1702" s="105"/>
      <c r="AA1702" s="105"/>
      <c r="AB1702" s="105"/>
      <c r="AC1702" s="91"/>
      <c r="AD1702" s="105"/>
      <c r="AE1702" s="105"/>
      <c r="AF1702" s="91"/>
      <c r="AG1702" s="105"/>
      <c r="AH1702" s="105"/>
      <c r="AI1702" s="105" t="str">
        <f t="shared" si="1"/>
        <v/>
      </c>
      <c r="AJ1702" s="108" t="str">
        <f t="shared" si="2"/>
        <v/>
      </c>
    </row>
    <row r="1703" ht="15.75" customHeight="1">
      <c r="A1703" s="104"/>
      <c r="B1703" s="105" t="str">
        <f>IFERROR(__xludf.DUMMYFUNCTION("ARRAY_CONSTRAIN(
  ARRAYFORMULA(
    IF(
      'Final Report'!A1703="""",
      """",
      TEXTJOIN(
        "", "" &amp; CHAR(10),
        TRUE,
        IFERROR(
          VLOOKUP(
            TRIM(
              SPLIT('Final Report'!A1703, "","")
         "&amp;"   ),
            'URL Details'!A:B,
            2,
            FALSE
          ),
          """"
        )
      )
    )
  ),
  1,
  1
)
"),"")</f>
        <v/>
      </c>
      <c r="C1703" s="105" t="str">
        <f>IFERROR(__xludf.DUMMYFUNCTION("IFERROR(IF('Final Report'!A1703="""","""", TEXTJOIN(CHAR(10), TRUE, ARRAYFORMULA( ""• ""&amp; FILTER( TRIM(FLATTEN(SPLIT( REGEXREPLACE( SUBSTITUTE(TEXTJOIN("","", TRUE, IFERROR(ARRAYFORMULA(VLOOKUP(TRIM(SPLIT('Final Report'!A1703, "","")), 'URL Details'!A:D, "&amp;"4, FALSE)),"""") ), CHAR(10), "",""), ""\s*,\s*"", "",""), "",""))), TRIM(FLATTEN(SPLIT( REGEXREPLACE( SUBSTITUTE(TEXTJOIN("","", TRUE, IFERROR(ARRAYFORMULA(VLOOKUP(TRIM(SPLIT('Final Report'!A1703, "","")), 'URL Details'!A:D, 4, FALSE)),"""") ), CHAR(10),"&amp;" "",""), ""\s*,\s*"", "",""), "","")))&lt;&gt;"""" ) ) ) ),"""")
"),"")</f>
        <v/>
      </c>
      <c r="D1703" s="105"/>
      <c r="E1703" s="105"/>
      <c r="F1703" s="110" t="b">
        <v>0</v>
      </c>
      <c r="G1703" s="105" t="str">
        <f>IF(F1703=True, IFERROR(VLOOKUP(D1703, Repository!A:B, 2, 0), ""), "")</f>
        <v/>
      </c>
      <c r="H1703" s="105"/>
      <c r="I1703" s="105"/>
      <c r="J1703" s="105" t="str">
        <f>IF(F1703=True, IFERROR(VLOOKUP(D1703, Repository!A:C, 3, 0), ""), "")</f>
        <v/>
      </c>
      <c r="K1703" s="105"/>
      <c r="L1703" s="105" t="str">
        <f>IF(F1703=True, IFERROR(VLOOKUP(D1703, Repository!A:E, 5, 0), ""), "")</f>
        <v/>
      </c>
      <c r="M1703" s="105"/>
      <c r="N1703" s="105" t="str">
        <f>IF(F1703=True, IFERROR(VLOOKUP(D1703, Repository!A:G, 7, 0), ""), "")</f>
        <v/>
      </c>
      <c r="O1703" s="105" t="str">
        <f>IFERROR(__xludf.DUMMYFUNCTION("ARRAY_CONSTRAIN(
  ARRAYFORMULA(
    IFERROR(
      LET(
        list, N1703,
        arr, TRIM(SPLIT(list, "","")),
        names, XLOOKUP(
          arr,
          'Conformance Score'!A:A,
          'Conformance Score'!B:B,
          ""Not found""
     "&amp;"   ),
        TEXTJOIN("", "", TRUE, names)
      ),
      """"
    )
  ),
  1,
  1
)
"),"")</f>
        <v/>
      </c>
      <c r="P1703" s="105" t="str">
        <f>IF(F1703="Yes", IFERROR(VLOOKUP(D1703, Repository!A:F, 6, 0), ""), "")</f>
        <v/>
      </c>
      <c r="Q1703" s="105" t="str">
        <f>IF(F1703="Yes", IFERROR(VLOOKUP(D1703, Repository!A:I, 8, 0), ""), "")</f>
        <v/>
      </c>
      <c r="R1703" s="105" t="str">
        <f>IF(F1703="Yes", IFERROR(VLOOKUP(D1703, Repository!A:J, 9, 0), ""), "")</f>
        <v/>
      </c>
      <c r="S1703" s="105"/>
      <c r="T1703" s="105"/>
      <c r="U1703" s="105"/>
      <c r="V1703" s="105"/>
      <c r="W1703" s="105"/>
      <c r="X1703" s="105"/>
      <c r="Y1703" s="105"/>
      <c r="Z1703" s="105"/>
      <c r="AA1703" s="105"/>
      <c r="AB1703" s="105"/>
      <c r="AC1703" s="91"/>
      <c r="AD1703" s="105"/>
      <c r="AE1703" s="105"/>
      <c r="AF1703" s="91"/>
      <c r="AG1703" s="105"/>
      <c r="AH1703" s="105"/>
      <c r="AI1703" s="105" t="str">
        <f t="shared" si="1"/>
        <v/>
      </c>
      <c r="AJ1703" s="108" t="str">
        <f t="shared" si="2"/>
        <v/>
      </c>
    </row>
    <row r="1704" ht="15.75" customHeight="1">
      <c r="A1704" s="104"/>
      <c r="B1704" s="105" t="str">
        <f>IFERROR(__xludf.DUMMYFUNCTION("ARRAY_CONSTRAIN(
  ARRAYFORMULA(
    IF(
      'Final Report'!A1704="""",
      """",
      TEXTJOIN(
        "", "" &amp; CHAR(10),
        TRUE,
        IFERROR(
          VLOOKUP(
            TRIM(
              SPLIT('Final Report'!A1704, "","")
         "&amp;"   ),
            'URL Details'!A:B,
            2,
            FALSE
          ),
          """"
        )
      )
    )
  ),
  1,
  1
)
"),"")</f>
        <v/>
      </c>
      <c r="C1704" s="105" t="str">
        <f>IFERROR(__xludf.DUMMYFUNCTION("IFERROR(IF('Final Report'!A1704="""","""", TEXTJOIN(CHAR(10), TRUE, ARRAYFORMULA( ""• ""&amp; FILTER( TRIM(FLATTEN(SPLIT( REGEXREPLACE( SUBSTITUTE(TEXTJOIN("","", TRUE, IFERROR(ARRAYFORMULA(VLOOKUP(TRIM(SPLIT('Final Report'!A1704, "","")), 'URL Details'!A:D, "&amp;"4, FALSE)),"""") ), CHAR(10), "",""), ""\s*,\s*"", "",""), "",""))), TRIM(FLATTEN(SPLIT( REGEXREPLACE( SUBSTITUTE(TEXTJOIN("","", TRUE, IFERROR(ARRAYFORMULA(VLOOKUP(TRIM(SPLIT('Final Report'!A1704, "","")), 'URL Details'!A:D, 4, FALSE)),"""") ), CHAR(10),"&amp;" "",""), ""\s*,\s*"", "",""), "","")))&lt;&gt;"""" ) ) ) ),"""")
"),"")</f>
        <v/>
      </c>
      <c r="D1704" s="105"/>
      <c r="E1704" s="105"/>
      <c r="F1704" s="110" t="b">
        <v>0</v>
      </c>
      <c r="G1704" s="105" t="str">
        <f>IF(F1704=True, IFERROR(VLOOKUP(D1704, Repository!A:B, 2, 0), ""), "")</f>
        <v/>
      </c>
      <c r="H1704" s="105"/>
      <c r="I1704" s="105"/>
      <c r="J1704" s="105" t="str">
        <f>IF(F1704=True, IFERROR(VLOOKUP(D1704, Repository!A:C, 3, 0), ""), "")</f>
        <v/>
      </c>
      <c r="K1704" s="105"/>
      <c r="L1704" s="105" t="str">
        <f>IF(F1704=True, IFERROR(VLOOKUP(D1704, Repository!A:E, 5, 0), ""), "")</f>
        <v/>
      </c>
      <c r="M1704" s="105"/>
      <c r="N1704" s="105" t="str">
        <f>IF(F1704=True, IFERROR(VLOOKUP(D1704, Repository!A:G, 7, 0), ""), "")</f>
        <v/>
      </c>
      <c r="O1704" s="105" t="str">
        <f>IFERROR(__xludf.DUMMYFUNCTION("ARRAY_CONSTRAIN(
  ARRAYFORMULA(
    IFERROR(
      LET(
        list, N1704,
        arr, TRIM(SPLIT(list, "","")),
        names, XLOOKUP(
          arr,
          'Conformance Score'!A:A,
          'Conformance Score'!B:B,
          ""Not found""
     "&amp;"   ),
        TEXTJOIN("", "", TRUE, names)
      ),
      """"
    )
  ),
  1,
  1
)
"),"")</f>
        <v/>
      </c>
      <c r="P1704" s="105" t="str">
        <f>IF(F1704="Yes", IFERROR(VLOOKUP(D1704, Repository!A:F, 6, 0), ""), "")</f>
        <v/>
      </c>
      <c r="Q1704" s="105" t="str">
        <f>IF(F1704="Yes", IFERROR(VLOOKUP(D1704, Repository!A:I, 8, 0), ""), "")</f>
        <v/>
      </c>
      <c r="R1704" s="105" t="str">
        <f>IF(F1704="Yes", IFERROR(VLOOKUP(D1704, Repository!A:J, 9, 0), ""), "")</f>
        <v/>
      </c>
      <c r="S1704" s="105"/>
      <c r="T1704" s="105"/>
      <c r="U1704" s="105"/>
      <c r="V1704" s="105"/>
      <c r="W1704" s="105"/>
      <c r="X1704" s="105"/>
      <c r="Y1704" s="105"/>
      <c r="Z1704" s="105"/>
      <c r="AA1704" s="105"/>
      <c r="AB1704" s="105"/>
      <c r="AC1704" s="91"/>
      <c r="AD1704" s="105"/>
      <c r="AE1704" s="105"/>
      <c r="AF1704" s="91"/>
      <c r="AG1704" s="105"/>
      <c r="AH1704" s="105"/>
      <c r="AI1704" s="105" t="str">
        <f t="shared" si="1"/>
        <v/>
      </c>
      <c r="AJ1704" s="108" t="str">
        <f t="shared" si="2"/>
        <v/>
      </c>
    </row>
    <row r="1705" ht="15.75" customHeight="1">
      <c r="A1705" s="104"/>
      <c r="B1705" s="105" t="str">
        <f>IFERROR(__xludf.DUMMYFUNCTION("ARRAY_CONSTRAIN(
  ARRAYFORMULA(
    IF(
      'Final Report'!A1705="""",
      """",
      TEXTJOIN(
        "", "" &amp; CHAR(10),
        TRUE,
        IFERROR(
          VLOOKUP(
            TRIM(
              SPLIT('Final Report'!A1705, "","")
         "&amp;"   ),
            'URL Details'!A:B,
            2,
            FALSE
          ),
          """"
        )
      )
    )
  ),
  1,
  1
)
"),"")</f>
        <v/>
      </c>
      <c r="C1705" s="105" t="str">
        <f>IFERROR(__xludf.DUMMYFUNCTION("IFERROR(IF('Final Report'!A1705="""","""", TEXTJOIN(CHAR(10), TRUE, ARRAYFORMULA( ""• ""&amp; FILTER( TRIM(FLATTEN(SPLIT( REGEXREPLACE( SUBSTITUTE(TEXTJOIN("","", TRUE, IFERROR(ARRAYFORMULA(VLOOKUP(TRIM(SPLIT('Final Report'!A1705, "","")), 'URL Details'!A:D, "&amp;"4, FALSE)),"""") ), CHAR(10), "",""), ""\s*,\s*"", "",""), "",""))), TRIM(FLATTEN(SPLIT( REGEXREPLACE( SUBSTITUTE(TEXTJOIN("","", TRUE, IFERROR(ARRAYFORMULA(VLOOKUP(TRIM(SPLIT('Final Report'!A1705, "","")), 'URL Details'!A:D, 4, FALSE)),"""") ), CHAR(10),"&amp;" "",""), ""\s*,\s*"", "",""), "","")))&lt;&gt;"""" ) ) ) ),"""")
"),"")</f>
        <v/>
      </c>
      <c r="D1705" s="105"/>
      <c r="E1705" s="105"/>
      <c r="F1705" s="110" t="b">
        <v>0</v>
      </c>
      <c r="G1705" s="105" t="str">
        <f>IF(F1705=True, IFERROR(VLOOKUP(D1705, Repository!A:B, 2, 0), ""), "")</f>
        <v/>
      </c>
      <c r="H1705" s="105"/>
      <c r="I1705" s="105"/>
      <c r="J1705" s="105" t="str">
        <f>IF(F1705=True, IFERROR(VLOOKUP(D1705, Repository!A:C, 3, 0), ""), "")</f>
        <v/>
      </c>
      <c r="K1705" s="105"/>
      <c r="L1705" s="105" t="str">
        <f>IF(F1705=True, IFERROR(VLOOKUP(D1705, Repository!A:E, 5, 0), ""), "")</f>
        <v/>
      </c>
      <c r="M1705" s="105"/>
      <c r="N1705" s="105" t="str">
        <f>IF(F1705=True, IFERROR(VLOOKUP(D1705, Repository!A:G, 7, 0), ""), "")</f>
        <v/>
      </c>
      <c r="O1705" s="105" t="str">
        <f>IFERROR(__xludf.DUMMYFUNCTION("ARRAY_CONSTRAIN(
  ARRAYFORMULA(
    IFERROR(
      LET(
        list, N1705,
        arr, TRIM(SPLIT(list, "","")),
        names, XLOOKUP(
          arr,
          'Conformance Score'!A:A,
          'Conformance Score'!B:B,
          ""Not found""
     "&amp;"   ),
        TEXTJOIN("", "", TRUE, names)
      ),
      """"
    )
  ),
  1,
  1
)
"),"")</f>
        <v/>
      </c>
      <c r="P1705" s="105" t="str">
        <f>IF(F1705="Yes", IFERROR(VLOOKUP(D1705, Repository!A:F, 6, 0), ""), "")</f>
        <v/>
      </c>
      <c r="Q1705" s="105" t="str">
        <f>IF(F1705="Yes", IFERROR(VLOOKUP(D1705, Repository!A:I, 8, 0), ""), "")</f>
        <v/>
      </c>
      <c r="R1705" s="105" t="str">
        <f>IF(F1705="Yes", IFERROR(VLOOKUP(D1705, Repository!A:J, 9, 0), ""), "")</f>
        <v/>
      </c>
      <c r="S1705" s="105"/>
      <c r="T1705" s="105"/>
      <c r="U1705" s="105"/>
      <c r="V1705" s="105"/>
      <c r="W1705" s="105"/>
      <c r="X1705" s="105"/>
      <c r="Y1705" s="105"/>
      <c r="Z1705" s="105"/>
      <c r="AA1705" s="105"/>
      <c r="AB1705" s="105"/>
      <c r="AC1705" s="91"/>
      <c r="AD1705" s="105"/>
      <c r="AE1705" s="105"/>
      <c r="AF1705" s="91"/>
      <c r="AG1705" s="105"/>
      <c r="AH1705" s="105"/>
      <c r="AI1705" s="105" t="str">
        <f t="shared" si="1"/>
        <v/>
      </c>
      <c r="AJ1705" s="108" t="str">
        <f t="shared" si="2"/>
        <v/>
      </c>
    </row>
    <row r="1706" ht="15.75" customHeight="1">
      <c r="A1706" s="104"/>
      <c r="B1706" s="105" t="str">
        <f>IFERROR(__xludf.DUMMYFUNCTION("ARRAY_CONSTRAIN(
  ARRAYFORMULA(
    IF(
      'Final Report'!A1706="""",
      """",
      TEXTJOIN(
        "", "" &amp; CHAR(10),
        TRUE,
        IFERROR(
          VLOOKUP(
            TRIM(
              SPLIT('Final Report'!A1706, "","")
         "&amp;"   ),
            'URL Details'!A:B,
            2,
            FALSE
          ),
          """"
        )
      )
    )
  ),
  1,
  1
)
"),"")</f>
        <v/>
      </c>
      <c r="C1706" s="105" t="str">
        <f>IFERROR(__xludf.DUMMYFUNCTION("IFERROR(IF('Final Report'!A1706="""","""", TEXTJOIN(CHAR(10), TRUE, ARRAYFORMULA( ""• ""&amp; FILTER( TRIM(FLATTEN(SPLIT( REGEXREPLACE( SUBSTITUTE(TEXTJOIN("","", TRUE, IFERROR(ARRAYFORMULA(VLOOKUP(TRIM(SPLIT('Final Report'!A1706, "","")), 'URL Details'!A:D, "&amp;"4, FALSE)),"""") ), CHAR(10), "",""), ""\s*,\s*"", "",""), "",""))), TRIM(FLATTEN(SPLIT( REGEXREPLACE( SUBSTITUTE(TEXTJOIN("","", TRUE, IFERROR(ARRAYFORMULA(VLOOKUP(TRIM(SPLIT('Final Report'!A1706, "","")), 'URL Details'!A:D, 4, FALSE)),"""") ), CHAR(10),"&amp;" "",""), ""\s*,\s*"", "",""), "","")))&lt;&gt;"""" ) ) ) ),"""")
"),"")</f>
        <v/>
      </c>
      <c r="D1706" s="105"/>
      <c r="E1706" s="105"/>
      <c r="F1706" s="110" t="b">
        <v>0</v>
      </c>
      <c r="G1706" s="105" t="str">
        <f>IF(F1706=True, IFERROR(VLOOKUP(D1706, Repository!A:B, 2, 0), ""), "")</f>
        <v/>
      </c>
      <c r="H1706" s="105"/>
      <c r="I1706" s="105"/>
      <c r="J1706" s="105" t="str">
        <f>IF(F1706=True, IFERROR(VLOOKUP(D1706, Repository!A:C, 3, 0), ""), "")</f>
        <v/>
      </c>
      <c r="K1706" s="105"/>
      <c r="L1706" s="105" t="str">
        <f>IF(F1706=True, IFERROR(VLOOKUP(D1706, Repository!A:E, 5, 0), ""), "")</f>
        <v/>
      </c>
      <c r="M1706" s="105"/>
      <c r="N1706" s="105" t="str">
        <f>IF(F1706=True, IFERROR(VLOOKUP(D1706, Repository!A:G, 7, 0), ""), "")</f>
        <v/>
      </c>
      <c r="O1706" s="105" t="str">
        <f>IFERROR(__xludf.DUMMYFUNCTION("ARRAY_CONSTRAIN(
  ARRAYFORMULA(
    IFERROR(
      LET(
        list, N1706,
        arr, TRIM(SPLIT(list, "","")),
        names, XLOOKUP(
          arr,
          'Conformance Score'!A:A,
          'Conformance Score'!B:B,
          ""Not found""
     "&amp;"   ),
        TEXTJOIN("", "", TRUE, names)
      ),
      """"
    )
  ),
  1,
  1
)
"),"")</f>
        <v/>
      </c>
      <c r="P1706" s="105" t="str">
        <f>IF(F1706="Yes", IFERROR(VLOOKUP(D1706, Repository!A:F, 6, 0), ""), "")</f>
        <v/>
      </c>
      <c r="Q1706" s="105" t="str">
        <f>IF(F1706="Yes", IFERROR(VLOOKUP(D1706, Repository!A:I, 8, 0), ""), "")</f>
        <v/>
      </c>
      <c r="R1706" s="105" t="str">
        <f>IF(F1706="Yes", IFERROR(VLOOKUP(D1706, Repository!A:J, 9, 0), ""), "")</f>
        <v/>
      </c>
      <c r="S1706" s="105"/>
      <c r="T1706" s="105"/>
      <c r="U1706" s="105"/>
      <c r="V1706" s="105"/>
      <c r="W1706" s="105"/>
      <c r="X1706" s="105"/>
      <c r="Y1706" s="105"/>
      <c r="Z1706" s="105"/>
      <c r="AA1706" s="105"/>
      <c r="AB1706" s="105"/>
      <c r="AC1706" s="91"/>
      <c r="AD1706" s="105"/>
      <c r="AE1706" s="105"/>
      <c r="AF1706" s="91"/>
      <c r="AG1706" s="105"/>
      <c r="AH1706" s="105"/>
      <c r="AI1706" s="105" t="str">
        <f t="shared" si="1"/>
        <v/>
      </c>
      <c r="AJ1706" s="108" t="str">
        <f t="shared" si="2"/>
        <v/>
      </c>
    </row>
    <row r="1707" ht="15.75" customHeight="1">
      <c r="A1707" s="104"/>
      <c r="B1707" s="105" t="str">
        <f>IFERROR(__xludf.DUMMYFUNCTION("ARRAY_CONSTRAIN(
  ARRAYFORMULA(
    IF(
      'Final Report'!A1707="""",
      """",
      TEXTJOIN(
        "", "" &amp; CHAR(10),
        TRUE,
        IFERROR(
          VLOOKUP(
            TRIM(
              SPLIT('Final Report'!A1707, "","")
         "&amp;"   ),
            'URL Details'!A:B,
            2,
            FALSE
          ),
          """"
        )
      )
    )
  ),
  1,
  1
)
"),"")</f>
        <v/>
      </c>
      <c r="C1707" s="105" t="str">
        <f>IFERROR(__xludf.DUMMYFUNCTION("IFERROR(IF('Final Report'!A1707="""","""", TEXTJOIN(CHAR(10), TRUE, ARRAYFORMULA( ""• ""&amp; FILTER( TRIM(FLATTEN(SPLIT( REGEXREPLACE( SUBSTITUTE(TEXTJOIN("","", TRUE, IFERROR(ARRAYFORMULA(VLOOKUP(TRIM(SPLIT('Final Report'!A1707, "","")), 'URL Details'!A:D, "&amp;"4, FALSE)),"""") ), CHAR(10), "",""), ""\s*,\s*"", "",""), "",""))), TRIM(FLATTEN(SPLIT( REGEXREPLACE( SUBSTITUTE(TEXTJOIN("","", TRUE, IFERROR(ARRAYFORMULA(VLOOKUP(TRIM(SPLIT('Final Report'!A1707, "","")), 'URL Details'!A:D, 4, FALSE)),"""") ), CHAR(10),"&amp;" "",""), ""\s*,\s*"", "",""), "","")))&lt;&gt;"""" ) ) ) ),"""")
"),"")</f>
        <v/>
      </c>
      <c r="D1707" s="105"/>
      <c r="E1707" s="105"/>
      <c r="F1707" s="110" t="b">
        <v>0</v>
      </c>
      <c r="G1707" s="105" t="str">
        <f>IF(F1707=True, IFERROR(VLOOKUP(D1707, Repository!A:B, 2, 0), ""), "")</f>
        <v/>
      </c>
      <c r="H1707" s="105"/>
      <c r="I1707" s="105"/>
      <c r="J1707" s="105" t="str">
        <f>IF(F1707=True, IFERROR(VLOOKUP(D1707, Repository!A:C, 3, 0), ""), "")</f>
        <v/>
      </c>
      <c r="K1707" s="105"/>
      <c r="L1707" s="105" t="str">
        <f>IF(F1707=True, IFERROR(VLOOKUP(D1707, Repository!A:E, 5, 0), ""), "")</f>
        <v/>
      </c>
      <c r="M1707" s="105"/>
      <c r="N1707" s="105" t="str">
        <f>IF(F1707=True, IFERROR(VLOOKUP(D1707, Repository!A:G, 7, 0), ""), "")</f>
        <v/>
      </c>
      <c r="O1707" s="105" t="str">
        <f>IFERROR(__xludf.DUMMYFUNCTION("ARRAY_CONSTRAIN(
  ARRAYFORMULA(
    IFERROR(
      LET(
        list, N1707,
        arr, TRIM(SPLIT(list, "","")),
        names, XLOOKUP(
          arr,
          'Conformance Score'!A:A,
          'Conformance Score'!B:B,
          ""Not found""
     "&amp;"   ),
        TEXTJOIN("", "", TRUE, names)
      ),
      """"
    )
  ),
  1,
  1
)
"),"")</f>
        <v/>
      </c>
      <c r="P1707" s="105" t="str">
        <f>IF(F1707="Yes", IFERROR(VLOOKUP(D1707, Repository!A:F, 6, 0), ""), "")</f>
        <v/>
      </c>
      <c r="Q1707" s="105" t="str">
        <f>IF(F1707="Yes", IFERROR(VLOOKUP(D1707, Repository!A:I, 8, 0), ""), "")</f>
        <v/>
      </c>
      <c r="R1707" s="105" t="str">
        <f>IF(F1707="Yes", IFERROR(VLOOKUP(D1707, Repository!A:J, 9, 0), ""), "")</f>
        <v/>
      </c>
      <c r="S1707" s="105"/>
      <c r="T1707" s="105"/>
      <c r="U1707" s="105"/>
      <c r="V1707" s="105"/>
      <c r="W1707" s="105"/>
      <c r="X1707" s="105"/>
      <c r="Y1707" s="105"/>
      <c r="Z1707" s="105"/>
      <c r="AA1707" s="105"/>
      <c r="AB1707" s="105"/>
      <c r="AC1707" s="91"/>
      <c r="AD1707" s="105"/>
      <c r="AE1707" s="105"/>
      <c r="AF1707" s="91"/>
      <c r="AG1707" s="105"/>
      <c r="AH1707" s="105"/>
      <c r="AI1707" s="105" t="str">
        <f t="shared" si="1"/>
        <v/>
      </c>
      <c r="AJ1707" s="108" t="str">
        <f t="shared" si="2"/>
        <v/>
      </c>
    </row>
    <row r="1708" ht="15.75" customHeight="1">
      <c r="A1708" s="104"/>
      <c r="B1708" s="105" t="str">
        <f>IFERROR(__xludf.DUMMYFUNCTION("ARRAY_CONSTRAIN(
  ARRAYFORMULA(
    IF(
      'Final Report'!A1708="""",
      """",
      TEXTJOIN(
        "", "" &amp; CHAR(10),
        TRUE,
        IFERROR(
          VLOOKUP(
            TRIM(
              SPLIT('Final Report'!A1708, "","")
         "&amp;"   ),
            'URL Details'!A:B,
            2,
            FALSE
          ),
          """"
        )
      )
    )
  ),
  1,
  1
)
"),"")</f>
        <v/>
      </c>
      <c r="C1708" s="105" t="str">
        <f>IFERROR(__xludf.DUMMYFUNCTION("IFERROR(IF('Final Report'!A1708="""","""", TEXTJOIN(CHAR(10), TRUE, ARRAYFORMULA( ""• ""&amp; FILTER( TRIM(FLATTEN(SPLIT( REGEXREPLACE( SUBSTITUTE(TEXTJOIN("","", TRUE, IFERROR(ARRAYFORMULA(VLOOKUP(TRIM(SPLIT('Final Report'!A1708, "","")), 'URL Details'!A:D, "&amp;"4, FALSE)),"""") ), CHAR(10), "",""), ""\s*,\s*"", "",""), "",""))), TRIM(FLATTEN(SPLIT( REGEXREPLACE( SUBSTITUTE(TEXTJOIN("","", TRUE, IFERROR(ARRAYFORMULA(VLOOKUP(TRIM(SPLIT('Final Report'!A1708, "","")), 'URL Details'!A:D, 4, FALSE)),"""") ), CHAR(10),"&amp;" "",""), ""\s*,\s*"", "",""), "","")))&lt;&gt;"""" ) ) ) ),"""")
"),"")</f>
        <v/>
      </c>
      <c r="D1708" s="105"/>
      <c r="E1708" s="105"/>
      <c r="F1708" s="110" t="b">
        <v>0</v>
      </c>
      <c r="G1708" s="105" t="str">
        <f>IF(F1708=True, IFERROR(VLOOKUP(D1708, Repository!A:B, 2, 0), ""), "")</f>
        <v/>
      </c>
      <c r="H1708" s="105"/>
      <c r="I1708" s="105"/>
      <c r="J1708" s="105" t="str">
        <f>IF(F1708=True, IFERROR(VLOOKUP(D1708, Repository!A:C, 3, 0), ""), "")</f>
        <v/>
      </c>
      <c r="K1708" s="105"/>
      <c r="L1708" s="105" t="str">
        <f>IF(F1708=True, IFERROR(VLOOKUP(D1708, Repository!A:E, 5, 0), ""), "")</f>
        <v/>
      </c>
      <c r="M1708" s="105"/>
      <c r="N1708" s="105" t="str">
        <f>IF(F1708=True, IFERROR(VLOOKUP(D1708, Repository!A:G, 7, 0), ""), "")</f>
        <v/>
      </c>
      <c r="O1708" s="105" t="str">
        <f>IFERROR(__xludf.DUMMYFUNCTION("ARRAY_CONSTRAIN(
  ARRAYFORMULA(
    IFERROR(
      LET(
        list, N1708,
        arr, TRIM(SPLIT(list, "","")),
        names, XLOOKUP(
          arr,
          'Conformance Score'!A:A,
          'Conformance Score'!B:B,
          ""Not found""
     "&amp;"   ),
        TEXTJOIN("", "", TRUE, names)
      ),
      """"
    )
  ),
  1,
  1
)
"),"")</f>
        <v/>
      </c>
      <c r="P1708" s="105" t="str">
        <f>IF(F1708="Yes", IFERROR(VLOOKUP(D1708, Repository!A:F, 6, 0), ""), "")</f>
        <v/>
      </c>
      <c r="Q1708" s="105" t="str">
        <f>IF(F1708="Yes", IFERROR(VLOOKUP(D1708, Repository!A:I, 8, 0), ""), "")</f>
        <v/>
      </c>
      <c r="R1708" s="105" t="str">
        <f>IF(F1708="Yes", IFERROR(VLOOKUP(D1708, Repository!A:J, 9, 0), ""), "")</f>
        <v/>
      </c>
      <c r="S1708" s="105"/>
      <c r="T1708" s="105"/>
      <c r="U1708" s="105"/>
      <c r="V1708" s="105"/>
      <c r="W1708" s="105"/>
      <c r="X1708" s="105"/>
      <c r="Y1708" s="105"/>
      <c r="Z1708" s="105"/>
      <c r="AA1708" s="105"/>
      <c r="AB1708" s="105"/>
      <c r="AC1708" s="91"/>
      <c r="AD1708" s="105"/>
      <c r="AE1708" s="105"/>
      <c r="AF1708" s="91"/>
      <c r="AG1708" s="105"/>
      <c r="AH1708" s="105"/>
      <c r="AI1708" s="105" t="str">
        <f t="shared" si="1"/>
        <v/>
      </c>
      <c r="AJ1708" s="108" t="str">
        <f t="shared" si="2"/>
        <v/>
      </c>
    </row>
    <row r="1709" ht="15.75" customHeight="1">
      <c r="A1709" s="104"/>
      <c r="B1709" s="105" t="str">
        <f>IFERROR(__xludf.DUMMYFUNCTION("ARRAY_CONSTRAIN(
  ARRAYFORMULA(
    IF(
      'Final Report'!A1709="""",
      """",
      TEXTJOIN(
        "", "" &amp; CHAR(10),
        TRUE,
        IFERROR(
          VLOOKUP(
            TRIM(
              SPLIT('Final Report'!A1709, "","")
         "&amp;"   ),
            'URL Details'!A:B,
            2,
            FALSE
          ),
          """"
        )
      )
    )
  ),
  1,
  1
)
"),"")</f>
        <v/>
      </c>
      <c r="C1709" s="105" t="str">
        <f>IFERROR(__xludf.DUMMYFUNCTION("IFERROR(IF('Final Report'!A1709="""","""", TEXTJOIN(CHAR(10), TRUE, ARRAYFORMULA( ""• ""&amp; FILTER( TRIM(FLATTEN(SPLIT( REGEXREPLACE( SUBSTITUTE(TEXTJOIN("","", TRUE, IFERROR(ARRAYFORMULA(VLOOKUP(TRIM(SPLIT('Final Report'!A1709, "","")), 'URL Details'!A:D, "&amp;"4, FALSE)),"""") ), CHAR(10), "",""), ""\s*,\s*"", "",""), "",""))), TRIM(FLATTEN(SPLIT( REGEXREPLACE( SUBSTITUTE(TEXTJOIN("","", TRUE, IFERROR(ARRAYFORMULA(VLOOKUP(TRIM(SPLIT('Final Report'!A1709, "","")), 'URL Details'!A:D, 4, FALSE)),"""") ), CHAR(10),"&amp;" "",""), ""\s*,\s*"", "",""), "","")))&lt;&gt;"""" ) ) ) ),"""")
"),"")</f>
        <v/>
      </c>
      <c r="D1709" s="105"/>
      <c r="E1709" s="105"/>
      <c r="F1709" s="110" t="b">
        <v>0</v>
      </c>
      <c r="G1709" s="105" t="str">
        <f>IF(F1709=True, IFERROR(VLOOKUP(D1709, Repository!A:B, 2, 0), ""), "")</f>
        <v/>
      </c>
      <c r="H1709" s="105"/>
      <c r="I1709" s="105"/>
      <c r="J1709" s="105" t="str">
        <f>IF(F1709=True, IFERROR(VLOOKUP(D1709, Repository!A:C, 3, 0), ""), "")</f>
        <v/>
      </c>
      <c r="K1709" s="105"/>
      <c r="L1709" s="105" t="str">
        <f>IF(F1709=True, IFERROR(VLOOKUP(D1709, Repository!A:E, 5, 0), ""), "")</f>
        <v/>
      </c>
      <c r="M1709" s="105"/>
      <c r="N1709" s="105" t="str">
        <f>IF(F1709=True, IFERROR(VLOOKUP(D1709, Repository!A:G, 7, 0), ""), "")</f>
        <v/>
      </c>
      <c r="O1709" s="105" t="str">
        <f>IFERROR(__xludf.DUMMYFUNCTION("ARRAY_CONSTRAIN(
  ARRAYFORMULA(
    IFERROR(
      LET(
        list, N1709,
        arr, TRIM(SPLIT(list, "","")),
        names, XLOOKUP(
          arr,
          'Conformance Score'!A:A,
          'Conformance Score'!B:B,
          ""Not found""
     "&amp;"   ),
        TEXTJOIN("", "", TRUE, names)
      ),
      """"
    )
  ),
  1,
  1
)
"),"")</f>
        <v/>
      </c>
      <c r="P1709" s="105" t="str">
        <f>IF(F1709="Yes", IFERROR(VLOOKUP(D1709, Repository!A:F, 6, 0), ""), "")</f>
        <v/>
      </c>
      <c r="Q1709" s="105" t="str">
        <f>IF(F1709="Yes", IFERROR(VLOOKUP(D1709, Repository!A:I, 8, 0), ""), "")</f>
        <v/>
      </c>
      <c r="R1709" s="105" t="str">
        <f>IF(F1709="Yes", IFERROR(VLOOKUP(D1709, Repository!A:J, 9, 0), ""), "")</f>
        <v/>
      </c>
      <c r="S1709" s="105"/>
      <c r="T1709" s="105"/>
      <c r="U1709" s="105"/>
      <c r="V1709" s="105"/>
      <c r="W1709" s="105"/>
      <c r="X1709" s="105"/>
      <c r="Y1709" s="105"/>
      <c r="Z1709" s="105"/>
      <c r="AA1709" s="105"/>
      <c r="AB1709" s="105"/>
      <c r="AC1709" s="91"/>
      <c r="AD1709" s="105"/>
      <c r="AE1709" s="105"/>
      <c r="AF1709" s="91"/>
      <c r="AG1709" s="105"/>
      <c r="AH1709" s="105"/>
      <c r="AI1709" s="105" t="str">
        <f t="shared" si="1"/>
        <v/>
      </c>
      <c r="AJ1709" s="108" t="str">
        <f t="shared" si="2"/>
        <v/>
      </c>
    </row>
    <row r="1710" ht="15.75" customHeight="1">
      <c r="A1710" s="104"/>
      <c r="B1710" s="105" t="str">
        <f>IFERROR(__xludf.DUMMYFUNCTION("ARRAY_CONSTRAIN(
  ARRAYFORMULA(
    IF(
      'Final Report'!A1710="""",
      """",
      TEXTJOIN(
        "", "" &amp; CHAR(10),
        TRUE,
        IFERROR(
          VLOOKUP(
            TRIM(
              SPLIT('Final Report'!A1710, "","")
         "&amp;"   ),
            'URL Details'!A:B,
            2,
            FALSE
          ),
          """"
        )
      )
    )
  ),
  1,
  1
)
"),"")</f>
        <v/>
      </c>
      <c r="C1710" s="105" t="str">
        <f>IFERROR(__xludf.DUMMYFUNCTION("IFERROR(IF('Final Report'!A1710="""","""", TEXTJOIN(CHAR(10), TRUE, ARRAYFORMULA( ""• ""&amp; FILTER( TRIM(FLATTEN(SPLIT( REGEXREPLACE( SUBSTITUTE(TEXTJOIN("","", TRUE, IFERROR(ARRAYFORMULA(VLOOKUP(TRIM(SPLIT('Final Report'!A1710, "","")), 'URL Details'!A:D, "&amp;"4, FALSE)),"""") ), CHAR(10), "",""), ""\s*,\s*"", "",""), "",""))), TRIM(FLATTEN(SPLIT( REGEXREPLACE( SUBSTITUTE(TEXTJOIN("","", TRUE, IFERROR(ARRAYFORMULA(VLOOKUP(TRIM(SPLIT('Final Report'!A1710, "","")), 'URL Details'!A:D, 4, FALSE)),"""") ), CHAR(10),"&amp;" "",""), ""\s*,\s*"", "",""), "","")))&lt;&gt;"""" ) ) ) ),"""")
"),"")</f>
        <v/>
      </c>
      <c r="D1710" s="105"/>
      <c r="E1710" s="105"/>
      <c r="F1710" s="110" t="b">
        <v>0</v>
      </c>
      <c r="G1710" s="105" t="str">
        <f>IF(F1710=True, IFERROR(VLOOKUP(D1710, Repository!A:B, 2, 0), ""), "")</f>
        <v/>
      </c>
      <c r="H1710" s="105"/>
      <c r="I1710" s="105"/>
      <c r="J1710" s="105" t="str">
        <f>IF(F1710=True, IFERROR(VLOOKUP(D1710, Repository!A:C, 3, 0), ""), "")</f>
        <v/>
      </c>
      <c r="K1710" s="105"/>
      <c r="L1710" s="105" t="str">
        <f>IF(F1710=True, IFERROR(VLOOKUP(D1710, Repository!A:E, 5, 0), ""), "")</f>
        <v/>
      </c>
      <c r="M1710" s="105"/>
      <c r="N1710" s="105" t="str">
        <f>IF(F1710=True, IFERROR(VLOOKUP(D1710, Repository!A:G, 7, 0), ""), "")</f>
        <v/>
      </c>
      <c r="O1710" s="105" t="str">
        <f>IFERROR(__xludf.DUMMYFUNCTION("ARRAY_CONSTRAIN(
  ARRAYFORMULA(
    IFERROR(
      LET(
        list, N1710,
        arr, TRIM(SPLIT(list, "","")),
        names, XLOOKUP(
          arr,
          'Conformance Score'!A:A,
          'Conformance Score'!B:B,
          ""Not found""
     "&amp;"   ),
        TEXTJOIN("", "", TRUE, names)
      ),
      """"
    )
  ),
  1,
  1
)
"),"")</f>
        <v/>
      </c>
      <c r="P1710" s="105" t="str">
        <f>IF(F1710="Yes", IFERROR(VLOOKUP(D1710, Repository!A:F, 6, 0), ""), "")</f>
        <v/>
      </c>
      <c r="Q1710" s="105" t="str">
        <f>IF(F1710="Yes", IFERROR(VLOOKUP(D1710, Repository!A:I, 8, 0), ""), "")</f>
        <v/>
      </c>
      <c r="R1710" s="105" t="str">
        <f>IF(F1710="Yes", IFERROR(VLOOKUP(D1710, Repository!A:J, 9, 0), ""), "")</f>
        <v/>
      </c>
      <c r="S1710" s="105"/>
      <c r="T1710" s="105"/>
      <c r="U1710" s="105"/>
      <c r="V1710" s="105"/>
      <c r="W1710" s="105"/>
      <c r="X1710" s="105"/>
      <c r="Y1710" s="105"/>
      <c r="Z1710" s="105"/>
      <c r="AA1710" s="105"/>
      <c r="AB1710" s="105"/>
      <c r="AC1710" s="91"/>
      <c r="AD1710" s="105"/>
      <c r="AE1710" s="105"/>
      <c r="AF1710" s="91"/>
      <c r="AG1710" s="105"/>
      <c r="AH1710" s="105"/>
      <c r="AI1710" s="105" t="str">
        <f t="shared" si="1"/>
        <v/>
      </c>
      <c r="AJ1710" s="108" t="str">
        <f t="shared" si="2"/>
        <v/>
      </c>
    </row>
    <row r="1711" ht="15.75" customHeight="1">
      <c r="A1711" s="104"/>
      <c r="B1711" s="105" t="str">
        <f>IFERROR(__xludf.DUMMYFUNCTION("ARRAY_CONSTRAIN(
  ARRAYFORMULA(
    IF(
      'Final Report'!A1711="""",
      """",
      TEXTJOIN(
        "", "" &amp; CHAR(10),
        TRUE,
        IFERROR(
          VLOOKUP(
            TRIM(
              SPLIT('Final Report'!A1711, "","")
         "&amp;"   ),
            'URL Details'!A:B,
            2,
            FALSE
          ),
          """"
        )
      )
    )
  ),
  1,
  1
)
"),"")</f>
        <v/>
      </c>
      <c r="C1711" s="105" t="str">
        <f>IFERROR(__xludf.DUMMYFUNCTION("IFERROR(IF('Final Report'!A1711="""","""", TEXTJOIN(CHAR(10), TRUE, ARRAYFORMULA( ""• ""&amp; FILTER( TRIM(FLATTEN(SPLIT( REGEXREPLACE( SUBSTITUTE(TEXTJOIN("","", TRUE, IFERROR(ARRAYFORMULA(VLOOKUP(TRIM(SPLIT('Final Report'!A1711, "","")), 'URL Details'!A:D, "&amp;"4, FALSE)),"""") ), CHAR(10), "",""), ""\s*,\s*"", "",""), "",""))), TRIM(FLATTEN(SPLIT( REGEXREPLACE( SUBSTITUTE(TEXTJOIN("","", TRUE, IFERROR(ARRAYFORMULA(VLOOKUP(TRIM(SPLIT('Final Report'!A1711, "","")), 'URL Details'!A:D, 4, FALSE)),"""") ), CHAR(10),"&amp;" "",""), ""\s*,\s*"", "",""), "","")))&lt;&gt;"""" ) ) ) ),"""")
"),"")</f>
        <v/>
      </c>
      <c r="D1711" s="105"/>
      <c r="E1711" s="105"/>
      <c r="F1711" s="110" t="b">
        <v>0</v>
      </c>
      <c r="G1711" s="105" t="str">
        <f>IF(F1711=True, IFERROR(VLOOKUP(D1711, Repository!A:B, 2, 0), ""), "")</f>
        <v/>
      </c>
      <c r="H1711" s="105"/>
      <c r="I1711" s="105"/>
      <c r="J1711" s="105" t="str">
        <f>IF(F1711=True, IFERROR(VLOOKUP(D1711, Repository!A:C, 3, 0), ""), "")</f>
        <v/>
      </c>
      <c r="K1711" s="105"/>
      <c r="L1711" s="105" t="str">
        <f>IF(F1711=True, IFERROR(VLOOKUP(D1711, Repository!A:E, 5, 0), ""), "")</f>
        <v/>
      </c>
      <c r="M1711" s="105"/>
      <c r="N1711" s="105" t="str">
        <f>IF(F1711=True, IFERROR(VLOOKUP(D1711, Repository!A:G, 7, 0), ""), "")</f>
        <v/>
      </c>
      <c r="O1711" s="105" t="str">
        <f>IFERROR(__xludf.DUMMYFUNCTION("ARRAY_CONSTRAIN(
  ARRAYFORMULA(
    IFERROR(
      LET(
        list, N1711,
        arr, TRIM(SPLIT(list, "","")),
        names, XLOOKUP(
          arr,
          'Conformance Score'!A:A,
          'Conformance Score'!B:B,
          ""Not found""
     "&amp;"   ),
        TEXTJOIN("", "", TRUE, names)
      ),
      """"
    )
  ),
  1,
  1
)
"),"")</f>
        <v/>
      </c>
      <c r="P1711" s="105" t="str">
        <f>IF(F1711="Yes", IFERROR(VLOOKUP(D1711, Repository!A:F, 6, 0), ""), "")</f>
        <v/>
      </c>
      <c r="Q1711" s="105" t="str">
        <f>IF(F1711="Yes", IFERROR(VLOOKUP(D1711, Repository!A:I, 8, 0), ""), "")</f>
        <v/>
      </c>
      <c r="R1711" s="105" t="str">
        <f>IF(F1711="Yes", IFERROR(VLOOKUP(D1711, Repository!A:J, 9, 0), ""), "")</f>
        <v/>
      </c>
      <c r="S1711" s="105"/>
      <c r="T1711" s="105"/>
      <c r="U1711" s="105"/>
      <c r="V1711" s="105"/>
      <c r="W1711" s="105"/>
      <c r="X1711" s="105"/>
      <c r="Y1711" s="105"/>
      <c r="Z1711" s="105"/>
      <c r="AA1711" s="105"/>
      <c r="AB1711" s="105"/>
      <c r="AC1711" s="91"/>
      <c r="AD1711" s="105"/>
      <c r="AE1711" s="105"/>
      <c r="AF1711" s="91"/>
      <c r="AG1711" s="105"/>
      <c r="AH1711" s="105"/>
      <c r="AI1711" s="105" t="str">
        <f t="shared" si="1"/>
        <v/>
      </c>
      <c r="AJ1711" s="108" t="str">
        <f t="shared" si="2"/>
        <v/>
      </c>
    </row>
    <row r="1712" ht="15.75" customHeight="1">
      <c r="A1712" s="104"/>
      <c r="B1712" s="105" t="str">
        <f>IFERROR(__xludf.DUMMYFUNCTION("ARRAY_CONSTRAIN(
  ARRAYFORMULA(
    IF(
      'Final Report'!A1712="""",
      """",
      TEXTJOIN(
        "", "" &amp; CHAR(10),
        TRUE,
        IFERROR(
          VLOOKUP(
            TRIM(
              SPLIT('Final Report'!A1712, "","")
         "&amp;"   ),
            'URL Details'!A:B,
            2,
            FALSE
          ),
          """"
        )
      )
    )
  ),
  1,
  1
)
"),"")</f>
        <v/>
      </c>
      <c r="C1712" s="105" t="str">
        <f>IFERROR(__xludf.DUMMYFUNCTION("IFERROR(IF('Final Report'!A1712="""","""", TEXTJOIN(CHAR(10), TRUE, ARRAYFORMULA( ""• ""&amp; FILTER( TRIM(FLATTEN(SPLIT( REGEXREPLACE( SUBSTITUTE(TEXTJOIN("","", TRUE, IFERROR(ARRAYFORMULA(VLOOKUP(TRIM(SPLIT('Final Report'!A1712, "","")), 'URL Details'!A:D, "&amp;"4, FALSE)),"""") ), CHAR(10), "",""), ""\s*,\s*"", "",""), "",""))), TRIM(FLATTEN(SPLIT( REGEXREPLACE( SUBSTITUTE(TEXTJOIN("","", TRUE, IFERROR(ARRAYFORMULA(VLOOKUP(TRIM(SPLIT('Final Report'!A1712, "","")), 'URL Details'!A:D, 4, FALSE)),"""") ), CHAR(10),"&amp;" "",""), ""\s*,\s*"", "",""), "","")))&lt;&gt;"""" ) ) ) ),"""")
"),"")</f>
        <v/>
      </c>
      <c r="D1712" s="105"/>
      <c r="E1712" s="105"/>
      <c r="F1712" s="110" t="b">
        <v>0</v>
      </c>
      <c r="G1712" s="105" t="str">
        <f>IF(F1712=True, IFERROR(VLOOKUP(D1712, Repository!A:B, 2, 0), ""), "")</f>
        <v/>
      </c>
      <c r="H1712" s="105"/>
      <c r="I1712" s="105"/>
      <c r="J1712" s="105" t="str">
        <f>IF(F1712=True, IFERROR(VLOOKUP(D1712, Repository!A:C, 3, 0), ""), "")</f>
        <v/>
      </c>
      <c r="K1712" s="105"/>
      <c r="L1712" s="105" t="str">
        <f>IF(F1712=True, IFERROR(VLOOKUP(D1712, Repository!A:E, 5, 0), ""), "")</f>
        <v/>
      </c>
      <c r="M1712" s="105"/>
      <c r="N1712" s="105" t="str">
        <f>IF(F1712=True, IFERROR(VLOOKUP(D1712, Repository!A:G, 7, 0), ""), "")</f>
        <v/>
      </c>
      <c r="O1712" s="105" t="str">
        <f>IFERROR(__xludf.DUMMYFUNCTION("ARRAY_CONSTRAIN(
  ARRAYFORMULA(
    IFERROR(
      LET(
        list, N1712,
        arr, TRIM(SPLIT(list, "","")),
        names, XLOOKUP(
          arr,
          'Conformance Score'!A:A,
          'Conformance Score'!B:B,
          ""Not found""
     "&amp;"   ),
        TEXTJOIN("", "", TRUE, names)
      ),
      """"
    )
  ),
  1,
  1
)
"),"")</f>
        <v/>
      </c>
      <c r="P1712" s="105" t="str">
        <f>IF(F1712="Yes", IFERROR(VLOOKUP(D1712, Repository!A:F, 6, 0), ""), "")</f>
        <v/>
      </c>
      <c r="Q1712" s="105" t="str">
        <f>IF(F1712="Yes", IFERROR(VLOOKUP(D1712, Repository!A:I, 8, 0), ""), "")</f>
        <v/>
      </c>
      <c r="R1712" s="105" t="str">
        <f>IF(F1712="Yes", IFERROR(VLOOKUP(D1712, Repository!A:J, 9, 0), ""), "")</f>
        <v/>
      </c>
      <c r="S1712" s="105"/>
      <c r="T1712" s="105"/>
      <c r="U1712" s="105"/>
      <c r="V1712" s="105"/>
      <c r="W1712" s="105"/>
      <c r="X1712" s="105"/>
      <c r="Y1712" s="105"/>
      <c r="Z1712" s="105"/>
      <c r="AA1712" s="105"/>
      <c r="AB1712" s="105"/>
      <c r="AC1712" s="91"/>
      <c r="AD1712" s="105"/>
      <c r="AE1712" s="105"/>
      <c r="AF1712" s="91"/>
      <c r="AG1712" s="105"/>
      <c r="AH1712" s="105"/>
      <c r="AI1712" s="105" t="str">
        <f t="shared" si="1"/>
        <v/>
      </c>
      <c r="AJ1712" s="108" t="str">
        <f t="shared" si="2"/>
        <v/>
      </c>
    </row>
    <row r="1713" ht="15.75" customHeight="1">
      <c r="A1713" s="104"/>
      <c r="B1713" s="105" t="str">
        <f>IFERROR(__xludf.DUMMYFUNCTION("ARRAY_CONSTRAIN(
  ARRAYFORMULA(
    IF(
      'Final Report'!A1713="""",
      """",
      TEXTJOIN(
        "", "" &amp; CHAR(10),
        TRUE,
        IFERROR(
          VLOOKUP(
            TRIM(
              SPLIT('Final Report'!A1713, "","")
         "&amp;"   ),
            'URL Details'!A:B,
            2,
            FALSE
          ),
          """"
        )
      )
    )
  ),
  1,
  1
)
"),"")</f>
        <v/>
      </c>
      <c r="C1713" s="105" t="str">
        <f>IFERROR(__xludf.DUMMYFUNCTION("IFERROR(IF('Final Report'!A1713="""","""", TEXTJOIN(CHAR(10), TRUE, ARRAYFORMULA( ""• ""&amp; FILTER( TRIM(FLATTEN(SPLIT( REGEXREPLACE( SUBSTITUTE(TEXTJOIN("","", TRUE, IFERROR(ARRAYFORMULA(VLOOKUP(TRIM(SPLIT('Final Report'!A1713, "","")), 'URL Details'!A:D, "&amp;"4, FALSE)),"""") ), CHAR(10), "",""), ""\s*,\s*"", "",""), "",""))), TRIM(FLATTEN(SPLIT( REGEXREPLACE( SUBSTITUTE(TEXTJOIN("","", TRUE, IFERROR(ARRAYFORMULA(VLOOKUP(TRIM(SPLIT('Final Report'!A1713, "","")), 'URL Details'!A:D, 4, FALSE)),"""") ), CHAR(10),"&amp;" "",""), ""\s*,\s*"", "",""), "","")))&lt;&gt;"""" ) ) ) ),"""")
"),"")</f>
        <v/>
      </c>
      <c r="D1713" s="105"/>
      <c r="E1713" s="105"/>
      <c r="F1713" s="110" t="b">
        <v>0</v>
      </c>
      <c r="G1713" s="105" t="str">
        <f>IF(F1713=True, IFERROR(VLOOKUP(D1713, Repository!A:B, 2, 0), ""), "")</f>
        <v/>
      </c>
      <c r="H1713" s="105"/>
      <c r="I1713" s="105"/>
      <c r="J1713" s="105" t="str">
        <f>IF(F1713=True, IFERROR(VLOOKUP(D1713, Repository!A:C, 3, 0), ""), "")</f>
        <v/>
      </c>
      <c r="K1713" s="105"/>
      <c r="L1713" s="105" t="str">
        <f>IF(F1713=True, IFERROR(VLOOKUP(D1713, Repository!A:E, 5, 0), ""), "")</f>
        <v/>
      </c>
      <c r="M1713" s="105"/>
      <c r="N1713" s="105" t="str">
        <f>IF(F1713=True, IFERROR(VLOOKUP(D1713, Repository!A:G, 7, 0), ""), "")</f>
        <v/>
      </c>
      <c r="O1713" s="105" t="str">
        <f>IFERROR(__xludf.DUMMYFUNCTION("ARRAY_CONSTRAIN(
  ARRAYFORMULA(
    IFERROR(
      LET(
        list, N1713,
        arr, TRIM(SPLIT(list, "","")),
        names, XLOOKUP(
          arr,
          'Conformance Score'!A:A,
          'Conformance Score'!B:B,
          ""Not found""
     "&amp;"   ),
        TEXTJOIN("", "", TRUE, names)
      ),
      """"
    )
  ),
  1,
  1
)
"),"")</f>
        <v/>
      </c>
      <c r="P1713" s="105" t="str">
        <f>IF(F1713="Yes", IFERROR(VLOOKUP(D1713, Repository!A:F, 6, 0), ""), "")</f>
        <v/>
      </c>
      <c r="Q1713" s="105" t="str">
        <f>IF(F1713="Yes", IFERROR(VLOOKUP(D1713, Repository!A:I, 8, 0), ""), "")</f>
        <v/>
      </c>
      <c r="R1713" s="105" t="str">
        <f>IF(F1713="Yes", IFERROR(VLOOKUP(D1713, Repository!A:J, 9, 0), ""), "")</f>
        <v/>
      </c>
      <c r="S1713" s="105"/>
      <c r="T1713" s="105"/>
      <c r="U1713" s="105"/>
      <c r="V1713" s="105"/>
      <c r="W1713" s="105"/>
      <c r="X1713" s="105"/>
      <c r="Y1713" s="105"/>
      <c r="Z1713" s="105"/>
      <c r="AA1713" s="105"/>
      <c r="AB1713" s="105"/>
      <c r="AC1713" s="91"/>
      <c r="AD1713" s="105"/>
      <c r="AE1713" s="105"/>
      <c r="AF1713" s="91"/>
      <c r="AG1713" s="105"/>
      <c r="AH1713" s="105"/>
      <c r="AI1713" s="105" t="str">
        <f t="shared" si="1"/>
        <v/>
      </c>
      <c r="AJ1713" s="108" t="str">
        <f t="shared" si="2"/>
        <v/>
      </c>
    </row>
    <row r="1714" ht="15.75" customHeight="1">
      <c r="A1714" s="104"/>
      <c r="B1714" s="105" t="str">
        <f>IFERROR(__xludf.DUMMYFUNCTION("ARRAY_CONSTRAIN(
  ARRAYFORMULA(
    IF(
      'Final Report'!A1714="""",
      """",
      TEXTJOIN(
        "", "" &amp; CHAR(10),
        TRUE,
        IFERROR(
          VLOOKUP(
            TRIM(
              SPLIT('Final Report'!A1714, "","")
         "&amp;"   ),
            'URL Details'!A:B,
            2,
            FALSE
          ),
          """"
        )
      )
    )
  ),
  1,
  1
)
"),"")</f>
        <v/>
      </c>
      <c r="C1714" s="105" t="str">
        <f>IFERROR(__xludf.DUMMYFUNCTION("IFERROR(IF('Final Report'!A1714="""","""", TEXTJOIN(CHAR(10), TRUE, ARRAYFORMULA( ""• ""&amp; FILTER( TRIM(FLATTEN(SPLIT( REGEXREPLACE( SUBSTITUTE(TEXTJOIN("","", TRUE, IFERROR(ARRAYFORMULA(VLOOKUP(TRIM(SPLIT('Final Report'!A1714, "","")), 'URL Details'!A:D, "&amp;"4, FALSE)),"""") ), CHAR(10), "",""), ""\s*,\s*"", "",""), "",""))), TRIM(FLATTEN(SPLIT( REGEXREPLACE( SUBSTITUTE(TEXTJOIN("","", TRUE, IFERROR(ARRAYFORMULA(VLOOKUP(TRIM(SPLIT('Final Report'!A1714, "","")), 'URL Details'!A:D, 4, FALSE)),"""") ), CHAR(10),"&amp;" "",""), ""\s*,\s*"", "",""), "","")))&lt;&gt;"""" ) ) ) ),"""")
"),"")</f>
        <v/>
      </c>
      <c r="D1714" s="105"/>
      <c r="E1714" s="105"/>
      <c r="F1714" s="110" t="b">
        <v>0</v>
      </c>
      <c r="G1714" s="105" t="str">
        <f>IF(F1714=True, IFERROR(VLOOKUP(D1714, Repository!A:B, 2, 0), ""), "")</f>
        <v/>
      </c>
      <c r="H1714" s="105"/>
      <c r="I1714" s="105"/>
      <c r="J1714" s="105" t="str">
        <f>IF(F1714=True, IFERROR(VLOOKUP(D1714, Repository!A:C, 3, 0), ""), "")</f>
        <v/>
      </c>
      <c r="K1714" s="105"/>
      <c r="L1714" s="105" t="str">
        <f>IF(F1714=True, IFERROR(VLOOKUP(D1714, Repository!A:E, 5, 0), ""), "")</f>
        <v/>
      </c>
      <c r="M1714" s="105"/>
      <c r="N1714" s="105" t="str">
        <f>IF(F1714=True, IFERROR(VLOOKUP(D1714, Repository!A:G, 7, 0), ""), "")</f>
        <v/>
      </c>
      <c r="O1714" s="105" t="str">
        <f>IFERROR(__xludf.DUMMYFUNCTION("ARRAY_CONSTRAIN(
  ARRAYFORMULA(
    IFERROR(
      LET(
        list, N1714,
        arr, TRIM(SPLIT(list, "","")),
        names, XLOOKUP(
          arr,
          'Conformance Score'!A:A,
          'Conformance Score'!B:B,
          ""Not found""
     "&amp;"   ),
        TEXTJOIN("", "", TRUE, names)
      ),
      """"
    )
  ),
  1,
  1
)
"),"")</f>
        <v/>
      </c>
      <c r="P1714" s="105" t="str">
        <f>IF(F1714="Yes", IFERROR(VLOOKUP(D1714, Repository!A:F, 6, 0), ""), "")</f>
        <v/>
      </c>
      <c r="Q1714" s="105" t="str">
        <f>IF(F1714="Yes", IFERROR(VLOOKUP(D1714, Repository!A:I, 8, 0), ""), "")</f>
        <v/>
      </c>
      <c r="R1714" s="105" t="str">
        <f>IF(F1714="Yes", IFERROR(VLOOKUP(D1714, Repository!A:J, 9, 0), ""), "")</f>
        <v/>
      </c>
      <c r="S1714" s="105"/>
      <c r="T1714" s="105"/>
      <c r="U1714" s="105"/>
      <c r="V1714" s="105"/>
      <c r="W1714" s="105"/>
      <c r="X1714" s="105"/>
      <c r="Y1714" s="105"/>
      <c r="Z1714" s="105"/>
      <c r="AA1714" s="105"/>
      <c r="AB1714" s="105"/>
      <c r="AC1714" s="91"/>
      <c r="AD1714" s="105"/>
      <c r="AE1714" s="105"/>
      <c r="AF1714" s="91"/>
      <c r="AG1714" s="105"/>
      <c r="AH1714" s="105"/>
      <c r="AI1714" s="105" t="str">
        <f t="shared" si="1"/>
        <v/>
      </c>
      <c r="AJ1714" s="108" t="str">
        <f t="shared" si="2"/>
        <v/>
      </c>
    </row>
    <row r="1715" ht="15.75" customHeight="1">
      <c r="A1715" s="104"/>
      <c r="B1715" s="105" t="str">
        <f>IFERROR(__xludf.DUMMYFUNCTION("ARRAY_CONSTRAIN(
  ARRAYFORMULA(
    IF(
      'Final Report'!A1715="""",
      """",
      TEXTJOIN(
        "", "" &amp; CHAR(10),
        TRUE,
        IFERROR(
          VLOOKUP(
            TRIM(
              SPLIT('Final Report'!A1715, "","")
         "&amp;"   ),
            'URL Details'!A:B,
            2,
            FALSE
          ),
          """"
        )
      )
    )
  ),
  1,
  1
)
"),"")</f>
        <v/>
      </c>
      <c r="C1715" s="105" t="str">
        <f>IFERROR(__xludf.DUMMYFUNCTION("IFERROR(IF('Final Report'!A1715="""","""", TEXTJOIN(CHAR(10), TRUE, ARRAYFORMULA( ""• ""&amp; FILTER( TRIM(FLATTEN(SPLIT( REGEXREPLACE( SUBSTITUTE(TEXTJOIN("","", TRUE, IFERROR(ARRAYFORMULA(VLOOKUP(TRIM(SPLIT('Final Report'!A1715, "","")), 'URL Details'!A:D, "&amp;"4, FALSE)),"""") ), CHAR(10), "",""), ""\s*,\s*"", "",""), "",""))), TRIM(FLATTEN(SPLIT( REGEXREPLACE( SUBSTITUTE(TEXTJOIN("","", TRUE, IFERROR(ARRAYFORMULA(VLOOKUP(TRIM(SPLIT('Final Report'!A1715, "","")), 'URL Details'!A:D, 4, FALSE)),"""") ), CHAR(10),"&amp;" "",""), ""\s*,\s*"", "",""), "","")))&lt;&gt;"""" ) ) ) ),"""")
"),"")</f>
        <v/>
      </c>
      <c r="D1715" s="105"/>
      <c r="E1715" s="105"/>
      <c r="F1715" s="110" t="b">
        <v>0</v>
      </c>
      <c r="G1715" s="105" t="str">
        <f>IF(F1715=True, IFERROR(VLOOKUP(D1715, Repository!A:B, 2, 0), ""), "")</f>
        <v/>
      </c>
      <c r="H1715" s="105"/>
      <c r="I1715" s="105"/>
      <c r="J1715" s="105" t="str">
        <f>IF(F1715=True, IFERROR(VLOOKUP(D1715, Repository!A:C, 3, 0), ""), "")</f>
        <v/>
      </c>
      <c r="K1715" s="105"/>
      <c r="L1715" s="105" t="str">
        <f>IF(F1715=True, IFERROR(VLOOKUP(D1715, Repository!A:E, 5, 0), ""), "")</f>
        <v/>
      </c>
      <c r="M1715" s="105"/>
      <c r="N1715" s="105" t="str">
        <f>IF(F1715=True, IFERROR(VLOOKUP(D1715, Repository!A:G, 7, 0), ""), "")</f>
        <v/>
      </c>
      <c r="O1715" s="105" t="str">
        <f>IFERROR(__xludf.DUMMYFUNCTION("ARRAY_CONSTRAIN(
  ARRAYFORMULA(
    IFERROR(
      LET(
        list, N1715,
        arr, TRIM(SPLIT(list, "","")),
        names, XLOOKUP(
          arr,
          'Conformance Score'!A:A,
          'Conformance Score'!B:B,
          ""Not found""
     "&amp;"   ),
        TEXTJOIN("", "", TRUE, names)
      ),
      """"
    )
  ),
  1,
  1
)
"),"")</f>
        <v/>
      </c>
      <c r="P1715" s="105" t="str">
        <f>IF(F1715="Yes", IFERROR(VLOOKUP(D1715, Repository!A:F, 6, 0), ""), "")</f>
        <v/>
      </c>
      <c r="Q1715" s="105" t="str">
        <f>IF(F1715="Yes", IFERROR(VLOOKUP(D1715, Repository!A:I, 8, 0), ""), "")</f>
        <v/>
      </c>
      <c r="R1715" s="105" t="str">
        <f>IF(F1715="Yes", IFERROR(VLOOKUP(D1715, Repository!A:J, 9, 0), ""), "")</f>
        <v/>
      </c>
      <c r="S1715" s="105"/>
      <c r="T1715" s="105"/>
      <c r="U1715" s="105"/>
      <c r="V1715" s="105"/>
      <c r="W1715" s="105"/>
      <c r="X1715" s="105"/>
      <c r="Y1715" s="105"/>
      <c r="Z1715" s="105"/>
      <c r="AA1715" s="105"/>
      <c r="AB1715" s="105"/>
      <c r="AC1715" s="91"/>
      <c r="AD1715" s="105"/>
      <c r="AE1715" s="105"/>
      <c r="AF1715" s="91"/>
      <c r="AG1715" s="105"/>
      <c r="AH1715" s="105"/>
      <c r="AI1715" s="105" t="str">
        <f t="shared" si="1"/>
        <v/>
      </c>
      <c r="AJ1715" s="108" t="str">
        <f t="shared" si="2"/>
        <v/>
      </c>
    </row>
    <row r="1716" ht="15.75" customHeight="1">
      <c r="A1716" s="104"/>
      <c r="B1716" s="105" t="str">
        <f>IFERROR(__xludf.DUMMYFUNCTION("ARRAY_CONSTRAIN(
  ARRAYFORMULA(
    IF(
      'Final Report'!A1716="""",
      """",
      TEXTJOIN(
        "", "" &amp; CHAR(10),
        TRUE,
        IFERROR(
          VLOOKUP(
            TRIM(
              SPLIT('Final Report'!A1716, "","")
         "&amp;"   ),
            'URL Details'!A:B,
            2,
            FALSE
          ),
          """"
        )
      )
    )
  ),
  1,
  1
)
"),"")</f>
        <v/>
      </c>
      <c r="C1716" s="105" t="str">
        <f>IFERROR(__xludf.DUMMYFUNCTION("IFERROR(IF('Final Report'!A1716="""","""", TEXTJOIN(CHAR(10), TRUE, ARRAYFORMULA( ""• ""&amp; FILTER( TRIM(FLATTEN(SPLIT( REGEXREPLACE( SUBSTITUTE(TEXTJOIN("","", TRUE, IFERROR(ARRAYFORMULA(VLOOKUP(TRIM(SPLIT('Final Report'!A1716, "","")), 'URL Details'!A:D, "&amp;"4, FALSE)),"""") ), CHAR(10), "",""), ""\s*,\s*"", "",""), "",""))), TRIM(FLATTEN(SPLIT( REGEXREPLACE( SUBSTITUTE(TEXTJOIN("","", TRUE, IFERROR(ARRAYFORMULA(VLOOKUP(TRIM(SPLIT('Final Report'!A1716, "","")), 'URL Details'!A:D, 4, FALSE)),"""") ), CHAR(10),"&amp;" "",""), ""\s*,\s*"", "",""), "","")))&lt;&gt;"""" ) ) ) ),"""")
"),"")</f>
        <v/>
      </c>
      <c r="D1716" s="105"/>
      <c r="E1716" s="105"/>
      <c r="F1716" s="110" t="b">
        <v>0</v>
      </c>
      <c r="G1716" s="105" t="str">
        <f>IF(F1716=True, IFERROR(VLOOKUP(D1716, Repository!A:B, 2, 0), ""), "")</f>
        <v/>
      </c>
      <c r="H1716" s="105"/>
      <c r="I1716" s="105"/>
      <c r="J1716" s="105" t="str">
        <f>IF(F1716=True, IFERROR(VLOOKUP(D1716, Repository!A:C, 3, 0), ""), "")</f>
        <v/>
      </c>
      <c r="K1716" s="105"/>
      <c r="L1716" s="105" t="str">
        <f>IF(F1716=True, IFERROR(VLOOKUP(D1716, Repository!A:E, 5, 0), ""), "")</f>
        <v/>
      </c>
      <c r="M1716" s="105"/>
      <c r="N1716" s="105" t="str">
        <f>IF(F1716=True, IFERROR(VLOOKUP(D1716, Repository!A:G, 7, 0), ""), "")</f>
        <v/>
      </c>
      <c r="O1716" s="105" t="str">
        <f>IFERROR(__xludf.DUMMYFUNCTION("ARRAY_CONSTRAIN(
  ARRAYFORMULA(
    IFERROR(
      LET(
        list, N1716,
        arr, TRIM(SPLIT(list, "","")),
        names, XLOOKUP(
          arr,
          'Conformance Score'!A:A,
          'Conformance Score'!B:B,
          ""Not found""
     "&amp;"   ),
        TEXTJOIN("", "", TRUE, names)
      ),
      """"
    )
  ),
  1,
  1
)
"),"")</f>
        <v/>
      </c>
      <c r="P1716" s="105" t="str">
        <f>IF(F1716="Yes", IFERROR(VLOOKUP(D1716, Repository!A:F, 6, 0), ""), "")</f>
        <v/>
      </c>
      <c r="Q1716" s="105" t="str">
        <f>IF(F1716="Yes", IFERROR(VLOOKUP(D1716, Repository!A:I, 8, 0), ""), "")</f>
        <v/>
      </c>
      <c r="R1716" s="105" t="str">
        <f>IF(F1716="Yes", IFERROR(VLOOKUP(D1716, Repository!A:J, 9, 0), ""), "")</f>
        <v/>
      </c>
      <c r="S1716" s="105"/>
      <c r="T1716" s="105"/>
      <c r="U1716" s="105"/>
      <c r="V1716" s="105"/>
      <c r="W1716" s="105"/>
      <c r="X1716" s="105"/>
      <c r="Y1716" s="105"/>
      <c r="Z1716" s="105"/>
      <c r="AA1716" s="105"/>
      <c r="AB1716" s="105"/>
      <c r="AC1716" s="91"/>
      <c r="AD1716" s="105"/>
      <c r="AE1716" s="105"/>
      <c r="AF1716" s="91"/>
      <c r="AG1716" s="105"/>
      <c r="AH1716" s="105"/>
      <c r="AI1716" s="105" t="str">
        <f t="shared" si="1"/>
        <v/>
      </c>
      <c r="AJ1716" s="108" t="str">
        <f t="shared" si="2"/>
        <v/>
      </c>
    </row>
    <row r="1717" ht="15.75" customHeight="1">
      <c r="A1717" s="104"/>
      <c r="B1717" s="105" t="str">
        <f>IFERROR(__xludf.DUMMYFUNCTION("ARRAY_CONSTRAIN(
  ARRAYFORMULA(
    IF(
      'Final Report'!A1717="""",
      """",
      TEXTJOIN(
        "", "" &amp; CHAR(10),
        TRUE,
        IFERROR(
          VLOOKUP(
            TRIM(
              SPLIT('Final Report'!A1717, "","")
         "&amp;"   ),
            'URL Details'!A:B,
            2,
            FALSE
          ),
          """"
        )
      )
    )
  ),
  1,
  1
)
"),"")</f>
        <v/>
      </c>
      <c r="C1717" s="105" t="str">
        <f>IFERROR(__xludf.DUMMYFUNCTION("IFERROR(IF('Final Report'!A1717="""","""", TEXTJOIN(CHAR(10), TRUE, ARRAYFORMULA( ""• ""&amp; FILTER( TRIM(FLATTEN(SPLIT( REGEXREPLACE( SUBSTITUTE(TEXTJOIN("","", TRUE, IFERROR(ARRAYFORMULA(VLOOKUP(TRIM(SPLIT('Final Report'!A1717, "","")), 'URL Details'!A:D, "&amp;"4, FALSE)),"""") ), CHAR(10), "",""), ""\s*,\s*"", "",""), "",""))), TRIM(FLATTEN(SPLIT( REGEXREPLACE( SUBSTITUTE(TEXTJOIN("","", TRUE, IFERROR(ARRAYFORMULA(VLOOKUP(TRIM(SPLIT('Final Report'!A1717, "","")), 'URL Details'!A:D, 4, FALSE)),"""") ), CHAR(10),"&amp;" "",""), ""\s*,\s*"", "",""), "","")))&lt;&gt;"""" ) ) ) ),"""")
"),"")</f>
        <v/>
      </c>
      <c r="D1717" s="105"/>
      <c r="E1717" s="105"/>
      <c r="F1717" s="110" t="b">
        <v>0</v>
      </c>
      <c r="G1717" s="105" t="str">
        <f>IF(F1717=True, IFERROR(VLOOKUP(D1717, Repository!A:B, 2, 0), ""), "")</f>
        <v/>
      </c>
      <c r="H1717" s="105"/>
      <c r="I1717" s="105"/>
      <c r="J1717" s="105" t="str">
        <f>IF(F1717=True, IFERROR(VLOOKUP(D1717, Repository!A:C, 3, 0), ""), "")</f>
        <v/>
      </c>
      <c r="K1717" s="105"/>
      <c r="L1717" s="105" t="str">
        <f>IF(F1717=True, IFERROR(VLOOKUP(D1717, Repository!A:E, 5, 0), ""), "")</f>
        <v/>
      </c>
      <c r="M1717" s="105"/>
      <c r="N1717" s="105" t="str">
        <f>IF(F1717=True, IFERROR(VLOOKUP(D1717, Repository!A:G, 7, 0), ""), "")</f>
        <v/>
      </c>
      <c r="O1717" s="105" t="str">
        <f>IFERROR(__xludf.DUMMYFUNCTION("ARRAY_CONSTRAIN(
  ARRAYFORMULA(
    IFERROR(
      LET(
        list, N1717,
        arr, TRIM(SPLIT(list, "","")),
        names, XLOOKUP(
          arr,
          'Conformance Score'!A:A,
          'Conformance Score'!B:B,
          ""Not found""
     "&amp;"   ),
        TEXTJOIN("", "", TRUE, names)
      ),
      """"
    )
  ),
  1,
  1
)
"),"")</f>
        <v/>
      </c>
      <c r="P1717" s="105" t="str">
        <f>IF(F1717="Yes", IFERROR(VLOOKUP(D1717, Repository!A:F, 6, 0), ""), "")</f>
        <v/>
      </c>
      <c r="Q1717" s="105" t="str">
        <f>IF(F1717="Yes", IFERROR(VLOOKUP(D1717, Repository!A:I, 8, 0), ""), "")</f>
        <v/>
      </c>
      <c r="R1717" s="105" t="str">
        <f>IF(F1717="Yes", IFERROR(VLOOKUP(D1717, Repository!A:J, 9, 0), ""), "")</f>
        <v/>
      </c>
      <c r="S1717" s="105"/>
      <c r="T1717" s="105"/>
      <c r="U1717" s="105"/>
      <c r="V1717" s="105"/>
      <c r="W1717" s="105"/>
      <c r="X1717" s="105"/>
      <c r="Y1717" s="105"/>
      <c r="Z1717" s="105"/>
      <c r="AA1717" s="105"/>
      <c r="AB1717" s="105"/>
      <c r="AC1717" s="91"/>
      <c r="AD1717" s="105"/>
      <c r="AE1717" s="105"/>
      <c r="AF1717" s="91"/>
      <c r="AG1717" s="105"/>
      <c r="AH1717" s="105"/>
      <c r="AI1717" s="105" t="str">
        <f t="shared" si="1"/>
        <v/>
      </c>
      <c r="AJ1717" s="108" t="str">
        <f t="shared" si="2"/>
        <v/>
      </c>
    </row>
    <row r="1718" ht="15.75" customHeight="1">
      <c r="A1718" s="104"/>
      <c r="B1718" s="105" t="str">
        <f>IFERROR(__xludf.DUMMYFUNCTION("ARRAY_CONSTRAIN(
  ARRAYFORMULA(
    IF(
      'Final Report'!A1718="""",
      """",
      TEXTJOIN(
        "", "" &amp; CHAR(10),
        TRUE,
        IFERROR(
          VLOOKUP(
            TRIM(
              SPLIT('Final Report'!A1718, "","")
         "&amp;"   ),
            'URL Details'!A:B,
            2,
            FALSE
          ),
          """"
        )
      )
    )
  ),
  1,
  1
)
"),"")</f>
        <v/>
      </c>
      <c r="C1718" s="105" t="str">
        <f>IFERROR(__xludf.DUMMYFUNCTION("IFERROR(IF('Final Report'!A1718="""","""", TEXTJOIN(CHAR(10), TRUE, ARRAYFORMULA( ""• ""&amp; FILTER( TRIM(FLATTEN(SPLIT( REGEXREPLACE( SUBSTITUTE(TEXTJOIN("","", TRUE, IFERROR(ARRAYFORMULA(VLOOKUP(TRIM(SPLIT('Final Report'!A1718, "","")), 'URL Details'!A:D, "&amp;"4, FALSE)),"""") ), CHAR(10), "",""), ""\s*,\s*"", "",""), "",""))), TRIM(FLATTEN(SPLIT( REGEXREPLACE( SUBSTITUTE(TEXTJOIN("","", TRUE, IFERROR(ARRAYFORMULA(VLOOKUP(TRIM(SPLIT('Final Report'!A1718, "","")), 'URL Details'!A:D, 4, FALSE)),"""") ), CHAR(10),"&amp;" "",""), ""\s*,\s*"", "",""), "","")))&lt;&gt;"""" ) ) ) ),"""")
"),"")</f>
        <v/>
      </c>
      <c r="D1718" s="105"/>
      <c r="E1718" s="105"/>
      <c r="F1718" s="110" t="b">
        <v>0</v>
      </c>
      <c r="G1718" s="105" t="str">
        <f>IF(F1718=True, IFERROR(VLOOKUP(D1718, Repository!A:B, 2, 0), ""), "")</f>
        <v/>
      </c>
      <c r="H1718" s="105"/>
      <c r="I1718" s="105"/>
      <c r="J1718" s="105" t="str">
        <f>IF(F1718=True, IFERROR(VLOOKUP(D1718, Repository!A:C, 3, 0), ""), "")</f>
        <v/>
      </c>
      <c r="K1718" s="105"/>
      <c r="L1718" s="105" t="str">
        <f>IF(F1718=True, IFERROR(VLOOKUP(D1718, Repository!A:E, 5, 0), ""), "")</f>
        <v/>
      </c>
      <c r="M1718" s="105"/>
      <c r="N1718" s="105" t="str">
        <f>IF(F1718=True, IFERROR(VLOOKUP(D1718, Repository!A:G, 7, 0), ""), "")</f>
        <v/>
      </c>
      <c r="O1718" s="105" t="str">
        <f>IFERROR(__xludf.DUMMYFUNCTION("ARRAY_CONSTRAIN(
  ARRAYFORMULA(
    IFERROR(
      LET(
        list, N1718,
        arr, TRIM(SPLIT(list, "","")),
        names, XLOOKUP(
          arr,
          'Conformance Score'!A:A,
          'Conformance Score'!B:B,
          ""Not found""
     "&amp;"   ),
        TEXTJOIN("", "", TRUE, names)
      ),
      """"
    )
  ),
  1,
  1
)
"),"")</f>
        <v/>
      </c>
      <c r="P1718" s="105" t="str">
        <f>IF(F1718="Yes", IFERROR(VLOOKUP(D1718, Repository!A:F, 6, 0), ""), "")</f>
        <v/>
      </c>
      <c r="Q1718" s="105" t="str">
        <f>IF(F1718="Yes", IFERROR(VLOOKUP(D1718, Repository!A:I, 8, 0), ""), "")</f>
        <v/>
      </c>
      <c r="R1718" s="105" t="str">
        <f>IF(F1718="Yes", IFERROR(VLOOKUP(D1718, Repository!A:J, 9, 0), ""), "")</f>
        <v/>
      </c>
      <c r="S1718" s="105"/>
      <c r="T1718" s="105"/>
      <c r="U1718" s="105"/>
      <c r="V1718" s="105"/>
      <c r="W1718" s="105"/>
      <c r="X1718" s="105"/>
      <c r="Y1718" s="105"/>
      <c r="Z1718" s="105"/>
      <c r="AA1718" s="105"/>
      <c r="AB1718" s="105"/>
      <c r="AC1718" s="91"/>
      <c r="AD1718" s="105"/>
      <c r="AE1718" s="105"/>
      <c r="AF1718" s="91"/>
      <c r="AG1718" s="105"/>
      <c r="AH1718" s="105"/>
      <c r="AI1718" s="105" t="str">
        <f t="shared" si="1"/>
        <v/>
      </c>
      <c r="AJ1718" s="108" t="str">
        <f t="shared" si="2"/>
        <v/>
      </c>
    </row>
    <row r="1719" ht="15.75" customHeight="1">
      <c r="A1719" s="104"/>
      <c r="B1719" s="105" t="str">
        <f>IFERROR(__xludf.DUMMYFUNCTION("ARRAY_CONSTRAIN(
  ARRAYFORMULA(
    IF(
      'Final Report'!A1719="""",
      """",
      TEXTJOIN(
        "", "" &amp; CHAR(10),
        TRUE,
        IFERROR(
          VLOOKUP(
            TRIM(
              SPLIT('Final Report'!A1719, "","")
         "&amp;"   ),
            'URL Details'!A:B,
            2,
            FALSE
          ),
          """"
        )
      )
    )
  ),
  1,
  1
)
"),"")</f>
        <v/>
      </c>
      <c r="C1719" s="105" t="str">
        <f>IFERROR(__xludf.DUMMYFUNCTION("IFERROR(IF('Final Report'!A1719="""","""", TEXTJOIN(CHAR(10), TRUE, ARRAYFORMULA( ""• ""&amp; FILTER( TRIM(FLATTEN(SPLIT( REGEXREPLACE( SUBSTITUTE(TEXTJOIN("","", TRUE, IFERROR(ARRAYFORMULA(VLOOKUP(TRIM(SPLIT('Final Report'!A1719, "","")), 'URL Details'!A:D, "&amp;"4, FALSE)),"""") ), CHAR(10), "",""), ""\s*,\s*"", "",""), "",""))), TRIM(FLATTEN(SPLIT( REGEXREPLACE( SUBSTITUTE(TEXTJOIN("","", TRUE, IFERROR(ARRAYFORMULA(VLOOKUP(TRIM(SPLIT('Final Report'!A1719, "","")), 'URL Details'!A:D, 4, FALSE)),"""") ), CHAR(10),"&amp;" "",""), ""\s*,\s*"", "",""), "","")))&lt;&gt;"""" ) ) ) ),"""")
"),"")</f>
        <v/>
      </c>
      <c r="D1719" s="105"/>
      <c r="E1719" s="105"/>
      <c r="F1719" s="110" t="b">
        <v>0</v>
      </c>
      <c r="G1719" s="105" t="str">
        <f>IF(F1719=True, IFERROR(VLOOKUP(D1719, Repository!A:B, 2, 0), ""), "")</f>
        <v/>
      </c>
      <c r="H1719" s="105"/>
      <c r="I1719" s="105"/>
      <c r="J1719" s="105" t="str">
        <f>IF(F1719=True, IFERROR(VLOOKUP(D1719, Repository!A:C, 3, 0), ""), "")</f>
        <v/>
      </c>
      <c r="K1719" s="105"/>
      <c r="L1719" s="105" t="str">
        <f>IF(F1719=True, IFERROR(VLOOKUP(D1719, Repository!A:E, 5, 0), ""), "")</f>
        <v/>
      </c>
      <c r="M1719" s="105"/>
      <c r="N1719" s="105" t="str">
        <f>IF(F1719=True, IFERROR(VLOOKUP(D1719, Repository!A:G, 7, 0), ""), "")</f>
        <v/>
      </c>
      <c r="O1719" s="105" t="str">
        <f>IFERROR(__xludf.DUMMYFUNCTION("ARRAY_CONSTRAIN(
  ARRAYFORMULA(
    IFERROR(
      LET(
        list, N1719,
        arr, TRIM(SPLIT(list, "","")),
        names, XLOOKUP(
          arr,
          'Conformance Score'!A:A,
          'Conformance Score'!B:B,
          ""Not found""
     "&amp;"   ),
        TEXTJOIN("", "", TRUE, names)
      ),
      """"
    )
  ),
  1,
  1
)
"),"")</f>
        <v/>
      </c>
      <c r="P1719" s="105" t="str">
        <f>IF(F1719="Yes", IFERROR(VLOOKUP(D1719, Repository!A:F, 6, 0), ""), "")</f>
        <v/>
      </c>
      <c r="Q1719" s="105" t="str">
        <f>IF(F1719="Yes", IFERROR(VLOOKUP(D1719, Repository!A:I, 8, 0), ""), "")</f>
        <v/>
      </c>
      <c r="R1719" s="105" t="str">
        <f>IF(F1719="Yes", IFERROR(VLOOKUP(D1719, Repository!A:J, 9, 0), ""), "")</f>
        <v/>
      </c>
      <c r="S1719" s="105"/>
      <c r="T1719" s="105"/>
      <c r="U1719" s="105"/>
      <c r="V1719" s="105"/>
      <c r="W1719" s="105"/>
      <c r="X1719" s="105"/>
      <c r="Y1719" s="105"/>
      <c r="Z1719" s="105"/>
      <c r="AA1719" s="105"/>
      <c r="AB1719" s="105"/>
      <c r="AC1719" s="91"/>
      <c r="AD1719" s="105"/>
      <c r="AE1719" s="105"/>
      <c r="AF1719" s="91"/>
      <c r="AG1719" s="105"/>
      <c r="AH1719" s="105"/>
      <c r="AI1719" s="105" t="str">
        <f t="shared" si="1"/>
        <v/>
      </c>
      <c r="AJ1719" s="108" t="str">
        <f t="shared" si="2"/>
        <v/>
      </c>
    </row>
    <row r="1720" ht="15.75" customHeight="1">
      <c r="A1720" s="104"/>
      <c r="B1720" s="105" t="str">
        <f>IFERROR(__xludf.DUMMYFUNCTION("ARRAY_CONSTRAIN(
  ARRAYFORMULA(
    IF(
      'Final Report'!A1720="""",
      """",
      TEXTJOIN(
        "", "" &amp; CHAR(10),
        TRUE,
        IFERROR(
          VLOOKUP(
            TRIM(
              SPLIT('Final Report'!A1720, "","")
         "&amp;"   ),
            'URL Details'!A:B,
            2,
            FALSE
          ),
          """"
        )
      )
    )
  ),
  1,
  1
)
"),"")</f>
        <v/>
      </c>
      <c r="C1720" s="105" t="str">
        <f>IFERROR(__xludf.DUMMYFUNCTION("IFERROR(IF('Final Report'!A1720="""","""", TEXTJOIN(CHAR(10), TRUE, ARRAYFORMULA( ""• ""&amp; FILTER( TRIM(FLATTEN(SPLIT( REGEXREPLACE( SUBSTITUTE(TEXTJOIN("","", TRUE, IFERROR(ARRAYFORMULA(VLOOKUP(TRIM(SPLIT('Final Report'!A1720, "","")), 'URL Details'!A:D, "&amp;"4, FALSE)),"""") ), CHAR(10), "",""), ""\s*,\s*"", "",""), "",""))), TRIM(FLATTEN(SPLIT( REGEXREPLACE( SUBSTITUTE(TEXTJOIN("","", TRUE, IFERROR(ARRAYFORMULA(VLOOKUP(TRIM(SPLIT('Final Report'!A1720, "","")), 'URL Details'!A:D, 4, FALSE)),"""") ), CHAR(10),"&amp;" "",""), ""\s*,\s*"", "",""), "","")))&lt;&gt;"""" ) ) ) ),"""")
"),"")</f>
        <v/>
      </c>
      <c r="D1720" s="105"/>
      <c r="E1720" s="105"/>
      <c r="F1720" s="110" t="b">
        <v>0</v>
      </c>
      <c r="G1720" s="105" t="str">
        <f>IF(F1720=True, IFERROR(VLOOKUP(D1720, Repository!A:B, 2, 0), ""), "")</f>
        <v/>
      </c>
      <c r="H1720" s="105"/>
      <c r="I1720" s="105"/>
      <c r="J1720" s="105" t="str">
        <f>IF(F1720=True, IFERROR(VLOOKUP(D1720, Repository!A:C, 3, 0), ""), "")</f>
        <v/>
      </c>
      <c r="K1720" s="105"/>
      <c r="L1720" s="105" t="str">
        <f>IF(F1720=True, IFERROR(VLOOKUP(D1720, Repository!A:E, 5, 0), ""), "")</f>
        <v/>
      </c>
      <c r="M1720" s="105"/>
      <c r="N1720" s="105" t="str">
        <f>IF(F1720=True, IFERROR(VLOOKUP(D1720, Repository!A:G, 7, 0), ""), "")</f>
        <v/>
      </c>
      <c r="O1720" s="105" t="str">
        <f>IFERROR(__xludf.DUMMYFUNCTION("ARRAY_CONSTRAIN(
  ARRAYFORMULA(
    IFERROR(
      LET(
        list, N1720,
        arr, TRIM(SPLIT(list, "","")),
        names, XLOOKUP(
          arr,
          'Conformance Score'!A:A,
          'Conformance Score'!B:B,
          ""Not found""
     "&amp;"   ),
        TEXTJOIN("", "", TRUE, names)
      ),
      """"
    )
  ),
  1,
  1
)
"),"")</f>
        <v/>
      </c>
      <c r="P1720" s="105" t="str">
        <f>IF(F1720="Yes", IFERROR(VLOOKUP(D1720, Repository!A:F, 6, 0), ""), "")</f>
        <v/>
      </c>
      <c r="Q1720" s="105" t="str">
        <f>IF(F1720="Yes", IFERROR(VLOOKUP(D1720, Repository!A:I, 8, 0), ""), "")</f>
        <v/>
      </c>
      <c r="R1720" s="105" t="str">
        <f>IF(F1720="Yes", IFERROR(VLOOKUP(D1720, Repository!A:J, 9, 0), ""), "")</f>
        <v/>
      </c>
      <c r="S1720" s="105"/>
      <c r="T1720" s="105"/>
      <c r="U1720" s="105"/>
      <c r="V1720" s="105"/>
      <c r="W1720" s="105"/>
      <c r="X1720" s="105"/>
      <c r="Y1720" s="105"/>
      <c r="Z1720" s="105"/>
      <c r="AA1720" s="105"/>
      <c r="AB1720" s="105"/>
      <c r="AC1720" s="91"/>
      <c r="AD1720" s="105"/>
      <c r="AE1720" s="105"/>
      <c r="AF1720" s="91"/>
      <c r="AG1720" s="105"/>
      <c r="AH1720" s="105"/>
      <c r="AI1720" s="105" t="str">
        <f t="shared" si="1"/>
        <v/>
      </c>
      <c r="AJ1720" s="108" t="str">
        <f t="shared" si="2"/>
        <v/>
      </c>
    </row>
    <row r="1721" ht="15.75" customHeight="1">
      <c r="A1721" s="104"/>
      <c r="B1721" s="105" t="str">
        <f>IFERROR(__xludf.DUMMYFUNCTION("ARRAY_CONSTRAIN(
  ARRAYFORMULA(
    IF(
      'Final Report'!A1721="""",
      """",
      TEXTJOIN(
        "", "" &amp; CHAR(10),
        TRUE,
        IFERROR(
          VLOOKUP(
            TRIM(
              SPLIT('Final Report'!A1721, "","")
         "&amp;"   ),
            'URL Details'!A:B,
            2,
            FALSE
          ),
          """"
        )
      )
    )
  ),
  1,
  1
)
"),"")</f>
        <v/>
      </c>
      <c r="C1721" s="105" t="str">
        <f>IFERROR(__xludf.DUMMYFUNCTION("IFERROR(IF('Final Report'!A1721="""","""", TEXTJOIN(CHAR(10), TRUE, ARRAYFORMULA( ""• ""&amp; FILTER( TRIM(FLATTEN(SPLIT( REGEXREPLACE( SUBSTITUTE(TEXTJOIN("","", TRUE, IFERROR(ARRAYFORMULA(VLOOKUP(TRIM(SPLIT('Final Report'!A1721, "","")), 'URL Details'!A:D, "&amp;"4, FALSE)),"""") ), CHAR(10), "",""), ""\s*,\s*"", "",""), "",""))), TRIM(FLATTEN(SPLIT( REGEXREPLACE( SUBSTITUTE(TEXTJOIN("","", TRUE, IFERROR(ARRAYFORMULA(VLOOKUP(TRIM(SPLIT('Final Report'!A1721, "","")), 'URL Details'!A:D, 4, FALSE)),"""") ), CHAR(10),"&amp;" "",""), ""\s*,\s*"", "",""), "","")))&lt;&gt;"""" ) ) ) ),"""")
"),"")</f>
        <v/>
      </c>
      <c r="D1721" s="105"/>
      <c r="E1721" s="105"/>
      <c r="F1721" s="110" t="b">
        <v>0</v>
      </c>
      <c r="G1721" s="105" t="str">
        <f>IF(F1721=True, IFERROR(VLOOKUP(D1721, Repository!A:B, 2, 0), ""), "")</f>
        <v/>
      </c>
      <c r="H1721" s="105"/>
      <c r="I1721" s="105"/>
      <c r="J1721" s="105" t="str">
        <f>IF(F1721=True, IFERROR(VLOOKUP(D1721, Repository!A:C, 3, 0), ""), "")</f>
        <v/>
      </c>
      <c r="K1721" s="105"/>
      <c r="L1721" s="105" t="str">
        <f>IF(F1721=True, IFERROR(VLOOKUP(D1721, Repository!A:E, 5, 0), ""), "")</f>
        <v/>
      </c>
      <c r="M1721" s="105"/>
      <c r="N1721" s="105" t="str">
        <f>IF(F1721=True, IFERROR(VLOOKUP(D1721, Repository!A:G, 7, 0), ""), "")</f>
        <v/>
      </c>
      <c r="O1721" s="105" t="str">
        <f>IFERROR(__xludf.DUMMYFUNCTION("ARRAY_CONSTRAIN(
  ARRAYFORMULA(
    IFERROR(
      LET(
        list, N1721,
        arr, TRIM(SPLIT(list, "","")),
        names, XLOOKUP(
          arr,
          'Conformance Score'!A:A,
          'Conformance Score'!B:B,
          ""Not found""
     "&amp;"   ),
        TEXTJOIN("", "", TRUE, names)
      ),
      """"
    )
  ),
  1,
  1
)
"),"")</f>
        <v/>
      </c>
      <c r="P1721" s="105" t="str">
        <f>IF(F1721="Yes", IFERROR(VLOOKUP(D1721, Repository!A:F, 6, 0), ""), "")</f>
        <v/>
      </c>
      <c r="Q1721" s="105" t="str">
        <f>IF(F1721="Yes", IFERROR(VLOOKUP(D1721, Repository!A:I, 8, 0), ""), "")</f>
        <v/>
      </c>
      <c r="R1721" s="105" t="str">
        <f>IF(F1721="Yes", IFERROR(VLOOKUP(D1721, Repository!A:J, 9, 0), ""), "")</f>
        <v/>
      </c>
      <c r="S1721" s="105"/>
      <c r="T1721" s="105"/>
      <c r="U1721" s="105"/>
      <c r="V1721" s="105"/>
      <c r="W1721" s="105"/>
      <c r="X1721" s="105"/>
      <c r="Y1721" s="105"/>
      <c r="Z1721" s="105"/>
      <c r="AA1721" s="105"/>
      <c r="AB1721" s="105"/>
      <c r="AC1721" s="91"/>
      <c r="AD1721" s="105"/>
      <c r="AE1721" s="105"/>
      <c r="AF1721" s="91"/>
      <c r="AG1721" s="105"/>
      <c r="AH1721" s="105"/>
      <c r="AI1721" s="105" t="str">
        <f t="shared" si="1"/>
        <v/>
      </c>
      <c r="AJ1721" s="108" t="str">
        <f t="shared" si="2"/>
        <v/>
      </c>
    </row>
    <row r="1722" ht="15.75" customHeight="1">
      <c r="A1722" s="104"/>
      <c r="B1722" s="105" t="str">
        <f>IFERROR(__xludf.DUMMYFUNCTION("ARRAY_CONSTRAIN(
  ARRAYFORMULA(
    IF(
      'Final Report'!A1722="""",
      """",
      TEXTJOIN(
        "", "" &amp; CHAR(10),
        TRUE,
        IFERROR(
          VLOOKUP(
            TRIM(
              SPLIT('Final Report'!A1722, "","")
         "&amp;"   ),
            'URL Details'!A:B,
            2,
            FALSE
          ),
          """"
        )
      )
    )
  ),
  1,
  1
)
"),"")</f>
        <v/>
      </c>
      <c r="C1722" s="105" t="str">
        <f>IFERROR(__xludf.DUMMYFUNCTION("IFERROR(IF('Final Report'!A1722="""","""", TEXTJOIN(CHAR(10), TRUE, ARRAYFORMULA( ""• ""&amp; FILTER( TRIM(FLATTEN(SPLIT( REGEXREPLACE( SUBSTITUTE(TEXTJOIN("","", TRUE, IFERROR(ARRAYFORMULA(VLOOKUP(TRIM(SPLIT('Final Report'!A1722, "","")), 'URL Details'!A:D, "&amp;"4, FALSE)),"""") ), CHAR(10), "",""), ""\s*,\s*"", "",""), "",""))), TRIM(FLATTEN(SPLIT( REGEXREPLACE( SUBSTITUTE(TEXTJOIN("","", TRUE, IFERROR(ARRAYFORMULA(VLOOKUP(TRIM(SPLIT('Final Report'!A1722, "","")), 'URL Details'!A:D, 4, FALSE)),"""") ), CHAR(10),"&amp;" "",""), ""\s*,\s*"", "",""), "","")))&lt;&gt;"""" ) ) ) ),"""")
"),"")</f>
        <v/>
      </c>
      <c r="D1722" s="105"/>
      <c r="E1722" s="105"/>
      <c r="F1722" s="110" t="b">
        <v>0</v>
      </c>
      <c r="G1722" s="105" t="str">
        <f>IF(F1722=True, IFERROR(VLOOKUP(D1722, Repository!A:B, 2, 0), ""), "")</f>
        <v/>
      </c>
      <c r="H1722" s="105"/>
      <c r="I1722" s="105"/>
      <c r="J1722" s="105" t="str">
        <f>IF(F1722=True, IFERROR(VLOOKUP(D1722, Repository!A:C, 3, 0), ""), "")</f>
        <v/>
      </c>
      <c r="K1722" s="105"/>
      <c r="L1722" s="105" t="str">
        <f>IF(F1722=True, IFERROR(VLOOKUP(D1722, Repository!A:E, 5, 0), ""), "")</f>
        <v/>
      </c>
      <c r="M1722" s="105"/>
      <c r="N1722" s="105" t="str">
        <f>IF(F1722=True, IFERROR(VLOOKUP(D1722, Repository!A:G, 7, 0), ""), "")</f>
        <v/>
      </c>
      <c r="O1722" s="105" t="str">
        <f>IFERROR(__xludf.DUMMYFUNCTION("ARRAY_CONSTRAIN(
  ARRAYFORMULA(
    IFERROR(
      LET(
        list, N1722,
        arr, TRIM(SPLIT(list, "","")),
        names, XLOOKUP(
          arr,
          'Conformance Score'!A:A,
          'Conformance Score'!B:B,
          ""Not found""
     "&amp;"   ),
        TEXTJOIN("", "", TRUE, names)
      ),
      """"
    )
  ),
  1,
  1
)
"),"")</f>
        <v/>
      </c>
      <c r="P1722" s="105" t="str">
        <f>IF(F1722="Yes", IFERROR(VLOOKUP(D1722, Repository!A:F, 6, 0), ""), "")</f>
        <v/>
      </c>
      <c r="Q1722" s="105" t="str">
        <f>IF(F1722="Yes", IFERROR(VLOOKUP(D1722, Repository!A:I, 8, 0), ""), "")</f>
        <v/>
      </c>
      <c r="R1722" s="105" t="str">
        <f>IF(F1722="Yes", IFERROR(VLOOKUP(D1722, Repository!A:J, 9, 0), ""), "")</f>
        <v/>
      </c>
      <c r="S1722" s="105"/>
      <c r="T1722" s="105"/>
      <c r="U1722" s="105"/>
      <c r="V1722" s="105"/>
      <c r="W1722" s="105"/>
      <c r="X1722" s="105"/>
      <c r="Y1722" s="105"/>
      <c r="Z1722" s="105"/>
      <c r="AA1722" s="105"/>
      <c r="AB1722" s="105"/>
      <c r="AC1722" s="91"/>
      <c r="AD1722" s="105"/>
      <c r="AE1722" s="105"/>
      <c r="AF1722" s="91"/>
      <c r="AG1722" s="105"/>
      <c r="AH1722" s="105"/>
      <c r="AI1722" s="105" t="str">
        <f t="shared" si="1"/>
        <v/>
      </c>
      <c r="AJ1722" s="108" t="str">
        <f t="shared" si="2"/>
        <v/>
      </c>
    </row>
    <row r="1723" ht="15.75" customHeight="1">
      <c r="A1723" s="104"/>
      <c r="B1723" s="105" t="str">
        <f>IFERROR(__xludf.DUMMYFUNCTION("ARRAY_CONSTRAIN(
  ARRAYFORMULA(
    IF(
      'Final Report'!A1723="""",
      """",
      TEXTJOIN(
        "", "" &amp; CHAR(10),
        TRUE,
        IFERROR(
          VLOOKUP(
            TRIM(
              SPLIT('Final Report'!A1723, "","")
         "&amp;"   ),
            'URL Details'!A:B,
            2,
            FALSE
          ),
          """"
        )
      )
    )
  ),
  1,
  1
)
"),"")</f>
        <v/>
      </c>
      <c r="C1723" s="105" t="str">
        <f>IFERROR(__xludf.DUMMYFUNCTION("IFERROR(IF('Final Report'!A1723="""","""", TEXTJOIN(CHAR(10), TRUE, ARRAYFORMULA( ""• ""&amp; FILTER( TRIM(FLATTEN(SPLIT( REGEXREPLACE( SUBSTITUTE(TEXTJOIN("","", TRUE, IFERROR(ARRAYFORMULA(VLOOKUP(TRIM(SPLIT('Final Report'!A1723, "","")), 'URL Details'!A:D, "&amp;"4, FALSE)),"""") ), CHAR(10), "",""), ""\s*,\s*"", "",""), "",""))), TRIM(FLATTEN(SPLIT( REGEXREPLACE( SUBSTITUTE(TEXTJOIN("","", TRUE, IFERROR(ARRAYFORMULA(VLOOKUP(TRIM(SPLIT('Final Report'!A1723, "","")), 'URL Details'!A:D, 4, FALSE)),"""") ), CHAR(10),"&amp;" "",""), ""\s*,\s*"", "",""), "","")))&lt;&gt;"""" ) ) ) ),"""")
"),"")</f>
        <v/>
      </c>
      <c r="D1723" s="105"/>
      <c r="E1723" s="105"/>
      <c r="F1723" s="110" t="b">
        <v>0</v>
      </c>
      <c r="G1723" s="105" t="str">
        <f>IF(F1723=True, IFERROR(VLOOKUP(D1723, Repository!A:B, 2, 0), ""), "")</f>
        <v/>
      </c>
      <c r="H1723" s="105"/>
      <c r="I1723" s="105"/>
      <c r="J1723" s="105" t="str">
        <f>IF(F1723=True, IFERROR(VLOOKUP(D1723, Repository!A:C, 3, 0), ""), "")</f>
        <v/>
      </c>
      <c r="K1723" s="105"/>
      <c r="L1723" s="105" t="str">
        <f>IF(F1723=True, IFERROR(VLOOKUP(D1723, Repository!A:E, 5, 0), ""), "")</f>
        <v/>
      </c>
      <c r="M1723" s="105"/>
      <c r="N1723" s="105" t="str">
        <f>IF(F1723=True, IFERROR(VLOOKUP(D1723, Repository!A:G, 7, 0), ""), "")</f>
        <v/>
      </c>
      <c r="O1723" s="105" t="str">
        <f>IFERROR(__xludf.DUMMYFUNCTION("ARRAY_CONSTRAIN(
  ARRAYFORMULA(
    IFERROR(
      LET(
        list, N1723,
        arr, TRIM(SPLIT(list, "","")),
        names, XLOOKUP(
          arr,
          'Conformance Score'!A:A,
          'Conformance Score'!B:B,
          ""Not found""
     "&amp;"   ),
        TEXTJOIN("", "", TRUE, names)
      ),
      """"
    )
  ),
  1,
  1
)
"),"")</f>
        <v/>
      </c>
      <c r="P1723" s="105" t="str">
        <f>IF(F1723="Yes", IFERROR(VLOOKUP(D1723, Repository!A:F, 6, 0), ""), "")</f>
        <v/>
      </c>
      <c r="Q1723" s="105" t="str">
        <f>IF(F1723="Yes", IFERROR(VLOOKUP(D1723, Repository!A:I, 8, 0), ""), "")</f>
        <v/>
      </c>
      <c r="R1723" s="105" t="str">
        <f>IF(F1723="Yes", IFERROR(VLOOKUP(D1723, Repository!A:J, 9, 0), ""), "")</f>
        <v/>
      </c>
      <c r="S1723" s="105"/>
      <c r="T1723" s="105"/>
      <c r="U1723" s="105"/>
      <c r="V1723" s="105"/>
      <c r="W1723" s="105"/>
      <c r="X1723" s="105"/>
      <c r="Y1723" s="105"/>
      <c r="Z1723" s="105"/>
      <c r="AA1723" s="105"/>
      <c r="AB1723" s="105"/>
      <c r="AC1723" s="91"/>
      <c r="AD1723" s="105"/>
      <c r="AE1723" s="105"/>
      <c r="AF1723" s="91"/>
      <c r="AG1723" s="105"/>
      <c r="AH1723" s="105"/>
      <c r="AI1723" s="105" t="str">
        <f t="shared" si="1"/>
        <v/>
      </c>
      <c r="AJ1723" s="108" t="str">
        <f t="shared" si="2"/>
        <v/>
      </c>
    </row>
    <row r="1724" ht="15.75" customHeight="1">
      <c r="A1724" s="104"/>
      <c r="B1724" s="105" t="str">
        <f>IFERROR(__xludf.DUMMYFUNCTION("ARRAY_CONSTRAIN(
  ARRAYFORMULA(
    IF(
      'Final Report'!A1724="""",
      """",
      TEXTJOIN(
        "", "" &amp; CHAR(10),
        TRUE,
        IFERROR(
          VLOOKUP(
            TRIM(
              SPLIT('Final Report'!A1724, "","")
         "&amp;"   ),
            'URL Details'!A:B,
            2,
            FALSE
          ),
          """"
        )
      )
    )
  ),
  1,
  1
)
"),"")</f>
        <v/>
      </c>
      <c r="C1724" s="105" t="str">
        <f>IFERROR(__xludf.DUMMYFUNCTION("IFERROR(IF('Final Report'!A1724="""","""", TEXTJOIN(CHAR(10), TRUE, ARRAYFORMULA( ""• ""&amp; FILTER( TRIM(FLATTEN(SPLIT( REGEXREPLACE( SUBSTITUTE(TEXTJOIN("","", TRUE, IFERROR(ARRAYFORMULA(VLOOKUP(TRIM(SPLIT('Final Report'!A1724, "","")), 'URL Details'!A:D, "&amp;"4, FALSE)),"""") ), CHAR(10), "",""), ""\s*,\s*"", "",""), "",""))), TRIM(FLATTEN(SPLIT( REGEXREPLACE( SUBSTITUTE(TEXTJOIN("","", TRUE, IFERROR(ARRAYFORMULA(VLOOKUP(TRIM(SPLIT('Final Report'!A1724, "","")), 'URL Details'!A:D, 4, FALSE)),"""") ), CHAR(10),"&amp;" "",""), ""\s*,\s*"", "",""), "","")))&lt;&gt;"""" ) ) ) ),"""")
"),"")</f>
        <v/>
      </c>
      <c r="D1724" s="105"/>
      <c r="E1724" s="105"/>
      <c r="F1724" s="110" t="b">
        <v>0</v>
      </c>
      <c r="G1724" s="105" t="str">
        <f>IF(F1724=True, IFERROR(VLOOKUP(D1724, Repository!A:B, 2, 0), ""), "")</f>
        <v/>
      </c>
      <c r="H1724" s="105"/>
      <c r="I1724" s="105"/>
      <c r="J1724" s="105" t="str">
        <f>IF(F1724=True, IFERROR(VLOOKUP(D1724, Repository!A:C, 3, 0), ""), "")</f>
        <v/>
      </c>
      <c r="K1724" s="105"/>
      <c r="L1724" s="105" t="str">
        <f>IF(F1724=True, IFERROR(VLOOKUP(D1724, Repository!A:E, 5, 0), ""), "")</f>
        <v/>
      </c>
      <c r="M1724" s="105"/>
      <c r="N1724" s="105" t="str">
        <f>IF(F1724=True, IFERROR(VLOOKUP(D1724, Repository!A:G, 7, 0), ""), "")</f>
        <v/>
      </c>
      <c r="O1724" s="105" t="str">
        <f>IFERROR(__xludf.DUMMYFUNCTION("ARRAY_CONSTRAIN(
  ARRAYFORMULA(
    IFERROR(
      LET(
        list, N1724,
        arr, TRIM(SPLIT(list, "","")),
        names, XLOOKUP(
          arr,
          'Conformance Score'!A:A,
          'Conformance Score'!B:B,
          ""Not found""
     "&amp;"   ),
        TEXTJOIN("", "", TRUE, names)
      ),
      """"
    )
  ),
  1,
  1
)
"),"")</f>
        <v/>
      </c>
      <c r="P1724" s="105" t="str">
        <f>IF(F1724="Yes", IFERROR(VLOOKUP(D1724, Repository!A:F, 6, 0), ""), "")</f>
        <v/>
      </c>
      <c r="Q1724" s="105" t="str">
        <f>IF(F1724="Yes", IFERROR(VLOOKUP(D1724, Repository!A:I, 8, 0), ""), "")</f>
        <v/>
      </c>
      <c r="R1724" s="105" t="str">
        <f>IF(F1724="Yes", IFERROR(VLOOKUP(D1724, Repository!A:J, 9, 0), ""), "")</f>
        <v/>
      </c>
      <c r="S1724" s="105"/>
      <c r="T1724" s="105"/>
      <c r="U1724" s="105"/>
      <c r="V1724" s="105"/>
      <c r="W1724" s="105"/>
      <c r="X1724" s="105"/>
      <c r="Y1724" s="105"/>
      <c r="Z1724" s="105"/>
      <c r="AA1724" s="105"/>
      <c r="AB1724" s="105"/>
      <c r="AC1724" s="91"/>
      <c r="AD1724" s="105"/>
      <c r="AE1724" s="105"/>
      <c r="AF1724" s="91"/>
      <c r="AG1724" s="105"/>
      <c r="AH1724" s="105"/>
      <c r="AI1724" s="105" t="str">
        <f t="shared" si="1"/>
        <v/>
      </c>
      <c r="AJ1724" s="108" t="str">
        <f t="shared" si="2"/>
        <v/>
      </c>
    </row>
    <row r="1725" ht="15.75" customHeight="1">
      <c r="A1725" s="104"/>
      <c r="B1725" s="105" t="str">
        <f>IFERROR(__xludf.DUMMYFUNCTION("ARRAY_CONSTRAIN(
  ARRAYFORMULA(
    IF(
      'Final Report'!A1725="""",
      """",
      TEXTJOIN(
        "", "" &amp; CHAR(10),
        TRUE,
        IFERROR(
          VLOOKUP(
            TRIM(
              SPLIT('Final Report'!A1725, "","")
         "&amp;"   ),
            'URL Details'!A:B,
            2,
            FALSE
          ),
          """"
        )
      )
    )
  ),
  1,
  1
)
"),"")</f>
        <v/>
      </c>
      <c r="C1725" s="105" t="str">
        <f>IFERROR(__xludf.DUMMYFUNCTION("IFERROR(IF('Final Report'!A1725="""","""", TEXTJOIN(CHAR(10), TRUE, ARRAYFORMULA( ""• ""&amp; FILTER( TRIM(FLATTEN(SPLIT( REGEXREPLACE( SUBSTITUTE(TEXTJOIN("","", TRUE, IFERROR(ARRAYFORMULA(VLOOKUP(TRIM(SPLIT('Final Report'!A1725, "","")), 'URL Details'!A:D, "&amp;"4, FALSE)),"""") ), CHAR(10), "",""), ""\s*,\s*"", "",""), "",""))), TRIM(FLATTEN(SPLIT( REGEXREPLACE( SUBSTITUTE(TEXTJOIN("","", TRUE, IFERROR(ARRAYFORMULA(VLOOKUP(TRIM(SPLIT('Final Report'!A1725, "","")), 'URL Details'!A:D, 4, FALSE)),"""") ), CHAR(10),"&amp;" "",""), ""\s*,\s*"", "",""), "","")))&lt;&gt;"""" ) ) ) ),"""")
"),"")</f>
        <v/>
      </c>
      <c r="D1725" s="105"/>
      <c r="E1725" s="105"/>
      <c r="F1725" s="110" t="b">
        <v>0</v>
      </c>
      <c r="G1725" s="105" t="str">
        <f>IF(F1725=True, IFERROR(VLOOKUP(D1725, Repository!A:B, 2, 0), ""), "")</f>
        <v/>
      </c>
      <c r="H1725" s="105"/>
      <c r="I1725" s="105"/>
      <c r="J1725" s="105" t="str">
        <f>IF(F1725=True, IFERROR(VLOOKUP(D1725, Repository!A:C, 3, 0), ""), "")</f>
        <v/>
      </c>
      <c r="K1725" s="105"/>
      <c r="L1725" s="105" t="str">
        <f>IF(F1725=True, IFERROR(VLOOKUP(D1725, Repository!A:E, 5, 0), ""), "")</f>
        <v/>
      </c>
      <c r="M1725" s="105"/>
      <c r="N1725" s="105" t="str">
        <f>IF(F1725=True, IFERROR(VLOOKUP(D1725, Repository!A:G, 7, 0), ""), "")</f>
        <v/>
      </c>
      <c r="O1725" s="105" t="str">
        <f>IFERROR(__xludf.DUMMYFUNCTION("ARRAY_CONSTRAIN(
  ARRAYFORMULA(
    IFERROR(
      LET(
        list, N1725,
        arr, TRIM(SPLIT(list, "","")),
        names, XLOOKUP(
          arr,
          'Conformance Score'!A:A,
          'Conformance Score'!B:B,
          ""Not found""
     "&amp;"   ),
        TEXTJOIN("", "", TRUE, names)
      ),
      """"
    )
  ),
  1,
  1
)
"),"")</f>
        <v/>
      </c>
      <c r="P1725" s="105" t="str">
        <f>IF(F1725="Yes", IFERROR(VLOOKUP(D1725, Repository!A:F, 6, 0), ""), "")</f>
        <v/>
      </c>
      <c r="Q1725" s="105" t="str">
        <f>IF(F1725="Yes", IFERROR(VLOOKUP(D1725, Repository!A:I, 8, 0), ""), "")</f>
        <v/>
      </c>
      <c r="R1725" s="105" t="str">
        <f>IF(F1725="Yes", IFERROR(VLOOKUP(D1725, Repository!A:J, 9, 0), ""), "")</f>
        <v/>
      </c>
      <c r="S1725" s="105"/>
      <c r="T1725" s="105"/>
      <c r="U1725" s="105"/>
      <c r="V1725" s="105"/>
      <c r="W1725" s="105"/>
      <c r="X1725" s="105"/>
      <c r="Y1725" s="105"/>
      <c r="Z1725" s="105"/>
      <c r="AA1725" s="105"/>
      <c r="AB1725" s="105"/>
      <c r="AC1725" s="91"/>
      <c r="AD1725" s="105"/>
      <c r="AE1725" s="105"/>
      <c r="AF1725" s="91"/>
      <c r="AG1725" s="105"/>
      <c r="AH1725" s="105"/>
      <c r="AI1725" s="105" t="str">
        <f t="shared" si="1"/>
        <v/>
      </c>
      <c r="AJ1725" s="108" t="str">
        <f t="shared" si="2"/>
        <v/>
      </c>
    </row>
    <row r="1726" ht="15.75" customHeight="1">
      <c r="A1726" s="104"/>
      <c r="B1726" s="105" t="str">
        <f>IFERROR(__xludf.DUMMYFUNCTION("ARRAY_CONSTRAIN(
  ARRAYFORMULA(
    IF(
      'Final Report'!A1726="""",
      """",
      TEXTJOIN(
        "", "" &amp; CHAR(10),
        TRUE,
        IFERROR(
          VLOOKUP(
            TRIM(
              SPLIT('Final Report'!A1726, "","")
         "&amp;"   ),
            'URL Details'!A:B,
            2,
            FALSE
          ),
          """"
        )
      )
    )
  ),
  1,
  1
)
"),"")</f>
        <v/>
      </c>
      <c r="C1726" s="105" t="str">
        <f>IFERROR(__xludf.DUMMYFUNCTION("IFERROR(IF('Final Report'!A1726="""","""", TEXTJOIN(CHAR(10), TRUE, ARRAYFORMULA( ""• ""&amp; FILTER( TRIM(FLATTEN(SPLIT( REGEXREPLACE( SUBSTITUTE(TEXTJOIN("","", TRUE, IFERROR(ARRAYFORMULA(VLOOKUP(TRIM(SPLIT('Final Report'!A1726, "","")), 'URL Details'!A:D, "&amp;"4, FALSE)),"""") ), CHAR(10), "",""), ""\s*,\s*"", "",""), "",""))), TRIM(FLATTEN(SPLIT( REGEXREPLACE( SUBSTITUTE(TEXTJOIN("","", TRUE, IFERROR(ARRAYFORMULA(VLOOKUP(TRIM(SPLIT('Final Report'!A1726, "","")), 'URL Details'!A:D, 4, FALSE)),"""") ), CHAR(10),"&amp;" "",""), ""\s*,\s*"", "",""), "","")))&lt;&gt;"""" ) ) ) ),"""")
"),"")</f>
        <v/>
      </c>
      <c r="D1726" s="105"/>
      <c r="E1726" s="105"/>
      <c r="F1726" s="110" t="b">
        <v>0</v>
      </c>
      <c r="G1726" s="105" t="str">
        <f>IF(F1726=True, IFERROR(VLOOKUP(D1726, Repository!A:B, 2, 0), ""), "")</f>
        <v/>
      </c>
      <c r="H1726" s="105"/>
      <c r="I1726" s="105"/>
      <c r="J1726" s="105" t="str">
        <f>IF(F1726=True, IFERROR(VLOOKUP(D1726, Repository!A:C, 3, 0), ""), "")</f>
        <v/>
      </c>
      <c r="K1726" s="105"/>
      <c r="L1726" s="105" t="str">
        <f>IF(F1726=True, IFERROR(VLOOKUP(D1726, Repository!A:E, 5, 0), ""), "")</f>
        <v/>
      </c>
      <c r="M1726" s="105"/>
      <c r="N1726" s="105" t="str">
        <f>IF(F1726=True, IFERROR(VLOOKUP(D1726, Repository!A:G, 7, 0), ""), "")</f>
        <v/>
      </c>
      <c r="O1726" s="105" t="str">
        <f>IFERROR(__xludf.DUMMYFUNCTION("ARRAY_CONSTRAIN(
  ARRAYFORMULA(
    IFERROR(
      LET(
        list, N1726,
        arr, TRIM(SPLIT(list, "","")),
        names, XLOOKUP(
          arr,
          'Conformance Score'!A:A,
          'Conformance Score'!B:B,
          ""Not found""
     "&amp;"   ),
        TEXTJOIN("", "", TRUE, names)
      ),
      """"
    )
  ),
  1,
  1
)
"),"")</f>
        <v/>
      </c>
      <c r="P1726" s="105" t="str">
        <f>IF(F1726="Yes", IFERROR(VLOOKUP(D1726, Repository!A:F, 6, 0), ""), "")</f>
        <v/>
      </c>
      <c r="Q1726" s="105" t="str">
        <f>IF(F1726="Yes", IFERROR(VLOOKUP(D1726, Repository!A:I, 8, 0), ""), "")</f>
        <v/>
      </c>
      <c r="R1726" s="105" t="str">
        <f>IF(F1726="Yes", IFERROR(VLOOKUP(D1726, Repository!A:J, 9, 0), ""), "")</f>
        <v/>
      </c>
      <c r="S1726" s="105"/>
      <c r="T1726" s="105"/>
      <c r="U1726" s="105"/>
      <c r="V1726" s="105"/>
      <c r="W1726" s="105"/>
      <c r="X1726" s="105"/>
      <c r="Y1726" s="105"/>
      <c r="Z1726" s="105"/>
      <c r="AA1726" s="105"/>
      <c r="AB1726" s="105"/>
      <c r="AC1726" s="91"/>
      <c r="AD1726" s="105"/>
      <c r="AE1726" s="105"/>
      <c r="AF1726" s="91"/>
      <c r="AG1726" s="105"/>
      <c r="AH1726" s="105"/>
      <c r="AI1726" s="105" t="str">
        <f t="shared" si="1"/>
        <v/>
      </c>
      <c r="AJ1726" s="108" t="str">
        <f t="shared" si="2"/>
        <v/>
      </c>
    </row>
    <row r="1727" ht="15.75" customHeight="1">
      <c r="A1727" s="104"/>
      <c r="B1727" s="105" t="str">
        <f>IFERROR(__xludf.DUMMYFUNCTION("ARRAY_CONSTRAIN(
  ARRAYFORMULA(
    IF(
      'Final Report'!A1727="""",
      """",
      TEXTJOIN(
        "", "" &amp; CHAR(10),
        TRUE,
        IFERROR(
          VLOOKUP(
            TRIM(
              SPLIT('Final Report'!A1727, "","")
         "&amp;"   ),
            'URL Details'!A:B,
            2,
            FALSE
          ),
          """"
        )
      )
    )
  ),
  1,
  1
)
"),"")</f>
        <v/>
      </c>
      <c r="C1727" s="105" t="str">
        <f>IFERROR(__xludf.DUMMYFUNCTION("IFERROR(IF('Final Report'!A1727="""","""", TEXTJOIN(CHAR(10), TRUE, ARRAYFORMULA( ""• ""&amp; FILTER( TRIM(FLATTEN(SPLIT( REGEXREPLACE( SUBSTITUTE(TEXTJOIN("","", TRUE, IFERROR(ARRAYFORMULA(VLOOKUP(TRIM(SPLIT('Final Report'!A1727, "","")), 'URL Details'!A:D, "&amp;"4, FALSE)),"""") ), CHAR(10), "",""), ""\s*,\s*"", "",""), "",""))), TRIM(FLATTEN(SPLIT( REGEXREPLACE( SUBSTITUTE(TEXTJOIN("","", TRUE, IFERROR(ARRAYFORMULA(VLOOKUP(TRIM(SPLIT('Final Report'!A1727, "","")), 'URL Details'!A:D, 4, FALSE)),"""") ), CHAR(10),"&amp;" "",""), ""\s*,\s*"", "",""), "","")))&lt;&gt;"""" ) ) ) ),"""")
"),"")</f>
        <v/>
      </c>
      <c r="D1727" s="105"/>
      <c r="E1727" s="105"/>
      <c r="F1727" s="110" t="b">
        <v>0</v>
      </c>
      <c r="G1727" s="105" t="str">
        <f>IF(F1727=True, IFERROR(VLOOKUP(D1727, Repository!A:B, 2, 0), ""), "")</f>
        <v/>
      </c>
      <c r="H1727" s="105"/>
      <c r="I1727" s="105"/>
      <c r="J1727" s="105" t="str">
        <f>IF(F1727=True, IFERROR(VLOOKUP(D1727, Repository!A:C, 3, 0), ""), "")</f>
        <v/>
      </c>
      <c r="K1727" s="105"/>
      <c r="L1727" s="105" t="str">
        <f>IF(F1727=True, IFERROR(VLOOKUP(D1727, Repository!A:E, 5, 0), ""), "")</f>
        <v/>
      </c>
      <c r="M1727" s="105"/>
      <c r="N1727" s="105" t="str">
        <f>IF(F1727=True, IFERROR(VLOOKUP(D1727, Repository!A:G, 7, 0), ""), "")</f>
        <v/>
      </c>
      <c r="O1727" s="105" t="str">
        <f>IFERROR(__xludf.DUMMYFUNCTION("ARRAY_CONSTRAIN(
  ARRAYFORMULA(
    IFERROR(
      LET(
        list, N1727,
        arr, TRIM(SPLIT(list, "","")),
        names, XLOOKUP(
          arr,
          'Conformance Score'!A:A,
          'Conformance Score'!B:B,
          ""Not found""
     "&amp;"   ),
        TEXTJOIN("", "", TRUE, names)
      ),
      """"
    )
  ),
  1,
  1
)
"),"")</f>
        <v/>
      </c>
      <c r="P1727" s="105" t="str">
        <f>IF(F1727="Yes", IFERROR(VLOOKUP(D1727, Repository!A:F, 6, 0), ""), "")</f>
        <v/>
      </c>
      <c r="Q1727" s="105" t="str">
        <f>IF(F1727="Yes", IFERROR(VLOOKUP(D1727, Repository!A:I, 8, 0), ""), "")</f>
        <v/>
      </c>
      <c r="R1727" s="105" t="str">
        <f>IF(F1727="Yes", IFERROR(VLOOKUP(D1727, Repository!A:J, 9, 0), ""), "")</f>
        <v/>
      </c>
      <c r="S1727" s="105"/>
      <c r="T1727" s="105"/>
      <c r="U1727" s="105"/>
      <c r="V1727" s="105"/>
      <c r="W1727" s="105"/>
      <c r="X1727" s="105"/>
      <c r="Y1727" s="105"/>
      <c r="Z1727" s="105"/>
      <c r="AA1727" s="105"/>
      <c r="AB1727" s="105"/>
      <c r="AC1727" s="91"/>
      <c r="AD1727" s="105"/>
      <c r="AE1727" s="105"/>
      <c r="AF1727" s="91"/>
      <c r="AG1727" s="105"/>
      <c r="AH1727" s="105"/>
      <c r="AI1727" s="105" t="str">
        <f t="shared" si="1"/>
        <v/>
      </c>
      <c r="AJ1727" s="108" t="str">
        <f t="shared" si="2"/>
        <v/>
      </c>
    </row>
    <row r="1728" ht="15.75" customHeight="1">
      <c r="A1728" s="104"/>
      <c r="B1728" s="105" t="str">
        <f>IFERROR(__xludf.DUMMYFUNCTION("ARRAY_CONSTRAIN(
  ARRAYFORMULA(
    IF(
      'Final Report'!A1728="""",
      """",
      TEXTJOIN(
        "", "" &amp; CHAR(10),
        TRUE,
        IFERROR(
          VLOOKUP(
            TRIM(
              SPLIT('Final Report'!A1728, "","")
         "&amp;"   ),
            'URL Details'!A:B,
            2,
            FALSE
          ),
          """"
        )
      )
    )
  ),
  1,
  1
)
"),"")</f>
        <v/>
      </c>
      <c r="C1728" s="105" t="str">
        <f>IFERROR(__xludf.DUMMYFUNCTION("IFERROR(IF('Final Report'!A1728="""","""", TEXTJOIN(CHAR(10), TRUE, ARRAYFORMULA( ""• ""&amp; FILTER( TRIM(FLATTEN(SPLIT( REGEXREPLACE( SUBSTITUTE(TEXTJOIN("","", TRUE, IFERROR(ARRAYFORMULA(VLOOKUP(TRIM(SPLIT('Final Report'!A1728, "","")), 'URL Details'!A:D, "&amp;"4, FALSE)),"""") ), CHAR(10), "",""), ""\s*,\s*"", "",""), "",""))), TRIM(FLATTEN(SPLIT( REGEXREPLACE( SUBSTITUTE(TEXTJOIN("","", TRUE, IFERROR(ARRAYFORMULA(VLOOKUP(TRIM(SPLIT('Final Report'!A1728, "","")), 'URL Details'!A:D, 4, FALSE)),"""") ), CHAR(10),"&amp;" "",""), ""\s*,\s*"", "",""), "","")))&lt;&gt;"""" ) ) ) ),"""")
"),"")</f>
        <v/>
      </c>
      <c r="D1728" s="105"/>
      <c r="E1728" s="105"/>
      <c r="F1728" s="110" t="b">
        <v>0</v>
      </c>
      <c r="G1728" s="105" t="str">
        <f>IF(F1728=True, IFERROR(VLOOKUP(D1728, Repository!A:B, 2, 0), ""), "")</f>
        <v/>
      </c>
      <c r="H1728" s="105"/>
      <c r="I1728" s="105"/>
      <c r="J1728" s="105" t="str">
        <f>IF(F1728=True, IFERROR(VLOOKUP(D1728, Repository!A:C, 3, 0), ""), "")</f>
        <v/>
      </c>
      <c r="K1728" s="105"/>
      <c r="L1728" s="105" t="str">
        <f>IF(F1728=True, IFERROR(VLOOKUP(D1728, Repository!A:E, 5, 0), ""), "")</f>
        <v/>
      </c>
      <c r="M1728" s="105"/>
      <c r="N1728" s="105" t="str">
        <f>IF(F1728=True, IFERROR(VLOOKUP(D1728, Repository!A:G, 7, 0), ""), "")</f>
        <v/>
      </c>
      <c r="O1728" s="105" t="str">
        <f>IFERROR(__xludf.DUMMYFUNCTION("ARRAY_CONSTRAIN(
  ARRAYFORMULA(
    IFERROR(
      LET(
        list, N1728,
        arr, TRIM(SPLIT(list, "","")),
        names, XLOOKUP(
          arr,
          'Conformance Score'!A:A,
          'Conformance Score'!B:B,
          ""Not found""
     "&amp;"   ),
        TEXTJOIN("", "", TRUE, names)
      ),
      """"
    )
  ),
  1,
  1
)
"),"")</f>
        <v/>
      </c>
      <c r="P1728" s="105" t="str">
        <f>IF(F1728="Yes", IFERROR(VLOOKUP(D1728, Repository!A:F, 6, 0), ""), "")</f>
        <v/>
      </c>
      <c r="Q1728" s="105" t="str">
        <f>IF(F1728="Yes", IFERROR(VLOOKUP(D1728, Repository!A:I, 8, 0), ""), "")</f>
        <v/>
      </c>
      <c r="R1728" s="105" t="str">
        <f>IF(F1728="Yes", IFERROR(VLOOKUP(D1728, Repository!A:J, 9, 0), ""), "")</f>
        <v/>
      </c>
      <c r="S1728" s="105"/>
      <c r="T1728" s="105"/>
      <c r="U1728" s="105"/>
      <c r="V1728" s="105"/>
      <c r="W1728" s="105"/>
      <c r="X1728" s="105"/>
      <c r="Y1728" s="105"/>
      <c r="Z1728" s="105"/>
      <c r="AA1728" s="105"/>
      <c r="AB1728" s="105"/>
      <c r="AC1728" s="91"/>
      <c r="AD1728" s="105"/>
      <c r="AE1728" s="105"/>
      <c r="AF1728" s="91"/>
      <c r="AG1728" s="105"/>
      <c r="AH1728" s="105"/>
      <c r="AI1728" s="105" t="str">
        <f t="shared" si="1"/>
        <v/>
      </c>
      <c r="AJ1728" s="108" t="str">
        <f t="shared" si="2"/>
        <v/>
      </c>
    </row>
    <row r="1729" ht="15.75" customHeight="1">
      <c r="A1729" s="104"/>
      <c r="B1729" s="105" t="str">
        <f>IFERROR(__xludf.DUMMYFUNCTION("ARRAY_CONSTRAIN(
  ARRAYFORMULA(
    IF(
      'Final Report'!A1729="""",
      """",
      TEXTJOIN(
        "", "" &amp; CHAR(10),
        TRUE,
        IFERROR(
          VLOOKUP(
            TRIM(
              SPLIT('Final Report'!A1729, "","")
         "&amp;"   ),
            'URL Details'!A:B,
            2,
            FALSE
          ),
          """"
        )
      )
    )
  ),
  1,
  1
)
"),"")</f>
        <v/>
      </c>
      <c r="C1729" s="105" t="str">
        <f>IFERROR(__xludf.DUMMYFUNCTION("IFERROR(IF('Final Report'!A1729="""","""", TEXTJOIN(CHAR(10), TRUE, ARRAYFORMULA( ""• ""&amp; FILTER( TRIM(FLATTEN(SPLIT( REGEXREPLACE( SUBSTITUTE(TEXTJOIN("","", TRUE, IFERROR(ARRAYFORMULA(VLOOKUP(TRIM(SPLIT('Final Report'!A1729, "","")), 'URL Details'!A:D, "&amp;"4, FALSE)),"""") ), CHAR(10), "",""), ""\s*,\s*"", "",""), "",""))), TRIM(FLATTEN(SPLIT( REGEXREPLACE( SUBSTITUTE(TEXTJOIN("","", TRUE, IFERROR(ARRAYFORMULA(VLOOKUP(TRIM(SPLIT('Final Report'!A1729, "","")), 'URL Details'!A:D, 4, FALSE)),"""") ), CHAR(10),"&amp;" "",""), ""\s*,\s*"", "",""), "","")))&lt;&gt;"""" ) ) ) ),"""")
"),"")</f>
        <v/>
      </c>
      <c r="D1729" s="105"/>
      <c r="E1729" s="105"/>
      <c r="F1729" s="110" t="b">
        <v>0</v>
      </c>
      <c r="G1729" s="105" t="str">
        <f>IF(F1729=True, IFERROR(VLOOKUP(D1729, Repository!A:B, 2, 0), ""), "")</f>
        <v/>
      </c>
      <c r="H1729" s="105"/>
      <c r="I1729" s="105"/>
      <c r="J1729" s="105" t="str">
        <f>IF(F1729=True, IFERROR(VLOOKUP(D1729, Repository!A:C, 3, 0), ""), "")</f>
        <v/>
      </c>
      <c r="K1729" s="105"/>
      <c r="L1729" s="105" t="str">
        <f>IF(F1729=True, IFERROR(VLOOKUP(D1729, Repository!A:E, 5, 0), ""), "")</f>
        <v/>
      </c>
      <c r="M1729" s="105"/>
      <c r="N1729" s="105" t="str">
        <f>IF(F1729=True, IFERROR(VLOOKUP(D1729, Repository!A:G, 7, 0), ""), "")</f>
        <v/>
      </c>
      <c r="O1729" s="105" t="str">
        <f>IFERROR(__xludf.DUMMYFUNCTION("ARRAY_CONSTRAIN(
  ARRAYFORMULA(
    IFERROR(
      LET(
        list, N1729,
        arr, TRIM(SPLIT(list, "","")),
        names, XLOOKUP(
          arr,
          'Conformance Score'!A:A,
          'Conformance Score'!B:B,
          ""Not found""
     "&amp;"   ),
        TEXTJOIN("", "", TRUE, names)
      ),
      """"
    )
  ),
  1,
  1
)
"),"")</f>
        <v/>
      </c>
      <c r="P1729" s="105" t="str">
        <f>IF(F1729="Yes", IFERROR(VLOOKUP(D1729, Repository!A:F, 6, 0), ""), "")</f>
        <v/>
      </c>
      <c r="Q1729" s="105" t="str">
        <f>IF(F1729="Yes", IFERROR(VLOOKUP(D1729, Repository!A:I, 8, 0), ""), "")</f>
        <v/>
      </c>
      <c r="R1729" s="105" t="str">
        <f>IF(F1729="Yes", IFERROR(VLOOKUP(D1729, Repository!A:J, 9, 0), ""), "")</f>
        <v/>
      </c>
      <c r="S1729" s="105"/>
      <c r="T1729" s="105"/>
      <c r="U1729" s="105"/>
      <c r="V1729" s="105"/>
      <c r="W1729" s="105"/>
      <c r="X1729" s="105"/>
      <c r="Y1729" s="105"/>
      <c r="Z1729" s="105"/>
      <c r="AA1729" s="105"/>
      <c r="AB1729" s="105"/>
      <c r="AC1729" s="91"/>
      <c r="AD1729" s="105"/>
      <c r="AE1729" s="105"/>
      <c r="AF1729" s="91"/>
      <c r="AG1729" s="105"/>
      <c r="AH1729" s="105"/>
      <c r="AI1729" s="105" t="str">
        <f t="shared" si="1"/>
        <v/>
      </c>
      <c r="AJ1729" s="108" t="str">
        <f t="shared" si="2"/>
        <v/>
      </c>
    </row>
    <row r="1730" ht="15.75" customHeight="1">
      <c r="A1730" s="104"/>
      <c r="B1730" s="105" t="str">
        <f>IFERROR(__xludf.DUMMYFUNCTION("ARRAY_CONSTRAIN(
  ARRAYFORMULA(
    IF(
      'Final Report'!A1730="""",
      """",
      TEXTJOIN(
        "", "" &amp; CHAR(10),
        TRUE,
        IFERROR(
          VLOOKUP(
            TRIM(
              SPLIT('Final Report'!A1730, "","")
         "&amp;"   ),
            'URL Details'!A:B,
            2,
            FALSE
          ),
          """"
        )
      )
    )
  ),
  1,
  1
)
"),"")</f>
        <v/>
      </c>
      <c r="C1730" s="105" t="str">
        <f>IFERROR(__xludf.DUMMYFUNCTION("IFERROR(IF('Final Report'!A1730="""","""", TEXTJOIN(CHAR(10), TRUE, ARRAYFORMULA( ""• ""&amp; FILTER( TRIM(FLATTEN(SPLIT( REGEXREPLACE( SUBSTITUTE(TEXTJOIN("","", TRUE, IFERROR(ARRAYFORMULA(VLOOKUP(TRIM(SPLIT('Final Report'!A1730, "","")), 'URL Details'!A:D, "&amp;"4, FALSE)),"""") ), CHAR(10), "",""), ""\s*,\s*"", "",""), "",""))), TRIM(FLATTEN(SPLIT( REGEXREPLACE( SUBSTITUTE(TEXTJOIN("","", TRUE, IFERROR(ARRAYFORMULA(VLOOKUP(TRIM(SPLIT('Final Report'!A1730, "","")), 'URL Details'!A:D, 4, FALSE)),"""") ), CHAR(10),"&amp;" "",""), ""\s*,\s*"", "",""), "","")))&lt;&gt;"""" ) ) ) ),"""")
"),"")</f>
        <v/>
      </c>
      <c r="D1730" s="105"/>
      <c r="E1730" s="105"/>
      <c r="F1730" s="110" t="b">
        <v>0</v>
      </c>
      <c r="G1730" s="105" t="str">
        <f>IF(F1730=True, IFERROR(VLOOKUP(D1730, Repository!A:B, 2, 0), ""), "")</f>
        <v/>
      </c>
      <c r="H1730" s="105"/>
      <c r="I1730" s="105"/>
      <c r="J1730" s="105" t="str">
        <f>IF(F1730=True, IFERROR(VLOOKUP(D1730, Repository!A:C, 3, 0), ""), "")</f>
        <v/>
      </c>
      <c r="K1730" s="105"/>
      <c r="L1730" s="105" t="str">
        <f>IF(F1730=True, IFERROR(VLOOKUP(D1730, Repository!A:E, 5, 0), ""), "")</f>
        <v/>
      </c>
      <c r="M1730" s="105"/>
      <c r="N1730" s="105" t="str">
        <f>IF(F1730=True, IFERROR(VLOOKUP(D1730, Repository!A:G, 7, 0), ""), "")</f>
        <v/>
      </c>
      <c r="O1730" s="105" t="str">
        <f>IFERROR(__xludf.DUMMYFUNCTION("ARRAY_CONSTRAIN(
  ARRAYFORMULA(
    IFERROR(
      LET(
        list, N1730,
        arr, TRIM(SPLIT(list, "","")),
        names, XLOOKUP(
          arr,
          'Conformance Score'!A:A,
          'Conformance Score'!B:B,
          ""Not found""
     "&amp;"   ),
        TEXTJOIN("", "", TRUE, names)
      ),
      """"
    )
  ),
  1,
  1
)
"),"")</f>
        <v/>
      </c>
      <c r="P1730" s="105" t="str">
        <f>IF(F1730="Yes", IFERROR(VLOOKUP(D1730, Repository!A:F, 6, 0), ""), "")</f>
        <v/>
      </c>
      <c r="Q1730" s="105" t="str">
        <f>IF(F1730="Yes", IFERROR(VLOOKUP(D1730, Repository!A:I, 8, 0), ""), "")</f>
        <v/>
      </c>
      <c r="R1730" s="105" t="str">
        <f>IF(F1730="Yes", IFERROR(VLOOKUP(D1730, Repository!A:J, 9, 0), ""), "")</f>
        <v/>
      </c>
      <c r="S1730" s="105"/>
      <c r="T1730" s="105"/>
      <c r="U1730" s="105"/>
      <c r="V1730" s="105"/>
      <c r="W1730" s="105"/>
      <c r="X1730" s="105"/>
      <c r="Y1730" s="105"/>
      <c r="Z1730" s="105"/>
      <c r="AA1730" s="105"/>
      <c r="AB1730" s="105"/>
      <c r="AC1730" s="91"/>
      <c r="AD1730" s="105"/>
      <c r="AE1730" s="105"/>
      <c r="AF1730" s="91"/>
      <c r="AG1730" s="105"/>
      <c r="AH1730" s="105"/>
      <c r="AI1730" s="105" t="str">
        <f t="shared" si="1"/>
        <v/>
      </c>
      <c r="AJ1730" s="108" t="str">
        <f t="shared" si="2"/>
        <v/>
      </c>
    </row>
    <row r="1731" ht="15.75" customHeight="1">
      <c r="A1731" s="104"/>
      <c r="B1731" s="105" t="str">
        <f>IFERROR(__xludf.DUMMYFUNCTION("ARRAY_CONSTRAIN(
  ARRAYFORMULA(
    IF(
      'Final Report'!A1731="""",
      """",
      TEXTJOIN(
        "", "" &amp; CHAR(10),
        TRUE,
        IFERROR(
          VLOOKUP(
            TRIM(
              SPLIT('Final Report'!A1731, "","")
         "&amp;"   ),
            'URL Details'!A:B,
            2,
            FALSE
          ),
          """"
        )
      )
    )
  ),
  1,
  1
)
"),"")</f>
        <v/>
      </c>
      <c r="C1731" s="105" t="str">
        <f>IFERROR(__xludf.DUMMYFUNCTION("IFERROR(IF('Final Report'!A1731="""","""", TEXTJOIN(CHAR(10), TRUE, ARRAYFORMULA( ""• ""&amp; FILTER( TRIM(FLATTEN(SPLIT( REGEXREPLACE( SUBSTITUTE(TEXTJOIN("","", TRUE, IFERROR(ARRAYFORMULA(VLOOKUP(TRIM(SPLIT('Final Report'!A1731, "","")), 'URL Details'!A:D, "&amp;"4, FALSE)),"""") ), CHAR(10), "",""), ""\s*,\s*"", "",""), "",""))), TRIM(FLATTEN(SPLIT( REGEXREPLACE( SUBSTITUTE(TEXTJOIN("","", TRUE, IFERROR(ARRAYFORMULA(VLOOKUP(TRIM(SPLIT('Final Report'!A1731, "","")), 'URL Details'!A:D, 4, FALSE)),"""") ), CHAR(10),"&amp;" "",""), ""\s*,\s*"", "",""), "","")))&lt;&gt;"""" ) ) ) ),"""")
"),"")</f>
        <v/>
      </c>
      <c r="D1731" s="105"/>
      <c r="E1731" s="105"/>
      <c r="F1731" s="110" t="b">
        <v>0</v>
      </c>
      <c r="G1731" s="105" t="str">
        <f>IF(F1731=True, IFERROR(VLOOKUP(D1731, Repository!A:B, 2, 0), ""), "")</f>
        <v/>
      </c>
      <c r="H1731" s="105"/>
      <c r="I1731" s="105"/>
      <c r="J1731" s="105" t="str">
        <f>IF(F1731=True, IFERROR(VLOOKUP(D1731, Repository!A:C, 3, 0), ""), "")</f>
        <v/>
      </c>
      <c r="K1731" s="105"/>
      <c r="L1731" s="105" t="str">
        <f>IF(F1731=True, IFERROR(VLOOKUP(D1731, Repository!A:E, 5, 0), ""), "")</f>
        <v/>
      </c>
      <c r="M1731" s="105"/>
      <c r="N1731" s="105" t="str">
        <f>IF(F1731=True, IFERROR(VLOOKUP(D1731, Repository!A:G, 7, 0), ""), "")</f>
        <v/>
      </c>
      <c r="O1731" s="105" t="str">
        <f>IFERROR(__xludf.DUMMYFUNCTION("ARRAY_CONSTRAIN(
  ARRAYFORMULA(
    IFERROR(
      LET(
        list, N1731,
        arr, TRIM(SPLIT(list, "","")),
        names, XLOOKUP(
          arr,
          'Conformance Score'!A:A,
          'Conformance Score'!B:B,
          ""Not found""
     "&amp;"   ),
        TEXTJOIN("", "", TRUE, names)
      ),
      """"
    )
  ),
  1,
  1
)
"),"")</f>
        <v/>
      </c>
      <c r="P1731" s="105" t="str">
        <f>IF(F1731="Yes", IFERROR(VLOOKUP(D1731, Repository!A:F, 6, 0), ""), "")</f>
        <v/>
      </c>
      <c r="Q1731" s="105" t="str">
        <f>IF(F1731="Yes", IFERROR(VLOOKUP(D1731, Repository!A:I, 8, 0), ""), "")</f>
        <v/>
      </c>
      <c r="R1731" s="105" t="str">
        <f>IF(F1731="Yes", IFERROR(VLOOKUP(D1731, Repository!A:J, 9, 0), ""), "")</f>
        <v/>
      </c>
      <c r="S1731" s="105"/>
      <c r="T1731" s="105"/>
      <c r="U1731" s="105"/>
      <c r="V1731" s="105"/>
      <c r="W1731" s="105"/>
      <c r="X1731" s="105"/>
      <c r="Y1731" s="105"/>
      <c r="Z1731" s="105"/>
      <c r="AA1731" s="105"/>
      <c r="AB1731" s="105"/>
      <c r="AC1731" s="91"/>
      <c r="AD1731" s="105"/>
      <c r="AE1731" s="105"/>
      <c r="AF1731" s="91"/>
      <c r="AG1731" s="105"/>
      <c r="AH1731" s="105"/>
      <c r="AI1731" s="105" t="str">
        <f t="shared" si="1"/>
        <v/>
      </c>
      <c r="AJ1731" s="108" t="str">
        <f t="shared" si="2"/>
        <v/>
      </c>
    </row>
    <row r="1732" ht="15.75" customHeight="1">
      <c r="A1732" s="104"/>
      <c r="B1732" s="105" t="str">
        <f>IFERROR(__xludf.DUMMYFUNCTION("ARRAY_CONSTRAIN(
  ARRAYFORMULA(
    IF(
      'Final Report'!A1732="""",
      """",
      TEXTJOIN(
        "", "" &amp; CHAR(10),
        TRUE,
        IFERROR(
          VLOOKUP(
            TRIM(
              SPLIT('Final Report'!A1732, "","")
         "&amp;"   ),
            'URL Details'!A:B,
            2,
            FALSE
          ),
          """"
        )
      )
    )
  ),
  1,
  1
)
"),"")</f>
        <v/>
      </c>
      <c r="C1732" s="105" t="str">
        <f>IFERROR(__xludf.DUMMYFUNCTION("IFERROR(IF('Final Report'!A1732="""","""", TEXTJOIN(CHAR(10), TRUE, ARRAYFORMULA( ""• ""&amp; FILTER( TRIM(FLATTEN(SPLIT( REGEXREPLACE( SUBSTITUTE(TEXTJOIN("","", TRUE, IFERROR(ARRAYFORMULA(VLOOKUP(TRIM(SPLIT('Final Report'!A1732, "","")), 'URL Details'!A:D, "&amp;"4, FALSE)),"""") ), CHAR(10), "",""), ""\s*,\s*"", "",""), "",""))), TRIM(FLATTEN(SPLIT( REGEXREPLACE( SUBSTITUTE(TEXTJOIN("","", TRUE, IFERROR(ARRAYFORMULA(VLOOKUP(TRIM(SPLIT('Final Report'!A1732, "","")), 'URL Details'!A:D, 4, FALSE)),"""") ), CHAR(10),"&amp;" "",""), ""\s*,\s*"", "",""), "","")))&lt;&gt;"""" ) ) ) ),"""")
"),"")</f>
        <v/>
      </c>
      <c r="D1732" s="105"/>
      <c r="E1732" s="105"/>
      <c r="F1732" s="110" t="b">
        <v>0</v>
      </c>
      <c r="G1732" s="105" t="str">
        <f>IF(F1732=True, IFERROR(VLOOKUP(D1732, Repository!A:B, 2, 0), ""), "")</f>
        <v/>
      </c>
      <c r="H1732" s="105"/>
      <c r="I1732" s="105"/>
      <c r="J1732" s="105" t="str">
        <f>IF(F1732=True, IFERROR(VLOOKUP(D1732, Repository!A:C, 3, 0), ""), "")</f>
        <v/>
      </c>
      <c r="K1732" s="105"/>
      <c r="L1732" s="105" t="str">
        <f>IF(F1732=True, IFERROR(VLOOKUP(D1732, Repository!A:E, 5, 0), ""), "")</f>
        <v/>
      </c>
      <c r="M1732" s="105"/>
      <c r="N1732" s="105" t="str">
        <f>IF(F1732=True, IFERROR(VLOOKUP(D1732, Repository!A:G, 7, 0), ""), "")</f>
        <v/>
      </c>
      <c r="O1732" s="105" t="str">
        <f>IFERROR(__xludf.DUMMYFUNCTION("ARRAY_CONSTRAIN(
  ARRAYFORMULA(
    IFERROR(
      LET(
        list, N1732,
        arr, TRIM(SPLIT(list, "","")),
        names, XLOOKUP(
          arr,
          'Conformance Score'!A:A,
          'Conformance Score'!B:B,
          ""Not found""
     "&amp;"   ),
        TEXTJOIN("", "", TRUE, names)
      ),
      """"
    )
  ),
  1,
  1
)
"),"")</f>
        <v/>
      </c>
      <c r="P1732" s="105" t="str">
        <f>IF(F1732="Yes", IFERROR(VLOOKUP(D1732, Repository!A:F, 6, 0), ""), "")</f>
        <v/>
      </c>
      <c r="Q1732" s="105" t="str">
        <f>IF(F1732="Yes", IFERROR(VLOOKUP(D1732, Repository!A:I, 8, 0), ""), "")</f>
        <v/>
      </c>
      <c r="R1732" s="105" t="str">
        <f>IF(F1732="Yes", IFERROR(VLOOKUP(D1732, Repository!A:J, 9, 0), ""), "")</f>
        <v/>
      </c>
      <c r="S1732" s="105"/>
      <c r="T1732" s="105"/>
      <c r="U1732" s="105"/>
      <c r="V1732" s="105"/>
      <c r="W1732" s="105"/>
      <c r="X1732" s="105"/>
      <c r="Y1732" s="105"/>
      <c r="Z1732" s="105"/>
      <c r="AA1732" s="105"/>
      <c r="AB1732" s="105"/>
      <c r="AC1732" s="91"/>
      <c r="AD1732" s="105"/>
      <c r="AE1732" s="105"/>
      <c r="AF1732" s="91"/>
      <c r="AG1732" s="105"/>
      <c r="AH1732" s="105"/>
      <c r="AI1732" s="105" t="str">
        <f t="shared" si="1"/>
        <v/>
      </c>
      <c r="AJ1732" s="108" t="str">
        <f t="shared" si="2"/>
        <v/>
      </c>
    </row>
    <row r="1733" ht="15.75" customHeight="1">
      <c r="A1733" s="104"/>
      <c r="B1733" s="105" t="str">
        <f>IFERROR(__xludf.DUMMYFUNCTION("ARRAY_CONSTRAIN(
  ARRAYFORMULA(
    IF(
      'Final Report'!A1733="""",
      """",
      TEXTJOIN(
        "", "" &amp; CHAR(10),
        TRUE,
        IFERROR(
          VLOOKUP(
            TRIM(
              SPLIT('Final Report'!A1733, "","")
         "&amp;"   ),
            'URL Details'!A:B,
            2,
            FALSE
          ),
          """"
        )
      )
    )
  ),
  1,
  1
)
"),"")</f>
        <v/>
      </c>
      <c r="C1733" s="105" t="str">
        <f>IFERROR(__xludf.DUMMYFUNCTION("IFERROR(IF('Final Report'!A1733="""","""", TEXTJOIN(CHAR(10), TRUE, ARRAYFORMULA( ""• ""&amp; FILTER( TRIM(FLATTEN(SPLIT( REGEXREPLACE( SUBSTITUTE(TEXTJOIN("","", TRUE, IFERROR(ARRAYFORMULA(VLOOKUP(TRIM(SPLIT('Final Report'!A1733, "","")), 'URL Details'!A:D, "&amp;"4, FALSE)),"""") ), CHAR(10), "",""), ""\s*,\s*"", "",""), "",""))), TRIM(FLATTEN(SPLIT( REGEXREPLACE( SUBSTITUTE(TEXTJOIN("","", TRUE, IFERROR(ARRAYFORMULA(VLOOKUP(TRIM(SPLIT('Final Report'!A1733, "","")), 'URL Details'!A:D, 4, FALSE)),"""") ), CHAR(10),"&amp;" "",""), ""\s*,\s*"", "",""), "","")))&lt;&gt;"""" ) ) ) ),"""")
"),"")</f>
        <v/>
      </c>
      <c r="D1733" s="105"/>
      <c r="E1733" s="105"/>
      <c r="F1733" s="110" t="b">
        <v>0</v>
      </c>
      <c r="G1733" s="105" t="str">
        <f>IF(F1733=True, IFERROR(VLOOKUP(D1733, Repository!A:B, 2, 0), ""), "")</f>
        <v/>
      </c>
      <c r="H1733" s="105"/>
      <c r="I1733" s="105"/>
      <c r="J1733" s="105" t="str">
        <f>IF(F1733=True, IFERROR(VLOOKUP(D1733, Repository!A:C, 3, 0), ""), "")</f>
        <v/>
      </c>
      <c r="K1733" s="105"/>
      <c r="L1733" s="105" t="str">
        <f>IF(F1733=True, IFERROR(VLOOKUP(D1733, Repository!A:E, 5, 0), ""), "")</f>
        <v/>
      </c>
      <c r="M1733" s="105"/>
      <c r="N1733" s="105" t="str">
        <f>IF(F1733=True, IFERROR(VLOOKUP(D1733, Repository!A:G, 7, 0), ""), "")</f>
        <v/>
      </c>
      <c r="O1733" s="105" t="str">
        <f>IFERROR(__xludf.DUMMYFUNCTION("ARRAY_CONSTRAIN(
  ARRAYFORMULA(
    IFERROR(
      LET(
        list, N1733,
        arr, TRIM(SPLIT(list, "","")),
        names, XLOOKUP(
          arr,
          'Conformance Score'!A:A,
          'Conformance Score'!B:B,
          ""Not found""
     "&amp;"   ),
        TEXTJOIN("", "", TRUE, names)
      ),
      """"
    )
  ),
  1,
  1
)
"),"")</f>
        <v/>
      </c>
      <c r="P1733" s="105" t="str">
        <f>IF(F1733="Yes", IFERROR(VLOOKUP(D1733, Repository!A:F, 6, 0), ""), "")</f>
        <v/>
      </c>
      <c r="Q1733" s="105" t="str">
        <f>IF(F1733="Yes", IFERROR(VLOOKUP(D1733, Repository!A:I, 8, 0), ""), "")</f>
        <v/>
      </c>
      <c r="R1733" s="105" t="str">
        <f>IF(F1733="Yes", IFERROR(VLOOKUP(D1733, Repository!A:J, 9, 0), ""), "")</f>
        <v/>
      </c>
      <c r="S1733" s="105"/>
      <c r="T1733" s="105"/>
      <c r="U1733" s="105"/>
      <c r="V1733" s="105"/>
      <c r="W1733" s="105"/>
      <c r="X1733" s="105"/>
      <c r="Y1733" s="105"/>
      <c r="Z1733" s="105"/>
      <c r="AA1733" s="105"/>
      <c r="AB1733" s="105"/>
      <c r="AC1733" s="91"/>
      <c r="AD1733" s="105"/>
      <c r="AE1733" s="105"/>
      <c r="AF1733" s="91"/>
      <c r="AG1733" s="105"/>
      <c r="AH1733" s="105"/>
      <c r="AI1733" s="105" t="str">
        <f t="shared" si="1"/>
        <v/>
      </c>
      <c r="AJ1733" s="108" t="str">
        <f t="shared" si="2"/>
        <v/>
      </c>
    </row>
    <row r="1734" ht="15.75" customHeight="1">
      <c r="A1734" s="104"/>
      <c r="B1734" s="105" t="str">
        <f>IFERROR(__xludf.DUMMYFUNCTION("ARRAY_CONSTRAIN(
  ARRAYFORMULA(
    IF(
      'Final Report'!A1734="""",
      """",
      TEXTJOIN(
        "", "" &amp; CHAR(10),
        TRUE,
        IFERROR(
          VLOOKUP(
            TRIM(
              SPLIT('Final Report'!A1734, "","")
         "&amp;"   ),
            'URL Details'!A:B,
            2,
            FALSE
          ),
          """"
        )
      )
    )
  ),
  1,
  1
)
"),"")</f>
        <v/>
      </c>
      <c r="C1734" s="105" t="str">
        <f>IFERROR(__xludf.DUMMYFUNCTION("IFERROR(IF('Final Report'!A1734="""","""", TEXTJOIN(CHAR(10), TRUE, ARRAYFORMULA( ""• ""&amp; FILTER( TRIM(FLATTEN(SPLIT( REGEXREPLACE( SUBSTITUTE(TEXTJOIN("","", TRUE, IFERROR(ARRAYFORMULA(VLOOKUP(TRIM(SPLIT('Final Report'!A1734, "","")), 'URL Details'!A:D, "&amp;"4, FALSE)),"""") ), CHAR(10), "",""), ""\s*,\s*"", "",""), "",""))), TRIM(FLATTEN(SPLIT( REGEXREPLACE( SUBSTITUTE(TEXTJOIN("","", TRUE, IFERROR(ARRAYFORMULA(VLOOKUP(TRIM(SPLIT('Final Report'!A1734, "","")), 'URL Details'!A:D, 4, FALSE)),"""") ), CHAR(10),"&amp;" "",""), ""\s*,\s*"", "",""), "","")))&lt;&gt;"""" ) ) ) ),"""")
"),"")</f>
        <v/>
      </c>
      <c r="D1734" s="105"/>
      <c r="E1734" s="105"/>
      <c r="F1734" s="110" t="b">
        <v>0</v>
      </c>
      <c r="G1734" s="105" t="str">
        <f>IF(F1734=True, IFERROR(VLOOKUP(D1734, Repository!A:B, 2, 0), ""), "")</f>
        <v/>
      </c>
      <c r="H1734" s="105"/>
      <c r="I1734" s="105"/>
      <c r="J1734" s="105" t="str">
        <f>IF(F1734=True, IFERROR(VLOOKUP(D1734, Repository!A:C, 3, 0), ""), "")</f>
        <v/>
      </c>
      <c r="K1734" s="105"/>
      <c r="L1734" s="105" t="str">
        <f>IF(F1734=True, IFERROR(VLOOKUP(D1734, Repository!A:E, 5, 0), ""), "")</f>
        <v/>
      </c>
      <c r="M1734" s="105"/>
      <c r="N1734" s="105" t="str">
        <f>IF(F1734=True, IFERROR(VLOOKUP(D1734, Repository!A:G, 7, 0), ""), "")</f>
        <v/>
      </c>
      <c r="O1734" s="105" t="str">
        <f>IFERROR(__xludf.DUMMYFUNCTION("ARRAY_CONSTRAIN(
  ARRAYFORMULA(
    IFERROR(
      LET(
        list, N1734,
        arr, TRIM(SPLIT(list, "","")),
        names, XLOOKUP(
          arr,
          'Conformance Score'!A:A,
          'Conformance Score'!B:B,
          ""Not found""
     "&amp;"   ),
        TEXTJOIN("", "", TRUE, names)
      ),
      """"
    )
  ),
  1,
  1
)
"),"")</f>
        <v/>
      </c>
      <c r="P1734" s="105" t="str">
        <f>IF(F1734="Yes", IFERROR(VLOOKUP(D1734, Repository!A:F, 6, 0), ""), "")</f>
        <v/>
      </c>
      <c r="Q1734" s="105" t="str">
        <f>IF(F1734="Yes", IFERROR(VLOOKUP(D1734, Repository!A:I, 8, 0), ""), "")</f>
        <v/>
      </c>
      <c r="R1734" s="105" t="str">
        <f>IF(F1734="Yes", IFERROR(VLOOKUP(D1734, Repository!A:J, 9, 0), ""), "")</f>
        <v/>
      </c>
      <c r="S1734" s="105"/>
      <c r="T1734" s="105"/>
      <c r="U1734" s="105"/>
      <c r="V1734" s="105"/>
      <c r="W1734" s="105"/>
      <c r="X1734" s="105"/>
      <c r="Y1734" s="105"/>
      <c r="Z1734" s="105"/>
      <c r="AA1734" s="105"/>
      <c r="AB1734" s="105"/>
      <c r="AC1734" s="91"/>
      <c r="AD1734" s="105"/>
      <c r="AE1734" s="105"/>
      <c r="AF1734" s="91"/>
      <c r="AG1734" s="105"/>
      <c r="AH1734" s="105"/>
      <c r="AI1734" s="105" t="str">
        <f t="shared" si="1"/>
        <v/>
      </c>
      <c r="AJ1734" s="108" t="str">
        <f t="shared" si="2"/>
        <v/>
      </c>
    </row>
    <row r="1735" ht="15.75" customHeight="1">
      <c r="A1735" s="104"/>
      <c r="B1735" s="105" t="str">
        <f>IFERROR(__xludf.DUMMYFUNCTION("ARRAY_CONSTRAIN(
  ARRAYFORMULA(
    IF(
      'Final Report'!A1735="""",
      """",
      TEXTJOIN(
        "", "" &amp; CHAR(10),
        TRUE,
        IFERROR(
          VLOOKUP(
            TRIM(
              SPLIT('Final Report'!A1735, "","")
         "&amp;"   ),
            'URL Details'!A:B,
            2,
            FALSE
          ),
          """"
        )
      )
    )
  ),
  1,
  1
)
"),"")</f>
        <v/>
      </c>
      <c r="C1735" s="105" t="str">
        <f>IFERROR(__xludf.DUMMYFUNCTION("IFERROR(IF('Final Report'!A1735="""","""", TEXTJOIN(CHAR(10), TRUE, ARRAYFORMULA( ""• ""&amp; FILTER( TRIM(FLATTEN(SPLIT( REGEXREPLACE( SUBSTITUTE(TEXTJOIN("","", TRUE, IFERROR(ARRAYFORMULA(VLOOKUP(TRIM(SPLIT('Final Report'!A1735, "","")), 'URL Details'!A:D, "&amp;"4, FALSE)),"""") ), CHAR(10), "",""), ""\s*,\s*"", "",""), "",""))), TRIM(FLATTEN(SPLIT( REGEXREPLACE( SUBSTITUTE(TEXTJOIN("","", TRUE, IFERROR(ARRAYFORMULA(VLOOKUP(TRIM(SPLIT('Final Report'!A1735, "","")), 'URL Details'!A:D, 4, FALSE)),"""") ), CHAR(10),"&amp;" "",""), ""\s*,\s*"", "",""), "","")))&lt;&gt;"""" ) ) ) ),"""")
"),"")</f>
        <v/>
      </c>
      <c r="D1735" s="105"/>
      <c r="E1735" s="105"/>
      <c r="F1735" s="110" t="b">
        <v>0</v>
      </c>
      <c r="G1735" s="105" t="str">
        <f>IF(F1735=True, IFERROR(VLOOKUP(D1735, Repository!A:B, 2, 0), ""), "")</f>
        <v/>
      </c>
      <c r="H1735" s="105"/>
      <c r="I1735" s="105"/>
      <c r="J1735" s="105" t="str">
        <f>IF(F1735=True, IFERROR(VLOOKUP(D1735, Repository!A:C, 3, 0), ""), "")</f>
        <v/>
      </c>
      <c r="K1735" s="105"/>
      <c r="L1735" s="105" t="str">
        <f>IF(F1735=True, IFERROR(VLOOKUP(D1735, Repository!A:E, 5, 0), ""), "")</f>
        <v/>
      </c>
      <c r="M1735" s="105"/>
      <c r="N1735" s="105" t="str">
        <f>IF(F1735=True, IFERROR(VLOOKUP(D1735, Repository!A:G, 7, 0), ""), "")</f>
        <v/>
      </c>
      <c r="O1735" s="105" t="str">
        <f>IFERROR(__xludf.DUMMYFUNCTION("ARRAY_CONSTRAIN(
  ARRAYFORMULA(
    IFERROR(
      LET(
        list, N1735,
        arr, TRIM(SPLIT(list, "","")),
        names, XLOOKUP(
          arr,
          'Conformance Score'!A:A,
          'Conformance Score'!B:B,
          ""Not found""
     "&amp;"   ),
        TEXTJOIN("", "", TRUE, names)
      ),
      """"
    )
  ),
  1,
  1
)
"),"")</f>
        <v/>
      </c>
      <c r="P1735" s="105" t="str">
        <f>IF(F1735="Yes", IFERROR(VLOOKUP(D1735, Repository!A:F, 6, 0), ""), "")</f>
        <v/>
      </c>
      <c r="Q1735" s="105" t="str">
        <f>IF(F1735="Yes", IFERROR(VLOOKUP(D1735, Repository!A:I, 8, 0), ""), "")</f>
        <v/>
      </c>
      <c r="R1735" s="105" t="str">
        <f>IF(F1735="Yes", IFERROR(VLOOKUP(D1735, Repository!A:J, 9, 0), ""), "")</f>
        <v/>
      </c>
      <c r="S1735" s="105"/>
      <c r="T1735" s="105"/>
      <c r="U1735" s="105"/>
      <c r="V1735" s="105"/>
      <c r="W1735" s="105"/>
      <c r="X1735" s="105"/>
      <c r="Y1735" s="105"/>
      <c r="Z1735" s="105"/>
      <c r="AA1735" s="105"/>
      <c r="AB1735" s="105"/>
      <c r="AC1735" s="91"/>
      <c r="AD1735" s="105"/>
      <c r="AE1735" s="105"/>
      <c r="AF1735" s="91"/>
      <c r="AG1735" s="105"/>
      <c r="AH1735" s="105"/>
      <c r="AI1735" s="105" t="str">
        <f t="shared" si="1"/>
        <v/>
      </c>
      <c r="AJ1735" s="108" t="str">
        <f t="shared" si="2"/>
        <v/>
      </c>
    </row>
    <row r="1736" ht="15.75" customHeight="1">
      <c r="A1736" s="104"/>
      <c r="B1736" s="105" t="str">
        <f>IFERROR(__xludf.DUMMYFUNCTION("ARRAY_CONSTRAIN(
  ARRAYFORMULA(
    IF(
      'Final Report'!A1736="""",
      """",
      TEXTJOIN(
        "", "" &amp; CHAR(10),
        TRUE,
        IFERROR(
          VLOOKUP(
            TRIM(
              SPLIT('Final Report'!A1736, "","")
         "&amp;"   ),
            'URL Details'!A:B,
            2,
            FALSE
          ),
          """"
        )
      )
    )
  ),
  1,
  1
)
"),"")</f>
        <v/>
      </c>
      <c r="C1736" s="105" t="str">
        <f>IFERROR(__xludf.DUMMYFUNCTION("IFERROR(IF('Final Report'!A1736="""","""", TEXTJOIN(CHAR(10), TRUE, ARRAYFORMULA( ""• ""&amp; FILTER( TRIM(FLATTEN(SPLIT( REGEXREPLACE( SUBSTITUTE(TEXTJOIN("","", TRUE, IFERROR(ARRAYFORMULA(VLOOKUP(TRIM(SPLIT('Final Report'!A1736, "","")), 'URL Details'!A:D, "&amp;"4, FALSE)),"""") ), CHAR(10), "",""), ""\s*,\s*"", "",""), "",""))), TRIM(FLATTEN(SPLIT( REGEXREPLACE( SUBSTITUTE(TEXTJOIN("","", TRUE, IFERROR(ARRAYFORMULA(VLOOKUP(TRIM(SPLIT('Final Report'!A1736, "","")), 'URL Details'!A:D, 4, FALSE)),"""") ), CHAR(10),"&amp;" "",""), ""\s*,\s*"", "",""), "","")))&lt;&gt;"""" ) ) ) ),"""")
"),"")</f>
        <v/>
      </c>
      <c r="D1736" s="105"/>
      <c r="E1736" s="105"/>
      <c r="F1736" s="110" t="b">
        <v>0</v>
      </c>
      <c r="G1736" s="105" t="str">
        <f>IF(F1736=True, IFERROR(VLOOKUP(D1736, Repository!A:B, 2, 0), ""), "")</f>
        <v/>
      </c>
      <c r="H1736" s="105"/>
      <c r="I1736" s="105"/>
      <c r="J1736" s="105" t="str">
        <f>IF(F1736=True, IFERROR(VLOOKUP(D1736, Repository!A:C, 3, 0), ""), "")</f>
        <v/>
      </c>
      <c r="K1736" s="105"/>
      <c r="L1736" s="105" t="str">
        <f>IF(F1736=True, IFERROR(VLOOKUP(D1736, Repository!A:E, 5, 0), ""), "")</f>
        <v/>
      </c>
      <c r="M1736" s="105"/>
      <c r="N1736" s="105" t="str">
        <f>IF(F1736=True, IFERROR(VLOOKUP(D1736, Repository!A:G, 7, 0), ""), "")</f>
        <v/>
      </c>
      <c r="O1736" s="105" t="str">
        <f>IFERROR(__xludf.DUMMYFUNCTION("ARRAY_CONSTRAIN(
  ARRAYFORMULA(
    IFERROR(
      LET(
        list, N1736,
        arr, TRIM(SPLIT(list, "","")),
        names, XLOOKUP(
          arr,
          'Conformance Score'!A:A,
          'Conformance Score'!B:B,
          ""Not found""
     "&amp;"   ),
        TEXTJOIN("", "", TRUE, names)
      ),
      """"
    )
  ),
  1,
  1
)
"),"")</f>
        <v/>
      </c>
      <c r="P1736" s="105" t="str">
        <f>IF(F1736="Yes", IFERROR(VLOOKUP(D1736, Repository!A:F, 6, 0), ""), "")</f>
        <v/>
      </c>
      <c r="Q1736" s="105" t="str">
        <f>IF(F1736="Yes", IFERROR(VLOOKUP(D1736, Repository!A:I, 8, 0), ""), "")</f>
        <v/>
      </c>
      <c r="R1736" s="105" t="str">
        <f>IF(F1736="Yes", IFERROR(VLOOKUP(D1736, Repository!A:J, 9, 0), ""), "")</f>
        <v/>
      </c>
      <c r="S1736" s="105"/>
      <c r="T1736" s="105"/>
      <c r="U1736" s="105"/>
      <c r="V1736" s="105"/>
      <c r="W1736" s="105"/>
      <c r="X1736" s="105"/>
      <c r="Y1736" s="105"/>
      <c r="Z1736" s="105"/>
      <c r="AA1736" s="105"/>
      <c r="AB1736" s="105"/>
      <c r="AC1736" s="91"/>
      <c r="AD1736" s="105"/>
      <c r="AE1736" s="105"/>
      <c r="AF1736" s="91"/>
      <c r="AG1736" s="105"/>
      <c r="AH1736" s="105"/>
      <c r="AI1736" s="105" t="str">
        <f t="shared" si="1"/>
        <v/>
      </c>
      <c r="AJ1736" s="108" t="str">
        <f t="shared" si="2"/>
        <v/>
      </c>
    </row>
    <row r="1737" ht="15.75" customHeight="1">
      <c r="A1737" s="104"/>
      <c r="B1737" s="105" t="str">
        <f>IFERROR(__xludf.DUMMYFUNCTION("ARRAY_CONSTRAIN(
  ARRAYFORMULA(
    IF(
      'Final Report'!A1737="""",
      """",
      TEXTJOIN(
        "", "" &amp; CHAR(10),
        TRUE,
        IFERROR(
          VLOOKUP(
            TRIM(
              SPLIT('Final Report'!A1737, "","")
         "&amp;"   ),
            'URL Details'!A:B,
            2,
            FALSE
          ),
          """"
        )
      )
    )
  ),
  1,
  1
)
"),"")</f>
        <v/>
      </c>
      <c r="C1737" s="105" t="str">
        <f>IFERROR(__xludf.DUMMYFUNCTION("IFERROR(IF('Final Report'!A1737="""","""", TEXTJOIN(CHAR(10), TRUE, ARRAYFORMULA( ""• ""&amp; FILTER( TRIM(FLATTEN(SPLIT( REGEXREPLACE( SUBSTITUTE(TEXTJOIN("","", TRUE, IFERROR(ARRAYFORMULA(VLOOKUP(TRIM(SPLIT('Final Report'!A1737, "","")), 'URL Details'!A:D, "&amp;"4, FALSE)),"""") ), CHAR(10), "",""), ""\s*,\s*"", "",""), "",""))), TRIM(FLATTEN(SPLIT( REGEXREPLACE( SUBSTITUTE(TEXTJOIN("","", TRUE, IFERROR(ARRAYFORMULA(VLOOKUP(TRIM(SPLIT('Final Report'!A1737, "","")), 'URL Details'!A:D, 4, FALSE)),"""") ), CHAR(10),"&amp;" "",""), ""\s*,\s*"", "",""), "","")))&lt;&gt;"""" ) ) ) ),"""")
"),"")</f>
        <v/>
      </c>
      <c r="D1737" s="105"/>
      <c r="E1737" s="105"/>
      <c r="F1737" s="110" t="b">
        <v>0</v>
      </c>
      <c r="G1737" s="105" t="str">
        <f>IF(F1737=True, IFERROR(VLOOKUP(D1737, Repository!A:B, 2, 0), ""), "")</f>
        <v/>
      </c>
      <c r="H1737" s="105"/>
      <c r="I1737" s="105"/>
      <c r="J1737" s="105" t="str">
        <f>IF(F1737=True, IFERROR(VLOOKUP(D1737, Repository!A:C, 3, 0), ""), "")</f>
        <v/>
      </c>
      <c r="K1737" s="105"/>
      <c r="L1737" s="105" t="str">
        <f>IF(F1737=True, IFERROR(VLOOKUP(D1737, Repository!A:E, 5, 0), ""), "")</f>
        <v/>
      </c>
      <c r="M1737" s="105"/>
      <c r="N1737" s="105" t="str">
        <f>IF(F1737=True, IFERROR(VLOOKUP(D1737, Repository!A:G, 7, 0), ""), "")</f>
        <v/>
      </c>
      <c r="O1737" s="105" t="str">
        <f>IFERROR(__xludf.DUMMYFUNCTION("ARRAY_CONSTRAIN(
  ARRAYFORMULA(
    IFERROR(
      LET(
        list, N1737,
        arr, TRIM(SPLIT(list, "","")),
        names, XLOOKUP(
          arr,
          'Conformance Score'!A:A,
          'Conformance Score'!B:B,
          ""Not found""
     "&amp;"   ),
        TEXTJOIN("", "", TRUE, names)
      ),
      """"
    )
  ),
  1,
  1
)
"),"")</f>
        <v/>
      </c>
      <c r="P1737" s="105" t="str">
        <f>IF(F1737="Yes", IFERROR(VLOOKUP(D1737, Repository!A:F, 6, 0), ""), "")</f>
        <v/>
      </c>
      <c r="Q1737" s="105" t="str">
        <f>IF(F1737="Yes", IFERROR(VLOOKUP(D1737, Repository!A:I, 8, 0), ""), "")</f>
        <v/>
      </c>
      <c r="R1737" s="105" t="str">
        <f>IF(F1737="Yes", IFERROR(VLOOKUP(D1737, Repository!A:J, 9, 0), ""), "")</f>
        <v/>
      </c>
      <c r="S1737" s="105"/>
      <c r="T1737" s="105"/>
      <c r="U1737" s="105"/>
      <c r="V1737" s="105"/>
      <c r="W1737" s="105"/>
      <c r="X1737" s="105"/>
      <c r="Y1737" s="105"/>
      <c r="Z1737" s="105"/>
      <c r="AA1737" s="105"/>
      <c r="AB1737" s="105"/>
      <c r="AC1737" s="91"/>
      <c r="AD1737" s="105"/>
      <c r="AE1737" s="105"/>
      <c r="AF1737" s="91"/>
      <c r="AG1737" s="105"/>
      <c r="AH1737" s="105"/>
      <c r="AI1737" s="105" t="str">
        <f t="shared" si="1"/>
        <v/>
      </c>
      <c r="AJ1737" s="108" t="str">
        <f t="shared" si="2"/>
        <v/>
      </c>
    </row>
    <row r="1738" ht="15.75" customHeight="1">
      <c r="A1738" s="104"/>
      <c r="B1738" s="105" t="str">
        <f>IFERROR(__xludf.DUMMYFUNCTION("ARRAY_CONSTRAIN(
  ARRAYFORMULA(
    IF(
      'Final Report'!A1738="""",
      """",
      TEXTJOIN(
        "", "" &amp; CHAR(10),
        TRUE,
        IFERROR(
          VLOOKUP(
            TRIM(
              SPLIT('Final Report'!A1738, "","")
         "&amp;"   ),
            'URL Details'!A:B,
            2,
            FALSE
          ),
          """"
        )
      )
    )
  ),
  1,
  1
)
"),"")</f>
        <v/>
      </c>
      <c r="C1738" s="105" t="str">
        <f>IFERROR(__xludf.DUMMYFUNCTION("IFERROR(IF('Final Report'!A1738="""","""", TEXTJOIN(CHAR(10), TRUE, ARRAYFORMULA( ""• ""&amp; FILTER( TRIM(FLATTEN(SPLIT( REGEXREPLACE( SUBSTITUTE(TEXTJOIN("","", TRUE, IFERROR(ARRAYFORMULA(VLOOKUP(TRIM(SPLIT('Final Report'!A1738, "","")), 'URL Details'!A:D, "&amp;"4, FALSE)),"""") ), CHAR(10), "",""), ""\s*,\s*"", "",""), "",""))), TRIM(FLATTEN(SPLIT( REGEXREPLACE( SUBSTITUTE(TEXTJOIN("","", TRUE, IFERROR(ARRAYFORMULA(VLOOKUP(TRIM(SPLIT('Final Report'!A1738, "","")), 'URL Details'!A:D, 4, FALSE)),"""") ), CHAR(10),"&amp;" "",""), ""\s*,\s*"", "",""), "","")))&lt;&gt;"""" ) ) ) ),"""")
"),"")</f>
        <v/>
      </c>
      <c r="D1738" s="105"/>
      <c r="E1738" s="105"/>
      <c r="F1738" s="110" t="b">
        <v>0</v>
      </c>
      <c r="G1738" s="105" t="str">
        <f>IF(F1738=True, IFERROR(VLOOKUP(D1738, Repository!A:B, 2, 0), ""), "")</f>
        <v/>
      </c>
      <c r="H1738" s="105"/>
      <c r="I1738" s="105"/>
      <c r="J1738" s="105" t="str">
        <f>IF(F1738=True, IFERROR(VLOOKUP(D1738, Repository!A:C, 3, 0), ""), "")</f>
        <v/>
      </c>
      <c r="K1738" s="105"/>
      <c r="L1738" s="105" t="str">
        <f>IF(F1738=True, IFERROR(VLOOKUP(D1738, Repository!A:E, 5, 0), ""), "")</f>
        <v/>
      </c>
      <c r="M1738" s="105"/>
      <c r="N1738" s="105" t="str">
        <f>IF(F1738=True, IFERROR(VLOOKUP(D1738, Repository!A:G, 7, 0), ""), "")</f>
        <v/>
      </c>
      <c r="O1738" s="105" t="str">
        <f>IFERROR(__xludf.DUMMYFUNCTION("ARRAY_CONSTRAIN(
  ARRAYFORMULA(
    IFERROR(
      LET(
        list, N1738,
        arr, TRIM(SPLIT(list, "","")),
        names, XLOOKUP(
          arr,
          'Conformance Score'!A:A,
          'Conformance Score'!B:B,
          ""Not found""
     "&amp;"   ),
        TEXTJOIN("", "", TRUE, names)
      ),
      """"
    )
  ),
  1,
  1
)
"),"")</f>
        <v/>
      </c>
      <c r="P1738" s="105" t="str">
        <f>IF(F1738="Yes", IFERROR(VLOOKUP(D1738, Repository!A:F, 6, 0), ""), "")</f>
        <v/>
      </c>
      <c r="Q1738" s="105" t="str">
        <f>IF(F1738="Yes", IFERROR(VLOOKUP(D1738, Repository!A:I, 8, 0), ""), "")</f>
        <v/>
      </c>
      <c r="R1738" s="105" t="str">
        <f>IF(F1738="Yes", IFERROR(VLOOKUP(D1738, Repository!A:J, 9, 0), ""), "")</f>
        <v/>
      </c>
      <c r="S1738" s="105"/>
      <c r="T1738" s="105"/>
      <c r="U1738" s="105"/>
      <c r="V1738" s="105"/>
      <c r="W1738" s="105"/>
      <c r="X1738" s="105"/>
      <c r="Y1738" s="105"/>
      <c r="Z1738" s="105"/>
      <c r="AA1738" s="105"/>
      <c r="AB1738" s="105"/>
      <c r="AC1738" s="91"/>
      <c r="AD1738" s="105"/>
      <c r="AE1738" s="105"/>
      <c r="AF1738" s="91"/>
      <c r="AG1738" s="105"/>
      <c r="AH1738" s="105"/>
      <c r="AI1738" s="105" t="str">
        <f t="shared" si="1"/>
        <v/>
      </c>
      <c r="AJ1738" s="108" t="str">
        <f t="shared" si="2"/>
        <v/>
      </c>
    </row>
    <row r="1739" ht="15.75" customHeight="1">
      <c r="A1739" s="104"/>
      <c r="B1739" s="105" t="str">
        <f>IFERROR(__xludf.DUMMYFUNCTION("ARRAY_CONSTRAIN(
  ARRAYFORMULA(
    IF(
      'Final Report'!A1739="""",
      """",
      TEXTJOIN(
        "", "" &amp; CHAR(10),
        TRUE,
        IFERROR(
          VLOOKUP(
            TRIM(
              SPLIT('Final Report'!A1739, "","")
         "&amp;"   ),
            'URL Details'!A:B,
            2,
            FALSE
          ),
          """"
        )
      )
    )
  ),
  1,
  1
)
"),"")</f>
        <v/>
      </c>
      <c r="C1739" s="105" t="str">
        <f>IFERROR(__xludf.DUMMYFUNCTION("IFERROR(IF('Final Report'!A1739="""","""", TEXTJOIN(CHAR(10), TRUE, ARRAYFORMULA( ""• ""&amp; FILTER( TRIM(FLATTEN(SPLIT( REGEXREPLACE( SUBSTITUTE(TEXTJOIN("","", TRUE, IFERROR(ARRAYFORMULA(VLOOKUP(TRIM(SPLIT('Final Report'!A1739, "","")), 'URL Details'!A:D, "&amp;"4, FALSE)),"""") ), CHAR(10), "",""), ""\s*,\s*"", "",""), "",""))), TRIM(FLATTEN(SPLIT( REGEXREPLACE( SUBSTITUTE(TEXTJOIN("","", TRUE, IFERROR(ARRAYFORMULA(VLOOKUP(TRIM(SPLIT('Final Report'!A1739, "","")), 'URL Details'!A:D, 4, FALSE)),"""") ), CHAR(10),"&amp;" "",""), ""\s*,\s*"", "",""), "","")))&lt;&gt;"""" ) ) ) ),"""")
"),"")</f>
        <v/>
      </c>
      <c r="D1739" s="105"/>
      <c r="E1739" s="105"/>
      <c r="F1739" s="110" t="b">
        <v>0</v>
      </c>
      <c r="G1739" s="105" t="str">
        <f>IF(F1739=True, IFERROR(VLOOKUP(D1739, Repository!A:B, 2, 0), ""), "")</f>
        <v/>
      </c>
      <c r="H1739" s="105"/>
      <c r="I1739" s="105"/>
      <c r="J1739" s="105" t="str">
        <f>IF(F1739=True, IFERROR(VLOOKUP(D1739, Repository!A:C, 3, 0), ""), "")</f>
        <v/>
      </c>
      <c r="K1739" s="105"/>
      <c r="L1739" s="105" t="str">
        <f>IF(F1739=True, IFERROR(VLOOKUP(D1739, Repository!A:E, 5, 0), ""), "")</f>
        <v/>
      </c>
      <c r="M1739" s="105"/>
      <c r="N1739" s="105" t="str">
        <f>IF(F1739=True, IFERROR(VLOOKUP(D1739, Repository!A:G, 7, 0), ""), "")</f>
        <v/>
      </c>
      <c r="O1739" s="105" t="str">
        <f>IFERROR(__xludf.DUMMYFUNCTION("ARRAY_CONSTRAIN(
  ARRAYFORMULA(
    IFERROR(
      LET(
        list, N1739,
        arr, TRIM(SPLIT(list, "","")),
        names, XLOOKUP(
          arr,
          'Conformance Score'!A:A,
          'Conformance Score'!B:B,
          ""Not found""
     "&amp;"   ),
        TEXTJOIN("", "", TRUE, names)
      ),
      """"
    )
  ),
  1,
  1
)
"),"")</f>
        <v/>
      </c>
      <c r="P1739" s="105" t="str">
        <f>IF(F1739="Yes", IFERROR(VLOOKUP(D1739, Repository!A:F, 6, 0), ""), "")</f>
        <v/>
      </c>
      <c r="Q1739" s="105" t="str">
        <f>IF(F1739="Yes", IFERROR(VLOOKUP(D1739, Repository!A:I, 8, 0), ""), "")</f>
        <v/>
      </c>
      <c r="R1739" s="105" t="str">
        <f>IF(F1739="Yes", IFERROR(VLOOKUP(D1739, Repository!A:J, 9, 0), ""), "")</f>
        <v/>
      </c>
      <c r="S1739" s="105"/>
      <c r="T1739" s="105"/>
      <c r="U1739" s="105"/>
      <c r="V1739" s="105"/>
      <c r="W1739" s="105"/>
      <c r="X1739" s="105"/>
      <c r="Y1739" s="105"/>
      <c r="Z1739" s="105"/>
      <c r="AA1739" s="105"/>
      <c r="AB1739" s="105"/>
      <c r="AC1739" s="91"/>
      <c r="AD1739" s="105"/>
      <c r="AE1739" s="105"/>
      <c r="AF1739" s="91"/>
      <c r="AG1739" s="105"/>
      <c r="AH1739" s="105"/>
      <c r="AI1739" s="105" t="str">
        <f t="shared" si="1"/>
        <v/>
      </c>
      <c r="AJ1739" s="108" t="str">
        <f t="shared" si="2"/>
        <v/>
      </c>
    </row>
    <row r="1740" ht="15.75" customHeight="1">
      <c r="A1740" s="104"/>
      <c r="B1740" s="105" t="str">
        <f>IFERROR(__xludf.DUMMYFUNCTION("ARRAY_CONSTRAIN(
  ARRAYFORMULA(
    IF(
      'Final Report'!A1740="""",
      """",
      TEXTJOIN(
        "", "" &amp; CHAR(10),
        TRUE,
        IFERROR(
          VLOOKUP(
            TRIM(
              SPLIT('Final Report'!A1740, "","")
         "&amp;"   ),
            'URL Details'!A:B,
            2,
            FALSE
          ),
          """"
        )
      )
    )
  ),
  1,
  1
)
"),"")</f>
        <v/>
      </c>
      <c r="C1740" s="105" t="str">
        <f>IFERROR(__xludf.DUMMYFUNCTION("IFERROR(IF('Final Report'!A1740="""","""", TEXTJOIN(CHAR(10), TRUE, ARRAYFORMULA( ""• ""&amp; FILTER( TRIM(FLATTEN(SPLIT( REGEXREPLACE( SUBSTITUTE(TEXTJOIN("","", TRUE, IFERROR(ARRAYFORMULA(VLOOKUP(TRIM(SPLIT('Final Report'!A1740, "","")), 'URL Details'!A:D, "&amp;"4, FALSE)),"""") ), CHAR(10), "",""), ""\s*,\s*"", "",""), "",""))), TRIM(FLATTEN(SPLIT( REGEXREPLACE( SUBSTITUTE(TEXTJOIN("","", TRUE, IFERROR(ARRAYFORMULA(VLOOKUP(TRIM(SPLIT('Final Report'!A1740, "","")), 'URL Details'!A:D, 4, FALSE)),"""") ), CHAR(10),"&amp;" "",""), ""\s*,\s*"", "",""), "","")))&lt;&gt;"""" ) ) ) ),"""")
"),"")</f>
        <v/>
      </c>
      <c r="D1740" s="105"/>
      <c r="E1740" s="105"/>
      <c r="F1740" s="110" t="b">
        <v>0</v>
      </c>
      <c r="G1740" s="105" t="str">
        <f>IF(F1740=True, IFERROR(VLOOKUP(D1740, Repository!A:B, 2, 0), ""), "")</f>
        <v/>
      </c>
      <c r="H1740" s="105"/>
      <c r="I1740" s="105"/>
      <c r="J1740" s="105" t="str">
        <f>IF(F1740=True, IFERROR(VLOOKUP(D1740, Repository!A:C, 3, 0), ""), "")</f>
        <v/>
      </c>
      <c r="K1740" s="105"/>
      <c r="L1740" s="105" t="str">
        <f>IF(F1740=True, IFERROR(VLOOKUP(D1740, Repository!A:E, 5, 0), ""), "")</f>
        <v/>
      </c>
      <c r="M1740" s="105"/>
      <c r="N1740" s="105" t="str">
        <f>IF(F1740=True, IFERROR(VLOOKUP(D1740, Repository!A:G, 7, 0), ""), "")</f>
        <v/>
      </c>
      <c r="O1740" s="105" t="str">
        <f>IFERROR(__xludf.DUMMYFUNCTION("ARRAY_CONSTRAIN(
  ARRAYFORMULA(
    IFERROR(
      LET(
        list, N1740,
        arr, TRIM(SPLIT(list, "","")),
        names, XLOOKUP(
          arr,
          'Conformance Score'!A:A,
          'Conformance Score'!B:B,
          ""Not found""
     "&amp;"   ),
        TEXTJOIN("", "", TRUE, names)
      ),
      """"
    )
  ),
  1,
  1
)
"),"")</f>
        <v/>
      </c>
      <c r="P1740" s="105" t="str">
        <f>IF(F1740="Yes", IFERROR(VLOOKUP(D1740, Repository!A:F, 6, 0), ""), "")</f>
        <v/>
      </c>
      <c r="Q1740" s="105" t="str">
        <f>IF(F1740="Yes", IFERROR(VLOOKUP(D1740, Repository!A:I, 8, 0), ""), "")</f>
        <v/>
      </c>
      <c r="R1740" s="105" t="str">
        <f>IF(F1740="Yes", IFERROR(VLOOKUP(D1740, Repository!A:J, 9, 0), ""), "")</f>
        <v/>
      </c>
      <c r="S1740" s="105"/>
      <c r="T1740" s="105"/>
      <c r="U1740" s="105"/>
      <c r="V1740" s="105"/>
      <c r="W1740" s="105"/>
      <c r="X1740" s="105"/>
      <c r="Y1740" s="105"/>
      <c r="Z1740" s="105"/>
      <c r="AA1740" s="105"/>
      <c r="AB1740" s="105"/>
      <c r="AC1740" s="91"/>
      <c r="AD1740" s="105"/>
      <c r="AE1740" s="105"/>
      <c r="AF1740" s="91"/>
      <c r="AG1740" s="105"/>
      <c r="AH1740" s="105"/>
      <c r="AI1740" s="105" t="str">
        <f t="shared" si="1"/>
        <v/>
      </c>
      <c r="AJ1740" s="108" t="str">
        <f t="shared" si="2"/>
        <v/>
      </c>
    </row>
    <row r="1741" ht="15.75" customHeight="1">
      <c r="A1741" s="104"/>
      <c r="B1741" s="105" t="str">
        <f>IFERROR(__xludf.DUMMYFUNCTION("ARRAY_CONSTRAIN(
  ARRAYFORMULA(
    IF(
      'Final Report'!A1741="""",
      """",
      TEXTJOIN(
        "", "" &amp; CHAR(10),
        TRUE,
        IFERROR(
          VLOOKUP(
            TRIM(
              SPLIT('Final Report'!A1741, "","")
         "&amp;"   ),
            'URL Details'!A:B,
            2,
            FALSE
          ),
          """"
        )
      )
    )
  ),
  1,
  1
)
"),"")</f>
        <v/>
      </c>
      <c r="C1741" s="105" t="str">
        <f>IFERROR(__xludf.DUMMYFUNCTION("IFERROR(IF('Final Report'!A1741="""","""", TEXTJOIN(CHAR(10), TRUE, ARRAYFORMULA( ""• ""&amp; FILTER( TRIM(FLATTEN(SPLIT( REGEXREPLACE( SUBSTITUTE(TEXTJOIN("","", TRUE, IFERROR(ARRAYFORMULA(VLOOKUP(TRIM(SPLIT('Final Report'!A1741, "","")), 'URL Details'!A:D, "&amp;"4, FALSE)),"""") ), CHAR(10), "",""), ""\s*,\s*"", "",""), "",""))), TRIM(FLATTEN(SPLIT( REGEXREPLACE( SUBSTITUTE(TEXTJOIN("","", TRUE, IFERROR(ARRAYFORMULA(VLOOKUP(TRIM(SPLIT('Final Report'!A1741, "","")), 'URL Details'!A:D, 4, FALSE)),"""") ), CHAR(10),"&amp;" "",""), ""\s*,\s*"", "",""), "","")))&lt;&gt;"""" ) ) ) ),"""")
"),"")</f>
        <v/>
      </c>
      <c r="D1741" s="105"/>
      <c r="E1741" s="105"/>
      <c r="F1741" s="110" t="b">
        <v>0</v>
      </c>
      <c r="G1741" s="105" t="str">
        <f>IF(F1741=True, IFERROR(VLOOKUP(D1741, Repository!A:B, 2, 0), ""), "")</f>
        <v/>
      </c>
      <c r="H1741" s="105"/>
      <c r="I1741" s="105"/>
      <c r="J1741" s="105" t="str">
        <f>IF(F1741=True, IFERROR(VLOOKUP(D1741, Repository!A:C, 3, 0), ""), "")</f>
        <v/>
      </c>
      <c r="K1741" s="105"/>
      <c r="L1741" s="105" t="str">
        <f>IF(F1741=True, IFERROR(VLOOKUP(D1741, Repository!A:E, 5, 0), ""), "")</f>
        <v/>
      </c>
      <c r="M1741" s="105"/>
      <c r="N1741" s="105" t="str">
        <f>IF(F1741=True, IFERROR(VLOOKUP(D1741, Repository!A:G, 7, 0), ""), "")</f>
        <v/>
      </c>
      <c r="O1741" s="105" t="str">
        <f>IFERROR(__xludf.DUMMYFUNCTION("ARRAY_CONSTRAIN(
  ARRAYFORMULA(
    IFERROR(
      LET(
        list, N1741,
        arr, TRIM(SPLIT(list, "","")),
        names, XLOOKUP(
          arr,
          'Conformance Score'!A:A,
          'Conformance Score'!B:B,
          ""Not found""
     "&amp;"   ),
        TEXTJOIN("", "", TRUE, names)
      ),
      """"
    )
  ),
  1,
  1
)
"),"")</f>
        <v/>
      </c>
      <c r="P1741" s="105" t="str">
        <f>IF(F1741="Yes", IFERROR(VLOOKUP(D1741, Repository!A:F, 6, 0), ""), "")</f>
        <v/>
      </c>
      <c r="Q1741" s="105" t="str">
        <f>IF(F1741="Yes", IFERROR(VLOOKUP(D1741, Repository!A:I, 8, 0), ""), "")</f>
        <v/>
      </c>
      <c r="R1741" s="105" t="str">
        <f>IF(F1741="Yes", IFERROR(VLOOKUP(D1741, Repository!A:J, 9, 0), ""), "")</f>
        <v/>
      </c>
      <c r="S1741" s="105"/>
      <c r="T1741" s="105"/>
      <c r="U1741" s="105"/>
      <c r="V1741" s="105"/>
      <c r="W1741" s="105"/>
      <c r="X1741" s="105"/>
      <c r="Y1741" s="105"/>
      <c r="Z1741" s="105"/>
      <c r="AA1741" s="105"/>
      <c r="AB1741" s="105"/>
      <c r="AC1741" s="91"/>
      <c r="AD1741" s="105"/>
      <c r="AE1741" s="105"/>
      <c r="AF1741" s="91"/>
      <c r="AG1741" s="105"/>
      <c r="AH1741" s="105"/>
      <c r="AI1741" s="105" t="str">
        <f t="shared" si="1"/>
        <v/>
      </c>
      <c r="AJ1741" s="108" t="str">
        <f t="shared" si="2"/>
        <v/>
      </c>
    </row>
    <row r="1742" ht="15.75" customHeight="1">
      <c r="A1742" s="104"/>
      <c r="B1742" s="105" t="str">
        <f>IFERROR(__xludf.DUMMYFUNCTION("ARRAY_CONSTRAIN(
  ARRAYFORMULA(
    IF(
      'Final Report'!A1742="""",
      """",
      TEXTJOIN(
        "", "" &amp; CHAR(10),
        TRUE,
        IFERROR(
          VLOOKUP(
            TRIM(
              SPLIT('Final Report'!A1742, "","")
         "&amp;"   ),
            'URL Details'!A:B,
            2,
            FALSE
          ),
          """"
        )
      )
    )
  ),
  1,
  1
)
"),"")</f>
        <v/>
      </c>
      <c r="C1742" s="105" t="str">
        <f>IFERROR(__xludf.DUMMYFUNCTION("IFERROR(IF('Final Report'!A1742="""","""", TEXTJOIN(CHAR(10), TRUE, ARRAYFORMULA( ""• ""&amp; FILTER( TRIM(FLATTEN(SPLIT( REGEXREPLACE( SUBSTITUTE(TEXTJOIN("","", TRUE, IFERROR(ARRAYFORMULA(VLOOKUP(TRIM(SPLIT('Final Report'!A1742, "","")), 'URL Details'!A:D, "&amp;"4, FALSE)),"""") ), CHAR(10), "",""), ""\s*,\s*"", "",""), "",""))), TRIM(FLATTEN(SPLIT( REGEXREPLACE( SUBSTITUTE(TEXTJOIN("","", TRUE, IFERROR(ARRAYFORMULA(VLOOKUP(TRIM(SPLIT('Final Report'!A1742, "","")), 'URL Details'!A:D, 4, FALSE)),"""") ), CHAR(10),"&amp;" "",""), ""\s*,\s*"", "",""), "","")))&lt;&gt;"""" ) ) ) ),"""")
"),"")</f>
        <v/>
      </c>
      <c r="D1742" s="105"/>
      <c r="E1742" s="105"/>
      <c r="F1742" s="110" t="b">
        <v>0</v>
      </c>
      <c r="G1742" s="105" t="str">
        <f>IF(F1742=True, IFERROR(VLOOKUP(D1742, Repository!A:B, 2, 0), ""), "")</f>
        <v/>
      </c>
      <c r="H1742" s="105"/>
      <c r="I1742" s="105"/>
      <c r="J1742" s="105" t="str">
        <f>IF(F1742=True, IFERROR(VLOOKUP(D1742, Repository!A:C, 3, 0), ""), "")</f>
        <v/>
      </c>
      <c r="K1742" s="105"/>
      <c r="L1742" s="105" t="str">
        <f>IF(F1742=True, IFERROR(VLOOKUP(D1742, Repository!A:E, 5, 0), ""), "")</f>
        <v/>
      </c>
      <c r="M1742" s="105"/>
      <c r="N1742" s="105" t="str">
        <f>IF(F1742=True, IFERROR(VLOOKUP(D1742, Repository!A:G, 7, 0), ""), "")</f>
        <v/>
      </c>
      <c r="O1742" s="105" t="str">
        <f>IFERROR(__xludf.DUMMYFUNCTION("ARRAY_CONSTRAIN(
  ARRAYFORMULA(
    IFERROR(
      LET(
        list, N1742,
        arr, TRIM(SPLIT(list, "","")),
        names, XLOOKUP(
          arr,
          'Conformance Score'!A:A,
          'Conformance Score'!B:B,
          ""Not found""
     "&amp;"   ),
        TEXTJOIN("", "", TRUE, names)
      ),
      """"
    )
  ),
  1,
  1
)
"),"")</f>
        <v/>
      </c>
      <c r="P1742" s="105" t="str">
        <f>IF(F1742="Yes", IFERROR(VLOOKUP(D1742, Repository!A:F, 6, 0), ""), "")</f>
        <v/>
      </c>
      <c r="Q1742" s="105" t="str">
        <f>IF(F1742="Yes", IFERROR(VLOOKUP(D1742, Repository!A:I, 8, 0), ""), "")</f>
        <v/>
      </c>
      <c r="R1742" s="105" t="str">
        <f>IF(F1742="Yes", IFERROR(VLOOKUP(D1742, Repository!A:J, 9, 0), ""), "")</f>
        <v/>
      </c>
      <c r="S1742" s="105"/>
      <c r="T1742" s="105"/>
      <c r="U1742" s="105"/>
      <c r="V1742" s="105"/>
      <c r="W1742" s="105"/>
      <c r="X1742" s="105"/>
      <c r="Y1742" s="105"/>
      <c r="Z1742" s="105"/>
      <c r="AA1742" s="105"/>
      <c r="AB1742" s="105"/>
      <c r="AC1742" s="91"/>
      <c r="AD1742" s="105"/>
      <c r="AE1742" s="105"/>
      <c r="AF1742" s="91"/>
      <c r="AG1742" s="105"/>
      <c r="AH1742" s="105"/>
      <c r="AI1742" s="105" t="str">
        <f t="shared" si="1"/>
        <v/>
      </c>
      <c r="AJ1742" s="108" t="str">
        <f t="shared" si="2"/>
        <v/>
      </c>
    </row>
    <row r="1743" ht="15.75" customHeight="1">
      <c r="A1743" s="104"/>
      <c r="B1743" s="105" t="str">
        <f>IFERROR(__xludf.DUMMYFUNCTION("ARRAY_CONSTRAIN(
  ARRAYFORMULA(
    IF(
      'Final Report'!A1743="""",
      """",
      TEXTJOIN(
        "", "" &amp; CHAR(10),
        TRUE,
        IFERROR(
          VLOOKUP(
            TRIM(
              SPLIT('Final Report'!A1743, "","")
         "&amp;"   ),
            'URL Details'!A:B,
            2,
            FALSE
          ),
          """"
        )
      )
    )
  ),
  1,
  1
)
"),"")</f>
        <v/>
      </c>
      <c r="C1743" s="105" t="str">
        <f>IFERROR(__xludf.DUMMYFUNCTION("IFERROR(IF('Final Report'!A1743="""","""", TEXTJOIN(CHAR(10), TRUE, ARRAYFORMULA( ""• ""&amp; FILTER( TRIM(FLATTEN(SPLIT( REGEXREPLACE( SUBSTITUTE(TEXTJOIN("","", TRUE, IFERROR(ARRAYFORMULA(VLOOKUP(TRIM(SPLIT('Final Report'!A1743, "","")), 'URL Details'!A:D, "&amp;"4, FALSE)),"""") ), CHAR(10), "",""), ""\s*,\s*"", "",""), "",""))), TRIM(FLATTEN(SPLIT( REGEXREPLACE( SUBSTITUTE(TEXTJOIN("","", TRUE, IFERROR(ARRAYFORMULA(VLOOKUP(TRIM(SPLIT('Final Report'!A1743, "","")), 'URL Details'!A:D, 4, FALSE)),"""") ), CHAR(10),"&amp;" "",""), ""\s*,\s*"", "",""), "","")))&lt;&gt;"""" ) ) ) ),"""")
"),"")</f>
        <v/>
      </c>
      <c r="D1743" s="105"/>
      <c r="E1743" s="105"/>
      <c r="F1743" s="110" t="b">
        <v>0</v>
      </c>
      <c r="G1743" s="105" t="str">
        <f>IF(F1743=True, IFERROR(VLOOKUP(D1743, Repository!A:B, 2, 0), ""), "")</f>
        <v/>
      </c>
      <c r="H1743" s="105"/>
      <c r="I1743" s="105"/>
      <c r="J1743" s="105" t="str">
        <f>IF(F1743=True, IFERROR(VLOOKUP(D1743, Repository!A:C, 3, 0), ""), "")</f>
        <v/>
      </c>
      <c r="K1743" s="105"/>
      <c r="L1743" s="105" t="str">
        <f>IF(F1743=True, IFERROR(VLOOKUP(D1743, Repository!A:E, 5, 0), ""), "")</f>
        <v/>
      </c>
      <c r="M1743" s="105"/>
      <c r="N1743" s="105" t="str">
        <f>IF(F1743=True, IFERROR(VLOOKUP(D1743, Repository!A:G, 7, 0), ""), "")</f>
        <v/>
      </c>
      <c r="O1743" s="105" t="str">
        <f>IFERROR(__xludf.DUMMYFUNCTION("ARRAY_CONSTRAIN(
  ARRAYFORMULA(
    IFERROR(
      LET(
        list, N1743,
        arr, TRIM(SPLIT(list, "","")),
        names, XLOOKUP(
          arr,
          'Conformance Score'!A:A,
          'Conformance Score'!B:B,
          ""Not found""
     "&amp;"   ),
        TEXTJOIN("", "", TRUE, names)
      ),
      """"
    )
  ),
  1,
  1
)
"),"")</f>
        <v/>
      </c>
      <c r="P1743" s="105" t="str">
        <f>IF(F1743="Yes", IFERROR(VLOOKUP(D1743, Repository!A:F, 6, 0), ""), "")</f>
        <v/>
      </c>
      <c r="Q1743" s="105" t="str">
        <f>IF(F1743="Yes", IFERROR(VLOOKUP(D1743, Repository!A:I, 8, 0), ""), "")</f>
        <v/>
      </c>
      <c r="R1743" s="105" t="str">
        <f>IF(F1743="Yes", IFERROR(VLOOKUP(D1743, Repository!A:J, 9, 0), ""), "")</f>
        <v/>
      </c>
      <c r="S1743" s="105"/>
      <c r="T1743" s="105"/>
      <c r="U1743" s="105"/>
      <c r="V1743" s="105"/>
      <c r="W1743" s="105"/>
      <c r="X1743" s="105"/>
      <c r="Y1743" s="105"/>
      <c r="Z1743" s="105"/>
      <c r="AA1743" s="105"/>
      <c r="AB1743" s="105"/>
      <c r="AC1743" s="91"/>
      <c r="AD1743" s="105"/>
      <c r="AE1743" s="105"/>
      <c r="AF1743" s="91"/>
      <c r="AG1743" s="105"/>
      <c r="AH1743" s="105"/>
      <c r="AI1743" s="105" t="str">
        <f t="shared" si="1"/>
        <v/>
      </c>
      <c r="AJ1743" s="108" t="str">
        <f t="shared" si="2"/>
        <v/>
      </c>
    </row>
    <row r="1744" ht="15.75" customHeight="1">
      <c r="A1744" s="104"/>
      <c r="B1744" s="105" t="str">
        <f>IFERROR(__xludf.DUMMYFUNCTION("ARRAY_CONSTRAIN(
  ARRAYFORMULA(
    IF(
      'Final Report'!A1744="""",
      """",
      TEXTJOIN(
        "", "" &amp; CHAR(10),
        TRUE,
        IFERROR(
          VLOOKUP(
            TRIM(
              SPLIT('Final Report'!A1744, "","")
         "&amp;"   ),
            'URL Details'!A:B,
            2,
            FALSE
          ),
          """"
        )
      )
    )
  ),
  1,
  1
)
"),"")</f>
        <v/>
      </c>
      <c r="C1744" s="105" t="str">
        <f>IFERROR(__xludf.DUMMYFUNCTION("IFERROR(IF('Final Report'!A1744="""","""", TEXTJOIN(CHAR(10), TRUE, ARRAYFORMULA( ""• ""&amp; FILTER( TRIM(FLATTEN(SPLIT( REGEXREPLACE( SUBSTITUTE(TEXTJOIN("","", TRUE, IFERROR(ARRAYFORMULA(VLOOKUP(TRIM(SPLIT('Final Report'!A1744, "","")), 'URL Details'!A:D, "&amp;"4, FALSE)),"""") ), CHAR(10), "",""), ""\s*,\s*"", "",""), "",""))), TRIM(FLATTEN(SPLIT( REGEXREPLACE( SUBSTITUTE(TEXTJOIN("","", TRUE, IFERROR(ARRAYFORMULA(VLOOKUP(TRIM(SPLIT('Final Report'!A1744, "","")), 'URL Details'!A:D, 4, FALSE)),"""") ), CHAR(10),"&amp;" "",""), ""\s*,\s*"", "",""), "","")))&lt;&gt;"""" ) ) ) ),"""")
"),"")</f>
        <v/>
      </c>
      <c r="D1744" s="105"/>
      <c r="E1744" s="105"/>
      <c r="F1744" s="110" t="b">
        <v>0</v>
      </c>
      <c r="G1744" s="105" t="str">
        <f>IF(F1744=True, IFERROR(VLOOKUP(D1744, Repository!A:B, 2, 0), ""), "")</f>
        <v/>
      </c>
      <c r="H1744" s="105"/>
      <c r="I1744" s="105"/>
      <c r="J1744" s="105" t="str">
        <f>IF(F1744=True, IFERROR(VLOOKUP(D1744, Repository!A:C, 3, 0), ""), "")</f>
        <v/>
      </c>
      <c r="K1744" s="105"/>
      <c r="L1744" s="105" t="str">
        <f>IF(F1744=True, IFERROR(VLOOKUP(D1744, Repository!A:E, 5, 0), ""), "")</f>
        <v/>
      </c>
      <c r="M1744" s="105"/>
      <c r="N1744" s="105" t="str">
        <f>IF(F1744=True, IFERROR(VLOOKUP(D1744, Repository!A:G, 7, 0), ""), "")</f>
        <v/>
      </c>
      <c r="O1744" s="105" t="str">
        <f>IFERROR(__xludf.DUMMYFUNCTION("ARRAY_CONSTRAIN(
  ARRAYFORMULA(
    IFERROR(
      LET(
        list, N1744,
        arr, TRIM(SPLIT(list, "","")),
        names, XLOOKUP(
          arr,
          'Conformance Score'!A:A,
          'Conformance Score'!B:B,
          ""Not found""
     "&amp;"   ),
        TEXTJOIN("", "", TRUE, names)
      ),
      """"
    )
  ),
  1,
  1
)
"),"")</f>
        <v/>
      </c>
      <c r="P1744" s="105" t="str">
        <f>IF(F1744="Yes", IFERROR(VLOOKUP(D1744, Repository!A:F, 6, 0), ""), "")</f>
        <v/>
      </c>
      <c r="Q1744" s="105" t="str">
        <f>IF(F1744="Yes", IFERROR(VLOOKUP(D1744, Repository!A:I, 8, 0), ""), "")</f>
        <v/>
      </c>
      <c r="R1744" s="105" t="str">
        <f>IF(F1744="Yes", IFERROR(VLOOKUP(D1744, Repository!A:J, 9, 0), ""), "")</f>
        <v/>
      </c>
      <c r="S1744" s="105"/>
      <c r="T1744" s="105"/>
      <c r="U1744" s="105"/>
      <c r="V1744" s="105"/>
      <c r="W1744" s="105"/>
      <c r="X1744" s="105"/>
      <c r="Y1744" s="105"/>
      <c r="Z1744" s="105"/>
      <c r="AA1744" s="105"/>
      <c r="AB1744" s="105"/>
      <c r="AC1744" s="91"/>
      <c r="AD1744" s="105"/>
      <c r="AE1744" s="105"/>
      <c r="AF1744" s="91"/>
      <c r="AG1744" s="105"/>
      <c r="AH1744" s="105"/>
      <c r="AI1744" s="105" t="str">
        <f t="shared" si="1"/>
        <v/>
      </c>
      <c r="AJ1744" s="108" t="str">
        <f t="shared" si="2"/>
        <v/>
      </c>
    </row>
    <row r="1745" ht="15.75" customHeight="1">
      <c r="A1745" s="104"/>
      <c r="B1745" s="105" t="str">
        <f>IFERROR(__xludf.DUMMYFUNCTION("ARRAY_CONSTRAIN(
  ARRAYFORMULA(
    IF(
      'Final Report'!A1745="""",
      """",
      TEXTJOIN(
        "", "" &amp; CHAR(10),
        TRUE,
        IFERROR(
          VLOOKUP(
            TRIM(
              SPLIT('Final Report'!A1745, "","")
         "&amp;"   ),
            'URL Details'!A:B,
            2,
            FALSE
          ),
          """"
        )
      )
    )
  ),
  1,
  1
)
"),"")</f>
        <v/>
      </c>
      <c r="C1745" s="105" t="str">
        <f>IFERROR(__xludf.DUMMYFUNCTION("IFERROR(IF('Final Report'!A1745="""","""", TEXTJOIN(CHAR(10), TRUE, ARRAYFORMULA( ""• ""&amp; FILTER( TRIM(FLATTEN(SPLIT( REGEXREPLACE( SUBSTITUTE(TEXTJOIN("","", TRUE, IFERROR(ARRAYFORMULA(VLOOKUP(TRIM(SPLIT('Final Report'!A1745, "","")), 'URL Details'!A:D, "&amp;"4, FALSE)),"""") ), CHAR(10), "",""), ""\s*,\s*"", "",""), "",""))), TRIM(FLATTEN(SPLIT( REGEXREPLACE( SUBSTITUTE(TEXTJOIN("","", TRUE, IFERROR(ARRAYFORMULA(VLOOKUP(TRIM(SPLIT('Final Report'!A1745, "","")), 'URL Details'!A:D, 4, FALSE)),"""") ), CHAR(10),"&amp;" "",""), ""\s*,\s*"", "",""), "","")))&lt;&gt;"""" ) ) ) ),"""")
"),"")</f>
        <v/>
      </c>
      <c r="D1745" s="105"/>
      <c r="E1745" s="105"/>
      <c r="F1745" s="110" t="b">
        <v>0</v>
      </c>
      <c r="G1745" s="105" t="str">
        <f>IF(F1745=True, IFERROR(VLOOKUP(D1745, Repository!A:B, 2, 0), ""), "")</f>
        <v/>
      </c>
      <c r="H1745" s="105"/>
      <c r="I1745" s="105"/>
      <c r="J1745" s="105" t="str">
        <f>IF(F1745=True, IFERROR(VLOOKUP(D1745, Repository!A:C, 3, 0), ""), "")</f>
        <v/>
      </c>
      <c r="K1745" s="105"/>
      <c r="L1745" s="105" t="str">
        <f>IF(F1745=True, IFERROR(VLOOKUP(D1745, Repository!A:E, 5, 0), ""), "")</f>
        <v/>
      </c>
      <c r="M1745" s="105"/>
      <c r="N1745" s="105" t="str">
        <f>IF(F1745=True, IFERROR(VLOOKUP(D1745, Repository!A:G, 7, 0), ""), "")</f>
        <v/>
      </c>
      <c r="O1745" s="105" t="str">
        <f>IFERROR(__xludf.DUMMYFUNCTION("ARRAY_CONSTRAIN(
  ARRAYFORMULA(
    IFERROR(
      LET(
        list, N1745,
        arr, TRIM(SPLIT(list, "","")),
        names, XLOOKUP(
          arr,
          'Conformance Score'!A:A,
          'Conformance Score'!B:B,
          ""Not found""
     "&amp;"   ),
        TEXTJOIN("", "", TRUE, names)
      ),
      """"
    )
  ),
  1,
  1
)
"),"")</f>
        <v/>
      </c>
      <c r="P1745" s="105" t="str">
        <f>IF(F1745="Yes", IFERROR(VLOOKUP(D1745, Repository!A:F, 6, 0), ""), "")</f>
        <v/>
      </c>
      <c r="Q1745" s="105" t="str">
        <f>IF(F1745="Yes", IFERROR(VLOOKUP(D1745, Repository!A:I, 8, 0), ""), "")</f>
        <v/>
      </c>
      <c r="R1745" s="105" t="str">
        <f>IF(F1745="Yes", IFERROR(VLOOKUP(D1745, Repository!A:J, 9, 0), ""), "")</f>
        <v/>
      </c>
      <c r="S1745" s="105"/>
      <c r="T1745" s="105"/>
      <c r="U1745" s="105"/>
      <c r="V1745" s="105"/>
      <c r="W1745" s="105"/>
      <c r="X1745" s="105"/>
      <c r="Y1745" s="105"/>
      <c r="Z1745" s="105"/>
      <c r="AA1745" s="105"/>
      <c r="AB1745" s="105"/>
      <c r="AC1745" s="91"/>
      <c r="AD1745" s="105"/>
      <c r="AE1745" s="105"/>
      <c r="AF1745" s="91"/>
      <c r="AG1745" s="105"/>
      <c r="AH1745" s="105"/>
      <c r="AI1745" s="105" t="str">
        <f t="shared" si="1"/>
        <v/>
      </c>
      <c r="AJ1745" s="108" t="str">
        <f t="shared" si="2"/>
        <v/>
      </c>
    </row>
    <row r="1746" ht="15.75" customHeight="1">
      <c r="A1746" s="104"/>
      <c r="B1746" s="105" t="str">
        <f>IFERROR(__xludf.DUMMYFUNCTION("ARRAY_CONSTRAIN(
  ARRAYFORMULA(
    IF(
      'Final Report'!A1746="""",
      """",
      TEXTJOIN(
        "", "" &amp; CHAR(10),
        TRUE,
        IFERROR(
          VLOOKUP(
            TRIM(
              SPLIT('Final Report'!A1746, "","")
         "&amp;"   ),
            'URL Details'!A:B,
            2,
            FALSE
          ),
          """"
        )
      )
    )
  ),
  1,
  1
)
"),"")</f>
        <v/>
      </c>
      <c r="C1746" s="105" t="str">
        <f>IFERROR(__xludf.DUMMYFUNCTION("IFERROR(IF('Final Report'!A1746="""","""", TEXTJOIN(CHAR(10), TRUE, ARRAYFORMULA( ""• ""&amp; FILTER( TRIM(FLATTEN(SPLIT( REGEXREPLACE( SUBSTITUTE(TEXTJOIN("","", TRUE, IFERROR(ARRAYFORMULA(VLOOKUP(TRIM(SPLIT('Final Report'!A1746, "","")), 'URL Details'!A:D, "&amp;"4, FALSE)),"""") ), CHAR(10), "",""), ""\s*,\s*"", "",""), "",""))), TRIM(FLATTEN(SPLIT( REGEXREPLACE( SUBSTITUTE(TEXTJOIN("","", TRUE, IFERROR(ARRAYFORMULA(VLOOKUP(TRIM(SPLIT('Final Report'!A1746, "","")), 'URL Details'!A:D, 4, FALSE)),"""") ), CHAR(10),"&amp;" "",""), ""\s*,\s*"", "",""), "","")))&lt;&gt;"""" ) ) ) ),"""")
"),"")</f>
        <v/>
      </c>
      <c r="D1746" s="105"/>
      <c r="E1746" s="105"/>
      <c r="F1746" s="110" t="b">
        <v>0</v>
      </c>
      <c r="G1746" s="105" t="str">
        <f>IF(F1746=True, IFERROR(VLOOKUP(D1746, Repository!A:B, 2, 0), ""), "")</f>
        <v/>
      </c>
      <c r="H1746" s="105"/>
      <c r="I1746" s="105"/>
      <c r="J1746" s="105" t="str">
        <f>IF(F1746=True, IFERROR(VLOOKUP(D1746, Repository!A:C, 3, 0), ""), "")</f>
        <v/>
      </c>
      <c r="K1746" s="105"/>
      <c r="L1746" s="105" t="str">
        <f>IF(F1746=True, IFERROR(VLOOKUP(D1746, Repository!A:E, 5, 0), ""), "")</f>
        <v/>
      </c>
      <c r="M1746" s="105"/>
      <c r="N1746" s="105" t="str">
        <f>IF(F1746=True, IFERROR(VLOOKUP(D1746, Repository!A:G, 7, 0), ""), "")</f>
        <v/>
      </c>
      <c r="O1746" s="105" t="str">
        <f>IFERROR(__xludf.DUMMYFUNCTION("ARRAY_CONSTRAIN(
  ARRAYFORMULA(
    IFERROR(
      LET(
        list, N1746,
        arr, TRIM(SPLIT(list, "","")),
        names, XLOOKUP(
          arr,
          'Conformance Score'!A:A,
          'Conformance Score'!B:B,
          ""Not found""
     "&amp;"   ),
        TEXTJOIN("", "", TRUE, names)
      ),
      """"
    )
  ),
  1,
  1
)
"),"")</f>
        <v/>
      </c>
      <c r="P1746" s="105" t="str">
        <f>IF(F1746="Yes", IFERROR(VLOOKUP(D1746, Repository!A:F, 6, 0), ""), "")</f>
        <v/>
      </c>
      <c r="Q1746" s="105" t="str">
        <f>IF(F1746="Yes", IFERROR(VLOOKUP(D1746, Repository!A:I, 8, 0), ""), "")</f>
        <v/>
      </c>
      <c r="R1746" s="105" t="str">
        <f>IF(F1746="Yes", IFERROR(VLOOKUP(D1746, Repository!A:J, 9, 0), ""), "")</f>
        <v/>
      </c>
      <c r="S1746" s="105"/>
      <c r="T1746" s="105"/>
      <c r="U1746" s="105"/>
      <c r="V1746" s="105"/>
      <c r="W1746" s="105"/>
      <c r="X1746" s="105"/>
      <c r="Y1746" s="105"/>
      <c r="Z1746" s="105"/>
      <c r="AA1746" s="105"/>
      <c r="AB1746" s="105"/>
      <c r="AC1746" s="91"/>
      <c r="AD1746" s="105"/>
      <c r="AE1746" s="105"/>
      <c r="AF1746" s="91"/>
      <c r="AG1746" s="105"/>
      <c r="AH1746" s="105"/>
      <c r="AI1746" s="105" t="str">
        <f t="shared" si="1"/>
        <v/>
      </c>
      <c r="AJ1746" s="108" t="str">
        <f t="shared" si="2"/>
        <v/>
      </c>
    </row>
    <row r="1747" ht="15.75" customHeight="1">
      <c r="A1747" s="104"/>
      <c r="B1747" s="105" t="str">
        <f>IFERROR(__xludf.DUMMYFUNCTION("ARRAY_CONSTRAIN(
  ARRAYFORMULA(
    IF(
      'Final Report'!A1747="""",
      """",
      TEXTJOIN(
        "", "" &amp; CHAR(10),
        TRUE,
        IFERROR(
          VLOOKUP(
            TRIM(
              SPLIT('Final Report'!A1747, "","")
         "&amp;"   ),
            'URL Details'!A:B,
            2,
            FALSE
          ),
          """"
        )
      )
    )
  ),
  1,
  1
)
"),"")</f>
        <v/>
      </c>
      <c r="C1747" s="105" t="str">
        <f>IFERROR(__xludf.DUMMYFUNCTION("IFERROR(IF('Final Report'!A1747="""","""", TEXTJOIN(CHAR(10), TRUE, ARRAYFORMULA( ""• ""&amp; FILTER( TRIM(FLATTEN(SPLIT( REGEXREPLACE( SUBSTITUTE(TEXTJOIN("","", TRUE, IFERROR(ARRAYFORMULA(VLOOKUP(TRIM(SPLIT('Final Report'!A1747, "","")), 'URL Details'!A:D, "&amp;"4, FALSE)),"""") ), CHAR(10), "",""), ""\s*,\s*"", "",""), "",""))), TRIM(FLATTEN(SPLIT( REGEXREPLACE( SUBSTITUTE(TEXTJOIN("","", TRUE, IFERROR(ARRAYFORMULA(VLOOKUP(TRIM(SPLIT('Final Report'!A1747, "","")), 'URL Details'!A:D, 4, FALSE)),"""") ), CHAR(10),"&amp;" "",""), ""\s*,\s*"", "",""), "","")))&lt;&gt;"""" ) ) ) ),"""")
"),"")</f>
        <v/>
      </c>
      <c r="D1747" s="105"/>
      <c r="E1747" s="105"/>
      <c r="F1747" s="110" t="b">
        <v>0</v>
      </c>
      <c r="G1747" s="105" t="str">
        <f>IF(F1747=True, IFERROR(VLOOKUP(D1747, Repository!A:B, 2, 0), ""), "")</f>
        <v/>
      </c>
      <c r="H1747" s="105"/>
      <c r="I1747" s="105"/>
      <c r="J1747" s="105" t="str">
        <f>IF(F1747=True, IFERROR(VLOOKUP(D1747, Repository!A:C, 3, 0), ""), "")</f>
        <v/>
      </c>
      <c r="K1747" s="105"/>
      <c r="L1747" s="105" t="str">
        <f>IF(F1747=True, IFERROR(VLOOKUP(D1747, Repository!A:E, 5, 0), ""), "")</f>
        <v/>
      </c>
      <c r="M1747" s="105"/>
      <c r="N1747" s="105" t="str">
        <f>IF(F1747=True, IFERROR(VLOOKUP(D1747, Repository!A:G, 7, 0), ""), "")</f>
        <v/>
      </c>
      <c r="O1747" s="105" t="str">
        <f>IFERROR(__xludf.DUMMYFUNCTION("ARRAY_CONSTRAIN(
  ARRAYFORMULA(
    IFERROR(
      LET(
        list, N1747,
        arr, TRIM(SPLIT(list, "","")),
        names, XLOOKUP(
          arr,
          'Conformance Score'!A:A,
          'Conformance Score'!B:B,
          ""Not found""
     "&amp;"   ),
        TEXTJOIN("", "", TRUE, names)
      ),
      """"
    )
  ),
  1,
  1
)
"),"")</f>
        <v/>
      </c>
      <c r="P1747" s="105" t="str">
        <f>IF(F1747="Yes", IFERROR(VLOOKUP(D1747, Repository!A:F, 6, 0), ""), "")</f>
        <v/>
      </c>
      <c r="Q1747" s="105" t="str">
        <f>IF(F1747="Yes", IFERROR(VLOOKUP(D1747, Repository!A:I, 8, 0), ""), "")</f>
        <v/>
      </c>
      <c r="R1747" s="105" t="str">
        <f>IF(F1747="Yes", IFERROR(VLOOKUP(D1747, Repository!A:J, 9, 0), ""), "")</f>
        <v/>
      </c>
      <c r="S1747" s="105"/>
      <c r="T1747" s="105"/>
      <c r="U1747" s="105"/>
      <c r="V1747" s="105"/>
      <c r="W1747" s="105"/>
      <c r="X1747" s="105"/>
      <c r="Y1747" s="105"/>
      <c r="Z1747" s="105"/>
      <c r="AA1747" s="105"/>
      <c r="AB1747" s="105"/>
      <c r="AC1747" s="91"/>
      <c r="AD1747" s="105"/>
      <c r="AE1747" s="105"/>
      <c r="AF1747" s="91"/>
      <c r="AG1747" s="105"/>
      <c r="AH1747" s="105"/>
      <c r="AI1747" s="105" t="str">
        <f t="shared" si="1"/>
        <v/>
      </c>
      <c r="AJ1747" s="108" t="str">
        <f t="shared" si="2"/>
        <v/>
      </c>
    </row>
    <row r="1748" ht="15.75" customHeight="1">
      <c r="A1748" s="104"/>
      <c r="B1748" s="105" t="str">
        <f>IFERROR(__xludf.DUMMYFUNCTION("ARRAY_CONSTRAIN(
  ARRAYFORMULA(
    IF(
      'Final Report'!A1748="""",
      """",
      TEXTJOIN(
        "", "" &amp; CHAR(10),
        TRUE,
        IFERROR(
          VLOOKUP(
            TRIM(
              SPLIT('Final Report'!A1748, "","")
         "&amp;"   ),
            'URL Details'!A:B,
            2,
            FALSE
          ),
          """"
        )
      )
    )
  ),
  1,
  1
)
"),"")</f>
        <v/>
      </c>
      <c r="C1748" s="105" t="str">
        <f>IFERROR(__xludf.DUMMYFUNCTION("IFERROR(IF('Final Report'!A1748="""","""", TEXTJOIN(CHAR(10), TRUE, ARRAYFORMULA( ""• ""&amp; FILTER( TRIM(FLATTEN(SPLIT( REGEXREPLACE( SUBSTITUTE(TEXTJOIN("","", TRUE, IFERROR(ARRAYFORMULA(VLOOKUP(TRIM(SPLIT('Final Report'!A1748, "","")), 'URL Details'!A:D, "&amp;"4, FALSE)),"""") ), CHAR(10), "",""), ""\s*,\s*"", "",""), "",""))), TRIM(FLATTEN(SPLIT( REGEXREPLACE( SUBSTITUTE(TEXTJOIN("","", TRUE, IFERROR(ARRAYFORMULA(VLOOKUP(TRIM(SPLIT('Final Report'!A1748, "","")), 'URL Details'!A:D, 4, FALSE)),"""") ), CHAR(10),"&amp;" "",""), ""\s*,\s*"", "",""), "","")))&lt;&gt;"""" ) ) ) ),"""")
"),"")</f>
        <v/>
      </c>
      <c r="D1748" s="105"/>
      <c r="E1748" s="105"/>
      <c r="F1748" s="110" t="b">
        <v>0</v>
      </c>
      <c r="G1748" s="105" t="str">
        <f>IF(F1748=True, IFERROR(VLOOKUP(D1748, Repository!A:B, 2, 0), ""), "")</f>
        <v/>
      </c>
      <c r="H1748" s="105"/>
      <c r="I1748" s="105"/>
      <c r="J1748" s="105" t="str">
        <f>IF(F1748=True, IFERROR(VLOOKUP(D1748, Repository!A:C, 3, 0), ""), "")</f>
        <v/>
      </c>
      <c r="K1748" s="105"/>
      <c r="L1748" s="105" t="str">
        <f>IF(F1748=True, IFERROR(VLOOKUP(D1748, Repository!A:E, 5, 0), ""), "")</f>
        <v/>
      </c>
      <c r="M1748" s="105"/>
      <c r="N1748" s="105" t="str">
        <f>IF(F1748=True, IFERROR(VLOOKUP(D1748, Repository!A:G, 7, 0), ""), "")</f>
        <v/>
      </c>
      <c r="O1748" s="105" t="str">
        <f>IFERROR(__xludf.DUMMYFUNCTION("ARRAY_CONSTRAIN(
  ARRAYFORMULA(
    IFERROR(
      LET(
        list, N1748,
        arr, TRIM(SPLIT(list, "","")),
        names, XLOOKUP(
          arr,
          'Conformance Score'!A:A,
          'Conformance Score'!B:B,
          ""Not found""
     "&amp;"   ),
        TEXTJOIN("", "", TRUE, names)
      ),
      """"
    )
  ),
  1,
  1
)
"),"")</f>
        <v/>
      </c>
      <c r="P1748" s="105" t="str">
        <f>IF(F1748="Yes", IFERROR(VLOOKUP(D1748, Repository!A:F, 6, 0), ""), "")</f>
        <v/>
      </c>
      <c r="Q1748" s="105" t="str">
        <f>IF(F1748="Yes", IFERROR(VLOOKUP(D1748, Repository!A:I, 8, 0), ""), "")</f>
        <v/>
      </c>
      <c r="R1748" s="105" t="str">
        <f>IF(F1748="Yes", IFERROR(VLOOKUP(D1748, Repository!A:J, 9, 0), ""), "")</f>
        <v/>
      </c>
      <c r="S1748" s="105"/>
      <c r="T1748" s="105"/>
      <c r="U1748" s="105"/>
      <c r="V1748" s="105"/>
      <c r="W1748" s="105"/>
      <c r="X1748" s="105"/>
      <c r="Y1748" s="105"/>
      <c r="Z1748" s="105"/>
      <c r="AA1748" s="105"/>
      <c r="AB1748" s="105"/>
      <c r="AC1748" s="91"/>
      <c r="AD1748" s="105"/>
      <c r="AE1748" s="105"/>
      <c r="AF1748" s="91"/>
      <c r="AG1748" s="105"/>
      <c r="AH1748" s="105"/>
      <c r="AI1748" s="105" t="str">
        <f t="shared" si="1"/>
        <v/>
      </c>
      <c r="AJ1748" s="108" t="str">
        <f t="shared" si="2"/>
        <v/>
      </c>
    </row>
    <row r="1749" ht="15.75" customHeight="1">
      <c r="A1749" s="104"/>
      <c r="B1749" s="105" t="str">
        <f>IFERROR(__xludf.DUMMYFUNCTION("ARRAY_CONSTRAIN(
  ARRAYFORMULA(
    IF(
      'Final Report'!A1749="""",
      """",
      TEXTJOIN(
        "", "" &amp; CHAR(10),
        TRUE,
        IFERROR(
          VLOOKUP(
            TRIM(
              SPLIT('Final Report'!A1749, "","")
         "&amp;"   ),
            'URL Details'!A:B,
            2,
            FALSE
          ),
          """"
        )
      )
    )
  ),
  1,
  1
)
"),"")</f>
        <v/>
      </c>
      <c r="C1749" s="105" t="str">
        <f>IFERROR(__xludf.DUMMYFUNCTION("IFERROR(IF('Final Report'!A1749="""","""", TEXTJOIN(CHAR(10), TRUE, ARRAYFORMULA( ""• ""&amp; FILTER( TRIM(FLATTEN(SPLIT( REGEXREPLACE( SUBSTITUTE(TEXTJOIN("","", TRUE, IFERROR(ARRAYFORMULA(VLOOKUP(TRIM(SPLIT('Final Report'!A1749, "","")), 'URL Details'!A:D, "&amp;"4, FALSE)),"""") ), CHAR(10), "",""), ""\s*,\s*"", "",""), "",""))), TRIM(FLATTEN(SPLIT( REGEXREPLACE( SUBSTITUTE(TEXTJOIN("","", TRUE, IFERROR(ARRAYFORMULA(VLOOKUP(TRIM(SPLIT('Final Report'!A1749, "","")), 'URL Details'!A:D, 4, FALSE)),"""") ), CHAR(10),"&amp;" "",""), ""\s*,\s*"", "",""), "","")))&lt;&gt;"""" ) ) ) ),"""")
"),"")</f>
        <v/>
      </c>
      <c r="D1749" s="105"/>
      <c r="E1749" s="105"/>
      <c r="F1749" s="110" t="b">
        <v>0</v>
      </c>
      <c r="G1749" s="105" t="str">
        <f>IF(F1749=True, IFERROR(VLOOKUP(D1749, Repository!A:B, 2, 0), ""), "")</f>
        <v/>
      </c>
      <c r="H1749" s="105"/>
      <c r="I1749" s="105"/>
      <c r="J1749" s="105" t="str">
        <f>IF(F1749=True, IFERROR(VLOOKUP(D1749, Repository!A:C, 3, 0), ""), "")</f>
        <v/>
      </c>
      <c r="K1749" s="105"/>
      <c r="L1749" s="105" t="str">
        <f>IF(F1749=True, IFERROR(VLOOKUP(D1749, Repository!A:E, 5, 0), ""), "")</f>
        <v/>
      </c>
      <c r="M1749" s="105"/>
      <c r="N1749" s="105" t="str">
        <f>IF(F1749=True, IFERROR(VLOOKUP(D1749, Repository!A:G, 7, 0), ""), "")</f>
        <v/>
      </c>
      <c r="O1749" s="105" t="str">
        <f>IFERROR(__xludf.DUMMYFUNCTION("ARRAY_CONSTRAIN(
  ARRAYFORMULA(
    IFERROR(
      LET(
        list, N1749,
        arr, TRIM(SPLIT(list, "","")),
        names, XLOOKUP(
          arr,
          'Conformance Score'!A:A,
          'Conformance Score'!B:B,
          ""Not found""
     "&amp;"   ),
        TEXTJOIN("", "", TRUE, names)
      ),
      """"
    )
  ),
  1,
  1
)
"),"")</f>
        <v/>
      </c>
      <c r="P1749" s="105" t="str">
        <f>IF(F1749="Yes", IFERROR(VLOOKUP(D1749, Repository!A:F, 6, 0), ""), "")</f>
        <v/>
      </c>
      <c r="Q1749" s="105" t="str">
        <f>IF(F1749="Yes", IFERROR(VLOOKUP(D1749, Repository!A:I, 8, 0), ""), "")</f>
        <v/>
      </c>
      <c r="R1749" s="105" t="str">
        <f>IF(F1749="Yes", IFERROR(VLOOKUP(D1749, Repository!A:J, 9, 0), ""), "")</f>
        <v/>
      </c>
      <c r="S1749" s="105"/>
      <c r="T1749" s="105"/>
      <c r="U1749" s="105"/>
      <c r="V1749" s="105"/>
      <c r="W1749" s="105"/>
      <c r="X1749" s="105"/>
      <c r="Y1749" s="105"/>
      <c r="Z1749" s="105"/>
      <c r="AA1749" s="105"/>
      <c r="AB1749" s="105"/>
      <c r="AC1749" s="91"/>
      <c r="AD1749" s="105"/>
      <c r="AE1749" s="105"/>
      <c r="AF1749" s="91"/>
      <c r="AG1749" s="105"/>
      <c r="AH1749" s="105"/>
      <c r="AI1749" s="105" t="str">
        <f t="shared" si="1"/>
        <v/>
      </c>
      <c r="AJ1749" s="108" t="str">
        <f t="shared" si="2"/>
        <v/>
      </c>
    </row>
    <row r="1750" ht="15.75" customHeight="1">
      <c r="A1750" s="104"/>
      <c r="B1750" s="105" t="str">
        <f>IFERROR(__xludf.DUMMYFUNCTION("ARRAY_CONSTRAIN(
  ARRAYFORMULA(
    IF(
      'Final Report'!A1750="""",
      """",
      TEXTJOIN(
        "", "" &amp; CHAR(10),
        TRUE,
        IFERROR(
          VLOOKUP(
            TRIM(
              SPLIT('Final Report'!A1750, "","")
         "&amp;"   ),
            'URL Details'!A:B,
            2,
            FALSE
          ),
          """"
        )
      )
    )
  ),
  1,
  1
)
"),"")</f>
        <v/>
      </c>
      <c r="C1750" s="105" t="str">
        <f>IFERROR(__xludf.DUMMYFUNCTION("IFERROR(IF('Final Report'!A1750="""","""", TEXTJOIN(CHAR(10), TRUE, ARRAYFORMULA( ""• ""&amp; FILTER( TRIM(FLATTEN(SPLIT( REGEXREPLACE( SUBSTITUTE(TEXTJOIN("","", TRUE, IFERROR(ARRAYFORMULA(VLOOKUP(TRIM(SPLIT('Final Report'!A1750, "","")), 'URL Details'!A:D, "&amp;"4, FALSE)),"""") ), CHAR(10), "",""), ""\s*,\s*"", "",""), "",""))), TRIM(FLATTEN(SPLIT( REGEXREPLACE( SUBSTITUTE(TEXTJOIN("","", TRUE, IFERROR(ARRAYFORMULA(VLOOKUP(TRIM(SPLIT('Final Report'!A1750, "","")), 'URL Details'!A:D, 4, FALSE)),"""") ), CHAR(10),"&amp;" "",""), ""\s*,\s*"", "",""), "","")))&lt;&gt;"""" ) ) ) ),"""")
"),"")</f>
        <v/>
      </c>
      <c r="D1750" s="105"/>
      <c r="E1750" s="105"/>
      <c r="F1750" s="110" t="b">
        <v>0</v>
      </c>
      <c r="G1750" s="105" t="str">
        <f>IF(F1750=True, IFERROR(VLOOKUP(D1750, Repository!A:B, 2, 0), ""), "")</f>
        <v/>
      </c>
      <c r="H1750" s="105"/>
      <c r="I1750" s="105"/>
      <c r="J1750" s="105" t="str">
        <f>IF(F1750=True, IFERROR(VLOOKUP(D1750, Repository!A:C, 3, 0), ""), "")</f>
        <v/>
      </c>
      <c r="K1750" s="105"/>
      <c r="L1750" s="105" t="str">
        <f>IF(F1750=True, IFERROR(VLOOKUP(D1750, Repository!A:E, 5, 0), ""), "")</f>
        <v/>
      </c>
      <c r="M1750" s="105"/>
      <c r="N1750" s="105" t="str">
        <f>IF(F1750=True, IFERROR(VLOOKUP(D1750, Repository!A:G, 7, 0), ""), "")</f>
        <v/>
      </c>
      <c r="O1750" s="105" t="str">
        <f>IFERROR(__xludf.DUMMYFUNCTION("ARRAY_CONSTRAIN(
  ARRAYFORMULA(
    IFERROR(
      LET(
        list, N1750,
        arr, TRIM(SPLIT(list, "","")),
        names, XLOOKUP(
          arr,
          'Conformance Score'!A:A,
          'Conformance Score'!B:B,
          ""Not found""
     "&amp;"   ),
        TEXTJOIN("", "", TRUE, names)
      ),
      """"
    )
  ),
  1,
  1
)
"),"")</f>
        <v/>
      </c>
      <c r="P1750" s="105" t="str">
        <f>IF(F1750="Yes", IFERROR(VLOOKUP(D1750, Repository!A:F, 6, 0), ""), "")</f>
        <v/>
      </c>
      <c r="Q1750" s="105" t="str">
        <f>IF(F1750="Yes", IFERROR(VLOOKUP(D1750, Repository!A:I, 8, 0), ""), "")</f>
        <v/>
      </c>
      <c r="R1750" s="105" t="str">
        <f>IF(F1750="Yes", IFERROR(VLOOKUP(D1750, Repository!A:J, 9, 0), ""), "")</f>
        <v/>
      </c>
      <c r="S1750" s="105"/>
      <c r="T1750" s="105"/>
      <c r="U1750" s="105"/>
      <c r="V1750" s="105"/>
      <c r="W1750" s="105"/>
      <c r="X1750" s="105"/>
      <c r="Y1750" s="105"/>
      <c r="Z1750" s="105"/>
      <c r="AA1750" s="105"/>
      <c r="AB1750" s="105"/>
      <c r="AC1750" s="91"/>
      <c r="AD1750" s="105"/>
      <c r="AE1750" s="105"/>
      <c r="AF1750" s="91"/>
      <c r="AG1750" s="105"/>
      <c r="AH1750" s="105"/>
      <c r="AI1750" s="105" t="str">
        <f t="shared" si="1"/>
        <v/>
      </c>
      <c r="AJ1750" s="108" t="str">
        <f t="shared" si="2"/>
        <v/>
      </c>
    </row>
    <row r="1751" ht="15.75" customHeight="1">
      <c r="A1751" s="104"/>
      <c r="B1751" s="105" t="str">
        <f>IFERROR(__xludf.DUMMYFUNCTION("ARRAY_CONSTRAIN(
  ARRAYFORMULA(
    IF(
      'Final Report'!A1751="""",
      """",
      TEXTJOIN(
        "", "" &amp; CHAR(10),
        TRUE,
        IFERROR(
          VLOOKUP(
            TRIM(
              SPLIT('Final Report'!A1751, "","")
         "&amp;"   ),
            'URL Details'!A:B,
            2,
            FALSE
          ),
          """"
        )
      )
    )
  ),
  1,
  1
)
"),"")</f>
        <v/>
      </c>
      <c r="C1751" s="105" t="str">
        <f>IFERROR(__xludf.DUMMYFUNCTION("IFERROR(IF('Final Report'!A1751="""","""", TEXTJOIN(CHAR(10), TRUE, ARRAYFORMULA( ""• ""&amp; FILTER( TRIM(FLATTEN(SPLIT( REGEXREPLACE( SUBSTITUTE(TEXTJOIN("","", TRUE, IFERROR(ARRAYFORMULA(VLOOKUP(TRIM(SPLIT('Final Report'!A1751, "","")), 'URL Details'!A:D, "&amp;"4, FALSE)),"""") ), CHAR(10), "",""), ""\s*,\s*"", "",""), "",""))), TRIM(FLATTEN(SPLIT( REGEXREPLACE( SUBSTITUTE(TEXTJOIN("","", TRUE, IFERROR(ARRAYFORMULA(VLOOKUP(TRIM(SPLIT('Final Report'!A1751, "","")), 'URL Details'!A:D, 4, FALSE)),"""") ), CHAR(10),"&amp;" "",""), ""\s*,\s*"", "",""), "","")))&lt;&gt;"""" ) ) ) ),"""")
"),"")</f>
        <v/>
      </c>
      <c r="D1751" s="105"/>
      <c r="E1751" s="105"/>
      <c r="F1751" s="110" t="b">
        <v>0</v>
      </c>
      <c r="G1751" s="105" t="str">
        <f>IF(F1751=True, IFERROR(VLOOKUP(D1751, Repository!A:B, 2, 0), ""), "")</f>
        <v/>
      </c>
      <c r="H1751" s="105"/>
      <c r="I1751" s="105"/>
      <c r="J1751" s="105" t="str">
        <f>IF(F1751=True, IFERROR(VLOOKUP(D1751, Repository!A:C, 3, 0), ""), "")</f>
        <v/>
      </c>
      <c r="K1751" s="105"/>
      <c r="L1751" s="105" t="str">
        <f>IF(F1751=True, IFERROR(VLOOKUP(D1751, Repository!A:E, 5, 0), ""), "")</f>
        <v/>
      </c>
      <c r="M1751" s="105"/>
      <c r="N1751" s="105" t="str">
        <f>IF(F1751=True, IFERROR(VLOOKUP(D1751, Repository!A:G, 7, 0), ""), "")</f>
        <v/>
      </c>
      <c r="O1751" s="105" t="str">
        <f>IFERROR(__xludf.DUMMYFUNCTION("ARRAY_CONSTRAIN(
  ARRAYFORMULA(
    IFERROR(
      LET(
        list, N1751,
        arr, TRIM(SPLIT(list, "","")),
        names, XLOOKUP(
          arr,
          'Conformance Score'!A:A,
          'Conformance Score'!B:B,
          ""Not found""
     "&amp;"   ),
        TEXTJOIN("", "", TRUE, names)
      ),
      """"
    )
  ),
  1,
  1
)
"),"")</f>
        <v/>
      </c>
      <c r="P1751" s="105" t="str">
        <f>IF(F1751="Yes", IFERROR(VLOOKUP(D1751, Repository!A:F, 6, 0), ""), "")</f>
        <v/>
      </c>
      <c r="Q1751" s="105" t="str">
        <f>IF(F1751="Yes", IFERROR(VLOOKUP(D1751, Repository!A:I, 8, 0), ""), "")</f>
        <v/>
      </c>
      <c r="R1751" s="105" t="str">
        <f>IF(F1751="Yes", IFERROR(VLOOKUP(D1751, Repository!A:J, 9, 0), ""), "")</f>
        <v/>
      </c>
      <c r="S1751" s="105"/>
      <c r="T1751" s="105"/>
      <c r="U1751" s="105"/>
      <c r="V1751" s="105"/>
      <c r="W1751" s="105"/>
      <c r="X1751" s="105"/>
      <c r="Y1751" s="105"/>
      <c r="Z1751" s="105"/>
      <c r="AA1751" s="105"/>
      <c r="AB1751" s="105"/>
      <c r="AC1751" s="91"/>
      <c r="AD1751" s="105"/>
      <c r="AE1751" s="105"/>
      <c r="AF1751" s="91"/>
      <c r="AG1751" s="105"/>
      <c r="AH1751" s="105"/>
      <c r="AI1751" s="105" t="str">
        <f t="shared" si="1"/>
        <v/>
      </c>
      <c r="AJ1751" s="108" t="str">
        <f t="shared" si="2"/>
        <v/>
      </c>
    </row>
    <row r="1752" ht="15.75" customHeight="1">
      <c r="A1752" s="104"/>
      <c r="B1752" s="105" t="str">
        <f>IFERROR(__xludf.DUMMYFUNCTION("ARRAY_CONSTRAIN(
  ARRAYFORMULA(
    IF(
      'Final Report'!A1752="""",
      """",
      TEXTJOIN(
        "", "" &amp; CHAR(10),
        TRUE,
        IFERROR(
          VLOOKUP(
            TRIM(
              SPLIT('Final Report'!A1752, "","")
         "&amp;"   ),
            'URL Details'!A:B,
            2,
            FALSE
          ),
          """"
        )
      )
    )
  ),
  1,
  1
)
"),"")</f>
        <v/>
      </c>
      <c r="C1752" s="105" t="str">
        <f>IFERROR(__xludf.DUMMYFUNCTION("IFERROR(IF('Final Report'!A1752="""","""", TEXTJOIN(CHAR(10), TRUE, ARRAYFORMULA( ""• ""&amp; FILTER( TRIM(FLATTEN(SPLIT( REGEXREPLACE( SUBSTITUTE(TEXTJOIN("","", TRUE, IFERROR(ARRAYFORMULA(VLOOKUP(TRIM(SPLIT('Final Report'!A1752, "","")), 'URL Details'!A:D, "&amp;"4, FALSE)),"""") ), CHAR(10), "",""), ""\s*,\s*"", "",""), "",""))), TRIM(FLATTEN(SPLIT( REGEXREPLACE( SUBSTITUTE(TEXTJOIN("","", TRUE, IFERROR(ARRAYFORMULA(VLOOKUP(TRIM(SPLIT('Final Report'!A1752, "","")), 'URL Details'!A:D, 4, FALSE)),"""") ), CHAR(10),"&amp;" "",""), ""\s*,\s*"", "",""), "","")))&lt;&gt;"""" ) ) ) ),"""")
"),"")</f>
        <v/>
      </c>
      <c r="D1752" s="105"/>
      <c r="E1752" s="105"/>
      <c r="F1752" s="110" t="b">
        <v>0</v>
      </c>
      <c r="G1752" s="105" t="str">
        <f>IF(F1752=True, IFERROR(VLOOKUP(D1752, Repository!A:B, 2, 0), ""), "")</f>
        <v/>
      </c>
      <c r="H1752" s="105"/>
      <c r="I1752" s="105"/>
      <c r="J1752" s="105" t="str">
        <f>IF(F1752=True, IFERROR(VLOOKUP(D1752, Repository!A:C, 3, 0), ""), "")</f>
        <v/>
      </c>
      <c r="K1752" s="105"/>
      <c r="L1752" s="105" t="str">
        <f>IF(F1752=True, IFERROR(VLOOKUP(D1752, Repository!A:E, 5, 0), ""), "")</f>
        <v/>
      </c>
      <c r="M1752" s="105"/>
      <c r="N1752" s="105" t="str">
        <f>IF(F1752=True, IFERROR(VLOOKUP(D1752, Repository!A:G, 7, 0), ""), "")</f>
        <v/>
      </c>
      <c r="O1752" s="105" t="str">
        <f>IFERROR(__xludf.DUMMYFUNCTION("ARRAY_CONSTRAIN(
  ARRAYFORMULA(
    IFERROR(
      LET(
        list, N1752,
        arr, TRIM(SPLIT(list, "","")),
        names, XLOOKUP(
          arr,
          'Conformance Score'!A:A,
          'Conformance Score'!B:B,
          ""Not found""
     "&amp;"   ),
        TEXTJOIN("", "", TRUE, names)
      ),
      """"
    )
  ),
  1,
  1
)
"),"")</f>
        <v/>
      </c>
      <c r="P1752" s="105" t="str">
        <f>IF(F1752="Yes", IFERROR(VLOOKUP(D1752, Repository!A:F, 6, 0), ""), "")</f>
        <v/>
      </c>
      <c r="Q1752" s="105" t="str">
        <f>IF(F1752="Yes", IFERROR(VLOOKUP(D1752, Repository!A:I, 8, 0), ""), "")</f>
        <v/>
      </c>
      <c r="R1752" s="105" t="str">
        <f>IF(F1752="Yes", IFERROR(VLOOKUP(D1752, Repository!A:J, 9, 0), ""), "")</f>
        <v/>
      </c>
      <c r="S1752" s="105"/>
      <c r="T1752" s="105"/>
      <c r="U1752" s="105"/>
      <c r="V1752" s="105"/>
      <c r="W1752" s="105"/>
      <c r="X1752" s="105"/>
      <c r="Y1752" s="105"/>
      <c r="Z1752" s="105"/>
      <c r="AA1752" s="105"/>
      <c r="AB1752" s="105"/>
      <c r="AC1752" s="91"/>
      <c r="AD1752" s="105"/>
      <c r="AE1752" s="105"/>
      <c r="AF1752" s="91"/>
      <c r="AG1752" s="105"/>
      <c r="AH1752" s="105"/>
      <c r="AI1752" s="105" t="str">
        <f t="shared" si="1"/>
        <v/>
      </c>
      <c r="AJ1752" s="108" t="str">
        <f t="shared" si="2"/>
        <v/>
      </c>
    </row>
    <row r="1753" ht="15.75" customHeight="1">
      <c r="A1753" s="104"/>
      <c r="B1753" s="105" t="str">
        <f>IFERROR(__xludf.DUMMYFUNCTION("ARRAY_CONSTRAIN(
  ARRAYFORMULA(
    IF(
      'Final Report'!A1753="""",
      """",
      TEXTJOIN(
        "", "" &amp; CHAR(10),
        TRUE,
        IFERROR(
          VLOOKUP(
            TRIM(
              SPLIT('Final Report'!A1753, "","")
         "&amp;"   ),
            'URL Details'!A:B,
            2,
            FALSE
          ),
          """"
        )
      )
    )
  ),
  1,
  1
)
"),"")</f>
        <v/>
      </c>
      <c r="C1753" s="105" t="str">
        <f>IFERROR(__xludf.DUMMYFUNCTION("IFERROR(IF('Final Report'!A1753="""","""", TEXTJOIN(CHAR(10), TRUE, ARRAYFORMULA( ""• ""&amp; FILTER( TRIM(FLATTEN(SPLIT( REGEXREPLACE( SUBSTITUTE(TEXTJOIN("","", TRUE, IFERROR(ARRAYFORMULA(VLOOKUP(TRIM(SPLIT('Final Report'!A1753, "","")), 'URL Details'!A:D, "&amp;"4, FALSE)),"""") ), CHAR(10), "",""), ""\s*,\s*"", "",""), "",""))), TRIM(FLATTEN(SPLIT( REGEXREPLACE( SUBSTITUTE(TEXTJOIN("","", TRUE, IFERROR(ARRAYFORMULA(VLOOKUP(TRIM(SPLIT('Final Report'!A1753, "","")), 'URL Details'!A:D, 4, FALSE)),"""") ), CHAR(10),"&amp;" "",""), ""\s*,\s*"", "",""), "","")))&lt;&gt;"""" ) ) ) ),"""")
"),"")</f>
        <v/>
      </c>
      <c r="D1753" s="105"/>
      <c r="E1753" s="105"/>
      <c r="F1753" s="110" t="b">
        <v>0</v>
      </c>
      <c r="G1753" s="105" t="str">
        <f>IF(F1753=True, IFERROR(VLOOKUP(D1753, Repository!A:B, 2, 0), ""), "")</f>
        <v/>
      </c>
      <c r="H1753" s="105"/>
      <c r="I1753" s="105"/>
      <c r="J1753" s="105" t="str">
        <f>IF(F1753=True, IFERROR(VLOOKUP(D1753, Repository!A:C, 3, 0), ""), "")</f>
        <v/>
      </c>
      <c r="K1753" s="105"/>
      <c r="L1753" s="105" t="str">
        <f>IF(F1753=True, IFERROR(VLOOKUP(D1753, Repository!A:E, 5, 0), ""), "")</f>
        <v/>
      </c>
      <c r="M1753" s="105"/>
      <c r="N1753" s="105" t="str">
        <f>IF(F1753=True, IFERROR(VLOOKUP(D1753, Repository!A:G, 7, 0), ""), "")</f>
        <v/>
      </c>
      <c r="O1753" s="105" t="str">
        <f>IFERROR(__xludf.DUMMYFUNCTION("ARRAY_CONSTRAIN(
  ARRAYFORMULA(
    IFERROR(
      LET(
        list, N1753,
        arr, TRIM(SPLIT(list, "","")),
        names, XLOOKUP(
          arr,
          'Conformance Score'!A:A,
          'Conformance Score'!B:B,
          ""Not found""
     "&amp;"   ),
        TEXTJOIN("", "", TRUE, names)
      ),
      """"
    )
  ),
  1,
  1
)
"),"")</f>
        <v/>
      </c>
      <c r="P1753" s="105" t="str">
        <f>IF(F1753="Yes", IFERROR(VLOOKUP(D1753, Repository!A:F, 6, 0), ""), "")</f>
        <v/>
      </c>
      <c r="Q1753" s="105" t="str">
        <f>IF(F1753="Yes", IFERROR(VLOOKUP(D1753, Repository!A:I, 8, 0), ""), "")</f>
        <v/>
      </c>
      <c r="R1753" s="105" t="str">
        <f>IF(F1753="Yes", IFERROR(VLOOKUP(D1753, Repository!A:J, 9, 0), ""), "")</f>
        <v/>
      </c>
      <c r="S1753" s="105"/>
      <c r="T1753" s="105"/>
      <c r="U1753" s="105"/>
      <c r="V1753" s="105"/>
      <c r="W1753" s="105"/>
      <c r="X1753" s="105"/>
      <c r="Y1753" s="105"/>
      <c r="Z1753" s="105"/>
      <c r="AA1753" s="105"/>
      <c r="AB1753" s="105"/>
      <c r="AC1753" s="91"/>
      <c r="AD1753" s="105"/>
      <c r="AE1753" s="105"/>
      <c r="AF1753" s="91"/>
      <c r="AG1753" s="105"/>
      <c r="AH1753" s="105"/>
      <c r="AI1753" s="105" t="str">
        <f t="shared" si="1"/>
        <v/>
      </c>
      <c r="AJ1753" s="108" t="str">
        <f t="shared" si="2"/>
        <v/>
      </c>
    </row>
    <row r="1754" ht="15.75" customHeight="1">
      <c r="A1754" s="104"/>
      <c r="B1754" s="105" t="str">
        <f>IFERROR(__xludf.DUMMYFUNCTION("ARRAY_CONSTRAIN(
  ARRAYFORMULA(
    IF(
      'Final Report'!A1754="""",
      """",
      TEXTJOIN(
        "", "" &amp; CHAR(10),
        TRUE,
        IFERROR(
          VLOOKUP(
            TRIM(
              SPLIT('Final Report'!A1754, "","")
         "&amp;"   ),
            'URL Details'!A:B,
            2,
            FALSE
          ),
          """"
        )
      )
    )
  ),
  1,
  1
)
"),"")</f>
        <v/>
      </c>
      <c r="C1754" s="105" t="str">
        <f>IFERROR(__xludf.DUMMYFUNCTION("IFERROR(IF('Final Report'!A1754="""","""", TEXTJOIN(CHAR(10), TRUE, ARRAYFORMULA( ""• ""&amp; FILTER( TRIM(FLATTEN(SPLIT( REGEXREPLACE( SUBSTITUTE(TEXTJOIN("","", TRUE, IFERROR(ARRAYFORMULA(VLOOKUP(TRIM(SPLIT('Final Report'!A1754, "","")), 'URL Details'!A:D, "&amp;"4, FALSE)),"""") ), CHAR(10), "",""), ""\s*,\s*"", "",""), "",""))), TRIM(FLATTEN(SPLIT( REGEXREPLACE( SUBSTITUTE(TEXTJOIN("","", TRUE, IFERROR(ARRAYFORMULA(VLOOKUP(TRIM(SPLIT('Final Report'!A1754, "","")), 'URL Details'!A:D, 4, FALSE)),"""") ), CHAR(10),"&amp;" "",""), ""\s*,\s*"", "",""), "","")))&lt;&gt;"""" ) ) ) ),"""")
"),"")</f>
        <v/>
      </c>
      <c r="D1754" s="105"/>
      <c r="E1754" s="105"/>
      <c r="F1754" s="110" t="b">
        <v>0</v>
      </c>
      <c r="G1754" s="105" t="str">
        <f>IF(F1754=True, IFERROR(VLOOKUP(D1754, Repository!A:B, 2, 0), ""), "")</f>
        <v/>
      </c>
      <c r="H1754" s="105"/>
      <c r="I1754" s="105"/>
      <c r="J1754" s="105" t="str">
        <f>IF(F1754=True, IFERROR(VLOOKUP(D1754, Repository!A:C, 3, 0), ""), "")</f>
        <v/>
      </c>
      <c r="K1754" s="105"/>
      <c r="L1754" s="105" t="str">
        <f>IF(F1754=True, IFERROR(VLOOKUP(D1754, Repository!A:E, 5, 0), ""), "")</f>
        <v/>
      </c>
      <c r="M1754" s="105"/>
      <c r="N1754" s="105" t="str">
        <f>IF(F1754=True, IFERROR(VLOOKUP(D1754, Repository!A:G, 7, 0), ""), "")</f>
        <v/>
      </c>
      <c r="O1754" s="105" t="str">
        <f>IFERROR(__xludf.DUMMYFUNCTION("ARRAY_CONSTRAIN(
  ARRAYFORMULA(
    IFERROR(
      LET(
        list, N1754,
        arr, TRIM(SPLIT(list, "","")),
        names, XLOOKUP(
          arr,
          'Conformance Score'!A:A,
          'Conformance Score'!B:B,
          ""Not found""
     "&amp;"   ),
        TEXTJOIN("", "", TRUE, names)
      ),
      """"
    )
  ),
  1,
  1
)
"),"")</f>
        <v/>
      </c>
      <c r="P1754" s="105" t="str">
        <f>IF(F1754="Yes", IFERROR(VLOOKUP(D1754, Repository!A:F, 6, 0), ""), "")</f>
        <v/>
      </c>
      <c r="Q1754" s="105" t="str">
        <f>IF(F1754="Yes", IFERROR(VLOOKUP(D1754, Repository!A:I, 8, 0), ""), "")</f>
        <v/>
      </c>
      <c r="R1754" s="105" t="str">
        <f>IF(F1754="Yes", IFERROR(VLOOKUP(D1754, Repository!A:J, 9, 0), ""), "")</f>
        <v/>
      </c>
      <c r="S1754" s="105"/>
      <c r="T1754" s="105"/>
      <c r="U1754" s="105"/>
      <c r="V1754" s="105"/>
      <c r="W1754" s="105"/>
      <c r="X1754" s="105"/>
      <c r="Y1754" s="105"/>
      <c r="Z1754" s="105"/>
      <c r="AA1754" s="105"/>
      <c r="AB1754" s="105"/>
      <c r="AC1754" s="91"/>
      <c r="AD1754" s="105"/>
      <c r="AE1754" s="105"/>
      <c r="AF1754" s="91"/>
      <c r="AG1754" s="105"/>
      <c r="AH1754" s="105"/>
      <c r="AI1754" s="105" t="str">
        <f t="shared" si="1"/>
        <v/>
      </c>
      <c r="AJ1754" s="108" t="str">
        <f t="shared" si="2"/>
        <v/>
      </c>
    </row>
    <row r="1755" ht="15.75" customHeight="1">
      <c r="A1755" s="104"/>
      <c r="B1755" s="105" t="str">
        <f>IFERROR(__xludf.DUMMYFUNCTION("ARRAY_CONSTRAIN(
  ARRAYFORMULA(
    IF(
      'Final Report'!A1755="""",
      """",
      TEXTJOIN(
        "", "" &amp; CHAR(10),
        TRUE,
        IFERROR(
          VLOOKUP(
            TRIM(
              SPLIT('Final Report'!A1755, "","")
         "&amp;"   ),
            'URL Details'!A:B,
            2,
            FALSE
          ),
          """"
        )
      )
    )
  ),
  1,
  1
)
"),"")</f>
        <v/>
      </c>
      <c r="C1755" s="105" t="str">
        <f>IFERROR(__xludf.DUMMYFUNCTION("IFERROR(IF('Final Report'!A1755="""","""", TEXTJOIN(CHAR(10), TRUE, ARRAYFORMULA( ""• ""&amp; FILTER( TRIM(FLATTEN(SPLIT( REGEXREPLACE( SUBSTITUTE(TEXTJOIN("","", TRUE, IFERROR(ARRAYFORMULA(VLOOKUP(TRIM(SPLIT('Final Report'!A1755, "","")), 'URL Details'!A:D, "&amp;"4, FALSE)),"""") ), CHAR(10), "",""), ""\s*,\s*"", "",""), "",""))), TRIM(FLATTEN(SPLIT( REGEXREPLACE( SUBSTITUTE(TEXTJOIN("","", TRUE, IFERROR(ARRAYFORMULA(VLOOKUP(TRIM(SPLIT('Final Report'!A1755, "","")), 'URL Details'!A:D, 4, FALSE)),"""") ), CHAR(10),"&amp;" "",""), ""\s*,\s*"", "",""), "","")))&lt;&gt;"""" ) ) ) ),"""")
"),"")</f>
        <v/>
      </c>
      <c r="D1755" s="105"/>
      <c r="E1755" s="105"/>
      <c r="F1755" s="110" t="b">
        <v>0</v>
      </c>
      <c r="G1755" s="105" t="str">
        <f>IF(F1755=True, IFERROR(VLOOKUP(D1755, Repository!A:B, 2, 0), ""), "")</f>
        <v/>
      </c>
      <c r="H1755" s="105"/>
      <c r="I1755" s="105"/>
      <c r="J1755" s="105" t="str">
        <f>IF(F1755=True, IFERROR(VLOOKUP(D1755, Repository!A:C, 3, 0), ""), "")</f>
        <v/>
      </c>
      <c r="K1755" s="105"/>
      <c r="L1755" s="105" t="str">
        <f>IF(F1755=True, IFERROR(VLOOKUP(D1755, Repository!A:E, 5, 0), ""), "")</f>
        <v/>
      </c>
      <c r="M1755" s="105"/>
      <c r="N1755" s="105" t="str">
        <f>IF(F1755=True, IFERROR(VLOOKUP(D1755, Repository!A:G, 7, 0), ""), "")</f>
        <v/>
      </c>
      <c r="O1755" s="105" t="str">
        <f>IFERROR(__xludf.DUMMYFUNCTION("ARRAY_CONSTRAIN(
  ARRAYFORMULA(
    IFERROR(
      LET(
        list, N1755,
        arr, TRIM(SPLIT(list, "","")),
        names, XLOOKUP(
          arr,
          'Conformance Score'!A:A,
          'Conformance Score'!B:B,
          ""Not found""
     "&amp;"   ),
        TEXTJOIN("", "", TRUE, names)
      ),
      """"
    )
  ),
  1,
  1
)
"),"")</f>
        <v/>
      </c>
      <c r="P1755" s="105" t="str">
        <f>IF(F1755="Yes", IFERROR(VLOOKUP(D1755, Repository!A:F, 6, 0), ""), "")</f>
        <v/>
      </c>
      <c r="Q1755" s="105" t="str">
        <f>IF(F1755="Yes", IFERROR(VLOOKUP(D1755, Repository!A:I, 8, 0), ""), "")</f>
        <v/>
      </c>
      <c r="R1755" s="105" t="str">
        <f>IF(F1755="Yes", IFERROR(VLOOKUP(D1755, Repository!A:J, 9, 0), ""), "")</f>
        <v/>
      </c>
      <c r="S1755" s="105"/>
      <c r="T1755" s="105"/>
      <c r="U1755" s="105"/>
      <c r="V1755" s="105"/>
      <c r="W1755" s="105"/>
      <c r="X1755" s="105"/>
      <c r="Y1755" s="105"/>
      <c r="Z1755" s="105"/>
      <c r="AA1755" s="105"/>
      <c r="AB1755" s="105"/>
      <c r="AC1755" s="91"/>
      <c r="AD1755" s="105"/>
      <c r="AE1755" s="105"/>
      <c r="AF1755" s="91"/>
      <c r="AG1755" s="105"/>
      <c r="AH1755" s="105"/>
      <c r="AI1755" s="105" t="str">
        <f t="shared" si="1"/>
        <v/>
      </c>
      <c r="AJ1755" s="108" t="str">
        <f t="shared" si="2"/>
        <v/>
      </c>
    </row>
    <row r="1756" ht="15.75" customHeight="1">
      <c r="A1756" s="104"/>
      <c r="B1756" s="105" t="str">
        <f>IFERROR(__xludf.DUMMYFUNCTION("ARRAY_CONSTRAIN(
  ARRAYFORMULA(
    IF(
      'Final Report'!A1756="""",
      """",
      TEXTJOIN(
        "", "" &amp; CHAR(10),
        TRUE,
        IFERROR(
          VLOOKUP(
            TRIM(
              SPLIT('Final Report'!A1756, "","")
         "&amp;"   ),
            'URL Details'!A:B,
            2,
            FALSE
          ),
          """"
        )
      )
    )
  ),
  1,
  1
)
"),"")</f>
        <v/>
      </c>
      <c r="C1756" s="105" t="str">
        <f>IFERROR(__xludf.DUMMYFUNCTION("IFERROR(IF('Final Report'!A1756="""","""", TEXTJOIN(CHAR(10), TRUE, ARRAYFORMULA( ""• ""&amp; FILTER( TRIM(FLATTEN(SPLIT( REGEXREPLACE( SUBSTITUTE(TEXTJOIN("","", TRUE, IFERROR(ARRAYFORMULA(VLOOKUP(TRIM(SPLIT('Final Report'!A1756, "","")), 'URL Details'!A:D, "&amp;"4, FALSE)),"""") ), CHAR(10), "",""), ""\s*,\s*"", "",""), "",""))), TRIM(FLATTEN(SPLIT( REGEXREPLACE( SUBSTITUTE(TEXTJOIN("","", TRUE, IFERROR(ARRAYFORMULA(VLOOKUP(TRIM(SPLIT('Final Report'!A1756, "","")), 'URL Details'!A:D, 4, FALSE)),"""") ), CHAR(10),"&amp;" "",""), ""\s*,\s*"", "",""), "","")))&lt;&gt;"""" ) ) ) ),"""")
"),"")</f>
        <v/>
      </c>
      <c r="D1756" s="105"/>
      <c r="E1756" s="105"/>
      <c r="F1756" s="110" t="b">
        <v>0</v>
      </c>
      <c r="G1756" s="105" t="str">
        <f>IF(F1756=True, IFERROR(VLOOKUP(D1756, Repository!A:B, 2, 0), ""), "")</f>
        <v/>
      </c>
      <c r="H1756" s="105"/>
      <c r="I1756" s="105"/>
      <c r="J1756" s="105" t="str">
        <f>IF(F1756=True, IFERROR(VLOOKUP(D1756, Repository!A:C, 3, 0), ""), "")</f>
        <v/>
      </c>
      <c r="K1756" s="105"/>
      <c r="L1756" s="105" t="str">
        <f>IF(F1756=True, IFERROR(VLOOKUP(D1756, Repository!A:E, 5, 0), ""), "")</f>
        <v/>
      </c>
      <c r="M1756" s="105"/>
      <c r="N1756" s="105" t="str">
        <f>IF(F1756=True, IFERROR(VLOOKUP(D1756, Repository!A:G, 7, 0), ""), "")</f>
        <v/>
      </c>
      <c r="O1756" s="105" t="str">
        <f>IFERROR(__xludf.DUMMYFUNCTION("ARRAY_CONSTRAIN(
  ARRAYFORMULA(
    IFERROR(
      LET(
        list, N1756,
        arr, TRIM(SPLIT(list, "","")),
        names, XLOOKUP(
          arr,
          'Conformance Score'!A:A,
          'Conformance Score'!B:B,
          ""Not found""
     "&amp;"   ),
        TEXTJOIN("", "", TRUE, names)
      ),
      """"
    )
  ),
  1,
  1
)
"),"")</f>
        <v/>
      </c>
      <c r="P1756" s="105" t="str">
        <f>IF(F1756="Yes", IFERROR(VLOOKUP(D1756, Repository!A:F, 6, 0), ""), "")</f>
        <v/>
      </c>
      <c r="Q1756" s="105" t="str">
        <f>IF(F1756="Yes", IFERROR(VLOOKUP(D1756, Repository!A:I, 8, 0), ""), "")</f>
        <v/>
      </c>
      <c r="R1756" s="105" t="str">
        <f>IF(F1756="Yes", IFERROR(VLOOKUP(D1756, Repository!A:J, 9, 0), ""), "")</f>
        <v/>
      </c>
      <c r="S1756" s="105"/>
      <c r="T1756" s="105"/>
      <c r="U1756" s="105"/>
      <c r="V1756" s="105"/>
      <c r="W1756" s="105"/>
      <c r="X1756" s="105"/>
      <c r="Y1756" s="105"/>
      <c r="Z1756" s="105"/>
      <c r="AA1756" s="105"/>
      <c r="AB1756" s="105"/>
      <c r="AC1756" s="91"/>
      <c r="AD1756" s="105"/>
      <c r="AE1756" s="105"/>
      <c r="AF1756" s="91"/>
      <c r="AG1756" s="105"/>
      <c r="AH1756" s="105"/>
      <c r="AI1756" s="105" t="str">
        <f t="shared" si="1"/>
        <v/>
      </c>
      <c r="AJ1756" s="108" t="str">
        <f t="shared" si="2"/>
        <v/>
      </c>
    </row>
    <row r="1757" ht="15.75" customHeight="1">
      <c r="A1757" s="104"/>
      <c r="B1757" s="105" t="str">
        <f>IFERROR(__xludf.DUMMYFUNCTION("ARRAY_CONSTRAIN(
  ARRAYFORMULA(
    IF(
      'Final Report'!A1757="""",
      """",
      TEXTJOIN(
        "", "" &amp; CHAR(10),
        TRUE,
        IFERROR(
          VLOOKUP(
            TRIM(
              SPLIT('Final Report'!A1757, "","")
         "&amp;"   ),
            'URL Details'!A:B,
            2,
            FALSE
          ),
          """"
        )
      )
    )
  ),
  1,
  1
)
"),"")</f>
        <v/>
      </c>
      <c r="C1757" s="105" t="str">
        <f>IFERROR(__xludf.DUMMYFUNCTION("IFERROR(IF('Final Report'!A1757="""","""", TEXTJOIN(CHAR(10), TRUE, ARRAYFORMULA( ""• ""&amp; FILTER( TRIM(FLATTEN(SPLIT( REGEXREPLACE( SUBSTITUTE(TEXTJOIN("","", TRUE, IFERROR(ARRAYFORMULA(VLOOKUP(TRIM(SPLIT('Final Report'!A1757, "","")), 'URL Details'!A:D, "&amp;"4, FALSE)),"""") ), CHAR(10), "",""), ""\s*,\s*"", "",""), "",""))), TRIM(FLATTEN(SPLIT( REGEXREPLACE( SUBSTITUTE(TEXTJOIN("","", TRUE, IFERROR(ARRAYFORMULA(VLOOKUP(TRIM(SPLIT('Final Report'!A1757, "","")), 'URL Details'!A:D, 4, FALSE)),"""") ), CHAR(10),"&amp;" "",""), ""\s*,\s*"", "",""), "","")))&lt;&gt;"""" ) ) ) ),"""")
"),"")</f>
        <v/>
      </c>
      <c r="D1757" s="105"/>
      <c r="E1757" s="105"/>
      <c r="F1757" s="110" t="b">
        <v>0</v>
      </c>
      <c r="G1757" s="105" t="str">
        <f>IF(F1757=True, IFERROR(VLOOKUP(D1757, Repository!A:B, 2, 0), ""), "")</f>
        <v/>
      </c>
      <c r="H1757" s="105"/>
      <c r="I1757" s="105"/>
      <c r="J1757" s="105" t="str">
        <f>IF(F1757=True, IFERROR(VLOOKUP(D1757, Repository!A:C, 3, 0), ""), "")</f>
        <v/>
      </c>
      <c r="K1757" s="105"/>
      <c r="L1757" s="105" t="str">
        <f>IF(F1757=True, IFERROR(VLOOKUP(D1757, Repository!A:E, 5, 0), ""), "")</f>
        <v/>
      </c>
      <c r="M1757" s="105"/>
      <c r="N1757" s="105" t="str">
        <f>IF(F1757=True, IFERROR(VLOOKUP(D1757, Repository!A:G, 7, 0), ""), "")</f>
        <v/>
      </c>
      <c r="O1757" s="105" t="str">
        <f>IFERROR(__xludf.DUMMYFUNCTION("ARRAY_CONSTRAIN(
  ARRAYFORMULA(
    IFERROR(
      LET(
        list, N1757,
        arr, TRIM(SPLIT(list, "","")),
        names, XLOOKUP(
          arr,
          'Conformance Score'!A:A,
          'Conformance Score'!B:B,
          ""Not found""
     "&amp;"   ),
        TEXTJOIN("", "", TRUE, names)
      ),
      """"
    )
  ),
  1,
  1
)
"),"")</f>
        <v/>
      </c>
      <c r="P1757" s="105" t="str">
        <f>IF(F1757="Yes", IFERROR(VLOOKUP(D1757, Repository!A:F, 6, 0), ""), "")</f>
        <v/>
      </c>
      <c r="Q1757" s="105" t="str">
        <f>IF(F1757="Yes", IFERROR(VLOOKUP(D1757, Repository!A:I, 8, 0), ""), "")</f>
        <v/>
      </c>
      <c r="R1757" s="105" t="str">
        <f>IF(F1757="Yes", IFERROR(VLOOKUP(D1757, Repository!A:J, 9, 0), ""), "")</f>
        <v/>
      </c>
      <c r="S1757" s="105"/>
      <c r="T1757" s="105"/>
      <c r="U1757" s="105"/>
      <c r="V1757" s="105"/>
      <c r="W1757" s="105"/>
      <c r="X1757" s="105"/>
      <c r="Y1757" s="105"/>
      <c r="Z1757" s="105"/>
      <c r="AA1757" s="105"/>
      <c r="AB1757" s="105"/>
      <c r="AC1757" s="91"/>
      <c r="AD1757" s="105"/>
      <c r="AE1757" s="105"/>
      <c r="AF1757" s="91"/>
      <c r="AG1757" s="105"/>
      <c r="AH1757" s="105"/>
      <c r="AI1757" s="105" t="str">
        <f t="shared" si="1"/>
        <v/>
      </c>
      <c r="AJ1757" s="108" t="str">
        <f t="shared" si="2"/>
        <v/>
      </c>
    </row>
    <row r="1758" ht="15.75" customHeight="1">
      <c r="A1758" s="104"/>
      <c r="B1758" s="105" t="str">
        <f>IFERROR(__xludf.DUMMYFUNCTION("ARRAY_CONSTRAIN(
  ARRAYFORMULA(
    IF(
      'Final Report'!A1758="""",
      """",
      TEXTJOIN(
        "", "" &amp; CHAR(10),
        TRUE,
        IFERROR(
          VLOOKUP(
            TRIM(
              SPLIT('Final Report'!A1758, "","")
         "&amp;"   ),
            'URL Details'!A:B,
            2,
            FALSE
          ),
          """"
        )
      )
    )
  ),
  1,
  1
)
"),"")</f>
        <v/>
      </c>
      <c r="C1758" s="105" t="str">
        <f>IFERROR(__xludf.DUMMYFUNCTION("IFERROR(IF('Final Report'!A1758="""","""", TEXTJOIN(CHAR(10), TRUE, ARRAYFORMULA( ""• ""&amp; FILTER( TRIM(FLATTEN(SPLIT( REGEXREPLACE( SUBSTITUTE(TEXTJOIN("","", TRUE, IFERROR(ARRAYFORMULA(VLOOKUP(TRIM(SPLIT('Final Report'!A1758, "","")), 'URL Details'!A:D, "&amp;"4, FALSE)),"""") ), CHAR(10), "",""), ""\s*,\s*"", "",""), "",""))), TRIM(FLATTEN(SPLIT( REGEXREPLACE( SUBSTITUTE(TEXTJOIN("","", TRUE, IFERROR(ARRAYFORMULA(VLOOKUP(TRIM(SPLIT('Final Report'!A1758, "","")), 'URL Details'!A:D, 4, FALSE)),"""") ), CHAR(10),"&amp;" "",""), ""\s*,\s*"", "",""), "","")))&lt;&gt;"""" ) ) ) ),"""")
"),"")</f>
        <v/>
      </c>
      <c r="D1758" s="105"/>
      <c r="E1758" s="105"/>
      <c r="F1758" s="110" t="b">
        <v>0</v>
      </c>
      <c r="G1758" s="105" t="str">
        <f>IF(F1758=True, IFERROR(VLOOKUP(D1758, Repository!A:B, 2, 0), ""), "")</f>
        <v/>
      </c>
      <c r="H1758" s="105"/>
      <c r="I1758" s="105"/>
      <c r="J1758" s="105" t="str">
        <f>IF(F1758=True, IFERROR(VLOOKUP(D1758, Repository!A:C, 3, 0), ""), "")</f>
        <v/>
      </c>
      <c r="K1758" s="105"/>
      <c r="L1758" s="105" t="str">
        <f>IF(F1758=True, IFERROR(VLOOKUP(D1758, Repository!A:E, 5, 0), ""), "")</f>
        <v/>
      </c>
      <c r="M1758" s="105"/>
      <c r="N1758" s="105" t="str">
        <f>IF(F1758=True, IFERROR(VLOOKUP(D1758, Repository!A:G, 7, 0), ""), "")</f>
        <v/>
      </c>
      <c r="O1758" s="105" t="str">
        <f>IFERROR(__xludf.DUMMYFUNCTION("ARRAY_CONSTRAIN(
  ARRAYFORMULA(
    IFERROR(
      LET(
        list, N1758,
        arr, TRIM(SPLIT(list, "","")),
        names, XLOOKUP(
          arr,
          'Conformance Score'!A:A,
          'Conformance Score'!B:B,
          ""Not found""
     "&amp;"   ),
        TEXTJOIN("", "", TRUE, names)
      ),
      """"
    )
  ),
  1,
  1
)
"),"")</f>
        <v/>
      </c>
      <c r="P1758" s="105" t="str">
        <f>IF(F1758="Yes", IFERROR(VLOOKUP(D1758, Repository!A:F, 6, 0), ""), "")</f>
        <v/>
      </c>
      <c r="Q1758" s="105" t="str">
        <f>IF(F1758="Yes", IFERROR(VLOOKUP(D1758, Repository!A:I, 8, 0), ""), "")</f>
        <v/>
      </c>
      <c r="R1758" s="105" t="str">
        <f>IF(F1758="Yes", IFERROR(VLOOKUP(D1758, Repository!A:J, 9, 0), ""), "")</f>
        <v/>
      </c>
      <c r="S1758" s="105"/>
      <c r="T1758" s="105"/>
      <c r="U1758" s="105"/>
      <c r="V1758" s="105"/>
      <c r="W1758" s="105"/>
      <c r="X1758" s="105"/>
      <c r="Y1758" s="105"/>
      <c r="Z1758" s="105"/>
      <c r="AA1758" s="105"/>
      <c r="AB1758" s="105"/>
      <c r="AC1758" s="91"/>
      <c r="AD1758" s="105"/>
      <c r="AE1758" s="105"/>
      <c r="AF1758" s="91"/>
      <c r="AG1758" s="105"/>
      <c r="AH1758" s="105"/>
      <c r="AI1758" s="105" t="str">
        <f t="shared" si="1"/>
        <v/>
      </c>
      <c r="AJ1758" s="108" t="str">
        <f t="shared" si="2"/>
        <v/>
      </c>
    </row>
    <row r="1759" ht="15.75" customHeight="1">
      <c r="A1759" s="104"/>
      <c r="B1759" s="105" t="str">
        <f>IFERROR(__xludf.DUMMYFUNCTION("ARRAY_CONSTRAIN(
  ARRAYFORMULA(
    IF(
      'Final Report'!A1759="""",
      """",
      TEXTJOIN(
        "", "" &amp; CHAR(10),
        TRUE,
        IFERROR(
          VLOOKUP(
            TRIM(
              SPLIT('Final Report'!A1759, "","")
         "&amp;"   ),
            'URL Details'!A:B,
            2,
            FALSE
          ),
          """"
        )
      )
    )
  ),
  1,
  1
)
"),"")</f>
        <v/>
      </c>
      <c r="C1759" s="105" t="str">
        <f>IFERROR(__xludf.DUMMYFUNCTION("IFERROR(IF('Final Report'!A1759="""","""", TEXTJOIN(CHAR(10), TRUE, ARRAYFORMULA( ""• ""&amp; FILTER( TRIM(FLATTEN(SPLIT( REGEXREPLACE( SUBSTITUTE(TEXTJOIN("","", TRUE, IFERROR(ARRAYFORMULA(VLOOKUP(TRIM(SPLIT('Final Report'!A1759, "","")), 'URL Details'!A:D, "&amp;"4, FALSE)),"""") ), CHAR(10), "",""), ""\s*,\s*"", "",""), "",""))), TRIM(FLATTEN(SPLIT( REGEXREPLACE( SUBSTITUTE(TEXTJOIN("","", TRUE, IFERROR(ARRAYFORMULA(VLOOKUP(TRIM(SPLIT('Final Report'!A1759, "","")), 'URL Details'!A:D, 4, FALSE)),"""") ), CHAR(10),"&amp;" "",""), ""\s*,\s*"", "",""), "","")))&lt;&gt;"""" ) ) ) ),"""")
"),"")</f>
        <v/>
      </c>
      <c r="D1759" s="105"/>
      <c r="E1759" s="105"/>
      <c r="F1759" s="110" t="b">
        <v>0</v>
      </c>
      <c r="G1759" s="105" t="str">
        <f>IF(F1759=True, IFERROR(VLOOKUP(D1759, Repository!A:B, 2, 0), ""), "")</f>
        <v/>
      </c>
      <c r="H1759" s="105"/>
      <c r="I1759" s="105"/>
      <c r="J1759" s="105" t="str">
        <f>IF(F1759=True, IFERROR(VLOOKUP(D1759, Repository!A:C, 3, 0), ""), "")</f>
        <v/>
      </c>
      <c r="K1759" s="105"/>
      <c r="L1759" s="105" t="str">
        <f>IF(F1759=True, IFERROR(VLOOKUP(D1759, Repository!A:E, 5, 0), ""), "")</f>
        <v/>
      </c>
      <c r="M1759" s="105"/>
      <c r="N1759" s="105" t="str">
        <f>IF(F1759=True, IFERROR(VLOOKUP(D1759, Repository!A:G, 7, 0), ""), "")</f>
        <v/>
      </c>
      <c r="O1759" s="105" t="str">
        <f>IFERROR(__xludf.DUMMYFUNCTION("ARRAY_CONSTRAIN(
  ARRAYFORMULA(
    IFERROR(
      LET(
        list, N1759,
        arr, TRIM(SPLIT(list, "","")),
        names, XLOOKUP(
          arr,
          'Conformance Score'!A:A,
          'Conformance Score'!B:B,
          ""Not found""
     "&amp;"   ),
        TEXTJOIN("", "", TRUE, names)
      ),
      """"
    )
  ),
  1,
  1
)
"),"")</f>
        <v/>
      </c>
      <c r="P1759" s="105" t="str">
        <f>IF(F1759="Yes", IFERROR(VLOOKUP(D1759, Repository!A:F, 6, 0), ""), "")</f>
        <v/>
      </c>
      <c r="Q1759" s="105" t="str">
        <f>IF(F1759="Yes", IFERROR(VLOOKUP(D1759, Repository!A:I, 8, 0), ""), "")</f>
        <v/>
      </c>
      <c r="R1759" s="105" t="str">
        <f>IF(F1759="Yes", IFERROR(VLOOKUP(D1759, Repository!A:J, 9, 0), ""), "")</f>
        <v/>
      </c>
      <c r="S1759" s="105"/>
      <c r="T1759" s="105"/>
      <c r="U1759" s="105"/>
      <c r="V1759" s="105"/>
      <c r="W1759" s="105"/>
      <c r="X1759" s="105"/>
      <c r="Y1759" s="105"/>
      <c r="Z1759" s="105"/>
      <c r="AA1759" s="105"/>
      <c r="AB1759" s="105"/>
      <c r="AC1759" s="91"/>
      <c r="AD1759" s="105"/>
      <c r="AE1759" s="105"/>
      <c r="AF1759" s="91"/>
      <c r="AG1759" s="105"/>
      <c r="AH1759" s="105"/>
      <c r="AI1759" s="105" t="str">
        <f t="shared" si="1"/>
        <v/>
      </c>
      <c r="AJ1759" s="108" t="str">
        <f t="shared" si="2"/>
        <v/>
      </c>
    </row>
    <row r="1760" ht="15.75" customHeight="1">
      <c r="A1760" s="104"/>
      <c r="B1760" s="105" t="str">
        <f>IFERROR(__xludf.DUMMYFUNCTION("ARRAY_CONSTRAIN(
  ARRAYFORMULA(
    IF(
      'Final Report'!A1760="""",
      """",
      TEXTJOIN(
        "", "" &amp; CHAR(10),
        TRUE,
        IFERROR(
          VLOOKUP(
            TRIM(
              SPLIT('Final Report'!A1760, "","")
         "&amp;"   ),
            'URL Details'!A:B,
            2,
            FALSE
          ),
          """"
        )
      )
    )
  ),
  1,
  1
)
"),"")</f>
        <v/>
      </c>
      <c r="C1760" s="105" t="str">
        <f>IFERROR(__xludf.DUMMYFUNCTION("IFERROR(IF('Final Report'!A1760="""","""", TEXTJOIN(CHAR(10), TRUE, ARRAYFORMULA( ""• ""&amp; FILTER( TRIM(FLATTEN(SPLIT( REGEXREPLACE( SUBSTITUTE(TEXTJOIN("","", TRUE, IFERROR(ARRAYFORMULA(VLOOKUP(TRIM(SPLIT('Final Report'!A1760, "","")), 'URL Details'!A:D, "&amp;"4, FALSE)),"""") ), CHAR(10), "",""), ""\s*,\s*"", "",""), "",""))), TRIM(FLATTEN(SPLIT( REGEXREPLACE( SUBSTITUTE(TEXTJOIN("","", TRUE, IFERROR(ARRAYFORMULA(VLOOKUP(TRIM(SPLIT('Final Report'!A1760, "","")), 'URL Details'!A:D, 4, FALSE)),"""") ), CHAR(10),"&amp;" "",""), ""\s*,\s*"", "",""), "","")))&lt;&gt;"""" ) ) ) ),"""")
"),"")</f>
        <v/>
      </c>
      <c r="D1760" s="105"/>
      <c r="E1760" s="105"/>
      <c r="F1760" s="110" t="b">
        <v>0</v>
      </c>
      <c r="G1760" s="105" t="str">
        <f>IF(F1760=True, IFERROR(VLOOKUP(D1760, Repository!A:B, 2, 0), ""), "")</f>
        <v/>
      </c>
      <c r="H1760" s="105"/>
      <c r="I1760" s="105"/>
      <c r="J1760" s="105" t="str">
        <f>IF(F1760=True, IFERROR(VLOOKUP(D1760, Repository!A:C, 3, 0), ""), "")</f>
        <v/>
      </c>
      <c r="K1760" s="105"/>
      <c r="L1760" s="105" t="str">
        <f>IF(F1760=True, IFERROR(VLOOKUP(D1760, Repository!A:E, 5, 0), ""), "")</f>
        <v/>
      </c>
      <c r="M1760" s="105"/>
      <c r="N1760" s="105" t="str">
        <f>IF(F1760=True, IFERROR(VLOOKUP(D1760, Repository!A:G, 7, 0), ""), "")</f>
        <v/>
      </c>
      <c r="O1760" s="105" t="str">
        <f>IFERROR(__xludf.DUMMYFUNCTION("ARRAY_CONSTRAIN(
  ARRAYFORMULA(
    IFERROR(
      LET(
        list, N1760,
        arr, TRIM(SPLIT(list, "","")),
        names, XLOOKUP(
          arr,
          'Conformance Score'!A:A,
          'Conformance Score'!B:B,
          ""Not found""
     "&amp;"   ),
        TEXTJOIN("", "", TRUE, names)
      ),
      """"
    )
  ),
  1,
  1
)
"),"")</f>
        <v/>
      </c>
      <c r="P1760" s="105" t="str">
        <f>IF(F1760="Yes", IFERROR(VLOOKUP(D1760, Repository!A:F, 6, 0), ""), "")</f>
        <v/>
      </c>
      <c r="Q1760" s="105" t="str">
        <f>IF(F1760="Yes", IFERROR(VLOOKUP(D1760, Repository!A:I, 8, 0), ""), "")</f>
        <v/>
      </c>
      <c r="R1760" s="105" t="str">
        <f>IF(F1760="Yes", IFERROR(VLOOKUP(D1760, Repository!A:J, 9, 0), ""), "")</f>
        <v/>
      </c>
      <c r="S1760" s="105"/>
      <c r="T1760" s="105"/>
      <c r="U1760" s="105"/>
      <c r="V1760" s="105"/>
      <c r="W1760" s="105"/>
      <c r="X1760" s="105"/>
      <c r="Y1760" s="105"/>
      <c r="Z1760" s="105"/>
      <c r="AA1760" s="105"/>
      <c r="AB1760" s="105"/>
      <c r="AC1760" s="91"/>
      <c r="AD1760" s="105"/>
      <c r="AE1760" s="105"/>
      <c r="AF1760" s="91"/>
      <c r="AG1760" s="105"/>
      <c r="AH1760" s="105"/>
      <c r="AI1760" s="105" t="str">
        <f t="shared" si="1"/>
        <v/>
      </c>
      <c r="AJ1760" s="108" t="str">
        <f t="shared" si="2"/>
        <v/>
      </c>
    </row>
    <row r="1761" ht="15.75" customHeight="1">
      <c r="A1761" s="104"/>
      <c r="B1761" s="105" t="str">
        <f>IFERROR(__xludf.DUMMYFUNCTION("ARRAY_CONSTRAIN(
  ARRAYFORMULA(
    IF(
      'Final Report'!A1761="""",
      """",
      TEXTJOIN(
        "", "" &amp; CHAR(10),
        TRUE,
        IFERROR(
          VLOOKUP(
            TRIM(
              SPLIT('Final Report'!A1761, "","")
         "&amp;"   ),
            'URL Details'!A:B,
            2,
            FALSE
          ),
          """"
        )
      )
    )
  ),
  1,
  1
)
"),"")</f>
        <v/>
      </c>
      <c r="C1761" s="105" t="str">
        <f>IFERROR(__xludf.DUMMYFUNCTION("IFERROR(IF('Final Report'!A1761="""","""", TEXTJOIN(CHAR(10), TRUE, ARRAYFORMULA( ""• ""&amp; FILTER( TRIM(FLATTEN(SPLIT( REGEXREPLACE( SUBSTITUTE(TEXTJOIN("","", TRUE, IFERROR(ARRAYFORMULA(VLOOKUP(TRIM(SPLIT('Final Report'!A1761, "","")), 'URL Details'!A:D, "&amp;"4, FALSE)),"""") ), CHAR(10), "",""), ""\s*,\s*"", "",""), "",""))), TRIM(FLATTEN(SPLIT( REGEXREPLACE( SUBSTITUTE(TEXTJOIN("","", TRUE, IFERROR(ARRAYFORMULA(VLOOKUP(TRIM(SPLIT('Final Report'!A1761, "","")), 'URL Details'!A:D, 4, FALSE)),"""") ), CHAR(10),"&amp;" "",""), ""\s*,\s*"", "",""), "","")))&lt;&gt;"""" ) ) ) ),"""")
"),"")</f>
        <v/>
      </c>
      <c r="D1761" s="105"/>
      <c r="E1761" s="105"/>
      <c r="F1761" s="110" t="b">
        <v>0</v>
      </c>
      <c r="G1761" s="105" t="str">
        <f>IF(F1761=True, IFERROR(VLOOKUP(D1761, Repository!A:B, 2, 0), ""), "")</f>
        <v/>
      </c>
      <c r="H1761" s="105"/>
      <c r="I1761" s="105"/>
      <c r="J1761" s="105" t="str">
        <f>IF(F1761=True, IFERROR(VLOOKUP(D1761, Repository!A:C, 3, 0), ""), "")</f>
        <v/>
      </c>
      <c r="K1761" s="105"/>
      <c r="L1761" s="105" t="str">
        <f>IF(F1761=True, IFERROR(VLOOKUP(D1761, Repository!A:E, 5, 0), ""), "")</f>
        <v/>
      </c>
      <c r="M1761" s="105"/>
      <c r="N1761" s="105" t="str">
        <f>IF(F1761=True, IFERROR(VLOOKUP(D1761, Repository!A:G, 7, 0), ""), "")</f>
        <v/>
      </c>
      <c r="O1761" s="105" t="str">
        <f>IFERROR(__xludf.DUMMYFUNCTION("ARRAY_CONSTRAIN(
  ARRAYFORMULA(
    IFERROR(
      LET(
        list, N1761,
        arr, TRIM(SPLIT(list, "","")),
        names, XLOOKUP(
          arr,
          'Conformance Score'!A:A,
          'Conformance Score'!B:B,
          ""Not found""
     "&amp;"   ),
        TEXTJOIN("", "", TRUE, names)
      ),
      """"
    )
  ),
  1,
  1
)
"),"")</f>
        <v/>
      </c>
      <c r="P1761" s="105" t="str">
        <f>IF(F1761="Yes", IFERROR(VLOOKUP(D1761, Repository!A:F, 6, 0), ""), "")</f>
        <v/>
      </c>
      <c r="Q1761" s="105" t="str">
        <f>IF(F1761="Yes", IFERROR(VLOOKUP(D1761, Repository!A:I, 8, 0), ""), "")</f>
        <v/>
      </c>
      <c r="R1761" s="105" t="str">
        <f>IF(F1761="Yes", IFERROR(VLOOKUP(D1761, Repository!A:J, 9, 0), ""), "")</f>
        <v/>
      </c>
      <c r="S1761" s="105"/>
      <c r="T1761" s="105"/>
      <c r="U1761" s="105"/>
      <c r="V1761" s="105"/>
      <c r="W1761" s="105"/>
      <c r="X1761" s="105"/>
      <c r="Y1761" s="105"/>
      <c r="Z1761" s="105"/>
      <c r="AA1761" s="105"/>
      <c r="AB1761" s="105"/>
      <c r="AC1761" s="91"/>
      <c r="AD1761" s="105"/>
      <c r="AE1761" s="105"/>
      <c r="AF1761" s="91"/>
      <c r="AG1761" s="105"/>
      <c r="AH1761" s="105"/>
      <c r="AI1761" s="105" t="str">
        <f t="shared" si="1"/>
        <v/>
      </c>
      <c r="AJ1761" s="108" t="str">
        <f t="shared" si="2"/>
        <v/>
      </c>
    </row>
    <row r="1762" ht="15.75" customHeight="1">
      <c r="A1762" s="104"/>
      <c r="B1762" s="105" t="str">
        <f>IFERROR(__xludf.DUMMYFUNCTION("ARRAY_CONSTRAIN(
  ARRAYFORMULA(
    IF(
      'Final Report'!A1762="""",
      """",
      TEXTJOIN(
        "", "" &amp; CHAR(10),
        TRUE,
        IFERROR(
          VLOOKUP(
            TRIM(
              SPLIT('Final Report'!A1762, "","")
         "&amp;"   ),
            'URL Details'!A:B,
            2,
            FALSE
          ),
          """"
        )
      )
    )
  ),
  1,
  1
)
"),"")</f>
        <v/>
      </c>
      <c r="C1762" s="105" t="str">
        <f>IFERROR(__xludf.DUMMYFUNCTION("IFERROR(IF('Final Report'!A1762="""","""", TEXTJOIN(CHAR(10), TRUE, ARRAYFORMULA( ""• ""&amp; FILTER( TRIM(FLATTEN(SPLIT( REGEXREPLACE( SUBSTITUTE(TEXTJOIN("","", TRUE, IFERROR(ARRAYFORMULA(VLOOKUP(TRIM(SPLIT('Final Report'!A1762, "","")), 'URL Details'!A:D, "&amp;"4, FALSE)),"""") ), CHAR(10), "",""), ""\s*,\s*"", "",""), "",""))), TRIM(FLATTEN(SPLIT( REGEXREPLACE( SUBSTITUTE(TEXTJOIN("","", TRUE, IFERROR(ARRAYFORMULA(VLOOKUP(TRIM(SPLIT('Final Report'!A1762, "","")), 'URL Details'!A:D, 4, FALSE)),"""") ), CHAR(10),"&amp;" "",""), ""\s*,\s*"", "",""), "","")))&lt;&gt;"""" ) ) ) ),"""")
"),"")</f>
        <v/>
      </c>
      <c r="D1762" s="105"/>
      <c r="E1762" s="105"/>
      <c r="F1762" s="110" t="b">
        <v>0</v>
      </c>
      <c r="G1762" s="105" t="str">
        <f>IF(F1762=True, IFERROR(VLOOKUP(D1762, Repository!A:B, 2, 0), ""), "")</f>
        <v/>
      </c>
      <c r="H1762" s="105"/>
      <c r="I1762" s="105"/>
      <c r="J1762" s="105" t="str">
        <f>IF(F1762=True, IFERROR(VLOOKUP(D1762, Repository!A:C, 3, 0), ""), "")</f>
        <v/>
      </c>
      <c r="K1762" s="105"/>
      <c r="L1762" s="105" t="str">
        <f>IF(F1762=True, IFERROR(VLOOKUP(D1762, Repository!A:E, 5, 0), ""), "")</f>
        <v/>
      </c>
      <c r="M1762" s="105"/>
      <c r="N1762" s="105" t="str">
        <f>IF(F1762=True, IFERROR(VLOOKUP(D1762, Repository!A:G, 7, 0), ""), "")</f>
        <v/>
      </c>
      <c r="O1762" s="105" t="str">
        <f>IFERROR(__xludf.DUMMYFUNCTION("ARRAY_CONSTRAIN(
  ARRAYFORMULA(
    IFERROR(
      LET(
        list, N1762,
        arr, TRIM(SPLIT(list, "","")),
        names, XLOOKUP(
          arr,
          'Conformance Score'!A:A,
          'Conformance Score'!B:B,
          ""Not found""
     "&amp;"   ),
        TEXTJOIN("", "", TRUE, names)
      ),
      """"
    )
  ),
  1,
  1
)
"),"")</f>
        <v/>
      </c>
      <c r="P1762" s="105" t="str">
        <f>IF(F1762="Yes", IFERROR(VLOOKUP(D1762, Repository!A:F, 6, 0), ""), "")</f>
        <v/>
      </c>
      <c r="Q1762" s="105" t="str">
        <f>IF(F1762="Yes", IFERROR(VLOOKUP(D1762, Repository!A:I, 8, 0), ""), "")</f>
        <v/>
      </c>
      <c r="R1762" s="105" t="str">
        <f>IF(F1762="Yes", IFERROR(VLOOKUP(D1762, Repository!A:J, 9, 0), ""), "")</f>
        <v/>
      </c>
      <c r="S1762" s="105"/>
      <c r="T1762" s="105"/>
      <c r="U1762" s="105"/>
      <c r="V1762" s="105"/>
      <c r="W1762" s="105"/>
      <c r="X1762" s="105"/>
      <c r="Y1762" s="105"/>
      <c r="Z1762" s="105"/>
      <c r="AA1762" s="105"/>
      <c r="AB1762" s="105"/>
      <c r="AC1762" s="91"/>
      <c r="AD1762" s="105"/>
      <c r="AE1762" s="105"/>
      <c r="AF1762" s="91"/>
      <c r="AG1762" s="105"/>
      <c r="AH1762" s="105"/>
      <c r="AI1762" s="105" t="str">
        <f t="shared" si="1"/>
        <v/>
      </c>
      <c r="AJ1762" s="108" t="str">
        <f t="shared" si="2"/>
        <v/>
      </c>
    </row>
    <row r="1763" ht="15.75" customHeight="1">
      <c r="A1763" s="104"/>
      <c r="B1763" s="105" t="str">
        <f>IFERROR(__xludf.DUMMYFUNCTION("ARRAY_CONSTRAIN(
  ARRAYFORMULA(
    IF(
      'Final Report'!A1763="""",
      """",
      TEXTJOIN(
        "", "" &amp; CHAR(10),
        TRUE,
        IFERROR(
          VLOOKUP(
            TRIM(
              SPLIT('Final Report'!A1763, "","")
         "&amp;"   ),
            'URL Details'!A:B,
            2,
            FALSE
          ),
          """"
        )
      )
    )
  ),
  1,
  1
)
"),"")</f>
        <v/>
      </c>
      <c r="C1763" s="105" t="str">
        <f>IFERROR(__xludf.DUMMYFUNCTION("IFERROR(IF('Final Report'!A1763="""","""", TEXTJOIN(CHAR(10), TRUE, ARRAYFORMULA( ""• ""&amp; FILTER( TRIM(FLATTEN(SPLIT( REGEXREPLACE( SUBSTITUTE(TEXTJOIN("","", TRUE, IFERROR(ARRAYFORMULA(VLOOKUP(TRIM(SPLIT('Final Report'!A1763, "","")), 'URL Details'!A:D, "&amp;"4, FALSE)),"""") ), CHAR(10), "",""), ""\s*,\s*"", "",""), "",""))), TRIM(FLATTEN(SPLIT( REGEXREPLACE( SUBSTITUTE(TEXTJOIN("","", TRUE, IFERROR(ARRAYFORMULA(VLOOKUP(TRIM(SPLIT('Final Report'!A1763, "","")), 'URL Details'!A:D, 4, FALSE)),"""") ), CHAR(10),"&amp;" "",""), ""\s*,\s*"", "",""), "","")))&lt;&gt;"""" ) ) ) ),"""")
"),"")</f>
        <v/>
      </c>
      <c r="D1763" s="105"/>
      <c r="E1763" s="105"/>
      <c r="F1763" s="110" t="b">
        <v>0</v>
      </c>
      <c r="G1763" s="105" t="str">
        <f>IF(F1763=True, IFERROR(VLOOKUP(D1763, Repository!A:B, 2, 0), ""), "")</f>
        <v/>
      </c>
      <c r="H1763" s="105"/>
      <c r="I1763" s="105"/>
      <c r="J1763" s="105" t="str">
        <f>IF(F1763=True, IFERROR(VLOOKUP(D1763, Repository!A:C, 3, 0), ""), "")</f>
        <v/>
      </c>
      <c r="K1763" s="105"/>
      <c r="L1763" s="105" t="str">
        <f>IF(F1763=True, IFERROR(VLOOKUP(D1763, Repository!A:E, 5, 0), ""), "")</f>
        <v/>
      </c>
      <c r="M1763" s="105"/>
      <c r="N1763" s="105" t="str">
        <f>IF(F1763=True, IFERROR(VLOOKUP(D1763, Repository!A:G, 7, 0), ""), "")</f>
        <v/>
      </c>
      <c r="O1763" s="105" t="str">
        <f>IFERROR(__xludf.DUMMYFUNCTION("ARRAY_CONSTRAIN(
  ARRAYFORMULA(
    IFERROR(
      LET(
        list, N1763,
        arr, TRIM(SPLIT(list, "","")),
        names, XLOOKUP(
          arr,
          'Conformance Score'!A:A,
          'Conformance Score'!B:B,
          ""Not found""
     "&amp;"   ),
        TEXTJOIN("", "", TRUE, names)
      ),
      """"
    )
  ),
  1,
  1
)
"),"")</f>
        <v/>
      </c>
      <c r="P1763" s="105" t="str">
        <f>IF(F1763="Yes", IFERROR(VLOOKUP(D1763, Repository!A:F, 6, 0), ""), "")</f>
        <v/>
      </c>
      <c r="Q1763" s="105" t="str">
        <f>IF(F1763="Yes", IFERROR(VLOOKUP(D1763, Repository!A:I, 8, 0), ""), "")</f>
        <v/>
      </c>
      <c r="R1763" s="105" t="str">
        <f>IF(F1763="Yes", IFERROR(VLOOKUP(D1763, Repository!A:J, 9, 0), ""), "")</f>
        <v/>
      </c>
      <c r="S1763" s="105"/>
      <c r="T1763" s="105"/>
      <c r="U1763" s="105"/>
      <c r="V1763" s="105"/>
      <c r="W1763" s="105"/>
      <c r="X1763" s="105"/>
      <c r="Y1763" s="105"/>
      <c r="Z1763" s="105"/>
      <c r="AA1763" s="105"/>
      <c r="AB1763" s="105"/>
      <c r="AC1763" s="91"/>
      <c r="AD1763" s="105"/>
      <c r="AE1763" s="105"/>
      <c r="AF1763" s="91"/>
      <c r="AG1763" s="105"/>
      <c r="AH1763" s="105"/>
      <c r="AI1763" s="105" t="str">
        <f t="shared" si="1"/>
        <v/>
      </c>
      <c r="AJ1763" s="108" t="str">
        <f t="shared" si="2"/>
        <v/>
      </c>
    </row>
    <row r="1764" ht="15.75" customHeight="1">
      <c r="A1764" s="104"/>
      <c r="B1764" s="105" t="str">
        <f>IFERROR(__xludf.DUMMYFUNCTION("ARRAY_CONSTRAIN(
  ARRAYFORMULA(
    IF(
      'Final Report'!A1764="""",
      """",
      TEXTJOIN(
        "", "" &amp; CHAR(10),
        TRUE,
        IFERROR(
          VLOOKUP(
            TRIM(
              SPLIT('Final Report'!A1764, "","")
         "&amp;"   ),
            'URL Details'!A:B,
            2,
            FALSE
          ),
          """"
        )
      )
    )
  ),
  1,
  1
)
"),"")</f>
        <v/>
      </c>
      <c r="C1764" s="105" t="str">
        <f>IFERROR(__xludf.DUMMYFUNCTION("IFERROR(IF('Final Report'!A1764="""","""", TEXTJOIN(CHAR(10), TRUE, ARRAYFORMULA( ""• ""&amp; FILTER( TRIM(FLATTEN(SPLIT( REGEXREPLACE( SUBSTITUTE(TEXTJOIN("","", TRUE, IFERROR(ARRAYFORMULA(VLOOKUP(TRIM(SPLIT('Final Report'!A1764, "","")), 'URL Details'!A:D, "&amp;"4, FALSE)),"""") ), CHAR(10), "",""), ""\s*,\s*"", "",""), "",""))), TRIM(FLATTEN(SPLIT( REGEXREPLACE( SUBSTITUTE(TEXTJOIN("","", TRUE, IFERROR(ARRAYFORMULA(VLOOKUP(TRIM(SPLIT('Final Report'!A1764, "","")), 'URL Details'!A:D, 4, FALSE)),"""") ), CHAR(10),"&amp;" "",""), ""\s*,\s*"", "",""), "","")))&lt;&gt;"""" ) ) ) ),"""")
"),"")</f>
        <v/>
      </c>
      <c r="D1764" s="105"/>
      <c r="E1764" s="105"/>
      <c r="F1764" s="110" t="b">
        <v>0</v>
      </c>
      <c r="G1764" s="105" t="str">
        <f>IF(F1764=True, IFERROR(VLOOKUP(D1764, Repository!A:B, 2, 0), ""), "")</f>
        <v/>
      </c>
      <c r="H1764" s="105"/>
      <c r="I1764" s="105"/>
      <c r="J1764" s="105" t="str">
        <f>IF(F1764=True, IFERROR(VLOOKUP(D1764, Repository!A:C, 3, 0), ""), "")</f>
        <v/>
      </c>
      <c r="K1764" s="105"/>
      <c r="L1764" s="105" t="str">
        <f>IF(F1764=True, IFERROR(VLOOKUP(D1764, Repository!A:E, 5, 0), ""), "")</f>
        <v/>
      </c>
      <c r="M1764" s="105"/>
      <c r="N1764" s="105" t="str">
        <f>IF(F1764=True, IFERROR(VLOOKUP(D1764, Repository!A:G, 7, 0), ""), "")</f>
        <v/>
      </c>
      <c r="O1764" s="105" t="str">
        <f>IFERROR(__xludf.DUMMYFUNCTION("ARRAY_CONSTRAIN(
  ARRAYFORMULA(
    IFERROR(
      LET(
        list, N1764,
        arr, TRIM(SPLIT(list, "","")),
        names, XLOOKUP(
          arr,
          'Conformance Score'!A:A,
          'Conformance Score'!B:B,
          ""Not found""
     "&amp;"   ),
        TEXTJOIN("", "", TRUE, names)
      ),
      """"
    )
  ),
  1,
  1
)
"),"")</f>
        <v/>
      </c>
      <c r="P1764" s="105" t="str">
        <f>IF(F1764="Yes", IFERROR(VLOOKUP(D1764, Repository!A:F, 6, 0), ""), "")</f>
        <v/>
      </c>
      <c r="Q1764" s="105" t="str">
        <f>IF(F1764="Yes", IFERROR(VLOOKUP(D1764, Repository!A:I, 8, 0), ""), "")</f>
        <v/>
      </c>
      <c r="R1764" s="105" t="str">
        <f>IF(F1764="Yes", IFERROR(VLOOKUP(D1764, Repository!A:J, 9, 0), ""), "")</f>
        <v/>
      </c>
      <c r="S1764" s="105"/>
      <c r="T1764" s="105"/>
      <c r="U1764" s="105"/>
      <c r="V1764" s="105"/>
      <c r="W1764" s="105"/>
      <c r="X1764" s="105"/>
      <c r="Y1764" s="105"/>
      <c r="Z1764" s="105"/>
      <c r="AA1764" s="105"/>
      <c r="AB1764" s="105"/>
      <c r="AC1764" s="91"/>
      <c r="AD1764" s="105"/>
      <c r="AE1764" s="105"/>
      <c r="AF1764" s="91"/>
      <c r="AG1764" s="105"/>
      <c r="AH1764" s="105"/>
      <c r="AI1764" s="105" t="str">
        <f t="shared" si="1"/>
        <v/>
      </c>
      <c r="AJ1764" s="108" t="str">
        <f t="shared" si="2"/>
        <v/>
      </c>
    </row>
    <row r="1765" ht="15.75" customHeight="1">
      <c r="A1765" s="104"/>
      <c r="B1765" s="105" t="str">
        <f>IFERROR(__xludf.DUMMYFUNCTION("ARRAY_CONSTRAIN(
  ARRAYFORMULA(
    IF(
      'Final Report'!A1765="""",
      """",
      TEXTJOIN(
        "", "" &amp; CHAR(10),
        TRUE,
        IFERROR(
          VLOOKUP(
            TRIM(
              SPLIT('Final Report'!A1765, "","")
         "&amp;"   ),
            'URL Details'!A:B,
            2,
            FALSE
          ),
          """"
        )
      )
    )
  ),
  1,
  1
)
"),"")</f>
        <v/>
      </c>
      <c r="C1765" s="105" t="str">
        <f>IFERROR(__xludf.DUMMYFUNCTION("IFERROR(IF('Final Report'!A1765="""","""", TEXTJOIN(CHAR(10), TRUE, ARRAYFORMULA( ""• ""&amp; FILTER( TRIM(FLATTEN(SPLIT( REGEXREPLACE( SUBSTITUTE(TEXTJOIN("","", TRUE, IFERROR(ARRAYFORMULA(VLOOKUP(TRIM(SPLIT('Final Report'!A1765, "","")), 'URL Details'!A:D, "&amp;"4, FALSE)),"""") ), CHAR(10), "",""), ""\s*,\s*"", "",""), "",""))), TRIM(FLATTEN(SPLIT( REGEXREPLACE( SUBSTITUTE(TEXTJOIN("","", TRUE, IFERROR(ARRAYFORMULA(VLOOKUP(TRIM(SPLIT('Final Report'!A1765, "","")), 'URL Details'!A:D, 4, FALSE)),"""") ), CHAR(10),"&amp;" "",""), ""\s*,\s*"", "",""), "","")))&lt;&gt;"""" ) ) ) ),"""")
"),"")</f>
        <v/>
      </c>
      <c r="D1765" s="105"/>
      <c r="E1765" s="105"/>
      <c r="F1765" s="110" t="b">
        <v>0</v>
      </c>
      <c r="G1765" s="105" t="str">
        <f>IF(F1765=True, IFERROR(VLOOKUP(D1765, Repository!A:B, 2, 0), ""), "")</f>
        <v/>
      </c>
      <c r="H1765" s="105"/>
      <c r="I1765" s="105"/>
      <c r="J1765" s="105" t="str">
        <f>IF(F1765=True, IFERROR(VLOOKUP(D1765, Repository!A:C, 3, 0), ""), "")</f>
        <v/>
      </c>
      <c r="K1765" s="105"/>
      <c r="L1765" s="105" t="str">
        <f>IF(F1765=True, IFERROR(VLOOKUP(D1765, Repository!A:E, 5, 0), ""), "")</f>
        <v/>
      </c>
      <c r="M1765" s="105"/>
      <c r="N1765" s="105" t="str">
        <f>IF(F1765=True, IFERROR(VLOOKUP(D1765, Repository!A:G, 7, 0), ""), "")</f>
        <v/>
      </c>
      <c r="O1765" s="105" t="str">
        <f>IFERROR(__xludf.DUMMYFUNCTION("ARRAY_CONSTRAIN(
  ARRAYFORMULA(
    IFERROR(
      LET(
        list, N1765,
        arr, TRIM(SPLIT(list, "","")),
        names, XLOOKUP(
          arr,
          'Conformance Score'!A:A,
          'Conformance Score'!B:B,
          ""Not found""
     "&amp;"   ),
        TEXTJOIN("", "", TRUE, names)
      ),
      """"
    )
  ),
  1,
  1
)
"),"")</f>
        <v/>
      </c>
      <c r="P1765" s="105" t="str">
        <f>IF(F1765="Yes", IFERROR(VLOOKUP(D1765, Repository!A:F, 6, 0), ""), "")</f>
        <v/>
      </c>
      <c r="Q1765" s="105" t="str">
        <f>IF(F1765="Yes", IFERROR(VLOOKUP(D1765, Repository!A:I, 8, 0), ""), "")</f>
        <v/>
      </c>
      <c r="R1765" s="105" t="str">
        <f>IF(F1765="Yes", IFERROR(VLOOKUP(D1765, Repository!A:J, 9, 0), ""), "")</f>
        <v/>
      </c>
      <c r="S1765" s="105"/>
      <c r="T1765" s="105"/>
      <c r="U1765" s="105"/>
      <c r="V1765" s="105"/>
      <c r="W1765" s="105"/>
      <c r="X1765" s="105"/>
      <c r="Y1765" s="105"/>
      <c r="Z1765" s="105"/>
      <c r="AA1765" s="105"/>
      <c r="AB1765" s="105"/>
      <c r="AC1765" s="91"/>
      <c r="AD1765" s="105"/>
      <c r="AE1765" s="105"/>
      <c r="AF1765" s="91"/>
      <c r="AG1765" s="105"/>
      <c r="AH1765" s="105"/>
      <c r="AI1765" s="105" t="str">
        <f t="shared" si="1"/>
        <v/>
      </c>
      <c r="AJ1765" s="108" t="str">
        <f t="shared" si="2"/>
        <v/>
      </c>
    </row>
    <row r="1766" ht="15.75" customHeight="1">
      <c r="A1766" s="104"/>
      <c r="B1766" s="105" t="str">
        <f>IFERROR(__xludf.DUMMYFUNCTION("ARRAY_CONSTRAIN(
  ARRAYFORMULA(
    IF(
      'Final Report'!A1766="""",
      """",
      TEXTJOIN(
        "", "" &amp; CHAR(10),
        TRUE,
        IFERROR(
          VLOOKUP(
            TRIM(
              SPLIT('Final Report'!A1766, "","")
         "&amp;"   ),
            'URL Details'!A:B,
            2,
            FALSE
          ),
          """"
        )
      )
    )
  ),
  1,
  1
)
"),"")</f>
        <v/>
      </c>
      <c r="C1766" s="105" t="str">
        <f>IFERROR(__xludf.DUMMYFUNCTION("IFERROR(IF('Final Report'!A1766="""","""", TEXTJOIN(CHAR(10), TRUE, ARRAYFORMULA( ""• ""&amp; FILTER( TRIM(FLATTEN(SPLIT( REGEXREPLACE( SUBSTITUTE(TEXTJOIN("","", TRUE, IFERROR(ARRAYFORMULA(VLOOKUP(TRIM(SPLIT('Final Report'!A1766, "","")), 'URL Details'!A:D, "&amp;"4, FALSE)),"""") ), CHAR(10), "",""), ""\s*,\s*"", "",""), "",""))), TRIM(FLATTEN(SPLIT( REGEXREPLACE( SUBSTITUTE(TEXTJOIN("","", TRUE, IFERROR(ARRAYFORMULA(VLOOKUP(TRIM(SPLIT('Final Report'!A1766, "","")), 'URL Details'!A:D, 4, FALSE)),"""") ), CHAR(10),"&amp;" "",""), ""\s*,\s*"", "",""), "","")))&lt;&gt;"""" ) ) ) ),"""")
"),"")</f>
        <v/>
      </c>
      <c r="D1766" s="105"/>
      <c r="E1766" s="105"/>
      <c r="F1766" s="110" t="b">
        <v>0</v>
      </c>
      <c r="G1766" s="105" t="str">
        <f>IF(F1766=True, IFERROR(VLOOKUP(D1766, Repository!A:B, 2, 0), ""), "")</f>
        <v/>
      </c>
      <c r="H1766" s="105"/>
      <c r="I1766" s="105"/>
      <c r="J1766" s="105" t="str">
        <f>IF(F1766=True, IFERROR(VLOOKUP(D1766, Repository!A:C, 3, 0), ""), "")</f>
        <v/>
      </c>
      <c r="K1766" s="105"/>
      <c r="L1766" s="105" t="str">
        <f>IF(F1766=True, IFERROR(VLOOKUP(D1766, Repository!A:E, 5, 0), ""), "")</f>
        <v/>
      </c>
      <c r="M1766" s="105"/>
      <c r="N1766" s="105" t="str">
        <f>IF(F1766=True, IFERROR(VLOOKUP(D1766, Repository!A:G, 7, 0), ""), "")</f>
        <v/>
      </c>
      <c r="O1766" s="105" t="str">
        <f>IFERROR(__xludf.DUMMYFUNCTION("ARRAY_CONSTRAIN(
  ARRAYFORMULA(
    IFERROR(
      LET(
        list, N1766,
        arr, TRIM(SPLIT(list, "","")),
        names, XLOOKUP(
          arr,
          'Conformance Score'!A:A,
          'Conformance Score'!B:B,
          ""Not found""
     "&amp;"   ),
        TEXTJOIN("", "", TRUE, names)
      ),
      """"
    )
  ),
  1,
  1
)
"),"")</f>
        <v/>
      </c>
      <c r="P1766" s="105" t="str">
        <f>IF(F1766="Yes", IFERROR(VLOOKUP(D1766, Repository!A:F, 6, 0), ""), "")</f>
        <v/>
      </c>
      <c r="Q1766" s="105" t="str">
        <f>IF(F1766="Yes", IFERROR(VLOOKUP(D1766, Repository!A:I, 8, 0), ""), "")</f>
        <v/>
      </c>
      <c r="R1766" s="105" t="str">
        <f>IF(F1766="Yes", IFERROR(VLOOKUP(D1766, Repository!A:J, 9, 0), ""), "")</f>
        <v/>
      </c>
      <c r="S1766" s="105"/>
      <c r="T1766" s="105"/>
      <c r="U1766" s="105"/>
      <c r="V1766" s="105"/>
      <c r="W1766" s="105"/>
      <c r="X1766" s="105"/>
      <c r="Y1766" s="105"/>
      <c r="Z1766" s="105"/>
      <c r="AA1766" s="105"/>
      <c r="AB1766" s="105"/>
      <c r="AC1766" s="91"/>
      <c r="AD1766" s="105"/>
      <c r="AE1766" s="105"/>
      <c r="AF1766" s="91"/>
      <c r="AG1766" s="105"/>
      <c r="AH1766" s="105"/>
      <c r="AI1766" s="105" t="str">
        <f t="shared" si="1"/>
        <v/>
      </c>
      <c r="AJ1766" s="108" t="str">
        <f t="shared" si="2"/>
        <v/>
      </c>
    </row>
    <row r="1767" ht="15.75" customHeight="1">
      <c r="A1767" s="104"/>
      <c r="B1767" s="105" t="str">
        <f>IFERROR(__xludf.DUMMYFUNCTION("ARRAY_CONSTRAIN(
  ARRAYFORMULA(
    IF(
      'Final Report'!A1767="""",
      """",
      TEXTJOIN(
        "", "" &amp; CHAR(10),
        TRUE,
        IFERROR(
          VLOOKUP(
            TRIM(
              SPLIT('Final Report'!A1767, "","")
         "&amp;"   ),
            'URL Details'!A:B,
            2,
            FALSE
          ),
          """"
        )
      )
    )
  ),
  1,
  1
)
"),"")</f>
        <v/>
      </c>
      <c r="C1767" s="105" t="str">
        <f>IFERROR(__xludf.DUMMYFUNCTION("IFERROR(IF('Final Report'!A1767="""","""", TEXTJOIN(CHAR(10), TRUE, ARRAYFORMULA( ""• ""&amp; FILTER( TRIM(FLATTEN(SPLIT( REGEXREPLACE( SUBSTITUTE(TEXTJOIN("","", TRUE, IFERROR(ARRAYFORMULA(VLOOKUP(TRIM(SPLIT('Final Report'!A1767, "","")), 'URL Details'!A:D, "&amp;"4, FALSE)),"""") ), CHAR(10), "",""), ""\s*,\s*"", "",""), "",""))), TRIM(FLATTEN(SPLIT( REGEXREPLACE( SUBSTITUTE(TEXTJOIN("","", TRUE, IFERROR(ARRAYFORMULA(VLOOKUP(TRIM(SPLIT('Final Report'!A1767, "","")), 'URL Details'!A:D, 4, FALSE)),"""") ), CHAR(10),"&amp;" "",""), ""\s*,\s*"", "",""), "","")))&lt;&gt;"""" ) ) ) ),"""")
"),"")</f>
        <v/>
      </c>
      <c r="D1767" s="105"/>
      <c r="E1767" s="105"/>
      <c r="F1767" s="110" t="b">
        <v>0</v>
      </c>
      <c r="G1767" s="105" t="str">
        <f>IF(F1767=True, IFERROR(VLOOKUP(D1767, Repository!A:B, 2, 0), ""), "")</f>
        <v/>
      </c>
      <c r="H1767" s="105"/>
      <c r="I1767" s="105"/>
      <c r="J1767" s="105" t="str">
        <f>IF(F1767=True, IFERROR(VLOOKUP(D1767, Repository!A:C, 3, 0), ""), "")</f>
        <v/>
      </c>
      <c r="K1767" s="105"/>
      <c r="L1767" s="105" t="str">
        <f>IF(F1767=True, IFERROR(VLOOKUP(D1767, Repository!A:E, 5, 0), ""), "")</f>
        <v/>
      </c>
      <c r="M1767" s="105"/>
      <c r="N1767" s="105" t="str">
        <f>IF(F1767=True, IFERROR(VLOOKUP(D1767, Repository!A:G, 7, 0), ""), "")</f>
        <v/>
      </c>
      <c r="O1767" s="105" t="str">
        <f>IFERROR(__xludf.DUMMYFUNCTION("ARRAY_CONSTRAIN(
  ARRAYFORMULA(
    IFERROR(
      LET(
        list, N1767,
        arr, TRIM(SPLIT(list, "","")),
        names, XLOOKUP(
          arr,
          'Conformance Score'!A:A,
          'Conformance Score'!B:B,
          ""Not found""
     "&amp;"   ),
        TEXTJOIN("", "", TRUE, names)
      ),
      """"
    )
  ),
  1,
  1
)
"),"")</f>
        <v/>
      </c>
      <c r="P1767" s="105" t="str">
        <f>IF(F1767="Yes", IFERROR(VLOOKUP(D1767, Repository!A:F, 6, 0), ""), "")</f>
        <v/>
      </c>
      <c r="Q1767" s="105" t="str">
        <f>IF(F1767="Yes", IFERROR(VLOOKUP(D1767, Repository!A:I, 8, 0), ""), "")</f>
        <v/>
      </c>
      <c r="R1767" s="105" t="str">
        <f>IF(F1767="Yes", IFERROR(VLOOKUP(D1767, Repository!A:J, 9, 0), ""), "")</f>
        <v/>
      </c>
      <c r="S1767" s="105"/>
      <c r="T1767" s="105"/>
      <c r="U1767" s="105"/>
      <c r="V1767" s="105"/>
      <c r="W1767" s="105"/>
      <c r="X1767" s="105"/>
      <c r="Y1767" s="105"/>
      <c r="Z1767" s="105"/>
      <c r="AA1767" s="105"/>
      <c r="AB1767" s="105"/>
      <c r="AC1767" s="91"/>
      <c r="AD1767" s="105"/>
      <c r="AE1767" s="105"/>
      <c r="AF1767" s="91"/>
      <c r="AG1767" s="105"/>
      <c r="AH1767" s="105"/>
      <c r="AI1767" s="105" t="str">
        <f t="shared" si="1"/>
        <v/>
      </c>
      <c r="AJ1767" s="108" t="str">
        <f t="shared" si="2"/>
        <v/>
      </c>
    </row>
    <row r="1768" ht="15.75" customHeight="1">
      <c r="A1768" s="104"/>
      <c r="B1768" s="105" t="str">
        <f>IFERROR(__xludf.DUMMYFUNCTION("ARRAY_CONSTRAIN(
  ARRAYFORMULA(
    IF(
      'Final Report'!A1768="""",
      """",
      TEXTJOIN(
        "", "" &amp; CHAR(10),
        TRUE,
        IFERROR(
          VLOOKUP(
            TRIM(
              SPLIT('Final Report'!A1768, "","")
         "&amp;"   ),
            'URL Details'!A:B,
            2,
            FALSE
          ),
          """"
        )
      )
    )
  ),
  1,
  1
)
"),"")</f>
        <v/>
      </c>
      <c r="C1768" s="105" t="str">
        <f>IFERROR(__xludf.DUMMYFUNCTION("IFERROR(IF('Final Report'!A1768="""","""", TEXTJOIN(CHAR(10), TRUE, ARRAYFORMULA( ""• ""&amp; FILTER( TRIM(FLATTEN(SPLIT( REGEXREPLACE( SUBSTITUTE(TEXTJOIN("","", TRUE, IFERROR(ARRAYFORMULA(VLOOKUP(TRIM(SPLIT('Final Report'!A1768, "","")), 'URL Details'!A:D, "&amp;"4, FALSE)),"""") ), CHAR(10), "",""), ""\s*,\s*"", "",""), "",""))), TRIM(FLATTEN(SPLIT( REGEXREPLACE( SUBSTITUTE(TEXTJOIN("","", TRUE, IFERROR(ARRAYFORMULA(VLOOKUP(TRIM(SPLIT('Final Report'!A1768, "","")), 'URL Details'!A:D, 4, FALSE)),"""") ), CHAR(10),"&amp;" "",""), ""\s*,\s*"", "",""), "","")))&lt;&gt;"""" ) ) ) ),"""")
"),"")</f>
        <v/>
      </c>
      <c r="D1768" s="105"/>
      <c r="E1768" s="105"/>
      <c r="F1768" s="110" t="b">
        <v>0</v>
      </c>
      <c r="G1768" s="105" t="str">
        <f>IF(F1768=True, IFERROR(VLOOKUP(D1768, Repository!A:B, 2, 0), ""), "")</f>
        <v/>
      </c>
      <c r="H1768" s="105"/>
      <c r="I1768" s="105"/>
      <c r="J1768" s="105" t="str">
        <f>IF(F1768=True, IFERROR(VLOOKUP(D1768, Repository!A:C, 3, 0), ""), "")</f>
        <v/>
      </c>
      <c r="K1768" s="105"/>
      <c r="L1768" s="105" t="str">
        <f>IF(F1768=True, IFERROR(VLOOKUP(D1768, Repository!A:E, 5, 0), ""), "")</f>
        <v/>
      </c>
      <c r="M1768" s="105"/>
      <c r="N1768" s="105" t="str">
        <f>IF(F1768=True, IFERROR(VLOOKUP(D1768, Repository!A:G, 7, 0), ""), "")</f>
        <v/>
      </c>
      <c r="O1768" s="105" t="str">
        <f>IFERROR(__xludf.DUMMYFUNCTION("ARRAY_CONSTRAIN(
  ARRAYFORMULA(
    IFERROR(
      LET(
        list, N1768,
        arr, TRIM(SPLIT(list, "","")),
        names, XLOOKUP(
          arr,
          'Conformance Score'!A:A,
          'Conformance Score'!B:B,
          ""Not found""
     "&amp;"   ),
        TEXTJOIN("", "", TRUE, names)
      ),
      """"
    )
  ),
  1,
  1
)
"),"")</f>
        <v/>
      </c>
      <c r="P1768" s="105" t="str">
        <f>IF(F1768="Yes", IFERROR(VLOOKUP(D1768, Repository!A:F, 6, 0), ""), "")</f>
        <v/>
      </c>
      <c r="Q1768" s="105" t="str">
        <f>IF(F1768="Yes", IFERROR(VLOOKUP(D1768, Repository!A:I, 8, 0), ""), "")</f>
        <v/>
      </c>
      <c r="R1768" s="105" t="str">
        <f>IF(F1768="Yes", IFERROR(VLOOKUP(D1768, Repository!A:J, 9, 0), ""), "")</f>
        <v/>
      </c>
      <c r="S1768" s="105"/>
      <c r="T1768" s="105"/>
      <c r="U1768" s="105"/>
      <c r="V1768" s="105"/>
      <c r="W1768" s="105"/>
      <c r="X1768" s="105"/>
      <c r="Y1768" s="105"/>
      <c r="Z1768" s="105"/>
      <c r="AA1768" s="105"/>
      <c r="AB1768" s="105"/>
      <c r="AC1768" s="91"/>
      <c r="AD1768" s="105"/>
      <c r="AE1768" s="105"/>
      <c r="AF1768" s="91"/>
      <c r="AG1768" s="105"/>
      <c r="AH1768" s="105"/>
      <c r="AI1768" s="105" t="str">
        <f t="shared" si="1"/>
        <v/>
      </c>
      <c r="AJ1768" s="108" t="str">
        <f t="shared" si="2"/>
        <v/>
      </c>
    </row>
    <row r="1769" ht="15.75" customHeight="1">
      <c r="A1769" s="104"/>
      <c r="B1769" s="105" t="str">
        <f>IFERROR(__xludf.DUMMYFUNCTION("ARRAY_CONSTRAIN(
  ARRAYFORMULA(
    IF(
      'Final Report'!A1769="""",
      """",
      TEXTJOIN(
        "", "" &amp; CHAR(10),
        TRUE,
        IFERROR(
          VLOOKUP(
            TRIM(
              SPLIT('Final Report'!A1769, "","")
         "&amp;"   ),
            'URL Details'!A:B,
            2,
            FALSE
          ),
          """"
        )
      )
    )
  ),
  1,
  1
)
"),"")</f>
        <v/>
      </c>
      <c r="C1769" s="105" t="str">
        <f>IFERROR(__xludf.DUMMYFUNCTION("IFERROR(IF('Final Report'!A1769="""","""", TEXTJOIN(CHAR(10), TRUE, ARRAYFORMULA( ""• ""&amp; FILTER( TRIM(FLATTEN(SPLIT( REGEXREPLACE( SUBSTITUTE(TEXTJOIN("","", TRUE, IFERROR(ARRAYFORMULA(VLOOKUP(TRIM(SPLIT('Final Report'!A1769, "","")), 'URL Details'!A:D, "&amp;"4, FALSE)),"""") ), CHAR(10), "",""), ""\s*,\s*"", "",""), "",""))), TRIM(FLATTEN(SPLIT( REGEXREPLACE( SUBSTITUTE(TEXTJOIN("","", TRUE, IFERROR(ARRAYFORMULA(VLOOKUP(TRIM(SPLIT('Final Report'!A1769, "","")), 'URL Details'!A:D, 4, FALSE)),"""") ), CHAR(10),"&amp;" "",""), ""\s*,\s*"", "",""), "","")))&lt;&gt;"""" ) ) ) ),"""")
"),"")</f>
        <v/>
      </c>
      <c r="D1769" s="105"/>
      <c r="E1769" s="105"/>
      <c r="F1769" s="110" t="b">
        <v>0</v>
      </c>
      <c r="G1769" s="105" t="str">
        <f>IF(F1769=True, IFERROR(VLOOKUP(D1769, Repository!A:B, 2, 0), ""), "")</f>
        <v/>
      </c>
      <c r="H1769" s="105"/>
      <c r="I1769" s="105"/>
      <c r="J1769" s="105" t="str">
        <f>IF(F1769=True, IFERROR(VLOOKUP(D1769, Repository!A:C, 3, 0), ""), "")</f>
        <v/>
      </c>
      <c r="K1769" s="105"/>
      <c r="L1769" s="105" t="str">
        <f>IF(F1769=True, IFERROR(VLOOKUP(D1769, Repository!A:E, 5, 0), ""), "")</f>
        <v/>
      </c>
      <c r="M1769" s="105"/>
      <c r="N1769" s="105" t="str">
        <f>IF(F1769=True, IFERROR(VLOOKUP(D1769, Repository!A:G, 7, 0), ""), "")</f>
        <v/>
      </c>
      <c r="O1769" s="105" t="str">
        <f>IFERROR(__xludf.DUMMYFUNCTION("ARRAY_CONSTRAIN(
  ARRAYFORMULA(
    IFERROR(
      LET(
        list, N1769,
        arr, TRIM(SPLIT(list, "","")),
        names, XLOOKUP(
          arr,
          'Conformance Score'!A:A,
          'Conformance Score'!B:B,
          ""Not found""
     "&amp;"   ),
        TEXTJOIN("", "", TRUE, names)
      ),
      """"
    )
  ),
  1,
  1
)
"),"")</f>
        <v/>
      </c>
      <c r="P1769" s="105" t="str">
        <f>IF(F1769="Yes", IFERROR(VLOOKUP(D1769, Repository!A:F, 6, 0), ""), "")</f>
        <v/>
      </c>
      <c r="Q1769" s="105" t="str">
        <f>IF(F1769="Yes", IFERROR(VLOOKUP(D1769, Repository!A:I, 8, 0), ""), "")</f>
        <v/>
      </c>
      <c r="R1769" s="105" t="str">
        <f>IF(F1769="Yes", IFERROR(VLOOKUP(D1769, Repository!A:J, 9, 0), ""), "")</f>
        <v/>
      </c>
      <c r="S1769" s="105"/>
      <c r="T1769" s="105"/>
      <c r="U1769" s="105"/>
      <c r="V1769" s="105"/>
      <c r="W1769" s="105"/>
      <c r="X1769" s="105"/>
      <c r="Y1769" s="105"/>
      <c r="Z1769" s="105"/>
      <c r="AA1769" s="105"/>
      <c r="AB1769" s="105"/>
      <c r="AC1769" s="91"/>
      <c r="AD1769" s="105"/>
      <c r="AE1769" s="105"/>
      <c r="AF1769" s="91"/>
      <c r="AG1769" s="105"/>
      <c r="AH1769" s="105"/>
      <c r="AI1769" s="105" t="str">
        <f t="shared" si="1"/>
        <v/>
      </c>
      <c r="AJ1769" s="108" t="str">
        <f t="shared" si="2"/>
        <v/>
      </c>
    </row>
    <row r="1770" ht="15.75" customHeight="1">
      <c r="A1770" s="104"/>
      <c r="B1770" s="105" t="str">
        <f>IFERROR(__xludf.DUMMYFUNCTION("ARRAY_CONSTRAIN(
  ARRAYFORMULA(
    IF(
      'Final Report'!A1770="""",
      """",
      TEXTJOIN(
        "", "" &amp; CHAR(10),
        TRUE,
        IFERROR(
          VLOOKUP(
            TRIM(
              SPLIT('Final Report'!A1770, "","")
         "&amp;"   ),
            'URL Details'!A:B,
            2,
            FALSE
          ),
          """"
        )
      )
    )
  ),
  1,
  1
)
"),"")</f>
        <v/>
      </c>
      <c r="C1770" s="105" t="str">
        <f>IFERROR(__xludf.DUMMYFUNCTION("IFERROR(IF('Final Report'!A1770="""","""", TEXTJOIN(CHAR(10), TRUE, ARRAYFORMULA( ""• ""&amp; FILTER( TRIM(FLATTEN(SPLIT( REGEXREPLACE( SUBSTITUTE(TEXTJOIN("","", TRUE, IFERROR(ARRAYFORMULA(VLOOKUP(TRIM(SPLIT('Final Report'!A1770, "","")), 'URL Details'!A:D, "&amp;"4, FALSE)),"""") ), CHAR(10), "",""), ""\s*,\s*"", "",""), "",""))), TRIM(FLATTEN(SPLIT( REGEXREPLACE( SUBSTITUTE(TEXTJOIN("","", TRUE, IFERROR(ARRAYFORMULA(VLOOKUP(TRIM(SPLIT('Final Report'!A1770, "","")), 'URL Details'!A:D, 4, FALSE)),"""") ), CHAR(10),"&amp;" "",""), ""\s*,\s*"", "",""), "","")))&lt;&gt;"""" ) ) ) ),"""")
"),"")</f>
        <v/>
      </c>
      <c r="D1770" s="105"/>
      <c r="E1770" s="105"/>
      <c r="F1770" s="110" t="b">
        <v>0</v>
      </c>
      <c r="G1770" s="105" t="str">
        <f>IF(F1770=True, IFERROR(VLOOKUP(D1770, Repository!A:B, 2, 0), ""), "")</f>
        <v/>
      </c>
      <c r="H1770" s="105"/>
      <c r="I1770" s="105"/>
      <c r="J1770" s="105" t="str">
        <f>IF(F1770=True, IFERROR(VLOOKUP(D1770, Repository!A:C, 3, 0), ""), "")</f>
        <v/>
      </c>
      <c r="K1770" s="105"/>
      <c r="L1770" s="105" t="str">
        <f>IF(F1770=True, IFERROR(VLOOKUP(D1770, Repository!A:E, 5, 0), ""), "")</f>
        <v/>
      </c>
      <c r="M1770" s="105"/>
      <c r="N1770" s="105" t="str">
        <f>IF(F1770=True, IFERROR(VLOOKUP(D1770, Repository!A:G, 7, 0), ""), "")</f>
        <v/>
      </c>
      <c r="O1770" s="105" t="str">
        <f>IFERROR(__xludf.DUMMYFUNCTION("ARRAY_CONSTRAIN(
  ARRAYFORMULA(
    IFERROR(
      LET(
        list, N1770,
        arr, TRIM(SPLIT(list, "","")),
        names, XLOOKUP(
          arr,
          'Conformance Score'!A:A,
          'Conformance Score'!B:B,
          ""Not found""
     "&amp;"   ),
        TEXTJOIN("", "", TRUE, names)
      ),
      """"
    )
  ),
  1,
  1
)
"),"")</f>
        <v/>
      </c>
      <c r="P1770" s="105" t="str">
        <f>IF(F1770="Yes", IFERROR(VLOOKUP(D1770, Repository!A:F, 6, 0), ""), "")</f>
        <v/>
      </c>
      <c r="Q1770" s="105" t="str">
        <f>IF(F1770="Yes", IFERROR(VLOOKUP(D1770, Repository!A:I, 8, 0), ""), "")</f>
        <v/>
      </c>
      <c r="R1770" s="105" t="str">
        <f>IF(F1770="Yes", IFERROR(VLOOKUP(D1770, Repository!A:J, 9, 0), ""), "")</f>
        <v/>
      </c>
      <c r="S1770" s="105"/>
      <c r="T1770" s="105"/>
      <c r="U1770" s="105"/>
      <c r="V1770" s="105"/>
      <c r="W1770" s="105"/>
      <c r="X1770" s="105"/>
      <c r="Y1770" s="105"/>
      <c r="Z1770" s="105"/>
      <c r="AA1770" s="105"/>
      <c r="AB1770" s="105"/>
      <c r="AC1770" s="91"/>
      <c r="AD1770" s="105"/>
      <c r="AE1770" s="105"/>
      <c r="AF1770" s="91"/>
      <c r="AG1770" s="105"/>
      <c r="AH1770" s="105"/>
      <c r="AI1770" s="105" t="str">
        <f t="shared" si="1"/>
        <v/>
      </c>
      <c r="AJ1770" s="108" t="str">
        <f t="shared" si="2"/>
        <v/>
      </c>
    </row>
    <row r="1771" ht="15.75" customHeight="1">
      <c r="A1771" s="104"/>
      <c r="B1771" s="105" t="str">
        <f>IFERROR(__xludf.DUMMYFUNCTION("ARRAY_CONSTRAIN(
  ARRAYFORMULA(
    IF(
      'Final Report'!A1771="""",
      """",
      TEXTJOIN(
        "", "" &amp; CHAR(10),
        TRUE,
        IFERROR(
          VLOOKUP(
            TRIM(
              SPLIT('Final Report'!A1771, "","")
         "&amp;"   ),
            'URL Details'!A:B,
            2,
            FALSE
          ),
          """"
        )
      )
    )
  ),
  1,
  1
)
"),"")</f>
        <v/>
      </c>
      <c r="C1771" s="105" t="str">
        <f>IFERROR(__xludf.DUMMYFUNCTION("IFERROR(IF('Final Report'!A1771="""","""", TEXTJOIN(CHAR(10), TRUE, ARRAYFORMULA( ""• ""&amp; FILTER( TRIM(FLATTEN(SPLIT( REGEXREPLACE( SUBSTITUTE(TEXTJOIN("","", TRUE, IFERROR(ARRAYFORMULA(VLOOKUP(TRIM(SPLIT('Final Report'!A1771, "","")), 'URL Details'!A:D, "&amp;"4, FALSE)),"""") ), CHAR(10), "",""), ""\s*,\s*"", "",""), "",""))), TRIM(FLATTEN(SPLIT( REGEXREPLACE( SUBSTITUTE(TEXTJOIN("","", TRUE, IFERROR(ARRAYFORMULA(VLOOKUP(TRIM(SPLIT('Final Report'!A1771, "","")), 'URL Details'!A:D, 4, FALSE)),"""") ), CHAR(10),"&amp;" "",""), ""\s*,\s*"", "",""), "","")))&lt;&gt;"""" ) ) ) ),"""")
"),"")</f>
        <v/>
      </c>
      <c r="D1771" s="105"/>
      <c r="E1771" s="105"/>
      <c r="F1771" s="110" t="b">
        <v>0</v>
      </c>
      <c r="G1771" s="105" t="str">
        <f>IF(F1771=True, IFERROR(VLOOKUP(D1771, Repository!A:B, 2, 0), ""), "")</f>
        <v/>
      </c>
      <c r="H1771" s="105"/>
      <c r="I1771" s="105"/>
      <c r="J1771" s="105" t="str">
        <f>IF(F1771=True, IFERROR(VLOOKUP(D1771, Repository!A:C, 3, 0), ""), "")</f>
        <v/>
      </c>
      <c r="K1771" s="105"/>
      <c r="L1771" s="105" t="str">
        <f>IF(F1771=True, IFERROR(VLOOKUP(D1771, Repository!A:E, 5, 0), ""), "")</f>
        <v/>
      </c>
      <c r="M1771" s="105"/>
      <c r="N1771" s="105" t="str">
        <f>IF(F1771=True, IFERROR(VLOOKUP(D1771, Repository!A:G, 7, 0), ""), "")</f>
        <v/>
      </c>
      <c r="O1771" s="105" t="str">
        <f>IFERROR(__xludf.DUMMYFUNCTION("ARRAY_CONSTRAIN(
  ARRAYFORMULA(
    IFERROR(
      LET(
        list, N1771,
        arr, TRIM(SPLIT(list, "","")),
        names, XLOOKUP(
          arr,
          'Conformance Score'!A:A,
          'Conformance Score'!B:B,
          ""Not found""
     "&amp;"   ),
        TEXTJOIN("", "", TRUE, names)
      ),
      """"
    )
  ),
  1,
  1
)
"),"")</f>
        <v/>
      </c>
      <c r="P1771" s="105" t="str">
        <f>IF(F1771="Yes", IFERROR(VLOOKUP(D1771, Repository!A:F, 6, 0), ""), "")</f>
        <v/>
      </c>
      <c r="Q1771" s="105" t="str">
        <f>IF(F1771="Yes", IFERROR(VLOOKUP(D1771, Repository!A:I, 8, 0), ""), "")</f>
        <v/>
      </c>
      <c r="R1771" s="105" t="str">
        <f>IF(F1771="Yes", IFERROR(VLOOKUP(D1771, Repository!A:J, 9, 0), ""), "")</f>
        <v/>
      </c>
      <c r="S1771" s="105"/>
      <c r="T1771" s="105"/>
      <c r="U1771" s="105"/>
      <c r="V1771" s="105"/>
      <c r="W1771" s="105"/>
      <c r="X1771" s="105"/>
      <c r="Y1771" s="105"/>
      <c r="Z1771" s="105"/>
      <c r="AA1771" s="105"/>
      <c r="AB1771" s="105"/>
      <c r="AC1771" s="91"/>
      <c r="AD1771" s="105"/>
      <c r="AE1771" s="105"/>
      <c r="AF1771" s="91"/>
      <c r="AG1771" s="105"/>
      <c r="AH1771" s="105"/>
      <c r="AI1771" s="105" t="str">
        <f t="shared" si="1"/>
        <v/>
      </c>
      <c r="AJ1771" s="108" t="str">
        <f t="shared" si="2"/>
        <v/>
      </c>
    </row>
    <row r="1772" ht="15.75" customHeight="1">
      <c r="A1772" s="104"/>
      <c r="B1772" s="105" t="str">
        <f>IFERROR(__xludf.DUMMYFUNCTION("ARRAY_CONSTRAIN(
  ARRAYFORMULA(
    IF(
      'Final Report'!A1772="""",
      """",
      TEXTJOIN(
        "", "" &amp; CHAR(10),
        TRUE,
        IFERROR(
          VLOOKUP(
            TRIM(
              SPLIT('Final Report'!A1772, "","")
         "&amp;"   ),
            'URL Details'!A:B,
            2,
            FALSE
          ),
          """"
        )
      )
    )
  ),
  1,
  1
)
"),"")</f>
        <v/>
      </c>
      <c r="C1772" s="105" t="str">
        <f>IFERROR(__xludf.DUMMYFUNCTION("IFERROR(IF('Final Report'!A1772="""","""", TEXTJOIN(CHAR(10), TRUE, ARRAYFORMULA( ""• ""&amp; FILTER( TRIM(FLATTEN(SPLIT( REGEXREPLACE( SUBSTITUTE(TEXTJOIN("","", TRUE, IFERROR(ARRAYFORMULA(VLOOKUP(TRIM(SPLIT('Final Report'!A1772, "","")), 'URL Details'!A:D, "&amp;"4, FALSE)),"""") ), CHAR(10), "",""), ""\s*,\s*"", "",""), "",""))), TRIM(FLATTEN(SPLIT( REGEXREPLACE( SUBSTITUTE(TEXTJOIN("","", TRUE, IFERROR(ARRAYFORMULA(VLOOKUP(TRIM(SPLIT('Final Report'!A1772, "","")), 'URL Details'!A:D, 4, FALSE)),"""") ), CHAR(10),"&amp;" "",""), ""\s*,\s*"", "",""), "","")))&lt;&gt;"""" ) ) ) ),"""")
"),"")</f>
        <v/>
      </c>
      <c r="D1772" s="105"/>
      <c r="E1772" s="105"/>
      <c r="F1772" s="110" t="b">
        <v>0</v>
      </c>
      <c r="G1772" s="105" t="str">
        <f>IF(F1772=True, IFERROR(VLOOKUP(D1772, Repository!A:B, 2, 0), ""), "")</f>
        <v/>
      </c>
      <c r="H1772" s="105"/>
      <c r="I1772" s="105"/>
      <c r="J1772" s="105" t="str">
        <f>IF(F1772=True, IFERROR(VLOOKUP(D1772, Repository!A:C, 3, 0), ""), "")</f>
        <v/>
      </c>
      <c r="K1772" s="105"/>
      <c r="L1772" s="105" t="str">
        <f>IF(F1772=True, IFERROR(VLOOKUP(D1772, Repository!A:E, 5, 0), ""), "")</f>
        <v/>
      </c>
      <c r="M1772" s="105"/>
      <c r="N1772" s="105" t="str">
        <f>IF(F1772=True, IFERROR(VLOOKUP(D1772, Repository!A:G, 7, 0), ""), "")</f>
        <v/>
      </c>
      <c r="O1772" s="105" t="str">
        <f>IFERROR(__xludf.DUMMYFUNCTION("ARRAY_CONSTRAIN(
  ARRAYFORMULA(
    IFERROR(
      LET(
        list, N1772,
        arr, TRIM(SPLIT(list, "","")),
        names, XLOOKUP(
          arr,
          'Conformance Score'!A:A,
          'Conformance Score'!B:B,
          ""Not found""
     "&amp;"   ),
        TEXTJOIN("", "", TRUE, names)
      ),
      """"
    )
  ),
  1,
  1
)
"),"")</f>
        <v/>
      </c>
      <c r="P1772" s="105" t="str">
        <f>IF(F1772="Yes", IFERROR(VLOOKUP(D1772, Repository!A:F, 6, 0), ""), "")</f>
        <v/>
      </c>
      <c r="Q1772" s="105" t="str">
        <f>IF(F1772="Yes", IFERROR(VLOOKUP(D1772, Repository!A:I, 8, 0), ""), "")</f>
        <v/>
      </c>
      <c r="R1772" s="105" t="str">
        <f>IF(F1772="Yes", IFERROR(VLOOKUP(D1772, Repository!A:J, 9, 0), ""), "")</f>
        <v/>
      </c>
      <c r="S1772" s="105"/>
      <c r="T1772" s="105"/>
      <c r="U1772" s="105"/>
      <c r="V1772" s="105"/>
      <c r="W1772" s="105"/>
      <c r="X1772" s="105"/>
      <c r="Y1772" s="105"/>
      <c r="Z1772" s="105"/>
      <c r="AA1772" s="105"/>
      <c r="AB1772" s="105"/>
      <c r="AC1772" s="91"/>
      <c r="AD1772" s="105"/>
      <c r="AE1772" s="105"/>
      <c r="AF1772" s="91"/>
      <c r="AG1772" s="105"/>
      <c r="AH1772" s="105"/>
      <c r="AI1772" s="105" t="str">
        <f t="shared" si="1"/>
        <v/>
      </c>
      <c r="AJ1772" s="108" t="str">
        <f t="shared" si="2"/>
        <v/>
      </c>
    </row>
    <row r="1773" ht="15.75" customHeight="1">
      <c r="A1773" s="104"/>
      <c r="B1773" s="105" t="str">
        <f>IFERROR(__xludf.DUMMYFUNCTION("ARRAY_CONSTRAIN(
  ARRAYFORMULA(
    IF(
      'Final Report'!A1773="""",
      """",
      TEXTJOIN(
        "", "" &amp; CHAR(10),
        TRUE,
        IFERROR(
          VLOOKUP(
            TRIM(
              SPLIT('Final Report'!A1773, "","")
         "&amp;"   ),
            'URL Details'!A:B,
            2,
            FALSE
          ),
          """"
        )
      )
    )
  ),
  1,
  1
)
"),"")</f>
        <v/>
      </c>
      <c r="C1773" s="105" t="str">
        <f>IFERROR(__xludf.DUMMYFUNCTION("IFERROR(IF('Final Report'!A1773="""","""", TEXTJOIN(CHAR(10), TRUE, ARRAYFORMULA( ""• ""&amp; FILTER( TRIM(FLATTEN(SPLIT( REGEXREPLACE( SUBSTITUTE(TEXTJOIN("","", TRUE, IFERROR(ARRAYFORMULA(VLOOKUP(TRIM(SPLIT('Final Report'!A1773, "","")), 'URL Details'!A:D, "&amp;"4, FALSE)),"""") ), CHAR(10), "",""), ""\s*,\s*"", "",""), "",""))), TRIM(FLATTEN(SPLIT( REGEXREPLACE( SUBSTITUTE(TEXTJOIN("","", TRUE, IFERROR(ARRAYFORMULA(VLOOKUP(TRIM(SPLIT('Final Report'!A1773, "","")), 'URL Details'!A:D, 4, FALSE)),"""") ), CHAR(10),"&amp;" "",""), ""\s*,\s*"", "",""), "","")))&lt;&gt;"""" ) ) ) ),"""")
"),"")</f>
        <v/>
      </c>
      <c r="D1773" s="105"/>
      <c r="E1773" s="105"/>
      <c r="F1773" s="110" t="b">
        <v>0</v>
      </c>
      <c r="G1773" s="105" t="str">
        <f>IF(F1773=True, IFERROR(VLOOKUP(D1773, Repository!A:B, 2, 0), ""), "")</f>
        <v/>
      </c>
      <c r="H1773" s="105"/>
      <c r="I1773" s="105"/>
      <c r="J1773" s="105" t="str">
        <f>IF(F1773=True, IFERROR(VLOOKUP(D1773, Repository!A:C, 3, 0), ""), "")</f>
        <v/>
      </c>
      <c r="K1773" s="105"/>
      <c r="L1773" s="105" t="str">
        <f>IF(F1773=True, IFERROR(VLOOKUP(D1773, Repository!A:E, 5, 0), ""), "")</f>
        <v/>
      </c>
      <c r="M1773" s="105"/>
      <c r="N1773" s="105" t="str">
        <f>IF(F1773=True, IFERROR(VLOOKUP(D1773, Repository!A:G, 7, 0), ""), "")</f>
        <v/>
      </c>
      <c r="O1773" s="105" t="str">
        <f>IFERROR(__xludf.DUMMYFUNCTION("ARRAY_CONSTRAIN(
  ARRAYFORMULA(
    IFERROR(
      LET(
        list, N1773,
        arr, TRIM(SPLIT(list, "","")),
        names, XLOOKUP(
          arr,
          'Conformance Score'!A:A,
          'Conformance Score'!B:B,
          ""Not found""
     "&amp;"   ),
        TEXTJOIN("", "", TRUE, names)
      ),
      """"
    )
  ),
  1,
  1
)
"),"")</f>
        <v/>
      </c>
      <c r="P1773" s="105" t="str">
        <f>IF(F1773="Yes", IFERROR(VLOOKUP(D1773, Repository!A:F, 6, 0), ""), "")</f>
        <v/>
      </c>
      <c r="Q1773" s="105" t="str">
        <f>IF(F1773="Yes", IFERROR(VLOOKUP(D1773, Repository!A:I, 8, 0), ""), "")</f>
        <v/>
      </c>
      <c r="R1773" s="105" t="str">
        <f>IF(F1773="Yes", IFERROR(VLOOKUP(D1773, Repository!A:J, 9, 0), ""), "")</f>
        <v/>
      </c>
      <c r="S1773" s="105"/>
      <c r="T1773" s="105"/>
      <c r="U1773" s="105"/>
      <c r="V1773" s="105"/>
      <c r="W1773" s="105"/>
      <c r="X1773" s="105"/>
      <c r="Y1773" s="105"/>
      <c r="Z1773" s="105"/>
      <c r="AA1773" s="105"/>
      <c r="AB1773" s="105"/>
      <c r="AC1773" s="91"/>
      <c r="AD1773" s="105"/>
      <c r="AE1773" s="105"/>
      <c r="AF1773" s="91"/>
      <c r="AG1773" s="105"/>
      <c r="AH1773" s="105"/>
      <c r="AI1773" s="105" t="str">
        <f t="shared" si="1"/>
        <v/>
      </c>
      <c r="AJ1773" s="108" t="str">
        <f t="shared" si="2"/>
        <v/>
      </c>
    </row>
    <row r="1774" ht="15.75" customHeight="1">
      <c r="A1774" s="104"/>
      <c r="B1774" s="105" t="str">
        <f>IFERROR(__xludf.DUMMYFUNCTION("ARRAY_CONSTRAIN(
  ARRAYFORMULA(
    IF(
      'Final Report'!A1774="""",
      """",
      TEXTJOIN(
        "", "" &amp; CHAR(10),
        TRUE,
        IFERROR(
          VLOOKUP(
            TRIM(
              SPLIT('Final Report'!A1774, "","")
         "&amp;"   ),
            'URL Details'!A:B,
            2,
            FALSE
          ),
          """"
        )
      )
    )
  ),
  1,
  1
)
"),"")</f>
        <v/>
      </c>
      <c r="C1774" s="105" t="str">
        <f>IFERROR(__xludf.DUMMYFUNCTION("IFERROR(IF('Final Report'!A1774="""","""", TEXTJOIN(CHAR(10), TRUE, ARRAYFORMULA( ""• ""&amp; FILTER( TRIM(FLATTEN(SPLIT( REGEXREPLACE( SUBSTITUTE(TEXTJOIN("","", TRUE, IFERROR(ARRAYFORMULA(VLOOKUP(TRIM(SPLIT('Final Report'!A1774, "","")), 'URL Details'!A:D, "&amp;"4, FALSE)),"""") ), CHAR(10), "",""), ""\s*,\s*"", "",""), "",""))), TRIM(FLATTEN(SPLIT( REGEXREPLACE( SUBSTITUTE(TEXTJOIN("","", TRUE, IFERROR(ARRAYFORMULA(VLOOKUP(TRIM(SPLIT('Final Report'!A1774, "","")), 'URL Details'!A:D, 4, FALSE)),"""") ), CHAR(10),"&amp;" "",""), ""\s*,\s*"", "",""), "","")))&lt;&gt;"""" ) ) ) ),"""")
"),"")</f>
        <v/>
      </c>
      <c r="D1774" s="105"/>
      <c r="E1774" s="105"/>
      <c r="F1774" s="110" t="b">
        <v>0</v>
      </c>
      <c r="G1774" s="105" t="str">
        <f>IF(F1774=True, IFERROR(VLOOKUP(D1774, Repository!A:B, 2, 0), ""), "")</f>
        <v/>
      </c>
      <c r="H1774" s="105"/>
      <c r="I1774" s="105"/>
      <c r="J1774" s="105" t="str">
        <f>IF(F1774=True, IFERROR(VLOOKUP(D1774, Repository!A:C, 3, 0), ""), "")</f>
        <v/>
      </c>
      <c r="K1774" s="105"/>
      <c r="L1774" s="105" t="str">
        <f>IF(F1774=True, IFERROR(VLOOKUP(D1774, Repository!A:E, 5, 0), ""), "")</f>
        <v/>
      </c>
      <c r="M1774" s="105"/>
      <c r="N1774" s="105" t="str">
        <f>IF(F1774=True, IFERROR(VLOOKUP(D1774, Repository!A:G, 7, 0), ""), "")</f>
        <v/>
      </c>
      <c r="O1774" s="105" t="str">
        <f>IFERROR(__xludf.DUMMYFUNCTION("ARRAY_CONSTRAIN(
  ARRAYFORMULA(
    IFERROR(
      LET(
        list, N1774,
        arr, TRIM(SPLIT(list, "","")),
        names, XLOOKUP(
          arr,
          'Conformance Score'!A:A,
          'Conformance Score'!B:B,
          ""Not found""
     "&amp;"   ),
        TEXTJOIN("", "", TRUE, names)
      ),
      """"
    )
  ),
  1,
  1
)
"),"")</f>
        <v/>
      </c>
      <c r="P1774" s="105" t="str">
        <f>IF(F1774="Yes", IFERROR(VLOOKUP(D1774, Repository!A:F, 6, 0), ""), "")</f>
        <v/>
      </c>
      <c r="Q1774" s="105" t="str">
        <f>IF(F1774="Yes", IFERROR(VLOOKUP(D1774, Repository!A:I, 8, 0), ""), "")</f>
        <v/>
      </c>
      <c r="R1774" s="105" t="str">
        <f>IF(F1774="Yes", IFERROR(VLOOKUP(D1774, Repository!A:J, 9, 0), ""), "")</f>
        <v/>
      </c>
      <c r="S1774" s="105"/>
      <c r="T1774" s="105"/>
      <c r="U1774" s="105"/>
      <c r="V1774" s="105"/>
      <c r="W1774" s="105"/>
      <c r="X1774" s="105"/>
      <c r="Y1774" s="105"/>
      <c r="Z1774" s="105"/>
      <c r="AA1774" s="105"/>
      <c r="AB1774" s="105"/>
      <c r="AC1774" s="91"/>
      <c r="AD1774" s="105"/>
      <c r="AE1774" s="105"/>
      <c r="AF1774" s="91"/>
      <c r="AG1774" s="105"/>
      <c r="AH1774" s="105"/>
      <c r="AI1774" s="105" t="str">
        <f t="shared" si="1"/>
        <v/>
      </c>
      <c r="AJ1774" s="108" t="str">
        <f t="shared" si="2"/>
        <v/>
      </c>
    </row>
    <row r="1775" ht="15.75" customHeight="1">
      <c r="A1775" s="104"/>
      <c r="B1775" s="105" t="str">
        <f>IFERROR(__xludf.DUMMYFUNCTION("ARRAY_CONSTRAIN(
  ARRAYFORMULA(
    IF(
      'Final Report'!A1775="""",
      """",
      TEXTJOIN(
        "", "" &amp; CHAR(10),
        TRUE,
        IFERROR(
          VLOOKUP(
            TRIM(
              SPLIT('Final Report'!A1775, "","")
         "&amp;"   ),
            'URL Details'!A:B,
            2,
            FALSE
          ),
          """"
        )
      )
    )
  ),
  1,
  1
)
"),"")</f>
        <v/>
      </c>
      <c r="C1775" s="105" t="str">
        <f>IFERROR(__xludf.DUMMYFUNCTION("IFERROR(IF('Final Report'!A1775="""","""", TEXTJOIN(CHAR(10), TRUE, ARRAYFORMULA( ""• ""&amp; FILTER( TRIM(FLATTEN(SPLIT( REGEXREPLACE( SUBSTITUTE(TEXTJOIN("","", TRUE, IFERROR(ARRAYFORMULA(VLOOKUP(TRIM(SPLIT('Final Report'!A1775, "","")), 'URL Details'!A:D, "&amp;"4, FALSE)),"""") ), CHAR(10), "",""), ""\s*,\s*"", "",""), "",""))), TRIM(FLATTEN(SPLIT( REGEXREPLACE( SUBSTITUTE(TEXTJOIN("","", TRUE, IFERROR(ARRAYFORMULA(VLOOKUP(TRIM(SPLIT('Final Report'!A1775, "","")), 'URL Details'!A:D, 4, FALSE)),"""") ), CHAR(10),"&amp;" "",""), ""\s*,\s*"", "",""), "","")))&lt;&gt;"""" ) ) ) ),"""")
"),"")</f>
        <v/>
      </c>
      <c r="D1775" s="105"/>
      <c r="E1775" s="105"/>
      <c r="F1775" s="110" t="b">
        <v>0</v>
      </c>
      <c r="G1775" s="105" t="str">
        <f>IF(F1775=True, IFERROR(VLOOKUP(D1775, Repository!A:B, 2, 0), ""), "")</f>
        <v/>
      </c>
      <c r="H1775" s="105"/>
      <c r="I1775" s="105"/>
      <c r="J1775" s="105" t="str">
        <f>IF(F1775=True, IFERROR(VLOOKUP(D1775, Repository!A:C, 3, 0), ""), "")</f>
        <v/>
      </c>
      <c r="K1775" s="105"/>
      <c r="L1775" s="105" t="str">
        <f>IF(F1775=True, IFERROR(VLOOKUP(D1775, Repository!A:E, 5, 0), ""), "")</f>
        <v/>
      </c>
      <c r="M1775" s="105"/>
      <c r="N1775" s="105" t="str">
        <f>IF(F1775=True, IFERROR(VLOOKUP(D1775, Repository!A:G, 7, 0), ""), "")</f>
        <v/>
      </c>
      <c r="O1775" s="105" t="str">
        <f>IFERROR(__xludf.DUMMYFUNCTION("ARRAY_CONSTRAIN(
  ARRAYFORMULA(
    IFERROR(
      LET(
        list, N1775,
        arr, TRIM(SPLIT(list, "","")),
        names, XLOOKUP(
          arr,
          'Conformance Score'!A:A,
          'Conformance Score'!B:B,
          ""Not found""
     "&amp;"   ),
        TEXTJOIN("", "", TRUE, names)
      ),
      """"
    )
  ),
  1,
  1
)
"),"")</f>
        <v/>
      </c>
      <c r="P1775" s="105" t="str">
        <f>IF(F1775="Yes", IFERROR(VLOOKUP(D1775, Repository!A:F, 6, 0), ""), "")</f>
        <v/>
      </c>
      <c r="Q1775" s="105" t="str">
        <f>IF(F1775="Yes", IFERROR(VLOOKUP(D1775, Repository!A:I, 8, 0), ""), "")</f>
        <v/>
      </c>
      <c r="R1775" s="105" t="str">
        <f>IF(F1775="Yes", IFERROR(VLOOKUP(D1775, Repository!A:J, 9, 0), ""), "")</f>
        <v/>
      </c>
      <c r="S1775" s="105"/>
      <c r="T1775" s="105"/>
      <c r="U1775" s="105"/>
      <c r="V1775" s="105"/>
      <c r="W1775" s="105"/>
      <c r="X1775" s="105"/>
      <c r="Y1775" s="105"/>
      <c r="Z1775" s="105"/>
      <c r="AA1775" s="105"/>
      <c r="AB1775" s="105"/>
      <c r="AC1775" s="91"/>
      <c r="AD1775" s="105"/>
      <c r="AE1775" s="105"/>
      <c r="AF1775" s="91"/>
      <c r="AG1775" s="105"/>
      <c r="AH1775" s="105"/>
      <c r="AI1775" s="105" t="str">
        <f t="shared" si="1"/>
        <v/>
      </c>
      <c r="AJ1775" s="108" t="str">
        <f t="shared" si="2"/>
        <v/>
      </c>
    </row>
    <row r="1776" ht="15.75" customHeight="1">
      <c r="A1776" s="104"/>
      <c r="B1776" s="105" t="str">
        <f>IFERROR(__xludf.DUMMYFUNCTION("ARRAY_CONSTRAIN(
  ARRAYFORMULA(
    IF(
      'Final Report'!A1776="""",
      """",
      TEXTJOIN(
        "", "" &amp; CHAR(10),
        TRUE,
        IFERROR(
          VLOOKUP(
            TRIM(
              SPLIT('Final Report'!A1776, "","")
         "&amp;"   ),
            'URL Details'!A:B,
            2,
            FALSE
          ),
          """"
        )
      )
    )
  ),
  1,
  1
)
"),"")</f>
        <v/>
      </c>
      <c r="C1776" s="105" t="str">
        <f>IFERROR(__xludf.DUMMYFUNCTION("IFERROR(IF('Final Report'!A1776="""","""", TEXTJOIN(CHAR(10), TRUE, ARRAYFORMULA( ""• ""&amp; FILTER( TRIM(FLATTEN(SPLIT( REGEXREPLACE( SUBSTITUTE(TEXTJOIN("","", TRUE, IFERROR(ARRAYFORMULA(VLOOKUP(TRIM(SPLIT('Final Report'!A1776, "","")), 'URL Details'!A:D, "&amp;"4, FALSE)),"""") ), CHAR(10), "",""), ""\s*,\s*"", "",""), "",""))), TRIM(FLATTEN(SPLIT( REGEXREPLACE( SUBSTITUTE(TEXTJOIN("","", TRUE, IFERROR(ARRAYFORMULA(VLOOKUP(TRIM(SPLIT('Final Report'!A1776, "","")), 'URL Details'!A:D, 4, FALSE)),"""") ), CHAR(10),"&amp;" "",""), ""\s*,\s*"", "",""), "","")))&lt;&gt;"""" ) ) ) ),"""")
"),"")</f>
        <v/>
      </c>
      <c r="D1776" s="105"/>
      <c r="E1776" s="105"/>
      <c r="F1776" s="110" t="b">
        <v>0</v>
      </c>
      <c r="G1776" s="105" t="str">
        <f>IF(F1776=True, IFERROR(VLOOKUP(D1776, Repository!A:B, 2, 0), ""), "")</f>
        <v/>
      </c>
      <c r="H1776" s="105"/>
      <c r="I1776" s="105"/>
      <c r="J1776" s="105" t="str">
        <f>IF(F1776=True, IFERROR(VLOOKUP(D1776, Repository!A:C, 3, 0), ""), "")</f>
        <v/>
      </c>
      <c r="K1776" s="105"/>
      <c r="L1776" s="105" t="str">
        <f>IF(F1776=True, IFERROR(VLOOKUP(D1776, Repository!A:E, 5, 0), ""), "")</f>
        <v/>
      </c>
      <c r="M1776" s="105"/>
      <c r="N1776" s="105" t="str">
        <f>IF(F1776=True, IFERROR(VLOOKUP(D1776, Repository!A:G, 7, 0), ""), "")</f>
        <v/>
      </c>
      <c r="O1776" s="105" t="str">
        <f>IFERROR(__xludf.DUMMYFUNCTION("ARRAY_CONSTRAIN(
  ARRAYFORMULA(
    IFERROR(
      LET(
        list, N1776,
        arr, TRIM(SPLIT(list, "","")),
        names, XLOOKUP(
          arr,
          'Conformance Score'!A:A,
          'Conformance Score'!B:B,
          ""Not found""
     "&amp;"   ),
        TEXTJOIN("", "", TRUE, names)
      ),
      """"
    )
  ),
  1,
  1
)
"),"")</f>
        <v/>
      </c>
      <c r="P1776" s="105" t="str">
        <f>IF(F1776="Yes", IFERROR(VLOOKUP(D1776, Repository!A:F, 6, 0), ""), "")</f>
        <v/>
      </c>
      <c r="Q1776" s="105" t="str">
        <f>IF(F1776="Yes", IFERROR(VLOOKUP(D1776, Repository!A:I, 8, 0), ""), "")</f>
        <v/>
      </c>
      <c r="R1776" s="105" t="str">
        <f>IF(F1776="Yes", IFERROR(VLOOKUP(D1776, Repository!A:J, 9, 0), ""), "")</f>
        <v/>
      </c>
      <c r="S1776" s="105"/>
      <c r="T1776" s="105"/>
      <c r="U1776" s="105"/>
      <c r="V1776" s="105"/>
      <c r="W1776" s="105"/>
      <c r="X1776" s="105"/>
      <c r="Y1776" s="105"/>
      <c r="Z1776" s="105"/>
      <c r="AA1776" s="105"/>
      <c r="AB1776" s="105"/>
      <c r="AC1776" s="91"/>
      <c r="AD1776" s="105"/>
      <c r="AE1776" s="105"/>
      <c r="AF1776" s="91"/>
      <c r="AG1776" s="105"/>
      <c r="AH1776" s="105"/>
      <c r="AI1776" s="105" t="str">
        <f t="shared" si="1"/>
        <v/>
      </c>
      <c r="AJ1776" s="108" t="str">
        <f t="shared" si="2"/>
        <v/>
      </c>
    </row>
    <row r="1777" ht="15.75" customHeight="1">
      <c r="A1777" s="104"/>
      <c r="B1777" s="105" t="str">
        <f>IFERROR(__xludf.DUMMYFUNCTION("ARRAY_CONSTRAIN(
  ARRAYFORMULA(
    IF(
      'Final Report'!A1777="""",
      """",
      TEXTJOIN(
        "", "" &amp; CHAR(10),
        TRUE,
        IFERROR(
          VLOOKUP(
            TRIM(
              SPLIT('Final Report'!A1777, "","")
         "&amp;"   ),
            'URL Details'!A:B,
            2,
            FALSE
          ),
          """"
        )
      )
    )
  ),
  1,
  1
)
"),"")</f>
        <v/>
      </c>
      <c r="C1777" s="105" t="str">
        <f>IFERROR(__xludf.DUMMYFUNCTION("IFERROR(IF('Final Report'!A1777="""","""", TEXTJOIN(CHAR(10), TRUE, ARRAYFORMULA( ""• ""&amp; FILTER( TRIM(FLATTEN(SPLIT( REGEXREPLACE( SUBSTITUTE(TEXTJOIN("","", TRUE, IFERROR(ARRAYFORMULA(VLOOKUP(TRIM(SPLIT('Final Report'!A1777, "","")), 'URL Details'!A:D, "&amp;"4, FALSE)),"""") ), CHAR(10), "",""), ""\s*,\s*"", "",""), "",""))), TRIM(FLATTEN(SPLIT( REGEXREPLACE( SUBSTITUTE(TEXTJOIN("","", TRUE, IFERROR(ARRAYFORMULA(VLOOKUP(TRIM(SPLIT('Final Report'!A1777, "","")), 'URL Details'!A:D, 4, FALSE)),"""") ), CHAR(10),"&amp;" "",""), ""\s*,\s*"", "",""), "","")))&lt;&gt;"""" ) ) ) ),"""")
"),"")</f>
        <v/>
      </c>
      <c r="D1777" s="105"/>
      <c r="E1777" s="105"/>
      <c r="F1777" s="110" t="b">
        <v>0</v>
      </c>
      <c r="G1777" s="105" t="str">
        <f>IF(F1777=True, IFERROR(VLOOKUP(D1777, Repository!A:B, 2, 0), ""), "")</f>
        <v/>
      </c>
      <c r="H1777" s="105"/>
      <c r="I1777" s="105"/>
      <c r="J1777" s="105" t="str">
        <f>IF(F1777=True, IFERROR(VLOOKUP(D1777, Repository!A:C, 3, 0), ""), "")</f>
        <v/>
      </c>
      <c r="K1777" s="105"/>
      <c r="L1777" s="105" t="str">
        <f>IF(F1777=True, IFERROR(VLOOKUP(D1777, Repository!A:E, 5, 0), ""), "")</f>
        <v/>
      </c>
      <c r="M1777" s="105"/>
      <c r="N1777" s="105" t="str">
        <f>IF(F1777=True, IFERROR(VLOOKUP(D1777, Repository!A:G, 7, 0), ""), "")</f>
        <v/>
      </c>
      <c r="O1777" s="105" t="str">
        <f>IFERROR(__xludf.DUMMYFUNCTION("ARRAY_CONSTRAIN(
  ARRAYFORMULA(
    IFERROR(
      LET(
        list, N1777,
        arr, TRIM(SPLIT(list, "","")),
        names, XLOOKUP(
          arr,
          'Conformance Score'!A:A,
          'Conformance Score'!B:B,
          ""Not found""
     "&amp;"   ),
        TEXTJOIN("", "", TRUE, names)
      ),
      """"
    )
  ),
  1,
  1
)
"),"")</f>
        <v/>
      </c>
      <c r="P1777" s="105" t="str">
        <f>IF(F1777="Yes", IFERROR(VLOOKUP(D1777, Repository!A:F, 6, 0), ""), "")</f>
        <v/>
      </c>
      <c r="Q1777" s="105" t="str">
        <f>IF(F1777="Yes", IFERROR(VLOOKUP(D1777, Repository!A:I, 8, 0), ""), "")</f>
        <v/>
      </c>
      <c r="R1777" s="105" t="str">
        <f>IF(F1777="Yes", IFERROR(VLOOKUP(D1777, Repository!A:J, 9, 0), ""), "")</f>
        <v/>
      </c>
      <c r="S1777" s="105"/>
      <c r="T1777" s="105"/>
      <c r="U1777" s="105"/>
      <c r="V1777" s="105"/>
      <c r="W1777" s="105"/>
      <c r="X1777" s="105"/>
      <c r="Y1777" s="105"/>
      <c r="Z1777" s="105"/>
      <c r="AA1777" s="105"/>
      <c r="AB1777" s="105"/>
      <c r="AC1777" s="91"/>
      <c r="AD1777" s="105"/>
      <c r="AE1777" s="105"/>
      <c r="AF1777" s="91"/>
      <c r="AG1777" s="105"/>
      <c r="AH1777" s="105"/>
      <c r="AI1777" s="105" t="str">
        <f t="shared" si="1"/>
        <v/>
      </c>
      <c r="AJ1777" s="108" t="str">
        <f t="shared" si="2"/>
        <v/>
      </c>
    </row>
    <row r="1778" ht="15.75" customHeight="1">
      <c r="A1778" s="104"/>
      <c r="B1778" s="105" t="str">
        <f>IFERROR(__xludf.DUMMYFUNCTION("ARRAY_CONSTRAIN(
  ARRAYFORMULA(
    IF(
      'Final Report'!A1778="""",
      """",
      TEXTJOIN(
        "", "" &amp; CHAR(10),
        TRUE,
        IFERROR(
          VLOOKUP(
            TRIM(
              SPLIT('Final Report'!A1778, "","")
         "&amp;"   ),
            'URL Details'!A:B,
            2,
            FALSE
          ),
          """"
        )
      )
    )
  ),
  1,
  1
)
"),"")</f>
        <v/>
      </c>
      <c r="C1778" s="105" t="str">
        <f>IFERROR(__xludf.DUMMYFUNCTION("IFERROR(IF('Final Report'!A1778="""","""", TEXTJOIN(CHAR(10), TRUE, ARRAYFORMULA( ""• ""&amp; FILTER( TRIM(FLATTEN(SPLIT( REGEXREPLACE( SUBSTITUTE(TEXTJOIN("","", TRUE, IFERROR(ARRAYFORMULA(VLOOKUP(TRIM(SPLIT('Final Report'!A1778, "","")), 'URL Details'!A:D, "&amp;"4, FALSE)),"""") ), CHAR(10), "",""), ""\s*,\s*"", "",""), "",""))), TRIM(FLATTEN(SPLIT( REGEXREPLACE( SUBSTITUTE(TEXTJOIN("","", TRUE, IFERROR(ARRAYFORMULA(VLOOKUP(TRIM(SPLIT('Final Report'!A1778, "","")), 'URL Details'!A:D, 4, FALSE)),"""") ), CHAR(10),"&amp;" "",""), ""\s*,\s*"", "",""), "","")))&lt;&gt;"""" ) ) ) ),"""")
"),"")</f>
        <v/>
      </c>
      <c r="D1778" s="105"/>
      <c r="E1778" s="105"/>
      <c r="F1778" s="110" t="b">
        <v>0</v>
      </c>
      <c r="G1778" s="105" t="str">
        <f>IF(F1778=True, IFERROR(VLOOKUP(D1778, Repository!A:B, 2, 0), ""), "")</f>
        <v/>
      </c>
      <c r="H1778" s="105"/>
      <c r="I1778" s="105"/>
      <c r="J1778" s="105" t="str">
        <f>IF(F1778=True, IFERROR(VLOOKUP(D1778, Repository!A:C, 3, 0), ""), "")</f>
        <v/>
      </c>
      <c r="K1778" s="105"/>
      <c r="L1778" s="105" t="str">
        <f>IF(F1778=True, IFERROR(VLOOKUP(D1778, Repository!A:E, 5, 0), ""), "")</f>
        <v/>
      </c>
      <c r="M1778" s="105"/>
      <c r="N1778" s="105" t="str">
        <f>IF(F1778=True, IFERROR(VLOOKUP(D1778, Repository!A:G, 7, 0), ""), "")</f>
        <v/>
      </c>
      <c r="O1778" s="105" t="str">
        <f>IFERROR(__xludf.DUMMYFUNCTION("ARRAY_CONSTRAIN(
  ARRAYFORMULA(
    IFERROR(
      LET(
        list, N1778,
        arr, TRIM(SPLIT(list, "","")),
        names, XLOOKUP(
          arr,
          'Conformance Score'!A:A,
          'Conformance Score'!B:B,
          ""Not found""
     "&amp;"   ),
        TEXTJOIN("", "", TRUE, names)
      ),
      """"
    )
  ),
  1,
  1
)
"),"")</f>
        <v/>
      </c>
      <c r="P1778" s="105" t="str">
        <f>IF(F1778="Yes", IFERROR(VLOOKUP(D1778, Repository!A:F, 6, 0), ""), "")</f>
        <v/>
      </c>
      <c r="Q1778" s="105" t="str">
        <f>IF(F1778="Yes", IFERROR(VLOOKUP(D1778, Repository!A:I, 8, 0), ""), "")</f>
        <v/>
      </c>
      <c r="R1778" s="105" t="str">
        <f>IF(F1778="Yes", IFERROR(VLOOKUP(D1778, Repository!A:J, 9, 0), ""), "")</f>
        <v/>
      </c>
      <c r="S1778" s="105"/>
      <c r="T1778" s="105"/>
      <c r="U1778" s="105"/>
      <c r="V1778" s="105"/>
      <c r="W1778" s="105"/>
      <c r="X1778" s="105"/>
      <c r="Y1778" s="105"/>
      <c r="Z1778" s="105"/>
      <c r="AA1778" s="105"/>
      <c r="AB1778" s="105"/>
      <c r="AC1778" s="91"/>
      <c r="AD1778" s="105"/>
      <c r="AE1778" s="105"/>
      <c r="AF1778" s="91"/>
      <c r="AG1778" s="105"/>
      <c r="AH1778" s="105"/>
      <c r="AI1778" s="105" t="str">
        <f t="shared" si="1"/>
        <v/>
      </c>
      <c r="AJ1778" s="108" t="str">
        <f t="shared" si="2"/>
        <v/>
      </c>
    </row>
    <row r="1779" ht="15.75" customHeight="1">
      <c r="A1779" s="104"/>
      <c r="B1779" s="105" t="str">
        <f>IFERROR(__xludf.DUMMYFUNCTION("ARRAY_CONSTRAIN(
  ARRAYFORMULA(
    IF(
      'Final Report'!A1779="""",
      """",
      TEXTJOIN(
        "", "" &amp; CHAR(10),
        TRUE,
        IFERROR(
          VLOOKUP(
            TRIM(
              SPLIT('Final Report'!A1779, "","")
         "&amp;"   ),
            'URL Details'!A:B,
            2,
            FALSE
          ),
          """"
        )
      )
    )
  ),
  1,
  1
)
"),"")</f>
        <v/>
      </c>
      <c r="C1779" s="105" t="str">
        <f>IFERROR(__xludf.DUMMYFUNCTION("IFERROR(IF('Final Report'!A1779="""","""", TEXTJOIN(CHAR(10), TRUE, ARRAYFORMULA( ""• ""&amp; FILTER( TRIM(FLATTEN(SPLIT( REGEXREPLACE( SUBSTITUTE(TEXTJOIN("","", TRUE, IFERROR(ARRAYFORMULA(VLOOKUP(TRIM(SPLIT('Final Report'!A1779, "","")), 'URL Details'!A:D, "&amp;"4, FALSE)),"""") ), CHAR(10), "",""), ""\s*,\s*"", "",""), "",""))), TRIM(FLATTEN(SPLIT( REGEXREPLACE( SUBSTITUTE(TEXTJOIN("","", TRUE, IFERROR(ARRAYFORMULA(VLOOKUP(TRIM(SPLIT('Final Report'!A1779, "","")), 'URL Details'!A:D, 4, FALSE)),"""") ), CHAR(10),"&amp;" "",""), ""\s*,\s*"", "",""), "","")))&lt;&gt;"""" ) ) ) ),"""")
"),"")</f>
        <v/>
      </c>
      <c r="D1779" s="105"/>
      <c r="E1779" s="105"/>
      <c r="F1779" s="110" t="b">
        <v>0</v>
      </c>
      <c r="G1779" s="105" t="str">
        <f>IF(F1779=True, IFERROR(VLOOKUP(D1779, Repository!A:B, 2, 0), ""), "")</f>
        <v/>
      </c>
      <c r="H1779" s="105"/>
      <c r="I1779" s="105"/>
      <c r="J1779" s="105" t="str">
        <f>IF(F1779=True, IFERROR(VLOOKUP(D1779, Repository!A:C, 3, 0), ""), "")</f>
        <v/>
      </c>
      <c r="K1779" s="105"/>
      <c r="L1779" s="105" t="str">
        <f>IF(F1779=True, IFERROR(VLOOKUP(D1779, Repository!A:E, 5, 0), ""), "")</f>
        <v/>
      </c>
      <c r="M1779" s="105"/>
      <c r="N1779" s="105" t="str">
        <f>IF(F1779=True, IFERROR(VLOOKUP(D1779, Repository!A:G, 7, 0), ""), "")</f>
        <v/>
      </c>
      <c r="O1779" s="105" t="str">
        <f>IFERROR(__xludf.DUMMYFUNCTION("ARRAY_CONSTRAIN(
  ARRAYFORMULA(
    IFERROR(
      LET(
        list, N1779,
        arr, TRIM(SPLIT(list, "","")),
        names, XLOOKUP(
          arr,
          'Conformance Score'!A:A,
          'Conformance Score'!B:B,
          ""Not found""
     "&amp;"   ),
        TEXTJOIN("", "", TRUE, names)
      ),
      """"
    )
  ),
  1,
  1
)
"),"")</f>
        <v/>
      </c>
      <c r="P1779" s="105" t="str">
        <f>IF(F1779="Yes", IFERROR(VLOOKUP(D1779, Repository!A:F, 6, 0), ""), "")</f>
        <v/>
      </c>
      <c r="Q1779" s="105" t="str">
        <f>IF(F1779="Yes", IFERROR(VLOOKUP(D1779, Repository!A:I, 8, 0), ""), "")</f>
        <v/>
      </c>
      <c r="R1779" s="105" t="str">
        <f>IF(F1779="Yes", IFERROR(VLOOKUP(D1779, Repository!A:J, 9, 0), ""), "")</f>
        <v/>
      </c>
      <c r="S1779" s="105"/>
      <c r="T1779" s="105"/>
      <c r="U1779" s="105"/>
      <c r="V1779" s="105"/>
      <c r="W1779" s="105"/>
      <c r="X1779" s="105"/>
      <c r="Y1779" s="105"/>
      <c r="Z1779" s="105"/>
      <c r="AA1779" s="105"/>
      <c r="AB1779" s="105"/>
      <c r="AC1779" s="91"/>
      <c r="AD1779" s="105"/>
      <c r="AE1779" s="105"/>
      <c r="AF1779" s="91"/>
      <c r="AG1779" s="105"/>
      <c r="AH1779" s="105"/>
      <c r="AI1779" s="105" t="str">
        <f t="shared" si="1"/>
        <v/>
      </c>
      <c r="AJ1779" s="108" t="str">
        <f t="shared" si="2"/>
        <v/>
      </c>
    </row>
    <row r="1780" ht="15.75" customHeight="1">
      <c r="A1780" s="104"/>
      <c r="B1780" s="105" t="str">
        <f>IFERROR(__xludf.DUMMYFUNCTION("ARRAY_CONSTRAIN(
  ARRAYFORMULA(
    IF(
      'Final Report'!A1780="""",
      """",
      TEXTJOIN(
        "", "" &amp; CHAR(10),
        TRUE,
        IFERROR(
          VLOOKUP(
            TRIM(
              SPLIT('Final Report'!A1780, "","")
         "&amp;"   ),
            'URL Details'!A:B,
            2,
            FALSE
          ),
          """"
        )
      )
    )
  ),
  1,
  1
)
"),"")</f>
        <v/>
      </c>
      <c r="C1780" s="105" t="str">
        <f>IFERROR(__xludf.DUMMYFUNCTION("IFERROR(IF('Final Report'!A1780="""","""", TEXTJOIN(CHAR(10), TRUE, ARRAYFORMULA( ""• ""&amp; FILTER( TRIM(FLATTEN(SPLIT( REGEXREPLACE( SUBSTITUTE(TEXTJOIN("","", TRUE, IFERROR(ARRAYFORMULA(VLOOKUP(TRIM(SPLIT('Final Report'!A1780, "","")), 'URL Details'!A:D, "&amp;"4, FALSE)),"""") ), CHAR(10), "",""), ""\s*,\s*"", "",""), "",""))), TRIM(FLATTEN(SPLIT( REGEXREPLACE( SUBSTITUTE(TEXTJOIN("","", TRUE, IFERROR(ARRAYFORMULA(VLOOKUP(TRIM(SPLIT('Final Report'!A1780, "","")), 'URL Details'!A:D, 4, FALSE)),"""") ), CHAR(10),"&amp;" "",""), ""\s*,\s*"", "",""), "","")))&lt;&gt;"""" ) ) ) ),"""")
"),"")</f>
        <v/>
      </c>
      <c r="D1780" s="105"/>
      <c r="E1780" s="105"/>
      <c r="F1780" s="110" t="b">
        <v>0</v>
      </c>
      <c r="G1780" s="105" t="str">
        <f>IF(F1780=True, IFERROR(VLOOKUP(D1780, Repository!A:B, 2, 0), ""), "")</f>
        <v/>
      </c>
      <c r="H1780" s="105"/>
      <c r="I1780" s="105"/>
      <c r="J1780" s="105" t="str">
        <f>IF(F1780=True, IFERROR(VLOOKUP(D1780, Repository!A:C, 3, 0), ""), "")</f>
        <v/>
      </c>
      <c r="K1780" s="105"/>
      <c r="L1780" s="105" t="str">
        <f>IF(F1780=True, IFERROR(VLOOKUP(D1780, Repository!A:E, 5, 0), ""), "")</f>
        <v/>
      </c>
      <c r="M1780" s="105"/>
      <c r="N1780" s="105" t="str">
        <f>IF(F1780=True, IFERROR(VLOOKUP(D1780, Repository!A:G, 7, 0), ""), "")</f>
        <v/>
      </c>
      <c r="O1780" s="105" t="str">
        <f>IFERROR(__xludf.DUMMYFUNCTION("ARRAY_CONSTRAIN(
  ARRAYFORMULA(
    IFERROR(
      LET(
        list, N1780,
        arr, TRIM(SPLIT(list, "","")),
        names, XLOOKUP(
          arr,
          'Conformance Score'!A:A,
          'Conformance Score'!B:B,
          ""Not found""
     "&amp;"   ),
        TEXTJOIN("", "", TRUE, names)
      ),
      """"
    )
  ),
  1,
  1
)
"),"")</f>
        <v/>
      </c>
      <c r="P1780" s="105" t="str">
        <f>IF(F1780="Yes", IFERROR(VLOOKUP(D1780, Repository!A:F, 6, 0), ""), "")</f>
        <v/>
      </c>
      <c r="Q1780" s="105" t="str">
        <f>IF(F1780="Yes", IFERROR(VLOOKUP(D1780, Repository!A:I, 8, 0), ""), "")</f>
        <v/>
      </c>
      <c r="R1780" s="105" t="str">
        <f>IF(F1780="Yes", IFERROR(VLOOKUP(D1780, Repository!A:J, 9, 0), ""), "")</f>
        <v/>
      </c>
      <c r="S1780" s="105"/>
      <c r="T1780" s="105"/>
      <c r="U1780" s="105"/>
      <c r="V1780" s="105"/>
      <c r="W1780" s="105"/>
      <c r="X1780" s="105"/>
      <c r="Y1780" s="105"/>
      <c r="Z1780" s="105"/>
      <c r="AA1780" s="105"/>
      <c r="AB1780" s="105"/>
      <c r="AC1780" s="91"/>
      <c r="AD1780" s="105"/>
      <c r="AE1780" s="105"/>
      <c r="AF1780" s="91"/>
      <c r="AG1780" s="105"/>
      <c r="AH1780" s="105"/>
      <c r="AI1780" s="105" t="str">
        <f t="shared" si="1"/>
        <v/>
      </c>
      <c r="AJ1780" s="108" t="str">
        <f t="shared" si="2"/>
        <v/>
      </c>
    </row>
    <row r="1781" ht="15.75" customHeight="1">
      <c r="A1781" s="104"/>
      <c r="B1781" s="105" t="str">
        <f>IFERROR(__xludf.DUMMYFUNCTION("ARRAY_CONSTRAIN(
  ARRAYFORMULA(
    IF(
      'Final Report'!A1781="""",
      """",
      TEXTJOIN(
        "", "" &amp; CHAR(10),
        TRUE,
        IFERROR(
          VLOOKUP(
            TRIM(
              SPLIT('Final Report'!A1781, "","")
         "&amp;"   ),
            'URL Details'!A:B,
            2,
            FALSE
          ),
          """"
        )
      )
    )
  ),
  1,
  1
)
"),"")</f>
        <v/>
      </c>
      <c r="C1781" s="105" t="str">
        <f>IFERROR(__xludf.DUMMYFUNCTION("IFERROR(IF('Final Report'!A1781="""","""", TEXTJOIN(CHAR(10), TRUE, ARRAYFORMULA( ""• ""&amp; FILTER( TRIM(FLATTEN(SPLIT( REGEXREPLACE( SUBSTITUTE(TEXTJOIN("","", TRUE, IFERROR(ARRAYFORMULA(VLOOKUP(TRIM(SPLIT('Final Report'!A1781, "","")), 'URL Details'!A:D, "&amp;"4, FALSE)),"""") ), CHAR(10), "",""), ""\s*,\s*"", "",""), "",""))), TRIM(FLATTEN(SPLIT( REGEXREPLACE( SUBSTITUTE(TEXTJOIN("","", TRUE, IFERROR(ARRAYFORMULA(VLOOKUP(TRIM(SPLIT('Final Report'!A1781, "","")), 'URL Details'!A:D, 4, FALSE)),"""") ), CHAR(10),"&amp;" "",""), ""\s*,\s*"", "",""), "","")))&lt;&gt;"""" ) ) ) ),"""")
"),"")</f>
        <v/>
      </c>
      <c r="D1781" s="105"/>
      <c r="E1781" s="105"/>
      <c r="F1781" s="110" t="b">
        <v>0</v>
      </c>
      <c r="G1781" s="105" t="str">
        <f>IF(F1781=True, IFERROR(VLOOKUP(D1781, Repository!A:B, 2, 0), ""), "")</f>
        <v/>
      </c>
      <c r="H1781" s="105"/>
      <c r="I1781" s="105"/>
      <c r="J1781" s="105" t="str">
        <f>IF(F1781=True, IFERROR(VLOOKUP(D1781, Repository!A:C, 3, 0), ""), "")</f>
        <v/>
      </c>
      <c r="K1781" s="105"/>
      <c r="L1781" s="105" t="str">
        <f>IF(F1781=True, IFERROR(VLOOKUP(D1781, Repository!A:E, 5, 0), ""), "")</f>
        <v/>
      </c>
      <c r="M1781" s="105"/>
      <c r="N1781" s="105" t="str">
        <f>IF(F1781=True, IFERROR(VLOOKUP(D1781, Repository!A:G, 7, 0), ""), "")</f>
        <v/>
      </c>
      <c r="O1781" s="105" t="str">
        <f>IFERROR(__xludf.DUMMYFUNCTION("ARRAY_CONSTRAIN(
  ARRAYFORMULA(
    IFERROR(
      LET(
        list, N1781,
        arr, TRIM(SPLIT(list, "","")),
        names, XLOOKUP(
          arr,
          'Conformance Score'!A:A,
          'Conformance Score'!B:B,
          ""Not found""
     "&amp;"   ),
        TEXTJOIN("", "", TRUE, names)
      ),
      """"
    )
  ),
  1,
  1
)
"),"")</f>
        <v/>
      </c>
      <c r="P1781" s="105" t="str">
        <f>IF(F1781="Yes", IFERROR(VLOOKUP(D1781, Repository!A:F, 6, 0), ""), "")</f>
        <v/>
      </c>
      <c r="Q1781" s="105" t="str">
        <f>IF(F1781="Yes", IFERROR(VLOOKUP(D1781, Repository!A:I, 8, 0), ""), "")</f>
        <v/>
      </c>
      <c r="R1781" s="105" t="str">
        <f>IF(F1781="Yes", IFERROR(VLOOKUP(D1781, Repository!A:J, 9, 0), ""), "")</f>
        <v/>
      </c>
      <c r="S1781" s="105"/>
      <c r="T1781" s="105"/>
      <c r="U1781" s="105"/>
      <c r="V1781" s="105"/>
      <c r="W1781" s="105"/>
      <c r="X1781" s="105"/>
      <c r="Y1781" s="105"/>
      <c r="Z1781" s="105"/>
      <c r="AA1781" s="105"/>
      <c r="AB1781" s="105"/>
      <c r="AC1781" s="91"/>
      <c r="AD1781" s="105"/>
      <c r="AE1781" s="105"/>
      <c r="AF1781" s="91"/>
      <c r="AG1781" s="105"/>
      <c r="AH1781" s="105"/>
      <c r="AI1781" s="105" t="str">
        <f t="shared" si="1"/>
        <v/>
      </c>
      <c r="AJ1781" s="108" t="str">
        <f t="shared" si="2"/>
        <v/>
      </c>
    </row>
    <row r="1782" ht="15.75" customHeight="1">
      <c r="A1782" s="104"/>
      <c r="B1782" s="105" t="str">
        <f>IFERROR(__xludf.DUMMYFUNCTION("ARRAY_CONSTRAIN(
  ARRAYFORMULA(
    IF(
      'Final Report'!A1782="""",
      """",
      TEXTJOIN(
        "", "" &amp; CHAR(10),
        TRUE,
        IFERROR(
          VLOOKUP(
            TRIM(
              SPLIT('Final Report'!A1782, "","")
         "&amp;"   ),
            'URL Details'!A:B,
            2,
            FALSE
          ),
          """"
        )
      )
    )
  ),
  1,
  1
)
"),"")</f>
        <v/>
      </c>
      <c r="C1782" s="105" t="str">
        <f>IFERROR(__xludf.DUMMYFUNCTION("IFERROR(IF('Final Report'!A1782="""","""", TEXTJOIN(CHAR(10), TRUE, ARRAYFORMULA( ""• ""&amp; FILTER( TRIM(FLATTEN(SPLIT( REGEXREPLACE( SUBSTITUTE(TEXTJOIN("","", TRUE, IFERROR(ARRAYFORMULA(VLOOKUP(TRIM(SPLIT('Final Report'!A1782, "","")), 'URL Details'!A:D, "&amp;"4, FALSE)),"""") ), CHAR(10), "",""), ""\s*,\s*"", "",""), "",""))), TRIM(FLATTEN(SPLIT( REGEXREPLACE( SUBSTITUTE(TEXTJOIN("","", TRUE, IFERROR(ARRAYFORMULA(VLOOKUP(TRIM(SPLIT('Final Report'!A1782, "","")), 'URL Details'!A:D, 4, FALSE)),"""") ), CHAR(10),"&amp;" "",""), ""\s*,\s*"", "",""), "","")))&lt;&gt;"""" ) ) ) ),"""")
"),"")</f>
        <v/>
      </c>
      <c r="D1782" s="105"/>
      <c r="E1782" s="105"/>
      <c r="F1782" s="110" t="b">
        <v>0</v>
      </c>
      <c r="G1782" s="105" t="str">
        <f>IF(F1782=True, IFERROR(VLOOKUP(D1782, Repository!A:B, 2, 0), ""), "")</f>
        <v/>
      </c>
      <c r="H1782" s="105"/>
      <c r="I1782" s="105"/>
      <c r="J1782" s="105" t="str">
        <f>IF(F1782=True, IFERROR(VLOOKUP(D1782, Repository!A:C, 3, 0), ""), "")</f>
        <v/>
      </c>
      <c r="K1782" s="105"/>
      <c r="L1782" s="105" t="str">
        <f>IF(F1782=True, IFERROR(VLOOKUP(D1782, Repository!A:E, 5, 0), ""), "")</f>
        <v/>
      </c>
      <c r="M1782" s="105"/>
      <c r="N1782" s="105" t="str">
        <f>IF(F1782=True, IFERROR(VLOOKUP(D1782, Repository!A:G, 7, 0), ""), "")</f>
        <v/>
      </c>
      <c r="O1782" s="105" t="str">
        <f>IFERROR(__xludf.DUMMYFUNCTION("ARRAY_CONSTRAIN(
  ARRAYFORMULA(
    IFERROR(
      LET(
        list, N1782,
        arr, TRIM(SPLIT(list, "","")),
        names, XLOOKUP(
          arr,
          'Conformance Score'!A:A,
          'Conformance Score'!B:B,
          ""Not found""
     "&amp;"   ),
        TEXTJOIN("", "", TRUE, names)
      ),
      """"
    )
  ),
  1,
  1
)
"),"")</f>
        <v/>
      </c>
      <c r="P1782" s="105" t="str">
        <f>IF(F1782="Yes", IFERROR(VLOOKUP(D1782, Repository!A:F, 6, 0), ""), "")</f>
        <v/>
      </c>
      <c r="Q1782" s="105" t="str">
        <f>IF(F1782="Yes", IFERROR(VLOOKUP(D1782, Repository!A:I, 8, 0), ""), "")</f>
        <v/>
      </c>
      <c r="R1782" s="105" t="str">
        <f>IF(F1782="Yes", IFERROR(VLOOKUP(D1782, Repository!A:J, 9, 0), ""), "")</f>
        <v/>
      </c>
      <c r="S1782" s="105"/>
      <c r="T1782" s="105"/>
      <c r="U1782" s="105"/>
      <c r="V1782" s="105"/>
      <c r="W1782" s="105"/>
      <c r="X1782" s="105"/>
      <c r="Y1782" s="105"/>
      <c r="Z1782" s="105"/>
      <c r="AA1782" s="105"/>
      <c r="AB1782" s="105"/>
      <c r="AC1782" s="91"/>
      <c r="AD1782" s="105"/>
      <c r="AE1782" s="105"/>
      <c r="AF1782" s="91"/>
      <c r="AG1782" s="105"/>
      <c r="AH1782" s="105"/>
      <c r="AI1782" s="105" t="str">
        <f t="shared" si="1"/>
        <v/>
      </c>
      <c r="AJ1782" s="108" t="str">
        <f t="shared" si="2"/>
        <v/>
      </c>
    </row>
    <row r="1783" ht="15.75" customHeight="1">
      <c r="A1783" s="104"/>
      <c r="B1783" s="105" t="str">
        <f>IFERROR(__xludf.DUMMYFUNCTION("ARRAY_CONSTRAIN(
  ARRAYFORMULA(
    IF(
      'Final Report'!A1783="""",
      """",
      TEXTJOIN(
        "", "" &amp; CHAR(10),
        TRUE,
        IFERROR(
          VLOOKUP(
            TRIM(
              SPLIT('Final Report'!A1783, "","")
         "&amp;"   ),
            'URL Details'!A:B,
            2,
            FALSE
          ),
          """"
        )
      )
    )
  ),
  1,
  1
)
"),"")</f>
        <v/>
      </c>
      <c r="C1783" s="105" t="str">
        <f>IFERROR(__xludf.DUMMYFUNCTION("IFERROR(IF('Final Report'!A1783="""","""", TEXTJOIN(CHAR(10), TRUE, ARRAYFORMULA( ""• ""&amp; FILTER( TRIM(FLATTEN(SPLIT( REGEXREPLACE( SUBSTITUTE(TEXTJOIN("","", TRUE, IFERROR(ARRAYFORMULA(VLOOKUP(TRIM(SPLIT('Final Report'!A1783, "","")), 'URL Details'!A:D, "&amp;"4, FALSE)),"""") ), CHAR(10), "",""), ""\s*,\s*"", "",""), "",""))), TRIM(FLATTEN(SPLIT( REGEXREPLACE( SUBSTITUTE(TEXTJOIN("","", TRUE, IFERROR(ARRAYFORMULA(VLOOKUP(TRIM(SPLIT('Final Report'!A1783, "","")), 'URL Details'!A:D, 4, FALSE)),"""") ), CHAR(10),"&amp;" "",""), ""\s*,\s*"", "",""), "","")))&lt;&gt;"""" ) ) ) ),"""")
"),"")</f>
        <v/>
      </c>
      <c r="D1783" s="105"/>
      <c r="E1783" s="105"/>
      <c r="F1783" s="110" t="b">
        <v>0</v>
      </c>
      <c r="G1783" s="105" t="str">
        <f>IF(F1783=True, IFERROR(VLOOKUP(D1783, Repository!A:B, 2, 0), ""), "")</f>
        <v/>
      </c>
      <c r="H1783" s="105"/>
      <c r="I1783" s="105"/>
      <c r="J1783" s="105" t="str">
        <f>IF(F1783=True, IFERROR(VLOOKUP(D1783, Repository!A:C, 3, 0), ""), "")</f>
        <v/>
      </c>
      <c r="K1783" s="105"/>
      <c r="L1783" s="105" t="str">
        <f>IF(F1783=True, IFERROR(VLOOKUP(D1783, Repository!A:E, 5, 0), ""), "")</f>
        <v/>
      </c>
      <c r="M1783" s="105"/>
      <c r="N1783" s="105" t="str">
        <f>IF(F1783=True, IFERROR(VLOOKUP(D1783, Repository!A:G, 7, 0), ""), "")</f>
        <v/>
      </c>
      <c r="O1783" s="105" t="str">
        <f>IFERROR(__xludf.DUMMYFUNCTION("ARRAY_CONSTRAIN(
  ARRAYFORMULA(
    IFERROR(
      LET(
        list, N1783,
        arr, TRIM(SPLIT(list, "","")),
        names, XLOOKUP(
          arr,
          'Conformance Score'!A:A,
          'Conformance Score'!B:B,
          ""Not found""
     "&amp;"   ),
        TEXTJOIN("", "", TRUE, names)
      ),
      """"
    )
  ),
  1,
  1
)
"),"")</f>
        <v/>
      </c>
      <c r="P1783" s="105" t="str">
        <f>IF(F1783="Yes", IFERROR(VLOOKUP(D1783, Repository!A:F, 6, 0), ""), "")</f>
        <v/>
      </c>
      <c r="Q1783" s="105" t="str">
        <f>IF(F1783="Yes", IFERROR(VLOOKUP(D1783, Repository!A:I, 8, 0), ""), "")</f>
        <v/>
      </c>
      <c r="R1783" s="105" t="str">
        <f>IF(F1783="Yes", IFERROR(VLOOKUP(D1783, Repository!A:J, 9, 0), ""), "")</f>
        <v/>
      </c>
      <c r="S1783" s="105"/>
      <c r="T1783" s="105"/>
      <c r="U1783" s="105"/>
      <c r="V1783" s="105"/>
      <c r="W1783" s="105"/>
      <c r="X1783" s="105"/>
      <c r="Y1783" s="105"/>
      <c r="Z1783" s="105"/>
      <c r="AA1783" s="105"/>
      <c r="AB1783" s="105"/>
      <c r="AC1783" s="91"/>
      <c r="AD1783" s="105"/>
      <c r="AE1783" s="105"/>
      <c r="AF1783" s="91"/>
      <c r="AG1783" s="105"/>
      <c r="AH1783" s="105"/>
      <c r="AI1783" s="105" t="str">
        <f t="shared" si="1"/>
        <v/>
      </c>
      <c r="AJ1783" s="108" t="str">
        <f t="shared" si="2"/>
        <v/>
      </c>
    </row>
    <row r="1784" ht="15.75" customHeight="1">
      <c r="A1784" s="104"/>
      <c r="B1784" s="105" t="str">
        <f>IFERROR(__xludf.DUMMYFUNCTION("ARRAY_CONSTRAIN(
  ARRAYFORMULA(
    IF(
      'Final Report'!A1784="""",
      """",
      TEXTJOIN(
        "", "" &amp; CHAR(10),
        TRUE,
        IFERROR(
          VLOOKUP(
            TRIM(
              SPLIT('Final Report'!A1784, "","")
         "&amp;"   ),
            'URL Details'!A:B,
            2,
            FALSE
          ),
          """"
        )
      )
    )
  ),
  1,
  1
)
"),"")</f>
        <v/>
      </c>
      <c r="C1784" s="105" t="str">
        <f>IFERROR(__xludf.DUMMYFUNCTION("IFERROR(IF('Final Report'!A1784="""","""", TEXTJOIN(CHAR(10), TRUE, ARRAYFORMULA( ""• ""&amp; FILTER( TRIM(FLATTEN(SPLIT( REGEXREPLACE( SUBSTITUTE(TEXTJOIN("","", TRUE, IFERROR(ARRAYFORMULA(VLOOKUP(TRIM(SPLIT('Final Report'!A1784, "","")), 'URL Details'!A:D, "&amp;"4, FALSE)),"""") ), CHAR(10), "",""), ""\s*,\s*"", "",""), "",""))), TRIM(FLATTEN(SPLIT( REGEXREPLACE( SUBSTITUTE(TEXTJOIN("","", TRUE, IFERROR(ARRAYFORMULA(VLOOKUP(TRIM(SPLIT('Final Report'!A1784, "","")), 'URL Details'!A:D, 4, FALSE)),"""") ), CHAR(10),"&amp;" "",""), ""\s*,\s*"", "",""), "","")))&lt;&gt;"""" ) ) ) ),"""")
"),"")</f>
        <v/>
      </c>
      <c r="D1784" s="105"/>
      <c r="E1784" s="105"/>
      <c r="F1784" s="110" t="b">
        <v>0</v>
      </c>
      <c r="G1784" s="105" t="str">
        <f>IF(F1784=True, IFERROR(VLOOKUP(D1784, Repository!A:B, 2, 0), ""), "")</f>
        <v/>
      </c>
      <c r="H1784" s="105"/>
      <c r="I1784" s="105"/>
      <c r="J1784" s="105" t="str">
        <f>IF(F1784=True, IFERROR(VLOOKUP(D1784, Repository!A:C, 3, 0), ""), "")</f>
        <v/>
      </c>
      <c r="K1784" s="105"/>
      <c r="L1784" s="105" t="str">
        <f>IF(F1784=True, IFERROR(VLOOKUP(D1784, Repository!A:E, 5, 0), ""), "")</f>
        <v/>
      </c>
      <c r="M1784" s="105"/>
      <c r="N1784" s="105" t="str">
        <f>IF(F1784=True, IFERROR(VLOOKUP(D1784, Repository!A:G, 7, 0), ""), "")</f>
        <v/>
      </c>
      <c r="O1784" s="105" t="str">
        <f>IFERROR(__xludf.DUMMYFUNCTION("ARRAY_CONSTRAIN(
  ARRAYFORMULA(
    IFERROR(
      LET(
        list, N1784,
        arr, TRIM(SPLIT(list, "","")),
        names, XLOOKUP(
          arr,
          'Conformance Score'!A:A,
          'Conformance Score'!B:B,
          ""Not found""
     "&amp;"   ),
        TEXTJOIN("", "", TRUE, names)
      ),
      """"
    )
  ),
  1,
  1
)
"),"")</f>
        <v/>
      </c>
      <c r="P1784" s="105" t="str">
        <f>IF(F1784="Yes", IFERROR(VLOOKUP(D1784, Repository!A:F, 6, 0), ""), "")</f>
        <v/>
      </c>
      <c r="Q1784" s="105" t="str">
        <f>IF(F1784="Yes", IFERROR(VLOOKUP(D1784, Repository!A:I, 8, 0), ""), "")</f>
        <v/>
      </c>
      <c r="R1784" s="105" t="str">
        <f>IF(F1784="Yes", IFERROR(VLOOKUP(D1784, Repository!A:J, 9, 0), ""), "")</f>
        <v/>
      </c>
      <c r="S1784" s="105"/>
      <c r="T1784" s="105"/>
      <c r="U1784" s="105"/>
      <c r="V1784" s="105"/>
      <c r="W1784" s="105"/>
      <c r="X1784" s="105"/>
      <c r="Y1784" s="105"/>
      <c r="Z1784" s="105"/>
      <c r="AA1784" s="105"/>
      <c r="AB1784" s="105"/>
      <c r="AC1784" s="91"/>
      <c r="AD1784" s="105"/>
      <c r="AE1784" s="105"/>
      <c r="AF1784" s="91"/>
      <c r="AG1784" s="105"/>
      <c r="AH1784" s="105"/>
      <c r="AI1784" s="105" t="str">
        <f t="shared" si="1"/>
        <v/>
      </c>
      <c r="AJ1784" s="108" t="str">
        <f t="shared" si="2"/>
        <v/>
      </c>
    </row>
    <row r="1785" ht="15.75" customHeight="1">
      <c r="A1785" s="104"/>
      <c r="B1785" s="105" t="str">
        <f>IFERROR(__xludf.DUMMYFUNCTION("ARRAY_CONSTRAIN(
  ARRAYFORMULA(
    IF(
      'Final Report'!A1785="""",
      """",
      TEXTJOIN(
        "", "" &amp; CHAR(10),
        TRUE,
        IFERROR(
          VLOOKUP(
            TRIM(
              SPLIT('Final Report'!A1785, "","")
         "&amp;"   ),
            'URL Details'!A:B,
            2,
            FALSE
          ),
          """"
        )
      )
    )
  ),
  1,
  1
)
"),"")</f>
        <v/>
      </c>
      <c r="C1785" s="105" t="str">
        <f>IFERROR(__xludf.DUMMYFUNCTION("IFERROR(IF('Final Report'!A1785="""","""", TEXTJOIN(CHAR(10), TRUE, ARRAYFORMULA( ""• ""&amp; FILTER( TRIM(FLATTEN(SPLIT( REGEXREPLACE( SUBSTITUTE(TEXTJOIN("","", TRUE, IFERROR(ARRAYFORMULA(VLOOKUP(TRIM(SPLIT('Final Report'!A1785, "","")), 'URL Details'!A:D, "&amp;"4, FALSE)),"""") ), CHAR(10), "",""), ""\s*,\s*"", "",""), "",""))), TRIM(FLATTEN(SPLIT( REGEXREPLACE( SUBSTITUTE(TEXTJOIN("","", TRUE, IFERROR(ARRAYFORMULA(VLOOKUP(TRIM(SPLIT('Final Report'!A1785, "","")), 'URL Details'!A:D, 4, FALSE)),"""") ), CHAR(10),"&amp;" "",""), ""\s*,\s*"", "",""), "","")))&lt;&gt;"""" ) ) ) ),"""")
"),"")</f>
        <v/>
      </c>
      <c r="D1785" s="105"/>
      <c r="E1785" s="105"/>
      <c r="F1785" s="110" t="b">
        <v>0</v>
      </c>
      <c r="G1785" s="105" t="str">
        <f>IF(F1785=True, IFERROR(VLOOKUP(D1785, Repository!A:B, 2, 0), ""), "")</f>
        <v/>
      </c>
      <c r="H1785" s="105"/>
      <c r="I1785" s="105"/>
      <c r="J1785" s="105" t="str">
        <f>IF(F1785=True, IFERROR(VLOOKUP(D1785, Repository!A:C, 3, 0), ""), "")</f>
        <v/>
      </c>
      <c r="K1785" s="105"/>
      <c r="L1785" s="105" t="str">
        <f>IF(F1785=True, IFERROR(VLOOKUP(D1785, Repository!A:E, 5, 0), ""), "")</f>
        <v/>
      </c>
      <c r="M1785" s="105"/>
      <c r="N1785" s="105" t="str">
        <f>IF(F1785=True, IFERROR(VLOOKUP(D1785, Repository!A:G, 7, 0), ""), "")</f>
        <v/>
      </c>
      <c r="O1785" s="105" t="str">
        <f>IFERROR(__xludf.DUMMYFUNCTION("ARRAY_CONSTRAIN(
  ARRAYFORMULA(
    IFERROR(
      LET(
        list, N1785,
        arr, TRIM(SPLIT(list, "","")),
        names, XLOOKUP(
          arr,
          'Conformance Score'!A:A,
          'Conformance Score'!B:B,
          ""Not found""
     "&amp;"   ),
        TEXTJOIN("", "", TRUE, names)
      ),
      """"
    )
  ),
  1,
  1
)
"),"")</f>
        <v/>
      </c>
      <c r="P1785" s="105" t="str">
        <f>IF(F1785="Yes", IFERROR(VLOOKUP(D1785, Repository!A:F, 6, 0), ""), "")</f>
        <v/>
      </c>
      <c r="Q1785" s="105" t="str">
        <f>IF(F1785="Yes", IFERROR(VLOOKUP(D1785, Repository!A:I, 8, 0), ""), "")</f>
        <v/>
      </c>
      <c r="R1785" s="105" t="str">
        <f>IF(F1785="Yes", IFERROR(VLOOKUP(D1785, Repository!A:J, 9, 0), ""), "")</f>
        <v/>
      </c>
      <c r="S1785" s="105"/>
      <c r="T1785" s="105"/>
      <c r="U1785" s="105"/>
      <c r="V1785" s="105"/>
      <c r="W1785" s="105"/>
      <c r="X1785" s="105"/>
      <c r="Y1785" s="105"/>
      <c r="Z1785" s="105"/>
      <c r="AA1785" s="105"/>
      <c r="AB1785" s="105"/>
      <c r="AC1785" s="91"/>
      <c r="AD1785" s="105"/>
      <c r="AE1785" s="105"/>
      <c r="AF1785" s="91"/>
      <c r="AG1785" s="105"/>
      <c r="AH1785" s="105"/>
      <c r="AI1785" s="105" t="str">
        <f t="shared" si="1"/>
        <v/>
      </c>
      <c r="AJ1785" s="108" t="str">
        <f t="shared" si="2"/>
        <v/>
      </c>
    </row>
    <row r="1786" ht="15.75" customHeight="1">
      <c r="A1786" s="104"/>
      <c r="B1786" s="105" t="str">
        <f>IFERROR(__xludf.DUMMYFUNCTION("ARRAY_CONSTRAIN(
  ARRAYFORMULA(
    IF(
      'Final Report'!A1786="""",
      """",
      TEXTJOIN(
        "", "" &amp; CHAR(10),
        TRUE,
        IFERROR(
          VLOOKUP(
            TRIM(
              SPLIT('Final Report'!A1786, "","")
         "&amp;"   ),
            'URL Details'!A:B,
            2,
            FALSE
          ),
          """"
        )
      )
    )
  ),
  1,
  1
)
"),"")</f>
        <v/>
      </c>
      <c r="C1786" s="105" t="str">
        <f>IFERROR(__xludf.DUMMYFUNCTION("IFERROR(IF('Final Report'!A1786="""","""", TEXTJOIN(CHAR(10), TRUE, ARRAYFORMULA( ""• ""&amp; FILTER( TRIM(FLATTEN(SPLIT( REGEXREPLACE( SUBSTITUTE(TEXTJOIN("","", TRUE, IFERROR(ARRAYFORMULA(VLOOKUP(TRIM(SPLIT('Final Report'!A1786, "","")), 'URL Details'!A:D, "&amp;"4, FALSE)),"""") ), CHAR(10), "",""), ""\s*,\s*"", "",""), "",""))), TRIM(FLATTEN(SPLIT( REGEXREPLACE( SUBSTITUTE(TEXTJOIN("","", TRUE, IFERROR(ARRAYFORMULA(VLOOKUP(TRIM(SPLIT('Final Report'!A1786, "","")), 'URL Details'!A:D, 4, FALSE)),"""") ), CHAR(10),"&amp;" "",""), ""\s*,\s*"", "",""), "","")))&lt;&gt;"""" ) ) ) ),"""")
"),"")</f>
        <v/>
      </c>
      <c r="D1786" s="105"/>
      <c r="E1786" s="105"/>
      <c r="F1786" s="110" t="b">
        <v>0</v>
      </c>
      <c r="G1786" s="105" t="str">
        <f>IF(F1786=True, IFERROR(VLOOKUP(D1786, Repository!A:B, 2, 0), ""), "")</f>
        <v/>
      </c>
      <c r="H1786" s="105"/>
      <c r="I1786" s="105"/>
      <c r="J1786" s="105" t="str">
        <f>IF(F1786=True, IFERROR(VLOOKUP(D1786, Repository!A:C, 3, 0), ""), "")</f>
        <v/>
      </c>
      <c r="K1786" s="105"/>
      <c r="L1786" s="105" t="str">
        <f>IF(F1786=True, IFERROR(VLOOKUP(D1786, Repository!A:E, 5, 0), ""), "")</f>
        <v/>
      </c>
      <c r="M1786" s="105"/>
      <c r="N1786" s="105" t="str">
        <f>IF(F1786=True, IFERROR(VLOOKUP(D1786, Repository!A:G, 7, 0), ""), "")</f>
        <v/>
      </c>
      <c r="O1786" s="105" t="str">
        <f>IFERROR(__xludf.DUMMYFUNCTION("ARRAY_CONSTRAIN(
  ARRAYFORMULA(
    IFERROR(
      LET(
        list, N1786,
        arr, TRIM(SPLIT(list, "","")),
        names, XLOOKUP(
          arr,
          'Conformance Score'!A:A,
          'Conformance Score'!B:B,
          ""Not found""
     "&amp;"   ),
        TEXTJOIN("", "", TRUE, names)
      ),
      """"
    )
  ),
  1,
  1
)
"),"")</f>
        <v/>
      </c>
      <c r="P1786" s="105" t="str">
        <f>IF(F1786="Yes", IFERROR(VLOOKUP(D1786, Repository!A:F, 6, 0), ""), "")</f>
        <v/>
      </c>
      <c r="Q1786" s="105" t="str">
        <f>IF(F1786="Yes", IFERROR(VLOOKUP(D1786, Repository!A:I, 8, 0), ""), "")</f>
        <v/>
      </c>
      <c r="R1786" s="105" t="str">
        <f>IF(F1786="Yes", IFERROR(VLOOKUP(D1786, Repository!A:J, 9, 0), ""), "")</f>
        <v/>
      </c>
      <c r="S1786" s="105"/>
      <c r="T1786" s="105"/>
      <c r="U1786" s="105"/>
      <c r="V1786" s="105"/>
      <c r="W1786" s="105"/>
      <c r="X1786" s="105"/>
      <c r="Y1786" s="105"/>
      <c r="Z1786" s="105"/>
      <c r="AA1786" s="105"/>
      <c r="AB1786" s="105"/>
      <c r="AC1786" s="91"/>
      <c r="AD1786" s="105"/>
      <c r="AE1786" s="105"/>
      <c r="AF1786" s="91"/>
      <c r="AG1786" s="105"/>
      <c r="AH1786" s="105"/>
      <c r="AI1786" s="105" t="str">
        <f t="shared" si="1"/>
        <v/>
      </c>
      <c r="AJ1786" s="108" t="str">
        <f t="shared" si="2"/>
        <v/>
      </c>
    </row>
    <row r="1787" ht="15.75" customHeight="1">
      <c r="A1787" s="104"/>
      <c r="B1787" s="105" t="str">
        <f>IFERROR(__xludf.DUMMYFUNCTION("ARRAY_CONSTRAIN(
  ARRAYFORMULA(
    IF(
      'Final Report'!A1787="""",
      """",
      TEXTJOIN(
        "", "" &amp; CHAR(10),
        TRUE,
        IFERROR(
          VLOOKUP(
            TRIM(
              SPLIT('Final Report'!A1787, "","")
         "&amp;"   ),
            'URL Details'!A:B,
            2,
            FALSE
          ),
          """"
        )
      )
    )
  ),
  1,
  1
)
"),"")</f>
        <v/>
      </c>
      <c r="C1787" s="105" t="str">
        <f>IFERROR(__xludf.DUMMYFUNCTION("IFERROR(IF('Final Report'!A1787="""","""", TEXTJOIN(CHAR(10), TRUE, ARRAYFORMULA( ""• ""&amp; FILTER( TRIM(FLATTEN(SPLIT( REGEXREPLACE( SUBSTITUTE(TEXTJOIN("","", TRUE, IFERROR(ARRAYFORMULA(VLOOKUP(TRIM(SPLIT('Final Report'!A1787, "","")), 'URL Details'!A:D, "&amp;"4, FALSE)),"""") ), CHAR(10), "",""), ""\s*,\s*"", "",""), "",""))), TRIM(FLATTEN(SPLIT( REGEXREPLACE( SUBSTITUTE(TEXTJOIN("","", TRUE, IFERROR(ARRAYFORMULA(VLOOKUP(TRIM(SPLIT('Final Report'!A1787, "","")), 'URL Details'!A:D, 4, FALSE)),"""") ), CHAR(10),"&amp;" "",""), ""\s*,\s*"", "",""), "","")))&lt;&gt;"""" ) ) ) ),"""")
"),"")</f>
        <v/>
      </c>
      <c r="D1787" s="105"/>
      <c r="E1787" s="105"/>
      <c r="F1787" s="110" t="b">
        <v>0</v>
      </c>
      <c r="G1787" s="105" t="str">
        <f>IF(F1787=True, IFERROR(VLOOKUP(D1787, Repository!A:B, 2, 0), ""), "")</f>
        <v/>
      </c>
      <c r="H1787" s="105"/>
      <c r="I1787" s="105"/>
      <c r="J1787" s="105" t="str">
        <f>IF(F1787=True, IFERROR(VLOOKUP(D1787, Repository!A:C, 3, 0), ""), "")</f>
        <v/>
      </c>
      <c r="K1787" s="105"/>
      <c r="L1787" s="105" t="str">
        <f>IF(F1787=True, IFERROR(VLOOKUP(D1787, Repository!A:E, 5, 0), ""), "")</f>
        <v/>
      </c>
      <c r="M1787" s="105"/>
      <c r="N1787" s="105" t="str">
        <f>IF(F1787=True, IFERROR(VLOOKUP(D1787, Repository!A:G, 7, 0), ""), "")</f>
        <v/>
      </c>
      <c r="O1787" s="105" t="str">
        <f>IFERROR(__xludf.DUMMYFUNCTION("ARRAY_CONSTRAIN(
  ARRAYFORMULA(
    IFERROR(
      LET(
        list, N1787,
        arr, TRIM(SPLIT(list, "","")),
        names, XLOOKUP(
          arr,
          'Conformance Score'!A:A,
          'Conformance Score'!B:B,
          ""Not found""
     "&amp;"   ),
        TEXTJOIN("", "", TRUE, names)
      ),
      """"
    )
  ),
  1,
  1
)
"),"")</f>
        <v/>
      </c>
      <c r="P1787" s="105" t="str">
        <f>IF(F1787="Yes", IFERROR(VLOOKUP(D1787, Repository!A:F, 6, 0), ""), "")</f>
        <v/>
      </c>
      <c r="Q1787" s="105" t="str">
        <f>IF(F1787="Yes", IFERROR(VLOOKUP(D1787, Repository!A:I, 8, 0), ""), "")</f>
        <v/>
      </c>
      <c r="R1787" s="105" t="str">
        <f>IF(F1787="Yes", IFERROR(VLOOKUP(D1787, Repository!A:J, 9, 0), ""), "")</f>
        <v/>
      </c>
      <c r="S1787" s="105"/>
      <c r="T1787" s="105"/>
      <c r="U1787" s="105"/>
      <c r="V1787" s="105"/>
      <c r="W1787" s="105"/>
      <c r="X1787" s="105"/>
      <c r="Y1787" s="105"/>
      <c r="Z1787" s="105"/>
      <c r="AA1787" s="105"/>
      <c r="AB1787" s="105"/>
      <c r="AC1787" s="91"/>
      <c r="AD1787" s="105"/>
      <c r="AE1787" s="105"/>
      <c r="AF1787" s="91"/>
      <c r="AG1787" s="105"/>
      <c r="AH1787" s="105"/>
      <c r="AI1787" s="105" t="str">
        <f t="shared" si="1"/>
        <v/>
      </c>
      <c r="AJ1787" s="108" t="str">
        <f t="shared" si="2"/>
        <v/>
      </c>
    </row>
    <row r="1788" ht="15.75" customHeight="1">
      <c r="A1788" s="104"/>
      <c r="B1788" s="105" t="str">
        <f>IFERROR(__xludf.DUMMYFUNCTION("ARRAY_CONSTRAIN(
  ARRAYFORMULA(
    IF(
      'Final Report'!A1788="""",
      """",
      TEXTJOIN(
        "", "" &amp; CHAR(10),
        TRUE,
        IFERROR(
          VLOOKUP(
            TRIM(
              SPLIT('Final Report'!A1788, "","")
         "&amp;"   ),
            'URL Details'!A:B,
            2,
            FALSE
          ),
          """"
        )
      )
    )
  ),
  1,
  1
)
"),"")</f>
        <v/>
      </c>
      <c r="C1788" s="105" t="str">
        <f>IFERROR(__xludf.DUMMYFUNCTION("IFERROR(IF('Final Report'!A1788="""","""", TEXTJOIN(CHAR(10), TRUE, ARRAYFORMULA( ""• ""&amp; FILTER( TRIM(FLATTEN(SPLIT( REGEXREPLACE( SUBSTITUTE(TEXTJOIN("","", TRUE, IFERROR(ARRAYFORMULA(VLOOKUP(TRIM(SPLIT('Final Report'!A1788, "","")), 'URL Details'!A:D, "&amp;"4, FALSE)),"""") ), CHAR(10), "",""), ""\s*,\s*"", "",""), "",""))), TRIM(FLATTEN(SPLIT( REGEXREPLACE( SUBSTITUTE(TEXTJOIN("","", TRUE, IFERROR(ARRAYFORMULA(VLOOKUP(TRIM(SPLIT('Final Report'!A1788, "","")), 'URL Details'!A:D, 4, FALSE)),"""") ), CHAR(10),"&amp;" "",""), ""\s*,\s*"", "",""), "","")))&lt;&gt;"""" ) ) ) ),"""")
"),"")</f>
        <v/>
      </c>
      <c r="D1788" s="105"/>
      <c r="E1788" s="105"/>
      <c r="F1788" s="110" t="b">
        <v>0</v>
      </c>
      <c r="G1788" s="105" t="str">
        <f>IF(F1788=True, IFERROR(VLOOKUP(D1788, Repository!A:B, 2, 0), ""), "")</f>
        <v/>
      </c>
      <c r="H1788" s="105"/>
      <c r="I1788" s="105"/>
      <c r="J1788" s="105" t="str">
        <f>IF(F1788=True, IFERROR(VLOOKUP(D1788, Repository!A:C, 3, 0), ""), "")</f>
        <v/>
      </c>
      <c r="K1788" s="105"/>
      <c r="L1788" s="105" t="str">
        <f>IF(F1788=True, IFERROR(VLOOKUP(D1788, Repository!A:E, 5, 0), ""), "")</f>
        <v/>
      </c>
      <c r="M1788" s="105"/>
      <c r="N1788" s="105" t="str">
        <f>IF(F1788=True, IFERROR(VLOOKUP(D1788, Repository!A:G, 7, 0), ""), "")</f>
        <v/>
      </c>
      <c r="O1788" s="105" t="str">
        <f>IFERROR(__xludf.DUMMYFUNCTION("ARRAY_CONSTRAIN(
  ARRAYFORMULA(
    IFERROR(
      LET(
        list, N1788,
        arr, TRIM(SPLIT(list, "","")),
        names, XLOOKUP(
          arr,
          'Conformance Score'!A:A,
          'Conformance Score'!B:B,
          ""Not found""
     "&amp;"   ),
        TEXTJOIN("", "", TRUE, names)
      ),
      """"
    )
  ),
  1,
  1
)
"),"")</f>
        <v/>
      </c>
      <c r="P1788" s="105" t="str">
        <f>IF(F1788="Yes", IFERROR(VLOOKUP(D1788, Repository!A:F, 6, 0), ""), "")</f>
        <v/>
      </c>
      <c r="Q1788" s="105" t="str">
        <f>IF(F1788="Yes", IFERROR(VLOOKUP(D1788, Repository!A:I, 8, 0), ""), "")</f>
        <v/>
      </c>
      <c r="R1788" s="105" t="str">
        <f>IF(F1788="Yes", IFERROR(VLOOKUP(D1788, Repository!A:J, 9, 0), ""), "")</f>
        <v/>
      </c>
      <c r="S1788" s="105"/>
      <c r="T1788" s="105"/>
      <c r="U1788" s="105"/>
      <c r="V1788" s="105"/>
      <c r="W1788" s="105"/>
      <c r="X1788" s="105"/>
      <c r="Y1788" s="105"/>
      <c r="Z1788" s="105"/>
      <c r="AA1788" s="105"/>
      <c r="AB1788" s="105"/>
      <c r="AC1788" s="91"/>
      <c r="AD1788" s="105"/>
      <c r="AE1788" s="105"/>
      <c r="AF1788" s="91"/>
      <c r="AG1788" s="105"/>
      <c r="AH1788" s="105"/>
      <c r="AI1788" s="105" t="str">
        <f t="shared" si="1"/>
        <v/>
      </c>
      <c r="AJ1788" s="108" t="str">
        <f t="shared" si="2"/>
        <v/>
      </c>
    </row>
    <row r="1789" ht="15.75" customHeight="1">
      <c r="A1789" s="104"/>
      <c r="B1789" s="105" t="str">
        <f>IFERROR(__xludf.DUMMYFUNCTION("ARRAY_CONSTRAIN(
  ARRAYFORMULA(
    IF(
      'Final Report'!A1789="""",
      """",
      TEXTJOIN(
        "", "" &amp; CHAR(10),
        TRUE,
        IFERROR(
          VLOOKUP(
            TRIM(
              SPLIT('Final Report'!A1789, "","")
         "&amp;"   ),
            'URL Details'!A:B,
            2,
            FALSE
          ),
          """"
        )
      )
    )
  ),
  1,
  1
)
"),"")</f>
        <v/>
      </c>
      <c r="C1789" s="105" t="str">
        <f>IFERROR(__xludf.DUMMYFUNCTION("IFERROR(IF('Final Report'!A1789="""","""", TEXTJOIN(CHAR(10), TRUE, ARRAYFORMULA( ""• ""&amp; FILTER( TRIM(FLATTEN(SPLIT( REGEXREPLACE( SUBSTITUTE(TEXTJOIN("","", TRUE, IFERROR(ARRAYFORMULA(VLOOKUP(TRIM(SPLIT('Final Report'!A1789, "","")), 'URL Details'!A:D, "&amp;"4, FALSE)),"""") ), CHAR(10), "",""), ""\s*,\s*"", "",""), "",""))), TRIM(FLATTEN(SPLIT( REGEXREPLACE( SUBSTITUTE(TEXTJOIN("","", TRUE, IFERROR(ARRAYFORMULA(VLOOKUP(TRIM(SPLIT('Final Report'!A1789, "","")), 'URL Details'!A:D, 4, FALSE)),"""") ), CHAR(10),"&amp;" "",""), ""\s*,\s*"", "",""), "","")))&lt;&gt;"""" ) ) ) ),"""")
"),"")</f>
        <v/>
      </c>
      <c r="D1789" s="105"/>
      <c r="E1789" s="105"/>
      <c r="F1789" s="110" t="b">
        <v>0</v>
      </c>
      <c r="G1789" s="105" t="str">
        <f>IF(F1789=True, IFERROR(VLOOKUP(D1789, Repository!A:B, 2, 0), ""), "")</f>
        <v/>
      </c>
      <c r="H1789" s="105"/>
      <c r="I1789" s="105"/>
      <c r="J1789" s="105" t="str">
        <f>IF(F1789=True, IFERROR(VLOOKUP(D1789, Repository!A:C, 3, 0), ""), "")</f>
        <v/>
      </c>
      <c r="K1789" s="105"/>
      <c r="L1789" s="105" t="str">
        <f>IF(F1789=True, IFERROR(VLOOKUP(D1789, Repository!A:E, 5, 0), ""), "")</f>
        <v/>
      </c>
      <c r="M1789" s="105"/>
      <c r="N1789" s="105" t="str">
        <f>IF(F1789=True, IFERROR(VLOOKUP(D1789, Repository!A:G, 7, 0), ""), "")</f>
        <v/>
      </c>
      <c r="O1789" s="105" t="str">
        <f>IFERROR(__xludf.DUMMYFUNCTION("ARRAY_CONSTRAIN(
  ARRAYFORMULA(
    IFERROR(
      LET(
        list, N1789,
        arr, TRIM(SPLIT(list, "","")),
        names, XLOOKUP(
          arr,
          'Conformance Score'!A:A,
          'Conformance Score'!B:B,
          ""Not found""
     "&amp;"   ),
        TEXTJOIN("", "", TRUE, names)
      ),
      """"
    )
  ),
  1,
  1
)
"),"")</f>
        <v/>
      </c>
      <c r="P1789" s="105" t="str">
        <f>IF(F1789="Yes", IFERROR(VLOOKUP(D1789, Repository!A:F, 6, 0), ""), "")</f>
        <v/>
      </c>
      <c r="Q1789" s="105" t="str">
        <f>IF(F1789="Yes", IFERROR(VLOOKUP(D1789, Repository!A:I, 8, 0), ""), "")</f>
        <v/>
      </c>
      <c r="R1789" s="105" t="str">
        <f>IF(F1789="Yes", IFERROR(VLOOKUP(D1789, Repository!A:J, 9, 0), ""), "")</f>
        <v/>
      </c>
      <c r="S1789" s="105"/>
      <c r="T1789" s="105"/>
      <c r="U1789" s="105"/>
      <c r="V1789" s="105"/>
      <c r="W1789" s="105"/>
      <c r="X1789" s="105"/>
      <c r="Y1789" s="105"/>
      <c r="Z1789" s="105"/>
      <c r="AA1789" s="105"/>
      <c r="AB1789" s="105"/>
      <c r="AC1789" s="91"/>
      <c r="AD1789" s="105"/>
      <c r="AE1789" s="105"/>
      <c r="AF1789" s="91"/>
      <c r="AG1789" s="105"/>
      <c r="AH1789" s="105"/>
      <c r="AI1789" s="105" t="str">
        <f t="shared" si="1"/>
        <v/>
      </c>
      <c r="AJ1789" s="108" t="str">
        <f t="shared" si="2"/>
        <v/>
      </c>
    </row>
    <row r="1790" ht="15.75" customHeight="1">
      <c r="A1790" s="104"/>
      <c r="B1790" s="105" t="str">
        <f>IFERROR(__xludf.DUMMYFUNCTION("ARRAY_CONSTRAIN(
  ARRAYFORMULA(
    IF(
      'Final Report'!A1790="""",
      """",
      TEXTJOIN(
        "", "" &amp; CHAR(10),
        TRUE,
        IFERROR(
          VLOOKUP(
            TRIM(
              SPLIT('Final Report'!A1790, "","")
         "&amp;"   ),
            'URL Details'!A:B,
            2,
            FALSE
          ),
          """"
        )
      )
    )
  ),
  1,
  1
)
"),"")</f>
        <v/>
      </c>
      <c r="C1790" s="105" t="str">
        <f>IFERROR(__xludf.DUMMYFUNCTION("IFERROR(IF('Final Report'!A1790="""","""", TEXTJOIN(CHAR(10), TRUE, ARRAYFORMULA( ""• ""&amp; FILTER( TRIM(FLATTEN(SPLIT( REGEXREPLACE( SUBSTITUTE(TEXTJOIN("","", TRUE, IFERROR(ARRAYFORMULA(VLOOKUP(TRIM(SPLIT('Final Report'!A1790, "","")), 'URL Details'!A:D, "&amp;"4, FALSE)),"""") ), CHAR(10), "",""), ""\s*,\s*"", "",""), "",""))), TRIM(FLATTEN(SPLIT( REGEXREPLACE( SUBSTITUTE(TEXTJOIN("","", TRUE, IFERROR(ARRAYFORMULA(VLOOKUP(TRIM(SPLIT('Final Report'!A1790, "","")), 'URL Details'!A:D, 4, FALSE)),"""") ), CHAR(10),"&amp;" "",""), ""\s*,\s*"", "",""), "","")))&lt;&gt;"""" ) ) ) ),"""")
"),"")</f>
        <v/>
      </c>
      <c r="D1790" s="105"/>
      <c r="E1790" s="105"/>
      <c r="F1790" s="110" t="b">
        <v>0</v>
      </c>
      <c r="G1790" s="105" t="str">
        <f>IF(F1790=True, IFERROR(VLOOKUP(D1790, Repository!A:B, 2, 0), ""), "")</f>
        <v/>
      </c>
      <c r="H1790" s="105"/>
      <c r="I1790" s="105"/>
      <c r="J1790" s="105" t="str">
        <f>IF(F1790=True, IFERROR(VLOOKUP(D1790, Repository!A:C, 3, 0), ""), "")</f>
        <v/>
      </c>
      <c r="K1790" s="105"/>
      <c r="L1790" s="105" t="str">
        <f>IF(F1790=True, IFERROR(VLOOKUP(D1790, Repository!A:E, 5, 0), ""), "")</f>
        <v/>
      </c>
      <c r="M1790" s="105"/>
      <c r="N1790" s="105" t="str">
        <f>IF(F1790=True, IFERROR(VLOOKUP(D1790, Repository!A:G, 7, 0), ""), "")</f>
        <v/>
      </c>
      <c r="O1790" s="105" t="str">
        <f>IFERROR(__xludf.DUMMYFUNCTION("ARRAY_CONSTRAIN(
  ARRAYFORMULA(
    IFERROR(
      LET(
        list, N1790,
        arr, TRIM(SPLIT(list, "","")),
        names, XLOOKUP(
          arr,
          'Conformance Score'!A:A,
          'Conformance Score'!B:B,
          ""Not found""
     "&amp;"   ),
        TEXTJOIN("", "", TRUE, names)
      ),
      """"
    )
  ),
  1,
  1
)
"),"")</f>
        <v/>
      </c>
      <c r="P1790" s="105" t="str">
        <f>IF(F1790="Yes", IFERROR(VLOOKUP(D1790, Repository!A:F, 6, 0), ""), "")</f>
        <v/>
      </c>
      <c r="Q1790" s="105" t="str">
        <f>IF(F1790="Yes", IFERROR(VLOOKUP(D1790, Repository!A:I, 8, 0), ""), "")</f>
        <v/>
      </c>
      <c r="R1790" s="105" t="str">
        <f>IF(F1790="Yes", IFERROR(VLOOKUP(D1790, Repository!A:J, 9, 0), ""), "")</f>
        <v/>
      </c>
      <c r="S1790" s="105"/>
      <c r="T1790" s="105"/>
      <c r="U1790" s="105"/>
      <c r="V1790" s="105"/>
      <c r="W1790" s="105"/>
      <c r="X1790" s="105"/>
      <c r="Y1790" s="105"/>
      <c r="Z1790" s="105"/>
      <c r="AA1790" s="105"/>
      <c r="AB1790" s="105"/>
      <c r="AC1790" s="91"/>
      <c r="AD1790" s="105"/>
      <c r="AE1790" s="105"/>
      <c r="AF1790" s="91"/>
      <c r="AG1790" s="105"/>
      <c r="AH1790" s="105"/>
      <c r="AI1790" s="105" t="str">
        <f t="shared" si="1"/>
        <v/>
      </c>
      <c r="AJ1790" s="108" t="str">
        <f t="shared" si="2"/>
        <v/>
      </c>
    </row>
    <row r="1791" ht="15.75" customHeight="1">
      <c r="A1791" s="104"/>
      <c r="B1791" s="105" t="str">
        <f>IFERROR(__xludf.DUMMYFUNCTION("ARRAY_CONSTRAIN(
  ARRAYFORMULA(
    IF(
      'Final Report'!A1791="""",
      """",
      TEXTJOIN(
        "", "" &amp; CHAR(10),
        TRUE,
        IFERROR(
          VLOOKUP(
            TRIM(
              SPLIT('Final Report'!A1791, "","")
         "&amp;"   ),
            'URL Details'!A:B,
            2,
            FALSE
          ),
          """"
        )
      )
    )
  ),
  1,
  1
)
"),"")</f>
        <v/>
      </c>
      <c r="C1791" s="105" t="str">
        <f>IFERROR(__xludf.DUMMYFUNCTION("IFERROR(IF('Final Report'!A1791="""","""", TEXTJOIN(CHAR(10), TRUE, ARRAYFORMULA( ""• ""&amp; FILTER( TRIM(FLATTEN(SPLIT( REGEXREPLACE( SUBSTITUTE(TEXTJOIN("","", TRUE, IFERROR(ARRAYFORMULA(VLOOKUP(TRIM(SPLIT('Final Report'!A1791, "","")), 'URL Details'!A:D, "&amp;"4, FALSE)),"""") ), CHAR(10), "",""), ""\s*,\s*"", "",""), "",""))), TRIM(FLATTEN(SPLIT( REGEXREPLACE( SUBSTITUTE(TEXTJOIN("","", TRUE, IFERROR(ARRAYFORMULA(VLOOKUP(TRIM(SPLIT('Final Report'!A1791, "","")), 'URL Details'!A:D, 4, FALSE)),"""") ), CHAR(10),"&amp;" "",""), ""\s*,\s*"", "",""), "","")))&lt;&gt;"""" ) ) ) ),"""")
"),"")</f>
        <v/>
      </c>
      <c r="D1791" s="105"/>
      <c r="E1791" s="105"/>
      <c r="F1791" s="110" t="b">
        <v>0</v>
      </c>
      <c r="G1791" s="105" t="str">
        <f>IF(F1791=True, IFERROR(VLOOKUP(D1791, Repository!A:B, 2, 0), ""), "")</f>
        <v/>
      </c>
      <c r="H1791" s="105"/>
      <c r="I1791" s="105"/>
      <c r="J1791" s="105" t="str">
        <f>IF(F1791=True, IFERROR(VLOOKUP(D1791, Repository!A:C, 3, 0), ""), "")</f>
        <v/>
      </c>
      <c r="K1791" s="105"/>
      <c r="L1791" s="105" t="str">
        <f>IF(F1791=True, IFERROR(VLOOKUP(D1791, Repository!A:E, 5, 0), ""), "")</f>
        <v/>
      </c>
      <c r="M1791" s="105"/>
      <c r="N1791" s="105" t="str">
        <f>IF(F1791=True, IFERROR(VLOOKUP(D1791, Repository!A:G, 7, 0), ""), "")</f>
        <v/>
      </c>
      <c r="O1791" s="105" t="str">
        <f>IFERROR(__xludf.DUMMYFUNCTION("ARRAY_CONSTRAIN(
  ARRAYFORMULA(
    IFERROR(
      LET(
        list, N1791,
        arr, TRIM(SPLIT(list, "","")),
        names, XLOOKUP(
          arr,
          'Conformance Score'!A:A,
          'Conformance Score'!B:B,
          ""Not found""
     "&amp;"   ),
        TEXTJOIN("", "", TRUE, names)
      ),
      """"
    )
  ),
  1,
  1
)
"),"")</f>
        <v/>
      </c>
      <c r="P1791" s="105" t="str">
        <f>IF(F1791="Yes", IFERROR(VLOOKUP(D1791, Repository!A:F, 6, 0), ""), "")</f>
        <v/>
      </c>
      <c r="Q1791" s="105" t="str">
        <f>IF(F1791="Yes", IFERROR(VLOOKUP(D1791, Repository!A:I, 8, 0), ""), "")</f>
        <v/>
      </c>
      <c r="R1791" s="105" t="str">
        <f>IF(F1791="Yes", IFERROR(VLOOKUP(D1791, Repository!A:J, 9, 0), ""), "")</f>
        <v/>
      </c>
      <c r="S1791" s="105"/>
      <c r="T1791" s="105"/>
      <c r="U1791" s="105"/>
      <c r="V1791" s="105"/>
      <c r="W1791" s="105"/>
      <c r="X1791" s="105"/>
      <c r="Y1791" s="105"/>
      <c r="Z1791" s="105"/>
      <c r="AA1791" s="105"/>
      <c r="AB1791" s="105"/>
      <c r="AC1791" s="91"/>
      <c r="AD1791" s="105"/>
      <c r="AE1791" s="105"/>
      <c r="AF1791" s="91"/>
      <c r="AG1791" s="105"/>
      <c r="AH1791" s="105"/>
      <c r="AI1791" s="105" t="str">
        <f t="shared" si="1"/>
        <v/>
      </c>
      <c r="AJ1791" s="108" t="str">
        <f t="shared" si="2"/>
        <v/>
      </c>
    </row>
    <row r="1792" ht="15.75" customHeight="1">
      <c r="A1792" s="104"/>
      <c r="B1792" s="105" t="str">
        <f>IFERROR(__xludf.DUMMYFUNCTION("ARRAY_CONSTRAIN(
  ARRAYFORMULA(
    IF(
      'Final Report'!A1792="""",
      """",
      TEXTJOIN(
        "", "" &amp; CHAR(10),
        TRUE,
        IFERROR(
          VLOOKUP(
            TRIM(
              SPLIT('Final Report'!A1792, "","")
         "&amp;"   ),
            'URL Details'!A:B,
            2,
            FALSE
          ),
          """"
        )
      )
    )
  ),
  1,
  1
)
"),"")</f>
        <v/>
      </c>
      <c r="C1792" s="105" t="str">
        <f>IFERROR(__xludf.DUMMYFUNCTION("IFERROR(IF('Final Report'!A1792="""","""", TEXTJOIN(CHAR(10), TRUE, ARRAYFORMULA( ""• ""&amp; FILTER( TRIM(FLATTEN(SPLIT( REGEXREPLACE( SUBSTITUTE(TEXTJOIN("","", TRUE, IFERROR(ARRAYFORMULA(VLOOKUP(TRIM(SPLIT('Final Report'!A1792, "","")), 'URL Details'!A:D, "&amp;"4, FALSE)),"""") ), CHAR(10), "",""), ""\s*,\s*"", "",""), "",""))), TRIM(FLATTEN(SPLIT( REGEXREPLACE( SUBSTITUTE(TEXTJOIN("","", TRUE, IFERROR(ARRAYFORMULA(VLOOKUP(TRIM(SPLIT('Final Report'!A1792, "","")), 'URL Details'!A:D, 4, FALSE)),"""") ), CHAR(10),"&amp;" "",""), ""\s*,\s*"", "",""), "","")))&lt;&gt;"""" ) ) ) ),"""")
"),"")</f>
        <v/>
      </c>
      <c r="D1792" s="105"/>
      <c r="E1792" s="105"/>
      <c r="F1792" s="110" t="b">
        <v>0</v>
      </c>
      <c r="G1792" s="105" t="str">
        <f>IF(F1792=True, IFERROR(VLOOKUP(D1792, Repository!A:B, 2, 0), ""), "")</f>
        <v/>
      </c>
      <c r="H1792" s="105"/>
      <c r="I1792" s="105"/>
      <c r="J1792" s="105" t="str">
        <f>IF(F1792=True, IFERROR(VLOOKUP(D1792, Repository!A:C, 3, 0), ""), "")</f>
        <v/>
      </c>
      <c r="K1792" s="105"/>
      <c r="L1792" s="105" t="str">
        <f>IF(F1792=True, IFERROR(VLOOKUP(D1792, Repository!A:E, 5, 0), ""), "")</f>
        <v/>
      </c>
      <c r="M1792" s="105"/>
      <c r="N1792" s="105" t="str">
        <f>IF(F1792=True, IFERROR(VLOOKUP(D1792, Repository!A:G, 7, 0), ""), "")</f>
        <v/>
      </c>
      <c r="O1792" s="105" t="str">
        <f>IFERROR(__xludf.DUMMYFUNCTION("ARRAY_CONSTRAIN(
  ARRAYFORMULA(
    IFERROR(
      LET(
        list, N1792,
        arr, TRIM(SPLIT(list, "","")),
        names, XLOOKUP(
          arr,
          'Conformance Score'!A:A,
          'Conformance Score'!B:B,
          ""Not found""
     "&amp;"   ),
        TEXTJOIN("", "", TRUE, names)
      ),
      """"
    )
  ),
  1,
  1
)
"),"")</f>
        <v/>
      </c>
      <c r="P1792" s="105" t="str">
        <f>IF(F1792="Yes", IFERROR(VLOOKUP(D1792, Repository!A:F, 6, 0), ""), "")</f>
        <v/>
      </c>
      <c r="Q1792" s="105" t="str">
        <f>IF(F1792="Yes", IFERROR(VLOOKUP(D1792, Repository!A:I, 8, 0), ""), "")</f>
        <v/>
      </c>
      <c r="R1792" s="105" t="str">
        <f>IF(F1792="Yes", IFERROR(VLOOKUP(D1792, Repository!A:J, 9, 0), ""), "")</f>
        <v/>
      </c>
      <c r="S1792" s="105"/>
      <c r="T1792" s="105"/>
      <c r="U1792" s="105"/>
      <c r="V1792" s="105"/>
      <c r="W1792" s="105"/>
      <c r="X1792" s="105"/>
      <c r="Y1792" s="105"/>
      <c r="Z1792" s="105"/>
      <c r="AA1792" s="105"/>
      <c r="AB1792" s="105"/>
      <c r="AC1792" s="91"/>
      <c r="AD1792" s="105"/>
      <c r="AE1792" s="105"/>
      <c r="AF1792" s="91"/>
      <c r="AG1792" s="105"/>
      <c r="AH1792" s="105"/>
      <c r="AI1792" s="105" t="str">
        <f t="shared" si="1"/>
        <v/>
      </c>
      <c r="AJ1792" s="108" t="str">
        <f t="shared" si="2"/>
        <v/>
      </c>
    </row>
    <row r="1793" ht="15.75" customHeight="1">
      <c r="A1793" s="104"/>
      <c r="B1793" s="105" t="str">
        <f>IFERROR(__xludf.DUMMYFUNCTION("ARRAY_CONSTRAIN(
  ARRAYFORMULA(
    IF(
      'Final Report'!A1793="""",
      """",
      TEXTJOIN(
        "", "" &amp; CHAR(10),
        TRUE,
        IFERROR(
          VLOOKUP(
            TRIM(
              SPLIT('Final Report'!A1793, "","")
         "&amp;"   ),
            'URL Details'!A:B,
            2,
            FALSE
          ),
          """"
        )
      )
    )
  ),
  1,
  1
)
"),"")</f>
        <v/>
      </c>
      <c r="C1793" s="105" t="str">
        <f>IFERROR(__xludf.DUMMYFUNCTION("IFERROR(IF('Final Report'!A1793="""","""", TEXTJOIN(CHAR(10), TRUE, ARRAYFORMULA( ""• ""&amp; FILTER( TRIM(FLATTEN(SPLIT( REGEXREPLACE( SUBSTITUTE(TEXTJOIN("","", TRUE, IFERROR(ARRAYFORMULA(VLOOKUP(TRIM(SPLIT('Final Report'!A1793, "","")), 'URL Details'!A:D, "&amp;"4, FALSE)),"""") ), CHAR(10), "",""), ""\s*,\s*"", "",""), "",""))), TRIM(FLATTEN(SPLIT( REGEXREPLACE( SUBSTITUTE(TEXTJOIN("","", TRUE, IFERROR(ARRAYFORMULA(VLOOKUP(TRIM(SPLIT('Final Report'!A1793, "","")), 'URL Details'!A:D, 4, FALSE)),"""") ), CHAR(10),"&amp;" "",""), ""\s*,\s*"", "",""), "","")))&lt;&gt;"""" ) ) ) ),"""")
"),"")</f>
        <v/>
      </c>
      <c r="D1793" s="105"/>
      <c r="E1793" s="105"/>
      <c r="F1793" s="110" t="b">
        <v>0</v>
      </c>
      <c r="G1793" s="105" t="str">
        <f>IF(F1793=True, IFERROR(VLOOKUP(D1793, Repository!A:B, 2, 0), ""), "")</f>
        <v/>
      </c>
      <c r="H1793" s="105"/>
      <c r="I1793" s="105"/>
      <c r="J1793" s="105" t="str">
        <f>IF(F1793=True, IFERROR(VLOOKUP(D1793, Repository!A:C, 3, 0), ""), "")</f>
        <v/>
      </c>
      <c r="K1793" s="105"/>
      <c r="L1793" s="105" t="str">
        <f>IF(F1793=True, IFERROR(VLOOKUP(D1793, Repository!A:E, 5, 0), ""), "")</f>
        <v/>
      </c>
      <c r="M1793" s="105"/>
      <c r="N1793" s="105" t="str">
        <f>IF(F1793=True, IFERROR(VLOOKUP(D1793, Repository!A:G, 7, 0), ""), "")</f>
        <v/>
      </c>
      <c r="O1793" s="105" t="str">
        <f>IFERROR(__xludf.DUMMYFUNCTION("ARRAY_CONSTRAIN(
  ARRAYFORMULA(
    IFERROR(
      LET(
        list, N1793,
        arr, TRIM(SPLIT(list, "","")),
        names, XLOOKUP(
          arr,
          'Conformance Score'!A:A,
          'Conformance Score'!B:B,
          ""Not found""
     "&amp;"   ),
        TEXTJOIN("", "", TRUE, names)
      ),
      """"
    )
  ),
  1,
  1
)
"),"")</f>
        <v/>
      </c>
      <c r="P1793" s="105" t="str">
        <f>IF(F1793="Yes", IFERROR(VLOOKUP(D1793, Repository!A:F, 6, 0), ""), "")</f>
        <v/>
      </c>
      <c r="Q1793" s="105" t="str">
        <f>IF(F1793="Yes", IFERROR(VLOOKUP(D1793, Repository!A:I, 8, 0), ""), "")</f>
        <v/>
      </c>
      <c r="R1793" s="105" t="str">
        <f>IF(F1793="Yes", IFERROR(VLOOKUP(D1793, Repository!A:J, 9, 0), ""), "")</f>
        <v/>
      </c>
      <c r="S1793" s="105"/>
      <c r="T1793" s="105"/>
      <c r="U1793" s="105"/>
      <c r="V1793" s="105"/>
      <c r="W1793" s="105"/>
      <c r="X1793" s="105"/>
      <c r="Y1793" s="105"/>
      <c r="Z1793" s="105"/>
      <c r="AA1793" s="105"/>
      <c r="AB1793" s="105"/>
      <c r="AC1793" s="91"/>
      <c r="AD1793" s="105"/>
      <c r="AE1793" s="105"/>
      <c r="AF1793" s="91"/>
      <c r="AG1793" s="105"/>
      <c r="AH1793" s="105"/>
      <c r="AI1793" s="105" t="str">
        <f t="shared" si="1"/>
        <v/>
      </c>
      <c r="AJ1793" s="108" t="str">
        <f t="shared" si="2"/>
        <v/>
      </c>
    </row>
    <row r="1794" ht="15.75" customHeight="1">
      <c r="A1794" s="104"/>
      <c r="B1794" s="105" t="str">
        <f>IFERROR(__xludf.DUMMYFUNCTION("ARRAY_CONSTRAIN(
  ARRAYFORMULA(
    IF(
      'Final Report'!A1794="""",
      """",
      TEXTJOIN(
        "", "" &amp; CHAR(10),
        TRUE,
        IFERROR(
          VLOOKUP(
            TRIM(
              SPLIT('Final Report'!A1794, "","")
         "&amp;"   ),
            'URL Details'!A:B,
            2,
            FALSE
          ),
          """"
        )
      )
    )
  ),
  1,
  1
)
"),"")</f>
        <v/>
      </c>
      <c r="C1794" s="105" t="str">
        <f>IFERROR(__xludf.DUMMYFUNCTION("IFERROR(IF('Final Report'!A1794="""","""", TEXTJOIN(CHAR(10), TRUE, ARRAYFORMULA( ""• ""&amp; FILTER( TRIM(FLATTEN(SPLIT( REGEXREPLACE( SUBSTITUTE(TEXTJOIN("","", TRUE, IFERROR(ARRAYFORMULA(VLOOKUP(TRIM(SPLIT('Final Report'!A1794, "","")), 'URL Details'!A:D, "&amp;"4, FALSE)),"""") ), CHAR(10), "",""), ""\s*,\s*"", "",""), "",""))), TRIM(FLATTEN(SPLIT( REGEXREPLACE( SUBSTITUTE(TEXTJOIN("","", TRUE, IFERROR(ARRAYFORMULA(VLOOKUP(TRIM(SPLIT('Final Report'!A1794, "","")), 'URL Details'!A:D, 4, FALSE)),"""") ), CHAR(10),"&amp;" "",""), ""\s*,\s*"", "",""), "","")))&lt;&gt;"""" ) ) ) ),"""")
"),"")</f>
        <v/>
      </c>
      <c r="D1794" s="105"/>
      <c r="E1794" s="105"/>
      <c r="F1794" s="110" t="b">
        <v>0</v>
      </c>
      <c r="G1794" s="105" t="str">
        <f>IF(F1794=True, IFERROR(VLOOKUP(D1794, Repository!A:B, 2, 0), ""), "")</f>
        <v/>
      </c>
      <c r="H1794" s="105"/>
      <c r="I1794" s="105"/>
      <c r="J1794" s="105" t="str">
        <f>IF(F1794=True, IFERROR(VLOOKUP(D1794, Repository!A:C, 3, 0), ""), "")</f>
        <v/>
      </c>
      <c r="K1794" s="105"/>
      <c r="L1794" s="105" t="str">
        <f>IF(F1794=True, IFERROR(VLOOKUP(D1794, Repository!A:E, 5, 0), ""), "")</f>
        <v/>
      </c>
      <c r="M1794" s="105"/>
      <c r="N1794" s="105" t="str">
        <f>IF(F1794=True, IFERROR(VLOOKUP(D1794, Repository!A:G, 7, 0), ""), "")</f>
        <v/>
      </c>
      <c r="O1794" s="105" t="str">
        <f>IFERROR(__xludf.DUMMYFUNCTION("ARRAY_CONSTRAIN(
  ARRAYFORMULA(
    IFERROR(
      LET(
        list, N1794,
        arr, TRIM(SPLIT(list, "","")),
        names, XLOOKUP(
          arr,
          'Conformance Score'!A:A,
          'Conformance Score'!B:B,
          ""Not found""
     "&amp;"   ),
        TEXTJOIN("", "", TRUE, names)
      ),
      """"
    )
  ),
  1,
  1
)
"),"")</f>
        <v/>
      </c>
      <c r="P1794" s="105" t="str">
        <f>IF(F1794="Yes", IFERROR(VLOOKUP(D1794, Repository!A:F, 6, 0), ""), "")</f>
        <v/>
      </c>
      <c r="Q1794" s="105" t="str">
        <f>IF(F1794="Yes", IFERROR(VLOOKUP(D1794, Repository!A:I, 8, 0), ""), "")</f>
        <v/>
      </c>
      <c r="R1794" s="105" t="str">
        <f>IF(F1794="Yes", IFERROR(VLOOKUP(D1794, Repository!A:J, 9, 0), ""), "")</f>
        <v/>
      </c>
      <c r="S1794" s="105"/>
      <c r="T1794" s="105"/>
      <c r="U1794" s="105"/>
      <c r="V1794" s="105"/>
      <c r="W1794" s="105"/>
      <c r="X1794" s="105"/>
      <c r="Y1794" s="105"/>
      <c r="Z1794" s="105"/>
      <c r="AA1794" s="105"/>
      <c r="AB1794" s="105"/>
      <c r="AC1794" s="91"/>
      <c r="AD1794" s="105"/>
      <c r="AE1794" s="105"/>
      <c r="AF1794" s="91"/>
      <c r="AG1794" s="105"/>
      <c r="AH1794" s="105"/>
      <c r="AI1794" s="105" t="str">
        <f t="shared" si="1"/>
        <v/>
      </c>
      <c r="AJ1794" s="108" t="str">
        <f t="shared" si="2"/>
        <v/>
      </c>
    </row>
    <row r="1795" ht="15.75" customHeight="1">
      <c r="A1795" s="104"/>
      <c r="B1795" s="105" t="str">
        <f>IFERROR(__xludf.DUMMYFUNCTION("ARRAY_CONSTRAIN(
  ARRAYFORMULA(
    IF(
      'Final Report'!A1795="""",
      """",
      TEXTJOIN(
        "", "" &amp; CHAR(10),
        TRUE,
        IFERROR(
          VLOOKUP(
            TRIM(
              SPLIT('Final Report'!A1795, "","")
         "&amp;"   ),
            'URL Details'!A:B,
            2,
            FALSE
          ),
          """"
        )
      )
    )
  ),
  1,
  1
)
"),"")</f>
        <v/>
      </c>
      <c r="C1795" s="105" t="str">
        <f>IFERROR(__xludf.DUMMYFUNCTION("IFERROR(IF('Final Report'!A1795="""","""", TEXTJOIN(CHAR(10), TRUE, ARRAYFORMULA( ""• ""&amp; FILTER( TRIM(FLATTEN(SPLIT( REGEXREPLACE( SUBSTITUTE(TEXTJOIN("","", TRUE, IFERROR(ARRAYFORMULA(VLOOKUP(TRIM(SPLIT('Final Report'!A1795, "","")), 'URL Details'!A:D, "&amp;"4, FALSE)),"""") ), CHAR(10), "",""), ""\s*,\s*"", "",""), "",""))), TRIM(FLATTEN(SPLIT( REGEXREPLACE( SUBSTITUTE(TEXTJOIN("","", TRUE, IFERROR(ARRAYFORMULA(VLOOKUP(TRIM(SPLIT('Final Report'!A1795, "","")), 'URL Details'!A:D, 4, FALSE)),"""") ), CHAR(10),"&amp;" "",""), ""\s*,\s*"", "",""), "","")))&lt;&gt;"""" ) ) ) ),"""")
"),"")</f>
        <v/>
      </c>
      <c r="D1795" s="105"/>
      <c r="E1795" s="105"/>
      <c r="F1795" s="110" t="b">
        <v>0</v>
      </c>
      <c r="G1795" s="105" t="str">
        <f>IF(F1795=True, IFERROR(VLOOKUP(D1795, Repository!A:B, 2, 0), ""), "")</f>
        <v/>
      </c>
      <c r="H1795" s="105"/>
      <c r="I1795" s="105"/>
      <c r="J1795" s="105" t="str">
        <f>IF(F1795=True, IFERROR(VLOOKUP(D1795, Repository!A:C, 3, 0), ""), "")</f>
        <v/>
      </c>
      <c r="K1795" s="105"/>
      <c r="L1795" s="105" t="str">
        <f>IF(F1795=True, IFERROR(VLOOKUP(D1795, Repository!A:E, 5, 0), ""), "")</f>
        <v/>
      </c>
      <c r="M1795" s="105"/>
      <c r="N1795" s="105" t="str">
        <f>IF(F1795=True, IFERROR(VLOOKUP(D1795, Repository!A:G, 7, 0), ""), "")</f>
        <v/>
      </c>
      <c r="O1795" s="105" t="str">
        <f>IFERROR(__xludf.DUMMYFUNCTION("ARRAY_CONSTRAIN(
  ARRAYFORMULA(
    IFERROR(
      LET(
        list, N1795,
        arr, TRIM(SPLIT(list, "","")),
        names, XLOOKUP(
          arr,
          'Conformance Score'!A:A,
          'Conformance Score'!B:B,
          ""Not found""
     "&amp;"   ),
        TEXTJOIN("", "", TRUE, names)
      ),
      """"
    )
  ),
  1,
  1
)
"),"")</f>
        <v/>
      </c>
      <c r="P1795" s="105" t="str">
        <f>IF(F1795="Yes", IFERROR(VLOOKUP(D1795, Repository!A:F, 6, 0), ""), "")</f>
        <v/>
      </c>
      <c r="Q1795" s="105" t="str">
        <f>IF(F1795="Yes", IFERROR(VLOOKUP(D1795, Repository!A:I, 8, 0), ""), "")</f>
        <v/>
      </c>
      <c r="R1795" s="105" t="str">
        <f>IF(F1795="Yes", IFERROR(VLOOKUP(D1795, Repository!A:J, 9, 0), ""), "")</f>
        <v/>
      </c>
      <c r="S1795" s="105"/>
      <c r="T1795" s="105"/>
      <c r="U1795" s="105"/>
      <c r="V1795" s="105"/>
      <c r="W1795" s="105"/>
      <c r="X1795" s="105"/>
      <c r="Y1795" s="105"/>
      <c r="Z1795" s="105"/>
      <c r="AA1795" s="105"/>
      <c r="AB1795" s="105"/>
      <c r="AC1795" s="91"/>
      <c r="AD1795" s="105"/>
      <c r="AE1795" s="105"/>
      <c r="AF1795" s="91"/>
      <c r="AG1795" s="105"/>
      <c r="AH1795" s="105"/>
      <c r="AI1795" s="105" t="str">
        <f t="shared" si="1"/>
        <v/>
      </c>
      <c r="AJ1795" s="108" t="str">
        <f t="shared" si="2"/>
        <v/>
      </c>
    </row>
    <row r="1796" ht="15.75" customHeight="1">
      <c r="A1796" s="104"/>
      <c r="B1796" s="105" t="str">
        <f>IFERROR(__xludf.DUMMYFUNCTION("ARRAY_CONSTRAIN(
  ARRAYFORMULA(
    IF(
      'Final Report'!A1796="""",
      """",
      TEXTJOIN(
        "", "" &amp; CHAR(10),
        TRUE,
        IFERROR(
          VLOOKUP(
            TRIM(
              SPLIT('Final Report'!A1796, "","")
         "&amp;"   ),
            'URL Details'!A:B,
            2,
            FALSE
          ),
          """"
        )
      )
    )
  ),
  1,
  1
)
"),"")</f>
        <v/>
      </c>
      <c r="C1796" s="105" t="str">
        <f>IFERROR(__xludf.DUMMYFUNCTION("IFERROR(IF('Final Report'!A1796="""","""", TEXTJOIN(CHAR(10), TRUE, ARRAYFORMULA( ""• ""&amp; FILTER( TRIM(FLATTEN(SPLIT( REGEXREPLACE( SUBSTITUTE(TEXTJOIN("","", TRUE, IFERROR(ARRAYFORMULA(VLOOKUP(TRIM(SPLIT('Final Report'!A1796, "","")), 'URL Details'!A:D, "&amp;"4, FALSE)),"""") ), CHAR(10), "",""), ""\s*,\s*"", "",""), "",""))), TRIM(FLATTEN(SPLIT( REGEXREPLACE( SUBSTITUTE(TEXTJOIN("","", TRUE, IFERROR(ARRAYFORMULA(VLOOKUP(TRIM(SPLIT('Final Report'!A1796, "","")), 'URL Details'!A:D, 4, FALSE)),"""") ), CHAR(10),"&amp;" "",""), ""\s*,\s*"", "",""), "","")))&lt;&gt;"""" ) ) ) ),"""")
"),"")</f>
        <v/>
      </c>
      <c r="D1796" s="105"/>
      <c r="E1796" s="105"/>
      <c r="F1796" s="110" t="b">
        <v>0</v>
      </c>
      <c r="G1796" s="105" t="str">
        <f>IF(F1796=True, IFERROR(VLOOKUP(D1796, Repository!A:B, 2, 0), ""), "")</f>
        <v/>
      </c>
      <c r="H1796" s="105"/>
      <c r="I1796" s="105"/>
      <c r="J1796" s="105" t="str">
        <f>IF(F1796=True, IFERROR(VLOOKUP(D1796, Repository!A:C, 3, 0), ""), "")</f>
        <v/>
      </c>
      <c r="K1796" s="105"/>
      <c r="L1796" s="105" t="str">
        <f>IF(F1796=True, IFERROR(VLOOKUP(D1796, Repository!A:E, 5, 0), ""), "")</f>
        <v/>
      </c>
      <c r="M1796" s="105"/>
      <c r="N1796" s="105" t="str">
        <f>IF(F1796=True, IFERROR(VLOOKUP(D1796, Repository!A:G, 7, 0), ""), "")</f>
        <v/>
      </c>
      <c r="O1796" s="105" t="str">
        <f>IFERROR(__xludf.DUMMYFUNCTION("ARRAY_CONSTRAIN(
  ARRAYFORMULA(
    IFERROR(
      LET(
        list, N1796,
        arr, TRIM(SPLIT(list, "","")),
        names, XLOOKUP(
          arr,
          'Conformance Score'!A:A,
          'Conformance Score'!B:B,
          ""Not found""
     "&amp;"   ),
        TEXTJOIN("", "", TRUE, names)
      ),
      """"
    )
  ),
  1,
  1
)
"),"")</f>
        <v/>
      </c>
      <c r="P1796" s="105" t="str">
        <f>IF(F1796="Yes", IFERROR(VLOOKUP(D1796, Repository!A:F, 6, 0), ""), "")</f>
        <v/>
      </c>
      <c r="Q1796" s="105" t="str">
        <f>IF(F1796="Yes", IFERROR(VLOOKUP(D1796, Repository!A:I, 8, 0), ""), "")</f>
        <v/>
      </c>
      <c r="R1796" s="105" t="str">
        <f>IF(F1796="Yes", IFERROR(VLOOKUP(D1796, Repository!A:J, 9, 0), ""), "")</f>
        <v/>
      </c>
      <c r="S1796" s="105"/>
      <c r="T1796" s="105"/>
      <c r="U1796" s="105"/>
      <c r="V1796" s="105"/>
      <c r="W1796" s="105"/>
      <c r="X1796" s="105"/>
      <c r="Y1796" s="105"/>
      <c r="Z1796" s="105"/>
      <c r="AA1796" s="105"/>
      <c r="AB1796" s="105"/>
      <c r="AC1796" s="91"/>
      <c r="AD1796" s="105"/>
      <c r="AE1796" s="105"/>
      <c r="AF1796" s="91"/>
      <c r="AG1796" s="105"/>
      <c r="AH1796" s="105"/>
      <c r="AI1796" s="105" t="str">
        <f t="shared" si="1"/>
        <v/>
      </c>
      <c r="AJ1796" s="108" t="str">
        <f t="shared" si="2"/>
        <v/>
      </c>
    </row>
    <row r="1797" ht="15.75" customHeight="1">
      <c r="A1797" s="104"/>
      <c r="B1797" s="105" t="str">
        <f>IFERROR(__xludf.DUMMYFUNCTION("ARRAY_CONSTRAIN(
  ARRAYFORMULA(
    IF(
      'Final Report'!A1797="""",
      """",
      TEXTJOIN(
        "", "" &amp; CHAR(10),
        TRUE,
        IFERROR(
          VLOOKUP(
            TRIM(
              SPLIT('Final Report'!A1797, "","")
         "&amp;"   ),
            'URL Details'!A:B,
            2,
            FALSE
          ),
          """"
        )
      )
    )
  ),
  1,
  1
)
"),"")</f>
        <v/>
      </c>
      <c r="C1797" s="105" t="str">
        <f>IFERROR(__xludf.DUMMYFUNCTION("IFERROR(IF('Final Report'!A1797="""","""", TEXTJOIN(CHAR(10), TRUE, ARRAYFORMULA( ""• ""&amp; FILTER( TRIM(FLATTEN(SPLIT( REGEXREPLACE( SUBSTITUTE(TEXTJOIN("","", TRUE, IFERROR(ARRAYFORMULA(VLOOKUP(TRIM(SPLIT('Final Report'!A1797, "","")), 'URL Details'!A:D, "&amp;"4, FALSE)),"""") ), CHAR(10), "",""), ""\s*,\s*"", "",""), "",""))), TRIM(FLATTEN(SPLIT( REGEXREPLACE( SUBSTITUTE(TEXTJOIN("","", TRUE, IFERROR(ARRAYFORMULA(VLOOKUP(TRIM(SPLIT('Final Report'!A1797, "","")), 'URL Details'!A:D, 4, FALSE)),"""") ), CHAR(10),"&amp;" "",""), ""\s*,\s*"", "",""), "","")))&lt;&gt;"""" ) ) ) ),"""")
"),"")</f>
        <v/>
      </c>
      <c r="D1797" s="105"/>
      <c r="E1797" s="105"/>
      <c r="F1797" s="110" t="b">
        <v>0</v>
      </c>
      <c r="G1797" s="105" t="str">
        <f>IF(F1797=True, IFERROR(VLOOKUP(D1797, Repository!A:B, 2, 0), ""), "")</f>
        <v/>
      </c>
      <c r="H1797" s="105"/>
      <c r="I1797" s="105"/>
      <c r="J1797" s="105" t="str">
        <f>IF(F1797=True, IFERROR(VLOOKUP(D1797, Repository!A:C, 3, 0), ""), "")</f>
        <v/>
      </c>
      <c r="K1797" s="105"/>
      <c r="L1797" s="105" t="str">
        <f>IF(F1797=True, IFERROR(VLOOKUP(D1797, Repository!A:E, 5, 0), ""), "")</f>
        <v/>
      </c>
      <c r="M1797" s="105"/>
      <c r="N1797" s="105" t="str">
        <f>IF(F1797=True, IFERROR(VLOOKUP(D1797, Repository!A:G, 7, 0), ""), "")</f>
        <v/>
      </c>
      <c r="O1797" s="105" t="str">
        <f>IFERROR(__xludf.DUMMYFUNCTION("ARRAY_CONSTRAIN(
  ARRAYFORMULA(
    IFERROR(
      LET(
        list, N1797,
        arr, TRIM(SPLIT(list, "","")),
        names, XLOOKUP(
          arr,
          'Conformance Score'!A:A,
          'Conformance Score'!B:B,
          ""Not found""
     "&amp;"   ),
        TEXTJOIN("", "", TRUE, names)
      ),
      """"
    )
  ),
  1,
  1
)
"),"")</f>
        <v/>
      </c>
      <c r="P1797" s="105" t="str">
        <f>IF(F1797="Yes", IFERROR(VLOOKUP(D1797, Repository!A:F, 6, 0), ""), "")</f>
        <v/>
      </c>
      <c r="Q1797" s="105" t="str">
        <f>IF(F1797="Yes", IFERROR(VLOOKUP(D1797, Repository!A:I, 8, 0), ""), "")</f>
        <v/>
      </c>
      <c r="R1797" s="105" t="str">
        <f>IF(F1797="Yes", IFERROR(VLOOKUP(D1797, Repository!A:J, 9, 0), ""), "")</f>
        <v/>
      </c>
      <c r="S1797" s="105"/>
      <c r="T1797" s="105"/>
      <c r="U1797" s="105"/>
      <c r="V1797" s="105"/>
      <c r="W1797" s="105"/>
      <c r="X1797" s="105"/>
      <c r="Y1797" s="105"/>
      <c r="Z1797" s="105"/>
      <c r="AA1797" s="105"/>
      <c r="AB1797" s="105"/>
      <c r="AC1797" s="91"/>
      <c r="AD1797" s="105"/>
      <c r="AE1797" s="105"/>
      <c r="AF1797" s="91"/>
      <c r="AG1797" s="105"/>
      <c r="AH1797" s="105"/>
      <c r="AI1797" s="105" t="str">
        <f t="shared" si="1"/>
        <v/>
      </c>
      <c r="AJ1797" s="108" t="str">
        <f t="shared" si="2"/>
        <v/>
      </c>
    </row>
    <row r="1798" ht="15.75" customHeight="1">
      <c r="A1798" s="104"/>
      <c r="B1798" s="105" t="str">
        <f>IFERROR(__xludf.DUMMYFUNCTION("ARRAY_CONSTRAIN(
  ARRAYFORMULA(
    IF(
      'Final Report'!A1798="""",
      """",
      TEXTJOIN(
        "", "" &amp; CHAR(10),
        TRUE,
        IFERROR(
          VLOOKUP(
            TRIM(
              SPLIT('Final Report'!A1798, "","")
         "&amp;"   ),
            'URL Details'!A:B,
            2,
            FALSE
          ),
          """"
        )
      )
    )
  ),
  1,
  1
)
"),"")</f>
        <v/>
      </c>
      <c r="C1798" s="105" t="str">
        <f>IFERROR(__xludf.DUMMYFUNCTION("IFERROR(IF('Final Report'!A1798="""","""", TEXTJOIN(CHAR(10), TRUE, ARRAYFORMULA( ""• ""&amp; FILTER( TRIM(FLATTEN(SPLIT( REGEXREPLACE( SUBSTITUTE(TEXTJOIN("","", TRUE, IFERROR(ARRAYFORMULA(VLOOKUP(TRIM(SPLIT('Final Report'!A1798, "","")), 'URL Details'!A:D, "&amp;"4, FALSE)),"""") ), CHAR(10), "",""), ""\s*,\s*"", "",""), "",""))), TRIM(FLATTEN(SPLIT( REGEXREPLACE( SUBSTITUTE(TEXTJOIN("","", TRUE, IFERROR(ARRAYFORMULA(VLOOKUP(TRIM(SPLIT('Final Report'!A1798, "","")), 'URL Details'!A:D, 4, FALSE)),"""") ), CHAR(10),"&amp;" "",""), ""\s*,\s*"", "",""), "","")))&lt;&gt;"""" ) ) ) ),"""")
"),"")</f>
        <v/>
      </c>
      <c r="D1798" s="105"/>
      <c r="E1798" s="105"/>
      <c r="F1798" s="110" t="b">
        <v>0</v>
      </c>
      <c r="G1798" s="105" t="str">
        <f>IF(F1798=True, IFERROR(VLOOKUP(D1798, Repository!A:B, 2, 0), ""), "")</f>
        <v/>
      </c>
      <c r="H1798" s="105"/>
      <c r="I1798" s="105"/>
      <c r="J1798" s="105" t="str">
        <f>IF(F1798=True, IFERROR(VLOOKUP(D1798, Repository!A:C, 3, 0), ""), "")</f>
        <v/>
      </c>
      <c r="K1798" s="105"/>
      <c r="L1798" s="105" t="str">
        <f>IF(F1798=True, IFERROR(VLOOKUP(D1798, Repository!A:E, 5, 0), ""), "")</f>
        <v/>
      </c>
      <c r="M1798" s="105"/>
      <c r="N1798" s="105" t="str">
        <f>IF(F1798=True, IFERROR(VLOOKUP(D1798, Repository!A:G, 7, 0), ""), "")</f>
        <v/>
      </c>
      <c r="O1798" s="105" t="str">
        <f>IFERROR(__xludf.DUMMYFUNCTION("ARRAY_CONSTRAIN(
  ARRAYFORMULA(
    IFERROR(
      LET(
        list, N1798,
        arr, TRIM(SPLIT(list, "","")),
        names, XLOOKUP(
          arr,
          'Conformance Score'!A:A,
          'Conformance Score'!B:B,
          ""Not found""
     "&amp;"   ),
        TEXTJOIN("", "", TRUE, names)
      ),
      """"
    )
  ),
  1,
  1
)
"),"")</f>
        <v/>
      </c>
      <c r="P1798" s="105" t="str">
        <f>IF(F1798="Yes", IFERROR(VLOOKUP(D1798, Repository!A:F, 6, 0), ""), "")</f>
        <v/>
      </c>
      <c r="Q1798" s="105" t="str">
        <f>IF(F1798="Yes", IFERROR(VLOOKUP(D1798, Repository!A:I, 8, 0), ""), "")</f>
        <v/>
      </c>
      <c r="R1798" s="105" t="str">
        <f>IF(F1798="Yes", IFERROR(VLOOKUP(D1798, Repository!A:J, 9, 0), ""), "")</f>
        <v/>
      </c>
      <c r="S1798" s="105"/>
      <c r="T1798" s="105"/>
      <c r="U1798" s="105"/>
      <c r="V1798" s="105"/>
      <c r="W1798" s="105"/>
      <c r="X1798" s="105"/>
      <c r="Y1798" s="105"/>
      <c r="Z1798" s="105"/>
      <c r="AA1798" s="105"/>
      <c r="AB1798" s="105"/>
      <c r="AC1798" s="91"/>
      <c r="AD1798" s="105"/>
      <c r="AE1798" s="105"/>
      <c r="AF1798" s="91"/>
      <c r="AG1798" s="105"/>
      <c r="AH1798" s="105"/>
      <c r="AI1798" s="105" t="str">
        <f t="shared" si="1"/>
        <v/>
      </c>
      <c r="AJ1798" s="108" t="str">
        <f t="shared" si="2"/>
        <v/>
      </c>
    </row>
    <row r="1799" ht="15.75" customHeight="1">
      <c r="A1799" s="104"/>
      <c r="B1799" s="105" t="str">
        <f>IFERROR(__xludf.DUMMYFUNCTION("ARRAY_CONSTRAIN(
  ARRAYFORMULA(
    IF(
      'Final Report'!A1799="""",
      """",
      TEXTJOIN(
        "", "" &amp; CHAR(10),
        TRUE,
        IFERROR(
          VLOOKUP(
            TRIM(
              SPLIT('Final Report'!A1799, "","")
         "&amp;"   ),
            'URL Details'!A:B,
            2,
            FALSE
          ),
          """"
        )
      )
    )
  ),
  1,
  1
)
"),"")</f>
        <v/>
      </c>
      <c r="C1799" s="105" t="str">
        <f>IFERROR(__xludf.DUMMYFUNCTION("IFERROR(IF('Final Report'!A1799="""","""", TEXTJOIN(CHAR(10), TRUE, ARRAYFORMULA( ""• ""&amp; FILTER( TRIM(FLATTEN(SPLIT( REGEXREPLACE( SUBSTITUTE(TEXTJOIN("","", TRUE, IFERROR(ARRAYFORMULA(VLOOKUP(TRIM(SPLIT('Final Report'!A1799, "","")), 'URL Details'!A:D, "&amp;"4, FALSE)),"""") ), CHAR(10), "",""), ""\s*,\s*"", "",""), "",""))), TRIM(FLATTEN(SPLIT( REGEXREPLACE( SUBSTITUTE(TEXTJOIN("","", TRUE, IFERROR(ARRAYFORMULA(VLOOKUP(TRIM(SPLIT('Final Report'!A1799, "","")), 'URL Details'!A:D, 4, FALSE)),"""") ), CHAR(10),"&amp;" "",""), ""\s*,\s*"", "",""), "","")))&lt;&gt;"""" ) ) ) ),"""")
"),"")</f>
        <v/>
      </c>
      <c r="D1799" s="105"/>
      <c r="E1799" s="105"/>
      <c r="F1799" s="110" t="b">
        <v>0</v>
      </c>
      <c r="G1799" s="105" t="str">
        <f>IF(F1799=True, IFERROR(VLOOKUP(D1799, Repository!A:B, 2, 0), ""), "")</f>
        <v/>
      </c>
      <c r="H1799" s="105"/>
      <c r="I1799" s="105"/>
      <c r="J1799" s="105" t="str">
        <f>IF(F1799=True, IFERROR(VLOOKUP(D1799, Repository!A:C, 3, 0), ""), "")</f>
        <v/>
      </c>
      <c r="K1799" s="105"/>
      <c r="L1799" s="105" t="str">
        <f>IF(F1799=True, IFERROR(VLOOKUP(D1799, Repository!A:E, 5, 0), ""), "")</f>
        <v/>
      </c>
      <c r="M1799" s="105"/>
      <c r="N1799" s="105" t="str">
        <f>IF(F1799=True, IFERROR(VLOOKUP(D1799, Repository!A:G, 7, 0), ""), "")</f>
        <v/>
      </c>
      <c r="O1799" s="105" t="str">
        <f>IFERROR(__xludf.DUMMYFUNCTION("ARRAY_CONSTRAIN(
  ARRAYFORMULA(
    IFERROR(
      LET(
        list, N1799,
        arr, TRIM(SPLIT(list, "","")),
        names, XLOOKUP(
          arr,
          'Conformance Score'!A:A,
          'Conformance Score'!B:B,
          ""Not found""
     "&amp;"   ),
        TEXTJOIN("", "", TRUE, names)
      ),
      """"
    )
  ),
  1,
  1
)
"),"")</f>
        <v/>
      </c>
      <c r="P1799" s="105" t="str">
        <f>IF(F1799="Yes", IFERROR(VLOOKUP(D1799, Repository!A:F, 6, 0), ""), "")</f>
        <v/>
      </c>
      <c r="Q1799" s="105" t="str">
        <f>IF(F1799="Yes", IFERROR(VLOOKUP(D1799, Repository!A:I, 8, 0), ""), "")</f>
        <v/>
      </c>
      <c r="R1799" s="105" t="str">
        <f>IF(F1799="Yes", IFERROR(VLOOKUP(D1799, Repository!A:J, 9, 0), ""), "")</f>
        <v/>
      </c>
      <c r="S1799" s="105"/>
      <c r="T1799" s="105"/>
      <c r="U1799" s="105"/>
      <c r="V1799" s="105"/>
      <c r="W1799" s="105"/>
      <c r="X1799" s="105"/>
      <c r="Y1799" s="105"/>
      <c r="Z1799" s="105"/>
      <c r="AA1799" s="105"/>
      <c r="AB1799" s="105"/>
      <c r="AC1799" s="91"/>
      <c r="AD1799" s="105"/>
      <c r="AE1799" s="105"/>
      <c r="AF1799" s="91"/>
      <c r="AG1799" s="105"/>
      <c r="AH1799" s="105"/>
      <c r="AI1799" s="105" t="str">
        <f t="shared" si="1"/>
        <v/>
      </c>
      <c r="AJ1799" s="108" t="str">
        <f t="shared" si="2"/>
        <v/>
      </c>
    </row>
    <row r="1800" ht="15.75" customHeight="1">
      <c r="A1800" s="104"/>
      <c r="B1800" s="105" t="str">
        <f>IFERROR(__xludf.DUMMYFUNCTION("ARRAY_CONSTRAIN(
  ARRAYFORMULA(
    IF(
      'Final Report'!A1800="""",
      """",
      TEXTJOIN(
        "", "" &amp; CHAR(10),
        TRUE,
        IFERROR(
          VLOOKUP(
            TRIM(
              SPLIT('Final Report'!A1800, "","")
         "&amp;"   ),
            'URL Details'!A:B,
            2,
            FALSE
          ),
          """"
        )
      )
    )
  ),
  1,
  1
)
"),"")</f>
        <v/>
      </c>
      <c r="C1800" s="105" t="str">
        <f>IFERROR(__xludf.DUMMYFUNCTION("IFERROR(IF('Final Report'!A1800="""","""", TEXTJOIN(CHAR(10), TRUE, ARRAYFORMULA( ""• ""&amp; FILTER( TRIM(FLATTEN(SPLIT( REGEXREPLACE( SUBSTITUTE(TEXTJOIN("","", TRUE, IFERROR(ARRAYFORMULA(VLOOKUP(TRIM(SPLIT('Final Report'!A1800, "","")), 'URL Details'!A:D, "&amp;"4, FALSE)),"""") ), CHAR(10), "",""), ""\s*,\s*"", "",""), "",""))), TRIM(FLATTEN(SPLIT( REGEXREPLACE( SUBSTITUTE(TEXTJOIN("","", TRUE, IFERROR(ARRAYFORMULA(VLOOKUP(TRIM(SPLIT('Final Report'!A1800, "","")), 'URL Details'!A:D, 4, FALSE)),"""") ), CHAR(10),"&amp;" "",""), ""\s*,\s*"", "",""), "","")))&lt;&gt;"""" ) ) ) ),"""")
"),"")</f>
        <v/>
      </c>
      <c r="D1800" s="105"/>
      <c r="E1800" s="105"/>
      <c r="F1800" s="110" t="b">
        <v>0</v>
      </c>
      <c r="G1800" s="105" t="str">
        <f>IF(F1800=True, IFERROR(VLOOKUP(D1800, Repository!A:B, 2, 0), ""), "")</f>
        <v/>
      </c>
      <c r="H1800" s="105"/>
      <c r="I1800" s="105"/>
      <c r="J1800" s="105" t="str">
        <f>IF(F1800=True, IFERROR(VLOOKUP(D1800, Repository!A:C, 3, 0), ""), "")</f>
        <v/>
      </c>
      <c r="K1800" s="105"/>
      <c r="L1800" s="105" t="str">
        <f>IF(F1800=True, IFERROR(VLOOKUP(D1800, Repository!A:E, 5, 0), ""), "")</f>
        <v/>
      </c>
      <c r="M1800" s="105"/>
      <c r="N1800" s="105" t="str">
        <f>IF(F1800=True, IFERROR(VLOOKUP(D1800, Repository!A:G, 7, 0), ""), "")</f>
        <v/>
      </c>
      <c r="O1800" s="105" t="str">
        <f>IFERROR(__xludf.DUMMYFUNCTION("ARRAY_CONSTRAIN(
  ARRAYFORMULA(
    IFERROR(
      LET(
        list, N1800,
        arr, TRIM(SPLIT(list, "","")),
        names, XLOOKUP(
          arr,
          'Conformance Score'!A:A,
          'Conformance Score'!B:B,
          ""Not found""
     "&amp;"   ),
        TEXTJOIN("", "", TRUE, names)
      ),
      """"
    )
  ),
  1,
  1
)
"),"")</f>
        <v/>
      </c>
      <c r="P1800" s="105" t="str">
        <f>IF(F1800="Yes", IFERROR(VLOOKUP(D1800, Repository!A:F, 6, 0), ""), "")</f>
        <v/>
      </c>
      <c r="Q1800" s="105" t="str">
        <f>IF(F1800="Yes", IFERROR(VLOOKUP(D1800, Repository!A:I, 8, 0), ""), "")</f>
        <v/>
      </c>
      <c r="R1800" s="105" t="str">
        <f>IF(F1800="Yes", IFERROR(VLOOKUP(D1800, Repository!A:J, 9, 0), ""), "")</f>
        <v/>
      </c>
      <c r="S1800" s="105"/>
      <c r="T1800" s="105"/>
      <c r="U1800" s="105"/>
      <c r="V1800" s="105"/>
      <c r="W1800" s="105"/>
      <c r="X1800" s="105"/>
      <c r="Y1800" s="105"/>
      <c r="Z1800" s="105"/>
      <c r="AA1800" s="105"/>
      <c r="AB1800" s="105"/>
      <c r="AC1800" s="91"/>
      <c r="AD1800" s="105"/>
      <c r="AE1800" s="105"/>
      <c r="AF1800" s="91"/>
      <c r="AG1800" s="105"/>
      <c r="AH1800" s="105"/>
      <c r="AI1800" s="105" t="str">
        <f t="shared" si="1"/>
        <v/>
      </c>
      <c r="AJ1800" s="108" t="str">
        <f t="shared" si="2"/>
        <v/>
      </c>
    </row>
    <row r="1801" ht="15.75" customHeight="1">
      <c r="A1801" s="104"/>
      <c r="B1801" s="105" t="str">
        <f>IFERROR(__xludf.DUMMYFUNCTION("ARRAY_CONSTRAIN(
  ARRAYFORMULA(
    IF(
      'Final Report'!A1801="""",
      """",
      TEXTJOIN(
        "", "" &amp; CHAR(10),
        TRUE,
        IFERROR(
          VLOOKUP(
            TRIM(
              SPLIT('Final Report'!A1801, "","")
         "&amp;"   ),
            'URL Details'!A:B,
            2,
            FALSE
          ),
          """"
        )
      )
    )
  ),
  1,
  1
)
"),"")</f>
        <v/>
      </c>
      <c r="C1801" s="105" t="str">
        <f>IFERROR(__xludf.DUMMYFUNCTION("IFERROR(IF('Final Report'!A1801="""","""", TEXTJOIN(CHAR(10), TRUE, ARRAYFORMULA( ""• ""&amp; FILTER( TRIM(FLATTEN(SPLIT( REGEXREPLACE( SUBSTITUTE(TEXTJOIN("","", TRUE, IFERROR(ARRAYFORMULA(VLOOKUP(TRIM(SPLIT('Final Report'!A1801, "","")), 'URL Details'!A:D, "&amp;"4, FALSE)),"""") ), CHAR(10), "",""), ""\s*,\s*"", "",""), "",""))), TRIM(FLATTEN(SPLIT( REGEXREPLACE( SUBSTITUTE(TEXTJOIN("","", TRUE, IFERROR(ARRAYFORMULA(VLOOKUP(TRIM(SPLIT('Final Report'!A1801, "","")), 'URL Details'!A:D, 4, FALSE)),"""") ), CHAR(10),"&amp;" "",""), ""\s*,\s*"", "",""), "","")))&lt;&gt;"""" ) ) ) ),"""")
"),"")</f>
        <v/>
      </c>
      <c r="D1801" s="105"/>
      <c r="E1801" s="105"/>
      <c r="F1801" s="110" t="b">
        <v>0</v>
      </c>
      <c r="G1801" s="105" t="str">
        <f>IF(F1801=True, IFERROR(VLOOKUP(D1801, Repository!A:B, 2, 0), ""), "")</f>
        <v/>
      </c>
      <c r="H1801" s="105"/>
      <c r="I1801" s="105"/>
      <c r="J1801" s="105" t="str">
        <f>IF(F1801=True, IFERROR(VLOOKUP(D1801, Repository!A:C, 3, 0), ""), "")</f>
        <v/>
      </c>
      <c r="K1801" s="105"/>
      <c r="L1801" s="105" t="str">
        <f>IF(F1801=True, IFERROR(VLOOKUP(D1801, Repository!A:E, 5, 0), ""), "")</f>
        <v/>
      </c>
      <c r="M1801" s="105"/>
      <c r="N1801" s="105" t="str">
        <f>IF(F1801=True, IFERROR(VLOOKUP(D1801, Repository!A:G, 7, 0), ""), "")</f>
        <v/>
      </c>
      <c r="O1801" s="105" t="str">
        <f>IFERROR(__xludf.DUMMYFUNCTION("ARRAY_CONSTRAIN(
  ARRAYFORMULA(
    IFERROR(
      LET(
        list, N1801,
        arr, TRIM(SPLIT(list, "","")),
        names, XLOOKUP(
          arr,
          'Conformance Score'!A:A,
          'Conformance Score'!B:B,
          ""Not found""
     "&amp;"   ),
        TEXTJOIN("", "", TRUE, names)
      ),
      """"
    )
  ),
  1,
  1
)
"),"")</f>
        <v/>
      </c>
      <c r="P1801" s="105" t="str">
        <f>IF(F1801="Yes", IFERROR(VLOOKUP(D1801, Repository!A:F, 6, 0), ""), "")</f>
        <v/>
      </c>
      <c r="Q1801" s="105" t="str">
        <f>IF(F1801="Yes", IFERROR(VLOOKUP(D1801, Repository!A:I, 8, 0), ""), "")</f>
        <v/>
      </c>
      <c r="R1801" s="105" t="str">
        <f>IF(F1801="Yes", IFERROR(VLOOKUP(D1801, Repository!A:J, 9, 0), ""), "")</f>
        <v/>
      </c>
      <c r="S1801" s="105"/>
      <c r="T1801" s="105"/>
      <c r="U1801" s="105"/>
      <c r="V1801" s="105"/>
      <c r="W1801" s="105"/>
      <c r="X1801" s="105"/>
      <c r="Y1801" s="105"/>
      <c r="Z1801" s="105"/>
      <c r="AA1801" s="105"/>
      <c r="AB1801" s="105"/>
      <c r="AC1801" s="91"/>
      <c r="AD1801" s="105"/>
      <c r="AE1801" s="105"/>
      <c r="AF1801" s="91"/>
      <c r="AG1801" s="105"/>
      <c r="AH1801" s="105"/>
      <c r="AI1801" s="105" t="str">
        <f t="shared" si="1"/>
        <v/>
      </c>
      <c r="AJ1801" s="108" t="str">
        <f t="shared" si="2"/>
        <v/>
      </c>
    </row>
    <row r="1802" ht="15.75" customHeight="1">
      <c r="A1802" s="104"/>
      <c r="B1802" s="105" t="str">
        <f>IFERROR(__xludf.DUMMYFUNCTION("ARRAY_CONSTRAIN(
  ARRAYFORMULA(
    IF(
      'Final Report'!A1802="""",
      """",
      TEXTJOIN(
        "", "" &amp; CHAR(10),
        TRUE,
        IFERROR(
          VLOOKUP(
            TRIM(
              SPLIT('Final Report'!A1802, "","")
         "&amp;"   ),
            'URL Details'!A:B,
            2,
            FALSE
          ),
          """"
        )
      )
    )
  ),
  1,
  1
)
"),"")</f>
        <v/>
      </c>
      <c r="C1802" s="105" t="str">
        <f>IFERROR(__xludf.DUMMYFUNCTION("IFERROR(IF('Final Report'!A1802="""","""", TEXTJOIN(CHAR(10), TRUE, ARRAYFORMULA( ""• ""&amp; FILTER( TRIM(FLATTEN(SPLIT( REGEXREPLACE( SUBSTITUTE(TEXTJOIN("","", TRUE, IFERROR(ARRAYFORMULA(VLOOKUP(TRIM(SPLIT('Final Report'!A1802, "","")), 'URL Details'!A:D, "&amp;"4, FALSE)),"""") ), CHAR(10), "",""), ""\s*,\s*"", "",""), "",""))), TRIM(FLATTEN(SPLIT( REGEXREPLACE( SUBSTITUTE(TEXTJOIN("","", TRUE, IFERROR(ARRAYFORMULA(VLOOKUP(TRIM(SPLIT('Final Report'!A1802, "","")), 'URL Details'!A:D, 4, FALSE)),"""") ), CHAR(10),"&amp;" "",""), ""\s*,\s*"", "",""), "","")))&lt;&gt;"""" ) ) ) ),"""")
"),"")</f>
        <v/>
      </c>
      <c r="D1802" s="105"/>
      <c r="E1802" s="105"/>
      <c r="F1802" s="110" t="b">
        <v>0</v>
      </c>
      <c r="G1802" s="105" t="str">
        <f>IF(F1802=True, IFERROR(VLOOKUP(D1802, Repository!A:B, 2, 0), ""), "")</f>
        <v/>
      </c>
      <c r="H1802" s="105"/>
      <c r="I1802" s="105"/>
      <c r="J1802" s="105" t="str">
        <f>IF(F1802=True, IFERROR(VLOOKUP(D1802, Repository!A:C, 3, 0), ""), "")</f>
        <v/>
      </c>
      <c r="K1802" s="105"/>
      <c r="L1802" s="105" t="str">
        <f>IF(F1802=True, IFERROR(VLOOKUP(D1802, Repository!A:E, 5, 0), ""), "")</f>
        <v/>
      </c>
      <c r="M1802" s="105"/>
      <c r="N1802" s="105" t="str">
        <f>IF(F1802=True, IFERROR(VLOOKUP(D1802, Repository!A:G, 7, 0), ""), "")</f>
        <v/>
      </c>
      <c r="O1802" s="105" t="str">
        <f>IFERROR(__xludf.DUMMYFUNCTION("ARRAY_CONSTRAIN(
  ARRAYFORMULA(
    IFERROR(
      LET(
        list, N1802,
        arr, TRIM(SPLIT(list, "","")),
        names, XLOOKUP(
          arr,
          'Conformance Score'!A:A,
          'Conformance Score'!B:B,
          ""Not found""
     "&amp;"   ),
        TEXTJOIN("", "", TRUE, names)
      ),
      """"
    )
  ),
  1,
  1
)
"),"")</f>
        <v/>
      </c>
      <c r="P1802" s="105" t="str">
        <f>IF(F1802="Yes", IFERROR(VLOOKUP(D1802, Repository!A:F, 6, 0), ""), "")</f>
        <v/>
      </c>
      <c r="Q1802" s="105" t="str">
        <f>IF(F1802="Yes", IFERROR(VLOOKUP(D1802, Repository!A:I, 8, 0), ""), "")</f>
        <v/>
      </c>
      <c r="R1802" s="105" t="str">
        <f>IF(F1802="Yes", IFERROR(VLOOKUP(D1802, Repository!A:J, 9, 0), ""), "")</f>
        <v/>
      </c>
      <c r="S1802" s="105"/>
      <c r="T1802" s="105"/>
      <c r="U1802" s="105"/>
      <c r="V1802" s="105"/>
      <c r="W1802" s="105"/>
      <c r="X1802" s="105"/>
      <c r="Y1802" s="105"/>
      <c r="Z1802" s="105"/>
      <c r="AA1802" s="105"/>
      <c r="AB1802" s="105"/>
      <c r="AC1802" s="91"/>
      <c r="AD1802" s="105"/>
      <c r="AE1802" s="105"/>
      <c r="AF1802" s="91"/>
      <c r="AG1802" s="105"/>
      <c r="AH1802" s="105"/>
      <c r="AI1802" s="105" t="str">
        <f t="shared" si="1"/>
        <v/>
      </c>
      <c r="AJ1802" s="108" t="str">
        <f t="shared" si="2"/>
        <v/>
      </c>
    </row>
    <row r="1803" ht="15.75" customHeight="1">
      <c r="A1803" s="104"/>
      <c r="B1803" s="105" t="str">
        <f>IFERROR(__xludf.DUMMYFUNCTION("ARRAY_CONSTRAIN(
  ARRAYFORMULA(
    IF(
      'Final Report'!A1803="""",
      """",
      TEXTJOIN(
        "", "" &amp; CHAR(10),
        TRUE,
        IFERROR(
          VLOOKUP(
            TRIM(
              SPLIT('Final Report'!A1803, "","")
         "&amp;"   ),
            'URL Details'!A:B,
            2,
            FALSE
          ),
          """"
        )
      )
    )
  ),
  1,
  1
)
"),"")</f>
        <v/>
      </c>
      <c r="C1803" s="105" t="str">
        <f>IFERROR(__xludf.DUMMYFUNCTION("IFERROR(IF('Final Report'!A1803="""","""", TEXTJOIN(CHAR(10), TRUE, ARRAYFORMULA( ""• ""&amp; FILTER( TRIM(FLATTEN(SPLIT( REGEXREPLACE( SUBSTITUTE(TEXTJOIN("","", TRUE, IFERROR(ARRAYFORMULA(VLOOKUP(TRIM(SPLIT('Final Report'!A1803, "","")), 'URL Details'!A:D, "&amp;"4, FALSE)),"""") ), CHAR(10), "",""), ""\s*,\s*"", "",""), "",""))), TRIM(FLATTEN(SPLIT( REGEXREPLACE( SUBSTITUTE(TEXTJOIN("","", TRUE, IFERROR(ARRAYFORMULA(VLOOKUP(TRIM(SPLIT('Final Report'!A1803, "","")), 'URL Details'!A:D, 4, FALSE)),"""") ), CHAR(10),"&amp;" "",""), ""\s*,\s*"", "",""), "","")))&lt;&gt;"""" ) ) ) ),"""")
"),"")</f>
        <v/>
      </c>
      <c r="D1803" s="105"/>
      <c r="E1803" s="105"/>
      <c r="F1803" s="110" t="b">
        <v>0</v>
      </c>
      <c r="G1803" s="105" t="str">
        <f>IF(F1803=True, IFERROR(VLOOKUP(D1803, Repository!A:B, 2, 0), ""), "")</f>
        <v/>
      </c>
      <c r="H1803" s="105"/>
      <c r="I1803" s="105"/>
      <c r="J1803" s="105" t="str">
        <f>IF(F1803=True, IFERROR(VLOOKUP(D1803, Repository!A:C, 3, 0), ""), "")</f>
        <v/>
      </c>
      <c r="K1803" s="105"/>
      <c r="L1803" s="105" t="str">
        <f>IF(F1803=True, IFERROR(VLOOKUP(D1803, Repository!A:E, 5, 0), ""), "")</f>
        <v/>
      </c>
      <c r="M1803" s="105"/>
      <c r="N1803" s="105" t="str">
        <f>IF(F1803=True, IFERROR(VLOOKUP(D1803, Repository!A:G, 7, 0), ""), "")</f>
        <v/>
      </c>
      <c r="O1803" s="105" t="str">
        <f>IFERROR(__xludf.DUMMYFUNCTION("ARRAY_CONSTRAIN(
  ARRAYFORMULA(
    IFERROR(
      LET(
        list, N1803,
        arr, TRIM(SPLIT(list, "","")),
        names, XLOOKUP(
          arr,
          'Conformance Score'!A:A,
          'Conformance Score'!B:B,
          ""Not found""
     "&amp;"   ),
        TEXTJOIN("", "", TRUE, names)
      ),
      """"
    )
  ),
  1,
  1
)
"),"")</f>
        <v/>
      </c>
      <c r="P1803" s="105" t="str">
        <f>IF(F1803="Yes", IFERROR(VLOOKUP(D1803, Repository!A:F, 6, 0), ""), "")</f>
        <v/>
      </c>
      <c r="Q1803" s="105" t="str">
        <f>IF(F1803="Yes", IFERROR(VLOOKUP(D1803, Repository!A:I, 8, 0), ""), "")</f>
        <v/>
      </c>
      <c r="R1803" s="105" t="str">
        <f>IF(F1803="Yes", IFERROR(VLOOKUP(D1803, Repository!A:J, 9, 0), ""), "")</f>
        <v/>
      </c>
      <c r="S1803" s="105"/>
      <c r="T1803" s="105"/>
      <c r="U1803" s="105"/>
      <c r="V1803" s="105"/>
      <c r="W1803" s="105"/>
      <c r="X1803" s="105"/>
      <c r="Y1803" s="105"/>
      <c r="Z1803" s="105"/>
      <c r="AA1803" s="105"/>
      <c r="AB1803" s="105"/>
      <c r="AC1803" s="91"/>
      <c r="AD1803" s="105"/>
      <c r="AE1803" s="105"/>
      <c r="AF1803" s="91"/>
      <c r="AG1803" s="105"/>
      <c r="AH1803" s="105"/>
      <c r="AI1803" s="105" t="str">
        <f t="shared" si="1"/>
        <v/>
      </c>
      <c r="AJ1803" s="108" t="str">
        <f t="shared" si="2"/>
        <v/>
      </c>
    </row>
    <row r="1804" ht="15.75" customHeight="1">
      <c r="A1804" s="104"/>
      <c r="B1804" s="105" t="str">
        <f>IFERROR(__xludf.DUMMYFUNCTION("ARRAY_CONSTRAIN(
  ARRAYFORMULA(
    IF(
      'Final Report'!A1804="""",
      """",
      TEXTJOIN(
        "", "" &amp; CHAR(10),
        TRUE,
        IFERROR(
          VLOOKUP(
            TRIM(
              SPLIT('Final Report'!A1804, "","")
         "&amp;"   ),
            'URL Details'!A:B,
            2,
            FALSE
          ),
          """"
        )
      )
    )
  ),
  1,
  1
)
"),"")</f>
        <v/>
      </c>
      <c r="C1804" s="105" t="str">
        <f>IFERROR(__xludf.DUMMYFUNCTION("IFERROR(IF('Final Report'!A1804="""","""", TEXTJOIN(CHAR(10), TRUE, ARRAYFORMULA( ""• ""&amp; FILTER( TRIM(FLATTEN(SPLIT( REGEXREPLACE( SUBSTITUTE(TEXTJOIN("","", TRUE, IFERROR(ARRAYFORMULA(VLOOKUP(TRIM(SPLIT('Final Report'!A1804, "","")), 'URL Details'!A:D, "&amp;"4, FALSE)),"""") ), CHAR(10), "",""), ""\s*,\s*"", "",""), "",""))), TRIM(FLATTEN(SPLIT( REGEXREPLACE( SUBSTITUTE(TEXTJOIN("","", TRUE, IFERROR(ARRAYFORMULA(VLOOKUP(TRIM(SPLIT('Final Report'!A1804, "","")), 'URL Details'!A:D, 4, FALSE)),"""") ), CHAR(10),"&amp;" "",""), ""\s*,\s*"", "",""), "","")))&lt;&gt;"""" ) ) ) ),"""")
"),"")</f>
        <v/>
      </c>
      <c r="D1804" s="105"/>
      <c r="E1804" s="105"/>
      <c r="F1804" s="110" t="b">
        <v>0</v>
      </c>
      <c r="G1804" s="105" t="str">
        <f>IF(F1804=True, IFERROR(VLOOKUP(D1804, Repository!A:B, 2, 0), ""), "")</f>
        <v/>
      </c>
      <c r="H1804" s="105"/>
      <c r="I1804" s="105"/>
      <c r="J1804" s="105" t="str">
        <f>IF(F1804=True, IFERROR(VLOOKUP(D1804, Repository!A:C, 3, 0), ""), "")</f>
        <v/>
      </c>
      <c r="K1804" s="105"/>
      <c r="L1804" s="105" t="str">
        <f>IF(F1804=True, IFERROR(VLOOKUP(D1804, Repository!A:E, 5, 0), ""), "")</f>
        <v/>
      </c>
      <c r="M1804" s="105"/>
      <c r="N1804" s="105" t="str">
        <f>IF(F1804=True, IFERROR(VLOOKUP(D1804, Repository!A:G, 7, 0), ""), "")</f>
        <v/>
      </c>
      <c r="O1804" s="105" t="str">
        <f>IFERROR(__xludf.DUMMYFUNCTION("ARRAY_CONSTRAIN(
  ARRAYFORMULA(
    IFERROR(
      LET(
        list, N1804,
        arr, TRIM(SPLIT(list, "","")),
        names, XLOOKUP(
          arr,
          'Conformance Score'!A:A,
          'Conformance Score'!B:B,
          ""Not found""
     "&amp;"   ),
        TEXTJOIN("", "", TRUE, names)
      ),
      """"
    )
  ),
  1,
  1
)
"),"")</f>
        <v/>
      </c>
      <c r="P1804" s="105" t="str">
        <f>IF(F1804="Yes", IFERROR(VLOOKUP(D1804, Repository!A:F, 6, 0), ""), "")</f>
        <v/>
      </c>
      <c r="Q1804" s="105" t="str">
        <f>IF(F1804="Yes", IFERROR(VLOOKUP(D1804, Repository!A:I, 8, 0), ""), "")</f>
        <v/>
      </c>
      <c r="R1804" s="105" t="str">
        <f>IF(F1804="Yes", IFERROR(VLOOKUP(D1804, Repository!A:J, 9, 0), ""), "")</f>
        <v/>
      </c>
      <c r="S1804" s="105"/>
      <c r="T1804" s="105"/>
      <c r="U1804" s="105"/>
      <c r="V1804" s="105"/>
      <c r="W1804" s="105"/>
      <c r="X1804" s="105"/>
      <c r="Y1804" s="105"/>
      <c r="Z1804" s="105"/>
      <c r="AA1804" s="105"/>
      <c r="AB1804" s="105"/>
      <c r="AC1804" s="91"/>
      <c r="AD1804" s="105"/>
      <c r="AE1804" s="105"/>
      <c r="AF1804" s="91"/>
      <c r="AG1804" s="105"/>
      <c r="AH1804" s="105"/>
      <c r="AI1804" s="105" t="str">
        <f t="shared" si="1"/>
        <v/>
      </c>
      <c r="AJ1804" s="108" t="str">
        <f t="shared" si="2"/>
        <v/>
      </c>
    </row>
    <row r="1805" ht="15.75" customHeight="1">
      <c r="A1805" s="104"/>
      <c r="B1805" s="105" t="str">
        <f>IFERROR(__xludf.DUMMYFUNCTION("ARRAY_CONSTRAIN(
  ARRAYFORMULA(
    IF(
      'Final Report'!A1805="""",
      """",
      TEXTJOIN(
        "", "" &amp; CHAR(10),
        TRUE,
        IFERROR(
          VLOOKUP(
            TRIM(
              SPLIT('Final Report'!A1805, "","")
         "&amp;"   ),
            'URL Details'!A:B,
            2,
            FALSE
          ),
          """"
        )
      )
    )
  ),
  1,
  1
)
"),"")</f>
        <v/>
      </c>
      <c r="C1805" s="105" t="str">
        <f>IFERROR(__xludf.DUMMYFUNCTION("IFERROR(IF('Final Report'!A1805="""","""", TEXTJOIN(CHAR(10), TRUE, ARRAYFORMULA( ""• ""&amp; FILTER( TRIM(FLATTEN(SPLIT( REGEXREPLACE( SUBSTITUTE(TEXTJOIN("","", TRUE, IFERROR(ARRAYFORMULA(VLOOKUP(TRIM(SPLIT('Final Report'!A1805, "","")), 'URL Details'!A:D, "&amp;"4, FALSE)),"""") ), CHAR(10), "",""), ""\s*,\s*"", "",""), "",""))), TRIM(FLATTEN(SPLIT( REGEXREPLACE( SUBSTITUTE(TEXTJOIN("","", TRUE, IFERROR(ARRAYFORMULA(VLOOKUP(TRIM(SPLIT('Final Report'!A1805, "","")), 'URL Details'!A:D, 4, FALSE)),"""") ), CHAR(10),"&amp;" "",""), ""\s*,\s*"", "",""), "","")))&lt;&gt;"""" ) ) ) ),"""")
"),"")</f>
        <v/>
      </c>
      <c r="D1805" s="105"/>
      <c r="E1805" s="105"/>
      <c r="F1805" s="110" t="b">
        <v>0</v>
      </c>
      <c r="G1805" s="105" t="str">
        <f>IF(F1805=True, IFERROR(VLOOKUP(D1805, Repository!A:B, 2, 0), ""), "")</f>
        <v/>
      </c>
      <c r="H1805" s="105"/>
      <c r="I1805" s="105"/>
      <c r="J1805" s="105" t="str">
        <f>IF(F1805=True, IFERROR(VLOOKUP(D1805, Repository!A:C, 3, 0), ""), "")</f>
        <v/>
      </c>
      <c r="K1805" s="105"/>
      <c r="L1805" s="105" t="str">
        <f>IF(F1805=True, IFERROR(VLOOKUP(D1805, Repository!A:E, 5, 0), ""), "")</f>
        <v/>
      </c>
      <c r="M1805" s="105"/>
      <c r="N1805" s="105" t="str">
        <f>IF(F1805=True, IFERROR(VLOOKUP(D1805, Repository!A:G, 7, 0), ""), "")</f>
        <v/>
      </c>
      <c r="O1805" s="105" t="str">
        <f>IFERROR(__xludf.DUMMYFUNCTION("ARRAY_CONSTRAIN(
  ARRAYFORMULA(
    IFERROR(
      LET(
        list, N1805,
        arr, TRIM(SPLIT(list, "","")),
        names, XLOOKUP(
          arr,
          'Conformance Score'!A:A,
          'Conformance Score'!B:B,
          ""Not found""
     "&amp;"   ),
        TEXTJOIN("", "", TRUE, names)
      ),
      """"
    )
  ),
  1,
  1
)
"),"")</f>
        <v/>
      </c>
      <c r="P1805" s="105" t="str">
        <f>IF(F1805="Yes", IFERROR(VLOOKUP(D1805, Repository!A:F, 6, 0), ""), "")</f>
        <v/>
      </c>
      <c r="Q1805" s="105" t="str">
        <f>IF(F1805="Yes", IFERROR(VLOOKUP(D1805, Repository!A:I, 8, 0), ""), "")</f>
        <v/>
      </c>
      <c r="R1805" s="105" t="str">
        <f>IF(F1805="Yes", IFERROR(VLOOKUP(D1805, Repository!A:J, 9, 0), ""), "")</f>
        <v/>
      </c>
      <c r="S1805" s="105"/>
      <c r="T1805" s="105"/>
      <c r="U1805" s="105"/>
      <c r="V1805" s="105"/>
      <c r="W1805" s="105"/>
      <c r="X1805" s="105"/>
      <c r="Y1805" s="105"/>
      <c r="Z1805" s="105"/>
      <c r="AA1805" s="105"/>
      <c r="AB1805" s="105"/>
      <c r="AC1805" s="91"/>
      <c r="AD1805" s="105"/>
      <c r="AE1805" s="105"/>
      <c r="AF1805" s="91"/>
      <c r="AG1805" s="105"/>
      <c r="AH1805" s="105"/>
      <c r="AI1805" s="105" t="str">
        <f t="shared" si="1"/>
        <v/>
      </c>
      <c r="AJ1805" s="108" t="str">
        <f t="shared" si="2"/>
        <v/>
      </c>
    </row>
    <row r="1806" ht="15.75" customHeight="1">
      <c r="A1806" s="104"/>
      <c r="B1806" s="105" t="str">
        <f>IFERROR(__xludf.DUMMYFUNCTION("ARRAY_CONSTRAIN(
  ARRAYFORMULA(
    IF(
      'Final Report'!A1806="""",
      """",
      TEXTJOIN(
        "", "" &amp; CHAR(10),
        TRUE,
        IFERROR(
          VLOOKUP(
            TRIM(
              SPLIT('Final Report'!A1806, "","")
         "&amp;"   ),
            'URL Details'!A:B,
            2,
            FALSE
          ),
          """"
        )
      )
    )
  ),
  1,
  1
)
"),"")</f>
        <v/>
      </c>
      <c r="C1806" s="105" t="str">
        <f>IFERROR(__xludf.DUMMYFUNCTION("IFERROR(IF('Final Report'!A1806="""","""", TEXTJOIN(CHAR(10), TRUE, ARRAYFORMULA( ""• ""&amp; FILTER( TRIM(FLATTEN(SPLIT( REGEXREPLACE( SUBSTITUTE(TEXTJOIN("","", TRUE, IFERROR(ARRAYFORMULA(VLOOKUP(TRIM(SPLIT('Final Report'!A1806, "","")), 'URL Details'!A:D, "&amp;"4, FALSE)),"""") ), CHAR(10), "",""), ""\s*,\s*"", "",""), "",""))), TRIM(FLATTEN(SPLIT( REGEXREPLACE( SUBSTITUTE(TEXTJOIN("","", TRUE, IFERROR(ARRAYFORMULA(VLOOKUP(TRIM(SPLIT('Final Report'!A1806, "","")), 'URL Details'!A:D, 4, FALSE)),"""") ), CHAR(10),"&amp;" "",""), ""\s*,\s*"", "",""), "","")))&lt;&gt;"""" ) ) ) ),"""")
"),"")</f>
        <v/>
      </c>
      <c r="D1806" s="105"/>
      <c r="E1806" s="105"/>
      <c r="F1806" s="110" t="b">
        <v>0</v>
      </c>
      <c r="G1806" s="105" t="str">
        <f>IF(F1806=True, IFERROR(VLOOKUP(D1806, Repository!A:B, 2, 0), ""), "")</f>
        <v/>
      </c>
      <c r="H1806" s="105"/>
      <c r="I1806" s="105"/>
      <c r="J1806" s="105" t="str">
        <f>IF(F1806=True, IFERROR(VLOOKUP(D1806, Repository!A:C, 3, 0), ""), "")</f>
        <v/>
      </c>
      <c r="K1806" s="105"/>
      <c r="L1806" s="105" t="str">
        <f>IF(F1806=True, IFERROR(VLOOKUP(D1806, Repository!A:E, 5, 0), ""), "")</f>
        <v/>
      </c>
      <c r="M1806" s="105"/>
      <c r="N1806" s="105" t="str">
        <f>IF(F1806=True, IFERROR(VLOOKUP(D1806, Repository!A:G, 7, 0), ""), "")</f>
        <v/>
      </c>
      <c r="O1806" s="105" t="str">
        <f>IFERROR(__xludf.DUMMYFUNCTION("ARRAY_CONSTRAIN(
  ARRAYFORMULA(
    IFERROR(
      LET(
        list, N1806,
        arr, TRIM(SPLIT(list, "","")),
        names, XLOOKUP(
          arr,
          'Conformance Score'!A:A,
          'Conformance Score'!B:B,
          ""Not found""
     "&amp;"   ),
        TEXTJOIN("", "", TRUE, names)
      ),
      """"
    )
  ),
  1,
  1
)
"),"")</f>
        <v/>
      </c>
      <c r="P1806" s="105" t="str">
        <f>IF(F1806="Yes", IFERROR(VLOOKUP(D1806, Repository!A:F, 6, 0), ""), "")</f>
        <v/>
      </c>
      <c r="Q1806" s="105" t="str">
        <f>IF(F1806="Yes", IFERROR(VLOOKUP(D1806, Repository!A:I, 8, 0), ""), "")</f>
        <v/>
      </c>
      <c r="R1806" s="105" t="str">
        <f>IF(F1806="Yes", IFERROR(VLOOKUP(D1806, Repository!A:J, 9, 0), ""), "")</f>
        <v/>
      </c>
      <c r="S1806" s="105"/>
      <c r="T1806" s="105"/>
      <c r="U1806" s="105"/>
      <c r="V1806" s="105"/>
      <c r="W1806" s="105"/>
      <c r="X1806" s="105"/>
      <c r="Y1806" s="105"/>
      <c r="Z1806" s="105"/>
      <c r="AA1806" s="105"/>
      <c r="AB1806" s="105"/>
      <c r="AC1806" s="91"/>
      <c r="AD1806" s="105"/>
      <c r="AE1806" s="105"/>
      <c r="AF1806" s="91"/>
      <c r="AG1806" s="105"/>
      <c r="AH1806" s="105"/>
      <c r="AI1806" s="105" t="str">
        <f t="shared" si="1"/>
        <v/>
      </c>
      <c r="AJ1806" s="108" t="str">
        <f t="shared" si="2"/>
        <v/>
      </c>
    </row>
    <row r="1807" ht="15.75" customHeight="1">
      <c r="A1807" s="104"/>
      <c r="B1807" s="105" t="str">
        <f>IFERROR(__xludf.DUMMYFUNCTION("ARRAY_CONSTRAIN(
  ARRAYFORMULA(
    IF(
      'Final Report'!A1807="""",
      """",
      TEXTJOIN(
        "", "" &amp; CHAR(10),
        TRUE,
        IFERROR(
          VLOOKUP(
            TRIM(
              SPLIT('Final Report'!A1807, "","")
         "&amp;"   ),
            'URL Details'!A:B,
            2,
            FALSE
          ),
          """"
        )
      )
    )
  ),
  1,
  1
)
"),"")</f>
        <v/>
      </c>
      <c r="C1807" s="105" t="str">
        <f>IFERROR(__xludf.DUMMYFUNCTION("IFERROR(IF('Final Report'!A1807="""","""", TEXTJOIN(CHAR(10), TRUE, ARRAYFORMULA( ""• ""&amp; FILTER( TRIM(FLATTEN(SPLIT( REGEXREPLACE( SUBSTITUTE(TEXTJOIN("","", TRUE, IFERROR(ARRAYFORMULA(VLOOKUP(TRIM(SPLIT('Final Report'!A1807, "","")), 'URL Details'!A:D, "&amp;"4, FALSE)),"""") ), CHAR(10), "",""), ""\s*,\s*"", "",""), "",""))), TRIM(FLATTEN(SPLIT( REGEXREPLACE( SUBSTITUTE(TEXTJOIN("","", TRUE, IFERROR(ARRAYFORMULA(VLOOKUP(TRIM(SPLIT('Final Report'!A1807, "","")), 'URL Details'!A:D, 4, FALSE)),"""") ), CHAR(10),"&amp;" "",""), ""\s*,\s*"", "",""), "","")))&lt;&gt;"""" ) ) ) ),"""")
"),"")</f>
        <v/>
      </c>
      <c r="D1807" s="105"/>
      <c r="E1807" s="105"/>
      <c r="F1807" s="110" t="b">
        <v>0</v>
      </c>
      <c r="G1807" s="105" t="str">
        <f>IF(F1807=True, IFERROR(VLOOKUP(D1807, Repository!A:B, 2, 0), ""), "")</f>
        <v/>
      </c>
      <c r="H1807" s="105"/>
      <c r="I1807" s="105"/>
      <c r="J1807" s="105" t="str">
        <f>IF(F1807=True, IFERROR(VLOOKUP(D1807, Repository!A:C, 3, 0), ""), "")</f>
        <v/>
      </c>
      <c r="K1807" s="105"/>
      <c r="L1807" s="105" t="str">
        <f>IF(F1807=True, IFERROR(VLOOKUP(D1807, Repository!A:E, 5, 0), ""), "")</f>
        <v/>
      </c>
      <c r="M1807" s="105"/>
      <c r="N1807" s="105" t="str">
        <f>IF(F1807=True, IFERROR(VLOOKUP(D1807, Repository!A:G, 7, 0), ""), "")</f>
        <v/>
      </c>
      <c r="O1807" s="105" t="str">
        <f>IFERROR(__xludf.DUMMYFUNCTION("ARRAY_CONSTRAIN(
  ARRAYFORMULA(
    IFERROR(
      LET(
        list, N1807,
        arr, TRIM(SPLIT(list, "","")),
        names, XLOOKUP(
          arr,
          'Conformance Score'!A:A,
          'Conformance Score'!B:B,
          ""Not found""
     "&amp;"   ),
        TEXTJOIN("", "", TRUE, names)
      ),
      """"
    )
  ),
  1,
  1
)
"),"")</f>
        <v/>
      </c>
      <c r="P1807" s="105" t="str">
        <f>IF(F1807="Yes", IFERROR(VLOOKUP(D1807, Repository!A:F, 6, 0), ""), "")</f>
        <v/>
      </c>
      <c r="Q1807" s="105" t="str">
        <f>IF(F1807="Yes", IFERROR(VLOOKUP(D1807, Repository!A:I, 8, 0), ""), "")</f>
        <v/>
      </c>
      <c r="R1807" s="105" t="str">
        <f>IF(F1807="Yes", IFERROR(VLOOKUP(D1807, Repository!A:J, 9, 0), ""), "")</f>
        <v/>
      </c>
      <c r="S1807" s="105"/>
      <c r="T1807" s="105"/>
      <c r="U1807" s="105"/>
      <c r="V1807" s="105"/>
      <c r="W1807" s="105"/>
      <c r="X1807" s="105"/>
      <c r="Y1807" s="105"/>
      <c r="Z1807" s="105"/>
      <c r="AA1807" s="105"/>
      <c r="AB1807" s="105"/>
      <c r="AC1807" s="91"/>
      <c r="AD1807" s="105"/>
      <c r="AE1807" s="105"/>
      <c r="AF1807" s="91"/>
      <c r="AG1807" s="105"/>
      <c r="AH1807" s="105"/>
      <c r="AI1807" s="105" t="str">
        <f t="shared" si="1"/>
        <v/>
      </c>
      <c r="AJ1807" s="108" t="str">
        <f t="shared" si="2"/>
        <v/>
      </c>
    </row>
    <row r="1808" ht="15.75" customHeight="1">
      <c r="A1808" s="104"/>
      <c r="B1808" s="105" t="str">
        <f>IFERROR(__xludf.DUMMYFUNCTION("ARRAY_CONSTRAIN(
  ARRAYFORMULA(
    IF(
      'Final Report'!A1808="""",
      """",
      TEXTJOIN(
        "", "" &amp; CHAR(10),
        TRUE,
        IFERROR(
          VLOOKUP(
            TRIM(
              SPLIT('Final Report'!A1808, "","")
         "&amp;"   ),
            'URL Details'!A:B,
            2,
            FALSE
          ),
          """"
        )
      )
    )
  ),
  1,
  1
)
"),"")</f>
        <v/>
      </c>
      <c r="C1808" s="105" t="str">
        <f>IFERROR(__xludf.DUMMYFUNCTION("IFERROR(IF('Final Report'!A1808="""","""", TEXTJOIN(CHAR(10), TRUE, ARRAYFORMULA( ""• ""&amp; FILTER( TRIM(FLATTEN(SPLIT( REGEXREPLACE( SUBSTITUTE(TEXTJOIN("","", TRUE, IFERROR(ARRAYFORMULA(VLOOKUP(TRIM(SPLIT('Final Report'!A1808, "","")), 'URL Details'!A:D, "&amp;"4, FALSE)),"""") ), CHAR(10), "",""), ""\s*,\s*"", "",""), "",""))), TRIM(FLATTEN(SPLIT( REGEXREPLACE( SUBSTITUTE(TEXTJOIN("","", TRUE, IFERROR(ARRAYFORMULA(VLOOKUP(TRIM(SPLIT('Final Report'!A1808, "","")), 'URL Details'!A:D, 4, FALSE)),"""") ), CHAR(10),"&amp;" "",""), ""\s*,\s*"", "",""), "","")))&lt;&gt;"""" ) ) ) ),"""")
"),"")</f>
        <v/>
      </c>
      <c r="D1808" s="105"/>
      <c r="E1808" s="105"/>
      <c r="F1808" s="110" t="b">
        <v>0</v>
      </c>
      <c r="G1808" s="105" t="str">
        <f>IF(F1808=True, IFERROR(VLOOKUP(D1808, Repository!A:B, 2, 0), ""), "")</f>
        <v/>
      </c>
      <c r="H1808" s="105"/>
      <c r="I1808" s="105"/>
      <c r="J1808" s="105" t="str">
        <f>IF(F1808=True, IFERROR(VLOOKUP(D1808, Repository!A:C, 3, 0), ""), "")</f>
        <v/>
      </c>
      <c r="K1808" s="105"/>
      <c r="L1808" s="105" t="str">
        <f>IF(F1808=True, IFERROR(VLOOKUP(D1808, Repository!A:E, 5, 0), ""), "")</f>
        <v/>
      </c>
      <c r="M1808" s="105"/>
      <c r="N1808" s="105" t="str">
        <f>IF(F1808=True, IFERROR(VLOOKUP(D1808, Repository!A:G, 7, 0), ""), "")</f>
        <v/>
      </c>
      <c r="O1808" s="105" t="str">
        <f>IFERROR(__xludf.DUMMYFUNCTION("ARRAY_CONSTRAIN(
  ARRAYFORMULA(
    IFERROR(
      LET(
        list, N1808,
        arr, TRIM(SPLIT(list, "","")),
        names, XLOOKUP(
          arr,
          'Conformance Score'!A:A,
          'Conformance Score'!B:B,
          ""Not found""
     "&amp;"   ),
        TEXTJOIN("", "", TRUE, names)
      ),
      """"
    )
  ),
  1,
  1
)
"),"")</f>
        <v/>
      </c>
      <c r="P1808" s="105" t="str">
        <f>IF(F1808="Yes", IFERROR(VLOOKUP(D1808, Repository!A:F, 6, 0), ""), "")</f>
        <v/>
      </c>
      <c r="Q1808" s="105" t="str">
        <f>IF(F1808="Yes", IFERROR(VLOOKUP(D1808, Repository!A:I, 8, 0), ""), "")</f>
        <v/>
      </c>
      <c r="R1808" s="105" t="str">
        <f>IF(F1808="Yes", IFERROR(VLOOKUP(D1808, Repository!A:J, 9, 0), ""), "")</f>
        <v/>
      </c>
      <c r="S1808" s="105"/>
      <c r="T1808" s="105"/>
      <c r="U1808" s="105"/>
      <c r="V1808" s="105"/>
      <c r="W1808" s="105"/>
      <c r="X1808" s="105"/>
      <c r="Y1808" s="105"/>
      <c r="Z1808" s="105"/>
      <c r="AA1808" s="105"/>
      <c r="AB1808" s="105"/>
      <c r="AC1808" s="91"/>
      <c r="AD1808" s="105"/>
      <c r="AE1808" s="105"/>
      <c r="AF1808" s="91"/>
      <c r="AG1808" s="105"/>
      <c r="AH1808" s="105"/>
      <c r="AI1808" s="105" t="str">
        <f t="shared" si="1"/>
        <v/>
      </c>
      <c r="AJ1808" s="108" t="str">
        <f t="shared" si="2"/>
        <v/>
      </c>
    </row>
    <row r="1809" ht="15.75" customHeight="1">
      <c r="A1809" s="104"/>
      <c r="B1809" s="105" t="str">
        <f>IFERROR(__xludf.DUMMYFUNCTION("ARRAY_CONSTRAIN(
  ARRAYFORMULA(
    IF(
      'Final Report'!A1809="""",
      """",
      TEXTJOIN(
        "", "" &amp; CHAR(10),
        TRUE,
        IFERROR(
          VLOOKUP(
            TRIM(
              SPLIT('Final Report'!A1809, "","")
         "&amp;"   ),
            'URL Details'!A:B,
            2,
            FALSE
          ),
          """"
        )
      )
    )
  ),
  1,
  1
)
"),"")</f>
        <v/>
      </c>
      <c r="C1809" s="105" t="str">
        <f>IFERROR(__xludf.DUMMYFUNCTION("IFERROR(IF('Final Report'!A1809="""","""", TEXTJOIN(CHAR(10), TRUE, ARRAYFORMULA( ""• ""&amp; FILTER( TRIM(FLATTEN(SPLIT( REGEXREPLACE( SUBSTITUTE(TEXTJOIN("","", TRUE, IFERROR(ARRAYFORMULA(VLOOKUP(TRIM(SPLIT('Final Report'!A1809, "","")), 'URL Details'!A:D, "&amp;"4, FALSE)),"""") ), CHAR(10), "",""), ""\s*,\s*"", "",""), "",""))), TRIM(FLATTEN(SPLIT( REGEXREPLACE( SUBSTITUTE(TEXTJOIN("","", TRUE, IFERROR(ARRAYFORMULA(VLOOKUP(TRIM(SPLIT('Final Report'!A1809, "","")), 'URL Details'!A:D, 4, FALSE)),"""") ), CHAR(10),"&amp;" "",""), ""\s*,\s*"", "",""), "","")))&lt;&gt;"""" ) ) ) ),"""")
"),"")</f>
        <v/>
      </c>
      <c r="D1809" s="105"/>
      <c r="E1809" s="105"/>
      <c r="F1809" s="110" t="b">
        <v>0</v>
      </c>
      <c r="G1809" s="105" t="str">
        <f>IF(F1809=True, IFERROR(VLOOKUP(D1809, Repository!A:B, 2, 0), ""), "")</f>
        <v/>
      </c>
      <c r="H1809" s="105"/>
      <c r="I1809" s="105"/>
      <c r="J1809" s="105" t="str">
        <f>IF(F1809=True, IFERROR(VLOOKUP(D1809, Repository!A:C, 3, 0), ""), "")</f>
        <v/>
      </c>
      <c r="K1809" s="105"/>
      <c r="L1809" s="105" t="str">
        <f>IF(F1809=True, IFERROR(VLOOKUP(D1809, Repository!A:E, 5, 0), ""), "")</f>
        <v/>
      </c>
      <c r="M1809" s="105"/>
      <c r="N1809" s="105" t="str">
        <f>IF(F1809=True, IFERROR(VLOOKUP(D1809, Repository!A:G, 7, 0), ""), "")</f>
        <v/>
      </c>
      <c r="O1809" s="105" t="str">
        <f>IFERROR(__xludf.DUMMYFUNCTION("ARRAY_CONSTRAIN(
  ARRAYFORMULA(
    IFERROR(
      LET(
        list, N1809,
        arr, TRIM(SPLIT(list, "","")),
        names, XLOOKUP(
          arr,
          'Conformance Score'!A:A,
          'Conformance Score'!B:B,
          ""Not found""
     "&amp;"   ),
        TEXTJOIN("", "", TRUE, names)
      ),
      """"
    )
  ),
  1,
  1
)
"),"")</f>
        <v/>
      </c>
      <c r="P1809" s="105" t="str">
        <f>IF(F1809="Yes", IFERROR(VLOOKUP(D1809, Repository!A:F, 6, 0), ""), "")</f>
        <v/>
      </c>
      <c r="Q1809" s="105" t="str">
        <f>IF(F1809="Yes", IFERROR(VLOOKUP(D1809, Repository!A:I, 8, 0), ""), "")</f>
        <v/>
      </c>
      <c r="R1809" s="105" t="str">
        <f>IF(F1809="Yes", IFERROR(VLOOKUP(D1809, Repository!A:J, 9, 0), ""), "")</f>
        <v/>
      </c>
      <c r="S1809" s="105"/>
      <c r="T1809" s="105"/>
      <c r="U1809" s="105"/>
      <c r="V1809" s="105"/>
      <c r="W1809" s="105"/>
      <c r="X1809" s="105"/>
      <c r="Y1809" s="105"/>
      <c r="Z1809" s="105"/>
      <c r="AA1809" s="105"/>
      <c r="AB1809" s="105"/>
      <c r="AC1809" s="91"/>
      <c r="AD1809" s="105"/>
      <c r="AE1809" s="105"/>
      <c r="AF1809" s="91"/>
      <c r="AG1809" s="105"/>
      <c r="AH1809" s="105"/>
      <c r="AI1809" s="105" t="str">
        <f t="shared" si="1"/>
        <v/>
      </c>
      <c r="AJ1809" s="108" t="str">
        <f t="shared" si="2"/>
        <v/>
      </c>
    </row>
    <row r="1810" ht="15.75" customHeight="1">
      <c r="A1810" s="104"/>
      <c r="B1810" s="105" t="str">
        <f>IFERROR(__xludf.DUMMYFUNCTION("ARRAY_CONSTRAIN(
  ARRAYFORMULA(
    IF(
      'Final Report'!A1810="""",
      """",
      TEXTJOIN(
        "", "" &amp; CHAR(10),
        TRUE,
        IFERROR(
          VLOOKUP(
            TRIM(
              SPLIT('Final Report'!A1810, "","")
         "&amp;"   ),
            'URL Details'!A:B,
            2,
            FALSE
          ),
          """"
        )
      )
    )
  ),
  1,
  1
)
"),"")</f>
        <v/>
      </c>
      <c r="C1810" s="105" t="str">
        <f>IFERROR(__xludf.DUMMYFUNCTION("IFERROR(IF('Final Report'!A1810="""","""", TEXTJOIN(CHAR(10), TRUE, ARRAYFORMULA( ""• ""&amp; FILTER( TRIM(FLATTEN(SPLIT( REGEXREPLACE( SUBSTITUTE(TEXTJOIN("","", TRUE, IFERROR(ARRAYFORMULA(VLOOKUP(TRIM(SPLIT('Final Report'!A1810, "","")), 'URL Details'!A:D, "&amp;"4, FALSE)),"""") ), CHAR(10), "",""), ""\s*,\s*"", "",""), "",""))), TRIM(FLATTEN(SPLIT( REGEXREPLACE( SUBSTITUTE(TEXTJOIN("","", TRUE, IFERROR(ARRAYFORMULA(VLOOKUP(TRIM(SPLIT('Final Report'!A1810, "","")), 'URL Details'!A:D, 4, FALSE)),"""") ), CHAR(10),"&amp;" "",""), ""\s*,\s*"", "",""), "","")))&lt;&gt;"""" ) ) ) ),"""")
"),"")</f>
        <v/>
      </c>
      <c r="D1810" s="105"/>
      <c r="E1810" s="105"/>
      <c r="F1810" s="110" t="b">
        <v>0</v>
      </c>
      <c r="G1810" s="105" t="str">
        <f>IF(F1810=True, IFERROR(VLOOKUP(D1810, Repository!A:B, 2, 0), ""), "")</f>
        <v/>
      </c>
      <c r="H1810" s="105"/>
      <c r="I1810" s="105"/>
      <c r="J1810" s="105" t="str">
        <f>IF(F1810=True, IFERROR(VLOOKUP(D1810, Repository!A:C, 3, 0), ""), "")</f>
        <v/>
      </c>
      <c r="K1810" s="105"/>
      <c r="L1810" s="105" t="str">
        <f>IF(F1810=True, IFERROR(VLOOKUP(D1810, Repository!A:E, 5, 0), ""), "")</f>
        <v/>
      </c>
      <c r="M1810" s="105"/>
      <c r="N1810" s="105" t="str">
        <f>IF(F1810=True, IFERROR(VLOOKUP(D1810, Repository!A:G, 7, 0), ""), "")</f>
        <v/>
      </c>
      <c r="O1810" s="105" t="str">
        <f>IFERROR(__xludf.DUMMYFUNCTION("ARRAY_CONSTRAIN(
  ARRAYFORMULA(
    IFERROR(
      LET(
        list, N1810,
        arr, TRIM(SPLIT(list, "","")),
        names, XLOOKUP(
          arr,
          'Conformance Score'!A:A,
          'Conformance Score'!B:B,
          ""Not found""
     "&amp;"   ),
        TEXTJOIN("", "", TRUE, names)
      ),
      """"
    )
  ),
  1,
  1
)
"),"")</f>
        <v/>
      </c>
      <c r="P1810" s="105" t="str">
        <f>IF(F1810="Yes", IFERROR(VLOOKUP(D1810, Repository!A:F, 6, 0), ""), "")</f>
        <v/>
      </c>
      <c r="Q1810" s="105" t="str">
        <f>IF(F1810="Yes", IFERROR(VLOOKUP(D1810, Repository!A:I, 8, 0), ""), "")</f>
        <v/>
      </c>
      <c r="R1810" s="105" t="str">
        <f>IF(F1810="Yes", IFERROR(VLOOKUP(D1810, Repository!A:J, 9, 0), ""), "")</f>
        <v/>
      </c>
      <c r="S1810" s="105"/>
      <c r="T1810" s="105"/>
      <c r="U1810" s="105"/>
      <c r="V1810" s="105"/>
      <c r="W1810" s="105"/>
      <c r="X1810" s="105"/>
      <c r="Y1810" s="105"/>
      <c r="Z1810" s="105"/>
      <c r="AA1810" s="105"/>
      <c r="AB1810" s="105"/>
      <c r="AC1810" s="91"/>
      <c r="AD1810" s="105"/>
      <c r="AE1810" s="105"/>
      <c r="AF1810" s="91"/>
      <c r="AG1810" s="105"/>
      <c r="AH1810" s="105"/>
      <c r="AI1810" s="105" t="str">
        <f t="shared" si="1"/>
        <v/>
      </c>
      <c r="AJ1810" s="108" t="str">
        <f t="shared" si="2"/>
        <v/>
      </c>
    </row>
    <row r="1811" ht="15.75" customHeight="1">
      <c r="A1811" s="104"/>
      <c r="B1811" s="105" t="str">
        <f>IFERROR(__xludf.DUMMYFUNCTION("ARRAY_CONSTRAIN(
  ARRAYFORMULA(
    IF(
      'Final Report'!A1811="""",
      """",
      TEXTJOIN(
        "", "" &amp; CHAR(10),
        TRUE,
        IFERROR(
          VLOOKUP(
            TRIM(
              SPLIT('Final Report'!A1811, "","")
         "&amp;"   ),
            'URL Details'!A:B,
            2,
            FALSE
          ),
          """"
        )
      )
    )
  ),
  1,
  1
)
"),"")</f>
        <v/>
      </c>
      <c r="C1811" s="105" t="str">
        <f>IFERROR(__xludf.DUMMYFUNCTION("IFERROR(IF('Final Report'!A1811="""","""", TEXTJOIN(CHAR(10), TRUE, ARRAYFORMULA( ""• ""&amp; FILTER( TRIM(FLATTEN(SPLIT( REGEXREPLACE( SUBSTITUTE(TEXTJOIN("","", TRUE, IFERROR(ARRAYFORMULA(VLOOKUP(TRIM(SPLIT('Final Report'!A1811, "","")), 'URL Details'!A:D, "&amp;"4, FALSE)),"""") ), CHAR(10), "",""), ""\s*,\s*"", "",""), "",""))), TRIM(FLATTEN(SPLIT( REGEXREPLACE( SUBSTITUTE(TEXTJOIN("","", TRUE, IFERROR(ARRAYFORMULA(VLOOKUP(TRIM(SPLIT('Final Report'!A1811, "","")), 'URL Details'!A:D, 4, FALSE)),"""") ), CHAR(10),"&amp;" "",""), ""\s*,\s*"", "",""), "","")))&lt;&gt;"""" ) ) ) ),"""")
"),"")</f>
        <v/>
      </c>
      <c r="D1811" s="105"/>
      <c r="E1811" s="105"/>
      <c r="F1811" s="110" t="b">
        <v>0</v>
      </c>
      <c r="G1811" s="105" t="str">
        <f>IF(F1811=True, IFERROR(VLOOKUP(D1811, Repository!A:B, 2, 0), ""), "")</f>
        <v/>
      </c>
      <c r="H1811" s="105"/>
      <c r="I1811" s="105"/>
      <c r="J1811" s="105" t="str">
        <f>IF(F1811=True, IFERROR(VLOOKUP(D1811, Repository!A:C, 3, 0), ""), "")</f>
        <v/>
      </c>
      <c r="K1811" s="105"/>
      <c r="L1811" s="105" t="str">
        <f>IF(F1811=True, IFERROR(VLOOKUP(D1811, Repository!A:E, 5, 0), ""), "")</f>
        <v/>
      </c>
      <c r="M1811" s="105"/>
      <c r="N1811" s="105" t="str">
        <f>IF(F1811=True, IFERROR(VLOOKUP(D1811, Repository!A:G, 7, 0), ""), "")</f>
        <v/>
      </c>
      <c r="O1811" s="105" t="str">
        <f>IFERROR(__xludf.DUMMYFUNCTION("ARRAY_CONSTRAIN(
  ARRAYFORMULA(
    IFERROR(
      LET(
        list, N1811,
        arr, TRIM(SPLIT(list, "","")),
        names, XLOOKUP(
          arr,
          'Conformance Score'!A:A,
          'Conformance Score'!B:B,
          ""Not found""
     "&amp;"   ),
        TEXTJOIN("", "", TRUE, names)
      ),
      """"
    )
  ),
  1,
  1
)
"),"")</f>
        <v/>
      </c>
      <c r="P1811" s="105" t="str">
        <f>IF(F1811="Yes", IFERROR(VLOOKUP(D1811, Repository!A:F, 6, 0), ""), "")</f>
        <v/>
      </c>
      <c r="Q1811" s="105" t="str">
        <f>IF(F1811="Yes", IFERROR(VLOOKUP(D1811, Repository!A:I, 8, 0), ""), "")</f>
        <v/>
      </c>
      <c r="R1811" s="105" t="str">
        <f>IF(F1811="Yes", IFERROR(VLOOKUP(D1811, Repository!A:J, 9, 0), ""), "")</f>
        <v/>
      </c>
      <c r="S1811" s="105"/>
      <c r="T1811" s="105"/>
      <c r="U1811" s="105"/>
      <c r="V1811" s="105"/>
      <c r="W1811" s="105"/>
      <c r="X1811" s="105"/>
      <c r="Y1811" s="105"/>
      <c r="Z1811" s="105"/>
      <c r="AA1811" s="105"/>
      <c r="AB1811" s="105"/>
      <c r="AC1811" s="91"/>
      <c r="AD1811" s="105"/>
      <c r="AE1811" s="105"/>
      <c r="AF1811" s="91"/>
      <c r="AG1811" s="105"/>
      <c r="AH1811" s="105"/>
      <c r="AI1811" s="105" t="str">
        <f t="shared" si="1"/>
        <v/>
      </c>
      <c r="AJ1811" s="108" t="str">
        <f t="shared" si="2"/>
        <v/>
      </c>
    </row>
    <row r="1812" ht="15.75" customHeight="1">
      <c r="A1812" s="104"/>
      <c r="B1812" s="105" t="str">
        <f>IFERROR(__xludf.DUMMYFUNCTION("ARRAY_CONSTRAIN(
  ARRAYFORMULA(
    IF(
      'Final Report'!A1812="""",
      """",
      TEXTJOIN(
        "", "" &amp; CHAR(10),
        TRUE,
        IFERROR(
          VLOOKUP(
            TRIM(
              SPLIT('Final Report'!A1812, "","")
         "&amp;"   ),
            'URL Details'!A:B,
            2,
            FALSE
          ),
          """"
        )
      )
    )
  ),
  1,
  1
)
"),"")</f>
        <v/>
      </c>
      <c r="C1812" s="105" t="str">
        <f>IFERROR(__xludf.DUMMYFUNCTION("IFERROR(IF('Final Report'!A1812="""","""", TEXTJOIN(CHAR(10), TRUE, ARRAYFORMULA( ""• ""&amp; FILTER( TRIM(FLATTEN(SPLIT( REGEXREPLACE( SUBSTITUTE(TEXTJOIN("","", TRUE, IFERROR(ARRAYFORMULA(VLOOKUP(TRIM(SPLIT('Final Report'!A1812, "","")), 'URL Details'!A:D, "&amp;"4, FALSE)),"""") ), CHAR(10), "",""), ""\s*,\s*"", "",""), "",""))), TRIM(FLATTEN(SPLIT( REGEXREPLACE( SUBSTITUTE(TEXTJOIN("","", TRUE, IFERROR(ARRAYFORMULA(VLOOKUP(TRIM(SPLIT('Final Report'!A1812, "","")), 'URL Details'!A:D, 4, FALSE)),"""") ), CHAR(10),"&amp;" "",""), ""\s*,\s*"", "",""), "","")))&lt;&gt;"""" ) ) ) ),"""")
"),"")</f>
        <v/>
      </c>
      <c r="D1812" s="105"/>
      <c r="E1812" s="105"/>
      <c r="F1812" s="110" t="b">
        <v>0</v>
      </c>
      <c r="G1812" s="105" t="str">
        <f>IF(F1812=True, IFERROR(VLOOKUP(D1812, Repository!A:B, 2, 0), ""), "")</f>
        <v/>
      </c>
      <c r="H1812" s="105"/>
      <c r="I1812" s="105"/>
      <c r="J1812" s="105" t="str">
        <f>IF(F1812=True, IFERROR(VLOOKUP(D1812, Repository!A:C, 3, 0), ""), "")</f>
        <v/>
      </c>
      <c r="K1812" s="105"/>
      <c r="L1812" s="105" t="str">
        <f>IF(F1812=True, IFERROR(VLOOKUP(D1812, Repository!A:E, 5, 0), ""), "")</f>
        <v/>
      </c>
      <c r="M1812" s="105"/>
      <c r="N1812" s="105" t="str">
        <f>IF(F1812=True, IFERROR(VLOOKUP(D1812, Repository!A:G, 7, 0), ""), "")</f>
        <v/>
      </c>
      <c r="O1812" s="105" t="str">
        <f>IFERROR(__xludf.DUMMYFUNCTION("ARRAY_CONSTRAIN(
  ARRAYFORMULA(
    IFERROR(
      LET(
        list, N1812,
        arr, TRIM(SPLIT(list, "","")),
        names, XLOOKUP(
          arr,
          'Conformance Score'!A:A,
          'Conformance Score'!B:B,
          ""Not found""
     "&amp;"   ),
        TEXTJOIN("", "", TRUE, names)
      ),
      """"
    )
  ),
  1,
  1
)
"),"")</f>
        <v/>
      </c>
      <c r="P1812" s="105" t="str">
        <f>IF(F1812="Yes", IFERROR(VLOOKUP(D1812, Repository!A:F, 6, 0), ""), "")</f>
        <v/>
      </c>
      <c r="Q1812" s="105" t="str">
        <f>IF(F1812="Yes", IFERROR(VLOOKUP(D1812, Repository!A:I, 8, 0), ""), "")</f>
        <v/>
      </c>
      <c r="R1812" s="105" t="str">
        <f>IF(F1812="Yes", IFERROR(VLOOKUP(D1812, Repository!A:J, 9, 0), ""), "")</f>
        <v/>
      </c>
      <c r="S1812" s="105"/>
      <c r="T1812" s="105"/>
      <c r="U1812" s="105"/>
      <c r="V1812" s="105"/>
      <c r="W1812" s="105"/>
      <c r="X1812" s="105"/>
      <c r="Y1812" s="105"/>
      <c r="Z1812" s="105"/>
      <c r="AA1812" s="105"/>
      <c r="AB1812" s="105"/>
      <c r="AC1812" s="91"/>
      <c r="AD1812" s="105"/>
      <c r="AE1812" s="105"/>
      <c r="AF1812" s="91"/>
      <c r="AG1812" s="105"/>
      <c r="AH1812" s="105"/>
      <c r="AI1812" s="105" t="str">
        <f t="shared" si="1"/>
        <v/>
      </c>
      <c r="AJ1812" s="108" t="str">
        <f t="shared" si="2"/>
        <v/>
      </c>
    </row>
    <row r="1813" ht="15.75" customHeight="1">
      <c r="A1813" s="104"/>
      <c r="B1813" s="105" t="str">
        <f>IFERROR(__xludf.DUMMYFUNCTION("ARRAY_CONSTRAIN(
  ARRAYFORMULA(
    IF(
      'Final Report'!A1813="""",
      """",
      TEXTJOIN(
        "", "" &amp; CHAR(10),
        TRUE,
        IFERROR(
          VLOOKUP(
            TRIM(
              SPLIT('Final Report'!A1813, "","")
         "&amp;"   ),
            'URL Details'!A:B,
            2,
            FALSE
          ),
          """"
        )
      )
    )
  ),
  1,
  1
)
"),"")</f>
        <v/>
      </c>
      <c r="C1813" s="105" t="str">
        <f>IFERROR(__xludf.DUMMYFUNCTION("IFERROR(IF('Final Report'!A1813="""","""", TEXTJOIN(CHAR(10), TRUE, ARRAYFORMULA( ""• ""&amp; FILTER( TRIM(FLATTEN(SPLIT( REGEXREPLACE( SUBSTITUTE(TEXTJOIN("","", TRUE, IFERROR(ARRAYFORMULA(VLOOKUP(TRIM(SPLIT('Final Report'!A1813, "","")), 'URL Details'!A:D, "&amp;"4, FALSE)),"""") ), CHAR(10), "",""), ""\s*,\s*"", "",""), "",""))), TRIM(FLATTEN(SPLIT( REGEXREPLACE( SUBSTITUTE(TEXTJOIN("","", TRUE, IFERROR(ARRAYFORMULA(VLOOKUP(TRIM(SPLIT('Final Report'!A1813, "","")), 'URL Details'!A:D, 4, FALSE)),"""") ), CHAR(10),"&amp;" "",""), ""\s*,\s*"", "",""), "","")))&lt;&gt;"""" ) ) ) ),"""")
"),"")</f>
        <v/>
      </c>
      <c r="D1813" s="105"/>
      <c r="E1813" s="105"/>
      <c r="F1813" s="110" t="b">
        <v>0</v>
      </c>
      <c r="G1813" s="105" t="str">
        <f>IF(F1813=True, IFERROR(VLOOKUP(D1813, Repository!A:B, 2, 0), ""), "")</f>
        <v/>
      </c>
      <c r="H1813" s="105"/>
      <c r="I1813" s="105"/>
      <c r="J1813" s="105" t="str">
        <f>IF(F1813=True, IFERROR(VLOOKUP(D1813, Repository!A:C, 3, 0), ""), "")</f>
        <v/>
      </c>
      <c r="K1813" s="105"/>
      <c r="L1813" s="105" t="str">
        <f>IF(F1813=True, IFERROR(VLOOKUP(D1813, Repository!A:E, 5, 0), ""), "")</f>
        <v/>
      </c>
      <c r="M1813" s="105"/>
      <c r="N1813" s="105" t="str">
        <f>IF(F1813=True, IFERROR(VLOOKUP(D1813, Repository!A:G, 7, 0), ""), "")</f>
        <v/>
      </c>
      <c r="O1813" s="105" t="str">
        <f>IFERROR(__xludf.DUMMYFUNCTION("ARRAY_CONSTRAIN(
  ARRAYFORMULA(
    IFERROR(
      LET(
        list, N1813,
        arr, TRIM(SPLIT(list, "","")),
        names, XLOOKUP(
          arr,
          'Conformance Score'!A:A,
          'Conformance Score'!B:B,
          ""Not found""
     "&amp;"   ),
        TEXTJOIN("", "", TRUE, names)
      ),
      """"
    )
  ),
  1,
  1
)
"),"")</f>
        <v/>
      </c>
      <c r="P1813" s="105" t="str">
        <f>IF(F1813="Yes", IFERROR(VLOOKUP(D1813, Repository!A:F, 6, 0), ""), "")</f>
        <v/>
      </c>
      <c r="Q1813" s="105" t="str">
        <f>IF(F1813="Yes", IFERROR(VLOOKUP(D1813, Repository!A:I, 8, 0), ""), "")</f>
        <v/>
      </c>
      <c r="R1813" s="105" t="str">
        <f>IF(F1813="Yes", IFERROR(VLOOKUP(D1813, Repository!A:J, 9, 0), ""), "")</f>
        <v/>
      </c>
      <c r="S1813" s="105"/>
      <c r="T1813" s="105"/>
      <c r="U1813" s="105"/>
      <c r="V1813" s="105"/>
      <c r="W1813" s="105"/>
      <c r="X1813" s="105"/>
      <c r="Y1813" s="105"/>
      <c r="Z1813" s="105"/>
      <c r="AA1813" s="105"/>
      <c r="AB1813" s="105"/>
      <c r="AC1813" s="91"/>
      <c r="AD1813" s="105"/>
      <c r="AE1813" s="105"/>
      <c r="AF1813" s="91"/>
      <c r="AG1813" s="105"/>
      <c r="AH1813" s="105"/>
      <c r="AI1813" s="105" t="str">
        <f t="shared" si="1"/>
        <v/>
      </c>
      <c r="AJ1813" s="108" t="str">
        <f t="shared" si="2"/>
        <v/>
      </c>
    </row>
    <row r="1814" ht="15.75" customHeight="1">
      <c r="A1814" s="104"/>
      <c r="B1814" s="105" t="str">
        <f>IFERROR(__xludf.DUMMYFUNCTION("ARRAY_CONSTRAIN(
  ARRAYFORMULA(
    IF(
      'Final Report'!A1814="""",
      """",
      TEXTJOIN(
        "", "" &amp; CHAR(10),
        TRUE,
        IFERROR(
          VLOOKUP(
            TRIM(
              SPLIT('Final Report'!A1814, "","")
         "&amp;"   ),
            'URL Details'!A:B,
            2,
            FALSE
          ),
          """"
        )
      )
    )
  ),
  1,
  1
)
"),"")</f>
        <v/>
      </c>
      <c r="C1814" s="105" t="str">
        <f>IFERROR(__xludf.DUMMYFUNCTION("IFERROR(IF('Final Report'!A1814="""","""", TEXTJOIN(CHAR(10), TRUE, ARRAYFORMULA( ""• ""&amp; FILTER( TRIM(FLATTEN(SPLIT( REGEXREPLACE( SUBSTITUTE(TEXTJOIN("","", TRUE, IFERROR(ARRAYFORMULA(VLOOKUP(TRIM(SPLIT('Final Report'!A1814, "","")), 'URL Details'!A:D, "&amp;"4, FALSE)),"""") ), CHAR(10), "",""), ""\s*,\s*"", "",""), "",""))), TRIM(FLATTEN(SPLIT( REGEXREPLACE( SUBSTITUTE(TEXTJOIN("","", TRUE, IFERROR(ARRAYFORMULA(VLOOKUP(TRIM(SPLIT('Final Report'!A1814, "","")), 'URL Details'!A:D, 4, FALSE)),"""") ), CHAR(10),"&amp;" "",""), ""\s*,\s*"", "",""), "","")))&lt;&gt;"""" ) ) ) ),"""")
"),"")</f>
        <v/>
      </c>
      <c r="D1814" s="105"/>
      <c r="E1814" s="105"/>
      <c r="F1814" s="110" t="b">
        <v>0</v>
      </c>
      <c r="G1814" s="105" t="str">
        <f>IF(F1814=True, IFERROR(VLOOKUP(D1814, Repository!A:B, 2, 0), ""), "")</f>
        <v/>
      </c>
      <c r="H1814" s="105"/>
      <c r="I1814" s="105"/>
      <c r="J1814" s="105" t="str">
        <f>IF(F1814=True, IFERROR(VLOOKUP(D1814, Repository!A:C, 3, 0), ""), "")</f>
        <v/>
      </c>
      <c r="K1814" s="105"/>
      <c r="L1814" s="105" t="str">
        <f>IF(F1814=True, IFERROR(VLOOKUP(D1814, Repository!A:E, 5, 0), ""), "")</f>
        <v/>
      </c>
      <c r="M1814" s="105"/>
      <c r="N1814" s="105" t="str">
        <f>IF(F1814=True, IFERROR(VLOOKUP(D1814, Repository!A:G, 7, 0), ""), "")</f>
        <v/>
      </c>
      <c r="O1814" s="105" t="str">
        <f>IFERROR(__xludf.DUMMYFUNCTION("ARRAY_CONSTRAIN(
  ARRAYFORMULA(
    IFERROR(
      LET(
        list, N1814,
        arr, TRIM(SPLIT(list, "","")),
        names, XLOOKUP(
          arr,
          'Conformance Score'!A:A,
          'Conformance Score'!B:B,
          ""Not found""
     "&amp;"   ),
        TEXTJOIN("", "", TRUE, names)
      ),
      """"
    )
  ),
  1,
  1
)
"),"")</f>
        <v/>
      </c>
      <c r="P1814" s="105" t="str">
        <f>IF(F1814="Yes", IFERROR(VLOOKUP(D1814, Repository!A:F, 6, 0), ""), "")</f>
        <v/>
      </c>
      <c r="Q1814" s="105" t="str">
        <f>IF(F1814="Yes", IFERROR(VLOOKUP(D1814, Repository!A:I, 8, 0), ""), "")</f>
        <v/>
      </c>
      <c r="R1814" s="105" t="str">
        <f>IF(F1814="Yes", IFERROR(VLOOKUP(D1814, Repository!A:J, 9, 0), ""), "")</f>
        <v/>
      </c>
      <c r="S1814" s="105"/>
      <c r="T1814" s="105"/>
      <c r="U1814" s="105"/>
      <c r="V1814" s="105"/>
      <c r="W1814" s="105"/>
      <c r="X1814" s="105"/>
      <c r="Y1814" s="105"/>
      <c r="Z1814" s="105"/>
      <c r="AA1814" s="105"/>
      <c r="AB1814" s="105"/>
      <c r="AC1814" s="91"/>
      <c r="AD1814" s="105"/>
      <c r="AE1814" s="105"/>
      <c r="AF1814" s="91"/>
      <c r="AG1814" s="105"/>
      <c r="AH1814" s="105"/>
      <c r="AI1814" s="105" t="str">
        <f t="shared" si="1"/>
        <v/>
      </c>
      <c r="AJ1814" s="108" t="str">
        <f t="shared" si="2"/>
        <v/>
      </c>
    </row>
    <row r="1815" ht="15.75" customHeight="1">
      <c r="A1815" s="104"/>
      <c r="B1815" s="105" t="str">
        <f>IFERROR(__xludf.DUMMYFUNCTION("ARRAY_CONSTRAIN(
  ARRAYFORMULA(
    IF(
      'Final Report'!A1815="""",
      """",
      TEXTJOIN(
        "", "" &amp; CHAR(10),
        TRUE,
        IFERROR(
          VLOOKUP(
            TRIM(
              SPLIT('Final Report'!A1815, "","")
         "&amp;"   ),
            'URL Details'!A:B,
            2,
            FALSE
          ),
          """"
        )
      )
    )
  ),
  1,
  1
)
"),"")</f>
        <v/>
      </c>
      <c r="C1815" s="105" t="str">
        <f>IFERROR(__xludf.DUMMYFUNCTION("IFERROR(IF('Final Report'!A1815="""","""", TEXTJOIN(CHAR(10), TRUE, ARRAYFORMULA( ""• ""&amp; FILTER( TRIM(FLATTEN(SPLIT( REGEXREPLACE( SUBSTITUTE(TEXTJOIN("","", TRUE, IFERROR(ARRAYFORMULA(VLOOKUP(TRIM(SPLIT('Final Report'!A1815, "","")), 'URL Details'!A:D, "&amp;"4, FALSE)),"""") ), CHAR(10), "",""), ""\s*,\s*"", "",""), "",""))), TRIM(FLATTEN(SPLIT( REGEXREPLACE( SUBSTITUTE(TEXTJOIN("","", TRUE, IFERROR(ARRAYFORMULA(VLOOKUP(TRIM(SPLIT('Final Report'!A1815, "","")), 'URL Details'!A:D, 4, FALSE)),"""") ), CHAR(10),"&amp;" "",""), ""\s*,\s*"", "",""), "","")))&lt;&gt;"""" ) ) ) ),"""")
"),"")</f>
        <v/>
      </c>
      <c r="D1815" s="105"/>
      <c r="E1815" s="105"/>
      <c r="F1815" s="110" t="b">
        <v>0</v>
      </c>
      <c r="G1815" s="105" t="str">
        <f>IF(F1815=True, IFERROR(VLOOKUP(D1815, Repository!A:B, 2, 0), ""), "")</f>
        <v/>
      </c>
      <c r="H1815" s="105"/>
      <c r="I1815" s="105"/>
      <c r="J1815" s="105" t="str">
        <f>IF(F1815=True, IFERROR(VLOOKUP(D1815, Repository!A:C, 3, 0), ""), "")</f>
        <v/>
      </c>
      <c r="K1815" s="105"/>
      <c r="L1815" s="105" t="str">
        <f>IF(F1815=True, IFERROR(VLOOKUP(D1815, Repository!A:E, 5, 0), ""), "")</f>
        <v/>
      </c>
      <c r="M1815" s="105"/>
      <c r="N1815" s="105" t="str">
        <f>IF(F1815=True, IFERROR(VLOOKUP(D1815, Repository!A:G, 7, 0), ""), "")</f>
        <v/>
      </c>
      <c r="O1815" s="105" t="str">
        <f>IFERROR(__xludf.DUMMYFUNCTION("ARRAY_CONSTRAIN(
  ARRAYFORMULA(
    IFERROR(
      LET(
        list, N1815,
        arr, TRIM(SPLIT(list, "","")),
        names, XLOOKUP(
          arr,
          'Conformance Score'!A:A,
          'Conformance Score'!B:B,
          ""Not found""
     "&amp;"   ),
        TEXTJOIN("", "", TRUE, names)
      ),
      """"
    )
  ),
  1,
  1
)
"),"")</f>
        <v/>
      </c>
      <c r="P1815" s="105" t="str">
        <f>IF(F1815="Yes", IFERROR(VLOOKUP(D1815, Repository!A:F, 6, 0), ""), "")</f>
        <v/>
      </c>
      <c r="Q1815" s="105" t="str">
        <f>IF(F1815="Yes", IFERROR(VLOOKUP(D1815, Repository!A:I, 8, 0), ""), "")</f>
        <v/>
      </c>
      <c r="R1815" s="105" t="str">
        <f>IF(F1815="Yes", IFERROR(VLOOKUP(D1815, Repository!A:J, 9, 0), ""), "")</f>
        <v/>
      </c>
      <c r="S1815" s="105"/>
      <c r="T1815" s="105"/>
      <c r="U1815" s="105"/>
      <c r="V1815" s="105"/>
      <c r="W1815" s="105"/>
      <c r="X1815" s="105"/>
      <c r="Y1815" s="105"/>
      <c r="Z1815" s="105"/>
      <c r="AA1815" s="105"/>
      <c r="AB1815" s="105"/>
      <c r="AC1815" s="91"/>
      <c r="AD1815" s="105"/>
      <c r="AE1815" s="105"/>
      <c r="AF1815" s="91"/>
      <c r="AG1815" s="105"/>
      <c r="AH1815" s="105"/>
      <c r="AI1815" s="105" t="str">
        <f t="shared" si="1"/>
        <v/>
      </c>
      <c r="AJ1815" s="108" t="str">
        <f t="shared" si="2"/>
        <v/>
      </c>
    </row>
    <row r="1816" ht="15.75" customHeight="1">
      <c r="A1816" s="104"/>
      <c r="B1816" s="105" t="str">
        <f>IFERROR(__xludf.DUMMYFUNCTION("ARRAY_CONSTRAIN(
  ARRAYFORMULA(
    IF(
      'Final Report'!A1816="""",
      """",
      TEXTJOIN(
        "", "" &amp; CHAR(10),
        TRUE,
        IFERROR(
          VLOOKUP(
            TRIM(
              SPLIT('Final Report'!A1816, "","")
         "&amp;"   ),
            'URL Details'!A:B,
            2,
            FALSE
          ),
          """"
        )
      )
    )
  ),
  1,
  1
)
"),"")</f>
        <v/>
      </c>
      <c r="C1816" s="105" t="str">
        <f>IFERROR(__xludf.DUMMYFUNCTION("IFERROR(IF('Final Report'!A1816="""","""", TEXTJOIN(CHAR(10), TRUE, ARRAYFORMULA( ""• ""&amp; FILTER( TRIM(FLATTEN(SPLIT( REGEXREPLACE( SUBSTITUTE(TEXTJOIN("","", TRUE, IFERROR(ARRAYFORMULA(VLOOKUP(TRIM(SPLIT('Final Report'!A1816, "","")), 'URL Details'!A:D, "&amp;"4, FALSE)),"""") ), CHAR(10), "",""), ""\s*,\s*"", "",""), "",""))), TRIM(FLATTEN(SPLIT( REGEXREPLACE( SUBSTITUTE(TEXTJOIN("","", TRUE, IFERROR(ARRAYFORMULA(VLOOKUP(TRIM(SPLIT('Final Report'!A1816, "","")), 'URL Details'!A:D, 4, FALSE)),"""") ), CHAR(10),"&amp;" "",""), ""\s*,\s*"", "",""), "","")))&lt;&gt;"""" ) ) ) ),"""")
"),"")</f>
        <v/>
      </c>
      <c r="D1816" s="105"/>
      <c r="E1816" s="105"/>
      <c r="F1816" s="110" t="b">
        <v>0</v>
      </c>
      <c r="G1816" s="105" t="str">
        <f>IF(F1816=True, IFERROR(VLOOKUP(D1816, Repository!A:B, 2, 0), ""), "")</f>
        <v/>
      </c>
      <c r="H1816" s="105"/>
      <c r="I1816" s="105"/>
      <c r="J1816" s="105" t="str">
        <f>IF(F1816=True, IFERROR(VLOOKUP(D1816, Repository!A:C, 3, 0), ""), "")</f>
        <v/>
      </c>
      <c r="K1816" s="105"/>
      <c r="L1816" s="105" t="str">
        <f>IF(F1816=True, IFERROR(VLOOKUP(D1816, Repository!A:E, 5, 0), ""), "")</f>
        <v/>
      </c>
      <c r="M1816" s="105"/>
      <c r="N1816" s="105" t="str">
        <f>IF(F1816=True, IFERROR(VLOOKUP(D1816, Repository!A:G, 7, 0), ""), "")</f>
        <v/>
      </c>
      <c r="O1816" s="105" t="str">
        <f>IFERROR(__xludf.DUMMYFUNCTION("ARRAY_CONSTRAIN(
  ARRAYFORMULA(
    IFERROR(
      LET(
        list, N1816,
        arr, TRIM(SPLIT(list, "","")),
        names, XLOOKUP(
          arr,
          'Conformance Score'!A:A,
          'Conformance Score'!B:B,
          ""Not found""
     "&amp;"   ),
        TEXTJOIN("", "", TRUE, names)
      ),
      """"
    )
  ),
  1,
  1
)
"),"")</f>
        <v/>
      </c>
      <c r="P1816" s="105" t="str">
        <f>IF(F1816="Yes", IFERROR(VLOOKUP(D1816, Repository!A:F, 6, 0), ""), "")</f>
        <v/>
      </c>
      <c r="Q1816" s="105" t="str">
        <f>IF(F1816="Yes", IFERROR(VLOOKUP(D1816, Repository!A:I, 8, 0), ""), "")</f>
        <v/>
      </c>
      <c r="R1816" s="105" t="str">
        <f>IF(F1816="Yes", IFERROR(VLOOKUP(D1816, Repository!A:J, 9, 0), ""), "")</f>
        <v/>
      </c>
      <c r="S1816" s="105"/>
      <c r="T1816" s="105"/>
      <c r="U1816" s="105"/>
      <c r="V1816" s="105"/>
      <c r="W1816" s="105"/>
      <c r="X1816" s="105"/>
      <c r="Y1816" s="105"/>
      <c r="Z1816" s="105"/>
      <c r="AA1816" s="105"/>
      <c r="AB1816" s="105"/>
      <c r="AC1816" s="91"/>
      <c r="AD1816" s="105"/>
      <c r="AE1816" s="105"/>
      <c r="AF1816" s="91"/>
      <c r="AG1816" s="105"/>
      <c r="AH1816" s="105"/>
      <c r="AI1816" s="105" t="str">
        <f t="shared" si="1"/>
        <v/>
      </c>
      <c r="AJ1816" s="108" t="str">
        <f t="shared" si="2"/>
        <v/>
      </c>
    </row>
    <row r="1817" ht="15.75" customHeight="1">
      <c r="A1817" s="104"/>
      <c r="B1817" s="105" t="str">
        <f>IFERROR(__xludf.DUMMYFUNCTION("ARRAY_CONSTRAIN(
  ARRAYFORMULA(
    IF(
      'Final Report'!A1817="""",
      """",
      TEXTJOIN(
        "", "" &amp; CHAR(10),
        TRUE,
        IFERROR(
          VLOOKUP(
            TRIM(
              SPLIT('Final Report'!A1817, "","")
         "&amp;"   ),
            'URL Details'!A:B,
            2,
            FALSE
          ),
          """"
        )
      )
    )
  ),
  1,
  1
)
"),"")</f>
        <v/>
      </c>
      <c r="C1817" s="105" t="str">
        <f>IFERROR(__xludf.DUMMYFUNCTION("IFERROR(IF('Final Report'!A1817="""","""", TEXTJOIN(CHAR(10), TRUE, ARRAYFORMULA( ""• ""&amp; FILTER( TRIM(FLATTEN(SPLIT( REGEXREPLACE( SUBSTITUTE(TEXTJOIN("","", TRUE, IFERROR(ARRAYFORMULA(VLOOKUP(TRIM(SPLIT('Final Report'!A1817, "","")), 'URL Details'!A:D, "&amp;"4, FALSE)),"""") ), CHAR(10), "",""), ""\s*,\s*"", "",""), "",""))), TRIM(FLATTEN(SPLIT( REGEXREPLACE( SUBSTITUTE(TEXTJOIN("","", TRUE, IFERROR(ARRAYFORMULA(VLOOKUP(TRIM(SPLIT('Final Report'!A1817, "","")), 'URL Details'!A:D, 4, FALSE)),"""") ), CHAR(10),"&amp;" "",""), ""\s*,\s*"", "",""), "","")))&lt;&gt;"""" ) ) ) ),"""")
"),"")</f>
        <v/>
      </c>
      <c r="D1817" s="105"/>
      <c r="E1817" s="105"/>
      <c r="F1817" s="110" t="b">
        <v>0</v>
      </c>
      <c r="G1817" s="105" t="str">
        <f>IF(F1817=True, IFERROR(VLOOKUP(D1817, Repository!A:B, 2, 0), ""), "")</f>
        <v/>
      </c>
      <c r="H1817" s="105"/>
      <c r="I1817" s="105"/>
      <c r="J1817" s="105" t="str">
        <f>IF(F1817=True, IFERROR(VLOOKUP(D1817, Repository!A:C, 3, 0), ""), "")</f>
        <v/>
      </c>
      <c r="K1817" s="105"/>
      <c r="L1817" s="105" t="str">
        <f>IF(F1817=True, IFERROR(VLOOKUP(D1817, Repository!A:E, 5, 0), ""), "")</f>
        <v/>
      </c>
      <c r="M1817" s="105"/>
      <c r="N1817" s="105" t="str">
        <f>IF(F1817=True, IFERROR(VLOOKUP(D1817, Repository!A:G, 7, 0), ""), "")</f>
        <v/>
      </c>
      <c r="O1817" s="105" t="str">
        <f>IFERROR(__xludf.DUMMYFUNCTION("ARRAY_CONSTRAIN(
  ARRAYFORMULA(
    IFERROR(
      LET(
        list, N1817,
        arr, TRIM(SPLIT(list, "","")),
        names, XLOOKUP(
          arr,
          'Conformance Score'!A:A,
          'Conformance Score'!B:B,
          ""Not found""
     "&amp;"   ),
        TEXTJOIN("", "", TRUE, names)
      ),
      """"
    )
  ),
  1,
  1
)
"),"")</f>
        <v/>
      </c>
      <c r="P1817" s="105" t="str">
        <f>IF(F1817="Yes", IFERROR(VLOOKUP(D1817, Repository!A:F, 6, 0), ""), "")</f>
        <v/>
      </c>
      <c r="Q1817" s="105" t="str">
        <f>IF(F1817="Yes", IFERROR(VLOOKUP(D1817, Repository!A:I, 8, 0), ""), "")</f>
        <v/>
      </c>
      <c r="R1817" s="105" t="str">
        <f>IF(F1817="Yes", IFERROR(VLOOKUP(D1817, Repository!A:J, 9, 0), ""), "")</f>
        <v/>
      </c>
      <c r="S1817" s="105"/>
      <c r="T1817" s="105"/>
      <c r="U1817" s="105"/>
      <c r="V1817" s="105"/>
      <c r="W1817" s="105"/>
      <c r="X1817" s="105"/>
      <c r="Y1817" s="105"/>
      <c r="Z1817" s="105"/>
      <c r="AA1817" s="105"/>
      <c r="AB1817" s="105"/>
      <c r="AC1817" s="91"/>
      <c r="AD1817" s="105"/>
      <c r="AE1817" s="105"/>
      <c r="AF1817" s="91"/>
      <c r="AG1817" s="105"/>
      <c r="AH1817" s="105"/>
      <c r="AI1817" s="105" t="str">
        <f t="shared" si="1"/>
        <v/>
      </c>
      <c r="AJ1817" s="108" t="str">
        <f t="shared" si="2"/>
        <v/>
      </c>
    </row>
    <row r="1818" ht="15.75" customHeight="1">
      <c r="A1818" s="104"/>
      <c r="B1818" s="105" t="str">
        <f>IFERROR(__xludf.DUMMYFUNCTION("ARRAY_CONSTRAIN(
  ARRAYFORMULA(
    IF(
      'Final Report'!A1818="""",
      """",
      TEXTJOIN(
        "", "" &amp; CHAR(10),
        TRUE,
        IFERROR(
          VLOOKUP(
            TRIM(
              SPLIT('Final Report'!A1818, "","")
         "&amp;"   ),
            'URL Details'!A:B,
            2,
            FALSE
          ),
          """"
        )
      )
    )
  ),
  1,
  1
)
"),"")</f>
        <v/>
      </c>
      <c r="C1818" s="105" t="str">
        <f>IFERROR(__xludf.DUMMYFUNCTION("IFERROR(IF('Final Report'!A1818="""","""", TEXTJOIN(CHAR(10), TRUE, ARRAYFORMULA( ""• ""&amp; FILTER( TRIM(FLATTEN(SPLIT( REGEXREPLACE( SUBSTITUTE(TEXTJOIN("","", TRUE, IFERROR(ARRAYFORMULA(VLOOKUP(TRIM(SPLIT('Final Report'!A1818, "","")), 'URL Details'!A:D, "&amp;"4, FALSE)),"""") ), CHAR(10), "",""), ""\s*,\s*"", "",""), "",""))), TRIM(FLATTEN(SPLIT( REGEXREPLACE( SUBSTITUTE(TEXTJOIN("","", TRUE, IFERROR(ARRAYFORMULA(VLOOKUP(TRIM(SPLIT('Final Report'!A1818, "","")), 'URL Details'!A:D, 4, FALSE)),"""") ), CHAR(10),"&amp;" "",""), ""\s*,\s*"", "",""), "","")))&lt;&gt;"""" ) ) ) ),"""")
"),"")</f>
        <v/>
      </c>
      <c r="D1818" s="105"/>
      <c r="E1818" s="105"/>
      <c r="F1818" s="110" t="b">
        <v>0</v>
      </c>
      <c r="G1818" s="105" t="str">
        <f>IF(F1818=True, IFERROR(VLOOKUP(D1818, Repository!A:B, 2, 0), ""), "")</f>
        <v/>
      </c>
      <c r="H1818" s="105"/>
      <c r="I1818" s="105"/>
      <c r="J1818" s="105" t="str">
        <f>IF(F1818=True, IFERROR(VLOOKUP(D1818, Repository!A:C, 3, 0), ""), "")</f>
        <v/>
      </c>
      <c r="K1818" s="105"/>
      <c r="L1818" s="105" t="str">
        <f>IF(F1818=True, IFERROR(VLOOKUP(D1818, Repository!A:E, 5, 0), ""), "")</f>
        <v/>
      </c>
      <c r="M1818" s="105"/>
      <c r="N1818" s="105" t="str">
        <f>IF(F1818=True, IFERROR(VLOOKUP(D1818, Repository!A:G, 7, 0), ""), "")</f>
        <v/>
      </c>
      <c r="O1818" s="105" t="str">
        <f>IFERROR(__xludf.DUMMYFUNCTION("ARRAY_CONSTRAIN(
  ARRAYFORMULA(
    IFERROR(
      LET(
        list, N1818,
        arr, TRIM(SPLIT(list, "","")),
        names, XLOOKUP(
          arr,
          'Conformance Score'!A:A,
          'Conformance Score'!B:B,
          ""Not found""
     "&amp;"   ),
        TEXTJOIN("", "", TRUE, names)
      ),
      """"
    )
  ),
  1,
  1
)
"),"")</f>
        <v/>
      </c>
      <c r="P1818" s="105" t="str">
        <f>IF(F1818="Yes", IFERROR(VLOOKUP(D1818, Repository!A:F, 6, 0), ""), "")</f>
        <v/>
      </c>
      <c r="Q1818" s="105" t="str">
        <f>IF(F1818="Yes", IFERROR(VLOOKUP(D1818, Repository!A:I, 8, 0), ""), "")</f>
        <v/>
      </c>
      <c r="R1818" s="105" t="str">
        <f>IF(F1818="Yes", IFERROR(VLOOKUP(D1818, Repository!A:J, 9, 0), ""), "")</f>
        <v/>
      </c>
      <c r="S1818" s="105"/>
      <c r="T1818" s="105"/>
      <c r="U1818" s="105"/>
      <c r="V1818" s="105"/>
      <c r="W1818" s="105"/>
      <c r="X1818" s="105"/>
      <c r="Y1818" s="105"/>
      <c r="Z1818" s="105"/>
      <c r="AA1818" s="105"/>
      <c r="AB1818" s="105"/>
      <c r="AC1818" s="91"/>
      <c r="AD1818" s="105"/>
      <c r="AE1818" s="105"/>
      <c r="AF1818" s="91"/>
      <c r="AG1818" s="105"/>
      <c r="AH1818" s="105"/>
      <c r="AI1818" s="105" t="str">
        <f t="shared" si="1"/>
        <v/>
      </c>
      <c r="AJ1818" s="108" t="str">
        <f t="shared" si="2"/>
        <v/>
      </c>
    </row>
    <row r="1819" ht="15.75" customHeight="1">
      <c r="A1819" s="104"/>
      <c r="B1819" s="105" t="str">
        <f>IFERROR(__xludf.DUMMYFUNCTION("ARRAY_CONSTRAIN(
  ARRAYFORMULA(
    IF(
      'Final Report'!A1819="""",
      """",
      TEXTJOIN(
        "", "" &amp; CHAR(10),
        TRUE,
        IFERROR(
          VLOOKUP(
            TRIM(
              SPLIT('Final Report'!A1819, "","")
         "&amp;"   ),
            'URL Details'!A:B,
            2,
            FALSE
          ),
          """"
        )
      )
    )
  ),
  1,
  1
)
"),"")</f>
        <v/>
      </c>
      <c r="C1819" s="105" t="str">
        <f>IFERROR(__xludf.DUMMYFUNCTION("IFERROR(IF('Final Report'!A1819="""","""", TEXTJOIN(CHAR(10), TRUE, ARRAYFORMULA( ""• ""&amp; FILTER( TRIM(FLATTEN(SPLIT( REGEXREPLACE( SUBSTITUTE(TEXTJOIN("","", TRUE, IFERROR(ARRAYFORMULA(VLOOKUP(TRIM(SPLIT('Final Report'!A1819, "","")), 'URL Details'!A:D, "&amp;"4, FALSE)),"""") ), CHAR(10), "",""), ""\s*,\s*"", "",""), "",""))), TRIM(FLATTEN(SPLIT( REGEXREPLACE( SUBSTITUTE(TEXTJOIN("","", TRUE, IFERROR(ARRAYFORMULA(VLOOKUP(TRIM(SPLIT('Final Report'!A1819, "","")), 'URL Details'!A:D, 4, FALSE)),"""") ), CHAR(10),"&amp;" "",""), ""\s*,\s*"", "",""), "","")))&lt;&gt;"""" ) ) ) ),"""")
"),"")</f>
        <v/>
      </c>
      <c r="D1819" s="105"/>
      <c r="E1819" s="105"/>
      <c r="F1819" s="110" t="b">
        <v>0</v>
      </c>
      <c r="G1819" s="105" t="str">
        <f>IF(F1819=True, IFERROR(VLOOKUP(D1819, Repository!A:B, 2, 0), ""), "")</f>
        <v/>
      </c>
      <c r="H1819" s="105"/>
      <c r="I1819" s="105"/>
      <c r="J1819" s="105" t="str">
        <f>IF(F1819=True, IFERROR(VLOOKUP(D1819, Repository!A:C, 3, 0), ""), "")</f>
        <v/>
      </c>
      <c r="K1819" s="105"/>
      <c r="L1819" s="105" t="str">
        <f>IF(F1819=True, IFERROR(VLOOKUP(D1819, Repository!A:E, 5, 0), ""), "")</f>
        <v/>
      </c>
      <c r="M1819" s="105"/>
      <c r="N1819" s="105" t="str">
        <f>IF(F1819=True, IFERROR(VLOOKUP(D1819, Repository!A:G, 7, 0), ""), "")</f>
        <v/>
      </c>
      <c r="O1819" s="105" t="str">
        <f>IFERROR(__xludf.DUMMYFUNCTION("ARRAY_CONSTRAIN(
  ARRAYFORMULA(
    IFERROR(
      LET(
        list, N1819,
        arr, TRIM(SPLIT(list, "","")),
        names, XLOOKUP(
          arr,
          'Conformance Score'!A:A,
          'Conformance Score'!B:B,
          ""Not found""
     "&amp;"   ),
        TEXTJOIN("", "", TRUE, names)
      ),
      """"
    )
  ),
  1,
  1
)
"),"")</f>
        <v/>
      </c>
      <c r="P1819" s="105" t="str">
        <f>IF(F1819="Yes", IFERROR(VLOOKUP(D1819, Repository!A:F, 6, 0), ""), "")</f>
        <v/>
      </c>
      <c r="Q1819" s="105" t="str">
        <f>IF(F1819="Yes", IFERROR(VLOOKUP(D1819, Repository!A:I, 8, 0), ""), "")</f>
        <v/>
      </c>
      <c r="R1819" s="105" t="str">
        <f>IF(F1819="Yes", IFERROR(VLOOKUP(D1819, Repository!A:J, 9, 0), ""), "")</f>
        <v/>
      </c>
      <c r="S1819" s="105"/>
      <c r="T1819" s="105"/>
      <c r="U1819" s="105"/>
      <c r="V1819" s="105"/>
      <c r="W1819" s="105"/>
      <c r="X1819" s="105"/>
      <c r="Y1819" s="105"/>
      <c r="Z1819" s="105"/>
      <c r="AA1819" s="105"/>
      <c r="AB1819" s="105"/>
      <c r="AC1819" s="91"/>
      <c r="AD1819" s="105"/>
      <c r="AE1819" s="105"/>
      <c r="AF1819" s="91"/>
      <c r="AG1819" s="105"/>
      <c r="AH1819" s="105"/>
      <c r="AI1819" s="105" t="str">
        <f t="shared" si="1"/>
        <v/>
      </c>
      <c r="AJ1819" s="108" t="str">
        <f t="shared" si="2"/>
        <v/>
      </c>
    </row>
    <row r="1820" ht="15.75" customHeight="1">
      <c r="A1820" s="104"/>
      <c r="B1820" s="105" t="str">
        <f>IFERROR(__xludf.DUMMYFUNCTION("ARRAY_CONSTRAIN(
  ARRAYFORMULA(
    IF(
      'Final Report'!A1820="""",
      """",
      TEXTJOIN(
        "", "" &amp; CHAR(10),
        TRUE,
        IFERROR(
          VLOOKUP(
            TRIM(
              SPLIT('Final Report'!A1820, "","")
         "&amp;"   ),
            'URL Details'!A:B,
            2,
            FALSE
          ),
          """"
        )
      )
    )
  ),
  1,
  1
)
"),"")</f>
        <v/>
      </c>
      <c r="C1820" s="105" t="str">
        <f>IFERROR(__xludf.DUMMYFUNCTION("IFERROR(IF('Final Report'!A1820="""","""", TEXTJOIN(CHAR(10), TRUE, ARRAYFORMULA( ""• ""&amp; FILTER( TRIM(FLATTEN(SPLIT( REGEXREPLACE( SUBSTITUTE(TEXTJOIN("","", TRUE, IFERROR(ARRAYFORMULA(VLOOKUP(TRIM(SPLIT('Final Report'!A1820, "","")), 'URL Details'!A:D, "&amp;"4, FALSE)),"""") ), CHAR(10), "",""), ""\s*,\s*"", "",""), "",""))), TRIM(FLATTEN(SPLIT( REGEXREPLACE( SUBSTITUTE(TEXTJOIN("","", TRUE, IFERROR(ARRAYFORMULA(VLOOKUP(TRIM(SPLIT('Final Report'!A1820, "","")), 'URL Details'!A:D, 4, FALSE)),"""") ), CHAR(10),"&amp;" "",""), ""\s*,\s*"", "",""), "","")))&lt;&gt;"""" ) ) ) ),"""")
"),"")</f>
        <v/>
      </c>
      <c r="D1820" s="105"/>
      <c r="E1820" s="105"/>
      <c r="F1820" s="110" t="b">
        <v>0</v>
      </c>
      <c r="G1820" s="105" t="str">
        <f>IF(F1820=True, IFERROR(VLOOKUP(D1820, Repository!A:B, 2, 0), ""), "")</f>
        <v/>
      </c>
      <c r="H1820" s="105"/>
      <c r="I1820" s="105"/>
      <c r="J1820" s="105" t="str">
        <f>IF(F1820=True, IFERROR(VLOOKUP(D1820, Repository!A:C, 3, 0), ""), "")</f>
        <v/>
      </c>
      <c r="K1820" s="105"/>
      <c r="L1820" s="105" t="str">
        <f>IF(F1820=True, IFERROR(VLOOKUP(D1820, Repository!A:E, 5, 0), ""), "")</f>
        <v/>
      </c>
      <c r="M1820" s="105"/>
      <c r="N1820" s="105" t="str">
        <f>IF(F1820=True, IFERROR(VLOOKUP(D1820, Repository!A:G, 7, 0), ""), "")</f>
        <v/>
      </c>
      <c r="O1820" s="105" t="str">
        <f>IFERROR(__xludf.DUMMYFUNCTION("ARRAY_CONSTRAIN(
  ARRAYFORMULA(
    IFERROR(
      LET(
        list, N1820,
        arr, TRIM(SPLIT(list, "","")),
        names, XLOOKUP(
          arr,
          'Conformance Score'!A:A,
          'Conformance Score'!B:B,
          ""Not found""
     "&amp;"   ),
        TEXTJOIN("", "", TRUE, names)
      ),
      """"
    )
  ),
  1,
  1
)
"),"")</f>
        <v/>
      </c>
      <c r="P1820" s="105" t="str">
        <f>IF(F1820="Yes", IFERROR(VLOOKUP(D1820, Repository!A:F, 6, 0), ""), "")</f>
        <v/>
      </c>
      <c r="Q1820" s="105" t="str">
        <f>IF(F1820="Yes", IFERROR(VLOOKUP(D1820, Repository!A:I, 8, 0), ""), "")</f>
        <v/>
      </c>
      <c r="R1820" s="105" t="str">
        <f>IF(F1820="Yes", IFERROR(VLOOKUP(D1820, Repository!A:J, 9, 0), ""), "")</f>
        <v/>
      </c>
      <c r="S1820" s="105"/>
      <c r="T1820" s="105"/>
      <c r="U1820" s="105"/>
      <c r="V1820" s="105"/>
      <c r="W1820" s="105"/>
      <c r="X1820" s="105"/>
      <c r="Y1820" s="105"/>
      <c r="Z1820" s="105"/>
      <c r="AA1820" s="105"/>
      <c r="AB1820" s="105"/>
      <c r="AC1820" s="91"/>
      <c r="AD1820" s="105"/>
      <c r="AE1820" s="105"/>
      <c r="AF1820" s="91"/>
      <c r="AG1820" s="105"/>
      <c r="AH1820" s="105"/>
      <c r="AI1820" s="105" t="str">
        <f t="shared" si="1"/>
        <v/>
      </c>
      <c r="AJ1820" s="108" t="str">
        <f t="shared" si="2"/>
        <v/>
      </c>
    </row>
    <row r="1821" ht="15.75" customHeight="1">
      <c r="A1821" s="104"/>
      <c r="B1821" s="105" t="str">
        <f>IFERROR(__xludf.DUMMYFUNCTION("ARRAY_CONSTRAIN(
  ARRAYFORMULA(
    IF(
      'Final Report'!A1821="""",
      """",
      TEXTJOIN(
        "", "" &amp; CHAR(10),
        TRUE,
        IFERROR(
          VLOOKUP(
            TRIM(
              SPLIT('Final Report'!A1821, "","")
         "&amp;"   ),
            'URL Details'!A:B,
            2,
            FALSE
          ),
          """"
        )
      )
    )
  ),
  1,
  1
)
"),"")</f>
        <v/>
      </c>
      <c r="C1821" s="105" t="str">
        <f>IFERROR(__xludf.DUMMYFUNCTION("IFERROR(IF('Final Report'!A1821="""","""", TEXTJOIN(CHAR(10), TRUE, ARRAYFORMULA( ""• ""&amp; FILTER( TRIM(FLATTEN(SPLIT( REGEXREPLACE( SUBSTITUTE(TEXTJOIN("","", TRUE, IFERROR(ARRAYFORMULA(VLOOKUP(TRIM(SPLIT('Final Report'!A1821, "","")), 'URL Details'!A:D, "&amp;"4, FALSE)),"""") ), CHAR(10), "",""), ""\s*,\s*"", "",""), "",""))), TRIM(FLATTEN(SPLIT( REGEXREPLACE( SUBSTITUTE(TEXTJOIN("","", TRUE, IFERROR(ARRAYFORMULA(VLOOKUP(TRIM(SPLIT('Final Report'!A1821, "","")), 'URL Details'!A:D, 4, FALSE)),"""") ), CHAR(10),"&amp;" "",""), ""\s*,\s*"", "",""), "","")))&lt;&gt;"""" ) ) ) ),"""")
"),"")</f>
        <v/>
      </c>
      <c r="D1821" s="105"/>
      <c r="E1821" s="105"/>
      <c r="F1821" s="110" t="b">
        <v>0</v>
      </c>
      <c r="G1821" s="105" t="str">
        <f>IF(F1821=True, IFERROR(VLOOKUP(D1821, Repository!A:B, 2, 0), ""), "")</f>
        <v/>
      </c>
      <c r="H1821" s="105"/>
      <c r="I1821" s="105"/>
      <c r="J1821" s="105" t="str">
        <f>IF(F1821=True, IFERROR(VLOOKUP(D1821, Repository!A:C, 3, 0), ""), "")</f>
        <v/>
      </c>
      <c r="K1821" s="105"/>
      <c r="L1821" s="105" t="str">
        <f>IF(F1821=True, IFERROR(VLOOKUP(D1821, Repository!A:E, 5, 0), ""), "")</f>
        <v/>
      </c>
      <c r="M1821" s="105"/>
      <c r="N1821" s="105" t="str">
        <f>IF(F1821=True, IFERROR(VLOOKUP(D1821, Repository!A:G, 7, 0), ""), "")</f>
        <v/>
      </c>
      <c r="O1821" s="105" t="str">
        <f>IFERROR(__xludf.DUMMYFUNCTION("ARRAY_CONSTRAIN(
  ARRAYFORMULA(
    IFERROR(
      LET(
        list, N1821,
        arr, TRIM(SPLIT(list, "","")),
        names, XLOOKUP(
          arr,
          'Conformance Score'!A:A,
          'Conformance Score'!B:B,
          ""Not found""
     "&amp;"   ),
        TEXTJOIN("", "", TRUE, names)
      ),
      """"
    )
  ),
  1,
  1
)
"),"")</f>
        <v/>
      </c>
      <c r="P1821" s="105" t="str">
        <f>IF(F1821="Yes", IFERROR(VLOOKUP(D1821, Repository!A:F, 6, 0), ""), "")</f>
        <v/>
      </c>
      <c r="Q1821" s="105" t="str">
        <f>IF(F1821="Yes", IFERROR(VLOOKUP(D1821, Repository!A:I, 8, 0), ""), "")</f>
        <v/>
      </c>
      <c r="R1821" s="105" t="str">
        <f>IF(F1821="Yes", IFERROR(VLOOKUP(D1821, Repository!A:J, 9, 0), ""), "")</f>
        <v/>
      </c>
      <c r="S1821" s="105"/>
      <c r="T1821" s="105"/>
      <c r="U1821" s="105"/>
      <c r="V1821" s="105"/>
      <c r="W1821" s="105"/>
      <c r="X1821" s="105"/>
      <c r="Y1821" s="105"/>
      <c r="Z1821" s="105"/>
      <c r="AA1821" s="105"/>
      <c r="AB1821" s="105"/>
      <c r="AC1821" s="91"/>
      <c r="AD1821" s="105"/>
      <c r="AE1821" s="105"/>
      <c r="AF1821" s="91"/>
      <c r="AG1821" s="105"/>
      <c r="AH1821" s="105"/>
      <c r="AI1821" s="105" t="str">
        <f t="shared" si="1"/>
        <v/>
      </c>
      <c r="AJ1821" s="108" t="str">
        <f t="shared" si="2"/>
        <v/>
      </c>
    </row>
    <row r="1822" ht="15.75" customHeight="1">
      <c r="A1822" s="104"/>
      <c r="B1822" s="105" t="str">
        <f>IFERROR(__xludf.DUMMYFUNCTION("ARRAY_CONSTRAIN(
  ARRAYFORMULA(
    IF(
      'Final Report'!A1822="""",
      """",
      TEXTJOIN(
        "", "" &amp; CHAR(10),
        TRUE,
        IFERROR(
          VLOOKUP(
            TRIM(
              SPLIT('Final Report'!A1822, "","")
         "&amp;"   ),
            'URL Details'!A:B,
            2,
            FALSE
          ),
          """"
        )
      )
    )
  ),
  1,
  1
)
"),"")</f>
        <v/>
      </c>
      <c r="C1822" s="105" t="str">
        <f>IFERROR(__xludf.DUMMYFUNCTION("IFERROR(IF('Final Report'!A1822="""","""", TEXTJOIN(CHAR(10), TRUE, ARRAYFORMULA( ""• ""&amp; FILTER( TRIM(FLATTEN(SPLIT( REGEXREPLACE( SUBSTITUTE(TEXTJOIN("","", TRUE, IFERROR(ARRAYFORMULA(VLOOKUP(TRIM(SPLIT('Final Report'!A1822, "","")), 'URL Details'!A:D, "&amp;"4, FALSE)),"""") ), CHAR(10), "",""), ""\s*,\s*"", "",""), "",""))), TRIM(FLATTEN(SPLIT( REGEXREPLACE( SUBSTITUTE(TEXTJOIN("","", TRUE, IFERROR(ARRAYFORMULA(VLOOKUP(TRIM(SPLIT('Final Report'!A1822, "","")), 'URL Details'!A:D, 4, FALSE)),"""") ), CHAR(10),"&amp;" "",""), ""\s*,\s*"", "",""), "","")))&lt;&gt;"""" ) ) ) ),"""")
"),"")</f>
        <v/>
      </c>
      <c r="D1822" s="105"/>
      <c r="E1822" s="105"/>
      <c r="F1822" s="110" t="b">
        <v>0</v>
      </c>
      <c r="G1822" s="105" t="str">
        <f>IF(F1822=True, IFERROR(VLOOKUP(D1822, Repository!A:B, 2, 0), ""), "")</f>
        <v/>
      </c>
      <c r="H1822" s="105"/>
      <c r="I1822" s="105"/>
      <c r="J1822" s="105" t="str">
        <f>IF(F1822=True, IFERROR(VLOOKUP(D1822, Repository!A:C, 3, 0), ""), "")</f>
        <v/>
      </c>
      <c r="K1822" s="105"/>
      <c r="L1822" s="105" t="str">
        <f>IF(F1822=True, IFERROR(VLOOKUP(D1822, Repository!A:E, 5, 0), ""), "")</f>
        <v/>
      </c>
      <c r="M1822" s="105"/>
      <c r="N1822" s="105" t="str">
        <f>IF(F1822=True, IFERROR(VLOOKUP(D1822, Repository!A:G, 7, 0), ""), "")</f>
        <v/>
      </c>
      <c r="O1822" s="105" t="str">
        <f>IFERROR(__xludf.DUMMYFUNCTION("ARRAY_CONSTRAIN(
  ARRAYFORMULA(
    IFERROR(
      LET(
        list, N1822,
        arr, TRIM(SPLIT(list, "","")),
        names, XLOOKUP(
          arr,
          'Conformance Score'!A:A,
          'Conformance Score'!B:B,
          ""Not found""
     "&amp;"   ),
        TEXTJOIN("", "", TRUE, names)
      ),
      """"
    )
  ),
  1,
  1
)
"),"")</f>
        <v/>
      </c>
      <c r="P1822" s="105" t="str">
        <f>IF(F1822="Yes", IFERROR(VLOOKUP(D1822, Repository!A:F, 6, 0), ""), "")</f>
        <v/>
      </c>
      <c r="Q1822" s="105" t="str">
        <f>IF(F1822="Yes", IFERROR(VLOOKUP(D1822, Repository!A:I, 8, 0), ""), "")</f>
        <v/>
      </c>
      <c r="R1822" s="105" t="str">
        <f>IF(F1822="Yes", IFERROR(VLOOKUP(D1822, Repository!A:J, 9, 0), ""), "")</f>
        <v/>
      </c>
      <c r="S1822" s="105"/>
      <c r="T1822" s="105"/>
      <c r="U1822" s="105"/>
      <c r="V1822" s="105"/>
      <c r="W1822" s="105"/>
      <c r="X1822" s="105"/>
      <c r="Y1822" s="105"/>
      <c r="Z1822" s="105"/>
      <c r="AA1822" s="105"/>
      <c r="AB1822" s="105"/>
      <c r="AC1822" s="91"/>
      <c r="AD1822" s="105"/>
      <c r="AE1822" s="105"/>
      <c r="AF1822" s="91"/>
      <c r="AG1822" s="105"/>
      <c r="AH1822" s="105"/>
      <c r="AI1822" s="105" t="str">
        <f t="shared" si="1"/>
        <v/>
      </c>
      <c r="AJ1822" s="108" t="str">
        <f t="shared" si="2"/>
        <v/>
      </c>
    </row>
    <row r="1823" ht="15.75" customHeight="1">
      <c r="A1823" s="104"/>
      <c r="B1823" s="105" t="str">
        <f>IFERROR(__xludf.DUMMYFUNCTION("ARRAY_CONSTRAIN(
  ARRAYFORMULA(
    IF(
      'Final Report'!A1823="""",
      """",
      TEXTJOIN(
        "", "" &amp; CHAR(10),
        TRUE,
        IFERROR(
          VLOOKUP(
            TRIM(
              SPLIT('Final Report'!A1823, "","")
         "&amp;"   ),
            'URL Details'!A:B,
            2,
            FALSE
          ),
          """"
        )
      )
    )
  ),
  1,
  1
)
"),"")</f>
        <v/>
      </c>
      <c r="C1823" s="105" t="str">
        <f>IFERROR(__xludf.DUMMYFUNCTION("IFERROR(IF('Final Report'!A1823="""","""", TEXTJOIN(CHAR(10), TRUE, ARRAYFORMULA( ""• ""&amp; FILTER( TRIM(FLATTEN(SPLIT( REGEXREPLACE( SUBSTITUTE(TEXTJOIN("","", TRUE, IFERROR(ARRAYFORMULA(VLOOKUP(TRIM(SPLIT('Final Report'!A1823, "","")), 'URL Details'!A:D, "&amp;"4, FALSE)),"""") ), CHAR(10), "",""), ""\s*,\s*"", "",""), "",""))), TRIM(FLATTEN(SPLIT( REGEXREPLACE( SUBSTITUTE(TEXTJOIN("","", TRUE, IFERROR(ARRAYFORMULA(VLOOKUP(TRIM(SPLIT('Final Report'!A1823, "","")), 'URL Details'!A:D, 4, FALSE)),"""") ), CHAR(10),"&amp;" "",""), ""\s*,\s*"", "",""), "","")))&lt;&gt;"""" ) ) ) ),"""")
"),"")</f>
        <v/>
      </c>
      <c r="D1823" s="105"/>
      <c r="E1823" s="105"/>
      <c r="F1823" s="110" t="b">
        <v>0</v>
      </c>
      <c r="G1823" s="105" t="str">
        <f>IF(F1823=True, IFERROR(VLOOKUP(D1823, Repository!A:B, 2, 0), ""), "")</f>
        <v/>
      </c>
      <c r="H1823" s="105"/>
      <c r="I1823" s="105"/>
      <c r="J1823" s="105" t="str">
        <f>IF(F1823=True, IFERROR(VLOOKUP(D1823, Repository!A:C, 3, 0), ""), "")</f>
        <v/>
      </c>
      <c r="K1823" s="105"/>
      <c r="L1823" s="105" t="str">
        <f>IF(F1823=True, IFERROR(VLOOKUP(D1823, Repository!A:E, 5, 0), ""), "")</f>
        <v/>
      </c>
      <c r="M1823" s="105"/>
      <c r="N1823" s="105" t="str">
        <f>IF(F1823=True, IFERROR(VLOOKUP(D1823, Repository!A:G, 7, 0), ""), "")</f>
        <v/>
      </c>
      <c r="O1823" s="105" t="str">
        <f>IFERROR(__xludf.DUMMYFUNCTION("ARRAY_CONSTRAIN(
  ARRAYFORMULA(
    IFERROR(
      LET(
        list, N1823,
        arr, TRIM(SPLIT(list, "","")),
        names, XLOOKUP(
          arr,
          'Conformance Score'!A:A,
          'Conformance Score'!B:B,
          ""Not found""
     "&amp;"   ),
        TEXTJOIN("", "", TRUE, names)
      ),
      """"
    )
  ),
  1,
  1
)
"),"")</f>
        <v/>
      </c>
      <c r="P1823" s="105" t="str">
        <f>IF(F1823="Yes", IFERROR(VLOOKUP(D1823, Repository!A:F, 6, 0), ""), "")</f>
        <v/>
      </c>
      <c r="Q1823" s="105" t="str">
        <f>IF(F1823="Yes", IFERROR(VLOOKUP(D1823, Repository!A:I, 8, 0), ""), "")</f>
        <v/>
      </c>
      <c r="R1823" s="105" t="str">
        <f>IF(F1823="Yes", IFERROR(VLOOKUP(D1823, Repository!A:J, 9, 0), ""), "")</f>
        <v/>
      </c>
      <c r="S1823" s="105"/>
      <c r="T1823" s="105"/>
      <c r="U1823" s="105"/>
      <c r="V1823" s="105"/>
      <c r="W1823" s="105"/>
      <c r="X1823" s="105"/>
      <c r="Y1823" s="105"/>
      <c r="Z1823" s="105"/>
      <c r="AA1823" s="105"/>
      <c r="AB1823" s="105"/>
      <c r="AC1823" s="91"/>
      <c r="AD1823" s="105"/>
      <c r="AE1823" s="105"/>
      <c r="AF1823" s="91"/>
      <c r="AG1823" s="105"/>
      <c r="AH1823" s="105"/>
      <c r="AI1823" s="105" t="str">
        <f t="shared" si="1"/>
        <v/>
      </c>
      <c r="AJ1823" s="108" t="str">
        <f t="shared" si="2"/>
        <v/>
      </c>
    </row>
    <row r="1824" ht="15.75" customHeight="1">
      <c r="A1824" s="104"/>
      <c r="B1824" s="105" t="str">
        <f>IFERROR(__xludf.DUMMYFUNCTION("ARRAY_CONSTRAIN(
  ARRAYFORMULA(
    IF(
      'Final Report'!A1824="""",
      """",
      TEXTJOIN(
        "", "" &amp; CHAR(10),
        TRUE,
        IFERROR(
          VLOOKUP(
            TRIM(
              SPLIT('Final Report'!A1824, "","")
         "&amp;"   ),
            'URL Details'!A:B,
            2,
            FALSE
          ),
          """"
        )
      )
    )
  ),
  1,
  1
)
"),"")</f>
        <v/>
      </c>
      <c r="C1824" s="105" t="str">
        <f>IFERROR(__xludf.DUMMYFUNCTION("IFERROR(IF('Final Report'!A1824="""","""", TEXTJOIN(CHAR(10), TRUE, ARRAYFORMULA( ""• ""&amp; FILTER( TRIM(FLATTEN(SPLIT( REGEXREPLACE( SUBSTITUTE(TEXTJOIN("","", TRUE, IFERROR(ARRAYFORMULA(VLOOKUP(TRIM(SPLIT('Final Report'!A1824, "","")), 'URL Details'!A:D, "&amp;"4, FALSE)),"""") ), CHAR(10), "",""), ""\s*,\s*"", "",""), "",""))), TRIM(FLATTEN(SPLIT( REGEXREPLACE( SUBSTITUTE(TEXTJOIN("","", TRUE, IFERROR(ARRAYFORMULA(VLOOKUP(TRIM(SPLIT('Final Report'!A1824, "","")), 'URL Details'!A:D, 4, FALSE)),"""") ), CHAR(10),"&amp;" "",""), ""\s*,\s*"", "",""), "","")))&lt;&gt;"""" ) ) ) ),"""")
"),"")</f>
        <v/>
      </c>
      <c r="D1824" s="105"/>
      <c r="E1824" s="105"/>
      <c r="F1824" s="110" t="b">
        <v>0</v>
      </c>
      <c r="G1824" s="105" t="str">
        <f>IF(F1824=True, IFERROR(VLOOKUP(D1824, Repository!A:B, 2, 0), ""), "")</f>
        <v/>
      </c>
      <c r="H1824" s="105"/>
      <c r="I1824" s="105"/>
      <c r="J1824" s="105" t="str">
        <f>IF(F1824=True, IFERROR(VLOOKUP(D1824, Repository!A:C, 3, 0), ""), "")</f>
        <v/>
      </c>
      <c r="K1824" s="105"/>
      <c r="L1824" s="105" t="str">
        <f>IF(F1824=True, IFERROR(VLOOKUP(D1824, Repository!A:E, 5, 0), ""), "")</f>
        <v/>
      </c>
      <c r="M1824" s="105"/>
      <c r="N1824" s="105" t="str">
        <f>IF(F1824=True, IFERROR(VLOOKUP(D1824, Repository!A:G, 7, 0), ""), "")</f>
        <v/>
      </c>
      <c r="O1824" s="105" t="str">
        <f>IFERROR(__xludf.DUMMYFUNCTION("ARRAY_CONSTRAIN(
  ARRAYFORMULA(
    IFERROR(
      LET(
        list, N1824,
        arr, TRIM(SPLIT(list, "","")),
        names, XLOOKUP(
          arr,
          'Conformance Score'!A:A,
          'Conformance Score'!B:B,
          ""Not found""
     "&amp;"   ),
        TEXTJOIN("", "", TRUE, names)
      ),
      """"
    )
  ),
  1,
  1
)
"),"")</f>
        <v/>
      </c>
      <c r="P1824" s="105" t="str">
        <f>IF(F1824="Yes", IFERROR(VLOOKUP(D1824, Repository!A:F, 6, 0), ""), "")</f>
        <v/>
      </c>
      <c r="Q1824" s="105" t="str">
        <f>IF(F1824="Yes", IFERROR(VLOOKUP(D1824, Repository!A:I, 8, 0), ""), "")</f>
        <v/>
      </c>
      <c r="R1824" s="105" t="str">
        <f>IF(F1824="Yes", IFERROR(VLOOKUP(D1824, Repository!A:J, 9, 0), ""), "")</f>
        <v/>
      </c>
      <c r="S1824" s="105"/>
      <c r="T1824" s="105"/>
      <c r="U1824" s="105"/>
      <c r="V1824" s="105"/>
      <c r="W1824" s="105"/>
      <c r="X1824" s="105"/>
      <c r="Y1824" s="105"/>
      <c r="Z1824" s="105"/>
      <c r="AA1824" s="105"/>
      <c r="AB1824" s="105"/>
      <c r="AC1824" s="91"/>
      <c r="AD1824" s="105"/>
      <c r="AE1824" s="105"/>
      <c r="AF1824" s="91"/>
      <c r="AG1824" s="105"/>
      <c r="AH1824" s="105"/>
      <c r="AI1824" s="105" t="str">
        <f t="shared" si="1"/>
        <v/>
      </c>
      <c r="AJ1824" s="108" t="str">
        <f t="shared" si="2"/>
        <v/>
      </c>
    </row>
    <row r="1825" ht="15.75" customHeight="1">
      <c r="A1825" s="104"/>
      <c r="B1825" s="105" t="str">
        <f>IFERROR(__xludf.DUMMYFUNCTION("ARRAY_CONSTRAIN(
  ARRAYFORMULA(
    IF(
      'Final Report'!A1825="""",
      """",
      TEXTJOIN(
        "", "" &amp; CHAR(10),
        TRUE,
        IFERROR(
          VLOOKUP(
            TRIM(
              SPLIT('Final Report'!A1825, "","")
         "&amp;"   ),
            'URL Details'!A:B,
            2,
            FALSE
          ),
          """"
        )
      )
    )
  ),
  1,
  1
)
"),"")</f>
        <v/>
      </c>
      <c r="C1825" s="105" t="str">
        <f>IFERROR(__xludf.DUMMYFUNCTION("IFERROR(IF('Final Report'!A1825="""","""", TEXTJOIN(CHAR(10), TRUE, ARRAYFORMULA( ""• ""&amp; FILTER( TRIM(FLATTEN(SPLIT( REGEXREPLACE( SUBSTITUTE(TEXTJOIN("","", TRUE, IFERROR(ARRAYFORMULA(VLOOKUP(TRIM(SPLIT('Final Report'!A1825, "","")), 'URL Details'!A:D, "&amp;"4, FALSE)),"""") ), CHAR(10), "",""), ""\s*,\s*"", "",""), "",""))), TRIM(FLATTEN(SPLIT( REGEXREPLACE( SUBSTITUTE(TEXTJOIN("","", TRUE, IFERROR(ARRAYFORMULA(VLOOKUP(TRIM(SPLIT('Final Report'!A1825, "","")), 'URL Details'!A:D, 4, FALSE)),"""") ), CHAR(10),"&amp;" "",""), ""\s*,\s*"", "",""), "","")))&lt;&gt;"""" ) ) ) ),"""")
"),"")</f>
        <v/>
      </c>
      <c r="D1825" s="105"/>
      <c r="E1825" s="105"/>
      <c r="F1825" s="110" t="b">
        <v>0</v>
      </c>
      <c r="G1825" s="105" t="str">
        <f>IF(F1825=True, IFERROR(VLOOKUP(D1825, Repository!A:B, 2, 0), ""), "")</f>
        <v/>
      </c>
      <c r="H1825" s="105"/>
      <c r="I1825" s="105"/>
      <c r="J1825" s="105" t="str">
        <f>IF(F1825=True, IFERROR(VLOOKUP(D1825, Repository!A:C, 3, 0), ""), "")</f>
        <v/>
      </c>
      <c r="K1825" s="105"/>
      <c r="L1825" s="105" t="str">
        <f>IF(F1825=True, IFERROR(VLOOKUP(D1825, Repository!A:E, 5, 0), ""), "")</f>
        <v/>
      </c>
      <c r="M1825" s="105"/>
      <c r="N1825" s="105" t="str">
        <f>IF(F1825=True, IFERROR(VLOOKUP(D1825, Repository!A:G, 7, 0), ""), "")</f>
        <v/>
      </c>
      <c r="O1825" s="105" t="str">
        <f>IFERROR(__xludf.DUMMYFUNCTION("ARRAY_CONSTRAIN(
  ARRAYFORMULA(
    IFERROR(
      LET(
        list, N1825,
        arr, TRIM(SPLIT(list, "","")),
        names, XLOOKUP(
          arr,
          'Conformance Score'!A:A,
          'Conformance Score'!B:B,
          ""Not found""
     "&amp;"   ),
        TEXTJOIN("", "", TRUE, names)
      ),
      """"
    )
  ),
  1,
  1
)
"),"")</f>
        <v/>
      </c>
      <c r="P1825" s="105" t="str">
        <f>IF(F1825="Yes", IFERROR(VLOOKUP(D1825, Repository!A:F, 6, 0), ""), "")</f>
        <v/>
      </c>
      <c r="Q1825" s="105" t="str">
        <f>IF(F1825="Yes", IFERROR(VLOOKUP(D1825, Repository!A:I, 8, 0), ""), "")</f>
        <v/>
      </c>
      <c r="R1825" s="105" t="str">
        <f>IF(F1825="Yes", IFERROR(VLOOKUP(D1825, Repository!A:J, 9, 0), ""), "")</f>
        <v/>
      </c>
      <c r="S1825" s="105"/>
      <c r="T1825" s="105"/>
      <c r="U1825" s="105"/>
      <c r="V1825" s="105"/>
      <c r="W1825" s="105"/>
      <c r="X1825" s="105"/>
      <c r="Y1825" s="105"/>
      <c r="Z1825" s="105"/>
      <c r="AA1825" s="105"/>
      <c r="AB1825" s="105"/>
      <c r="AC1825" s="91"/>
      <c r="AD1825" s="105"/>
      <c r="AE1825" s="105"/>
      <c r="AF1825" s="91"/>
      <c r="AG1825" s="105"/>
      <c r="AH1825" s="105"/>
      <c r="AI1825" s="105" t="str">
        <f t="shared" si="1"/>
        <v/>
      </c>
      <c r="AJ1825" s="108" t="str">
        <f t="shared" si="2"/>
        <v/>
      </c>
    </row>
    <row r="1826" ht="15.75" customHeight="1">
      <c r="A1826" s="104"/>
      <c r="B1826" s="105" t="str">
        <f>IFERROR(__xludf.DUMMYFUNCTION("ARRAY_CONSTRAIN(
  ARRAYFORMULA(
    IF(
      'Final Report'!A1826="""",
      """",
      TEXTJOIN(
        "", "" &amp; CHAR(10),
        TRUE,
        IFERROR(
          VLOOKUP(
            TRIM(
              SPLIT('Final Report'!A1826, "","")
         "&amp;"   ),
            'URL Details'!A:B,
            2,
            FALSE
          ),
          """"
        )
      )
    )
  ),
  1,
  1
)
"),"")</f>
        <v/>
      </c>
      <c r="C1826" s="105" t="str">
        <f>IFERROR(__xludf.DUMMYFUNCTION("IFERROR(IF('Final Report'!A1826="""","""", TEXTJOIN(CHAR(10), TRUE, ARRAYFORMULA( ""• ""&amp; FILTER( TRIM(FLATTEN(SPLIT( REGEXREPLACE( SUBSTITUTE(TEXTJOIN("","", TRUE, IFERROR(ARRAYFORMULA(VLOOKUP(TRIM(SPLIT('Final Report'!A1826, "","")), 'URL Details'!A:D, "&amp;"4, FALSE)),"""") ), CHAR(10), "",""), ""\s*,\s*"", "",""), "",""))), TRIM(FLATTEN(SPLIT( REGEXREPLACE( SUBSTITUTE(TEXTJOIN("","", TRUE, IFERROR(ARRAYFORMULA(VLOOKUP(TRIM(SPLIT('Final Report'!A1826, "","")), 'URL Details'!A:D, 4, FALSE)),"""") ), CHAR(10),"&amp;" "",""), ""\s*,\s*"", "",""), "","")))&lt;&gt;"""" ) ) ) ),"""")
"),"")</f>
        <v/>
      </c>
      <c r="D1826" s="105"/>
      <c r="E1826" s="105"/>
      <c r="F1826" s="110" t="b">
        <v>0</v>
      </c>
      <c r="G1826" s="105" t="str">
        <f>IF(F1826=True, IFERROR(VLOOKUP(D1826, Repository!A:B, 2, 0), ""), "")</f>
        <v/>
      </c>
      <c r="H1826" s="105"/>
      <c r="I1826" s="105"/>
      <c r="J1826" s="105" t="str">
        <f>IF(F1826=True, IFERROR(VLOOKUP(D1826, Repository!A:C, 3, 0), ""), "")</f>
        <v/>
      </c>
      <c r="K1826" s="105"/>
      <c r="L1826" s="105" t="str">
        <f>IF(F1826=True, IFERROR(VLOOKUP(D1826, Repository!A:E, 5, 0), ""), "")</f>
        <v/>
      </c>
      <c r="M1826" s="105"/>
      <c r="N1826" s="105" t="str">
        <f>IF(F1826=True, IFERROR(VLOOKUP(D1826, Repository!A:G, 7, 0), ""), "")</f>
        <v/>
      </c>
      <c r="O1826" s="105" t="str">
        <f>IFERROR(__xludf.DUMMYFUNCTION("ARRAY_CONSTRAIN(
  ARRAYFORMULA(
    IFERROR(
      LET(
        list, N1826,
        arr, TRIM(SPLIT(list, "","")),
        names, XLOOKUP(
          arr,
          'Conformance Score'!A:A,
          'Conformance Score'!B:B,
          ""Not found""
     "&amp;"   ),
        TEXTJOIN("", "", TRUE, names)
      ),
      """"
    )
  ),
  1,
  1
)
"),"")</f>
        <v/>
      </c>
      <c r="P1826" s="105" t="str">
        <f>IF(F1826="Yes", IFERROR(VLOOKUP(D1826, Repository!A:F, 6, 0), ""), "")</f>
        <v/>
      </c>
      <c r="Q1826" s="105" t="str">
        <f>IF(F1826="Yes", IFERROR(VLOOKUP(D1826, Repository!A:I, 8, 0), ""), "")</f>
        <v/>
      </c>
      <c r="R1826" s="105" t="str">
        <f>IF(F1826="Yes", IFERROR(VLOOKUP(D1826, Repository!A:J, 9, 0), ""), "")</f>
        <v/>
      </c>
      <c r="S1826" s="105"/>
      <c r="T1826" s="105"/>
      <c r="U1826" s="105"/>
      <c r="V1826" s="105"/>
      <c r="W1826" s="105"/>
      <c r="X1826" s="105"/>
      <c r="Y1826" s="105"/>
      <c r="Z1826" s="105"/>
      <c r="AA1826" s="105"/>
      <c r="AB1826" s="105"/>
      <c r="AC1826" s="91"/>
      <c r="AD1826" s="105"/>
      <c r="AE1826" s="105"/>
      <c r="AF1826" s="91"/>
      <c r="AG1826" s="105"/>
      <c r="AH1826" s="105"/>
      <c r="AI1826" s="105" t="str">
        <f t="shared" si="1"/>
        <v/>
      </c>
      <c r="AJ1826" s="108" t="str">
        <f t="shared" si="2"/>
        <v/>
      </c>
    </row>
    <row r="1827" ht="15.75" customHeight="1">
      <c r="A1827" s="104"/>
      <c r="B1827" s="105" t="str">
        <f>IFERROR(__xludf.DUMMYFUNCTION("ARRAY_CONSTRAIN(
  ARRAYFORMULA(
    IF(
      'Final Report'!A1827="""",
      """",
      TEXTJOIN(
        "", "" &amp; CHAR(10),
        TRUE,
        IFERROR(
          VLOOKUP(
            TRIM(
              SPLIT('Final Report'!A1827, "","")
         "&amp;"   ),
            'URL Details'!A:B,
            2,
            FALSE
          ),
          """"
        )
      )
    )
  ),
  1,
  1
)
"),"")</f>
        <v/>
      </c>
      <c r="C1827" s="105" t="str">
        <f>IFERROR(__xludf.DUMMYFUNCTION("IFERROR(IF('Final Report'!A1827="""","""", TEXTJOIN(CHAR(10), TRUE, ARRAYFORMULA( ""• ""&amp; FILTER( TRIM(FLATTEN(SPLIT( REGEXREPLACE( SUBSTITUTE(TEXTJOIN("","", TRUE, IFERROR(ARRAYFORMULA(VLOOKUP(TRIM(SPLIT('Final Report'!A1827, "","")), 'URL Details'!A:D, "&amp;"4, FALSE)),"""") ), CHAR(10), "",""), ""\s*,\s*"", "",""), "",""))), TRIM(FLATTEN(SPLIT( REGEXREPLACE( SUBSTITUTE(TEXTJOIN("","", TRUE, IFERROR(ARRAYFORMULA(VLOOKUP(TRIM(SPLIT('Final Report'!A1827, "","")), 'URL Details'!A:D, 4, FALSE)),"""") ), CHAR(10),"&amp;" "",""), ""\s*,\s*"", "",""), "","")))&lt;&gt;"""" ) ) ) ),"""")
"),"")</f>
        <v/>
      </c>
      <c r="D1827" s="105"/>
      <c r="E1827" s="105"/>
      <c r="F1827" s="110" t="b">
        <v>0</v>
      </c>
      <c r="G1827" s="105" t="str">
        <f>IF(F1827=True, IFERROR(VLOOKUP(D1827, Repository!A:B, 2, 0), ""), "")</f>
        <v/>
      </c>
      <c r="H1827" s="105"/>
      <c r="I1827" s="105"/>
      <c r="J1827" s="105" t="str">
        <f>IF(F1827=True, IFERROR(VLOOKUP(D1827, Repository!A:C, 3, 0), ""), "")</f>
        <v/>
      </c>
      <c r="K1827" s="105"/>
      <c r="L1827" s="105" t="str">
        <f>IF(F1827=True, IFERROR(VLOOKUP(D1827, Repository!A:E, 5, 0), ""), "")</f>
        <v/>
      </c>
      <c r="M1827" s="105"/>
      <c r="N1827" s="105" t="str">
        <f>IF(F1827=True, IFERROR(VLOOKUP(D1827, Repository!A:G, 7, 0), ""), "")</f>
        <v/>
      </c>
      <c r="O1827" s="105" t="str">
        <f>IFERROR(__xludf.DUMMYFUNCTION("ARRAY_CONSTRAIN(
  ARRAYFORMULA(
    IFERROR(
      LET(
        list, N1827,
        arr, TRIM(SPLIT(list, "","")),
        names, XLOOKUP(
          arr,
          'Conformance Score'!A:A,
          'Conformance Score'!B:B,
          ""Not found""
     "&amp;"   ),
        TEXTJOIN("", "", TRUE, names)
      ),
      """"
    )
  ),
  1,
  1
)
"),"")</f>
        <v/>
      </c>
      <c r="P1827" s="105" t="str">
        <f>IF(F1827="Yes", IFERROR(VLOOKUP(D1827, Repository!A:F, 6, 0), ""), "")</f>
        <v/>
      </c>
      <c r="Q1827" s="105" t="str">
        <f>IF(F1827="Yes", IFERROR(VLOOKUP(D1827, Repository!A:I, 8, 0), ""), "")</f>
        <v/>
      </c>
      <c r="R1827" s="105" t="str">
        <f>IF(F1827="Yes", IFERROR(VLOOKUP(D1827, Repository!A:J, 9, 0), ""), "")</f>
        <v/>
      </c>
      <c r="S1827" s="105"/>
      <c r="T1827" s="105"/>
      <c r="U1827" s="105"/>
      <c r="V1827" s="105"/>
      <c r="W1827" s="105"/>
      <c r="X1827" s="105"/>
      <c r="Y1827" s="105"/>
      <c r="Z1827" s="105"/>
      <c r="AA1827" s="105"/>
      <c r="AB1827" s="105"/>
      <c r="AC1827" s="91"/>
      <c r="AD1827" s="105"/>
      <c r="AE1827" s="105"/>
      <c r="AF1827" s="91"/>
      <c r="AG1827" s="105"/>
      <c r="AH1827" s="105"/>
      <c r="AI1827" s="105" t="str">
        <f t="shared" si="1"/>
        <v/>
      </c>
      <c r="AJ1827" s="108" t="str">
        <f t="shared" si="2"/>
        <v/>
      </c>
    </row>
    <row r="1828" ht="15.75" customHeight="1">
      <c r="A1828" s="104"/>
      <c r="B1828" s="105" t="str">
        <f>IFERROR(__xludf.DUMMYFUNCTION("ARRAY_CONSTRAIN(
  ARRAYFORMULA(
    IF(
      'Final Report'!A1828="""",
      """",
      TEXTJOIN(
        "", "" &amp; CHAR(10),
        TRUE,
        IFERROR(
          VLOOKUP(
            TRIM(
              SPLIT('Final Report'!A1828, "","")
         "&amp;"   ),
            'URL Details'!A:B,
            2,
            FALSE
          ),
          """"
        )
      )
    )
  ),
  1,
  1
)
"),"")</f>
        <v/>
      </c>
      <c r="C1828" s="105" t="str">
        <f>IFERROR(__xludf.DUMMYFUNCTION("IFERROR(IF('Final Report'!A1828="""","""", TEXTJOIN(CHAR(10), TRUE, ARRAYFORMULA( ""• ""&amp; FILTER( TRIM(FLATTEN(SPLIT( REGEXREPLACE( SUBSTITUTE(TEXTJOIN("","", TRUE, IFERROR(ARRAYFORMULA(VLOOKUP(TRIM(SPLIT('Final Report'!A1828, "","")), 'URL Details'!A:D, "&amp;"4, FALSE)),"""") ), CHAR(10), "",""), ""\s*,\s*"", "",""), "",""))), TRIM(FLATTEN(SPLIT( REGEXREPLACE( SUBSTITUTE(TEXTJOIN("","", TRUE, IFERROR(ARRAYFORMULA(VLOOKUP(TRIM(SPLIT('Final Report'!A1828, "","")), 'URL Details'!A:D, 4, FALSE)),"""") ), CHAR(10),"&amp;" "",""), ""\s*,\s*"", "",""), "","")))&lt;&gt;"""" ) ) ) ),"""")
"),"")</f>
        <v/>
      </c>
      <c r="D1828" s="105"/>
      <c r="E1828" s="105"/>
      <c r="F1828" s="110" t="b">
        <v>0</v>
      </c>
      <c r="G1828" s="105" t="str">
        <f>IF(F1828=True, IFERROR(VLOOKUP(D1828, Repository!A:B, 2, 0), ""), "")</f>
        <v/>
      </c>
      <c r="H1828" s="105"/>
      <c r="I1828" s="105"/>
      <c r="J1828" s="105" t="str">
        <f>IF(F1828=True, IFERROR(VLOOKUP(D1828, Repository!A:C, 3, 0), ""), "")</f>
        <v/>
      </c>
      <c r="K1828" s="105"/>
      <c r="L1828" s="105" t="str">
        <f>IF(F1828=True, IFERROR(VLOOKUP(D1828, Repository!A:E, 5, 0), ""), "")</f>
        <v/>
      </c>
      <c r="M1828" s="105"/>
      <c r="N1828" s="105" t="str">
        <f>IF(F1828=True, IFERROR(VLOOKUP(D1828, Repository!A:G, 7, 0), ""), "")</f>
        <v/>
      </c>
      <c r="O1828" s="105" t="str">
        <f>IFERROR(__xludf.DUMMYFUNCTION("ARRAY_CONSTRAIN(
  ARRAYFORMULA(
    IFERROR(
      LET(
        list, N1828,
        arr, TRIM(SPLIT(list, "","")),
        names, XLOOKUP(
          arr,
          'Conformance Score'!A:A,
          'Conformance Score'!B:B,
          ""Not found""
     "&amp;"   ),
        TEXTJOIN("", "", TRUE, names)
      ),
      """"
    )
  ),
  1,
  1
)
"),"")</f>
        <v/>
      </c>
      <c r="P1828" s="105" t="str">
        <f>IF(F1828="Yes", IFERROR(VLOOKUP(D1828, Repository!A:F, 6, 0), ""), "")</f>
        <v/>
      </c>
      <c r="Q1828" s="105" t="str">
        <f>IF(F1828="Yes", IFERROR(VLOOKUP(D1828, Repository!A:I, 8, 0), ""), "")</f>
        <v/>
      </c>
      <c r="R1828" s="105" t="str">
        <f>IF(F1828="Yes", IFERROR(VLOOKUP(D1828, Repository!A:J, 9, 0), ""), "")</f>
        <v/>
      </c>
      <c r="S1828" s="105"/>
      <c r="T1828" s="105"/>
      <c r="U1828" s="105"/>
      <c r="V1828" s="105"/>
      <c r="W1828" s="105"/>
      <c r="X1828" s="105"/>
      <c r="Y1828" s="105"/>
      <c r="Z1828" s="105"/>
      <c r="AA1828" s="105"/>
      <c r="AB1828" s="105"/>
      <c r="AC1828" s="91"/>
      <c r="AD1828" s="105"/>
      <c r="AE1828" s="105"/>
      <c r="AF1828" s="91"/>
      <c r="AG1828" s="105"/>
      <c r="AH1828" s="105"/>
      <c r="AI1828" s="105" t="str">
        <f t="shared" si="1"/>
        <v/>
      </c>
      <c r="AJ1828" s="108" t="str">
        <f t="shared" si="2"/>
        <v/>
      </c>
    </row>
    <row r="1829" ht="15.75" customHeight="1">
      <c r="A1829" s="104"/>
      <c r="B1829" s="105" t="str">
        <f>IFERROR(__xludf.DUMMYFUNCTION("ARRAY_CONSTRAIN(
  ARRAYFORMULA(
    IF(
      'Final Report'!A1829="""",
      """",
      TEXTJOIN(
        "", "" &amp; CHAR(10),
        TRUE,
        IFERROR(
          VLOOKUP(
            TRIM(
              SPLIT('Final Report'!A1829, "","")
         "&amp;"   ),
            'URL Details'!A:B,
            2,
            FALSE
          ),
          """"
        )
      )
    )
  ),
  1,
  1
)
"),"")</f>
        <v/>
      </c>
      <c r="C1829" s="105" t="str">
        <f>IFERROR(__xludf.DUMMYFUNCTION("IFERROR(IF('Final Report'!A1829="""","""", TEXTJOIN(CHAR(10), TRUE, ARRAYFORMULA( ""• ""&amp; FILTER( TRIM(FLATTEN(SPLIT( REGEXREPLACE( SUBSTITUTE(TEXTJOIN("","", TRUE, IFERROR(ARRAYFORMULA(VLOOKUP(TRIM(SPLIT('Final Report'!A1829, "","")), 'URL Details'!A:D, "&amp;"4, FALSE)),"""") ), CHAR(10), "",""), ""\s*,\s*"", "",""), "",""))), TRIM(FLATTEN(SPLIT( REGEXREPLACE( SUBSTITUTE(TEXTJOIN("","", TRUE, IFERROR(ARRAYFORMULA(VLOOKUP(TRIM(SPLIT('Final Report'!A1829, "","")), 'URL Details'!A:D, 4, FALSE)),"""") ), CHAR(10),"&amp;" "",""), ""\s*,\s*"", "",""), "","")))&lt;&gt;"""" ) ) ) ),"""")
"),"")</f>
        <v/>
      </c>
      <c r="D1829" s="105"/>
      <c r="E1829" s="105"/>
      <c r="F1829" s="110" t="b">
        <v>0</v>
      </c>
      <c r="G1829" s="105" t="str">
        <f>IF(F1829=True, IFERROR(VLOOKUP(D1829, Repository!A:B, 2, 0), ""), "")</f>
        <v/>
      </c>
      <c r="H1829" s="105"/>
      <c r="I1829" s="105"/>
      <c r="J1829" s="105" t="str">
        <f>IF(F1829=True, IFERROR(VLOOKUP(D1829, Repository!A:C, 3, 0), ""), "")</f>
        <v/>
      </c>
      <c r="K1829" s="105"/>
      <c r="L1829" s="105" t="str">
        <f>IF(F1829=True, IFERROR(VLOOKUP(D1829, Repository!A:E, 5, 0), ""), "")</f>
        <v/>
      </c>
      <c r="M1829" s="105"/>
      <c r="N1829" s="105" t="str">
        <f>IF(F1829=True, IFERROR(VLOOKUP(D1829, Repository!A:G, 7, 0), ""), "")</f>
        <v/>
      </c>
      <c r="O1829" s="105" t="str">
        <f>IFERROR(__xludf.DUMMYFUNCTION("ARRAY_CONSTRAIN(
  ARRAYFORMULA(
    IFERROR(
      LET(
        list, N1829,
        arr, TRIM(SPLIT(list, "","")),
        names, XLOOKUP(
          arr,
          'Conformance Score'!A:A,
          'Conformance Score'!B:B,
          ""Not found""
     "&amp;"   ),
        TEXTJOIN("", "", TRUE, names)
      ),
      """"
    )
  ),
  1,
  1
)
"),"")</f>
        <v/>
      </c>
      <c r="P1829" s="105" t="str">
        <f>IF(F1829="Yes", IFERROR(VLOOKUP(D1829, Repository!A:F, 6, 0), ""), "")</f>
        <v/>
      </c>
      <c r="Q1829" s="105" t="str">
        <f>IF(F1829="Yes", IFERROR(VLOOKUP(D1829, Repository!A:I, 8, 0), ""), "")</f>
        <v/>
      </c>
      <c r="R1829" s="105" t="str">
        <f>IF(F1829="Yes", IFERROR(VLOOKUP(D1829, Repository!A:J, 9, 0), ""), "")</f>
        <v/>
      </c>
      <c r="S1829" s="105"/>
      <c r="T1829" s="105"/>
      <c r="U1829" s="105"/>
      <c r="V1829" s="105"/>
      <c r="W1829" s="105"/>
      <c r="X1829" s="105"/>
      <c r="Y1829" s="105"/>
      <c r="Z1829" s="105"/>
      <c r="AA1829" s="105"/>
      <c r="AB1829" s="105"/>
      <c r="AC1829" s="91"/>
      <c r="AD1829" s="105"/>
      <c r="AE1829" s="105"/>
      <c r="AF1829" s="91"/>
      <c r="AG1829" s="105"/>
      <c r="AH1829" s="105"/>
      <c r="AI1829" s="105" t="str">
        <f t="shared" si="1"/>
        <v/>
      </c>
      <c r="AJ1829" s="108" t="str">
        <f t="shared" si="2"/>
        <v/>
      </c>
    </row>
    <row r="1830" ht="15.75" customHeight="1">
      <c r="A1830" s="104"/>
      <c r="B1830" s="105" t="str">
        <f>IFERROR(__xludf.DUMMYFUNCTION("ARRAY_CONSTRAIN(
  ARRAYFORMULA(
    IF(
      'Final Report'!A1830="""",
      """",
      TEXTJOIN(
        "", "" &amp; CHAR(10),
        TRUE,
        IFERROR(
          VLOOKUP(
            TRIM(
              SPLIT('Final Report'!A1830, "","")
         "&amp;"   ),
            'URL Details'!A:B,
            2,
            FALSE
          ),
          """"
        )
      )
    )
  ),
  1,
  1
)
"),"")</f>
        <v/>
      </c>
      <c r="C1830" s="105" t="str">
        <f>IFERROR(__xludf.DUMMYFUNCTION("IFERROR(IF('Final Report'!A1830="""","""", TEXTJOIN(CHAR(10), TRUE, ARRAYFORMULA( ""• ""&amp; FILTER( TRIM(FLATTEN(SPLIT( REGEXREPLACE( SUBSTITUTE(TEXTJOIN("","", TRUE, IFERROR(ARRAYFORMULA(VLOOKUP(TRIM(SPLIT('Final Report'!A1830, "","")), 'URL Details'!A:D, "&amp;"4, FALSE)),"""") ), CHAR(10), "",""), ""\s*,\s*"", "",""), "",""))), TRIM(FLATTEN(SPLIT( REGEXREPLACE( SUBSTITUTE(TEXTJOIN("","", TRUE, IFERROR(ARRAYFORMULA(VLOOKUP(TRIM(SPLIT('Final Report'!A1830, "","")), 'URL Details'!A:D, 4, FALSE)),"""") ), CHAR(10),"&amp;" "",""), ""\s*,\s*"", "",""), "","")))&lt;&gt;"""" ) ) ) ),"""")
"),"")</f>
        <v/>
      </c>
      <c r="D1830" s="105"/>
      <c r="E1830" s="105"/>
      <c r="F1830" s="110" t="b">
        <v>0</v>
      </c>
      <c r="G1830" s="105" t="str">
        <f>IF(F1830=True, IFERROR(VLOOKUP(D1830, Repository!A:B, 2, 0), ""), "")</f>
        <v/>
      </c>
      <c r="H1830" s="105"/>
      <c r="I1830" s="105"/>
      <c r="J1830" s="105" t="str">
        <f>IF(F1830=True, IFERROR(VLOOKUP(D1830, Repository!A:C, 3, 0), ""), "")</f>
        <v/>
      </c>
      <c r="K1830" s="105"/>
      <c r="L1830" s="105" t="str">
        <f>IF(F1830=True, IFERROR(VLOOKUP(D1830, Repository!A:E, 5, 0), ""), "")</f>
        <v/>
      </c>
      <c r="M1830" s="105"/>
      <c r="N1830" s="105" t="str">
        <f>IF(F1830=True, IFERROR(VLOOKUP(D1830, Repository!A:G, 7, 0), ""), "")</f>
        <v/>
      </c>
      <c r="O1830" s="105" t="str">
        <f>IFERROR(__xludf.DUMMYFUNCTION("ARRAY_CONSTRAIN(
  ARRAYFORMULA(
    IFERROR(
      LET(
        list, N1830,
        arr, TRIM(SPLIT(list, "","")),
        names, XLOOKUP(
          arr,
          'Conformance Score'!A:A,
          'Conformance Score'!B:B,
          ""Not found""
     "&amp;"   ),
        TEXTJOIN("", "", TRUE, names)
      ),
      """"
    )
  ),
  1,
  1
)
"),"")</f>
        <v/>
      </c>
      <c r="P1830" s="105" t="str">
        <f>IF(F1830="Yes", IFERROR(VLOOKUP(D1830, Repository!A:F, 6, 0), ""), "")</f>
        <v/>
      </c>
      <c r="Q1830" s="105" t="str">
        <f>IF(F1830="Yes", IFERROR(VLOOKUP(D1830, Repository!A:I, 8, 0), ""), "")</f>
        <v/>
      </c>
      <c r="R1830" s="105" t="str">
        <f>IF(F1830="Yes", IFERROR(VLOOKUP(D1830, Repository!A:J, 9, 0), ""), "")</f>
        <v/>
      </c>
      <c r="S1830" s="105"/>
      <c r="T1830" s="105"/>
      <c r="U1830" s="105"/>
      <c r="V1830" s="105"/>
      <c r="W1830" s="105"/>
      <c r="X1830" s="105"/>
      <c r="Y1830" s="105"/>
      <c r="Z1830" s="105"/>
      <c r="AA1830" s="105"/>
      <c r="AB1830" s="105"/>
      <c r="AC1830" s="91"/>
      <c r="AD1830" s="105"/>
      <c r="AE1830" s="105"/>
      <c r="AF1830" s="91"/>
      <c r="AG1830" s="105"/>
      <c r="AH1830" s="105"/>
      <c r="AI1830" s="105" t="str">
        <f t="shared" si="1"/>
        <v/>
      </c>
      <c r="AJ1830" s="108" t="str">
        <f t="shared" si="2"/>
        <v/>
      </c>
    </row>
    <row r="1831" ht="15.75" customHeight="1">
      <c r="A1831" s="104"/>
      <c r="B1831" s="105" t="str">
        <f>IFERROR(__xludf.DUMMYFUNCTION("ARRAY_CONSTRAIN(
  ARRAYFORMULA(
    IF(
      'Final Report'!A1831="""",
      """",
      TEXTJOIN(
        "", "" &amp; CHAR(10),
        TRUE,
        IFERROR(
          VLOOKUP(
            TRIM(
              SPLIT('Final Report'!A1831, "","")
         "&amp;"   ),
            'URL Details'!A:B,
            2,
            FALSE
          ),
          """"
        )
      )
    )
  ),
  1,
  1
)
"),"")</f>
        <v/>
      </c>
      <c r="C1831" s="105" t="str">
        <f>IFERROR(__xludf.DUMMYFUNCTION("IFERROR(IF('Final Report'!A1831="""","""", TEXTJOIN(CHAR(10), TRUE, ARRAYFORMULA( ""• ""&amp; FILTER( TRIM(FLATTEN(SPLIT( REGEXREPLACE( SUBSTITUTE(TEXTJOIN("","", TRUE, IFERROR(ARRAYFORMULA(VLOOKUP(TRIM(SPLIT('Final Report'!A1831, "","")), 'URL Details'!A:D, "&amp;"4, FALSE)),"""") ), CHAR(10), "",""), ""\s*,\s*"", "",""), "",""))), TRIM(FLATTEN(SPLIT( REGEXREPLACE( SUBSTITUTE(TEXTJOIN("","", TRUE, IFERROR(ARRAYFORMULA(VLOOKUP(TRIM(SPLIT('Final Report'!A1831, "","")), 'URL Details'!A:D, 4, FALSE)),"""") ), CHAR(10),"&amp;" "",""), ""\s*,\s*"", "",""), "","")))&lt;&gt;"""" ) ) ) ),"""")
"),"")</f>
        <v/>
      </c>
      <c r="D1831" s="105"/>
      <c r="E1831" s="105"/>
      <c r="F1831" s="110" t="b">
        <v>0</v>
      </c>
      <c r="G1831" s="105" t="str">
        <f>IF(F1831=True, IFERROR(VLOOKUP(D1831, Repository!A:B, 2, 0), ""), "")</f>
        <v/>
      </c>
      <c r="H1831" s="105"/>
      <c r="I1831" s="105"/>
      <c r="J1831" s="105" t="str">
        <f>IF(F1831=True, IFERROR(VLOOKUP(D1831, Repository!A:C, 3, 0), ""), "")</f>
        <v/>
      </c>
      <c r="K1831" s="105"/>
      <c r="L1831" s="105" t="str">
        <f>IF(F1831=True, IFERROR(VLOOKUP(D1831, Repository!A:E, 5, 0), ""), "")</f>
        <v/>
      </c>
      <c r="M1831" s="105"/>
      <c r="N1831" s="105" t="str">
        <f>IF(F1831=True, IFERROR(VLOOKUP(D1831, Repository!A:G, 7, 0), ""), "")</f>
        <v/>
      </c>
      <c r="O1831" s="105" t="str">
        <f>IFERROR(__xludf.DUMMYFUNCTION("ARRAY_CONSTRAIN(
  ARRAYFORMULA(
    IFERROR(
      LET(
        list, N1831,
        arr, TRIM(SPLIT(list, "","")),
        names, XLOOKUP(
          arr,
          'Conformance Score'!A:A,
          'Conformance Score'!B:B,
          ""Not found""
     "&amp;"   ),
        TEXTJOIN("", "", TRUE, names)
      ),
      """"
    )
  ),
  1,
  1
)
"),"")</f>
        <v/>
      </c>
      <c r="P1831" s="105" t="str">
        <f>IF(F1831="Yes", IFERROR(VLOOKUP(D1831, Repository!A:F, 6, 0), ""), "")</f>
        <v/>
      </c>
      <c r="Q1831" s="105" t="str">
        <f>IF(F1831="Yes", IFERROR(VLOOKUP(D1831, Repository!A:I, 8, 0), ""), "")</f>
        <v/>
      </c>
      <c r="R1831" s="105" t="str">
        <f>IF(F1831="Yes", IFERROR(VLOOKUP(D1831, Repository!A:J, 9, 0), ""), "")</f>
        <v/>
      </c>
      <c r="S1831" s="105"/>
      <c r="T1831" s="105"/>
      <c r="U1831" s="105"/>
      <c r="V1831" s="105"/>
      <c r="W1831" s="105"/>
      <c r="X1831" s="105"/>
      <c r="Y1831" s="105"/>
      <c r="Z1831" s="105"/>
      <c r="AA1831" s="105"/>
      <c r="AB1831" s="105"/>
      <c r="AC1831" s="91"/>
      <c r="AD1831" s="105"/>
      <c r="AE1831" s="105"/>
      <c r="AF1831" s="91"/>
      <c r="AG1831" s="105"/>
      <c r="AH1831" s="105"/>
      <c r="AI1831" s="105" t="str">
        <f t="shared" si="1"/>
        <v/>
      </c>
      <c r="AJ1831" s="108" t="str">
        <f t="shared" si="2"/>
        <v/>
      </c>
    </row>
    <row r="1832" ht="15.75" customHeight="1">
      <c r="A1832" s="104"/>
      <c r="B1832" s="105" t="str">
        <f>IFERROR(__xludf.DUMMYFUNCTION("ARRAY_CONSTRAIN(
  ARRAYFORMULA(
    IF(
      'Final Report'!A1832="""",
      """",
      TEXTJOIN(
        "", "" &amp; CHAR(10),
        TRUE,
        IFERROR(
          VLOOKUP(
            TRIM(
              SPLIT('Final Report'!A1832, "","")
         "&amp;"   ),
            'URL Details'!A:B,
            2,
            FALSE
          ),
          """"
        )
      )
    )
  ),
  1,
  1
)
"),"")</f>
        <v/>
      </c>
      <c r="C1832" s="105" t="str">
        <f>IFERROR(__xludf.DUMMYFUNCTION("IFERROR(IF('Final Report'!A1832="""","""", TEXTJOIN(CHAR(10), TRUE, ARRAYFORMULA( ""• ""&amp; FILTER( TRIM(FLATTEN(SPLIT( REGEXREPLACE( SUBSTITUTE(TEXTJOIN("","", TRUE, IFERROR(ARRAYFORMULA(VLOOKUP(TRIM(SPLIT('Final Report'!A1832, "","")), 'URL Details'!A:D, "&amp;"4, FALSE)),"""") ), CHAR(10), "",""), ""\s*,\s*"", "",""), "",""))), TRIM(FLATTEN(SPLIT( REGEXREPLACE( SUBSTITUTE(TEXTJOIN("","", TRUE, IFERROR(ARRAYFORMULA(VLOOKUP(TRIM(SPLIT('Final Report'!A1832, "","")), 'URL Details'!A:D, 4, FALSE)),"""") ), CHAR(10),"&amp;" "",""), ""\s*,\s*"", "",""), "","")))&lt;&gt;"""" ) ) ) ),"""")
"),"")</f>
        <v/>
      </c>
      <c r="D1832" s="105"/>
      <c r="E1832" s="105"/>
      <c r="F1832" s="110" t="b">
        <v>0</v>
      </c>
      <c r="G1832" s="105" t="str">
        <f>IF(F1832=True, IFERROR(VLOOKUP(D1832, Repository!A:B, 2, 0), ""), "")</f>
        <v/>
      </c>
      <c r="H1832" s="105"/>
      <c r="I1832" s="105"/>
      <c r="J1832" s="105" t="str">
        <f>IF(F1832=True, IFERROR(VLOOKUP(D1832, Repository!A:C, 3, 0), ""), "")</f>
        <v/>
      </c>
      <c r="K1832" s="105"/>
      <c r="L1832" s="105" t="str">
        <f>IF(F1832=True, IFERROR(VLOOKUP(D1832, Repository!A:E, 5, 0), ""), "")</f>
        <v/>
      </c>
      <c r="M1832" s="105"/>
      <c r="N1832" s="105" t="str">
        <f>IF(F1832=True, IFERROR(VLOOKUP(D1832, Repository!A:G, 7, 0), ""), "")</f>
        <v/>
      </c>
      <c r="O1832" s="105" t="str">
        <f>IFERROR(__xludf.DUMMYFUNCTION("ARRAY_CONSTRAIN(
  ARRAYFORMULA(
    IFERROR(
      LET(
        list, N1832,
        arr, TRIM(SPLIT(list, "","")),
        names, XLOOKUP(
          arr,
          'Conformance Score'!A:A,
          'Conformance Score'!B:B,
          ""Not found""
     "&amp;"   ),
        TEXTJOIN("", "", TRUE, names)
      ),
      """"
    )
  ),
  1,
  1
)
"),"")</f>
        <v/>
      </c>
      <c r="P1832" s="105" t="str">
        <f>IF(F1832="Yes", IFERROR(VLOOKUP(D1832, Repository!A:F, 6, 0), ""), "")</f>
        <v/>
      </c>
      <c r="Q1832" s="105" t="str">
        <f>IF(F1832="Yes", IFERROR(VLOOKUP(D1832, Repository!A:I, 8, 0), ""), "")</f>
        <v/>
      </c>
      <c r="R1832" s="105" t="str">
        <f>IF(F1832="Yes", IFERROR(VLOOKUP(D1832, Repository!A:J, 9, 0), ""), "")</f>
        <v/>
      </c>
      <c r="S1832" s="105"/>
      <c r="T1832" s="105"/>
      <c r="U1832" s="105"/>
      <c r="V1832" s="105"/>
      <c r="W1832" s="105"/>
      <c r="X1832" s="105"/>
      <c r="Y1832" s="105"/>
      <c r="Z1832" s="105"/>
      <c r="AA1832" s="105"/>
      <c r="AB1832" s="105"/>
      <c r="AC1832" s="91"/>
      <c r="AD1832" s="105"/>
      <c r="AE1832" s="105"/>
      <c r="AF1832" s="91"/>
      <c r="AG1832" s="105"/>
      <c r="AH1832" s="105"/>
      <c r="AI1832" s="105" t="str">
        <f t="shared" si="1"/>
        <v/>
      </c>
      <c r="AJ1832" s="108" t="str">
        <f t="shared" si="2"/>
        <v/>
      </c>
    </row>
    <row r="1833" ht="15.75" customHeight="1">
      <c r="A1833" s="104"/>
      <c r="B1833" s="105" t="str">
        <f>IFERROR(__xludf.DUMMYFUNCTION("ARRAY_CONSTRAIN(
  ARRAYFORMULA(
    IF(
      'Final Report'!A1833="""",
      """",
      TEXTJOIN(
        "", "" &amp; CHAR(10),
        TRUE,
        IFERROR(
          VLOOKUP(
            TRIM(
              SPLIT('Final Report'!A1833, "","")
         "&amp;"   ),
            'URL Details'!A:B,
            2,
            FALSE
          ),
          """"
        )
      )
    )
  ),
  1,
  1
)
"),"")</f>
        <v/>
      </c>
      <c r="C1833" s="105" t="str">
        <f>IFERROR(__xludf.DUMMYFUNCTION("IFERROR(IF('Final Report'!A1833="""","""", TEXTJOIN(CHAR(10), TRUE, ARRAYFORMULA( ""• ""&amp; FILTER( TRIM(FLATTEN(SPLIT( REGEXREPLACE( SUBSTITUTE(TEXTJOIN("","", TRUE, IFERROR(ARRAYFORMULA(VLOOKUP(TRIM(SPLIT('Final Report'!A1833, "","")), 'URL Details'!A:D, "&amp;"4, FALSE)),"""") ), CHAR(10), "",""), ""\s*,\s*"", "",""), "",""))), TRIM(FLATTEN(SPLIT( REGEXREPLACE( SUBSTITUTE(TEXTJOIN("","", TRUE, IFERROR(ARRAYFORMULA(VLOOKUP(TRIM(SPLIT('Final Report'!A1833, "","")), 'URL Details'!A:D, 4, FALSE)),"""") ), CHAR(10),"&amp;" "",""), ""\s*,\s*"", "",""), "","")))&lt;&gt;"""" ) ) ) ),"""")
"),"")</f>
        <v/>
      </c>
      <c r="D1833" s="105"/>
      <c r="E1833" s="105"/>
      <c r="F1833" s="110" t="b">
        <v>0</v>
      </c>
      <c r="G1833" s="105" t="str">
        <f>IF(F1833=True, IFERROR(VLOOKUP(D1833, Repository!A:B, 2, 0), ""), "")</f>
        <v/>
      </c>
      <c r="H1833" s="105"/>
      <c r="I1833" s="105"/>
      <c r="J1833" s="105" t="str">
        <f>IF(F1833=True, IFERROR(VLOOKUP(D1833, Repository!A:C, 3, 0), ""), "")</f>
        <v/>
      </c>
      <c r="K1833" s="105"/>
      <c r="L1833" s="105" t="str">
        <f>IF(F1833=True, IFERROR(VLOOKUP(D1833, Repository!A:E, 5, 0), ""), "")</f>
        <v/>
      </c>
      <c r="M1833" s="105"/>
      <c r="N1833" s="105" t="str">
        <f>IF(F1833=True, IFERROR(VLOOKUP(D1833, Repository!A:G, 7, 0), ""), "")</f>
        <v/>
      </c>
      <c r="O1833" s="105" t="str">
        <f>IFERROR(__xludf.DUMMYFUNCTION("ARRAY_CONSTRAIN(
  ARRAYFORMULA(
    IFERROR(
      LET(
        list, N1833,
        arr, TRIM(SPLIT(list, "","")),
        names, XLOOKUP(
          arr,
          'Conformance Score'!A:A,
          'Conformance Score'!B:B,
          ""Not found""
     "&amp;"   ),
        TEXTJOIN("", "", TRUE, names)
      ),
      """"
    )
  ),
  1,
  1
)
"),"")</f>
        <v/>
      </c>
      <c r="P1833" s="105" t="str">
        <f>IF(F1833="Yes", IFERROR(VLOOKUP(D1833, Repository!A:F, 6, 0), ""), "")</f>
        <v/>
      </c>
      <c r="Q1833" s="105" t="str">
        <f>IF(F1833="Yes", IFERROR(VLOOKUP(D1833, Repository!A:I, 8, 0), ""), "")</f>
        <v/>
      </c>
      <c r="R1833" s="105" t="str">
        <f>IF(F1833="Yes", IFERROR(VLOOKUP(D1833, Repository!A:J, 9, 0), ""), "")</f>
        <v/>
      </c>
      <c r="S1833" s="105"/>
      <c r="T1833" s="105"/>
      <c r="U1833" s="105"/>
      <c r="V1833" s="105"/>
      <c r="W1833" s="105"/>
      <c r="X1833" s="105"/>
      <c r="Y1833" s="105"/>
      <c r="Z1833" s="105"/>
      <c r="AA1833" s="105"/>
      <c r="AB1833" s="105"/>
      <c r="AC1833" s="91"/>
      <c r="AD1833" s="105"/>
      <c r="AE1833" s="105"/>
      <c r="AF1833" s="91"/>
      <c r="AG1833" s="105"/>
      <c r="AH1833" s="105"/>
      <c r="AI1833" s="105" t="str">
        <f t="shared" si="1"/>
        <v/>
      </c>
      <c r="AJ1833" s="108" t="str">
        <f t="shared" si="2"/>
        <v/>
      </c>
    </row>
    <row r="1834" ht="15.75" customHeight="1">
      <c r="A1834" s="104"/>
      <c r="B1834" s="105" t="str">
        <f>IFERROR(__xludf.DUMMYFUNCTION("ARRAY_CONSTRAIN(
  ARRAYFORMULA(
    IF(
      'Final Report'!A1834="""",
      """",
      TEXTJOIN(
        "", "" &amp; CHAR(10),
        TRUE,
        IFERROR(
          VLOOKUP(
            TRIM(
              SPLIT('Final Report'!A1834, "","")
         "&amp;"   ),
            'URL Details'!A:B,
            2,
            FALSE
          ),
          """"
        )
      )
    )
  ),
  1,
  1
)
"),"")</f>
        <v/>
      </c>
      <c r="C1834" s="105" t="str">
        <f>IFERROR(__xludf.DUMMYFUNCTION("IFERROR(IF('Final Report'!A1834="""","""", TEXTJOIN(CHAR(10), TRUE, ARRAYFORMULA( ""• ""&amp; FILTER( TRIM(FLATTEN(SPLIT( REGEXREPLACE( SUBSTITUTE(TEXTJOIN("","", TRUE, IFERROR(ARRAYFORMULA(VLOOKUP(TRIM(SPLIT('Final Report'!A1834, "","")), 'URL Details'!A:D, "&amp;"4, FALSE)),"""") ), CHAR(10), "",""), ""\s*,\s*"", "",""), "",""))), TRIM(FLATTEN(SPLIT( REGEXREPLACE( SUBSTITUTE(TEXTJOIN("","", TRUE, IFERROR(ARRAYFORMULA(VLOOKUP(TRIM(SPLIT('Final Report'!A1834, "","")), 'URL Details'!A:D, 4, FALSE)),"""") ), CHAR(10),"&amp;" "",""), ""\s*,\s*"", "",""), "","")))&lt;&gt;"""" ) ) ) ),"""")
"),"")</f>
        <v/>
      </c>
      <c r="D1834" s="105"/>
      <c r="E1834" s="105"/>
      <c r="F1834" s="110" t="b">
        <v>0</v>
      </c>
      <c r="G1834" s="105" t="str">
        <f>IF(F1834=True, IFERROR(VLOOKUP(D1834, Repository!A:B, 2, 0), ""), "")</f>
        <v/>
      </c>
      <c r="H1834" s="105"/>
      <c r="I1834" s="105"/>
      <c r="J1834" s="105" t="str">
        <f>IF(F1834=True, IFERROR(VLOOKUP(D1834, Repository!A:C, 3, 0), ""), "")</f>
        <v/>
      </c>
      <c r="K1834" s="105"/>
      <c r="L1834" s="105" t="str">
        <f>IF(F1834=True, IFERROR(VLOOKUP(D1834, Repository!A:E, 5, 0), ""), "")</f>
        <v/>
      </c>
      <c r="M1834" s="105"/>
      <c r="N1834" s="105" t="str">
        <f>IF(F1834=True, IFERROR(VLOOKUP(D1834, Repository!A:G, 7, 0), ""), "")</f>
        <v/>
      </c>
      <c r="O1834" s="105" t="str">
        <f>IFERROR(__xludf.DUMMYFUNCTION("ARRAY_CONSTRAIN(
  ARRAYFORMULA(
    IFERROR(
      LET(
        list, N1834,
        arr, TRIM(SPLIT(list, "","")),
        names, XLOOKUP(
          arr,
          'Conformance Score'!A:A,
          'Conformance Score'!B:B,
          ""Not found""
     "&amp;"   ),
        TEXTJOIN("", "", TRUE, names)
      ),
      """"
    )
  ),
  1,
  1
)
"),"")</f>
        <v/>
      </c>
      <c r="P1834" s="105" t="str">
        <f>IF(F1834="Yes", IFERROR(VLOOKUP(D1834, Repository!A:F, 6, 0), ""), "")</f>
        <v/>
      </c>
      <c r="Q1834" s="105" t="str">
        <f>IF(F1834="Yes", IFERROR(VLOOKUP(D1834, Repository!A:I, 8, 0), ""), "")</f>
        <v/>
      </c>
      <c r="R1834" s="105" t="str">
        <f>IF(F1834="Yes", IFERROR(VLOOKUP(D1834, Repository!A:J, 9, 0), ""), "")</f>
        <v/>
      </c>
      <c r="S1834" s="105"/>
      <c r="T1834" s="105"/>
      <c r="U1834" s="105"/>
      <c r="V1834" s="105"/>
      <c r="W1834" s="105"/>
      <c r="X1834" s="105"/>
      <c r="Y1834" s="105"/>
      <c r="Z1834" s="105"/>
      <c r="AA1834" s="105"/>
      <c r="AB1834" s="105"/>
      <c r="AC1834" s="91"/>
      <c r="AD1834" s="105"/>
      <c r="AE1834" s="105"/>
      <c r="AF1834" s="91"/>
      <c r="AG1834" s="105"/>
      <c r="AH1834" s="105"/>
      <c r="AI1834" s="105" t="str">
        <f t="shared" si="1"/>
        <v/>
      </c>
      <c r="AJ1834" s="108" t="str">
        <f t="shared" si="2"/>
        <v/>
      </c>
    </row>
    <row r="1835" ht="15.75" customHeight="1">
      <c r="A1835" s="104"/>
      <c r="B1835" s="105" t="str">
        <f>IFERROR(__xludf.DUMMYFUNCTION("ARRAY_CONSTRAIN(
  ARRAYFORMULA(
    IF(
      'Final Report'!A1835="""",
      """",
      TEXTJOIN(
        "", "" &amp; CHAR(10),
        TRUE,
        IFERROR(
          VLOOKUP(
            TRIM(
              SPLIT('Final Report'!A1835, "","")
         "&amp;"   ),
            'URL Details'!A:B,
            2,
            FALSE
          ),
          """"
        )
      )
    )
  ),
  1,
  1
)
"),"")</f>
        <v/>
      </c>
      <c r="C1835" s="105" t="str">
        <f>IFERROR(__xludf.DUMMYFUNCTION("IFERROR(IF('Final Report'!A1835="""","""", TEXTJOIN(CHAR(10), TRUE, ARRAYFORMULA( ""• ""&amp; FILTER( TRIM(FLATTEN(SPLIT( REGEXREPLACE( SUBSTITUTE(TEXTJOIN("","", TRUE, IFERROR(ARRAYFORMULA(VLOOKUP(TRIM(SPLIT('Final Report'!A1835, "","")), 'URL Details'!A:D, "&amp;"4, FALSE)),"""") ), CHAR(10), "",""), ""\s*,\s*"", "",""), "",""))), TRIM(FLATTEN(SPLIT( REGEXREPLACE( SUBSTITUTE(TEXTJOIN("","", TRUE, IFERROR(ARRAYFORMULA(VLOOKUP(TRIM(SPLIT('Final Report'!A1835, "","")), 'URL Details'!A:D, 4, FALSE)),"""") ), CHAR(10),"&amp;" "",""), ""\s*,\s*"", "",""), "","")))&lt;&gt;"""" ) ) ) ),"""")
"),"")</f>
        <v/>
      </c>
      <c r="D1835" s="105"/>
      <c r="E1835" s="105"/>
      <c r="F1835" s="110" t="b">
        <v>0</v>
      </c>
      <c r="G1835" s="105" t="str">
        <f>IF(F1835=True, IFERROR(VLOOKUP(D1835, Repository!A:B, 2, 0), ""), "")</f>
        <v/>
      </c>
      <c r="H1835" s="105"/>
      <c r="I1835" s="105"/>
      <c r="J1835" s="105" t="str">
        <f>IF(F1835=True, IFERROR(VLOOKUP(D1835, Repository!A:C, 3, 0), ""), "")</f>
        <v/>
      </c>
      <c r="K1835" s="105"/>
      <c r="L1835" s="105" t="str">
        <f>IF(F1835=True, IFERROR(VLOOKUP(D1835, Repository!A:E, 5, 0), ""), "")</f>
        <v/>
      </c>
      <c r="M1835" s="105"/>
      <c r="N1835" s="105" t="str">
        <f>IF(F1835=True, IFERROR(VLOOKUP(D1835, Repository!A:G, 7, 0), ""), "")</f>
        <v/>
      </c>
      <c r="O1835" s="105" t="str">
        <f>IFERROR(__xludf.DUMMYFUNCTION("ARRAY_CONSTRAIN(
  ARRAYFORMULA(
    IFERROR(
      LET(
        list, N1835,
        arr, TRIM(SPLIT(list, "","")),
        names, XLOOKUP(
          arr,
          'Conformance Score'!A:A,
          'Conformance Score'!B:B,
          ""Not found""
     "&amp;"   ),
        TEXTJOIN("", "", TRUE, names)
      ),
      """"
    )
  ),
  1,
  1
)
"),"")</f>
        <v/>
      </c>
      <c r="P1835" s="105" t="str">
        <f>IF(F1835="Yes", IFERROR(VLOOKUP(D1835, Repository!A:F, 6, 0), ""), "")</f>
        <v/>
      </c>
      <c r="Q1835" s="105" t="str">
        <f>IF(F1835="Yes", IFERROR(VLOOKUP(D1835, Repository!A:I, 8, 0), ""), "")</f>
        <v/>
      </c>
      <c r="R1835" s="105" t="str">
        <f>IF(F1835="Yes", IFERROR(VLOOKUP(D1835, Repository!A:J, 9, 0), ""), "")</f>
        <v/>
      </c>
      <c r="S1835" s="105"/>
      <c r="T1835" s="105"/>
      <c r="U1835" s="105"/>
      <c r="V1835" s="105"/>
      <c r="W1835" s="105"/>
      <c r="X1835" s="105"/>
      <c r="Y1835" s="105"/>
      <c r="Z1835" s="105"/>
      <c r="AA1835" s="105"/>
      <c r="AB1835" s="105"/>
      <c r="AC1835" s="91"/>
      <c r="AD1835" s="105"/>
      <c r="AE1835" s="105"/>
      <c r="AF1835" s="91"/>
      <c r="AG1835" s="105"/>
      <c r="AH1835" s="105"/>
      <c r="AI1835" s="105" t="str">
        <f t="shared" si="1"/>
        <v/>
      </c>
      <c r="AJ1835" s="108" t="str">
        <f t="shared" si="2"/>
        <v/>
      </c>
    </row>
    <row r="1836" ht="15.75" customHeight="1">
      <c r="A1836" s="104"/>
      <c r="B1836" s="105" t="str">
        <f>IFERROR(__xludf.DUMMYFUNCTION("ARRAY_CONSTRAIN(
  ARRAYFORMULA(
    IF(
      'Final Report'!A1836="""",
      """",
      TEXTJOIN(
        "", "" &amp; CHAR(10),
        TRUE,
        IFERROR(
          VLOOKUP(
            TRIM(
              SPLIT('Final Report'!A1836, "","")
         "&amp;"   ),
            'URL Details'!A:B,
            2,
            FALSE
          ),
          """"
        )
      )
    )
  ),
  1,
  1
)
"),"")</f>
        <v/>
      </c>
      <c r="C1836" s="105" t="str">
        <f>IFERROR(__xludf.DUMMYFUNCTION("IFERROR(IF('Final Report'!A1836="""","""", TEXTJOIN(CHAR(10), TRUE, ARRAYFORMULA( ""• ""&amp; FILTER( TRIM(FLATTEN(SPLIT( REGEXREPLACE( SUBSTITUTE(TEXTJOIN("","", TRUE, IFERROR(ARRAYFORMULA(VLOOKUP(TRIM(SPLIT('Final Report'!A1836, "","")), 'URL Details'!A:D, "&amp;"4, FALSE)),"""") ), CHAR(10), "",""), ""\s*,\s*"", "",""), "",""))), TRIM(FLATTEN(SPLIT( REGEXREPLACE( SUBSTITUTE(TEXTJOIN("","", TRUE, IFERROR(ARRAYFORMULA(VLOOKUP(TRIM(SPLIT('Final Report'!A1836, "","")), 'URL Details'!A:D, 4, FALSE)),"""") ), CHAR(10),"&amp;" "",""), ""\s*,\s*"", "",""), "","")))&lt;&gt;"""" ) ) ) ),"""")
"),"")</f>
        <v/>
      </c>
      <c r="D1836" s="105"/>
      <c r="E1836" s="105"/>
      <c r="F1836" s="110" t="b">
        <v>0</v>
      </c>
      <c r="G1836" s="105" t="str">
        <f>IF(F1836=True, IFERROR(VLOOKUP(D1836, Repository!A:B, 2, 0), ""), "")</f>
        <v/>
      </c>
      <c r="H1836" s="105"/>
      <c r="I1836" s="105"/>
      <c r="J1836" s="105" t="str">
        <f>IF(F1836=True, IFERROR(VLOOKUP(D1836, Repository!A:C, 3, 0), ""), "")</f>
        <v/>
      </c>
      <c r="K1836" s="105"/>
      <c r="L1836" s="105" t="str">
        <f>IF(F1836=True, IFERROR(VLOOKUP(D1836, Repository!A:E, 5, 0), ""), "")</f>
        <v/>
      </c>
      <c r="M1836" s="105"/>
      <c r="N1836" s="105" t="str">
        <f>IF(F1836=True, IFERROR(VLOOKUP(D1836, Repository!A:G, 7, 0), ""), "")</f>
        <v/>
      </c>
      <c r="O1836" s="105" t="str">
        <f>IFERROR(__xludf.DUMMYFUNCTION("ARRAY_CONSTRAIN(
  ARRAYFORMULA(
    IFERROR(
      LET(
        list, N1836,
        arr, TRIM(SPLIT(list, "","")),
        names, XLOOKUP(
          arr,
          'Conformance Score'!A:A,
          'Conformance Score'!B:B,
          ""Not found""
     "&amp;"   ),
        TEXTJOIN("", "", TRUE, names)
      ),
      """"
    )
  ),
  1,
  1
)
"),"")</f>
        <v/>
      </c>
      <c r="P1836" s="105" t="str">
        <f>IF(F1836="Yes", IFERROR(VLOOKUP(D1836, Repository!A:F, 6, 0), ""), "")</f>
        <v/>
      </c>
      <c r="Q1836" s="105" t="str">
        <f>IF(F1836="Yes", IFERROR(VLOOKUP(D1836, Repository!A:I, 8, 0), ""), "")</f>
        <v/>
      </c>
      <c r="R1836" s="105" t="str">
        <f>IF(F1836="Yes", IFERROR(VLOOKUP(D1836, Repository!A:J, 9, 0), ""), "")</f>
        <v/>
      </c>
      <c r="S1836" s="105"/>
      <c r="T1836" s="105"/>
      <c r="U1836" s="105"/>
      <c r="V1836" s="105"/>
      <c r="W1836" s="105"/>
      <c r="X1836" s="105"/>
      <c r="Y1836" s="105"/>
      <c r="Z1836" s="105"/>
      <c r="AA1836" s="105"/>
      <c r="AB1836" s="105"/>
      <c r="AC1836" s="91"/>
      <c r="AD1836" s="105"/>
      <c r="AE1836" s="105"/>
      <c r="AF1836" s="91"/>
      <c r="AG1836" s="105"/>
      <c r="AH1836" s="105"/>
      <c r="AI1836" s="105" t="str">
        <f t="shared" si="1"/>
        <v/>
      </c>
      <c r="AJ1836" s="108" t="str">
        <f t="shared" si="2"/>
        <v/>
      </c>
    </row>
    <row r="1837" ht="15.75" customHeight="1">
      <c r="A1837" s="104"/>
      <c r="B1837" s="105" t="str">
        <f>IFERROR(__xludf.DUMMYFUNCTION("ARRAY_CONSTRAIN(
  ARRAYFORMULA(
    IF(
      'Final Report'!A1837="""",
      """",
      TEXTJOIN(
        "", "" &amp; CHAR(10),
        TRUE,
        IFERROR(
          VLOOKUP(
            TRIM(
              SPLIT('Final Report'!A1837, "","")
         "&amp;"   ),
            'URL Details'!A:B,
            2,
            FALSE
          ),
          """"
        )
      )
    )
  ),
  1,
  1
)
"),"")</f>
        <v/>
      </c>
      <c r="C1837" s="105" t="str">
        <f>IFERROR(__xludf.DUMMYFUNCTION("IFERROR(IF('Final Report'!A1837="""","""", TEXTJOIN(CHAR(10), TRUE, ARRAYFORMULA( ""• ""&amp; FILTER( TRIM(FLATTEN(SPLIT( REGEXREPLACE( SUBSTITUTE(TEXTJOIN("","", TRUE, IFERROR(ARRAYFORMULA(VLOOKUP(TRIM(SPLIT('Final Report'!A1837, "","")), 'URL Details'!A:D, "&amp;"4, FALSE)),"""") ), CHAR(10), "",""), ""\s*,\s*"", "",""), "",""))), TRIM(FLATTEN(SPLIT( REGEXREPLACE( SUBSTITUTE(TEXTJOIN("","", TRUE, IFERROR(ARRAYFORMULA(VLOOKUP(TRIM(SPLIT('Final Report'!A1837, "","")), 'URL Details'!A:D, 4, FALSE)),"""") ), CHAR(10),"&amp;" "",""), ""\s*,\s*"", "",""), "","")))&lt;&gt;"""" ) ) ) ),"""")
"),"")</f>
        <v/>
      </c>
      <c r="D1837" s="105"/>
      <c r="E1837" s="105"/>
      <c r="F1837" s="110" t="b">
        <v>0</v>
      </c>
      <c r="G1837" s="105" t="str">
        <f>IF(F1837=True, IFERROR(VLOOKUP(D1837, Repository!A:B, 2, 0), ""), "")</f>
        <v/>
      </c>
      <c r="H1837" s="105"/>
      <c r="I1837" s="105"/>
      <c r="J1837" s="105" t="str">
        <f>IF(F1837=True, IFERROR(VLOOKUP(D1837, Repository!A:C, 3, 0), ""), "")</f>
        <v/>
      </c>
      <c r="K1837" s="105"/>
      <c r="L1837" s="105" t="str">
        <f>IF(F1837=True, IFERROR(VLOOKUP(D1837, Repository!A:E, 5, 0), ""), "")</f>
        <v/>
      </c>
      <c r="M1837" s="105"/>
      <c r="N1837" s="105" t="str">
        <f>IF(F1837=True, IFERROR(VLOOKUP(D1837, Repository!A:G, 7, 0), ""), "")</f>
        <v/>
      </c>
      <c r="O1837" s="105" t="str">
        <f>IFERROR(__xludf.DUMMYFUNCTION("ARRAY_CONSTRAIN(
  ARRAYFORMULA(
    IFERROR(
      LET(
        list, N1837,
        arr, TRIM(SPLIT(list, "","")),
        names, XLOOKUP(
          arr,
          'Conformance Score'!A:A,
          'Conformance Score'!B:B,
          ""Not found""
     "&amp;"   ),
        TEXTJOIN("", "", TRUE, names)
      ),
      """"
    )
  ),
  1,
  1
)
"),"")</f>
        <v/>
      </c>
      <c r="P1837" s="105" t="str">
        <f>IF(F1837="Yes", IFERROR(VLOOKUP(D1837, Repository!A:F, 6, 0), ""), "")</f>
        <v/>
      </c>
      <c r="Q1837" s="105" t="str">
        <f>IF(F1837="Yes", IFERROR(VLOOKUP(D1837, Repository!A:I, 8, 0), ""), "")</f>
        <v/>
      </c>
      <c r="R1837" s="105" t="str">
        <f>IF(F1837="Yes", IFERROR(VLOOKUP(D1837, Repository!A:J, 9, 0), ""), "")</f>
        <v/>
      </c>
      <c r="S1837" s="105"/>
      <c r="T1837" s="105"/>
      <c r="U1837" s="105"/>
      <c r="V1837" s="105"/>
      <c r="W1837" s="105"/>
      <c r="X1837" s="105"/>
      <c r="Y1837" s="105"/>
      <c r="Z1837" s="105"/>
      <c r="AA1837" s="105"/>
      <c r="AB1837" s="105"/>
      <c r="AC1837" s="91"/>
      <c r="AD1837" s="105"/>
      <c r="AE1837" s="105"/>
      <c r="AF1837" s="91"/>
      <c r="AG1837" s="105"/>
      <c r="AH1837" s="105"/>
      <c r="AI1837" s="105" t="str">
        <f t="shared" si="1"/>
        <v/>
      </c>
      <c r="AJ1837" s="108" t="str">
        <f t="shared" si="2"/>
        <v/>
      </c>
    </row>
    <row r="1838" ht="15.75" customHeight="1">
      <c r="A1838" s="104"/>
      <c r="B1838" s="105" t="str">
        <f>IFERROR(__xludf.DUMMYFUNCTION("ARRAY_CONSTRAIN(
  ARRAYFORMULA(
    IF(
      'Final Report'!A1838="""",
      """",
      TEXTJOIN(
        "", "" &amp; CHAR(10),
        TRUE,
        IFERROR(
          VLOOKUP(
            TRIM(
              SPLIT('Final Report'!A1838, "","")
         "&amp;"   ),
            'URL Details'!A:B,
            2,
            FALSE
          ),
          """"
        )
      )
    )
  ),
  1,
  1
)
"),"")</f>
        <v/>
      </c>
      <c r="C1838" s="105" t="str">
        <f>IFERROR(__xludf.DUMMYFUNCTION("IFERROR(IF('Final Report'!A1838="""","""", TEXTJOIN(CHAR(10), TRUE, ARRAYFORMULA( ""• ""&amp; FILTER( TRIM(FLATTEN(SPLIT( REGEXREPLACE( SUBSTITUTE(TEXTJOIN("","", TRUE, IFERROR(ARRAYFORMULA(VLOOKUP(TRIM(SPLIT('Final Report'!A1838, "","")), 'URL Details'!A:D, "&amp;"4, FALSE)),"""") ), CHAR(10), "",""), ""\s*,\s*"", "",""), "",""))), TRIM(FLATTEN(SPLIT( REGEXREPLACE( SUBSTITUTE(TEXTJOIN("","", TRUE, IFERROR(ARRAYFORMULA(VLOOKUP(TRIM(SPLIT('Final Report'!A1838, "","")), 'URL Details'!A:D, 4, FALSE)),"""") ), CHAR(10),"&amp;" "",""), ""\s*,\s*"", "",""), "","")))&lt;&gt;"""" ) ) ) ),"""")
"),"")</f>
        <v/>
      </c>
      <c r="D1838" s="105"/>
      <c r="E1838" s="105"/>
      <c r="F1838" s="110" t="b">
        <v>0</v>
      </c>
      <c r="G1838" s="105" t="str">
        <f>IF(F1838=True, IFERROR(VLOOKUP(D1838, Repository!A:B, 2, 0), ""), "")</f>
        <v/>
      </c>
      <c r="H1838" s="105"/>
      <c r="I1838" s="105"/>
      <c r="J1838" s="105" t="str">
        <f>IF(F1838=True, IFERROR(VLOOKUP(D1838, Repository!A:C, 3, 0), ""), "")</f>
        <v/>
      </c>
      <c r="K1838" s="105"/>
      <c r="L1838" s="105" t="str">
        <f>IF(F1838=True, IFERROR(VLOOKUP(D1838, Repository!A:E, 5, 0), ""), "")</f>
        <v/>
      </c>
      <c r="M1838" s="105"/>
      <c r="N1838" s="105" t="str">
        <f>IF(F1838=True, IFERROR(VLOOKUP(D1838, Repository!A:G, 7, 0), ""), "")</f>
        <v/>
      </c>
      <c r="O1838" s="105" t="str">
        <f>IFERROR(__xludf.DUMMYFUNCTION("ARRAY_CONSTRAIN(
  ARRAYFORMULA(
    IFERROR(
      LET(
        list, N1838,
        arr, TRIM(SPLIT(list, "","")),
        names, XLOOKUP(
          arr,
          'Conformance Score'!A:A,
          'Conformance Score'!B:B,
          ""Not found""
     "&amp;"   ),
        TEXTJOIN("", "", TRUE, names)
      ),
      """"
    )
  ),
  1,
  1
)
"),"")</f>
        <v/>
      </c>
      <c r="P1838" s="105" t="str">
        <f>IF(F1838="Yes", IFERROR(VLOOKUP(D1838, Repository!A:F, 6, 0), ""), "")</f>
        <v/>
      </c>
      <c r="Q1838" s="105" t="str">
        <f>IF(F1838="Yes", IFERROR(VLOOKUP(D1838, Repository!A:I, 8, 0), ""), "")</f>
        <v/>
      </c>
      <c r="R1838" s="105" t="str">
        <f>IF(F1838="Yes", IFERROR(VLOOKUP(D1838, Repository!A:J, 9, 0), ""), "")</f>
        <v/>
      </c>
      <c r="S1838" s="105"/>
      <c r="T1838" s="105"/>
      <c r="U1838" s="105"/>
      <c r="V1838" s="105"/>
      <c r="W1838" s="105"/>
      <c r="X1838" s="105"/>
      <c r="Y1838" s="105"/>
      <c r="Z1838" s="105"/>
      <c r="AA1838" s="105"/>
      <c r="AB1838" s="105"/>
      <c r="AC1838" s="91"/>
      <c r="AD1838" s="105"/>
      <c r="AE1838" s="105"/>
      <c r="AF1838" s="91"/>
      <c r="AG1838" s="105"/>
      <c r="AH1838" s="105"/>
      <c r="AI1838" s="105" t="str">
        <f t="shared" si="1"/>
        <v/>
      </c>
      <c r="AJ1838" s="108" t="str">
        <f t="shared" si="2"/>
        <v/>
      </c>
    </row>
    <row r="1839" ht="15.75" customHeight="1">
      <c r="A1839" s="104"/>
      <c r="B1839" s="105" t="str">
        <f>IFERROR(__xludf.DUMMYFUNCTION("ARRAY_CONSTRAIN(
  ARRAYFORMULA(
    IF(
      'Final Report'!A1839="""",
      """",
      TEXTJOIN(
        "", "" &amp; CHAR(10),
        TRUE,
        IFERROR(
          VLOOKUP(
            TRIM(
              SPLIT('Final Report'!A1839, "","")
         "&amp;"   ),
            'URL Details'!A:B,
            2,
            FALSE
          ),
          """"
        )
      )
    )
  ),
  1,
  1
)
"),"")</f>
        <v/>
      </c>
      <c r="C1839" s="105" t="str">
        <f>IFERROR(__xludf.DUMMYFUNCTION("IFERROR(IF('Final Report'!A1839="""","""", TEXTJOIN(CHAR(10), TRUE, ARRAYFORMULA( ""• ""&amp; FILTER( TRIM(FLATTEN(SPLIT( REGEXREPLACE( SUBSTITUTE(TEXTJOIN("","", TRUE, IFERROR(ARRAYFORMULA(VLOOKUP(TRIM(SPLIT('Final Report'!A1839, "","")), 'URL Details'!A:D, "&amp;"4, FALSE)),"""") ), CHAR(10), "",""), ""\s*,\s*"", "",""), "",""))), TRIM(FLATTEN(SPLIT( REGEXREPLACE( SUBSTITUTE(TEXTJOIN("","", TRUE, IFERROR(ARRAYFORMULA(VLOOKUP(TRIM(SPLIT('Final Report'!A1839, "","")), 'URL Details'!A:D, 4, FALSE)),"""") ), CHAR(10),"&amp;" "",""), ""\s*,\s*"", "",""), "","")))&lt;&gt;"""" ) ) ) ),"""")
"),"")</f>
        <v/>
      </c>
      <c r="D1839" s="105"/>
      <c r="E1839" s="105"/>
      <c r="F1839" s="110" t="b">
        <v>0</v>
      </c>
      <c r="G1839" s="105" t="str">
        <f>IF(F1839=True, IFERROR(VLOOKUP(D1839, Repository!A:B, 2, 0), ""), "")</f>
        <v/>
      </c>
      <c r="H1839" s="105"/>
      <c r="I1839" s="105"/>
      <c r="J1839" s="105" t="str">
        <f>IF(F1839=True, IFERROR(VLOOKUP(D1839, Repository!A:C, 3, 0), ""), "")</f>
        <v/>
      </c>
      <c r="K1839" s="105"/>
      <c r="L1839" s="105" t="str">
        <f>IF(F1839=True, IFERROR(VLOOKUP(D1839, Repository!A:E, 5, 0), ""), "")</f>
        <v/>
      </c>
      <c r="M1839" s="105"/>
      <c r="N1839" s="105" t="str">
        <f>IF(F1839=True, IFERROR(VLOOKUP(D1839, Repository!A:G, 7, 0), ""), "")</f>
        <v/>
      </c>
      <c r="O1839" s="105" t="str">
        <f>IFERROR(__xludf.DUMMYFUNCTION("ARRAY_CONSTRAIN(
  ARRAYFORMULA(
    IFERROR(
      LET(
        list, N1839,
        arr, TRIM(SPLIT(list, "","")),
        names, XLOOKUP(
          arr,
          'Conformance Score'!A:A,
          'Conformance Score'!B:B,
          ""Not found""
     "&amp;"   ),
        TEXTJOIN("", "", TRUE, names)
      ),
      """"
    )
  ),
  1,
  1
)
"),"")</f>
        <v/>
      </c>
      <c r="P1839" s="105" t="str">
        <f>IF(F1839="Yes", IFERROR(VLOOKUP(D1839, Repository!A:F, 6, 0), ""), "")</f>
        <v/>
      </c>
      <c r="Q1839" s="105" t="str">
        <f>IF(F1839="Yes", IFERROR(VLOOKUP(D1839, Repository!A:I, 8, 0), ""), "")</f>
        <v/>
      </c>
      <c r="R1839" s="105" t="str">
        <f>IF(F1839="Yes", IFERROR(VLOOKUP(D1839, Repository!A:J, 9, 0), ""), "")</f>
        <v/>
      </c>
      <c r="S1839" s="105"/>
      <c r="T1839" s="105"/>
      <c r="U1839" s="105"/>
      <c r="V1839" s="105"/>
      <c r="W1839" s="105"/>
      <c r="X1839" s="105"/>
      <c r="Y1839" s="105"/>
      <c r="Z1839" s="105"/>
      <c r="AA1839" s="105"/>
      <c r="AB1839" s="105"/>
      <c r="AC1839" s="91"/>
      <c r="AD1839" s="105"/>
      <c r="AE1839" s="105"/>
      <c r="AF1839" s="91"/>
      <c r="AG1839" s="105"/>
      <c r="AH1839" s="105"/>
      <c r="AI1839" s="105" t="str">
        <f t="shared" si="1"/>
        <v/>
      </c>
      <c r="AJ1839" s="108" t="str">
        <f t="shared" si="2"/>
        <v/>
      </c>
    </row>
    <row r="1840" ht="15.75" customHeight="1">
      <c r="A1840" s="104"/>
      <c r="B1840" s="105" t="str">
        <f>IFERROR(__xludf.DUMMYFUNCTION("ARRAY_CONSTRAIN(
  ARRAYFORMULA(
    IF(
      'Final Report'!A1840="""",
      """",
      TEXTJOIN(
        "", "" &amp; CHAR(10),
        TRUE,
        IFERROR(
          VLOOKUP(
            TRIM(
              SPLIT('Final Report'!A1840, "","")
         "&amp;"   ),
            'URL Details'!A:B,
            2,
            FALSE
          ),
          """"
        )
      )
    )
  ),
  1,
  1
)
"),"")</f>
        <v/>
      </c>
      <c r="C1840" s="105" t="str">
        <f>IFERROR(__xludf.DUMMYFUNCTION("IFERROR(IF('Final Report'!A1840="""","""", TEXTJOIN(CHAR(10), TRUE, ARRAYFORMULA( ""• ""&amp; FILTER( TRIM(FLATTEN(SPLIT( REGEXREPLACE( SUBSTITUTE(TEXTJOIN("","", TRUE, IFERROR(ARRAYFORMULA(VLOOKUP(TRIM(SPLIT('Final Report'!A1840, "","")), 'URL Details'!A:D, "&amp;"4, FALSE)),"""") ), CHAR(10), "",""), ""\s*,\s*"", "",""), "",""))), TRIM(FLATTEN(SPLIT( REGEXREPLACE( SUBSTITUTE(TEXTJOIN("","", TRUE, IFERROR(ARRAYFORMULA(VLOOKUP(TRIM(SPLIT('Final Report'!A1840, "","")), 'URL Details'!A:D, 4, FALSE)),"""") ), CHAR(10),"&amp;" "",""), ""\s*,\s*"", "",""), "","")))&lt;&gt;"""" ) ) ) ),"""")
"),"")</f>
        <v/>
      </c>
      <c r="D1840" s="105"/>
      <c r="E1840" s="105"/>
      <c r="F1840" s="110" t="b">
        <v>0</v>
      </c>
      <c r="G1840" s="105" t="str">
        <f>IF(F1840=True, IFERROR(VLOOKUP(D1840, Repository!A:B, 2, 0), ""), "")</f>
        <v/>
      </c>
      <c r="H1840" s="105"/>
      <c r="I1840" s="105"/>
      <c r="J1840" s="105" t="str">
        <f>IF(F1840=True, IFERROR(VLOOKUP(D1840, Repository!A:C, 3, 0), ""), "")</f>
        <v/>
      </c>
      <c r="K1840" s="105"/>
      <c r="L1840" s="105" t="str">
        <f>IF(F1840=True, IFERROR(VLOOKUP(D1840, Repository!A:E, 5, 0), ""), "")</f>
        <v/>
      </c>
      <c r="M1840" s="105"/>
      <c r="N1840" s="105" t="str">
        <f>IF(F1840=True, IFERROR(VLOOKUP(D1840, Repository!A:G, 7, 0), ""), "")</f>
        <v/>
      </c>
      <c r="O1840" s="105" t="str">
        <f>IFERROR(__xludf.DUMMYFUNCTION("ARRAY_CONSTRAIN(
  ARRAYFORMULA(
    IFERROR(
      LET(
        list, N1840,
        arr, TRIM(SPLIT(list, "","")),
        names, XLOOKUP(
          arr,
          'Conformance Score'!A:A,
          'Conformance Score'!B:B,
          ""Not found""
     "&amp;"   ),
        TEXTJOIN("", "", TRUE, names)
      ),
      """"
    )
  ),
  1,
  1
)
"),"")</f>
        <v/>
      </c>
      <c r="P1840" s="105" t="str">
        <f>IF(F1840="Yes", IFERROR(VLOOKUP(D1840, Repository!A:F, 6, 0), ""), "")</f>
        <v/>
      </c>
      <c r="Q1840" s="105" t="str">
        <f>IF(F1840="Yes", IFERROR(VLOOKUP(D1840, Repository!A:I, 8, 0), ""), "")</f>
        <v/>
      </c>
      <c r="R1840" s="105" t="str">
        <f>IF(F1840="Yes", IFERROR(VLOOKUP(D1840, Repository!A:J, 9, 0), ""), "")</f>
        <v/>
      </c>
      <c r="S1840" s="105"/>
      <c r="T1840" s="105"/>
      <c r="U1840" s="105"/>
      <c r="V1840" s="105"/>
      <c r="W1840" s="105"/>
      <c r="X1840" s="105"/>
      <c r="Y1840" s="105"/>
      <c r="Z1840" s="105"/>
      <c r="AA1840" s="105"/>
      <c r="AB1840" s="105"/>
      <c r="AC1840" s="91"/>
      <c r="AD1840" s="105"/>
      <c r="AE1840" s="105"/>
      <c r="AF1840" s="91"/>
      <c r="AG1840" s="105"/>
      <c r="AH1840" s="105"/>
      <c r="AI1840" s="105" t="str">
        <f t="shared" si="1"/>
        <v/>
      </c>
      <c r="AJ1840" s="108" t="str">
        <f t="shared" si="2"/>
        <v/>
      </c>
    </row>
    <row r="1841" ht="15.75" customHeight="1">
      <c r="A1841" s="104"/>
      <c r="B1841" s="105" t="str">
        <f>IFERROR(__xludf.DUMMYFUNCTION("ARRAY_CONSTRAIN(
  ARRAYFORMULA(
    IF(
      'Final Report'!A1841="""",
      """",
      TEXTJOIN(
        "", "" &amp; CHAR(10),
        TRUE,
        IFERROR(
          VLOOKUP(
            TRIM(
              SPLIT('Final Report'!A1841, "","")
         "&amp;"   ),
            'URL Details'!A:B,
            2,
            FALSE
          ),
          """"
        )
      )
    )
  ),
  1,
  1
)
"),"")</f>
        <v/>
      </c>
      <c r="C1841" s="105" t="str">
        <f>IFERROR(__xludf.DUMMYFUNCTION("IFERROR(IF('Final Report'!A1841="""","""", TEXTJOIN(CHAR(10), TRUE, ARRAYFORMULA( ""• ""&amp; FILTER( TRIM(FLATTEN(SPLIT( REGEXREPLACE( SUBSTITUTE(TEXTJOIN("","", TRUE, IFERROR(ARRAYFORMULA(VLOOKUP(TRIM(SPLIT('Final Report'!A1841, "","")), 'URL Details'!A:D, "&amp;"4, FALSE)),"""") ), CHAR(10), "",""), ""\s*,\s*"", "",""), "",""))), TRIM(FLATTEN(SPLIT( REGEXREPLACE( SUBSTITUTE(TEXTJOIN("","", TRUE, IFERROR(ARRAYFORMULA(VLOOKUP(TRIM(SPLIT('Final Report'!A1841, "","")), 'URL Details'!A:D, 4, FALSE)),"""") ), CHAR(10),"&amp;" "",""), ""\s*,\s*"", "",""), "","")))&lt;&gt;"""" ) ) ) ),"""")
"),"")</f>
        <v/>
      </c>
      <c r="D1841" s="105"/>
      <c r="E1841" s="105"/>
      <c r="F1841" s="110" t="b">
        <v>0</v>
      </c>
      <c r="G1841" s="105" t="str">
        <f>IF(F1841=True, IFERROR(VLOOKUP(D1841, Repository!A:B, 2, 0), ""), "")</f>
        <v/>
      </c>
      <c r="H1841" s="105"/>
      <c r="I1841" s="105"/>
      <c r="J1841" s="105" t="str">
        <f>IF(F1841=True, IFERROR(VLOOKUP(D1841, Repository!A:C, 3, 0), ""), "")</f>
        <v/>
      </c>
      <c r="K1841" s="105"/>
      <c r="L1841" s="105" t="str">
        <f>IF(F1841=True, IFERROR(VLOOKUP(D1841, Repository!A:E, 5, 0), ""), "")</f>
        <v/>
      </c>
      <c r="M1841" s="105"/>
      <c r="N1841" s="105" t="str">
        <f>IF(F1841=True, IFERROR(VLOOKUP(D1841, Repository!A:G, 7, 0), ""), "")</f>
        <v/>
      </c>
      <c r="O1841" s="105" t="str">
        <f>IFERROR(__xludf.DUMMYFUNCTION("ARRAY_CONSTRAIN(
  ARRAYFORMULA(
    IFERROR(
      LET(
        list, N1841,
        arr, TRIM(SPLIT(list, "","")),
        names, XLOOKUP(
          arr,
          'Conformance Score'!A:A,
          'Conformance Score'!B:B,
          ""Not found""
     "&amp;"   ),
        TEXTJOIN("", "", TRUE, names)
      ),
      """"
    )
  ),
  1,
  1
)
"),"")</f>
        <v/>
      </c>
      <c r="P1841" s="105" t="str">
        <f>IF(F1841="Yes", IFERROR(VLOOKUP(D1841, Repository!A:F, 6, 0), ""), "")</f>
        <v/>
      </c>
      <c r="Q1841" s="105" t="str">
        <f>IF(F1841="Yes", IFERROR(VLOOKUP(D1841, Repository!A:I, 8, 0), ""), "")</f>
        <v/>
      </c>
      <c r="R1841" s="105" t="str">
        <f>IF(F1841="Yes", IFERROR(VLOOKUP(D1841, Repository!A:J, 9, 0), ""), "")</f>
        <v/>
      </c>
      <c r="S1841" s="105"/>
      <c r="T1841" s="105"/>
      <c r="U1841" s="105"/>
      <c r="V1841" s="105"/>
      <c r="W1841" s="105"/>
      <c r="X1841" s="105"/>
      <c r="Y1841" s="105"/>
      <c r="Z1841" s="105"/>
      <c r="AA1841" s="105"/>
      <c r="AB1841" s="105"/>
      <c r="AC1841" s="91"/>
      <c r="AD1841" s="105"/>
      <c r="AE1841" s="105"/>
      <c r="AF1841" s="91"/>
      <c r="AG1841" s="105"/>
      <c r="AH1841" s="105"/>
      <c r="AI1841" s="105" t="str">
        <f t="shared" si="1"/>
        <v/>
      </c>
      <c r="AJ1841" s="108" t="str">
        <f t="shared" si="2"/>
        <v/>
      </c>
    </row>
    <row r="1842" ht="15.75" customHeight="1">
      <c r="A1842" s="104"/>
      <c r="B1842" s="105" t="str">
        <f>IFERROR(__xludf.DUMMYFUNCTION("ARRAY_CONSTRAIN(
  ARRAYFORMULA(
    IF(
      'Final Report'!A1842="""",
      """",
      TEXTJOIN(
        "", "" &amp; CHAR(10),
        TRUE,
        IFERROR(
          VLOOKUP(
            TRIM(
              SPLIT('Final Report'!A1842, "","")
         "&amp;"   ),
            'URL Details'!A:B,
            2,
            FALSE
          ),
          """"
        )
      )
    )
  ),
  1,
  1
)
"),"")</f>
        <v/>
      </c>
      <c r="C1842" s="105" t="str">
        <f>IFERROR(__xludf.DUMMYFUNCTION("IFERROR(IF('Final Report'!A1842="""","""", TEXTJOIN(CHAR(10), TRUE, ARRAYFORMULA( ""• ""&amp; FILTER( TRIM(FLATTEN(SPLIT( REGEXREPLACE( SUBSTITUTE(TEXTJOIN("","", TRUE, IFERROR(ARRAYFORMULA(VLOOKUP(TRIM(SPLIT('Final Report'!A1842, "","")), 'URL Details'!A:D, "&amp;"4, FALSE)),"""") ), CHAR(10), "",""), ""\s*,\s*"", "",""), "",""))), TRIM(FLATTEN(SPLIT( REGEXREPLACE( SUBSTITUTE(TEXTJOIN("","", TRUE, IFERROR(ARRAYFORMULA(VLOOKUP(TRIM(SPLIT('Final Report'!A1842, "","")), 'URL Details'!A:D, 4, FALSE)),"""") ), CHAR(10),"&amp;" "",""), ""\s*,\s*"", "",""), "","")))&lt;&gt;"""" ) ) ) ),"""")
"),"")</f>
        <v/>
      </c>
      <c r="D1842" s="105"/>
      <c r="E1842" s="105"/>
      <c r="F1842" s="110" t="b">
        <v>0</v>
      </c>
      <c r="G1842" s="105" t="str">
        <f>IF(F1842=True, IFERROR(VLOOKUP(D1842, Repository!A:B, 2, 0), ""), "")</f>
        <v/>
      </c>
      <c r="H1842" s="105"/>
      <c r="I1842" s="105"/>
      <c r="J1842" s="105" t="str">
        <f>IF(F1842=True, IFERROR(VLOOKUP(D1842, Repository!A:C, 3, 0), ""), "")</f>
        <v/>
      </c>
      <c r="K1842" s="105"/>
      <c r="L1842" s="105" t="str">
        <f>IF(F1842=True, IFERROR(VLOOKUP(D1842, Repository!A:E, 5, 0), ""), "")</f>
        <v/>
      </c>
      <c r="M1842" s="105"/>
      <c r="N1842" s="105" t="str">
        <f>IF(F1842=True, IFERROR(VLOOKUP(D1842, Repository!A:G, 7, 0), ""), "")</f>
        <v/>
      </c>
      <c r="O1842" s="105" t="str">
        <f>IFERROR(__xludf.DUMMYFUNCTION("ARRAY_CONSTRAIN(
  ARRAYFORMULA(
    IFERROR(
      LET(
        list, N1842,
        arr, TRIM(SPLIT(list, "","")),
        names, XLOOKUP(
          arr,
          'Conformance Score'!A:A,
          'Conformance Score'!B:B,
          ""Not found""
     "&amp;"   ),
        TEXTJOIN("", "", TRUE, names)
      ),
      """"
    )
  ),
  1,
  1
)
"),"")</f>
        <v/>
      </c>
      <c r="P1842" s="105" t="str">
        <f>IF(F1842="Yes", IFERROR(VLOOKUP(D1842, Repository!A:F, 6, 0), ""), "")</f>
        <v/>
      </c>
      <c r="Q1842" s="105" t="str">
        <f>IF(F1842="Yes", IFERROR(VLOOKUP(D1842, Repository!A:I, 8, 0), ""), "")</f>
        <v/>
      </c>
      <c r="R1842" s="105" t="str">
        <f>IF(F1842="Yes", IFERROR(VLOOKUP(D1842, Repository!A:J, 9, 0), ""), "")</f>
        <v/>
      </c>
      <c r="S1842" s="105"/>
      <c r="T1842" s="105"/>
      <c r="U1842" s="105"/>
      <c r="V1842" s="105"/>
      <c r="W1842" s="105"/>
      <c r="X1842" s="105"/>
      <c r="Y1842" s="105"/>
      <c r="Z1842" s="105"/>
      <c r="AA1842" s="105"/>
      <c r="AB1842" s="105"/>
      <c r="AC1842" s="91"/>
      <c r="AD1842" s="105"/>
      <c r="AE1842" s="105"/>
      <c r="AF1842" s="91"/>
      <c r="AG1842" s="105"/>
      <c r="AH1842" s="105"/>
      <c r="AI1842" s="105" t="str">
        <f t="shared" si="1"/>
        <v/>
      </c>
      <c r="AJ1842" s="108" t="str">
        <f t="shared" si="2"/>
        <v/>
      </c>
    </row>
    <row r="1843" ht="15.75" customHeight="1">
      <c r="A1843" s="104"/>
      <c r="B1843" s="105" t="str">
        <f>IFERROR(__xludf.DUMMYFUNCTION("ARRAY_CONSTRAIN(
  ARRAYFORMULA(
    IF(
      'Final Report'!A1843="""",
      """",
      TEXTJOIN(
        "", "" &amp; CHAR(10),
        TRUE,
        IFERROR(
          VLOOKUP(
            TRIM(
              SPLIT('Final Report'!A1843, "","")
         "&amp;"   ),
            'URL Details'!A:B,
            2,
            FALSE
          ),
          """"
        )
      )
    )
  ),
  1,
  1
)
"),"")</f>
        <v/>
      </c>
      <c r="C1843" s="105" t="str">
        <f>IFERROR(__xludf.DUMMYFUNCTION("IFERROR(IF('Final Report'!A1843="""","""", TEXTJOIN(CHAR(10), TRUE, ARRAYFORMULA( ""• ""&amp; FILTER( TRIM(FLATTEN(SPLIT( REGEXREPLACE( SUBSTITUTE(TEXTJOIN("","", TRUE, IFERROR(ARRAYFORMULA(VLOOKUP(TRIM(SPLIT('Final Report'!A1843, "","")), 'URL Details'!A:D, "&amp;"4, FALSE)),"""") ), CHAR(10), "",""), ""\s*,\s*"", "",""), "",""))), TRIM(FLATTEN(SPLIT( REGEXREPLACE( SUBSTITUTE(TEXTJOIN("","", TRUE, IFERROR(ARRAYFORMULA(VLOOKUP(TRIM(SPLIT('Final Report'!A1843, "","")), 'URL Details'!A:D, 4, FALSE)),"""") ), CHAR(10),"&amp;" "",""), ""\s*,\s*"", "",""), "","")))&lt;&gt;"""" ) ) ) ),"""")
"),"")</f>
        <v/>
      </c>
      <c r="D1843" s="105"/>
      <c r="E1843" s="105"/>
      <c r="F1843" s="110" t="b">
        <v>0</v>
      </c>
      <c r="G1843" s="105" t="str">
        <f>IF(F1843=True, IFERROR(VLOOKUP(D1843, Repository!A:B, 2, 0), ""), "")</f>
        <v/>
      </c>
      <c r="H1843" s="105"/>
      <c r="I1843" s="105"/>
      <c r="J1843" s="105" t="str">
        <f>IF(F1843=True, IFERROR(VLOOKUP(D1843, Repository!A:C, 3, 0), ""), "")</f>
        <v/>
      </c>
      <c r="K1843" s="105"/>
      <c r="L1843" s="105" t="str">
        <f>IF(F1843=True, IFERROR(VLOOKUP(D1843, Repository!A:E, 5, 0), ""), "")</f>
        <v/>
      </c>
      <c r="M1843" s="105"/>
      <c r="N1843" s="105" t="str">
        <f>IF(F1843=True, IFERROR(VLOOKUP(D1843, Repository!A:G, 7, 0), ""), "")</f>
        <v/>
      </c>
      <c r="O1843" s="105" t="str">
        <f>IFERROR(__xludf.DUMMYFUNCTION("ARRAY_CONSTRAIN(
  ARRAYFORMULA(
    IFERROR(
      LET(
        list, N1843,
        arr, TRIM(SPLIT(list, "","")),
        names, XLOOKUP(
          arr,
          'Conformance Score'!A:A,
          'Conformance Score'!B:B,
          ""Not found""
     "&amp;"   ),
        TEXTJOIN("", "", TRUE, names)
      ),
      """"
    )
  ),
  1,
  1
)
"),"")</f>
        <v/>
      </c>
      <c r="P1843" s="105" t="str">
        <f>IF(F1843="Yes", IFERROR(VLOOKUP(D1843, Repository!A:F, 6, 0), ""), "")</f>
        <v/>
      </c>
      <c r="Q1843" s="105" t="str">
        <f>IF(F1843="Yes", IFERROR(VLOOKUP(D1843, Repository!A:I, 8, 0), ""), "")</f>
        <v/>
      </c>
      <c r="R1843" s="105" t="str">
        <f>IF(F1843="Yes", IFERROR(VLOOKUP(D1843, Repository!A:J, 9, 0), ""), "")</f>
        <v/>
      </c>
      <c r="S1843" s="105"/>
      <c r="T1843" s="105"/>
      <c r="U1843" s="105"/>
      <c r="V1843" s="105"/>
      <c r="W1843" s="105"/>
      <c r="X1843" s="105"/>
      <c r="Y1843" s="105"/>
      <c r="Z1843" s="105"/>
      <c r="AA1843" s="105"/>
      <c r="AB1843" s="105"/>
      <c r="AC1843" s="91"/>
      <c r="AD1843" s="105"/>
      <c r="AE1843" s="105"/>
      <c r="AF1843" s="91"/>
      <c r="AG1843" s="105"/>
      <c r="AH1843" s="105"/>
      <c r="AI1843" s="105" t="str">
        <f t="shared" si="1"/>
        <v/>
      </c>
      <c r="AJ1843" s="108" t="str">
        <f t="shared" si="2"/>
        <v/>
      </c>
    </row>
    <row r="1844" ht="15.75" customHeight="1">
      <c r="A1844" s="104"/>
      <c r="B1844" s="105" t="str">
        <f>IFERROR(__xludf.DUMMYFUNCTION("ARRAY_CONSTRAIN(
  ARRAYFORMULA(
    IF(
      'Final Report'!A1844="""",
      """",
      TEXTJOIN(
        "", "" &amp; CHAR(10),
        TRUE,
        IFERROR(
          VLOOKUP(
            TRIM(
              SPLIT('Final Report'!A1844, "","")
         "&amp;"   ),
            'URL Details'!A:B,
            2,
            FALSE
          ),
          """"
        )
      )
    )
  ),
  1,
  1
)
"),"")</f>
        <v/>
      </c>
      <c r="C1844" s="105" t="str">
        <f>IFERROR(__xludf.DUMMYFUNCTION("IFERROR(IF('Final Report'!A1844="""","""", TEXTJOIN(CHAR(10), TRUE, ARRAYFORMULA( ""• ""&amp; FILTER( TRIM(FLATTEN(SPLIT( REGEXREPLACE( SUBSTITUTE(TEXTJOIN("","", TRUE, IFERROR(ARRAYFORMULA(VLOOKUP(TRIM(SPLIT('Final Report'!A1844, "","")), 'URL Details'!A:D, "&amp;"4, FALSE)),"""") ), CHAR(10), "",""), ""\s*,\s*"", "",""), "",""))), TRIM(FLATTEN(SPLIT( REGEXREPLACE( SUBSTITUTE(TEXTJOIN("","", TRUE, IFERROR(ARRAYFORMULA(VLOOKUP(TRIM(SPLIT('Final Report'!A1844, "","")), 'URL Details'!A:D, 4, FALSE)),"""") ), CHAR(10),"&amp;" "",""), ""\s*,\s*"", "",""), "","")))&lt;&gt;"""" ) ) ) ),"""")
"),"")</f>
        <v/>
      </c>
      <c r="D1844" s="105"/>
      <c r="E1844" s="105"/>
      <c r="F1844" s="110" t="b">
        <v>0</v>
      </c>
      <c r="G1844" s="105" t="str">
        <f>IF(F1844=True, IFERROR(VLOOKUP(D1844, Repository!A:B, 2, 0), ""), "")</f>
        <v/>
      </c>
      <c r="H1844" s="105"/>
      <c r="I1844" s="105"/>
      <c r="J1844" s="105" t="str">
        <f>IF(F1844=True, IFERROR(VLOOKUP(D1844, Repository!A:C, 3, 0), ""), "")</f>
        <v/>
      </c>
      <c r="K1844" s="105"/>
      <c r="L1844" s="105" t="str">
        <f>IF(F1844=True, IFERROR(VLOOKUP(D1844, Repository!A:E, 5, 0), ""), "")</f>
        <v/>
      </c>
      <c r="M1844" s="105"/>
      <c r="N1844" s="105" t="str">
        <f>IF(F1844=True, IFERROR(VLOOKUP(D1844, Repository!A:G, 7, 0), ""), "")</f>
        <v/>
      </c>
      <c r="O1844" s="105" t="str">
        <f>IFERROR(__xludf.DUMMYFUNCTION("ARRAY_CONSTRAIN(
  ARRAYFORMULA(
    IFERROR(
      LET(
        list, N1844,
        arr, TRIM(SPLIT(list, "","")),
        names, XLOOKUP(
          arr,
          'Conformance Score'!A:A,
          'Conformance Score'!B:B,
          ""Not found""
     "&amp;"   ),
        TEXTJOIN("", "", TRUE, names)
      ),
      """"
    )
  ),
  1,
  1
)
"),"")</f>
        <v/>
      </c>
      <c r="P1844" s="105" t="str">
        <f>IF(F1844="Yes", IFERROR(VLOOKUP(D1844, Repository!A:F, 6, 0), ""), "")</f>
        <v/>
      </c>
      <c r="Q1844" s="105" t="str">
        <f>IF(F1844="Yes", IFERROR(VLOOKUP(D1844, Repository!A:I, 8, 0), ""), "")</f>
        <v/>
      </c>
      <c r="R1844" s="105" t="str">
        <f>IF(F1844="Yes", IFERROR(VLOOKUP(D1844, Repository!A:J, 9, 0), ""), "")</f>
        <v/>
      </c>
      <c r="S1844" s="105"/>
      <c r="T1844" s="105"/>
      <c r="U1844" s="105"/>
      <c r="V1844" s="105"/>
      <c r="W1844" s="105"/>
      <c r="X1844" s="105"/>
      <c r="Y1844" s="105"/>
      <c r="Z1844" s="105"/>
      <c r="AA1844" s="105"/>
      <c r="AB1844" s="105"/>
      <c r="AC1844" s="91"/>
      <c r="AD1844" s="105"/>
      <c r="AE1844" s="105"/>
      <c r="AF1844" s="91"/>
      <c r="AG1844" s="105"/>
      <c r="AH1844" s="105"/>
      <c r="AI1844" s="105" t="str">
        <f t="shared" si="1"/>
        <v/>
      </c>
      <c r="AJ1844" s="108" t="str">
        <f t="shared" si="2"/>
        <v/>
      </c>
    </row>
    <row r="1845" ht="15.75" customHeight="1">
      <c r="A1845" s="104"/>
      <c r="B1845" s="105" t="str">
        <f>IFERROR(__xludf.DUMMYFUNCTION("ARRAY_CONSTRAIN(
  ARRAYFORMULA(
    IF(
      'Final Report'!A1845="""",
      """",
      TEXTJOIN(
        "", "" &amp; CHAR(10),
        TRUE,
        IFERROR(
          VLOOKUP(
            TRIM(
              SPLIT('Final Report'!A1845, "","")
         "&amp;"   ),
            'URL Details'!A:B,
            2,
            FALSE
          ),
          """"
        )
      )
    )
  ),
  1,
  1
)
"),"")</f>
        <v/>
      </c>
      <c r="C1845" s="105" t="str">
        <f>IFERROR(__xludf.DUMMYFUNCTION("IFERROR(IF('Final Report'!A1845="""","""", TEXTJOIN(CHAR(10), TRUE, ARRAYFORMULA( ""• ""&amp; FILTER( TRIM(FLATTEN(SPLIT( REGEXREPLACE( SUBSTITUTE(TEXTJOIN("","", TRUE, IFERROR(ARRAYFORMULA(VLOOKUP(TRIM(SPLIT('Final Report'!A1845, "","")), 'URL Details'!A:D, "&amp;"4, FALSE)),"""") ), CHAR(10), "",""), ""\s*,\s*"", "",""), "",""))), TRIM(FLATTEN(SPLIT( REGEXREPLACE( SUBSTITUTE(TEXTJOIN("","", TRUE, IFERROR(ARRAYFORMULA(VLOOKUP(TRIM(SPLIT('Final Report'!A1845, "","")), 'URL Details'!A:D, 4, FALSE)),"""") ), CHAR(10),"&amp;" "",""), ""\s*,\s*"", "",""), "","")))&lt;&gt;"""" ) ) ) ),"""")
"),"")</f>
        <v/>
      </c>
      <c r="D1845" s="105"/>
      <c r="E1845" s="105"/>
      <c r="F1845" s="110" t="b">
        <v>0</v>
      </c>
      <c r="G1845" s="105" t="str">
        <f>IF(F1845=True, IFERROR(VLOOKUP(D1845, Repository!A:B, 2, 0), ""), "")</f>
        <v/>
      </c>
      <c r="H1845" s="105"/>
      <c r="I1845" s="105"/>
      <c r="J1845" s="105" t="str">
        <f>IF(F1845=True, IFERROR(VLOOKUP(D1845, Repository!A:C, 3, 0), ""), "")</f>
        <v/>
      </c>
      <c r="K1845" s="105"/>
      <c r="L1845" s="105" t="str">
        <f>IF(F1845=True, IFERROR(VLOOKUP(D1845, Repository!A:E, 5, 0), ""), "")</f>
        <v/>
      </c>
      <c r="M1845" s="105"/>
      <c r="N1845" s="105" t="str">
        <f>IF(F1845=True, IFERROR(VLOOKUP(D1845, Repository!A:G, 7, 0), ""), "")</f>
        <v/>
      </c>
      <c r="O1845" s="105" t="str">
        <f>IFERROR(__xludf.DUMMYFUNCTION("ARRAY_CONSTRAIN(
  ARRAYFORMULA(
    IFERROR(
      LET(
        list, N1845,
        arr, TRIM(SPLIT(list, "","")),
        names, XLOOKUP(
          arr,
          'Conformance Score'!A:A,
          'Conformance Score'!B:B,
          ""Not found""
     "&amp;"   ),
        TEXTJOIN("", "", TRUE, names)
      ),
      """"
    )
  ),
  1,
  1
)
"),"")</f>
        <v/>
      </c>
      <c r="P1845" s="105" t="str">
        <f>IF(F1845="Yes", IFERROR(VLOOKUP(D1845, Repository!A:F, 6, 0), ""), "")</f>
        <v/>
      </c>
      <c r="Q1845" s="105" t="str">
        <f>IF(F1845="Yes", IFERROR(VLOOKUP(D1845, Repository!A:I, 8, 0), ""), "")</f>
        <v/>
      </c>
      <c r="R1845" s="105" t="str">
        <f>IF(F1845="Yes", IFERROR(VLOOKUP(D1845, Repository!A:J, 9, 0), ""), "")</f>
        <v/>
      </c>
      <c r="S1845" s="105"/>
      <c r="T1845" s="105"/>
      <c r="U1845" s="105"/>
      <c r="V1845" s="105"/>
      <c r="W1845" s="105"/>
      <c r="X1845" s="105"/>
      <c r="Y1845" s="105"/>
      <c r="Z1845" s="105"/>
      <c r="AA1845" s="105"/>
      <c r="AB1845" s="105"/>
      <c r="AC1845" s="91"/>
      <c r="AD1845" s="105"/>
      <c r="AE1845" s="105"/>
      <c r="AF1845" s="91"/>
      <c r="AG1845" s="105"/>
      <c r="AH1845" s="105"/>
      <c r="AI1845" s="105" t="str">
        <f t="shared" si="1"/>
        <v/>
      </c>
      <c r="AJ1845" s="108" t="str">
        <f t="shared" si="2"/>
        <v/>
      </c>
    </row>
    <row r="1846" ht="15.75" customHeight="1">
      <c r="A1846" s="104"/>
      <c r="B1846" s="105" t="str">
        <f>IFERROR(__xludf.DUMMYFUNCTION("ARRAY_CONSTRAIN(
  ARRAYFORMULA(
    IF(
      'Final Report'!A1846="""",
      """",
      TEXTJOIN(
        "", "" &amp; CHAR(10),
        TRUE,
        IFERROR(
          VLOOKUP(
            TRIM(
              SPLIT('Final Report'!A1846, "","")
         "&amp;"   ),
            'URL Details'!A:B,
            2,
            FALSE
          ),
          """"
        )
      )
    )
  ),
  1,
  1
)
"),"")</f>
        <v/>
      </c>
      <c r="C1846" s="105" t="str">
        <f>IFERROR(__xludf.DUMMYFUNCTION("IFERROR(IF('Final Report'!A1846="""","""", TEXTJOIN(CHAR(10), TRUE, ARRAYFORMULA( ""• ""&amp; FILTER( TRIM(FLATTEN(SPLIT( REGEXREPLACE( SUBSTITUTE(TEXTJOIN("","", TRUE, IFERROR(ARRAYFORMULA(VLOOKUP(TRIM(SPLIT('Final Report'!A1846, "","")), 'URL Details'!A:D, "&amp;"4, FALSE)),"""") ), CHAR(10), "",""), ""\s*,\s*"", "",""), "",""))), TRIM(FLATTEN(SPLIT( REGEXREPLACE( SUBSTITUTE(TEXTJOIN("","", TRUE, IFERROR(ARRAYFORMULA(VLOOKUP(TRIM(SPLIT('Final Report'!A1846, "","")), 'URL Details'!A:D, 4, FALSE)),"""") ), CHAR(10),"&amp;" "",""), ""\s*,\s*"", "",""), "","")))&lt;&gt;"""" ) ) ) ),"""")
"),"")</f>
        <v/>
      </c>
      <c r="D1846" s="105"/>
      <c r="E1846" s="105"/>
      <c r="F1846" s="110" t="b">
        <v>0</v>
      </c>
      <c r="G1846" s="105" t="str">
        <f>IF(F1846=True, IFERROR(VLOOKUP(D1846, Repository!A:B, 2, 0), ""), "")</f>
        <v/>
      </c>
      <c r="H1846" s="105"/>
      <c r="I1846" s="105"/>
      <c r="J1846" s="105" t="str">
        <f>IF(F1846=True, IFERROR(VLOOKUP(D1846, Repository!A:C, 3, 0), ""), "")</f>
        <v/>
      </c>
      <c r="K1846" s="105"/>
      <c r="L1846" s="105" t="str">
        <f>IF(F1846=True, IFERROR(VLOOKUP(D1846, Repository!A:E, 5, 0), ""), "")</f>
        <v/>
      </c>
      <c r="M1846" s="105"/>
      <c r="N1846" s="105" t="str">
        <f>IF(F1846=True, IFERROR(VLOOKUP(D1846, Repository!A:G, 7, 0), ""), "")</f>
        <v/>
      </c>
      <c r="O1846" s="105" t="str">
        <f>IFERROR(__xludf.DUMMYFUNCTION("ARRAY_CONSTRAIN(
  ARRAYFORMULA(
    IFERROR(
      LET(
        list, N1846,
        arr, TRIM(SPLIT(list, "","")),
        names, XLOOKUP(
          arr,
          'Conformance Score'!A:A,
          'Conformance Score'!B:B,
          ""Not found""
     "&amp;"   ),
        TEXTJOIN("", "", TRUE, names)
      ),
      """"
    )
  ),
  1,
  1
)
"),"")</f>
        <v/>
      </c>
      <c r="P1846" s="105" t="str">
        <f>IF(F1846="Yes", IFERROR(VLOOKUP(D1846, Repository!A:F, 6, 0), ""), "")</f>
        <v/>
      </c>
      <c r="Q1846" s="105" t="str">
        <f>IF(F1846="Yes", IFERROR(VLOOKUP(D1846, Repository!A:I, 8, 0), ""), "")</f>
        <v/>
      </c>
      <c r="R1846" s="105" t="str">
        <f>IF(F1846="Yes", IFERROR(VLOOKUP(D1846, Repository!A:J, 9, 0), ""), "")</f>
        <v/>
      </c>
      <c r="S1846" s="105"/>
      <c r="T1846" s="105"/>
      <c r="U1846" s="105"/>
      <c r="V1846" s="105"/>
      <c r="W1846" s="105"/>
      <c r="X1846" s="105"/>
      <c r="Y1846" s="105"/>
      <c r="Z1846" s="105"/>
      <c r="AA1846" s="105"/>
      <c r="AB1846" s="105"/>
      <c r="AC1846" s="91"/>
      <c r="AD1846" s="105"/>
      <c r="AE1846" s="105"/>
      <c r="AF1846" s="91"/>
      <c r="AG1846" s="105"/>
      <c r="AH1846" s="105"/>
      <c r="AI1846" s="105" t="str">
        <f t="shared" si="1"/>
        <v/>
      </c>
      <c r="AJ1846" s="108" t="str">
        <f t="shared" si="2"/>
        <v/>
      </c>
    </row>
    <row r="1847" ht="15.75" customHeight="1">
      <c r="A1847" s="104"/>
      <c r="B1847" s="105" t="str">
        <f>IFERROR(__xludf.DUMMYFUNCTION("ARRAY_CONSTRAIN(
  ARRAYFORMULA(
    IF(
      'Final Report'!A1847="""",
      """",
      TEXTJOIN(
        "", "" &amp; CHAR(10),
        TRUE,
        IFERROR(
          VLOOKUP(
            TRIM(
              SPLIT('Final Report'!A1847, "","")
         "&amp;"   ),
            'URL Details'!A:B,
            2,
            FALSE
          ),
          """"
        )
      )
    )
  ),
  1,
  1
)
"),"")</f>
        <v/>
      </c>
      <c r="C1847" s="105" t="str">
        <f>IFERROR(__xludf.DUMMYFUNCTION("IFERROR(IF('Final Report'!A1847="""","""", TEXTJOIN(CHAR(10), TRUE, ARRAYFORMULA( ""• ""&amp; FILTER( TRIM(FLATTEN(SPLIT( REGEXREPLACE( SUBSTITUTE(TEXTJOIN("","", TRUE, IFERROR(ARRAYFORMULA(VLOOKUP(TRIM(SPLIT('Final Report'!A1847, "","")), 'URL Details'!A:D, "&amp;"4, FALSE)),"""") ), CHAR(10), "",""), ""\s*,\s*"", "",""), "",""))), TRIM(FLATTEN(SPLIT( REGEXREPLACE( SUBSTITUTE(TEXTJOIN("","", TRUE, IFERROR(ARRAYFORMULA(VLOOKUP(TRIM(SPLIT('Final Report'!A1847, "","")), 'URL Details'!A:D, 4, FALSE)),"""") ), CHAR(10),"&amp;" "",""), ""\s*,\s*"", "",""), "","")))&lt;&gt;"""" ) ) ) ),"""")
"),"")</f>
        <v/>
      </c>
      <c r="D1847" s="105"/>
      <c r="E1847" s="105"/>
      <c r="F1847" s="110" t="b">
        <v>0</v>
      </c>
      <c r="G1847" s="105" t="str">
        <f>IF(F1847=True, IFERROR(VLOOKUP(D1847, Repository!A:B, 2, 0), ""), "")</f>
        <v/>
      </c>
      <c r="H1847" s="105"/>
      <c r="I1847" s="105"/>
      <c r="J1847" s="105" t="str">
        <f>IF(F1847=True, IFERROR(VLOOKUP(D1847, Repository!A:C, 3, 0), ""), "")</f>
        <v/>
      </c>
      <c r="K1847" s="105"/>
      <c r="L1847" s="105" t="str">
        <f>IF(F1847=True, IFERROR(VLOOKUP(D1847, Repository!A:E, 5, 0), ""), "")</f>
        <v/>
      </c>
      <c r="M1847" s="105"/>
      <c r="N1847" s="105" t="str">
        <f>IF(F1847=True, IFERROR(VLOOKUP(D1847, Repository!A:G, 7, 0), ""), "")</f>
        <v/>
      </c>
      <c r="O1847" s="105" t="str">
        <f>IFERROR(__xludf.DUMMYFUNCTION("ARRAY_CONSTRAIN(
  ARRAYFORMULA(
    IFERROR(
      LET(
        list, N1847,
        arr, TRIM(SPLIT(list, "","")),
        names, XLOOKUP(
          arr,
          'Conformance Score'!A:A,
          'Conformance Score'!B:B,
          ""Not found""
     "&amp;"   ),
        TEXTJOIN("", "", TRUE, names)
      ),
      """"
    )
  ),
  1,
  1
)
"),"")</f>
        <v/>
      </c>
      <c r="P1847" s="105" t="str">
        <f>IF(F1847="Yes", IFERROR(VLOOKUP(D1847, Repository!A:F, 6, 0), ""), "")</f>
        <v/>
      </c>
      <c r="Q1847" s="105" t="str">
        <f>IF(F1847="Yes", IFERROR(VLOOKUP(D1847, Repository!A:I, 8, 0), ""), "")</f>
        <v/>
      </c>
      <c r="R1847" s="105" t="str">
        <f>IF(F1847="Yes", IFERROR(VLOOKUP(D1847, Repository!A:J, 9, 0), ""), "")</f>
        <v/>
      </c>
      <c r="S1847" s="105"/>
      <c r="T1847" s="105"/>
      <c r="U1847" s="105"/>
      <c r="V1847" s="105"/>
      <c r="W1847" s="105"/>
      <c r="X1847" s="105"/>
      <c r="Y1847" s="105"/>
      <c r="Z1847" s="105"/>
      <c r="AA1847" s="105"/>
      <c r="AB1847" s="105"/>
      <c r="AC1847" s="91"/>
      <c r="AD1847" s="105"/>
      <c r="AE1847" s="105"/>
      <c r="AF1847" s="91"/>
      <c r="AG1847" s="105"/>
      <c r="AH1847" s="105"/>
      <c r="AI1847" s="105" t="str">
        <f t="shared" si="1"/>
        <v/>
      </c>
      <c r="AJ1847" s="108" t="str">
        <f t="shared" si="2"/>
        <v/>
      </c>
    </row>
    <row r="1848" ht="15.75" customHeight="1">
      <c r="A1848" s="104"/>
      <c r="B1848" s="105" t="str">
        <f>IFERROR(__xludf.DUMMYFUNCTION("ARRAY_CONSTRAIN(
  ARRAYFORMULA(
    IF(
      'Final Report'!A1848="""",
      """",
      TEXTJOIN(
        "", "" &amp; CHAR(10),
        TRUE,
        IFERROR(
          VLOOKUP(
            TRIM(
              SPLIT('Final Report'!A1848, "","")
         "&amp;"   ),
            'URL Details'!A:B,
            2,
            FALSE
          ),
          """"
        )
      )
    )
  ),
  1,
  1
)
"),"")</f>
        <v/>
      </c>
      <c r="C1848" s="105" t="str">
        <f>IFERROR(__xludf.DUMMYFUNCTION("IFERROR(IF('Final Report'!A1848="""","""", TEXTJOIN(CHAR(10), TRUE, ARRAYFORMULA( ""• ""&amp; FILTER( TRIM(FLATTEN(SPLIT( REGEXREPLACE( SUBSTITUTE(TEXTJOIN("","", TRUE, IFERROR(ARRAYFORMULA(VLOOKUP(TRIM(SPLIT('Final Report'!A1848, "","")), 'URL Details'!A:D, "&amp;"4, FALSE)),"""") ), CHAR(10), "",""), ""\s*,\s*"", "",""), "",""))), TRIM(FLATTEN(SPLIT( REGEXREPLACE( SUBSTITUTE(TEXTJOIN("","", TRUE, IFERROR(ARRAYFORMULA(VLOOKUP(TRIM(SPLIT('Final Report'!A1848, "","")), 'URL Details'!A:D, 4, FALSE)),"""") ), CHAR(10),"&amp;" "",""), ""\s*,\s*"", "",""), "","")))&lt;&gt;"""" ) ) ) ),"""")
"),"")</f>
        <v/>
      </c>
      <c r="D1848" s="105"/>
      <c r="E1848" s="105"/>
      <c r="F1848" s="110" t="b">
        <v>0</v>
      </c>
      <c r="G1848" s="105" t="str">
        <f>IF(F1848=True, IFERROR(VLOOKUP(D1848, Repository!A:B, 2, 0), ""), "")</f>
        <v/>
      </c>
      <c r="H1848" s="105"/>
      <c r="I1848" s="105"/>
      <c r="J1848" s="105" t="str">
        <f>IF(F1848=True, IFERROR(VLOOKUP(D1848, Repository!A:C, 3, 0), ""), "")</f>
        <v/>
      </c>
      <c r="K1848" s="105"/>
      <c r="L1848" s="105" t="str">
        <f>IF(F1848=True, IFERROR(VLOOKUP(D1848, Repository!A:E, 5, 0), ""), "")</f>
        <v/>
      </c>
      <c r="M1848" s="105"/>
      <c r="N1848" s="105" t="str">
        <f>IF(F1848=True, IFERROR(VLOOKUP(D1848, Repository!A:G, 7, 0), ""), "")</f>
        <v/>
      </c>
      <c r="O1848" s="105" t="str">
        <f>IFERROR(__xludf.DUMMYFUNCTION("ARRAY_CONSTRAIN(
  ARRAYFORMULA(
    IFERROR(
      LET(
        list, N1848,
        arr, TRIM(SPLIT(list, "","")),
        names, XLOOKUP(
          arr,
          'Conformance Score'!A:A,
          'Conformance Score'!B:B,
          ""Not found""
     "&amp;"   ),
        TEXTJOIN("", "", TRUE, names)
      ),
      """"
    )
  ),
  1,
  1
)
"),"")</f>
        <v/>
      </c>
      <c r="P1848" s="105" t="str">
        <f>IF(F1848="Yes", IFERROR(VLOOKUP(D1848, Repository!A:F, 6, 0), ""), "")</f>
        <v/>
      </c>
      <c r="Q1848" s="105" t="str">
        <f>IF(F1848="Yes", IFERROR(VLOOKUP(D1848, Repository!A:I, 8, 0), ""), "")</f>
        <v/>
      </c>
      <c r="R1848" s="105" t="str">
        <f>IF(F1848="Yes", IFERROR(VLOOKUP(D1848, Repository!A:J, 9, 0), ""), "")</f>
        <v/>
      </c>
      <c r="S1848" s="105"/>
      <c r="T1848" s="105"/>
      <c r="U1848" s="105"/>
      <c r="V1848" s="105"/>
      <c r="W1848" s="105"/>
      <c r="X1848" s="105"/>
      <c r="Y1848" s="105"/>
      <c r="Z1848" s="105"/>
      <c r="AA1848" s="105"/>
      <c r="AB1848" s="105"/>
      <c r="AC1848" s="91"/>
      <c r="AD1848" s="105"/>
      <c r="AE1848" s="105"/>
      <c r="AF1848" s="91"/>
      <c r="AG1848" s="105"/>
      <c r="AH1848" s="105"/>
      <c r="AI1848" s="105" t="str">
        <f t="shared" si="1"/>
        <v/>
      </c>
      <c r="AJ1848" s="108" t="str">
        <f t="shared" si="2"/>
        <v/>
      </c>
    </row>
    <row r="1849" ht="15.75" customHeight="1">
      <c r="A1849" s="104"/>
      <c r="B1849" s="105" t="str">
        <f>IFERROR(__xludf.DUMMYFUNCTION("ARRAY_CONSTRAIN(
  ARRAYFORMULA(
    IF(
      'Final Report'!A1849="""",
      """",
      TEXTJOIN(
        "", "" &amp; CHAR(10),
        TRUE,
        IFERROR(
          VLOOKUP(
            TRIM(
              SPLIT('Final Report'!A1849, "","")
         "&amp;"   ),
            'URL Details'!A:B,
            2,
            FALSE
          ),
          """"
        )
      )
    )
  ),
  1,
  1
)
"),"")</f>
        <v/>
      </c>
      <c r="C1849" s="105" t="str">
        <f>IFERROR(__xludf.DUMMYFUNCTION("IFERROR(IF('Final Report'!A1849="""","""", TEXTJOIN(CHAR(10), TRUE, ARRAYFORMULA( ""• ""&amp; FILTER( TRIM(FLATTEN(SPLIT( REGEXREPLACE( SUBSTITUTE(TEXTJOIN("","", TRUE, IFERROR(ARRAYFORMULA(VLOOKUP(TRIM(SPLIT('Final Report'!A1849, "","")), 'URL Details'!A:D, "&amp;"4, FALSE)),"""") ), CHAR(10), "",""), ""\s*,\s*"", "",""), "",""))), TRIM(FLATTEN(SPLIT( REGEXREPLACE( SUBSTITUTE(TEXTJOIN("","", TRUE, IFERROR(ARRAYFORMULA(VLOOKUP(TRIM(SPLIT('Final Report'!A1849, "","")), 'URL Details'!A:D, 4, FALSE)),"""") ), CHAR(10),"&amp;" "",""), ""\s*,\s*"", "",""), "","")))&lt;&gt;"""" ) ) ) ),"""")
"),"")</f>
        <v/>
      </c>
      <c r="D1849" s="105"/>
      <c r="E1849" s="105"/>
      <c r="F1849" s="110" t="b">
        <v>0</v>
      </c>
      <c r="G1849" s="105" t="str">
        <f>IF(F1849=True, IFERROR(VLOOKUP(D1849, Repository!A:B, 2, 0), ""), "")</f>
        <v/>
      </c>
      <c r="H1849" s="105"/>
      <c r="I1849" s="105"/>
      <c r="J1849" s="105" t="str">
        <f>IF(F1849=True, IFERROR(VLOOKUP(D1849, Repository!A:C, 3, 0), ""), "")</f>
        <v/>
      </c>
      <c r="K1849" s="105"/>
      <c r="L1849" s="105" t="str">
        <f>IF(F1849=True, IFERROR(VLOOKUP(D1849, Repository!A:E, 5, 0), ""), "")</f>
        <v/>
      </c>
      <c r="M1849" s="105"/>
      <c r="N1849" s="105" t="str">
        <f>IF(F1849=True, IFERROR(VLOOKUP(D1849, Repository!A:G, 7, 0), ""), "")</f>
        <v/>
      </c>
      <c r="O1849" s="105" t="str">
        <f>IFERROR(__xludf.DUMMYFUNCTION("ARRAY_CONSTRAIN(
  ARRAYFORMULA(
    IFERROR(
      LET(
        list, N1849,
        arr, TRIM(SPLIT(list, "","")),
        names, XLOOKUP(
          arr,
          'Conformance Score'!A:A,
          'Conformance Score'!B:B,
          ""Not found""
     "&amp;"   ),
        TEXTJOIN("", "", TRUE, names)
      ),
      """"
    )
  ),
  1,
  1
)
"),"")</f>
        <v/>
      </c>
      <c r="P1849" s="105" t="str">
        <f>IF(F1849="Yes", IFERROR(VLOOKUP(D1849, Repository!A:F, 6, 0), ""), "")</f>
        <v/>
      </c>
      <c r="Q1849" s="105" t="str">
        <f>IF(F1849="Yes", IFERROR(VLOOKUP(D1849, Repository!A:I, 8, 0), ""), "")</f>
        <v/>
      </c>
      <c r="R1849" s="105" t="str">
        <f>IF(F1849="Yes", IFERROR(VLOOKUP(D1849, Repository!A:J, 9, 0), ""), "")</f>
        <v/>
      </c>
      <c r="S1849" s="105"/>
      <c r="T1849" s="105"/>
      <c r="U1849" s="105"/>
      <c r="V1849" s="105"/>
      <c r="W1849" s="105"/>
      <c r="X1849" s="105"/>
      <c r="Y1849" s="105"/>
      <c r="Z1849" s="105"/>
      <c r="AA1849" s="105"/>
      <c r="AB1849" s="105"/>
      <c r="AC1849" s="91"/>
      <c r="AD1849" s="105"/>
      <c r="AE1849" s="105"/>
      <c r="AF1849" s="91"/>
      <c r="AG1849" s="105"/>
      <c r="AH1849" s="105"/>
      <c r="AI1849" s="105" t="str">
        <f t="shared" si="1"/>
        <v/>
      </c>
      <c r="AJ1849" s="108" t="str">
        <f t="shared" si="2"/>
        <v/>
      </c>
    </row>
    <row r="1850" ht="15.75" customHeight="1">
      <c r="A1850" s="104"/>
      <c r="B1850" s="105" t="str">
        <f>IFERROR(__xludf.DUMMYFUNCTION("ARRAY_CONSTRAIN(
  ARRAYFORMULA(
    IF(
      'Final Report'!A1850="""",
      """",
      TEXTJOIN(
        "", "" &amp; CHAR(10),
        TRUE,
        IFERROR(
          VLOOKUP(
            TRIM(
              SPLIT('Final Report'!A1850, "","")
         "&amp;"   ),
            'URL Details'!A:B,
            2,
            FALSE
          ),
          """"
        )
      )
    )
  ),
  1,
  1
)
"),"")</f>
        <v/>
      </c>
      <c r="C1850" s="105" t="str">
        <f>IFERROR(__xludf.DUMMYFUNCTION("IFERROR(IF('Final Report'!A1850="""","""", TEXTJOIN(CHAR(10), TRUE, ARRAYFORMULA( ""• ""&amp; FILTER( TRIM(FLATTEN(SPLIT( REGEXREPLACE( SUBSTITUTE(TEXTJOIN("","", TRUE, IFERROR(ARRAYFORMULA(VLOOKUP(TRIM(SPLIT('Final Report'!A1850, "","")), 'URL Details'!A:D, "&amp;"4, FALSE)),"""") ), CHAR(10), "",""), ""\s*,\s*"", "",""), "",""))), TRIM(FLATTEN(SPLIT( REGEXREPLACE( SUBSTITUTE(TEXTJOIN("","", TRUE, IFERROR(ARRAYFORMULA(VLOOKUP(TRIM(SPLIT('Final Report'!A1850, "","")), 'URL Details'!A:D, 4, FALSE)),"""") ), CHAR(10),"&amp;" "",""), ""\s*,\s*"", "",""), "","")))&lt;&gt;"""" ) ) ) ),"""")
"),"")</f>
        <v/>
      </c>
      <c r="D1850" s="105"/>
      <c r="E1850" s="105"/>
      <c r="F1850" s="110" t="b">
        <v>0</v>
      </c>
      <c r="G1850" s="105" t="str">
        <f>IF(F1850=True, IFERROR(VLOOKUP(D1850, Repository!A:B, 2, 0), ""), "")</f>
        <v/>
      </c>
      <c r="H1850" s="105"/>
      <c r="I1850" s="105"/>
      <c r="J1850" s="105" t="str">
        <f>IF(F1850=True, IFERROR(VLOOKUP(D1850, Repository!A:C, 3, 0), ""), "")</f>
        <v/>
      </c>
      <c r="K1850" s="105"/>
      <c r="L1850" s="105" t="str">
        <f>IF(F1850=True, IFERROR(VLOOKUP(D1850, Repository!A:E, 5, 0), ""), "")</f>
        <v/>
      </c>
      <c r="M1850" s="105"/>
      <c r="N1850" s="105" t="str">
        <f>IF(F1850=True, IFERROR(VLOOKUP(D1850, Repository!A:G, 7, 0), ""), "")</f>
        <v/>
      </c>
      <c r="O1850" s="105" t="str">
        <f>IFERROR(__xludf.DUMMYFUNCTION("ARRAY_CONSTRAIN(
  ARRAYFORMULA(
    IFERROR(
      LET(
        list, N1850,
        arr, TRIM(SPLIT(list, "","")),
        names, XLOOKUP(
          arr,
          'Conformance Score'!A:A,
          'Conformance Score'!B:B,
          ""Not found""
     "&amp;"   ),
        TEXTJOIN("", "", TRUE, names)
      ),
      """"
    )
  ),
  1,
  1
)
"),"")</f>
        <v/>
      </c>
      <c r="P1850" s="105" t="str">
        <f>IF(F1850="Yes", IFERROR(VLOOKUP(D1850, Repository!A:F, 6, 0), ""), "")</f>
        <v/>
      </c>
      <c r="Q1850" s="105" t="str">
        <f>IF(F1850="Yes", IFERROR(VLOOKUP(D1850, Repository!A:I, 8, 0), ""), "")</f>
        <v/>
      </c>
      <c r="R1850" s="105" t="str">
        <f>IF(F1850="Yes", IFERROR(VLOOKUP(D1850, Repository!A:J, 9, 0), ""), "")</f>
        <v/>
      </c>
      <c r="S1850" s="105"/>
      <c r="T1850" s="105"/>
      <c r="U1850" s="105"/>
      <c r="V1850" s="105"/>
      <c r="W1850" s="105"/>
      <c r="X1850" s="105"/>
      <c r="Y1850" s="105"/>
      <c r="Z1850" s="105"/>
      <c r="AA1850" s="105"/>
      <c r="AB1850" s="105"/>
      <c r="AC1850" s="91"/>
      <c r="AD1850" s="105"/>
      <c r="AE1850" s="105"/>
      <c r="AF1850" s="91"/>
      <c r="AG1850" s="105"/>
      <c r="AH1850" s="105"/>
      <c r="AI1850" s="105" t="str">
        <f t="shared" si="1"/>
        <v/>
      </c>
      <c r="AJ1850" s="108" t="str">
        <f t="shared" si="2"/>
        <v/>
      </c>
    </row>
    <row r="1851" ht="15.75" customHeight="1">
      <c r="A1851" s="104"/>
      <c r="B1851" s="105" t="str">
        <f>IFERROR(__xludf.DUMMYFUNCTION("ARRAY_CONSTRAIN(
  ARRAYFORMULA(
    IF(
      'Final Report'!A1851="""",
      """",
      TEXTJOIN(
        "", "" &amp; CHAR(10),
        TRUE,
        IFERROR(
          VLOOKUP(
            TRIM(
              SPLIT('Final Report'!A1851, "","")
         "&amp;"   ),
            'URL Details'!A:B,
            2,
            FALSE
          ),
          """"
        )
      )
    )
  ),
  1,
  1
)
"),"")</f>
        <v/>
      </c>
      <c r="C1851" s="105" t="str">
        <f>IFERROR(__xludf.DUMMYFUNCTION("IFERROR(IF('Final Report'!A1851="""","""", TEXTJOIN(CHAR(10), TRUE, ARRAYFORMULA( ""• ""&amp; FILTER( TRIM(FLATTEN(SPLIT( REGEXREPLACE( SUBSTITUTE(TEXTJOIN("","", TRUE, IFERROR(ARRAYFORMULA(VLOOKUP(TRIM(SPLIT('Final Report'!A1851, "","")), 'URL Details'!A:D, "&amp;"4, FALSE)),"""") ), CHAR(10), "",""), ""\s*,\s*"", "",""), "",""))), TRIM(FLATTEN(SPLIT( REGEXREPLACE( SUBSTITUTE(TEXTJOIN("","", TRUE, IFERROR(ARRAYFORMULA(VLOOKUP(TRIM(SPLIT('Final Report'!A1851, "","")), 'URL Details'!A:D, 4, FALSE)),"""") ), CHAR(10),"&amp;" "",""), ""\s*,\s*"", "",""), "","")))&lt;&gt;"""" ) ) ) ),"""")
"),"")</f>
        <v/>
      </c>
      <c r="D1851" s="105"/>
      <c r="E1851" s="105"/>
      <c r="F1851" s="110" t="b">
        <v>0</v>
      </c>
      <c r="G1851" s="105" t="str">
        <f>IF(F1851=True, IFERROR(VLOOKUP(D1851, Repository!A:B, 2, 0), ""), "")</f>
        <v/>
      </c>
      <c r="H1851" s="105"/>
      <c r="I1851" s="105"/>
      <c r="J1851" s="105" t="str">
        <f>IF(F1851=True, IFERROR(VLOOKUP(D1851, Repository!A:C, 3, 0), ""), "")</f>
        <v/>
      </c>
      <c r="K1851" s="105"/>
      <c r="L1851" s="105" t="str">
        <f>IF(F1851=True, IFERROR(VLOOKUP(D1851, Repository!A:E, 5, 0), ""), "")</f>
        <v/>
      </c>
      <c r="M1851" s="105"/>
      <c r="N1851" s="105" t="str">
        <f>IF(F1851=True, IFERROR(VLOOKUP(D1851, Repository!A:G, 7, 0), ""), "")</f>
        <v/>
      </c>
      <c r="O1851" s="105" t="str">
        <f>IFERROR(__xludf.DUMMYFUNCTION("ARRAY_CONSTRAIN(
  ARRAYFORMULA(
    IFERROR(
      LET(
        list, N1851,
        arr, TRIM(SPLIT(list, "","")),
        names, XLOOKUP(
          arr,
          'Conformance Score'!A:A,
          'Conformance Score'!B:B,
          ""Not found""
     "&amp;"   ),
        TEXTJOIN("", "", TRUE, names)
      ),
      """"
    )
  ),
  1,
  1
)
"),"")</f>
        <v/>
      </c>
      <c r="P1851" s="105" t="str">
        <f>IF(F1851="Yes", IFERROR(VLOOKUP(D1851, Repository!A:F, 6, 0), ""), "")</f>
        <v/>
      </c>
      <c r="Q1851" s="105" t="str">
        <f>IF(F1851="Yes", IFERROR(VLOOKUP(D1851, Repository!A:I, 8, 0), ""), "")</f>
        <v/>
      </c>
      <c r="R1851" s="105" t="str">
        <f>IF(F1851="Yes", IFERROR(VLOOKUP(D1851, Repository!A:J, 9, 0), ""), "")</f>
        <v/>
      </c>
      <c r="S1851" s="105"/>
      <c r="T1851" s="105"/>
      <c r="U1851" s="105"/>
      <c r="V1851" s="105"/>
      <c r="W1851" s="105"/>
      <c r="X1851" s="105"/>
      <c r="Y1851" s="105"/>
      <c r="Z1851" s="105"/>
      <c r="AA1851" s="105"/>
      <c r="AB1851" s="105"/>
      <c r="AC1851" s="91"/>
      <c r="AD1851" s="105"/>
      <c r="AE1851" s="105"/>
      <c r="AF1851" s="91"/>
      <c r="AG1851" s="105"/>
      <c r="AH1851" s="105"/>
      <c r="AI1851" s="105" t="str">
        <f t="shared" si="1"/>
        <v/>
      </c>
      <c r="AJ1851" s="108" t="str">
        <f t="shared" si="2"/>
        <v/>
      </c>
    </row>
    <row r="1852" ht="15.75" customHeight="1">
      <c r="A1852" s="104"/>
      <c r="B1852" s="105" t="str">
        <f>IFERROR(__xludf.DUMMYFUNCTION("ARRAY_CONSTRAIN(
  ARRAYFORMULA(
    IF(
      'Final Report'!A1852="""",
      """",
      TEXTJOIN(
        "", "" &amp; CHAR(10),
        TRUE,
        IFERROR(
          VLOOKUP(
            TRIM(
              SPLIT('Final Report'!A1852, "","")
         "&amp;"   ),
            'URL Details'!A:B,
            2,
            FALSE
          ),
          """"
        )
      )
    )
  ),
  1,
  1
)
"),"")</f>
        <v/>
      </c>
      <c r="C1852" s="105" t="str">
        <f>IFERROR(__xludf.DUMMYFUNCTION("IFERROR(IF('Final Report'!A1852="""","""", TEXTJOIN(CHAR(10), TRUE, ARRAYFORMULA( ""• ""&amp; FILTER( TRIM(FLATTEN(SPLIT( REGEXREPLACE( SUBSTITUTE(TEXTJOIN("","", TRUE, IFERROR(ARRAYFORMULA(VLOOKUP(TRIM(SPLIT('Final Report'!A1852, "","")), 'URL Details'!A:D, "&amp;"4, FALSE)),"""") ), CHAR(10), "",""), ""\s*,\s*"", "",""), "",""))), TRIM(FLATTEN(SPLIT( REGEXREPLACE( SUBSTITUTE(TEXTJOIN("","", TRUE, IFERROR(ARRAYFORMULA(VLOOKUP(TRIM(SPLIT('Final Report'!A1852, "","")), 'URL Details'!A:D, 4, FALSE)),"""") ), CHAR(10),"&amp;" "",""), ""\s*,\s*"", "",""), "","")))&lt;&gt;"""" ) ) ) ),"""")
"),"")</f>
        <v/>
      </c>
      <c r="D1852" s="105"/>
      <c r="E1852" s="105"/>
      <c r="F1852" s="110" t="b">
        <v>0</v>
      </c>
      <c r="G1852" s="105" t="str">
        <f>IF(F1852=True, IFERROR(VLOOKUP(D1852, Repository!A:B, 2, 0), ""), "")</f>
        <v/>
      </c>
      <c r="H1852" s="105"/>
      <c r="I1852" s="105"/>
      <c r="J1852" s="105" t="str">
        <f>IF(F1852=True, IFERROR(VLOOKUP(D1852, Repository!A:C, 3, 0), ""), "")</f>
        <v/>
      </c>
      <c r="K1852" s="105"/>
      <c r="L1852" s="105" t="str">
        <f>IF(F1852=True, IFERROR(VLOOKUP(D1852, Repository!A:E, 5, 0), ""), "")</f>
        <v/>
      </c>
      <c r="M1852" s="105"/>
      <c r="N1852" s="105" t="str">
        <f>IF(F1852=True, IFERROR(VLOOKUP(D1852, Repository!A:G, 7, 0), ""), "")</f>
        <v/>
      </c>
      <c r="O1852" s="105" t="str">
        <f>IFERROR(__xludf.DUMMYFUNCTION("ARRAY_CONSTRAIN(
  ARRAYFORMULA(
    IFERROR(
      LET(
        list, N1852,
        arr, TRIM(SPLIT(list, "","")),
        names, XLOOKUP(
          arr,
          'Conformance Score'!A:A,
          'Conformance Score'!B:B,
          ""Not found""
     "&amp;"   ),
        TEXTJOIN("", "", TRUE, names)
      ),
      """"
    )
  ),
  1,
  1
)
"),"")</f>
        <v/>
      </c>
      <c r="P1852" s="105" t="str">
        <f>IF(F1852="Yes", IFERROR(VLOOKUP(D1852, Repository!A:F, 6, 0), ""), "")</f>
        <v/>
      </c>
      <c r="Q1852" s="105" t="str">
        <f>IF(F1852="Yes", IFERROR(VLOOKUP(D1852, Repository!A:I, 8, 0), ""), "")</f>
        <v/>
      </c>
      <c r="R1852" s="105" t="str">
        <f>IF(F1852="Yes", IFERROR(VLOOKUP(D1852, Repository!A:J, 9, 0), ""), "")</f>
        <v/>
      </c>
      <c r="S1852" s="105"/>
      <c r="T1852" s="105"/>
      <c r="U1852" s="105"/>
      <c r="V1852" s="105"/>
      <c r="W1852" s="105"/>
      <c r="X1852" s="105"/>
      <c r="Y1852" s="105"/>
      <c r="Z1852" s="105"/>
      <c r="AA1852" s="105"/>
      <c r="AB1852" s="105"/>
      <c r="AC1852" s="91"/>
      <c r="AD1852" s="105"/>
      <c r="AE1852" s="105"/>
      <c r="AF1852" s="91"/>
      <c r="AG1852" s="105"/>
      <c r="AH1852" s="105"/>
      <c r="AI1852" s="105" t="str">
        <f t="shared" si="1"/>
        <v/>
      </c>
      <c r="AJ1852" s="108" t="str">
        <f t="shared" si="2"/>
        <v/>
      </c>
    </row>
    <row r="1853" ht="15.75" customHeight="1">
      <c r="A1853" s="104"/>
      <c r="B1853" s="105" t="str">
        <f>IFERROR(__xludf.DUMMYFUNCTION("ARRAY_CONSTRAIN(
  ARRAYFORMULA(
    IF(
      'Final Report'!A1853="""",
      """",
      TEXTJOIN(
        "", "" &amp; CHAR(10),
        TRUE,
        IFERROR(
          VLOOKUP(
            TRIM(
              SPLIT('Final Report'!A1853, "","")
         "&amp;"   ),
            'URL Details'!A:B,
            2,
            FALSE
          ),
          """"
        )
      )
    )
  ),
  1,
  1
)
"),"")</f>
        <v/>
      </c>
      <c r="C1853" s="105" t="str">
        <f>IFERROR(__xludf.DUMMYFUNCTION("IFERROR(IF('Final Report'!A1853="""","""", TEXTJOIN(CHAR(10), TRUE, ARRAYFORMULA( ""• ""&amp; FILTER( TRIM(FLATTEN(SPLIT( REGEXREPLACE( SUBSTITUTE(TEXTJOIN("","", TRUE, IFERROR(ARRAYFORMULA(VLOOKUP(TRIM(SPLIT('Final Report'!A1853, "","")), 'URL Details'!A:D, "&amp;"4, FALSE)),"""") ), CHAR(10), "",""), ""\s*,\s*"", "",""), "",""))), TRIM(FLATTEN(SPLIT( REGEXREPLACE( SUBSTITUTE(TEXTJOIN("","", TRUE, IFERROR(ARRAYFORMULA(VLOOKUP(TRIM(SPLIT('Final Report'!A1853, "","")), 'URL Details'!A:D, 4, FALSE)),"""") ), CHAR(10),"&amp;" "",""), ""\s*,\s*"", "",""), "","")))&lt;&gt;"""" ) ) ) ),"""")
"),"")</f>
        <v/>
      </c>
      <c r="D1853" s="105"/>
      <c r="E1853" s="105"/>
      <c r="F1853" s="110" t="b">
        <v>0</v>
      </c>
      <c r="G1853" s="105" t="str">
        <f>IF(F1853=True, IFERROR(VLOOKUP(D1853, Repository!A:B, 2, 0), ""), "")</f>
        <v/>
      </c>
      <c r="H1853" s="105"/>
      <c r="I1853" s="105"/>
      <c r="J1853" s="105" t="str">
        <f>IF(F1853=True, IFERROR(VLOOKUP(D1853, Repository!A:C, 3, 0), ""), "")</f>
        <v/>
      </c>
      <c r="K1853" s="105"/>
      <c r="L1853" s="105" t="str">
        <f>IF(F1853=True, IFERROR(VLOOKUP(D1853, Repository!A:E, 5, 0), ""), "")</f>
        <v/>
      </c>
      <c r="M1853" s="105"/>
      <c r="N1853" s="105" t="str">
        <f>IF(F1853=True, IFERROR(VLOOKUP(D1853, Repository!A:G, 7, 0), ""), "")</f>
        <v/>
      </c>
      <c r="O1853" s="105" t="str">
        <f>IFERROR(__xludf.DUMMYFUNCTION("ARRAY_CONSTRAIN(
  ARRAYFORMULA(
    IFERROR(
      LET(
        list, N1853,
        arr, TRIM(SPLIT(list, "","")),
        names, XLOOKUP(
          arr,
          'Conformance Score'!A:A,
          'Conformance Score'!B:B,
          ""Not found""
     "&amp;"   ),
        TEXTJOIN("", "", TRUE, names)
      ),
      """"
    )
  ),
  1,
  1
)
"),"")</f>
        <v/>
      </c>
      <c r="P1853" s="105" t="str">
        <f>IF(F1853="Yes", IFERROR(VLOOKUP(D1853, Repository!A:F, 6, 0), ""), "")</f>
        <v/>
      </c>
      <c r="Q1853" s="105" t="str">
        <f>IF(F1853="Yes", IFERROR(VLOOKUP(D1853, Repository!A:I, 8, 0), ""), "")</f>
        <v/>
      </c>
      <c r="R1853" s="105" t="str">
        <f>IF(F1853="Yes", IFERROR(VLOOKUP(D1853, Repository!A:J, 9, 0), ""), "")</f>
        <v/>
      </c>
      <c r="S1853" s="105"/>
      <c r="T1853" s="105"/>
      <c r="U1853" s="105"/>
      <c r="V1853" s="105"/>
      <c r="W1853" s="105"/>
      <c r="X1853" s="105"/>
      <c r="Y1853" s="105"/>
      <c r="Z1853" s="105"/>
      <c r="AA1853" s="105"/>
      <c r="AB1853" s="105"/>
      <c r="AC1853" s="91"/>
      <c r="AD1853" s="105"/>
      <c r="AE1853" s="105"/>
      <c r="AF1853" s="91"/>
      <c r="AG1853" s="105"/>
      <c r="AH1853" s="105"/>
      <c r="AI1853" s="105" t="str">
        <f t="shared" si="1"/>
        <v/>
      </c>
      <c r="AJ1853" s="108" t="str">
        <f t="shared" si="2"/>
        <v/>
      </c>
    </row>
    <row r="1854" ht="15.75" customHeight="1">
      <c r="A1854" s="104"/>
      <c r="B1854" s="105" t="str">
        <f>IFERROR(__xludf.DUMMYFUNCTION("ARRAY_CONSTRAIN(
  ARRAYFORMULA(
    IF(
      'Final Report'!A1854="""",
      """",
      TEXTJOIN(
        "", "" &amp; CHAR(10),
        TRUE,
        IFERROR(
          VLOOKUP(
            TRIM(
              SPLIT('Final Report'!A1854, "","")
         "&amp;"   ),
            'URL Details'!A:B,
            2,
            FALSE
          ),
          """"
        )
      )
    )
  ),
  1,
  1
)
"),"")</f>
        <v/>
      </c>
      <c r="C1854" s="105" t="str">
        <f>IFERROR(__xludf.DUMMYFUNCTION("IFERROR(IF('Final Report'!A1854="""","""", TEXTJOIN(CHAR(10), TRUE, ARRAYFORMULA( ""• ""&amp; FILTER( TRIM(FLATTEN(SPLIT( REGEXREPLACE( SUBSTITUTE(TEXTJOIN("","", TRUE, IFERROR(ARRAYFORMULA(VLOOKUP(TRIM(SPLIT('Final Report'!A1854, "","")), 'URL Details'!A:D, "&amp;"4, FALSE)),"""") ), CHAR(10), "",""), ""\s*,\s*"", "",""), "",""))), TRIM(FLATTEN(SPLIT( REGEXREPLACE( SUBSTITUTE(TEXTJOIN("","", TRUE, IFERROR(ARRAYFORMULA(VLOOKUP(TRIM(SPLIT('Final Report'!A1854, "","")), 'URL Details'!A:D, 4, FALSE)),"""") ), CHAR(10),"&amp;" "",""), ""\s*,\s*"", "",""), "","")))&lt;&gt;"""" ) ) ) ),"""")
"),"")</f>
        <v/>
      </c>
      <c r="D1854" s="105"/>
      <c r="E1854" s="105"/>
      <c r="F1854" s="110" t="b">
        <v>0</v>
      </c>
      <c r="G1854" s="105" t="str">
        <f>IF(F1854=True, IFERROR(VLOOKUP(D1854, Repository!A:B, 2, 0), ""), "")</f>
        <v/>
      </c>
      <c r="H1854" s="105"/>
      <c r="I1854" s="105"/>
      <c r="J1854" s="105" t="str">
        <f>IF(F1854=True, IFERROR(VLOOKUP(D1854, Repository!A:C, 3, 0), ""), "")</f>
        <v/>
      </c>
      <c r="K1854" s="105"/>
      <c r="L1854" s="105" t="str">
        <f>IF(F1854=True, IFERROR(VLOOKUP(D1854, Repository!A:E, 5, 0), ""), "")</f>
        <v/>
      </c>
      <c r="M1854" s="105"/>
      <c r="N1854" s="105" t="str">
        <f>IF(F1854=True, IFERROR(VLOOKUP(D1854, Repository!A:G, 7, 0), ""), "")</f>
        <v/>
      </c>
      <c r="O1854" s="105" t="str">
        <f>IFERROR(__xludf.DUMMYFUNCTION("ARRAY_CONSTRAIN(
  ARRAYFORMULA(
    IFERROR(
      LET(
        list, N1854,
        arr, TRIM(SPLIT(list, "","")),
        names, XLOOKUP(
          arr,
          'Conformance Score'!A:A,
          'Conformance Score'!B:B,
          ""Not found""
     "&amp;"   ),
        TEXTJOIN("", "", TRUE, names)
      ),
      """"
    )
  ),
  1,
  1
)
"),"")</f>
        <v/>
      </c>
      <c r="P1854" s="105" t="str">
        <f>IF(F1854="Yes", IFERROR(VLOOKUP(D1854, Repository!A:F, 6, 0), ""), "")</f>
        <v/>
      </c>
      <c r="Q1854" s="105" t="str">
        <f>IF(F1854="Yes", IFERROR(VLOOKUP(D1854, Repository!A:I, 8, 0), ""), "")</f>
        <v/>
      </c>
      <c r="R1854" s="105" t="str">
        <f>IF(F1854="Yes", IFERROR(VLOOKUP(D1854, Repository!A:J, 9, 0), ""), "")</f>
        <v/>
      </c>
      <c r="S1854" s="105"/>
      <c r="T1854" s="105"/>
      <c r="U1854" s="105"/>
      <c r="V1854" s="105"/>
      <c r="W1854" s="105"/>
      <c r="X1854" s="105"/>
      <c r="Y1854" s="105"/>
      <c r="Z1854" s="105"/>
      <c r="AA1854" s="105"/>
      <c r="AB1854" s="105"/>
      <c r="AC1854" s="91"/>
      <c r="AD1854" s="105"/>
      <c r="AE1854" s="105"/>
      <c r="AF1854" s="91"/>
      <c r="AG1854" s="105"/>
      <c r="AH1854" s="105"/>
      <c r="AI1854" s="105" t="str">
        <f t="shared" si="1"/>
        <v/>
      </c>
      <c r="AJ1854" s="108" t="str">
        <f t="shared" si="2"/>
        <v/>
      </c>
    </row>
    <row r="1855" ht="15.75" customHeight="1">
      <c r="A1855" s="104"/>
      <c r="B1855" s="105" t="str">
        <f>IFERROR(__xludf.DUMMYFUNCTION("ARRAY_CONSTRAIN(
  ARRAYFORMULA(
    IF(
      'Final Report'!A1855="""",
      """",
      TEXTJOIN(
        "", "" &amp; CHAR(10),
        TRUE,
        IFERROR(
          VLOOKUP(
            TRIM(
              SPLIT('Final Report'!A1855, "","")
         "&amp;"   ),
            'URL Details'!A:B,
            2,
            FALSE
          ),
          """"
        )
      )
    )
  ),
  1,
  1
)
"),"")</f>
        <v/>
      </c>
      <c r="C1855" s="105" t="str">
        <f>IFERROR(__xludf.DUMMYFUNCTION("IFERROR(IF('Final Report'!A1855="""","""", TEXTJOIN(CHAR(10), TRUE, ARRAYFORMULA( ""• ""&amp; FILTER( TRIM(FLATTEN(SPLIT( REGEXREPLACE( SUBSTITUTE(TEXTJOIN("","", TRUE, IFERROR(ARRAYFORMULA(VLOOKUP(TRIM(SPLIT('Final Report'!A1855, "","")), 'URL Details'!A:D, "&amp;"4, FALSE)),"""") ), CHAR(10), "",""), ""\s*,\s*"", "",""), "",""))), TRIM(FLATTEN(SPLIT( REGEXREPLACE( SUBSTITUTE(TEXTJOIN("","", TRUE, IFERROR(ARRAYFORMULA(VLOOKUP(TRIM(SPLIT('Final Report'!A1855, "","")), 'URL Details'!A:D, 4, FALSE)),"""") ), CHAR(10),"&amp;" "",""), ""\s*,\s*"", "",""), "","")))&lt;&gt;"""" ) ) ) ),"""")
"),"")</f>
        <v/>
      </c>
      <c r="D1855" s="105"/>
      <c r="E1855" s="105"/>
      <c r="F1855" s="110" t="b">
        <v>0</v>
      </c>
      <c r="G1855" s="105" t="str">
        <f>IF(F1855=True, IFERROR(VLOOKUP(D1855, Repository!A:B, 2, 0), ""), "")</f>
        <v/>
      </c>
      <c r="H1855" s="105"/>
      <c r="I1855" s="105"/>
      <c r="J1855" s="105" t="str">
        <f>IF(F1855=True, IFERROR(VLOOKUP(D1855, Repository!A:C, 3, 0), ""), "")</f>
        <v/>
      </c>
      <c r="K1855" s="105"/>
      <c r="L1855" s="105" t="str">
        <f>IF(F1855=True, IFERROR(VLOOKUP(D1855, Repository!A:E, 5, 0), ""), "")</f>
        <v/>
      </c>
      <c r="M1855" s="105"/>
      <c r="N1855" s="105" t="str">
        <f>IF(F1855=True, IFERROR(VLOOKUP(D1855, Repository!A:G, 7, 0), ""), "")</f>
        <v/>
      </c>
      <c r="O1855" s="105" t="str">
        <f>IFERROR(__xludf.DUMMYFUNCTION("ARRAY_CONSTRAIN(
  ARRAYFORMULA(
    IFERROR(
      LET(
        list, N1855,
        arr, TRIM(SPLIT(list, "","")),
        names, XLOOKUP(
          arr,
          'Conformance Score'!A:A,
          'Conformance Score'!B:B,
          ""Not found""
     "&amp;"   ),
        TEXTJOIN("", "", TRUE, names)
      ),
      """"
    )
  ),
  1,
  1
)
"),"")</f>
        <v/>
      </c>
      <c r="P1855" s="105" t="str">
        <f>IF(F1855="Yes", IFERROR(VLOOKUP(D1855, Repository!A:F, 6, 0), ""), "")</f>
        <v/>
      </c>
      <c r="Q1855" s="105" t="str">
        <f>IF(F1855="Yes", IFERROR(VLOOKUP(D1855, Repository!A:I, 8, 0), ""), "")</f>
        <v/>
      </c>
      <c r="R1855" s="105" t="str">
        <f>IF(F1855="Yes", IFERROR(VLOOKUP(D1855, Repository!A:J, 9, 0), ""), "")</f>
        <v/>
      </c>
      <c r="S1855" s="105"/>
      <c r="T1855" s="105"/>
      <c r="U1855" s="105"/>
      <c r="V1855" s="105"/>
      <c r="W1855" s="105"/>
      <c r="X1855" s="105"/>
      <c r="Y1855" s="105"/>
      <c r="Z1855" s="105"/>
      <c r="AA1855" s="105"/>
      <c r="AB1855" s="105"/>
      <c r="AC1855" s="91"/>
      <c r="AD1855" s="105"/>
      <c r="AE1855" s="105"/>
      <c r="AF1855" s="91"/>
      <c r="AG1855" s="105"/>
      <c r="AH1855" s="105"/>
      <c r="AI1855" s="105" t="str">
        <f t="shared" si="1"/>
        <v/>
      </c>
      <c r="AJ1855" s="108" t="str">
        <f t="shared" si="2"/>
        <v/>
      </c>
    </row>
    <row r="1856" ht="15.75" customHeight="1">
      <c r="A1856" s="104"/>
      <c r="B1856" s="105" t="str">
        <f>IFERROR(__xludf.DUMMYFUNCTION("ARRAY_CONSTRAIN(
  ARRAYFORMULA(
    IF(
      'Final Report'!A1856="""",
      """",
      TEXTJOIN(
        "", "" &amp; CHAR(10),
        TRUE,
        IFERROR(
          VLOOKUP(
            TRIM(
              SPLIT('Final Report'!A1856, "","")
         "&amp;"   ),
            'URL Details'!A:B,
            2,
            FALSE
          ),
          """"
        )
      )
    )
  ),
  1,
  1
)
"),"")</f>
        <v/>
      </c>
      <c r="C1856" s="105" t="str">
        <f>IFERROR(__xludf.DUMMYFUNCTION("IFERROR(IF('Final Report'!A1856="""","""", TEXTJOIN(CHAR(10), TRUE, ARRAYFORMULA( ""• ""&amp; FILTER( TRIM(FLATTEN(SPLIT( REGEXREPLACE( SUBSTITUTE(TEXTJOIN("","", TRUE, IFERROR(ARRAYFORMULA(VLOOKUP(TRIM(SPLIT('Final Report'!A1856, "","")), 'URL Details'!A:D, "&amp;"4, FALSE)),"""") ), CHAR(10), "",""), ""\s*,\s*"", "",""), "",""))), TRIM(FLATTEN(SPLIT( REGEXREPLACE( SUBSTITUTE(TEXTJOIN("","", TRUE, IFERROR(ARRAYFORMULA(VLOOKUP(TRIM(SPLIT('Final Report'!A1856, "","")), 'URL Details'!A:D, 4, FALSE)),"""") ), CHAR(10),"&amp;" "",""), ""\s*,\s*"", "",""), "","")))&lt;&gt;"""" ) ) ) ),"""")
"),"")</f>
        <v/>
      </c>
      <c r="D1856" s="105"/>
      <c r="E1856" s="105"/>
      <c r="F1856" s="110" t="b">
        <v>0</v>
      </c>
      <c r="G1856" s="105" t="str">
        <f>IF(F1856=True, IFERROR(VLOOKUP(D1856, Repository!A:B, 2, 0), ""), "")</f>
        <v/>
      </c>
      <c r="H1856" s="105"/>
      <c r="I1856" s="105"/>
      <c r="J1856" s="105" t="str">
        <f>IF(F1856=True, IFERROR(VLOOKUP(D1856, Repository!A:C, 3, 0), ""), "")</f>
        <v/>
      </c>
      <c r="K1856" s="105"/>
      <c r="L1856" s="105" t="str">
        <f>IF(F1856=True, IFERROR(VLOOKUP(D1856, Repository!A:E, 5, 0), ""), "")</f>
        <v/>
      </c>
      <c r="M1856" s="105"/>
      <c r="N1856" s="105" t="str">
        <f>IF(F1856=True, IFERROR(VLOOKUP(D1856, Repository!A:G, 7, 0), ""), "")</f>
        <v/>
      </c>
      <c r="O1856" s="105" t="str">
        <f>IFERROR(__xludf.DUMMYFUNCTION("ARRAY_CONSTRAIN(
  ARRAYFORMULA(
    IFERROR(
      LET(
        list, N1856,
        arr, TRIM(SPLIT(list, "","")),
        names, XLOOKUP(
          arr,
          'Conformance Score'!A:A,
          'Conformance Score'!B:B,
          ""Not found""
     "&amp;"   ),
        TEXTJOIN("", "", TRUE, names)
      ),
      """"
    )
  ),
  1,
  1
)
"),"")</f>
        <v/>
      </c>
      <c r="P1856" s="105" t="str">
        <f>IF(F1856="Yes", IFERROR(VLOOKUP(D1856, Repository!A:F, 6, 0), ""), "")</f>
        <v/>
      </c>
      <c r="Q1856" s="105" t="str">
        <f>IF(F1856="Yes", IFERROR(VLOOKUP(D1856, Repository!A:I, 8, 0), ""), "")</f>
        <v/>
      </c>
      <c r="R1856" s="105" t="str">
        <f>IF(F1856="Yes", IFERROR(VLOOKUP(D1856, Repository!A:J, 9, 0), ""), "")</f>
        <v/>
      </c>
      <c r="S1856" s="105"/>
      <c r="T1856" s="105"/>
      <c r="U1856" s="105"/>
      <c r="V1856" s="105"/>
      <c r="W1856" s="105"/>
      <c r="X1856" s="105"/>
      <c r="Y1856" s="105"/>
      <c r="Z1856" s="105"/>
      <c r="AA1856" s="105"/>
      <c r="AB1856" s="105"/>
      <c r="AC1856" s="91"/>
      <c r="AD1856" s="105"/>
      <c r="AE1856" s="105"/>
      <c r="AF1856" s="91"/>
      <c r="AG1856" s="105"/>
      <c r="AH1856" s="105"/>
      <c r="AI1856" s="105" t="str">
        <f t="shared" si="1"/>
        <v/>
      </c>
      <c r="AJ1856" s="108" t="str">
        <f t="shared" si="2"/>
        <v/>
      </c>
    </row>
    <row r="1857" ht="15.75" customHeight="1">
      <c r="A1857" s="104"/>
      <c r="B1857" s="105" t="str">
        <f>IFERROR(__xludf.DUMMYFUNCTION("ARRAY_CONSTRAIN(
  ARRAYFORMULA(
    IF(
      'Final Report'!A1857="""",
      """",
      TEXTJOIN(
        "", "" &amp; CHAR(10),
        TRUE,
        IFERROR(
          VLOOKUP(
            TRIM(
              SPLIT('Final Report'!A1857, "","")
         "&amp;"   ),
            'URL Details'!A:B,
            2,
            FALSE
          ),
          """"
        )
      )
    )
  ),
  1,
  1
)
"),"")</f>
        <v/>
      </c>
      <c r="C1857" s="105" t="str">
        <f>IFERROR(__xludf.DUMMYFUNCTION("IFERROR(IF('Final Report'!A1857="""","""", TEXTJOIN(CHAR(10), TRUE, ARRAYFORMULA( ""• ""&amp; FILTER( TRIM(FLATTEN(SPLIT( REGEXREPLACE( SUBSTITUTE(TEXTJOIN("","", TRUE, IFERROR(ARRAYFORMULA(VLOOKUP(TRIM(SPLIT('Final Report'!A1857, "","")), 'URL Details'!A:D, "&amp;"4, FALSE)),"""") ), CHAR(10), "",""), ""\s*,\s*"", "",""), "",""))), TRIM(FLATTEN(SPLIT( REGEXREPLACE( SUBSTITUTE(TEXTJOIN("","", TRUE, IFERROR(ARRAYFORMULA(VLOOKUP(TRIM(SPLIT('Final Report'!A1857, "","")), 'URL Details'!A:D, 4, FALSE)),"""") ), CHAR(10),"&amp;" "",""), ""\s*,\s*"", "",""), "","")))&lt;&gt;"""" ) ) ) ),"""")
"),"")</f>
        <v/>
      </c>
      <c r="D1857" s="105"/>
      <c r="E1857" s="105"/>
      <c r="F1857" s="110" t="b">
        <v>0</v>
      </c>
      <c r="G1857" s="105" t="str">
        <f>IF(F1857=True, IFERROR(VLOOKUP(D1857, Repository!A:B, 2, 0), ""), "")</f>
        <v/>
      </c>
      <c r="H1857" s="105"/>
      <c r="I1857" s="105"/>
      <c r="J1857" s="105" t="str">
        <f>IF(F1857=True, IFERROR(VLOOKUP(D1857, Repository!A:C, 3, 0), ""), "")</f>
        <v/>
      </c>
      <c r="K1857" s="105"/>
      <c r="L1857" s="105" t="str">
        <f>IF(F1857=True, IFERROR(VLOOKUP(D1857, Repository!A:E, 5, 0), ""), "")</f>
        <v/>
      </c>
      <c r="M1857" s="105"/>
      <c r="N1857" s="105" t="str">
        <f>IF(F1857=True, IFERROR(VLOOKUP(D1857, Repository!A:G, 7, 0), ""), "")</f>
        <v/>
      </c>
      <c r="O1857" s="105" t="str">
        <f>IFERROR(__xludf.DUMMYFUNCTION("ARRAY_CONSTRAIN(
  ARRAYFORMULA(
    IFERROR(
      LET(
        list, N1857,
        arr, TRIM(SPLIT(list, "","")),
        names, XLOOKUP(
          arr,
          'Conformance Score'!A:A,
          'Conformance Score'!B:B,
          ""Not found""
     "&amp;"   ),
        TEXTJOIN("", "", TRUE, names)
      ),
      """"
    )
  ),
  1,
  1
)
"),"")</f>
        <v/>
      </c>
      <c r="P1857" s="105" t="str">
        <f>IF(F1857="Yes", IFERROR(VLOOKUP(D1857, Repository!A:F, 6, 0), ""), "")</f>
        <v/>
      </c>
      <c r="Q1857" s="105" t="str">
        <f>IF(F1857="Yes", IFERROR(VLOOKUP(D1857, Repository!A:I, 8, 0), ""), "")</f>
        <v/>
      </c>
      <c r="R1857" s="105" t="str">
        <f>IF(F1857="Yes", IFERROR(VLOOKUP(D1857, Repository!A:J, 9, 0), ""), "")</f>
        <v/>
      </c>
      <c r="S1857" s="105"/>
      <c r="T1857" s="105"/>
      <c r="U1857" s="105"/>
      <c r="V1857" s="105"/>
      <c r="W1857" s="105"/>
      <c r="X1857" s="105"/>
      <c r="Y1857" s="105"/>
      <c r="Z1857" s="105"/>
      <c r="AA1857" s="105"/>
      <c r="AB1857" s="105"/>
      <c r="AC1857" s="91"/>
      <c r="AD1857" s="105"/>
      <c r="AE1857" s="105"/>
      <c r="AF1857" s="91"/>
      <c r="AG1857" s="105"/>
      <c r="AH1857" s="105"/>
      <c r="AI1857" s="105" t="str">
        <f t="shared" si="1"/>
        <v/>
      </c>
      <c r="AJ1857" s="108" t="str">
        <f t="shared" si="2"/>
        <v/>
      </c>
    </row>
    <row r="1858" ht="15.75" customHeight="1">
      <c r="A1858" s="104"/>
      <c r="B1858" s="105" t="str">
        <f>IFERROR(__xludf.DUMMYFUNCTION("ARRAY_CONSTRAIN(
  ARRAYFORMULA(
    IF(
      'Final Report'!A1858="""",
      """",
      TEXTJOIN(
        "", "" &amp; CHAR(10),
        TRUE,
        IFERROR(
          VLOOKUP(
            TRIM(
              SPLIT('Final Report'!A1858, "","")
         "&amp;"   ),
            'URL Details'!A:B,
            2,
            FALSE
          ),
          """"
        )
      )
    )
  ),
  1,
  1
)
"),"")</f>
        <v/>
      </c>
      <c r="C1858" s="105" t="str">
        <f>IFERROR(__xludf.DUMMYFUNCTION("IFERROR(IF('Final Report'!A1858="""","""", TEXTJOIN(CHAR(10), TRUE, ARRAYFORMULA( ""• ""&amp; FILTER( TRIM(FLATTEN(SPLIT( REGEXREPLACE( SUBSTITUTE(TEXTJOIN("","", TRUE, IFERROR(ARRAYFORMULA(VLOOKUP(TRIM(SPLIT('Final Report'!A1858, "","")), 'URL Details'!A:D, "&amp;"4, FALSE)),"""") ), CHAR(10), "",""), ""\s*,\s*"", "",""), "",""))), TRIM(FLATTEN(SPLIT( REGEXREPLACE( SUBSTITUTE(TEXTJOIN("","", TRUE, IFERROR(ARRAYFORMULA(VLOOKUP(TRIM(SPLIT('Final Report'!A1858, "","")), 'URL Details'!A:D, 4, FALSE)),"""") ), CHAR(10),"&amp;" "",""), ""\s*,\s*"", "",""), "","")))&lt;&gt;"""" ) ) ) ),"""")
"),"")</f>
        <v/>
      </c>
      <c r="D1858" s="105"/>
      <c r="E1858" s="105"/>
      <c r="F1858" s="110" t="b">
        <v>0</v>
      </c>
      <c r="G1858" s="105" t="str">
        <f>IF(F1858=True, IFERROR(VLOOKUP(D1858, Repository!A:B, 2, 0), ""), "")</f>
        <v/>
      </c>
      <c r="H1858" s="105"/>
      <c r="I1858" s="105"/>
      <c r="J1858" s="105" t="str">
        <f>IF(F1858=True, IFERROR(VLOOKUP(D1858, Repository!A:C, 3, 0), ""), "")</f>
        <v/>
      </c>
      <c r="K1858" s="105"/>
      <c r="L1858" s="105" t="str">
        <f>IF(F1858=True, IFERROR(VLOOKUP(D1858, Repository!A:E, 5, 0), ""), "")</f>
        <v/>
      </c>
      <c r="M1858" s="105"/>
      <c r="N1858" s="105" t="str">
        <f>IF(F1858=True, IFERROR(VLOOKUP(D1858, Repository!A:G, 7, 0), ""), "")</f>
        <v/>
      </c>
      <c r="O1858" s="105" t="str">
        <f>IFERROR(__xludf.DUMMYFUNCTION("ARRAY_CONSTRAIN(
  ARRAYFORMULA(
    IFERROR(
      LET(
        list, N1858,
        arr, TRIM(SPLIT(list, "","")),
        names, XLOOKUP(
          arr,
          'Conformance Score'!A:A,
          'Conformance Score'!B:B,
          ""Not found""
     "&amp;"   ),
        TEXTJOIN("", "", TRUE, names)
      ),
      """"
    )
  ),
  1,
  1
)
"),"")</f>
        <v/>
      </c>
      <c r="P1858" s="105" t="str">
        <f>IF(F1858="Yes", IFERROR(VLOOKUP(D1858, Repository!A:F, 6, 0), ""), "")</f>
        <v/>
      </c>
      <c r="Q1858" s="105" t="str">
        <f>IF(F1858="Yes", IFERROR(VLOOKUP(D1858, Repository!A:I, 8, 0), ""), "")</f>
        <v/>
      </c>
      <c r="R1858" s="105" t="str">
        <f>IF(F1858="Yes", IFERROR(VLOOKUP(D1858, Repository!A:J, 9, 0), ""), "")</f>
        <v/>
      </c>
      <c r="S1858" s="105"/>
      <c r="T1858" s="105"/>
      <c r="U1858" s="105"/>
      <c r="V1858" s="105"/>
      <c r="W1858" s="105"/>
      <c r="X1858" s="105"/>
      <c r="Y1858" s="105"/>
      <c r="Z1858" s="105"/>
      <c r="AA1858" s="105"/>
      <c r="AB1858" s="105"/>
      <c r="AC1858" s="91"/>
      <c r="AD1858" s="105"/>
      <c r="AE1858" s="105"/>
      <c r="AF1858" s="91"/>
      <c r="AG1858" s="105"/>
      <c r="AH1858" s="105"/>
      <c r="AI1858" s="105" t="str">
        <f t="shared" si="1"/>
        <v/>
      </c>
      <c r="AJ1858" s="108" t="str">
        <f t="shared" si="2"/>
        <v/>
      </c>
    </row>
    <row r="1859" ht="15.75" customHeight="1">
      <c r="A1859" s="104"/>
      <c r="B1859" s="105" t="str">
        <f>IFERROR(__xludf.DUMMYFUNCTION("ARRAY_CONSTRAIN(
  ARRAYFORMULA(
    IF(
      'Final Report'!A1859="""",
      """",
      TEXTJOIN(
        "", "" &amp; CHAR(10),
        TRUE,
        IFERROR(
          VLOOKUP(
            TRIM(
              SPLIT('Final Report'!A1859, "","")
         "&amp;"   ),
            'URL Details'!A:B,
            2,
            FALSE
          ),
          """"
        )
      )
    )
  ),
  1,
  1
)
"),"")</f>
        <v/>
      </c>
      <c r="C1859" s="105" t="str">
        <f>IFERROR(__xludf.DUMMYFUNCTION("IFERROR(IF('Final Report'!A1859="""","""", TEXTJOIN(CHAR(10), TRUE, ARRAYFORMULA( ""• ""&amp; FILTER( TRIM(FLATTEN(SPLIT( REGEXREPLACE( SUBSTITUTE(TEXTJOIN("","", TRUE, IFERROR(ARRAYFORMULA(VLOOKUP(TRIM(SPLIT('Final Report'!A1859, "","")), 'URL Details'!A:D, "&amp;"4, FALSE)),"""") ), CHAR(10), "",""), ""\s*,\s*"", "",""), "",""))), TRIM(FLATTEN(SPLIT( REGEXREPLACE( SUBSTITUTE(TEXTJOIN("","", TRUE, IFERROR(ARRAYFORMULA(VLOOKUP(TRIM(SPLIT('Final Report'!A1859, "","")), 'URL Details'!A:D, 4, FALSE)),"""") ), CHAR(10),"&amp;" "",""), ""\s*,\s*"", "",""), "","")))&lt;&gt;"""" ) ) ) ),"""")
"),"")</f>
        <v/>
      </c>
      <c r="D1859" s="105"/>
      <c r="E1859" s="105"/>
      <c r="F1859" s="110" t="b">
        <v>0</v>
      </c>
      <c r="G1859" s="105" t="str">
        <f>IF(F1859=True, IFERROR(VLOOKUP(D1859, Repository!A:B, 2, 0), ""), "")</f>
        <v/>
      </c>
      <c r="H1859" s="105"/>
      <c r="I1859" s="105"/>
      <c r="J1859" s="105" t="str">
        <f>IF(F1859=True, IFERROR(VLOOKUP(D1859, Repository!A:C, 3, 0), ""), "")</f>
        <v/>
      </c>
      <c r="K1859" s="105"/>
      <c r="L1859" s="105" t="str">
        <f>IF(F1859=True, IFERROR(VLOOKUP(D1859, Repository!A:E, 5, 0), ""), "")</f>
        <v/>
      </c>
      <c r="M1859" s="105"/>
      <c r="N1859" s="105" t="str">
        <f>IF(F1859=True, IFERROR(VLOOKUP(D1859, Repository!A:G, 7, 0), ""), "")</f>
        <v/>
      </c>
      <c r="O1859" s="105" t="str">
        <f>IFERROR(__xludf.DUMMYFUNCTION("ARRAY_CONSTRAIN(
  ARRAYFORMULA(
    IFERROR(
      LET(
        list, N1859,
        arr, TRIM(SPLIT(list, "","")),
        names, XLOOKUP(
          arr,
          'Conformance Score'!A:A,
          'Conformance Score'!B:B,
          ""Not found""
     "&amp;"   ),
        TEXTJOIN("", "", TRUE, names)
      ),
      """"
    )
  ),
  1,
  1
)
"),"")</f>
        <v/>
      </c>
      <c r="P1859" s="105" t="str">
        <f>IF(F1859="Yes", IFERROR(VLOOKUP(D1859, Repository!A:F, 6, 0), ""), "")</f>
        <v/>
      </c>
      <c r="Q1859" s="105" t="str">
        <f>IF(F1859="Yes", IFERROR(VLOOKUP(D1859, Repository!A:I, 8, 0), ""), "")</f>
        <v/>
      </c>
      <c r="R1859" s="105" t="str">
        <f>IF(F1859="Yes", IFERROR(VLOOKUP(D1859, Repository!A:J, 9, 0), ""), "")</f>
        <v/>
      </c>
      <c r="S1859" s="105"/>
      <c r="T1859" s="105"/>
      <c r="U1859" s="105"/>
      <c r="V1859" s="105"/>
      <c r="W1859" s="105"/>
      <c r="X1859" s="105"/>
      <c r="Y1859" s="105"/>
      <c r="Z1859" s="105"/>
      <c r="AA1859" s="105"/>
      <c r="AB1859" s="105"/>
      <c r="AC1859" s="91"/>
      <c r="AD1859" s="105"/>
      <c r="AE1859" s="105"/>
      <c r="AF1859" s="91"/>
      <c r="AG1859" s="105"/>
      <c r="AH1859" s="105"/>
      <c r="AI1859" s="105" t="str">
        <f t="shared" si="1"/>
        <v/>
      </c>
      <c r="AJ1859" s="108" t="str">
        <f t="shared" si="2"/>
        <v/>
      </c>
    </row>
    <row r="1860" ht="15.75" customHeight="1">
      <c r="A1860" s="104"/>
      <c r="B1860" s="105" t="str">
        <f>IFERROR(__xludf.DUMMYFUNCTION("ARRAY_CONSTRAIN(
  ARRAYFORMULA(
    IF(
      'Final Report'!A1860="""",
      """",
      TEXTJOIN(
        "", "" &amp; CHAR(10),
        TRUE,
        IFERROR(
          VLOOKUP(
            TRIM(
              SPLIT('Final Report'!A1860, "","")
         "&amp;"   ),
            'URL Details'!A:B,
            2,
            FALSE
          ),
          """"
        )
      )
    )
  ),
  1,
  1
)
"),"")</f>
        <v/>
      </c>
      <c r="C1860" s="105" t="str">
        <f>IFERROR(__xludf.DUMMYFUNCTION("IFERROR(IF('Final Report'!A1860="""","""", TEXTJOIN(CHAR(10), TRUE, ARRAYFORMULA( ""• ""&amp; FILTER( TRIM(FLATTEN(SPLIT( REGEXREPLACE( SUBSTITUTE(TEXTJOIN("","", TRUE, IFERROR(ARRAYFORMULA(VLOOKUP(TRIM(SPLIT('Final Report'!A1860, "","")), 'URL Details'!A:D, "&amp;"4, FALSE)),"""") ), CHAR(10), "",""), ""\s*,\s*"", "",""), "",""))), TRIM(FLATTEN(SPLIT( REGEXREPLACE( SUBSTITUTE(TEXTJOIN("","", TRUE, IFERROR(ARRAYFORMULA(VLOOKUP(TRIM(SPLIT('Final Report'!A1860, "","")), 'URL Details'!A:D, 4, FALSE)),"""") ), CHAR(10),"&amp;" "",""), ""\s*,\s*"", "",""), "","")))&lt;&gt;"""" ) ) ) ),"""")
"),"")</f>
        <v/>
      </c>
      <c r="D1860" s="105"/>
      <c r="E1860" s="105"/>
      <c r="F1860" s="110" t="b">
        <v>0</v>
      </c>
      <c r="G1860" s="105" t="str">
        <f>IF(F1860=True, IFERROR(VLOOKUP(D1860, Repository!A:B, 2, 0), ""), "")</f>
        <v/>
      </c>
      <c r="H1860" s="105"/>
      <c r="I1860" s="105"/>
      <c r="J1860" s="105" t="str">
        <f>IF(F1860=True, IFERROR(VLOOKUP(D1860, Repository!A:C, 3, 0), ""), "")</f>
        <v/>
      </c>
      <c r="K1860" s="105"/>
      <c r="L1860" s="105" t="str">
        <f>IF(F1860=True, IFERROR(VLOOKUP(D1860, Repository!A:E, 5, 0), ""), "")</f>
        <v/>
      </c>
      <c r="M1860" s="105"/>
      <c r="N1860" s="105" t="str">
        <f>IF(F1860=True, IFERROR(VLOOKUP(D1860, Repository!A:G, 7, 0), ""), "")</f>
        <v/>
      </c>
      <c r="O1860" s="105" t="str">
        <f>IFERROR(__xludf.DUMMYFUNCTION("ARRAY_CONSTRAIN(
  ARRAYFORMULA(
    IFERROR(
      LET(
        list, N1860,
        arr, TRIM(SPLIT(list, "","")),
        names, XLOOKUP(
          arr,
          'Conformance Score'!A:A,
          'Conformance Score'!B:B,
          ""Not found""
     "&amp;"   ),
        TEXTJOIN("", "", TRUE, names)
      ),
      """"
    )
  ),
  1,
  1
)
"),"")</f>
        <v/>
      </c>
      <c r="P1860" s="105" t="str">
        <f>IF(F1860="Yes", IFERROR(VLOOKUP(D1860, Repository!A:F, 6, 0), ""), "")</f>
        <v/>
      </c>
      <c r="Q1860" s="105" t="str">
        <f>IF(F1860="Yes", IFERROR(VLOOKUP(D1860, Repository!A:I, 8, 0), ""), "")</f>
        <v/>
      </c>
      <c r="R1860" s="105" t="str">
        <f>IF(F1860="Yes", IFERROR(VLOOKUP(D1860, Repository!A:J, 9, 0), ""), "")</f>
        <v/>
      </c>
      <c r="S1860" s="105"/>
      <c r="T1860" s="105"/>
      <c r="U1860" s="105"/>
      <c r="V1860" s="105"/>
      <c r="W1860" s="105"/>
      <c r="X1860" s="105"/>
      <c r="Y1860" s="105"/>
      <c r="Z1860" s="105"/>
      <c r="AA1860" s="105"/>
      <c r="AB1860" s="105"/>
      <c r="AC1860" s="91"/>
      <c r="AD1860" s="105"/>
      <c r="AE1860" s="105"/>
      <c r="AF1860" s="91"/>
      <c r="AG1860" s="105"/>
      <c r="AH1860" s="105"/>
      <c r="AI1860" s="105" t="str">
        <f t="shared" si="1"/>
        <v/>
      </c>
      <c r="AJ1860" s="108" t="str">
        <f t="shared" si="2"/>
        <v/>
      </c>
    </row>
    <row r="1861" ht="15.75" customHeight="1">
      <c r="A1861" s="104"/>
      <c r="B1861" s="105" t="str">
        <f>IFERROR(__xludf.DUMMYFUNCTION("ARRAY_CONSTRAIN(
  ARRAYFORMULA(
    IF(
      'Final Report'!A1861="""",
      """",
      TEXTJOIN(
        "", "" &amp; CHAR(10),
        TRUE,
        IFERROR(
          VLOOKUP(
            TRIM(
              SPLIT('Final Report'!A1861, "","")
         "&amp;"   ),
            'URL Details'!A:B,
            2,
            FALSE
          ),
          """"
        )
      )
    )
  ),
  1,
  1
)
"),"")</f>
        <v/>
      </c>
      <c r="C1861" s="105" t="str">
        <f>IFERROR(__xludf.DUMMYFUNCTION("IFERROR(IF('Final Report'!A1861="""","""", TEXTJOIN(CHAR(10), TRUE, ARRAYFORMULA( ""• ""&amp; FILTER( TRIM(FLATTEN(SPLIT( REGEXREPLACE( SUBSTITUTE(TEXTJOIN("","", TRUE, IFERROR(ARRAYFORMULA(VLOOKUP(TRIM(SPLIT('Final Report'!A1861, "","")), 'URL Details'!A:D, "&amp;"4, FALSE)),"""") ), CHAR(10), "",""), ""\s*,\s*"", "",""), "",""))), TRIM(FLATTEN(SPLIT( REGEXREPLACE( SUBSTITUTE(TEXTJOIN("","", TRUE, IFERROR(ARRAYFORMULA(VLOOKUP(TRIM(SPLIT('Final Report'!A1861, "","")), 'URL Details'!A:D, 4, FALSE)),"""") ), CHAR(10),"&amp;" "",""), ""\s*,\s*"", "",""), "","")))&lt;&gt;"""" ) ) ) ),"""")
"),"")</f>
        <v/>
      </c>
      <c r="D1861" s="105"/>
      <c r="E1861" s="105"/>
      <c r="F1861" s="110" t="b">
        <v>0</v>
      </c>
      <c r="G1861" s="105" t="str">
        <f>IF(F1861=True, IFERROR(VLOOKUP(D1861, Repository!A:B, 2, 0), ""), "")</f>
        <v/>
      </c>
      <c r="H1861" s="105"/>
      <c r="I1861" s="105"/>
      <c r="J1861" s="105" t="str">
        <f>IF(F1861=True, IFERROR(VLOOKUP(D1861, Repository!A:C, 3, 0), ""), "")</f>
        <v/>
      </c>
      <c r="K1861" s="105"/>
      <c r="L1861" s="105" t="str">
        <f>IF(F1861=True, IFERROR(VLOOKUP(D1861, Repository!A:E, 5, 0), ""), "")</f>
        <v/>
      </c>
      <c r="M1861" s="105"/>
      <c r="N1861" s="105" t="str">
        <f>IF(F1861=True, IFERROR(VLOOKUP(D1861, Repository!A:G, 7, 0), ""), "")</f>
        <v/>
      </c>
      <c r="O1861" s="105" t="str">
        <f>IFERROR(__xludf.DUMMYFUNCTION("ARRAY_CONSTRAIN(
  ARRAYFORMULA(
    IFERROR(
      LET(
        list, N1861,
        arr, TRIM(SPLIT(list, "","")),
        names, XLOOKUP(
          arr,
          'Conformance Score'!A:A,
          'Conformance Score'!B:B,
          ""Not found""
     "&amp;"   ),
        TEXTJOIN("", "", TRUE, names)
      ),
      """"
    )
  ),
  1,
  1
)
"),"")</f>
        <v/>
      </c>
      <c r="P1861" s="105" t="str">
        <f>IF(F1861="Yes", IFERROR(VLOOKUP(D1861, Repository!A:F, 6, 0), ""), "")</f>
        <v/>
      </c>
      <c r="Q1861" s="105" t="str">
        <f>IF(F1861="Yes", IFERROR(VLOOKUP(D1861, Repository!A:I, 8, 0), ""), "")</f>
        <v/>
      </c>
      <c r="R1861" s="105" t="str">
        <f>IF(F1861="Yes", IFERROR(VLOOKUP(D1861, Repository!A:J, 9, 0), ""), "")</f>
        <v/>
      </c>
      <c r="S1861" s="105"/>
      <c r="T1861" s="105"/>
      <c r="U1861" s="105"/>
      <c r="V1861" s="105"/>
      <c r="W1861" s="105"/>
      <c r="X1861" s="105"/>
      <c r="Y1861" s="105"/>
      <c r="Z1861" s="105"/>
      <c r="AA1861" s="105"/>
      <c r="AB1861" s="105"/>
      <c r="AC1861" s="91"/>
      <c r="AD1861" s="105"/>
      <c r="AE1861" s="105"/>
      <c r="AF1861" s="91"/>
      <c r="AG1861" s="105"/>
      <c r="AH1861" s="105"/>
      <c r="AI1861" s="105" t="str">
        <f t="shared" si="1"/>
        <v/>
      </c>
      <c r="AJ1861" s="108" t="str">
        <f t="shared" si="2"/>
        <v/>
      </c>
    </row>
    <row r="1862" ht="15.75" customHeight="1">
      <c r="A1862" s="104"/>
      <c r="B1862" s="105" t="str">
        <f>IFERROR(__xludf.DUMMYFUNCTION("ARRAY_CONSTRAIN(
  ARRAYFORMULA(
    IF(
      'Final Report'!A1862="""",
      """",
      TEXTJOIN(
        "", "" &amp; CHAR(10),
        TRUE,
        IFERROR(
          VLOOKUP(
            TRIM(
              SPLIT('Final Report'!A1862, "","")
         "&amp;"   ),
            'URL Details'!A:B,
            2,
            FALSE
          ),
          """"
        )
      )
    )
  ),
  1,
  1
)
"),"")</f>
        <v/>
      </c>
      <c r="C1862" s="105" t="str">
        <f>IFERROR(__xludf.DUMMYFUNCTION("IFERROR(IF('Final Report'!A1862="""","""", TEXTJOIN(CHAR(10), TRUE, ARRAYFORMULA( ""• ""&amp; FILTER( TRIM(FLATTEN(SPLIT( REGEXREPLACE( SUBSTITUTE(TEXTJOIN("","", TRUE, IFERROR(ARRAYFORMULA(VLOOKUP(TRIM(SPLIT('Final Report'!A1862, "","")), 'URL Details'!A:D, "&amp;"4, FALSE)),"""") ), CHAR(10), "",""), ""\s*,\s*"", "",""), "",""))), TRIM(FLATTEN(SPLIT( REGEXREPLACE( SUBSTITUTE(TEXTJOIN("","", TRUE, IFERROR(ARRAYFORMULA(VLOOKUP(TRIM(SPLIT('Final Report'!A1862, "","")), 'URL Details'!A:D, 4, FALSE)),"""") ), CHAR(10),"&amp;" "",""), ""\s*,\s*"", "",""), "","")))&lt;&gt;"""" ) ) ) ),"""")
"),"")</f>
        <v/>
      </c>
      <c r="D1862" s="105"/>
      <c r="E1862" s="105"/>
      <c r="F1862" s="110" t="b">
        <v>0</v>
      </c>
      <c r="G1862" s="105" t="str">
        <f>IF(F1862=True, IFERROR(VLOOKUP(D1862, Repository!A:B, 2, 0), ""), "")</f>
        <v/>
      </c>
      <c r="H1862" s="105"/>
      <c r="I1862" s="105"/>
      <c r="J1862" s="105" t="str">
        <f>IF(F1862=True, IFERROR(VLOOKUP(D1862, Repository!A:C, 3, 0), ""), "")</f>
        <v/>
      </c>
      <c r="K1862" s="105"/>
      <c r="L1862" s="105" t="str">
        <f>IF(F1862=True, IFERROR(VLOOKUP(D1862, Repository!A:E, 5, 0), ""), "")</f>
        <v/>
      </c>
      <c r="M1862" s="105"/>
      <c r="N1862" s="105" t="str">
        <f>IF(F1862=True, IFERROR(VLOOKUP(D1862, Repository!A:G, 7, 0), ""), "")</f>
        <v/>
      </c>
      <c r="O1862" s="105" t="str">
        <f>IFERROR(__xludf.DUMMYFUNCTION("ARRAY_CONSTRAIN(
  ARRAYFORMULA(
    IFERROR(
      LET(
        list, N1862,
        arr, TRIM(SPLIT(list, "","")),
        names, XLOOKUP(
          arr,
          'Conformance Score'!A:A,
          'Conformance Score'!B:B,
          ""Not found""
     "&amp;"   ),
        TEXTJOIN("", "", TRUE, names)
      ),
      """"
    )
  ),
  1,
  1
)
"),"")</f>
        <v/>
      </c>
      <c r="P1862" s="105" t="str">
        <f>IF(F1862="Yes", IFERROR(VLOOKUP(D1862, Repository!A:F, 6, 0), ""), "")</f>
        <v/>
      </c>
      <c r="Q1862" s="105" t="str">
        <f>IF(F1862="Yes", IFERROR(VLOOKUP(D1862, Repository!A:I, 8, 0), ""), "")</f>
        <v/>
      </c>
      <c r="R1862" s="105" t="str">
        <f>IF(F1862="Yes", IFERROR(VLOOKUP(D1862, Repository!A:J, 9, 0), ""), "")</f>
        <v/>
      </c>
      <c r="S1862" s="105"/>
      <c r="T1862" s="105"/>
      <c r="U1862" s="105"/>
      <c r="V1862" s="105"/>
      <c r="W1862" s="105"/>
      <c r="X1862" s="105"/>
      <c r="Y1862" s="105"/>
      <c r="Z1862" s="105"/>
      <c r="AA1862" s="105"/>
      <c r="AB1862" s="105"/>
      <c r="AC1862" s="91"/>
      <c r="AD1862" s="105"/>
      <c r="AE1862" s="105"/>
      <c r="AF1862" s="91"/>
      <c r="AG1862" s="105"/>
      <c r="AH1862" s="105"/>
      <c r="AI1862" s="105" t="str">
        <f t="shared" si="1"/>
        <v/>
      </c>
      <c r="AJ1862" s="108" t="str">
        <f t="shared" si="2"/>
        <v/>
      </c>
    </row>
    <row r="1863" ht="15.75" customHeight="1">
      <c r="A1863" s="104"/>
      <c r="B1863" s="105" t="str">
        <f>IFERROR(__xludf.DUMMYFUNCTION("ARRAY_CONSTRAIN(
  ARRAYFORMULA(
    IF(
      'Final Report'!A1863="""",
      """",
      TEXTJOIN(
        "", "" &amp; CHAR(10),
        TRUE,
        IFERROR(
          VLOOKUP(
            TRIM(
              SPLIT('Final Report'!A1863, "","")
         "&amp;"   ),
            'URL Details'!A:B,
            2,
            FALSE
          ),
          """"
        )
      )
    )
  ),
  1,
  1
)
"),"")</f>
        <v/>
      </c>
      <c r="C1863" s="105" t="str">
        <f>IFERROR(__xludf.DUMMYFUNCTION("IFERROR(IF('Final Report'!A1863="""","""", TEXTJOIN(CHAR(10), TRUE, ARRAYFORMULA( ""• ""&amp; FILTER( TRIM(FLATTEN(SPLIT( REGEXREPLACE( SUBSTITUTE(TEXTJOIN("","", TRUE, IFERROR(ARRAYFORMULA(VLOOKUP(TRIM(SPLIT('Final Report'!A1863, "","")), 'URL Details'!A:D, "&amp;"4, FALSE)),"""") ), CHAR(10), "",""), ""\s*,\s*"", "",""), "",""))), TRIM(FLATTEN(SPLIT( REGEXREPLACE( SUBSTITUTE(TEXTJOIN("","", TRUE, IFERROR(ARRAYFORMULA(VLOOKUP(TRIM(SPLIT('Final Report'!A1863, "","")), 'URL Details'!A:D, 4, FALSE)),"""") ), CHAR(10),"&amp;" "",""), ""\s*,\s*"", "",""), "","")))&lt;&gt;"""" ) ) ) ),"""")
"),"")</f>
        <v/>
      </c>
      <c r="D1863" s="105"/>
      <c r="E1863" s="105"/>
      <c r="F1863" s="110" t="b">
        <v>0</v>
      </c>
      <c r="G1863" s="105" t="str">
        <f>IF(F1863=True, IFERROR(VLOOKUP(D1863, Repository!A:B, 2, 0), ""), "")</f>
        <v/>
      </c>
      <c r="H1863" s="105"/>
      <c r="I1863" s="105"/>
      <c r="J1863" s="105" t="str">
        <f>IF(F1863=True, IFERROR(VLOOKUP(D1863, Repository!A:C, 3, 0), ""), "")</f>
        <v/>
      </c>
      <c r="K1863" s="105"/>
      <c r="L1863" s="105" t="str">
        <f>IF(F1863=True, IFERROR(VLOOKUP(D1863, Repository!A:E, 5, 0), ""), "")</f>
        <v/>
      </c>
      <c r="M1863" s="105"/>
      <c r="N1863" s="105" t="str">
        <f>IF(F1863=True, IFERROR(VLOOKUP(D1863, Repository!A:G, 7, 0), ""), "")</f>
        <v/>
      </c>
      <c r="O1863" s="105" t="str">
        <f>IFERROR(__xludf.DUMMYFUNCTION("ARRAY_CONSTRAIN(
  ARRAYFORMULA(
    IFERROR(
      LET(
        list, N1863,
        arr, TRIM(SPLIT(list, "","")),
        names, XLOOKUP(
          arr,
          'Conformance Score'!A:A,
          'Conformance Score'!B:B,
          ""Not found""
     "&amp;"   ),
        TEXTJOIN("", "", TRUE, names)
      ),
      """"
    )
  ),
  1,
  1
)
"),"")</f>
        <v/>
      </c>
      <c r="P1863" s="105" t="str">
        <f>IF(F1863="Yes", IFERROR(VLOOKUP(D1863, Repository!A:F, 6, 0), ""), "")</f>
        <v/>
      </c>
      <c r="Q1863" s="105" t="str">
        <f>IF(F1863="Yes", IFERROR(VLOOKUP(D1863, Repository!A:I, 8, 0), ""), "")</f>
        <v/>
      </c>
      <c r="R1863" s="105" t="str">
        <f>IF(F1863="Yes", IFERROR(VLOOKUP(D1863, Repository!A:J, 9, 0), ""), "")</f>
        <v/>
      </c>
      <c r="S1863" s="105"/>
      <c r="T1863" s="105"/>
      <c r="U1863" s="105"/>
      <c r="V1863" s="105"/>
      <c r="W1863" s="105"/>
      <c r="X1863" s="105"/>
      <c r="Y1863" s="105"/>
      <c r="Z1863" s="105"/>
      <c r="AA1863" s="105"/>
      <c r="AB1863" s="105"/>
      <c r="AC1863" s="91"/>
      <c r="AD1863" s="105"/>
      <c r="AE1863" s="105"/>
      <c r="AF1863" s="91"/>
      <c r="AG1863" s="105"/>
      <c r="AH1863" s="105"/>
      <c r="AI1863" s="105" t="str">
        <f t="shared" si="1"/>
        <v/>
      </c>
      <c r="AJ1863" s="108" t="str">
        <f t="shared" si="2"/>
        <v/>
      </c>
    </row>
    <row r="1864" ht="15.75" customHeight="1">
      <c r="A1864" s="104"/>
      <c r="B1864" s="105" t="str">
        <f>IFERROR(__xludf.DUMMYFUNCTION("ARRAY_CONSTRAIN(
  ARRAYFORMULA(
    IF(
      'Final Report'!A1864="""",
      """",
      TEXTJOIN(
        "", "" &amp; CHAR(10),
        TRUE,
        IFERROR(
          VLOOKUP(
            TRIM(
              SPLIT('Final Report'!A1864, "","")
         "&amp;"   ),
            'URL Details'!A:B,
            2,
            FALSE
          ),
          """"
        )
      )
    )
  ),
  1,
  1
)
"),"")</f>
        <v/>
      </c>
      <c r="C1864" s="105" t="str">
        <f>IFERROR(__xludf.DUMMYFUNCTION("IFERROR(IF('Final Report'!A1864="""","""", TEXTJOIN(CHAR(10), TRUE, ARRAYFORMULA( ""• ""&amp; FILTER( TRIM(FLATTEN(SPLIT( REGEXREPLACE( SUBSTITUTE(TEXTJOIN("","", TRUE, IFERROR(ARRAYFORMULA(VLOOKUP(TRIM(SPLIT('Final Report'!A1864, "","")), 'URL Details'!A:D, "&amp;"4, FALSE)),"""") ), CHAR(10), "",""), ""\s*,\s*"", "",""), "",""))), TRIM(FLATTEN(SPLIT( REGEXREPLACE( SUBSTITUTE(TEXTJOIN("","", TRUE, IFERROR(ARRAYFORMULA(VLOOKUP(TRIM(SPLIT('Final Report'!A1864, "","")), 'URL Details'!A:D, 4, FALSE)),"""") ), CHAR(10),"&amp;" "",""), ""\s*,\s*"", "",""), "","")))&lt;&gt;"""" ) ) ) ),"""")
"),"")</f>
        <v/>
      </c>
      <c r="D1864" s="105"/>
      <c r="E1864" s="105"/>
      <c r="F1864" s="110" t="b">
        <v>0</v>
      </c>
      <c r="G1864" s="105" t="str">
        <f>IF(F1864=True, IFERROR(VLOOKUP(D1864, Repository!A:B, 2, 0), ""), "")</f>
        <v/>
      </c>
      <c r="H1864" s="105"/>
      <c r="I1864" s="105"/>
      <c r="J1864" s="105" t="str">
        <f>IF(F1864=True, IFERROR(VLOOKUP(D1864, Repository!A:C, 3, 0), ""), "")</f>
        <v/>
      </c>
      <c r="K1864" s="105"/>
      <c r="L1864" s="105" t="str">
        <f>IF(F1864=True, IFERROR(VLOOKUP(D1864, Repository!A:E, 5, 0), ""), "")</f>
        <v/>
      </c>
      <c r="M1864" s="105"/>
      <c r="N1864" s="105" t="str">
        <f>IF(F1864=True, IFERROR(VLOOKUP(D1864, Repository!A:G, 7, 0), ""), "")</f>
        <v/>
      </c>
      <c r="O1864" s="105" t="str">
        <f>IFERROR(__xludf.DUMMYFUNCTION("ARRAY_CONSTRAIN(
  ARRAYFORMULA(
    IFERROR(
      LET(
        list, N1864,
        arr, TRIM(SPLIT(list, "","")),
        names, XLOOKUP(
          arr,
          'Conformance Score'!A:A,
          'Conformance Score'!B:B,
          ""Not found""
     "&amp;"   ),
        TEXTJOIN("", "", TRUE, names)
      ),
      """"
    )
  ),
  1,
  1
)
"),"")</f>
        <v/>
      </c>
      <c r="P1864" s="105" t="str">
        <f>IF(F1864="Yes", IFERROR(VLOOKUP(D1864, Repository!A:F, 6, 0), ""), "")</f>
        <v/>
      </c>
      <c r="Q1864" s="105" t="str">
        <f>IF(F1864="Yes", IFERROR(VLOOKUP(D1864, Repository!A:I, 8, 0), ""), "")</f>
        <v/>
      </c>
      <c r="R1864" s="105" t="str">
        <f>IF(F1864="Yes", IFERROR(VLOOKUP(D1864, Repository!A:J, 9, 0), ""), "")</f>
        <v/>
      </c>
      <c r="S1864" s="105"/>
      <c r="T1864" s="105"/>
      <c r="U1864" s="105"/>
      <c r="V1864" s="105"/>
      <c r="W1864" s="105"/>
      <c r="X1864" s="105"/>
      <c r="Y1864" s="105"/>
      <c r="Z1864" s="105"/>
      <c r="AA1864" s="105"/>
      <c r="AB1864" s="105"/>
      <c r="AC1864" s="91"/>
      <c r="AD1864" s="105"/>
      <c r="AE1864" s="105"/>
      <c r="AF1864" s="91"/>
      <c r="AG1864" s="105"/>
      <c r="AH1864" s="105"/>
      <c r="AI1864" s="105" t="str">
        <f t="shared" si="1"/>
        <v/>
      </c>
      <c r="AJ1864" s="108" t="str">
        <f t="shared" si="2"/>
        <v/>
      </c>
    </row>
    <row r="1865" ht="15.75" customHeight="1">
      <c r="A1865" s="104"/>
      <c r="B1865" s="105" t="str">
        <f>IFERROR(__xludf.DUMMYFUNCTION("ARRAY_CONSTRAIN(
  ARRAYFORMULA(
    IF(
      'Final Report'!A1865="""",
      """",
      TEXTJOIN(
        "", "" &amp; CHAR(10),
        TRUE,
        IFERROR(
          VLOOKUP(
            TRIM(
              SPLIT('Final Report'!A1865, "","")
         "&amp;"   ),
            'URL Details'!A:B,
            2,
            FALSE
          ),
          """"
        )
      )
    )
  ),
  1,
  1
)
"),"")</f>
        <v/>
      </c>
      <c r="C1865" s="105" t="str">
        <f>IFERROR(__xludf.DUMMYFUNCTION("IFERROR(IF('Final Report'!A1865="""","""", TEXTJOIN(CHAR(10), TRUE, ARRAYFORMULA( ""• ""&amp; FILTER( TRIM(FLATTEN(SPLIT( REGEXREPLACE( SUBSTITUTE(TEXTJOIN("","", TRUE, IFERROR(ARRAYFORMULA(VLOOKUP(TRIM(SPLIT('Final Report'!A1865, "","")), 'URL Details'!A:D, "&amp;"4, FALSE)),"""") ), CHAR(10), "",""), ""\s*,\s*"", "",""), "",""))), TRIM(FLATTEN(SPLIT( REGEXREPLACE( SUBSTITUTE(TEXTJOIN("","", TRUE, IFERROR(ARRAYFORMULA(VLOOKUP(TRIM(SPLIT('Final Report'!A1865, "","")), 'URL Details'!A:D, 4, FALSE)),"""") ), CHAR(10),"&amp;" "",""), ""\s*,\s*"", "",""), "","")))&lt;&gt;"""" ) ) ) ),"""")
"),"")</f>
        <v/>
      </c>
      <c r="D1865" s="105"/>
      <c r="E1865" s="105"/>
      <c r="F1865" s="110" t="b">
        <v>0</v>
      </c>
      <c r="G1865" s="105" t="str">
        <f>IF(F1865=True, IFERROR(VLOOKUP(D1865, Repository!A:B, 2, 0), ""), "")</f>
        <v/>
      </c>
      <c r="H1865" s="105"/>
      <c r="I1865" s="105"/>
      <c r="J1865" s="105" t="str">
        <f>IF(F1865=True, IFERROR(VLOOKUP(D1865, Repository!A:C, 3, 0), ""), "")</f>
        <v/>
      </c>
      <c r="K1865" s="105"/>
      <c r="L1865" s="105" t="str">
        <f>IF(F1865=True, IFERROR(VLOOKUP(D1865, Repository!A:E, 5, 0), ""), "")</f>
        <v/>
      </c>
      <c r="M1865" s="105"/>
      <c r="N1865" s="105" t="str">
        <f>IF(F1865=True, IFERROR(VLOOKUP(D1865, Repository!A:G, 7, 0), ""), "")</f>
        <v/>
      </c>
      <c r="O1865" s="105" t="str">
        <f>IFERROR(__xludf.DUMMYFUNCTION("ARRAY_CONSTRAIN(
  ARRAYFORMULA(
    IFERROR(
      LET(
        list, N1865,
        arr, TRIM(SPLIT(list, "","")),
        names, XLOOKUP(
          arr,
          'Conformance Score'!A:A,
          'Conformance Score'!B:B,
          ""Not found""
     "&amp;"   ),
        TEXTJOIN("", "", TRUE, names)
      ),
      """"
    )
  ),
  1,
  1
)
"),"")</f>
        <v/>
      </c>
      <c r="P1865" s="105" t="str">
        <f>IF(F1865="Yes", IFERROR(VLOOKUP(D1865, Repository!A:F, 6, 0), ""), "")</f>
        <v/>
      </c>
      <c r="Q1865" s="105" t="str">
        <f>IF(F1865="Yes", IFERROR(VLOOKUP(D1865, Repository!A:I, 8, 0), ""), "")</f>
        <v/>
      </c>
      <c r="R1865" s="105" t="str">
        <f>IF(F1865="Yes", IFERROR(VLOOKUP(D1865, Repository!A:J, 9, 0), ""), "")</f>
        <v/>
      </c>
      <c r="S1865" s="105"/>
      <c r="T1865" s="105"/>
      <c r="U1865" s="105"/>
      <c r="V1865" s="105"/>
      <c r="W1865" s="105"/>
      <c r="X1865" s="105"/>
      <c r="Y1865" s="105"/>
      <c r="Z1865" s="105"/>
      <c r="AA1865" s="105"/>
      <c r="AB1865" s="105"/>
      <c r="AC1865" s="91"/>
      <c r="AD1865" s="105"/>
      <c r="AE1865" s="105"/>
      <c r="AF1865" s="91"/>
      <c r="AG1865" s="105"/>
      <c r="AH1865" s="105"/>
      <c r="AI1865" s="105" t="str">
        <f t="shared" si="1"/>
        <v/>
      </c>
      <c r="AJ1865" s="108" t="str">
        <f t="shared" si="2"/>
        <v/>
      </c>
    </row>
    <row r="1866" ht="15.75" customHeight="1">
      <c r="A1866" s="104"/>
      <c r="B1866" s="105" t="str">
        <f>IFERROR(__xludf.DUMMYFUNCTION("ARRAY_CONSTRAIN(
  ARRAYFORMULA(
    IF(
      'Final Report'!A1866="""",
      """",
      TEXTJOIN(
        "", "" &amp; CHAR(10),
        TRUE,
        IFERROR(
          VLOOKUP(
            TRIM(
              SPLIT('Final Report'!A1866, "","")
         "&amp;"   ),
            'URL Details'!A:B,
            2,
            FALSE
          ),
          """"
        )
      )
    )
  ),
  1,
  1
)
"),"")</f>
        <v/>
      </c>
      <c r="C1866" s="105" t="str">
        <f>IFERROR(__xludf.DUMMYFUNCTION("IFERROR(IF('Final Report'!A1866="""","""", TEXTJOIN(CHAR(10), TRUE, ARRAYFORMULA( ""• ""&amp; FILTER( TRIM(FLATTEN(SPLIT( REGEXREPLACE( SUBSTITUTE(TEXTJOIN("","", TRUE, IFERROR(ARRAYFORMULA(VLOOKUP(TRIM(SPLIT('Final Report'!A1866, "","")), 'URL Details'!A:D, "&amp;"4, FALSE)),"""") ), CHAR(10), "",""), ""\s*,\s*"", "",""), "",""))), TRIM(FLATTEN(SPLIT( REGEXREPLACE( SUBSTITUTE(TEXTJOIN("","", TRUE, IFERROR(ARRAYFORMULA(VLOOKUP(TRIM(SPLIT('Final Report'!A1866, "","")), 'URL Details'!A:D, 4, FALSE)),"""") ), CHAR(10),"&amp;" "",""), ""\s*,\s*"", "",""), "","")))&lt;&gt;"""" ) ) ) ),"""")
"),"")</f>
        <v/>
      </c>
      <c r="D1866" s="105"/>
      <c r="E1866" s="105"/>
      <c r="F1866" s="110" t="b">
        <v>0</v>
      </c>
      <c r="G1866" s="105" t="str">
        <f>IF(F1866=True, IFERROR(VLOOKUP(D1866, Repository!A:B, 2, 0), ""), "")</f>
        <v/>
      </c>
      <c r="H1866" s="105"/>
      <c r="I1866" s="105"/>
      <c r="J1866" s="105" t="str">
        <f>IF(F1866=True, IFERROR(VLOOKUP(D1866, Repository!A:C, 3, 0), ""), "")</f>
        <v/>
      </c>
      <c r="K1866" s="105"/>
      <c r="L1866" s="105" t="str">
        <f>IF(F1866=True, IFERROR(VLOOKUP(D1866, Repository!A:E, 5, 0), ""), "")</f>
        <v/>
      </c>
      <c r="M1866" s="105"/>
      <c r="N1866" s="105" t="str">
        <f>IF(F1866=True, IFERROR(VLOOKUP(D1866, Repository!A:G, 7, 0), ""), "")</f>
        <v/>
      </c>
      <c r="O1866" s="105" t="str">
        <f>IFERROR(__xludf.DUMMYFUNCTION("ARRAY_CONSTRAIN(
  ARRAYFORMULA(
    IFERROR(
      LET(
        list, N1866,
        arr, TRIM(SPLIT(list, "","")),
        names, XLOOKUP(
          arr,
          'Conformance Score'!A:A,
          'Conformance Score'!B:B,
          ""Not found""
     "&amp;"   ),
        TEXTJOIN("", "", TRUE, names)
      ),
      """"
    )
  ),
  1,
  1
)
"),"")</f>
        <v/>
      </c>
      <c r="P1866" s="105" t="str">
        <f>IF(F1866="Yes", IFERROR(VLOOKUP(D1866, Repository!A:F, 6, 0), ""), "")</f>
        <v/>
      </c>
      <c r="Q1866" s="105" t="str">
        <f>IF(F1866="Yes", IFERROR(VLOOKUP(D1866, Repository!A:I, 8, 0), ""), "")</f>
        <v/>
      </c>
      <c r="R1866" s="105" t="str">
        <f>IF(F1866="Yes", IFERROR(VLOOKUP(D1866, Repository!A:J, 9, 0), ""), "")</f>
        <v/>
      </c>
      <c r="S1866" s="105"/>
      <c r="T1866" s="105"/>
      <c r="U1866" s="105"/>
      <c r="V1866" s="105"/>
      <c r="W1866" s="105"/>
      <c r="X1866" s="105"/>
      <c r="Y1866" s="105"/>
      <c r="Z1866" s="105"/>
      <c r="AA1866" s="105"/>
      <c r="AB1866" s="105"/>
      <c r="AC1866" s="91"/>
      <c r="AD1866" s="105"/>
      <c r="AE1866" s="105"/>
      <c r="AF1866" s="91"/>
      <c r="AG1866" s="105"/>
      <c r="AH1866" s="105"/>
      <c r="AI1866" s="105" t="str">
        <f t="shared" si="1"/>
        <v/>
      </c>
      <c r="AJ1866" s="108" t="str">
        <f t="shared" si="2"/>
        <v/>
      </c>
    </row>
    <row r="1867" ht="15.75" customHeight="1">
      <c r="A1867" s="104"/>
      <c r="B1867" s="105" t="str">
        <f>IFERROR(__xludf.DUMMYFUNCTION("ARRAY_CONSTRAIN(
  ARRAYFORMULA(
    IF(
      'Final Report'!A1867="""",
      """",
      TEXTJOIN(
        "", "" &amp; CHAR(10),
        TRUE,
        IFERROR(
          VLOOKUP(
            TRIM(
              SPLIT('Final Report'!A1867, "","")
         "&amp;"   ),
            'URL Details'!A:B,
            2,
            FALSE
          ),
          """"
        )
      )
    )
  ),
  1,
  1
)
"),"")</f>
        <v/>
      </c>
      <c r="C1867" s="105" t="str">
        <f>IFERROR(__xludf.DUMMYFUNCTION("IFERROR(IF('Final Report'!A1867="""","""", TEXTJOIN(CHAR(10), TRUE, ARRAYFORMULA( ""• ""&amp; FILTER( TRIM(FLATTEN(SPLIT( REGEXREPLACE( SUBSTITUTE(TEXTJOIN("","", TRUE, IFERROR(ARRAYFORMULA(VLOOKUP(TRIM(SPLIT('Final Report'!A1867, "","")), 'URL Details'!A:D, "&amp;"4, FALSE)),"""") ), CHAR(10), "",""), ""\s*,\s*"", "",""), "",""))), TRIM(FLATTEN(SPLIT( REGEXREPLACE( SUBSTITUTE(TEXTJOIN("","", TRUE, IFERROR(ARRAYFORMULA(VLOOKUP(TRIM(SPLIT('Final Report'!A1867, "","")), 'URL Details'!A:D, 4, FALSE)),"""") ), CHAR(10),"&amp;" "",""), ""\s*,\s*"", "",""), "","")))&lt;&gt;"""" ) ) ) ),"""")
"),"")</f>
        <v/>
      </c>
      <c r="D1867" s="105"/>
      <c r="E1867" s="105"/>
      <c r="F1867" s="110" t="b">
        <v>0</v>
      </c>
      <c r="G1867" s="105" t="str">
        <f>IF(F1867=True, IFERROR(VLOOKUP(D1867, Repository!A:B, 2, 0), ""), "")</f>
        <v/>
      </c>
      <c r="H1867" s="105"/>
      <c r="I1867" s="105"/>
      <c r="J1867" s="105" t="str">
        <f>IF(F1867=True, IFERROR(VLOOKUP(D1867, Repository!A:C, 3, 0), ""), "")</f>
        <v/>
      </c>
      <c r="K1867" s="105"/>
      <c r="L1867" s="105" t="str">
        <f>IF(F1867=True, IFERROR(VLOOKUP(D1867, Repository!A:E, 5, 0), ""), "")</f>
        <v/>
      </c>
      <c r="M1867" s="105"/>
      <c r="N1867" s="105" t="str">
        <f>IF(F1867=True, IFERROR(VLOOKUP(D1867, Repository!A:G, 7, 0), ""), "")</f>
        <v/>
      </c>
      <c r="O1867" s="105" t="str">
        <f>IFERROR(__xludf.DUMMYFUNCTION("ARRAY_CONSTRAIN(
  ARRAYFORMULA(
    IFERROR(
      LET(
        list, N1867,
        arr, TRIM(SPLIT(list, "","")),
        names, XLOOKUP(
          arr,
          'Conformance Score'!A:A,
          'Conformance Score'!B:B,
          ""Not found""
     "&amp;"   ),
        TEXTJOIN("", "", TRUE, names)
      ),
      """"
    )
  ),
  1,
  1
)
"),"")</f>
        <v/>
      </c>
      <c r="P1867" s="105" t="str">
        <f>IF(F1867="Yes", IFERROR(VLOOKUP(D1867, Repository!A:F, 6, 0), ""), "")</f>
        <v/>
      </c>
      <c r="Q1867" s="105" t="str">
        <f>IF(F1867="Yes", IFERROR(VLOOKUP(D1867, Repository!A:I, 8, 0), ""), "")</f>
        <v/>
      </c>
      <c r="R1867" s="105" t="str">
        <f>IF(F1867="Yes", IFERROR(VLOOKUP(D1867, Repository!A:J, 9, 0), ""), "")</f>
        <v/>
      </c>
      <c r="S1867" s="105"/>
      <c r="T1867" s="105"/>
      <c r="U1867" s="105"/>
      <c r="V1867" s="105"/>
      <c r="W1867" s="105"/>
      <c r="X1867" s="105"/>
      <c r="Y1867" s="105"/>
      <c r="Z1867" s="105"/>
      <c r="AA1867" s="105"/>
      <c r="AB1867" s="105"/>
      <c r="AC1867" s="91"/>
      <c r="AD1867" s="105"/>
      <c r="AE1867" s="105"/>
      <c r="AF1867" s="91"/>
      <c r="AG1867" s="105"/>
      <c r="AH1867" s="105"/>
      <c r="AI1867" s="105" t="str">
        <f t="shared" si="1"/>
        <v/>
      </c>
      <c r="AJ1867" s="108" t="str">
        <f t="shared" si="2"/>
        <v/>
      </c>
    </row>
    <row r="1868" ht="15.75" customHeight="1">
      <c r="A1868" s="104"/>
      <c r="B1868" s="105" t="str">
        <f>IFERROR(__xludf.DUMMYFUNCTION("ARRAY_CONSTRAIN(
  ARRAYFORMULA(
    IF(
      'Final Report'!A1868="""",
      """",
      TEXTJOIN(
        "", "" &amp; CHAR(10),
        TRUE,
        IFERROR(
          VLOOKUP(
            TRIM(
              SPLIT('Final Report'!A1868, "","")
         "&amp;"   ),
            'URL Details'!A:B,
            2,
            FALSE
          ),
          """"
        )
      )
    )
  ),
  1,
  1
)
"),"")</f>
        <v/>
      </c>
      <c r="C1868" s="105" t="str">
        <f>IFERROR(__xludf.DUMMYFUNCTION("IFERROR(IF('Final Report'!A1868="""","""", TEXTJOIN(CHAR(10), TRUE, ARRAYFORMULA( ""• ""&amp; FILTER( TRIM(FLATTEN(SPLIT( REGEXREPLACE( SUBSTITUTE(TEXTJOIN("","", TRUE, IFERROR(ARRAYFORMULA(VLOOKUP(TRIM(SPLIT('Final Report'!A1868, "","")), 'URL Details'!A:D, "&amp;"4, FALSE)),"""") ), CHAR(10), "",""), ""\s*,\s*"", "",""), "",""))), TRIM(FLATTEN(SPLIT( REGEXREPLACE( SUBSTITUTE(TEXTJOIN("","", TRUE, IFERROR(ARRAYFORMULA(VLOOKUP(TRIM(SPLIT('Final Report'!A1868, "","")), 'URL Details'!A:D, 4, FALSE)),"""") ), CHAR(10),"&amp;" "",""), ""\s*,\s*"", "",""), "","")))&lt;&gt;"""" ) ) ) ),"""")
"),"")</f>
        <v/>
      </c>
      <c r="D1868" s="105"/>
      <c r="E1868" s="105"/>
      <c r="F1868" s="110" t="b">
        <v>0</v>
      </c>
      <c r="G1868" s="105" t="str">
        <f>IF(F1868=True, IFERROR(VLOOKUP(D1868, Repository!A:B, 2, 0), ""), "")</f>
        <v/>
      </c>
      <c r="H1868" s="105"/>
      <c r="I1868" s="105"/>
      <c r="J1868" s="105" t="str">
        <f>IF(F1868=True, IFERROR(VLOOKUP(D1868, Repository!A:C, 3, 0), ""), "")</f>
        <v/>
      </c>
      <c r="K1868" s="105"/>
      <c r="L1868" s="105" t="str">
        <f>IF(F1868=True, IFERROR(VLOOKUP(D1868, Repository!A:E, 5, 0), ""), "")</f>
        <v/>
      </c>
      <c r="M1868" s="105"/>
      <c r="N1868" s="105" t="str">
        <f>IF(F1868=True, IFERROR(VLOOKUP(D1868, Repository!A:G, 7, 0), ""), "")</f>
        <v/>
      </c>
      <c r="O1868" s="105" t="str">
        <f>IFERROR(__xludf.DUMMYFUNCTION("ARRAY_CONSTRAIN(
  ARRAYFORMULA(
    IFERROR(
      LET(
        list, N1868,
        arr, TRIM(SPLIT(list, "","")),
        names, XLOOKUP(
          arr,
          'Conformance Score'!A:A,
          'Conformance Score'!B:B,
          ""Not found""
     "&amp;"   ),
        TEXTJOIN("", "", TRUE, names)
      ),
      """"
    )
  ),
  1,
  1
)
"),"")</f>
        <v/>
      </c>
      <c r="P1868" s="105" t="str">
        <f>IF(F1868="Yes", IFERROR(VLOOKUP(D1868, Repository!A:F, 6, 0), ""), "")</f>
        <v/>
      </c>
      <c r="Q1868" s="105" t="str">
        <f>IF(F1868="Yes", IFERROR(VLOOKUP(D1868, Repository!A:I, 8, 0), ""), "")</f>
        <v/>
      </c>
      <c r="R1868" s="105" t="str">
        <f>IF(F1868="Yes", IFERROR(VLOOKUP(D1868, Repository!A:J, 9, 0), ""), "")</f>
        <v/>
      </c>
      <c r="S1868" s="105"/>
      <c r="T1868" s="105"/>
      <c r="U1868" s="105"/>
      <c r="V1868" s="105"/>
      <c r="W1868" s="105"/>
      <c r="X1868" s="105"/>
      <c r="Y1868" s="105"/>
      <c r="Z1868" s="105"/>
      <c r="AA1868" s="105"/>
      <c r="AB1868" s="105"/>
      <c r="AC1868" s="91"/>
      <c r="AD1868" s="105"/>
      <c r="AE1868" s="105"/>
      <c r="AF1868" s="91"/>
      <c r="AG1868" s="105"/>
      <c r="AH1868" s="105"/>
      <c r="AI1868" s="105" t="str">
        <f t="shared" si="1"/>
        <v/>
      </c>
      <c r="AJ1868" s="108" t="str">
        <f t="shared" si="2"/>
        <v/>
      </c>
    </row>
    <row r="1869" ht="15.75" customHeight="1">
      <c r="A1869" s="104"/>
      <c r="B1869" s="105" t="str">
        <f>IFERROR(__xludf.DUMMYFUNCTION("ARRAY_CONSTRAIN(
  ARRAYFORMULA(
    IF(
      'Final Report'!A1869="""",
      """",
      TEXTJOIN(
        "", "" &amp; CHAR(10),
        TRUE,
        IFERROR(
          VLOOKUP(
            TRIM(
              SPLIT('Final Report'!A1869, "","")
         "&amp;"   ),
            'URL Details'!A:B,
            2,
            FALSE
          ),
          """"
        )
      )
    )
  ),
  1,
  1
)
"),"")</f>
        <v/>
      </c>
      <c r="C1869" s="105" t="str">
        <f>IFERROR(__xludf.DUMMYFUNCTION("IFERROR(IF('Final Report'!A1869="""","""", TEXTJOIN(CHAR(10), TRUE, ARRAYFORMULA( ""• ""&amp; FILTER( TRIM(FLATTEN(SPLIT( REGEXREPLACE( SUBSTITUTE(TEXTJOIN("","", TRUE, IFERROR(ARRAYFORMULA(VLOOKUP(TRIM(SPLIT('Final Report'!A1869, "","")), 'URL Details'!A:D, "&amp;"4, FALSE)),"""") ), CHAR(10), "",""), ""\s*,\s*"", "",""), "",""))), TRIM(FLATTEN(SPLIT( REGEXREPLACE( SUBSTITUTE(TEXTJOIN("","", TRUE, IFERROR(ARRAYFORMULA(VLOOKUP(TRIM(SPLIT('Final Report'!A1869, "","")), 'URL Details'!A:D, 4, FALSE)),"""") ), CHAR(10),"&amp;" "",""), ""\s*,\s*"", "",""), "","")))&lt;&gt;"""" ) ) ) ),"""")
"),"")</f>
        <v/>
      </c>
      <c r="D1869" s="105"/>
      <c r="E1869" s="105"/>
      <c r="F1869" s="110" t="b">
        <v>0</v>
      </c>
      <c r="G1869" s="105" t="str">
        <f>IF(F1869=True, IFERROR(VLOOKUP(D1869, Repository!A:B, 2, 0), ""), "")</f>
        <v/>
      </c>
      <c r="H1869" s="105"/>
      <c r="I1869" s="105"/>
      <c r="J1869" s="105" t="str">
        <f>IF(F1869=True, IFERROR(VLOOKUP(D1869, Repository!A:C, 3, 0), ""), "")</f>
        <v/>
      </c>
      <c r="K1869" s="105"/>
      <c r="L1869" s="105" t="str">
        <f>IF(F1869=True, IFERROR(VLOOKUP(D1869, Repository!A:E, 5, 0), ""), "")</f>
        <v/>
      </c>
      <c r="M1869" s="105"/>
      <c r="N1869" s="105" t="str">
        <f>IF(F1869=True, IFERROR(VLOOKUP(D1869, Repository!A:G, 7, 0), ""), "")</f>
        <v/>
      </c>
      <c r="O1869" s="105" t="str">
        <f>IFERROR(__xludf.DUMMYFUNCTION("ARRAY_CONSTRAIN(
  ARRAYFORMULA(
    IFERROR(
      LET(
        list, N1869,
        arr, TRIM(SPLIT(list, "","")),
        names, XLOOKUP(
          arr,
          'Conformance Score'!A:A,
          'Conformance Score'!B:B,
          ""Not found""
     "&amp;"   ),
        TEXTJOIN("", "", TRUE, names)
      ),
      """"
    )
  ),
  1,
  1
)
"),"")</f>
        <v/>
      </c>
      <c r="P1869" s="105" t="str">
        <f>IF(F1869="Yes", IFERROR(VLOOKUP(D1869, Repository!A:F, 6, 0), ""), "")</f>
        <v/>
      </c>
      <c r="Q1869" s="105" t="str">
        <f>IF(F1869="Yes", IFERROR(VLOOKUP(D1869, Repository!A:I, 8, 0), ""), "")</f>
        <v/>
      </c>
      <c r="R1869" s="105" t="str">
        <f>IF(F1869="Yes", IFERROR(VLOOKUP(D1869, Repository!A:J, 9, 0), ""), "")</f>
        <v/>
      </c>
      <c r="S1869" s="105"/>
      <c r="T1869" s="105"/>
      <c r="U1869" s="105"/>
      <c r="V1869" s="105"/>
      <c r="W1869" s="105"/>
      <c r="X1869" s="105"/>
      <c r="Y1869" s="105"/>
      <c r="Z1869" s="105"/>
      <c r="AA1869" s="105"/>
      <c r="AB1869" s="105"/>
      <c r="AC1869" s="91"/>
      <c r="AD1869" s="105"/>
      <c r="AE1869" s="105"/>
      <c r="AF1869" s="91"/>
      <c r="AG1869" s="105"/>
      <c r="AH1869" s="105"/>
      <c r="AI1869" s="105" t="str">
        <f t="shared" si="1"/>
        <v/>
      </c>
      <c r="AJ1869" s="108" t="str">
        <f t="shared" si="2"/>
        <v/>
      </c>
    </row>
    <row r="1870" ht="15.75" customHeight="1">
      <c r="A1870" s="104"/>
      <c r="B1870" s="105" t="str">
        <f>IFERROR(__xludf.DUMMYFUNCTION("ARRAY_CONSTRAIN(
  ARRAYFORMULA(
    IF(
      'Final Report'!A1870="""",
      """",
      TEXTJOIN(
        "", "" &amp; CHAR(10),
        TRUE,
        IFERROR(
          VLOOKUP(
            TRIM(
              SPLIT('Final Report'!A1870, "","")
         "&amp;"   ),
            'URL Details'!A:B,
            2,
            FALSE
          ),
          """"
        )
      )
    )
  ),
  1,
  1
)
"),"")</f>
        <v/>
      </c>
      <c r="C1870" s="105" t="str">
        <f>IFERROR(__xludf.DUMMYFUNCTION("IFERROR(IF('Final Report'!A1870="""","""", TEXTJOIN(CHAR(10), TRUE, ARRAYFORMULA( ""• ""&amp; FILTER( TRIM(FLATTEN(SPLIT( REGEXREPLACE( SUBSTITUTE(TEXTJOIN("","", TRUE, IFERROR(ARRAYFORMULA(VLOOKUP(TRIM(SPLIT('Final Report'!A1870, "","")), 'URL Details'!A:D, "&amp;"4, FALSE)),"""") ), CHAR(10), "",""), ""\s*,\s*"", "",""), "",""))), TRIM(FLATTEN(SPLIT( REGEXREPLACE( SUBSTITUTE(TEXTJOIN("","", TRUE, IFERROR(ARRAYFORMULA(VLOOKUP(TRIM(SPLIT('Final Report'!A1870, "","")), 'URL Details'!A:D, 4, FALSE)),"""") ), CHAR(10),"&amp;" "",""), ""\s*,\s*"", "",""), "","")))&lt;&gt;"""" ) ) ) ),"""")
"),"")</f>
        <v/>
      </c>
      <c r="D1870" s="105"/>
      <c r="E1870" s="105"/>
      <c r="F1870" s="110" t="b">
        <v>0</v>
      </c>
      <c r="G1870" s="105" t="str">
        <f>IF(F1870=True, IFERROR(VLOOKUP(D1870, Repository!A:B, 2, 0), ""), "")</f>
        <v/>
      </c>
      <c r="H1870" s="105"/>
      <c r="I1870" s="105"/>
      <c r="J1870" s="105" t="str">
        <f>IF(F1870=True, IFERROR(VLOOKUP(D1870, Repository!A:C, 3, 0), ""), "")</f>
        <v/>
      </c>
      <c r="K1870" s="105"/>
      <c r="L1870" s="105" t="str">
        <f>IF(F1870=True, IFERROR(VLOOKUP(D1870, Repository!A:E, 5, 0), ""), "")</f>
        <v/>
      </c>
      <c r="M1870" s="105"/>
      <c r="N1870" s="105" t="str">
        <f>IF(F1870=True, IFERROR(VLOOKUP(D1870, Repository!A:G, 7, 0), ""), "")</f>
        <v/>
      </c>
      <c r="O1870" s="105" t="str">
        <f>IFERROR(__xludf.DUMMYFUNCTION("ARRAY_CONSTRAIN(
  ARRAYFORMULA(
    IFERROR(
      LET(
        list, N1870,
        arr, TRIM(SPLIT(list, "","")),
        names, XLOOKUP(
          arr,
          'Conformance Score'!A:A,
          'Conformance Score'!B:B,
          ""Not found""
     "&amp;"   ),
        TEXTJOIN("", "", TRUE, names)
      ),
      """"
    )
  ),
  1,
  1
)
"),"")</f>
        <v/>
      </c>
      <c r="P1870" s="105" t="str">
        <f>IF(F1870="Yes", IFERROR(VLOOKUP(D1870, Repository!A:F, 6, 0), ""), "")</f>
        <v/>
      </c>
      <c r="Q1870" s="105" t="str">
        <f>IF(F1870="Yes", IFERROR(VLOOKUP(D1870, Repository!A:I, 8, 0), ""), "")</f>
        <v/>
      </c>
      <c r="R1870" s="105" t="str">
        <f>IF(F1870="Yes", IFERROR(VLOOKUP(D1870, Repository!A:J, 9, 0), ""), "")</f>
        <v/>
      </c>
      <c r="S1870" s="105"/>
      <c r="T1870" s="105"/>
      <c r="U1870" s="105"/>
      <c r="V1870" s="105"/>
      <c r="W1870" s="105"/>
      <c r="X1870" s="105"/>
      <c r="Y1870" s="105"/>
      <c r="Z1870" s="105"/>
      <c r="AA1870" s="105"/>
      <c r="AB1870" s="105"/>
      <c r="AC1870" s="91"/>
      <c r="AD1870" s="105"/>
      <c r="AE1870" s="105"/>
      <c r="AF1870" s="91"/>
      <c r="AG1870" s="105"/>
      <c r="AH1870" s="105"/>
      <c r="AI1870" s="105" t="str">
        <f t="shared" si="1"/>
        <v/>
      </c>
      <c r="AJ1870" s="108" t="str">
        <f t="shared" si="2"/>
        <v/>
      </c>
    </row>
    <row r="1871" ht="15.75" customHeight="1">
      <c r="A1871" s="104"/>
      <c r="B1871" s="105" t="str">
        <f>IFERROR(__xludf.DUMMYFUNCTION("ARRAY_CONSTRAIN(
  ARRAYFORMULA(
    IF(
      'Final Report'!A1871="""",
      """",
      TEXTJOIN(
        "", "" &amp; CHAR(10),
        TRUE,
        IFERROR(
          VLOOKUP(
            TRIM(
              SPLIT('Final Report'!A1871, "","")
         "&amp;"   ),
            'URL Details'!A:B,
            2,
            FALSE
          ),
          """"
        )
      )
    )
  ),
  1,
  1
)
"),"")</f>
        <v/>
      </c>
      <c r="C1871" s="105" t="str">
        <f>IFERROR(__xludf.DUMMYFUNCTION("IFERROR(IF('Final Report'!A1871="""","""", TEXTJOIN(CHAR(10), TRUE, ARRAYFORMULA( ""• ""&amp; FILTER( TRIM(FLATTEN(SPLIT( REGEXREPLACE( SUBSTITUTE(TEXTJOIN("","", TRUE, IFERROR(ARRAYFORMULA(VLOOKUP(TRIM(SPLIT('Final Report'!A1871, "","")), 'URL Details'!A:D, "&amp;"4, FALSE)),"""") ), CHAR(10), "",""), ""\s*,\s*"", "",""), "",""))), TRIM(FLATTEN(SPLIT( REGEXREPLACE( SUBSTITUTE(TEXTJOIN("","", TRUE, IFERROR(ARRAYFORMULA(VLOOKUP(TRIM(SPLIT('Final Report'!A1871, "","")), 'URL Details'!A:D, 4, FALSE)),"""") ), CHAR(10),"&amp;" "",""), ""\s*,\s*"", "",""), "","")))&lt;&gt;"""" ) ) ) ),"""")
"),"")</f>
        <v/>
      </c>
      <c r="D1871" s="105"/>
      <c r="E1871" s="105"/>
      <c r="F1871" s="110" t="b">
        <v>0</v>
      </c>
      <c r="G1871" s="105" t="str">
        <f>IF(F1871=True, IFERROR(VLOOKUP(D1871, Repository!A:B, 2, 0), ""), "")</f>
        <v/>
      </c>
      <c r="H1871" s="105"/>
      <c r="I1871" s="105"/>
      <c r="J1871" s="105" t="str">
        <f>IF(F1871=True, IFERROR(VLOOKUP(D1871, Repository!A:C, 3, 0), ""), "")</f>
        <v/>
      </c>
      <c r="K1871" s="105"/>
      <c r="L1871" s="105" t="str">
        <f>IF(F1871=True, IFERROR(VLOOKUP(D1871, Repository!A:E, 5, 0), ""), "")</f>
        <v/>
      </c>
      <c r="M1871" s="105"/>
      <c r="N1871" s="105" t="str">
        <f>IF(F1871=True, IFERROR(VLOOKUP(D1871, Repository!A:G, 7, 0), ""), "")</f>
        <v/>
      </c>
      <c r="O1871" s="105" t="str">
        <f>IFERROR(__xludf.DUMMYFUNCTION("ARRAY_CONSTRAIN(
  ARRAYFORMULA(
    IFERROR(
      LET(
        list, N1871,
        arr, TRIM(SPLIT(list, "","")),
        names, XLOOKUP(
          arr,
          'Conformance Score'!A:A,
          'Conformance Score'!B:B,
          ""Not found""
     "&amp;"   ),
        TEXTJOIN("", "", TRUE, names)
      ),
      """"
    )
  ),
  1,
  1
)
"),"")</f>
        <v/>
      </c>
      <c r="P1871" s="105" t="str">
        <f>IF(F1871="Yes", IFERROR(VLOOKUP(D1871, Repository!A:F, 6, 0), ""), "")</f>
        <v/>
      </c>
      <c r="Q1871" s="105" t="str">
        <f>IF(F1871="Yes", IFERROR(VLOOKUP(D1871, Repository!A:I, 8, 0), ""), "")</f>
        <v/>
      </c>
      <c r="R1871" s="105" t="str">
        <f>IF(F1871="Yes", IFERROR(VLOOKUP(D1871, Repository!A:J, 9, 0), ""), "")</f>
        <v/>
      </c>
      <c r="S1871" s="105"/>
      <c r="T1871" s="105"/>
      <c r="U1871" s="105"/>
      <c r="V1871" s="105"/>
      <c r="W1871" s="105"/>
      <c r="X1871" s="105"/>
      <c r="Y1871" s="105"/>
      <c r="Z1871" s="105"/>
      <c r="AA1871" s="105"/>
      <c r="AB1871" s="105"/>
      <c r="AC1871" s="91"/>
      <c r="AD1871" s="105"/>
      <c r="AE1871" s="105"/>
      <c r="AF1871" s="91"/>
      <c r="AG1871" s="105"/>
      <c r="AH1871" s="105"/>
      <c r="AI1871" s="105" t="str">
        <f t="shared" si="1"/>
        <v/>
      </c>
      <c r="AJ1871" s="108" t="str">
        <f t="shared" si="2"/>
        <v/>
      </c>
    </row>
    <row r="1872" ht="15.75" customHeight="1">
      <c r="A1872" s="104"/>
      <c r="B1872" s="105" t="str">
        <f>IFERROR(__xludf.DUMMYFUNCTION("ARRAY_CONSTRAIN(
  ARRAYFORMULA(
    IF(
      'Final Report'!A1872="""",
      """",
      TEXTJOIN(
        "", "" &amp; CHAR(10),
        TRUE,
        IFERROR(
          VLOOKUP(
            TRIM(
              SPLIT('Final Report'!A1872, "","")
         "&amp;"   ),
            'URL Details'!A:B,
            2,
            FALSE
          ),
          """"
        )
      )
    )
  ),
  1,
  1
)
"),"")</f>
        <v/>
      </c>
      <c r="C1872" s="105" t="str">
        <f>IFERROR(__xludf.DUMMYFUNCTION("IFERROR(IF('Final Report'!A1872="""","""", TEXTJOIN(CHAR(10), TRUE, ARRAYFORMULA( ""• ""&amp; FILTER( TRIM(FLATTEN(SPLIT( REGEXREPLACE( SUBSTITUTE(TEXTJOIN("","", TRUE, IFERROR(ARRAYFORMULA(VLOOKUP(TRIM(SPLIT('Final Report'!A1872, "","")), 'URL Details'!A:D, "&amp;"4, FALSE)),"""") ), CHAR(10), "",""), ""\s*,\s*"", "",""), "",""))), TRIM(FLATTEN(SPLIT( REGEXREPLACE( SUBSTITUTE(TEXTJOIN("","", TRUE, IFERROR(ARRAYFORMULA(VLOOKUP(TRIM(SPLIT('Final Report'!A1872, "","")), 'URL Details'!A:D, 4, FALSE)),"""") ), CHAR(10),"&amp;" "",""), ""\s*,\s*"", "",""), "","")))&lt;&gt;"""" ) ) ) ),"""")
"),"")</f>
        <v/>
      </c>
      <c r="D1872" s="105"/>
      <c r="E1872" s="105"/>
      <c r="F1872" s="110" t="b">
        <v>0</v>
      </c>
      <c r="G1872" s="105" t="str">
        <f>IF(F1872=True, IFERROR(VLOOKUP(D1872, Repository!A:B, 2, 0), ""), "")</f>
        <v/>
      </c>
      <c r="H1872" s="105"/>
      <c r="I1872" s="105"/>
      <c r="J1872" s="105" t="str">
        <f>IF(F1872=True, IFERROR(VLOOKUP(D1872, Repository!A:C, 3, 0), ""), "")</f>
        <v/>
      </c>
      <c r="K1872" s="105"/>
      <c r="L1872" s="105" t="str">
        <f>IF(F1872=True, IFERROR(VLOOKUP(D1872, Repository!A:E, 5, 0), ""), "")</f>
        <v/>
      </c>
      <c r="M1872" s="105"/>
      <c r="N1872" s="105" t="str">
        <f>IF(F1872=True, IFERROR(VLOOKUP(D1872, Repository!A:G, 7, 0), ""), "")</f>
        <v/>
      </c>
      <c r="O1872" s="105" t="str">
        <f>IFERROR(__xludf.DUMMYFUNCTION("ARRAY_CONSTRAIN(
  ARRAYFORMULA(
    IFERROR(
      LET(
        list, N1872,
        arr, TRIM(SPLIT(list, "","")),
        names, XLOOKUP(
          arr,
          'Conformance Score'!A:A,
          'Conformance Score'!B:B,
          ""Not found""
     "&amp;"   ),
        TEXTJOIN("", "", TRUE, names)
      ),
      """"
    )
  ),
  1,
  1
)
"),"")</f>
        <v/>
      </c>
      <c r="P1872" s="105" t="str">
        <f>IF(F1872="Yes", IFERROR(VLOOKUP(D1872, Repository!A:F, 6, 0), ""), "")</f>
        <v/>
      </c>
      <c r="Q1872" s="105" t="str">
        <f>IF(F1872="Yes", IFERROR(VLOOKUP(D1872, Repository!A:I, 8, 0), ""), "")</f>
        <v/>
      </c>
      <c r="R1872" s="105" t="str">
        <f>IF(F1872="Yes", IFERROR(VLOOKUP(D1872, Repository!A:J, 9, 0), ""), "")</f>
        <v/>
      </c>
      <c r="S1872" s="105"/>
      <c r="T1872" s="105"/>
      <c r="U1872" s="105"/>
      <c r="V1872" s="105"/>
      <c r="W1872" s="105"/>
      <c r="X1872" s="105"/>
      <c r="Y1872" s="105"/>
      <c r="Z1872" s="105"/>
      <c r="AA1872" s="105"/>
      <c r="AB1872" s="105"/>
      <c r="AC1872" s="91"/>
      <c r="AD1872" s="105"/>
      <c r="AE1872" s="105"/>
      <c r="AF1872" s="91"/>
      <c r="AG1872" s="105"/>
      <c r="AH1872" s="105"/>
      <c r="AI1872" s="105" t="str">
        <f t="shared" si="1"/>
        <v/>
      </c>
      <c r="AJ1872" s="108" t="str">
        <f t="shared" si="2"/>
        <v/>
      </c>
    </row>
    <row r="1873" ht="15.75" customHeight="1">
      <c r="A1873" s="104"/>
      <c r="B1873" s="105" t="str">
        <f>IFERROR(__xludf.DUMMYFUNCTION("ARRAY_CONSTRAIN(
  ARRAYFORMULA(
    IF(
      'Final Report'!A1873="""",
      """",
      TEXTJOIN(
        "", "" &amp; CHAR(10),
        TRUE,
        IFERROR(
          VLOOKUP(
            TRIM(
              SPLIT('Final Report'!A1873, "","")
         "&amp;"   ),
            'URL Details'!A:B,
            2,
            FALSE
          ),
          """"
        )
      )
    )
  ),
  1,
  1
)
"),"")</f>
        <v/>
      </c>
      <c r="C1873" s="105" t="str">
        <f>IFERROR(__xludf.DUMMYFUNCTION("IFERROR(IF('Final Report'!A1873="""","""", TEXTJOIN(CHAR(10), TRUE, ARRAYFORMULA( ""• ""&amp; FILTER( TRIM(FLATTEN(SPLIT( REGEXREPLACE( SUBSTITUTE(TEXTJOIN("","", TRUE, IFERROR(ARRAYFORMULA(VLOOKUP(TRIM(SPLIT('Final Report'!A1873, "","")), 'URL Details'!A:D, "&amp;"4, FALSE)),"""") ), CHAR(10), "",""), ""\s*,\s*"", "",""), "",""))), TRIM(FLATTEN(SPLIT( REGEXREPLACE( SUBSTITUTE(TEXTJOIN("","", TRUE, IFERROR(ARRAYFORMULA(VLOOKUP(TRIM(SPLIT('Final Report'!A1873, "","")), 'URL Details'!A:D, 4, FALSE)),"""") ), CHAR(10),"&amp;" "",""), ""\s*,\s*"", "",""), "","")))&lt;&gt;"""" ) ) ) ),"""")
"),"")</f>
        <v/>
      </c>
      <c r="D1873" s="105"/>
      <c r="E1873" s="105"/>
      <c r="F1873" s="110" t="b">
        <v>0</v>
      </c>
      <c r="G1873" s="105" t="str">
        <f>IF(F1873=True, IFERROR(VLOOKUP(D1873, Repository!A:B, 2, 0), ""), "")</f>
        <v/>
      </c>
      <c r="H1873" s="105"/>
      <c r="I1873" s="105"/>
      <c r="J1873" s="105" t="str">
        <f>IF(F1873=True, IFERROR(VLOOKUP(D1873, Repository!A:C, 3, 0), ""), "")</f>
        <v/>
      </c>
      <c r="K1873" s="105"/>
      <c r="L1873" s="105" t="str">
        <f>IF(F1873=True, IFERROR(VLOOKUP(D1873, Repository!A:E, 5, 0), ""), "")</f>
        <v/>
      </c>
      <c r="M1873" s="105"/>
      <c r="N1873" s="105" t="str">
        <f>IF(F1873=True, IFERROR(VLOOKUP(D1873, Repository!A:G, 7, 0), ""), "")</f>
        <v/>
      </c>
      <c r="O1873" s="105" t="str">
        <f>IFERROR(__xludf.DUMMYFUNCTION("ARRAY_CONSTRAIN(
  ARRAYFORMULA(
    IFERROR(
      LET(
        list, N1873,
        arr, TRIM(SPLIT(list, "","")),
        names, XLOOKUP(
          arr,
          'Conformance Score'!A:A,
          'Conformance Score'!B:B,
          ""Not found""
     "&amp;"   ),
        TEXTJOIN("", "", TRUE, names)
      ),
      """"
    )
  ),
  1,
  1
)
"),"")</f>
        <v/>
      </c>
      <c r="P1873" s="105" t="str">
        <f>IF(F1873="Yes", IFERROR(VLOOKUP(D1873, Repository!A:F, 6, 0), ""), "")</f>
        <v/>
      </c>
      <c r="Q1873" s="105" t="str">
        <f>IF(F1873="Yes", IFERROR(VLOOKUP(D1873, Repository!A:I, 8, 0), ""), "")</f>
        <v/>
      </c>
      <c r="R1873" s="105" t="str">
        <f>IF(F1873="Yes", IFERROR(VLOOKUP(D1873, Repository!A:J, 9, 0), ""), "")</f>
        <v/>
      </c>
      <c r="S1873" s="105"/>
      <c r="T1873" s="105"/>
      <c r="U1873" s="105"/>
      <c r="V1873" s="105"/>
      <c r="W1873" s="105"/>
      <c r="X1873" s="105"/>
      <c r="Y1873" s="105"/>
      <c r="Z1873" s="105"/>
      <c r="AA1873" s="105"/>
      <c r="AB1873" s="105"/>
      <c r="AC1873" s="91"/>
      <c r="AD1873" s="105"/>
      <c r="AE1873" s="105"/>
      <c r="AF1873" s="91"/>
      <c r="AG1873" s="105"/>
      <c r="AH1873" s="105"/>
      <c r="AI1873" s="105" t="str">
        <f t="shared" si="1"/>
        <v/>
      </c>
      <c r="AJ1873" s="108" t="str">
        <f t="shared" si="2"/>
        <v/>
      </c>
    </row>
    <row r="1874" ht="15.75" customHeight="1">
      <c r="A1874" s="104"/>
      <c r="B1874" s="105" t="str">
        <f>IFERROR(__xludf.DUMMYFUNCTION("ARRAY_CONSTRAIN(
  ARRAYFORMULA(
    IF(
      'Final Report'!A1874="""",
      """",
      TEXTJOIN(
        "", "" &amp; CHAR(10),
        TRUE,
        IFERROR(
          VLOOKUP(
            TRIM(
              SPLIT('Final Report'!A1874, "","")
         "&amp;"   ),
            'URL Details'!A:B,
            2,
            FALSE
          ),
          """"
        )
      )
    )
  ),
  1,
  1
)
"),"")</f>
        <v/>
      </c>
      <c r="C1874" s="105" t="str">
        <f>IFERROR(__xludf.DUMMYFUNCTION("IFERROR(IF('Final Report'!A1874="""","""", TEXTJOIN(CHAR(10), TRUE, ARRAYFORMULA( ""• ""&amp; FILTER( TRIM(FLATTEN(SPLIT( REGEXREPLACE( SUBSTITUTE(TEXTJOIN("","", TRUE, IFERROR(ARRAYFORMULA(VLOOKUP(TRIM(SPLIT('Final Report'!A1874, "","")), 'URL Details'!A:D, "&amp;"4, FALSE)),"""") ), CHAR(10), "",""), ""\s*,\s*"", "",""), "",""))), TRIM(FLATTEN(SPLIT( REGEXREPLACE( SUBSTITUTE(TEXTJOIN("","", TRUE, IFERROR(ARRAYFORMULA(VLOOKUP(TRIM(SPLIT('Final Report'!A1874, "","")), 'URL Details'!A:D, 4, FALSE)),"""") ), CHAR(10),"&amp;" "",""), ""\s*,\s*"", "",""), "","")))&lt;&gt;"""" ) ) ) ),"""")
"),"")</f>
        <v/>
      </c>
      <c r="D1874" s="105"/>
      <c r="E1874" s="105"/>
      <c r="F1874" s="110" t="b">
        <v>0</v>
      </c>
      <c r="G1874" s="105" t="str">
        <f>IF(F1874=True, IFERROR(VLOOKUP(D1874, Repository!A:B, 2, 0), ""), "")</f>
        <v/>
      </c>
      <c r="H1874" s="105"/>
      <c r="I1874" s="105"/>
      <c r="J1874" s="105" t="str">
        <f>IF(F1874=True, IFERROR(VLOOKUP(D1874, Repository!A:C, 3, 0), ""), "")</f>
        <v/>
      </c>
      <c r="K1874" s="105"/>
      <c r="L1874" s="105" t="str">
        <f>IF(F1874=True, IFERROR(VLOOKUP(D1874, Repository!A:E, 5, 0), ""), "")</f>
        <v/>
      </c>
      <c r="M1874" s="105"/>
      <c r="N1874" s="105" t="str">
        <f>IF(F1874=True, IFERROR(VLOOKUP(D1874, Repository!A:G, 7, 0), ""), "")</f>
        <v/>
      </c>
      <c r="O1874" s="105" t="str">
        <f>IFERROR(__xludf.DUMMYFUNCTION("ARRAY_CONSTRAIN(
  ARRAYFORMULA(
    IFERROR(
      LET(
        list, N1874,
        arr, TRIM(SPLIT(list, "","")),
        names, XLOOKUP(
          arr,
          'Conformance Score'!A:A,
          'Conformance Score'!B:B,
          ""Not found""
     "&amp;"   ),
        TEXTJOIN("", "", TRUE, names)
      ),
      """"
    )
  ),
  1,
  1
)
"),"")</f>
        <v/>
      </c>
      <c r="P1874" s="105" t="str">
        <f>IF(F1874="Yes", IFERROR(VLOOKUP(D1874, Repository!A:F, 6, 0), ""), "")</f>
        <v/>
      </c>
      <c r="Q1874" s="105" t="str">
        <f>IF(F1874="Yes", IFERROR(VLOOKUP(D1874, Repository!A:I, 8, 0), ""), "")</f>
        <v/>
      </c>
      <c r="R1874" s="105" t="str">
        <f>IF(F1874="Yes", IFERROR(VLOOKUP(D1874, Repository!A:J, 9, 0), ""), "")</f>
        <v/>
      </c>
      <c r="S1874" s="105"/>
      <c r="T1874" s="105"/>
      <c r="U1874" s="105"/>
      <c r="V1874" s="105"/>
      <c r="W1874" s="105"/>
      <c r="X1874" s="105"/>
      <c r="Y1874" s="105"/>
      <c r="Z1874" s="105"/>
      <c r="AA1874" s="105"/>
      <c r="AB1874" s="105"/>
      <c r="AC1874" s="91"/>
      <c r="AD1874" s="105"/>
      <c r="AE1874" s="105"/>
      <c r="AF1874" s="91"/>
      <c r="AG1874" s="105"/>
      <c r="AH1874" s="105"/>
      <c r="AI1874" s="105" t="str">
        <f t="shared" si="1"/>
        <v/>
      </c>
      <c r="AJ1874" s="108" t="str">
        <f t="shared" si="2"/>
        <v/>
      </c>
    </row>
    <row r="1875" ht="15.75" customHeight="1">
      <c r="A1875" s="104"/>
      <c r="B1875" s="105" t="str">
        <f>IFERROR(__xludf.DUMMYFUNCTION("ARRAY_CONSTRAIN(
  ARRAYFORMULA(
    IF(
      'Final Report'!A1875="""",
      """",
      TEXTJOIN(
        "", "" &amp; CHAR(10),
        TRUE,
        IFERROR(
          VLOOKUP(
            TRIM(
              SPLIT('Final Report'!A1875, "","")
         "&amp;"   ),
            'URL Details'!A:B,
            2,
            FALSE
          ),
          """"
        )
      )
    )
  ),
  1,
  1
)
"),"")</f>
        <v/>
      </c>
      <c r="C1875" s="105" t="str">
        <f>IFERROR(__xludf.DUMMYFUNCTION("IFERROR(IF('Final Report'!A1875="""","""", TEXTJOIN(CHAR(10), TRUE, ARRAYFORMULA( ""• ""&amp; FILTER( TRIM(FLATTEN(SPLIT( REGEXREPLACE( SUBSTITUTE(TEXTJOIN("","", TRUE, IFERROR(ARRAYFORMULA(VLOOKUP(TRIM(SPLIT('Final Report'!A1875, "","")), 'URL Details'!A:D, "&amp;"4, FALSE)),"""") ), CHAR(10), "",""), ""\s*,\s*"", "",""), "",""))), TRIM(FLATTEN(SPLIT( REGEXREPLACE( SUBSTITUTE(TEXTJOIN("","", TRUE, IFERROR(ARRAYFORMULA(VLOOKUP(TRIM(SPLIT('Final Report'!A1875, "","")), 'URL Details'!A:D, 4, FALSE)),"""") ), CHAR(10),"&amp;" "",""), ""\s*,\s*"", "",""), "","")))&lt;&gt;"""" ) ) ) ),"""")
"),"")</f>
        <v/>
      </c>
      <c r="D1875" s="105"/>
      <c r="E1875" s="105"/>
      <c r="F1875" s="110" t="b">
        <v>0</v>
      </c>
      <c r="G1875" s="105" t="str">
        <f>IF(F1875=True, IFERROR(VLOOKUP(D1875, Repository!A:B, 2, 0), ""), "")</f>
        <v/>
      </c>
      <c r="H1875" s="105"/>
      <c r="I1875" s="105"/>
      <c r="J1875" s="105" t="str">
        <f>IF(F1875=True, IFERROR(VLOOKUP(D1875, Repository!A:C, 3, 0), ""), "")</f>
        <v/>
      </c>
      <c r="K1875" s="105"/>
      <c r="L1875" s="105" t="str">
        <f>IF(F1875=True, IFERROR(VLOOKUP(D1875, Repository!A:E, 5, 0), ""), "")</f>
        <v/>
      </c>
      <c r="M1875" s="105"/>
      <c r="N1875" s="105" t="str">
        <f>IF(F1875=True, IFERROR(VLOOKUP(D1875, Repository!A:G, 7, 0), ""), "")</f>
        <v/>
      </c>
      <c r="O1875" s="105" t="str">
        <f>IFERROR(__xludf.DUMMYFUNCTION("ARRAY_CONSTRAIN(
  ARRAYFORMULA(
    IFERROR(
      LET(
        list, N1875,
        arr, TRIM(SPLIT(list, "","")),
        names, XLOOKUP(
          arr,
          'Conformance Score'!A:A,
          'Conformance Score'!B:B,
          ""Not found""
     "&amp;"   ),
        TEXTJOIN("", "", TRUE, names)
      ),
      """"
    )
  ),
  1,
  1
)
"),"")</f>
        <v/>
      </c>
      <c r="P1875" s="105" t="str">
        <f>IF(F1875="Yes", IFERROR(VLOOKUP(D1875, Repository!A:F, 6, 0), ""), "")</f>
        <v/>
      </c>
      <c r="Q1875" s="105" t="str">
        <f>IF(F1875="Yes", IFERROR(VLOOKUP(D1875, Repository!A:I, 8, 0), ""), "")</f>
        <v/>
      </c>
      <c r="R1875" s="105" t="str">
        <f>IF(F1875="Yes", IFERROR(VLOOKUP(D1875, Repository!A:J, 9, 0), ""), "")</f>
        <v/>
      </c>
      <c r="S1875" s="105"/>
      <c r="T1875" s="105"/>
      <c r="U1875" s="105"/>
      <c r="V1875" s="105"/>
      <c r="W1875" s="105"/>
      <c r="X1875" s="105"/>
      <c r="Y1875" s="105"/>
      <c r="Z1875" s="105"/>
      <c r="AA1875" s="105"/>
      <c r="AB1875" s="105"/>
      <c r="AC1875" s="91"/>
      <c r="AD1875" s="105"/>
      <c r="AE1875" s="105"/>
      <c r="AF1875" s="91"/>
      <c r="AG1875" s="105"/>
      <c r="AH1875" s="105"/>
      <c r="AI1875" s="105" t="str">
        <f t="shared" si="1"/>
        <v/>
      </c>
      <c r="AJ1875" s="108" t="str">
        <f t="shared" si="2"/>
        <v/>
      </c>
    </row>
    <row r="1876" ht="15.75" customHeight="1">
      <c r="A1876" s="104"/>
      <c r="B1876" s="105" t="str">
        <f>IFERROR(__xludf.DUMMYFUNCTION("ARRAY_CONSTRAIN(
  ARRAYFORMULA(
    IF(
      'Final Report'!A1876="""",
      """",
      TEXTJOIN(
        "", "" &amp; CHAR(10),
        TRUE,
        IFERROR(
          VLOOKUP(
            TRIM(
              SPLIT('Final Report'!A1876, "","")
         "&amp;"   ),
            'URL Details'!A:B,
            2,
            FALSE
          ),
          """"
        )
      )
    )
  ),
  1,
  1
)
"),"")</f>
        <v/>
      </c>
      <c r="C1876" s="105" t="str">
        <f>IFERROR(__xludf.DUMMYFUNCTION("IFERROR(IF('Final Report'!A1876="""","""", TEXTJOIN(CHAR(10), TRUE, ARRAYFORMULA( ""• ""&amp; FILTER( TRIM(FLATTEN(SPLIT( REGEXREPLACE( SUBSTITUTE(TEXTJOIN("","", TRUE, IFERROR(ARRAYFORMULA(VLOOKUP(TRIM(SPLIT('Final Report'!A1876, "","")), 'URL Details'!A:D, "&amp;"4, FALSE)),"""") ), CHAR(10), "",""), ""\s*,\s*"", "",""), "",""))), TRIM(FLATTEN(SPLIT( REGEXREPLACE( SUBSTITUTE(TEXTJOIN("","", TRUE, IFERROR(ARRAYFORMULA(VLOOKUP(TRIM(SPLIT('Final Report'!A1876, "","")), 'URL Details'!A:D, 4, FALSE)),"""") ), CHAR(10),"&amp;" "",""), ""\s*,\s*"", "",""), "","")))&lt;&gt;"""" ) ) ) ),"""")
"),"")</f>
        <v/>
      </c>
      <c r="D1876" s="105"/>
      <c r="E1876" s="105"/>
      <c r="F1876" s="110" t="b">
        <v>0</v>
      </c>
      <c r="G1876" s="105" t="str">
        <f>IF(F1876=True, IFERROR(VLOOKUP(D1876, Repository!A:B, 2, 0), ""), "")</f>
        <v/>
      </c>
      <c r="H1876" s="105"/>
      <c r="I1876" s="105"/>
      <c r="J1876" s="105" t="str">
        <f>IF(F1876=True, IFERROR(VLOOKUP(D1876, Repository!A:C, 3, 0), ""), "")</f>
        <v/>
      </c>
      <c r="K1876" s="105"/>
      <c r="L1876" s="105" t="str">
        <f>IF(F1876=True, IFERROR(VLOOKUP(D1876, Repository!A:E, 5, 0), ""), "")</f>
        <v/>
      </c>
      <c r="M1876" s="105"/>
      <c r="N1876" s="105" t="str">
        <f>IF(F1876=True, IFERROR(VLOOKUP(D1876, Repository!A:G, 7, 0), ""), "")</f>
        <v/>
      </c>
      <c r="O1876" s="105" t="str">
        <f>IFERROR(__xludf.DUMMYFUNCTION("ARRAY_CONSTRAIN(
  ARRAYFORMULA(
    IFERROR(
      LET(
        list, N1876,
        arr, TRIM(SPLIT(list, "","")),
        names, XLOOKUP(
          arr,
          'Conformance Score'!A:A,
          'Conformance Score'!B:B,
          ""Not found""
     "&amp;"   ),
        TEXTJOIN("", "", TRUE, names)
      ),
      """"
    )
  ),
  1,
  1
)
"),"")</f>
        <v/>
      </c>
      <c r="P1876" s="105" t="str">
        <f>IF(F1876="Yes", IFERROR(VLOOKUP(D1876, Repository!A:F, 6, 0), ""), "")</f>
        <v/>
      </c>
      <c r="Q1876" s="105" t="str">
        <f>IF(F1876="Yes", IFERROR(VLOOKUP(D1876, Repository!A:I, 8, 0), ""), "")</f>
        <v/>
      </c>
      <c r="R1876" s="105" t="str">
        <f>IF(F1876="Yes", IFERROR(VLOOKUP(D1876, Repository!A:J, 9, 0), ""), "")</f>
        <v/>
      </c>
      <c r="S1876" s="105"/>
      <c r="T1876" s="105"/>
      <c r="U1876" s="105"/>
      <c r="V1876" s="105"/>
      <c r="W1876" s="105"/>
      <c r="X1876" s="105"/>
      <c r="Y1876" s="105"/>
      <c r="Z1876" s="105"/>
      <c r="AA1876" s="105"/>
      <c r="AB1876" s="105"/>
      <c r="AC1876" s="91"/>
      <c r="AD1876" s="105"/>
      <c r="AE1876" s="105"/>
      <c r="AF1876" s="91"/>
      <c r="AG1876" s="105"/>
      <c r="AH1876" s="105"/>
      <c r="AI1876" s="105" t="str">
        <f t="shared" si="1"/>
        <v/>
      </c>
      <c r="AJ1876" s="108" t="str">
        <f t="shared" si="2"/>
        <v/>
      </c>
    </row>
    <row r="1877" ht="15.75" customHeight="1">
      <c r="A1877" s="104"/>
      <c r="B1877" s="105" t="str">
        <f>IFERROR(__xludf.DUMMYFUNCTION("ARRAY_CONSTRAIN(
  ARRAYFORMULA(
    IF(
      'Final Report'!A1877="""",
      """",
      TEXTJOIN(
        "", "" &amp; CHAR(10),
        TRUE,
        IFERROR(
          VLOOKUP(
            TRIM(
              SPLIT('Final Report'!A1877, "","")
         "&amp;"   ),
            'URL Details'!A:B,
            2,
            FALSE
          ),
          """"
        )
      )
    )
  ),
  1,
  1
)
"),"")</f>
        <v/>
      </c>
      <c r="C1877" s="105" t="str">
        <f>IFERROR(__xludf.DUMMYFUNCTION("IFERROR(IF('Final Report'!A1877="""","""", TEXTJOIN(CHAR(10), TRUE, ARRAYFORMULA( ""• ""&amp; FILTER( TRIM(FLATTEN(SPLIT( REGEXREPLACE( SUBSTITUTE(TEXTJOIN("","", TRUE, IFERROR(ARRAYFORMULA(VLOOKUP(TRIM(SPLIT('Final Report'!A1877, "","")), 'URL Details'!A:D, "&amp;"4, FALSE)),"""") ), CHAR(10), "",""), ""\s*,\s*"", "",""), "",""))), TRIM(FLATTEN(SPLIT( REGEXREPLACE( SUBSTITUTE(TEXTJOIN("","", TRUE, IFERROR(ARRAYFORMULA(VLOOKUP(TRIM(SPLIT('Final Report'!A1877, "","")), 'URL Details'!A:D, 4, FALSE)),"""") ), CHAR(10),"&amp;" "",""), ""\s*,\s*"", "",""), "","")))&lt;&gt;"""" ) ) ) ),"""")
"),"")</f>
        <v/>
      </c>
      <c r="D1877" s="105"/>
      <c r="E1877" s="105"/>
      <c r="F1877" s="110" t="b">
        <v>0</v>
      </c>
      <c r="G1877" s="105" t="str">
        <f>IF(F1877=True, IFERROR(VLOOKUP(D1877, Repository!A:B, 2, 0), ""), "")</f>
        <v/>
      </c>
      <c r="H1877" s="105"/>
      <c r="I1877" s="105"/>
      <c r="J1877" s="105" t="str">
        <f>IF(F1877=True, IFERROR(VLOOKUP(D1877, Repository!A:C, 3, 0), ""), "")</f>
        <v/>
      </c>
      <c r="K1877" s="105"/>
      <c r="L1877" s="105" t="str">
        <f>IF(F1877=True, IFERROR(VLOOKUP(D1877, Repository!A:E, 5, 0), ""), "")</f>
        <v/>
      </c>
      <c r="M1877" s="105"/>
      <c r="N1877" s="105" t="str">
        <f>IF(F1877=True, IFERROR(VLOOKUP(D1877, Repository!A:G, 7, 0), ""), "")</f>
        <v/>
      </c>
      <c r="O1877" s="105" t="str">
        <f>IFERROR(__xludf.DUMMYFUNCTION("ARRAY_CONSTRAIN(
  ARRAYFORMULA(
    IFERROR(
      LET(
        list, N1877,
        arr, TRIM(SPLIT(list, "","")),
        names, XLOOKUP(
          arr,
          'Conformance Score'!A:A,
          'Conformance Score'!B:B,
          ""Not found""
     "&amp;"   ),
        TEXTJOIN("", "", TRUE, names)
      ),
      """"
    )
  ),
  1,
  1
)
"),"")</f>
        <v/>
      </c>
      <c r="P1877" s="105" t="str">
        <f>IF(F1877="Yes", IFERROR(VLOOKUP(D1877, Repository!A:F, 6, 0), ""), "")</f>
        <v/>
      </c>
      <c r="Q1877" s="105" t="str">
        <f>IF(F1877="Yes", IFERROR(VLOOKUP(D1877, Repository!A:I, 8, 0), ""), "")</f>
        <v/>
      </c>
      <c r="R1877" s="105" t="str">
        <f>IF(F1877="Yes", IFERROR(VLOOKUP(D1877, Repository!A:J, 9, 0), ""), "")</f>
        <v/>
      </c>
      <c r="S1877" s="105"/>
      <c r="T1877" s="105"/>
      <c r="U1877" s="105"/>
      <c r="V1877" s="105"/>
      <c r="W1877" s="105"/>
      <c r="X1877" s="105"/>
      <c r="Y1877" s="105"/>
      <c r="Z1877" s="105"/>
      <c r="AA1877" s="105"/>
      <c r="AB1877" s="105"/>
      <c r="AC1877" s="91"/>
      <c r="AD1877" s="105"/>
      <c r="AE1877" s="105"/>
      <c r="AF1877" s="91"/>
      <c r="AG1877" s="105"/>
      <c r="AH1877" s="105"/>
      <c r="AI1877" s="105" t="str">
        <f t="shared" si="1"/>
        <v/>
      </c>
      <c r="AJ1877" s="108" t="str">
        <f t="shared" si="2"/>
        <v/>
      </c>
    </row>
    <row r="1878" ht="15.75" customHeight="1">
      <c r="A1878" s="104"/>
      <c r="B1878" s="105" t="str">
        <f>IFERROR(__xludf.DUMMYFUNCTION("ARRAY_CONSTRAIN(
  ARRAYFORMULA(
    IF(
      'Final Report'!A1878="""",
      """",
      TEXTJOIN(
        "", "" &amp; CHAR(10),
        TRUE,
        IFERROR(
          VLOOKUP(
            TRIM(
              SPLIT('Final Report'!A1878, "","")
         "&amp;"   ),
            'URL Details'!A:B,
            2,
            FALSE
          ),
          """"
        )
      )
    )
  ),
  1,
  1
)
"),"")</f>
        <v/>
      </c>
      <c r="C1878" s="105" t="str">
        <f>IFERROR(__xludf.DUMMYFUNCTION("IFERROR(IF('Final Report'!A1878="""","""", TEXTJOIN(CHAR(10), TRUE, ARRAYFORMULA( ""• ""&amp; FILTER( TRIM(FLATTEN(SPLIT( REGEXREPLACE( SUBSTITUTE(TEXTJOIN("","", TRUE, IFERROR(ARRAYFORMULA(VLOOKUP(TRIM(SPLIT('Final Report'!A1878, "","")), 'URL Details'!A:D, "&amp;"4, FALSE)),"""") ), CHAR(10), "",""), ""\s*,\s*"", "",""), "",""))), TRIM(FLATTEN(SPLIT( REGEXREPLACE( SUBSTITUTE(TEXTJOIN("","", TRUE, IFERROR(ARRAYFORMULA(VLOOKUP(TRIM(SPLIT('Final Report'!A1878, "","")), 'URL Details'!A:D, 4, FALSE)),"""") ), CHAR(10),"&amp;" "",""), ""\s*,\s*"", "",""), "","")))&lt;&gt;"""" ) ) ) ),"""")
"),"")</f>
        <v/>
      </c>
      <c r="D1878" s="105"/>
      <c r="E1878" s="105"/>
      <c r="F1878" s="110" t="b">
        <v>0</v>
      </c>
      <c r="G1878" s="105" t="str">
        <f>IF(F1878=True, IFERROR(VLOOKUP(D1878, Repository!A:B, 2, 0), ""), "")</f>
        <v/>
      </c>
      <c r="H1878" s="105"/>
      <c r="I1878" s="105"/>
      <c r="J1878" s="105" t="str">
        <f>IF(F1878=True, IFERROR(VLOOKUP(D1878, Repository!A:C, 3, 0), ""), "")</f>
        <v/>
      </c>
      <c r="K1878" s="105"/>
      <c r="L1878" s="105" t="str">
        <f>IF(F1878=True, IFERROR(VLOOKUP(D1878, Repository!A:E, 5, 0), ""), "")</f>
        <v/>
      </c>
      <c r="M1878" s="105"/>
      <c r="N1878" s="105" t="str">
        <f>IF(F1878=True, IFERROR(VLOOKUP(D1878, Repository!A:G, 7, 0), ""), "")</f>
        <v/>
      </c>
      <c r="O1878" s="105" t="str">
        <f>IFERROR(__xludf.DUMMYFUNCTION("ARRAY_CONSTRAIN(
  ARRAYFORMULA(
    IFERROR(
      LET(
        list, N1878,
        arr, TRIM(SPLIT(list, "","")),
        names, XLOOKUP(
          arr,
          'Conformance Score'!A:A,
          'Conformance Score'!B:B,
          ""Not found""
     "&amp;"   ),
        TEXTJOIN("", "", TRUE, names)
      ),
      """"
    )
  ),
  1,
  1
)
"),"")</f>
        <v/>
      </c>
      <c r="P1878" s="105" t="str">
        <f>IF(F1878="Yes", IFERROR(VLOOKUP(D1878, Repository!A:F, 6, 0), ""), "")</f>
        <v/>
      </c>
      <c r="Q1878" s="105" t="str">
        <f>IF(F1878="Yes", IFERROR(VLOOKUP(D1878, Repository!A:I, 8, 0), ""), "")</f>
        <v/>
      </c>
      <c r="R1878" s="105" t="str">
        <f>IF(F1878="Yes", IFERROR(VLOOKUP(D1878, Repository!A:J, 9, 0), ""), "")</f>
        <v/>
      </c>
      <c r="S1878" s="105"/>
      <c r="T1878" s="105"/>
      <c r="U1878" s="105"/>
      <c r="V1878" s="105"/>
      <c r="W1878" s="105"/>
      <c r="X1878" s="105"/>
      <c r="Y1878" s="105"/>
      <c r="Z1878" s="105"/>
      <c r="AA1878" s="105"/>
      <c r="AB1878" s="105"/>
      <c r="AC1878" s="91"/>
      <c r="AD1878" s="105"/>
      <c r="AE1878" s="105"/>
      <c r="AF1878" s="91"/>
      <c r="AG1878" s="105"/>
      <c r="AH1878" s="105"/>
      <c r="AI1878" s="105" t="str">
        <f t="shared" si="1"/>
        <v/>
      </c>
      <c r="AJ1878" s="108" t="str">
        <f t="shared" si="2"/>
        <v/>
      </c>
    </row>
    <row r="1879" ht="15.75" customHeight="1">
      <c r="A1879" s="104"/>
      <c r="B1879" s="105" t="str">
        <f>IFERROR(__xludf.DUMMYFUNCTION("ARRAY_CONSTRAIN(
  ARRAYFORMULA(
    IF(
      'Final Report'!A1879="""",
      """",
      TEXTJOIN(
        "", "" &amp; CHAR(10),
        TRUE,
        IFERROR(
          VLOOKUP(
            TRIM(
              SPLIT('Final Report'!A1879, "","")
         "&amp;"   ),
            'URL Details'!A:B,
            2,
            FALSE
          ),
          """"
        )
      )
    )
  ),
  1,
  1
)
"),"")</f>
        <v/>
      </c>
      <c r="C1879" s="105" t="str">
        <f>IFERROR(__xludf.DUMMYFUNCTION("IFERROR(IF('Final Report'!A1879="""","""", TEXTJOIN(CHAR(10), TRUE, ARRAYFORMULA( ""• ""&amp; FILTER( TRIM(FLATTEN(SPLIT( REGEXREPLACE( SUBSTITUTE(TEXTJOIN("","", TRUE, IFERROR(ARRAYFORMULA(VLOOKUP(TRIM(SPLIT('Final Report'!A1879, "","")), 'URL Details'!A:D, "&amp;"4, FALSE)),"""") ), CHAR(10), "",""), ""\s*,\s*"", "",""), "",""))), TRIM(FLATTEN(SPLIT( REGEXREPLACE( SUBSTITUTE(TEXTJOIN("","", TRUE, IFERROR(ARRAYFORMULA(VLOOKUP(TRIM(SPLIT('Final Report'!A1879, "","")), 'URL Details'!A:D, 4, FALSE)),"""") ), CHAR(10),"&amp;" "",""), ""\s*,\s*"", "",""), "","")))&lt;&gt;"""" ) ) ) ),"""")
"),"")</f>
        <v/>
      </c>
      <c r="D1879" s="105"/>
      <c r="E1879" s="105"/>
      <c r="F1879" s="110" t="b">
        <v>0</v>
      </c>
      <c r="G1879" s="105" t="str">
        <f>IF(F1879=True, IFERROR(VLOOKUP(D1879, Repository!A:B, 2, 0), ""), "")</f>
        <v/>
      </c>
      <c r="H1879" s="105"/>
      <c r="I1879" s="105"/>
      <c r="J1879" s="105" t="str">
        <f>IF(F1879=True, IFERROR(VLOOKUP(D1879, Repository!A:C, 3, 0), ""), "")</f>
        <v/>
      </c>
      <c r="K1879" s="105"/>
      <c r="L1879" s="105" t="str">
        <f>IF(F1879=True, IFERROR(VLOOKUP(D1879, Repository!A:E, 5, 0), ""), "")</f>
        <v/>
      </c>
      <c r="M1879" s="105"/>
      <c r="N1879" s="105" t="str">
        <f>IF(F1879=True, IFERROR(VLOOKUP(D1879, Repository!A:G, 7, 0), ""), "")</f>
        <v/>
      </c>
      <c r="O1879" s="105" t="str">
        <f>IFERROR(__xludf.DUMMYFUNCTION("ARRAY_CONSTRAIN(
  ARRAYFORMULA(
    IFERROR(
      LET(
        list, N1879,
        arr, TRIM(SPLIT(list, "","")),
        names, XLOOKUP(
          arr,
          'Conformance Score'!A:A,
          'Conformance Score'!B:B,
          ""Not found""
     "&amp;"   ),
        TEXTJOIN("", "", TRUE, names)
      ),
      """"
    )
  ),
  1,
  1
)
"),"")</f>
        <v/>
      </c>
      <c r="P1879" s="105" t="str">
        <f>IF(F1879="Yes", IFERROR(VLOOKUP(D1879, Repository!A:F, 6, 0), ""), "")</f>
        <v/>
      </c>
      <c r="Q1879" s="105" t="str">
        <f>IF(F1879="Yes", IFERROR(VLOOKUP(D1879, Repository!A:I, 8, 0), ""), "")</f>
        <v/>
      </c>
      <c r="R1879" s="105" t="str">
        <f>IF(F1879="Yes", IFERROR(VLOOKUP(D1879, Repository!A:J, 9, 0), ""), "")</f>
        <v/>
      </c>
      <c r="S1879" s="105"/>
      <c r="T1879" s="105"/>
      <c r="U1879" s="105"/>
      <c r="V1879" s="105"/>
      <c r="W1879" s="105"/>
      <c r="X1879" s="105"/>
      <c r="Y1879" s="105"/>
      <c r="Z1879" s="105"/>
      <c r="AA1879" s="105"/>
      <c r="AB1879" s="105"/>
      <c r="AC1879" s="91"/>
      <c r="AD1879" s="105"/>
      <c r="AE1879" s="105"/>
      <c r="AF1879" s="91"/>
      <c r="AG1879" s="105"/>
      <c r="AH1879" s="105"/>
      <c r="AI1879" s="105" t="str">
        <f t="shared" si="1"/>
        <v/>
      </c>
      <c r="AJ1879" s="108" t="str">
        <f t="shared" si="2"/>
        <v/>
      </c>
    </row>
    <row r="1880" ht="15.75" customHeight="1">
      <c r="A1880" s="104"/>
      <c r="B1880" s="105" t="str">
        <f>IFERROR(__xludf.DUMMYFUNCTION("ARRAY_CONSTRAIN(
  ARRAYFORMULA(
    IF(
      'Final Report'!A1880="""",
      """",
      TEXTJOIN(
        "", "" &amp; CHAR(10),
        TRUE,
        IFERROR(
          VLOOKUP(
            TRIM(
              SPLIT('Final Report'!A1880, "","")
         "&amp;"   ),
            'URL Details'!A:B,
            2,
            FALSE
          ),
          """"
        )
      )
    )
  ),
  1,
  1
)
"),"")</f>
        <v/>
      </c>
      <c r="C1880" s="105" t="str">
        <f>IFERROR(__xludf.DUMMYFUNCTION("IFERROR(IF('Final Report'!A1880="""","""", TEXTJOIN(CHAR(10), TRUE, ARRAYFORMULA( ""• ""&amp; FILTER( TRIM(FLATTEN(SPLIT( REGEXREPLACE( SUBSTITUTE(TEXTJOIN("","", TRUE, IFERROR(ARRAYFORMULA(VLOOKUP(TRIM(SPLIT('Final Report'!A1880, "","")), 'URL Details'!A:D, "&amp;"4, FALSE)),"""") ), CHAR(10), "",""), ""\s*,\s*"", "",""), "",""))), TRIM(FLATTEN(SPLIT( REGEXREPLACE( SUBSTITUTE(TEXTJOIN("","", TRUE, IFERROR(ARRAYFORMULA(VLOOKUP(TRIM(SPLIT('Final Report'!A1880, "","")), 'URL Details'!A:D, 4, FALSE)),"""") ), CHAR(10),"&amp;" "",""), ""\s*,\s*"", "",""), "","")))&lt;&gt;"""" ) ) ) ),"""")
"),"")</f>
        <v/>
      </c>
      <c r="D1880" s="105"/>
      <c r="E1880" s="105"/>
      <c r="F1880" s="110" t="b">
        <v>0</v>
      </c>
      <c r="G1880" s="105" t="str">
        <f>IF(F1880=True, IFERROR(VLOOKUP(D1880, Repository!A:B, 2, 0), ""), "")</f>
        <v/>
      </c>
      <c r="H1880" s="105"/>
      <c r="I1880" s="105"/>
      <c r="J1880" s="105" t="str">
        <f>IF(F1880=True, IFERROR(VLOOKUP(D1880, Repository!A:C, 3, 0), ""), "")</f>
        <v/>
      </c>
      <c r="K1880" s="105"/>
      <c r="L1880" s="105" t="str">
        <f>IF(F1880=True, IFERROR(VLOOKUP(D1880, Repository!A:E, 5, 0), ""), "")</f>
        <v/>
      </c>
      <c r="M1880" s="105"/>
      <c r="N1880" s="105" t="str">
        <f>IF(F1880=True, IFERROR(VLOOKUP(D1880, Repository!A:G, 7, 0), ""), "")</f>
        <v/>
      </c>
      <c r="O1880" s="105" t="str">
        <f>IFERROR(__xludf.DUMMYFUNCTION("ARRAY_CONSTRAIN(
  ARRAYFORMULA(
    IFERROR(
      LET(
        list, N1880,
        arr, TRIM(SPLIT(list, "","")),
        names, XLOOKUP(
          arr,
          'Conformance Score'!A:A,
          'Conformance Score'!B:B,
          ""Not found""
     "&amp;"   ),
        TEXTJOIN("", "", TRUE, names)
      ),
      """"
    )
  ),
  1,
  1
)
"),"")</f>
        <v/>
      </c>
      <c r="P1880" s="105" t="str">
        <f>IF(F1880="Yes", IFERROR(VLOOKUP(D1880, Repository!A:F, 6, 0), ""), "")</f>
        <v/>
      </c>
      <c r="Q1880" s="105" t="str">
        <f>IF(F1880="Yes", IFERROR(VLOOKUP(D1880, Repository!A:I, 8, 0), ""), "")</f>
        <v/>
      </c>
      <c r="R1880" s="105" t="str">
        <f>IF(F1880="Yes", IFERROR(VLOOKUP(D1880, Repository!A:J, 9, 0), ""), "")</f>
        <v/>
      </c>
      <c r="S1880" s="105"/>
      <c r="T1880" s="105"/>
      <c r="U1880" s="105"/>
      <c r="V1880" s="105"/>
      <c r="W1880" s="105"/>
      <c r="X1880" s="105"/>
      <c r="Y1880" s="105"/>
      <c r="Z1880" s="105"/>
      <c r="AA1880" s="105"/>
      <c r="AB1880" s="105"/>
      <c r="AC1880" s="91"/>
      <c r="AD1880" s="105"/>
      <c r="AE1880" s="105"/>
      <c r="AF1880" s="91"/>
      <c r="AG1880" s="105"/>
      <c r="AH1880" s="105"/>
      <c r="AI1880" s="105" t="str">
        <f t="shared" si="1"/>
        <v/>
      </c>
      <c r="AJ1880" s="108" t="str">
        <f t="shared" si="2"/>
        <v/>
      </c>
    </row>
    <row r="1881" ht="15.75" customHeight="1">
      <c r="A1881" s="104"/>
      <c r="B1881" s="105" t="str">
        <f>IFERROR(__xludf.DUMMYFUNCTION("ARRAY_CONSTRAIN(
  ARRAYFORMULA(
    IF(
      'Final Report'!A1881="""",
      """",
      TEXTJOIN(
        "", "" &amp; CHAR(10),
        TRUE,
        IFERROR(
          VLOOKUP(
            TRIM(
              SPLIT('Final Report'!A1881, "","")
         "&amp;"   ),
            'URL Details'!A:B,
            2,
            FALSE
          ),
          """"
        )
      )
    )
  ),
  1,
  1
)
"),"")</f>
        <v/>
      </c>
      <c r="C1881" s="105" t="str">
        <f>IFERROR(__xludf.DUMMYFUNCTION("IFERROR(IF('Final Report'!A1881="""","""", TEXTJOIN(CHAR(10), TRUE, ARRAYFORMULA( ""• ""&amp; FILTER( TRIM(FLATTEN(SPLIT( REGEXREPLACE( SUBSTITUTE(TEXTJOIN("","", TRUE, IFERROR(ARRAYFORMULA(VLOOKUP(TRIM(SPLIT('Final Report'!A1881, "","")), 'URL Details'!A:D, "&amp;"4, FALSE)),"""") ), CHAR(10), "",""), ""\s*,\s*"", "",""), "",""))), TRIM(FLATTEN(SPLIT( REGEXREPLACE( SUBSTITUTE(TEXTJOIN("","", TRUE, IFERROR(ARRAYFORMULA(VLOOKUP(TRIM(SPLIT('Final Report'!A1881, "","")), 'URL Details'!A:D, 4, FALSE)),"""") ), CHAR(10),"&amp;" "",""), ""\s*,\s*"", "",""), "","")))&lt;&gt;"""" ) ) ) ),"""")
"),"")</f>
        <v/>
      </c>
      <c r="D1881" s="105"/>
      <c r="E1881" s="105"/>
      <c r="F1881" s="110" t="b">
        <v>0</v>
      </c>
      <c r="G1881" s="105" t="str">
        <f>IF(F1881=True, IFERROR(VLOOKUP(D1881, Repository!A:B, 2, 0), ""), "")</f>
        <v/>
      </c>
      <c r="H1881" s="105"/>
      <c r="I1881" s="105"/>
      <c r="J1881" s="105" t="str">
        <f>IF(F1881=True, IFERROR(VLOOKUP(D1881, Repository!A:C, 3, 0), ""), "")</f>
        <v/>
      </c>
      <c r="K1881" s="105"/>
      <c r="L1881" s="105" t="str">
        <f>IF(F1881=True, IFERROR(VLOOKUP(D1881, Repository!A:E, 5, 0), ""), "")</f>
        <v/>
      </c>
      <c r="M1881" s="105"/>
      <c r="N1881" s="105" t="str">
        <f>IF(F1881=True, IFERROR(VLOOKUP(D1881, Repository!A:G, 7, 0), ""), "")</f>
        <v/>
      </c>
      <c r="O1881" s="105" t="str">
        <f>IFERROR(__xludf.DUMMYFUNCTION("ARRAY_CONSTRAIN(
  ARRAYFORMULA(
    IFERROR(
      LET(
        list, N1881,
        arr, TRIM(SPLIT(list, "","")),
        names, XLOOKUP(
          arr,
          'Conformance Score'!A:A,
          'Conformance Score'!B:B,
          ""Not found""
     "&amp;"   ),
        TEXTJOIN("", "", TRUE, names)
      ),
      """"
    )
  ),
  1,
  1
)
"),"")</f>
        <v/>
      </c>
      <c r="P1881" s="105" t="str">
        <f>IF(F1881="Yes", IFERROR(VLOOKUP(D1881, Repository!A:F, 6, 0), ""), "")</f>
        <v/>
      </c>
      <c r="Q1881" s="105" t="str">
        <f>IF(F1881="Yes", IFERROR(VLOOKUP(D1881, Repository!A:I, 8, 0), ""), "")</f>
        <v/>
      </c>
      <c r="R1881" s="105" t="str">
        <f>IF(F1881="Yes", IFERROR(VLOOKUP(D1881, Repository!A:J, 9, 0), ""), "")</f>
        <v/>
      </c>
      <c r="S1881" s="105"/>
      <c r="T1881" s="105"/>
      <c r="U1881" s="105"/>
      <c r="V1881" s="105"/>
      <c r="W1881" s="105"/>
      <c r="X1881" s="105"/>
      <c r="Y1881" s="105"/>
      <c r="Z1881" s="105"/>
      <c r="AA1881" s="105"/>
      <c r="AB1881" s="105"/>
      <c r="AC1881" s="91"/>
      <c r="AD1881" s="105"/>
      <c r="AE1881" s="105"/>
      <c r="AF1881" s="91"/>
      <c r="AG1881" s="105"/>
      <c r="AH1881" s="105"/>
      <c r="AI1881" s="105" t="str">
        <f t="shared" si="1"/>
        <v/>
      </c>
      <c r="AJ1881" s="108" t="str">
        <f t="shared" si="2"/>
        <v/>
      </c>
    </row>
    <row r="1882" ht="15.75" customHeight="1">
      <c r="A1882" s="104"/>
      <c r="B1882" s="105" t="str">
        <f>IFERROR(__xludf.DUMMYFUNCTION("ARRAY_CONSTRAIN(
  ARRAYFORMULA(
    IF(
      'Final Report'!A1882="""",
      """",
      TEXTJOIN(
        "", "" &amp; CHAR(10),
        TRUE,
        IFERROR(
          VLOOKUP(
            TRIM(
              SPLIT('Final Report'!A1882, "","")
         "&amp;"   ),
            'URL Details'!A:B,
            2,
            FALSE
          ),
          """"
        )
      )
    )
  ),
  1,
  1
)
"),"")</f>
        <v/>
      </c>
      <c r="C1882" s="105" t="str">
        <f>IFERROR(__xludf.DUMMYFUNCTION("IFERROR(IF('Final Report'!A1882="""","""", TEXTJOIN(CHAR(10), TRUE, ARRAYFORMULA( ""• ""&amp; FILTER( TRIM(FLATTEN(SPLIT( REGEXREPLACE( SUBSTITUTE(TEXTJOIN("","", TRUE, IFERROR(ARRAYFORMULA(VLOOKUP(TRIM(SPLIT('Final Report'!A1882, "","")), 'URL Details'!A:D, "&amp;"4, FALSE)),"""") ), CHAR(10), "",""), ""\s*,\s*"", "",""), "",""))), TRIM(FLATTEN(SPLIT( REGEXREPLACE( SUBSTITUTE(TEXTJOIN("","", TRUE, IFERROR(ARRAYFORMULA(VLOOKUP(TRIM(SPLIT('Final Report'!A1882, "","")), 'URL Details'!A:D, 4, FALSE)),"""") ), CHAR(10),"&amp;" "",""), ""\s*,\s*"", "",""), "","")))&lt;&gt;"""" ) ) ) ),"""")
"),"")</f>
        <v/>
      </c>
      <c r="D1882" s="105"/>
      <c r="E1882" s="105"/>
      <c r="F1882" s="110" t="b">
        <v>0</v>
      </c>
      <c r="G1882" s="105" t="str">
        <f>IF(F1882=True, IFERROR(VLOOKUP(D1882, Repository!A:B, 2, 0), ""), "")</f>
        <v/>
      </c>
      <c r="H1882" s="105"/>
      <c r="I1882" s="105"/>
      <c r="J1882" s="105" t="str">
        <f>IF(F1882=True, IFERROR(VLOOKUP(D1882, Repository!A:C, 3, 0), ""), "")</f>
        <v/>
      </c>
      <c r="K1882" s="105"/>
      <c r="L1882" s="105" t="str">
        <f>IF(F1882=True, IFERROR(VLOOKUP(D1882, Repository!A:E, 5, 0), ""), "")</f>
        <v/>
      </c>
      <c r="M1882" s="105"/>
      <c r="N1882" s="105" t="str">
        <f>IF(F1882=True, IFERROR(VLOOKUP(D1882, Repository!A:G, 7, 0), ""), "")</f>
        <v/>
      </c>
      <c r="O1882" s="105" t="str">
        <f>IFERROR(__xludf.DUMMYFUNCTION("ARRAY_CONSTRAIN(
  ARRAYFORMULA(
    IFERROR(
      LET(
        list, N1882,
        arr, TRIM(SPLIT(list, "","")),
        names, XLOOKUP(
          arr,
          'Conformance Score'!A:A,
          'Conformance Score'!B:B,
          ""Not found""
     "&amp;"   ),
        TEXTJOIN("", "", TRUE, names)
      ),
      """"
    )
  ),
  1,
  1
)
"),"")</f>
        <v/>
      </c>
      <c r="P1882" s="105" t="str">
        <f>IF(F1882="Yes", IFERROR(VLOOKUP(D1882, Repository!A:F, 6, 0), ""), "")</f>
        <v/>
      </c>
      <c r="Q1882" s="105" t="str">
        <f>IF(F1882="Yes", IFERROR(VLOOKUP(D1882, Repository!A:I, 8, 0), ""), "")</f>
        <v/>
      </c>
      <c r="R1882" s="105" t="str">
        <f>IF(F1882="Yes", IFERROR(VLOOKUP(D1882, Repository!A:J, 9, 0), ""), "")</f>
        <v/>
      </c>
      <c r="S1882" s="105"/>
      <c r="T1882" s="105"/>
      <c r="U1882" s="105"/>
      <c r="V1882" s="105"/>
      <c r="W1882" s="105"/>
      <c r="X1882" s="105"/>
      <c r="Y1882" s="105"/>
      <c r="Z1882" s="105"/>
      <c r="AA1882" s="105"/>
      <c r="AB1882" s="105"/>
      <c r="AC1882" s="91"/>
      <c r="AD1882" s="105"/>
      <c r="AE1882" s="105"/>
      <c r="AF1882" s="91"/>
      <c r="AG1882" s="105"/>
      <c r="AH1882" s="105"/>
      <c r="AI1882" s="105" t="str">
        <f t="shared" si="1"/>
        <v/>
      </c>
      <c r="AJ1882" s="108" t="str">
        <f t="shared" si="2"/>
        <v/>
      </c>
    </row>
    <row r="1883" ht="15.75" customHeight="1">
      <c r="A1883" s="104"/>
      <c r="B1883" s="105" t="str">
        <f>IFERROR(__xludf.DUMMYFUNCTION("ARRAY_CONSTRAIN(
  ARRAYFORMULA(
    IF(
      'Final Report'!A1883="""",
      """",
      TEXTJOIN(
        "", "" &amp; CHAR(10),
        TRUE,
        IFERROR(
          VLOOKUP(
            TRIM(
              SPLIT('Final Report'!A1883, "","")
         "&amp;"   ),
            'URL Details'!A:B,
            2,
            FALSE
          ),
          """"
        )
      )
    )
  ),
  1,
  1
)
"),"")</f>
        <v/>
      </c>
      <c r="C1883" s="105" t="str">
        <f>IFERROR(__xludf.DUMMYFUNCTION("IFERROR(IF('Final Report'!A1883="""","""", TEXTJOIN(CHAR(10), TRUE, ARRAYFORMULA( ""• ""&amp; FILTER( TRIM(FLATTEN(SPLIT( REGEXREPLACE( SUBSTITUTE(TEXTJOIN("","", TRUE, IFERROR(ARRAYFORMULA(VLOOKUP(TRIM(SPLIT('Final Report'!A1883, "","")), 'URL Details'!A:D, "&amp;"4, FALSE)),"""") ), CHAR(10), "",""), ""\s*,\s*"", "",""), "",""))), TRIM(FLATTEN(SPLIT( REGEXREPLACE( SUBSTITUTE(TEXTJOIN("","", TRUE, IFERROR(ARRAYFORMULA(VLOOKUP(TRIM(SPLIT('Final Report'!A1883, "","")), 'URL Details'!A:D, 4, FALSE)),"""") ), CHAR(10),"&amp;" "",""), ""\s*,\s*"", "",""), "","")))&lt;&gt;"""" ) ) ) ),"""")
"),"")</f>
        <v/>
      </c>
      <c r="D1883" s="105"/>
      <c r="E1883" s="105"/>
      <c r="F1883" s="110" t="b">
        <v>0</v>
      </c>
      <c r="G1883" s="105" t="str">
        <f>IF(F1883=True, IFERROR(VLOOKUP(D1883, Repository!A:B, 2, 0), ""), "")</f>
        <v/>
      </c>
      <c r="H1883" s="105"/>
      <c r="I1883" s="105"/>
      <c r="J1883" s="105" t="str">
        <f>IF(F1883=True, IFERROR(VLOOKUP(D1883, Repository!A:C, 3, 0), ""), "")</f>
        <v/>
      </c>
      <c r="K1883" s="105"/>
      <c r="L1883" s="105" t="str">
        <f>IF(F1883=True, IFERROR(VLOOKUP(D1883, Repository!A:E, 5, 0), ""), "")</f>
        <v/>
      </c>
      <c r="M1883" s="105"/>
      <c r="N1883" s="105" t="str">
        <f>IF(F1883=True, IFERROR(VLOOKUP(D1883, Repository!A:G, 7, 0), ""), "")</f>
        <v/>
      </c>
      <c r="O1883" s="105" t="str">
        <f>IFERROR(__xludf.DUMMYFUNCTION("ARRAY_CONSTRAIN(
  ARRAYFORMULA(
    IFERROR(
      LET(
        list, N1883,
        arr, TRIM(SPLIT(list, "","")),
        names, XLOOKUP(
          arr,
          'Conformance Score'!A:A,
          'Conformance Score'!B:B,
          ""Not found""
     "&amp;"   ),
        TEXTJOIN("", "", TRUE, names)
      ),
      """"
    )
  ),
  1,
  1
)
"),"")</f>
        <v/>
      </c>
      <c r="P1883" s="105" t="str">
        <f>IF(F1883="Yes", IFERROR(VLOOKUP(D1883, Repository!A:F, 6, 0), ""), "")</f>
        <v/>
      </c>
      <c r="Q1883" s="105" t="str">
        <f>IF(F1883="Yes", IFERROR(VLOOKUP(D1883, Repository!A:I, 8, 0), ""), "")</f>
        <v/>
      </c>
      <c r="R1883" s="105" t="str">
        <f>IF(F1883="Yes", IFERROR(VLOOKUP(D1883, Repository!A:J, 9, 0), ""), "")</f>
        <v/>
      </c>
      <c r="S1883" s="105"/>
      <c r="T1883" s="105"/>
      <c r="U1883" s="105"/>
      <c r="V1883" s="105"/>
      <c r="W1883" s="105"/>
      <c r="X1883" s="105"/>
      <c r="Y1883" s="105"/>
      <c r="Z1883" s="105"/>
      <c r="AA1883" s="105"/>
      <c r="AB1883" s="105"/>
      <c r="AC1883" s="91"/>
      <c r="AD1883" s="105"/>
      <c r="AE1883" s="105"/>
      <c r="AF1883" s="91"/>
      <c r="AG1883" s="105"/>
      <c r="AH1883" s="105"/>
      <c r="AI1883" s="105" t="str">
        <f t="shared" si="1"/>
        <v/>
      </c>
      <c r="AJ1883" s="108" t="str">
        <f t="shared" si="2"/>
        <v/>
      </c>
    </row>
    <row r="1884" ht="15.75" customHeight="1">
      <c r="A1884" s="104"/>
      <c r="B1884" s="105" t="str">
        <f>IFERROR(__xludf.DUMMYFUNCTION("ARRAY_CONSTRAIN(
  ARRAYFORMULA(
    IF(
      'Final Report'!A1884="""",
      """",
      TEXTJOIN(
        "", "" &amp; CHAR(10),
        TRUE,
        IFERROR(
          VLOOKUP(
            TRIM(
              SPLIT('Final Report'!A1884, "","")
         "&amp;"   ),
            'URL Details'!A:B,
            2,
            FALSE
          ),
          """"
        )
      )
    )
  ),
  1,
  1
)
"),"")</f>
        <v/>
      </c>
      <c r="C1884" s="105" t="str">
        <f>IFERROR(__xludf.DUMMYFUNCTION("IFERROR(IF('Final Report'!A1884="""","""", TEXTJOIN(CHAR(10), TRUE, ARRAYFORMULA( ""• ""&amp; FILTER( TRIM(FLATTEN(SPLIT( REGEXREPLACE( SUBSTITUTE(TEXTJOIN("","", TRUE, IFERROR(ARRAYFORMULA(VLOOKUP(TRIM(SPLIT('Final Report'!A1884, "","")), 'URL Details'!A:D, "&amp;"4, FALSE)),"""") ), CHAR(10), "",""), ""\s*,\s*"", "",""), "",""))), TRIM(FLATTEN(SPLIT( REGEXREPLACE( SUBSTITUTE(TEXTJOIN("","", TRUE, IFERROR(ARRAYFORMULA(VLOOKUP(TRIM(SPLIT('Final Report'!A1884, "","")), 'URL Details'!A:D, 4, FALSE)),"""") ), CHAR(10),"&amp;" "",""), ""\s*,\s*"", "",""), "","")))&lt;&gt;"""" ) ) ) ),"""")
"),"")</f>
        <v/>
      </c>
      <c r="D1884" s="105"/>
      <c r="E1884" s="105"/>
      <c r="F1884" s="110" t="b">
        <v>0</v>
      </c>
      <c r="G1884" s="105" t="str">
        <f>IF(F1884=True, IFERROR(VLOOKUP(D1884, Repository!A:B, 2, 0), ""), "")</f>
        <v/>
      </c>
      <c r="H1884" s="105"/>
      <c r="I1884" s="105"/>
      <c r="J1884" s="105" t="str">
        <f>IF(F1884=True, IFERROR(VLOOKUP(D1884, Repository!A:C, 3, 0), ""), "")</f>
        <v/>
      </c>
      <c r="K1884" s="105"/>
      <c r="L1884" s="105" t="str">
        <f>IF(F1884=True, IFERROR(VLOOKUP(D1884, Repository!A:E, 5, 0), ""), "")</f>
        <v/>
      </c>
      <c r="M1884" s="105"/>
      <c r="N1884" s="105" t="str">
        <f>IF(F1884=True, IFERROR(VLOOKUP(D1884, Repository!A:G, 7, 0), ""), "")</f>
        <v/>
      </c>
      <c r="O1884" s="105" t="str">
        <f>IFERROR(__xludf.DUMMYFUNCTION("ARRAY_CONSTRAIN(
  ARRAYFORMULA(
    IFERROR(
      LET(
        list, N1884,
        arr, TRIM(SPLIT(list, "","")),
        names, XLOOKUP(
          arr,
          'Conformance Score'!A:A,
          'Conformance Score'!B:B,
          ""Not found""
     "&amp;"   ),
        TEXTJOIN("", "", TRUE, names)
      ),
      """"
    )
  ),
  1,
  1
)
"),"")</f>
        <v/>
      </c>
      <c r="P1884" s="105" t="str">
        <f>IF(F1884="Yes", IFERROR(VLOOKUP(D1884, Repository!A:F, 6, 0), ""), "")</f>
        <v/>
      </c>
      <c r="Q1884" s="105" t="str">
        <f>IF(F1884="Yes", IFERROR(VLOOKUP(D1884, Repository!A:I, 8, 0), ""), "")</f>
        <v/>
      </c>
      <c r="R1884" s="105" t="str">
        <f>IF(F1884="Yes", IFERROR(VLOOKUP(D1884, Repository!A:J, 9, 0), ""), "")</f>
        <v/>
      </c>
      <c r="S1884" s="105"/>
      <c r="T1884" s="105"/>
      <c r="U1884" s="105"/>
      <c r="V1884" s="105"/>
      <c r="W1884" s="105"/>
      <c r="X1884" s="105"/>
      <c r="Y1884" s="105"/>
      <c r="Z1884" s="105"/>
      <c r="AA1884" s="105"/>
      <c r="AB1884" s="105"/>
      <c r="AC1884" s="91"/>
      <c r="AD1884" s="105"/>
      <c r="AE1884" s="105"/>
      <c r="AF1884" s="91"/>
      <c r="AG1884" s="105"/>
      <c r="AH1884" s="105"/>
      <c r="AI1884" s="105" t="str">
        <f t="shared" si="1"/>
        <v/>
      </c>
      <c r="AJ1884" s="108" t="str">
        <f t="shared" si="2"/>
        <v/>
      </c>
    </row>
    <row r="1885" ht="15.75" customHeight="1">
      <c r="A1885" s="104"/>
      <c r="B1885" s="105" t="str">
        <f>IFERROR(__xludf.DUMMYFUNCTION("ARRAY_CONSTRAIN(
  ARRAYFORMULA(
    IF(
      'Final Report'!A1885="""",
      """",
      TEXTJOIN(
        "", "" &amp; CHAR(10),
        TRUE,
        IFERROR(
          VLOOKUP(
            TRIM(
              SPLIT('Final Report'!A1885, "","")
         "&amp;"   ),
            'URL Details'!A:B,
            2,
            FALSE
          ),
          """"
        )
      )
    )
  ),
  1,
  1
)
"),"")</f>
        <v/>
      </c>
      <c r="C1885" s="105" t="str">
        <f>IFERROR(__xludf.DUMMYFUNCTION("IFERROR(IF('Final Report'!A1885="""","""", TEXTJOIN(CHAR(10), TRUE, ARRAYFORMULA( ""• ""&amp; FILTER( TRIM(FLATTEN(SPLIT( REGEXREPLACE( SUBSTITUTE(TEXTJOIN("","", TRUE, IFERROR(ARRAYFORMULA(VLOOKUP(TRIM(SPLIT('Final Report'!A1885, "","")), 'URL Details'!A:D, "&amp;"4, FALSE)),"""") ), CHAR(10), "",""), ""\s*,\s*"", "",""), "",""))), TRIM(FLATTEN(SPLIT( REGEXREPLACE( SUBSTITUTE(TEXTJOIN("","", TRUE, IFERROR(ARRAYFORMULA(VLOOKUP(TRIM(SPLIT('Final Report'!A1885, "","")), 'URL Details'!A:D, 4, FALSE)),"""") ), CHAR(10),"&amp;" "",""), ""\s*,\s*"", "",""), "","")))&lt;&gt;"""" ) ) ) ),"""")
"),"")</f>
        <v/>
      </c>
      <c r="D1885" s="105"/>
      <c r="E1885" s="105"/>
      <c r="F1885" s="110" t="b">
        <v>0</v>
      </c>
      <c r="G1885" s="105" t="str">
        <f>IF(F1885=True, IFERROR(VLOOKUP(D1885, Repository!A:B, 2, 0), ""), "")</f>
        <v/>
      </c>
      <c r="H1885" s="105"/>
      <c r="I1885" s="105"/>
      <c r="J1885" s="105" t="str">
        <f>IF(F1885=True, IFERROR(VLOOKUP(D1885, Repository!A:C, 3, 0), ""), "")</f>
        <v/>
      </c>
      <c r="K1885" s="105"/>
      <c r="L1885" s="105" t="str">
        <f>IF(F1885=True, IFERROR(VLOOKUP(D1885, Repository!A:E, 5, 0), ""), "")</f>
        <v/>
      </c>
      <c r="M1885" s="105"/>
      <c r="N1885" s="105" t="str">
        <f>IF(F1885=True, IFERROR(VLOOKUP(D1885, Repository!A:G, 7, 0), ""), "")</f>
        <v/>
      </c>
      <c r="O1885" s="105" t="str">
        <f>IFERROR(__xludf.DUMMYFUNCTION("ARRAY_CONSTRAIN(
  ARRAYFORMULA(
    IFERROR(
      LET(
        list, N1885,
        arr, TRIM(SPLIT(list, "","")),
        names, XLOOKUP(
          arr,
          'Conformance Score'!A:A,
          'Conformance Score'!B:B,
          ""Not found""
     "&amp;"   ),
        TEXTJOIN("", "", TRUE, names)
      ),
      """"
    )
  ),
  1,
  1
)
"),"")</f>
        <v/>
      </c>
      <c r="P1885" s="105" t="str">
        <f>IF(F1885="Yes", IFERROR(VLOOKUP(D1885, Repository!A:F, 6, 0), ""), "")</f>
        <v/>
      </c>
      <c r="Q1885" s="105" t="str">
        <f>IF(F1885="Yes", IFERROR(VLOOKUP(D1885, Repository!A:I, 8, 0), ""), "")</f>
        <v/>
      </c>
      <c r="R1885" s="105" t="str">
        <f>IF(F1885="Yes", IFERROR(VLOOKUP(D1885, Repository!A:J, 9, 0), ""), "")</f>
        <v/>
      </c>
      <c r="S1885" s="105"/>
      <c r="T1885" s="105"/>
      <c r="U1885" s="105"/>
      <c r="V1885" s="105"/>
      <c r="W1885" s="105"/>
      <c r="X1885" s="105"/>
      <c r="Y1885" s="105"/>
      <c r="Z1885" s="105"/>
      <c r="AA1885" s="105"/>
      <c r="AB1885" s="105"/>
      <c r="AC1885" s="91"/>
      <c r="AD1885" s="105"/>
      <c r="AE1885" s="105"/>
      <c r="AF1885" s="91"/>
      <c r="AG1885" s="105"/>
      <c r="AH1885" s="105"/>
      <c r="AI1885" s="105" t="str">
        <f t="shared" si="1"/>
        <v/>
      </c>
      <c r="AJ1885" s="108" t="str">
        <f t="shared" si="2"/>
        <v/>
      </c>
    </row>
    <row r="1886" ht="15.75" customHeight="1">
      <c r="A1886" s="104"/>
      <c r="B1886" s="105" t="str">
        <f>IFERROR(__xludf.DUMMYFUNCTION("ARRAY_CONSTRAIN(
  ARRAYFORMULA(
    IF(
      'Final Report'!A1886="""",
      """",
      TEXTJOIN(
        "", "" &amp; CHAR(10),
        TRUE,
        IFERROR(
          VLOOKUP(
            TRIM(
              SPLIT('Final Report'!A1886, "","")
         "&amp;"   ),
            'URL Details'!A:B,
            2,
            FALSE
          ),
          """"
        )
      )
    )
  ),
  1,
  1
)
"),"")</f>
        <v/>
      </c>
      <c r="C1886" s="105" t="str">
        <f>IFERROR(__xludf.DUMMYFUNCTION("IFERROR(IF('Final Report'!A1886="""","""", TEXTJOIN(CHAR(10), TRUE, ARRAYFORMULA( ""• ""&amp; FILTER( TRIM(FLATTEN(SPLIT( REGEXREPLACE( SUBSTITUTE(TEXTJOIN("","", TRUE, IFERROR(ARRAYFORMULA(VLOOKUP(TRIM(SPLIT('Final Report'!A1886, "","")), 'URL Details'!A:D, "&amp;"4, FALSE)),"""") ), CHAR(10), "",""), ""\s*,\s*"", "",""), "",""))), TRIM(FLATTEN(SPLIT( REGEXREPLACE( SUBSTITUTE(TEXTJOIN("","", TRUE, IFERROR(ARRAYFORMULA(VLOOKUP(TRIM(SPLIT('Final Report'!A1886, "","")), 'URL Details'!A:D, 4, FALSE)),"""") ), CHAR(10),"&amp;" "",""), ""\s*,\s*"", "",""), "","")))&lt;&gt;"""" ) ) ) ),"""")
"),"")</f>
        <v/>
      </c>
      <c r="D1886" s="105"/>
      <c r="E1886" s="105"/>
      <c r="F1886" s="110" t="b">
        <v>0</v>
      </c>
      <c r="G1886" s="105" t="str">
        <f>IF(F1886=True, IFERROR(VLOOKUP(D1886, Repository!A:B, 2, 0), ""), "")</f>
        <v/>
      </c>
      <c r="H1886" s="105"/>
      <c r="I1886" s="105"/>
      <c r="J1886" s="105" t="str">
        <f>IF(F1886=True, IFERROR(VLOOKUP(D1886, Repository!A:C, 3, 0), ""), "")</f>
        <v/>
      </c>
      <c r="K1886" s="105"/>
      <c r="L1886" s="105" t="str">
        <f>IF(F1886=True, IFERROR(VLOOKUP(D1886, Repository!A:E, 5, 0), ""), "")</f>
        <v/>
      </c>
      <c r="M1886" s="105"/>
      <c r="N1886" s="105" t="str">
        <f>IF(F1886=True, IFERROR(VLOOKUP(D1886, Repository!A:G, 7, 0), ""), "")</f>
        <v/>
      </c>
      <c r="O1886" s="105" t="str">
        <f>IFERROR(__xludf.DUMMYFUNCTION("ARRAY_CONSTRAIN(
  ARRAYFORMULA(
    IFERROR(
      LET(
        list, N1886,
        arr, TRIM(SPLIT(list, "","")),
        names, XLOOKUP(
          arr,
          'Conformance Score'!A:A,
          'Conformance Score'!B:B,
          ""Not found""
     "&amp;"   ),
        TEXTJOIN("", "", TRUE, names)
      ),
      """"
    )
  ),
  1,
  1
)
"),"")</f>
        <v/>
      </c>
      <c r="P1886" s="105" t="str">
        <f>IF(F1886="Yes", IFERROR(VLOOKUP(D1886, Repository!A:F, 6, 0), ""), "")</f>
        <v/>
      </c>
      <c r="Q1886" s="105" t="str">
        <f>IF(F1886="Yes", IFERROR(VLOOKUP(D1886, Repository!A:I, 8, 0), ""), "")</f>
        <v/>
      </c>
      <c r="R1886" s="105" t="str">
        <f>IF(F1886="Yes", IFERROR(VLOOKUP(D1886, Repository!A:J, 9, 0), ""), "")</f>
        <v/>
      </c>
      <c r="S1886" s="105"/>
      <c r="T1886" s="105"/>
      <c r="U1886" s="105"/>
      <c r="V1886" s="105"/>
      <c r="W1886" s="105"/>
      <c r="X1886" s="105"/>
      <c r="Y1886" s="105"/>
      <c r="Z1886" s="105"/>
      <c r="AA1886" s="105"/>
      <c r="AB1886" s="105"/>
      <c r="AC1886" s="91"/>
      <c r="AD1886" s="105"/>
      <c r="AE1886" s="105"/>
      <c r="AF1886" s="91"/>
      <c r="AG1886" s="105"/>
      <c r="AH1886" s="105"/>
      <c r="AI1886" s="105" t="str">
        <f t="shared" si="1"/>
        <v/>
      </c>
      <c r="AJ1886" s="108" t="str">
        <f t="shared" si="2"/>
        <v/>
      </c>
    </row>
    <row r="1887" ht="15.75" customHeight="1">
      <c r="A1887" s="104"/>
      <c r="B1887" s="105" t="str">
        <f>IFERROR(__xludf.DUMMYFUNCTION("ARRAY_CONSTRAIN(
  ARRAYFORMULA(
    IF(
      'Final Report'!A1887="""",
      """",
      TEXTJOIN(
        "", "" &amp; CHAR(10),
        TRUE,
        IFERROR(
          VLOOKUP(
            TRIM(
              SPLIT('Final Report'!A1887, "","")
         "&amp;"   ),
            'URL Details'!A:B,
            2,
            FALSE
          ),
          """"
        )
      )
    )
  ),
  1,
  1
)
"),"")</f>
        <v/>
      </c>
      <c r="C1887" s="105" t="str">
        <f>IFERROR(__xludf.DUMMYFUNCTION("IFERROR(IF('Final Report'!A1887="""","""", TEXTJOIN(CHAR(10), TRUE, ARRAYFORMULA( ""• ""&amp; FILTER( TRIM(FLATTEN(SPLIT( REGEXREPLACE( SUBSTITUTE(TEXTJOIN("","", TRUE, IFERROR(ARRAYFORMULA(VLOOKUP(TRIM(SPLIT('Final Report'!A1887, "","")), 'URL Details'!A:D, "&amp;"4, FALSE)),"""") ), CHAR(10), "",""), ""\s*,\s*"", "",""), "",""))), TRIM(FLATTEN(SPLIT( REGEXREPLACE( SUBSTITUTE(TEXTJOIN("","", TRUE, IFERROR(ARRAYFORMULA(VLOOKUP(TRIM(SPLIT('Final Report'!A1887, "","")), 'URL Details'!A:D, 4, FALSE)),"""") ), CHAR(10),"&amp;" "",""), ""\s*,\s*"", "",""), "","")))&lt;&gt;"""" ) ) ) ),"""")
"),"")</f>
        <v/>
      </c>
      <c r="D1887" s="105"/>
      <c r="E1887" s="105"/>
      <c r="F1887" s="110" t="b">
        <v>0</v>
      </c>
      <c r="G1887" s="105" t="str">
        <f>IF(F1887=True, IFERROR(VLOOKUP(D1887, Repository!A:B, 2, 0), ""), "")</f>
        <v/>
      </c>
      <c r="H1887" s="105"/>
      <c r="I1887" s="105"/>
      <c r="J1887" s="105" t="str">
        <f>IF(F1887=True, IFERROR(VLOOKUP(D1887, Repository!A:C, 3, 0), ""), "")</f>
        <v/>
      </c>
      <c r="K1887" s="105"/>
      <c r="L1887" s="105" t="str">
        <f>IF(F1887=True, IFERROR(VLOOKUP(D1887, Repository!A:E, 5, 0), ""), "")</f>
        <v/>
      </c>
      <c r="M1887" s="105"/>
      <c r="N1887" s="105" t="str">
        <f>IF(F1887=True, IFERROR(VLOOKUP(D1887, Repository!A:G, 7, 0), ""), "")</f>
        <v/>
      </c>
      <c r="O1887" s="105" t="str">
        <f>IFERROR(__xludf.DUMMYFUNCTION("ARRAY_CONSTRAIN(
  ARRAYFORMULA(
    IFERROR(
      LET(
        list, N1887,
        arr, TRIM(SPLIT(list, "","")),
        names, XLOOKUP(
          arr,
          'Conformance Score'!A:A,
          'Conformance Score'!B:B,
          ""Not found""
     "&amp;"   ),
        TEXTJOIN("", "", TRUE, names)
      ),
      """"
    )
  ),
  1,
  1
)
"),"")</f>
        <v/>
      </c>
      <c r="P1887" s="105" t="str">
        <f>IF(F1887="Yes", IFERROR(VLOOKUP(D1887, Repository!A:F, 6, 0), ""), "")</f>
        <v/>
      </c>
      <c r="Q1887" s="105" t="str">
        <f>IF(F1887="Yes", IFERROR(VLOOKUP(D1887, Repository!A:I, 8, 0), ""), "")</f>
        <v/>
      </c>
      <c r="R1887" s="105" t="str">
        <f>IF(F1887="Yes", IFERROR(VLOOKUP(D1887, Repository!A:J, 9, 0), ""), "")</f>
        <v/>
      </c>
      <c r="S1887" s="105"/>
      <c r="T1887" s="105"/>
      <c r="U1887" s="105"/>
      <c r="V1887" s="105"/>
      <c r="W1887" s="105"/>
      <c r="X1887" s="105"/>
      <c r="Y1887" s="105"/>
      <c r="Z1887" s="105"/>
      <c r="AA1887" s="105"/>
      <c r="AB1887" s="105"/>
      <c r="AC1887" s="91"/>
      <c r="AD1887" s="105"/>
      <c r="AE1887" s="105"/>
      <c r="AF1887" s="91"/>
      <c r="AG1887" s="105"/>
      <c r="AH1887" s="105"/>
      <c r="AI1887" s="105" t="str">
        <f t="shared" si="1"/>
        <v/>
      </c>
      <c r="AJ1887" s="108" t="str">
        <f t="shared" si="2"/>
        <v/>
      </c>
    </row>
    <row r="1888" ht="15.75" customHeight="1">
      <c r="A1888" s="104"/>
      <c r="B1888" s="105" t="str">
        <f>IFERROR(__xludf.DUMMYFUNCTION("ARRAY_CONSTRAIN(
  ARRAYFORMULA(
    IF(
      'Final Report'!A1888="""",
      """",
      TEXTJOIN(
        "", "" &amp; CHAR(10),
        TRUE,
        IFERROR(
          VLOOKUP(
            TRIM(
              SPLIT('Final Report'!A1888, "","")
         "&amp;"   ),
            'URL Details'!A:B,
            2,
            FALSE
          ),
          """"
        )
      )
    )
  ),
  1,
  1
)
"),"")</f>
        <v/>
      </c>
      <c r="C1888" s="105" t="str">
        <f>IFERROR(__xludf.DUMMYFUNCTION("IFERROR(IF('Final Report'!A1888="""","""", TEXTJOIN(CHAR(10), TRUE, ARRAYFORMULA( ""• ""&amp; FILTER( TRIM(FLATTEN(SPLIT( REGEXREPLACE( SUBSTITUTE(TEXTJOIN("","", TRUE, IFERROR(ARRAYFORMULA(VLOOKUP(TRIM(SPLIT('Final Report'!A1888, "","")), 'URL Details'!A:D, "&amp;"4, FALSE)),"""") ), CHAR(10), "",""), ""\s*,\s*"", "",""), "",""))), TRIM(FLATTEN(SPLIT( REGEXREPLACE( SUBSTITUTE(TEXTJOIN("","", TRUE, IFERROR(ARRAYFORMULA(VLOOKUP(TRIM(SPLIT('Final Report'!A1888, "","")), 'URL Details'!A:D, 4, FALSE)),"""") ), CHAR(10),"&amp;" "",""), ""\s*,\s*"", "",""), "","")))&lt;&gt;"""" ) ) ) ),"""")
"),"")</f>
        <v/>
      </c>
      <c r="D1888" s="105"/>
      <c r="E1888" s="105"/>
      <c r="F1888" s="110" t="b">
        <v>0</v>
      </c>
      <c r="G1888" s="105" t="str">
        <f>IF(F1888=True, IFERROR(VLOOKUP(D1888, Repository!A:B, 2, 0), ""), "")</f>
        <v/>
      </c>
      <c r="H1888" s="105"/>
      <c r="I1888" s="105"/>
      <c r="J1888" s="105" t="str">
        <f>IF(F1888=True, IFERROR(VLOOKUP(D1888, Repository!A:C, 3, 0), ""), "")</f>
        <v/>
      </c>
      <c r="K1888" s="105"/>
      <c r="L1888" s="105" t="str">
        <f>IF(F1888=True, IFERROR(VLOOKUP(D1888, Repository!A:E, 5, 0), ""), "")</f>
        <v/>
      </c>
      <c r="M1888" s="105"/>
      <c r="N1888" s="105" t="str">
        <f>IF(F1888=True, IFERROR(VLOOKUP(D1888, Repository!A:G, 7, 0), ""), "")</f>
        <v/>
      </c>
      <c r="O1888" s="105" t="str">
        <f>IFERROR(__xludf.DUMMYFUNCTION("ARRAY_CONSTRAIN(
  ARRAYFORMULA(
    IFERROR(
      LET(
        list, N1888,
        arr, TRIM(SPLIT(list, "","")),
        names, XLOOKUP(
          arr,
          'Conformance Score'!A:A,
          'Conformance Score'!B:B,
          ""Not found""
     "&amp;"   ),
        TEXTJOIN("", "", TRUE, names)
      ),
      """"
    )
  ),
  1,
  1
)
"),"")</f>
        <v/>
      </c>
      <c r="P1888" s="105" t="str">
        <f>IF(F1888="Yes", IFERROR(VLOOKUP(D1888, Repository!A:F, 6, 0), ""), "")</f>
        <v/>
      </c>
      <c r="Q1888" s="105" t="str">
        <f>IF(F1888="Yes", IFERROR(VLOOKUP(D1888, Repository!A:I, 8, 0), ""), "")</f>
        <v/>
      </c>
      <c r="R1888" s="105" t="str">
        <f>IF(F1888="Yes", IFERROR(VLOOKUP(D1888, Repository!A:J, 9, 0), ""), "")</f>
        <v/>
      </c>
      <c r="S1888" s="105"/>
      <c r="T1888" s="105"/>
      <c r="U1888" s="105"/>
      <c r="V1888" s="105"/>
      <c r="W1888" s="105"/>
      <c r="X1888" s="105"/>
      <c r="Y1888" s="105"/>
      <c r="Z1888" s="105"/>
      <c r="AA1888" s="105"/>
      <c r="AB1888" s="105"/>
      <c r="AC1888" s="91"/>
      <c r="AD1888" s="105"/>
      <c r="AE1888" s="105"/>
      <c r="AF1888" s="91"/>
      <c r="AG1888" s="105"/>
      <c r="AH1888" s="105"/>
      <c r="AI1888" s="105" t="str">
        <f t="shared" si="1"/>
        <v/>
      </c>
      <c r="AJ1888" s="108" t="str">
        <f t="shared" si="2"/>
        <v/>
      </c>
    </row>
    <row r="1889" ht="15.75" customHeight="1">
      <c r="A1889" s="104"/>
      <c r="B1889" s="105" t="str">
        <f>IFERROR(__xludf.DUMMYFUNCTION("ARRAY_CONSTRAIN(
  ARRAYFORMULA(
    IF(
      'Final Report'!A1889="""",
      """",
      TEXTJOIN(
        "", "" &amp; CHAR(10),
        TRUE,
        IFERROR(
          VLOOKUP(
            TRIM(
              SPLIT('Final Report'!A1889, "","")
         "&amp;"   ),
            'URL Details'!A:B,
            2,
            FALSE
          ),
          """"
        )
      )
    )
  ),
  1,
  1
)
"),"")</f>
        <v/>
      </c>
      <c r="C1889" s="105" t="str">
        <f>IFERROR(__xludf.DUMMYFUNCTION("IFERROR(IF('Final Report'!A1889="""","""", TEXTJOIN(CHAR(10), TRUE, ARRAYFORMULA( ""• ""&amp; FILTER( TRIM(FLATTEN(SPLIT( REGEXREPLACE( SUBSTITUTE(TEXTJOIN("","", TRUE, IFERROR(ARRAYFORMULA(VLOOKUP(TRIM(SPLIT('Final Report'!A1889, "","")), 'URL Details'!A:D, "&amp;"4, FALSE)),"""") ), CHAR(10), "",""), ""\s*,\s*"", "",""), "",""))), TRIM(FLATTEN(SPLIT( REGEXREPLACE( SUBSTITUTE(TEXTJOIN("","", TRUE, IFERROR(ARRAYFORMULA(VLOOKUP(TRIM(SPLIT('Final Report'!A1889, "","")), 'URL Details'!A:D, 4, FALSE)),"""") ), CHAR(10),"&amp;" "",""), ""\s*,\s*"", "",""), "","")))&lt;&gt;"""" ) ) ) ),"""")
"),"")</f>
        <v/>
      </c>
      <c r="D1889" s="105"/>
      <c r="E1889" s="105"/>
      <c r="F1889" s="110" t="b">
        <v>0</v>
      </c>
      <c r="G1889" s="105" t="str">
        <f>IF(F1889=True, IFERROR(VLOOKUP(D1889, Repository!A:B, 2, 0), ""), "")</f>
        <v/>
      </c>
      <c r="H1889" s="105"/>
      <c r="I1889" s="105"/>
      <c r="J1889" s="105" t="str">
        <f>IF(F1889=True, IFERROR(VLOOKUP(D1889, Repository!A:C, 3, 0), ""), "")</f>
        <v/>
      </c>
      <c r="K1889" s="105"/>
      <c r="L1889" s="105" t="str">
        <f>IF(F1889=True, IFERROR(VLOOKUP(D1889, Repository!A:E, 5, 0), ""), "")</f>
        <v/>
      </c>
      <c r="M1889" s="105"/>
      <c r="N1889" s="105" t="str">
        <f>IF(F1889=True, IFERROR(VLOOKUP(D1889, Repository!A:G, 7, 0), ""), "")</f>
        <v/>
      </c>
      <c r="O1889" s="105" t="str">
        <f>IFERROR(__xludf.DUMMYFUNCTION("ARRAY_CONSTRAIN(
  ARRAYFORMULA(
    IFERROR(
      LET(
        list, N1889,
        arr, TRIM(SPLIT(list, "","")),
        names, XLOOKUP(
          arr,
          'Conformance Score'!A:A,
          'Conformance Score'!B:B,
          ""Not found""
     "&amp;"   ),
        TEXTJOIN("", "", TRUE, names)
      ),
      """"
    )
  ),
  1,
  1
)
"),"")</f>
        <v/>
      </c>
      <c r="P1889" s="105" t="str">
        <f>IF(F1889="Yes", IFERROR(VLOOKUP(D1889, Repository!A:F, 6, 0), ""), "")</f>
        <v/>
      </c>
      <c r="Q1889" s="105" t="str">
        <f>IF(F1889="Yes", IFERROR(VLOOKUP(D1889, Repository!A:I, 8, 0), ""), "")</f>
        <v/>
      </c>
      <c r="R1889" s="105" t="str">
        <f>IF(F1889="Yes", IFERROR(VLOOKUP(D1889, Repository!A:J, 9, 0), ""), "")</f>
        <v/>
      </c>
      <c r="S1889" s="105"/>
      <c r="T1889" s="105"/>
      <c r="U1889" s="105"/>
      <c r="V1889" s="105"/>
      <c r="W1889" s="105"/>
      <c r="X1889" s="105"/>
      <c r="Y1889" s="105"/>
      <c r="Z1889" s="105"/>
      <c r="AA1889" s="105"/>
      <c r="AB1889" s="105"/>
      <c r="AC1889" s="91"/>
      <c r="AD1889" s="105"/>
      <c r="AE1889" s="105"/>
      <c r="AF1889" s="91"/>
      <c r="AG1889" s="105"/>
      <c r="AH1889" s="105"/>
      <c r="AI1889" s="105" t="str">
        <f t="shared" si="1"/>
        <v/>
      </c>
      <c r="AJ1889" s="108" t="str">
        <f t="shared" si="2"/>
        <v/>
      </c>
    </row>
    <row r="1890" ht="15.75" customHeight="1">
      <c r="A1890" s="104"/>
      <c r="B1890" s="105" t="str">
        <f>IFERROR(__xludf.DUMMYFUNCTION("ARRAY_CONSTRAIN(
  ARRAYFORMULA(
    IF(
      'Final Report'!A1890="""",
      """",
      TEXTJOIN(
        "", "" &amp; CHAR(10),
        TRUE,
        IFERROR(
          VLOOKUP(
            TRIM(
              SPLIT('Final Report'!A1890, "","")
         "&amp;"   ),
            'URL Details'!A:B,
            2,
            FALSE
          ),
          """"
        )
      )
    )
  ),
  1,
  1
)
"),"")</f>
        <v/>
      </c>
      <c r="C1890" s="105" t="str">
        <f>IFERROR(__xludf.DUMMYFUNCTION("IFERROR(IF('Final Report'!A1890="""","""", TEXTJOIN(CHAR(10), TRUE, ARRAYFORMULA( ""• ""&amp; FILTER( TRIM(FLATTEN(SPLIT( REGEXREPLACE( SUBSTITUTE(TEXTJOIN("","", TRUE, IFERROR(ARRAYFORMULA(VLOOKUP(TRIM(SPLIT('Final Report'!A1890, "","")), 'URL Details'!A:D, "&amp;"4, FALSE)),"""") ), CHAR(10), "",""), ""\s*,\s*"", "",""), "",""))), TRIM(FLATTEN(SPLIT( REGEXREPLACE( SUBSTITUTE(TEXTJOIN("","", TRUE, IFERROR(ARRAYFORMULA(VLOOKUP(TRIM(SPLIT('Final Report'!A1890, "","")), 'URL Details'!A:D, 4, FALSE)),"""") ), CHAR(10),"&amp;" "",""), ""\s*,\s*"", "",""), "","")))&lt;&gt;"""" ) ) ) ),"""")
"),"")</f>
        <v/>
      </c>
      <c r="D1890" s="105"/>
      <c r="E1890" s="105"/>
      <c r="F1890" s="110" t="b">
        <v>0</v>
      </c>
      <c r="G1890" s="105" t="str">
        <f>IF(F1890=True, IFERROR(VLOOKUP(D1890, Repository!A:B, 2, 0), ""), "")</f>
        <v/>
      </c>
      <c r="H1890" s="105"/>
      <c r="I1890" s="105"/>
      <c r="J1890" s="105" t="str">
        <f>IF(F1890=True, IFERROR(VLOOKUP(D1890, Repository!A:C, 3, 0), ""), "")</f>
        <v/>
      </c>
      <c r="K1890" s="105"/>
      <c r="L1890" s="105" t="str">
        <f>IF(F1890=True, IFERROR(VLOOKUP(D1890, Repository!A:E, 5, 0), ""), "")</f>
        <v/>
      </c>
      <c r="M1890" s="105"/>
      <c r="N1890" s="105" t="str">
        <f>IF(F1890=True, IFERROR(VLOOKUP(D1890, Repository!A:G, 7, 0), ""), "")</f>
        <v/>
      </c>
      <c r="O1890" s="105" t="str">
        <f>IFERROR(__xludf.DUMMYFUNCTION("ARRAY_CONSTRAIN(
  ARRAYFORMULA(
    IFERROR(
      LET(
        list, N1890,
        arr, TRIM(SPLIT(list, "","")),
        names, XLOOKUP(
          arr,
          'Conformance Score'!A:A,
          'Conformance Score'!B:B,
          ""Not found""
     "&amp;"   ),
        TEXTJOIN("", "", TRUE, names)
      ),
      """"
    )
  ),
  1,
  1
)
"),"")</f>
        <v/>
      </c>
      <c r="P1890" s="105" t="str">
        <f>IF(F1890="Yes", IFERROR(VLOOKUP(D1890, Repository!A:F, 6, 0), ""), "")</f>
        <v/>
      </c>
      <c r="Q1890" s="105" t="str">
        <f>IF(F1890="Yes", IFERROR(VLOOKUP(D1890, Repository!A:I, 8, 0), ""), "")</f>
        <v/>
      </c>
      <c r="R1890" s="105" t="str">
        <f>IF(F1890="Yes", IFERROR(VLOOKUP(D1890, Repository!A:J, 9, 0), ""), "")</f>
        <v/>
      </c>
      <c r="S1890" s="105"/>
      <c r="T1890" s="105"/>
      <c r="U1890" s="105"/>
      <c r="V1890" s="105"/>
      <c r="W1890" s="105"/>
      <c r="X1890" s="105"/>
      <c r="Y1890" s="105"/>
      <c r="Z1890" s="105"/>
      <c r="AA1890" s="105"/>
      <c r="AB1890" s="105"/>
      <c r="AC1890" s="91"/>
      <c r="AD1890" s="105"/>
      <c r="AE1890" s="105"/>
      <c r="AF1890" s="91"/>
      <c r="AG1890" s="105"/>
      <c r="AH1890" s="105"/>
      <c r="AI1890" s="105" t="str">
        <f t="shared" si="1"/>
        <v/>
      </c>
      <c r="AJ1890" s="108" t="str">
        <f t="shared" si="2"/>
        <v/>
      </c>
    </row>
    <row r="1891" ht="15.75" customHeight="1">
      <c r="A1891" s="104"/>
      <c r="B1891" s="105" t="str">
        <f>IFERROR(__xludf.DUMMYFUNCTION("ARRAY_CONSTRAIN(
  ARRAYFORMULA(
    IF(
      'Final Report'!A1891="""",
      """",
      TEXTJOIN(
        "", "" &amp; CHAR(10),
        TRUE,
        IFERROR(
          VLOOKUP(
            TRIM(
              SPLIT('Final Report'!A1891, "","")
         "&amp;"   ),
            'URL Details'!A:B,
            2,
            FALSE
          ),
          """"
        )
      )
    )
  ),
  1,
  1
)
"),"")</f>
        <v/>
      </c>
      <c r="C1891" s="105" t="str">
        <f>IFERROR(__xludf.DUMMYFUNCTION("IFERROR(IF('Final Report'!A1891="""","""", TEXTJOIN(CHAR(10), TRUE, ARRAYFORMULA( ""• ""&amp; FILTER( TRIM(FLATTEN(SPLIT( REGEXREPLACE( SUBSTITUTE(TEXTJOIN("","", TRUE, IFERROR(ARRAYFORMULA(VLOOKUP(TRIM(SPLIT('Final Report'!A1891, "","")), 'URL Details'!A:D, "&amp;"4, FALSE)),"""") ), CHAR(10), "",""), ""\s*,\s*"", "",""), "",""))), TRIM(FLATTEN(SPLIT( REGEXREPLACE( SUBSTITUTE(TEXTJOIN("","", TRUE, IFERROR(ARRAYFORMULA(VLOOKUP(TRIM(SPLIT('Final Report'!A1891, "","")), 'URL Details'!A:D, 4, FALSE)),"""") ), CHAR(10),"&amp;" "",""), ""\s*,\s*"", "",""), "","")))&lt;&gt;"""" ) ) ) ),"""")
"),"")</f>
        <v/>
      </c>
      <c r="D1891" s="105"/>
      <c r="E1891" s="105"/>
      <c r="F1891" s="110" t="b">
        <v>0</v>
      </c>
      <c r="G1891" s="105" t="str">
        <f>IF(F1891=True, IFERROR(VLOOKUP(D1891, Repository!A:B, 2, 0), ""), "")</f>
        <v/>
      </c>
      <c r="H1891" s="105"/>
      <c r="I1891" s="105"/>
      <c r="J1891" s="105" t="str">
        <f>IF(F1891=True, IFERROR(VLOOKUP(D1891, Repository!A:C, 3, 0), ""), "")</f>
        <v/>
      </c>
      <c r="K1891" s="105"/>
      <c r="L1891" s="105" t="str">
        <f>IF(F1891=True, IFERROR(VLOOKUP(D1891, Repository!A:E, 5, 0), ""), "")</f>
        <v/>
      </c>
      <c r="M1891" s="105"/>
      <c r="N1891" s="105" t="str">
        <f>IF(F1891=True, IFERROR(VLOOKUP(D1891, Repository!A:G, 7, 0), ""), "")</f>
        <v/>
      </c>
      <c r="O1891" s="105" t="str">
        <f>IFERROR(__xludf.DUMMYFUNCTION("ARRAY_CONSTRAIN(
  ARRAYFORMULA(
    IFERROR(
      LET(
        list, N1891,
        arr, TRIM(SPLIT(list, "","")),
        names, XLOOKUP(
          arr,
          'Conformance Score'!A:A,
          'Conformance Score'!B:B,
          ""Not found""
     "&amp;"   ),
        TEXTJOIN("", "", TRUE, names)
      ),
      """"
    )
  ),
  1,
  1
)
"),"")</f>
        <v/>
      </c>
      <c r="P1891" s="105" t="str">
        <f>IF(F1891="Yes", IFERROR(VLOOKUP(D1891, Repository!A:F, 6, 0), ""), "")</f>
        <v/>
      </c>
      <c r="Q1891" s="105" t="str">
        <f>IF(F1891="Yes", IFERROR(VLOOKUP(D1891, Repository!A:I, 8, 0), ""), "")</f>
        <v/>
      </c>
      <c r="R1891" s="105" t="str">
        <f>IF(F1891="Yes", IFERROR(VLOOKUP(D1891, Repository!A:J, 9, 0), ""), "")</f>
        <v/>
      </c>
      <c r="S1891" s="105"/>
      <c r="T1891" s="105"/>
      <c r="U1891" s="105"/>
      <c r="V1891" s="105"/>
      <c r="W1891" s="105"/>
      <c r="X1891" s="105"/>
      <c r="Y1891" s="105"/>
      <c r="Z1891" s="105"/>
      <c r="AA1891" s="105"/>
      <c r="AB1891" s="105"/>
      <c r="AC1891" s="91"/>
      <c r="AD1891" s="105"/>
      <c r="AE1891" s="105"/>
      <c r="AF1891" s="91"/>
      <c r="AG1891" s="105"/>
      <c r="AH1891" s="105"/>
      <c r="AI1891" s="105" t="str">
        <f t="shared" si="1"/>
        <v/>
      </c>
      <c r="AJ1891" s="108" t="str">
        <f t="shared" si="2"/>
        <v/>
      </c>
    </row>
    <row r="1892" ht="15.75" customHeight="1">
      <c r="A1892" s="104"/>
      <c r="B1892" s="105" t="str">
        <f>IFERROR(__xludf.DUMMYFUNCTION("ARRAY_CONSTRAIN(
  ARRAYFORMULA(
    IF(
      'Final Report'!A1892="""",
      """",
      TEXTJOIN(
        "", "" &amp; CHAR(10),
        TRUE,
        IFERROR(
          VLOOKUP(
            TRIM(
              SPLIT('Final Report'!A1892, "","")
         "&amp;"   ),
            'URL Details'!A:B,
            2,
            FALSE
          ),
          """"
        )
      )
    )
  ),
  1,
  1
)
"),"")</f>
        <v/>
      </c>
      <c r="C1892" s="105" t="str">
        <f>IFERROR(__xludf.DUMMYFUNCTION("IFERROR(IF('Final Report'!A1892="""","""", TEXTJOIN(CHAR(10), TRUE, ARRAYFORMULA( ""• ""&amp; FILTER( TRIM(FLATTEN(SPLIT( REGEXREPLACE( SUBSTITUTE(TEXTJOIN("","", TRUE, IFERROR(ARRAYFORMULA(VLOOKUP(TRIM(SPLIT('Final Report'!A1892, "","")), 'URL Details'!A:D, "&amp;"4, FALSE)),"""") ), CHAR(10), "",""), ""\s*,\s*"", "",""), "",""))), TRIM(FLATTEN(SPLIT( REGEXREPLACE( SUBSTITUTE(TEXTJOIN("","", TRUE, IFERROR(ARRAYFORMULA(VLOOKUP(TRIM(SPLIT('Final Report'!A1892, "","")), 'URL Details'!A:D, 4, FALSE)),"""") ), CHAR(10),"&amp;" "",""), ""\s*,\s*"", "",""), "","")))&lt;&gt;"""" ) ) ) ),"""")
"),"")</f>
        <v/>
      </c>
      <c r="D1892" s="105"/>
      <c r="E1892" s="105"/>
      <c r="F1892" s="110" t="b">
        <v>0</v>
      </c>
      <c r="G1892" s="105" t="str">
        <f>IF(F1892=True, IFERROR(VLOOKUP(D1892, Repository!A:B, 2, 0), ""), "")</f>
        <v/>
      </c>
      <c r="H1892" s="105"/>
      <c r="I1892" s="105"/>
      <c r="J1892" s="105" t="str">
        <f>IF(F1892=True, IFERROR(VLOOKUP(D1892, Repository!A:C, 3, 0), ""), "")</f>
        <v/>
      </c>
      <c r="K1892" s="105"/>
      <c r="L1892" s="105" t="str">
        <f>IF(F1892=True, IFERROR(VLOOKUP(D1892, Repository!A:E, 5, 0), ""), "")</f>
        <v/>
      </c>
      <c r="M1892" s="105"/>
      <c r="N1892" s="105" t="str">
        <f>IF(F1892=True, IFERROR(VLOOKUP(D1892, Repository!A:G, 7, 0), ""), "")</f>
        <v/>
      </c>
      <c r="O1892" s="105" t="str">
        <f>IFERROR(__xludf.DUMMYFUNCTION("ARRAY_CONSTRAIN(
  ARRAYFORMULA(
    IFERROR(
      LET(
        list, N1892,
        arr, TRIM(SPLIT(list, "","")),
        names, XLOOKUP(
          arr,
          'Conformance Score'!A:A,
          'Conformance Score'!B:B,
          ""Not found""
     "&amp;"   ),
        TEXTJOIN("", "", TRUE, names)
      ),
      """"
    )
  ),
  1,
  1
)
"),"")</f>
        <v/>
      </c>
      <c r="P1892" s="105" t="str">
        <f>IF(F1892="Yes", IFERROR(VLOOKUP(D1892, Repository!A:F, 6, 0), ""), "")</f>
        <v/>
      </c>
      <c r="Q1892" s="105" t="str">
        <f>IF(F1892="Yes", IFERROR(VLOOKUP(D1892, Repository!A:I, 8, 0), ""), "")</f>
        <v/>
      </c>
      <c r="R1892" s="105" t="str">
        <f>IF(F1892="Yes", IFERROR(VLOOKUP(D1892, Repository!A:J, 9, 0), ""), "")</f>
        <v/>
      </c>
      <c r="S1892" s="105"/>
      <c r="T1892" s="105"/>
      <c r="U1892" s="105"/>
      <c r="V1892" s="105"/>
      <c r="W1892" s="105"/>
      <c r="X1892" s="105"/>
      <c r="Y1892" s="105"/>
      <c r="Z1892" s="105"/>
      <c r="AA1892" s="105"/>
      <c r="AB1892" s="105"/>
      <c r="AC1892" s="91"/>
      <c r="AD1892" s="105"/>
      <c r="AE1892" s="105"/>
      <c r="AF1892" s="91"/>
      <c r="AG1892" s="105"/>
      <c r="AH1892" s="105"/>
      <c r="AI1892" s="105" t="str">
        <f t="shared" si="1"/>
        <v/>
      </c>
      <c r="AJ1892" s="108" t="str">
        <f t="shared" si="2"/>
        <v/>
      </c>
    </row>
    <row r="1893" ht="15.75" customHeight="1">
      <c r="A1893" s="104"/>
      <c r="B1893" s="105" t="str">
        <f>IFERROR(__xludf.DUMMYFUNCTION("ARRAY_CONSTRAIN(
  ARRAYFORMULA(
    IF(
      'Final Report'!A1893="""",
      """",
      TEXTJOIN(
        "", "" &amp; CHAR(10),
        TRUE,
        IFERROR(
          VLOOKUP(
            TRIM(
              SPLIT('Final Report'!A1893, "","")
         "&amp;"   ),
            'URL Details'!A:B,
            2,
            FALSE
          ),
          """"
        )
      )
    )
  ),
  1,
  1
)
"),"")</f>
        <v/>
      </c>
      <c r="C1893" s="105" t="str">
        <f>IFERROR(__xludf.DUMMYFUNCTION("IFERROR(IF('Final Report'!A1893="""","""", TEXTJOIN(CHAR(10), TRUE, ARRAYFORMULA( ""• ""&amp; FILTER( TRIM(FLATTEN(SPLIT( REGEXREPLACE( SUBSTITUTE(TEXTJOIN("","", TRUE, IFERROR(ARRAYFORMULA(VLOOKUP(TRIM(SPLIT('Final Report'!A1893, "","")), 'URL Details'!A:D, "&amp;"4, FALSE)),"""") ), CHAR(10), "",""), ""\s*,\s*"", "",""), "",""))), TRIM(FLATTEN(SPLIT( REGEXREPLACE( SUBSTITUTE(TEXTJOIN("","", TRUE, IFERROR(ARRAYFORMULA(VLOOKUP(TRIM(SPLIT('Final Report'!A1893, "","")), 'URL Details'!A:D, 4, FALSE)),"""") ), CHAR(10),"&amp;" "",""), ""\s*,\s*"", "",""), "","")))&lt;&gt;"""" ) ) ) ),"""")
"),"")</f>
        <v/>
      </c>
      <c r="D1893" s="105"/>
      <c r="E1893" s="105"/>
      <c r="F1893" s="110" t="b">
        <v>0</v>
      </c>
      <c r="G1893" s="105" t="str">
        <f>IF(F1893=True, IFERROR(VLOOKUP(D1893, Repository!A:B, 2, 0), ""), "")</f>
        <v/>
      </c>
      <c r="H1893" s="105"/>
      <c r="I1893" s="105"/>
      <c r="J1893" s="105" t="str">
        <f>IF(F1893=True, IFERROR(VLOOKUP(D1893, Repository!A:C, 3, 0), ""), "")</f>
        <v/>
      </c>
      <c r="K1893" s="105"/>
      <c r="L1893" s="105" t="str">
        <f>IF(F1893=True, IFERROR(VLOOKUP(D1893, Repository!A:E, 5, 0), ""), "")</f>
        <v/>
      </c>
      <c r="M1893" s="105"/>
      <c r="N1893" s="105" t="str">
        <f>IF(F1893=True, IFERROR(VLOOKUP(D1893, Repository!A:G, 7, 0), ""), "")</f>
        <v/>
      </c>
      <c r="O1893" s="105" t="str">
        <f>IFERROR(__xludf.DUMMYFUNCTION("ARRAY_CONSTRAIN(
  ARRAYFORMULA(
    IFERROR(
      LET(
        list, N1893,
        arr, TRIM(SPLIT(list, "","")),
        names, XLOOKUP(
          arr,
          'Conformance Score'!A:A,
          'Conformance Score'!B:B,
          ""Not found""
     "&amp;"   ),
        TEXTJOIN("", "", TRUE, names)
      ),
      """"
    )
  ),
  1,
  1
)
"),"")</f>
        <v/>
      </c>
      <c r="P1893" s="105" t="str">
        <f>IF(F1893="Yes", IFERROR(VLOOKUP(D1893, Repository!A:F, 6, 0), ""), "")</f>
        <v/>
      </c>
      <c r="Q1893" s="105" t="str">
        <f>IF(F1893="Yes", IFERROR(VLOOKUP(D1893, Repository!A:I, 8, 0), ""), "")</f>
        <v/>
      </c>
      <c r="R1893" s="105" t="str">
        <f>IF(F1893="Yes", IFERROR(VLOOKUP(D1893, Repository!A:J, 9, 0), ""), "")</f>
        <v/>
      </c>
      <c r="S1893" s="105"/>
      <c r="T1893" s="105"/>
      <c r="U1893" s="105"/>
      <c r="V1893" s="105"/>
      <c r="W1893" s="105"/>
      <c r="X1893" s="105"/>
      <c r="Y1893" s="105"/>
      <c r="Z1893" s="105"/>
      <c r="AA1893" s="105"/>
      <c r="AB1893" s="105"/>
      <c r="AC1893" s="91"/>
      <c r="AD1893" s="105"/>
      <c r="AE1893" s="105"/>
      <c r="AF1893" s="91"/>
      <c r="AG1893" s="105"/>
      <c r="AH1893" s="105"/>
      <c r="AI1893" s="105" t="str">
        <f t="shared" si="1"/>
        <v/>
      </c>
      <c r="AJ1893" s="108" t="str">
        <f t="shared" si="2"/>
        <v/>
      </c>
    </row>
    <row r="1894" ht="15.75" customHeight="1">
      <c r="A1894" s="104"/>
      <c r="B1894" s="105" t="str">
        <f>IFERROR(__xludf.DUMMYFUNCTION("ARRAY_CONSTRAIN(
  ARRAYFORMULA(
    IF(
      'Final Report'!A1894="""",
      """",
      TEXTJOIN(
        "", "" &amp; CHAR(10),
        TRUE,
        IFERROR(
          VLOOKUP(
            TRIM(
              SPLIT('Final Report'!A1894, "","")
         "&amp;"   ),
            'URL Details'!A:B,
            2,
            FALSE
          ),
          """"
        )
      )
    )
  ),
  1,
  1
)
"),"")</f>
        <v/>
      </c>
      <c r="C1894" s="105" t="str">
        <f>IFERROR(__xludf.DUMMYFUNCTION("IFERROR(IF('Final Report'!A1894="""","""", TEXTJOIN(CHAR(10), TRUE, ARRAYFORMULA( ""• ""&amp; FILTER( TRIM(FLATTEN(SPLIT( REGEXREPLACE( SUBSTITUTE(TEXTJOIN("","", TRUE, IFERROR(ARRAYFORMULA(VLOOKUP(TRIM(SPLIT('Final Report'!A1894, "","")), 'URL Details'!A:D, "&amp;"4, FALSE)),"""") ), CHAR(10), "",""), ""\s*,\s*"", "",""), "",""))), TRIM(FLATTEN(SPLIT( REGEXREPLACE( SUBSTITUTE(TEXTJOIN("","", TRUE, IFERROR(ARRAYFORMULA(VLOOKUP(TRIM(SPLIT('Final Report'!A1894, "","")), 'URL Details'!A:D, 4, FALSE)),"""") ), CHAR(10),"&amp;" "",""), ""\s*,\s*"", "",""), "","")))&lt;&gt;"""" ) ) ) ),"""")
"),"")</f>
        <v/>
      </c>
      <c r="D1894" s="105"/>
      <c r="E1894" s="105"/>
      <c r="F1894" s="110" t="b">
        <v>0</v>
      </c>
      <c r="G1894" s="105" t="str">
        <f>IF(F1894=True, IFERROR(VLOOKUP(D1894, Repository!A:B, 2, 0), ""), "")</f>
        <v/>
      </c>
      <c r="H1894" s="105"/>
      <c r="I1894" s="105"/>
      <c r="J1894" s="105" t="str">
        <f>IF(F1894=True, IFERROR(VLOOKUP(D1894, Repository!A:C, 3, 0), ""), "")</f>
        <v/>
      </c>
      <c r="K1894" s="105"/>
      <c r="L1894" s="105" t="str">
        <f>IF(F1894=True, IFERROR(VLOOKUP(D1894, Repository!A:E, 5, 0), ""), "")</f>
        <v/>
      </c>
      <c r="M1894" s="105"/>
      <c r="N1894" s="105" t="str">
        <f>IF(F1894=True, IFERROR(VLOOKUP(D1894, Repository!A:G, 7, 0), ""), "")</f>
        <v/>
      </c>
      <c r="O1894" s="105" t="str">
        <f>IFERROR(__xludf.DUMMYFUNCTION("ARRAY_CONSTRAIN(
  ARRAYFORMULA(
    IFERROR(
      LET(
        list, N1894,
        arr, TRIM(SPLIT(list, "","")),
        names, XLOOKUP(
          arr,
          'Conformance Score'!A:A,
          'Conformance Score'!B:B,
          ""Not found""
     "&amp;"   ),
        TEXTJOIN("", "", TRUE, names)
      ),
      """"
    )
  ),
  1,
  1
)
"),"")</f>
        <v/>
      </c>
      <c r="P1894" s="105" t="str">
        <f>IF(F1894="Yes", IFERROR(VLOOKUP(D1894, Repository!A:F, 6, 0), ""), "")</f>
        <v/>
      </c>
      <c r="Q1894" s="105" t="str">
        <f>IF(F1894="Yes", IFERROR(VLOOKUP(D1894, Repository!A:I, 8, 0), ""), "")</f>
        <v/>
      </c>
      <c r="R1894" s="105" t="str">
        <f>IF(F1894="Yes", IFERROR(VLOOKUP(D1894, Repository!A:J, 9, 0), ""), "")</f>
        <v/>
      </c>
      <c r="S1894" s="105"/>
      <c r="T1894" s="105"/>
      <c r="U1894" s="105"/>
      <c r="V1894" s="105"/>
      <c r="W1894" s="105"/>
      <c r="X1894" s="105"/>
      <c r="Y1894" s="105"/>
      <c r="Z1894" s="105"/>
      <c r="AA1894" s="105"/>
      <c r="AB1894" s="105"/>
      <c r="AC1894" s="91"/>
      <c r="AD1894" s="105"/>
      <c r="AE1894" s="105"/>
      <c r="AF1894" s="91"/>
      <c r="AG1894" s="105"/>
      <c r="AH1894" s="105"/>
      <c r="AI1894" s="105" t="str">
        <f t="shared" si="1"/>
        <v/>
      </c>
      <c r="AJ1894" s="108" t="str">
        <f t="shared" si="2"/>
        <v/>
      </c>
    </row>
    <row r="1895" ht="15.75" customHeight="1">
      <c r="A1895" s="104"/>
      <c r="B1895" s="105" t="str">
        <f>IFERROR(__xludf.DUMMYFUNCTION("ARRAY_CONSTRAIN(
  ARRAYFORMULA(
    IF(
      'Final Report'!A1895="""",
      """",
      TEXTJOIN(
        "", "" &amp; CHAR(10),
        TRUE,
        IFERROR(
          VLOOKUP(
            TRIM(
              SPLIT('Final Report'!A1895, "","")
         "&amp;"   ),
            'URL Details'!A:B,
            2,
            FALSE
          ),
          """"
        )
      )
    )
  ),
  1,
  1
)
"),"")</f>
        <v/>
      </c>
      <c r="C1895" s="105" t="str">
        <f>IFERROR(__xludf.DUMMYFUNCTION("IFERROR(IF('Final Report'!A1895="""","""", TEXTJOIN(CHAR(10), TRUE, ARRAYFORMULA( ""• ""&amp; FILTER( TRIM(FLATTEN(SPLIT( REGEXREPLACE( SUBSTITUTE(TEXTJOIN("","", TRUE, IFERROR(ARRAYFORMULA(VLOOKUP(TRIM(SPLIT('Final Report'!A1895, "","")), 'URL Details'!A:D, "&amp;"4, FALSE)),"""") ), CHAR(10), "",""), ""\s*,\s*"", "",""), "",""))), TRIM(FLATTEN(SPLIT( REGEXREPLACE( SUBSTITUTE(TEXTJOIN("","", TRUE, IFERROR(ARRAYFORMULA(VLOOKUP(TRIM(SPLIT('Final Report'!A1895, "","")), 'URL Details'!A:D, 4, FALSE)),"""") ), CHAR(10),"&amp;" "",""), ""\s*,\s*"", "",""), "","")))&lt;&gt;"""" ) ) ) ),"""")
"),"")</f>
        <v/>
      </c>
      <c r="D1895" s="105"/>
      <c r="E1895" s="105"/>
      <c r="F1895" s="110" t="b">
        <v>0</v>
      </c>
      <c r="G1895" s="105" t="str">
        <f>IF(F1895=True, IFERROR(VLOOKUP(D1895, Repository!A:B, 2, 0), ""), "")</f>
        <v/>
      </c>
      <c r="H1895" s="105"/>
      <c r="I1895" s="105"/>
      <c r="J1895" s="105" t="str">
        <f>IF(F1895=True, IFERROR(VLOOKUP(D1895, Repository!A:C, 3, 0), ""), "")</f>
        <v/>
      </c>
      <c r="K1895" s="105"/>
      <c r="L1895" s="105" t="str">
        <f>IF(F1895=True, IFERROR(VLOOKUP(D1895, Repository!A:E, 5, 0), ""), "")</f>
        <v/>
      </c>
      <c r="M1895" s="105"/>
      <c r="N1895" s="105" t="str">
        <f>IF(F1895=True, IFERROR(VLOOKUP(D1895, Repository!A:G, 7, 0), ""), "")</f>
        <v/>
      </c>
      <c r="O1895" s="105" t="str">
        <f>IFERROR(__xludf.DUMMYFUNCTION("ARRAY_CONSTRAIN(
  ARRAYFORMULA(
    IFERROR(
      LET(
        list, N1895,
        arr, TRIM(SPLIT(list, "","")),
        names, XLOOKUP(
          arr,
          'Conformance Score'!A:A,
          'Conformance Score'!B:B,
          ""Not found""
     "&amp;"   ),
        TEXTJOIN("", "", TRUE, names)
      ),
      """"
    )
  ),
  1,
  1
)
"),"")</f>
        <v/>
      </c>
      <c r="P1895" s="105" t="str">
        <f>IF(F1895="Yes", IFERROR(VLOOKUP(D1895, Repository!A:F, 6, 0), ""), "")</f>
        <v/>
      </c>
      <c r="Q1895" s="105" t="str">
        <f>IF(F1895="Yes", IFERROR(VLOOKUP(D1895, Repository!A:I, 8, 0), ""), "")</f>
        <v/>
      </c>
      <c r="R1895" s="105" t="str">
        <f>IF(F1895="Yes", IFERROR(VLOOKUP(D1895, Repository!A:J, 9, 0), ""), "")</f>
        <v/>
      </c>
      <c r="S1895" s="105"/>
      <c r="T1895" s="105"/>
      <c r="U1895" s="105"/>
      <c r="V1895" s="105"/>
      <c r="W1895" s="105"/>
      <c r="X1895" s="105"/>
      <c r="Y1895" s="105"/>
      <c r="Z1895" s="105"/>
      <c r="AA1895" s="105"/>
      <c r="AB1895" s="105"/>
      <c r="AC1895" s="91"/>
      <c r="AD1895" s="105"/>
      <c r="AE1895" s="105"/>
      <c r="AF1895" s="91"/>
      <c r="AG1895" s="105"/>
      <c r="AH1895" s="105"/>
      <c r="AI1895" s="105" t="str">
        <f t="shared" si="1"/>
        <v/>
      </c>
      <c r="AJ1895" s="108" t="str">
        <f t="shared" si="2"/>
        <v/>
      </c>
    </row>
    <row r="1896" ht="15.75" customHeight="1">
      <c r="A1896" s="104"/>
      <c r="B1896" s="105" t="str">
        <f>IFERROR(__xludf.DUMMYFUNCTION("ARRAY_CONSTRAIN(
  ARRAYFORMULA(
    IF(
      'Final Report'!A1896="""",
      """",
      TEXTJOIN(
        "", "" &amp; CHAR(10),
        TRUE,
        IFERROR(
          VLOOKUP(
            TRIM(
              SPLIT('Final Report'!A1896, "","")
         "&amp;"   ),
            'URL Details'!A:B,
            2,
            FALSE
          ),
          """"
        )
      )
    )
  ),
  1,
  1
)
"),"")</f>
        <v/>
      </c>
      <c r="C1896" s="105" t="str">
        <f>IFERROR(__xludf.DUMMYFUNCTION("IFERROR(IF('Final Report'!A1896="""","""", TEXTJOIN(CHAR(10), TRUE, ARRAYFORMULA( ""• ""&amp; FILTER( TRIM(FLATTEN(SPLIT( REGEXREPLACE( SUBSTITUTE(TEXTJOIN("","", TRUE, IFERROR(ARRAYFORMULA(VLOOKUP(TRIM(SPLIT('Final Report'!A1896, "","")), 'URL Details'!A:D, "&amp;"4, FALSE)),"""") ), CHAR(10), "",""), ""\s*,\s*"", "",""), "",""))), TRIM(FLATTEN(SPLIT( REGEXREPLACE( SUBSTITUTE(TEXTJOIN("","", TRUE, IFERROR(ARRAYFORMULA(VLOOKUP(TRIM(SPLIT('Final Report'!A1896, "","")), 'URL Details'!A:D, 4, FALSE)),"""") ), CHAR(10),"&amp;" "",""), ""\s*,\s*"", "",""), "","")))&lt;&gt;"""" ) ) ) ),"""")
"),"")</f>
        <v/>
      </c>
      <c r="D1896" s="105"/>
      <c r="E1896" s="105"/>
      <c r="F1896" s="110" t="b">
        <v>0</v>
      </c>
      <c r="G1896" s="105" t="str">
        <f>IF(F1896=True, IFERROR(VLOOKUP(D1896, Repository!A:B, 2, 0), ""), "")</f>
        <v/>
      </c>
      <c r="H1896" s="105"/>
      <c r="I1896" s="105"/>
      <c r="J1896" s="105" t="str">
        <f>IF(F1896=True, IFERROR(VLOOKUP(D1896, Repository!A:C, 3, 0), ""), "")</f>
        <v/>
      </c>
      <c r="K1896" s="105"/>
      <c r="L1896" s="105" t="str">
        <f>IF(F1896=True, IFERROR(VLOOKUP(D1896, Repository!A:E, 5, 0), ""), "")</f>
        <v/>
      </c>
      <c r="M1896" s="105"/>
      <c r="N1896" s="105" t="str">
        <f>IF(F1896=True, IFERROR(VLOOKUP(D1896, Repository!A:G, 7, 0), ""), "")</f>
        <v/>
      </c>
      <c r="O1896" s="105" t="str">
        <f>IFERROR(__xludf.DUMMYFUNCTION("ARRAY_CONSTRAIN(
  ARRAYFORMULA(
    IFERROR(
      LET(
        list, N1896,
        arr, TRIM(SPLIT(list, "","")),
        names, XLOOKUP(
          arr,
          'Conformance Score'!A:A,
          'Conformance Score'!B:B,
          ""Not found""
     "&amp;"   ),
        TEXTJOIN("", "", TRUE, names)
      ),
      """"
    )
  ),
  1,
  1
)
"),"")</f>
        <v/>
      </c>
      <c r="P1896" s="105" t="str">
        <f>IF(F1896="Yes", IFERROR(VLOOKUP(D1896, Repository!A:F, 6, 0), ""), "")</f>
        <v/>
      </c>
      <c r="Q1896" s="105" t="str">
        <f>IF(F1896="Yes", IFERROR(VLOOKUP(D1896, Repository!A:I, 8, 0), ""), "")</f>
        <v/>
      </c>
      <c r="R1896" s="105" t="str">
        <f>IF(F1896="Yes", IFERROR(VLOOKUP(D1896, Repository!A:J, 9, 0), ""), "")</f>
        <v/>
      </c>
      <c r="S1896" s="105"/>
      <c r="T1896" s="105"/>
      <c r="U1896" s="105"/>
      <c r="V1896" s="105"/>
      <c r="W1896" s="105"/>
      <c r="X1896" s="105"/>
      <c r="Y1896" s="105"/>
      <c r="Z1896" s="105"/>
      <c r="AA1896" s="105"/>
      <c r="AB1896" s="105"/>
      <c r="AC1896" s="91"/>
      <c r="AD1896" s="105"/>
      <c r="AE1896" s="105"/>
      <c r="AF1896" s="91"/>
      <c r="AG1896" s="105"/>
      <c r="AH1896" s="105"/>
      <c r="AI1896" s="105" t="str">
        <f t="shared" si="1"/>
        <v/>
      </c>
      <c r="AJ1896" s="108" t="str">
        <f t="shared" si="2"/>
        <v/>
      </c>
    </row>
    <row r="1897" ht="15.75" customHeight="1">
      <c r="A1897" s="104"/>
      <c r="B1897" s="105" t="str">
        <f>IFERROR(__xludf.DUMMYFUNCTION("ARRAY_CONSTRAIN(
  ARRAYFORMULA(
    IF(
      'Final Report'!A1897="""",
      """",
      TEXTJOIN(
        "", "" &amp; CHAR(10),
        TRUE,
        IFERROR(
          VLOOKUP(
            TRIM(
              SPLIT('Final Report'!A1897, "","")
         "&amp;"   ),
            'URL Details'!A:B,
            2,
            FALSE
          ),
          """"
        )
      )
    )
  ),
  1,
  1
)
"),"")</f>
        <v/>
      </c>
      <c r="C1897" s="105" t="str">
        <f>IFERROR(__xludf.DUMMYFUNCTION("IFERROR(IF('Final Report'!A1897="""","""", TEXTJOIN(CHAR(10), TRUE, ARRAYFORMULA( ""• ""&amp; FILTER( TRIM(FLATTEN(SPLIT( REGEXREPLACE( SUBSTITUTE(TEXTJOIN("","", TRUE, IFERROR(ARRAYFORMULA(VLOOKUP(TRIM(SPLIT('Final Report'!A1897, "","")), 'URL Details'!A:D, "&amp;"4, FALSE)),"""") ), CHAR(10), "",""), ""\s*,\s*"", "",""), "",""))), TRIM(FLATTEN(SPLIT( REGEXREPLACE( SUBSTITUTE(TEXTJOIN("","", TRUE, IFERROR(ARRAYFORMULA(VLOOKUP(TRIM(SPLIT('Final Report'!A1897, "","")), 'URL Details'!A:D, 4, FALSE)),"""") ), CHAR(10),"&amp;" "",""), ""\s*,\s*"", "",""), "","")))&lt;&gt;"""" ) ) ) ),"""")
"),"")</f>
        <v/>
      </c>
      <c r="D1897" s="105"/>
      <c r="E1897" s="105"/>
      <c r="F1897" s="110" t="b">
        <v>0</v>
      </c>
      <c r="G1897" s="105" t="str">
        <f>IF(F1897=True, IFERROR(VLOOKUP(D1897, Repository!A:B, 2, 0), ""), "")</f>
        <v/>
      </c>
      <c r="H1897" s="105"/>
      <c r="I1897" s="105"/>
      <c r="J1897" s="105" t="str">
        <f>IF(F1897=True, IFERROR(VLOOKUP(D1897, Repository!A:C, 3, 0), ""), "")</f>
        <v/>
      </c>
      <c r="K1897" s="105"/>
      <c r="L1897" s="105" t="str">
        <f>IF(F1897=True, IFERROR(VLOOKUP(D1897, Repository!A:E, 5, 0), ""), "")</f>
        <v/>
      </c>
      <c r="M1897" s="105"/>
      <c r="N1897" s="105" t="str">
        <f>IF(F1897=True, IFERROR(VLOOKUP(D1897, Repository!A:G, 7, 0), ""), "")</f>
        <v/>
      </c>
      <c r="O1897" s="105" t="str">
        <f>IFERROR(__xludf.DUMMYFUNCTION("ARRAY_CONSTRAIN(
  ARRAYFORMULA(
    IFERROR(
      LET(
        list, N1897,
        arr, TRIM(SPLIT(list, "","")),
        names, XLOOKUP(
          arr,
          'Conformance Score'!A:A,
          'Conformance Score'!B:B,
          ""Not found""
     "&amp;"   ),
        TEXTJOIN("", "", TRUE, names)
      ),
      """"
    )
  ),
  1,
  1
)
"),"")</f>
        <v/>
      </c>
      <c r="P1897" s="105" t="str">
        <f>IF(F1897="Yes", IFERROR(VLOOKUP(D1897, Repository!A:F, 6, 0), ""), "")</f>
        <v/>
      </c>
      <c r="Q1897" s="105" t="str">
        <f>IF(F1897="Yes", IFERROR(VLOOKUP(D1897, Repository!A:I, 8, 0), ""), "")</f>
        <v/>
      </c>
      <c r="R1897" s="105" t="str">
        <f>IF(F1897="Yes", IFERROR(VLOOKUP(D1897, Repository!A:J, 9, 0), ""), "")</f>
        <v/>
      </c>
      <c r="S1897" s="105"/>
      <c r="T1897" s="105"/>
      <c r="U1897" s="105"/>
      <c r="V1897" s="105"/>
      <c r="W1897" s="105"/>
      <c r="X1897" s="105"/>
      <c r="Y1897" s="105"/>
      <c r="Z1897" s="105"/>
      <c r="AA1897" s="105"/>
      <c r="AB1897" s="105"/>
      <c r="AC1897" s="91"/>
      <c r="AD1897" s="105"/>
      <c r="AE1897" s="105"/>
      <c r="AF1897" s="91"/>
      <c r="AG1897" s="105"/>
      <c r="AH1897" s="105"/>
      <c r="AI1897" s="105" t="str">
        <f t="shared" si="1"/>
        <v/>
      </c>
      <c r="AJ1897" s="108" t="str">
        <f t="shared" si="2"/>
        <v/>
      </c>
    </row>
    <row r="1898" ht="15.75" customHeight="1">
      <c r="A1898" s="104"/>
      <c r="B1898" s="105" t="str">
        <f>IFERROR(__xludf.DUMMYFUNCTION("ARRAY_CONSTRAIN(
  ARRAYFORMULA(
    IF(
      'Final Report'!A1898="""",
      """",
      TEXTJOIN(
        "", "" &amp; CHAR(10),
        TRUE,
        IFERROR(
          VLOOKUP(
            TRIM(
              SPLIT('Final Report'!A1898, "","")
         "&amp;"   ),
            'URL Details'!A:B,
            2,
            FALSE
          ),
          """"
        )
      )
    )
  ),
  1,
  1
)
"),"")</f>
        <v/>
      </c>
      <c r="C1898" s="105" t="str">
        <f>IFERROR(__xludf.DUMMYFUNCTION("IFERROR(IF('Final Report'!A1898="""","""", TEXTJOIN(CHAR(10), TRUE, ARRAYFORMULA( ""• ""&amp; FILTER( TRIM(FLATTEN(SPLIT( REGEXREPLACE( SUBSTITUTE(TEXTJOIN("","", TRUE, IFERROR(ARRAYFORMULA(VLOOKUP(TRIM(SPLIT('Final Report'!A1898, "","")), 'URL Details'!A:D, "&amp;"4, FALSE)),"""") ), CHAR(10), "",""), ""\s*,\s*"", "",""), "",""))), TRIM(FLATTEN(SPLIT( REGEXREPLACE( SUBSTITUTE(TEXTJOIN("","", TRUE, IFERROR(ARRAYFORMULA(VLOOKUP(TRIM(SPLIT('Final Report'!A1898, "","")), 'URL Details'!A:D, 4, FALSE)),"""") ), CHAR(10),"&amp;" "",""), ""\s*,\s*"", "",""), "","")))&lt;&gt;"""" ) ) ) ),"""")
"),"")</f>
        <v/>
      </c>
      <c r="D1898" s="105"/>
      <c r="E1898" s="105"/>
      <c r="F1898" s="110" t="b">
        <v>0</v>
      </c>
      <c r="G1898" s="105" t="str">
        <f>IF(F1898=True, IFERROR(VLOOKUP(D1898, Repository!A:B, 2, 0), ""), "")</f>
        <v/>
      </c>
      <c r="H1898" s="105"/>
      <c r="I1898" s="105"/>
      <c r="J1898" s="105" t="str">
        <f>IF(F1898=True, IFERROR(VLOOKUP(D1898, Repository!A:C, 3, 0), ""), "")</f>
        <v/>
      </c>
      <c r="K1898" s="105"/>
      <c r="L1898" s="105" t="str">
        <f>IF(F1898=True, IFERROR(VLOOKUP(D1898, Repository!A:E, 5, 0), ""), "")</f>
        <v/>
      </c>
      <c r="M1898" s="105"/>
      <c r="N1898" s="105" t="str">
        <f>IF(F1898=True, IFERROR(VLOOKUP(D1898, Repository!A:G, 7, 0), ""), "")</f>
        <v/>
      </c>
      <c r="O1898" s="105" t="str">
        <f>IFERROR(__xludf.DUMMYFUNCTION("ARRAY_CONSTRAIN(
  ARRAYFORMULA(
    IFERROR(
      LET(
        list, N1898,
        arr, TRIM(SPLIT(list, "","")),
        names, XLOOKUP(
          arr,
          'Conformance Score'!A:A,
          'Conformance Score'!B:B,
          ""Not found""
     "&amp;"   ),
        TEXTJOIN("", "", TRUE, names)
      ),
      """"
    )
  ),
  1,
  1
)
"),"")</f>
        <v/>
      </c>
      <c r="P1898" s="105" t="str">
        <f>IF(F1898="Yes", IFERROR(VLOOKUP(D1898, Repository!A:F, 6, 0), ""), "")</f>
        <v/>
      </c>
      <c r="Q1898" s="105" t="str">
        <f>IF(F1898="Yes", IFERROR(VLOOKUP(D1898, Repository!A:I, 8, 0), ""), "")</f>
        <v/>
      </c>
      <c r="R1898" s="105" t="str">
        <f>IF(F1898="Yes", IFERROR(VLOOKUP(D1898, Repository!A:J, 9, 0), ""), "")</f>
        <v/>
      </c>
      <c r="S1898" s="105"/>
      <c r="T1898" s="105"/>
      <c r="U1898" s="105"/>
      <c r="V1898" s="105"/>
      <c r="W1898" s="105"/>
      <c r="X1898" s="105"/>
      <c r="Y1898" s="105"/>
      <c r="Z1898" s="105"/>
      <c r="AA1898" s="105"/>
      <c r="AB1898" s="105"/>
      <c r="AC1898" s="91"/>
      <c r="AD1898" s="105"/>
      <c r="AE1898" s="105"/>
      <c r="AF1898" s="91"/>
      <c r="AG1898" s="105"/>
      <c r="AH1898" s="105"/>
      <c r="AI1898" s="105" t="str">
        <f t="shared" si="1"/>
        <v/>
      </c>
      <c r="AJ1898" s="108" t="str">
        <f t="shared" si="2"/>
        <v/>
      </c>
    </row>
    <row r="1899" ht="15.75" customHeight="1">
      <c r="A1899" s="104"/>
      <c r="B1899" s="105" t="str">
        <f>IFERROR(__xludf.DUMMYFUNCTION("ARRAY_CONSTRAIN(
  ARRAYFORMULA(
    IF(
      'Final Report'!A1899="""",
      """",
      TEXTJOIN(
        "", "" &amp; CHAR(10),
        TRUE,
        IFERROR(
          VLOOKUP(
            TRIM(
              SPLIT('Final Report'!A1899, "","")
         "&amp;"   ),
            'URL Details'!A:B,
            2,
            FALSE
          ),
          """"
        )
      )
    )
  ),
  1,
  1
)
"),"")</f>
        <v/>
      </c>
      <c r="C1899" s="105" t="str">
        <f>IFERROR(__xludf.DUMMYFUNCTION("IFERROR(IF('Final Report'!A1899="""","""", TEXTJOIN(CHAR(10), TRUE, ARRAYFORMULA( ""• ""&amp; FILTER( TRIM(FLATTEN(SPLIT( REGEXREPLACE( SUBSTITUTE(TEXTJOIN("","", TRUE, IFERROR(ARRAYFORMULA(VLOOKUP(TRIM(SPLIT('Final Report'!A1899, "","")), 'URL Details'!A:D, "&amp;"4, FALSE)),"""") ), CHAR(10), "",""), ""\s*,\s*"", "",""), "",""))), TRIM(FLATTEN(SPLIT( REGEXREPLACE( SUBSTITUTE(TEXTJOIN("","", TRUE, IFERROR(ARRAYFORMULA(VLOOKUP(TRIM(SPLIT('Final Report'!A1899, "","")), 'URL Details'!A:D, 4, FALSE)),"""") ), CHAR(10),"&amp;" "",""), ""\s*,\s*"", "",""), "","")))&lt;&gt;"""" ) ) ) ),"""")
"),"")</f>
        <v/>
      </c>
      <c r="D1899" s="105"/>
      <c r="E1899" s="105"/>
      <c r="F1899" s="110" t="b">
        <v>0</v>
      </c>
      <c r="G1899" s="105" t="str">
        <f>IF(F1899=True, IFERROR(VLOOKUP(D1899, Repository!A:B, 2, 0), ""), "")</f>
        <v/>
      </c>
      <c r="H1899" s="105"/>
      <c r="I1899" s="105"/>
      <c r="J1899" s="105" t="str">
        <f>IF(F1899=True, IFERROR(VLOOKUP(D1899, Repository!A:C, 3, 0), ""), "")</f>
        <v/>
      </c>
      <c r="K1899" s="105"/>
      <c r="L1899" s="105" t="str">
        <f>IF(F1899=True, IFERROR(VLOOKUP(D1899, Repository!A:E, 5, 0), ""), "")</f>
        <v/>
      </c>
      <c r="M1899" s="105"/>
      <c r="N1899" s="105" t="str">
        <f>IF(F1899=True, IFERROR(VLOOKUP(D1899, Repository!A:G, 7, 0), ""), "")</f>
        <v/>
      </c>
      <c r="O1899" s="105" t="str">
        <f>IFERROR(__xludf.DUMMYFUNCTION("ARRAY_CONSTRAIN(
  ARRAYFORMULA(
    IFERROR(
      LET(
        list, N1899,
        arr, TRIM(SPLIT(list, "","")),
        names, XLOOKUP(
          arr,
          'Conformance Score'!A:A,
          'Conformance Score'!B:B,
          ""Not found""
     "&amp;"   ),
        TEXTJOIN("", "", TRUE, names)
      ),
      """"
    )
  ),
  1,
  1
)
"),"")</f>
        <v/>
      </c>
      <c r="P1899" s="105" t="str">
        <f>IF(F1899="Yes", IFERROR(VLOOKUP(D1899, Repository!A:F, 6, 0), ""), "")</f>
        <v/>
      </c>
      <c r="Q1899" s="105" t="str">
        <f>IF(F1899="Yes", IFERROR(VLOOKUP(D1899, Repository!A:I, 8, 0), ""), "")</f>
        <v/>
      </c>
      <c r="R1899" s="105" t="str">
        <f>IF(F1899="Yes", IFERROR(VLOOKUP(D1899, Repository!A:J, 9, 0), ""), "")</f>
        <v/>
      </c>
      <c r="S1899" s="105"/>
      <c r="T1899" s="105"/>
      <c r="U1899" s="105"/>
      <c r="V1899" s="105"/>
      <c r="W1899" s="105"/>
      <c r="X1899" s="105"/>
      <c r="Y1899" s="105"/>
      <c r="Z1899" s="105"/>
      <c r="AA1899" s="105"/>
      <c r="AB1899" s="105"/>
      <c r="AC1899" s="91"/>
      <c r="AD1899" s="105"/>
      <c r="AE1899" s="105"/>
      <c r="AF1899" s="91"/>
      <c r="AG1899" s="105"/>
      <c r="AH1899" s="105"/>
      <c r="AI1899" s="105" t="str">
        <f t="shared" si="1"/>
        <v/>
      </c>
      <c r="AJ1899" s="108" t="str">
        <f t="shared" si="2"/>
        <v/>
      </c>
    </row>
    <row r="1900" ht="15.75" customHeight="1">
      <c r="A1900" s="104"/>
      <c r="B1900" s="105" t="str">
        <f>IFERROR(__xludf.DUMMYFUNCTION("ARRAY_CONSTRAIN(
  ARRAYFORMULA(
    IF(
      'Final Report'!A1900="""",
      """",
      TEXTJOIN(
        "", "" &amp; CHAR(10),
        TRUE,
        IFERROR(
          VLOOKUP(
            TRIM(
              SPLIT('Final Report'!A1900, "","")
         "&amp;"   ),
            'URL Details'!A:B,
            2,
            FALSE
          ),
          """"
        )
      )
    )
  ),
  1,
  1
)
"),"")</f>
        <v/>
      </c>
      <c r="C1900" s="105" t="str">
        <f>IFERROR(__xludf.DUMMYFUNCTION("IFERROR(IF('Final Report'!A1900="""","""", TEXTJOIN(CHAR(10), TRUE, ARRAYFORMULA( ""• ""&amp; FILTER( TRIM(FLATTEN(SPLIT( REGEXREPLACE( SUBSTITUTE(TEXTJOIN("","", TRUE, IFERROR(ARRAYFORMULA(VLOOKUP(TRIM(SPLIT('Final Report'!A1900, "","")), 'URL Details'!A:D, "&amp;"4, FALSE)),"""") ), CHAR(10), "",""), ""\s*,\s*"", "",""), "",""))), TRIM(FLATTEN(SPLIT( REGEXREPLACE( SUBSTITUTE(TEXTJOIN("","", TRUE, IFERROR(ARRAYFORMULA(VLOOKUP(TRIM(SPLIT('Final Report'!A1900, "","")), 'URL Details'!A:D, 4, FALSE)),"""") ), CHAR(10),"&amp;" "",""), ""\s*,\s*"", "",""), "","")))&lt;&gt;"""" ) ) ) ),"""")
"),"")</f>
        <v/>
      </c>
      <c r="D1900" s="105"/>
      <c r="E1900" s="105"/>
      <c r="F1900" s="110" t="b">
        <v>0</v>
      </c>
      <c r="G1900" s="105" t="str">
        <f>IF(F1900=True, IFERROR(VLOOKUP(D1900, Repository!A:B, 2, 0), ""), "")</f>
        <v/>
      </c>
      <c r="H1900" s="105"/>
      <c r="I1900" s="105"/>
      <c r="J1900" s="105" t="str">
        <f>IF(F1900=True, IFERROR(VLOOKUP(D1900, Repository!A:C, 3, 0), ""), "")</f>
        <v/>
      </c>
      <c r="K1900" s="105"/>
      <c r="L1900" s="105" t="str">
        <f>IF(F1900=True, IFERROR(VLOOKUP(D1900, Repository!A:E, 5, 0), ""), "")</f>
        <v/>
      </c>
      <c r="M1900" s="105"/>
      <c r="N1900" s="105" t="str">
        <f>IF(F1900=True, IFERROR(VLOOKUP(D1900, Repository!A:G, 7, 0), ""), "")</f>
        <v/>
      </c>
      <c r="O1900" s="105" t="str">
        <f>IFERROR(__xludf.DUMMYFUNCTION("ARRAY_CONSTRAIN(
  ARRAYFORMULA(
    IFERROR(
      LET(
        list, N1900,
        arr, TRIM(SPLIT(list, "","")),
        names, XLOOKUP(
          arr,
          'Conformance Score'!A:A,
          'Conformance Score'!B:B,
          ""Not found""
     "&amp;"   ),
        TEXTJOIN("", "", TRUE, names)
      ),
      """"
    )
  ),
  1,
  1
)
"),"")</f>
        <v/>
      </c>
      <c r="P1900" s="105" t="str">
        <f>IF(F1900="Yes", IFERROR(VLOOKUP(D1900, Repository!A:F, 6, 0), ""), "")</f>
        <v/>
      </c>
      <c r="Q1900" s="105" t="str">
        <f>IF(F1900="Yes", IFERROR(VLOOKUP(D1900, Repository!A:I, 8, 0), ""), "")</f>
        <v/>
      </c>
      <c r="R1900" s="105" t="str">
        <f>IF(F1900="Yes", IFERROR(VLOOKUP(D1900, Repository!A:J, 9, 0), ""), "")</f>
        <v/>
      </c>
      <c r="S1900" s="105"/>
      <c r="T1900" s="105"/>
      <c r="U1900" s="105"/>
      <c r="V1900" s="105"/>
      <c r="W1900" s="105"/>
      <c r="X1900" s="105"/>
      <c r="Y1900" s="105"/>
      <c r="Z1900" s="105"/>
      <c r="AA1900" s="105"/>
      <c r="AB1900" s="105"/>
      <c r="AC1900" s="91"/>
      <c r="AD1900" s="105"/>
      <c r="AE1900" s="105"/>
      <c r="AF1900" s="91"/>
      <c r="AG1900" s="105"/>
      <c r="AH1900" s="105"/>
      <c r="AI1900" s="105" t="str">
        <f t="shared" si="1"/>
        <v/>
      </c>
      <c r="AJ1900" s="108" t="str">
        <f t="shared" si="2"/>
        <v/>
      </c>
    </row>
    <row r="1901" ht="15.75" customHeight="1">
      <c r="A1901" s="104"/>
      <c r="B1901" s="105" t="str">
        <f>IFERROR(__xludf.DUMMYFUNCTION("ARRAY_CONSTRAIN(
  ARRAYFORMULA(
    IF(
      'Final Report'!A1901="""",
      """",
      TEXTJOIN(
        "", "" &amp; CHAR(10),
        TRUE,
        IFERROR(
          VLOOKUP(
            TRIM(
              SPLIT('Final Report'!A1901, "","")
         "&amp;"   ),
            'URL Details'!A:B,
            2,
            FALSE
          ),
          """"
        )
      )
    )
  ),
  1,
  1
)
"),"")</f>
        <v/>
      </c>
      <c r="C1901" s="105" t="str">
        <f>IFERROR(__xludf.DUMMYFUNCTION("IFERROR(IF('Final Report'!A1901="""","""", TEXTJOIN(CHAR(10), TRUE, ARRAYFORMULA( ""• ""&amp; FILTER( TRIM(FLATTEN(SPLIT( REGEXREPLACE( SUBSTITUTE(TEXTJOIN("","", TRUE, IFERROR(ARRAYFORMULA(VLOOKUP(TRIM(SPLIT('Final Report'!A1901, "","")), 'URL Details'!A:D, "&amp;"4, FALSE)),"""") ), CHAR(10), "",""), ""\s*,\s*"", "",""), "",""))), TRIM(FLATTEN(SPLIT( REGEXREPLACE( SUBSTITUTE(TEXTJOIN("","", TRUE, IFERROR(ARRAYFORMULA(VLOOKUP(TRIM(SPLIT('Final Report'!A1901, "","")), 'URL Details'!A:D, 4, FALSE)),"""") ), CHAR(10),"&amp;" "",""), ""\s*,\s*"", "",""), "","")))&lt;&gt;"""" ) ) ) ),"""")
"),"")</f>
        <v/>
      </c>
      <c r="D1901" s="105"/>
      <c r="E1901" s="105"/>
      <c r="F1901" s="110" t="b">
        <v>0</v>
      </c>
      <c r="G1901" s="105" t="str">
        <f>IF(F1901=True, IFERROR(VLOOKUP(D1901, Repository!A:B, 2, 0), ""), "")</f>
        <v/>
      </c>
      <c r="H1901" s="105"/>
      <c r="I1901" s="105"/>
      <c r="J1901" s="105" t="str">
        <f>IF(F1901=True, IFERROR(VLOOKUP(D1901, Repository!A:C, 3, 0), ""), "")</f>
        <v/>
      </c>
      <c r="K1901" s="105"/>
      <c r="L1901" s="105" t="str">
        <f>IF(F1901=True, IFERROR(VLOOKUP(D1901, Repository!A:E, 5, 0), ""), "")</f>
        <v/>
      </c>
      <c r="M1901" s="105"/>
      <c r="N1901" s="105" t="str">
        <f>IF(F1901=True, IFERROR(VLOOKUP(D1901, Repository!A:G, 7, 0), ""), "")</f>
        <v/>
      </c>
      <c r="O1901" s="105" t="str">
        <f>IFERROR(__xludf.DUMMYFUNCTION("ARRAY_CONSTRAIN(
  ARRAYFORMULA(
    IFERROR(
      LET(
        list, N1901,
        arr, TRIM(SPLIT(list, "","")),
        names, XLOOKUP(
          arr,
          'Conformance Score'!A:A,
          'Conformance Score'!B:B,
          ""Not found""
     "&amp;"   ),
        TEXTJOIN("", "", TRUE, names)
      ),
      """"
    )
  ),
  1,
  1
)
"),"")</f>
        <v/>
      </c>
      <c r="P1901" s="105" t="str">
        <f>IF(F1901="Yes", IFERROR(VLOOKUP(D1901, Repository!A:F, 6, 0), ""), "")</f>
        <v/>
      </c>
      <c r="Q1901" s="105" t="str">
        <f>IF(F1901="Yes", IFERROR(VLOOKUP(D1901, Repository!A:I, 8, 0), ""), "")</f>
        <v/>
      </c>
      <c r="R1901" s="105" t="str">
        <f>IF(F1901="Yes", IFERROR(VLOOKUP(D1901, Repository!A:J, 9, 0), ""), "")</f>
        <v/>
      </c>
      <c r="S1901" s="105"/>
      <c r="T1901" s="105"/>
      <c r="U1901" s="105"/>
      <c r="V1901" s="105"/>
      <c r="W1901" s="105"/>
      <c r="X1901" s="105"/>
      <c r="Y1901" s="105"/>
      <c r="Z1901" s="105"/>
      <c r="AA1901" s="105"/>
      <c r="AB1901" s="105"/>
      <c r="AC1901" s="91"/>
      <c r="AD1901" s="105"/>
      <c r="AE1901" s="105"/>
      <c r="AF1901" s="91"/>
      <c r="AG1901" s="105"/>
      <c r="AH1901" s="105"/>
      <c r="AI1901" s="105" t="str">
        <f t="shared" si="1"/>
        <v/>
      </c>
      <c r="AJ1901" s="108" t="str">
        <f t="shared" si="2"/>
        <v/>
      </c>
    </row>
    <row r="1902" ht="15.75" customHeight="1">
      <c r="A1902" s="104"/>
      <c r="B1902" s="105" t="str">
        <f>IFERROR(__xludf.DUMMYFUNCTION("ARRAY_CONSTRAIN(
  ARRAYFORMULA(
    IF(
      'Final Report'!A1902="""",
      """",
      TEXTJOIN(
        "", "" &amp; CHAR(10),
        TRUE,
        IFERROR(
          VLOOKUP(
            TRIM(
              SPLIT('Final Report'!A1902, "","")
         "&amp;"   ),
            'URL Details'!A:B,
            2,
            FALSE
          ),
          """"
        )
      )
    )
  ),
  1,
  1
)
"),"")</f>
        <v/>
      </c>
      <c r="C1902" s="105" t="str">
        <f>IFERROR(__xludf.DUMMYFUNCTION("IFERROR(IF('Final Report'!A1902="""","""", TEXTJOIN(CHAR(10), TRUE, ARRAYFORMULA( ""• ""&amp; FILTER( TRIM(FLATTEN(SPLIT( REGEXREPLACE( SUBSTITUTE(TEXTJOIN("","", TRUE, IFERROR(ARRAYFORMULA(VLOOKUP(TRIM(SPLIT('Final Report'!A1902, "","")), 'URL Details'!A:D, "&amp;"4, FALSE)),"""") ), CHAR(10), "",""), ""\s*,\s*"", "",""), "",""))), TRIM(FLATTEN(SPLIT( REGEXREPLACE( SUBSTITUTE(TEXTJOIN("","", TRUE, IFERROR(ARRAYFORMULA(VLOOKUP(TRIM(SPLIT('Final Report'!A1902, "","")), 'URL Details'!A:D, 4, FALSE)),"""") ), CHAR(10),"&amp;" "",""), ""\s*,\s*"", "",""), "","")))&lt;&gt;"""" ) ) ) ),"""")
"),"")</f>
        <v/>
      </c>
      <c r="D1902" s="105"/>
      <c r="E1902" s="105"/>
      <c r="F1902" s="110" t="b">
        <v>0</v>
      </c>
      <c r="G1902" s="105" t="str">
        <f>IF(F1902=True, IFERROR(VLOOKUP(D1902, Repository!A:B, 2, 0), ""), "")</f>
        <v/>
      </c>
      <c r="H1902" s="105"/>
      <c r="I1902" s="105"/>
      <c r="J1902" s="105" t="str">
        <f>IF(F1902=True, IFERROR(VLOOKUP(D1902, Repository!A:C, 3, 0), ""), "")</f>
        <v/>
      </c>
      <c r="K1902" s="105"/>
      <c r="L1902" s="105" t="str">
        <f>IF(F1902=True, IFERROR(VLOOKUP(D1902, Repository!A:E, 5, 0), ""), "")</f>
        <v/>
      </c>
      <c r="M1902" s="105"/>
      <c r="N1902" s="105" t="str">
        <f>IF(F1902=True, IFERROR(VLOOKUP(D1902, Repository!A:G, 7, 0), ""), "")</f>
        <v/>
      </c>
      <c r="O1902" s="105" t="str">
        <f>IFERROR(__xludf.DUMMYFUNCTION("ARRAY_CONSTRAIN(
  ARRAYFORMULA(
    IFERROR(
      LET(
        list, N1902,
        arr, TRIM(SPLIT(list, "","")),
        names, XLOOKUP(
          arr,
          'Conformance Score'!A:A,
          'Conformance Score'!B:B,
          ""Not found""
     "&amp;"   ),
        TEXTJOIN("", "", TRUE, names)
      ),
      """"
    )
  ),
  1,
  1
)
"),"")</f>
        <v/>
      </c>
      <c r="P1902" s="105" t="str">
        <f>IF(F1902="Yes", IFERROR(VLOOKUP(D1902, Repository!A:F, 6, 0), ""), "")</f>
        <v/>
      </c>
      <c r="Q1902" s="105" t="str">
        <f>IF(F1902="Yes", IFERROR(VLOOKUP(D1902, Repository!A:I, 8, 0), ""), "")</f>
        <v/>
      </c>
      <c r="R1902" s="105" t="str">
        <f>IF(F1902="Yes", IFERROR(VLOOKUP(D1902, Repository!A:J, 9, 0), ""), "")</f>
        <v/>
      </c>
      <c r="S1902" s="105"/>
      <c r="T1902" s="105"/>
      <c r="U1902" s="105"/>
      <c r="V1902" s="105"/>
      <c r="W1902" s="105"/>
      <c r="X1902" s="105"/>
      <c r="Y1902" s="105"/>
      <c r="Z1902" s="105"/>
      <c r="AA1902" s="105"/>
      <c r="AB1902" s="105"/>
      <c r="AC1902" s="91"/>
      <c r="AD1902" s="105"/>
      <c r="AE1902" s="105"/>
      <c r="AF1902" s="91"/>
      <c r="AG1902" s="105"/>
      <c r="AH1902" s="105"/>
      <c r="AI1902" s="105" t="str">
        <f t="shared" si="1"/>
        <v/>
      </c>
      <c r="AJ1902" s="108" t="str">
        <f t="shared" si="2"/>
        <v/>
      </c>
    </row>
    <row r="1903" ht="15.75" customHeight="1">
      <c r="A1903" s="104"/>
      <c r="B1903" s="105" t="str">
        <f>IFERROR(__xludf.DUMMYFUNCTION("ARRAY_CONSTRAIN(
  ARRAYFORMULA(
    IF(
      'Final Report'!A1903="""",
      """",
      TEXTJOIN(
        "", "" &amp; CHAR(10),
        TRUE,
        IFERROR(
          VLOOKUP(
            TRIM(
              SPLIT('Final Report'!A1903, "","")
         "&amp;"   ),
            'URL Details'!A:B,
            2,
            FALSE
          ),
          """"
        )
      )
    )
  ),
  1,
  1
)
"),"")</f>
        <v/>
      </c>
      <c r="C1903" s="105" t="str">
        <f>IFERROR(__xludf.DUMMYFUNCTION("IFERROR(IF('Final Report'!A1903="""","""", TEXTJOIN(CHAR(10), TRUE, ARRAYFORMULA( ""• ""&amp; FILTER( TRIM(FLATTEN(SPLIT( REGEXREPLACE( SUBSTITUTE(TEXTJOIN("","", TRUE, IFERROR(ARRAYFORMULA(VLOOKUP(TRIM(SPLIT('Final Report'!A1903, "","")), 'URL Details'!A:D, "&amp;"4, FALSE)),"""") ), CHAR(10), "",""), ""\s*,\s*"", "",""), "",""))), TRIM(FLATTEN(SPLIT( REGEXREPLACE( SUBSTITUTE(TEXTJOIN("","", TRUE, IFERROR(ARRAYFORMULA(VLOOKUP(TRIM(SPLIT('Final Report'!A1903, "","")), 'URL Details'!A:D, 4, FALSE)),"""") ), CHAR(10),"&amp;" "",""), ""\s*,\s*"", "",""), "","")))&lt;&gt;"""" ) ) ) ),"""")
"),"")</f>
        <v/>
      </c>
      <c r="D1903" s="105"/>
      <c r="E1903" s="105"/>
      <c r="F1903" s="110" t="b">
        <v>0</v>
      </c>
      <c r="G1903" s="105" t="str">
        <f>IF(F1903=True, IFERROR(VLOOKUP(D1903, Repository!A:B, 2, 0), ""), "")</f>
        <v/>
      </c>
      <c r="H1903" s="105"/>
      <c r="I1903" s="105"/>
      <c r="J1903" s="105" t="str">
        <f>IF(F1903=True, IFERROR(VLOOKUP(D1903, Repository!A:C, 3, 0), ""), "")</f>
        <v/>
      </c>
      <c r="K1903" s="105"/>
      <c r="L1903" s="105" t="str">
        <f>IF(F1903=True, IFERROR(VLOOKUP(D1903, Repository!A:E, 5, 0), ""), "")</f>
        <v/>
      </c>
      <c r="M1903" s="105"/>
      <c r="N1903" s="105" t="str">
        <f>IF(F1903=True, IFERROR(VLOOKUP(D1903, Repository!A:G, 7, 0), ""), "")</f>
        <v/>
      </c>
      <c r="O1903" s="105" t="str">
        <f>IFERROR(__xludf.DUMMYFUNCTION("ARRAY_CONSTRAIN(
  ARRAYFORMULA(
    IFERROR(
      LET(
        list, N1903,
        arr, TRIM(SPLIT(list, "","")),
        names, XLOOKUP(
          arr,
          'Conformance Score'!A:A,
          'Conformance Score'!B:B,
          ""Not found""
     "&amp;"   ),
        TEXTJOIN("", "", TRUE, names)
      ),
      """"
    )
  ),
  1,
  1
)
"),"")</f>
        <v/>
      </c>
      <c r="P1903" s="105" t="str">
        <f>IF(F1903="Yes", IFERROR(VLOOKUP(D1903, Repository!A:F, 6, 0), ""), "")</f>
        <v/>
      </c>
      <c r="Q1903" s="105" t="str">
        <f>IF(F1903="Yes", IFERROR(VLOOKUP(D1903, Repository!A:I, 8, 0), ""), "")</f>
        <v/>
      </c>
      <c r="R1903" s="105" t="str">
        <f>IF(F1903="Yes", IFERROR(VLOOKUP(D1903, Repository!A:J, 9, 0), ""), "")</f>
        <v/>
      </c>
      <c r="S1903" s="105"/>
      <c r="T1903" s="105"/>
      <c r="U1903" s="105"/>
      <c r="V1903" s="105"/>
      <c r="W1903" s="105"/>
      <c r="X1903" s="105"/>
      <c r="Y1903" s="105"/>
      <c r="Z1903" s="105"/>
      <c r="AA1903" s="105"/>
      <c r="AB1903" s="105"/>
      <c r="AC1903" s="91"/>
      <c r="AD1903" s="105"/>
      <c r="AE1903" s="105"/>
      <c r="AF1903" s="91"/>
      <c r="AG1903" s="105"/>
      <c r="AH1903" s="105"/>
      <c r="AI1903" s="105" t="str">
        <f t="shared" si="1"/>
        <v/>
      </c>
      <c r="AJ1903" s="108" t="str">
        <f t="shared" si="2"/>
        <v/>
      </c>
    </row>
    <row r="1904" ht="15.75" customHeight="1">
      <c r="A1904" s="104"/>
      <c r="B1904" s="105" t="str">
        <f>IFERROR(__xludf.DUMMYFUNCTION("ARRAY_CONSTRAIN(
  ARRAYFORMULA(
    IF(
      'Final Report'!A1904="""",
      """",
      TEXTJOIN(
        "", "" &amp; CHAR(10),
        TRUE,
        IFERROR(
          VLOOKUP(
            TRIM(
              SPLIT('Final Report'!A1904, "","")
         "&amp;"   ),
            'URL Details'!A:B,
            2,
            FALSE
          ),
          """"
        )
      )
    )
  ),
  1,
  1
)
"),"")</f>
        <v/>
      </c>
      <c r="C1904" s="105" t="str">
        <f>IFERROR(__xludf.DUMMYFUNCTION("IFERROR(IF('Final Report'!A1904="""","""", TEXTJOIN(CHAR(10), TRUE, ARRAYFORMULA( ""• ""&amp; FILTER( TRIM(FLATTEN(SPLIT( REGEXREPLACE( SUBSTITUTE(TEXTJOIN("","", TRUE, IFERROR(ARRAYFORMULA(VLOOKUP(TRIM(SPLIT('Final Report'!A1904, "","")), 'URL Details'!A:D, "&amp;"4, FALSE)),"""") ), CHAR(10), "",""), ""\s*,\s*"", "",""), "",""))), TRIM(FLATTEN(SPLIT( REGEXREPLACE( SUBSTITUTE(TEXTJOIN("","", TRUE, IFERROR(ARRAYFORMULA(VLOOKUP(TRIM(SPLIT('Final Report'!A1904, "","")), 'URL Details'!A:D, 4, FALSE)),"""") ), CHAR(10),"&amp;" "",""), ""\s*,\s*"", "",""), "","")))&lt;&gt;"""" ) ) ) ),"""")
"),"")</f>
        <v/>
      </c>
      <c r="D1904" s="105"/>
      <c r="E1904" s="105"/>
      <c r="F1904" s="110" t="b">
        <v>0</v>
      </c>
      <c r="G1904" s="105" t="str">
        <f>IF(F1904=True, IFERROR(VLOOKUP(D1904, Repository!A:B, 2, 0), ""), "")</f>
        <v/>
      </c>
      <c r="H1904" s="105"/>
      <c r="I1904" s="105"/>
      <c r="J1904" s="105" t="str">
        <f>IF(F1904=True, IFERROR(VLOOKUP(D1904, Repository!A:C, 3, 0), ""), "")</f>
        <v/>
      </c>
      <c r="K1904" s="105"/>
      <c r="L1904" s="105" t="str">
        <f>IF(F1904=True, IFERROR(VLOOKUP(D1904, Repository!A:E, 5, 0), ""), "")</f>
        <v/>
      </c>
      <c r="M1904" s="105"/>
      <c r="N1904" s="105" t="str">
        <f>IF(F1904=True, IFERROR(VLOOKUP(D1904, Repository!A:G, 7, 0), ""), "")</f>
        <v/>
      </c>
      <c r="O1904" s="105" t="str">
        <f>IFERROR(__xludf.DUMMYFUNCTION("ARRAY_CONSTRAIN(
  ARRAYFORMULA(
    IFERROR(
      LET(
        list, N1904,
        arr, TRIM(SPLIT(list, "","")),
        names, XLOOKUP(
          arr,
          'Conformance Score'!A:A,
          'Conformance Score'!B:B,
          ""Not found""
     "&amp;"   ),
        TEXTJOIN("", "", TRUE, names)
      ),
      """"
    )
  ),
  1,
  1
)
"),"")</f>
        <v/>
      </c>
      <c r="P1904" s="105" t="str">
        <f>IF(F1904="Yes", IFERROR(VLOOKUP(D1904, Repository!A:F, 6, 0), ""), "")</f>
        <v/>
      </c>
      <c r="Q1904" s="105" t="str">
        <f>IF(F1904="Yes", IFERROR(VLOOKUP(D1904, Repository!A:I, 8, 0), ""), "")</f>
        <v/>
      </c>
      <c r="R1904" s="105" t="str">
        <f>IF(F1904="Yes", IFERROR(VLOOKUP(D1904, Repository!A:J, 9, 0), ""), "")</f>
        <v/>
      </c>
      <c r="S1904" s="105"/>
      <c r="T1904" s="105"/>
      <c r="U1904" s="105"/>
      <c r="V1904" s="105"/>
      <c r="W1904" s="105"/>
      <c r="X1904" s="105"/>
      <c r="Y1904" s="105"/>
      <c r="Z1904" s="105"/>
      <c r="AA1904" s="105"/>
      <c r="AB1904" s="105"/>
      <c r="AC1904" s="91"/>
      <c r="AD1904" s="105"/>
      <c r="AE1904" s="105"/>
      <c r="AF1904" s="91"/>
      <c r="AG1904" s="105"/>
      <c r="AH1904" s="105"/>
      <c r="AI1904" s="105" t="str">
        <f t="shared" si="1"/>
        <v/>
      </c>
      <c r="AJ1904" s="108" t="str">
        <f t="shared" si="2"/>
        <v/>
      </c>
    </row>
    <row r="1905" ht="15.75" customHeight="1">
      <c r="A1905" s="104"/>
      <c r="B1905" s="105" t="str">
        <f>IFERROR(__xludf.DUMMYFUNCTION("ARRAY_CONSTRAIN(
  ARRAYFORMULA(
    IF(
      'Final Report'!A1905="""",
      """",
      TEXTJOIN(
        "", "" &amp; CHAR(10),
        TRUE,
        IFERROR(
          VLOOKUP(
            TRIM(
              SPLIT('Final Report'!A1905, "","")
         "&amp;"   ),
            'URL Details'!A:B,
            2,
            FALSE
          ),
          """"
        )
      )
    )
  ),
  1,
  1
)
"),"")</f>
        <v/>
      </c>
      <c r="C1905" s="105" t="str">
        <f>IFERROR(__xludf.DUMMYFUNCTION("IFERROR(IF('Final Report'!A1905="""","""", TEXTJOIN(CHAR(10), TRUE, ARRAYFORMULA( ""• ""&amp; FILTER( TRIM(FLATTEN(SPLIT( REGEXREPLACE( SUBSTITUTE(TEXTJOIN("","", TRUE, IFERROR(ARRAYFORMULA(VLOOKUP(TRIM(SPLIT('Final Report'!A1905, "","")), 'URL Details'!A:D, "&amp;"4, FALSE)),"""") ), CHAR(10), "",""), ""\s*,\s*"", "",""), "",""))), TRIM(FLATTEN(SPLIT( REGEXREPLACE( SUBSTITUTE(TEXTJOIN("","", TRUE, IFERROR(ARRAYFORMULA(VLOOKUP(TRIM(SPLIT('Final Report'!A1905, "","")), 'URL Details'!A:D, 4, FALSE)),"""") ), CHAR(10),"&amp;" "",""), ""\s*,\s*"", "",""), "","")))&lt;&gt;"""" ) ) ) ),"""")
"),"")</f>
        <v/>
      </c>
      <c r="D1905" s="105"/>
      <c r="E1905" s="105"/>
      <c r="F1905" s="110" t="b">
        <v>0</v>
      </c>
      <c r="G1905" s="105" t="str">
        <f>IF(F1905=True, IFERROR(VLOOKUP(D1905, Repository!A:B, 2, 0), ""), "")</f>
        <v/>
      </c>
      <c r="H1905" s="105"/>
      <c r="I1905" s="105"/>
      <c r="J1905" s="105" t="str">
        <f>IF(F1905=True, IFERROR(VLOOKUP(D1905, Repository!A:C, 3, 0), ""), "")</f>
        <v/>
      </c>
      <c r="K1905" s="105"/>
      <c r="L1905" s="105" t="str">
        <f>IF(F1905=True, IFERROR(VLOOKUP(D1905, Repository!A:E, 5, 0), ""), "")</f>
        <v/>
      </c>
      <c r="M1905" s="105"/>
      <c r="N1905" s="105" t="str">
        <f>IF(F1905=True, IFERROR(VLOOKUP(D1905, Repository!A:G, 7, 0), ""), "")</f>
        <v/>
      </c>
      <c r="O1905" s="105" t="str">
        <f>IFERROR(__xludf.DUMMYFUNCTION("ARRAY_CONSTRAIN(
  ARRAYFORMULA(
    IFERROR(
      LET(
        list, N1905,
        arr, TRIM(SPLIT(list, "","")),
        names, XLOOKUP(
          arr,
          'Conformance Score'!A:A,
          'Conformance Score'!B:B,
          ""Not found""
     "&amp;"   ),
        TEXTJOIN("", "", TRUE, names)
      ),
      """"
    )
  ),
  1,
  1
)
"),"")</f>
        <v/>
      </c>
      <c r="P1905" s="105" t="str">
        <f>IF(F1905="Yes", IFERROR(VLOOKUP(D1905, Repository!A:F, 6, 0), ""), "")</f>
        <v/>
      </c>
      <c r="Q1905" s="105" t="str">
        <f>IF(F1905="Yes", IFERROR(VLOOKUP(D1905, Repository!A:I, 8, 0), ""), "")</f>
        <v/>
      </c>
      <c r="R1905" s="105" t="str">
        <f>IF(F1905="Yes", IFERROR(VLOOKUP(D1905, Repository!A:J, 9, 0), ""), "")</f>
        <v/>
      </c>
      <c r="S1905" s="105"/>
      <c r="T1905" s="105"/>
      <c r="U1905" s="105"/>
      <c r="V1905" s="105"/>
      <c r="W1905" s="105"/>
      <c r="X1905" s="105"/>
      <c r="Y1905" s="105"/>
      <c r="Z1905" s="105"/>
      <c r="AA1905" s="105"/>
      <c r="AB1905" s="105"/>
      <c r="AC1905" s="91"/>
      <c r="AD1905" s="105"/>
      <c r="AE1905" s="105"/>
      <c r="AF1905" s="91"/>
      <c r="AG1905" s="105"/>
      <c r="AH1905" s="105"/>
      <c r="AI1905" s="105" t="str">
        <f t="shared" si="1"/>
        <v/>
      </c>
      <c r="AJ1905" s="108" t="str">
        <f t="shared" si="2"/>
        <v/>
      </c>
    </row>
    <row r="1906" ht="15.75" customHeight="1">
      <c r="A1906" s="104"/>
      <c r="B1906" s="105" t="str">
        <f>IFERROR(__xludf.DUMMYFUNCTION("ARRAY_CONSTRAIN(
  ARRAYFORMULA(
    IF(
      'Final Report'!A1906="""",
      """",
      TEXTJOIN(
        "", "" &amp; CHAR(10),
        TRUE,
        IFERROR(
          VLOOKUP(
            TRIM(
              SPLIT('Final Report'!A1906, "","")
         "&amp;"   ),
            'URL Details'!A:B,
            2,
            FALSE
          ),
          """"
        )
      )
    )
  ),
  1,
  1
)
"),"")</f>
        <v/>
      </c>
      <c r="C1906" s="105" t="str">
        <f>IFERROR(__xludf.DUMMYFUNCTION("IFERROR(IF('Final Report'!A1906="""","""", TEXTJOIN(CHAR(10), TRUE, ARRAYFORMULA( ""• ""&amp; FILTER( TRIM(FLATTEN(SPLIT( REGEXREPLACE( SUBSTITUTE(TEXTJOIN("","", TRUE, IFERROR(ARRAYFORMULA(VLOOKUP(TRIM(SPLIT('Final Report'!A1906, "","")), 'URL Details'!A:D, "&amp;"4, FALSE)),"""") ), CHAR(10), "",""), ""\s*,\s*"", "",""), "",""))), TRIM(FLATTEN(SPLIT( REGEXREPLACE( SUBSTITUTE(TEXTJOIN("","", TRUE, IFERROR(ARRAYFORMULA(VLOOKUP(TRIM(SPLIT('Final Report'!A1906, "","")), 'URL Details'!A:D, 4, FALSE)),"""") ), CHAR(10),"&amp;" "",""), ""\s*,\s*"", "",""), "","")))&lt;&gt;"""" ) ) ) ),"""")
"),"")</f>
        <v/>
      </c>
      <c r="D1906" s="105"/>
      <c r="E1906" s="105"/>
      <c r="F1906" s="110" t="b">
        <v>0</v>
      </c>
      <c r="G1906" s="105" t="str">
        <f>IF(F1906=True, IFERROR(VLOOKUP(D1906, Repository!A:B, 2, 0), ""), "")</f>
        <v/>
      </c>
      <c r="H1906" s="105"/>
      <c r="I1906" s="105"/>
      <c r="J1906" s="105" t="str">
        <f>IF(F1906=True, IFERROR(VLOOKUP(D1906, Repository!A:C, 3, 0), ""), "")</f>
        <v/>
      </c>
      <c r="K1906" s="105"/>
      <c r="L1906" s="105" t="str">
        <f>IF(F1906=True, IFERROR(VLOOKUP(D1906, Repository!A:E, 5, 0), ""), "")</f>
        <v/>
      </c>
      <c r="M1906" s="105"/>
      <c r="N1906" s="105" t="str">
        <f>IF(F1906=True, IFERROR(VLOOKUP(D1906, Repository!A:G, 7, 0), ""), "")</f>
        <v/>
      </c>
      <c r="O1906" s="105" t="str">
        <f>IFERROR(__xludf.DUMMYFUNCTION("ARRAY_CONSTRAIN(
  ARRAYFORMULA(
    IFERROR(
      LET(
        list, N1906,
        arr, TRIM(SPLIT(list, "","")),
        names, XLOOKUP(
          arr,
          'Conformance Score'!A:A,
          'Conformance Score'!B:B,
          ""Not found""
     "&amp;"   ),
        TEXTJOIN("", "", TRUE, names)
      ),
      """"
    )
  ),
  1,
  1
)
"),"")</f>
        <v/>
      </c>
      <c r="P1906" s="105" t="str">
        <f>IF(F1906="Yes", IFERROR(VLOOKUP(D1906, Repository!A:F, 6, 0), ""), "")</f>
        <v/>
      </c>
      <c r="Q1906" s="105" t="str">
        <f>IF(F1906="Yes", IFERROR(VLOOKUP(D1906, Repository!A:I, 8, 0), ""), "")</f>
        <v/>
      </c>
      <c r="R1906" s="105" t="str">
        <f>IF(F1906="Yes", IFERROR(VLOOKUP(D1906, Repository!A:J, 9, 0), ""), "")</f>
        <v/>
      </c>
      <c r="S1906" s="105"/>
      <c r="T1906" s="105"/>
      <c r="U1906" s="105"/>
      <c r="V1906" s="105"/>
      <c r="W1906" s="105"/>
      <c r="X1906" s="105"/>
      <c r="Y1906" s="105"/>
      <c r="Z1906" s="105"/>
      <c r="AA1906" s="105"/>
      <c r="AB1906" s="105"/>
      <c r="AC1906" s="91"/>
      <c r="AD1906" s="105"/>
      <c r="AE1906" s="105"/>
      <c r="AF1906" s="91"/>
      <c r="AG1906" s="105"/>
      <c r="AH1906" s="105"/>
      <c r="AI1906" s="105" t="str">
        <f t="shared" si="1"/>
        <v/>
      </c>
      <c r="AJ1906" s="108" t="str">
        <f t="shared" si="2"/>
        <v/>
      </c>
    </row>
    <row r="1907" ht="15.75" customHeight="1">
      <c r="A1907" s="104"/>
      <c r="B1907" s="105" t="str">
        <f>IFERROR(__xludf.DUMMYFUNCTION("ARRAY_CONSTRAIN(
  ARRAYFORMULA(
    IF(
      'Final Report'!A1907="""",
      """",
      TEXTJOIN(
        "", "" &amp; CHAR(10),
        TRUE,
        IFERROR(
          VLOOKUP(
            TRIM(
              SPLIT('Final Report'!A1907, "","")
         "&amp;"   ),
            'URL Details'!A:B,
            2,
            FALSE
          ),
          """"
        )
      )
    )
  ),
  1,
  1
)
"),"")</f>
        <v/>
      </c>
      <c r="C1907" s="105" t="str">
        <f>IFERROR(__xludf.DUMMYFUNCTION("IFERROR(IF('Final Report'!A1907="""","""", TEXTJOIN(CHAR(10), TRUE, ARRAYFORMULA( ""• ""&amp; FILTER( TRIM(FLATTEN(SPLIT( REGEXREPLACE( SUBSTITUTE(TEXTJOIN("","", TRUE, IFERROR(ARRAYFORMULA(VLOOKUP(TRIM(SPLIT('Final Report'!A1907, "","")), 'URL Details'!A:D, "&amp;"4, FALSE)),"""") ), CHAR(10), "",""), ""\s*,\s*"", "",""), "",""))), TRIM(FLATTEN(SPLIT( REGEXREPLACE( SUBSTITUTE(TEXTJOIN("","", TRUE, IFERROR(ARRAYFORMULA(VLOOKUP(TRIM(SPLIT('Final Report'!A1907, "","")), 'URL Details'!A:D, 4, FALSE)),"""") ), CHAR(10),"&amp;" "",""), ""\s*,\s*"", "",""), "","")))&lt;&gt;"""" ) ) ) ),"""")
"),"")</f>
        <v/>
      </c>
      <c r="D1907" s="105"/>
      <c r="E1907" s="105"/>
      <c r="F1907" s="110" t="b">
        <v>0</v>
      </c>
      <c r="G1907" s="105" t="str">
        <f>IF(F1907=True, IFERROR(VLOOKUP(D1907, Repository!A:B, 2, 0), ""), "")</f>
        <v/>
      </c>
      <c r="H1907" s="105"/>
      <c r="I1907" s="105"/>
      <c r="J1907" s="105" t="str">
        <f>IF(F1907=True, IFERROR(VLOOKUP(D1907, Repository!A:C, 3, 0), ""), "")</f>
        <v/>
      </c>
      <c r="K1907" s="105"/>
      <c r="L1907" s="105" t="str">
        <f>IF(F1907=True, IFERROR(VLOOKUP(D1907, Repository!A:E, 5, 0), ""), "")</f>
        <v/>
      </c>
      <c r="M1907" s="105"/>
      <c r="N1907" s="105" t="str">
        <f>IF(F1907=True, IFERROR(VLOOKUP(D1907, Repository!A:G, 7, 0), ""), "")</f>
        <v/>
      </c>
      <c r="O1907" s="105" t="str">
        <f>IFERROR(__xludf.DUMMYFUNCTION("ARRAY_CONSTRAIN(
  ARRAYFORMULA(
    IFERROR(
      LET(
        list, N1907,
        arr, TRIM(SPLIT(list, "","")),
        names, XLOOKUP(
          arr,
          'Conformance Score'!A:A,
          'Conformance Score'!B:B,
          ""Not found""
     "&amp;"   ),
        TEXTJOIN("", "", TRUE, names)
      ),
      """"
    )
  ),
  1,
  1
)
"),"")</f>
        <v/>
      </c>
      <c r="P1907" s="105" t="str">
        <f>IF(F1907="Yes", IFERROR(VLOOKUP(D1907, Repository!A:F, 6, 0), ""), "")</f>
        <v/>
      </c>
      <c r="Q1907" s="105" t="str">
        <f>IF(F1907="Yes", IFERROR(VLOOKUP(D1907, Repository!A:I, 8, 0), ""), "")</f>
        <v/>
      </c>
      <c r="R1907" s="105" t="str">
        <f>IF(F1907="Yes", IFERROR(VLOOKUP(D1907, Repository!A:J, 9, 0), ""), "")</f>
        <v/>
      </c>
      <c r="S1907" s="105"/>
      <c r="T1907" s="105"/>
      <c r="U1907" s="105"/>
      <c r="V1907" s="105"/>
      <c r="W1907" s="105"/>
      <c r="X1907" s="105"/>
      <c r="Y1907" s="105"/>
      <c r="Z1907" s="105"/>
      <c r="AA1907" s="105"/>
      <c r="AB1907" s="105"/>
      <c r="AC1907" s="91"/>
      <c r="AD1907" s="105"/>
      <c r="AE1907" s="105"/>
      <c r="AF1907" s="91"/>
      <c r="AG1907" s="105"/>
      <c r="AH1907" s="105"/>
      <c r="AI1907" s="105" t="str">
        <f t="shared" si="1"/>
        <v/>
      </c>
      <c r="AJ1907" s="108" t="str">
        <f t="shared" si="2"/>
        <v/>
      </c>
    </row>
    <row r="1908" ht="15.75" customHeight="1">
      <c r="A1908" s="104"/>
      <c r="B1908" s="105" t="str">
        <f>IFERROR(__xludf.DUMMYFUNCTION("ARRAY_CONSTRAIN(
  ARRAYFORMULA(
    IF(
      'Final Report'!A1908="""",
      """",
      TEXTJOIN(
        "", "" &amp; CHAR(10),
        TRUE,
        IFERROR(
          VLOOKUP(
            TRIM(
              SPLIT('Final Report'!A1908, "","")
         "&amp;"   ),
            'URL Details'!A:B,
            2,
            FALSE
          ),
          """"
        )
      )
    )
  ),
  1,
  1
)
"),"")</f>
        <v/>
      </c>
      <c r="C1908" s="105" t="str">
        <f>IFERROR(__xludf.DUMMYFUNCTION("IFERROR(IF('Final Report'!A1908="""","""", TEXTJOIN(CHAR(10), TRUE, ARRAYFORMULA( ""• ""&amp; FILTER( TRIM(FLATTEN(SPLIT( REGEXREPLACE( SUBSTITUTE(TEXTJOIN("","", TRUE, IFERROR(ARRAYFORMULA(VLOOKUP(TRIM(SPLIT('Final Report'!A1908, "","")), 'URL Details'!A:D, "&amp;"4, FALSE)),"""") ), CHAR(10), "",""), ""\s*,\s*"", "",""), "",""))), TRIM(FLATTEN(SPLIT( REGEXREPLACE( SUBSTITUTE(TEXTJOIN("","", TRUE, IFERROR(ARRAYFORMULA(VLOOKUP(TRIM(SPLIT('Final Report'!A1908, "","")), 'URL Details'!A:D, 4, FALSE)),"""") ), CHAR(10),"&amp;" "",""), ""\s*,\s*"", "",""), "","")))&lt;&gt;"""" ) ) ) ),"""")
"),"")</f>
        <v/>
      </c>
      <c r="D1908" s="105"/>
      <c r="E1908" s="105"/>
      <c r="F1908" s="110" t="b">
        <v>0</v>
      </c>
      <c r="G1908" s="105" t="str">
        <f>IF(F1908=True, IFERROR(VLOOKUP(D1908, Repository!A:B, 2, 0), ""), "")</f>
        <v/>
      </c>
      <c r="H1908" s="105"/>
      <c r="I1908" s="105"/>
      <c r="J1908" s="105" t="str">
        <f>IF(F1908=True, IFERROR(VLOOKUP(D1908, Repository!A:C, 3, 0), ""), "")</f>
        <v/>
      </c>
      <c r="K1908" s="105"/>
      <c r="L1908" s="105" t="str">
        <f>IF(F1908=True, IFERROR(VLOOKUP(D1908, Repository!A:E, 5, 0), ""), "")</f>
        <v/>
      </c>
      <c r="M1908" s="105"/>
      <c r="N1908" s="105" t="str">
        <f>IF(F1908=True, IFERROR(VLOOKUP(D1908, Repository!A:G, 7, 0), ""), "")</f>
        <v/>
      </c>
      <c r="O1908" s="105" t="str">
        <f>IFERROR(__xludf.DUMMYFUNCTION("ARRAY_CONSTRAIN(
  ARRAYFORMULA(
    IFERROR(
      LET(
        list, N1908,
        arr, TRIM(SPLIT(list, "","")),
        names, XLOOKUP(
          arr,
          'Conformance Score'!A:A,
          'Conformance Score'!B:B,
          ""Not found""
     "&amp;"   ),
        TEXTJOIN("", "", TRUE, names)
      ),
      """"
    )
  ),
  1,
  1
)
"),"")</f>
        <v/>
      </c>
      <c r="P1908" s="105" t="str">
        <f>IF(F1908="Yes", IFERROR(VLOOKUP(D1908, Repository!A:F, 6, 0), ""), "")</f>
        <v/>
      </c>
      <c r="Q1908" s="105" t="str">
        <f>IF(F1908="Yes", IFERROR(VLOOKUP(D1908, Repository!A:I, 8, 0), ""), "")</f>
        <v/>
      </c>
      <c r="R1908" s="105" t="str">
        <f>IF(F1908="Yes", IFERROR(VLOOKUP(D1908, Repository!A:J, 9, 0), ""), "")</f>
        <v/>
      </c>
      <c r="S1908" s="105"/>
      <c r="T1908" s="105"/>
      <c r="U1908" s="105"/>
      <c r="V1908" s="105"/>
      <c r="W1908" s="105"/>
      <c r="X1908" s="105"/>
      <c r="Y1908" s="105"/>
      <c r="Z1908" s="105"/>
      <c r="AA1908" s="105"/>
      <c r="AB1908" s="105"/>
      <c r="AC1908" s="91"/>
      <c r="AD1908" s="105"/>
      <c r="AE1908" s="105"/>
      <c r="AF1908" s="91"/>
      <c r="AG1908" s="105"/>
      <c r="AH1908" s="105"/>
      <c r="AI1908" s="105" t="str">
        <f t="shared" si="1"/>
        <v/>
      </c>
      <c r="AJ1908" s="108" t="str">
        <f t="shared" si="2"/>
        <v/>
      </c>
    </row>
    <row r="1909" ht="15.75" customHeight="1">
      <c r="A1909" s="104"/>
      <c r="B1909" s="105" t="str">
        <f>IFERROR(__xludf.DUMMYFUNCTION("ARRAY_CONSTRAIN(
  ARRAYFORMULA(
    IF(
      'Final Report'!A1909="""",
      """",
      TEXTJOIN(
        "", "" &amp; CHAR(10),
        TRUE,
        IFERROR(
          VLOOKUP(
            TRIM(
              SPLIT('Final Report'!A1909, "","")
         "&amp;"   ),
            'URL Details'!A:B,
            2,
            FALSE
          ),
          """"
        )
      )
    )
  ),
  1,
  1
)
"),"")</f>
        <v/>
      </c>
      <c r="C1909" s="105" t="str">
        <f>IFERROR(__xludf.DUMMYFUNCTION("IFERROR(IF('Final Report'!A1909="""","""", TEXTJOIN(CHAR(10), TRUE, ARRAYFORMULA( ""• ""&amp; FILTER( TRIM(FLATTEN(SPLIT( REGEXREPLACE( SUBSTITUTE(TEXTJOIN("","", TRUE, IFERROR(ARRAYFORMULA(VLOOKUP(TRIM(SPLIT('Final Report'!A1909, "","")), 'URL Details'!A:D, "&amp;"4, FALSE)),"""") ), CHAR(10), "",""), ""\s*,\s*"", "",""), "",""))), TRIM(FLATTEN(SPLIT( REGEXREPLACE( SUBSTITUTE(TEXTJOIN("","", TRUE, IFERROR(ARRAYFORMULA(VLOOKUP(TRIM(SPLIT('Final Report'!A1909, "","")), 'URL Details'!A:D, 4, FALSE)),"""") ), CHAR(10),"&amp;" "",""), ""\s*,\s*"", "",""), "","")))&lt;&gt;"""" ) ) ) ),"""")
"),"")</f>
        <v/>
      </c>
      <c r="D1909" s="105"/>
      <c r="E1909" s="105"/>
      <c r="F1909" s="110" t="b">
        <v>0</v>
      </c>
      <c r="G1909" s="105" t="str">
        <f>IF(F1909=True, IFERROR(VLOOKUP(D1909, Repository!A:B, 2, 0), ""), "")</f>
        <v/>
      </c>
      <c r="H1909" s="105"/>
      <c r="I1909" s="105"/>
      <c r="J1909" s="105" t="str">
        <f>IF(F1909=True, IFERROR(VLOOKUP(D1909, Repository!A:C, 3, 0), ""), "")</f>
        <v/>
      </c>
      <c r="K1909" s="105"/>
      <c r="L1909" s="105" t="str">
        <f>IF(F1909=True, IFERROR(VLOOKUP(D1909, Repository!A:E, 5, 0), ""), "")</f>
        <v/>
      </c>
      <c r="M1909" s="105"/>
      <c r="N1909" s="105" t="str">
        <f>IF(F1909=True, IFERROR(VLOOKUP(D1909, Repository!A:G, 7, 0), ""), "")</f>
        <v/>
      </c>
      <c r="O1909" s="105" t="str">
        <f>IFERROR(__xludf.DUMMYFUNCTION("ARRAY_CONSTRAIN(
  ARRAYFORMULA(
    IFERROR(
      LET(
        list, N1909,
        arr, TRIM(SPLIT(list, "","")),
        names, XLOOKUP(
          arr,
          'Conformance Score'!A:A,
          'Conformance Score'!B:B,
          ""Not found""
     "&amp;"   ),
        TEXTJOIN("", "", TRUE, names)
      ),
      """"
    )
  ),
  1,
  1
)
"),"")</f>
        <v/>
      </c>
      <c r="P1909" s="105" t="str">
        <f>IF(F1909="Yes", IFERROR(VLOOKUP(D1909, Repository!A:F, 6, 0), ""), "")</f>
        <v/>
      </c>
      <c r="Q1909" s="105" t="str">
        <f>IF(F1909="Yes", IFERROR(VLOOKUP(D1909, Repository!A:I, 8, 0), ""), "")</f>
        <v/>
      </c>
      <c r="R1909" s="105" t="str">
        <f>IF(F1909="Yes", IFERROR(VLOOKUP(D1909, Repository!A:J, 9, 0), ""), "")</f>
        <v/>
      </c>
      <c r="S1909" s="105"/>
      <c r="T1909" s="105"/>
      <c r="U1909" s="105"/>
      <c r="V1909" s="105"/>
      <c r="W1909" s="105"/>
      <c r="X1909" s="105"/>
      <c r="Y1909" s="105"/>
      <c r="Z1909" s="105"/>
      <c r="AA1909" s="105"/>
      <c r="AB1909" s="105"/>
      <c r="AC1909" s="91"/>
      <c r="AD1909" s="105"/>
      <c r="AE1909" s="105"/>
      <c r="AF1909" s="91"/>
      <c r="AG1909" s="105"/>
      <c r="AH1909" s="105"/>
      <c r="AI1909" s="105" t="str">
        <f t="shared" si="1"/>
        <v/>
      </c>
      <c r="AJ1909" s="108" t="str">
        <f t="shared" si="2"/>
        <v/>
      </c>
    </row>
    <row r="1910" ht="15.75" customHeight="1">
      <c r="A1910" s="104"/>
      <c r="B1910" s="105" t="str">
        <f>IFERROR(__xludf.DUMMYFUNCTION("ARRAY_CONSTRAIN(
  ARRAYFORMULA(
    IF(
      'Final Report'!A1910="""",
      """",
      TEXTJOIN(
        "", "" &amp; CHAR(10),
        TRUE,
        IFERROR(
          VLOOKUP(
            TRIM(
              SPLIT('Final Report'!A1910, "","")
         "&amp;"   ),
            'URL Details'!A:B,
            2,
            FALSE
          ),
          """"
        )
      )
    )
  ),
  1,
  1
)
"),"")</f>
        <v/>
      </c>
      <c r="C1910" s="105" t="str">
        <f>IFERROR(__xludf.DUMMYFUNCTION("IFERROR(IF('Final Report'!A1910="""","""", TEXTJOIN(CHAR(10), TRUE, ARRAYFORMULA( ""• ""&amp; FILTER( TRIM(FLATTEN(SPLIT( REGEXREPLACE( SUBSTITUTE(TEXTJOIN("","", TRUE, IFERROR(ARRAYFORMULA(VLOOKUP(TRIM(SPLIT('Final Report'!A1910, "","")), 'URL Details'!A:D, "&amp;"4, FALSE)),"""") ), CHAR(10), "",""), ""\s*,\s*"", "",""), "",""))), TRIM(FLATTEN(SPLIT( REGEXREPLACE( SUBSTITUTE(TEXTJOIN("","", TRUE, IFERROR(ARRAYFORMULA(VLOOKUP(TRIM(SPLIT('Final Report'!A1910, "","")), 'URL Details'!A:D, 4, FALSE)),"""") ), CHAR(10),"&amp;" "",""), ""\s*,\s*"", "",""), "","")))&lt;&gt;"""" ) ) ) ),"""")
"),"")</f>
        <v/>
      </c>
      <c r="D1910" s="105"/>
      <c r="E1910" s="105"/>
      <c r="F1910" s="110" t="b">
        <v>0</v>
      </c>
      <c r="G1910" s="105" t="str">
        <f>IF(F1910=True, IFERROR(VLOOKUP(D1910, Repository!A:B, 2, 0), ""), "")</f>
        <v/>
      </c>
      <c r="H1910" s="105"/>
      <c r="I1910" s="105"/>
      <c r="J1910" s="105" t="str">
        <f>IF(F1910=True, IFERROR(VLOOKUP(D1910, Repository!A:C, 3, 0), ""), "")</f>
        <v/>
      </c>
      <c r="K1910" s="105"/>
      <c r="L1910" s="105" t="str">
        <f>IF(F1910=True, IFERROR(VLOOKUP(D1910, Repository!A:E, 5, 0), ""), "")</f>
        <v/>
      </c>
      <c r="M1910" s="105"/>
      <c r="N1910" s="105" t="str">
        <f>IF(F1910=True, IFERROR(VLOOKUP(D1910, Repository!A:G, 7, 0), ""), "")</f>
        <v/>
      </c>
      <c r="O1910" s="105" t="str">
        <f>IFERROR(__xludf.DUMMYFUNCTION("ARRAY_CONSTRAIN(
  ARRAYFORMULA(
    IFERROR(
      LET(
        list, N1910,
        arr, TRIM(SPLIT(list, "","")),
        names, XLOOKUP(
          arr,
          'Conformance Score'!A:A,
          'Conformance Score'!B:B,
          ""Not found""
     "&amp;"   ),
        TEXTJOIN("", "", TRUE, names)
      ),
      """"
    )
  ),
  1,
  1
)
"),"")</f>
        <v/>
      </c>
      <c r="P1910" s="105" t="str">
        <f>IF(F1910="Yes", IFERROR(VLOOKUP(D1910, Repository!A:F, 6, 0), ""), "")</f>
        <v/>
      </c>
      <c r="Q1910" s="105" t="str">
        <f>IF(F1910="Yes", IFERROR(VLOOKUP(D1910, Repository!A:I, 8, 0), ""), "")</f>
        <v/>
      </c>
      <c r="R1910" s="105" t="str">
        <f>IF(F1910="Yes", IFERROR(VLOOKUP(D1910, Repository!A:J, 9, 0), ""), "")</f>
        <v/>
      </c>
      <c r="S1910" s="105"/>
      <c r="T1910" s="105"/>
      <c r="U1910" s="105"/>
      <c r="V1910" s="105"/>
      <c r="W1910" s="105"/>
      <c r="X1910" s="105"/>
      <c r="Y1910" s="105"/>
      <c r="Z1910" s="105"/>
      <c r="AA1910" s="105"/>
      <c r="AB1910" s="105"/>
      <c r="AC1910" s="91"/>
      <c r="AD1910" s="105"/>
      <c r="AE1910" s="105"/>
      <c r="AF1910" s="91"/>
      <c r="AG1910" s="105"/>
      <c r="AH1910" s="105"/>
      <c r="AI1910" s="105" t="str">
        <f t="shared" si="1"/>
        <v/>
      </c>
      <c r="AJ1910" s="108" t="str">
        <f t="shared" si="2"/>
        <v/>
      </c>
    </row>
    <row r="1911" ht="15.75" customHeight="1">
      <c r="A1911" s="104"/>
      <c r="B1911" s="105" t="str">
        <f>IFERROR(__xludf.DUMMYFUNCTION("ARRAY_CONSTRAIN(
  ARRAYFORMULA(
    IF(
      'Final Report'!A1911="""",
      """",
      TEXTJOIN(
        "", "" &amp; CHAR(10),
        TRUE,
        IFERROR(
          VLOOKUP(
            TRIM(
              SPLIT('Final Report'!A1911, "","")
         "&amp;"   ),
            'URL Details'!A:B,
            2,
            FALSE
          ),
          """"
        )
      )
    )
  ),
  1,
  1
)
"),"")</f>
        <v/>
      </c>
      <c r="C1911" s="105" t="str">
        <f>IFERROR(__xludf.DUMMYFUNCTION("IFERROR(IF('Final Report'!A1911="""","""", TEXTJOIN(CHAR(10), TRUE, ARRAYFORMULA( ""• ""&amp; FILTER( TRIM(FLATTEN(SPLIT( REGEXREPLACE( SUBSTITUTE(TEXTJOIN("","", TRUE, IFERROR(ARRAYFORMULA(VLOOKUP(TRIM(SPLIT('Final Report'!A1911, "","")), 'URL Details'!A:D, "&amp;"4, FALSE)),"""") ), CHAR(10), "",""), ""\s*,\s*"", "",""), "",""))), TRIM(FLATTEN(SPLIT( REGEXREPLACE( SUBSTITUTE(TEXTJOIN("","", TRUE, IFERROR(ARRAYFORMULA(VLOOKUP(TRIM(SPLIT('Final Report'!A1911, "","")), 'URL Details'!A:D, 4, FALSE)),"""") ), CHAR(10),"&amp;" "",""), ""\s*,\s*"", "",""), "","")))&lt;&gt;"""" ) ) ) ),"""")
"),"")</f>
        <v/>
      </c>
      <c r="D1911" s="105"/>
      <c r="E1911" s="105"/>
      <c r="F1911" s="110" t="b">
        <v>0</v>
      </c>
      <c r="G1911" s="105" t="str">
        <f>IF(F1911=True, IFERROR(VLOOKUP(D1911, Repository!A:B, 2, 0), ""), "")</f>
        <v/>
      </c>
      <c r="H1911" s="105"/>
      <c r="I1911" s="105"/>
      <c r="J1911" s="105" t="str">
        <f>IF(F1911=True, IFERROR(VLOOKUP(D1911, Repository!A:C, 3, 0), ""), "")</f>
        <v/>
      </c>
      <c r="K1911" s="105"/>
      <c r="L1911" s="105" t="str">
        <f>IF(F1911=True, IFERROR(VLOOKUP(D1911, Repository!A:E, 5, 0), ""), "")</f>
        <v/>
      </c>
      <c r="M1911" s="105"/>
      <c r="N1911" s="105" t="str">
        <f>IF(F1911=True, IFERROR(VLOOKUP(D1911, Repository!A:G, 7, 0), ""), "")</f>
        <v/>
      </c>
      <c r="O1911" s="105" t="str">
        <f>IFERROR(__xludf.DUMMYFUNCTION("ARRAY_CONSTRAIN(
  ARRAYFORMULA(
    IFERROR(
      LET(
        list, N1911,
        arr, TRIM(SPLIT(list, "","")),
        names, XLOOKUP(
          arr,
          'Conformance Score'!A:A,
          'Conformance Score'!B:B,
          ""Not found""
     "&amp;"   ),
        TEXTJOIN("", "", TRUE, names)
      ),
      """"
    )
  ),
  1,
  1
)
"),"")</f>
        <v/>
      </c>
      <c r="P1911" s="105" t="str">
        <f>IF(F1911="Yes", IFERROR(VLOOKUP(D1911, Repository!A:F, 6, 0), ""), "")</f>
        <v/>
      </c>
      <c r="Q1911" s="105" t="str">
        <f>IF(F1911="Yes", IFERROR(VLOOKUP(D1911, Repository!A:I, 8, 0), ""), "")</f>
        <v/>
      </c>
      <c r="R1911" s="105" t="str">
        <f>IF(F1911="Yes", IFERROR(VLOOKUP(D1911, Repository!A:J, 9, 0), ""), "")</f>
        <v/>
      </c>
      <c r="S1911" s="105"/>
      <c r="T1911" s="105"/>
      <c r="U1911" s="105"/>
      <c r="V1911" s="105"/>
      <c r="W1911" s="105"/>
      <c r="X1911" s="105"/>
      <c r="Y1911" s="105"/>
      <c r="Z1911" s="105"/>
      <c r="AA1911" s="105"/>
      <c r="AB1911" s="105"/>
      <c r="AC1911" s="91"/>
      <c r="AD1911" s="105"/>
      <c r="AE1911" s="105"/>
      <c r="AF1911" s="91"/>
      <c r="AG1911" s="105"/>
      <c r="AH1911" s="105"/>
      <c r="AI1911" s="105" t="str">
        <f t="shared" si="1"/>
        <v/>
      </c>
      <c r="AJ1911" s="108" t="str">
        <f t="shared" si="2"/>
        <v/>
      </c>
    </row>
    <row r="1912" ht="15.75" customHeight="1">
      <c r="A1912" s="104"/>
      <c r="B1912" s="105" t="str">
        <f>IFERROR(__xludf.DUMMYFUNCTION("ARRAY_CONSTRAIN(
  ARRAYFORMULA(
    IF(
      'Final Report'!A1912="""",
      """",
      TEXTJOIN(
        "", "" &amp; CHAR(10),
        TRUE,
        IFERROR(
          VLOOKUP(
            TRIM(
              SPLIT('Final Report'!A1912, "","")
         "&amp;"   ),
            'URL Details'!A:B,
            2,
            FALSE
          ),
          """"
        )
      )
    )
  ),
  1,
  1
)
"),"")</f>
        <v/>
      </c>
      <c r="C1912" s="105" t="str">
        <f>IFERROR(__xludf.DUMMYFUNCTION("IFERROR(IF('Final Report'!A1912="""","""", TEXTJOIN(CHAR(10), TRUE, ARRAYFORMULA( ""• ""&amp; FILTER( TRIM(FLATTEN(SPLIT( REGEXREPLACE( SUBSTITUTE(TEXTJOIN("","", TRUE, IFERROR(ARRAYFORMULA(VLOOKUP(TRIM(SPLIT('Final Report'!A1912, "","")), 'URL Details'!A:D, "&amp;"4, FALSE)),"""") ), CHAR(10), "",""), ""\s*,\s*"", "",""), "",""))), TRIM(FLATTEN(SPLIT( REGEXREPLACE( SUBSTITUTE(TEXTJOIN("","", TRUE, IFERROR(ARRAYFORMULA(VLOOKUP(TRIM(SPLIT('Final Report'!A1912, "","")), 'URL Details'!A:D, 4, FALSE)),"""") ), CHAR(10),"&amp;" "",""), ""\s*,\s*"", "",""), "","")))&lt;&gt;"""" ) ) ) ),"""")
"),"")</f>
        <v/>
      </c>
      <c r="D1912" s="105"/>
      <c r="E1912" s="105"/>
      <c r="F1912" s="110" t="b">
        <v>0</v>
      </c>
      <c r="G1912" s="105" t="str">
        <f>IF(F1912=True, IFERROR(VLOOKUP(D1912, Repository!A:B, 2, 0), ""), "")</f>
        <v/>
      </c>
      <c r="H1912" s="105"/>
      <c r="I1912" s="105"/>
      <c r="J1912" s="105" t="str">
        <f>IF(F1912=True, IFERROR(VLOOKUP(D1912, Repository!A:C, 3, 0), ""), "")</f>
        <v/>
      </c>
      <c r="K1912" s="105"/>
      <c r="L1912" s="105" t="str">
        <f>IF(F1912=True, IFERROR(VLOOKUP(D1912, Repository!A:E, 5, 0), ""), "")</f>
        <v/>
      </c>
      <c r="M1912" s="105"/>
      <c r="N1912" s="105" t="str">
        <f>IF(F1912=True, IFERROR(VLOOKUP(D1912, Repository!A:G, 7, 0), ""), "")</f>
        <v/>
      </c>
      <c r="O1912" s="105" t="str">
        <f>IFERROR(__xludf.DUMMYFUNCTION("ARRAY_CONSTRAIN(
  ARRAYFORMULA(
    IFERROR(
      LET(
        list, N1912,
        arr, TRIM(SPLIT(list, "","")),
        names, XLOOKUP(
          arr,
          'Conformance Score'!A:A,
          'Conformance Score'!B:B,
          ""Not found""
     "&amp;"   ),
        TEXTJOIN("", "", TRUE, names)
      ),
      """"
    )
  ),
  1,
  1
)
"),"")</f>
        <v/>
      </c>
      <c r="P1912" s="105" t="str">
        <f>IF(F1912="Yes", IFERROR(VLOOKUP(D1912, Repository!A:F, 6, 0), ""), "")</f>
        <v/>
      </c>
      <c r="Q1912" s="105" t="str">
        <f>IF(F1912="Yes", IFERROR(VLOOKUP(D1912, Repository!A:I, 8, 0), ""), "")</f>
        <v/>
      </c>
      <c r="R1912" s="105" t="str">
        <f>IF(F1912="Yes", IFERROR(VLOOKUP(D1912, Repository!A:J, 9, 0), ""), "")</f>
        <v/>
      </c>
      <c r="S1912" s="105"/>
      <c r="T1912" s="105"/>
      <c r="U1912" s="105"/>
      <c r="V1912" s="105"/>
      <c r="W1912" s="105"/>
      <c r="X1912" s="105"/>
      <c r="Y1912" s="105"/>
      <c r="Z1912" s="105"/>
      <c r="AA1912" s="105"/>
      <c r="AB1912" s="105"/>
      <c r="AC1912" s="91"/>
      <c r="AD1912" s="105"/>
      <c r="AE1912" s="105"/>
      <c r="AF1912" s="91"/>
      <c r="AG1912" s="105"/>
      <c r="AH1912" s="105"/>
      <c r="AI1912" s="105" t="str">
        <f t="shared" si="1"/>
        <v/>
      </c>
      <c r="AJ1912" s="108" t="str">
        <f t="shared" si="2"/>
        <v/>
      </c>
    </row>
    <row r="1913" ht="15.75" customHeight="1">
      <c r="A1913" s="104"/>
      <c r="B1913" s="105" t="str">
        <f>IFERROR(__xludf.DUMMYFUNCTION("ARRAY_CONSTRAIN(
  ARRAYFORMULA(
    IF(
      'Final Report'!A1913="""",
      """",
      TEXTJOIN(
        "", "" &amp; CHAR(10),
        TRUE,
        IFERROR(
          VLOOKUP(
            TRIM(
              SPLIT('Final Report'!A1913, "","")
         "&amp;"   ),
            'URL Details'!A:B,
            2,
            FALSE
          ),
          """"
        )
      )
    )
  ),
  1,
  1
)
"),"")</f>
        <v/>
      </c>
      <c r="C1913" s="105" t="str">
        <f>IFERROR(__xludf.DUMMYFUNCTION("IFERROR(IF('Final Report'!A1913="""","""", TEXTJOIN(CHAR(10), TRUE, ARRAYFORMULA( ""• ""&amp; FILTER( TRIM(FLATTEN(SPLIT( REGEXREPLACE( SUBSTITUTE(TEXTJOIN("","", TRUE, IFERROR(ARRAYFORMULA(VLOOKUP(TRIM(SPLIT('Final Report'!A1913, "","")), 'URL Details'!A:D, "&amp;"4, FALSE)),"""") ), CHAR(10), "",""), ""\s*,\s*"", "",""), "",""))), TRIM(FLATTEN(SPLIT( REGEXREPLACE( SUBSTITUTE(TEXTJOIN("","", TRUE, IFERROR(ARRAYFORMULA(VLOOKUP(TRIM(SPLIT('Final Report'!A1913, "","")), 'URL Details'!A:D, 4, FALSE)),"""") ), CHAR(10),"&amp;" "",""), ""\s*,\s*"", "",""), "","")))&lt;&gt;"""" ) ) ) ),"""")
"),"")</f>
        <v/>
      </c>
      <c r="D1913" s="105"/>
      <c r="E1913" s="105"/>
      <c r="F1913" s="110" t="b">
        <v>0</v>
      </c>
      <c r="G1913" s="105" t="str">
        <f>IF(F1913=True, IFERROR(VLOOKUP(D1913, Repository!A:B, 2, 0), ""), "")</f>
        <v/>
      </c>
      <c r="H1913" s="105"/>
      <c r="I1913" s="105"/>
      <c r="J1913" s="105" t="str">
        <f>IF(F1913=True, IFERROR(VLOOKUP(D1913, Repository!A:C, 3, 0), ""), "")</f>
        <v/>
      </c>
      <c r="K1913" s="105"/>
      <c r="L1913" s="105" t="str">
        <f>IF(F1913=True, IFERROR(VLOOKUP(D1913, Repository!A:E, 5, 0), ""), "")</f>
        <v/>
      </c>
      <c r="M1913" s="105"/>
      <c r="N1913" s="105" t="str">
        <f>IF(F1913=True, IFERROR(VLOOKUP(D1913, Repository!A:G, 7, 0), ""), "")</f>
        <v/>
      </c>
      <c r="O1913" s="105" t="str">
        <f>IFERROR(__xludf.DUMMYFUNCTION("ARRAY_CONSTRAIN(
  ARRAYFORMULA(
    IFERROR(
      LET(
        list, N1913,
        arr, TRIM(SPLIT(list, "","")),
        names, XLOOKUP(
          arr,
          'Conformance Score'!A:A,
          'Conformance Score'!B:B,
          ""Not found""
     "&amp;"   ),
        TEXTJOIN("", "", TRUE, names)
      ),
      """"
    )
  ),
  1,
  1
)
"),"")</f>
        <v/>
      </c>
      <c r="P1913" s="105" t="str">
        <f>IF(F1913="Yes", IFERROR(VLOOKUP(D1913, Repository!A:F, 6, 0), ""), "")</f>
        <v/>
      </c>
      <c r="Q1913" s="105" t="str">
        <f>IF(F1913="Yes", IFERROR(VLOOKUP(D1913, Repository!A:I, 8, 0), ""), "")</f>
        <v/>
      </c>
      <c r="R1913" s="105" t="str">
        <f>IF(F1913="Yes", IFERROR(VLOOKUP(D1913, Repository!A:J, 9, 0), ""), "")</f>
        <v/>
      </c>
      <c r="S1913" s="105"/>
      <c r="T1913" s="105"/>
      <c r="U1913" s="105"/>
      <c r="V1913" s="105"/>
      <c r="W1913" s="105"/>
      <c r="X1913" s="105"/>
      <c r="Y1913" s="105"/>
      <c r="Z1913" s="105"/>
      <c r="AA1913" s="105"/>
      <c r="AB1913" s="105"/>
      <c r="AC1913" s="91"/>
      <c r="AD1913" s="105"/>
      <c r="AE1913" s="105"/>
      <c r="AF1913" s="91"/>
      <c r="AG1913" s="105"/>
      <c r="AH1913" s="105"/>
      <c r="AI1913" s="105" t="str">
        <f t="shared" si="1"/>
        <v/>
      </c>
      <c r="AJ1913" s="108" t="str">
        <f t="shared" si="2"/>
        <v/>
      </c>
    </row>
    <row r="1914" ht="15.75" customHeight="1">
      <c r="A1914" s="104"/>
      <c r="B1914" s="105" t="str">
        <f>IFERROR(__xludf.DUMMYFUNCTION("ARRAY_CONSTRAIN(
  ARRAYFORMULA(
    IF(
      'Final Report'!A1914="""",
      """",
      TEXTJOIN(
        "", "" &amp; CHAR(10),
        TRUE,
        IFERROR(
          VLOOKUP(
            TRIM(
              SPLIT('Final Report'!A1914, "","")
         "&amp;"   ),
            'URL Details'!A:B,
            2,
            FALSE
          ),
          """"
        )
      )
    )
  ),
  1,
  1
)
"),"")</f>
        <v/>
      </c>
      <c r="C1914" s="105" t="str">
        <f>IFERROR(__xludf.DUMMYFUNCTION("IFERROR(IF('Final Report'!A1914="""","""", TEXTJOIN(CHAR(10), TRUE, ARRAYFORMULA( ""• ""&amp; FILTER( TRIM(FLATTEN(SPLIT( REGEXREPLACE( SUBSTITUTE(TEXTJOIN("","", TRUE, IFERROR(ARRAYFORMULA(VLOOKUP(TRIM(SPLIT('Final Report'!A1914, "","")), 'URL Details'!A:D, "&amp;"4, FALSE)),"""") ), CHAR(10), "",""), ""\s*,\s*"", "",""), "",""))), TRIM(FLATTEN(SPLIT( REGEXREPLACE( SUBSTITUTE(TEXTJOIN("","", TRUE, IFERROR(ARRAYFORMULA(VLOOKUP(TRIM(SPLIT('Final Report'!A1914, "","")), 'URL Details'!A:D, 4, FALSE)),"""") ), CHAR(10),"&amp;" "",""), ""\s*,\s*"", "",""), "","")))&lt;&gt;"""" ) ) ) ),"""")
"),"")</f>
        <v/>
      </c>
      <c r="D1914" s="105"/>
      <c r="E1914" s="105"/>
      <c r="F1914" s="110" t="b">
        <v>0</v>
      </c>
      <c r="G1914" s="105" t="str">
        <f>IF(F1914=True, IFERROR(VLOOKUP(D1914, Repository!A:B, 2, 0), ""), "")</f>
        <v/>
      </c>
      <c r="H1914" s="105"/>
      <c r="I1914" s="105"/>
      <c r="J1914" s="105" t="str">
        <f>IF(F1914=True, IFERROR(VLOOKUP(D1914, Repository!A:C, 3, 0), ""), "")</f>
        <v/>
      </c>
      <c r="K1914" s="105"/>
      <c r="L1914" s="105" t="str">
        <f>IF(F1914=True, IFERROR(VLOOKUP(D1914, Repository!A:E, 5, 0), ""), "")</f>
        <v/>
      </c>
      <c r="M1914" s="105"/>
      <c r="N1914" s="105" t="str">
        <f>IF(F1914=True, IFERROR(VLOOKUP(D1914, Repository!A:G, 7, 0), ""), "")</f>
        <v/>
      </c>
      <c r="O1914" s="105" t="str">
        <f>IFERROR(__xludf.DUMMYFUNCTION("ARRAY_CONSTRAIN(
  ARRAYFORMULA(
    IFERROR(
      LET(
        list, N1914,
        arr, TRIM(SPLIT(list, "","")),
        names, XLOOKUP(
          arr,
          'Conformance Score'!A:A,
          'Conformance Score'!B:B,
          ""Not found""
     "&amp;"   ),
        TEXTJOIN("", "", TRUE, names)
      ),
      """"
    )
  ),
  1,
  1
)
"),"")</f>
        <v/>
      </c>
      <c r="P1914" s="105" t="str">
        <f>IF(F1914="Yes", IFERROR(VLOOKUP(D1914, Repository!A:F, 6, 0), ""), "")</f>
        <v/>
      </c>
      <c r="Q1914" s="105" t="str">
        <f>IF(F1914="Yes", IFERROR(VLOOKUP(D1914, Repository!A:I, 8, 0), ""), "")</f>
        <v/>
      </c>
      <c r="R1914" s="105" t="str">
        <f>IF(F1914="Yes", IFERROR(VLOOKUP(D1914, Repository!A:J, 9, 0), ""), "")</f>
        <v/>
      </c>
      <c r="S1914" s="105"/>
      <c r="T1914" s="105"/>
      <c r="U1914" s="105"/>
      <c r="V1914" s="105"/>
      <c r="W1914" s="105"/>
      <c r="X1914" s="105"/>
      <c r="Y1914" s="105"/>
      <c r="Z1914" s="105"/>
      <c r="AA1914" s="105"/>
      <c r="AB1914" s="105"/>
      <c r="AC1914" s="91"/>
      <c r="AD1914" s="105"/>
      <c r="AE1914" s="105"/>
      <c r="AF1914" s="91"/>
      <c r="AG1914" s="105"/>
      <c r="AH1914" s="105"/>
      <c r="AI1914" s="105" t="str">
        <f t="shared" si="1"/>
        <v/>
      </c>
      <c r="AJ1914" s="108" t="str">
        <f t="shared" si="2"/>
        <v/>
      </c>
    </row>
    <row r="1915" ht="15.75" customHeight="1">
      <c r="A1915" s="104"/>
      <c r="B1915" s="105" t="str">
        <f>IFERROR(__xludf.DUMMYFUNCTION("ARRAY_CONSTRAIN(
  ARRAYFORMULA(
    IF(
      'Final Report'!A1915="""",
      """",
      TEXTJOIN(
        "", "" &amp; CHAR(10),
        TRUE,
        IFERROR(
          VLOOKUP(
            TRIM(
              SPLIT('Final Report'!A1915, "","")
         "&amp;"   ),
            'URL Details'!A:B,
            2,
            FALSE
          ),
          """"
        )
      )
    )
  ),
  1,
  1
)
"),"")</f>
        <v/>
      </c>
      <c r="C1915" s="105" t="str">
        <f>IFERROR(__xludf.DUMMYFUNCTION("IFERROR(IF('Final Report'!A1915="""","""", TEXTJOIN(CHAR(10), TRUE, ARRAYFORMULA( ""• ""&amp; FILTER( TRIM(FLATTEN(SPLIT( REGEXREPLACE( SUBSTITUTE(TEXTJOIN("","", TRUE, IFERROR(ARRAYFORMULA(VLOOKUP(TRIM(SPLIT('Final Report'!A1915, "","")), 'URL Details'!A:D, "&amp;"4, FALSE)),"""") ), CHAR(10), "",""), ""\s*,\s*"", "",""), "",""))), TRIM(FLATTEN(SPLIT( REGEXREPLACE( SUBSTITUTE(TEXTJOIN("","", TRUE, IFERROR(ARRAYFORMULA(VLOOKUP(TRIM(SPLIT('Final Report'!A1915, "","")), 'URL Details'!A:D, 4, FALSE)),"""") ), CHAR(10),"&amp;" "",""), ""\s*,\s*"", "",""), "","")))&lt;&gt;"""" ) ) ) ),"""")
"),"")</f>
        <v/>
      </c>
      <c r="D1915" s="105"/>
      <c r="E1915" s="105"/>
      <c r="F1915" s="110" t="b">
        <v>0</v>
      </c>
      <c r="G1915" s="105" t="str">
        <f>IF(F1915=True, IFERROR(VLOOKUP(D1915, Repository!A:B, 2, 0), ""), "")</f>
        <v/>
      </c>
      <c r="H1915" s="105"/>
      <c r="I1915" s="105"/>
      <c r="J1915" s="105" t="str">
        <f>IF(F1915=True, IFERROR(VLOOKUP(D1915, Repository!A:C, 3, 0), ""), "")</f>
        <v/>
      </c>
      <c r="K1915" s="105"/>
      <c r="L1915" s="105" t="str">
        <f>IF(F1915=True, IFERROR(VLOOKUP(D1915, Repository!A:E, 5, 0), ""), "")</f>
        <v/>
      </c>
      <c r="M1915" s="105"/>
      <c r="N1915" s="105" t="str">
        <f>IF(F1915=True, IFERROR(VLOOKUP(D1915, Repository!A:G, 7, 0), ""), "")</f>
        <v/>
      </c>
      <c r="O1915" s="105" t="str">
        <f>IFERROR(__xludf.DUMMYFUNCTION("ARRAY_CONSTRAIN(
  ARRAYFORMULA(
    IFERROR(
      LET(
        list, N1915,
        arr, TRIM(SPLIT(list, "","")),
        names, XLOOKUP(
          arr,
          'Conformance Score'!A:A,
          'Conformance Score'!B:B,
          ""Not found""
     "&amp;"   ),
        TEXTJOIN("", "", TRUE, names)
      ),
      """"
    )
  ),
  1,
  1
)
"),"")</f>
        <v/>
      </c>
      <c r="P1915" s="105" t="str">
        <f>IF(F1915="Yes", IFERROR(VLOOKUP(D1915, Repository!A:F, 6, 0), ""), "")</f>
        <v/>
      </c>
      <c r="Q1915" s="105" t="str">
        <f>IF(F1915="Yes", IFERROR(VLOOKUP(D1915, Repository!A:I, 8, 0), ""), "")</f>
        <v/>
      </c>
      <c r="R1915" s="105" t="str">
        <f>IF(F1915="Yes", IFERROR(VLOOKUP(D1915, Repository!A:J, 9, 0), ""), "")</f>
        <v/>
      </c>
      <c r="S1915" s="105"/>
      <c r="T1915" s="105"/>
      <c r="U1915" s="105"/>
      <c r="V1915" s="105"/>
      <c r="W1915" s="105"/>
      <c r="X1915" s="105"/>
      <c r="Y1915" s="105"/>
      <c r="Z1915" s="105"/>
      <c r="AA1915" s="105"/>
      <c r="AB1915" s="105"/>
      <c r="AC1915" s="91"/>
      <c r="AD1915" s="105"/>
      <c r="AE1915" s="105"/>
      <c r="AF1915" s="91"/>
      <c r="AG1915" s="105"/>
      <c r="AH1915" s="105"/>
      <c r="AI1915" s="105" t="str">
        <f t="shared" si="1"/>
        <v/>
      </c>
      <c r="AJ1915" s="108" t="str">
        <f t="shared" si="2"/>
        <v/>
      </c>
    </row>
    <row r="1916" ht="15.75" customHeight="1">
      <c r="A1916" s="104"/>
      <c r="B1916" s="105" t="str">
        <f>IFERROR(__xludf.DUMMYFUNCTION("ARRAY_CONSTRAIN(
  ARRAYFORMULA(
    IF(
      'Final Report'!A1916="""",
      """",
      TEXTJOIN(
        "", "" &amp; CHAR(10),
        TRUE,
        IFERROR(
          VLOOKUP(
            TRIM(
              SPLIT('Final Report'!A1916, "","")
         "&amp;"   ),
            'URL Details'!A:B,
            2,
            FALSE
          ),
          """"
        )
      )
    )
  ),
  1,
  1
)
"),"")</f>
        <v/>
      </c>
      <c r="C1916" s="105" t="str">
        <f>IFERROR(__xludf.DUMMYFUNCTION("IFERROR(IF('Final Report'!A1916="""","""", TEXTJOIN(CHAR(10), TRUE, ARRAYFORMULA( ""• ""&amp; FILTER( TRIM(FLATTEN(SPLIT( REGEXREPLACE( SUBSTITUTE(TEXTJOIN("","", TRUE, IFERROR(ARRAYFORMULA(VLOOKUP(TRIM(SPLIT('Final Report'!A1916, "","")), 'URL Details'!A:D, "&amp;"4, FALSE)),"""") ), CHAR(10), "",""), ""\s*,\s*"", "",""), "",""))), TRIM(FLATTEN(SPLIT( REGEXREPLACE( SUBSTITUTE(TEXTJOIN("","", TRUE, IFERROR(ARRAYFORMULA(VLOOKUP(TRIM(SPLIT('Final Report'!A1916, "","")), 'URL Details'!A:D, 4, FALSE)),"""") ), CHAR(10),"&amp;" "",""), ""\s*,\s*"", "",""), "","")))&lt;&gt;"""" ) ) ) ),"""")
"),"")</f>
        <v/>
      </c>
      <c r="D1916" s="105"/>
      <c r="E1916" s="105"/>
      <c r="F1916" s="110" t="b">
        <v>0</v>
      </c>
      <c r="G1916" s="105" t="str">
        <f>IF(F1916=True, IFERROR(VLOOKUP(D1916, Repository!A:B, 2, 0), ""), "")</f>
        <v/>
      </c>
      <c r="H1916" s="105"/>
      <c r="I1916" s="105"/>
      <c r="J1916" s="105" t="str">
        <f>IF(F1916=True, IFERROR(VLOOKUP(D1916, Repository!A:C, 3, 0), ""), "")</f>
        <v/>
      </c>
      <c r="K1916" s="105"/>
      <c r="L1916" s="105" t="str">
        <f>IF(F1916=True, IFERROR(VLOOKUP(D1916, Repository!A:E, 5, 0), ""), "")</f>
        <v/>
      </c>
      <c r="M1916" s="105"/>
      <c r="N1916" s="105" t="str">
        <f>IF(F1916=True, IFERROR(VLOOKUP(D1916, Repository!A:G, 7, 0), ""), "")</f>
        <v/>
      </c>
      <c r="O1916" s="105" t="str">
        <f>IFERROR(__xludf.DUMMYFUNCTION("ARRAY_CONSTRAIN(
  ARRAYFORMULA(
    IFERROR(
      LET(
        list, N1916,
        arr, TRIM(SPLIT(list, "","")),
        names, XLOOKUP(
          arr,
          'Conformance Score'!A:A,
          'Conformance Score'!B:B,
          ""Not found""
     "&amp;"   ),
        TEXTJOIN("", "", TRUE, names)
      ),
      """"
    )
  ),
  1,
  1
)
"),"")</f>
        <v/>
      </c>
      <c r="P1916" s="105" t="str">
        <f>IF(F1916="Yes", IFERROR(VLOOKUP(D1916, Repository!A:F, 6, 0), ""), "")</f>
        <v/>
      </c>
      <c r="Q1916" s="105" t="str">
        <f>IF(F1916="Yes", IFERROR(VLOOKUP(D1916, Repository!A:I, 8, 0), ""), "")</f>
        <v/>
      </c>
      <c r="R1916" s="105" t="str">
        <f>IF(F1916="Yes", IFERROR(VLOOKUP(D1916, Repository!A:J, 9, 0), ""), "")</f>
        <v/>
      </c>
      <c r="S1916" s="105"/>
      <c r="T1916" s="105"/>
      <c r="U1916" s="105"/>
      <c r="V1916" s="105"/>
      <c r="W1916" s="105"/>
      <c r="X1916" s="105"/>
      <c r="Y1916" s="105"/>
      <c r="Z1916" s="105"/>
      <c r="AA1916" s="105"/>
      <c r="AB1916" s="105"/>
      <c r="AC1916" s="91"/>
      <c r="AD1916" s="105"/>
      <c r="AE1916" s="105"/>
      <c r="AF1916" s="91"/>
      <c r="AG1916" s="105"/>
      <c r="AH1916" s="105"/>
      <c r="AI1916" s="105" t="str">
        <f t="shared" si="1"/>
        <v/>
      </c>
      <c r="AJ1916" s="108" t="str">
        <f t="shared" si="2"/>
        <v/>
      </c>
    </row>
    <row r="1917" ht="15.75" customHeight="1">
      <c r="A1917" s="104"/>
      <c r="B1917" s="105" t="str">
        <f>IFERROR(__xludf.DUMMYFUNCTION("ARRAY_CONSTRAIN(
  ARRAYFORMULA(
    IF(
      'Final Report'!A1917="""",
      """",
      TEXTJOIN(
        "", "" &amp; CHAR(10),
        TRUE,
        IFERROR(
          VLOOKUP(
            TRIM(
              SPLIT('Final Report'!A1917, "","")
         "&amp;"   ),
            'URL Details'!A:B,
            2,
            FALSE
          ),
          """"
        )
      )
    )
  ),
  1,
  1
)
"),"")</f>
        <v/>
      </c>
      <c r="C1917" s="105" t="str">
        <f>IFERROR(__xludf.DUMMYFUNCTION("IFERROR(IF('Final Report'!A1917="""","""", TEXTJOIN(CHAR(10), TRUE, ARRAYFORMULA( ""• ""&amp; FILTER( TRIM(FLATTEN(SPLIT( REGEXREPLACE( SUBSTITUTE(TEXTJOIN("","", TRUE, IFERROR(ARRAYFORMULA(VLOOKUP(TRIM(SPLIT('Final Report'!A1917, "","")), 'URL Details'!A:D, "&amp;"4, FALSE)),"""") ), CHAR(10), "",""), ""\s*,\s*"", "",""), "",""))), TRIM(FLATTEN(SPLIT( REGEXREPLACE( SUBSTITUTE(TEXTJOIN("","", TRUE, IFERROR(ARRAYFORMULA(VLOOKUP(TRIM(SPLIT('Final Report'!A1917, "","")), 'URL Details'!A:D, 4, FALSE)),"""") ), CHAR(10),"&amp;" "",""), ""\s*,\s*"", "",""), "","")))&lt;&gt;"""" ) ) ) ),"""")
"),"")</f>
        <v/>
      </c>
      <c r="D1917" s="105"/>
      <c r="E1917" s="105"/>
      <c r="F1917" s="110" t="b">
        <v>0</v>
      </c>
      <c r="G1917" s="105" t="str">
        <f>IF(F1917=True, IFERROR(VLOOKUP(D1917, Repository!A:B, 2, 0), ""), "")</f>
        <v/>
      </c>
      <c r="H1917" s="105"/>
      <c r="I1917" s="105"/>
      <c r="J1917" s="105" t="str">
        <f>IF(F1917=True, IFERROR(VLOOKUP(D1917, Repository!A:C, 3, 0), ""), "")</f>
        <v/>
      </c>
      <c r="K1917" s="105"/>
      <c r="L1917" s="105" t="str">
        <f>IF(F1917=True, IFERROR(VLOOKUP(D1917, Repository!A:E, 5, 0), ""), "")</f>
        <v/>
      </c>
      <c r="M1917" s="105"/>
      <c r="N1917" s="105" t="str">
        <f>IF(F1917=True, IFERROR(VLOOKUP(D1917, Repository!A:G, 7, 0), ""), "")</f>
        <v/>
      </c>
      <c r="O1917" s="105" t="str">
        <f>IFERROR(__xludf.DUMMYFUNCTION("ARRAY_CONSTRAIN(
  ARRAYFORMULA(
    IFERROR(
      LET(
        list, N1917,
        arr, TRIM(SPLIT(list, "","")),
        names, XLOOKUP(
          arr,
          'Conformance Score'!A:A,
          'Conformance Score'!B:B,
          ""Not found""
     "&amp;"   ),
        TEXTJOIN("", "", TRUE, names)
      ),
      """"
    )
  ),
  1,
  1
)
"),"")</f>
        <v/>
      </c>
      <c r="P1917" s="105" t="str">
        <f>IF(F1917="Yes", IFERROR(VLOOKUP(D1917, Repository!A:F, 6, 0), ""), "")</f>
        <v/>
      </c>
      <c r="Q1917" s="105" t="str">
        <f>IF(F1917="Yes", IFERROR(VLOOKUP(D1917, Repository!A:I, 8, 0), ""), "")</f>
        <v/>
      </c>
      <c r="R1917" s="105" t="str">
        <f>IF(F1917="Yes", IFERROR(VLOOKUP(D1917, Repository!A:J, 9, 0), ""), "")</f>
        <v/>
      </c>
      <c r="S1917" s="105"/>
      <c r="T1917" s="105"/>
      <c r="U1917" s="105"/>
      <c r="V1917" s="105"/>
      <c r="W1917" s="105"/>
      <c r="X1917" s="105"/>
      <c r="Y1917" s="105"/>
      <c r="Z1917" s="105"/>
      <c r="AA1917" s="105"/>
      <c r="AB1917" s="105"/>
      <c r="AC1917" s="91"/>
      <c r="AD1917" s="105"/>
      <c r="AE1917" s="105"/>
      <c r="AF1917" s="91"/>
      <c r="AG1917" s="105"/>
      <c r="AH1917" s="105"/>
      <c r="AI1917" s="105" t="str">
        <f t="shared" si="1"/>
        <v/>
      </c>
      <c r="AJ1917" s="108" t="str">
        <f t="shared" si="2"/>
        <v/>
      </c>
    </row>
    <row r="1918" ht="15.75" customHeight="1">
      <c r="A1918" s="104"/>
      <c r="B1918" s="105" t="str">
        <f>IFERROR(__xludf.DUMMYFUNCTION("ARRAY_CONSTRAIN(
  ARRAYFORMULA(
    IF(
      'Final Report'!A1918="""",
      """",
      TEXTJOIN(
        "", "" &amp; CHAR(10),
        TRUE,
        IFERROR(
          VLOOKUP(
            TRIM(
              SPLIT('Final Report'!A1918, "","")
         "&amp;"   ),
            'URL Details'!A:B,
            2,
            FALSE
          ),
          """"
        )
      )
    )
  ),
  1,
  1
)
"),"")</f>
        <v/>
      </c>
      <c r="C1918" s="105" t="str">
        <f>IFERROR(__xludf.DUMMYFUNCTION("IFERROR(IF('Final Report'!A1918="""","""", TEXTJOIN(CHAR(10), TRUE, ARRAYFORMULA( ""• ""&amp; FILTER( TRIM(FLATTEN(SPLIT( REGEXREPLACE( SUBSTITUTE(TEXTJOIN("","", TRUE, IFERROR(ARRAYFORMULA(VLOOKUP(TRIM(SPLIT('Final Report'!A1918, "","")), 'URL Details'!A:D, "&amp;"4, FALSE)),"""") ), CHAR(10), "",""), ""\s*,\s*"", "",""), "",""))), TRIM(FLATTEN(SPLIT( REGEXREPLACE( SUBSTITUTE(TEXTJOIN("","", TRUE, IFERROR(ARRAYFORMULA(VLOOKUP(TRIM(SPLIT('Final Report'!A1918, "","")), 'URL Details'!A:D, 4, FALSE)),"""") ), CHAR(10),"&amp;" "",""), ""\s*,\s*"", "",""), "","")))&lt;&gt;"""" ) ) ) ),"""")
"),"")</f>
        <v/>
      </c>
      <c r="D1918" s="105"/>
      <c r="E1918" s="105"/>
      <c r="F1918" s="110" t="b">
        <v>0</v>
      </c>
      <c r="G1918" s="105" t="str">
        <f>IF(F1918=True, IFERROR(VLOOKUP(D1918, Repository!A:B, 2, 0), ""), "")</f>
        <v/>
      </c>
      <c r="H1918" s="105"/>
      <c r="I1918" s="105"/>
      <c r="J1918" s="105" t="str">
        <f>IF(F1918=True, IFERROR(VLOOKUP(D1918, Repository!A:C, 3, 0), ""), "")</f>
        <v/>
      </c>
      <c r="K1918" s="105"/>
      <c r="L1918" s="105" t="str">
        <f>IF(F1918=True, IFERROR(VLOOKUP(D1918, Repository!A:E, 5, 0), ""), "")</f>
        <v/>
      </c>
      <c r="M1918" s="105"/>
      <c r="N1918" s="105" t="str">
        <f>IF(F1918=True, IFERROR(VLOOKUP(D1918, Repository!A:G, 7, 0), ""), "")</f>
        <v/>
      </c>
      <c r="O1918" s="105" t="str">
        <f>IFERROR(__xludf.DUMMYFUNCTION("ARRAY_CONSTRAIN(
  ARRAYFORMULA(
    IFERROR(
      LET(
        list, N1918,
        arr, TRIM(SPLIT(list, "","")),
        names, XLOOKUP(
          arr,
          'Conformance Score'!A:A,
          'Conformance Score'!B:B,
          ""Not found""
     "&amp;"   ),
        TEXTJOIN("", "", TRUE, names)
      ),
      """"
    )
  ),
  1,
  1
)
"),"")</f>
        <v/>
      </c>
      <c r="P1918" s="105" t="str">
        <f>IF(F1918="Yes", IFERROR(VLOOKUP(D1918, Repository!A:F, 6, 0), ""), "")</f>
        <v/>
      </c>
      <c r="Q1918" s="105" t="str">
        <f>IF(F1918="Yes", IFERROR(VLOOKUP(D1918, Repository!A:I, 8, 0), ""), "")</f>
        <v/>
      </c>
      <c r="R1918" s="105" t="str">
        <f>IF(F1918="Yes", IFERROR(VLOOKUP(D1918, Repository!A:J, 9, 0), ""), "")</f>
        <v/>
      </c>
      <c r="S1918" s="105"/>
      <c r="T1918" s="105"/>
      <c r="U1918" s="105"/>
      <c r="V1918" s="105"/>
      <c r="W1918" s="105"/>
      <c r="X1918" s="105"/>
      <c r="Y1918" s="105"/>
      <c r="Z1918" s="105"/>
      <c r="AA1918" s="105"/>
      <c r="AB1918" s="105"/>
      <c r="AC1918" s="91"/>
      <c r="AD1918" s="105"/>
      <c r="AE1918" s="105"/>
      <c r="AF1918" s="91"/>
      <c r="AG1918" s="105"/>
      <c r="AH1918" s="105"/>
      <c r="AI1918" s="105" t="str">
        <f t="shared" si="1"/>
        <v/>
      </c>
      <c r="AJ1918" s="108" t="str">
        <f t="shared" si="2"/>
        <v/>
      </c>
    </row>
    <row r="1919" ht="15.75" customHeight="1">
      <c r="A1919" s="104"/>
      <c r="B1919" s="105" t="str">
        <f>IFERROR(__xludf.DUMMYFUNCTION("ARRAY_CONSTRAIN(
  ARRAYFORMULA(
    IF(
      'Final Report'!A1919="""",
      """",
      TEXTJOIN(
        "", "" &amp; CHAR(10),
        TRUE,
        IFERROR(
          VLOOKUP(
            TRIM(
              SPLIT('Final Report'!A1919, "","")
         "&amp;"   ),
            'URL Details'!A:B,
            2,
            FALSE
          ),
          """"
        )
      )
    )
  ),
  1,
  1
)
"),"")</f>
        <v/>
      </c>
      <c r="C1919" s="105" t="str">
        <f>IFERROR(__xludf.DUMMYFUNCTION("IFERROR(IF('Final Report'!A1919="""","""", TEXTJOIN(CHAR(10), TRUE, ARRAYFORMULA( ""• ""&amp; FILTER( TRIM(FLATTEN(SPLIT( REGEXREPLACE( SUBSTITUTE(TEXTJOIN("","", TRUE, IFERROR(ARRAYFORMULA(VLOOKUP(TRIM(SPLIT('Final Report'!A1919, "","")), 'URL Details'!A:D, "&amp;"4, FALSE)),"""") ), CHAR(10), "",""), ""\s*,\s*"", "",""), "",""))), TRIM(FLATTEN(SPLIT( REGEXREPLACE( SUBSTITUTE(TEXTJOIN("","", TRUE, IFERROR(ARRAYFORMULA(VLOOKUP(TRIM(SPLIT('Final Report'!A1919, "","")), 'URL Details'!A:D, 4, FALSE)),"""") ), CHAR(10),"&amp;" "",""), ""\s*,\s*"", "",""), "","")))&lt;&gt;"""" ) ) ) ),"""")
"),"")</f>
        <v/>
      </c>
      <c r="D1919" s="105"/>
      <c r="E1919" s="105"/>
      <c r="F1919" s="110" t="b">
        <v>0</v>
      </c>
      <c r="G1919" s="105" t="str">
        <f>IF(F1919=True, IFERROR(VLOOKUP(D1919, Repository!A:B, 2, 0), ""), "")</f>
        <v/>
      </c>
      <c r="H1919" s="105"/>
      <c r="I1919" s="105"/>
      <c r="J1919" s="105" t="str">
        <f>IF(F1919=True, IFERROR(VLOOKUP(D1919, Repository!A:C, 3, 0), ""), "")</f>
        <v/>
      </c>
      <c r="K1919" s="105"/>
      <c r="L1919" s="105" t="str">
        <f>IF(F1919=True, IFERROR(VLOOKUP(D1919, Repository!A:E, 5, 0), ""), "")</f>
        <v/>
      </c>
      <c r="M1919" s="105"/>
      <c r="N1919" s="105" t="str">
        <f>IF(F1919=True, IFERROR(VLOOKUP(D1919, Repository!A:G, 7, 0), ""), "")</f>
        <v/>
      </c>
      <c r="O1919" s="105" t="str">
        <f>IFERROR(__xludf.DUMMYFUNCTION("ARRAY_CONSTRAIN(
  ARRAYFORMULA(
    IFERROR(
      LET(
        list, N1919,
        arr, TRIM(SPLIT(list, "","")),
        names, XLOOKUP(
          arr,
          'Conformance Score'!A:A,
          'Conformance Score'!B:B,
          ""Not found""
     "&amp;"   ),
        TEXTJOIN("", "", TRUE, names)
      ),
      """"
    )
  ),
  1,
  1
)
"),"")</f>
        <v/>
      </c>
      <c r="P1919" s="105" t="str">
        <f>IF(F1919="Yes", IFERROR(VLOOKUP(D1919, Repository!A:F, 6, 0), ""), "")</f>
        <v/>
      </c>
      <c r="Q1919" s="105" t="str">
        <f>IF(F1919="Yes", IFERROR(VLOOKUP(D1919, Repository!A:I, 8, 0), ""), "")</f>
        <v/>
      </c>
      <c r="R1919" s="105" t="str">
        <f>IF(F1919="Yes", IFERROR(VLOOKUP(D1919, Repository!A:J, 9, 0), ""), "")</f>
        <v/>
      </c>
      <c r="S1919" s="105"/>
      <c r="T1919" s="105"/>
      <c r="U1919" s="105"/>
      <c r="V1919" s="105"/>
      <c r="W1919" s="105"/>
      <c r="X1919" s="105"/>
      <c r="Y1919" s="105"/>
      <c r="Z1919" s="105"/>
      <c r="AA1919" s="105"/>
      <c r="AB1919" s="105"/>
      <c r="AC1919" s="91"/>
      <c r="AD1919" s="105"/>
      <c r="AE1919" s="105"/>
      <c r="AF1919" s="91"/>
      <c r="AG1919" s="105"/>
      <c r="AH1919" s="105"/>
      <c r="AI1919" s="105" t="str">
        <f t="shared" si="1"/>
        <v/>
      </c>
      <c r="AJ1919" s="108" t="str">
        <f t="shared" si="2"/>
        <v/>
      </c>
    </row>
    <row r="1920" ht="15.75" customHeight="1">
      <c r="A1920" s="104"/>
      <c r="B1920" s="105" t="str">
        <f>IFERROR(__xludf.DUMMYFUNCTION("ARRAY_CONSTRAIN(
  ARRAYFORMULA(
    IF(
      'Final Report'!A1920="""",
      """",
      TEXTJOIN(
        "", "" &amp; CHAR(10),
        TRUE,
        IFERROR(
          VLOOKUP(
            TRIM(
              SPLIT('Final Report'!A1920, "","")
         "&amp;"   ),
            'URL Details'!A:B,
            2,
            FALSE
          ),
          """"
        )
      )
    )
  ),
  1,
  1
)
"),"")</f>
        <v/>
      </c>
      <c r="C1920" s="105" t="str">
        <f>IFERROR(__xludf.DUMMYFUNCTION("IFERROR(IF('Final Report'!A1920="""","""", TEXTJOIN(CHAR(10), TRUE, ARRAYFORMULA( ""• ""&amp; FILTER( TRIM(FLATTEN(SPLIT( REGEXREPLACE( SUBSTITUTE(TEXTJOIN("","", TRUE, IFERROR(ARRAYFORMULA(VLOOKUP(TRIM(SPLIT('Final Report'!A1920, "","")), 'URL Details'!A:D, "&amp;"4, FALSE)),"""") ), CHAR(10), "",""), ""\s*,\s*"", "",""), "",""))), TRIM(FLATTEN(SPLIT( REGEXREPLACE( SUBSTITUTE(TEXTJOIN("","", TRUE, IFERROR(ARRAYFORMULA(VLOOKUP(TRIM(SPLIT('Final Report'!A1920, "","")), 'URL Details'!A:D, 4, FALSE)),"""") ), CHAR(10),"&amp;" "",""), ""\s*,\s*"", "",""), "","")))&lt;&gt;"""" ) ) ) ),"""")
"),"")</f>
        <v/>
      </c>
      <c r="D1920" s="105"/>
      <c r="E1920" s="105"/>
      <c r="F1920" s="110" t="b">
        <v>0</v>
      </c>
      <c r="G1920" s="105" t="str">
        <f>IF(F1920=True, IFERROR(VLOOKUP(D1920, Repository!A:B, 2, 0), ""), "")</f>
        <v/>
      </c>
      <c r="H1920" s="105"/>
      <c r="I1920" s="105"/>
      <c r="J1920" s="105" t="str">
        <f>IF(F1920=True, IFERROR(VLOOKUP(D1920, Repository!A:C, 3, 0), ""), "")</f>
        <v/>
      </c>
      <c r="K1920" s="105"/>
      <c r="L1920" s="105" t="str">
        <f>IF(F1920=True, IFERROR(VLOOKUP(D1920, Repository!A:E, 5, 0), ""), "")</f>
        <v/>
      </c>
      <c r="M1920" s="105"/>
      <c r="N1920" s="105" t="str">
        <f>IF(F1920=True, IFERROR(VLOOKUP(D1920, Repository!A:G, 7, 0), ""), "")</f>
        <v/>
      </c>
      <c r="O1920" s="105" t="str">
        <f>IFERROR(__xludf.DUMMYFUNCTION("ARRAY_CONSTRAIN(
  ARRAYFORMULA(
    IFERROR(
      LET(
        list, N1920,
        arr, TRIM(SPLIT(list, "","")),
        names, XLOOKUP(
          arr,
          'Conformance Score'!A:A,
          'Conformance Score'!B:B,
          ""Not found""
     "&amp;"   ),
        TEXTJOIN("", "", TRUE, names)
      ),
      """"
    )
  ),
  1,
  1
)
"),"")</f>
        <v/>
      </c>
      <c r="P1920" s="105" t="str">
        <f>IF(F1920="Yes", IFERROR(VLOOKUP(D1920, Repository!A:F, 6, 0), ""), "")</f>
        <v/>
      </c>
      <c r="Q1920" s="105" t="str">
        <f>IF(F1920="Yes", IFERROR(VLOOKUP(D1920, Repository!A:I, 8, 0), ""), "")</f>
        <v/>
      </c>
      <c r="R1920" s="105" t="str">
        <f>IF(F1920="Yes", IFERROR(VLOOKUP(D1920, Repository!A:J, 9, 0), ""), "")</f>
        <v/>
      </c>
      <c r="S1920" s="105"/>
      <c r="T1920" s="105"/>
      <c r="U1920" s="105"/>
      <c r="V1920" s="105"/>
      <c r="W1920" s="105"/>
      <c r="X1920" s="105"/>
      <c r="Y1920" s="105"/>
      <c r="Z1920" s="105"/>
      <c r="AA1920" s="105"/>
      <c r="AB1920" s="105"/>
      <c r="AC1920" s="91"/>
      <c r="AD1920" s="105"/>
      <c r="AE1920" s="105"/>
      <c r="AF1920" s="91"/>
      <c r="AG1920" s="105"/>
      <c r="AH1920" s="105"/>
      <c r="AI1920" s="105" t="str">
        <f t="shared" si="1"/>
        <v/>
      </c>
      <c r="AJ1920" s="108" t="str">
        <f t="shared" si="2"/>
        <v/>
      </c>
    </row>
    <row r="1921" ht="15.75" customHeight="1">
      <c r="A1921" s="104"/>
      <c r="B1921" s="105" t="str">
        <f>IFERROR(__xludf.DUMMYFUNCTION("ARRAY_CONSTRAIN(
  ARRAYFORMULA(
    IF(
      'Final Report'!A1921="""",
      """",
      TEXTJOIN(
        "", "" &amp; CHAR(10),
        TRUE,
        IFERROR(
          VLOOKUP(
            TRIM(
              SPLIT('Final Report'!A1921, "","")
         "&amp;"   ),
            'URL Details'!A:B,
            2,
            FALSE
          ),
          """"
        )
      )
    )
  ),
  1,
  1
)
"),"")</f>
        <v/>
      </c>
      <c r="C1921" s="105" t="str">
        <f>IFERROR(__xludf.DUMMYFUNCTION("IFERROR(IF('Final Report'!A1921="""","""", TEXTJOIN(CHAR(10), TRUE, ARRAYFORMULA( ""• ""&amp; FILTER( TRIM(FLATTEN(SPLIT( REGEXREPLACE( SUBSTITUTE(TEXTJOIN("","", TRUE, IFERROR(ARRAYFORMULA(VLOOKUP(TRIM(SPLIT('Final Report'!A1921, "","")), 'URL Details'!A:D, "&amp;"4, FALSE)),"""") ), CHAR(10), "",""), ""\s*,\s*"", "",""), "",""))), TRIM(FLATTEN(SPLIT( REGEXREPLACE( SUBSTITUTE(TEXTJOIN("","", TRUE, IFERROR(ARRAYFORMULA(VLOOKUP(TRIM(SPLIT('Final Report'!A1921, "","")), 'URL Details'!A:D, 4, FALSE)),"""") ), CHAR(10),"&amp;" "",""), ""\s*,\s*"", "",""), "","")))&lt;&gt;"""" ) ) ) ),"""")
"),"")</f>
        <v/>
      </c>
      <c r="D1921" s="105"/>
      <c r="E1921" s="105"/>
      <c r="F1921" s="110" t="b">
        <v>0</v>
      </c>
      <c r="G1921" s="105" t="str">
        <f>IF(F1921=True, IFERROR(VLOOKUP(D1921, Repository!A:B, 2, 0), ""), "")</f>
        <v/>
      </c>
      <c r="H1921" s="105"/>
      <c r="I1921" s="105"/>
      <c r="J1921" s="105" t="str">
        <f>IF(F1921=True, IFERROR(VLOOKUP(D1921, Repository!A:C, 3, 0), ""), "")</f>
        <v/>
      </c>
      <c r="K1921" s="105"/>
      <c r="L1921" s="105" t="str">
        <f>IF(F1921=True, IFERROR(VLOOKUP(D1921, Repository!A:E, 5, 0), ""), "")</f>
        <v/>
      </c>
      <c r="M1921" s="105"/>
      <c r="N1921" s="105" t="str">
        <f>IF(F1921=True, IFERROR(VLOOKUP(D1921, Repository!A:G, 7, 0), ""), "")</f>
        <v/>
      </c>
      <c r="O1921" s="105" t="str">
        <f>IFERROR(__xludf.DUMMYFUNCTION("ARRAY_CONSTRAIN(
  ARRAYFORMULA(
    IFERROR(
      LET(
        list, N1921,
        arr, TRIM(SPLIT(list, "","")),
        names, XLOOKUP(
          arr,
          'Conformance Score'!A:A,
          'Conformance Score'!B:B,
          ""Not found""
     "&amp;"   ),
        TEXTJOIN("", "", TRUE, names)
      ),
      """"
    )
  ),
  1,
  1
)
"),"")</f>
        <v/>
      </c>
      <c r="P1921" s="105" t="str">
        <f>IF(F1921="Yes", IFERROR(VLOOKUP(D1921, Repository!A:F, 6, 0), ""), "")</f>
        <v/>
      </c>
      <c r="Q1921" s="105" t="str">
        <f>IF(F1921="Yes", IFERROR(VLOOKUP(D1921, Repository!A:I, 8, 0), ""), "")</f>
        <v/>
      </c>
      <c r="R1921" s="105" t="str">
        <f>IF(F1921="Yes", IFERROR(VLOOKUP(D1921, Repository!A:J, 9, 0), ""), "")</f>
        <v/>
      </c>
      <c r="S1921" s="105"/>
      <c r="T1921" s="105"/>
      <c r="U1921" s="105"/>
      <c r="V1921" s="105"/>
      <c r="W1921" s="105"/>
      <c r="X1921" s="105"/>
      <c r="Y1921" s="105"/>
      <c r="Z1921" s="105"/>
      <c r="AA1921" s="105"/>
      <c r="AB1921" s="105"/>
      <c r="AC1921" s="91"/>
      <c r="AD1921" s="105"/>
      <c r="AE1921" s="105"/>
      <c r="AF1921" s="91"/>
      <c r="AG1921" s="105"/>
      <c r="AH1921" s="105"/>
      <c r="AI1921" s="105" t="str">
        <f t="shared" si="1"/>
        <v/>
      </c>
      <c r="AJ1921" s="108" t="str">
        <f t="shared" si="2"/>
        <v/>
      </c>
    </row>
    <row r="1922" ht="15.75" customHeight="1">
      <c r="A1922" s="104"/>
      <c r="B1922" s="105" t="str">
        <f>IFERROR(__xludf.DUMMYFUNCTION("ARRAY_CONSTRAIN(
  ARRAYFORMULA(
    IF(
      'Final Report'!A1922="""",
      """",
      TEXTJOIN(
        "", "" &amp; CHAR(10),
        TRUE,
        IFERROR(
          VLOOKUP(
            TRIM(
              SPLIT('Final Report'!A1922, "","")
         "&amp;"   ),
            'URL Details'!A:B,
            2,
            FALSE
          ),
          """"
        )
      )
    )
  ),
  1,
  1
)
"),"")</f>
        <v/>
      </c>
      <c r="C1922" s="105" t="str">
        <f>IFERROR(__xludf.DUMMYFUNCTION("IFERROR(IF('Final Report'!A1922="""","""", TEXTJOIN(CHAR(10), TRUE, ARRAYFORMULA( ""• ""&amp; FILTER( TRIM(FLATTEN(SPLIT( REGEXREPLACE( SUBSTITUTE(TEXTJOIN("","", TRUE, IFERROR(ARRAYFORMULA(VLOOKUP(TRIM(SPLIT('Final Report'!A1922, "","")), 'URL Details'!A:D, "&amp;"4, FALSE)),"""") ), CHAR(10), "",""), ""\s*,\s*"", "",""), "",""))), TRIM(FLATTEN(SPLIT( REGEXREPLACE( SUBSTITUTE(TEXTJOIN("","", TRUE, IFERROR(ARRAYFORMULA(VLOOKUP(TRIM(SPLIT('Final Report'!A1922, "","")), 'URL Details'!A:D, 4, FALSE)),"""") ), CHAR(10),"&amp;" "",""), ""\s*,\s*"", "",""), "","")))&lt;&gt;"""" ) ) ) ),"""")
"),"")</f>
        <v/>
      </c>
      <c r="D1922" s="105"/>
      <c r="E1922" s="105"/>
      <c r="F1922" s="110" t="b">
        <v>0</v>
      </c>
      <c r="G1922" s="105" t="str">
        <f>IF(F1922=True, IFERROR(VLOOKUP(D1922, Repository!A:B, 2, 0), ""), "")</f>
        <v/>
      </c>
      <c r="H1922" s="105"/>
      <c r="I1922" s="105"/>
      <c r="J1922" s="105" t="str">
        <f>IF(F1922=True, IFERROR(VLOOKUP(D1922, Repository!A:C, 3, 0), ""), "")</f>
        <v/>
      </c>
      <c r="K1922" s="105"/>
      <c r="L1922" s="105" t="str">
        <f>IF(F1922=True, IFERROR(VLOOKUP(D1922, Repository!A:E, 5, 0), ""), "")</f>
        <v/>
      </c>
      <c r="M1922" s="105"/>
      <c r="N1922" s="105" t="str">
        <f>IF(F1922=True, IFERROR(VLOOKUP(D1922, Repository!A:G, 7, 0), ""), "")</f>
        <v/>
      </c>
      <c r="O1922" s="105" t="str">
        <f>IFERROR(__xludf.DUMMYFUNCTION("ARRAY_CONSTRAIN(
  ARRAYFORMULA(
    IFERROR(
      LET(
        list, N1922,
        arr, TRIM(SPLIT(list, "","")),
        names, XLOOKUP(
          arr,
          'Conformance Score'!A:A,
          'Conformance Score'!B:B,
          ""Not found""
     "&amp;"   ),
        TEXTJOIN("", "", TRUE, names)
      ),
      """"
    )
  ),
  1,
  1
)
"),"")</f>
        <v/>
      </c>
      <c r="P1922" s="105" t="str">
        <f>IF(F1922="Yes", IFERROR(VLOOKUP(D1922, Repository!A:F, 6, 0), ""), "")</f>
        <v/>
      </c>
      <c r="Q1922" s="105" t="str">
        <f>IF(F1922="Yes", IFERROR(VLOOKUP(D1922, Repository!A:I, 8, 0), ""), "")</f>
        <v/>
      </c>
      <c r="R1922" s="105" t="str">
        <f>IF(F1922="Yes", IFERROR(VLOOKUP(D1922, Repository!A:J, 9, 0), ""), "")</f>
        <v/>
      </c>
      <c r="S1922" s="105"/>
      <c r="T1922" s="105"/>
      <c r="U1922" s="105"/>
      <c r="V1922" s="105"/>
      <c r="W1922" s="105"/>
      <c r="X1922" s="105"/>
      <c r="Y1922" s="105"/>
      <c r="Z1922" s="105"/>
      <c r="AA1922" s="105"/>
      <c r="AB1922" s="105"/>
      <c r="AC1922" s="91"/>
      <c r="AD1922" s="105"/>
      <c r="AE1922" s="105"/>
      <c r="AF1922" s="91"/>
      <c r="AG1922" s="105"/>
      <c r="AH1922" s="105"/>
      <c r="AI1922" s="105" t="str">
        <f t="shared" si="1"/>
        <v/>
      </c>
      <c r="AJ1922" s="108" t="str">
        <f t="shared" si="2"/>
        <v/>
      </c>
    </row>
    <row r="1923" ht="15.75" customHeight="1">
      <c r="A1923" s="104"/>
      <c r="B1923" s="105" t="str">
        <f>IFERROR(__xludf.DUMMYFUNCTION("ARRAY_CONSTRAIN(
  ARRAYFORMULA(
    IF(
      'Final Report'!A1923="""",
      """",
      TEXTJOIN(
        "", "" &amp; CHAR(10),
        TRUE,
        IFERROR(
          VLOOKUP(
            TRIM(
              SPLIT('Final Report'!A1923, "","")
         "&amp;"   ),
            'URL Details'!A:B,
            2,
            FALSE
          ),
          """"
        )
      )
    )
  ),
  1,
  1
)
"),"")</f>
        <v/>
      </c>
      <c r="C1923" s="105" t="str">
        <f>IFERROR(__xludf.DUMMYFUNCTION("IFERROR(IF('Final Report'!A1923="""","""", TEXTJOIN(CHAR(10), TRUE, ARRAYFORMULA( ""• ""&amp; FILTER( TRIM(FLATTEN(SPLIT( REGEXREPLACE( SUBSTITUTE(TEXTJOIN("","", TRUE, IFERROR(ARRAYFORMULA(VLOOKUP(TRIM(SPLIT('Final Report'!A1923, "","")), 'URL Details'!A:D, "&amp;"4, FALSE)),"""") ), CHAR(10), "",""), ""\s*,\s*"", "",""), "",""))), TRIM(FLATTEN(SPLIT( REGEXREPLACE( SUBSTITUTE(TEXTJOIN("","", TRUE, IFERROR(ARRAYFORMULA(VLOOKUP(TRIM(SPLIT('Final Report'!A1923, "","")), 'URL Details'!A:D, 4, FALSE)),"""") ), CHAR(10),"&amp;" "",""), ""\s*,\s*"", "",""), "","")))&lt;&gt;"""" ) ) ) ),"""")
"),"")</f>
        <v/>
      </c>
      <c r="D1923" s="105"/>
      <c r="E1923" s="105"/>
      <c r="F1923" s="110" t="b">
        <v>0</v>
      </c>
      <c r="G1923" s="105" t="str">
        <f>IF(F1923=True, IFERROR(VLOOKUP(D1923, Repository!A:B, 2, 0), ""), "")</f>
        <v/>
      </c>
      <c r="H1923" s="105"/>
      <c r="I1923" s="105"/>
      <c r="J1923" s="105" t="str">
        <f>IF(F1923=True, IFERROR(VLOOKUP(D1923, Repository!A:C, 3, 0), ""), "")</f>
        <v/>
      </c>
      <c r="K1923" s="105"/>
      <c r="L1923" s="105" t="str">
        <f>IF(F1923=True, IFERROR(VLOOKUP(D1923, Repository!A:E, 5, 0), ""), "")</f>
        <v/>
      </c>
      <c r="M1923" s="105"/>
      <c r="N1923" s="105" t="str">
        <f>IF(F1923=True, IFERROR(VLOOKUP(D1923, Repository!A:G, 7, 0), ""), "")</f>
        <v/>
      </c>
      <c r="O1923" s="105" t="str">
        <f>IFERROR(__xludf.DUMMYFUNCTION("ARRAY_CONSTRAIN(
  ARRAYFORMULA(
    IFERROR(
      LET(
        list, N1923,
        arr, TRIM(SPLIT(list, "","")),
        names, XLOOKUP(
          arr,
          'Conformance Score'!A:A,
          'Conformance Score'!B:B,
          ""Not found""
     "&amp;"   ),
        TEXTJOIN("", "", TRUE, names)
      ),
      """"
    )
  ),
  1,
  1
)
"),"")</f>
        <v/>
      </c>
      <c r="P1923" s="105" t="str">
        <f>IF(F1923="Yes", IFERROR(VLOOKUP(D1923, Repository!A:F, 6, 0), ""), "")</f>
        <v/>
      </c>
      <c r="Q1923" s="105" t="str">
        <f>IF(F1923="Yes", IFERROR(VLOOKUP(D1923, Repository!A:I, 8, 0), ""), "")</f>
        <v/>
      </c>
      <c r="R1923" s="105" t="str">
        <f>IF(F1923="Yes", IFERROR(VLOOKUP(D1923, Repository!A:J, 9, 0), ""), "")</f>
        <v/>
      </c>
      <c r="S1923" s="105"/>
      <c r="T1923" s="105"/>
      <c r="U1923" s="105"/>
      <c r="V1923" s="105"/>
      <c r="W1923" s="105"/>
      <c r="X1923" s="105"/>
      <c r="Y1923" s="105"/>
      <c r="Z1923" s="105"/>
      <c r="AA1923" s="105"/>
      <c r="AB1923" s="105"/>
      <c r="AC1923" s="91"/>
      <c r="AD1923" s="105"/>
      <c r="AE1923" s="105"/>
      <c r="AF1923" s="91"/>
      <c r="AG1923" s="105"/>
      <c r="AH1923" s="105"/>
      <c r="AI1923" s="105" t="str">
        <f t="shared" si="1"/>
        <v/>
      </c>
      <c r="AJ1923" s="108" t="str">
        <f t="shared" si="2"/>
        <v/>
      </c>
    </row>
    <row r="1924" ht="15.75" customHeight="1">
      <c r="A1924" s="104"/>
      <c r="B1924" s="105" t="str">
        <f>IFERROR(__xludf.DUMMYFUNCTION("ARRAY_CONSTRAIN(
  ARRAYFORMULA(
    IF(
      'Final Report'!A1924="""",
      """",
      TEXTJOIN(
        "", "" &amp; CHAR(10),
        TRUE,
        IFERROR(
          VLOOKUP(
            TRIM(
              SPLIT('Final Report'!A1924, "","")
         "&amp;"   ),
            'URL Details'!A:B,
            2,
            FALSE
          ),
          """"
        )
      )
    )
  ),
  1,
  1
)
"),"")</f>
        <v/>
      </c>
      <c r="C1924" s="105" t="str">
        <f>IFERROR(__xludf.DUMMYFUNCTION("IFERROR(IF('Final Report'!A1924="""","""", TEXTJOIN(CHAR(10), TRUE, ARRAYFORMULA( ""• ""&amp; FILTER( TRIM(FLATTEN(SPLIT( REGEXREPLACE( SUBSTITUTE(TEXTJOIN("","", TRUE, IFERROR(ARRAYFORMULA(VLOOKUP(TRIM(SPLIT('Final Report'!A1924, "","")), 'URL Details'!A:D, "&amp;"4, FALSE)),"""") ), CHAR(10), "",""), ""\s*,\s*"", "",""), "",""))), TRIM(FLATTEN(SPLIT( REGEXREPLACE( SUBSTITUTE(TEXTJOIN("","", TRUE, IFERROR(ARRAYFORMULA(VLOOKUP(TRIM(SPLIT('Final Report'!A1924, "","")), 'URL Details'!A:D, 4, FALSE)),"""") ), CHAR(10),"&amp;" "",""), ""\s*,\s*"", "",""), "","")))&lt;&gt;"""" ) ) ) ),"""")
"),"")</f>
        <v/>
      </c>
      <c r="D1924" s="105"/>
      <c r="E1924" s="105"/>
      <c r="F1924" s="110" t="b">
        <v>0</v>
      </c>
      <c r="G1924" s="105" t="str">
        <f>IF(F1924=True, IFERROR(VLOOKUP(D1924, Repository!A:B, 2, 0), ""), "")</f>
        <v/>
      </c>
      <c r="H1924" s="105"/>
      <c r="I1924" s="105"/>
      <c r="J1924" s="105" t="str">
        <f>IF(F1924=True, IFERROR(VLOOKUP(D1924, Repository!A:C, 3, 0), ""), "")</f>
        <v/>
      </c>
      <c r="K1924" s="105"/>
      <c r="L1924" s="105" t="str">
        <f>IF(F1924=True, IFERROR(VLOOKUP(D1924, Repository!A:E, 5, 0), ""), "")</f>
        <v/>
      </c>
      <c r="M1924" s="105"/>
      <c r="N1924" s="105" t="str">
        <f>IF(F1924=True, IFERROR(VLOOKUP(D1924, Repository!A:G, 7, 0), ""), "")</f>
        <v/>
      </c>
      <c r="O1924" s="105" t="str">
        <f>IFERROR(__xludf.DUMMYFUNCTION("ARRAY_CONSTRAIN(
  ARRAYFORMULA(
    IFERROR(
      LET(
        list, N1924,
        arr, TRIM(SPLIT(list, "","")),
        names, XLOOKUP(
          arr,
          'Conformance Score'!A:A,
          'Conformance Score'!B:B,
          ""Not found""
     "&amp;"   ),
        TEXTJOIN("", "", TRUE, names)
      ),
      """"
    )
  ),
  1,
  1
)
"),"")</f>
        <v/>
      </c>
      <c r="P1924" s="105" t="str">
        <f>IF(F1924="Yes", IFERROR(VLOOKUP(D1924, Repository!A:F, 6, 0), ""), "")</f>
        <v/>
      </c>
      <c r="Q1924" s="105" t="str">
        <f>IF(F1924="Yes", IFERROR(VLOOKUP(D1924, Repository!A:I, 8, 0), ""), "")</f>
        <v/>
      </c>
      <c r="R1924" s="105" t="str">
        <f>IF(F1924="Yes", IFERROR(VLOOKUP(D1924, Repository!A:J, 9, 0), ""), "")</f>
        <v/>
      </c>
      <c r="S1924" s="105"/>
      <c r="T1924" s="105"/>
      <c r="U1924" s="105"/>
      <c r="V1924" s="105"/>
      <c r="W1924" s="105"/>
      <c r="X1924" s="105"/>
      <c r="Y1924" s="105"/>
      <c r="Z1924" s="105"/>
      <c r="AA1924" s="105"/>
      <c r="AB1924" s="105"/>
      <c r="AC1924" s="91"/>
      <c r="AD1924" s="105"/>
      <c r="AE1924" s="105"/>
      <c r="AF1924" s="91"/>
      <c r="AG1924" s="105"/>
      <c r="AH1924" s="105"/>
      <c r="AI1924" s="105" t="str">
        <f t="shared" si="1"/>
        <v/>
      </c>
      <c r="AJ1924" s="108" t="str">
        <f t="shared" si="2"/>
        <v/>
      </c>
    </row>
    <row r="1925" ht="15.75" customHeight="1">
      <c r="A1925" s="104"/>
      <c r="B1925" s="105" t="str">
        <f>IFERROR(__xludf.DUMMYFUNCTION("ARRAY_CONSTRAIN(
  ARRAYFORMULA(
    IF(
      'Final Report'!A1925="""",
      """",
      TEXTJOIN(
        "", "" &amp; CHAR(10),
        TRUE,
        IFERROR(
          VLOOKUP(
            TRIM(
              SPLIT('Final Report'!A1925, "","")
         "&amp;"   ),
            'URL Details'!A:B,
            2,
            FALSE
          ),
          """"
        )
      )
    )
  ),
  1,
  1
)
"),"")</f>
        <v/>
      </c>
      <c r="C1925" s="105" t="str">
        <f>IFERROR(__xludf.DUMMYFUNCTION("IFERROR(IF('Final Report'!A1925="""","""", TEXTJOIN(CHAR(10), TRUE, ARRAYFORMULA( ""• ""&amp; FILTER( TRIM(FLATTEN(SPLIT( REGEXREPLACE( SUBSTITUTE(TEXTJOIN("","", TRUE, IFERROR(ARRAYFORMULA(VLOOKUP(TRIM(SPLIT('Final Report'!A1925, "","")), 'URL Details'!A:D, "&amp;"4, FALSE)),"""") ), CHAR(10), "",""), ""\s*,\s*"", "",""), "",""))), TRIM(FLATTEN(SPLIT( REGEXREPLACE( SUBSTITUTE(TEXTJOIN("","", TRUE, IFERROR(ARRAYFORMULA(VLOOKUP(TRIM(SPLIT('Final Report'!A1925, "","")), 'URL Details'!A:D, 4, FALSE)),"""") ), CHAR(10),"&amp;" "",""), ""\s*,\s*"", "",""), "","")))&lt;&gt;"""" ) ) ) ),"""")
"),"")</f>
        <v/>
      </c>
      <c r="D1925" s="105"/>
      <c r="E1925" s="105"/>
      <c r="F1925" s="110" t="b">
        <v>0</v>
      </c>
      <c r="G1925" s="105" t="str">
        <f>IF(F1925=True, IFERROR(VLOOKUP(D1925, Repository!A:B, 2, 0), ""), "")</f>
        <v/>
      </c>
      <c r="H1925" s="105"/>
      <c r="I1925" s="105"/>
      <c r="J1925" s="105" t="str">
        <f>IF(F1925=True, IFERROR(VLOOKUP(D1925, Repository!A:C, 3, 0), ""), "")</f>
        <v/>
      </c>
      <c r="K1925" s="105"/>
      <c r="L1925" s="105" t="str">
        <f>IF(F1925=True, IFERROR(VLOOKUP(D1925, Repository!A:E, 5, 0), ""), "")</f>
        <v/>
      </c>
      <c r="M1925" s="105"/>
      <c r="N1925" s="105" t="str">
        <f>IF(F1925=True, IFERROR(VLOOKUP(D1925, Repository!A:G, 7, 0), ""), "")</f>
        <v/>
      </c>
      <c r="O1925" s="105" t="str">
        <f>IFERROR(__xludf.DUMMYFUNCTION("ARRAY_CONSTRAIN(
  ARRAYFORMULA(
    IFERROR(
      LET(
        list, N1925,
        arr, TRIM(SPLIT(list, "","")),
        names, XLOOKUP(
          arr,
          'Conformance Score'!A:A,
          'Conformance Score'!B:B,
          ""Not found""
     "&amp;"   ),
        TEXTJOIN("", "", TRUE, names)
      ),
      """"
    )
  ),
  1,
  1
)
"),"")</f>
        <v/>
      </c>
      <c r="P1925" s="105" t="str">
        <f>IF(F1925="Yes", IFERROR(VLOOKUP(D1925, Repository!A:F, 6, 0), ""), "")</f>
        <v/>
      </c>
      <c r="Q1925" s="105" t="str">
        <f>IF(F1925="Yes", IFERROR(VLOOKUP(D1925, Repository!A:I, 8, 0), ""), "")</f>
        <v/>
      </c>
      <c r="R1925" s="105" t="str">
        <f>IF(F1925="Yes", IFERROR(VLOOKUP(D1925, Repository!A:J, 9, 0), ""), "")</f>
        <v/>
      </c>
      <c r="S1925" s="105"/>
      <c r="T1925" s="105"/>
      <c r="U1925" s="105"/>
      <c r="V1925" s="105"/>
      <c r="W1925" s="105"/>
      <c r="X1925" s="105"/>
      <c r="Y1925" s="105"/>
      <c r="Z1925" s="105"/>
      <c r="AA1925" s="105"/>
      <c r="AB1925" s="105"/>
      <c r="AC1925" s="91"/>
      <c r="AD1925" s="105"/>
      <c r="AE1925" s="105"/>
      <c r="AF1925" s="91"/>
      <c r="AG1925" s="105"/>
      <c r="AH1925" s="105"/>
      <c r="AI1925" s="105" t="str">
        <f t="shared" si="1"/>
        <v/>
      </c>
      <c r="AJ1925" s="108" t="str">
        <f t="shared" si="2"/>
        <v/>
      </c>
    </row>
    <row r="1926" ht="15.75" customHeight="1">
      <c r="A1926" s="104"/>
      <c r="B1926" s="105" t="str">
        <f>IFERROR(__xludf.DUMMYFUNCTION("ARRAY_CONSTRAIN(
  ARRAYFORMULA(
    IF(
      'Final Report'!A1926="""",
      """",
      TEXTJOIN(
        "", "" &amp; CHAR(10),
        TRUE,
        IFERROR(
          VLOOKUP(
            TRIM(
              SPLIT('Final Report'!A1926, "","")
         "&amp;"   ),
            'URL Details'!A:B,
            2,
            FALSE
          ),
          """"
        )
      )
    )
  ),
  1,
  1
)
"),"")</f>
        <v/>
      </c>
      <c r="C1926" s="105" t="str">
        <f>IFERROR(__xludf.DUMMYFUNCTION("IFERROR(IF('Final Report'!A1926="""","""", TEXTJOIN(CHAR(10), TRUE, ARRAYFORMULA( ""• ""&amp; FILTER( TRIM(FLATTEN(SPLIT( REGEXREPLACE( SUBSTITUTE(TEXTJOIN("","", TRUE, IFERROR(ARRAYFORMULA(VLOOKUP(TRIM(SPLIT('Final Report'!A1926, "","")), 'URL Details'!A:D, "&amp;"4, FALSE)),"""") ), CHAR(10), "",""), ""\s*,\s*"", "",""), "",""))), TRIM(FLATTEN(SPLIT( REGEXREPLACE( SUBSTITUTE(TEXTJOIN("","", TRUE, IFERROR(ARRAYFORMULA(VLOOKUP(TRIM(SPLIT('Final Report'!A1926, "","")), 'URL Details'!A:D, 4, FALSE)),"""") ), CHAR(10),"&amp;" "",""), ""\s*,\s*"", "",""), "","")))&lt;&gt;"""" ) ) ) ),"""")
"),"")</f>
        <v/>
      </c>
      <c r="D1926" s="105"/>
      <c r="E1926" s="105"/>
      <c r="F1926" s="110" t="b">
        <v>0</v>
      </c>
      <c r="G1926" s="105" t="str">
        <f>IF(F1926=True, IFERROR(VLOOKUP(D1926, Repository!A:B, 2, 0), ""), "")</f>
        <v/>
      </c>
      <c r="H1926" s="105"/>
      <c r="I1926" s="105"/>
      <c r="J1926" s="105" t="str">
        <f>IF(F1926=True, IFERROR(VLOOKUP(D1926, Repository!A:C, 3, 0), ""), "")</f>
        <v/>
      </c>
      <c r="K1926" s="105"/>
      <c r="L1926" s="105" t="str">
        <f>IF(F1926=True, IFERROR(VLOOKUP(D1926, Repository!A:E, 5, 0), ""), "")</f>
        <v/>
      </c>
      <c r="M1926" s="105"/>
      <c r="N1926" s="105" t="str">
        <f>IF(F1926=True, IFERROR(VLOOKUP(D1926, Repository!A:G, 7, 0), ""), "")</f>
        <v/>
      </c>
      <c r="O1926" s="105" t="str">
        <f>IFERROR(__xludf.DUMMYFUNCTION("ARRAY_CONSTRAIN(
  ARRAYFORMULA(
    IFERROR(
      LET(
        list, N1926,
        arr, TRIM(SPLIT(list, "","")),
        names, XLOOKUP(
          arr,
          'Conformance Score'!A:A,
          'Conformance Score'!B:B,
          ""Not found""
     "&amp;"   ),
        TEXTJOIN("", "", TRUE, names)
      ),
      """"
    )
  ),
  1,
  1
)
"),"")</f>
        <v/>
      </c>
      <c r="P1926" s="105" t="str">
        <f>IF(F1926="Yes", IFERROR(VLOOKUP(D1926, Repository!A:F, 6, 0), ""), "")</f>
        <v/>
      </c>
      <c r="Q1926" s="105" t="str">
        <f>IF(F1926="Yes", IFERROR(VLOOKUP(D1926, Repository!A:I, 8, 0), ""), "")</f>
        <v/>
      </c>
      <c r="R1926" s="105" t="str">
        <f>IF(F1926="Yes", IFERROR(VLOOKUP(D1926, Repository!A:J, 9, 0), ""), "")</f>
        <v/>
      </c>
      <c r="S1926" s="105"/>
      <c r="T1926" s="105"/>
      <c r="U1926" s="105"/>
      <c r="V1926" s="105"/>
      <c r="W1926" s="105"/>
      <c r="X1926" s="105"/>
      <c r="Y1926" s="105"/>
      <c r="Z1926" s="105"/>
      <c r="AA1926" s="105"/>
      <c r="AB1926" s="105"/>
      <c r="AC1926" s="91"/>
      <c r="AD1926" s="105"/>
      <c r="AE1926" s="105"/>
      <c r="AF1926" s="91"/>
      <c r="AG1926" s="105"/>
      <c r="AH1926" s="105"/>
      <c r="AI1926" s="105" t="str">
        <f t="shared" si="1"/>
        <v/>
      </c>
      <c r="AJ1926" s="108" t="str">
        <f t="shared" si="2"/>
        <v/>
      </c>
    </row>
    <row r="1927" ht="15.75" customHeight="1">
      <c r="A1927" s="104"/>
      <c r="B1927" s="105" t="str">
        <f>IFERROR(__xludf.DUMMYFUNCTION("ARRAY_CONSTRAIN(
  ARRAYFORMULA(
    IF(
      'Final Report'!A1927="""",
      """",
      TEXTJOIN(
        "", "" &amp; CHAR(10),
        TRUE,
        IFERROR(
          VLOOKUP(
            TRIM(
              SPLIT('Final Report'!A1927, "","")
         "&amp;"   ),
            'URL Details'!A:B,
            2,
            FALSE
          ),
          """"
        )
      )
    )
  ),
  1,
  1
)
"),"")</f>
        <v/>
      </c>
      <c r="C1927" s="105" t="str">
        <f>IFERROR(__xludf.DUMMYFUNCTION("IFERROR(IF('Final Report'!A1927="""","""", TEXTJOIN(CHAR(10), TRUE, ARRAYFORMULA( ""• ""&amp; FILTER( TRIM(FLATTEN(SPLIT( REGEXREPLACE( SUBSTITUTE(TEXTJOIN("","", TRUE, IFERROR(ARRAYFORMULA(VLOOKUP(TRIM(SPLIT('Final Report'!A1927, "","")), 'URL Details'!A:D, "&amp;"4, FALSE)),"""") ), CHAR(10), "",""), ""\s*,\s*"", "",""), "",""))), TRIM(FLATTEN(SPLIT( REGEXREPLACE( SUBSTITUTE(TEXTJOIN("","", TRUE, IFERROR(ARRAYFORMULA(VLOOKUP(TRIM(SPLIT('Final Report'!A1927, "","")), 'URL Details'!A:D, 4, FALSE)),"""") ), CHAR(10),"&amp;" "",""), ""\s*,\s*"", "",""), "","")))&lt;&gt;"""" ) ) ) ),"""")
"),"")</f>
        <v/>
      </c>
      <c r="D1927" s="105"/>
      <c r="E1927" s="105"/>
      <c r="F1927" s="110" t="b">
        <v>0</v>
      </c>
      <c r="G1927" s="105" t="str">
        <f>IF(F1927=True, IFERROR(VLOOKUP(D1927, Repository!A:B, 2, 0), ""), "")</f>
        <v/>
      </c>
      <c r="H1927" s="105"/>
      <c r="I1927" s="105"/>
      <c r="J1927" s="105" t="str">
        <f>IF(F1927=True, IFERROR(VLOOKUP(D1927, Repository!A:C, 3, 0), ""), "")</f>
        <v/>
      </c>
      <c r="K1927" s="105"/>
      <c r="L1927" s="105" t="str">
        <f>IF(F1927=True, IFERROR(VLOOKUP(D1927, Repository!A:E, 5, 0), ""), "")</f>
        <v/>
      </c>
      <c r="M1927" s="105"/>
      <c r="N1927" s="105" t="str">
        <f>IF(F1927=True, IFERROR(VLOOKUP(D1927, Repository!A:G, 7, 0), ""), "")</f>
        <v/>
      </c>
      <c r="O1927" s="105" t="str">
        <f>IFERROR(__xludf.DUMMYFUNCTION("ARRAY_CONSTRAIN(
  ARRAYFORMULA(
    IFERROR(
      LET(
        list, N1927,
        arr, TRIM(SPLIT(list, "","")),
        names, XLOOKUP(
          arr,
          'Conformance Score'!A:A,
          'Conformance Score'!B:B,
          ""Not found""
     "&amp;"   ),
        TEXTJOIN("", "", TRUE, names)
      ),
      """"
    )
  ),
  1,
  1
)
"),"")</f>
        <v/>
      </c>
      <c r="P1927" s="105" t="str">
        <f>IF(F1927="Yes", IFERROR(VLOOKUP(D1927, Repository!A:F, 6, 0), ""), "")</f>
        <v/>
      </c>
      <c r="Q1927" s="105" t="str">
        <f>IF(F1927="Yes", IFERROR(VLOOKUP(D1927, Repository!A:I, 8, 0), ""), "")</f>
        <v/>
      </c>
      <c r="R1927" s="105" t="str">
        <f>IF(F1927="Yes", IFERROR(VLOOKUP(D1927, Repository!A:J, 9, 0), ""), "")</f>
        <v/>
      </c>
      <c r="S1927" s="105"/>
      <c r="T1927" s="105"/>
      <c r="U1927" s="105"/>
      <c r="V1927" s="105"/>
      <c r="W1927" s="105"/>
      <c r="X1927" s="105"/>
      <c r="Y1927" s="105"/>
      <c r="Z1927" s="105"/>
      <c r="AA1927" s="105"/>
      <c r="AB1927" s="105"/>
      <c r="AC1927" s="91"/>
      <c r="AD1927" s="105"/>
      <c r="AE1927" s="105"/>
      <c r="AF1927" s="91"/>
      <c r="AG1927" s="105"/>
      <c r="AH1927" s="105"/>
      <c r="AI1927" s="105" t="str">
        <f t="shared" si="1"/>
        <v/>
      </c>
      <c r="AJ1927" s="108" t="str">
        <f t="shared" si="2"/>
        <v/>
      </c>
    </row>
    <row r="1928" ht="15.75" customHeight="1">
      <c r="A1928" s="104"/>
      <c r="B1928" s="105" t="str">
        <f>IFERROR(__xludf.DUMMYFUNCTION("ARRAY_CONSTRAIN(
  ARRAYFORMULA(
    IF(
      'Final Report'!A1928="""",
      """",
      TEXTJOIN(
        "", "" &amp; CHAR(10),
        TRUE,
        IFERROR(
          VLOOKUP(
            TRIM(
              SPLIT('Final Report'!A1928, "","")
         "&amp;"   ),
            'URL Details'!A:B,
            2,
            FALSE
          ),
          """"
        )
      )
    )
  ),
  1,
  1
)
"),"")</f>
        <v/>
      </c>
      <c r="C1928" s="105" t="str">
        <f>IFERROR(__xludf.DUMMYFUNCTION("IFERROR(IF('Final Report'!A1928="""","""", TEXTJOIN(CHAR(10), TRUE, ARRAYFORMULA( ""• ""&amp; FILTER( TRIM(FLATTEN(SPLIT( REGEXREPLACE( SUBSTITUTE(TEXTJOIN("","", TRUE, IFERROR(ARRAYFORMULA(VLOOKUP(TRIM(SPLIT('Final Report'!A1928, "","")), 'URL Details'!A:D, "&amp;"4, FALSE)),"""") ), CHAR(10), "",""), ""\s*,\s*"", "",""), "",""))), TRIM(FLATTEN(SPLIT( REGEXREPLACE( SUBSTITUTE(TEXTJOIN("","", TRUE, IFERROR(ARRAYFORMULA(VLOOKUP(TRIM(SPLIT('Final Report'!A1928, "","")), 'URL Details'!A:D, 4, FALSE)),"""") ), CHAR(10),"&amp;" "",""), ""\s*,\s*"", "",""), "","")))&lt;&gt;"""" ) ) ) ),"""")
"),"")</f>
        <v/>
      </c>
      <c r="D1928" s="105"/>
      <c r="E1928" s="105"/>
      <c r="F1928" s="110" t="b">
        <v>0</v>
      </c>
      <c r="G1928" s="105" t="str">
        <f>IF(F1928=True, IFERROR(VLOOKUP(D1928, Repository!A:B, 2, 0), ""), "")</f>
        <v/>
      </c>
      <c r="H1928" s="105"/>
      <c r="I1928" s="105"/>
      <c r="J1928" s="105" t="str">
        <f>IF(F1928=True, IFERROR(VLOOKUP(D1928, Repository!A:C, 3, 0), ""), "")</f>
        <v/>
      </c>
      <c r="K1928" s="105"/>
      <c r="L1928" s="105" t="str">
        <f>IF(F1928=True, IFERROR(VLOOKUP(D1928, Repository!A:E, 5, 0), ""), "")</f>
        <v/>
      </c>
      <c r="M1928" s="105"/>
      <c r="N1928" s="105" t="str">
        <f>IF(F1928=True, IFERROR(VLOOKUP(D1928, Repository!A:G, 7, 0), ""), "")</f>
        <v/>
      </c>
      <c r="O1928" s="105" t="str">
        <f>IFERROR(__xludf.DUMMYFUNCTION("ARRAY_CONSTRAIN(
  ARRAYFORMULA(
    IFERROR(
      LET(
        list, N1928,
        arr, TRIM(SPLIT(list, "","")),
        names, XLOOKUP(
          arr,
          'Conformance Score'!A:A,
          'Conformance Score'!B:B,
          ""Not found""
     "&amp;"   ),
        TEXTJOIN("", "", TRUE, names)
      ),
      """"
    )
  ),
  1,
  1
)
"),"")</f>
        <v/>
      </c>
      <c r="P1928" s="105" t="str">
        <f>IF(F1928="Yes", IFERROR(VLOOKUP(D1928, Repository!A:F, 6, 0), ""), "")</f>
        <v/>
      </c>
      <c r="Q1928" s="105" t="str">
        <f>IF(F1928="Yes", IFERROR(VLOOKUP(D1928, Repository!A:I, 8, 0), ""), "")</f>
        <v/>
      </c>
      <c r="R1928" s="105" t="str">
        <f>IF(F1928="Yes", IFERROR(VLOOKUP(D1928, Repository!A:J, 9, 0), ""), "")</f>
        <v/>
      </c>
      <c r="S1928" s="105"/>
      <c r="T1928" s="105"/>
      <c r="U1928" s="105"/>
      <c r="V1928" s="105"/>
      <c r="W1928" s="105"/>
      <c r="X1928" s="105"/>
      <c r="Y1928" s="105"/>
      <c r="Z1928" s="105"/>
      <c r="AA1928" s="105"/>
      <c r="AB1928" s="105"/>
      <c r="AC1928" s="91"/>
      <c r="AD1928" s="105"/>
      <c r="AE1928" s="105"/>
      <c r="AF1928" s="91"/>
      <c r="AG1928" s="105"/>
      <c r="AH1928" s="105"/>
      <c r="AI1928" s="105" t="str">
        <f t="shared" si="1"/>
        <v/>
      </c>
      <c r="AJ1928" s="108" t="str">
        <f t="shared" si="2"/>
        <v/>
      </c>
    </row>
    <row r="1929" ht="15.75" customHeight="1">
      <c r="A1929" s="104"/>
      <c r="B1929" s="105" t="str">
        <f>IFERROR(__xludf.DUMMYFUNCTION("ARRAY_CONSTRAIN(
  ARRAYFORMULA(
    IF(
      'Final Report'!A1929="""",
      """",
      TEXTJOIN(
        "", "" &amp; CHAR(10),
        TRUE,
        IFERROR(
          VLOOKUP(
            TRIM(
              SPLIT('Final Report'!A1929, "","")
         "&amp;"   ),
            'URL Details'!A:B,
            2,
            FALSE
          ),
          """"
        )
      )
    )
  ),
  1,
  1
)
"),"")</f>
        <v/>
      </c>
      <c r="C1929" s="105" t="str">
        <f>IFERROR(__xludf.DUMMYFUNCTION("IFERROR(IF('Final Report'!A1929="""","""", TEXTJOIN(CHAR(10), TRUE, ARRAYFORMULA( ""• ""&amp; FILTER( TRIM(FLATTEN(SPLIT( REGEXREPLACE( SUBSTITUTE(TEXTJOIN("","", TRUE, IFERROR(ARRAYFORMULA(VLOOKUP(TRIM(SPLIT('Final Report'!A1929, "","")), 'URL Details'!A:D, "&amp;"4, FALSE)),"""") ), CHAR(10), "",""), ""\s*,\s*"", "",""), "",""))), TRIM(FLATTEN(SPLIT( REGEXREPLACE( SUBSTITUTE(TEXTJOIN("","", TRUE, IFERROR(ARRAYFORMULA(VLOOKUP(TRIM(SPLIT('Final Report'!A1929, "","")), 'URL Details'!A:D, 4, FALSE)),"""") ), CHAR(10),"&amp;" "",""), ""\s*,\s*"", "",""), "","")))&lt;&gt;"""" ) ) ) ),"""")
"),"")</f>
        <v/>
      </c>
      <c r="D1929" s="105"/>
      <c r="E1929" s="105"/>
      <c r="F1929" s="110" t="b">
        <v>0</v>
      </c>
      <c r="G1929" s="105" t="str">
        <f>IF(F1929=True, IFERROR(VLOOKUP(D1929, Repository!A:B, 2, 0), ""), "")</f>
        <v/>
      </c>
      <c r="H1929" s="105"/>
      <c r="I1929" s="105"/>
      <c r="J1929" s="105" t="str">
        <f>IF(F1929=True, IFERROR(VLOOKUP(D1929, Repository!A:C, 3, 0), ""), "")</f>
        <v/>
      </c>
      <c r="K1929" s="105"/>
      <c r="L1929" s="105" t="str">
        <f>IF(F1929=True, IFERROR(VLOOKUP(D1929, Repository!A:E, 5, 0), ""), "")</f>
        <v/>
      </c>
      <c r="M1929" s="105"/>
      <c r="N1929" s="105" t="str">
        <f>IF(F1929=True, IFERROR(VLOOKUP(D1929, Repository!A:G, 7, 0), ""), "")</f>
        <v/>
      </c>
      <c r="O1929" s="105" t="str">
        <f>IFERROR(__xludf.DUMMYFUNCTION("ARRAY_CONSTRAIN(
  ARRAYFORMULA(
    IFERROR(
      LET(
        list, N1929,
        arr, TRIM(SPLIT(list, "","")),
        names, XLOOKUP(
          arr,
          'Conformance Score'!A:A,
          'Conformance Score'!B:B,
          ""Not found""
     "&amp;"   ),
        TEXTJOIN("", "", TRUE, names)
      ),
      """"
    )
  ),
  1,
  1
)
"),"")</f>
        <v/>
      </c>
      <c r="P1929" s="105" t="str">
        <f>IF(F1929="Yes", IFERROR(VLOOKUP(D1929, Repository!A:F, 6, 0), ""), "")</f>
        <v/>
      </c>
      <c r="Q1929" s="105" t="str">
        <f>IF(F1929="Yes", IFERROR(VLOOKUP(D1929, Repository!A:I, 8, 0), ""), "")</f>
        <v/>
      </c>
      <c r="R1929" s="105" t="str">
        <f>IF(F1929="Yes", IFERROR(VLOOKUP(D1929, Repository!A:J, 9, 0), ""), "")</f>
        <v/>
      </c>
      <c r="S1929" s="105"/>
      <c r="T1929" s="105"/>
      <c r="U1929" s="105"/>
      <c r="V1929" s="105"/>
      <c r="W1929" s="105"/>
      <c r="X1929" s="105"/>
      <c r="Y1929" s="105"/>
      <c r="Z1929" s="105"/>
      <c r="AA1929" s="105"/>
      <c r="AB1929" s="105"/>
      <c r="AC1929" s="91"/>
      <c r="AD1929" s="105"/>
      <c r="AE1929" s="105"/>
      <c r="AF1929" s="91"/>
      <c r="AG1929" s="105"/>
      <c r="AH1929" s="105"/>
      <c r="AI1929" s="105" t="str">
        <f t="shared" si="1"/>
        <v/>
      </c>
      <c r="AJ1929" s="108" t="str">
        <f t="shared" si="2"/>
        <v/>
      </c>
    </row>
    <row r="1930" ht="15.75" customHeight="1">
      <c r="A1930" s="104"/>
      <c r="B1930" s="105" t="str">
        <f>IFERROR(__xludf.DUMMYFUNCTION("ARRAY_CONSTRAIN(
  ARRAYFORMULA(
    IF(
      'Final Report'!A1930="""",
      """",
      TEXTJOIN(
        "", "" &amp; CHAR(10),
        TRUE,
        IFERROR(
          VLOOKUP(
            TRIM(
              SPLIT('Final Report'!A1930, "","")
         "&amp;"   ),
            'URL Details'!A:B,
            2,
            FALSE
          ),
          """"
        )
      )
    )
  ),
  1,
  1
)
"),"")</f>
        <v/>
      </c>
      <c r="C1930" s="105" t="str">
        <f>IFERROR(__xludf.DUMMYFUNCTION("IFERROR(IF('Final Report'!A1930="""","""", TEXTJOIN(CHAR(10), TRUE, ARRAYFORMULA( ""• ""&amp; FILTER( TRIM(FLATTEN(SPLIT( REGEXREPLACE( SUBSTITUTE(TEXTJOIN("","", TRUE, IFERROR(ARRAYFORMULA(VLOOKUP(TRIM(SPLIT('Final Report'!A1930, "","")), 'URL Details'!A:D, "&amp;"4, FALSE)),"""") ), CHAR(10), "",""), ""\s*,\s*"", "",""), "",""))), TRIM(FLATTEN(SPLIT( REGEXREPLACE( SUBSTITUTE(TEXTJOIN("","", TRUE, IFERROR(ARRAYFORMULA(VLOOKUP(TRIM(SPLIT('Final Report'!A1930, "","")), 'URL Details'!A:D, 4, FALSE)),"""") ), CHAR(10),"&amp;" "",""), ""\s*,\s*"", "",""), "","")))&lt;&gt;"""" ) ) ) ),"""")
"),"")</f>
        <v/>
      </c>
      <c r="D1930" s="105"/>
      <c r="E1930" s="105"/>
      <c r="F1930" s="110" t="b">
        <v>0</v>
      </c>
      <c r="G1930" s="105" t="str">
        <f>IF(F1930=True, IFERROR(VLOOKUP(D1930, Repository!A:B, 2, 0), ""), "")</f>
        <v/>
      </c>
      <c r="H1930" s="105"/>
      <c r="I1930" s="105"/>
      <c r="J1930" s="105" t="str">
        <f>IF(F1930=True, IFERROR(VLOOKUP(D1930, Repository!A:C, 3, 0), ""), "")</f>
        <v/>
      </c>
      <c r="K1930" s="105"/>
      <c r="L1930" s="105" t="str">
        <f>IF(F1930=True, IFERROR(VLOOKUP(D1930, Repository!A:E, 5, 0), ""), "")</f>
        <v/>
      </c>
      <c r="M1930" s="105"/>
      <c r="N1930" s="105" t="str">
        <f>IF(F1930=True, IFERROR(VLOOKUP(D1930, Repository!A:G, 7, 0), ""), "")</f>
        <v/>
      </c>
      <c r="O1930" s="105" t="str">
        <f>IFERROR(__xludf.DUMMYFUNCTION("ARRAY_CONSTRAIN(
  ARRAYFORMULA(
    IFERROR(
      LET(
        list, N1930,
        arr, TRIM(SPLIT(list, "","")),
        names, XLOOKUP(
          arr,
          'Conformance Score'!A:A,
          'Conformance Score'!B:B,
          ""Not found""
     "&amp;"   ),
        TEXTJOIN("", "", TRUE, names)
      ),
      """"
    )
  ),
  1,
  1
)
"),"")</f>
        <v/>
      </c>
      <c r="P1930" s="105" t="str">
        <f>IF(F1930="Yes", IFERROR(VLOOKUP(D1930, Repository!A:F, 6, 0), ""), "")</f>
        <v/>
      </c>
      <c r="Q1930" s="105" t="str">
        <f>IF(F1930="Yes", IFERROR(VLOOKUP(D1930, Repository!A:I, 8, 0), ""), "")</f>
        <v/>
      </c>
      <c r="R1930" s="105" t="str">
        <f>IF(F1930="Yes", IFERROR(VLOOKUP(D1930, Repository!A:J, 9, 0), ""), "")</f>
        <v/>
      </c>
      <c r="S1930" s="105"/>
      <c r="T1930" s="105"/>
      <c r="U1930" s="105"/>
      <c r="V1930" s="105"/>
      <c r="W1930" s="105"/>
      <c r="X1930" s="105"/>
      <c r="Y1930" s="105"/>
      <c r="Z1930" s="105"/>
      <c r="AA1930" s="105"/>
      <c r="AB1930" s="105"/>
      <c r="AC1930" s="91"/>
      <c r="AD1930" s="105"/>
      <c r="AE1930" s="105"/>
      <c r="AF1930" s="91"/>
      <c r="AG1930" s="105"/>
      <c r="AH1930" s="105"/>
      <c r="AI1930" s="105" t="str">
        <f t="shared" si="1"/>
        <v/>
      </c>
      <c r="AJ1930" s="108" t="str">
        <f t="shared" si="2"/>
        <v/>
      </c>
    </row>
    <row r="1931" ht="15.75" customHeight="1">
      <c r="A1931" s="104"/>
      <c r="B1931" s="105" t="str">
        <f>IFERROR(__xludf.DUMMYFUNCTION("ARRAY_CONSTRAIN(
  ARRAYFORMULA(
    IF(
      'Final Report'!A1931="""",
      """",
      TEXTJOIN(
        "", "" &amp; CHAR(10),
        TRUE,
        IFERROR(
          VLOOKUP(
            TRIM(
              SPLIT('Final Report'!A1931, "","")
         "&amp;"   ),
            'URL Details'!A:B,
            2,
            FALSE
          ),
          """"
        )
      )
    )
  ),
  1,
  1
)
"),"")</f>
        <v/>
      </c>
      <c r="C1931" s="105" t="str">
        <f>IFERROR(__xludf.DUMMYFUNCTION("IFERROR(IF('Final Report'!A1931="""","""", TEXTJOIN(CHAR(10), TRUE, ARRAYFORMULA( ""• ""&amp; FILTER( TRIM(FLATTEN(SPLIT( REGEXREPLACE( SUBSTITUTE(TEXTJOIN("","", TRUE, IFERROR(ARRAYFORMULA(VLOOKUP(TRIM(SPLIT('Final Report'!A1931, "","")), 'URL Details'!A:D, "&amp;"4, FALSE)),"""") ), CHAR(10), "",""), ""\s*,\s*"", "",""), "",""))), TRIM(FLATTEN(SPLIT( REGEXREPLACE( SUBSTITUTE(TEXTJOIN("","", TRUE, IFERROR(ARRAYFORMULA(VLOOKUP(TRIM(SPLIT('Final Report'!A1931, "","")), 'URL Details'!A:D, 4, FALSE)),"""") ), CHAR(10),"&amp;" "",""), ""\s*,\s*"", "",""), "","")))&lt;&gt;"""" ) ) ) ),"""")
"),"")</f>
        <v/>
      </c>
      <c r="D1931" s="105"/>
      <c r="E1931" s="105"/>
      <c r="F1931" s="110" t="b">
        <v>0</v>
      </c>
      <c r="G1931" s="105" t="str">
        <f>IF(F1931=True, IFERROR(VLOOKUP(D1931, Repository!A:B, 2, 0), ""), "")</f>
        <v/>
      </c>
      <c r="H1931" s="105"/>
      <c r="I1931" s="105"/>
      <c r="J1931" s="105" t="str">
        <f>IF(F1931=True, IFERROR(VLOOKUP(D1931, Repository!A:C, 3, 0), ""), "")</f>
        <v/>
      </c>
      <c r="K1931" s="105"/>
      <c r="L1931" s="105" t="str">
        <f>IF(F1931=True, IFERROR(VLOOKUP(D1931, Repository!A:E, 5, 0), ""), "")</f>
        <v/>
      </c>
      <c r="M1931" s="105"/>
      <c r="N1931" s="105" t="str">
        <f>IF(F1931=True, IFERROR(VLOOKUP(D1931, Repository!A:G, 7, 0), ""), "")</f>
        <v/>
      </c>
      <c r="O1931" s="105" t="str">
        <f>IFERROR(__xludf.DUMMYFUNCTION("ARRAY_CONSTRAIN(
  ARRAYFORMULA(
    IFERROR(
      LET(
        list, N1931,
        arr, TRIM(SPLIT(list, "","")),
        names, XLOOKUP(
          arr,
          'Conformance Score'!A:A,
          'Conformance Score'!B:B,
          ""Not found""
     "&amp;"   ),
        TEXTJOIN("", "", TRUE, names)
      ),
      """"
    )
  ),
  1,
  1
)
"),"")</f>
        <v/>
      </c>
      <c r="P1931" s="105" t="str">
        <f>IF(F1931="Yes", IFERROR(VLOOKUP(D1931, Repository!A:F, 6, 0), ""), "")</f>
        <v/>
      </c>
      <c r="Q1931" s="105" t="str">
        <f>IF(F1931="Yes", IFERROR(VLOOKUP(D1931, Repository!A:I, 8, 0), ""), "")</f>
        <v/>
      </c>
      <c r="R1931" s="105" t="str">
        <f>IF(F1931="Yes", IFERROR(VLOOKUP(D1931, Repository!A:J, 9, 0), ""), "")</f>
        <v/>
      </c>
      <c r="S1931" s="105"/>
      <c r="T1931" s="105"/>
      <c r="U1931" s="105"/>
      <c r="V1931" s="105"/>
      <c r="W1931" s="105"/>
      <c r="X1931" s="105"/>
      <c r="Y1931" s="105"/>
      <c r="Z1931" s="105"/>
      <c r="AA1931" s="105"/>
      <c r="AB1931" s="105"/>
      <c r="AC1931" s="91"/>
      <c r="AD1931" s="105"/>
      <c r="AE1931" s="105"/>
      <c r="AF1931" s="91"/>
      <c r="AG1931" s="105"/>
      <c r="AH1931" s="105"/>
      <c r="AI1931" s="105" t="str">
        <f t="shared" si="1"/>
        <v/>
      </c>
      <c r="AJ1931" s="108" t="str">
        <f t="shared" si="2"/>
        <v/>
      </c>
    </row>
    <row r="1932" ht="15.75" customHeight="1">
      <c r="A1932" s="104"/>
      <c r="B1932" s="105" t="str">
        <f>IFERROR(__xludf.DUMMYFUNCTION("ARRAY_CONSTRAIN(
  ARRAYFORMULA(
    IF(
      'Final Report'!A1932="""",
      """",
      TEXTJOIN(
        "", "" &amp; CHAR(10),
        TRUE,
        IFERROR(
          VLOOKUP(
            TRIM(
              SPLIT('Final Report'!A1932, "","")
         "&amp;"   ),
            'URL Details'!A:B,
            2,
            FALSE
          ),
          """"
        )
      )
    )
  ),
  1,
  1
)
"),"")</f>
        <v/>
      </c>
      <c r="C1932" s="105" t="str">
        <f>IFERROR(__xludf.DUMMYFUNCTION("IFERROR(IF('Final Report'!A1932="""","""", TEXTJOIN(CHAR(10), TRUE, ARRAYFORMULA( ""• ""&amp; FILTER( TRIM(FLATTEN(SPLIT( REGEXREPLACE( SUBSTITUTE(TEXTJOIN("","", TRUE, IFERROR(ARRAYFORMULA(VLOOKUP(TRIM(SPLIT('Final Report'!A1932, "","")), 'URL Details'!A:D, "&amp;"4, FALSE)),"""") ), CHAR(10), "",""), ""\s*,\s*"", "",""), "",""))), TRIM(FLATTEN(SPLIT( REGEXREPLACE( SUBSTITUTE(TEXTJOIN("","", TRUE, IFERROR(ARRAYFORMULA(VLOOKUP(TRIM(SPLIT('Final Report'!A1932, "","")), 'URL Details'!A:D, 4, FALSE)),"""") ), CHAR(10),"&amp;" "",""), ""\s*,\s*"", "",""), "","")))&lt;&gt;"""" ) ) ) ),"""")
"),"")</f>
        <v/>
      </c>
      <c r="D1932" s="105"/>
      <c r="E1932" s="105"/>
      <c r="F1932" s="110" t="b">
        <v>0</v>
      </c>
      <c r="G1932" s="105" t="str">
        <f>IF(F1932=True, IFERROR(VLOOKUP(D1932, Repository!A:B, 2, 0), ""), "")</f>
        <v/>
      </c>
      <c r="H1932" s="105"/>
      <c r="I1932" s="105"/>
      <c r="J1932" s="105" t="str">
        <f>IF(F1932=True, IFERROR(VLOOKUP(D1932, Repository!A:C, 3, 0), ""), "")</f>
        <v/>
      </c>
      <c r="K1932" s="105"/>
      <c r="L1932" s="105" t="str">
        <f>IF(F1932=True, IFERROR(VLOOKUP(D1932, Repository!A:E, 5, 0), ""), "")</f>
        <v/>
      </c>
      <c r="M1932" s="105"/>
      <c r="N1932" s="105" t="str">
        <f>IF(F1932=True, IFERROR(VLOOKUP(D1932, Repository!A:G, 7, 0), ""), "")</f>
        <v/>
      </c>
      <c r="O1932" s="105" t="str">
        <f>IFERROR(__xludf.DUMMYFUNCTION("ARRAY_CONSTRAIN(
  ARRAYFORMULA(
    IFERROR(
      LET(
        list, N1932,
        arr, TRIM(SPLIT(list, "","")),
        names, XLOOKUP(
          arr,
          'Conformance Score'!A:A,
          'Conformance Score'!B:B,
          ""Not found""
     "&amp;"   ),
        TEXTJOIN("", "", TRUE, names)
      ),
      """"
    )
  ),
  1,
  1
)
"),"")</f>
        <v/>
      </c>
      <c r="P1932" s="105" t="str">
        <f>IF(F1932="Yes", IFERROR(VLOOKUP(D1932, Repository!A:F, 6, 0), ""), "")</f>
        <v/>
      </c>
      <c r="Q1932" s="105" t="str">
        <f>IF(F1932="Yes", IFERROR(VLOOKUP(D1932, Repository!A:I, 8, 0), ""), "")</f>
        <v/>
      </c>
      <c r="R1932" s="105" t="str">
        <f>IF(F1932="Yes", IFERROR(VLOOKUP(D1932, Repository!A:J, 9, 0), ""), "")</f>
        <v/>
      </c>
      <c r="S1932" s="105"/>
      <c r="T1932" s="105"/>
      <c r="U1932" s="105"/>
      <c r="V1932" s="105"/>
      <c r="W1932" s="105"/>
      <c r="X1932" s="105"/>
      <c r="Y1932" s="105"/>
      <c r="Z1932" s="105"/>
      <c r="AA1932" s="105"/>
      <c r="AB1932" s="105"/>
      <c r="AC1932" s="91"/>
      <c r="AD1932" s="105"/>
      <c r="AE1932" s="105"/>
      <c r="AF1932" s="91"/>
      <c r="AG1932" s="105"/>
      <c r="AH1932" s="105"/>
      <c r="AI1932" s="105" t="str">
        <f t="shared" si="1"/>
        <v/>
      </c>
      <c r="AJ1932" s="108" t="str">
        <f t="shared" si="2"/>
        <v/>
      </c>
    </row>
    <row r="1933" ht="15.75" customHeight="1">
      <c r="A1933" s="104"/>
      <c r="B1933" s="105" t="str">
        <f>IFERROR(__xludf.DUMMYFUNCTION("ARRAY_CONSTRAIN(
  ARRAYFORMULA(
    IF(
      'Final Report'!A1933="""",
      """",
      TEXTJOIN(
        "", "" &amp; CHAR(10),
        TRUE,
        IFERROR(
          VLOOKUP(
            TRIM(
              SPLIT('Final Report'!A1933, "","")
         "&amp;"   ),
            'URL Details'!A:B,
            2,
            FALSE
          ),
          """"
        )
      )
    )
  ),
  1,
  1
)
"),"")</f>
        <v/>
      </c>
      <c r="C1933" s="105" t="str">
        <f>IFERROR(__xludf.DUMMYFUNCTION("IFERROR(IF('Final Report'!A1933="""","""", TEXTJOIN(CHAR(10), TRUE, ARRAYFORMULA( ""• ""&amp; FILTER( TRIM(FLATTEN(SPLIT( REGEXREPLACE( SUBSTITUTE(TEXTJOIN("","", TRUE, IFERROR(ARRAYFORMULA(VLOOKUP(TRIM(SPLIT('Final Report'!A1933, "","")), 'URL Details'!A:D, "&amp;"4, FALSE)),"""") ), CHAR(10), "",""), ""\s*,\s*"", "",""), "",""))), TRIM(FLATTEN(SPLIT( REGEXREPLACE( SUBSTITUTE(TEXTJOIN("","", TRUE, IFERROR(ARRAYFORMULA(VLOOKUP(TRIM(SPLIT('Final Report'!A1933, "","")), 'URL Details'!A:D, 4, FALSE)),"""") ), CHAR(10),"&amp;" "",""), ""\s*,\s*"", "",""), "","")))&lt;&gt;"""" ) ) ) ),"""")
"),"")</f>
        <v/>
      </c>
      <c r="D1933" s="105"/>
      <c r="E1933" s="105"/>
      <c r="F1933" s="110" t="b">
        <v>0</v>
      </c>
      <c r="G1933" s="105" t="str">
        <f>IF(F1933=True, IFERROR(VLOOKUP(D1933, Repository!A:B, 2, 0), ""), "")</f>
        <v/>
      </c>
      <c r="H1933" s="105"/>
      <c r="I1933" s="105"/>
      <c r="J1933" s="105" t="str">
        <f>IF(F1933=True, IFERROR(VLOOKUP(D1933, Repository!A:C, 3, 0), ""), "")</f>
        <v/>
      </c>
      <c r="K1933" s="105"/>
      <c r="L1933" s="105" t="str">
        <f>IF(F1933=True, IFERROR(VLOOKUP(D1933, Repository!A:E, 5, 0), ""), "")</f>
        <v/>
      </c>
      <c r="M1933" s="105"/>
      <c r="N1933" s="105" t="str">
        <f>IF(F1933=True, IFERROR(VLOOKUP(D1933, Repository!A:G, 7, 0), ""), "")</f>
        <v/>
      </c>
      <c r="O1933" s="105" t="str">
        <f>IFERROR(__xludf.DUMMYFUNCTION("ARRAY_CONSTRAIN(
  ARRAYFORMULA(
    IFERROR(
      LET(
        list, N1933,
        arr, TRIM(SPLIT(list, "","")),
        names, XLOOKUP(
          arr,
          'Conformance Score'!A:A,
          'Conformance Score'!B:B,
          ""Not found""
     "&amp;"   ),
        TEXTJOIN("", "", TRUE, names)
      ),
      """"
    )
  ),
  1,
  1
)
"),"")</f>
        <v/>
      </c>
      <c r="P1933" s="105" t="str">
        <f>IF(F1933="Yes", IFERROR(VLOOKUP(D1933, Repository!A:F, 6, 0), ""), "")</f>
        <v/>
      </c>
      <c r="Q1933" s="105" t="str">
        <f>IF(F1933="Yes", IFERROR(VLOOKUP(D1933, Repository!A:I, 8, 0), ""), "")</f>
        <v/>
      </c>
      <c r="R1933" s="105" t="str">
        <f>IF(F1933="Yes", IFERROR(VLOOKUP(D1933, Repository!A:J, 9, 0), ""), "")</f>
        <v/>
      </c>
      <c r="S1933" s="105"/>
      <c r="T1933" s="105"/>
      <c r="U1933" s="105"/>
      <c r="V1933" s="105"/>
      <c r="W1933" s="105"/>
      <c r="X1933" s="105"/>
      <c r="Y1933" s="105"/>
      <c r="Z1933" s="105"/>
      <c r="AA1933" s="105"/>
      <c r="AB1933" s="105"/>
      <c r="AC1933" s="91"/>
      <c r="AD1933" s="105"/>
      <c r="AE1933" s="105"/>
      <c r="AF1933" s="91"/>
      <c r="AG1933" s="105"/>
      <c r="AH1933" s="105"/>
      <c r="AI1933" s="105" t="str">
        <f t="shared" si="1"/>
        <v/>
      </c>
      <c r="AJ1933" s="108" t="str">
        <f t="shared" si="2"/>
        <v/>
      </c>
    </row>
    <row r="1934" ht="15.75" customHeight="1">
      <c r="A1934" s="104"/>
      <c r="B1934" s="105" t="str">
        <f>IFERROR(__xludf.DUMMYFUNCTION("ARRAY_CONSTRAIN(
  ARRAYFORMULA(
    IF(
      'Final Report'!A1934="""",
      """",
      TEXTJOIN(
        "", "" &amp; CHAR(10),
        TRUE,
        IFERROR(
          VLOOKUP(
            TRIM(
              SPLIT('Final Report'!A1934, "","")
         "&amp;"   ),
            'URL Details'!A:B,
            2,
            FALSE
          ),
          """"
        )
      )
    )
  ),
  1,
  1
)
"),"")</f>
        <v/>
      </c>
      <c r="C1934" s="105" t="str">
        <f>IFERROR(__xludf.DUMMYFUNCTION("IFERROR(IF('Final Report'!A1934="""","""", TEXTJOIN(CHAR(10), TRUE, ARRAYFORMULA( ""• ""&amp; FILTER( TRIM(FLATTEN(SPLIT( REGEXREPLACE( SUBSTITUTE(TEXTJOIN("","", TRUE, IFERROR(ARRAYFORMULA(VLOOKUP(TRIM(SPLIT('Final Report'!A1934, "","")), 'URL Details'!A:D, "&amp;"4, FALSE)),"""") ), CHAR(10), "",""), ""\s*,\s*"", "",""), "",""))), TRIM(FLATTEN(SPLIT( REGEXREPLACE( SUBSTITUTE(TEXTJOIN("","", TRUE, IFERROR(ARRAYFORMULA(VLOOKUP(TRIM(SPLIT('Final Report'!A1934, "","")), 'URL Details'!A:D, 4, FALSE)),"""") ), CHAR(10),"&amp;" "",""), ""\s*,\s*"", "",""), "","")))&lt;&gt;"""" ) ) ) ),"""")
"),"")</f>
        <v/>
      </c>
      <c r="D1934" s="105"/>
      <c r="E1934" s="105"/>
      <c r="F1934" s="110" t="b">
        <v>0</v>
      </c>
      <c r="G1934" s="105" t="str">
        <f>IF(F1934=True, IFERROR(VLOOKUP(D1934, Repository!A:B, 2, 0), ""), "")</f>
        <v/>
      </c>
      <c r="H1934" s="105"/>
      <c r="I1934" s="105"/>
      <c r="J1934" s="105" t="str">
        <f>IF(F1934=True, IFERROR(VLOOKUP(D1934, Repository!A:C, 3, 0), ""), "")</f>
        <v/>
      </c>
      <c r="K1934" s="105"/>
      <c r="L1934" s="105" t="str">
        <f>IF(F1934=True, IFERROR(VLOOKUP(D1934, Repository!A:E, 5, 0), ""), "")</f>
        <v/>
      </c>
      <c r="M1934" s="105"/>
      <c r="N1934" s="105" t="str">
        <f>IF(F1934=True, IFERROR(VLOOKUP(D1934, Repository!A:G, 7, 0), ""), "")</f>
        <v/>
      </c>
      <c r="O1934" s="105" t="str">
        <f>IFERROR(__xludf.DUMMYFUNCTION("ARRAY_CONSTRAIN(
  ARRAYFORMULA(
    IFERROR(
      LET(
        list, N1934,
        arr, TRIM(SPLIT(list, "","")),
        names, XLOOKUP(
          arr,
          'Conformance Score'!A:A,
          'Conformance Score'!B:B,
          ""Not found""
     "&amp;"   ),
        TEXTJOIN("", "", TRUE, names)
      ),
      """"
    )
  ),
  1,
  1
)
"),"")</f>
        <v/>
      </c>
      <c r="P1934" s="105" t="str">
        <f>IF(F1934="Yes", IFERROR(VLOOKUP(D1934, Repository!A:F, 6, 0), ""), "")</f>
        <v/>
      </c>
      <c r="Q1934" s="105" t="str">
        <f>IF(F1934="Yes", IFERROR(VLOOKUP(D1934, Repository!A:I, 8, 0), ""), "")</f>
        <v/>
      </c>
      <c r="R1934" s="105" t="str">
        <f>IF(F1934="Yes", IFERROR(VLOOKUP(D1934, Repository!A:J, 9, 0), ""), "")</f>
        <v/>
      </c>
      <c r="S1934" s="105"/>
      <c r="T1934" s="105"/>
      <c r="U1934" s="105"/>
      <c r="V1934" s="105"/>
      <c r="W1934" s="105"/>
      <c r="X1934" s="105"/>
      <c r="Y1934" s="105"/>
      <c r="Z1934" s="105"/>
      <c r="AA1934" s="105"/>
      <c r="AB1934" s="105"/>
      <c r="AC1934" s="91"/>
      <c r="AD1934" s="105"/>
      <c r="AE1934" s="105"/>
      <c r="AF1934" s="91"/>
      <c r="AG1934" s="105"/>
      <c r="AH1934" s="105"/>
      <c r="AI1934" s="105" t="str">
        <f t="shared" si="1"/>
        <v/>
      </c>
      <c r="AJ1934" s="108" t="str">
        <f t="shared" si="2"/>
        <v/>
      </c>
    </row>
    <row r="1935" ht="15.75" customHeight="1">
      <c r="A1935" s="104"/>
      <c r="B1935" s="105" t="str">
        <f>IFERROR(__xludf.DUMMYFUNCTION("ARRAY_CONSTRAIN(
  ARRAYFORMULA(
    IF(
      'Final Report'!A1935="""",
      """",
      TEXTJOIN(
        "", "" &amp; CHAR(10),
        TRUE,
        IFERROR(
          VLOOKUP(
            TRIM(
              SPLIT('Final Report'!A1935, "","")
         "&amp;"   ),
            'URL Details'!A:B,
            2,
            FALSE
          ),
          """"
        )
      )
    )
  ),
  1,
  1
)
"),"")</f>
        <v/>
      </c>
      <c r="C1935" s="105" t="str">
        <f>IFERROR(__xludf.DUMMYFUNCTION("IFERROR(IF('Final Report'!A1935="""","""", TEXTJOIN(CHAR(10), TRUE, ARRAYFORMULA( ""• ""&amp; FILTER( TRIM(FLATTEN(SPLIT( REGEXREPLACE( SUBSTITUTE(TEXTJOIN("","", TRUE, IFERROR(ARRAYFORMULA(VLOOKUP(TRIM(SPLIT('Final Report'!A1935, "","")), 'URL Details'!A:D, "&amp;"4, FALSE)),"""") ), CHAR(10), "",""), ""\s*,\s*"", "",""), "",""))), TRIM(FLATTEN(SPLIT( REGEXREPLACE( SUBSTITUTE(TEXTJOIN("","", TRUE, IFERROR(ARRAYFORMULA(VLOOKUP(TRIM(SPLIT('Final Report'!A1935, "","")), 'URL Details'!A:D, 4, FALSE)),"""") ), CHAR(10),"&amp;" "",""), ""\s*,\s*"", "",""), "","")))&lt;&gt;"""" ) ) ) ),"""")
"),"")</f>
        <v/>
      </c>
      <c r="D1935" s="105"/>
      <c r="E1935" s="105"/>
      <c r="F1935" s="110" t="b">
        <v>0</v>
      </c>
      <c r="G1935" s="105" t="str">
        <f>IF(F1935=True, IFERROR(VLOOKUP(D1935, Repository!A:B, 2, 0), ""), "")</f>
        <v/>
      </c>
      <c r="H1935" s="105"/>
      <c r="I1935" s="105"/>
      <c r="J1935" s="105" t="str">
        <f>IF(F1935=True, IFERROR(VLOOKUP(D1935, Repository!A:C, 3, 0), ""), "")</f>
        <v/>
      </c>
      <c r="K1935" s="105"/>
      <c r="L1935" s="105" t="str">
        <f>IF(F1935=True, IFERROR(VLOOKUP(D1935, Repository!A:E, 5, 0), ""), "")</f>
        <v/>
      </c>
      <c r="M1935" s="105"/>
      <c r="N1935" s="105" t="str">
        <f>IF(F1935=True, IFERROR(VLOOKUP(D1935, Repository!A:G, 7, 0), ""), "")</f>
        <v/>
      </c>
      <c r="O1935" s="105" t="str">
        <f>IFERROR(__xludf.DUMMYFUNCTION("ARRAY_CONSTRAIN(
  ARRAYFORMULA(
    IFERROR(
      LET(
        list, N1935,
        arr, TRIM(SPLIT(list, "","")),
        names, XLOOKUP(
          arr,
          'Conformance Score'!A:A,
          'Conformance Score'!B:B,
          ""Not found""
     "&amp;"   ),
        TEXTJOIN("", "", TRUE, names)
      ),
      """"
    )
  ),
  1,
  1
)
"),"")</f>
        <v/>
      </c>
      <c r="P1935" s="105" t="str">
        <f>IF(F1935="Yes", IFERROR(VLOOKUP(D1935, Repository!A:F, 6, 0), ""), "")</f>
        <v/>
      </c>
      <c r="Q1935" s="105" t="str">
        <f>IF(F1935="Yes", IFERROR(VLOOKUP(D1935, Repository!A:I, 8, 0), ""), "")</f>
        <v/>
      </c>
      <c r="R1935" s="105" t="str">
        <f>IF(F1935="Yes", IFERROR(VLOOKUP(D1935, Repository!A:J, 9, 0), ""), "")</f>
        <v/>
      </c>
      <c r="S1935" s="105"/>
      <c r="T1935" s="105"/>
      <c r="U1935" s="105"/>
      <c r="V1935" s="105"/>
      <c r="W1935" s="105"/>
      <c r="X1935" s="105"/>
      <c r="Y1935" s="105"/>
      <c r="Z1935" s="105"/>
      <c r="AA1935" s="105"/>
      <c r="AB1935" s="105"/>
      <c r="AC1935" s="91"/>
      <c r="AD1935" s="105"/>
      <c r="AE1935" s="105"/>
      <c r="AF1935" s="91"/>
      <c r="AG1935" s="105"/>
      <c r="AH1935" s="105"/>
      <c r="AI1935" s="105" t="str">
        <f t="shared" si="1"/>
        <v/>
      </c>
      <c r="AJ1935" s="108" t="str">
        <f t="shared" si="2"/>
        <v/>
      </c>
    </row>
    <row r="1936" ht="15.75" customHeight="1">
      <c r="A1936" s="104"/>
      <c r="B1936" s="105" t="str">
        <f>IFERROR(__xludf.DUMMYFUNCTION("ARRAY_CONSTRAIN(
  ARRAYFORMULA(
    IF(
      'Final Report'!A1936="""",
      """",
      TEXTJOIN(
        "", "" &amp; CHAR(10),
        TRUE,
        IFERROR(
          VLOOKUP(
            TRIM(
              SPLIT('Final Report'!A1936, "","")
         "&amp;"   ),
            'URL Details'!A:B,
            2,
            FALSE
          ),
          """"
        )
      )
    )
  ),
  1,
  1
)
"),"")</f>
        <v/>
      </c>
      <c r="C1936" s="105" t="str">
        <f>IFERROR(__xludf.DUMMYFUNCTION("IFERROR(IF('Final Report'!A1936="""","""", TEXTJOIN(CHAR(10), TRUE, ARRAYFORMULA( ""• ""&amp; FILTER( TRIM(FLATTEN(SPLIT( REGEXREPLACE( SUBSTITUTE(TEXTJOIN("","", TRUE, IFERROR(ARRAYFORMULA(VLOOKUP(TRIM(SPLIT('Final Report'!A1936, "","")), 'URL Details'!A:D, "&amp;"4, FALSE)),"""") ), CHAR(10), "",""), ""\s*,\s*"", "",""), "",""))), TRIM(FLATTEN(SPLIT( REGEXREPLACE( SUBSTITUTE(TEXTJOIN("","", TRUE, IFERROR(ARRAYFORMULA(VLOOKUP(TRIM(SPLIT('Final Report'!A1936, "","")), 'URL Details'!A:D, 4, FALSE)),"""") ), CHAR(10),"&amp;" "",""), ""\s*,\s*"", "",""), "","")))&lt;&gt;"""" ) ) ) ),"""")
"),"")</f>
        <v/>
      </c>
      <c r="D1936" s="105"/>
      <c r="E1936" s="105"/>
      <c r="F1936" s="110" t="b">
        <v>0</v>
      </c>
      <c r="G1936" s="105" t="str">
        <f>IF(F1936=True, IFERROR(VLOOKUP(D1936, Repository!A:B, 2, 0), ""), "")</f>
        <v/>
      </c>
      <c r="H1936" s="105"/>
      <c r="I1936" s="105"/>
      <c r="J1936" s="105" t="str">
        <f>IF(F1936=True, IFERROR(VLOOKUP(D1936, Repository!A:C, 3, 0), ""), "")</f>
        <v/>
      </c>
      <c r="K1936" s="105"/>
      <c r="L1936" s="105" t="str">
        <f>IF(F1936=True, IFERROR(VLOOKUP(D1936, Repository!A:E, 5, 0), ""), "")</f>
        <v/>
      </c>
      <c r="M1936" s="105"/>
      <c r="N1936" s="105" t="str">
        <f>IF(F1936=True, IFERROR(VLOOKUP(D1936, Repository!A:G, 7, 0), ""), "")</f>
        <v/>
      </c>
      <c r="O1936" s="105" t="str">
        <f>IFERROR(__xludf.DUMMYFUNCTION("ARRAY_CONSTRAIN(
  ARRAYFORMULA(
    IFERROR(
      LET(
        list, N1936,
        arr, TRIM(SPLIT(list, "","")),
        names, XLOOKUP(
          arr,
          'Conformance Score'!A:A,
          'Conformance Score'!B:B,
          ""Not found""
     "&amp;"   ),
        TEXTJOIN("", "", TRUE, names)
      ),
      """"
    )
  ),
  1,
  1
)
"),"")</f>
        <v/>
      </c>
      <c r="P1936" s="105" t="str">
        <f>IF(F1936="Yes", IFERROR(VLOOKUP(D1936, Repository!A:F, 6, 0), ""), "")</f>
        <v/>
      </c>
      <c r="Q1936" s="105" t="str">
        <f>IF(F1936="Yes", IFERROR(VLOOKUP(D1936, Repository!A:I, 8, 0), ""), "")</f>
        <v/>
      </c>
      <c r="R1936" s="105" t="str">
        <f>IF(F1936="Yes", IFERROR(VLOOKUP(D1936, Repository!A:J, 9, 0), ""), "")</f>
        <v/>
      </c>
      <c r="S1936" s="105"/>
      <c r="T1936" s="105"/>
      <c r="U1936" s="105"/>
      <c r="V1936" s="105"/>
      <c r="W1936" s="105"/>
      <c r="X1936" s="105"/>
      <c r="Y1936" s="105"/>
      <c r="Z1936" s="105"/>
      <c r="AA1936" s="105"/>
      <c r="AB1936" s="105"/>
      <c r="AC1936" s="91"/>
      <c r="AD1936" s="105"/>
      <c r="AE1936" s="105"/>
      <c r="AF1936" s="91"/>
      <c r="AG1936" s="105"/>
      <c r="AH1936" s="105"/>
      <c r="AI1936" s="105" t="str">
        <f t="shared" si="1"/>
        <v/>
      </c>
      <c r="AJ1936" s="108" t="str">
        <f t="shared" si="2"/>
        <v/>
      </c>
    </row>
    <row r="1937" ht="15.75" customHeight="1">
      <c r="A1937" s="104"/>
      <c r="B1937" s="105" t="str">
        <f>IFERROR(__xludf.DUMMYFUNCTION("ARRAY_CONSTRAIN(
  ARRAYFORMULA(
    IF(
      'Final Report'!A1937="""",
      """",
      TEXTJOIN(
        "", "" &amp; CHAR(10),
        TRUE,
        IFERROR(
          VLOOKUP(
            TRIM(
              SPLIT('Final Report'!A1937, "","")
         "&amp;"   ),
            'URL Details'!A:B,
            2,
            FALSE
          ),
          """"
        )
      )
    )
  ),
  1,
  1
)
"),"")</f>
        <v/>
      </c>
      <c r="C1937" s="105" t="str">
        <f>IFERROR(__xludf.DUMMYFUNCTION("IFERROR(IF('Final Report'!A1937="""","""", TEXTJOIN(CHAR(10), TRUE, ARRAYFORMULA( ""• ""&amp; FILTER( TRIM(FLATTEN(SPLIT( REGEXREPLACE( SUBSTITUTE(TEXTJOIN("","", TRUE, IFERROR(ARRAYFORMULA(VLOOKUP(TRIM(SPLIT('Final Report'!A1937, "","")), 'URL Details'!A:D, "&amp;"4, FALSE)),"""") ), CHAR(10), "",""), ""\s*,\s*"", "",""), "",""))), TRIM(FLATTEN(SPLIT( REGEXREPLACE( SUBSTITUTE(TEXTJOIN("","", TRUE, IFERROR(ARRAYFORMULA(VLOOKUP(TRIM(SPLIT('Final Report'!A1937, "","")), 'URL Details'!A:D, 4, FALSE)),"""") ), CHAR(10),"&amp;" "",""), ""\s*,\s*"", "",""), "","")))&lt;&gt;"""" ) ) ) ),"""")
"),"")</f>
        <v/>
      </c>
      <c r="D1937" s="105"/>
      <c r="E1937" s="105"/>
      <c r="F1937" s="110" t="b">
        <v>0</v>
      </c>
      <c r="G1937" s="105" t="str">
        <f>IF(F1937=True, IFERROR(VLOOKUP(D1937, Repository!A:B, 2, 0), ""), "")</f>
        <v/>
      </c>
      <c r="H1937" s="105"/>
      <c r="I1937" s="105"/>
      <c r="J1937" s="105" t="str">
        <f>IF(F1937=True, IFERROR(VLOOKUP(D1937, Repository!A:C, 3, 0), ""), "")</f>
        <v/>
      </c>
      <c r="K1937" s="105"/>
      <c r="L1937" s="105" t="str">
        <f>IF(F1937=True, IFERROR(VLOOKUP(D1937, Repository!A:E, 5, 0), ""), "")</f>
        <v/>
      </c>
      <c r="M1937" s="105"/>
      <c r="N1937" s="105" t="str">
        <f>IF(F1937=True, IFERROR(VLOOKUP(D1937, Repository!A:G, 7, 0), ""), "")</f>
        <v/>
      </c>
      <c r="O1937" s="105" t="str">
        <f>IFERROR(__xludf.DUMMYFUNCTION("ARRAY_CONSTRAIN(
  ARRAYFORMULA(
    IFERROR(
      LET(
        list, N1937,
        arr, TRIM(SPLIT(list, "","")),
        names, XLOOKUP(
          arr,
          'Conformance Score'!A:A,
          'Conformance Score'!B:B,
          ""Not found""
     "&amp;"   ),
        TEXTJOIN("", "", TRUE, names)
      ),
      """"
    )
  ),
  1,
  1
)
"),"")</f>
        <v/>
      </c>
      <c r="P1937" s="105" t="str">
        <f>IF(F1937="Yes", IFERROR(VLOOKUP(D1937, Repository!A:F, 6, 0), ""), "")</f>
        <v/>
      </c>
      <c r="Q1937" s="105" t="str">
        <f>IF(F1937="Yes", IFERROR(VLOOKUP(D1937, Repository!A:I, 8, 0), ""), "")</f>
        <v/>
      </c>
      <c r="R1937" s="105" t="str">
        <f>IF(F1937="Yes", IFERROR(VLOOKUP(D1937, Repository!A:J, 9, 0), ""), "")</f>
        <v/>
      </c>
      <c r="S1937" s="105"/>
      <c r="T1937" s="105"/>
      <c r="U1937" s="105"/>
      <c r="V1937" s="105"/>
      <c r="W1937" s="105"/>
      <c r="X1937" s="105"/>
      <c r="Y1937" s="105"/>
      <c r="Z1937" s="105"/>
      <c r="AA1937" s="105"/>
      <c r="AB1937" s="105"/>
      <c r="AC1937" s="91"/>
      <c r="AD1937" s="105"/>
      <c r="AE1937" s="105"/>
      <c r="AF1937" s="91"/>
      <c r="AG1937" s="105"/>
      <c r="AH1937" s="105"/>
      <c r="AI1937" s="105" t="str">
        <f t="shared" si="1"/>
        <v/>
      </c>
      <c r="AJ1937" s="108" t="str">
        <f t="shared" si="2"/>
        <v/>
      </c>
    </row>
    <row r="1938" ht="15.75" customHeight="1">
      <c r="A1938" s="104"/>
      <c r="B1938" s="105" t="str">
        <f>IFERROR(__xludf.DUMMYFUNCTION("ARRAY_CONSTRAIN(
  ARRAYFORMULA(
    IF(
      'Final Report'!A1938="""",
      """",
      TEXTJOIN(
        "", "" &amp; CHAR(10),
        TRUE,
        IFERROR(
          VLOOKUP(
            TRIM(
              SPLIT('Final Report'!A1938, "","")
         "&amp;"   ),
            'URL Details'!A:B,
            2,
            FALSE
          ),
          """"
        )
      )
    )
  ),
  1,
  1
)
"),"")</f>
        <v/>
      </c>
      <c r="C1938" s="105" t="str">
        <f>IFERROR(__xludf.DUMMYFUNCTION("IFERROR(IF('Final Report'!A1938="""","""", TEXTJOIN(CHAR(10), TRUE, ARRAYFORMULA( ""• ""&amp; FILTER( TRIM(FLATTEN(SPLIT( REGEXREPLACE( SUBSTITUTE(TEXTJOIN("","", TRUE, IFERROR(ARRAYFORMULA(VLOOKUP(TRIM(SPLIT('Final Report'!A1938, "","")), 'URL Details'!A:D, "&amp;"4, FALSE)),"""") ), CHAR(10), "",""), ""\s*,\s*"", "",""), "",""))), TRIM(FLATTEN(SPLIT( REGEXREPLACE( SUBSTITUTE(TEXTJOIN("","", TRUE, IFERROR(ARRAYFORMULA(VLOOKUP(TRIM(SPLIT('Final Report'!A1938, "","")), 'URL Details'!A:D, 4, FALSE)),"""") ), CHAR(10),"&amp;" "",""), ""\s*,\s*"", "",""), "","")))&lt;&gt;"""" ) ) ) ),"""")
"),"")</f>
        <v/>
      </c>
      <c r="D1938" s="105"/>
      <c r="E1938" s="105"/>
      <c r="F1938" s="110" t="b">
        <v>0</v>
      </c>
      <c r="G1938" s="105" t="str">
        <f>IF(F1938=True, IFERROR(VLOOKUP(D1938, Repository!A:B, 2, 0), ""), "")</f>
        <v/>
      </c>
      <c r="H1938" s="105"/>
      <c r="I1938" s="105"/>
      <c r="J1938" s="105" t="str">
        <f>IF(F1938=True, IFERROR(VLOOKUP(D1938, Repository!A:C, 3, 0), ""), "")</f>
        <v/>
      </c>
      <c r="K1938" s="105"/>
      <c r="L1938" s="105" t="str">
        <f>IF(F1938=True, IFERROR(VLOOKUP(D1938, Repository!A:E, 5, 0), ""), "")</f>
        <v/>
      </c>
      <c r="M1938" s="105"/>
      <c r="N1938" s="105" t="str">
        <f>IF(F1938=True, IFERROR(VLOOKUP(D1938, Repository!A:G, 7, 0), ""), "")</f>
        <v/>
      </c>
      <c r="O1938" s="105" t="str">
        <f>IFERROR(__xludf.DUMMYFUNCTION("ARRAY_CONSTRAIN(
  ARRAYFORMULA(
    IFERROR(
      LET(
        list, N1938,
        arr, TRIM(SPLIT(list, "","")),
        names, XLOOKUP(
          arr,
          'Conformance Score'!A:A,
          'Conformance Score'!B:B,
          ""Not found""
     "&amp;"   ),
        TEXTJOIN("", "", TRUE, names)
      ),
      """"
    )
  ),
  1,
  1
)
"),"")</f>
        <v/>
      </c>
      <c r="P1938" s="105" t="str">
        <f>IF(F1938="Yes", IFERROR(VLOOKUP(D1938, Repository!A:F, 6, 0), ""), "")</f>
        <v/>
      </c>
      <c r="Q1938" s="105" t="str">
        <f>IF(F1938="Yes", IFERROR(VLOOKUP(D1938, Repository!A:I, 8, 0), ""), "")</f>
        <v/>
      </c>
      <c r="R1938" s="105" t="str">
        <f>IF(F1938="Yes", IFERROR(VLOOKUP(D1938, Repository!A:J, 9, 0), ""), "")</f>
        <v/>
      </c>
      <c r="S1938" s="105"/>
      <c r="T1938" s="105"/>
      <c r="U1938" s="105"/>
      <c r="V1938" s="105"/>
      <c r="W1938" s="105"/>
      <c r="X1938" s="105"/>
      <c r="Y1938" s="105"/>
      <c r="Z1938" s="105"/>
      <c r="AA1938" s="105"/>
      <c r="AB1938" s="105"/>
      <c r="AC1938" s="91"/>
      <c r="AD1938" s="105"/>
      <c r="AE1938" s="105"/>
      <c r="AF1938" s="91"/>
      <c r="AG1938" s="105"/>
      <c r="AH1938" s="105"/>
      <c r="AI1938" s="105" t="str">
        <f t="shared" si="1"/>
        <v/>
      </c>
      <c r="AJ1938" s="108" t="str">
        <f t="shared" si="2"/>
        <v/>
      </c>
    </row>
    <row r="1939" ht="15.75" customHeight="1">
      <c r="A1939" s="104"/>
      <c r="B1939" s="105" t="str">
        <f>IFERROR(__xludf.DUMMYFUNCTION("ARRAY_CONSTRAIN(
  ARRAYFORMULA(
    IF(
      'Final Report'!A1939="""",
      """",
      TEXTJOIN(
        "", "" &amp; CHAR(10),
        TRUE,
        IFERROR(
          VLOOKUP(
            TRIM(
              SPLIT('Final Report'!A1939, "","")
         "&amp;"   ),
            'URL Details'!A:B,
            2,
            FALSE
          ),
          """"
        )
      )
    )
  ),
  1,
  1
)
"),"")</f>
        <v/>
      </c>
      <c r="C1939" s="105" t="str">
        <f>IFERROR(__xludf.DUMMYFUNCTION("IFERROR(IF('Final Report'!A1939="""","""", TEXTJOIN(CHAR(10), TRUE, ARRAYFORMULA( ""• ""&amp; FILTER( TRIM(FLATTEN(SPLIT( REGEXREPLACE( SUBSTITUTE(TEXTJOIN("","", TRUE, IFERROR(ARRAYFORMULA(VLOOKUP(TRIM(SPLIT('Final Report'!A1939, "","")), 'URL Details'!A:D, "&amp;"4, FALSE)),"""") ), CHAR(10), "",""), ""\s*,\s*"", "",""), "",""))), TRIM(FLATTEN(SPLIT( REGEXREPLACE( SUBSTITUTE(TEXTJOIN("","", TRUE, IFERROR(ARRAYFORMULA(VLOOKUP(TRIM(SPLIT('Final Report'!A1939, "","")), 'URL Details'!A:D, 4, FALSE)),"""") ), CHAR(10),"&amp;" "",""), ""\s*,\s*"", "",""), "","")))&lt;&gt;"""" ) ) ) ),"""")
"),"")</f>
        <v/>
      </c>
      <c r="D1939" s="105"/>
      <c r="E1939" s="105"/>
      <c r="F1939" s="110" t="b">
        <v>0</v>
      </c>
      <c r="G1939" s="105" t="str">
        <f>IF(F1939=True, IFERROR(VLOOKUP(D1939, Repository!A:B, 2, 0), ""), "")</f>
        <v/>
      </c>
      <c r="H1939" s="105"/>
      <c r="I1939" s="105"/>
      <c r="J1939" s="105" t="str">
        <f>IF(F1939=True, IFERROR(VLOOKUP(D1939, Repository!A:C, 3, 0), ""), "")</f>
        <v/>
      </c>
      <c r="K1939" s="105"/>
      <c r="L1939" s="105" t="str">
        <f>IF(F1939=True, IFERROR(VLOOKUP(D1939, Repository!A:E, 5, 0), ""), "")</f>
        <v/>
      </c>
      <c r="M1939" s="105"/>
      <c r="N1939" s="105" t="str">
        <f>IF(F1939=True, IFERROR(VLOOKUP(D1939, Repository!A:G, 7, 0), ""), "")</f>
        <v/>
      </c>
      <c r="O1939" s="105" t="str">
        <f>IFERROR(__xludf.DUMMYFUNCTION("ARRAY_CONSTRAIN(
  ARRAYFORMULA(
    IFERROR(
      LET(
        list, N1939,
        arr, TRIM(SPLIT(list, "","")),
        names, XLOOKUP(
          arr,
          'Conformance Score'!A:A,
          'Conformance Score'!B:B,
          ""Not found""
     "&amp;"   ),
        TEXTJOIN("", "", TRUE, names)
      ),
      """"
    )
  ),
  1,
  1
)
"),"")</f>
        <v/>
      </c>
      <c r="P1939" s="105" t="str">
        <f>IF(F1939="Yes", IFERROR(VLOOKUP(D1939, Repository!A:F, 6, 0), ""), "")</f>
        <v/>
      </c>
      <c r="Q1939" s="105" t="str">
        <f>IF(F1939="Yes", IFERROR(VLOOKUP(D1939, Repository!A:I, 8, 0), ""), "")</f>
        <v/>
      </c>
      <c r="R1939" s="105" t="str">
        <f>IF(F1939="Yes", IFERROR(VLOOKUP(D1939, Repository!A:J, 9, 0), ""), "")</f>
        <v/>
      </c>
      <c r="S1939" s="105"/>
      <c r="T1939" s="105"/>
      <c r="U1939" s="105"/>
      <c r="V1939" s="105"/>
      <c r="W1939" s="105"/>
      <c r="X1939" s="105"/>
      <c r="Y1939" s="105"/>
      <c r="Z1939" s="105"/>
      <c r="AA1939" s="105"/>
      <c r="AB1939" s="105"/>
      <c r="AC1939" s="91"/>
      <c r="AD1939" s="105"/>
      <c r="AE1939" s="105"/>
      <c r="AF1939" s="91"/>
      <c r="AG1939" s="105"/>
      <c r="AH1939" s="105"/>
      <c r="AI1939" s="105" t="str">
        <f t="shared" si="1"/>
        <v/>
      </c>
      <c r="AJ1939" s="108" t="str">
        <f t="shared" si="2"/>
        <v/>
      </c>
    </row>
    <row r="1940" ht="15.75" customHeight="1">
      <c r="A1940" s="104"/>
      <c r="B1940" s="105" t="str">
        <f>IFERROR(__xludf.DUMMYFUNCTION("ARRAY_CONSTRAIN(
  ARRAYFORMULA(
    IF(
      'Final Report'!A1940="""",
      """",
      TEXTJOIN(
        "", "" &amp; CHAR(10),
        TRUE,
        IFERROR(
          VLOOKUP(
            TRIM(
              SPLIT('Final Report'!A1940, "","")
         "&amp;"   ),
            'URL Details'!A:B,
            2,
            FALSE
          ),
          """"
        )
      )
    )
  ),
  1,
  1
)
"),"")</f>
        <v/>
      </c>
      <c r="C1940" s="105" t="str">
        <f>IFERROR(__xludf.DUMMYFUNCTION("IFERROR(IF('Final Report'!A1940="""","""", TEXTJOIN(CHAR(10), TRUE, ARRAYFORMULA( ""• ""&amp; FILTER( TRIM(FLATTEN(SPLIT( REGEXREPLACE( SUBSTITUTE(TEXTJOIN("","", TRUE, IFERROR(ARRAYFORMULA(VLOOKUP(TRIM(SPLIT('Final Report'!A1940, "","")), 'URL Details'!A:D, "&amp;"4, FALSE)),"""") ), CHAR(10), "",""), ""\s*,\s*"", "",""), "",""))), TRIM(FLATTEN(SPLIT( REGEXREPLACE( SUBSTITUTE(TEXTJOIN("","", TRUE, IFERROR(ARRAYFORMULA(VLOOKUP(TRIM(SPLIT('Final Report'!A1940, "","")), 'URL Details'!A:D, 4, FALSE)),"""") ), CHAR(10),"&amp;" "",""), ""\s*,\s*"", "",""), "","")))&lt;&gt;"""" ) ) ) ),"""")
"),"")</f>
        <v/>
      </c>
      <c r="D1940" s="105"/>
      <c r="E1940" s="105"/>
      <c r="F1940" s="110" t="b">
        <v>0</v>
      </c>
      <c r="G1940" s="105" t="str">
        <f>IF(F1940=True, IFERROR(VLOOKUP(D1940, Repository!A:B, 2, 0), ""), "")</f>
        <v/>
      </c>
      <c r="H1940" s="105"/>
      <c r="I1940" s="105"/>
      <c r="J1940" s="105" t="str">
        <f>IF(F1940=True, IFERROR(VLOOKUP(D1940, Repository!A:C, 3, 0), ""), "")</f>
        <v/>
      </c>
      <c r="K1940" s="105"/>
      <c r="L1940" s="105" t="str">
        <f>IF(F1940=True, IFERROR(VLOOKUP(D1940, Repository!A:E, 5, 0), ""), "")</f>
        <v/>
      </c>
      <c r="M1940" s="105"/>
      <c r="N1940" s="105" t="str">
        <f>IF(F1940=True, IFERROR(VLOOKUP(D1940, Repository!A:G, 7, 0), ""), "")</f>
        <v/>
      </c>
      <c r="O1940" s="105" t="str">
        <f>IFERROR(__xludf.DUMMYFUNCTION("ARRAY_CONSTRAIN(
  ARRAYFORMULA(
    IFERROR(
      LET(
        list, N1940,
        arr, TRIM(SPLIT(list, "","")),
        names, XLOOKUP(
          arr,
          'Conformance Score'!A:A,
          'Conformance Score'!B:B,
          ""Not found""
     "&amp;"   ),
        TEXTJOIN("", "", TRUE, names)
      ),
      """"
    )
  ),
  1,
  1
)
"),"")</f>
        <v/>
      </c>
      <c r="P1940" s="105" t="str">
        <f>IF(F1940="Yes", IFERROR(VLOOKUP(D1940, Repository!A:F, 6, 0), ""), "")</f>
        <v/>
      </c>
      <c r="Q1940" s="105" t="str">
        <f>IF(F1940="Yes", IFERROR(VLOOKUP(D1940, Repository!A:I, 8, 0), ""), "")</f>
        <v/>
      </c>
      <c r="R1940" s="105" t="str">
        <f>IF(F1940="Yes", IFERROR(VLOOKUP(D1940, Repository!A:J, 9, 0), ""), "")</f>
        <v/>
      </c>
      <c r="S1940" s="105"/>
      <c r="T1940" s="105"/>
      <c r="U1940" s="105"/>
      <c r="V1940" s="105"/>
      <c r="W1940" s="105"/>
      <c r="X1940" s="105"/>
      <c r="Y1940" s="105"/>
      <c r="Z1940" s="105"/>
      <c r="AA1940" s="105"/>
      <c r="AB1940" s="105"/>
      <c r="AC1940" s="91"/>
      <c r="AD1940" s="105"/>
      <c r="AE1940" s="105"/>
      <c r="AF1940" s="91"/>
      <c r="AG1940" s="105"/>
      <c r="AH1940" s="105"/>
      <c r="AI1940" s="105" t="str">
        <f t="shared" si="1"/>
        <v/>
      </c>
      <c r="AJ1940" s="108" t="str">
        <f t="shared" si="2"/>
        <v/>
      </c>
    </row>
    <row r="1941" ht="15.75" customHeight="1">
      <c r="A1941" s="104"/>
      <c r="B1941" s="105" t="str">
        <f>IFERROR(__xludf.DUMMYFUNCTION("ARRAY_CONSTRAIN(
  ARRAYFORMULA(
    IF(
      'Final Report'!A1941="""",
      """",
      TEXTJOIN(
        "", "" &amp; CHAR(10),
        TRUE,
        IFERROR(
          VLOOKUP(
            TRIM(
              SPLIT('Final Report'!A1941, "","")
         "&amp;"   ),
            'URL Details'!A:B,
            2,
            FALSE
          ),
          """"
        )
      )
    )
  ),
  1,
  1
)
"),"")</f>
        <v/>
      </c>
      <c r="C1941" s="105" t="str">
        <f>IFERROR(__xludf.DUMMYFUNCTION("IFERROR(IF('Final Report'!A1941="""","""", TEXTJOIN(CHAR(10), TRUE, ARRAYFORMULA( ""• ""&amp; FILTER( TRIM(FLATTEN(SPLIT( REGEXREPLACE( SUBSTITUTE(TEXTJOIN("","", TRUE, IFERROR(ARRAYFORMULA(VLOOKUP(TRIM(SPLIT('Final Report'!A1941, "","")), 'URL Details'!A:D, "&amp;"4, FALSE)),"""") ), CHAR(10), "",""), ""\s*,\s*"", "",""), "",""))), TRIM(FLATTEN(SPLIT( REGEXREPLACE( SUBSTITUTE(TEXTJOIN("","", TRUE, IFERROR(ARRAYFORMULA(VLOOKUP(TRIM(SPLIT('Final Report'!A1941, "","")), 'URL Details'!A:D, 4, FALSE)),"""") ), CHAR(10),"&amp;" "",""), ""\s*,\s*"", "",""), "","")))&lt;&gt;"""" ) ) ) ),"""")
"),"")</f>
        <v/>
      </c>
      <c r="D1941" s="105"/>
      <c r="E1941" s="105"/>
      <c r="F1941" s="110" t="b">
        <v>0</v>
      </c>
      <c r="G1941" s="105" t="str">
        <f>IF(F1941=True, IFERROR(VLOOKUP(D1941, Repository!A:B, 2, 0), ""), "")</f>
        <v/>
      </c>
      <c r="H1941" s="105"/>
      <c r="I1941" s="105"/>
      <c r="J1941" s="105" t="str">
        <f>IF(F1941=True, IFERROR(VLOOKUP(D1941, Repository!A:C, 3, 0), ""), "")</f>
        <v/>
      </c>
      <c r="K1941" s="105"/>
      <c r="L1941" s="105" t="str">
        <f>IF(F1941=True, IFERROR(VLOOKUP(D1941, Repository!A:E, 5, 0), ""), "")</f>
        <v/>
      </c>
      <c r="M1941" s="105"/>
      <c r="N1941" s="105" t="str">
        <f>IF(F1941=True, IFERROR(VLOOKUP(D1941, Repository!A:G, 7, 0), ""), "")</f>
        <v/>
      </c>
      <c r="O1941" s="105" t="str">
        <f>IFERROR(__xludf.DUMMYFUNCTION("ARRAY_CONSTRAIN(
  ARRAYFORMULA(
    IFERROR(
      LET(
        list, N1941,
        arr, TRIM(SPLIT(list, "","")),
        names, XLOOKUP(
          arr,
          'Conformance Score'!A:A,
          'Conformance Score'!B:B,
          ""Not found""
     "&amp;"   ),
        TEXTJOIN("", "", TRUE, names)
      ),
      """"
    )
  ),
  1,
  1
)
"),"")</f>
        <v/>
      </c>
      <c r="P1941" s="105" t="str">
        <f>IF(F1941="Yes", IFERROR(VLOOKUP(D1941, Repository!A:F, 6, 0), ""), "")</f>
        <v/>
      </c>
      <c r="Q1941" s="105" t="str">
        <f>IF(F1941="Yes", IFERROR(VLOOKUP(D1941, Repository!A:I, 8, 0), ""), "")</f>
        <v/>
      </c>
      <c r="R1941" s="105" t="str">
        <f>IF(F1941="Yes", IFERROR(VLOOKUP(D1941, Repository!A:J, 9, 0), ""), "")</f>
        <v/>
      </c>
      <c r="S1941" s="105"/>
      <c r="T1941" s="105"/>
      <c r="U1941" s="105"/>
      <c r="V1941" s="105"/>
      <c r="W1941" s="105"/>
      <c r="X1941" s="105"/>
      <c r="Y1941" s="105"/>
      <c r="Z1941" s="105"/>
      <c r="AA1941" s="105"/>
      <c r="AB1941" s="105"/>
      <c r="AC1941" s="91"/>
      <c r="AD1941" s="105"/>
      <c r="AE1941" s="105"/>
      <c r="AF1941" s="91"/>
      <c r="AG1941" s="105"/>
      <c r="AH1941" s="105"/>
      <c r="AI1941" s="105" t="str">
        <f t="shared" si="1"/>
        <v/>
      </c>
      <c r="AJ1941" s="108" t="str">
        <f t="shared" si="2"/>
        <v/>
      </c>
    </row>
    <row r="1942" ht="15.75" customHeight="1">
      <c r="A1942" s="104"/>
      <c r="B1942" s="105" t="str">
        <f>IFERROR(__xludf.DUMMYFUNCTION("ARRAY_CONSTRAIN(
  ARRAYFORMULA(
    IF(
      'Final Report'!A1942="""",
      """",
      TEXTJOIN(
        "", "" &amp; CHAR(10),
        TRUE,
        IFERROR(
          VLOOKUP(
            TRIM(
              SPLIT('Final Report'!A1942, "","")
         "&amp;"   ),
            'URL Details'!A:B,
            2,
            FALSE
          ),
          """"
        )
      )
    )
  ),
  1,
  1
)
"),"")</f>
        <v/>
      </c>
      <c r="C1942" s="105" t="str">
        <f>IFERROR(__xludf.DUMMYFUNCTION("IFERROR(IF('Final Report'!A1942="""","""", TEXTJOIN(CHAR(10), TRUE, ARRAYFORMULA( ""• ""&amp; FILTER( TRIM(FLATTEN(SPLIT( REGEXREPLACE( SUBSTITUTE(TEXTJOIN("","", TRUE, IFERROR(ARRAYFORMULA(VLOOKUP(TRIM(SPLIT('Final Report'!A1942, "","")), 'URL Details'!A:D, "&amp;"4, FALSE)),"""") ), CHAR(10), "",""), ""\s*,\s*"", "",""), "",""))), TRIM(FLATTEN(SPLIT( REGEXREPLACE( SUBSTITUTE(TEXTJOIN("","", TRUE, IFERROR(ARRAYFORMULA(VLOOKUP(TRIM(SPLIT('Final Report'!A1942, "","")), 'URL Details'!A:D, 4, FALSE)),"""") ), CHAR(10),"&amp;" "",""), ""\s*,\s*"", "",""), "","")))&lt;&gt;"""" ) ) ) ),"""")
"),"")</f>
        <v/>
      </c>
      <c r="D1942" s="105"/>
      <c r="E1942" s="105"/>
      <c r="F1942" s="110" t="b">
        <v>0</v>
      </c>
      <c r="G1942" s="105" t="str">
        <f>IF(F1942=True, IFERROR(VLOOKUP(D1942, Repository!A:B, 2, 0), ""), "")</f>
        <v/>
      </c>
      <c r="H1942" s="105"/>
      <c r="I1942" s="105"/>
      <c r="J1942" s="105" t="str">
        <f>IF(F1942=True, IFERROR(VLOOKUP(D1942, Repository!A:C, 3, 0), ""), "")</f>
        <v/>
      </c>
      <c r="K1942" s="105"/>
      <c r="L1942" s="105" t="str">
        <f>IF(F1942=True, IFERROR(VLOOKUP(D1942, Repository!A:E, 5, 0), ""), "")</f>
        <v/>
      </c>
      <c r="M1942" s="105"/>
      <c r="N1942" s="105" t="str">
        <f>IF(F1942=True, IFERROR(VLOOKUP(D1942, Repository!A:G, 7, 0), ""), "")</f>
        <v/>
      </c>
      <c r="O1942" s="105" t="str">
        <f>IFERROR(__xludf.DUMMYFUNCTION("ARRAY_CONSTRAIN(
  ARRAYFORMULA(
    IFERROR(
      LET(
        list, N1942,
        arr, TRIM(SPLIT(list, "","")),
        names, XLOOKUP(
          arr,
          'Conformance Score'!A:A,
          'Conformance Score'!B:B,
          ""Not found""
     "&amp;"   ),
        TEXTJOIN("", "", TRUE, names)
      ),
      """"
    )
  ),
  1,
  1
)
"),"")</f>
        <v/>
      </c>
      <c r="P1942" s="105" t="str">
        <f>IF(F1942="Yes", IFERROR(VLOOKUP(D1942, Repository!A:F, 6, 0), ""), "")</f>
        <v/>
      </c>
      <c r="Q1942" s="105" t="str">
        <f>IF(F1942="Yes", IFERROR(VLOOKUP(D1942, Repository!A:I, 8, 0), ""), "")</f>
        <v/>
      </c>
      <c r="R1942" s="105" t="str">
        <f>IF(F1942="Yes", IFERROR(VLOOKUP(D1942, Repository!A:J, 9, 0), ""), "")</f>
        <v/>
      </c>
      <c r="S1942" s="105"/>
      <c r="T1942" s="105"/>
      <c r="U1942" s="105"/>
      <c r="V1942" s="105"/>
      <c r="W1942" s="105"/>
      <c r="X1942" s="105"/>
      <c r="Y1942" s="105"/>
      <c r="Z1942" s="105"/>
      <c r="AA1942" s="105"/>
      <c r="AB1942" s="105"/>
      <c r="AC1942" s="91"/>
      <c r="AD1942" s="105"/>
      <c r="AE1942" s="105"/>
      <c r="AF1942" s="91"/>
      <c r="AG1942" s="105"/>
      <c r="AH1942" s="105"/>
      <c r="AI1942" s="105" t="str">
        <f t="shared" si="1"/>
        <v/>
      </c>
      <c r="AJ1942" s="108" t="str">
        <f t="shared" si="2"/>
        <v/>
      </c>
    </row>
    <row r="1943" ht="15.75" customHeight="1">
      <c r="A1943" s="104"/>
      <c r="B1943" s="105" t="str">
        <f>IFERROR(__xludf.DUMMYFUNCTION("ARRAY_CONSTRAIN(
  ARRAYFORMULA(
    IF(
      'Final Report'!A1943="""",
      """",
      TEXTJOIN(
        "", "" &amp; CHAR(10),
        TRUE,
        IFERROR(
          VLOOKUP(
            TRIM(
              SPLIT('Final Report'!A1943, "","")
         "&amp;"   ),
            'URL Details'!A:B,
            2,
            FALSE
          ),
          """"
        )
      )
    )
  ),
  1,
  1
)
"),"")</f>
        <v/>
      </c>
      <c r="C1943" s="105" t="str">
        <f>IFERROR(__xludf.DUMMYFUNCTION("IFERROR(IF('Final Report'!A1943="""","""", TEXTJOIN(CHAR(10), TRUE, ARRAYFORMULA( ""• ""&amp; FILTER( TRIM(FLATTEN(SPLIT( REGEXREPLACE( SUBSTITUTE(TEXTJOIN("","", TRUE, IFERROR(ARRAYFORMULA(VLOOKUP(TRIM(SPLIT('Final Report'!A1943, "","")), 'URL Details'!A:D, "&amp;"4, FALSE)),"""") ), CHAR(10), "",""), ""\s*,\s*"", "",""), "",""))), TRIM(FLATTEN(SPLIT( REGEXREPLACE( SUBSTITUTE(TEXTJOIN("","", TRUE, IFERROR(ARRAYFORMULA(VLOOKUP(TRIM(SPLIT('Final Report'!A1943, "","")), 'URL Details'!A:D, 4, FALSE)),"""") ), CHAR(10),"&amp;" "",""), ""\s*,\s*"", "",""), "","")))&lt;&gt;"""" ) ) ) ),"""")
"),"")</f>
        <v/>
      </c>
      <c r="D1943" s="105"/>
      <c r="E1943" s="105"/>
      <c r="F1943" s="110" t="b">
        <v>0</v>
      </c>
      <c r="G1943" s="105" t="str">
        <f>IF(F1943=True, IFERROR(VLOOKUP(D1943, Repository!A:B, 2, 0), ""), "")</f>
        <v/>
      </c>
      <c r="H1943" s="105"/>
      <c r="I1943" s="105"/>
      <c r="J1943" s="105" t="str">
        <f>IF(F1943=True, IFERROR(VLOOKUP(D1943, Repository!A:C, 3, 0), ""), "")</f>
        <v/>
      </c>
      <c r="K1943" s="105"/>
      <c r="L1943" s="105" t="str">
        <f>IF(F1943=True, IFERROR(VLOOKUP(D1943, Repository!A:E, 5, 0), ""), "")</f>
        <v/>
      </c>
      <c r="M1943" s="105"/>
      <c r="N1943" s="105" t="str">
        <f>IF(F1943=True, IFERROR(VLOOKUP(D1943, Repository!A:G, 7, 0), ""), "")</f>
        <v/>
      </c>
      <c r="O1943" s="105" t="str">
        <f>IFERROR(__xludf.DUMMYFUNCTION("ARRAY_CONSTRAIN(
  ARRAYFORMULA(
    IFERROR(
      LET(
        list, N1943,
        arr, TRIM(SPLIT(list, "","")),
        names, XLOOKUP(
          arr,
          'Conformance Score'!A:A,
          'Conformance Score'!B:B,
          ""Not found""
     "&amp;"   ),
        TEXTJOIN("", "", TRUE, names)
      ),
      """"
    )
  ),
  1,
  1
)
"),"")</f>
        <v/>
      </c>
      <c r="P1943" s="105" t="str">
        <f>IF(F1943="Yes", IFERROR(VLOOKUP(D1943, Repository!A:F, 6, 0), ""), "")</f>
        <v/>
      </c>
      <c r="Q1943" s="105" t="str">
        <f>IF(F1943="Yes", IFERROR(VLOOKUP(D1943, Repository!A:I, 8, 0), ""), "")</f>
        <v/>
      </c>
      <c r="R1943" s="105" t="str">
        <f>IF(F1943="Yes", IFERROR(VLOOKUP(D1943, Repository!A:J, 9, 0), ""), "")</f>
        <v/>
      </c>
      <c r="S1943" s="105"/>
      <c r="T1943" s="105"/>
      <c r="U1943" s="105"/>
      <c r="V1943" s="105"/>
      <c r="W1943" s="105"/>
      <c r="X1943" s="105"/>
      <c r="Y1943" s="105"/>
      <c r="Z1943" s="105"/>
      <c r="AA1943" s="105"/>
      <c r="AB1943" s="105"/>
      <c r="AC1943" s="91"/>
      <c r="AD1943" s="105"/>
      <c r="AE1943" s="105"/>
      <c r="AF1943" s="91"/>
      <c r="AG1943" s="105"/>
      <c r="AH1943" s="105"/>
      <c r="AI1943" s="105" t="str">
        <f t="shared" si="1"/>
        <v/>
      </c>
      <c r="AJ1943" s="108" t="str">
        <f t="shared" si="2"/>
        <v/>
      </c>
    </row>
    <row r="1944" ht="15.75" customHeight="1">
      <c r="A1944" s="104"/>
      <c r="B1944" s="105" t="str">
        <f>IFERROR(__xludf.DUMMYFUNCTION("ARRAY_CONSTRAIN(
  ARRAYFORMULA(
    IF(
      'Final Report'!A1944="""",
      """",
      TEXTJOIN(
        "", "" &amp; CHAR(10),
        TRUE,
        IFERROR(
          VLOOKUP(
            TRIM(
              SPLIT('Final Report'!A1944, "","")
         "&amp;"   ),
            'URL Details'!A:B,
            2,
            FALSE
          ),
          """"
        )
      )
    )
  ),
  1,
  1
)
"),"")</f>
        <v/>
      </c>
      <c r="C1944" s="105" t="str">
        <f>IFERROR(__xludf.DUMMYFUNCTION("IFERROR(IF('Final Report'!A1944="""","""", TEXTJOIN(CHAR(10), TRUE, ARRAYFORMULA( ""• ""&amp; FILTER( TRIM(FLATTEN(SPLIT( REGEXREPLACE( SUBSTITUTE(TEXTJOIN("","", TRUE, IFERROR(ARRAYFORMULA(VLOOKUP(TRIM(SPLIT('Final Report'!A1944, "","")), 'URL Details'!A:D, "&amp;"4, FALSE)),"""") ), CHAR(10), "",""), ""\s*,\s*"", "",""), "",""))), TRIM(FLATTEN(SPLIT( REGEXREPLACE( SUBSTITUTE(TEXTJOIN("","", TRUE, IFERROR(ARRAYFORMULA(VLOOKUP(TRIM(SPLIT('Final Report'!A1944, "","")), 'URL Details'!A:D, 4, FALSE)),"""") ), CHAR(10),"&amp;" "",""), ""\s*,\s*"", "",""), "","")))&lt;&gt;"""" ) ) ) ),"""")
"),"")</f>
        <v/>
      </c>
      <c r="D1944" s="105"/>
      <c r="E1944" s="105"/>
      <c r="F1944" s="110" t="b">
        <v>0</v>
      </c>
      <c r="G1944" s="105" t="str">
        <f>IF(F1944=True, IFERROR(VLOOKUP(D1944, Repository!A:B, 2, 0), ""), "")</f>
        <v/>
      </c>
      <c r="H1944" s="105"/>
      <c r="I1944" s="105"/>
      <c r="J1944" s="105" t="str">
        <f>IF(F1944=True, IFERROR(VLOOKUP(D1944, Repository!A:C, 3, 0), ""), "")</f>
        <v/>
      </c>
      <c r="K1944" s="105"/>
      <c r="L1944" s="105" t="str">
        <f>IF(F1944=True, IFERROR(VLOOKUP(D1944, Repository!A:E, 5, 0), ""), "")</f>
        <v/>
      </c>
      <c r="M1944" s="105"/>
      <c r="N1944" s="105" t="str">
        <f>IF(F1944=True, IFERROR(VLOOKUP(D1944, Repository!A:G, 7, 0), ""), "")</f>
        <v/>
      </c>
      <c r="O1944" s="105" t="str">
        <f>IFERROR(__xludf.DUMMYFUNCTION("ARRAY_CONSTRAIN(
  ARRAYFORMULA(
    IFERROR(
      LET(
        list, N1944,
        arr, TRIM(SPLIT(list, "","")),
        names, XLOOKUP(
          arr,
          'Conformance Score'!A:A,
          'Conformance Score'!B:B,
          ""Not found""
     "&amp;"   ),
        TEXTJOIN("", "", TRUE, names)
      ),
      """"
    )
  ),
  1,
  1
)
"),"")</f>
        <v/>
      </c>
      <c r="P1944" s="105" t="str">
        <f>IF(F1944="Yes", IFERROR(VLOOKUP(D1944, Repository!A:F, 6, 0), ""), "")</f>
        <v/>
      </c>
      <c r="Q1944" s="105" t="str">
        <f>IF(F1944="Yes", IFERROR(VLOOKUP(D1944, Repository!A:I, 8, 0), ""), "")</f>
        <v/>
      </c>
      <c r="R1944" s="105" t="str">
        <f>IF(F1944="Yes", IFERROR(VLOOKUP(D1944, Repository!A:J, 9, 0), ""), "")</f>
        <v/>
      </c>
      <c r="S1944" s="105"/>
      <c r="T1944" s="105"/>
      <c r="U1944" s="105"/>
      <c r="V1944" s="105"/>
      <c r="W1944" s="105"/>
      <c r="X1944" s="105"/>
      <c r="Y1944" s="105"/>
      <c r="Z1944" s="105"/>
      <c r="AA1944" s="105"/>
      <c r="AB1944" s="105"/>
      <c r="AC1944" s="91"/>
      <c r="AD1944" s="105"/>
      <c r="AE1944" s="105"/>
      <c r="AF1944" s="91"/>
      <c r="AG1944" s="105"/>
      <c r="AH1944" s="105"/>
      <c r="AI1944" s="105" t="str">
        <f t="shared" si="1"/>
        <v/>
      </c>
      <c r="AJ1944" s="108" t="str">
        <f t="shared" si="2"/>
        <v/>
      </c>
    </row>
    <row r="1945" ht="15.75" customHeight="1">
      <c r="A1945" s="104"/>
      <c r="B1945" s="105" t="str">
        <f>IFERROR(__xludf.DUMMYFUNCTION("ARRAY_CONSTRAIN(
  ARRAYFORMULA(
    IF(
      'Final Report'!A1945="""",
      """",
      TEXTJOIN(
        "", "" &amp; CHAR(10),
        TRUE,
        IFERROR(
          VLOOKUP(
            TRIM(
              SPLIT('Final Report'!A1945, "","")
         "&amp;"   ),
            'URL Details'!A:B,
            2,
            FALSE
          ),
          """"
        )
      )
    )
  ),
  1,
  1
)
"),"")</f>
        <v/>
      </c>
      <c r="C1945" s="105" t="str">
        <f>IFERROR(__xludf.DUMMYFUNCTION("IFERROR(IF('Final Report'!A1945="""","""", TEXTJOIN(CHAR(10), TRUE, ARRAYFORMULA( ""• ""&amp; FILTER( TRIM(FLATTEN(SPLIT( REGEXREPLACE( SUBSTITUTE(TEXTJOIN("","", TRUE, IFERROR(ARRAYFORMULA(VLOOKUP(TRIM(SPLIT('Final Report'!A1945, "","")), 'URL Details'!A:D, "&amp;"4, FALSE)),"""") ), CHAR(10), "",""), ""\s*,\s*"", "",""), "",""))), TRIM(FLATTEN(SPLIT( REGEXREPLACE( SUBSTITUTE(TEXTJOIN("","", TRUE, IFERROR(ARRAYFORMULA(VLOOKUP(TRIM(SPLIT('Final Report'!A1945, "","")), 'URL Details'!A:D, 4, FALSE)),"""") ), CHAR(10),"&amp;" "",""), ""\s*,\s*"", "",""), "","")))&lt;&gt;"""" ) ) ) ),"""")
"),"")</f>
        <v/>
      </c>
      <c r="D1945" s="105"/>
      <c r="E1945" s="105"/>
      <c r="F1945" s="110" t="b">
        <v>0</v>
      </c>
      <c r="G1945" s="105" t="str">
        <f>IF(F1945=True, IFERROR(VLOOKUP(D1945, Repository!A:B, 2, 0), ""), "")</f>
        <v/>
      </c>
      <c r="H1945" s="105"/>
      <c r="I1945" s="105"/>
      <c r="J1945" s="105" t="str">
        <f>IF(F1945=True, IFERROR(VLOOKUP(D1945, Repository!A:C, 3, 0), ""), "")</f>
        <v/>
      </c>
      <c r="K1945" s="105"/>
      <c r="L1945" s="105" t="str">
        <f>IF(F1945=True, IFERROR(VLOOKUP(D1945, Repository!A:E, 5, 0), ""), "")</f>
        <v/>
      </c>
      <c r="M1945" s="105"/>
      <c r="N1945" s="105" t="str">
        <f>IF(F1945=True, IFERROR(VLOOKUP(D1945, Repository!A:G, 7, 0), ""), "")</f>
        <v/>
      </c>
      <c r="O1945" s="105" t="str">
        <f>IFERROR(__xludf.DUMMYFUNCTION("ARRAY_CONSTRAIN(
  ARRAYFORMULA(
    IFERROR(
      LET(
        list, N1945,
        arr, TRIM(SPLIT(list, "","")),
        names, XLOOKUP(
          arr,
          'Conformance Score'!A:A,
          'Conformance Score'!B:B,
          ""Not found""
     "&amp;"   ),
        TEXTJOIN("", "", TRUE, names)
      ),
      """"
    )
  ),
  1,
  1
)
"),"")</f>
        <v/>
      </c>
      <c r="P1945" s="105" t="str">
        <f>IF(F1945="Yes", IFERROR(VLOOKUP(D1945, Repository!A:F, 6, 0), ""), "")</f>
        <v/>
      </c>
      <c r="Q1945" s="105" t="str">
        <f>IF(F1945="Yes", IFERROR(VLOOKUP(D1945, Repository!A:I, 8, 0), ""), "")</f>
        <v/>
      </c>
      <c r="R1945" s="105" t="str">
        <f>IF(F1945="Yes", IFERROR(VLOOKUP(D1945, Repository!A:J, 9, 0), ""), "")</f>
        <v/>
      </c>
      <c r="S1945" s="105"/>
      <c r="T1945" s="105"/>
      <c r="U1945" s="105"/>
      <c r="V1945" s="105"/>
      <c r="W1945" s="105"/>
      <c r="X1945" s="105"/>
      <c r="Y1945" s="105"/>
      <c r="Z1945" s="105"/>
      <c r="AA1945" s="105"/>
      <c r="AB1945" s="105"/>
      <c r="AC1945" s="91"/>
      <c r="AD1945" s="105"/>
      <c r="AE1945" s="105"/>
      <c r="AF1945" s="91"/>
      <c r="AG1945" s="105"/>
      <c r="AH1945" s="105"/>
      <c r="AI1945" s="105" t="str">
        <f t="shared" si="1"/>
        <v/>
      </c>
      <c r="AJ1945" s="108" t="str">
        <f t="shared" si="2"/>
        <v/>
      </c>
    </row>
    <row r="1946" ht="15.75" customHeight="1">
      <c r="A1946" s="104"/>
      <c r="B1946" s="105" t="str">
        <f>IFERROR(__xludf.DUMMYFUNCTION("ARRAY_CONSTRAIN(
  ARRAYFORMULA(
    IF(
      'Final Report'!A1946="""",
      """",
      TEXTJOIN(
        "", "" &amp; CHAR(10),
        TRUE,
        IFERROR(
          VLOOKUP(
            TRIM(
              SPLIT('Final Report'!A1946, "","")
         "&amp;"   ),
            'URL Details'!A:B,
            2,
            FALSE
          ),
          """"
        )
      )
    )
  ),
  1,
  1
)
"),"")</f>
        <v/>
      </c>
      <c r="C1946" s="105" t="str">
        <f>IFERROR(__xludf.DUMMYFUNCTION("IFERROR(IF('Final Report'!A1946="""","""", TEXTJOIN(CHAR(10), TRUE, ARRAYFORMULA( ""• ""&amp; FILTER( TRIM(FLATTEN(SPLIT( REGEXREPLACE( SUBSTITUTE(TEXTJOIN("","", TRUE, IFERROR(ARRAYFORMULA(VLOOKUP(TRIM(SPLIT('Final Report'!A1946, "","")), 'URL Details'!A:D, "&amp;"4, FALSE)),"""") ), CHAR(10), "",""), ""\s*,\s*"", "",""), "",""))), TRIM(FLATTEN(SPLIT( REGEXREPLACE( SUBSTITUTE(TEXTJOIN("","", TRUE, IFERROR(ARRAYFORMULA(VLOOKUP(TRIM(SPLIT('Final Report'!A1946, "","")), 'URL Details'!A:D, 4, FALSE)),"""") ), CHAR(10),"&amp;" "",""), ""\s*,\s*"", "",""), "","")))&lt;&gt;"""" ) ) ) ),"""")
"),"")</f>
        <v/>
      </c>
      <c r="D1946" s="105"/>
      <c r="E1946" s="105"/>
      <c r="F1946" s="110" t="b">
        <v>0</v>
      </c>
      <c r="G1946" s="105" t="str">
        <f>IF(F1946=True, IFERROR(VLOOKUP(D1946, Repository!A:B, 2, 0), ""), "")</f>
        <v/>
      </c>
      <c r="H1946" s="105"/>
      <c r="I1946" s="105"/>
      <c r="J1946" s="105" t="str">
        <f>IF(F1946=True, IFERROR(VLOOKUP(D1946, Repository!A:C, 3, 0), ""), "")</f>
        <v/>
      </c>
      <c r="K1946" s="105"/>
      <c r="L1946" s="105" t="str">
        <f>IF(F1946=True, IFERROR(VLOOKUP(D1946, Repository!A:E, 5, 0), ""), "")</f>
        <v/>
      </c>
      <c r="M1946" s="105"/>
      <c r="N1946" s="105" t="str">
        <f>IF(F1946=True, IFERROR(VLOOKUP(D1946, Repository!A:G, 7, 0), ""), "")</f>
        <v/>
      </c>
      <c r="O1946" s="105" t="str">
        <f>IFERROR(__xludf.DUMMYFUNCTION("ARRAY_CONSTRAIN(
  ARRAYFORMULA(
    IFERROR(
      LET(
        list, N1946,
        arr, TRIM(SPLIT(list, "","")),
        names, XLOOKUP(
          arr,
          'Conformance Score'!A:A,
          'Conformance Score'!B:B,
          ""Not found""
     "&amp;"   ),
        TEXTJOIN("", "", TRUE, names)
      ),
      """"
    )
  ),
  1,
  1
)
"),"")</f>
        <v/>
      </c>
      <c r="P1946" s="105" t="str">
        <f>IF(F1946="Yes", IFERROR(VLOOKUP(D1946, Repository!A:F, 6, 0), ""), "")</f>
        <v/>
      </c>
      <c r="Q1946" s="105" t="str">
        <f>IF(F1946="Yes", IFERROR(VLOOKUP(D1946, Repository!A:I, 8, 0), ""), "")</f>
        <v/>
      </c>
      <c r="R1946" s="105" t="str">
        <f>IF(F1946="Yes", IFERROR(VLOOKUP(D1946, Repository!A:J, 9, 0), ""), "")</f>
        <v/>
      </c>
      <c r="S1946" s="105"/>
      <c r="T1946" s="105"/>
      <c r="U1946" s="105"/>
      <c r="V1946" s="105"/>
      <c r="W1946" s="105"/>
      <c r="X1946" s="105"/>
      <c r="Y1946" s="105"/>
      <c r="Z1946" s="105"/>
      <c r="AA1946" s="105"/>
      <c r="AB1946" s="105"/>
      <c r="AC1946" s="91"/>
      <c r="AD1946" s="105"/>
      <c r="AE1946" s="105"/>
      <c r="AF1946" s="91"/>
      <c r="AG1946" s="105"/>
      <c r="AH1946" s="105"/>
      <c r="AI1946" s="105" t="str">
        <f t="shared" si="1"/>
        <v/>
      </c>
      <c r="AJ1946" s="108" t="str">
        <f t="shared" si="2"/>
        <v/>
      </c>
    </row>
    <row r="1947" ht="15.75" customHeight="1">
      <c r="A1947" s="104"/>
      <c r="B1947" s="105" t="str">
        <f>IFERROR(__xludf.DUMMYFUNCTION("ARRAY_CONSTRAIN(
  ARRAYFORMULA(
    IF(
      'Final Report'!A1947="""",
      """",
      TEXTJOIN(
        "", "" &amp; CHAR(10),
        TRUE,
        IFERROR(
          VLOOKUP(
            TRIM(
              SPLIT('Final Report'!A1947, "","")
         "&amp;"   ),
            'URL Details'!A:B,
            2,
            FALSE
          ),
          """"
        )
      )
    )
  ),
  1,
  1
)
"),"")</f>
        <v/>
      </c>
      <c r="C1947" s="105" t="str">
        <f>IFERROR(__xludf.DUMMYFUNCTION("IFERROR(IF('Final Report'!A1947="""","""", TEXTJOIN(CHAR(10), TRUE, ARRAYFORMULA( ""• ""&amp; FILTER( TRIM(FLATTEN(SPLIT( REGEXREPLACE( SUBSTITUTE(TEXTJOIN("","", TRUE, IFERROR(ARRAYFORMULA(VLOOKUP(TRIM(SPLIT('Final Report'!A1947, "","")), 'URL Details'!A:D, "&amp;"4, FALSE)),"""") ), CHAR(10), "",""), ""\s*,\s*"", "",""), "",""))), TRIM(FLATTEN(SPLIT( REGEXREPLACE( SUBSTITUTE(TEXTJOIN("","", TRUE, IFERROR(ARRAYFORMULA(VLOOKUP(TRIM(SPLIT('Final Report'!A1947, "","")), 'URL Details'!A:D, 4, FALSE)),"""") ), CHAR(10),"&amp;" "",""), ""\s*,\s*"", "",""), "","")))&lt;&gt;"""" ) ) ) ),"""")
"),"")</f>
        <v/>
      </c>
      <c r="D1947" s="105"/>
      <c r="E1947" s="105"/>
      <c r="F1947" s="110" t="b">
        <v>0</v>
      </c>
      <c r="G1947" s="105" t="str">
        <f>IF(F1947=True, IFERROR(VLOOKUP(D1947, Repository!A:B, 2, 0), ""), "")</f>
        <v/>
      </c>
      <c r="H1947" s="105"/>
      <c r="I1947" s="105"/>
      <c r="J1947" s="105" t="str">
        <f>IF(F1947=True, IFERROR(VLOOKUP(D1947, Repository!A:C, 3, 0), ""), "")</f>
        <v/>
      </c>
      <c r="K1947" s="105"/>
      <c r="L1947" s="105" t="str">
        <f>IF(F1947=True, IFERROR(VLOOKUP(D1947, Repository!A:E, 5, 0), ""), "")</f>
        <v/>
      </c>
      <c r="M1947" s="105"/>
      <c r="N1947" s="105" t="str">
        <f>IF(F1947=True, IFERROR(VLOOKUP(D1947, Repository!A:G, 7, 0), ""), "")</f>
        <v/>
      </c>
      <c r="O1947" s="105" t="str">
        <f>IFERROR(__xludf.DUMMYFUNCTION("ARRAY_CONSTRAIN(
  ARRAYFORMULA(
    IFERROR(
      LET(
        list, N1947,
        arr, TRIM(SPLIT(list, "","")),
        names, XLOOKUP(
          arr,
          'Conformance Score'!A:A,
          'Conformance Score'!B:B,
          ""Not found""
     "&amp;"   ),
        TEXTJOIN("", "", TRUE, names)
      ),
      """"
    )
  ),
  1,
  1
)
"),"")</f>
        <v/>
      </c>
      <c r="P1947" s="105" t="str">
        <f>IF(F1947="Yes", IFERROR(VLOOKUP(D1947, Repository!A:F, 6, 0), ""), "")</f>
        <v/>
      </c>
      <c r="Q1947" s="105" t="str">
        <f>IF(F1947="Yes", IFERROR(VLOOKUP(D1947, Repository!A:I, 8, 0), ""), "")</f>
        <v/>
      </c>
      <c r="R1947" s="105" t="str">
        <f>IF(F1947="Yes", IFERROR(VLOOKUP(D1947, Repository!A:J, 9, 0), ""), "")</f>
        <v/>
      </c>
      <c r="S1947" s="105"/>
      <c r="T1947" s="105"/>
      <c r="U1947" s="105"/>
      <c r="V1947" s="105"/>
      <c r="W1947" s="105"/>
      <c r="X1947" s="105"/>
      <c r="Y1947" s="105"/>
      <c r="Z1947" s="105"/>
      <c r="AA1947" s="105"/>
      <c r="AB1947" s="105"/>
      <c r="AC1947" s="91"/>
      <c r="AD1947" s="105"/>
      <c r="AE1947" s="105"/>
      <c r="AF1947" s="91"/>
      <c r="AG1947" s="105"/>
      <c r="AH1947" s="105"/>
      <c r="AI1947" s="105" t="str">
        <f t="shared" si="1"/>
        <v/>
      </c>
      <c r="AJ1947" s="108" t="str">
        <f t="shared" si="2"/>
        <v/>
      </c>
    </row>
    <row r="1948" ht="15.75" customHeight="1">
      <c r="A1948" s="104"/>
      <c r="B1948" s="105" t="str">
        <f>IFERROR(__xludf.DUMMYFUNCTION("ARRAY_CONSTRAIN(
  ARRAYFORMULA(
    IF(
      'Final Report'!A1948="""",
      """",
      TEXTJOIN(
        "", "" &amp; CHAR(10),
        TRUE,
        IFERROR(
          VLOOKUP(
            TRIM(
              SPLIT('Final Report'!A1948, "","")
         "&amp;"   ),
            'URL Details'!A:B,
            2,
            FALSE
          ),
          """"
        )
      )
    )
  ),
  1,
  1
)
"),"")</f>
        <v/>
      </c>
      <c r="C1948" s="105" t="str">
        <f>IFERROR(__xludf.DUMMYFUNCTION("IFERROR(IF('Final Report'!A1948="""","""", TEXTJOIN(CHAR(10), TRUE, ARRAYFORMULA( ""• ""&amp; FILTER( TRIM(FLATTEN(SPLIT( REGEXREPLACE( SUBSTITUTE(TEXTJOIN("","", TRUE, IFERROR(ARRAYFORMULA(VLOOKUP(TRIM(SPLIT('Final Report'!A1948, "","")), 'URL Details'!A:D, "&amp;"4, FALSE)),"""") ), CHAR(10), "",""), ""\s*,\s*"", "",""), "",""))), TRIM(FLATTEN(SPLIT( REGEXREPLACE( SUBSTITUTE(TEXTJOIN("","", TRUE, IFERROR(ARRAYFORMULA(VLOOKUP(TRIM(SPLIT('Final Report'!A1948, "","")), 'URL Details'!A:D, 4, FALSE)),"""") ), CHAR(10),"&amp;" "",""), ""\s*,\s*"", "",""), "","")))&lt;&gt;"""" ) ) ) ),"""")
"),"")</f>
        <v/>
      </c>
      <c r="D1948" s="105"/>
      <c r="E1948" s="105"/>
      <c r="F1948" s="110" t="b">
        <v>0</v>
      </c>
      <c r="G1948" s="105" t="str">
        <f>IF(F1948=True, IFERROR(VLOOKUP(D1948, Repository!A:B, 2, 0), ""), "")</f>
        <v/>
      </c>
      <c r="H1948" s="105"/>
      <c r="I1948" s="105"/>
      <c r="J1948" s="105" t="str">
        <f>IF(F1948=True, IFERROR(VLOOKUP(D1948, Repository!A:C, 3, 0), ""), "")</f>
        <v/>
      </c>
      <c r="K1948" s="105"/>
      <c r="L1948" s="105" t="str">
        <f>IF(F1948=True, IFERROR(VLOOKUP(D1948, Repository!A:E, 5, 0), ""), "")</f>
        <v/>
      </c>
      <c r="M1948" s="105"/>
      <c r="N1948" s="105" t="str">
        <f>IF(F1948=True, IFERROR(VLOOKUP(D1948, Repository!A:G, 7, 0), ""), "")</f>
        <v/>
      </c>
      <c r="O1948" s="105" t="str">
        <f>IFERROR(__xludf.DUMMYFUNCTION("ARRAY_CONSTRAIN(
  ARRAYFORMULA(
    IFERROR(
      LET(
        list, N1948,
        arr, TRIM(SPLIT(list, "","")),
        names, XLOOKUP(
          arr,
          'Conformance Score'!A:A,
          'Conformance Score'!B:B,
          ""Not found""
     "&amp;"   ),
        TEXTJOIN("", "", TRUE, names)
      ),
      """"
    )
  ),
  1,
  1
)
"),"")</f>
        <v/>
      </c>
      <c r="P1948" s="105" t="str">
        <f>IF(F1948="Yes", IFERROR(VLOOKUP(D1948, Repository!A:F, 6, 0), ""), "")</f>
        <v/>
      </c>
      <c r="Q1948" s="105" t="str">
        <f>IF(F1948="Yes", IFERROR(VLOOKUP(D1948, Repository!A:I, 8, 0), ""), "")</f>
        <v/>
      </c>
      <c r="R1948" s="105" t="str">
        <f>IF(F1948="Yes", IFERROR(VLOOKUP(D1948, Repository!A:J, 9, 0), ""), "")</f>
        <v/>
      </c>
      <c r="S1948" s="105"/>
      <c r="T1948" s="105"/>
      <c r="U1948" s="105"/>
      <c r="V1948" s="105"/>
      <c r="W1948" s="105"/>
      <c r="X1948" s="105"/>
      <c r="Y1948" s="105"/>
      <c r="Z1948" s="105"/>
      <c r="AA1948" s="105"/>
      <c r="AB1948" s="105"/>
      <c r="AC1948" s="91"/>
      <c r="AD1948" s="105"/>
      <c r="AE1948" s="105"/>
      <c r="AF1948" s="91"/>
      <c r="AG1948" s="105"/>
      <c r="AH1948" s="105"/>
      <c r="AI1948" s="105" t="str">
        <f t="shared" si="1"/>
        <v/>
      </c>
      <c r="AJ1948" s="108" t="str">
        <f t="shared" si="2"/>
        <v/>
      </c>
    </row>
    <row r="1949" ht="15.75" customHeight="1">
      <c r="A1949" s="104"/>
      <c r="B1949" s="105" t="str">
        <f>IFERROR(__xludf.DUMMYFUNCTION("ARRAY_CONSTRAIN(
  ARRAYFORMULA(
    IF(
      'Final Report'!A1949="""",
      """",
      TEXTJOIN(
        "", "" &amp; CHAR(10),
        TRUE,
        IFERROR(
          VLOOKUP(
            TRIM(
              SPLIT('Final Report'!A1949, "","")
         "&amp;"   ),
            'URL Details'!A:B,
            2,
            FALSE
          ),
          """"
        )
      )
    )
  ),
  1,
  1
)
"),"")</f>
        <v/>
      </c>
      <c r="C1949" s="105" t="str">
        <f>IFERROR(__xludf.DUMMYFUNCTION("IFERROR(IF('Final Report'!A1949="""","""", TEXTJOIN(CHAR(10), TRUE, ARRAYFORMULA( ""• ""&amp; FILTER( TRIM(FLATTEN(SPLIT( REGEXREPLACE( SUBSTITUTE(TEXTJOIN("","", TRUE, IFERROR(ARRAYFORMULA(VLOOKUP(TRIM(SPLIT('Final Report'!A1949, "","")), 'URL Details'!A:D, "&amp;"4, FALSE)),"""") ), CHAR(10), "",""), ""\s*,\s*"", "",""), "",""))), TRIM(FLATTEN(SPLIT( REGEXREPLACE( SUBSTITUTE(TEXTJOIN("","", TRUE, IFERROR(ARRAYFORMULA(VLOOKUP(TRIM(SPLIT('Final Report'!A1949, "","")), 'URL Details'!A:D, 4, FALSE)),"""") ), CHAR(10),"&amp;" "",""), ""\s*,\s*"", "",""), "","")))&lt;&gt;"""" ) ) ) ),"""")
"),"")</f>
        <v/>
      </c>
      <c r="D1949" s="105"/>
      <c r="E1949" s="105"/>
      <c r="F1949" s="110" t="b">
        <v>0</v>
      </c>
      <c r="G1949" s="105" t="str">
        <f>IF(F1949=True, IFERROR(VLOOKUP(D1949, Repository!A:B, 2, 0), ""), "")</f>
        <v/>
      </c>
      <c r="H1949" s="105"/>
      <c r="I1949" s="105"/>
      <c r="J1949" s="105" t="str">
        <f>IF(F1949=True, IFERROR(VLOOKUP(D1949, Repository!A:C, 3, 0), ""), "")</f>
        <v/>
      </c>
      <c r="K1949" s="105"/>
      <c r="L1949" s="105" t="str">
        <f>IF(F1949=True, IFERROR(VLOOKUP(D1949, Repository!A:E, 5, 0), ""), "")</f>
        <v/>
      </c>
      <c r="M1949" s="105"/>
      <c r="N1949" s="105" t="str">
        <f>IF(F1949=True, IFERROR(VLOOKUP(D1949, Repository!A:G, 7, 0), ""), "")</f>
        <v/>
      </c>
      <c r="O1949" s="105" t="str">
        <f>IFERROR(__xludf.DUMMYFUNCTION("ARRAY_CONSTRAIN(
  ARRAYFORMULA(
    IFERROR(
      LET(
        list, N1949,
        arr, TRIM(SPLIT(list, "","")),
        names, XLOOKUP(
          arr,
          'Conformance Score'!A:A,
          'Conformance Score'!B:B,
          ""Not found""
     "&amp;"   ),
        TEXTJOIN("", "", TRUE, names)
      ),
      """"
    )
  ),
  1,
  1
)
"),"")</f>
        <v/>
      </c>
      <c r="P1949" s="105" t="str">
        <f>IF(F1949="Yes", IFERROR(VLOOKUP(D1949, Repository!A:F, 6, 0), ""), "")</f>
        <v/>
      </c>
      <c r="Q1949" s="105" t="str">
        <f>IF(F1949="Yes", IFERROR(VLOOKUP(D1949, Repository!A:I, 8, 0), ""), "")</f>
        <v/>
      </c>
      <c r="R1949" s="105" t="str">
        <f>IF(F1949="Yes", IFERROR(VLOOKUP(D1949, Repository!A:J, 9, 0), ""), "")</f>
        <v/>
      </c>
      <c r="S1949" s="105"/>
      <c r="T1949" s="105"/>
      <c r="U1949" s="105"/>
      <c r="V1949" s="105"/>
      <c r="W1949" s="105"/>
      <c r="X1949" s="105"/>
      <c r="Y1949" s="105"/>
      <c r="Z1949" s="105"/>
      <c r="AA1949" s="105"/>
      <c r="AB1949" s="105"/>
      <c r="AC1949" s="91"/>
      <c r="AD1949" s="105"/>
      <c r="AE1949" s="105"/>
      <c r="AF1949" s="91"/>
      <c r="AG1949" s="105"/>
      <c r="AH1949" s="105"/>
      <c r="AI1949" s="105" t="str">
        <f t="shared" si="1"/>
        <v/>
      </c>
      <c r="AJ1949" s="108" t="str">
        <f t="shared" si="2"/>
        <v/>
      </c>
    </row>
    <row r="1950" ht="15.75" customHeight="1">
      <c r="A1950" s="104"/>
      <c r="B1950" s="105" t="str">
        <f>IFERROR(__xludf.DUMMYFUNCTION("ARRAY_CONSTRAIN(
  ARRAYFORMULA(
    IF(
      'Final Report'!A1950="""",
      """",
      TEXTJOIN(
        "", "" &amp; CHAR(10),
        TRUE,
        IFERROR(
          VLOOKUP(
            TRIM(
              SPLIT('Final Report'!A1950, "","")
         "&amp;"   ),
            'URL Details'!A:B,
            2,
            FALSE
          ),
          """"
        )
      )
    )
  ),
  1,
  1
)
"),"")</f>
        <v/>
      </c>
      <c r="C1950" s="105" t="str">
        <f>IFERROR(__xludf.DUMMYFUNCTION("IFERROR(IF('Final Report'!A1950="""","""", TEXTJOIN(CHAR(10), TRUE, ARRAYFORMULA( ""• ""&amp; FILTER( TRIM(FLATTEN(SPLIT( REGEXREPLACE( SUBSTITUTE(TEXTJOIN("","", TRUE, IFERROR(ARRAYFORMULA(VLOOKUP(TRIM(SPLIT('Final Report'!A1950, "","")), 'URL Details'!A:D, "&amp;"4, FALSE)),"""") ), CHAR(10), "",""), ""\s*,\s*"", "",""), "",""))), TRIM(FLATTEN(SPLIT( REGEXREPLACE( SUBSTITUTE(TEXTJOIN("","", TRUE, IFERROR(ARRAYFORMULA(VLOOKUP(TRIM(SPLIT('Final Report'!A1950, "","")), 'URL Details'!A:D, 4, FALSE)),"""") ), CHAR(10),"&amp;" "",""), ""\s*,\s*"", "",""), "","")))&lt;&gt;"""" ) ) ) ),"""")
"),"")</f>
        <v/>
      </c>
      <c r="D1950" s="105"/>
      <c r="E1950" s="105"/>
      <c r="F1950" s="110" t="b">
        <v>0</v>
      </c>
      <c r="G1950" s="105" t="str">
        <f>IF(F1950=True, IFERROR(VLOOKUP(D1950, Repository!A:B, 2, 0), ""), "")</f>
        <v/>
      </c>
      <c r="H1950" s="105"/>
      <c r="I1950" s="105"/>
      <c r="J1950" s="105" t="str">
        <f>IF(F1950=True, IFERROR(VLOOKUP(D1950, Repository!A:C, 3, 0), ""), "")</f>
        <v/>
      </c>
      <c r="K1950" s="105"/>
      <c r="L1950" s="105" t="str">
        <f>IF(F1950=True, IFERROR(VLOOKUP(D1950, Repository!A:E, 5, 0), ""), "")</f>
        <v/>
      </c>
      <c r="M1950" s="105"/>
      <c r="N1950" s="105" t="str">
        <f>IF(F1950=True, IFERROR(VLOOKUP(D1950, Repository!A:G, 7, 0), ""), "")</f>
        <v/>
      </c>
      <c r="O1950" s="105" t="str">
        <f>IFERROR(__xludf.DUMMYFUNCTION("ARRAY_CONSTRAIN(
  ARRAYFORMULA(
    IFERROR(
      LET(
        list, N1950,
        arr, TRIM(SPLIT(list, "","")),
        names, XLOOKUP(
          arr,
          'Conformance Score'!A:A,
          'Conformance Score'!B:B,
          ""Not found""
     "&amp;"   ),
        TEXTJOIN("", "", TRUE, names)
      ),
      """"
    )
  ),
  1,
  1
)
"),"")</f>
        <v/>
      </c>
      <c r="P1950" s="105" t="str">
        <f>IF(F1950="Yes", IFERROR(VLOOKUP(D1950, Repository!A:F, 6, 0), ""), "")</f>
        <v/>
      </c>
      <c r="Q1950" s="105" t="str">
        <f>IF(F1950="Yes", IFERROR(VLOOKUP(D1950, Repository!A:I, 8, 0), ""), "")</f>
        <v/>
      </c>
      <c r="R1950" s="105" t="str">
        <f>IF(F1950="Yes", IFERROR(VLOOKUP(D1950, Repository!A:J, 9, 0), ""), "")</f>
        <v/>
      </c>
      <c r="S1950" s="105"/>
      <c r="T1950" s="105"/>
      <c r="U1950" s="105"/>
      <c r="V1950" s="105"/>
      <c r="W1950" s="105"/>
      <c r="X1950" s="105"/>
      <c r="Y1950" s="105"/>
      <c r="Z1950" s="105"/>
      <c r="AA1950" s="105"/>
      <c r="AB1950" s="105"/>
      <c r="AC1950" s="91"/>
      <c r="AD1950" s="105"/>
      <c r="AE1950" s="105"/>
      <c r="AF1950" s="91"/>
      <c r="AG1950" s="105"/>
      <c r="AH1950" s="105"/>
      <c r="AI1950" s="105" t="str">
        <f t="shared" si="1"/>
        <v/>
      </c>
      <c r="AJ1950" s="108" t="str">
        <f t="shared" si="2"/>
        <v/>
      </c>
    </row>
    <row r="1951" ht="15.75" customHeight="1">
      <c r="A1951" s="104"/>
      <c r="B1951" s="105" t="str">
        <f>IFERROR(__xludf.DUMMYFUNCTION("ARRAY_CONSTRAIN(
  ARRAYFORMULA(
    IF(
      'Final Report'!A1951="""",
      """",
      TEXTJOIN(
        "", "" &amp; CHAR(10),
        TRUE,
        IFERROR(
          VLOOKUP(
            TRIM(
              SPLIT('Final Report'!A1951, "","")
         "&amp;"   ),
            'URL Details'!A:B,
            2,
            FALSE
          ),
          """"
        )
      )
    )
  ),
  1,
  1
)
"),"")</f>
        <v/>
      </c>
      <c r="C1951" s="105" t="str">
        <f>IFERROR(__xludf.DUMMYFUNCTION("IFERROR(IF('Final Report'!A1951="""","""", TEXTJOIN(CHAR(10), TRUE, ARRAYFORMULA( ""• ""&amp; FILTER( TRIM(FLATTEN(SPLIT( REGEXREPLACE( SUBSTITUTE(TEXTJOIN("","", TRUE, IFERROR(ARRAYFORMULA(VLOOKUP(TRIM(SPLIT('Final Report'!A1951, "","")), 'URL Details'!A:D, "&amp;"4, FALSE)),"""") ), CHAR(10), "",""), ""\s*,\s*"", "",""), "",""))), TRIM(FLATTEN(SPLIT( REGEXREPLACE( SUBSTITUTE(TEXTJOIN("","", TRUE, IFERROR(ARRAYFORMULA(VLOOKUP(TRIM(SPLIT('Final Report'!A1951, "","")), 'URL Details'!A:D, 4, FALSE)),"""") ), CHAR(10),"&amp;" "",""), ""\s*,\s*"", "",""), "","")))&lt;&gt;"""" ) ) ) ),"""")
"),"")</f>
        <v/>
      </c>
      <c r="D1951" s="105"/>
      <c r="E1951" s="105"/>
      <c r="F1951" s="110" t="b">
        <v>0</v>
      </c>
      <c r="G1951" s="105" t="str">
        <f>IF(F1951=True, IFERROR(VLOOKUP(D1951, Repository!A:B, 2, 0), ""), "")</f>
        <v/>
      </c>
      <c r="H1951" s="105"/>
      <c r="I1951" s="105"/>
      <c r="J1951" s="105" t="str">
        <f>IF(F1951=True, IFERROR(VLOOKUP(D1951, Repository!A:C, 3, 0), ""), "")</f>
        <v/>
      </c>
      <c r="K1951" s="105"/>
      <c r="L1951" s="105" t="str">
        <f>IF(F1951=True, IFERROR(VLOOKUP(D1951, Repository!A:E, 5, 0), ""), "")</f>
        <v/>
      </c>
      <c r="M1951" s="105"/>
      <c r="N1951" s="105" t="str">
        <f>IF(F1951=True, IFERROR(VLOOKUP(D1951, Repository!A:G, 7, 0), ""), "")</f>
        <v/>
      </c>
      <c r="O1951" s="105" t="str">
        <f>IFERROR(__xludf.DUMMYFUNCTION("ARRAY_CONSTRAIN(
  ARRAYFORMULA(
    IFERROR(
      LET(
        list, N1951,
        arr, TRIM(SPLIT(list, "","")),
        names, XLOOKUP(
          arr,
          'Conformance Score'!A:A,
          'Conformance Score'!B:B,
          ""Not found""
     "&amp;"   ),
        TEXTJOIN("", "", TRUE, names)
      ),
      """"
    )
  ),
  1,
  1
)
"),"")</f>
        <v/>
      </c>
      <c r="P1951" s="105" t="str">
        <f>IF(F1951="Yes", IFERROR(VLOOKUP(D1951, Repository!A:F, 6, 0), ""), "")</f>
        <v/>
      </c>
      <c r="Q1951" s="105" t="str">
        <f>IF(F1951="Yes", IFERROR(VLOOKUP(D1951, Repository!A:I, 8, 0), ""), "")</f>
        <v/>
      </c>
      <c r="R1951" s="105" t="str">
        <f>IF(F1951="Yes", IFERROR(VLOOKUP(D1951, Repository!A:J, 9, 0), ""), "")</f>
        <v/>
      </c>
      <c r="S1951" s="105"/>
      <c r="T1951" s="105"/>
      <c r="U1951" s="105"/>
      <c r="V1951" s="105"/>
      <c r="W1951" s="105"/>
      <c r="X1951" s="105"/>
      <c r="Y1951" s="105"/>
      <c r="Z1951" s="105"/>
      <c r="AA1951" s="105"/>
      <c r="AB1951" s="105"/>
      <c r="AC1951" s="91"/>
      <c r="AD1951" s="105"/>
      <c r="AE1951" s="105"/>
      <c r="AF1951" s="91"/>
      <c r="AG1951" s="105"/>
      <c r="AH1951" s="105"/>
      <c r="AI1951" s="105" t="str">
        <f t="shared" si="1"/>
        <v/>
      </c>
      <c r="AJ1951" s="108" t="str">
        <f t="shared" si="2"/>
        <v/>
      </c>
    </row>
    <row r="1952" ht="15.75" customHeight="1">
      <c r="A1952" s="104"/>
      <c r="B1952" s="105" t="str">
        <f>IFERROR(__xludf.DUMMYFUNCTION("ARRAY_CONSTRAIN(
  ARRAYFORMULA(
    IF(
      'Final Report'!A1952="""",
      """",
      TEXTJOIN(
        "", "" &amp; CHAR(10),
        TRUE,
        IFERROR(
          VLOOKUP(
            TRIM(
              SPLIT('Final Report'!A1952, "","")
         "&amp;"   ),
            'URL Details'!A:B,
            2,
            FALSE
          ),
          """"
        )
      )
    )
  ),
  1,
  1
)
"),"")</f>
        <v/>
      </c>
      <c r="C1952" s="105" t="str">
        <f>IFERROR(__xludf.DUMMYFUNCTION("IFERROR(IF('Final Report'!A1952="""","""", TEXTJOIN(CHAR(10), TRUE, ARRAYFORMULA( ""• ""&amp; FILTER( TRIM(FLATTEN(SPLIT( REGEXREPLACE( SUBSTITUTE(TEXTJOIN("","", TRUE, IFERROR(ARRAYFORMULA(VLOOKUP(TRIM(SPLIT('Final Report'!A1952, "","")), 'URL Details'!A:D, "&amp;"4, FALSE)),"""") ), CHAR(10), "",""), ""\s*,\s*"", "",""), "",""))), TRIM(FLATTEN(SPLIT( REGEXREPLACE( SUBSTITUTE(TEXTJOIN("","", TRUE, IFERROR(ARRAYFORMULA(VLOOKUP(TRIM(SPLIT('Final Report'!A1952, "","")), 'URL Details'!A:D, 4, FALSE)),"""") ), CHAR(10),"&amp;" "",""), ""\s*,\s*"", "",""), "","")))&lt;&gt;"""" ) ) ) ),"""")
"),"")</f>
        <v/>
      </c>
      <c r="D1952" s="105"/>
      <c r="E1952" s="105"/>
      <c r="F1952" s="110" t="b">
        <v>0</v>
      </c>
      <c r="G1952" s="105" t="str">
        <f>IF(F1952=True, IFERROR(VLOOKUP(D1952, Repository!A:B, 2, 0), ""), "")</f>
        <v/>
      </c>
      <c r="H1952" s="105"/>
      <c r="I1952" s="105"/>
      <c r="J1952" s="105" t="str">
        <f>IF(F1952=True, IFERROR(VLOOKUP(D1952, Repository!A:C, 3, 0), ""), "")</f>
        <v/>
      </c>
      <c r="K1952" s="105"/>
      <c r="L1952" s="105" t="str">
        <f>IF(F1952=True, IFERROR(VLOOKUP(D1952, Repository!A:E, 5, 0), ""), "")</f>
        <v/>
      </c>
      <c r="M1952" s="105"/>
      <c r="N1952" s="105" t="str">
        <f>IF(F1952=True, IFERROR(VLOOKUP(D1952, Repository!A:G, 7, 0), ""), "")</f>
        <v/>
      </c>
      <c r="O1952" s="105" t="str">
        <f>IFERROR(__xludf.DUMMYFUNCTION("ARRAY_CONSTRAIN(
  ARRAYFORMULA(
    IFERROR(
      LET(
        list, N1952,
        arr, TRIM(SPLIT(list, "","")),
        names, XLOOKUP(
          arr,
          'Conformance Score'!A:A,
          'Conformance Score'!B:B,
          ""Not found""
     "&amp;"   ),
        TEXTJOIN("", "", TRUE, names)
      ),
      """"
    )
  ),
  1,
  1
)
"),"")</f>
        <v/>
      </c>
      <c r="P1952" s="105" t="str">
        <f>IF(F1952="Yes", IFERROR(VLOOKUP(D1952, Repository!A:F, 6, 0), ""), "")</f>
        <v/>
      </c>
      <c r="Q1952" s="105" t="str">
        <f>IF(F1952="Yes", IFERROR(VLOOKUP(D1952, Repository!A:I, 8, 0), ""), "")</f>
        <v/>
      </c>
      <c r="R1952" s="105" t="str">
        <f>IF(F1952="Yes", IFERROR(VLOOKUP(D1952, Repository!A:J, 9, 0), ""), "")</f>
        <v/>
      </c>
      <c r="S1952" s="105"/>
      <c r="T1952" s="105"/>
      <c r="U1952" s="105"/>
      <c r="V1952" s="105"/>
      <c r="W1952" s="105"/>
      <c r="X1952" s="105"/>
      <c r="Y1952" s="105"/>
      <c r="Z1952" s="105"/>
      <c r="AA1952" s="105"/>
      <c r="AB1952" s="105"/>
      <c r="AC1952" s="91"/>
      <c r="AD1952" s="105"/>
      <c r="AE1952" s="105"/>
      <c r="AF1952" s="91"/>
      <c r="AG1952" s="105"/>
      <c r="AH1952" s="105"/>
      <c r="AI1952" s="105" t="str">
        <f t="shared" si="1"/>
        <v/>
      </c>
      <c r="AJ1952" s="108" t="str">
        <f t="shared" si="2"/>
        <v/>
      </c>
    </row>
    <row r="1953" ht="15.75" customHeight="1">
      <c r="A1953" s="104"/>
      <c r="B1953" s="105" t="str">
        <f>IFERROR(__xludf.DUMMYFUNCTION("ARRAY_CONSTRAIN(
  ARRAYFORMULA(
    IF(
      'Final Report'!A1953="""",
      """",
      TEXTJOIN(
        "", "" &amp; CHAR(10),
        TRUE,
        IFERROR(
          VLOOKUP(
            TRIM(
              SPLIT('Final Report'!A1953, "","")
         "&amp;"   ),
            'URL Details'!A:B,
            2,
            FALSE
          ),
          """"
        )
      )
    )
  ),
  1,
  1
)
"),"")</f>
        <v/>
      </c>
      <c r="C1953" s="105" t="str">
        <f>IFERROR(__xludf.DUMMYFUNCTION("IFERROR(IF('Final Report'!A1953="""","""", TEXTJOIN(CHAR(10), TRUE, ARRAYFORMULA( ""• ""&amp; FILTER( TRIM(FLATTEN(SPLIT( REGEXREPLACE( SUBSTITUTE(TEXTJOIN("","", TRUE, IFERROR(ARRAYFORMULA(VLOOKUP(TRIM(SPLIT('Final Report'!A1953, "","")), 'URL Details'!A:D, "&amp;"4, FALSE)),"""") ), CHAR(10), "",""), ""\s*,\s*"", "",""), "",""))), TRIM(FLATTEN(SPLIT( REGEXREPLACE( SUBSTITUTE(TEXTJOIN("","", TRUE, IFERROR(ARRAYFORMULA(VLOOKUP(TRIM(SPLIT('Final Report'!A1953, "","")), 'URL Details'!A:D, 4, FALSE)),"""") ), CHAR(10),"&amp;" "",""), ""\s*,\s*"", "",""), "","")))&lt;&gt;"""" ) ) ) ),"""")
"),"")</f>
        <v/>
      </c>
      <c r="D1953" s="105"/>
      <c r="E1953" s="105"/>
      <c r="F1953" s="110" t="b">
        <v>0</v>
      </c>
      <c r="G1953" s="105" t="str">
        <f>IF(F1953=True, IFERROR(VLOOKUP(D1953, Repository!A:B, 2, 0), ""), "")</f>
        <v/>
      </c>
      <c r="H1953" s="105"/>
      <c r="I1953" s="105"/>
      <c r="J1953" s="105" t="str">
        <f>IF(F1953=True, IFERROR(VLOOKUP(D1953, Repository!A:C, 3, 0), ""), "")</f>
        <v/>
      </c>
      <c r="K1953" s="105"/>
      <c r="L1953" s="105" t="str">
        <f>IF(F1953=True, IFERROR(VLOOKUP(D1953, Repository!A:E, 5, 0), ""), "")</f>
        <v/>
      </c>
      <c r="M1953" s="105"/>
      <c r="N1953" s="105" t="str">
        <f>IF(F1953=True, IFERROR(VLOOKUP(D1953, Repository!A:G, 7, 0), ""), "")</f>
        <v/>
      </c>
      <c r="O1953" s="105" t="str">
        <f>IFERROR(__xludf.DUMMYFUNCTION("ARRAY_CONSTRAIN(
  ARRAYFORMULA(
    IFERROR(
      LET(
        list, N1953,
        arr, TRIM(SPLIT(list, "","")),
        names, XLOOKUP(
          arr,
          'Conformance Score'!A:A,
          'Conformance Score'!B:B,
          ""Not found""
     "&amp;"   ),
        TEXTJOIN("", "", TRUE, names)
      ),
      """"
    )
  ),
  1,
  1
)
"),"")</f>
        <v/>
      </c>
      <c r="P1953" s="105" t="str">
        <f>IF(F1953="Yes", IFERROR(VLOOKUP(D1953, Repository!A:F, 6, 0), ""), "")</f>
        <v/>
      </c>
      <c r="Q1953" s="105" t="str">
        <f>IF(F1953="Yes", IFERROR(VLOOKUP(D1953, Repository!A:I, 8, 0), ""), "")</f>
        <v/>
      </c>
      <c r="R1953" s="105" t="str">
        <f>IF(F1953="Yes", IFERROR(VLOOKUP(D1953, Repository!A:J, 9, 0), ""), "")</f>
        <v/>
      </c>
      <c r="S1953" s="105"/>
      <c r="T1953" s="105"/>
      <c r="U1953" s="105"/>
      <c r="V1953" s="105"/>
      <c r="W1953" s="105"/>
      <c r="X1953" s="105"/>
      <c r="Y1953" s="105"/>
      <c r="Z1953" s="105"/>
      <c r="AA1953" s="105"/>
      <c r="AB1953" s="105"/>
      <c r="AC1953" s="91"/>
      <c r="AD1953" s="105"/>
      <c r="AE1953" s="105"/>
      <c r="AF1953" s="91"/>
      <c r="AG1953" s="105"/>
      <c r="AH1953" s="105"/>
      <c r="AI1953" s="105" t="str">
        <f t="shared" si="1"/>
        <v/>
      </c>
      <c r="AJ1953" s="108" t="str">
        <f t="shared" si="2"/>
        <v/>
      </c>
    </row>
    <row r="1954" ht="15.75" customHeight="1">
      <c r="A1954" s="104"/>
      <c r="B1954" s="105" t="str">
        <f>IFERROR(__xludf.DUMMYFUNCTION("ARRAY_CONSTRAIN(
  ARRAYFORMULA(
    IF(
      'Final Report'!A1954="""",
      """",
      TEXTJOIN(
        "", "" &amp; CHAR(10),
        TRUE,
        IFERROR(
          VLOOKUP(
            TRIM(
              SPLIT('Final Report'!A1954, "","")
         "&amp;"   ),
            'URL Details'!A:B,
            2,
            FALSE
          ),
          """"
        )
      )
    )
  ),
  1,
  1
)
"),"")</f>
        <v/>
      </c>
      <c r="C1954" s="105" t="str">
        <f>IFERROR(__xludf.DUMMYFUNCTION("IFERROR(IF('Final Report'!A1954="""","""", TEXTJOIN(CHAR(10), TRUE, ARRAYFORMULA( ""• ""&amp; FILTER( TRIM(FLATTEN(SPLIT( REGEXREPLACE( SUBSTITUTE(TEXTJOIN("","", TRUE, IFERROR(ARRAYFORMULA(VLOOKUP(TRIM(SPLIT('Final Report'!A1954, "","")), 'URL Details'!A:D, "&amp;"4, FALSE)),"""") ), CHAR(10), "",""), ""\s*,\s*"", "",""), "",""))), TRIM(FLATTEN(SPLIT( REGEXREPLACE( SUBSTITUTE(TEXTJOIN("","", TRUE, IFERROR(ARRAYFORMULA(VLOOKUP(TRIM(SPLIT('Final Report'!A1954, "","")), 'URL Details'!A:D, 4, FALSE)),"""") ), CHAR(10),"&amp;" "",""), ""\s*,\s*"", "",""), "","")))&lt;&gt;"""" ) ) ) ),"""")
"),"")</f>
        <v/>
      </c>
      <c r="D1954" s="105"/>
      <c r="E1954" s="105"/>
      <c r="F1954" s="110" t="b">
        <v>0</v>
      </c>
      <c r="G1954" s="105" t="str">
        <f>IF(F1954=True, IFERROR(VLOOKUP(D1954, Repository!A:B, 2, 0), ""), "")</f>
        <v/>
      </c>
      <c r="H1954" s="105"/>
      <c r="I1954" s="105"/>
      <c r="J1954" s="105" t="str">
        <f>IF(F1954=True, IFERROR(VLOOKUP(D1954, Repository!A:C, 3, 0), ""), "")</f>
        <v/>
      </c>
      <c r="K1954" s="105"/>
      <c r="L1954" s="105" t="str">
        <f>IF(F1954=True, IFERROR(VLOOKUP(D1954, Repository!A:E, 5, 0), ""), "")</f>
        <v/>
      </c>
      <c r="M1954" s="105"/>
      <c r="N1954" s="105" t="str">
        <f>IF(F1954=True, IFERROR(VLOOKUP(D1954, Repository!A:G, 7, 0), ""), "")</f>
        <v/>
      </c>
      <c r="O1954" s="105" t="str">
        <f>IFERROR(__xludf.DUMMYFUNCTION("ARRAY_CONSTRAIN(
  ARRAYFORMULA(
    IFERROR(
      LET(
        list, N1954,
        arr, TRIM(SPLIT(list, "","")),
        names, XLOOKUP(
          arr,
          'Conformance Score'!A:A,
          'Conformance Score'!B:B,
          ""Not found""
     "&amp;"   ),
        TEXTJOIN("", "", TRUE, names)
      ),
      """"
    )
  ),
  1,
  1
)
"),"")</f>
        <v/>
      </c>
      <c r="P1954" s="105" t="str">
        <f>IF(F1954="Yes", IFERROR(VLOOKUP(D1954, Repository!A:F, 6, 0), ""), "")</f>
        <v/>
      </c>
      <c r="Q1954" s="105" t="str">
        <f>IF(F1954="Yes", IFERROR(VLOOKUP(D1954, Repository!A:I, 8, 0), ""), "")</f>
        <v/>
      </c>
      <c r="R1954" s="105" t="str">
        <f>IF(F1954="Yes", IFERROR(VLOOKUP(D1954, Repository!A:J, 9, 0), ""), "")</f>
        <v/>
      </c>
      <c r="S1954" s="105"/>
      <c r="T1954" s="105"/>
      <c r="U1954" s="105"/>
      <c r="V1954" s="105"/>
      <c r="W1954" s="105"/>
      <c r="X1954" s="105"/>
      <c r="Y1954" s="105"/>
      <c r="Z1954" s="105"/>
      <c r="AA1954" s="105"/>
      <c r="AB1954" s="105"/>
      <c r="AC1954" s="91"/>
      <c r="AD1954" s="105"/>
      <c r="AE1954" s="105"/>
      <c r="AF1954" s="91"/>
      <c r="AG1954" s="105"/>
      <c r="AH1954" s="105"/>
      <c r="AI1954" s="105" t="str">
        <f t="shared" si="1"/>
        <v/>
      </c>
      <c r="AJ1954" s="108" t="str">
        <f t="shared" si="2"/>
        <v/>
      </c>
    </row>
    <row r="1955" ht="15.75" customHeight="1">
      <c r="A1955" s="104"/>
      <c r="B1955" s="105" t="str">
        <f>IFERROR(__xludf.DUMMYFUNCTION("ARRAY_CONSTRAIN(
  ARRAYFORMULA(
    IF(
      'Final Report'!A1955="""",
      """",
      TEXTJOIN(
        "", "" &amp; CHAR(10),
        TRUE,
        IFERROR(
          VLOOKUP(
            TRIM(
              SPLIT('Final Report'!A1955, "","")
         "&amp;"   ),
            'URL Details'!A:B,
            2,
            FALSE
          ),
          """"
        )
      )
    )
  ),
  1,
  1
)
"),"")</f>
        <v/>
      </c>
      <c r="C1955" s="105" t="str">
        <f>IFERROR(__xludf.DUMMYFUNCTION("IFERROR(IF('Final Report'!A1955="""","""", TEXTJOIN(CHAR(10), TRUE, ARRAYFORMULA( ""• ""&amp; FILTER( TRIM(FLATTEN(SPLIT( REGEXREPLACE( SUBSTITUTE(TEXTJOIN("","", TRUE, IFERROR(ARRAYFORMULA(VLOOKUP(TRIM(SPLIT('Final Report'!A1955, "","")), 'URL Details'!A:D, "&amp;"4, FALSE)),"""") ), CHAR(10), "",""), ""\s*,\s*"", "",""), "",""))), TRIM(FLATTEN(SPLIT( REGEXREPLACE( SUBSTITUTE(TEXTJOIN("","", TRUE, IFERROR(ARRAYFORMULA(VLOOKUP(TRIM(SPLIT('Final Report'!A1955, "","")), 'URL Details'!A:D, 4, FALSE)),"""") ), CHAR(10),"&amp;" "",""), ""\s*,\s*"", "",""), "","")))&lt;&gt;"""" ) ) ) ),"""")
"),"")</f>
        <v/>
      </c>
      <c r="D1955" s="105"/>
      <c r="E1955" s="105"/>
      <c r="F1955" s="110" t="b">
        <v>0</v>
      </c>
      <c r="G1955" s="105" t="str">
        <f>IF(F1955=True, IFERROR(VLOOKUP(D1955, Repository!A:B, 2, 0), ""), "")</f>
        <v/>
      </c>
      <c r="H1955" s="105"/>
      <c r="I1955" s="105"/>
      <c r="J1955" s="105" t="str">
        <f>IF(F1955=True, IFERROR(VLOOKUP(D1955, Repository!A:C, 3, 0), ""), "")</f>
        <v/>
      </c>
      <c r="K1955" s="105"/>
      <c r="L1955" s="105" t="str">
        <f>IF(F1955=True, IFERROR(VLOOKUP(D1955, Repository!A:E, 5, 0), ""), "")</f>
        <v/>
      </c>
      <c r="M1955" s="105"/>
      <c r="N1955" s="105" t="str">
        <f>IF(F1955=True, IFERROR(VLOOKUP(D1955, Repository!A:G, 7, 0), ""), "")</f>
        <v/>
      </c>
      <c r="O1955" s="105" t="str">
        <f>IFERROR(__xludf.DUMMYFUNCTION("ARRAY_CONSTRAIN(
  ARRAYFORMULA(
    IFERROR(
      LET(
        list, N1955,
        arr, TRIM(SPLIT(list, "","")),
        names, XLOOKUP(
          arr,
          'Conformance Score'!A:A,
          'Conformance Score'!B:B,
          ""Not found""
     "&amp;"   ),
        TEXTJOIN("", "", TRUE, names)
      ),
      """"
    )
  ),
  1,
  1
)
"),"")</f>
        <v/>
      </c>
      <c r="P1955" s="105" t="str">
        <f>IF(F1955="Yes", IFERROR(VLOOKUP(D1955, Repository!A:F, 6, 0), ""), "")</f>
        <v/>
      </c>
      <c r="Q1955" s="105" t="str">
        <f>IF(F1955="Yes", IFERROR(VLOOKUP(D1955, Repository!A:I, 8, 0), ""), "")</f>
        <v/>
      </c>
      <c r="R1955" s="105" t="str">
        <f>IF(F1955="Yes", IFERROR(VLOOKUP(D1955, Repository!A:J, 9, 0), ""), "")</f>
        <v/>
      </c>
      <c r="S1955" s="105"/>
      <c r="T1955" s="105"/>
      <c r="U1955" s="105"/>
      <c r="V1955" s="105"/>
      <c r="W1955" s="105"/>
      <c r="X1955" s="105"/>
      <c r="Y1955" s="105"/>
      <c r="Z1955" s="105"/>
      <c r="AA1955" s="105"/>
      <c r="AB1955" s="105"/>
      <c r="AC1955" s="91"/>
      <c r="AD1955" s="105"/>
      <c r="AE1955" s="105"/>
      <c r="AF1955" s="91"/>
      <c r="AG1955" s="105"/>
      <c r="AH1955" s="105"/>
      <c r="AI1955" s="105" t="str">
        <f t="shared" si="1"/>
        <v/>
      </c>
      <c r="AJ1955" s="108" t="str">
        <f t="shared" si="2"/>
        <v/>
      </c>
    </row>
    <row r="1956" ht="15.75" customHeight="1">
      <c r="A1956" s="104"/>
      <c r="B1956" s="105" t="str">
        <f>IFERROR(__xludf.DUMMYFUNCTION("ARRAY_CONSTRAIN(
  ARRAYFORMULA(
    IF(
      'Final Report'!A1956="""",
      """",
      TEXTJOIN(
        "", "" &amp; CHAR(10),
        TRUE,
        IFERROR(
          VLOOKUP(
            TRIM(
              SPLIT('Final Report'!A1956, "","")
         "&amp;"   ),
            'URL Details'!A:B,
            2,
            FALSE
          ),
          """"
        )
      )
    )
  ),
  1,
  1
)
"),"")</f>
        <v/>
      </c>
      <c r="C1956" s="105" t="str">
        <f>IFERROR(__xludf.DUMMYFUNCTION("IFERROR(IF('Final Report'!A1956="""","""", TEXTJOIN(CHAR(10), TRUE, ARRAYFORMULA( ""• ""&amp; FILTER( TRIM(FLATTEN(SPLIT( REGEXREPLACE( SUBSTITUTE(TEXTJOIN("","", TRUE, IFERROR(ARRAYFORMULA(VLOOKUP(TRIM(SPLIT('Final Report'!A1956, "","")), 'URL Details'!A:D, "&amp;"4, FALSE)),"""") ), CHAR(10), "",""), ""\s*,\s*"", "",""), "",""))), TRIM(FLATTEN(SPLIT( REGEXREPLACE( SUBSTITUTE(TEXTJOIN("","", TRUE, IFERROR(ARRAYFORMULA(VLOOKUP(TRIM(SPLIT('Final Report'!A1956, "","")), 'URL Details'!A:D, 4, FALSE)),"""") ), CHAR(10),"&amp;" "",""), ""\s*,\s*"", "",""), "","")))&lt;&gt;"""" ) ) ) ),"""")
"),"")</f>
        <v/>
      </c>
      <c r="D1956" s="105"/>
      <c r="E1956" s="105"/>
      <c r="F1956" s="110" t="b">
        <v>0</v>
      </c>
      <c r="G1956" s="105" t="str">
        <f>IF(F1956=True, IFERROR(VLOOKUP(D1956, Repository!A:B, 2, 0), ""), "")</f>
        <v/>
      </c>
      <c r="H1956" s="105"/>
      <c r="I1956" s="105"/>
      <c r="J1956" s="105" t="str">
        <f>IF(F1956=True, IFERROR(VLOOKUP(D1956, Repository!A:C, 3, 0), ""), "")</f>
        <v/>
      </c>
      <c r="K1956" s="105"/>
      <c r="L1956" s="105" t="str">
        <f>IF(F1956=True, IFERROR(VLOOKUP(D1956, Repository!A:E, 5, 0), ""), "")</f>
        <v/>
      </c>
      <c r="M1956" s="105"/>
      <c r="N1956" s="105" t="str">
        <f>IF(F1956=True, IFERROR(VLOOKUP(D1956, Repository!A:G, 7, 0), ""), "")</f>
        <v/>
      </c>
      <c r="O1956" s="105" t="str">
        <f>IFERROR(__xludf.DUMMYFUNCTION("ARRAY_CONSTRAIN(
  ARRAYFORMULA(
    IFERROR(
      LET(
        list, N1956,
        arr, TRIM(SPLIT(list, "","")),
        names, XLOOKUP(
          arr,
          'Conformance Score'!A:A,
          'Conformance Score'!B:B,
          ""Not found""
     "&amp;"   ),
        TEXTJOIN("", "", TRUE, names)
      ),
      """"
    )
  ),
  1,
  1
)
"),"")</f>
        <v/>
      </c>
      <c r="P1956" s="105" t="str">
        <f>IF(F1956="Yes", IFERROR(VLOOKUP(D1956, Repository!A:F, 6, 0), ""), "")</f>
        <v/>
      </c>
      <c r="Q1956" s="105" t="str">
        <f>IF(F1956="Yes", IFERROR(VLOOKUP(D1956, Repository!A:I, 8, 0), ""), "")</f>
        <v/>
      </c>
      <c r="R1956" s="105" t="str">
        <f>IF(F1956="Yes", IFERROR(VLOOKUP(D1956, Repository!A:J, 9, 0), ""), "")</f>
        <v/>
      </c>
      <c r="S1956" s="105"/>
      <c r="T1956" s="105"/>
      <c r="U1956" s="105"/>
      <c r="V1956" s="105"/>
      <c r="W1956" s="105"/>
      <c r="X1956" s="105"/>
      <c r="Y1956" s="105"/>
      <c r="Z1956" s="105"/>
      <c r="AA1956" s="105"/>
      <c r="AB1956" s="105"/>
      <c r="AC1956" s="91"/>
      <c r="AD1956" s="105"/>
      <c r="AE1956" s="105"/>
      <c r="AF1956" s="91"/>
      <c r="AG1956" s="105"/>
      <c r="AH1956" s="105"/>
      <c r="AI1956" s="105" t="str">
        <f t="shared" si="1"/>
        <v/>
      </c>
      <c r="AJ1956" s="108" t="str">
        <f t="shared" si="2"/>
        <v/>
      </c>
    </row>
    <row r="1957" ht="15.75" customHeight="1">
      <c r="A1957" s="104"/>
      <c r="B1957" s="105" t="str">
        <f>IFERROR(__xludf.DUMMYFUNCTION("ARRAY_CONSTRAIN(
  ARRAYFORMULA(
    IF(
      'Final Report'!A1957="""",
      """",
      TEXTJOIN(
        "", "" &amp; CHAR(10),
        TRUE,
        IFERROR(
          VLOOKUP(
            TRIM(
              SPLIT('Final Report'!A1957, "","")
         "&amp;"   ),
            'URL Details'!A:B,
            2,
            FALSE
          ),
          """"
        )
      )
    )
  ),
  1,
  1
)
"),"")</f>
        <v/>
      </c>
      <c r="C1957" s="105" t="str">
        <f>IFERROR(__xludf.DUMMYFUNCTION("IFERROR(IF('Final Report'!A1957="""","""", TEXTJOIN(CHAR(10), TRUE, ARRAYFORMULA( ""• ""&amp; FILTER( TRIM(FLATTEN(SPLIT( REGEXREPLACE( SUBSTITUTE(TEXTJOIN("","", TRUE, IFERROR(ARRAYFORMULA(VLOOKUP(TRIM(SPLIT('Final Report'!A1957, "","")), 'URL Details'!A:D, "&amp;"4, FALSE)),"""") ), CHAR(10), "",""), ""\s*,\s*"", "",""), "",""))), TRIM(FLATTEN(SPLIT( REGEXREPLACE( SUBSTITUTE(TEXTJOIN("","", TRUE, IFERROR(ARRAYFORMULA(VLOOKUP(TRIM(SPLIT('Final Report'!A1957, "","")), 'URL Details'!A:D, 4, FALSE)),"""") ), CHAR(10),"&amp;" "",""), ""\s*,\s*"", "",""), "","")))&lt;&gt;"""" ) ) ) ),"""")
"),"")</f>
        <v/>
      </c>
      <c r="D1957" s="105"/>
      <c r="E1957" s="105"/>
      <c r="F1957" s="110" t="b">
        <v>0</v>
      </c>
      <c r="G1957" s="105" t="str">
        <f>IF(F1957=True, IFERROR(VLOOKUP(D1957, Repository!A:B, 2, 0), ""), "")</f>
        <v/>
      </c>
      <c r="H1957" s="105"/>
      <c r="I1957" s="105"/>
      <c r="J1957" s="105" t="str">
        <f>IF(F1957=True, IFERROR(VLOOKUP(D1957, Repository!A:C, 3, 0), ""), "")</f>
        <v/>
      </c>
      <c r="K1957" s="105"/>
      <c r="L1957" s="105" t="str">
        <f>IF(F1957=True, IFERROR(VLOOKUP(D1957, Repository!A:E, 5, 0), ""), "")</f>
        <v/>
      </c>
      <c r="M1957" s="105"/>
      <c r="N1957" s="105" t="str">
        <f>IF(F1957=True, IFERROR(VLOOKUP(D1957, Repository!A:G, 7, 0), ""), "")</f>
        <v/>
      </c>
      <c r="O1957" s="105" t="str">
        <f>IFERROR(__xludf.DUMMYFUNCTION("ARRAY_CONSTRAIN(
  ARRAYFORMULA(
    IFERROR(
      LET(
        list, N1957,
        arr, TRIM(SPLIT(list, "","")),
        names, XLOOKUP(
          arr,
          'Conformance Score'!A:A,
          'Conformance Score'!B:B,
          ""Not found""
     "&amp;"   ),
        TEXTJOIN("", "", TRUE, names)
      ),
      """"
    )
  ),
  1,
  1
)
"),"")</f>
        <v/>
      </c>
      <c r="P1957" s="105" t="str">
        <f>IF(F1957="Yes", IFERROR(VLOOKUP(D1957, Repository!A:F, 6, 0), ""), "")</f>
        <v/>
      </c>
      <c r="Q1957" s="105" t="str">
        <f>IF(F1957="Yes", IFERROR(VLOOKUP(D1957, Repository!A:I, 8, 0), ""), "")</f>
        <v/>
      </c>
      <c r="R1957" s="105" t="str">
        <f>IF(F1957="Yes", IFERROR(VLOOKUP(D1957, Repository!A:J, 9, 0), ""), "")</f>
        <v/>
      </c>
      <c r="S1957" s="105"/>
      <c r="T1957" s="105"/>
      <c r="U1957" s="105"/>
      <c r="V1957" s="105"/>
      <c r="W1957" s="105"/>
      <c r="X1957" s="105"/>
      <c r="Y1957" s="105"/>
      <c r="Z1957" s="105"/>
      <c r="AA1957" s="105"/>
      <c r="AB1957" s="105"/>
      <c r="AC1957" s="91"/>
      <c r="AD1957" s="105"/>
      <c r="AE1957" s="105"/>
      <c r="AF1957" s="91"/>
      <c r="AG1957" s="105"/>
      <c r="AH1957" s="105"/>
      <c r="AI1957" s="105" t="str">
        <f t="shared" si="1"/>
        <v/>
      </c>
      <c r="AJ1957" s="108" t="str">
        <f t="shared" si="2"/>
        <v/>
      </c>
    </row>
    <row r="1958" ht="15.75" customHeight="1">
      <c r="A1958" s="104"/>
      <c r="B1958" s="105" t="str">
        <f>IFERROR(__xludf.DUMMYFUNCTION("ARRAY_CONSTRAIN(
  ARRAYFORMULA(
    IF(
      'Final Report'!A1958="""",
      """",
      TEXTJOIN(
        "", "" &amp; CHAR(10),
        TRUE,
        IFERROR(
          VLOOKUP(
            TRIM(
              SPLIT('Final Report'!A1958, "","")
         "&amp;"   ),
            'URL Details'!A:B,
            2,
            FALSE
          ),
          """"
        )
      )
    )
  ),
  1,
  1
)
"),"")</f>
        <v/>
      </c>
      <c r="C1958" s="105" t="str">
        <f>IFERROR(__xludf.DUMMYFUNCTION("IFERROR(IF('Final Report'!A1958="""","""", TEXTJOIN(CHAR(10), TRUE, ARRAYFORMULA( ""• ""&amp; FILTER( TRIM(FLATTEN(SPLIT( REGEXREPLACE( SUBSTITUTE(TEXTJOIN("","", TRUE, IFERROR(ARRAYFORMULA(VLOOKUP(TRIM(SPLIT('Final Report'!A1958, "","")), 'URL Details'!A:D, "&amp;"4, FALSE)),"""") ), CHAR(10), "",""), ""\s*,\s*"", "",""), "",""))), TRIM(FLATTEN(SPLIT( REGEXREPLACE( SUBSTITUTE(TEXTJOIN("","", TRUE, IFERROR(ARRAYFORMULA(VLOOKUP(TRIM(SPLIT('Final Report'!A1958, "","")), 'URL Details'!A:D, 4, FALSE)),"""") ), CHAR(10),"&amp;" "",""), ""\s*,\s*"", "",""), "","")))&lt;&gt;"""" ) ) ) ),"""")
"),"")</f>
        <v/>
      </c>
      <c r="D1958" s="105"/>
      <c r="E1958" s="105"/>
      <c r="F1958" s="110" t="b">
        <v>0</v>
      </c>
      <c r="G1958" s="105" t="str">
        <f>IF(F1958=True, IFERROR(VLOOKUP(D1958, Repository!A:B, 2, 0), ""), "")</f>
        <v/>
      </c>
      <c r="H1958" s="105"/>
      <c r="I1958" s="105"/>
      <c r="J1958" s="105" t="str">
        <f>IF(F1958=True, IFERROR(VLOOKUP(D1958, Repository!A:C, 3, 0), ""), "")</f>
        <v/>
      </c>
      <c r="K1958" s="105"/>
      <c r="L1958" s="105" t="str">
        <f>IF(F1958=True, IFERROR(VLOOKUP(D1958, Repository!A:E, 5, 0), ""), "")</f>
        <v/>
      </c>
      <c r="M1958" s="105"/>
      <c r="N1958" s="105" t="str">
        <f>IF(F1958=True, IFERROR(VLOOKUP(D1958, Repository!A:G, 7, 0), ""), "")</f>
        <v/>
      </c>
      <c r="O1958" s="105" t="str">
        <f>IFERROR(__xludf.DUMMYFUNCTION("ARRAY_CONSTRAIN(
  ARRAYFORMULA(
    IFERROR(
      LET(
        list, N1958,
        arr, TRIM(SPLIT(list, "","")),
        names, XLOOKUP(
          arr,
          'Conformance Score'!A:A,
          'Conformance Score'!B:B,
          ""Not found""
     "&amp;"   ),
        TEXTJOIN("", "", TRUE, names)
      ),
      """"
    )
  ),
  1,
  1
)
"),"")</f>
        <v/>
      </c>
      <c r="P1958" s="105" t="str">
        <f>IF(F1958="Yes", IFERROR(VLOOKUP(D1958, Repository!A:F, 6, 0), ""), "")</f>
        <v/>
      </c>
      <c r="Q1958" s="105" t="str">
        <f>IF(F1958="Yes", IFERROR(VLOOKUP(D1958, Repository!A:I, 8, 0), ""), "")</f>
        <v/>
      </c>
      <c r="R1958" s="105" t="str">
        <f>IF(F1958="Yes", IFERROR(VLOOKUP(D1958, Repository!A:J, 9, 0), ""), "")</f>
        <v/>
      </c>
      <c r="S1958" s="105"/>
      <c r="T1958" s="105"/>
      <c r="U1958" s="105"/>
      <c r="V1958" s="105"/>
      <c r="W1958" s="105"/>
      <c r="X1958" s="105"/>
      <c r="Y1958" s="105"/>
      <c r="Z1958" s="105"/>
      <c r="AA1958" s="105"/>
      <c r="AB1958" s="105"/>
      <c r="AC1958" s="91"/>
      <c r="AD1958" s="105"/>
      <c r="AE1958" s="105"/>
      <c r="AF1958" s="91"/>
      <c r="AG1958" s="105"/>
      <c r="AH1958" s="105"/>
      <c r="AI1958" s="105" t="str">
        <f t="shared" si="1"/>
        <v/>
      </c>
      <c r="AJ1958" s="108" t="str">
        <f t="shared" si="2"/>
        <v/>
      </c>
    </row>
    <row r="1959" ht="15.75" customHeight="1">
      <c r="A1959" s="104"/>
      <c r="B1959" s="105" t="str">
        <f>IFERROR(__xludf.DUMMYFUNCTION("ARRAY_CONSTRAIN(
  ARRAYFORMULA(
    IF(
      'Final Report'!A1959="""",
      """",
      TEXTJOIN(
        "", "" &amp; CHAR(10),
        TRUE,
        IFERROR(
          VLOOKUP(
            TRIM(
              SPLIT('Final Report'!A1959, "","")
         "&amp;"   ),
            'URL Details'!A:B,
            2,
            FALSE
          ),
          """"
        )
      )
    )
  ),
  1,
  1
)
"),"")</f>
        <v/>
      </c>
      <c r="C1959" s="105" t="str">
        <f>IFERROR(__xludf.DUMMYFUNCTION("IFERROR(IF('Final Report'!A1959="""","""", TEXTJOIN(CHAR(10), TRUE, ARRAYFORMULA( ""• ""&amp; FILTER( TRIM(FLATTEN(SPLIT( REGEXREPLACE( SUBSTITUTE(TEXTJOIN("","", TRUE, IFERROR(ARRAYFORMULA(VLOOKUP(TRIM(SPLIT('Final Report'!A1959, "","")), 'URL Details'!A:D, "&amp;"4, FALSE)),"""") ), CHAR(10), "",""), ""\s*,\s*"", "",""), "",""))), TRIM(FLATTEN(SPLIT( REGEXREPLACE( SUBSTITUTE(TEXTJOIN("","", TRUE, IFERROR(ARRAYFORMULA(VLOOKUP(TRIM(SPLIT('Final Report'!A1959, "","")), 'URL Details'!A:D, 4, FALSE)),"""") ), CHAR(10),"&amp;" "",""), ""\s*,\s*"", "",""), "","")))&lt;&gt;"""" ) ) ) ),"""")
"),"")</f>
        <v/>
      </c>
      <c r="D1959" s="105"/>
      <c r="E1959" s="105"/>
      <c r="F1959" s="110" t="b">
        <v>0</v>
      </c>
      <c r="G1959" s="105" t="str">
        <f>IF(F1959=True, IFERROR(VLOOKUP(D1959, Repository!A:B, 2, 0), ""), "")</f>
        <v/>
      </c>
      <c r="H1959" s="105"/>
      <c r="I1959" s="105"/>
      <c r="J1959" s="105" t="str">
        <f>IF(F1959=True, IFERROR(VLOOKUP(D1959, Repository!A:C, 3, 0), ""), "")</f>
        <v/>
      </c>
      <c r="K1959" s="105"/>
      <c r="L1959" s="105" t="str">
        <f>IF(F1959=True, IFERROR(VLOOKUP(D1959, Repository!A:E, 5, 0), ""), "")</f>
        <v/>
      </c>
      <c r="M1959" s="105"/>
      <c r="N1959" s="105" t="str">
        <f>IF(F1959=True, IFERROR(VLOOKUP(D1959, Repository!A:G, 7, 0), ""), "")</f>
        <v/>
      </c>
      <c r="O1959" s="105" t="str">
        <f>IFERROR(__xludf.DUMMYFUNCTION("ARRAY_CONSTRAIN(
  ARRAYFORMULA(
    IFERROR(
      LET(
        list, N1959,
        arr, TRIM(SPLIT(list, "","")),
        names, XLOOKUP(
          arr,
          'Conformance Score'!A:A,
          'Conformance Score'!B:B,
          ""Not found""
     "&amp;"   ),
        TEXTJOIN("", "", TRUE, names)
      ),
      """"
    )
  ),
  1,
  1
)
"),"")</f>
        <v/>
      </c>
      <c r="P1959" s="105" t="str">
        <f>IF(F1959="Yes", IFERROR(VLOOKUP(D1959, Repository!A:F, 6, 0), ""), "")</f>
        <v/>
      </c>
      <c r="Q1959" s="105" t="str">
        <f>IF(F1959="Yes", IFERROR(VLOOKUP(D1959, Repository!A:I, 8, 0), ""), "")</f>
        <v/>
      </c>
      <c r="R1959" s="105" t="str">
        <f>IF(F1959="Yes", IFERROR(VLOOKUP(D1959, Repository!A:J, 9, 0), ""), "")</f>
        <v/>
      </c>
      <c r="S1959" s="105"/>
      <c r="T1959" s="105"/>
      <c r="U1959" s="105"/>
      <c r="V1959" s="105"/>
      <c r="W1959" s="105"/>
      <c r="X1959" s="105"/>
      <c r="Y1959" s="105"/>
      <c r="Z1959" s="105"/>
      <c r="AA1959" s="105"/>
      <c r="AB1959" s="105"/>
      <c r="AC1959" s="91"/>
      <c r="AD1959" s="105"/>
      <c r="AE1959" s="105"/>
      <c r="AF1959" s="91"/>
      <c r="AG1959" s="105"/>
      <c r="AH1959" s="105"/>
      <c r="AI1959" s="105" t="str">
        <f t="shared" si="1"/>
        <v/>
      </c>
      <c r="AJ1959" s="108" t="str">
        <f t="shared" si="2"/>
        <v/>
      </c>
    </row>
    <row r="1960" ht="15.75" customHeight="1">
      <c r="A1960" s="104"/>
      <c r="B1960" s="105" t="str">
        <f>IFERROR(__xludf.DUMMYFUNCTION("ARRAY_CONSTRAIN(
  ARRAYFORMULA(
    IF(
      'Final Report'!A1960="""",
      """",
      TEXTJOIN(
        "", "" &amp; CHAR(10),
        TRUE,
        IFERROR(
          VLOOKUP(
            TRIM(
              SPLIT('Final Report'!A1960, "","")
         "&amp;"   ),
            'URL Details'!A:B,
            2,
            FALSE
          ),
          """"
        )
      )
    )
  ),
  1,
  1
)
"),"")</f>
        <v/>
      </c>
      <c r="C1960" s="105" t="str">
        <f>IFERROR(__xludf.DUMMYFUNCTION("IFERROR(IF('Final Report'!A1960="""","""", TEXTJOIN(CHAR(10), TRUE, ARRAYFORMULA( ""• ""&amp; FILTER( TRIM(FLATTEN(SPLIT( REGEXREPLACE( SUBSTITUTE(TEXTJOIN("","", TRUE, IFERROR(ARRAYFORMULA(VLOOKUP(TRIM(SPLIT('Final Report'!A1960, "","")), 'URL Details'!A:D, "&amp;"4, FALSE)),"""") ), CHAR(10), "",""), ""\s*,\s*"", "",""), "",""))), TRIM(FLATTEN(SPLIT( REGEXREPLACE( SUBSTITUTE(TEXTJOIN("","", TRUE, IFERROR(ARRAYFORMULA(VLOOKUP(TRIM(SPLIT('Final Report'!A1960, "","")), 'URL Details'!A:D, 4, FALSE)),"""") ), CHAR(10),"&amp;" "",""), ""\s*,\s*"", "",""), "","")))&lt;&gt;"""" ) ) ) ),"""")
"),"")</f>
        <v/>
      </c>
      <c r="D1960" s="105"/>
      <c r="E1960" s="105"/>
      <c r="F1960" s="110" t="b">
        <v>0</v>
      </c>
      <c r="G1960" s="105" t="str">
        <f>IF(F1960=True, IFERROR(VLOOKUP(D1960, Repository!A:B, 2, 0), ""), "")</f>
        <v/>
      </c>
      <c r="H1960" s="105"/>
      <c r="I1960" s="105"/>
      <c r="J1960" s="105" t="str">
        <f>IF(F1960=True, IFERROR(VLOOKUP(D1960, Repository!A:C, 3, 0), ""), "")</f>
        <v/>
      </c>
      <c r="K1960" s="105"/>
      <c r="L1960" s="105" t="str">
        <f>IF(F1960=True, IFERROR(VLOOKUP(D1960, Repository!A:E, 5, 0), ""), "")</f>
        <v/>
      </c>
      <c r="M1960" s="105"/>
      <c r="N1960" s="105" t="str">
        <f>IF(F1960=True, IFERROR(VLOOKUP(D1960, Repository!A:G, 7, 0), ""), "")</f>
        <v/>
      </c>
      <c r="O1960" s="105" t="str">
        <f>IFERROR(__xludf.DUMMYFUNCTION("ARRAY_CONSTRAIN(
  ARRAYFORMULA(
    IFERROR(
      LET(
        list, N1960,
        arr, TRIM(SPLIT(list, "","")),
        names, XLOOKUP(
          arr,
          'Conformance Score'!A:A,
          'Conformance Score'!B:B,
          ""Not found""
     "&amp;"   ),
        TEXTJOIN("", "", TRUE, names)
      ),
      """"
    )
  ),
  1,
  1
)
"),"")</f>
        <v/>
      </c>
      <c r="P1960" s="105" t="str">
        <f>IF(F1960="Yes", IFERROR(VLOOKUP(D1960, Repository!A:F, 6, 0), ""), "")</f>
        <v/>
      </c>
      <c r="Q1960" s="105" t="str">
        <f>IF(F1960="Yes", IFERROR(VLOOKUP(D1960, Repository!A:I, 8, 0), ""), "")</f>
        <v/>
      </c>
      <c r="R1960" s="105" t="str">
        <f>IF(F1960="Yes", IFERROR(VLOOKUP(D1960, Repository!A:J, 9, 0), ""), "")</f>
        <v/>
      </c>
      <c r="S1960" s="105"/>
      <c r="T1960" s="105"/>
      <c r="U1960" s="105"/>
      <c r="V1960" s="105"/>
      <c r="W1960" s="105"/>
      <c r="X1960" s="105"/>
      <c r="Y1960" s="105"/>
      <c r="Z1960" s="105"/>
      <c r="AA1960" s="105"/>
      <c r="AB1960" s="105"/>
      <c r="AC1960" s="91"/>
      <c r="AD1960" s="105"/>
      <c r="AE1960" s="105"/>
      <c r="AF1960" s="91"/>
      <c r="AG1960" s="105"/>
      <c r="AH1960" s="105"/>
      <c r="AI1960" s="105" t="str">
        <f t="shared" si="1"/>
        <v/>
      </c>
      <c r="AJ1960" s="108" t="str">
        <f t="shared" si="2"/>
        <v/>
      </c>
    </row>
    <row r="1961" ht="15.75" customHeight="1">
      <c r="A1961" s="104"/>
      <c r="B1961" s="105" t="str">
        <f>IFERROR(__xludf.DUMMYFUNCTION("ARRAY_CONSTRAIN(
  ARRAYFORMULA(
    IF(
      'Final Report'!A1961="""",
      """",
      TEXTJOIN(
        "", "" &amp; CHAR(10),
        TRUE,
        IFERROR(
          VLOOKUP(
            TRIM(
              SPLIT('Final Report'!A1961, "","")
         "&amp;"   ),
            'URL Details'!A:B,
            2,
            FALSE
          ),
          """"
        )
      )
    )
  ),
  1,
  1
)
"),"")</f>
        <v/>
      </c>
      <c r="C1961" s="105" t="str">
        <f>IFERROR(__xludf.DUMMYFUNCTION("IFERROR(IF('Final Report'!A1961="""","""", TEXTJOIN(CHAR(10), TRUE, ARRAYFORMULA( ""• ""&amp; FILTER( TRIM(FLATTEN(SPLIT( REGEXREPLACE( SUBSTITUTE(TEXTJOIN("","", TRUE, IFERROR(ARRAYFORMULA(VLOOKUP(TRIM(SPLIT('Final Report'!A1961, "","")), 'URL Details'!A:D, "&amp;"4, FALSE)),"""") ), CHAR(10), "",""), ""\s*,\s*"", "",""), "",""))), TRIM(FLATTEN(SPLIT( REGEXREPLACE( SUBSTITUTE(TEXTJOIN("","", TRUE, IFERROR(ARRAYFORMULA(VLOOKUP(TRIM(SPLIT('Final Report'!A1961, "","")), 'URL Details'!A:D, 4, FALSE)),"""") ), CHAR(10),"&amp;" "",""), ""\s*,\s*"", "",""), "","")))&lt;&gt;"""" ) ) ) ),"""")
"),"")</f>
        <v/>
      </c>
      <c r="D1961" s="105"/>
      <c r="E1961" s="105"/>
      <c r="F1961" s="110" t="b">
        <v>0</v>
      </c>
      <c r="G1961" s="105" t="str">
        <f>IF(F1961=True, IFERROR(VLOOKUP(D1961, Repository!A:B, 2, 0), ""), "")</f>
        <v/>
      </c>
      <c r="H1961" s="105"/>
      <c r="I1961" s="105"/>
      <c r="J1961" s="105" t="str">
        <f>IF(F1961=True, IFERROR(VLOOKUP(D1961, Repository!A:C, 3, 0), ""), "")</f>
        <v/>
      </c>
      <c r="K1961" s="105"/>
      <c r="L1961" s="105" t="str">
        <f>IF(F1961=True, IFERROR(VLOOKUP(D1961, Repository!A:E, 5, 0), ""), "")</f>
        <v/>
      </c>
      <c r="M1961" s="105"/>
      <c r="N1961" s="105" t="str">
        <f>IF(F1961=True, IFERROR(VLOOKUP(D1961, Repository!A:G, 7, 0), ""), "")</f>
        <v/>
      </c>
      <c r="O1961" s="105" t="str">
        <f>IFERROR(__xludf.DUMMYFUNCTION("ARRAY_CONSTRAIN(
  ARRAYFORMULA(
    IFERROR(
      LET(
        list, N1961,
        arr, TRIM(SPLIT(list, "","")),
        names, XLOOKUP(
          arr,
          'Conformance Score'!A:A,
          'Conformance Score'!B:B,
          ""Not found""
     "&amp;"   ),
        TEXTJOIN("", "", TRUE, names)
      ),
      """"
    )
  ),
  1,
  1
)
"),"")</f>
        <v/>
      </c>
      <c r="P1961" s="105" t="str">
        <f>IF(F1961="Yes", IFERROR(VLOOKUP(D1961, Repository!A:F, 6, 0), ""), "")</f>
        <v/>
      </c>
      <c r="Q1961" s="105" t="str">
        <f>IF(F1961="Yes", IFERROR(VLOOKUP(D1961, Repository!A:I, 8, 0), ""), "")</f>
        <v/>
      </c>
      <c r="R1961" s="105" t="str">
        <f>IF(F1961="Yes", IFERROR(VLOOKUP(D1961, Repository!A:J, 9, 0), ""), "")</f>
        <v/>
      </c>
      <c r="S1961" s="105"/>
      <c r="T1961" s="105"/>
      <c r="U1961" s="105"/>
      <c r="V1961" s="105"/>
      <c r="W1961" s="105"/>
      <c r="X1961" s="105"/>
      <c r="Y1961" s="105"/>
      <c r="Z1961" s="105"/>
      <c r="AA1961" s="105"/>
      <c r="AB1961" s="105"/>
      <c r="AC1961" s="91"/>
      <c r="AD1961" s="105"/>
      <c r="AE1961" s="105"/>
      <c r="AF1961" s="91"/>
      <c r="AG1961" s="105"/>
      <c r="AH1961" s="105"/>
      <c r="AI1961" s="105" t="str">
        <f t="shared" si="1"/>
        <v/>
      </c>
      <c r="AJ1961" s="108" t="str">
        <f t="shared" si="2"/>
        <v/>
      </c>
    </row>
    <row r="1962" ht="15.75" customHeight="1">
      <c r="A1962" s="104"/>
      <c r="B1962" s="105" t="str">
        <f>IFERROR(__xludf.DUMMYFUNCTION("ARRAY_CONSTRAIN(
  ARRAYFORMULA(
    IF(
      'Final Report'!A1962="""",
      """",
      TEXTJOIN(
        "", "" &amp; CHAR(10),
        TRUE,
        IFERROR(
          VLOOKUP(
            TRIM(
              SPLIT('Final Report'!A1962, "","")
         "&amp;"   ),
            'URL Details'!A:B,
            2,
            FALSE
          ),
          """"
        )
      )
    )
  ),
  1,
  1
)
"),"")</f>
        <v/>
      </c>
      <c r="C1962" s="105" t="str">
        <f>IFERROR(__xludf.DUMMYFUNCTION("IFERROR(IF('Final Report'!A1962="""","""", TEXTJOIN(CHAR(10), TRUE, ARRAYFORMULA( ""• ""&amp; FILTER( TRIM(FLATTEN(SPLIT( REGEXREPLACE( SUBSTITUTE(TEXTJOIN("","", TRUE, IFERROR(ARRAYFORMULA(VLOOKUP(TRIM(SPLIT('Final Report'!A1962, "","")), 'URL Details'!A:D, "&amp;"4, FALSE)),"""") ), CHAR(10), "",""), ""\s*,\s*"", "",""), "",""))), TRIM(FLATTEN(SPLIT( REGEXREPLACE( SUBSTITUTE(TEXTJOIN("","", TRUE, IFERROR(ARRAYFORMULA(VLOOKUP(TRIM(SPLIT('Final Report'!A1962, "","")), 'URL Details'!A:D, 4, FALSE)),"""") ), CHAR(10),"&amp;" "",""), ""\s*,\s*"", "",""), "","")))&lt;&gt;"""" ) ) ) ),"""")
"),"")</f>
        <v/>
      </c>
      <c r="D1962" s="105"/>
      <c r="E1962" s="105"/>
      <c r="F1962" s="110" t="b">
        <v>0</v>
      </c>
      <c r="G1962" s="105" t="str">
        <f>IF(F1962=True, IFERROR(VLOOKUP(D1962, Repository!A:B, 2, 0), ""), "")</f>
        <v/>
      </c>
      <c r="H1962" s="105"/>
      <c r="I1962" s="105"/>
      <c r="J1962" s="105" t="str">
        <f>IF(F1962=True, IFERROR(VLOOKUP(D1962, Repository!A:C, 3, 0), ""), "")</f>
        <v/>
      </c>
      <c r="K1962" s="105"/>
      <c r="L1962" s="105" t="str">
        <f>IF(F1962=True, IFERROR(VLOOKUP(D1962, Repository!A:E, 5, 0), ""), "")</f>
        <v/>
      </c>
      <c r="M1962" s="105"/>
      <c r="N1962" s="105" t="str">
        <f>IF(F1962=True, IFERROR(VLOOKUP(D1962, Repository!A:G, 7, 0), ""), "")</f>
        <v/>
      </c>
      <c r="O1962" s="105" t="str">
        <f>IFERROR(__xludf.DUMMYFUNCTION("ARRAY_CONSTRAIN(
  ARRAYFORMULA(
    IFERROR(
      LET(
        list, N1962,
        arr, TRIM(SPLIT(list, "","")),
        names, XLOOKUP(
          arr,
          'Conformance Score'!A:A,
          'Conformance Score'!B:B,
          ""Not found""
     "&amp;"   ),
        TEXTJOIN("", "", TRUE, names)
      ),
      """"
    )
  ),
  1,
  1
)
"),"")</f>
        <v/>
      </c>
      <c r="P1962" s="105" t="str">
        <f>IF(F1962="Yes", IFERROR(VLOOKUP(D1962, Repository!A:F, 6, 0), ""), "")</f>
        <v/>
      </c>
      <c r="Q1962" s="105" t="str">
        <f>IF(F1962="Yes", IFERROR(VLOOKUP(D1962, Repository!A:I, 8, 0), ""), "")</f>
        <v/>
      </c>
      <c r="R1962" s="105" t="str">
        <f>IF(F1962="Yes", IFERROR(VLOOKUP(D1962, Repository!A:J, 9, 0), ""), "")</f>
        <v/>
      </c>
      <c r="S1962" s="105"/>
      <c r="T1962" s="105"/>
      <c r="U1962" s="105"/>
      <c r="V1962" s="105"/>
      <c r="W1962" s="105"/>
      <c r="X1962" s="105"/>
      <c r="Y1962" s="105"/>
      <c r="Z1962" s="105"/>
      <c r="AA1962" s="105"/>
      <c r="AB1962" s="105"/>
      <c r="AC1962" s="91"/>
      <c r="AD1962" s="105"/>
      <c r="AE1962" s="105"/>
      <c r="AF1962" s="91"/>
      <c r="AG1962" s="105"/>
      <c r="AH1962" s="105"/>
      <c r="AI1962" s="105" t="str">
        <f t="shared" si="1"/>
        <v/>
      </c>
      <c r="AJ1962" s="108" t="str">
        <f t="shared" si="2"/>
        <v/>
      </c>
    </row>
    <row r="1963" ht="15.75" customHeight="1">
      <c r="A1963" s="104"/>
      <c r="B1963" s="105" t="str">
        <f>IFERROR(__xludf.DUMMYFUNCTION("ARRAY_CONSTRAIN(
  ARRAYFORMULA(
    IF(
      'Final Report'!A1963="""",
      """",
      TEXTJOIN(
        "", "" &amp; CHAR(10),
        TRUE,
        IFERROR(
          VLOOKUP(
            TRIM(
              SPLIT('Final Report'!A1963, "","")
         "&amp;"   ),
            'URL Details'!A:B,
            2,
            FALSE
          ),
          """"
        )
      )
    )
  ),
  1,
  1
)
"),"")</f>
        <v/>
      </c>
      <c r="C1963" s="105" t="str">
        <f>IFERROR(__xludf.DUMMYFUNCTION("IFERROR(IF('Final Report'!A1963="""","""", TEXTJOIN(CHAR(10), TRUE, ARRAYFORMULA( ""• ""&amp; FILTER( TRIM(FLATTEN(SPLIT( REGEXREPLACE( SUBSTITUTE(TEXTJOIN("","", TRUE, IFERROR(ARRAYFORMULA(VLOOKUP(TRIM(SPLIT('Final Report'!A1963, "","")), 'URL Details'!A:D, "&amp;"4, FALSE)),"""") ), CHAR(10), "",""), ""\s*,\s*"", "",""), "",""))), TRIM(FLATTEN(SPLIT( REGEXREPLACE( SUBSTITUTE(TEXTJOIN("","", TRUE, IFERROR(ARRAYFORMULA(VLOOKUP(TRIM(SPLIT('Final Report'!A1963, "","")), 'URL Details'!A:D, 4, FALSE)),"""") ), CHAR(10),"&amp;" "",""), ""\s*,\s*"", "",""), "","")))&lt;&gt;"""" ) ) ) ),"""")
"),"")</f>
        <v/>
      </c>
      <c r="D1963" s="105"/>
      <c r="E1963" s="105"/>
      <c r="F1963" s="110" t="b">
        <v>0</v>
      </c>
      <c r="G1963" s="105" t="str">
        <f>IF(F1963=True, IFERROR(VLOOKUP(D1963, Repository!A:B, 2, 0), ""), "")</f>
        <v/>
      </c>
      <c r="H1963" s="105"/>
      <c r="I1963" s="105"/>
      <c r="J1963" s="105" t="str">
        <f>IF(F1963=True, IFERROR(VLOOKUP(D1963, Repository!A:C, 3, 0), ""), "")</f>
        <v/>
      </c>
      <c r="K1963" s="105"/>
      <c r="L1963" s="105" t="str">
        <f>IF(F1963=True, IFERROR(VLOOKUP(D1963, Repository!A:E, 5, 0), ""), "")</f>
        <v/>
      </c>
      <c r="M1963" s="105"/>
      <c r="N1963" s="105" t="str">
        <f>IF(F1963=True, IFERROR(VLOOKUP(D1963, Repository!A:G, 7, 0), ""), "")</f>
        <v/>
      </c>
      <c r="O1963" s="105" t="str">
        <f>IFERROR(__xludf.DUMMYFUNCTION("ARRAY_CONSTRAIN(
  ARRAYFORMULA(
    IFERROR(
      LET(
        list, N1963,
        arr, TRIM(SPLIT(list, "","")),
        names, XLOOKUP(
          arr,
          'Conformance Score'!A:A,
          'Conformance Score'!B:B,
          ""Not found""
     "&amp;"   ),
        TEXTJOIN("", "", TRUE, names)
      ),
      """"
    )
  ),
  1,
  1
)
"),"")</f>
        <v/>
      </c>
      <c r="P1963" s="105" t="str">
        <f>IF(F1963="Yes", IFERROR(VLOOKUP(D1963, Repository!A:F, 6, 0), ""), "")</f>
        <v/>
      </c>
      <c r="Q1963" s="105" t="str">
        <f>IF(F1963="Yes", IFERROR(VLOOKUP(D1963, Repository!A:I, 8, 0), ""), "")</f>
        <v/>
      </c>
      <c r="R1963" s="105" t="str">
        <f>IF(F1963="Yes", IFERROR(VLOOKUP(D1963, Repository!A:J, 9, 0), ""), "")</f>
        <v/>
      </c>
      <c r="S1963" s="105"/>
      <c r="T1963" s="105"/>
      <c r="U1963" s="105"/>
      <c r="V1963" s="105"/>
      <c r="W1963" s="105"/>
      <c r="X1963" s="105"/>
      <c r="Y1963" s="105"/>
      <c r="Z1963" s="105"/>
      <c r="AA1963" s="105"/>
      <c r="AB1963" s="105"/>
      <c r="AC1963" s="91"/>
      <c r="AD1963" s="105"/>
      <c r="AE1963" s="105"/>
      <c r="AF1963" s="91"/>
      <c r="AG1963" s="105"/>
      <c r="AH1963" s="105"/>
      <c r="AI1963" s="105" t="str">
        <f t="shared" si="1"/>
        <v/>
      </c>
      <c r="AJ1963" s="108" t="str">
        <f t="shared" si="2"/>
        <v/>
      </c>
    </row>
    <row r="1964" ht="15.75" customHeight="1">
      <c r="A1964" s="104"/>
      <c r="B1964" s="105" t="str">
        <f>IFERROR(__xludf.DUMMYFUNCTION("ARRAY_CONSTRAIN(
  ARRAYFORMULA(
    IF(
      'Final Report'!A1964="""",
      """",
      TEXTJOIN(
        "", "" &amp; CHAR(10),
        TRUE,
        IFERROR(
          VLOOKUP(
            TRIM(
              SPLIT('Final Report'!A1964, "","")
         "&amp;"   ),
            'URL Details'!A:B,
            2,
            FALSE
          ),
          """"
        )
      )
    )
  ),
  1,
  1
)
"),"")</f>
        <v/>
      </c>
      <c r="C1964" s="105" t="str">
        <f>IFERROR(__xludf.DUMMYFUNCTION("IFERROR(IF('Final Report'!A1964="""","""", TEXTJOIN(CHAR(10), TRUE, ARRAYFORMULA( ""• ""&amp; FILTER( TRIM(FLATTEN(SPLIT( REGEXREPLACE( SUBSTITUTE(TEXTJOIN("","", TRUE, IFERROR(ARRAYFORMULA(VLOOKUP(TRIM(SPLIT('Final Report'!A1964, "","")), 'URL Details'!A:D, "&amp;"4, FALSE)),"""") ), CHAR(10), "",""), ""\s*,\s*"", "",""), "",""))), TRIM(FLATTEN(SPLIT( REGEXREPLACE( SUBSTITUTE(TEXTJOIN("","", TRUE, IFERROR(ARRAYFORMULA(VLOOKUP(TRIM(SPLIT('Final Report'!A1964, "","")), 'URL Details'!A:D, 4, FALSE)),"""") ), CHAR(10),"&amp;" "",""), ""\s*,\s*"", "",""), "","")))&lt;&gt;"""" ) ) ) ),"""")
"),"")</f>
        <v/>
      </c>
      <c r="D1964" s="105"/>
      <c r="E1964" s="105"/>
      <c r="F1964" s="110" t="b">
        <v>0</v>
      </c>
      <c r="G1964" s="105" t="str">
        <f>IF(F1964=True, IFERROR(VLOOKUP(D1964, Repository!A:B, 2, 0), ""), "")</f>
        <v/>
      </c>
      <c r="H1964" s="105"/>
      <c r="I1964" s="105"/>
      <c r="J1964" s="105" t="str">
        <f>IF(F1964=True, IFERROR(VLOOKUP(D1964, Repository!A:C, 3, 0), ""), "")</f>
        <v/>
      </c>
      <c r="K1964" s="105"/>
      <c r="L1964" s="105" t="str">
        <f>IF(F1964=True, IFERROR(VLOOKUP(D1964, Repository!A:E, 5, 0), ""), "")</f>
        <v/>
      </c>
      <c r="M1964" s="105"/>
      <c r="N1964" s="105" t="str">
        <f>IF(F1964=True, IFERROR(VLOOKUP(D1964, Repository!A:G, 7, 0), ""), "")</f>
        <v/>
      </c>
      <c r="O1964" s="105" t="str">
        <f>IFERROR(__xludf.DUMMYFUNCTION("ARRAY_CONSTRAIN(
  ARRAYFORMULA(
    IFERROR(
      LET(
        list, N1964,
        arr, TRIM(SPLIT(list, "","")),
        names, XLOOKUP(
          arr,
          'Conformance Score'!A:A,
          'Conformance Score'!B:B,
          ""Not found""
     "&amp;"   ),
        TEXTJOIN("", "", TRUE, names)
      ),
      """"
    )
  ),
  1,
  1
)
"),"")</f>
        <v/>
      </c>
      <c r="P1964" s="105" t="str">
        <f>IF(F1964="Yes", IFERROR(VLOOKUP(D1964, Repository!A:F, 6, 0), ""), "")</f>
        <v/>
      </c>
      <c r="Q1964" s="105" t="str">
        <f>IF(F1964="Yes", IFERROR(VLOOKUP(D1964, Repository!A:I, 8, 0), ""), "")</f>
        <v/>
      </c>
      <c r="R1964" s="105" t="str">
        <f>IF(F1964="Yes", IFERROR(VLOOKUP(D1964, Repository!A:J, 9, 0), ""), "")</f>
        <v/>
      </c>
      <c r="S1964" s="105"/>
      <c r="T1964" s="105"/>
      <c r="U1964" s="105"/>
      <c r="V1964" s="105"/>
      <c r="W1964" s="105"/>
      <c r="X1964" s="105"/>
      <c r="Y1964" s="105"/>
      <c r="Z1964" s="105"/>
      <c r="AA1964" s="105"/>
      <c r="AB1964" s="105"/>
      <c r="AC1964" s="91"/>
      <c r="AD1964" s="105"/>
      <c r="AE1964" s="105"/>
      <c r="AF1964" s="91"/>
      <c r="AG1964" s="105"/>
      <c r="AH1964" s="105"/>
      <c r="AI1964" s="105" t="str">
        <f t="shared" si="1"/>
        <v/>
      </c>
      <c r="AJ1964" s="108" t="str">
        <f t="shared" si="2"/>
        <v/>
      </c>
    </row>
    <row r="1965" ht="15.75" customHeight="1">
      <c r="A1965" s="104"/>
      <c r="B1965" s="105" t="str">
        <f>IFERROR(__xludf.DUMMYFUNCTION("ARRAY_CONSTRAIN(
  ARRAYFORMULA(
    IF(
      'Final Report'!A1965="""",
      """",
      TEXTJOIN(
        "", "" &amp; CHAR(10),
        TRUE,
        IFERROR(
          VLOOKUP(
            TRIM(
              SPLIT('Final Report'!A1965, "","")
         "&amp;"   ),
            'URL Details'!A:B,
            2,
            FALSE
          ),
          """"
        )
      )
    )
  ),
  1,
  1
)
"),"")</f>
        <v/>
      </c>
      <c r="C1965" s="105" t="str">
        <f>IFERROR(__xludf.DUMMYFUNCTION("IFERROR(IF('Final Report'!A1965="""","""", TEXTJOIN(CHAR(10), TRUE, ARRAYFORMULA( ""• ""&amp; FILTER( TRIM(FLATTEN(SPLIT( REGEXREPLACE( SUBSTITUTE(TEXTJOIN("","", TRUE, IFERROR(ARRAYFORMULA(VLOOKUP(TRIM(SPLIT('Final Report'!A1965, "","")), 'URL Details'!A:D, "&amp;"4, FALSE)),"""") ), CHAR(10), "",""), ""\s*,\s*"", "",""), "",""))), TRIM(FLATTEN(SPLIT( REGEXREPLACE( SUBSTITUTE(TEXTJOIN("","", TRUE, IFERROR(ARRAYFORMULA(VLOOKUP(TRIM(SPLIT('Final Report'!A1965, "","")), 'URL Details'!A:D, 4, FALSE)),"""") ), CHAR(10),"&amp;" "",""), ""\s*,\s*"", "",""), "","")))&lt;&gt;"""" ) ) ) ),"""")
"),"")</f>
        <v/>
      </c>
      <c r="D1965" s="105"/>
      <c r="E1965" s="105"/>
      <c r="F1965" s="110" t="b">
        <v>0</v>
      </c>
      <c r="G1965" s="105" t="str">
        <f>IF(F1965=True, IFERROR(VLOOKUP(D1965, Repository!A:B, 2, 0), ""), "")</f>
        <v/>
      </c>
      <c r="H1965" s="105"/>
      <c r="I1965" s="105"/>
      <c r="J1965" s="105" t="str">
        <f>IF(F1965=True, IFERROR(VLOOKUP(D1965, Repository!A:C, 3, 0), ""), "")</f>
        <v/>
      </c>
      <c r="K1965" s="105"/>
      <c r="L1965" s="105" t="str">
        <f>IF(F1965=True, IFERROR(VLOOKUP(D1965, Repository!A:E, 5, 0), ""), "")</f>
        <v/>
      </c>
      <c r="M1965" s="105"/>
      <c r="N1965" s="105" t="str">
        <f>IF(F1965=True, IFERROR(VLOOKUP(D1965, Repository!A:G, 7, 0), ""), "")</f>
        <v/>
      </c>
      <c r="O1965" s="105" t="str">
        <f>IFERROR(__xludf.DUMMYFUNCTION("ARRAY_CONSTRAIN(
  ARRAYFORMULA(
    IFERROR(
      LET(
        list, N1965,
        arr, TRIM(SPLIT(list, "","")),
        names, XLOOKUP(
          arr,
          'Conformance Score'!A:A,
          'Conformance Score'!B:B,
          ""Not found""
     "&amp;"   ),
        TEXTJOIN("", "", TRUE, names)
      ),
      """"
    )
  ),
  1,
  1
)
"),"")</f>
        <v/>
      </c>
      <c r="P1965" s="105" t="str">
        <f>IF(F1965="Yes", IFERROR(VLOOKUP(D1965, Repository!A:F, 6, 0), ""), "")</f>
        <v/>
      </c>
      <c r="Q1965" s="105" t="str">
        <f>IF(F1965="Yes", IFERROR(VLOOKUP(D1965, Repository!A:I, 8, 0), ""), "")</f>
        <v/>
      </c>
      <c r="R1965" s="105" t="str">
        <f>IF(F1965="Yes", IFERROR(VLOOKUP(D1965, Repository!A:J, 9, 0), ""), "")</f>
        <v/>
      </c>
      <c r="S1965" s="105"/>
      <c r="T1965" s="105"/>
      <c r="U1965" s="105"/>
      <c r="V1965" s="105"/>
      <c r="W1965" s="105"/>
      <c r="X1965" s="105"/>
      <c r="Y1965" s="105"/>
      <c r="Z1965" s="105"/>
      <c r="AA1965" s="105"/>
      <c r="AB1965" s="105"/>
      <c r="AC1965" s="91"/>
      <c r="AD1965" s="105"/>
      <c r="AE1965" s="105"/>
      <c r="AF1965" s="91"/>
      <c r="AG1965" s="105"/>
      <c r="AH1965" s="105"/>
      <c r="AI1965" s="105" t="str">
        <f t="shared" si="1"/>
        <v/>
      </c>
      <c r="AJ1965" s="108" t="str">
        <f t="shared" si="2"/>
        <v/>
      </c>
    </row>
    <row r="1966" ht="15.75" customHeight="1">
      <c r="A1966" s="104"/>
      <c r="B1966" s="105" t="str">
        <f>IFERROR(__xludf.DUMMYFUNCTION("ARRAY_CONSTRAIN(
  ARRAYFORMULA(
    IF(
      'Final Report'!A1966="""",
      """",
      TEXTJOIN(
        "", "" &amp; CHAR(10),
        TRUE,
        IFERROR(
          VLOOKUP(
            TRIM(
              SPLIT('Final Report'!A1966, "","")
         "&amp;"   ),
            'URL Details'!A:B,
            2,
            FALSE
          ),
          """"
        )
      )
    )
  ),
  1,
  1
)
"),"")</f>
        <v/>
      </c>
      <c r="C1966" s="105" t="str">
        <f>IFERROR(__xludf.DUMMYFUNCTION("IFERROR(IF('Final Report'!A1966="""","""", TEXTJOIN(CHAR(10), TRUE, ARRAYFORMULA( ""• ""&amp; FILTER( TRIM(FLATTEN(SPLIT( REGEXREPLACE( SUBSTITUTE(TEXTJOIN("","", TRUE, IFERROR(ARRAYFORMULA(VLOOKUP(TRIM(SPLIT('Final Report'!A1966, "","")), 'URL Details'!A:D, "&amp;"4, FALSE)),"""") ), CHAR(10), "",""), ""\s*,\s*"", "",""), "",""))), TRIM(FLATTEN(SPLIT( REGEXREPLACE( SUBSTITUTE(TEXTJOIN("","", TRUE, IFERROR(ARRAYFORMULA(VLOOKUP(TRIM(SPLIT('Final Report'!A1966, "","")), 'URL Details'!A:D, 4, FALSE)),"""") ), CHAR(10),"&amp;" "",""), ""\s*,\s*"", "",""), "","")))&lt;&gt;"""" ) ) ) ),"""")
"),"")</f>
        <v/>
      </c>
      <c r="D1966" s="105"/>
      <c r="E1966" s="105"/>
      <c r="F1966" s="110" t="b">
        <v>0</v>
      </c>
      <c r="G1966" s="105" t="str">
        <f>IF(F1966=True, IFERROR(VLOOKUP(D1966, Repository!A:B, 2, 0), ""), "")</f>
        <v/>
      </c>
      <c r="H1966" s="105"/>
      <c r="I1966" s="105"/>
      <c r="J1966" s="105" t="str">
        <f>IF(F1966=True, IFERROR(VLOOKUP(D1966, Repository!A:C, 3, 0), ""), "")</f>
        <v/>
      </c>
      <c r="K1966" s="105"/>
      <c r="L1966" s="105" t="str">
        <f>IF(F1966=True, IFERROR(VLOOKUP(D1966, Repository!A:E, 5, 0), ""), "")</f>
        <v/>
      </c>
      <c r="M1966" s="105"/>
      <c r="N1966" s="105" t="str">
        <f>IF(F1966=True, IFERROR(VLOOKUP(D1966, Repository!A:G, 7, 0), ""), "")</f>
        <v/>
      </c>
      <c r="O1966" s="105" t="str">
        <f>IFERROR(__xludf.DUMMYFUNCTION("ARRAY_CONSTRAIN(
  ARRAYFORMULA(
    IFERROR(
      LET(
        list, N1966,
        arr, TRIM(SPLIT(list, "","")),
        names, XLOOKUP(
          arr,
          'Conformance Score'!A:A,
          'Conformance Score'!B:B,
          ""Not found""
     "&amp;"   ),
        TEXTJOIN("", "", TRUE, names)
      ),
      """"
    )
  ),
  1,
  1
)
"),"")</f>
        <v/>
      </c>
      <c r="P1966" s="105" t="str">
        <f>IF(F1966="Yes", IFERROR(VLOOKUP(D1966, Repository!A:F, 6, 0), ""), "")</f>
        <v/>
      </c>
      <c r="Q1966" s="105" t="str">
        <f>IF(F1966="Yes", IFERROR(VLOOKUP(D1966, Repository!A:I, 8, 0), ""), "")</f>
        <v/>
      </c>
      <c r="R1966" s="105" t="str">
        <f>IF(F1966="Yes", IFERROR(VLOOKUP(D1966, Repository!A:J, 9, 0), ""), "")</f>
        <v/>
      </c>
      <c r="S1966" s="105"/>
      <c r="T1966" s="105"/>
      <c r="U1966" s="105"/>
      <c r="V1966" s="105"/>
      <c r="W1966" s="105"/>
      <c r="X1966" s="105"/>
      <c r="Y1966" s="105"/>
      <c r="Z1966" s="105"/>
      <c r="AA1966" s="105"/>
      <c r="AB1966" s="105"/>
      <c r="AC1966" s="91"/>
      <c r="AD1966" s="105"/>
      <c r="AE1966" s="105"/>
      <c r="AF1966" s="91"/>
      <c r="AG1966" s="105"/>
      <c r="AH1966" s="105"/>
      <c r="AI1966" s="105" t="str">
        <f t="shared" si="1"/>
        <v/>
      </c>
      <c r="AJ1966" s="108" t="str">
        <f t="shared" si="2"/>
        <v/>
      </c>
    </row>
    <row r="1967" ht="15.75" customHeight="1">
      <c r="A1967" s="104"/>
      <c r="B1967" s="105" t="str">
        <f>IFERROR(__xludf.DUMMYFUNCTION("ARRAY_CONSTRAIN(
  ARRAYFORMULA(
    IF(
      'Final Report'!A1967="""",
      """",
      TEXTJOIN(
        "", "" &amp; CHAR(10),
        TRUE,
        IFERROR(
          VLOOKUP(
            TRIM(
              SPLIT('Final Report'!A1967, "","")
         "&amp;"   ),
            'URL Details'!A:B,
            2,
            FALSE
          ),
          """"
        )
      )
    )
  ),
  1,
  1
)
"),"")</f>
        <v/>
      </c>
      <c r="C1967" s="105" t="str">
        <f>IFERROR(__xludf.DUMMYFUNCTION("IFERROR(IF('Final Report'!A1967="""","""", TEXTJOIN(CHAR(10), TRUE, ARRAYFORMULA( ""• ""&amp; FILTER( TRIM(FLATTEN(SPLIT( REGEXREPLACE( SUBSTITUTE(TEXTJOIN("","", TRUE, IFERROR(ARRAYFORMULA(VLOOKUP(TRIM(SPLIT('Final Report'!A1967, "","")), 'URL Details'!A:D, "&amp;"4, FALSE)),"""") ), CHAR(10), "",""), ""\s*,\s*"", "",""), "",""))), TRIM(FLATTEN(SPLIT( REGEXREPLACE( SUBSTITUTE(TEXTJOIN("","", TRUE, IFERROR(ARRAYFORMULA(VLOOKUP(TRIM(SPLIT('Final Report'!A1967, "","")), 'URL Details'!A:D, 4, FALSE)),"""") ), CHAR(10),"&amp;" "",""), ""\s*,\s*"", "",""), "","")))&lt;&gt;"""" ) ) ) ),"""")
"),"")</f>
        <v/>
      </c>
      <c r="D1967" s="105"/>
      <c r="E1967" s="105"/>
      <c r="F1967" s="110" t="b">
        <v>0</v>
      </c>
      <c r="G1967" s="105" t="str">
        <f>IF(F1967=True, IFERROR(VLOOKUP(D1967, Repository!A:B, 2, 0), ""), "")</f>
        <v/>
      </c>
      <c r="H1967" s="105"/>
      <c r="I1967" s="105"/>
      <c r="J1967" s="105" t="str">
        <f>IF(F1967=True, IFERROR(VLOOKUP(D1967, Repository!A:C, 3, 0), ""), "")</f>
        <v/>
      </c>
      <c r="K1967" s="105"/>
      <c r="L1967" s="105" t="str">
        <f>IF(F1967=True, IFERROR(VLOOKUP(D1967, Repository!A:E, 5, 0), ""), "")</f>
        <v/>
      </c>
      <c r="M1967" s="105"/>
      <c r="N1967" s="105" t="str">
        <f>IF(F1967=True, IFERROR(VLOOKUP(D1967, Repository!A:G, 7, 0), ""), "")</f>
        <v/>
      </c>
      <c r="O1967" s="105" t="str">
        <f>IFERROR(__xludf.DUMMYFUNCTION("ARRAY_CONSTRAIN(
  ARRAYFORMULA(
    IFERROR(
      LET(
        list, N1967,
        arr, TRIM(SPLIT(list, "","")),
        names, XLOOKUP(
          arr,
          'Conformance Score'!A:A,
          'Conformance Score'!B:B,
          ""Not found""
     "&amp;"   ),
        TEXTJOIN("", "", TRUE, names)
      ),
      """"
    )
  ),
  1,
  1
)
"),"")</f>
        <v/>
      </c>
      <c r="P1967" s="105" t="str">
        <f>IF(F1967="Yes", IFERROR(VLOOKUP(D1967, Repository!A:F, 6, 0), ""), "")</f>
        <v/>
      </c>
      <c r="Q1967" s="105" t="str">
        <f>IF(F1967="Yes", IFERROR(VLOOKUP(D1967, Repository!A:I, 8, 0), ""), "")</f>
        <v/>
      </c>
      <c r="R1967" s="105" t="str">
        <f>IF(F1967="Yes", IFERROR(VLOOKUP(D1967, Repository!A:J, 9, 0), ""), "")</f>
        <v/>
      </c>
      <c r="S1967" s="105"/>
      <c r="T1967" s="105"/>
      <c r="U1967" s="105"/>
      <c r="V1967" s="105"/>
      <c r="W1967" s="105"/>
      <c r="X1967" s="105"/>
      <c r="Y1967" s="105"/>
      <c r="Z1967" s="105"/>
      <c r="AA1967" s="105"/>
      <c r="AB1967" s="105"/>
      <c r="AC1967" s="91"/>
      <c r="AD1967" s="105"/>
      <c r="AE1967" s="105"/>
      <c r="AF1967" s="91"/>
      <c r="AG1967" s="105"/>
      <c r="AH1967" s="105"/>
      <c r="AI1967" s="105" t="str">
        <f t="shared" si="1"/>
        <v/>
      </c>
      <c r="AJ1967" s="108" t="str">
        <f t="shared" si="2"/>
        <v/>
      </c>
    </row>
    <row r="1968" ht="15.75" customHeight="1">
      <c r="A1968" s="104"/>
      <c r="B1968" s="105" t="str">
        <f>IFERROR(__xludf.DUMMYFUNCTION("ARRAY_CONSTRAIN(
  ARRAYFORMULA(
    IF(
      'Final Report'!A1968="""",
      """",
      TEXTJOIN(
        "", "" &amp; CHAR(10),
        TRUE,
        IFERROR(
          VLOOKUP(
            TRIM(
              SPLIT('Final Report'!A1968, "","")
         "&amp;"   ),
            'URL Details'!A:B,
            2,
            FALSE
          ),
          """"
        )
      )
    )
  ),
  1,
  1
)
"),"")</f>
        <v/>
      </c>
      <c r="C1968" s="105" t="str">
        <f>IFERROR(__xludf.DUMMYFUNCTION("IFERROR(IF('Final Report'!A1968="""","""", TEXTJOIN(CHAR(10), TRUE, ARRAYFORMULA( ""• ""&amp; FILTER( TRIM(FLATTEN(SPLIT( REGEXREPLACE( SUBSTITUTE(TEXTJOIN("","", TRUE, IFERROR(ARRAYFORMULA(VLOOKUP(TRIM(SPLIT('Final Report'!A1968, "","")), 'URL Details'!A:D, "&amp;"4, FALSE)),"""") ), CHAR(10), "",""), ""\s*,\s*"", "",""), "",""))), TRIM(FLATTEN(SPLIT( REGEXREPLACE( SUBSTITUTE(TEXTJOIN("","", TRUE, IFERROR(ARRAYFORMULA(VLOOKUP(TRIM(SPLIT('Final Report'!A1968, "","")), 'URL Details'!A:D, 4, FALSE)),"""") ), CHAR(10),"&amp;" "",""), ""\s*,\s*"", "",""), "","")))&lt;&gt;"""" ) ) ) ),"""")
"),"")</f>
        <v/>
      </c>
      <c r="D1968" s="105"/>
      <c r="E1968" s="105"/>
      <c r="F1968" s="110" t="b">
        <v>0</v>
      </c>
      <c r="G1968" s="105" t="str">
        <f>IF(F1968=True, IFERROR(VLOOKUP(D1968, Repository!A:B, 2, 0), ""), "")</f>
        <v/>
      </c>
      <c r="H1968" s="105"/>
      <c r="I1968" s="105"/>
      <c r="J1968" s="105" t="str">
        <f>IF(F1968=True, IFERROR(VLOOKUP(D1968, Repository!A:C, 3, 0), ""), "")</f>
        <v/>
      </c>
      <c r="K1968" s="105"/>
      <c r="L1968" s="105" t="str">
        <f>IF(F1968=True, IFERROR(VLOOKUP(D1968, Repository!A:E, 5, 0), ""), "")</f>
        <v/>
      </c>
      <c r="M1968" s="105"/>
      <c r="N1968" s="105" t="str">
        <f>IF(F1968=True, IFERROR(VLOOKUP(D1968, Repository!A:G, 7, 0), ""), "")</f>
        <v/>
      </c>
      <c r="O1968" s="105" t="str">
        <f>IFERROR(__xludf.DUMMYFUNCTION("ARRAY_CONSTRAIN(
  ARRAYFORMULA(
    IFERROR(
      LET(
        list, N1968,
        arr, TRIM(SPLIT(list, "","")),
        names, XLOOKUP(
          arr,
          'Conformance Score'!A:A,
          'Conformance Score'!B:B,
          ""Not found""
     "&amp;"   ),
        TEXTJOIN("", "", TRUE, names)
      ),
      """"
    )
  ),
  1,
  1
)
"),"")</f>
        <v/>
      </c>
      <c r="P1968" s="105" t="str">
        <f>IF(F1968="Yes", IFERROR(VLOOKUP(D1968, Repository!A:F, 6, 0), ""), "")</f>
        <v/>
      </c>
      <c r="Q1968" s="105" t="str">
        <f>IF(F1968="Yes", IFERROR(VLOOKUP(D1968, Repository!A:I, 8, 0), ""), "")</f>
        <v/>
      </c>
      <c r="R1968" s="105" t="str">
        <f>IF(F1968="Yes", IFERROR(VLOOKUP(D1968, Repository!A:J, 9, 0), ""), "")</f>
        <v/>
      </c>
      <c r="S1968" s="105"/>
      <c r="T1968" s="105"/>
      <c r="U1968" s="105"/>
      <c r="V1968" s="105"/>
      <c r="W1968" s="105"/>
      <c r="X1968" s="105"/>
      <c r="Y1968" s="105"/>
      <c r="Z1968" s="105"/>
      <c r="AA1968" s="105"/>
      <c r="AB1968" s="105"/>
      <c r="AC1968" s="91"/>
      <c r="AD1968" s="105"/>
      <c r="AE1968" s="105"/>
      <c r="AF1968" s="91"/>
      <c r="AG1968" s="105"/>
      <c r="AH1968" s="105"/>
      <c r="AI1968" s="105" t="str">
        <f t="shared" si="1"/>
        <v/>
      </c>
      <c r="AJ1968" s="108" t="str">
        <f t="shared" si="2"/>
        <v/>
      </c>
    </row>
    <row r="1969" ht="15.75" customHeight="1">
      <c r="A1969" s="104"/>
      <c r="B1969" s="105" t="str">
        <f>IFERROR(__xludf.DUMMYFUNCTION("ARRAY_CONSTRAIN(
  ARRAYFORMULA(
    IF(
      'Final Report'!A1969="""",
      """",
      TEXTJOIN(
        "", "" &amp; CHAR(10),
        TRUE,
        IFERROR(
          VLOOKUP(
            TRIM(
              SPLIT('Final Report'!A1969, "","")
         "&amp;"   ),
            'URL Details'!A:B,
            2,
            FALSE
          ),
          """"
        )
      )
    )
  ),
  1,
  1
)
"),"")</f>
        <v/>
      </c>
      <c r="C1969" s="105" t="str">
        <f>IFERROR(__xludf.DUMMYFUNCTION("IFERROR(IF('Final Report'!A1969="""","""", TEXTJOIN(CHAR(10), TRUE, ARRAYFORMULA( ""• ""&amp; FILTER( TRIM(FLATTEN(SPLIT( REGEXREPLACE( SUBSTITUTE(TEXTJOIN("","", TRUE, IFERROR(ARRAYFORMULA(VLOOKUP(TRIM(SPLIT('Final Report'!A1969, "","")), 'URL Details'!A:D, "&amp;"4, FALSE)),"""") ), CHAR(10), "",""), ""\s*,\s*"", "",""), "",""))), TRIM(FLATTEN(SPLIT( REGEXREPLACE( SUBSTITUTE(TEXTJOIN("","", TRUE, IFERROR(ARRAYFORMULA(VLOOKUP(TRIM(SPLIT('Final Report'!A1969, "","")), 'URL Details'!A:D, 4, FALSE)),"""") ), CHAR(10),"&amp;" "",""), ""\s*,\s*"", "",""), "","")))&lt;&gt;"""" ) ) ) ),"""")
"),"")</f>
        <v/>
      </c>
      <c r="D1969" s="105"/>
      <c r="E1969" s="105"/>
      <c r="F1969" s="110" t="b">
        <v>0</v>
      </c>
      <c r="G1969" s="105" t="str">
        <f>IF(F1969=True, IFERROR(VLOOKUP(D1969, Repository!A:B, 2, 0), ""), "")</f>
        <v/>
      </c>
      <c r="H1969" s="105"/>
      <c r="I1969" s="105"/>
      <c r="J1969" s="105" t="str">
        <f>IF(F1969=True, IFERROR(VLOOKUP(D1969, Repository!A:C, 3, 0), ""), "")</f>
        <v/>
      </c>
      <c r="K1969" s="105"/>
      <c r="L1969" s="105" t="str">
        <f>IF(F1969=True, IFERROR(VLOOKUP(D1969, Repository!A:E, 5, 0), ""), "")</f>
        <v/>
      </c>
      <c r="M1969" s="105"/>
      <c r="N1969" s="105" t="str">
        <f>IF(F1969=True, IFERROR(VLOOKUP(D1969, Repository!A:G, 7, 0), ""), "")</f>
        <v/>
      </c>
      <c r="O1969" s="105" t="str">
        <f>IFERROR(__xludf.DUMMYFUNCTION("ARRAY_CONSTRAIN(
  ARRAYFORMULA(
    IFERROR(
      LET(
        list, N1969,
        arr, TRIM(SPLIT(list, "","")),
        names, XLOOKUP(
          arr,
          'Conformance Score'!A:A,
          'Conformance Score'!B:B,
          ""Not found""
     "&amp;"   ),
        TEXTJOIN("", "", TRUE, names)
      ),
      """"
    )
  ),
  1,
  1
)
"),"")</f>
        <v/>
      </c>
      <c r="P1969" s="105" t="str">
        <f>IF(F1969="Yes", IFERROR(VLOOKUP(D1969, Repository!A:F, 6, 0), ""), "")</f>
        <v/>
      </c>
      <c r="Q1969" s="105" t="str">
        <f>IF(F1969="Yes", IFERROR(VLOOKUP(D1969, Repository!A:I, 8, 0), ""), "")</f>
        <v/>
      </c>
      <c r="R1969" s="105" t="str">
        <f>IF(F1969="Yes", IFERROR(VLOOKUP(D1969, Repository!A:J, 9, 0), ""), "")</f>
        <v/>
      </c>
      <c r="S1969" s="105"/>
      <c r="T1969" s="105"/>
      <c r="U1969" s="105"/>
      <c r="V1969" s="105"/>
      <c r="W1969" s="105"/>
      <c r="X1969" s="105"/>
      <c r="Y1969" s="105"/>
      <c r="Z1969" s="105"/>
      <c r="AA1969" s="105"/>
      <c r="AB1969" s="105"/>
      <c r="AC1969" s="91"/>
      <c r="AD1969" s="105"/>
      <c r="AE1969" s="105"/>
      <c r="AF1969" s="91"/>
      <c r="AG1969" s="105"/>
      <c r="AH1969" s="105"/>
      <c r="AI1969" s="105" t="str">
        <f t="shared" si="1"/>
        <v/>
      </c>
      <c r="AJ1969" s="108" t="str">
        <f t="shared" si="2"/>
        <v/>
      </c>
    </row>
    <row r="1970" ht="15.75" customHeight="1">
      <c r="A1970" s="104"/>
      <c r="B1970" s="105" t="str">
        <f>IFERROR(__xludf.DUMMYFUNCTION("ARRAY_CONSTRAIN(
  ARRAYFORMULA(
    IF(
      'Final Report'!A1970="""",
      """",
      TEXTJOIN(
        "", "" &amp; CHAR(10),
        TRUE,
        IFERROR(
          VLOOKUP(
            TRIM(
              SPLIT('Final Report'!A1970, "","")
         "&amp;"   ),
            'URL Details'!A:B,
            2,
            FALSE
          ),
          """"
        )
      )
    )
  ),
  1,
  1
)
"),"")</f>
        <v/>
      </c>
      <c r="C1970" s="105" t="str">
        <f>IFERROR(__xludf.DUMMYFUNCTION("IFERROR(IF('Final Report'!A1970="""","""", TEXTJOIN(CHAR(10), TRUE, ARRAYFORMULA( ""• ""&amp; FILTER( TRIM(FLATTEN(SPLIT( REGEXREPLACE( SUBSTITUTE(TEXTJOIN("","", TRUE, IFERROR(ARRAYFORMULA(VLOOKUP(TRIM(SPLIT('Final Report'!A1970, "","")), 'URL Details'!A:D, "&amp;"4, FALSE)),"""") ), CHAR(10), "",""), ""\s*,\s*"", "",""), "",""))), TRIM(FLATTEN(SPLIT( REGEXREPLACE( SUBSTITUTE(TEXTJOIN("","", TRUE, IFERROR(ARRAYFORMULA(VLOOKUP(TRIM(SPLIT('Final Report'!A1970, "","")), 'URL Details'!A:D, 4, FALSE)),"""") ), CHAR(10),"&amp;" "",""), ""\s*,\s*"", "",""), "","")))&lt;&gt;"""" ) ) ) ),"""")
"),"")</f>
        <v/>
      </c>
      <c r="D1970" s="105"/>
      <c r="E1970" s="105"/>
      <c r="F1970" s="110" t="b">
        <v>0</v>
      </c>
      <c r="G1970" s="105" t="str">
        <f>IF(F1970=True, IFERROR(VLOOKUP(D1970, Repository!A:B, 2, 0), ""), "")</f>
        <v/>
      </c>
      <c r="H1970" s="105"/>
      <c r="I1970" s="105"/>
      <c r="J1970" s="105" t="str">
        <f>IF(F1970=True, IFERROR(VLOOKUP(D1970, Repository!A:C, 3, 0), ""), "")</f>
        <v/>
      </c>
      <c r="K1970" s="105"/>
      <c r="L1970" s="105" t="str">
        <f>IF(F1970=True, IFERROR(VLOOKUP(D1970, Repository!A:E, 5, 0), ""), "")</f>
        <v/>
      </c>
      <c r="M1970" s="105"/>
      <c r="N1970" s="105" t="str">
        <f>IF(F1970=True, IFERROR(VLOOKUP(D1970, Repository!A:G, 7, 0), ""), "")</f>
        <v/>
      </c>
      <c r="O1970" s="105" t="str">
        <f>IFERROR(__xludf.DUMMYFUNCTION("ARRAY_CONSTRAIN(
  ARRAYFORMULA(
    IFERROR(
      LET(
        list, N1970,
        arr, TRIM(SPLIT(list, "","")),
        names, XLOOKUP(
          arr,
          'Conformance Score'!A:A,
          'Conformance Score'!B:B,
          ""Not found""
     "&amp;"   ),
        TEXTJOIN("", "", TRUE, names)
      ),
      """"
    )
  ),
  1,
  1
)
"),"")</f>
        <v/>
      </c>
      <c r="P1970" s="105" t="str">
        <f>IF(F1970="Yes", IFERROR(VLOOKUP(D1970, Repository!A:F, 6, 0), ""), "")</f>
        <v/>
      </c>
      <c r="Q1970" s="105" t="str">
        <f>IF(F1970="Yes", IFERROR(VLOOKUP(D1970, Repository!A:I, 8, 0), ""), "")</f>
        <v/>
      </c>
      <c r="R1970" s="105" t="str">
        <f>IF(F1970="Yes", IFERROR(VLOOKUP(D1970, Repository!A:J, 9, 0), ""), "")</f>
        <v/>
      </c>
      <c r="S1970" s="105"/>
      <c r="T1970" s="105"/>
      <c r="U1970" s="105"/>
      <c r="V1970" s="105"/>
      <c r="W1970" s="105"/>
      <c r="X1970" s="105"/>
      <c r="Y1970" s="105"/>
      <c r="Z1970" s="105"/>
      <c r="AA1970" s="105"/>
      <c r="AB1970" s="105"/>
      <c r="AC1970" s="91"/>
      <c r="AD1970" s="105"/>
      <c r="AE1970" s="105"/>
      <c r="AF1970" s="91"/>
      <c r="AG1970" s="105"/>
      <c r="AH1970" s="105"/>
      <c r="AI1970" s="105" t="str">
        <f t="shared" si="1"/>
        <v/>
      </c>
      <c r="AJ1970" s="108" t="str">
        <f t="shared" si="2"/>
        <v/>
      </c>
    </row>
    <row r="1971" ht="15.75" customHeight="1">
      <c r="A1971" s="104"/>
      <c r="B1971" s="105" t="str">
        <f>IFERROR(__xludf.DUMMYFUNCTION("ARRAY_CONSTRAIN(
  ARRAYFORMULA(
    IF(
      'Final Report'!A1971="""",
      """",
      TEXTJOIN(
        "", "" &amp; CHAR(10),
        TRUE,
        IFERROR(
          VLOOKUP(
            TRIM(
              SPLIT('Final Report'!A1971, "","")
         "&amp;"   ),
            'URL Details'!A:B,
            2,
            FALSE
          ),
          """"
        )
      )
    )
  ),
  1,
  1
)
"),"")</f>
        <v/>
      </c>
      <c r="C1971" s="105" t="str">
        <f>IFERROR(__xludf.DUMMYFUNCTION("IFERROR(IF('Final Report'!A1971="""","""", TEXTJOIN(CHAR(10), TRUE, ARRAYFORMULA( ""• ""&amp; FILTER( TRIM(FLATTEN(SPLIT( REGEXREPLACE( SUBSTITUTE(TEXTJOIN("","", TRUE, IFERROR(ARRAYFORMULA(VLOOKUP(TRIM(SPLIT('Final Report'!A1971, "","")), 'URL Details'!A:D, "&amp;"4, FALSE)),"""") ), CHAR(10), "",""), ""\s*,\s*"", "",""), "",""))), TRIM(FLATTEN(SPLIT( REGEXREPLACE( SUBSTITUTE(TEXTJOIN("","", TRUE, IFERROR(ARRAYFORMULA(VLOOKUP(TRIM(SPLIT('Final Report'!A1971, "","")), 'URL Details'!A:D, 4, FALSE)),"""") ), CHAR(10),"&amp;" "",""), ""\s*,\s*"", "",""), "","")))&lt;&gt;"""" ) ) ) ),"""")
"),"")</f>
        <v/>
      </c>
      <c r="D1971" s="105"/>
      <c r="E1971" s="105"/>
      <c r="F1971" s="110" t="b">
        <v>0</v>
      </c>
      <c r="G1971" s="105" t="str">
        <f>IF(F1971=True, IFERROR(VLOOKUP(D1971, Repository!A:B, 2, 0), ""), "")</f>
        <v/>
      </c>
      <c r="H1971" s="105"/>
      <c r="I1971" s="105"/>
      <c r="J1971" s="105" t="str">
        <f>IF(F1971=True, IFERROR(VLOOKUP(D1971, Repository!A:C, 3, 0), ""), "")</f>
        <v/>
      </c>
      <c r="K1971" s="105"/>
      <c r="L1971" s="105" t="str">
        <f>IF(F1971=True, IFERROR(VLOOKUP(D1971, Repository!A:E, 5, 0), ""), "")</f>
        <v/>
      </c>
      <c r="M1971" s="105"/>
      <c r="N1971" s="105" t="str">
        <f>IF(F1971=True, IFERROR(VLOOKUP(D1971, Repository!A:G, 7, 0), ""), "")</f>
        <v/>
      </c>
      <c r="O1971" s="105" t="str">
        <f>IFERROR(__xludf.DUMMYFUNCTION("ARRAY_CONSTRAIN(
  ARRAYFORMULA(
    IFERROR(
      LET(
        list, N1971,
        arr, TRIM(SPLIT(list, "","")),
        names, XLOOKUP(
          arr,
          'Conformance Score'!A:A,
          'Conformance Score'!B:B,
          ""Not found""
     "&amp;"   ),
        TEXTJOIN("", "", TRUE, names)
      ),
      """"
    )
  ),
  1,
  1
)
"),"")</f>
        <v/>
      </c>
      <c r="P1971" s="105" t="str">
        <f>IF(F1971="Yes", IFERROR(VLOOKUP(D1971, Repository!A:F, 6, 0), ""), "")</f>
        <v/>
      </c>
      <c r="Q1971" s="105" t="str">
        <f>IF(F1971="Yes", IFERROR(VLOOKUP(D1971, Repository!A:I, 8, 0), ""), "")</f>
        <v/>
      </c>
      <c r="R1971" s="105" t="str">
        <f>IF(F1971="Yes", IFERROR(VLOOKUP(D1971, Repository!A:J, 9, 0), ""), "")</f>
        <v/>
      </c>
      <c r="S1971" s="105"/>
      <c r="T1971" s="105"/>
      <c r="U1971" s="105"/>
      <c r="V1971" s="105"/>
      <c r="W1971" s="105"/>
      <c r="X1971" s="105"/>
      <c r="Y1971" s="105"/>
      <c r="Z1971" s="105"/>
      <c r="AA1971" s="105"/>
      <c r="AB1971" s="105"/>
      <c r="AC1971" s="91"/>
      <c r="AD1971" s="105"/>
      <c r="AE1971" s="105"/>
      <c r="AF1971" s="91"/>
      <c r="AG1971" s="105"/>
      <c r="AH1971" s="105"/>
      <c r="AI1971" s="105" t="str">
        <f t="shared" si="1"/>
        <v/>
      </c>
      <c r="AJ1971" s="108" t="str">
        <f t="shared" si="2"/>
        <v/>
      </c>
    </row>
    <row r="1972" ht="15.75" customHeight="1">
      <c r="A1972" s="104"/>
      <c r="B1972" s="105" t="str">
        <f>IFERROR(__xludf.DUMMYFUNCTION("ARRAY_CONSTRAIN(
  ARRAYFORMULA(
    IF(
      'Final Report'!A1972="""",
      """",
      TEXTJOIN(
        "", "" &amp; CHAR(10),
        TRUE,
        IFERROR(
          VLOOKUP(
            TRIM(
              SPLIT('Final Report'!A1972, "","")
         "&amp;"   ),
            'URL Details'!A:B,
            2,
            FALSE
          ),
          """"
        )
      )
    )
  ),
  1,
  1
)
"),"")</f>
        <v/>
      </c>
      <c r="C1972" s="105" t="str">
        <f>IFERROR(__xludf.DUMMYFUNCTION("IFERROR(IF('Final Report'!A1972="""","""", TEXTJOIN(CHAR(10), TRUE, ARRAYFORMULA( ""• ""&amp; FILTER( TRIM(FLATTEN(SPLIT( REGEXREPLACE( SUBSTITUTE(TEXTJOIN("","", TRUE, IFERROR(ARRAYFORMULA(VLOOKUP(TRIM(SPLIT('Final Report'!A1972, "","")), 'URL Details'!A:D, "&amp;"4, FALSE)),"""") ), CHAR(10), "",""), ""\s*,\s*"", "",""), "",""))), TRIM(FLATTEN(SPLIT( REGEXREPLACE( SUBSTITUTE(TEXTJOIN("","", TRUE, IFERROR(ARRAYFORMULA(VLOOKUP(TRIM(SPLIT('Final Report'!A1972, "","")), 'URL Details'!A:D, 4, FALSE)),"""") ), CHAR(10),"&amp;" "",""), ""\s*,\s*"", "",""), "","")))&lt;&gt;"""" ) ) ) ),"""")
"),"")</f>
        <v/>
      </c>
      <c r="D1972" s="105"/>
      <c r="E1972" s="105"/>
      <c r="F1972" s="110" t="b">
        <v>0</v>
      </c>
      <c r="G1972" s="105" t="str">
        <f>IF(F1972=True, IFERROR(VLOOKUP(D1972, Repository!A:B, 2, 0), ""), "")</f>
        <v/>
      </c>
      <c r="H1972" s="105"/>
      <c r="I1972" s="105"/>
      <c r="J1972" s="105" t="str">
        <f>IF(F1972=True, IFERROR(VLOOKUP(D1972, Repository!A:C, 3, 0), ""), "")</f>
        <v/>
      </c>
      <c r="K1972" s="105"/>
      <c r="L1972" s="105" t="str">
        <f>IF(F1972=True, IFERROR(VLOOKUP(D1972, Repository!A:E, 5, 0), ""), "")</f>
        <v/>
      </c>
      <c r="M1972" s="105"/>
      <c r="N1972" s="105" t="str">
        <f>IF(F1972=True, IFERROR(VLOOKUP(D1972, Repository!A:G, 7, 0), ""), "")</f>
        <v/>
      </c>
      <c r="O1972" s="105" t="str">
        <f>IFERROR(__xludf.DUMMYFUNCTION("ARRAY_CONSTRAIN(
  ARRAYFORMULA(
    IFERROR(
      LET(
        list, N1972,
        arr, TRIM(SPLIT(list, "","")),
        names, XLOOKUP(
          arr,
          'Conformance Score'!A:A,
          'Conformance Score'!B:B,
          ""Not found""
     "&amp;"   ),
        TEXTJOIN("", "", TRUE, names)
      ),
      """"
    )
  ),
  1,
  1
)
"),"")</f>
        <v/>
      </c>
      <c r="P1972" s="105" t="str">
        <f>IF(F1972="Yes", IFERROR(VLOOKUP(D1972, Repository!A:F, 6, 0), ""), "")</f>
        <v/>
      </c>
      <c r="Q1972" s="105" t="str">
        <f>IF(F1972="Yes", IFERROR(VLOOKUP(D1972, Repository!A:I, 8, 0), ""), "")</f>
        <v/>
      </c>
      <c r="R1972" s="105" t="str">
        <f>IF(F1972="Yes", IFERROR(VLOOKUP(D1972, Repository!A:J, 9, 0), ""), "")</f>
        <v/>
      </c>
      <c r="S1972" s="105"/>
      <c r="T1972" s="105"/>
      <c r="U1972" s="105"/>
      <c r="V1972" s="105"/>
      <c r="W1972" s="105"/>
      <c r="X1972" s="105"/>
      <c r="Y1972" s="105"/>
      <c r="Z1972" s="105"/>
      <c r="AA1972" s="105"/>
      <c r="AB1972" s="105"/>
      <c r="AC1972" s="91"/>
      <c r="AD1972" s="105"/>
      <c r="AE1972" s="105"/>
      <c r="AF1972" s="91"/>
      <c r="AG1972" s="105"/>
      <c r="AH1972" s="105"/>
      <c r="AI1972" s="105" t="str">
        <f t="shared" si="1"/>
        <v/>
      </c>
      <c r="AJ1972" s="108" t="str">
        <f t="shared" si="2"/>
        <v/>
      </c>
    </row>
    <row r="1973" ht="15.75" customHeight="1">
      <c r="A1973" s="104"/>
      <c r="B1973" s="105" t="str">
        <f>IFERROR(__xludf.DUMMYFUNCTION("ARRAY_CONSTRAIN(
  ARRAYFORMULA(
    IF(
      'Final Report'!A1973="""",
      """",
      TEXTJOIN(
        "", "" &amp; CHAR(10),
        TRUE,
        IFERROR(
          VLOOKUP(
            TRIM(
              SPLIT('Final Report'!A1973, "","")
         "&amp;"   ),
            'URL Details'!A:B,
            2,
            FALSE
          ),
          """"
        )
      )
    )
  ),
  1,
  1
)
"),"")</f>
        <v/>
      </c>
      <c r="C1973" s="105" t="str">
        <f>IFERROR(__xludf.DUMMYFUNCTION("IFERROR(IF('Final Report'!A1973="""","""", TEXTJOIN(CHAR(10), TRUE, ARRAYFORMULA( ""• ""&amp; FILTER( TRIM(FLATTEN(SPLIT( REGEXREPLACE( SUBSTITUTE(TEXTJOIN("","", TRUE, IFERROR(ARRAYFORMULA(VLOOKUP(TRIM(SPLIT('Final Report'!A1973, "","")), 'URL Details'!A:D, "&amp;"4, FALSE)),"""") ), CHAR(10), "",""), ""\s*,\s*"", "",""), "",""))), TRIM(FLATTEN(SPLIT( REGEXREPLACE( SUBSTITUTE(TEXTJOIN("","", TRUE, IFERROR(ARRAYFORMULA(VLOOKUP(TRIM(SPLIT('Final Report'!A1973, "","")), 'URL Details'!A:D, 4, FALSE)),"""") ), CHAR(10),"&amp;" "",""), ""\s*,\s*"", "",""), "","")))&lt;&gt;"""" ) ) ) ),"""")
"),"")</f>
        <v/>
      </c>
      <c r="D1973" s="105"/>
      <c r="E1973" s="105"/>
      <c r="F1973" s="110" t="b">
        <v>0</v>
      </c>
      <c r="G1973" s="105" t="str">
        <f>IF(F1973=True, IFERROR(VLOOKUP(D1973, Repository!A:B, 2, 0), ""), "")</f>
        <v/>
      </c>
      <c r="H1973" s="105"/>
      <c r="I1973" s="105"/>
      <c r="J1973" s="105" t="str">
        <f>IF(F1973=True, IFERROR(VLOOKUP(D1973, Repository!A:C, 3, 0), ""), "")</f>
        <v/>
      </c>
      <c r="K1973" s="105"/>
      <c r="L1973" s="105" t="str">
        <f>IF(F1973=True, IFERROR(VLOOKUP(D1973, Repository!A:E, 5, 0), ""), "")</f>
        <v/>
      </c>
      <c r="M1973" s="105"/>
      <c r="N1973" s="105" t="str">
        <f>IF(F1973=True, IFERROR(VLOOKUP(D1973, Repository!A:G, 7, 0), ""), "")</f>
        <v/>
      </c>
      <c r="O1973" s="105" t="str">
        <f>IFERROR(__xludf.DUMMYFUNCTION("ARRAY_CONSTRAIN(
  ARRAYFORMULA(
    IFERROR(
      LET(
        list, N1973,
        arr, TRIM(SPLIT(list, "","")),
        names, XLOOKUP(
          arr,
          'Conformance Score'!A:A,
          'Conformance Score'!B:B,
          ""Not found""
     "&amp;"   ),
        TEXTJOIN("", "", TRUE, names)
      ),
      """"
    )
  ),
  1,
  1
)
"),"")</f>
        <v/>
      </c>
      <c r="P1973" s="105" t="str">
        <f>IF(F1973="Yes", IFERROR(VLOOKUP(D1973, Repository!A:F, 6, 0), ""), "")</f>
        <v/>
      </c>
      <c r="Q1973" s="105" t="str">
        <f>IF(F1973="Yes", IFERROR(VLOOKUP(D1973, Repository!A:I, 8, 0), ""), "")</f>
        <v/>
      </c>
      <c r="R1973" s="105" t="str">
        <f>IF(F1973="Yes", IFERROR(VLOOKUP(D1973, Repository!A:J, 9, 0), ""), "")</f>
        <v/>
      </c>
      <c r="S1973" s="105"/>
      <c r="T1973" s="105"/>
      <c r="U1973" s="105"/>
      <c r="V1973" s="105"/>
      <c r="W1973" s="105"/>
      <c r="X1973" s="105"/>
      <c r="Y1973" s="105"/>
      <c r="Z1973" s="105"/>
      <c r="AA1973" s="105"/>
      <c r="AB1973" s="105"/>
      <c r="AC1973" s="91"/>
      <c r="AD1973" s="105"/>
      <c r="AE1973" s="105"/>
      <c r="AF1973" s="91"/>
      <c r="AG1973" s="105"/>
      <c r="AH1973" s="105"/>
      <c r="AI1973" s="105" t="str">
        <f t="shared" si="1"/>
        <v/>
      </c>
      <c r="AJ1973" s="108" t="str">
        <f t="shared" si="2"/>
        <v/>
      </c>
    </row>
    <row r="1974" ht="15.75" customHeight="1">
      <c r="A1974" s="104"/>
      <c r="B1974" s="105" t="str">
        <f>IFERROR(__xludf.DUMMYFUNCTION("ARRAY_CONSTRAIN(
  ARRAYFORMULA(
    IF(
      'Final Report'!A1974="""",
      """",
      TEXTJOIN(
        "", "" &amp; CHAR(10),
        TRUE,
        IFERROR(
          VLOOKUP(
            TRIM(
              SPLIT('Final Report'!A1974, "","")
         "&amp;"   ),
            'URL Details'!A:B,
            2,
            FALSE
          ),
          """"
        )
      )
    )
  ),
  1,
  1
)
"),"")</f>
        <v/>
      </c>
      <c r="C1974" s="105" t="str">
        <f>IFERROR(__xludf.DUMMYFUNCTION("IFERROR(IF('Final Report'!A1974="""","""", TEXTJOIN(CHAR(10), TRUE, ARRAYFORMULA( ""• ""&amp; FILTER( TRIM(FLATTEN(SPLIT( REGEXREPLACE( SUBSTITUTE(TEXTJOIN("","", TRUE, IFERROR(ARRAYFORMULA(VLOOKUP(TRIM(SPLIT('Final Report'!A1974, "","")), 'URL Details'!A:D, "&amp;"4, FALSE)),"""") ), CHAR(10), "",""), ""\s*,\s*"", "",""), "",""))), TRIM(FLATTEN(SPLIT( REGEXREPLACE( SUBSTITUTE(TEXTJOIN("","", TRUE, IFERROR(ARRAYFORMULA(VLOOKUP(TRIM(SPLIT('Final Report'!A1974, "","")), 'URL Details'!A:D, 4, FALSE)),"""") ), CHAR(10),"&amp;" "",""), ""\s*,\s*"", "",""), "","")))&lt;&gt;"""" ) ) ) ),"""")
"),"")</f>
        <v/>
      </c>
      <c r="D1974" s="105"/>
      <c r="E1974" s="105"/>
      <c r="F1974" s="110" t="b">
        <v>0</v>
      </c>
      <c r="G1974" s="105" t="str">
        <f>IF(F1974=True, IFERROR(VLOOKUP(D1974, Repository!A:B, 2, 0), ""), "")</f>
        <v/>
      </c>
      <c r="H1974" s="105"/>
      <c r="I1974" s="105"/>
      <c r="J1974" s="105" t="str">
        <f>IF(F1974=True, IFERROR(VLOOKUP(D1974, Repository!A:C, 3, 0), ""), "")</f>
        <v/>
      </c>
      <c r="K1974" s="105"/>
      <c r="L1974" s="105" t="str">
        <f>IF(F1974=True, IFERROR(VLOOKUP(D1974, Repository!A:E, 5, 0), ""), "")</f>
        <v/>
      </c>
      <c r="M1974" s="105"/>
      <c r="N1974" s="105" t="str">
        <f>IF(F1974=True, IFERROR(VLOOKUP(D1974, Repository!A:G, 7, 0), ""), "")</f>
        <v/>
      </c>
      <c r="O1974" s="105" t="str">
        <f>IFERROR(__xludf.DUMMYFUNCTION("ARRAY_CONSTRAIN(
  ARRAYFORMULA(
    IFERROR(
      LET(
        list, N1974,
        arr, TRIM(SPLIT(list, "","")),
        names, XLOOKUP(
          arr,
          'Conformance Score'!A:A,
          'Conformance Score'!B:B,
          ""Not found""
     "&amp;"   ),
        TEXTJOIN("", "", TRUE, names)
      ),
      """"
    )
  ),
  1,
  1
)
"),"")</f>
        <v/>
      </c>
      <c r="P1974" s="105" t="str">
        <f>IF(F1974="Yes", IFERROR(VLOOKUP(D1974, Repository!A:F, 6, 0), ""), "")</f>
        <v/>
      </c>
      <c r="Q1974" s="105" t="str">
        <f>IF(F1974="Yes", IFERROR(VLOOKUP(D1974, Repository!A:I, 8, 0), ""), "")</f>
        <v/>
      </c>
      <c r="R1974" s="105" t="str">
        <f>IF(F1974="Yes", IFERROR(VLOOKUP(D1974, Repository!A:J, 9, 0), ""), "")</f>
        <v/>
      </c>
      <c r="S1974" s="105"/>
      <c r="T1974" s="105"/>
      <c r="U1974" s="105"/>
      <c r="V1974" s="105"/>
      <c r="W1974" s="105"/>
      <c r="X1974" s="105"/>
      <c r="Y1974" s="105"/>
      <c r="Z1974" s="105"/>
      <c r="AA1974" s="105"/>
      <c r="AB1974" s="105"/>
      <c r="AC1974" s="91"/>
      <c r="AD1974" s="105"/>
      <c r="AE1974" s="105"/>
      <c r="AF1974" s="91"/>
      <c r="AG1974" s="105"/>
      <c r="AH1974" s="105"/>
      <c r="AI1974" s="105" t="str">
        <f t="shared" si="1"/>
        <v/>
      </c>
      <c r="AJ1974" s="108" t="str">
        <f t="shared" si="2"/>
        <v/>
      </c>
    </row>
    <row r="1975" ht="15.75" customHeight="1">
      <c r="A1975" s="104"/>
      <c r="B1975" s="105" t="str">
        <f>IFERROR(__xludf.DUMMYFUNCTION("ARRAY_CONSTRAIN(
  ARRAYFORMULA(
    IF(
      'Final Report'!A1975="""",
      """",
      TEXTJOIN(
        "", "" &amp; CHAR(10),
        TRUE,
        IFERROR(
          VLOOKUP(
            TRIM(
              SPLIT('Final Report'!A1975, "","")
         "&amp;"   ),
            'URL Details'!A:B,
            2,
            FALSE
          ),
          """"
        )
      )
    )
  ),
  1,
  1
)
"),"")</f>
        <v/>
      </c>
      <c r="C1975" s="105" t="str">
        <f>IFERROR(__xludf.DUMMYFUNCTION("IFERROR(IF('Final Report'!A1975="""","""", TEXTJOIN(CHAR(10), TRUE, ARRAYFORMULA( ""• ""&amp; FILTER( TRIM(FLATTEN(SPLIT( REGEXREPLACE( SUBSTITUTE(TEXTJOIN("","", TRUE, IFERROR(ARRAYFORMULA(VLOOKUP(TRIM(SPLIT('Final Report'!A1975, "","")), 'URL Details'!A:D, "&amp;"4, FALSE)),"""") ), CHAR(10), "",""), ""\s*,\s*"", "",""), "",""))), TRIM(FLATTEN(SPLIT( REGEXREPLACE( SUBSTITUTE(TEXTJOIN("","", TRUE, IFERROR(ARRAYFORMULA(VLOOKUP(TRIM(SPLIT('Final Report'!A1975, "","")), 'URL Details'!A:D, 4, FALSE)),"""") ), CHAR(10),"&amp;" "",""), ""\s*,\s*"", "",""), "","")))&lt;&gt;"""" ) ) ) ),"""")
"),"")</f>
        <v/>
      </c>
      <c r="D1975" s="105"/>
      <c r="E1975" s="105"/>
      <c r="F1975" s="110" t="b">
        <v>0</v>
      </c>
      <c r="G1975" s="105" t="str">
        <f>IF(F1975=True, IFERROR(VLOOKUP(D1975, Repository!A:B, 2, 0), ""), "")</f>
        <v/>
      </c>
      <c r="H1975" s="105"/>
      <c r="I1975" s="105"/>
      <c r="J1975" s="105" t="str">
        <f>IF(F1975=True, IFERROR(VLOOKUP(D1975, Repository!A:C, 3, 0), ""), "")</f>
        <v/>
      </c>
      <c r="K1975" s="105"/>
      <c r="L1975" s="105" t="str">
        <f>IF(F1975=True, IFERROR(VLOOKUP(D1975, Repository!A:E, 5, 0), ""), "")</f>
        <v/>
      </c>
      <c r="M1975" s="105"/>
      <c r="N1975" s="105" t="str">
        <f>IF(F1975=True, IFERROR(VLOOKUP(D1975, Repository!A:G, 7, 0), ""), "")</f>
        <v/>
      </c>
      <c r="O1975" s="105" t="str">
        <f>IFERROR(__xludf.DUMMYFUNCTION("ARRAY_CONSTRAIN(
  ARRAYFORMULA(
    IFERROR(
      LET(
        list, N1975,
        arr, TRIM(SPLIT(list, "","")),
        names, XLOOKUP(
          arr,
          'Conformance Score'!A:A,
          'Conformance Score'!B:B,
          ""Not found""
     "&amp;"   ),
        TEXTJOIN("", "", TRUE, names)
      ),
      """"
    )
  ),
  1,
  1
)
"),"")</f>
        <v/>
      </c>
      <c r="P1975" s="105" t="str">
        <f>IF(F1975="Yes", IFERROR(VLOOKUP(D1975, Repository!A:F, 6, 0), ""), "")</f>
        <v/>
      </c>
      <c r="Q1975" s="105" t="str">
        <f>IF(F1975="Yes", IFERROR(VLOOKUP(D1975, Repository!A:I, 8, 0), ""), "")</f>
        <v/>
      </c>
      <c r="R1975" s="105" t="str">
        <f>IF(F1975="Yes", IFERROR(VLOOKUP(D1975, Repository!A:J, 9, 0), ""), "")</f>
        <v/>
      </c>
      <c r="S1975" s="105"/>
      <c r="T1975" s="105"/>
      <c r="U1975" s="105"/>
      <c r="V1975" s="105"/>
      <c r="W1975" s="105"/>
      <c r="X1975" s="105"/>
      <c r="Y1975" s="105"/>
      <c r="Z1975" s="105"/>
      <c r="AA1975" s="105"/>
      <c r="AB1975" s="105"/>
      <c r="AC1975" s="91"/>
      <c r="AD1975" s="105"/>
      <c r="AE1975" s="105"/>
      <c r="AF1975" s="91"/>
      <c r="AG1975" s="105"/>
      <c r="AH1975" s="105"/>
      <c r="AI1975" s="105" t="str">
        <f t="shared" si="1"/>
        <v/>
      </c>
      <c r="AJ1975" s="108" t="str">
        <f t="shared" si="2"/>
        <v/>
      </c>
    </row>
    <row r="1976" ht="15.75" customHeight="1">
      <c r="A1976" s="104"/>
      <c r="B1976" s="105" t="str">
        <f>IFERROR(__xludf.DUMMYFUNCTION("ARRAY_CONSTRAIN(
  ARRAYFORMULA(
    IF(
      'Final Report'!A1976="""",
      """",
      TEXTJOIN(
        "", "" &amp; CHAR(10),
        TRUE,
        IFERROR(
          VLOOKUP(
            TRIM(
              SPLIT('Final Report'!A1976, "","")
         "&amp;"   ),
            'URL Details'!A:B,
            2,
            FALSE
          ),
          """"
        )
      )
    )
  ),
  1,
  1
)
"),"")</f>
        <v/>
      </c>
      <c r="C1976" s="105" t="str">
        <f>IFERROR(__xludf.DUMMYFUNCTION("IFERROR(IF('Final Report'!A1976="""","""", TEXTJOIN(CHAR(10), TRUE, ARRAYFORMULA( ""• ""&amp; FILTER( TRIM(FLATTEN(SPLIT( REGEXREPLACE( SUBSTITUTE(TEXTJOIN("","", TRUE, IFERROR(ARRAYFORMULA(VLOOKUP(TRIM(SPLIT('Final Report'!A1976, "","")), 'URL Details'!A:D, "&amp;"4, FALSE)),"""") ), CHAR(10), "",""), ""\s*,\s*"", "",""), "",""))), TRIM(FLATTEN(SPLIT( REGEXREPLACE( SUBSTITUTE(TEXTJOIN("","", TRUE, IFERROR(ARRAYFORMULA(VLOOKUP(TRIM(SPLIT('Final Report'!A1976, "","")), 'URL Details'!A:D, 4, FALSE)),"""") ), CHAR(10),"&amp;" "",""), ""\s*,\s*"", "",""), "","")))&lt;&gt;"""" ) ) ) ),"""")
"),"")</f>
        <v/>
      </c>
      <c r="D1976" s="105"/>
      <c r="E1976" s="105"/>
      <c r="F1976" s="110" t="b">
        <v>0</v>
      </c>
      <c r="G1976" s="105" t="str">
        <f>IF(F1976=True, IFERROR(VLOOKUP(D1976, Repository!A:B, 2, 0), ""), "")</f>
        <v/>
      </c>
      <c r="H1976" s="105"/>
      <c r="I1976" s="105"/>
      <c r="J1976" s="105" t="str">
        <f>IF(F1976=True, IFERROR(VLOOKUP(D1976, Repository!A:C, 3, 0), ""), "")</f>
        <v/>
      </c>
      <c r="K1976" s="105"/>
      <c r="L1976" s="105" t="str">
        <f>IF(F1976=True, IFERROR(VLOOKUP(D1976, Repository!A:E, 5, 0), ""), "")</f>
        <v/>
      </c>
      <c r="M1976" s="105"/>
      <c r="N1976" s="105" t="str">
        <f>IF(F1976=True, IFERROR(VLOOKUP(D1976, Repository!A:G, 7, 0), ""), "")</f>
        <v/>
      </c>
      <c r="O1976" s="105" t="str">
        <f>IFERROR(__xludf.DUMMYFUNCTION("ARRAY_CONSTRAIN(
  ARRAYFORMULA(
    IFERROR(
      LET(
        list, N1976,
        arr, TRIM(SPLIT(list, "","")),
        names, XLOOKUP(
          arr,
          'Conformance Score'!A:A,
          'Conformance Score'!B:B,
          ""Not found""
     "&amp;"   ),
        TEXTJOIN("", "", TRUE, names)
      ),
      """"
    )
  ),
  1,
  1
)
"),"")</f>
        <v/>
      </c>
      <c r="P1976" s="105" t="str">
        <f>IF(F1976="Yes", IFERROR(VLOOKUP(D1976, Repository!A:F, 6, 0), ""), "")</f>
        <v/>
      </c>
      <c r="Q1976" s="105" t="str">
        <f>IF(F1976="Yes", IFERROR(VLOOKUP(D1976, Repository!A:I, 8, 0), ""), "")</f>
        <v/>
      </c>
      <c r="R1976" s="105" t="str">
        <f>IF(F1976="Yes", IFERROR(VLOOKUP(D1976, Repository!A:J, 9, 0), ""), "")</f>
        <v/>
      </c>
      <c r="S1976" s="105"/>
      <c r="T1976" s="105"/>
      <c r="U1976" s="105"/>
      <c r="V1976" s="105"/>
      <c r="W1976" s="105"/>
      <c r="X1976" s="105"/>
      <c r="Y1976" s="105"/>
      <c r="Z1976" s="105"/>
      <c r="AA1976" s="105"/>
      <c r="AB1976" s="105"/>
      <c r="AC1976" s="91"/>
      <c r="AD1976" s="105"/>
      <c r="AE1976" s="105"/>
      <c r="AF1976" s="91"/>
      <c r="AG1976" s="105"/>
      <c r="AH1976" s="105"/>
      <c r="AI1976" s="105" t="str">
        <f t="shared" si="1"/>
        <v/>
      </c>
      <c r="AJ1976" s="108" t="str">
        <f t="shared" si="2"/>
        <v/>
      </c>
    </row>
    <row r="1977" ht="15.75" customHeight="1">
      <c r="A1977" s="104"/>
      <c r="B1977" s="105" t="str">
        <f>IFERROR(__xludf.DUMMYFUNCTION("ARRAY_CONSTRAIN(
  ARRAYFORMULA(
    IF(
      'Final Report'!A1977="""",
      """",
      TEXTJOIN(
        "", "" &amp; CHAR(10),
        TRUE,
        IFERROR(
          VLOOKUP(
            TRIM(
              SPLIT('Final Report'!A1977, "","")
         "&amp;"   ),
            'URL Details'!A:B,
            2,
            FALSE
          ),
          """"
        )
      )
    )
  ),
  1,
  1
)
"),"")</f>
        <v/>
      </c>
      <c r="C1977" s="105" t="str">
        <f>IFERROR(__xludf.DUMMYFUNCTION("IFERROR(IF('Final Report'!A1977="""","""", TEXTJOIN(CHAR(10), TRUE, ARRAYFORMULA( ""• ""&amp; FILTER( TRIM(FLATTEN(SPLIT( REGEXREPLACE( SUBSTITUTE(TEXTJOIN("","", TRUE, IFERROR(ARRAYFORMULA(VLOOKUP(TRIM(SPLIT('Final Report'!A1977, "","")), 'URL Details'!A:D, "&amp;"4, FALSE)),"""") ), CHAR(10), "",""), ""\s*,\s*"", "",""), "",""))), TRIM(FLATTEN(SPLIT( REGEXREPLACE( SUBSTITUTE(TEXTJOIN("","", TRUE, IFERROR(ARRAYFORMULA(VLOOKUP(TRIM(SPLIT('Final Report'!A1977, "","")), 'URL Details'!A:D, 4, FALSE)),"""") ), CHAR(10),"&amp;" "",""), ""\s*,\s*"", "",""), "","")))&lt;&gt;"""" ) ) ) ),"""")
"),"")</f>
        <v/>
      </c>
      <c r="D1977" s="105"/>
      <c r="E1977" s="105"/>
      <c r="F1977" s="110" t="b">
        <v>0</v>
      </c>
      <c r="G1977" s="105" t="str">
        <f>IF(F1977=True, IFERROR(VLOOKUP(D1977, Repository!A:B, 2, 0), ""), "")</f>
        <v/>
      </c>
      <c r="H1977" s="105"/>
      <c r="I1977" s="105"/>
      <c r="J1977" s="105" t="str">
        <f>IF(F1977=True, IFERROR(VLOOKUP(D1977, Repository!A:C, 3, 0), ""), "")</f>
        <v/>
      </c>
      <c r="K1977" s="105"/>
      <c r="L1977" s="105" t="str">
        <f>IF(F1977=True, IFERROR(VLOOKUP(D1977, Repository!A:E, 5, 0), ""), "")</f>
        <v/>
      </c>
      <c r="M1977" s="105"/>
      <c r="N1977" s="105" t="str">
        <f>IF(F1977=True, IFERROR(VLOOKUP(D1977, Repository!A:G, 7, 0), ""), "")</f>
        <v/>
      </c>
      <c r="O1977" s="105" t="str">
        <f>IFERROR(__xludf.DUMMYFUNCTION("ARRAY_CONSTRAIN(
  ARRAYFORMULA(
    IFERROR(
      LET(
        list, N1977,
        arr, TRIM(SPLIT(list, "","")),
        names, XLOOKUP(
          arr,
          'Conformance Score'!A:A,
          'Conformance Score'!B:B,
          ""Not found""
     "&amp;"   ),
        TEXTJOIN("", "", TRUE, names)
      ),
      """"
    )
  ),
  1,
  1
)
"),"")</f>
        <v/>
      </c>
      <c r="P1977" s="105" t="str">
        <f>IF(F1977="Yes", IFERROR(VLOOKUP(D1977, Repository!A:F, 6, 0), ""), "")</f>
        <v/>
      </c>
      <c r="Q1977" s="105" t="str">
        <f>IF(F1977="Yes", IFERROR(VLOOKUP(D1977, Repository!A:I, 8, 0), ""), "")</f>
        <v/>
      </c>
      <c r="R1977" s="105" t="str">
        <f>IF(F1977="Yes", IFERROR(VLOOKUP(D1977, Repository!A:J, 9, 0), ""), "")</f>
        <v/>
      </c>
      <c r="S1977" s="105"/>
      <c r="T1977" s="105"/>
      <c r="U1977" s="105"/>
      <c r="V1977" s="105"/>
      <c r="W1977" s="105"/>
      <c r="X1977" s="105"/>
      <c r="Y1977" s="105"/>
      <c r="Z1977" s="105"/>
      <c r="AA1977" s="105"/>
      <c r="AB1977" s="105"/>
      <c r="AC1977" s="91"/>
      <c r="AD1977" s="105"/>
      <c r="AE1977" s="105"/>
      <c r="AF1977" s="91"/>
      <c r="AG1977" s="105"/>
      <c r="AH1977" s="105"/>
      <c r="AI1977" s="105" t="str">
        <f t="shared" si="1"/>
        <v/>
      </c>
      <c r="AJ1977" s="108" t="str">
        <f t="shared" si="2"/>
        <v/>
      </c>
    </row>
    <row r="1978" ht="15.75" customHeight="1">
      <c r="A1978" s="104"/>
      <c r="B1978" s="105" t="str">
        <f>IFERROR(__xludf.DUMMYFUNCTION("ARRAY_CONSTRAIN(
  ARRAYFORMULA(
    IF(
      'Final Report'!A1978="""",
      """",
      TEXTJOIN(
        "", "" &amp; CHAR(10),
        TRUE,
        IFERROR(
          VLOOKUP(
            TRIM(
              SPLIT('Final Report'!A1978, "","")
         "&amp;"   ),
            'URL Details'!A:B,
            2,
            FALSE
          ),
          """"
        )
      )
    )
  ),
  1,
  1
)
"),"")</f>
        <v/>
      </c>
      <c r="C1978" s="105" t="str">
        <f>IFERROR(__xludf.DUMMYFUNCTION("IFERROR(IF('Final Report'!A1978="""","""", TEXTJOIN(CHAR(10), TRUE, ARRAYFORMULA( ""• ""&amp; FILTER( TRIM(FLATTEN(SPLIT( REGEXREPLACE( SUBSTITUTE(TEXTJOIN("","", TRUE, IFERROR(ARRAYFORMULA(VLOOKUP(TRIM(SPLIT('Final Report'!A1978, "","")), 'URL Details'!A:D, "&amp;"4, FALSE)),"""") ), CHAR(10), "",""), ""\s*,\s*"", "",""), "",""))), TRIM(FLATTEN(SPLIT( REGEXREPLACE( SUBSTITUTE(TEXTJOIN("","", TRUE, IFERROR(ARRAYFORMULA(VLOOKUP(TRIM(SPLIT('Final Report'!A1978, "","")), 'URL Details'!A:D, 4, FALSE)),"""") ), CHAR(10),"&amp;" "",""), ""\s*,\s*"", "",""), "","")))&lt;&gt;"""" ) ) ) ),"""")
"),"")</f>
        <v/>
      </c>
      <c r="D1978" s="105"/>
      <c r="E1978" s="105"/>
      <c r="F1978" s="110" t="b">
        <v>0</v>
      </c>
      <c r="G1978" s="105" t="str">
        <f>IF(F1978=True, IFERROR(VLOOKUP(D1978, Repository!A:B, 2, 0), ""), "")</f>
        <v/>
      </c>
      <c r="H1978" s="105"/>
      <c r="I1978" s="105"/>
      <c r="J1978" s="105" t="str">
        <f>IF(F1978=True, IFERROR(VLOOKUP(D1978, Repository!A:C, 3, 0), ""), "")</f>
        <v/>
      </c>
      <c r="K1978" s="105"/>
      <c r="L1978" s="105" t="str">
        <f>IF(F1978=True, IFERROR(VLOOKUP(D1978, Repository!A:E, 5, 0), ""), "")</f>
        <v/>
      </c>
      <c r="M1978" s="105"/>
      <c r="N1978" s="105" t="str">
        <f>IF(F1978=True, IFERROR(VLOOKUP(D1978, Repository!A:G, 7, 0), ""), "")</f>
        <v/>
      </c>
      <c r="O1978" s="105" t="str">
        <f>IFERROR(__xludf.DUMMYFUNCTION("ARRAY_CONSTRAIN(
  ARRAYFORMULA(
    IFERROR(
      LET(
        list, N1978,
        arr, TRIM(SPLIT(list, "","")),
        names, XLOOKUP(
          arr,
          'Conformance Score'!A:A,
          'Conformance Score'!B:B,
          ""Not found""
     "&amp;"   ),
        TEXTJOIN("", "", TRUE, names)
      ),
      """"
    )
  ),
  1,
  1
)
"),"")</f>
        <v/>
      </c>
      <c r="P1978" s="105" t="str">
        <f>IF(F1978="Yes", IFERROR(VLOOKUP(D1978, Repository!A:F, 6, 0), ""), "")</f>
        <v/>
      </c>
      <c r="Q1978" s="105" t="str">
        <f>IF(F1978="Yes", IFERROR(VLOOKUP(D1978, Repository!A:I, 8, 0), ""), "")</f>
        <v/>
      </c>
      <c r="R1978" s="105" t="str">
        <f>IF(F1978="Yes", IFERROR(VLOOKUP(D1978, Repository!A:J, 9, 0), ""), "")</f>
        <v/>
      </c>
      <c r="S1978" s="105"/>
      <c r="T1978" s="105"/>
      <c r="U1978" s="105"/>
      <c r="V1978" s="105"/>
      <c r="W1978" s="105"/>
      <c r="X1978" s="105"/>
      <c r="Y1978" s="105"/>
      <c r="Z1978" s="105"/>
      <c r="AA1978" s="105"/>
      <c r="AB1978" s="105"/>
      <c r="AC1978" s="91"/>
      <c r="AD1978" s="105"/>
      <c r="AE1978" s="105"/>
      <c r="AF1978" s="91"/>
      <c r="AG1978" s="105"/>
      <c r="AH1978" s="105"/>
      <c r="AI1978" s="105" t="str">
        <f t="shared" si="1"/>
        <v/>
      </c>
      <c r="AJ1978" s="108" t="str">
        <f t="shared" si="2"/>
        <v/>
      </c>
    </row>
    <row r="1979" ht="15.75" customHeight="1">
      <c r="A1979" s="104"/>
      <c r="B1979" s="105" t="str">
        <f>IFERROR(__xludf.DUMMYFUNCTION("ARRAY_CONSTRAIN(
  ARRAYFORMULA(
    IF(
      'Final Report'!A1979="""",
      """",
      TEXTJOIN(
        "", "" &amp; CHAR(10),
        TRUE,
        IFERROR(
          VLOOKUP(
            TRIM(
              SPLIT('Final Report'!A1979, "","")
         "&amp;"   ),
            'URL Details'!A:B,
            2,
            FALSE
          ),
          """"
        )
      )
    )
  ),
  1,
  1
)
"),"")</f>
        <v/>
      </c>
      <c r="C1979" s="105" t="str">
        <f>IFERROR(__xludf.DUMMYFUNCTION("IFERROR(IF('Final Report'!A1979="""","""", TEXTJOIN(CHAR(10), TRUE, ARRAYFORMULA( ""• ""&amp; FILTER( TRIM(FLATTEN(SPLIT( REGEXREPLACE( SUBSTITUTE(TEXTJOIN("","", TRUE, IFERROR(ARRAYFORMULA(VLOOKUP(TRIM(SPLIT('Final Report'!A1979, "","")), 'URL Details'!A:D, "&amp;"4, FALSE)),"""") ), CHAR(10), "",""), ""\s*,\s*"", "",""), "",""))), TRIM(FLATTEN(SPLIT( REGEXREPLACE( SUBSTITUTE(TEXTJOIN("","", TRUE, IFERROR(ARRAYFORMULA(VLOOKUP(TRIM(SPLIT('Final Report'!A1979, "","")), 'URL Details'!A:D, 4, FALSE)),"""") ), CHAR(10),"&amp;" "",""), ""\s*,\s*"", "",""), "","")))&lt;&gt;"""" ) ) ) ),"""")
"),"")</f>
        <v/>
      </c>
      <c r="D1979" s="105"/>
      <c r="E1979" s="105"/>
      <c r="F1979" s="110" t="b">
        <v>0</v>
      </c>
      <c r="G1979" s="105" t="str">
        <f>IF(F1979=True, IFERROR(VLOOKUP(D1979, Repository!A:B, 2, 0), ""), "")</f>
        <v/>
      </c>
      <c r="H1979" s="105"/>
      <c r="I1979" s="105"/>
      <c r="J1979" s="105" t="str">
        <f>IF(F1979=True, IFERROR(VLOOKUP(D1979, Repository!A:C, 3, 0), ""), "")</f>
        <v/>
      </c>
      <c r="K1979" s="105"/>
      <c r="L1979" s="105" t="str">
        <f>IF(F1979=True, IFERROR(VLOOKUP(D1979, Repository!A:E, 5, 0), ""), "")</f>
        <v/>
      </c>
      <c r="M1979" s="105"/>
      <c r="N1979" s="105" t="str">
        <f>IF(F1979=True, IFERROR(VLOOKUP(D1979, Repository!A:G, 7, 0), ""), "")</f>
        <v/>
      </c>
      <c r="O1979" s="105" t="str">
        <f>IFERROR(__xludf.DUMMYFUNCTION("ARRAY_CONSTRAIN(
  ARRAYFORMULA(
    IFERROR(
      LET(
        list, N1979,
        arr, TRIM(SPLIT(list, "","")),
        names, XLOOKUP(
          arr,
          'Conformance Score'!A:A,
          'Conformance Score'!B:B,
          ""Not found""
     "&amp;"   ),
        TEXTJOIN("", "", TRUE, names)
      ),
      """"
    )
  ),
  1,
  1
)
"),"")</f>
        <v/>
      </c>
      <c r="P1979" s="105" t="str">
        <f>IF(F1979="Yes", IFERROR(VLOOKUP(D1979, Repository!A:F, 6, 0), ""), "")</f>
        <v/>
      </c>
      <c r="Q1979" s="105" t="str">
        <f>IF(F1979="Yes", IFERROR(VLOOKUP(D1979, Repository!A:I, 8, 0), ""), "")</f>
        <v/>
      </c>
      <c r="R1979" s="105" t="str">
        <f>IF(F1979="Yes", IFERROR(VLOOKUP(D1979, Repository!A:J, 9, 0), ""), "")</f>
        <v/>
      </c>
      <c r="S1979" s="105"/>
      <c r="T1979" s="105"/>
      <c r="U1979" s="105"/>
      <c r="V1979" s="105"/>
      <c r="W1979" s="105"/>
      <c r="X1979" s="105"/>
      <c r="Y1979" s="105"/>
      <c r="Z1979" s="105"/>
      <c r="AA1979" s="105"/>
      <c r="AB1979" s="105"/>
      <c r="AC1979" s="91"/>
      <c r="AD1979" s="105"/>
      <c r="AE1979" s="105"/>
      <c r="AF1979" s="91"/>
      <c r="AG1979" s="105"/>
      <c r="AH1979" s="105"/>
      <c r="AI1979" s="105" t="str">
        <f t="shared" si="1"/>
        <v/>
      </c>
      <c r="AJ1979" s="108" t="str">
        <f t="shared" si="2"/>
        <v/>
      </c>
    </row>
    <row r="1980" ht="15.75" customHeight="1">
      <c r="A1980" s="104"/>
      <c r="B1980" s="105" t="str">
        <f>IFERROR(__xludf.DUMMYFUNCTION("ARRAY_CONSTRAIN(
  ARRAYFORMULA(
    IF(
      'Final Report'!A1980="""",
      """",
      TEXTJOIN(
        "", "" &amp; CHAR(10),
        TRUE,
        IFERROR(
          VLOOKUP(
            TRIM(
              SPLIT('Final Report'!A1980, "","")
         "&amp;"   ),
            'URL Details'!A:B,
            2,
            FALSE
          ),
          """"
        )
      )
    )
  ),
  1,
  1
)
"),"")</f>
        <v/>
      </c>
      <c r="C1980" s="105" t="str">
        <f>IFERROR(__xludf.DUMMYFUNCTION("IFERROR(IF('Final Report'!A1980="""","""", TEXTJOIN(CHAR(10), TRUE, ARRAYFORMULA( ""• ""&amp; FILTER( TRIM(FLATTEN(SPLIT( REGEXREPLACE( SUBSTITUTE(TEXTJOIN("","", TRUE, IFERROR(ARRAYFORMULA(VLOOKUP(TRIM(SPLIT('Final Report'!A1980, "","")), 'URL Details'!A:D, "&amp;"4, FALSE)),"""") ), CHAR(10), "",""), ""\s*,\s*"", "",""), "",""))), TRIM(FLATTEN(SPLIT( REGEXREPLACE( SUBSTITUTE(TEXTJOIN("","", TRUE, IFERROR(ARRAYFORMULA(VLOOKUP(TRIM(SPLIT('Final Report'!A1980, "","")), 'URL Details'!A:D, 4, FALSE)),"""") ), CHAR(10),"&amp;" "",""), ""\s*,\s*"", "",""), "","")))&lt;&gt;"""" ) ) ) ),"""")
"),"")</f>
        <v/>
      </c>
      <c r="D1980" s="105"/>
      <c r="E1980" s="105"/>
      <c r="F1980" s="110" t="b">
        <v>0</v>
      </c>
      <c r="G1980" s="105" t="str">
        <f>IF(F1980=True, IFERROR(VLOOKUP(D1980, Repository!A:B, 2, 0), ""), "")</f>
        <v/>
      </c>
      <c r="H1980" s="105"/>
      <c r="I1980" s="105"/>
      <c r="J1980" s="105" t="str">
        <f>IF(F1980=True, IFERROR(VLOOKUP(D1980, Repository!A:C, 3, 0), ""), "")</f>
        <v/>
      </c>
      <c r="K1980" s="105"/>
      <c r="L1980" s="105" t="str">
        <f>IF(F1980=True, IFERROR(VLOOKUP(D1980, Repository!A:E, 5, 0), ""), "")</f>
        <v/>
      </c>
      <c r="M1980" s="105"/>
      <c r="N1980" s="105" t="str">
        <f>IF(F1980=True, IFERROR(VLOOKUP(D1980, Repository!A:G, 7, 0), ""), "")</f>
        <v/>
      </c>
      <c r="O1980" s="105" t="str">
        <f>IFERROR(__xludf.DUMMYFUNCTION("ARRAY_CONSTRAIN(
  ARRAYFORMULA(
    IFERROR(
      LET(
        list, N1980,
        arr, TRIM(SPLIT(list, "","")),
        names, XLOOKUP(
          arr,
          'Conformance Score'!A:A,
          'Conformance Score'!B:B,
          ""Not found""
     "&amp;"   ),
        TEXTJOIN("", "", TRUE, names)
      ),
      """"
    )
  ),
  1,
  1
)
"),"")</f>
        <v/>
      </c>
      <c r="P1980" s="105" t="str">
        <f>IF(F1980="Yes", IFERROR(VLOOKUP(D1980, Repository!A:F, 6, 0), ""), "")</f>
        <v/>
      </c>
      <c r="Q1980" s="105" t="str">
        <f>IF(F1980="Yes", IFERROR(VLOOKUP(D1980, Repository!A:I, 8, 0), ""), "")</f>
        <v/>
      </c>
      <c r="R1980" s="105" t="str">
        <f>IF(F1980="Yes", IFERROR(VLOOKUP(D1980, Repository!A:J, 9, 0), ""), "")</f>
        <v/>
      </c>
      <c r="S1980" s="105"/>
      <c r="T1980" s="105"/>
      <c r="U1980" s="105"/>
      <c r="V1980" s="105"/>
      <c r="W1980" s="105"/>
      <c r="X1980" s="105"/>
      <c r="Y1980" s="105"/>
      <c r="Z1980" s="105"/>
      <c r="AA1980" s="105"/>
      <c r="AB1980" s="105"/>
      <c r="AC1980" s="91"/>
      <c r="AD1980" s="105"/>
      <c r="AE1980" s="105"/>
      <c r="AF1980" s="91"/>
      <c r="AG1980" s="105"/>
      <c r="AH1980" s="105"/>
      <c r="AI1980" s="105" t="str">
        <f t="shared" si="1"/>
        <v/>
      </c>
      <c r="AJ1980" s="108" t="str">
        <f t="shared" si="2"/>
        <v/>
      </c>
    </row>
    <row r="1981" ht="15.75" customHeight="1">
      <c r="A1981" s="104"/>
      <c r="B1981" s="105" t="str">
        <f>IFERROR(__xludf.DUMMYFUNCTION("ARRAY_CONSTRAIN(
  ARRAYFORMULA(
    IF(
      'Final Report'!A1981="""",
      """",
      TEXTJOIN(
        "", "" &amp; CHAR(10),
        TRUE,
        IFERROR(
          VLOOKUP(
            TRIM(
              SPLIT('Final Report'!A1981, "","")
         "&amp;"   ),
            'URL Details'!A:B,
            2,
            FALSE
          ),
          """"
        )
      )
    )
  ),
  1,
  1
)
"),"")</f>
        <v/>
      </c>
      <c r="C1981" s="105" t="str">
        <f>IFERROR(__xludf.DUMMYFUNCTION("IFERROR(IF('Final Report'!A1981="""","""", TEXTJOIN(CHAR(10), TRUE, ARRAYFORMULA( ""• ""&amp; FILTER( TRIM(FLATTEN(SPLIT( REGEXREPLACE( SUBSTITUTE(TEXTJOIN("","", TRUE, IFERROR(ARRAYFORMULA(VLOOKUP(TRIM(SPLIT('Final Report'!A1981, "","")), 'URL Details'!A:D, "&amp;"4, FALSE)),"""") ), CHAR(10), "",""), ""\s*,\s*"", "",""), "",""))), TRIM(FLATTEN(SPLIT( REGEXREPLACE( SUBSTITUTE(TEXTJOIN("","", TRUE, IFERROR(ARRAYFORMULA(VLOOKUP(TRIM(SPLIT('Final Report'!A1981, "","")), 'URL Details'!A:D, 4, FALSE)),"""") ), CHAR(10),"&amp;" "",""), ""\s*,\s*"", "",""), "","")))&lt;&gt;"""" ) ) ) ),"""")
"),"")</f>
        <v/>
      </c>
      <c r="D1981" s="105"/>
      <c r="E1981" s="105"/>
      <c r="F1981" s="110" t="b">
        <v>0</v>
      </c>
      <c r="G1981" s="105" t="str">
        <f>IF(F1981=True, IFERROR(VLOOKUP(D1981, Repository!A:B, 2, 0), ""), "")</f>
        <v/>
      </c>
      <c r="H1981" s="105"/>
      <c r="I1981" s="105"/>
      <c r="J1981" s="105" t="str">
        <f>IF(F1981=True, IFERROR(VLOOKUP(D1981, Repository!A:C, 3, 0), ""), "")</f>
        <v/>
      </c>
      <c r="K1981" s="105"/>
      <c r="L1981" s="105" t="str">
        <f>IF(F1981=True, IFERROR(VLOOKUP(D1981, Repository!A:E, 5, 0), ""), "")</f>
        <v/>
      </c>
      <c r="M1981" s="105"/>
      <c r="N1981" s="105" t="str">
        <f>IF(F1981=True, IFERROR(VLOOKUP(D1981, Repository!A:G, 7, 0), ""), "")</f>
        <v/>
      </c>
      <c r="O1981" s="105" t="str">
        <f>IFERROR(__xludf.DUMMYFUNCTION("ARRAY_CONSTRAIN(
  ARRAYFORMULA(
    IFERROR(
      LET(
        list, N1981,
        arr, TRIM(SPLIT(list, "","")),
        names, XLOOKUP(
          arr,
          'Conformance Score'!A:A,
          'Conformance Score'!B:B,
          ""Not found""
     "&amp;"   ),
        TEXTJOIN("", "", TRUE, names)
      ),
      """"
    )
  ),
  1,
  1
)
"),"")</f>
        <v/>
      </c>
      <c r="P1981" s="105" t="str">
        <f>IF(F1981="Yes", IFERROR(VLOOKUP(D1981, Repository!A:F, 6, 0), ""), "")</f>
        <v/>
      </c>
      <c r="Q1981" s="105" t="str">
        <f>IF(F1981="Yes", IFERROR(VLOOKUP(D1981, Repository!A:I, 8, 0), ""), "")</f>
        <v/>
      </c>
      <c r="R1981" s="105" t="str">
        <f>IF(F1981="Yes", IFERROR(VLOOKUP(D1981, Repository!A:J, 9, 0), ""), "")</f>
        <v/>
      </c>
      <c r="S1981" s="105"/>
      <c r="T1981" s="105"/>
      <c r="U1981" s="105"/>
      <c r="V1981" s="105"/>
      <c r="W1981" s="105"/>
      <c r="X1981" s="105"/>
      <c r="Y1981" s="105"/>
      <c r="Z1981" s="105"/>
      <c r="AA1981" s="105"/>
      <c r="AB1981" s="105"/>
      <c r="AC1981" s="91"/>
      <c r="AD1981" s="105"/>
      <c r="AE1981" s="105"/>
      <c r="AF1981" s="91"/>
      <c r="AG1981" s="105"/>
      <c r="AH1981" s="105"/>
      <c r="AI1981" s="105" t="str">
        <f t="shared" si="1"/>
        <v/>
      </c>
      <c r="AJ1981" s="108" t="str">
        <f t="shared" si="2"/>
        <v/>
      </c>
    </row>
    <row r="1982" ht="15.75" customHeight="1">
      <c r="A1982" s="104"/>
      <c r="B1982" s="105" t="str">
        <f>IFERROR(__xludf.DUMMYFUNCTION("ARRAY_CONSTRAIN(
  ARRAYFORMULA(
    IF(
      'Final Report'!A1982="""",
      """",
      TEXTJOIN(
        "", "" &amp; CHAR(10),
        TRUE,
        IFERROR(
          VLOOKUP(
            TRIM(
              SPLIT('Final Report'!A1982, "","")
         "&amp;"   ),
            'URL Details'!A:B,
            2,
            FALSE
          ),
          """"
        )
      )
    )
  ),
  1,
  1
)
"),"")</f>
        <v/>
      </c>
      <c r="C1982" s="105" t="str">
        <f>IFERROR(__xludf.DUMMYFUNCTION("IFERROR(IF('Final Report'!A1982="""","""", TEXTJOIN(CHAR(10), TRUE, ARRAYFORMULA( ""• ""&amp; FILTER( TRIM(FLATTEN(SPLIT( REGEXREPLACE( SUBSTITUTE(TEXTJOIN("","", TRUE, IFERROR(ARRAYFORMULA(VLOOKUP(TRIM(SPLIT('Final Report'!A1982, "","")), 'URL Details'!A:D, "&amp;"4, FALSE)),"""") ), CHAR(10), "",""), ""\s*,\s*"", "",""), "",""))), TRIM(FLATTEN(SPLIT( REGEXREPLACE( SUBSTITUTE(TEXTJOIN("","", TRUE, IFERROR(ARRAYFORMULA(VLOOKUP(TRIM(SPLIT('Final Report'!A1982, "","")), 'URL Details'!A:D, 4, FALSE)),"""") ), CHAR(10),"&amp;" "",""), ""\s*,\s*"", "",""), "","")))&lt;&gt;"""" ) ) ) ),"""")
"),"")</f>
        <v/>
      </c>
      <c r="D1982" s="105"/>
      <c r="E1982" s="105"/>
      <c r="F1982" s="110" t="b">
        <v>0</v>
      </c>
      <c r="G1982" s="105" t="str">
        <f>IF(F1982=True, IFERROR(VLOOKUP(D1982, Repository!A:B, 2, 0), ""), "")</f>
        <v/>
      </c>
      <c r="H1982" s="105"/>
      <c r="I1982" s="105"/>
      <c r="J1982" s="105" t="str">
        <f>IF(F1982=True, IFERROR(VLOOKUP(D1982, Repository!A:C, 3, 0), ""), "")</f>
        <v/>
      </c>
      <c r="K1982" s="105"/>
      <c r="L1982" s="105" t="str">
        <f>IF(F1982=True, IFERROR(VLOOKUP(D1982, Repository!A:E, 5, 0), ""), "")</f>
        <v/>
      </c>
      <c r="M1982" s="105"/>
      <c r="N1982" s="105" t="str">
        <f>IF(F1982=True, IFERROR(VLOOKUP(D1982, Repository!A:G, 7, 0), ""), "")</f>
        <v/>
      </c>
      <c r="O1982" s="105" t="str">
        <f>IFERROR(__xludf.DUMMYFUNCTION("ARRAY_CONSTRAIN(
  ARRAYFORMULA(
    IFERROR(
      LET(
        list, N1982,
        arr, TRIM(SPLIT(list, "","")),
        names, XLOOKUP(
          arr,
          'Conformance Score'!A:A,
          'Conformance Score'!B:B,
          ""Not found""
     "&amp;"   ),
        TEXTJOIN("", "", TRUE, names)
      ),
      """"
    )
  ),
  1,
  1
)
"),"")</f>
        <v/>
      </c>
      <c r="P1982" s="105" t="str">
        <f>IF(F1982="Yes", IFERROR(VLOOKUP(D1982, Repository!A:F, 6, 0), ""), "")</f>
        <v/>
      </c>
      <c r="Q1982" s="105" t="str">
        <f>IF(F1982="Yes", IFERROR(VLOOKUP(D1982, Repository!A:I, 8, 0), ""), "")</f>
        <v/>
      </c>
      <c r="R1982" s="105" t="str">
        <f>IF(F1982="Yes", IFERROR(VLOOKUP(D1982, Repository!A:J, 9, 0), ""), "")</f>
        <v/>
      </c>
      <c r="S1982" s="105"/>
      <c r="T1982" s="105"/>
      <c r="U1982" s="105"/>
      <c r="V1982" s="105"/>
      <c r="W1982" s="105"/>
      <c r="X1982" s="105"/>
      <c r="Y1982" s="105"/>
      <c r="Z1982" s="105"/>
      <c r="AA1982" s="105"/>
      <c r="AB1982" s="105"/>
      <c r="AC1982" s="91"/>
      <c r="AD1982" s="105"/>
      <c r="AE1982" s="105"/>
      <c r="AF1982" s="91"/>
      <c r="AG1982" s="105"/>
      <c r="AH1982" s="105"/>
      <c r="AI1982" s="105" t="str">
        <f t="shared" si="1"/>
        <v/>
      </c>
      <c r="AJ1982" s="108" t="str">
        <f t="shared" si="2"/>
        <v/>
      </c>
    </row>
    <row r="1983" ht="15.75" customHeight="1">
      <c r="A1983" s="104"/>
      <c r="B1983" s="105" t="str">
        <f>IFERROR(__xludf.DUMMYFUNCTION("ARRAY_CONSTRAIN(
  ARRAYFORMULA(
    IF(
      'Final Report'!A1983="""",
      """",
      TEXTJOIN(
        "", "" &amp; CHAR(10),
        TRUE,
        IFERROR(
          VLOOKUP(
            TRIM(
              SPLIT('Final Report'!A1983, "","")
         "&amp;"   ),
            'URL Details'!A:B,
            2,
            FALSE
          ),
          """"
        )
      )
    )
  ),
  1,
  1
)
"),"")</f>
        <v/>
      </c>
      <c r="C1983" s="105" t="str">
        <f>IFERROR(__xludf.DUMMYFUNCTION("IFERROR(IF('Final Report'!A1983="""","""", TEXTJOIN(CHAR(10), TRUE, ARRAYFORMULA( ""• ""&amp; FILTER( TRIM(FLATTEN(SPLIT( REGEXREPLACE( SUBSTITUTE(TEXTJOIN("","", TRUE, IFERROR(ARRAYFORMULA(VLOOKUP(TRIM(SPLIT('Final Report'!A1983, "","")), 'URL Details'!A:D, "&amp;"4, FALSE)),"""") ), CHAR(10), "",""), ""\s*,\s*"", "",""), "",""))), TRIM(FLATTEN(SPLIT( REGEXREPLACE( SUBSTITUTE(TEXTJOIN("","", TRUE, IFERROR(ARRAYFORMULA(VLOOKUP(TRIM(SPLIT('Final Report'!A1983, "","")), 'URL Details'!A:D, 4, FALSE)),"""") ), CHAR(10),"&amp;" "",""), ""\s*,\s*"", "",""), "","")))&lt;&gt;"""" ) ) ) ),"""")
"),"")</f>
        <v/>
      </c>
      <c r="D1983" s="105"/>
      <c r="E1983" s="105"/>
      <c r="F1983" s="110" t="b">
        <v>0</v>
      </c>
      <c r="G1983" s="105" t="str">
        <f>IF(F1983=True, IFERROR(VLOOKUP(D1983, Repository!A:B, 2, 0), ""), "")</f>
        <v/>
      </c>
      <c r="H1983" s="105"/>
      <c r="I1983" s="105"/>
      <c r="J1983" s="105" t="str">
        <f>IF(F1983=True, IFERROR(VLOOKUP(D1983, Repository!A:C, 3, 0), ""), "")</f>
        <v/>
      </c>
      <c r="K1983" s="105"/>
      <c r="L1983" s="105" t="str">
        <f>IF(F1983=True, IFERROR(VLOOKUP(D1983, Repository!A:E, 5, 0), ""), "")</f>
        <v/>
      </c>
      <c r="M1983" s="105"/>
      <c r="N1983" s="105" t="str">
        <f>IF(F1983=True, IFERROR(VLOOKUP(D1983, Repository!A:G, 7, 0), ""), "")</f>
        <v/>
      </c>
      <c r="O1983" s="105" t="str">
        <f>IFERROR(__xludf.DUMMYFUNCTION("ARRAY_CONSTRAIN(
  ARRAYFORMULA(
    IFERROR(
      LET(
        list, N1983,
        arr, TRIM(SPLIT(list, "","")),
        names, XLOOKUP(
          arr,
          'Conformance Score'!A:A,
          'Conformance Score'!B:B,
          ""Not found""
     "&amp;"   ),
        TEXTJOIN("", "", TRUE, names)
      ),
      """"
    )
  ),
  1,
  1
)
"),"")</f>
        <v/>
      </c>
      <c r="P1983" s="105" t="str">
        <f>IF(F1983="Yes", IFERROR(VLOOKUP(D1983, Repository!A:F, 6, 0), ""), "")</f>
        <v/>
      </c>
      <c r="Q1983" s="105" t="str">
        <f>IF(F1983="Yes", IFERROR(VLOOKUP(D1983, Repository!A:I, 8, 0), ""), "")</f>
        <v/>
      </c>
      <c r="R1983" s="105" t="str">
        <f>IF(F1983="Yes", IFERROR(VLOOKUP(D1983, Repository!A:J, 9, 0), ""), "")</f>
        <v/>
      </c>
      <c r="S1983" s="105"/>
      <c r="T1983" s="105"/>
      <c r="U1983" s="105"/>
      <c r="V1983" s="105"/>
      <c r="W1983" s="105"/>
      <c r="X1983" s="105"/>
      <c r="Y1983" s="105"/>
      <c r="Z1983" s="105"/>
      <c r="AA1983" s="105"/>
      <c r="AB1983" s="105"/>
      <c r="AC1983" s="91"/>
      <c r="AD1983" s="105"/>
      <c r="AE1983" s="105"/>
      <c r="AF1983" s="91"/>
      <c r="AG1983" s="105"/>
      <c r="AH1983" s="105"/>
      <c r="AI1983" s="105" t="str">
        <f t="shared" si="1"/>
        <v/>
      </c>
      <c r="AJ1983" s="108" t="str">
        <f t="shared" si="2"/>
        <v/>
      </c>
    </row>
    <row r="1984" ht="15.75" customHeight="1">
      <c r="A1984" s="104"/>
      <c r="B1984" s="105" t="str">
        <f>IFERROR(__xludf.DUMMYFUNCTION("ARRAY_CONSTRAIN(
  ARRAYFORMULA(
    IF(
      'Final Report'!A1984="""",
      """",
      TEXTJOIN(
        "", "" &amp; CHAR(10),
        TRUE,
        IFERROR(
          VLOOKUP(
            TRIM(
              SPLIT('Final Report'!A1984, "","")
         "&amp;"   ),
            'URL Details'!A:B,
            2,
            FALSE
          ),
          """"
        )
      )
    )
  ),
  1,
  1
)
"),"")</f>
        <v/>
      </c>
      <c r="C1984" s="105" t="str">
        <f>IFERROR(__xludf.DUMMYFUNCTION("IFERROR(IF('Final Report'!A1984="""","""", TEXTJOIN(CHAR(10), TRUE, ARRAYFORMULA( ""• ""&amp; FILTER( TRIM(FLATTEN(SPLIT( REGEXREPLACE( SUBSTITUTE(TEXTJOIN("","", TRUE, IFERROR(ARRAYFORMULA(VLOOKUP(TRIM(SPLIT('Final Report'!A1984, "","")), 'URL Details'!A:D, "&amp;"4, FALSE)),"""") ), CHAR(10), "",""), ""\s*,\s*"", "",""), "",""))), TRIM(FLATTEN(SPLIT( REGEXREPLACE( SUBSTITUTE(TEXTJOIN("","", TRUE, IFERROR(ARRAYFORMULA(VLOOKUP(TRIM(SPLIT('Final Report'!A1984, "","")), 'URL Details'!A:D, 4, FALSE)),"""") ), CHAR(10),"&amp;" "",""), ""\s*,\s*"", "",""), "","")))&lt;&gt;"""" ) ) ) ),"""")
"),"")</f>
        <v/>
      </c>
      <c r="D1984" s="105"/>
      <c r="E1984" s="105"/>
      <c r="F1984" s="110" t="b">
        <v>0</v>
      </c>
      <c r="G1984" s="105" t="str">
        <f>IF(F1984=True, IFERROR(VLOOKUP(D1984, Repository!A:B, 2, 0), ""), "")</f>
        <v/>
      </c>
      <c r="H1984" s="105"/>
      <c r="I1984" s="105"/>
      <c r="J1984" s="105" t="str">
        <f>IF(F1984=True, IFERROR(VLOOKUP(D1984, Repository!A:C, 3, 0), ""), "")</f>
        <v/>
      </c>
      <c r="K1984" s="105"/>
      <c r="L1984" s="105" t="str">
        <f>IF(F1984=True, IFERROR(VLOOKUP(D1984, Repository!A:E, 5, 0), ""), "")</f>
        <v/>
      </c>
      <c r="M1984" s="105"/>
      <c r="N1984" s="105" t="str">
        <f>IF(F1984=True, IFERROR(VLOOKUP(D1984, Repository!A:G, 7, 0), ""), "")</f>
        <v/>
      </c>
      <c r="O1984" s="105" t="str">
        <f>IFERROR(__xludf.DUMMYFUNCTION("ARRAY_CONSTRAIN(
  ARRAYFORMULA(
    IFERROR(
      LET(
        list, N1984,
        arr, TRIM(SPLIT(list, "","")),
        names, XLOOKUP(
          arr,
          'Conformance Score'!A:A,
          'Conformance Score'!B:B,
          ""Not found""
     "&amp;"   ),
        TEXTJOIN("", "", TRUE, names)
      ),
      """"
    )
  ),
  1,
  1
)
"),"")</f>
        <v/>
      </c>
      <c r="P1984" s="105" t="str">
        <f>IF(F1984="Yes", IFERROR(VLOOKUP(D1984, Repository!A:F, 6, 0), ""), "")</f>
        <v/>
      </c>
      <c r="Q1984" s="105" t="str">
        <f>IF(F1984="Yes", IFERROR(VLOOKUP(D1984, Repository!A:I, 8, 0), ""), "")</f>
        <v/>
      </c>
      <c r="R1984" s="105" t="str">
        <f>IF(F1984="Yes", IFERROR(VLOOKUP(D1984, Repository!A:J, 9, 0), ""), "")</f>
        <v/>
      </c>
      <c r="S1984" s="105"/>
      <c r="T1984" s="105"/>
      <c r="U1984" s="105"/>
      <c r="V1984" s="105"/>
      <c r="W1984" s="105"/>
      <c r="X1984" s="105"/>
      <c r="Y1984" s="105"/>
      <c r="Z1984" s="105"/>
      <c r="AA1984" s="105"/>
      <c r="AB1984" s="105"/>
      <c r="AC1984" s="91"/>
      <c r="AD1984" s="105"/>
      <c r="AE1984" s="105"/>
      <c r="AF1984" s="91"/>
      <c r="AG1984" s="105"/>
      <c r="AH1984" s="105"/>
      <c r="AI1984" s="105" t="str">
        <f t="shared" si="1"/>
        <v/>
      </c>
      <c r="AJ1984" s="108" t="str">
        <f t="shared" si="2"/>
        <v/>
      </c>
    </row>
    <row r="1985" ht="15.75" customHeight="1">
      <c r="A1985" s="104"/>
      <c r="B1985" s="105" t="str">
        <f>IFERROR(__xludf.DUMMYFUNCTION("ARRAY_CONSTRAIN(
  ARRAYFORMULA(
    IF(
      'Final Report'!A1985="""",
      """",
      TEXTJOIN(
        "", "" &amp; CHAR(10),
        TRUE,
        IFERROR(
          VLOOKUP(
            TRIM(
              SPLIT('Final Report'!A1985, "","")
         "&amp;"   ),
            'URL Details'!A:B,
            2,
            FALSE
          ),
          """"
        )
      )
    )
  ),
  1,
  1
)
"),"")</f>
        <v/>
      </c>
      <c r="C1985" s="105" t="str">
        <f>IFERROR(__xludf.DUMMYFUNCTION("IFERROR(IF('Final Report'!A1985="""","""", TEXTJOIN(CHAR(10), TRUE, ARRAYFORMULA( ""• ""&amp; FILTER( TRIM(FLATTEN(SPLIT( REGEXREPLACE( SUBSTITUTE(TEXTJOIN("","", TRUE, IFERROR(ARRAYFORMULA(VLOOKUP(TRIM(SPLIT('Final Report'!A1985, "","")), 'URL Details'!A:D, "&amp;"4, FALSE)),"""") ), CHAR(10), "",""), ""\s*,\s*"", "",""), "",""))), TRIM(FLATTEN(SPLIT( REGEXREPLACE( SUBSTITUTE(TEXTJOIN("","", TRUE, IFERROR(ARRAYFORMULA(VLOOKUP(TRIM(SPLIT('Final Report'!A1985, "","")), 'URL Details'!A:D, 4, FALSE)),"""") ), CHAR(10),"&amp;" "",""), ""\s*,\s*"", "",""), "","")))&lt;&gt;"""" ) ) ) ),"""")
"),"")</f>
        <v/>
      </c>
      <c r="D1985" s="105"/>
      <c r="E1985" s="105"/>
      <c r="F1985" s="110" t="b">
        <v>0</v>
      </c>
      <c r="G1985" s="105" t="str">
        <f>IF(F1985=True, IFERROR(VLOOKUP(D1985, Repository!A:B, 2, 0), ""), "")</f>
        <v/>
      </c>
      <c r="H1985" s="105"/>
      <c r="I1985" s="105"/>
      <c r="J1985" s="105" t="str">
        <f>IF(F1985=True, IFERROR(VLOOKUP(D1985, Repository!A:C, 3, 0), ""), "")</f>
        <v/>
      </c>
      <c r="K1985" s="105"/>
      <c r="L1985" s="105" t="str">
        <f>IF(F1985=True, IFERROR(VLOOKUP(D1985, Repository!A:E, 5, 0), ""), "")</f>
        <v/>
      </c>
      <c r="M1985" s="105"/>
      <c r="N1985" s="105" t="str">
        <f>IF(F1985=True, IFERROR(VLOOKUP(D1985, Repository!A:G, 7, 0), ""), "")</f>
        <v/>
      </c>
      <c r="O1985" s="105" t="str">
        <f>IFERROR(__xludf.DUMMYFUNCTION("ARRAY_CONSTRAIN(
  ARRAYFORMULA(
    IFERROR(
      LET(
        list, N1985,
        arr, TRIM(SPLIT(list, "","")),
        names, XLOOKUP(
          arr,
          'Conformance Score'!A:A,
          'Conformance Score'!B:B,
          ""Not found""
     "&amp;"   ),
        TEXTJOIN("", "", TRUE, names)
      ),
      """"
    )
  ),
  1,
  1
)
"),"")</f>
        <v/>
      </c>
      <c r="P1985" s="105" t="str">
        <f>IF(F1985="Yes", IFERROR(VLOOKUP(D1985, Repository!A:F, 6, 0), ""), "")</f>
        <v/>
      </c>
      <c r="Q1985" s="105" t="str">
        <f>IF(F1985="Yes", IFERROR(VLOOKUP(D1985, Repository!A:I, 8, 0), ""), "")</f>
        <v/>
      </c>
      <c r="R1985" s="105" t="str">
        <f>IF(F1985="Yes", IFERROR(VLOOKUP(D1985, Repository!A:J, 9, 0), ""), "")</f>
        <v/>
      </c>
      <c r="S1985" s="105"/>
      <c r="T1985" s="105"/>
      <c r="U1985" s="105"/>
      <c r="V1985" s="105"/>
      <c r="W1985" s="105"/>
      <c r="X1985" s="105"/>
      <c r="Y1985" s="105"/>
      <c r="Z1985" s="105"/>
      <c r="AA1985" s="105"/>
      <c r="AB1985" s="105"/>
      <c r="AC1985" s="91"/>
      <c r="AD1985" s="105"/>
      <c r="AE1985" s="105"/>
      <c r="AF1985" s="91"/>
      <c r="AG1985" s="105"/>
      <c r="AH1985" s="105"/>
      <c r="AI1985" s="105" t="str">
        <f t="shared" si="1"/>
        <v/>
      </c>
      <c r="AJ1985" s="108" t="str">
        <f t="shared" si="2"/>
        <v/>
      </c>
    </row>
    <row r="1986" ht="15.75" customHeight="1">
      <c r="A1986" s="104"/>
      <c r="B1986" s="105" t="str">
        <f>IFERROR(__xludf.DUMMYFUNCTION("ARRAY_CONSTRAIN(
  ARRAYFORMULA(
    IF(
      'Final Report'!A1986="""",
      """",
      TEXTJOIN(
        "", "" &amp; CHAR(10),
        TRUE,
        IFERROR(
          VLOOKUP(
            TRIM(
              SPLIT('Final Report'!A1986, "","")
         "&amp;"   ),
            'URL Details'!A:B,
            2,
            FALSE
          ),
          """"
        )
      )
    )
  ),
  1,
  1
)
"),"")</f>
        <v/>
      </c>
      <c r="C1986" s="105" t="str">
        <f>IFERROR(__xludf.DUMMYFUNCTION("IFERROR(IF('Final Report'!A1986="""","""", TEXTJOIN(CHAR(10), TRUE, ARRAYFORMULA( ""• ""&amp; FILTER( TRIM(FLATTEN(SPLIT( REGEXREPLACE( SUBSTITUTE(TEXTJOIN("","", TRUE, IFERROR(ARRAYFORMULA(VLOOKUP(TRIM(SPLIT('Final Report'!A1986, "","")), 'URL Details'!A:D, "&amp;"4, FALSE)),"""") ), CHAR(10), "",""), ""\s*,\s*"", "",""), "",""))), TRIM(FLATTEN(SPLIT( REGEXREPLACE( SUBSTITUTE(TEXTJOIN("","", TRUE, IFERROR(ARRAYFORMULA(VLOOKUP(TRIM(SPLIT('Final Report'!A1986, "","")), 'URL Details'!A:D, 4, FALSE)),"""") ), CHAR(10),"&amp;" "",""), ""\s*,\s*"", "",""), "","")))&lt;&gt;"""" ) ) ) ),"""")
"),"")</f>
        <v/>
      </c>
      <c r="D1986" s="105"/>
      <c r="E1986" s="105"/>
      <c r="F1986" s="110" t="b">
        <v>0</v>
      </c>
      <c r="G1986" s="105" t="str">
        <f>IF(F1986=True, IFERROR(VLOOKUP(D1986, Repository!A:B, 2, 0), ""), "")</f>
        <v/>
      </c>
      <c r="H1986" s="105"/>
      <c r="I1986" s="105"/>
      <c r="J1986" s="105" t="str">
        <f>IF(F1986=True, IFERROR(VLOOKUP(D1986, Repository!A:C, 3, 0), ""), "")</f>
        <v/>
      </c>
      <c r="K1986" s="105"/>
      <c r="L1986" s="105" t="str">
        <f>IF(F1986=True, IFERROR(VLOOKUP(D1986, Repository!A:E, 5, 0), ""), "")</f>
        <v/>
      </c>
      <c r="M1986" s="105"/>
      <c r="N1986" s="105" t="str">
        <f>IF(F1986=True, IFERROR(VLOOKUP(D1986, Repository!A:G, 7, 0), ""), "")</f>
        <v/>
      </c>
      <c r="O1986" s="105" t="str">
        <f>IFERROR(__xludf.DUMMYFUNCTION("ARRAY_CONSTRAIN(
  ARRAYFORMULA(
    IFERROR(
      LET(
        list, N1986,
        arr, TRIM(SPLIT(list, "","")),
        names, XLOOKUP(
          arr,
          'Conformance Score'!A:A,
          'Conformance Score'!B:B,
          ""Not found""
     "&amp;"   ),
        TEXTJOIN("", "", TRUE, names)
      ),
      """"
    )
  ),
  1,
  1
)
"),"")</f>
        <v/>
      </c>
      <c r="P1986" s="105" t="str">
        <f>IF(F1986="Yes", IFERROR(VLOOKUP(D1986, Repository!A:F, 6, 0), ""), "")</f>
        <v/>
      </c>
      <c r="Q1986" s="105" t="str">
        <f>IF(F1986="Yes", IFERROR(VLOOKUP(D1986, Repository!A:I, 8, 0), ""), "")</f>
        <v/>
      </c>
      <c r="R1986" s="105" t="str">
        <f>IF(F1986="Yes", IFERROR(VLOOKUP(D1986, Repository!A:J, 9, 0), ""), "")</f>
        <v/>
      </c>
      <c r="S1986" s="105"/>
      <c r="T1986" s="105"/>
      <c r="U1986" s="105"/>
      <c r="V1986" s="105"/>
      <c r="W1986" s="105"/>
      <c r="X1986" s="105"/>
      <c r="Y1986" s="105"/>
      <c r="Z1986" s="105"/>
      <c r="AA1986" s="105"/>
      <c r="AB1986" s="105"/>
      <c r="AC1986" s="91"/>
      <c r="AD1986" s="105"/>
      <c r="AE1986" s="105"/>
      <c r="AF1986" s="91"/>
      <c r="AG1986" s="105"/>
      <c r="AH1986" s="105"/>
      <c r="AI1986" s="105" t="str">
        <f t="shared" si="1"/>
        <v/>
      </c>
      <c r="AJ1986" s="108" t="str">
        <f t="shared" si="2"/>
        <v/>
      </c>
    </row>
    <row r="1987" ht="15.75" customHeight="1">
      <c r="A1987" s="104"/>
      <c r="B1987" s="105" t="str">
        <f>IFERROR(__xludf.DUMMYFUNCTION("ARRAY_CONSTRAIN(
  ARRAYFORMULA(
    IF(
      'Final Report'!A1987="""",
      """",
      TEXTJOIN(
        "", "" &amp; CHAR(10),
        TRUE,
        IFERROR(
          VLOOKUP(
            TRIM(
              SPLIT('Final Report'!A1987, "","")
         "&amp;"   ),
            'URL Details'!A:B,
            2,
            FALSE
          ),
          """"
        )
      )
    )
  ),
  1,
  1
)
"),"")</f>
        <v/>
      </c>
      <c r="C1987" s="105" t="str">
        <f>IFERROR(__xludf.DUMMYFUNCTION("IFERROR(IF('Final Report'!A1987="""","""", TEXTJOIN(CHAR(10), TRUE, ARRAYFORMULA( ""• ""&amp; FILTER( TRIM(FLATTEN(SPLIT( REGEXREPLACE( SUBSTITUTE(TEXTJOIN("","", TRUE, IFERROR(ARRAYFORMULA(VLOOKUP(TRIM(SPLIT('Final Report'!A1987, "","")), 'URL Details'!A:D, "&amp;"4, FALSE)),"""") ), CHAR(10), "",""), ""\s*,\s*"", "",""), "",""))), TRIM(FLATTEN(SPLIT( REGEXREPLACE( SUBSTITUTE(TEXTJOIN("","", TRUE, IFERROR(ARRAYFORMULA(VLOOKUP(TRIM(SPLIT('Final Report'!A1987, "","")), 'URL Details'!A:D, 4, FALSE)),"""") ), CHAR(10),"&amp;" "",""), ""\s*,\s*"", "",""), "","")))&lt;&gt;"""" ) ) ) ),"""")
"),"")</f>
        <v/>
      </c>
      <c r="D1987" s="105"/>
      <c r="E1987" s="105"/>
      <c r="F1987" s="110" t="b">
        <v>0</v>
      </c>
      <c r="G1987" s="105" t="str">
        <f>IF(F1987=True, IFERROR(VLOOKUP(D1987, Repository!A:B, 2, 0), ""), "")</f>
        <v/>
      </c>
      <c r="H1987" s="105"/>
      <c r="I1987" s="105"/>
      <c r="J1987" s="105" t="str">
        <f>IF(F1987=True, IFERROR(VLOOKUP(D1987, Repository!A:C, 3, 0), ""), "")</f>
        <v/>
      </c>
      <c r="K1987" s="105"/>
      <c r="L1987" s="105" t="str">
        <f>IF(F1987=True, IFERROR(VLOOKUP(D1987, Repository!A:E, 5, 0), ""), "")</f>
        <v/>
      </c>
      <c r="M1987" s="105"/>
      <c r="N1987" s="105" t="str">
        <f>IF(F1987=True, IFERROR(VLOOKUP(D1987, Repository!A:G, 7, 0), ""), "")</f>
        <v/>
      </c>
      <c r="O1987" s="105" t="str">
        <f>IFERROR(__xludf.DUMMYFUNCTION("ARRAY_CONSTRAIN(
  ARRAYFORMULA(
    IFERROR(
      LET(
        list, N1987,
        arr, TRIM(SPLIT(list, "","")),
        names, XLOOKUP(
          arr,
          'Conformance Score'!A:A,
          'Conformance Score'!B:B,
          ""Not found""
     "&amp;"   ),
        TEXTJOIN("", "", TRUE, names)
      ),
      """"
    )
  ),
  1,
  1
)
"),"")</f>
        <v/>
      </c>
      <c r="P1987" s="105" t="str">
        <f>IF(F1987="Yes", IFERROR(VLOOKUP(D1987, Repository!A:F, 6, 0), ""), "")</f>
        <v/>
      </c>
      <c r="Q1987" s="105" t="str">
        <f>IF(F1987="Yes", IFERROR(VLOOKUP(D1987, Repository!A:I, 8, 0), ""), "")</f>
        <v/>
      </c>
      <c r="R1987" s="105" t="str">
        <f>IF(F1987="Yes", IFERROR(VLOOKUP(D1987, Repository!A:J, 9, 0), ""), "")</f>
        <v/>
      </c>
      <c r="S1987" s="105"/>
      <c r="T1987" s="105"/>
      <c r="U1987" s="105"/>
      <c r="V1987" s="105"/>
      <c r="W1987" s="105"/>
      <c r="X1987" s="105"/>
      <c r="Y1987" s="105"/>
      <c r="Z1987" s="105"/>
      <c r="AA1987" s="105"/>
      <c r="AB1987" s="105"/>
      <c r="AC1987" s="91"/>
      <c r="AD1987" s="105"/>
      <c r="AE1987" s="105"/>
      <c r="AF1987" s="91"/>
      <c r="AG1987" s="105"/>
      <c r="AH1987" s="105"/>
      <c r="AI1987" s="105" t="str">
        <f t="shared" si="1"/>
        <v/>
      </c>
      <c r="AJ1987" s="108" t="str">
        <f t="shared" si="2"/>
        <v/>
      </c>
    </row>
    <row r="1988" ht="15.75" customHeight="1">
      <c r="A1988" s="104"/>
      <c r="B1988" s="105" t="str">
        <f>IFERROR(__xludf.DUMMYFUNCTION("ARRAY_CONSTRAIN(
  ARRAYFORMULA(
    IF(
      'Final Report'!A1988="""",
      """",
      TEXTJOIN(
        "", "" &amp; CHAR(10),
        TRUE,
        IFERROR(
          VLOOKUP(
            TRIM(
              SPLIT('Final Report'!A1988, "","")
         "&amp;"   ),
            'URL Details'!A:B,
            2,
            FALSE
          ),
          """"
        )
      )
    )
  ),
  1,
  1
)
"),"")</f>
        <v/>
      </c>
      <c r="C1988" s="105" t="str">
        <f>IFERROR(__xludf.DUMMYFUNCTION("IFERROR(IF('Final Report'!A1988="""","""", TEXTJOIN(CHAR(10), TRUE, ARRAYFORMULA( ""• ""&amp; FILTER( TRIM(FLATTEN(SPLIT( REGEXREPLACE( SUBSTITUTE(TEXTJOIN("","", TRUE, IFERROR(ARRAYFORMULA(VLOOKUP(TRIM(SPLIT('Final Report'!A1988, "","")), 'URL Details'!A:D, "&amp;"4, FALSE)),"""") ), CHAR(10), "",""), ""\s*,\s*"", "",""), "",""))), TRIM(FLATTEN(SPLIT( REGEXREPLACE( SUBSTITUTE(TEXTJOIN("","", TRUE, IFERROR(ARRAYFORMULA(VLOOKUP(TRIM(SPLIT('Final Report'!A1988, "","")), 'URL Details'!A:D, 4, FALSE)),"""") ), CHAR(10),"&amp;" "",""), ""\s*,\s*"", "",""), "","")))&lt;&gt;"""" ) ) ) ),"""")
"),"")</f>
        <v/>
      </c>
      <c r="D1988" s="105"/>
      <c r="E1988" s="105"/>
      <c r="F1988" s="110" t="b">
        <v>0</v>
      </c>
      <c r="G1988" s="105" t="str">
        <f>IF(F1988=True, IFERROR(VLOOKUP(D1988, Repository!A:B, 2, 0), ""), "")</f>
        <v/>
      </c>
      <c r="H1988" s="105"/>
      <c r="I1988" s="105"/>
      <c r="J1988" s="105" t="str">
        <f>IF(F1988=True, IFERROR(VLOOKUP(D1988, Repository!A:C, 3, 0), ""), "")</f>
        <v/>
      </c>
      <c r="K1988" s="105"/>
      <c r="L1988" s="105" t="str">
        <f>IF(F1988=True, IFERROR(VLOOKUP(D1988, Repository!A:E, 5, 0), ""), "")</f>
        <v/>
      </c>
      <c r="M1988" s="105"/>
      <c r="N1988" s="105" t="str">
        <f>IF(F1988=True, IFERROR(VLOOKUP(D1988, Repository!A:G, 7, 0), ""), "")</f>
        <v/>
      </c>
      <c r="O1988" s="105" t="str">
        <f>IFERROR(__xludf.DUMMYFUNCTION("ARRAY_CONSTRAIN(
  ARRAYFORMULA(
    IFERROR(
      LET(
        list, N1988,
        arr, TRIM(SPLIT(list, "","")),
        names, XLOOKUP(
          arr,
          'Conformance Score'!A:A,
          'Conformance Score'!B:B,
          ""Not found""
     "&amp;"   ),
        TEXTJOIN("", "", TRUE, names)
      ),
      """"
    )
  ),
  1,
  1
)
"),"")</f>
        <v/>
      </c>
      <c r="P1988" s="105" t="str">
        <f>IF(F1988="Yes", IFERROR(VLOOKUP(D1988, Repository!A:F, 6, 0), ""), "")</f>
        <v/>
      </c>
      <c r="Q1988" s="105" t="str">
        <f>IF(F1988="Yes", IFERROR(VLOOKUP(D1988, Repository!A:I, 8, 0), ""), "")</f>
        <v/>
      </c>
      <c r="R1988" s="105" t="str">
        <f>IF(F1988="Yes", IFERROR(VLOOKUP(D1988, Repository!A:J, 9, 0), ""), "")</f>
        <v/>
      </c>
      <c r="S1988" s="105"/>
      <c r="T1988" s="105"/>
      <c r="U1988" s="105"/>
      <c r="V1988" s="105"/>
      <c r="W1988" s="105"/>
      <c r="X1988" s="105"/>
      <c r="Y1988" s="105"/>
      <c r="Z1988" s="105"/>
      <c r="AA1988" s="105"/>
      <c r="AB1988" s="105"/>
      <c r="AC1988" s="91"/>
      <c r="AD1988" s="105"/>
      <c r="AE1988" s="105"/>
      <c r="AF1988" s="91"/>
      <c r="AG1988" s="105"/>
      <c r="AH1988" s="105"/>
      <c r="AI1988" s="105" t="str">
        <f t="shared" si="1"/>
        <v/>
      </c>
      <c r="AJ1988" s="108" t="str">
        <f t="shared" si="2"/>
        <v/>
      </c>
    </row>
    <row r="1989" ht="15.75" customHeight="1">
      <c r="A1989" s="104"/>
      <c r="B1989" s="105" t="str">
        <f>IFERROR(__xludf.DUMMYFUNCTION("ARRAY_CONSTRAIN(
  ARRAYFORMULA(
    IF(
      'Final Report'!A1989="""",
      """",
      TEXTJOIN(
        "", "" &amp; CHAR(10),
        TRUE,
        IFERROR(
          VLOOKUP(
            TRIM(
              SPLIT('Final Report'!A1989, "","")
         "&amp;"   ),
            'URL Details'!A:B,
            2,
            FALSE
          ),
          """"
        )
      )
    )
  ),
  1,
  1
)
"),"")</f>
        <v/>
      </c>
      <c r="C1989" s="105" t="str">
        <f>IFERROR(__xludf.DUMMYFUNCTION("IFERROR(IF('Final Report'!A1989="""","""", TEXTJOIN(CHAR(10), TRUE, ARRAYFORMULA( ""• ""&amp; FILTER( TRIM(FLATTEN(SPLIT( REGEXREPLACE( SUBSTITUTE(TEXTJOIN("","", TRUE, IFERROR(ARRAYFORMULA(VLOOKUP(TRIM(SPLIT('Final Report'!A1989, "","")), 'URL Details'!A:D, "&amp;"4, FALSE)),"""") ), CHAR(10), "",""), ""\s*,\s*"", "",""), "",""))), TRIM(FLATTEN(SPLIT( REGEXREPLACE( SUBSTITUTE(TEXTJOIN("","", TRUE, IFERROR(ARRAYFORMULA(VLOOKUP(TRIM(SPLIT('Final Report'!A1989, "","")), 'URL Details'!A:D, 4, FALSE)),"""") ), CHAR(10),"&amp;" "",""), ""\s*,\s*"", "",""), "","")))&lt;&gt;"""" ) ) ) ),"""")
"),"")</f>
        <v/>
      </c>
      <c r="D1989" s="105"/>
      <c r="E1989" s="105"/>
      <c r="F1989" s="110" t="b">
        <v>0</v>
      </c>
      <c r="G1989" s="105" t="str">
        <f>IF(F1989=True, IFERROR(VLOOKUP(D1989, Repository!A:B, 2, 0), ""), "")</f>
        <v/>
      </c>
      <c r="H1989" s="105"/>
      <c r="I1989" s="105"/>
      <c r="J1989" s="105" t="str">
        <f>IF(F1989=True, IFERROR(VLOOKUP(D1989, Repository!A:C, 3, 0), ""), "")</f>
        <v/>
      </c>
      <c r="K1989" s="105"/>
      <c r="L1989" s="105" t="str">
        <f>IF(F1989=True, IFERROR(VLOOKUP(D1989, Repository!A:E, 5, 0), ""), "")</f>
        <v/>
      </c>
      <c r="M1989" s="105"/>
      <c r="N1989" s="105" t="str">
        <f>IF(F1989=True, IFERROR(VLOOKUP(D1989, Repository!A:G, 7, 0), ""), "")</f>
        <v/>
      </c>
      <c r="O1989" s="105" t="str">
        <f>IFERROR(__xludf.DUMMYFUNCTION("ARRAY_CONSTRAIN(
  ARRAYFORMULA(
    IFERROR(
      LET(
        list, N1989,
        arr, TRIM(SPLIT(list, "","")),
        names, XLOOKUP(
          arr,
          'Conformance Score'!A:A,
          'Conformance Score'!B:B,
          ""Not found""
     "&amp;"   ),
        TEXTJOIN("", "", TRUE, names)
      ),
      """"
    )
  ),
  1,
  1
)
"),"")</f>
        <v/>
      </c>
      <c r="P1989" s="105" t="str">
        <f>IF(F1989="Yes", IFERROR(VLOOKUP(D1989, Repository!A:F, 6, 0), ""), "")</f>
        <v/>
      </c>
      <c r="Q1989" s="105" t="str">
        <f>IF(F1989="Yes", IFERROR(VLOOKUP(D1989, Repository!A:I, 8, 0), ""), "")</f>
        <v/>
      </c>
      <c r="R1989" s="105" t="str">
        <f>IF(F1989="Yes", IFERROR(VLOOKUP(D1989, Repository!A:J, 9, 0), ""), "")</f>
        <v/>
      </c>
      <c r="S1989" s="105"/>
      <c r="T1989" s="105"/>
      <c r="U1989" s="105"/>
      <c r="V1989" s="105"/>
      <c r="W1989" s="105"/>
      <c r="X1989" s="105"/>
      <c r="Y1989" s="105"/>
      <c r="Z1989" s="105"/>
      <c r="AA1989" s="105"/>
      <c r="AB1989" s="105"/>
      <c r="AC1989" s="91"/>
      <c r="AD1989" s="105"/>
      <c r="AE1989" s="105"/>
      <c r="AF1989" s="91"/>
      <c r="AG1989" s="105"/>
      <c r="AH1989" s="105"/>
      <c r="AI1989" s="105" t="str">
        <f t="shared" si="1"/>
        <v/>
      </c>
      <c r="AJ1989" s="108" t="str">
        <f t="shared" si="2"/>
        <v/>
      </c>
    </row>
    <row r="1990" ht="15.75" customHeight="1">
      <c r="A1990" s="104"/>
      <c r="B1990" s="105" t="str">
        <f>IFERROR(__xludf.DUMMYFUNCTION("ARRAY_CONSTRAIN(
  ARRAYFORMULA(
    IF(
      'Final Report'!A1990="""",
      """",
      TEXTJOIN(
        "", "" &amp; CHAR(10),
        TRUE,
        IFERROR(
          VLOOKUP(
            TRIM(
              SPLIT('Final Report'!A1990, "","")
         "&amp;"   ),
            'URL Details'!A:B,
            2,
            FALSE
          ),
          """"
        )
      )
    )
  ),
  1,
  1
)
"),"")</f>
        <v/>
      </c>
      <c r="C1990" s="105" t="str">
        <f>IFERROR(__xludf.DUMMYFUNCTION("IFERROR(IF('Final Report'!A1990="""","""", TEXTJOIN(CHAR(10), TRUE, ARRAYFORMULA( ""• ""&amp; FILTER( TRIM(FLATTEN(SPLIT( REGEXREPLACE( SUBSTITUTE(TEXTJOIN("","", TRUE, IFERROR(ARRAYFORMULA(VLOOKUP(TRIM(SPLIT('Final Report'!A1990, "","")), 'URL Details'!A:D, "&amp;"4, FALSE)),"""") ), CHAR(10), "",""), ""\s*,\s*"", "",""), "",""))), TRIM(FLATTEN(SPLIT( REGEXREPLACE( SUBSTITUTE(TEXTJOIN("","", TRUE, IFERROR(ARRAYFORMULA(VLOOKUP(TRIM(SPLIT('Final Report'!A1990, "","")), 'URL Details'!A:D, 4, FALSE)),"""") ), CHAR(10),"&amp;" "",""), ""\s*,\s*"", "",""), "","")))&lt;&gt;"""" ) ) ) ),"""")
"),"")</f>
        <v/>
      </c>
      <c r="D1990" s="105"/>
      <c r="E1990" s="105"/>
      <c r="F1990" s="110" t="b">
        <v>0</v>
      </c>
      <c r="G1990" s="105" t="str">
        <f>IF(F1990=True, IFERROR(VLOOKUP(D1990, Repository!A:B, 2, 0), ""), "")</f>
        <v/>
      </c>
      <c r="H1990" s="105"/>
      <c r="I1990" s="105"/>
      <c r="J1990" s="105" t="str">
        <f>IF(F1990=True, IFERROR(VLOOKUP(D1990, Repository!A:C, 3, 0), ""), "")</f>
        <v/>
      </c>
      <c r="K1990" s="105"/>
      <c r="L1990" s="105" t="str">
        <f>IF(F1990=True, IFERROR(VLOOKUP(D1990, Repository!A:E, 5, 0), ""), "")</f>
        <v/>
      </c>
      <c r="M1990" s="105"/>
      <c r="N1990" s="105" t="str">
        <f>IF(F1990=True, IFERROR(VLOOKUP(D1990, Repository!A:G, 7, 0), ""), "")</f>
        <v/>
      </c>
      <c r="O1990" s="105" t="str">
        <f>IFERROR(__xludf.DUMMYFUNCTION("ARRAY_CONSTRAIN(
  ARRAYFORMULA(
    IFERROR(
      LET(
        list, N1990,
        arr, TRIM(SPLIT(list, "","")),
        names, XLOOKUP(
          arr,
          'Conformance Score'!A:A,
          'Conformance Score'!B:B,
          ""Not found""
     "&amp;"   ),
        TEXTJOIN("", "", TRUE, names)
      ),
      """"
    )
  ),
  1,
  1
)
"),"")</f>
        <v/>
      </c>
      <c r="P1990" s="105" t="str">
        <f>IF(F1990="Yes", IFERROR(VLOOKUP(D1990, Repository!A:F, 6, 0), ""), "")</f>
        <v/>
      </c>
      <c r="Q1990" s="105" t="str">
        <f>IF(F1990="Yes", IFERROR(VLOOKUP(D1990, Repository!A:I, 8, 0), ""), "")</f>
        <v/>
      </c>
      <c r="R1990" s="105" t="str">
        <f>IF(F1990="Yes", IFERROR(VLOOKUP(D1990, Repository!A:J, 9, 0), ""), "")</f>
        <v/>
      </c>
      <c r="S1990" s="105"/>
      <c r="T1990" s="105"/>
      <c r="U1990" s="105"/>
      <c r="V1990" s="105"/>
      <c r="W1990" s="105"/>
      <c r="X1990" s="105"/>
      <c r="Y1990" s="105"/>
      <c r="Z1990" s="105"/>
      <c r="AA1990" s="105"/>
      <c r="AB1990" s="105"/>
      <c r="AC1990" s="91"/>
      <c r="AD1990" s="105"/>
      <c r="AE1990" s="105"/>
      <c r="AF1990" s="91"/>
      <c r="AG1990" s="105"/>
      <c r="AH1990" s="105"/>
      <c r="AI1990" s="105" t="str">
        <f t="shared" si="1"/>
        <v/>
      </c>
      <c r="AJ1990" s="108" t="str">
        <f t="shared" si="2"/>
        <v/>
      </c>
    </row>
    <row r="1991" ht="15.75" customHeight="1">
      <c r="A1991" s="104"/>
      <c r="B1991" s="105" t="str">
        <f>IFERROR(__xludf.DUMMYFUNCTION("ARRAY_CONSTRAIN(
  ARRAYFORMULA(
    IF(
      'Final Report'!A1991="""",
      """",
      TEXTJOIN(
        "", "" &amp; CHAR(10),
        TRUE,
        IFERROR(
          VLOOKUP(
            TRIM(
              SPLIT('Final Report'!A1991, "","")
         "&amp;"   ),
            'URL Details'!A:B,
            2,
            FALSE
          ),
          """"
        )
      )
    )
  ),
  1,
  1
)
"),"")</f>
        <v/>
      </c>
      <c r="C1991" s="105" t="str">
        <f>IFERROR(__xludf.DUMMYFUNCTION("IFERROR(IF('Final Report'!A1991="""","""", TEXTJOIN(CHAR(10), TRUE, ARRAYFORMULA( ""• ""&amp; FILTER( TRIM(FLATTEN(SPLIT( REGEXREPLACE( SUBSTITUTE(TEXTJOIN("","", TRUE, IFERROR(ARRAYFORMULA(VLOOKUP(TRIM(SPLIT('Final Report'!A1991, "","")), 'URL Details'!A:D, "&amp;"4, FALSE)),"""") ), CHAR(10), "",""), ""\s*,\s*"", "",""), "",""))), TRIM(FLATTEN(SPLIT( REGEXREPLACE( SUBSTITUTE(TEXTJOIN("","", TRUE, IFERROR(ARRAYFORMULA(VLOOKUP(TRIM(SPLIT('Final Report'!A1991, "","")), 'URL Details'!A:D, 4, FALSE)),"""") ), CHAR(10),"&amp;" "",""), ""\s*,\s*"", "",""), "","")))&lt;&gt;"""" ) ) ) ),"""")
"),"")</f>
        <v/>
      </c>
      <c r="D1991" s="105"/>
      <c r="E1991" s="105"/>
      <c r="F1991" s="110" t="b">
        <v>0</v>
      </c>
      <c r="G1991" s="105" t="str">
        <f>IF(F1991=True, IFERROR(VLOOKUP(D1991, Repository!A:B, 2, 0), ""), "")</f>
        <v/>
      </c>
      <c r="H1991" s="105"/>
      <c r="I1991" s="105"/>
      <c r="J1991" s="105" t="str">
        <f>IF(F1991=True, IFERROR(VLOOKUP(D1991, Repository!A:C, 3, 0), ""), "")</f>
        <v/>
      </c>
      <c r="K1991" s="105"/>
      <c r="L1991" s="105" t="str">
        <f>IF(F1991=True, IFERROR(VLOOKUP(D1991, Repository!A:E, 5, 0), ""), "")</f>
        <v/>
      </c>
      <c r="M1991" s="105"/>
      <c r="N1991" s="105" t="str">
        <f>IF(F1991=True, IFERROR(VLOOKUP(D1991, Repository!A:G, 7, 0), ""), "")</f>
        <v/>
      </c>
      <c r="O1991" s="105" t="str">
        <f>IFERROR(__xludf.DUMMYFUNCTION("ARRAY_CONSTRAIN(
  ARRAYFORMULA(
    IFERROR(
      LET(
        list, N1991,
        arr, TRIM(SPLIT(list, "","")),
        names, XLOOKUP(
          arr,
          'Conformance Score'!A:A,
          'Conformance Score'!B:B,
          ""Not found""
     "&amp;"   ),
        TEXTJOIN("", "", TRUE, names)
      ),
      """"
    )
  ),
  1,
  1
)
"),"")</f>
        <v/>
      </c>
      <c r="P1991" s="105" t="str">
        <f>IF(F1991="Yes", IFERROR(VLOOKUP(D1991, Repository!A:F, 6, 0), ""), "")</f>
        <v/>
      </c>
      <c r="Q1991" s="105" t="str">
        <f>IF(F1991="Yes", IFERROR(VLOOKUP(D1991, Repository!A:I, 8, 0), ""), "")</f>
        <v/>
      </c>
      <c r="R1991" s="105" t="str">
        <f>IF(F1991="Yes", IFERROR(VLOOKUP(D1991, Repository!A:J, 9, 0), ""), "")</f>
        <v/>
      </c>
      <c r="S1991" s="105"/>
      <c r="T1991" s="105"/>
      <c r="U1991" s="105"/>
      <c r="V1991" s="105"/>
      <c r="W1991" s="105"/>
      <c r="X1991" s="105"/>
      <c r="Y1991" s="105"/>
      <c r="Z1991" s="105"/>
      <c r="AA1991" s="105"/>
      <c r="AB1991" s="105"/>
      <c r="AC1991" s="91"/>
      <c r="AD1991" s="105"/>
      <c r="AE1991" s="105"/>
      <c r="AF1991" s="91"/>
      <c r="AG1991" s="105"/>
      <c r="AH1991" s="105"/>
      <c r="AI1991" s="105" t="str">
        <f t="shared" si="1"/>
        <v/>
      </c>
      <c r="AJ1991" s="108" t="str">
        <f t="shared" si="2"/>
        <v/>
      </c>
    </row>
    <row r="1992" ht="15.75" customHeight="1">
      <c r="A1992" s="104"/>
      <c r="B1992" s="105" t="str">
        <f>IFERROR(__xludf.DUMMYFUNCTION("ARRAY_CONSTRAIN(
  ARRAYFORMULA(
    IF(
      'Final Report'!A1992="""",
      """",
      TEXTJOIN(
        "", "" &amp; CHAR(10),
        TRUE,
        IFERROR(
          VLOOKUP(
            TRIM(
              SPLIT('Final Report'!A1992, "","")
         "&amp;"   ),
            'URL Details'!A:B,
            2,
            FALSE
          ),
          """"
        )
      )
    )
  ),
  1,
  1
)
"),"")</f>
        <v/>
      </c>
      <c r="C1992" s="105" t="str">
        <f>IFERROR(__xludf.DUMMYFUNCTION("IFERROR(IF('Final Report'!A1992="""","""", TEXTJOIN(CHAR(10), TRUE, ARRAYFORMULA( ""• ""&amp; FILTER( TRIM(FLATTEN(SPLIT( REGEXREPLACE( SUBSTITUTE(TEXTJOIN("","", TRUE, IFERROR(ARRAYFORMULA(VLOOKUP(TRIM(SPLIT('Final Report'!A1992, "","")), 'URL Details'!A:D, "&amp;"4, FALSE)),"""") ), CHAR(10), "",""), ""\s*,\s*"", "",""), "",""))), TRIM(FLATTEN(SPLIT( REGEXREPLACE( SUBSTITUTE(TEXTJOIN("","", TRUE, IFERROR(ARRAYFORMULA(VLOOKUP(TRIM(SPLIT('Final Report'!A1992, "","")), 'URL Details'!A:D, 4, FALSE)),"""") ), CHAR(10),"&amp;" "",""), ""\s*,\s*"", "",""), "","")))&lt;&gt;"""" ) ) ) ),"""")
"),"")</f>
        <v/>
      </c>
      <c r="D1992" s="105"/>
      <c r="E1992" s="105"/>
      <c r="F1992" s="110" t="b">
        <v>0</v>
      </c>
      <c r="G1992" s="105" t="str">
        <f>IF(F1992=True, IFERROR(VLOOKUP(D1992, Repository!A:B, 2, 0), ""), "")</f>
        <v/>
      </c>
      <c r="H1992" s="105"/>
      <c r="I1992" s="105"/>
      <c r="J1992" s="105" t="str">
        <f>IF(F1992=True, IFERROR(VLOOKUP(D1992, Repository!A:C, 3, 0), ""), "")</f>
        <v/>
      </c>
      <c r="K1992" s="105"/>
      <c r="L1992" s="105" t="str">
        <f>IF(F1992=True, IFERROR(VLOOKUP(D1992, Repository!A:E, 5, 0), ""), "")</f>
        <v/>
      </c>
      <c r="M1992" s="105"/>
      <c r="N1992" s="105" t="str">
        <f>IF(F1992=True, IFERROR(VLOOKUP(D1992, Repository!A:G, 7, 0), ""), "")</f>
        <v/>
      </c>
      <c r="O1992" s="105" t="str">
        <f>IFERROR(__xludf.DUMMYFUNCTION("ARRAY_CONSTRAIN(
  ARRAYFORMULA(
    IFERROR(
      LET(
        list, N1992,
        arr, TRIM(SPLIT(list, "","")),
        names, XLOOKUP(
          arr,
          'Conformance Score'!A:A,
          'Conformance Score'!B:B,
          ""Not found""
     "&amp;"   ),
        TEXTJOIN("", "", TRUE, names)
      ),
      """"
    )
  ),
  1,
  1
)
"),"")</f>
        <v/>
      </c>
      <c r="P1992" s="105" t="str">
        <f>IF(F1992="Yes", IFERROR(VLOOKUP(D1992, Repository!A:F, 6, 0), ""), "")</f>
        <v/>
      </c>
      <c r="Q1992" s="105" t="str">
        <f>IF(F1992="Yes", IFERROR(VLOOKUP(D1992, Repository!A:I, 8, 0), ""), "")</f>
        <v/>
      </c>
      <c r="R1992" s="105" t="str">
        <f>IF(F1992="Yes", IFERROR(VLOOKUP(D1992, Repository!A:J, 9, 0), ""), "")</f>
        <v/>
      </c>
      <c r="S1992" s="105"/>
      <c r="T1992" s="105"/>
      <c r="U1992" s="105"/>
      <c r="V1992" s="105"/>
      <c r="W1992" s="105"/>
      <c r="X1992" s="105"/>
      <c r="Y1992" s="105"/>
      <c r="Z1992" s="105"/>
      <c r="AA1992" s="105"/>
      <c r="AB1992" s="105"/>
      <c r="AC1992" s="91"/>
      <c r="AD1992" s="105"/>
      <c r="AE1992" s="105"/>
      <c r="AF1992" s="91"/>
      <c r="AG1992" s="105"/>
      <c r="AH1992" s="105"/>
      <c r="AI1992" s="105" t="str">
        <f t="shared" si="1"/>
        <v/>
      </c>
      <c r="AJ1992" s="108" t="str">
        <f t="shared" si="2"/>
        <v/>
      </c>
    </row>
    <row r="1993" ht="15.75" customHeight="1">
      <c r="A1993" s="104"/>
      <c r="B1993" s="105" t="str">
        <f>IFERROR(__xludf.DUMMYFUNCTION("ARRAY_CONSTRAIN(
  ARRAYFORMULA(
    IF(
      'Final Report'!A1993="""",
      """",
      TEXTJOIN(
        "", "" &amp; CHAR(10),
        TRUE,
        IFERROR(
          VLOOKUP(
            TRIM(
              SPLIT('Final Report'!A1993, "","")
         "&amp;"   ),
            'URL Details'!A:B,
            2,
            FALSE
          ),
          """"
        )
      )
    )
  ),
  1,
  1
)
"),"")</f>
        <v/>
      </c>
      <c r="C1993" s="105" t="str">
        <f>IFERROR(__xludf.DUMMYFUNCTION("IFERROR(IF('Final Report'!A1993="""","""", TEXTJOIN(CHAR(10), TRUE, ARRAYFORMULA( ""• ""&amp; FILTER( TRIM(FLATTEN(SPLIT( REGEXREPLACE( SUBSTITUTE(TEXTJOIN("","", TRUE, IFERROR(ARRAYFORMULA(VLOOKUP(TRIM(SPLIT('Final Report'!A1993, "","")), 'URL Details'!A:D, "&amp;"4, FALSE)),"""") ), CHAR(10), "",""), ""\s*,\s*"", "",""), "",""))), TRIM(FLATTEN(SPLIT( REGEXREPLACE( SUBSTITUTE(TEXTJOIN("","", TRUE, IFERROR(ARRAYFORMULA(VLOOKUP(TRIM(SPLIT('Final Report'!A1993, "","")), 'URL Details'!A:D, 4, FALSE)),"""") ), CHAR(10),"&amp;" "",""), ""\s*,\s*"", "",""), "","")))&lt;&gt;"""" ) ) ) ),"""")
"),"")</f>
        <v/>
      </c>
      <c r="D1993" s="105"/>
      <c r="E1993" s="105"/>
      <c r="F1993" s="110" t="b">
        <v>0</v>
      </c>
      <c r="G1993" s="105" t="str">
        <f>IF(F1993=True, IFERROR(VLOOKUP(D1993, Repository!A:B, 2, 0), ""), "")</f>
        <v/>
      </c>
      <c r="H1993" s="105"/>
      <c r="I1993" s="105"/>
      <c r="J1993" s="105" t="str">
        <f>IF(F1993=True, IFERROR(VLOOKUP(D1993, Repository!A:C, 3, 0), ""), "")</f>
        <v/>
      </c>
      <c r="K1993" s="105"/>
      <c r="L1993" s="105" t="str">
        <f>IF(F1993=True, IFERROR(VLOOKUP(D1993, Repository!A:E, 5, 0), ""), "")</f>
        <v/>
      </c>
      <c r="M1993" s="105"/>
      <c r="N1993" s="105" t="str">
        <f>IF(F1993=True, IFERROR(VLOOKUP(D1993, Repository!A:G, 7, 0), ""), "")</f>
        <v/>
      </c>
      <c r="O1993" s="105" t="str">
        <f>IFERROR(__xludf.DUMMYFUNCTION("ARRAY_CONSTRAIN(
  ARRAYFORMULA(
    IFERROR(
      LET(
        list, N1993,
        arr, TRIM(SPLIT(list, "","")),
        names, XLOOKUP(
          arr,
          'Conformance Score'!A:A,
          'Conformance Score'!B:B,
          ""Not found""
     "&amp;"   ),
        TEXTJOIN("", "", TRUE, names)
      ),
      """"
    )
  ),
  1,
  1
)
"),"")</f>
        <v/>
      </c>
      <c r="P1993" s="105" t="str">
        <f>IF(F1993="Yes", IFERROR(VLOOKUP(D1993, Repository!A:F, 6, 0), ""), "")</f>
        <v/>
      </c>
      <c r="Q1993" s="105" t="str">
        <f>IF(F1993="Yes", IFERROR(VLOOKUP(D1993, Repository!A:I, 8, 0), ""), "")</f>
        <v/>
      </c>
      <c r="R1993" s="105" t="str">
        <f>IF(F1993="Yes", IFERROR(VLOOKUP(D1993, Repository!A:J, 9, 0), ""), "")</f>
        <v/>
      </c>
      <c r="S1993" s="105"/>
      <c r="T1993" s="105"/>
      <c r="U1993" s="105"/>
      <c r="V1993" s="105"/>
      <c r="W1993" s="105"/>
      <c r="X1993" s="105"/>
      <c r="Y1993" s="105"/>
      <c r="Z1993" s="105"/>
      <c r="AA1993" s="105"/>
      <c r="AB1993" s="105"/>
      <c r="AC1993" s="91"/>
      <c r="AD1993" s="105"/>
      <c r="AE1993" s="105"/>
      <c r="AF1993" s="91"/>
      <c r="AG1993" s="105"/>
      <c r="AH1993" s="105"/>
      <c r="AI1993" s="105" t="str">
        <f t="shared" si="1"/>
        <v/>
      </c>
      <c r="AJ1993" s="108" t="str">
        <f t="shared" si="2"/>
        <v/>
      </c>
    </row>
    <row r="1994" ht="15.75" customHeight="1">
      <c r="A1994" s="104"/>
      <c r="B1994" s="105" t="str">
        <f>IFERROR(__xludf.DUMMYFUNCTION("ARRAY_CONSTRAIN(
  ARRAYFORMULA(
    IF(
      'Final Report'!A1994="""",
      """",
      TEXTJOIN(
        "", "" &amp; CHAR(10),
        TRUE,
        IFERROR(
          VLOOKUP(
            TRIM(
              SPLIT('Final Report'!A1994, "","")
         "&amp;"   ),
            'URL Details'!A:B,
            2,
            FALSE
          ),
          """"
        )
      )
    )
  ),
  1,
  1
)
"),"")</f>
        <v/>
      </c>
      <c r="C1994" s="105" t="str">
        <f>IFERROR(__xludf.DUMMYFUNCTION("IFERROR(IF('Final Report'!A1994="""","""", TEXTJOIN(CHAR(10), TRUE, ARRAYFORMULA( ""• ""&amp; FILTER( TRIM(FLATTEN(SPLIT( REGEXREPLACE( SUBSTITUTE(TEXTJOIN("","", TRUE, IFERROR(ARRAYFORMULA(VLOOKUP(TRIM(SPLIT('Final Report'!A1994, "","")), 'URL Details'!A:D, "&amp;"4, FALSE)),"""") ), CHAR(10), "",""), ""\s*,\s*"", "",""), "",""))), TRIM(FLATTEN(SPLIT( REGEXREPLACE( SUBSTITUTE(TEXTJOIN("","", TRUE, IFERROR(ARRAYFORMULA(VLOOKUP(TRIM(SPLIT('Final Report'!A1994, "","")), 'URL Details'!A:D, 4, FALSE)),"""") ), CHAR(10),"&amp;" "",""), ""\s*,\s*"", "",""), "","")))&lt;&gt;"""" ) ) ) ),"""")
"),"")</f>
        <v/>
      </c>
      <c r="D1994" s="105"/>
      <c r="E1994" s="105"/>
      <c r="F1994" s="110" t="b">
        <v>0</v>
      </c>
      <c r="G1994" s="105" t="str">
        <f>IF(F1994=True, IFERROR(VLOOKUP(D1994, Repository!A:B, 2, 0), ""), "")</f>
        <v/>
      </c>
      <c r="H1994" s="105"/>
      <c r="I1994" s="105"/>
      <c r="J1994" s="105" t="str">
        <f>IF(F1994=True, IFERROR(VLOOKUP(D1994, Repository!A:C, 3, 0), ""), "")</f>
        <v/>
      </c>
      <c r="K1994" s="105"/>
      <c r="L1994" s="105" t="str">
        <f>IF(F1994=True, IFERROR(VLOOKUP(D1994, Repository!A:E, 5, 0), ""), "")</f>
        <v/>
      </c>
      <c r="M1994" s="105"/>
      <c r="N1994" s="105" t="str">
        <f>IF(F1994=True, IFERROR(VLOOKUP(D1994, Repository!A:G, 7, 0), ""), "")</f>
        <v/>
      </c>
      <c r="O1994" s="105" t="str">
        <f>IFERROR(__xludf.DUMMYFUNCTION("ARRAY_CONSTRAIN(
  ARRAYFORMULA(
    IFERROR(
      LET(
        list, N1994,
        arr, TRIM(SPLIT(list, "","")),
        names, XLOOKUP(
          arr,
          'Conformance Score'!A:A,
          'Conformance Score'!B:B,
          ""Not found""
     "&amp;"   ),
        TEXTJOIN("", "", TRUE, names)
      ),
      """"
    )
  ),
  1,
  1
)
"),"")</f>
        <v/>
      </c>
      <c r="P1994" s="105" t="str">
        <f>IF(F1994="Yes", IFERROR(VLOOKUP(D1994, Repository!A:F, 6, 0), ""), "")</f>
        <v/>
      </c>
      <c r="Q1994" s="105" t="str">
        <f>IF(F1994="Yes", IFERROR(VLOOKUP(D1994, Repository!A:I, 8, 0), ""), "")</f>
        <v/>
      </c>
      <c r="R1994" s="105" t="str">
        <f>IF(F1994="Yes", IFERROR(VLOOKUP(D1994, Repository!A:J, 9, 0), ""), "")</f>
        <v/>
      </c>
      <c r="S1994" s="105"/>
      <c r="T1994" s="105"/>
      <c r="U1994" s="105"/>
      <c r="V1994" s="105"/>
      <c r="W1994" s="105"/>
      <c r="X1994" s="105"/>
      <c r="Y1994" s="105"/>
      <c r="Z1994" s="105"/>
      <c r="AA1994" s="105"/>
      <c r="AB1994" s="105"/>
      <c r="AC1994" s="91"/>
      <c r="AD1994" s="105"/>
      <c r="AE1994" s="105"/>
      <c r="AF1994" s="91"/>
      <c r="AG1994" s="105"/>
      <c r="AH1994" s="105"/>
      <c r="AI1994" s="105" t="str">
        <f t="shared" si="1"/>
        <v/>
      </c>
      <c r="AJ1994" s="108" t="str">
        <f t="shared" si="2"/>
        <v/>
      </c>
    </row>
    <row r="1995" ht="15.75" customHeight="1">
      <c r="A1995" s="104"/>
      <c r="B1995" s="105" t="str">
        <f>IFERROR(__xludf.DUMMYFUNCTION("ARRAY_CONSTRAIN(
  ARRAYFORMULA(
    IF(
      'Final Report'!A1995="""",
      """",
      TEXTJOIN(
        "", "" &amp; CHAR(10),
        TRUE,
        IFERROR(
          VLOOKUP(
            TRIM(
              SPLIT('Final Report'!A1995, "","")
         "&amp;"   ),
            'URL Details'!A:B,
            2,
            FALSE
          ),
          """"
        )
      )
    )
  ),
  1,
  1
)
"),"")</f>
        <v/>
      </c>
      <c r="C1995" s="105" t="str">
        <f>IFERROR(__xludf.DUMMYFUNCTION("IFERROR(IF('Final Report'!A1995="""","""", TEXTJOIN(CHAR(10), TRUE, ARRAYFORMULA( ""• ""&amp; FILTER( TRIM(FLATTEN(SPLIT( REGEXREPLACE( SUBSTITUTE(TEXTJOIN("","", TRUE, IFERROR(ARRAYFORMULA(VLOOKUP(TRIM(SPLIT('Final Report'!A1995, "","")), 'URL Details'!A:D, "&amp;"4, FALSE)),"""") ), CHAR(10), "",""), ""\s*,\s*"", "",""), "",""))), TRIM(FLATTEN(SPLIT( REGEXREPLACE( SUBSTITUTE(TEXTJOIN("","", TRUE, IFERROR(ARRAYFORMULA(VLOOKUP(TRIM(SPLIT('Final Report'!A1995, "","")), 'URL Details'!A:D, 4, FALSE)),"""") ), CHAR(10),"&amp;" "",""), ""\s*,\s*"", "",""), "","")))&lt;&gt;"""" ) ) ) ),"""")
"),"")</f>
        <v/>
      </c>
      <c r="D1995" s="105"/>
      <c r="E1995" s="105"/>
      <c r="F1995" s="110" t="b">
        <v>0</v>
      </c>
      <c r="G1995" s="105" t="str">
        <f>IF(F1995=True, IFERROR(VLOOKUP(D1995, Repository!A:B, 2, 0), ""), "")</f>
        <v/>
      </c>
      <c r="H1995" s="105"/>
      <c r="I1995" s="105"/>
      <c r="J1995" s="105" t="str">
        <f>IF(F1995=True, IFERROR(VLOOKUP(D1995, Repository!A:C, 3, 0), ""), "")</f>
        <v/>
      </c>
      <c r="K1995" s="105"/>
      <c r="L1995" s="105" t="str">
        <f>IF(F1995=True, IFERROR(VLOOKUP(D1995, Repository!A:E, 5, 0), ""), "")</f>
        <v/>
      </c>
      <c r="M1995" s="105"/>
      <c r="N1995" s="105" t="str">
        <f>IF(F1995=True, IFERROR(VLOOKUP(D1995, Repository!A:G, 7, 0), ""), "")</f>
        <v/>
      </c>
      <c r="O1995" s="105" t="str">
        <f>IFERROR(__xludf.DUMMYFUNCTION("ARRAY_CONSTRAIN(
  ARRAYFORMULA(
    IFERROR(
      LET(
        list, N1995,
        arr, TRIM(SPLIT(list, "","")),
        names, XLOOKUP(
          arr,
          'Conformance Score'!A:A,
          'Conformance Score'!B:B,
          ""Not found""
     "&amp;"   ),
        TEXTJOIN("", "", TRUE, names)
      ),
      """"
    )
  ),
  1,
  1
)
"),"")</f>
        <v/>
      </c>
      <c r="P1995" s="105" t="str">
        <f>IF(F1995="Yes", IFERROR(VLOOKUP(D1995, Repository!A:F, 6, 0), ""), "")</f>
        <v/>
      </c>
      <c r="Q1995" s="105" t="str">
        <f>IF(F1995="Yes", IFERROR(VLOOKUP(D1995, Repository!A:I, 8, 0), ""), "")</f>
        <v/>
      </c>
      <c r="R1995" s="105" t="str">
        <f>IF(F1995="Yes", IFERROR(VLOOKUP(D1995, Repository!A:J, 9, 0), ""), "")</f>
        <v/>
      </c>
      <c r="S1995" s="105"/>
      <c r="T1995" s="105"/>
      <c r="U1995" s="105"/>
      <c r="V1995" s="105"/>
      <c r="W1995" s="105"/>
      <c r="X1995" s="105"/>
      <c r="Y1995" s="105"/>
      <c r="Z1995" s="105"/>
      <c r="AA1995" s="105"/>
      <c r="AB1995" s="105"/>
      <c r="AC1995" s="91"/>
      <c r="AD1995" s="105"/>
      <c r="AE1995" s="105"/>
      <c r="AF1995" s="91"/>
      <c r="AG1995" s="105"/>
      <c r="AH1995" s="105"/>
      <c r="AI1995" s="105" t="str">
        <f t="shared" si="1"/>
        <v/>
      </c>
      <c r="AJ1995" s="108" t="str">
        <f t="shared" si="2"/>
        <v/>
      </c>
    </row>
    <row r="1996" ht="15.75" customHeight="1">
      <c r="A1996" s="104"/>
      <c r="B1996" s="105" t="str">
        <f>IFERROR(__xludf.DUMMYFUNCTION("ARRAY_CONSTRAIN(
  ARRAYFORMULA(
    IF(
      'Final Report'!A1996="""",
      """",
      TEXTJOIN(
        "", "" &amp; CHAR(10),
        TRUE,
        IFERROR(
          VLOOKUP(
            TRIM(
              SPLIT('Final Report'!A1996, "","")
         "&amp;"   ),
            'URL Details'!A:B,
            2,
            FALSE
          ),
          """"
        )
      )
    )
  ),
  1,
  1
)
"),"")</f>
        <v/>
      </c>
      <c r="C1996" s="105" t="str">
        <f>IFERROR(__xludf.DUMMYFUNCTION("IFERROR(IF('Final Report'!A1996="""","""", TEXTJOIN(CHAR(10), TRUE, ARRAYFORMULA( ""• ""&amp; FILTER( TRIM(FLATTEN(SPLIT( REGEXREPLACE( SUBSTITUTE(TEXTJOIN("","", TRUE, IFERROR(ARRAYFORMULA(VLOOKUP(TRIM(SPLIT('Final Report'!A1996, "","")), 'URL Details'!A:D, "&amp;"4, FALSE)),"""") ), CHAR(10), "",""), ""\s*,\s*"", "",""), "",""))), TRIM(FLATTEN(SPLIT( REGEXREPLACE( SUBSTITUTE(TEXTJOIN("","", TRUE, IFERROR(ARRAYFORMULA(VLOOKUP(TRIM(SPLIT('Final Report'!A1996, "","")), 'URL Details'!A:D, 4, FALSE)),"""") ), CHAR(10),"&amp;" "",""), ""\s*,\s*"", "",""), "","")))&lt;&gt;"""" ) ) ) ),"""")
"),"")</f>
        <v/>
      </c>
      <c r="D1996" s="105"/>
      <c r="E1996" s="105"/>
      <c r="F1996" s="110" t="b">
        <v>0</v>
      </c>
      <c r="G1996" s="105" t="str">
        <f>IF(F1996=True, IFERROR(VLOOKUP(D1996, Repository!A:B, 2, 0), ""), "")</f>
        <v/>
      </c>
      <c r="H1996" s="105"/>
      <c r="I1996" s="105"/>
      <c r="J1996" s="105" t="str">
        <f>IF(F1996=True, IFERROR(VLOOKUP(D1996, Repository!A:C, 3, 0), ""), "")</f>
        <v/>
      </c>
      <c r="K1996" s="105"/>
      <c r="L1996" s="105" t="str">
        <f>IF(F1996=True, IFERROR(VLOOKUP(D1996, Repository!A:E, 5, 0), ""), "")</f>
        <v/>
      </c>
      <c r="M1996" s="105"/>
      <c r="N1996" s="105" t="str">
        <f>IF(F1996=True, IFERROR(VLOOKUP(D1996, Repository!A:G, 7, 0), ""), "")</f>
        <v/>
      </c>
      <c r="O1996" s="105" t="str">
        <f>IFERROR(__xludf.DUMMYFUNCTION("ARRAY_CONSTRAIN(
  ARRAYFORMULA(
    IFERROR(
      LET(
        list, N1996,
        arr, TRIM(SPLIT(list, "","")),
        names, XLOOKUP(
          arr,
          'Conformance Score'!A:A,
          'Conformance Score'!B:B,
          ""Not found""
     "&amp;"   ),
        TEXTJOIN("", "", TRUE, names)
      ),
      """"
    )
  ),
  1,
  1
)
"),"")</f>
        <v/>
      </c>
      <c r="P1996" s="105" t="str">
        <f>IF(F1996="Yes", IFERROR(VLOOKUP(D1996, Repository!A:F, 6, 0), ""), "")</f>
        <v/>
      </c>
      <c r="Q1996" s="105" t="str">
        <f>IF(F1996="Yes", IFERROR(VLOOKUP(D1996, Repository!A:I, 8, 0), ""), "")</f>
        <v/>
      </c>
      <c r="R1996" s="105" t="str">
        <f>IF(F1996="Yes", IFERROR(VLOOKUP(D1996, Repository!A:J, 9, 0), ""), "")</f>
        <v/>
      </c>
      <c r="S1996" s="105"/>
      <c r="T1996" s="105"/>
      <c r="U1996" s="105"/>
      <c r="V1996" s="105"/>
      <c r="W1996" s="105"/>
      <c r="X1996" s="105"/>
      <c r="Y1996" s="105"/>
      <c r="Z1996" s="105"/>
      <c r="AA1996" s="105"/>
      <c r="AB1996" s="105"/>
      <c r="AC1996" s="91"/>
      <c r="AD1996" s="105"/>
      <c r="AE1996" s="105"/>
      <c r="AF1996" s="91"/>
      <c r="AG1996" s="105"/>
      <c r="AH1996" s="105"/>
      <c r="AI1996" s="105" t="str">
        <f t="shared" si="1"/>
        <v/>
      </c>
      <c r="AJ1996" s="108" t="str">
        <f t="shared" si="2"/>
        <v/>
      </c>
    </row>
    <row r="1997" ht="15.75" customHeight="1">
      <c r="A1997" s="104"/>
      <c r="B1997" s="105" t="str">
        <f>IFERROR(__xludf.DUMMYFUNCTION("ARRAY_CONSTRAIN(
  ARRAYFORMULA(
    IF(
      'Final Report'!A1997="""",
      """",
      TEXTJOIN(
        "", "" &amp; CHAR(10),
        TRUE,
        IFERROR(
          VLOOKUP(
            TRIM(
              SPLIT('Final Report'!A1997, "","")
         "&amp;"   ),
            'URL Details'!A:B,
            2,
            FALSE
          ),
          """"
        )
      )
    )
  ),
  1,
  1
)
"),"")</f>
        <v/>
      </c>
      <c r="C1997" s="105" t="str">
        <f>IFERROR(__xludf.DUMMYFUNCTION("IFERROR(IF('Final Report'!A1997="""","""", TEXTJOIN(CHAR(10), TRUE, ARRAYFORMULA( ""• ""&amp; FILTER( TRIM(FLATTEN(SPLIT( REGEXREPLACE( SUBSTITUTE(TEXTJOIN("","", TRUE, IFERROR(ARRAYFORMULA(VLOOKUP(TRIM(SPLIT('Final Report'!A1997, "","")), 'URL Details'!A:D, "&amp;"4, FALSE)),"""") ), CHAR(10), "",""), ""\s*,\s*"", "",""), "",""))), TRIM(FLATTEN(SPLIT( REGEXREPLACE( SUBSTITUTE(TEXTJOIN("","", TRUE, IFERROR(ARRAYFORMULA(VLOOKUP(TRIM(SPLIT('Final Report'!A1997, "","")), 'URL Details'!A:D, 4, FALSE)),"""") ), CHAR(10),"&amp;" "",""), ""\s*,\s*"", "",""), "","")))&lt;&gt;"""" ) ) ) ),"""")
"),"")</f>
        <v/>
      </c>
      <c r="D1997" s="105"/>
      <c r="E1997" s="105"/>
      <c r="F1997" s="110" t="b">
        <v>0</v>
      </c>
      <c r="G1997" s="105" t="str">
        <f>IF(F1997=True, IFERROR(VLOOKUP(D1997, Repository!A:B, 2, 0), ""), "")</f>
        <v/>
      </c>
      <c r="H1997" s="105"/>
      <c r="I1997" s="105"/>
      <c r="J1997" s="105" t="str">
        <f>IF(F1997=True, IFERROR(VLOOKUP(D1997, Repository!A:C, 3, 0), ""), "")</f>
        <v/>
      </c>
      <c r="K1997" s="105"/>
      <c r="L1997" s="105" t="str">
        <f>IF(F1997=True, IFERROR(VLOOKUP(D1997, Repository!A:E, 5, 0), ""), "")</f>
        <v/>
      </c>
      <c r="M1997" s="105"/>
      <c r="N1997" s="105" t="str">
        <f>IF(F1997=True, IFERROR(VLOOKUP(D1997, Repository!A:G, 7, 0), ""), "")</f>
        <v/>
      </c>
      <c r="O1997" s="105" t="str">
        <f>IFERROR(__xludf.DUMMYFUNCTION("ARRAY_CONSTRAIN(
  ARRAYFORMULA(
    IFERROR(
      LET(
        list, N1997,
        arr, TRIM(SPLIT(list, "","")),
        names, XLOOKUP(
          arr,
          'Conformance Score'!A:A,
          'Conformance Score'!B:B,
          ""Not found""
     "&amp;"   ),
        TEXTJOIN("", "", TRUE, names)
      ),
      """"
    )
  ),
  1,
  1
)
"),"")</f>
        <v/>
      </c>
      <c r="P1997" s="105" t="str">
        <f>IF(F1997="Yes", IFERROR(VLOOKUP(D1997, Repository!A:F, 6, 0), ""), "")</f>
        <v/>
      </c>
      <c r="Q1997" s="105" t="str">
        <f>IF(F1997="Yes", IFERROR(VLOOKUP(D1997, Repository!A:I, 8, 0), ""), "")</f>
        <v/>
      </c>
      <c r="R1997" s="105" t="str">
        <f>IF(F1997="Yes", IFERROR(VLOOKUP(D1997, Repository!A:J, 9, 0), ""), "")</f>
        <v/>
      </c>
      <c r="S1997" s="105"/>
      <c r="T1997" s="105"/>
      <c r="U1997" s="105"/>
      <c r="V1997" s="105"/>
      <c r="W1997" s="105"/>
      <c r="X1997" s="105"/>
      <c r="Y1997" s="105"/>
      <c r="Z1997" s="105"/>
      <c r="AA1997" s="105"/>
      <c r="AB1997" s="105"/>
      <c r="AC1997" s="91"/>
      <c r="AD1997" s="105"/>
      <c r="AE1997" s="105"/>
      <c r="AF1997" s="91"/>
      <c r="AG1997" s="105"/>
      <c r="AH1997" s="105"/>
      <c r="AI1997" s="105" t="str">
        <f t="shared" si="1"/>
        <v/>
      </c>
      <c r="AJ1997" s="108" t="str">
        <f t="shared" si="2"/>
        <v/>
      </c>
    </row>
    <row r="1998" ht="15.75" customHeight="1">
      <c r="A1998" s="104"/>
      <c r="B1998" s="105" t="str">
        <f>IFERROR(__xludf.DUMMYFUNCTION("ARRAY_CONSTRAIN(
  ARRAYFORMULA(
    IF(
      'Final Report'!A1998="""",
      """",
      TEXTJOIN(
        "", "" &amp; CHAR(10),
        TRUE,
        IFERROR(
          VLOOKUP(
            TRIM(
              SPLIT('Final Report'!A1998, "","")
         "&amp;"   ),
            'URL Details'!A:B,
            2,
            FALSE
          ),
          """"
        )
      )
    )
  ),
  1,
  1
)
"),"")</f>
        <v/>
      </c>
      <c r="C1998" s="105" t="str">
        <f>IFERROR(__xludf.DUMMYFUNCTION("IFERROR(IF('Final Report'!A1998="""","""", TEXTJOIN(CHAR(10), TRUE, ARRAYFORMULA( ""• ""&amp; FILTER( TRIM(FLATTEN(SPLIT( REGEXREPLACE( SUBSTITUTE(TEXTJOIN("","", TRUE, IFERROR(ARRAYFORMULA(VLOOKUP(TRIM(SPLIT('Final Report'!A1998, "","")), 'URL Details'!A:D, "&amp;"4, FALSE)),"""") ), CHAR(10), "",""), ""\s*,\s*"", "",""), "",""))), TRIM(FLATTEN(SPLIT( REGEXREPLACE( SUBSTITUTE(TEXTJOIN("","", TRUE, IFERROR(ARRAYFORMULA(VLOOKUP(TRIM(SPLIT('Final Report'!A1998, "","")), 'URL Details'!A:D, 4, FALSE)),"""") ), CHAR(10),"&amp;" "",""), ""\s*,\s*"", "",""), "","")))&lt;&gt;"""" ) ) ) ),"""")
"),"")</f>
        <v/>
      </c>
      <c r="D1998" s="105"/>
      <c r="E1998" s="105"/>
      <c r="F1998" s="110" t="b">
        <v>0</v>
      </c>
      <c r="G1998" s="105" t="str">
        <f>IF(F1998=True, IFERROR(VLOOKUP(D1998, Repository!A:B, 2, 0), ""), "")</f>
        <v/>
      </c>
      <c r="H1998" s="105"/>
      <c r="I1998" s="105"/>
      <c r="J1998" s="105" t="str">
        <f>IF(F1998=True, IFERROR(VLOOKUP(D1998, Repository!A:C, 3, 0), ""), "")</f>
        <v/>
      </c>
      <c r="K1998" s="105"/>
      <c r="L1998" s="105" t="str">
        <f>IF(F1998=True, IFERROR(VLOOKUP(D1998, Repository!A:E, 5, 0), ""), "")</f>
        <v/>
      </c>
      <c r="M1998" s="105"/>
      <c r="N1998" s="105" t="str">
        <f>IF(F1998=True, IFERROR(VLOOKUP(D1998, Repository!A:G, 7, 0), ""), "")</f>
        <v/>
      </c>
      <c r="O1998" s="105" t="str">
        <f>IFERROR(__xludf.DUMMYFUNCTION("ARRAY_CONSTRAIN(
  ARRAYFORMULA(
    IFERROR(
      LET(
        list, N1998,
        arr, TRIM(SPLIT(list, "","")),
        names, XLOOKUP(
          arr,
          'Conformance Score'!A:A,
          'Conformance Score'!B:B,
          ""Not found""
     "&amp;"   ),
        TEXTJOIN("", "", TRUE, names)
      ),
      """"
    )
  ),
  1,
  1
)
"),"")</f>
        <v/>
      </c>
      <c r="P1998" s="105" t="str">
        <f>IF(F1998="Yes", IFERROR(VLOOKUP(D1998, Repository!A:F, 6, 0), ""), "")</f>
        <v/>
      </c>
      <c r="Q1998" s="105" t="str">
        <f>IF(F1998="Yes", IFERROR(VLOOKUP(D1998, Repository!A:I, 8, 0), ""), "")</f>
        <v/>
      </c>
      <c r="R1998" s="105" t="str">
        <f>IF(F1998="Yes", IFERROR(VLOOKUP(D1998, Repository!A:J, 9, 0), ""), "")</f>
        <v/>
      </c>
      <c r="S1998" s="105"/>
      <c r="T1998" s="105"/>
      <c r="U1998" s="105"/>
      <c r="V1998" s="105"/>
      <c r="W1998" s="105"/>
      <c r="X1998" s="105"/>
      <c r="Y1998" s="105"/>
      <c r="Z1998" s="105"/>
      <c r="AA1998" s="105"/>
      <c r="AB1998" s="105"/>
      <c r="AC1998" s="91"/>
      <c r="AD1998" s="105"/>
      <c r="AE1998" s="105"/>
      <c r="AF1998" s="91"/>
      <c r="AG1998" s="105"/>
      <c r="AH1998" s="105"/>
      <c r="AI1998" s="105" t="str">
        <f t="shared" si="1"/>
        <v/>
      </c>
      <c r="AJ1998" s="108" t="str">
        <f t="shared" si="2"/>
        <v/>
      </c>
    </row>
    <row r="1999" ht="15.75" customHeight="1">
      <c r="A1999" s="104"/>
      <c r="B1999" s="105" t="str">
        <f>IFERROR(__xludf.DUMMYFUNCTION("ARRAY_CONSTRAIN(
  ARRAYFORMULA(
    IF(
      'Final Report'!A1999="""",
      """",
      TEXTJOIN(
        "", "" &amp; CHAR(10),
        TRUE,
        IFERROR(
          VLOOKUP(
            TRIM(
              SPLIT('Final Report'!A1999, "","")
         "&amp;"   ),
            'URL Details'!A:B,
            2,
            FALSE
          ),
          """"
        )
      )
    )
  ),
  1,
  1
)
"),"")</f>
        <v/>
      </c>
      <c r="C1999" s="105" t="str">
        <f>IFERROR(__xludf.DUMMYFUNCTION("IFERROR(IF('Final Report'!A1999="""","""", TEXTJOIN(CHAR(10), TRUE, ARRAYFORMULA( ""• ""&amp; FILTER( TRIM(FLATTEN(SPLIT( REGEXREPLACE( SUBSTITUTE(TEXTJOIN("","", TRUE, IFERROR(ARRAYFORMULA(VLOOKUP(TRIM(SPLIT('Final Report'!A1999, "","")), 'URL Details'!A:D, "&amp;"4, FALSE)),"""") ), CHAR(10), "",""), ""\s*,\s*"", "",""), "",""))), TRIM(FLATTEN(SPLIT( REGEXREPLACE( SUBSTITUTE(TEXTJOIN("","", TRUE, IFERROR(ARRAYFORMULA(VLOOKUP(TRIM(SPLIT('Final Report'!A1999, "","")), 'URL Details'!A:D, 4, FALSE)),"""") ), CHAR(10),"&amp;" "",""), ""\s*,\s*"", "",""), "","")))&lt;&gt;"""" ) ) ) ),"""")
"),"")</f>
        <v/>
      </c>
      <c r="D1999" s="105"/>
      <c r="E1999" s="105"/>
      <c r="F1999" s="110" t="b">
        <v>0</v>
      </c>
      <c r="G1999" s="105" t="str">
        <f>IF(F1999=True, IFERROR(VLOOKUP(D1999, Repository!A:B, 2, 0), ""), "")</f>
        <v/>
      </c>
      <c r="H1999" s="105"/>
      <c r="I1999" s="105"/>
      <c r="J1999" s="105" t="str">
        <f>IF(F1999=True, IFERROR(VLOOKUP(D1999, Repository!A:C, 3, 0), ""), "")</f>
        <v/>
      </c>
      <c r="K1999" s="105"/>
      <c r="L1999" s="105" t="str">
        <f>IF(F1999=True, IFERROR(VLOOKUP(D1999, Repository!A:E, 5, 0), ""), "")</f>
        <v/>
      </c>
      <c r="M1999" s="105"/>
      <c r="N1999" s="105" t="str">
        <f>IF(F1999=True, IFERROR(VLOOKUP(D1999, Repository!A:G, 7, 0), ""), "")</f>
        <v/>
      </c>
      <c r="O1999" s="105" t="str">
        <f>IFERROR(__xludf.DUMMYFUNCTION("ARRAY_CONSTRAIN(
  ARRAYFORMULA(
    IFERROR(
      LET(
        list, N1999,
        arr, TRIM(SPLIT(list, "","")),
        names, XLOOKUP(
          arr,
          'Conformance Score'!A:A,
          'Conformance Score'!B:B,
          ""Not found""
     "&amp;"   ),
        TEXTJOIN("", "", TRUE, names)
      ),
      """"
    )
  ),
  1,
  1
)
"),"")</f>
        <v/>
      </c>
      <c r="P1999" s="105" t="str">
        <f>IF(F1999="Yes", IFERROR(VLOOKUP(D1999, Repository!A:F, 6, 0), ""), "")</f>
        <v/>
      </c>
      <c r="Q1999" s="105" t="str">
        <f>IF(F1999="Yes", IFERROR(VLOOKUP(D1999, Repository!A:I, 8, 0), ""), "")</f>
        <v/>
      </c>
      <c r="R1999" s="105" t="str">
        <f>IF(F1999="Yes", IFERROR(VLOOKUP(D1999, Repository!A:J, 9, 0), ""), "")</f>
        <v/>
      </c>
      <c r="S1999" s="105"/>
      <c r="T1999" s="105"/>
      <c r="U1999" s="105"/>
      <c r="V1999" s="105"/>
      <c r="W1999" s="105"/>
      <c r="X1999" s="105"/>
      <c r="Y1999" s="105"/>
      <c r="Z1999" s="105"/>
      <c r="AA1999" s="105"/>
      <c r="AB1999" s="105"/>
      <c r="AC1999" s="91"/>
      <c r="AD1999" s="105"/>
      <c r="AE1999" s="105"/>
      <c r="AF1999" s="91"/>
      <c r="AG1999" s="105"/>
      <c r="AH1999" s="105"/>
      <c r="AI1999" s="105" t="str">
        <f t="shared" si="1"/>
        <v/>
      </c>
      <c r="AJ1999" s="108" t="str">
        <f t="shared" si="2"/>
        <v/>
      </c>
    </row>
    <row r="2000" ht="15.75" customHeight="1">
      <c r="A2000" s="104"/>
      <c r="B2000" s="105" t="str">
        <f>IFERROR(__xludf.DUMMYFUNCTION("ARRAY_CONSTRAIN(
  ARRAYFORMULA(
    IF(
      'Final Report'!A2000="""",
      """",
      TEXTJOIN(
        "", "" &amp; CHAR(10),
        TRUE,
        IFERROR(
          VLOOKUP(
            TRIM(
              SPLIT('Final Report'!A2000, "","")
         "&amp;"   ),
            'URL Details'!A:B,
            2,
            FALSE
          ),
          """"
        )
      )
    )
  ),
  1,
  1
)
"),"")</f>
        <v/>
      </c>
      <c r="C2000" s="105" t="str">
        <f>IFERROR(__xludf.DUMMYFUNCTION("IFERROR(IF('Final Report'!A2000="""","""", TEXTJOIN(CHAR(10), TRUE, ARRAYFORMULA( ""• ""&amp; FILTER( TRIM(FLATTEN(SPLIT( REGEXREPLACE( SUBSTITUTE(TEXTJOIN("","", TRUE, IFERROR(ARRAYFORMULA(VLOOKUP(TRIM(SPLIT('Final Report'!A2000, "","")), 'URL Details'!A:D, "&amp;"4, FALSE)),"""") ), CHAR(10), "",""), ""\s*,\s*"", "",""), "",""))), TRIM(FLATTEN(SPLIT( REGEXREPLACE( SUBSTITUTE(TEXTJOIN("","", TRUE, IFERROR(ARRAYFORMULA(VLOOKUP(TRIM(SPLIT('Final Report'!A2000, "","")), 'URL Details'!A:D, 4, FALSE)),"""") ), CHAR(10),"&amp;" "",""), ""\s*,\s*"", "",""), "","")))&lt;&gt;"""" ) ) ) ),"""")
"),"")</f>
        <v/>
      </c>
      <c r="D2000" s="111"/>
      <c r="E2000" s="111"/>
      <c r="F2000" s="110" t="b">
        <v>0</v>
      </c>
      <c r="G2000" s="105" t="str">
        <f>IF(F2000=True, IFERROR(VLOOKUP(D2000, Repository!A:B, 2, 0), ""), "")</f>
        <v/>
      </c>
      <c r="H2000" s="111"/>
      <c r="I2000" s="111"/>
      <c r="J2000" s="105" t="str">
        <f>IF(F2000=True, IFERROR(VLOOKUP(D2000, Repository!A:C, 3, 0), ""), "")</f>
        <v/>
      </c>
      <c r="K2000" s="111"/>
      <c r="L2000" s="105" t="str">
        <f>IF(F2000=True, IFERROR(VLOOKUP(D2000, Repository!A:E, 5, 0), ""), "")</f>
        <v/>
      </c>
      <c r="M2000" s="111"/>
      <c r="N2000" s="105" t="str">
        <f>IF(F2000=True, IFERROR(VLOOKUP(D2000, Repository!A:G, 7, 0), ""), "")</f>
        <v/>
      </c>
      <c r="O2000" s="105" t="str">
        <f>IFERROR(__xludf.DUMMYFUNCTION("ARRAY_CONSTRAIN(
  ARRAYFORMULA(
    IFERROR(
      LET(
        list, N2000,
        arr, TRIM(SPLIT(list, "","")),
        names, XLOOKUP(
          arr,
          'Conformance Score'!A:A,
          'Conformance Score'!B:B,
          ""Not found""
     "&amp;"   ),
        TEXTJOIN("", "", TRUE, names)
      ),
      """"
    )
  ),
  1,
  1
)
"),"")</f>
        <v/>
      </c>
      <c r="P2000" s="111" t="str">
        <f>IF(F2000="Yes", IFERROR(VLOOKUP(D2000, Repository!A:F, 6, 0), ""), "")</f>
        <v/>
      </c>
      <c r="Q2000" s="111" t="str">
        <f>IF(F2000="Yes", IFERROR(VLOOKUP(D2000, Repository!A:I, 8, 0), ""), "")</f>
        <v/>
      </c>
      <c r="R2000" s="111" t="str">
        <f>IF(F2000="Yes", IFERROR(VLOOKUP(D2000, Repository!A:J, 9, 0), ""), "")</f>
        <v/>
      </c>
      <c r="S2000" s="105"/>
      <c r="T2000" s="105"/>
      <c r="U2000" s="105"/>
      <c r="V2000" s="105"/>
      <c r="W2000" s="105"/>
      <c r="X2000" s="105"/>
      <c r="Y2000" s="105"/>
      <c r="Z2000" s="105"/>
      <c r="AA2000" s="111"/>
      <c r="AB2000" s="111"/>
      <c r="AC2000" s="112"/>
      <c r="AD2000" s="111"/>
      <c r="AE2000" s="111"/>
      <c r="AF2000" s="112"/>
      <c r="AG2000" s="111"/>
      <c r="AH2000" s="111"/>
      <c r="AI2000" s="111" t="str">
        <f t="shared" si="1"/>
        <v/>
      </c>
      <c r="AJ2000" s="113" t="str">
        <f t="shared" si="2"/>
        <v/>
      </c>
    </row>
  </sheetData>
  <dataValidations>
    <dataValidation type="list" allowBlank="1" showErrorMessage="1" sqref="AH2:AH2000">
      <formula1>qaStatus</formula1>
    </dataValidation>
    <dataValidation type="list" allowBlank="1" showErrorMessage="1" sqref="AF2:AF2000">
      <formula1>allQAs</formula1>
    </dataValidation>
    <dataValidation type="list" allowBlank="1" showErrorMessage="1" sqref="M2:M2000">
      <formula1>userImpact</formula1>
    </dataValidation>
    <dataValidation type="list" allowBlank="1" showErrorMessage="1" sqref="D2:D2000">
      <formula1>Repository!$A$2:$A$1000</formula1>
    </dataValidation>
    <dataValidation type="list" allowBlank="1" showErrorMessage="1" sqref="AC2:AC2000">
      <formula1>allTesters</formula1>
    </dataValidation>
    <dataValidation type="list" allowBlank="1" showErrorMessage="1" sqref="A2:A2000">
      <formula1>'URL Details'!$A$2:$A$1000</formula1>
    </dataValidation>
    <dataValidation type="list" allowBlank="1" showErrorMessage="1" sqref="AA2:AA2000">
      <formula1>devStatus</formula1>
    </dataValidation>
    <dataValidation type="list" allowBlank="1" showErrorMessage="1" sqref="S2:Z2000">
      <formula1>envStatus</formula1>
    </dataValidation>
    <dataValidation type="list" allowBlank="1" showErrorMessage="1" sqref="AE2:AE2000">
      <formula1>testerStatus</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30.63"/>
    <col customWidth="1" min="3" max="3" width="25.25"/>
    <col customWidth="1" min="4" max="4" width="7.13"/>
    <col customWidth="1" min="5" max="5" width="5.75"/>
    <col customWidth="1" min="6" max="6" width="6.88"/>
    <col customWidth="1" min="7" max="7" width="6.75"/>
    <col customWidth="1" min="8" max="9" width="5.38"/>
    <col customWidth="1" min="10" max="10" width="8.25"/>
    <col customWidth="1" min="11" max="11" width="5.88"/>
    <col customWidth="1" min="12" max="12" width="18.38"/>
    <col customWidth="1" min="13" max="13" width="11.25"/>
    <col customWidth="1" min="14" max="26" width="8.63"/>
  </cols>
  <sheetData>
    <row r="1">
      <c r="A1" s="114" t="s">
        <v>181</v>
      </c>
      <c r="B1" s="115" t="s">
        <v>182</v>
      </c>
      <c r="C1" s="116" t="s">
        <v>183</v>
      </c>
      <c r="D1" s="116" t="s">
        <v>156</v>
      </c>
      <c r="E1" s="116" t="s">
        <v>184</v>
      </c>
      <c r="F1" s="116" t="s">
        <v>185</v>
      </c>
      <c r="G1" s="116" t="s">
        <v>186</v>
      </c>
      <c r="H1" s="116" t="s">
        <v>187</v>
      </c>
      <c r="I1" s="116" t="s">
        <v>188</v>
      </c>
      <c r="J1" s="116" t="s">
        <v>189</v>
      </c>
      <c r="K1" s="116" t="s">
        <v>190</v>
      </c>
      <c r="L1" s="116" t="s">
        <v>191</v>
      </c>
      <c r="M1" s="117" t="s">
        <v>192</v>
      </c>
    </row>
    <row r="2">
      <c r="A2" s="42" t="s">
        <v>193</v>
      </c>
      <c r="B2" s="118" t="s">
        <v>194</v>
      </c>
      <c r="C2" s="43" t="s">
        <v>195</v>
      </c>
      <c r="D2" s="43" t="s">
        <v>186</v>
      </c>
      <c r="E2" s="43">
        <f>COUNTIFS('Final Report'!$N:$N, "*" &amp; $A2 &amp; "*")</f>
        <v>0</v>
      </c>
      <c r="F2" s="43">
        <f>COUNTIFS('Final Report'!$N:$N, $A2, 'Final Report'!$L:$L, F$1)</f>
        <v>0</v>
      </c>
      <c r="G2" s="43">
        <f>COUNTIFS('Final Report'!$N:$N, $A2, 'Final Report'!$L:$L, G$1)</f>
        <v>0</v>
      </c>
      <c r="H2" s="43">
        <f>COUNTIFS('Final Report'!$N:$N, $A2, 'Final Report'!$L:$L, H$1)</f>
        <v>0</v>
      </c>
      <c r="I2" s="43">
        <f>COUNTIFS('Final Report'!$N:$N, $A2, 'Final Report'!$L:$L, I$1)</f>
        <v>0</v>
      </c>
      <c r="J2" s="43" t="str">
        <f t="shared" ref="J2:J57" si="1">IF(E2=0, "Pass", "Fail")</f>
        <v>Pass</v>
      </c>
      <c r="K2" s="43">
        <f t="shared" ref="K2:K57" si="2">IF(SUM(F2,G2,H2,I2)=0,
    IF(D2=F$1,-4,
    IF(D2=G$1,-3,
    IF(D2=H$1,-2,
    IF(D2=I$1,-1,0)))),
    (F2*4) + (G2*3) + (H2*2) + (I2*1)
)</f>
        <v>-3</v>
      </c>
      <c r="L2" s="43">
        <f t="shared" ref="L2:L57" si="3">IF(SUM(F2:I2)=0,
    IF(D2=F$1,1,
        IF(D2=G$1,0.75,
            IF(D2=H$1,0.5,
                IF(D2=I$1,0.25,0)
            )
        )
    ),
    IF(D2=F$1,-1,
        IF(D2=G$1,-0.75,
            IF(D2=H$1,-0.5,
                IF(D2=I$1,-0.25,0)
            )
        )
    )
)</f>
        <v>0.75</v>
      </c>
      <c r="M2" s="44">
        <f t="shared" ref="M2:M57" si="4">IF(SUM(F2:I2)=0,
   0,
   IF(D2=F$1, 4,
      IF(D2=G$1, 3,
         IF(D2=H$1, 2,
            IF(D2=I$1, 1, 0)
         )
      )
   )
)</f>
        <v>0</v>
      </c>
    </row>
    <row r="3">
      <c r="A3" s="119" t="s">
        <v>196</v>
      </c>
      <c r="B3" s="120" t="s">
        <v>197</v>
      </c>
      <c r="C3" s="121" t="s">
        <v>195</v>
      </c>
      <c r="D3" s="121" t="s">
        <v>187</v>
      </c>
      <c r="E3" s="43">
        <f>COUNTIFS('Final Report'!$N:$N, "*" &amp; $A3 &amp; "*")</f>
        <v>0</v>
      </c>
      <c r="F3" s="43">
        <f>COUNTIFS('Final Report'!$N:$N, $A3, 'Final Report'!$L:$L, F$1)</f>
        <v>0</v>
      </c>
      <c r="G3" s="43">
        <f>COUNTIFS('Final Report'!$N:$N, $A3, 'Final Report'!$L:$L, G$1)</f>
        <v>0</v>
      </c>
      <c r="H3" s="43">
        <f>COUNTIFS('Final Report'!$N:$N, $A3, 'Final Report'!$L:$L, H$1)</f>
        <v>0</v>
      </c>
      <c r="I3" s="43">
        <f>COUNTIFS('Final Report'!$N:$N, $A3, 'Final Report'!$L:$L, I$1)</f>
        <v>0</v>
      </c>
      <c r="J3" s="43" t="str">
        <f t="shared" si="1"/>
        <v>Pass</v>
      </c>
      <c r="K3" s="43">
        <f t="shared" si="2"/>
        <v>-2</v>
      </c>
      <c r="L3" s="43">
        <f t="shared" si="3"/>
        <v>0.5</v>
      </c>
      <c r="M3" s="44">
        <f t="shared" si="4"/>
        <v>0</v>
      </c>
    </row>
    <row r="4">
      <c r="A4" s="119" t="s">
        <v>198</v>
      </c>
      <c r="B4" s="120" t="s">
        <v>199</v>
      </c>
      <c r="C4" s="121" t="s">
        <v>195</v>
      </c>
      <c r="D4" s="121" t="s">
        <v>187</v>
      </c>
      <c r="E4" s="43">
        <f>COUNTIFS('Final Report'!$N:$N, "*" &amp; $A4 &amp; "*")</f>
        <v>0</v>
      </c>
      <c r="F4" s="43">
        <f>COUNTIFS('Final Report'!$N:$N, $A4, 'Final Report'!$L:$L, F$1)</f>
        <v>0</v>
      </c>
      <c r="G4" s="43">
        <f>COUNTIFS('Final Report'!$N:$N, $A4, 'Final Report'!$L:$L, G$1)</f>
        <v>0</v>
      </c>
      <c r="H4" s="43">
        <f>COUNTIFS('Final Report'!$N:$N, $A4, 'Final Report'!$L:$L, H$1)</f>
        <v>0</v>
      </c>
      <c r="I4" s="43">
        <f>COUNTIFS('Final Report'!$N:$N, $A4, 'Final Report'!$L:$L, I$1)</f>
        <v>0</v>
      </c>
      <c r="J4" s="43" t="str">
        <f t="shared" si="1"/>
        <v>Pass</v>
      </c>
      <c r="K4" s="43">
        <f t="shared" si="2"/>
        <v>-2</v>
      </c>
      <c r="L4" s="43">
        <f t="shared" si="3"/>
        <v>0.5</v>
      </c>
      <c r="M4" s="44">
        <f t="shared" si="4"/>
        <v>0</v>
      </c>
    </row>
    <row r="5">
      <c r="A5" s="119" t="s">
        <v>200</v>
      </c>
      <c r="B5" s="120" t="s">
        <v>201</v>
      </c>
      <c r="C5" s="121" t="s">
        <v>195</v>
      </c>
      <c r="D5" s="121" t="s">
        <v>187</v>
      </c>
      <c r="E5" s="43">
        <f>COUNTIFS('Final Report'!$N:$N, "*" &amp; $A5 &amp; "*")</f>
        <v>0</v>
      </c>
      <c r="F5" s="43">
        <f>COUNTIFS('Final Report'!$N:$N, $A5, 'Final Report'!$L:$L, F$1)</f>
        <v>0</v>
      </c>
      <c r="G5" s="43">
        <f>COUNTIFS('Final Report'!$N:$N, $A5, 'Final Report'!$L:$L, G$1)</f>
        <v>0</v>
      </c>
      <c r="H5" s="43">
        <f>COUNTIFS('Final Report'!$N:$N, $A5, 'Final Report'!$L:$L, H$1)</f>
        <v>0</v>
      </c>
      <c r="I5" s="43">
        <f>COUNTIFS('Final Report'!$N:$N, $A5, 'Final Report'!$L:$L, I$1)</f>
        <v>0</v>
      </c>
      <c r="J5" s="43" t="str">
        <f t="shared" si="1"/>
        <v>Pass</v>
      </c>
      <c r="K5" s="43">
        <f t="shared" si="2"/>
        <v>-2</v>
      </c>
      <c r="L5" s="43">
        <f t="shared" si="3"/>
        <v>0.5</v>
      </c>
      <c r="M5" s="44">
        <f t="shared" si="4"/>
        <v>0</v>
      </c>
    </row>
    <row r="6">
      <c r="A6" s="119" t="s">
        <v>202</v>
      </c>
      <c r="B6" s="120" t="s">
        <v>203</v>
      </c>
      <c r="C6" s="121" t="s">
        <v>204</v>
      </c>
      <c r="D6" s="121" t="s">
        <v>188</v>
      </c>
      <c r="E6" s="43">
        <f>COUNTIFS('Final Report'!$N:$N, "*" &amp; $A6 &amp; "*")</f>
        <v>0</v>
      </c>
      <c r="F6" s="43">
        <f>COUNTIFS('Final Report'!$N:$N, $A6, 'Final Report'!$L:$L, F$1)</f>
        <v>0</v>
      </c>
      <c r="G6" s="43">
        <f>COUNTIFS('Final Report'!$N:$N, $A6, 'Final Report'!$L:$L, G$1)</f>
        <v>0</v>
      </c>
      <c r="H6" s="43">
        <f>COUNTIFS('Final Report'!$N:$N, $A6, 'Final Report'!$L:$L, H$1)</f>
        <v>0</v>
      </c>
      <c r="I6" s="43">
        <f>COUNTIFS('Final Report'!$N:$N, $A6, 'Final Report'!$L:$L, I$1)</f>
        <v>0</v>
      </c>
      <c r="J6" s="43" t="str">
        <f t="shared" si="1"/>
        <v>Pass</v>
      </c>
      <c r="K6" s="43">
        <f t="shared" si="2"/>
        <v>-1</v>
      </c>
      <c r="L6" s="43">
        <f t="shared" si="3"/>
        <v>0.25</v>
      </c>
      <c r="M6" s="44">
        <f t="shared" si="4"/>
        <v>0</v>
      </c>
    </row>
    <row r="7">
      <c r="A7" s="119" t="s">
        <v>205</v>
      </c>
      <c r="B7" s="120" t="s">
        <v>206</v>
      </c>
      <c r="C7" s="121" t="s">
        <v>204</v>
      </c>
      <c r="D7" s="121" t="s">
        <v>187</v>
      </c>
      <c r="E7" s="43">
        <f>COUNTIFS('Final Report'!$N:$N, "*" &amp; $A7 &amp; "*")</f>
        <v>0</v>
      </c>
      <c r="F7" s="43">
        <f>COUNTIFS('Final Report'!$N:$N, $A7, 'Final Report'!$L:$L, F$1)</f>
        <v>0</v>
      </c>
      <c r="G7" s="43">
        <f>COUNTIFS('Final Report'!$N:$N, $A7, 'Final Report'!$L:$L, G$1)</f>
        <v>0</v>
      </c>
      <c r="H7" s="43">
        <f>COUNTIFS('Final Report'!$N:$N, $A7, 'Final Report'!$L:$L, H$1)</f>
        <v>0</v>
      </c>
      <c r="I7" s="43">
        <f>COUNTIFS('Final Report'!$N:$N, $A7, 'Final Report'!$L:$L, I$1)</f>
        <v>0</v>
      </c>
      <c r="J7" s="43" t="str">
        <f t="shared" si="1"/>
        <v>Pass</v>
      </c>
      <c r="K7" s="43">
        <f t="shared" si="2"/>
        <v>-2</v>
      </c>
      <c r="L7" s="43">
        <f t="shared" si="3"/>
        <v>0.5</v>
      </c>
      <c r="M7" s="44">
        <f t="shared" si="4"/>
        <v>0</v>
      </c>
    </row>
    <row r="8">
      <c r="A8" s="119" t="s">
        <v>207</v>
      </c>
      <c r="B8" s="120" t="s">
        <v>208</v>
      </c>
      <c r="C8" s="121" t="s">
        <v>195</v>
      </c>
      <c r="D8" s="121" t="s">
        <v>186</v>
      </c>
      <c r="E8" s="43">
        <f>COUNTIFS('Final Report'!$N:$N, "*" &amp; $A8 &amp; "*")</f>
        <v>0</v>
      </c>
      <c r="F8" s="43">
        <f>COUNTIFS('Final Report'!$N:$N, $A8, 'Final Report'!$L:$L, F$1)</f>
        <v>0</v>
      </c>
      <c r="G8" s="43">
        <f>COUNTIFS('Final Report'!$N:$N, $A8, 'Final Report'!$L:$L, G$1)</f>
        <v>0</v>
      </c>
      <c r="H8" s="43">
        <f>COUNTIFS('Final Report'!$N:$N, $A8, 'Final Report'!$L:$L, H$1)</f>
        <v>0</v>
      </c>
      <c r="I8" s="43">
        <f>COUNTIFS('Final Report'!$N:$N, $A8, 'Final Report'!$L:$L, I$1)</f>
        <v>0</v>
      </c>
      <c r="J8" s="43" t="str">
        <f t="shared" si="1"/>
        <v>Pass</v>
      </c>
      <c r="K8" s="43">
        <f t="shared" si="2"/>
        <v>-3</v>
      </c>
      <c r="L8" s="43">
        <f t="shared" si="3"/>
        <v>0.75</v>
      </c>
      <c r="M8" s="44">
        <f t="shared" si="4"/>
        <v>0</v>
      </c>
    </row>
    <row r="9">
      <c r="A9" s="119" t="s">
        <v>209</v>
      </c>
      <c r="B9" s="120" t="s">
        <v>210</v>
      </c>
      <c r="C9" s="121" t="s">
        <v>195</v>
      </c>
      <c r="D9" s="121" t="s">
        <v>187</v>
      </c>
      <c r="E9" s="43">
        <f>COUNTIFS('Final Report'!$N:$N, "*" &amp; $A9 &amp; "*")</f>
        <v>0</v>
      </c>
      <c r="F9" s="43">
        <f>COUNTIFS('Final Report'!$N:$N, $A9, 'Final Report'!$L:$L, F$1)</f>
        <v>0</v>
      </c>
      <c r="G9" s="43">
        <f>COUNTIFS('Final Report'!$N:$N, $A9, 'Final Report'!$L:$L, G$1)</f>
        <v>0</v>
      </c>
      <c r="H9" s="43">
        <f>COUNTIFS('Final Report'!$N:$N, $A9, 'Final Report'!$L:$L, H$1)</f>
        <v>0</v>
      </c>
      <c r="I9" s="43">
        <f>COUNTIFS('Final Report'!$N:$N, $A9, 'Final Report'!$L:$L, I$1)</f>
        <v>0</v>
      </c>
      <c r="J9" s="43" t="str">
        <f t="shared" si="1"/>
        <v>Pass</v>
      </c>
      <c r="K9" s="43">
        <f t="shared" si="2"/>
        <v>-2</v>
      </c>
      <c r="L9" s="43">
        <f t="shared" si="3"/>
        <v>0.5</v>
      </c>
      <c r="M9" s="44">
        <f t="shared" si="4"/>
        <v>0</v>
      </c>
    </row>
    <row r="10">
      <c r="A10" s="119" t="s">
        <v>211</v>
      </c>
      <c r="B10" s="120" t="s">
        <v>212</v>
      </c>
      <c r="C10" s="121" t="s">
        <v>195</v>
      </c>
      <c r="D10" s="121" t="s">
        <v>188</v>
      </c>
      <c r="E10" s="43">
        <f>COUNTIFS('Final Report'!$N:$N, "*" &amp; $A10 &amp; "*")</f>
        <v>0</v>
      </c>
      <c r="F10" s="43">
        <f>COUNTIFS('Final Report'!$N:$N, $A10, 'Final Report'!$L:$L, F$1)</f>
        <v>0</v>
      </c>
      <c r="G10" s="43">
        <f>COUNTIFS('Final Report'!$N:$N, $A10, 'Final Report'!$L:$L, G$1)</f>
        <v>0</v>
      </c>
      <c r="H10" s="43">
        <f>COUNTIFS('Final Report'!$N:$N, $A10, 'Final Report'!$L:$L, H$1)</f>
        <v>0</v>
      </c>
      <c r="I10" s="43">
        <f>COUNTIFS('Final Report'!$N:$N, $A10, 'Final Report'!$L:$L, I$1)</f>
        <v>0</v>
      </c>
      <c r="J10" s="43" t="str">
        <f t="shared" si="1"/>
        <v>Pass</v>
      </c>
      <c r="K10" s="43">
        <f t="shared" si="2"/>
        <v>-1</v>
      </c>
      <c r="L10" s="43">
        <f t="shared" si="3"/>
        <v>0.25</v>
      </c>
      <c r="M10" s="44">
        <f t="shared" si="4"/>
        <v>0</v>
      </c>
    </row>
    <row r="11">
      <c r="A11" s="119" t="s">
        <v>213</v>
      </c>
      <c r="B11" s="120" t="s">
        <v>214</v>
      </c>
      <c r="C11" s="121" t="s">
        <v>204</v>
      </c>
      <c r="D11" s="121" t="s">
        <v>187</v>
      </c>
      <c r="E11" s="43">
        <f>COUNTIFS('Final Report'!$N:$N, "*" &amp; $A11 &amp; "*")</f>
        <v>0</v>
      </c>
      <c r="F11" s="43">
        <f>COUNTIFS('Final Report'!$N:$N, $A11, 'Final Report'!$L:$L, F$1)</f>
        <v>0</v>
      </c>
      <c r="G11" s="43">
        <f>COUNTIFS('Final Report'!$N:$N, $A11, 'Final Report'!$L:$L, G$1)</f>
        <v>0</v>
      </c>
      <c r="H11" s="43">
        <f>COUNTIFS('Final Report'!$N:$N, $A11, 'Final Report'!$L:$L, H$1)</f>
        <v>0</v>
      </c>
      <c r="I11" s="43">
        <f>COUNTIFS('Final Report'!$N:$N, $A11, 'Final Report'!$L:$L, I$1)</f>
        <v>0</v>
      </c>
      <c r="J11" s="43" t="str">
        <f t="shared" si="1"/>
        <v>Pass</v>
      </c>
      <c r="K11" s="43">
        <f t="shared" si="2"/>
        <v>-2</v>
      </c>
      <c r="L11" s="43">
        <f t="shared" si="3"/>
        <v>0.5</v>
      </c>
      <c r="M11" s="44">
        <f t="shared" si="4"/>
        <v>0</v>
      </c>
    </row>
    <row r="12">
      <c r="A12" s="119" t="s">
        <v>215</v>
      </c>
      <c r="B12" s="120" t="s">
        <v>216</v>
      </c>
      <c r="C12" s="121" t="s">
        <v>204</v>
      </c>
      <c r="D12" s="121" t="s">
        <v>188</v>
      </c>
      <c r="E12" s="43">
        <f>COUNTIFS('Final Report'!$N:$N, "*" &amp; $A12 &amp; "*")</f>
        <v>0</v>
      </c>
      <c r="F12" s="43">
        <f>COUNTIFS('Final Report'!$N:$N, $A12, 'Final Report'!$L:$L, F$1)</f>
        <v>0</v>
      </c>
      <c r="G12" s="43">
        <f>COUNTIFS('Final Report'!$N:$N, $A12, 'Final Report'!$L:$L, G$1)</f>
        <v>0</v>
      </c>
      <c r="H12" s="43">
        <f>COUNTIFS('Final Report'!$N:$N, $A12, 'Final Report'!$L:$L, H$1)</f>
        <v>0</v>
      </c>
      <c r="I12" s="43">
        <f>COUNTIFS('Final Report'!$N:$N, $A12, 'Final Report'!$L:$L, I$1)</f>
        <v>0</v>
      </c>
      <c r="J12" s="43" t="str">
        <f t="shared" si="1"/>
        <v>Pass</v>
      </c>
      <c r="K12" s="43">
        <f t="shared" si="2"/>
        <v>-1</v>
      </c>
      <c r="L12" s="43">
        <f t="shared" si="3"/>
        <v>0.25</v>
      </c>
      <c r="M12" s="44">
        <f t="shared" si="4"/>
        <v>0</v>
      </c>
    </row>
    <row r="13">
      <c r="A13" s="119" t="s">
        <v>217</v>
      </c>
      <c r="B13" s="120" t="s">
        <v>218</v>
      </c>
      <c r="C13" s="121" t="s">
        <v>195</v>
      </c>
      <c r="D13" s="121" t="s">
        <v>187</v>
      </c>
      <c r="E13" s="43">
        <f>COUNTIFS('Final Report'!$N:$N, "*" &amp; $A13 &amp; "*")</f>
        <v>0</v>
      </c>
      <c r="F13" s="43">
        <f>COUNTIFS('Final Report'!$N:$N, $A13, 'Final Report'!$L:$L, F$1)</f>
        <v>0</v>
      </c>
      <c r="G13" s="43">
        <f>COUNTIFS('Final Report'!$N:$N, $A13, 'Final Report'!$L:$L, G$1)</f>
        <v>0</v>
      </c>
      <c r="H13" s="43">
        <f>COUNTIFS('Final Report'!$N:$N, $A13, 'Final Report'!$L:$L, H$1)</f>
        <v>0</v>
      </c>
      <c r="I13" s="43">
        <f>COUNTIFS('Final Report'!$N:$N, $A13, 'Final Report'!$L:$L, I$1)</f>
        <v>0</v>
      </c>
      <c r="J13" s="43" t="str">
        <f t="shared" si="1"/>
        <v>Pass</v>
      </c>
      <c r="K13" s="43">
        <f t="shared" si="2"/>
        <v>-2</v>
      </c>
      <c r="L13" s="43">
        <f t="shared" si="3"/>
        <v>0.5</v>
      </c>
      <c r="M13" s="44">
        <f t="shared" si="4"/>
        <v>0</v>
      </c>
    </row>
    <row r="14">
      <c r="A14" s="119" t="s">
        <v>219</v>
      </c>
      <c r="B14" s="120" t="s">
        <v>220</v>
      </c>
      <c r="C14" s="121" t="s">
        <v>195</v>
      </c>
      <c r="D14" s="121" t="s">
        <v>187</v>
      </c>
      <c r="E14" s="43">
        <f>COUNTIFS('Final Report'!$N:$N, "*" &amp; $A14 &amp; "*")</f>
        <v>0</v>
      </c>
      <c r="F14" s="43">
        <f>COUNTIFS('Final Report'!$N:$N, $A14, 'Final Report'!$L:$L, F$1)</f>
        <v>0</v>
      </c>
      <c r="G14" s="43">
        <f>COUNTIFS('Final Report'!$N:$N, $A14, 'Final Report'!$L:$L, G$1)</f>
        <v>0</v>
      </c>
      <c r="H14" s="43">
        <f>COUNTIFS('Final Report'!$N:$N, $A14, 'Final Report'!$L:$L, H$1)</f>
        <v>0</v>
      </c>
      <c r="I14" s="43">
        <f>COUNTIFS('Final Report'!$N:$N, $A14, 'Final Report'!$L:$L, I$1)</f>
        <v>0</v>
      </c>
      <c r="J14" s="43" t="str">
        <f t="shared" si="1"/>
        <v>Pass</v>
      </c>
      <c r="K14" s="43">
        <f t="shared" si="2"/>
        <v>-2</v>
      </c>
      <c r="L14" s="43">
        <f t="shared" si="3"/>
        <v>0.5</v>
      </c>
      <c r="M14" s="44">
        <f t="shared" si="4"/>
        <v>0</v>
      </c>
    </row>
    <row r="15">
      <c r="A15" s="119" t="s">
        <v>221</v>
      </c>
      <c r="B15" s="120" t="s">
        <v>222</v>
      </c>
      <c r="C15" s="121" t="s">
        <v>204</v>
      </c>
      <c r="D15" s="121" t="s">
        <v>186</v>
      </c>
      <c r="E15" s="43">
        <f>COUNTIFS('Final Report'!$N:$N, "*" &amp; $A15 &amp; "*")</f>
        <v>0</v>
      </c>
      <c r="F15" s="43">
        <f>COUNTIFS('Final Report'!$N:$N, $A15, 'Final Report'!$L:$L, F$1)</f>
        <v>0</v>
      </c>
      <c r="G15" s="43">
        <f>COUNTIFS('Final Report'!$N:$N, $A15, 'Final Report'!$L:$L, G$1)</f>
        <v>0</v>
      </c>
      <c r="H15" s="43">
        <f>COUNTIFS('Final Report'!$N:$N, $A15, 'Final Report'!$L:$L, H$1)</f>
        <v>0</v>
      </c>
      <c r="I15" s="43">
        <f>COUNTIFS('Final Report'!$N:$N, $A15, 'Final Report'!$L:$L, I$1)</f>
        <v>0</v>
      </c>
      <c r="J15" s="43" t="str">
        <f t="shared" si="1"/>
        <v>Pass</v>
      </c>
      <c r="K15" s="43">
        <f t="shared" si="2"/>
        <v>-3</v>
      </c>
      <c r="L15" s="43">
        <f t="shared" si="3"/>
        <v>0.75</v>
      </c>
      <c r="M15" s="44">
        <f t="shared" si="4"/>
        <v>0</v>
      </c>
    </row>
    <row r="16">
      <c r="A16" s="119" t="s">
        <v>223</v>
      </c>
      <c r="B16" s="120" t="s">
        <v>224</v>
      </c>
      <c r="C16" s="121" t="s">
        <v>204</v>
      </c>
      <c r="D16" s="121" t="s">
        <v>187</v>
      </c>
      <c r="E16" s="43">
        <f>COUNTIFS('Final Report'!$N:$N, "*" &amp; $A16 &amp; "*")</f>
        <v>0</v>
      </c>
      <c r="F16" s="43">
        <f>COUNTIFS('Final Report'!$N:$N, $A16, 'Final Report'!$L:$L, F$1)</f>
        <v>0</v>
      </c>
      <c r="G16" s="43">
        <f>COUNTIFS('Final Report'!$N:$N, $A16, 'Final Report'!$L:$L, G$1)</f>
        <v>0</v>
      </c>
      <c r="H16" s="43">
        <f>COUNTIFS('Final Report'!$N:$N, $A16, 'Final Report'!$L:$L, H$1)</f>
        <v>0</v>
      </c>
      <c r="I16" s="43">
        <f>COUNTIFS('Final Report'!$N:$N, $A16, 'Final Report'!$L:$L, I$1)</f>
        <v>0</v>
      </c>
      <c r="J16" s="43" t="str">
        <f t="shared" si="1"/>
        <v>Pass</v>
      </c>
      <c r="K16" s="43">
        <f t="shared" si="2"/>
        <v>-2</v>
      </c>
      <c r="L16" s="43">
        <f t="shared" si="3"/>
        <v>0.5</v>
      </c>
      <c r="M16" s="44">
        <f t="shared" si="4"/>
        <v>0</v>
      </c>
    </row>
    <row r="17">
      <c r="A17" s="119" t="s">
        <v>225</v>
      </c>
      <c r="B17" s="120" t="s">
        <v>226</v>
      </c>
      <c r="C17" s="121" t="s">
        <v>204</v>
      </c>
      <c r="D17" s="121" t="s">
        <v>188</v>
      </c>
      <c r="E17" s="43">
        <f>COUNTIFS('Final Report'!$N:$N, "*" &amp; $A17 &amp; "*")</f>
        <v>0</v>
      </c>
      <c r="F17" s="43">
        <f>COUNTIFS('Final Report'!$N:$N, $A17, 'Final Report'!$L:$L, F$1)</f>
        <v>0</v>
      </c>
      <c r="G17" s="43">
        <f>COUNTIFS('Final Report'!$N:$N, $A17, 'Final Report'!$L:$L, G$1)</f>
        <v>0</v>
      </c>
      <c r="H17" s="43">
        <f>COUNTIFS('Final Report'!$N:$N, $A17, 'Final Report'!$L:$L, H$1)</f>
        <v>0</v>
      </c>
      <c r="I17" s="43">
        <f>COUNTIFS('Final Report'!$N:$N, $A17, 'Final Report'!$L:$L, I$1)</f>
        <v>0</v>
      </c>
      <c r="J17" s="43" t="str">
        <f t="shared" si="1"/>
        <v>Pass</v>
      </c>
      <c r="K17" s="43">
        <f t="shared" si="2"/>
        <v>-1</v>
      </c>
      <c r="L17" s="43">
        <f t="shared" si="3"/>
        <v>0.25</v>
      </c>
      <c r="M17" s="44">
        <f t="shared" si="4"/>
        <v>0</v>
      </c>
    </row>
    <row r="18">
      <c r="A18" s="119" t="s">
        <v>227</v>
      </c>
      <c r="B18" s="120" t="s">
        <v>228</v>
      </c>
      <c r="C18" s="121" t="s">
        <v>204</v>
      </c>
      <c r="D18" s="121" t="s">
        <v>188</v>
      </c>
      <c r="E18" s="43">
        <f>COUNTIFS('Final Report'!$N:$N, "*" &amp; $A18 &amp; "*")</f>
        <v>0</v>
      </c>
      <c r="F18" s="43">
        <f>COUNTIFS('Final Report'!$N:$N, $A18, 'Final Report'!$L:$L, F$1)</f>
        <v>0</v>
      </c>
      <c r="G18" s="43">
        <f>COUNTIFS('Final Report'!$N:$N, $A18, 'Final Report'!$L:$L, G$1)</f>
        <v>0</v>
      </c>
      <c r="H18" s="43">
        <f>COUNTIFS('Final Report'!$N:$N, $A18, 'Final Report'!$L:$L, H$1)</f>
        <v>0</v>
      </c>
      <c r="I18" s="43">
        <f>COUNTIFS('Final Report'!$N:$N, $A18, 'Final Report'!$L:$L, I$1)</f>
        <v>0</v>
      </c>
      <c r="J18" s="43" t="str">
        <f t="shared" si="1"/>
        <v>Pass</v>
      </c>
      <c r="K18" s="43">
        <f t="shared" si="2"/>
        <v>-1</v>
      </c>
      <c r="L18" s="43">
        <f t="shared" si="3"/>
        <v>0.25</v>
      </c>
      <c r="M18" s="44">
        <f t="shared" si="4"/>
        <v>0</v>
      </c>
    </row>
    <row r="19">
      <c r="A19" s="119" t="s">
        <v>229</v>
      </c>
      <c r="B19" s="120" t="s">
        <v>230</v>
      </c>
      <c r="C19" s="121" t="s">
        <v>204</v>
      </c>
      <c r="D19" s="121" t="s">
        <v>187</v>
      </c>
      <c r="E19" s="43">
        <f>COUNTIFS('Final Report'!$N:$N, "*" &amp; $A19 &amp; "*")</f>
        <v>0</v>
      </c>
      <c r="F19" s="43">
        <f>COUNTIFS('Final Report'!$N:$N, $A19, 'Final Report'!$L:$L, F$1)</f>
        <v>0</v>
      </c>
      <c r="G19" s="43">
        <f>COUNTIFS('Final Report'!$N:$N, $A19, 'Final Report'!$L:$L, G$1)</f>
        <v>0</v>
      </c>
      <c r="H19" s="43">
        <f>COUNTIFS('Final Report'!$N:$N, $A19, 'Final Report'!$L:$L, H$1)</f>
        <v>0</v>
      </c>
      <c r="I19" s="43">
        <f>COUNTIFS('Final Report'!$N:$N, $A19, 'Final Report'!$L:$L, I$1)</f>
        <v>0</v>
      </c>
      <c r="J19" s="43" t="str">
        <f t="shared" si="1"/>
        <v>Pass</v>
      </c>
      <c r="K19" s="43">
        <f t="shared" si="2"/>
        <v>-2</v>
      </c>
      <c r="L19" s="43">
        <f t="shared" si="3"/>
        <v>0.5</v>
      </c>
      <c r="M19" s="44">
        <f t="shared" si="4"/>
        <v>0</v>
      </c>
    </row>
    <row r="20">
      <c r="A20" s="119" t="s">
        <v>231</v>
      </c>
      <c r="B20" s="120" t="s">
        <v>232</v>
      </c>
      <c r="C20" s="121" t="s">
        <v>204</v>
      </c>
      <c r="D20" s="121" t="s">
        <v>187</v>
      </c>
      <c r="E20" s="43">
        <f>COUNTIFS('Final Report'!$N:$N, "*" &amp; $A20 &amp; "*")</f>
        <v>0</v>
      </c>
      <c r="F20" s="43">
        <f>COUNTIFS('Final Report'!$N:$N, $A20, 'Final Report'!$L:$L, F$1)</f>
        <v>0</v>
      </c>
      <c r="G20" s="43">
        <f>COUNTIFS('Final Report'!$N:$N, $A20, 'Final Report'!$L:$L, G$1)</f>
        <v>0</v>
      </c>
      <c r="H20" s="43">
        <f>COUNTIFS('Final Report'!$N:$N, $A20, 'Final Report'!$L:$L, H$1)</f>
        <v>0</v>
      </c>
      <c r="I20" s="43">
        <f>COUNTIFS('Final Report'!$N:$N, $A20, 'Final Report'!$L:$L, I$1)</f>
        <v>0</v>
      </c>
      <c r="J20" s="43" t="str">
        <f t="shared" si="1"/>
        <v>Pass</v>
      </c>
      <c r="K20" s="43">
        <f t="shared" si="2"/>
        <v>-2</v>
      </c>
      <c r="L20" s="43">
        <f t="shared" si="3"/>
        <v>0.5</v>
      </c>
      <c r="M20" s="44">
        <f t="shared" si="4"/>
        <v>0</v>
      </c>
    </row>
    <row r="21" ht="15.75" customHeight="1">
      <c r="A21" s="119" t="s">
        <v>233</v>
      </c>
      <c r="B21" s="120" t="s">
        <v>234</v>
      </c>
      <c r="C21" s="121" t="s">
        <v>204</v>
      </c>
      <c r="D21" s="121" t="s">
        <v>187</v>
      </c>
      <c r="E21" s="43">
        <f>COUNTIFS('Final Report'!$N:$N, "*" &amp; $A21 &amp; "*")</f>
        <v>0</v>
      </c>
      <c r="F21" s="43">
        <f>COUNTIFS('Final Report'!$N:$N, $A21, 'Final Report'!$L:$L, F$1)</f>
        <v>0</v>
      </c>
      <c r="G21" s="43">
        <f>COUNTIFS('Final Report'!$N:$N, $A21, 'Final Report'!$L:$L, G$1)</f>
        <v>0</v>
      </c>
      <c r="H21" s="43">
        <f>COUNTIFS('Final Report'!$N:$N, $A21, 'Final Report'!$L:$L, H$1)</f>
        <v>0</v>
      </c>
      <c r="I21" s="43">
        <f>COUNTIFS('Final Report'!$N:$N, $A21, 'Final Report'!$L:$L, I$1)</f>
        <v>0</v>
      </c>
      <c r="J21" s="43" t="str">
        <f t="shared" si="1"/>
        <v>Pass</v>
      </c>
      <c r="K21" s="43">
        <f t="shared" si="2"/>
        <v>-2</v>
      </c>
      <c r="L21" s="43">
        <f t="shared" si="3"/>
        <v>0.5</v>
      </c>
      <c r="M21" s="44">
        <f t="shared" si="4"/>
        <v>0</v>
      </c>
    </row>
    <row r="22" ht="15.75" customHeight="1">
      <c r="A22" s="119" t="s">
        <v>235</v>
      </c>
      <c r="B22" s="120" t="s">
        <v>236</v>
      </c>
      <c r="C22" s="121" t="s">
        <v>195</v>
      </c>
      <c r="D22" s="121" t="s">
        <v>185</v>
      </c>
      <c r="E22" s="43">
        <f>COUNTIFS('Final Report'!$N:$N, "*" &amp; $A22 &amp; "*")</f>
        <v>0</v>
      </c>
      <c r="F22" s="43">
        <f>COUNTIFS('Final Report'!$N:$N, $A22, 'Final Report'!$L:$L, F$1)</f>
        <v>0</v>
      </c>
      <c r="G22" s="43">
        <f>COUNTIFS('Final Report'!$N:$N, $A22, 'Final Report'!$L:$L, G$1)</f>
        <v>0</v>
      </c>
      <c r="H22" s="43">
        <f>COUNTIFS('Final Report'!$N:$N, $A22, 'Final Report'!$L:$L, H$1)</f>
        <v>0</v>
      </c>
      <c r="I22" s="43">
        <f>COUNTIFS('Final Report'!$N:$N, $A22, 'Final Report'!$L:$L, I$1)</f>
        <v>0</v>
      </c>
      <c r="J22" s="43" t="str">
        <f t="shared" si="1"/>
        <v>Pass</v>
      </c>
      <c r="K22" s="43">
        <f t="shared" si="2"/>
        <v>-4</v>
      </c>
      <c r="L22" s="43">
        <f t="shared" si="3"/>
        <v>1</v>
      </c>
      <c r="M22" s="44">
        <f t="shared" si="4"/>
        <v>0</v>
      </c>
    </row>
    <row r="23" ht="15.75" customHeight="1">
      <c r="A23" s="119" t="s">
        <v>237</v>
      </c>
      <c r="B23" s="120" t="s">
        <v>238</v>
      </c>
      <c r="C23" s="121" t="s">
        <v>195</v>
      </c>
      <c r="D23" s="121" t="s">
        <v>185</v>
      </c>
      <c r="E23" s="43">
        <f>COUNTIFS('Final Report'!$N:$N, "*" &amp; $A23 &amp; "*")</f>
        <v>0</v>
      </c>
      <c r="F23" s="43">
        <f>COUNTIFS('Final Report'!$N:$N, $A23, 'Final Report'!$L:$L, F$1)</f>
        <v>0</v>
      </c>
      <c r="G23" s="43">
        <f>COUNTIFS('Final Report'!$N:$N, $A23, 'Final Report'!$L:$L, G$1)</f>
        <v>0</v>
      </c>
      <c r="H23" s="43">
        <f>COUNTIFS('Final Report'!$N:$N, $A23, 'Final Report'!$L:$L, H$1)</f>
        <v>0</v>
      </c>
      <c r="I23" s="43">
        <f>COUNTIFS('Final Report'!$N:$N, $A23, 'Final Report'!$L:$L, I$1)</f>
        <v>0</v>
      </c>
      <c r="J23" s="43" t="str">
        <f t="shared" si="1"/>
        <v>Pass</v>
      </c>
      <c r="K23" s="43">
        <f t="shared" si="2"/>
        <v>-4</v>
      </c>
      <c r="L23" s="43">
        <f t="shared" si="3"/>
        <v>1</v>
      </c>
      <c r="M23" s="44">
        <f t="shared" si="4"/>
        <v>0</v>
      </c>
    </row>
    <row r="24" ht="15.75" customHeight="1">
      <c r="A24" s="119" t="s">
        <v>239</v>
      </c>
      <c r="B24" s="120" t="s">
        <v>240</v>
      </c>
      <c r="C24" s="121" t="s">
        <v>195</v>
      </c>
      <c r="D24" s="121" t="s">
        <v>186</v>
      </c>
      <c r="E24" s="43">
        <f>COUNTIFS('Final Report'!$N:$N, "*" &amp; $A24 &amp; "*")</f>
        <v>0</v>
      </c>
      <c r="F24" s="43">
        <f>COUNTIFS('Final Report'!$N:$N, $A24, 'Final Report'!$L:$L, F$1)</f>
        <v>0</v>
      </c>
      <c r="G24" s="43">
        <f>COUNTIFS('Final Report'!$N:$N, $A24, 'Final Report'!$L:$L, G$1)</f>
        <v>0</v>
      </c>
      <c r="H24" s="43">
        <f>COUNTIFS('Final Report'!$N:$N, $A24, 'Final Report'!$L:$L, H$1)</f>
        <v>0</v>
      </c>
      <c r="I24" s="43">
        <f>COUNTIFS('Final Report'!$N:$N, $A24, 'Final Report'!$L:$L, I$1)</f>
        <v>0</v>
      </c>
      <c r="J24" s="43" t="str">
        <f t="shared" si="1"/>
        <v>Pass</v>
      </c>
      <c r="K24" s="43">
        <f t="shared" si="2"/>
        <v>-3</v>
      </c>
      <c r="L24" s="43">
        <f t="shared" si="3"/>
        <v>0.75</v>
      </c>
      <c r="M24" s="44">
        <f t="shared" si="4"/>
        <v>0</v>
      </c>
    </row>
    <row r="25" ht="15.75" customHeight="1">
      <c r="A25" s="119" t="s">
        <v>241</v>
      </c>
      <c r="B25" s="120" t="s">
        <v>242</v>
      </c>
      <c r="C25" s="121" t="s">
        <v>195</v>
      </c>
      <c r="D25" s="121" t="s">
        <v>185</v>
      </c>
      <c r="E25" s="43">
        <f>COUNTIFS('Final Report'!$N:$N, "*" &amp; $A25 &amp; "*")</f>
        <v>0</v>
      </c>
      <c r="F25" s="43">
        <f>COUNTIFS('Final Report'!$N:$N, $A25, 'Final Report'!$L:$L, F$1)</f>
        <v>0</v>
      </c>
      <c r="G25" s="43">
        <f>COUNTIFS('Final Report'!$N:$N, $A25, 'Final Report'!$L:$L, G$1)</f>
        <v>0</v>
      </c>
      <c r="H25" s="43">
        <f>COUNTIFS('Final Report'!$N:$N, $A25, 'Final Report'!$L:$L, H$1)</f>
        <v>0</v>
      </c>
      <c r="I25" s="43">
        <f>COUNTIFS('Final Report'!$N:$N, $A25, 'Final Report'!$L:$L, I$1)</f>
        <v>0</v>
      </c>
      <c r="J25" s="43" t="str">
        <f t="shared" si="1"/>
        <v>Pass</v>
      </c>
      <c r="K25" s="43">
        <f t="shared" si="2"/>
        <v>-4</v>
      </c>
      <c r="L25" s="43">
        <f t="shared" si="3"/>
        <v>1</v>
      </c>
      <c r="M25" s="44">
        <f t="shared" si="4"/>
        <v>0</v>
      </c>
    </row>
    <row r="26" ht="15.75" customHeight="1">
      <c r="A26" s="119" t="s">
        <v>243</v>
      </c>
      <c r="B26" s="120" t="s">
        <v>244</v>
      </c>
      <c r="C26" s="121" t="s">
        <v>195</v>
      </c>
      <c r="D26" s="121" t="s">
        <v>186</v>
      </c>
      <c r="E26" s="43">
        <f>COUNTIFS('Final Report'!$N:$N, "*" &amp; $A26 &amp; "*")</f>
        <v>0</v>
      </c>
      <c r="F26" s="43">
        <f>COUNTIFS('Final Report'!$N:$N, $A26, 'Final Report'!$L:$L, F$1)</f>
        <v>0</v>
      </c>
      <c r="G26" s="43">
        <f>COUNTIFS('Final Report'!$N:$N, $A26, 'Final Report'!$L:$L, G$1)</f>
        <v>0</v>
      </c>
      <c r="H26" s="43">
        <f>COUNTIFS('Final Report'!$N:$N, $A26, 'Final Report'!$L:$L, H$1)</f>
        <v>0</v>
      </c>
      <c r="I26" s="43">
        <f>COUNTIFS('Final Report'!$N:$N, $A26, 'Final Report'!$L:$L, I$1)</f>
        <v>0</v>
      </c>
      <c r="J26" s="43" t="str">
        <f t="shared" si="1"/>
        <v>Pass</v>
      </c>
      <c r="K26" s="43">
        <f t="shared" si="2"/>
        <v>-3</v>
      </c>
      <c r="L26" s="43">
        <f t="shared" si="3"/>
        <v>0.75</v>
      </c>
      <c r="M26" s="44">
        <f t="shared" si="4"/>
        <v>0</v>
      </c>
    </row>
    <row r="27" ht="15.75" customHeight="1">
      <c r="A27" s="119" t="s">
        <v>245</v>
      </c>
      <c r="B27" s="120" t="s">
        <v>246</v>
      </c>
      <c r="C27" s="121" t="s">
        <v>195</v>
      </c>
      <c r="D27" s="121" t="s">
        <v>185</v>
      </c>
      <c r="E27" s="43">
        <f>COUNTIFS('Final Report'!$N:$N, "*" &amp; $A27 &amp; "*")</f>
        <v>0</v>
      </c>
      <c r="F27" s="43">
        <f>COUNTIFS('Final Report'!$N:$N, $A27, 'Final Report'!$L:$L, F$1)</f>
        <v>0</v>
      </c>
      <c r="G27" s="43">
        <f>COUNTIFS('Final Report'!$N:$N, $A27, 'Final Report'!$L:$L, G$1)</f>
        <v>0</v>
      </c>
      <c r="H27" s="43">
        <f>COUNTIFS('Final Report'!$N:$N, $A27, 'Final Report'!$L:$L, H$1)</f>
        <v>0</v>
      </c>
      <c r="I27" s="43">
        <f>COUNTIFS('Final Report'!$N:$N, $A27, 'Final Report'!$L:$L, I$1)</f>
        <v>0</v>
      </c>
      <c r="J27" s="43" t="str">
        <f t="shared" si="1"/>
        <v>Pass</v>
      </c>
      <c r="K27" s="43">
        <f t="shared" si="2"/>
        <v>-4</v>
      </c>
      <c r="L27" s="43">
        <f t="shared" si="3"/>
        <v>1</v>
      </c>
      <c r="M27" s="44">
        <f t="shared" si="4"/>
        <v>0</v>
      </c>
    </row>
    <row r="28" ht="15.75" customHeight="1">
      <c r="A28" s="119" t="s">
        <v>247</v>
      </c>
      <c r="B28" s="120" t="s">
        <v>248</v>
      </c>
      <c r="C28" s="121" t="s">
        <v>195</v>
      </c>
      <c r="D28" s="121" t="s">
        <v>188</v>
      </c>
      <c r="E28" s="43">
        <f>COUNTIFS('Final Report'!$N:$N, "*" &amp; $A28 &amp; "*")</f>
        <v>0</v>
      </c>
      <c r="F28" s="43">
        <f>COUNTIFS('Final Report'!$N:$N, $A28, 'Final Report'!$L:$L, F$1)</f>
        <v>0</v>
      </c>
      <c r="G28" s="43">
        <f>COUNTIFS('Final Report'!$N:$N, $A28, 'Final Report'!$L:$L, G$1)</f>
        <v>0</v>
      </c>
      <c r="H28" s="43">
        <f>COUNTIFS('Final Report'!$N:$N, $A28, 'Final Report'!$L:$L, H$1)</f>
        <v>0</v>
      </c>
      <c r="I28" s="43">
        <f>COUNTIFS('Final Report'!$N:$N, $A28, 'Final Report'!$L:$L, I$1)</f>
        <v>0</v>
      </c>
      <c r="J28" s="43" t="str">
        <f t="shared" si="1"/>
        <v>Pass</v>
      </c>
      <c r="K28" s="43">
        <f t="shared" si="2"/>
        <v>-1</v>
      </c>
      <c r="L28" s="43">
        <f t="shared" si="3"/>
        <v>0.25</v>
      </c>
      <c r="M28" s="44">
        <f t="shared" si="4"/>
        <v>0</v>
      </c>
    </row>
    <row r="29" ht="15.75" customHeight="1">
      <c r="A29" s="119" t="s">
        <v>249</v>
      </c>
      <c r="B29" s="120" t="s">
        <v>250</v>
      </c>
      <c r="C29" s="121" t="s">
        <v>195</v>
      </c>
      <c r="D29" s="121" t="s">
        <v>188</v>
      </c>
      <c r="E29" s="43">
        <f>COUNTIFS('Final Report'!$N:$N, "*" &amp; $A29 &amp; "*")</f>
        <v>0</v>
      </c>
      <c r="F29" s="43">
        <f>COUNTIFS('Final Report'!$N:$N, $A29, 'Final Report'!$L:$L, F$1)</f>
        <v>0</v>
      </c>
      <c r="G29" s="43">
        <f>COUNTIFS('Final Report'!$N:$N, $A29, 'Final Report'!$L:$L, G$1)</f>
        <v>0</v>
      </c>
      <c r="H29" s="43">
        <f>COUNTIFS('Final Report'!$N:$N, $A29, 'Final Report'!$L:$L, H$1)</f>
        <v>0</v>
      </c>
      <c r="I29" s="43">
        <f>COUNTIFS('Final Report'!$N:$N, $A29, 'Final Report'!$L:$L, I$1)</f>
        <v>0</v>
      </c>
      <c r="J29" s="43" t="str">
        <f t="shared" si="1"/>
        <v>Pass</v>
      </c>
      <c r="K29" s="43">
        <f t="shared" si="2"/>
        <v>-1</v>
      </c>
      <c r="L29" s="43">
        <f t="shared" si="3"/>
        <v>0.25</v>
      </c>
      <c r="M29" s="44">
        <f t="shared" si="4"/>
        <v>0</v>
      </c>
    </row>
    <row r="30" ht="15.75" customHeight="1">
      <c r="A30" s="119" t="s">
        <v>251</v>
      </c>
      <c r="B30" s="120" t="s">
        <v>252</v>
      </c>
      <c r="C30" s="121" t="s">
        <v>195</v>
      </c>
      <c r="D30" s="121" t="s">
        <v>186</v>
      </c>
      <c r="E30" s="43">
        <f>COUNTIFS('Final Report'!$N:$N, "*" &amp; $A30 &amp; "*")</f>
        <v>0</v>
      </c>
      <c r="F30" s="43">
        <f>COUNTIFS('Final Report'!$N:$N, $A30, 'Final Report'!$L:$L, F$1)</f>
        <v>0</v>
      </c>
      <c r="G30" s="43">
        <f>COUNTIFS('Final Report'!$N:$N, $A30, 'Final Report'!$L:$L, G$1)</f>
        <v>0</v>
      </c>
      <c r="H30" s="43">
        <f>COUNTIFS('Final Report'!$N:$N, $A30, 'Final Report'!$L:$L, H$1)</f>
        <v>0</v>
      </c>
      <c r="I30" s="43">
        <f>COUNTIFS('Final Report'!$N:$N, $A30, 'Final Report'!$L:$L, I$1)</f>
        <v>0</v>
      </c>
      <c r="J30" s="43" t="str">
        <f t="shared" si="1"/>
        <v>Pass</v>
      </c>
      <c r="K30" s="43">
        <f t="shared" si="2"/>
        <v>-3</v>
      </c>
      <c r="L30" s="43">
        <f t="shared" si="3"/>
        <v>0.75</v>
      </c>
      <c r="M30" s="44">
        <f t="shared" si="4"/>
        <v>0</v>
      </c>
    </row>
    <row r="31" ht="15.75" customHeight="1">
      <c r="A31" s="119" t="s">
        <v>253</v>
      </c>
      <c r="B31" s="120" t="s">
        <v>254</v>
      </c>
      <c r="C31" s="121" t="s">
        <v>195</v>
      </c>
      <c r="D31" s="121" t="s">
        <v>186</v>
      </c>
      <c r="E31" s="43">
        <f>COUNTIFS('Final Report'!$N:$N, "*" &amp; $A31 &amp; "*")</f>
        <v>0</v>
      </c>
      <c r="F31" s="43">
        <f>COUNTIFS('Final Report'!$N:$N, $A31, 'Final Report'!$L:$L, F$1)</f>
        <v>0</v>
      </c>
      <c r="G31" s="43">
        <f>COUNTIFS('Final Report'!$N:$N, $A31, 'Final Report'!$L:$L, G$1)</f>
        <v>0</v>
      </c>
      <c r="H31" s="43">
        <f>COUNTIFS('Final Report'!$N:$N, $A31, 'Final Report'!$L:$L, H$1)</f>
        <v>0</v>
      </c>
      <c r="I31" s="43">
        <f>COUNTIFS('Final Report'!$N:$N, $A31, 'Final Report'!$L:$L, I$1)</f>
        <v>0</v>
      </c>
      <c r="J31" s="43" t="str">
        <f t="shared" si="1"/>
        <v>Pass</v>
      </c>
      <c r="K31" s="43">
        <f t="shared" si="2"/>
        <v>-3</v>
      </c>
      <c r="L31" s="43">
        <f t="shared" si="3"/>
        <v>0.75</v>
      </c>
      <c r="M31" s="44">
        <f t="shared" si="4"/>
        <v>0</v>
      </c>
    </row>
    <row r="32" ht="15.75" customHeight="1">
      <c r="A32" s="119" t="s">
        <v>255</v>
      </c>
      <c r="B32" s="120" t="s">
        <v>256</v>
      </c>
      <c r="C32" s="121" t="s">
        <v>204</v>
      </c>
      <c r="D32" s="121" t="s">
        <v>188</v>
      </c>
      <c r="E32" s="43">
        <f>COUNTIFS('Final Report'!$N:$N, "*" &amp; $A32 &amp; "*")</f>
        <v>0</v>
      </c>
      <c r="F32" s="43">
        <f>COUNTIFS('Final Report'!$N:$N, $A32, 'Final Report'!$L:$L, F$1)</f>
        <v>0</v>
      </c>
      <c r="G32" s="43">
        <f>COUNTIFS('Final Report'!$N:$N, $A32, 'Final Report'!$L:$L, G$1)</f>
        <v>0</v>
      </c>
      <c r="H32" s="43">
        <f>COUNTIFS('Final Report'!$N:$N, $A32, 'Final Report'!$L:$L, H$1)</f>
        <v>0</v>
      </c>
      <c r="I32" s="43">
        <f>COUNTIFS('Final Report'!$N:$N, $A32, 'Final Report'!$L:$L, I$1)</f>
        <v>0</v>
      </c>
      <c r="J32" s="43" t="str">
        <f t="shared" si="1"/>
        <v>Pass</v>
      </c>
      <c r="K32" s="43">
        <f t="shared" si="2"/>
        <v>-1</v>
      </c>
      <c r="L32" s="43">
        <f t="shared" si="3"/>
        <v>0.25</v>
      </c>
      <c r="M32" s="44">
        <f t="shared" si="4"/>
        <v>0</v>
      </c>
    </row>
    <row r="33" ht="15.75" customHeight="1">
      <c r="A33" s="119" t="s">
        <v>257</v>
      </c>
      <c r="B33" s="120" t="s">
        <v>258</v>
      </c>
      <c r="C33" s="121" t="s">
        <v>204</v>
      </c>
      <c r="D33" s="121" t="s">
        <v>187</v>
      </c>
      <c r="E33" s="43">
        <f>COUNTIFS('Final Report'!$N:$N, "*" &amp; $A33 &amp; "*")</f>
        <v>0</v>
      </c>
      <c r="F33" s="43">
        <f>COUNTIFS('Final Report'!$N:$N, $A33, 'Final Report'!$L:$L, F$1)</f>
        <v>0</v>
      </c>
      <c r="G33" s="43">
        <f>COUNTIFS('Final Report'!$N:$N, $A33, 'Final Report'!$L:$L, G$1)</f>
        <v>0</v>
      </c>
      <c r="H33" s="43">
        <f>COUNTIFS('Final Report'!$N:$N, $A33, 'Final Report'!$L:$L, H$1)</f>
        <v>0</v>
      </c>
      <c r="I33" s="43">
        <f>COUNTIFS('Final Report'!$N:$N, $A33, 'Final Report'!$L:$L, I$1)</f>
        <v>0</v>
      </c>
      <c r="J33" s="43" t="str">
        <f t="shared" si="1"/>
        <v>Pass</v>
      </c>
      <c r="K33" s="43">
        <f t="shared" si="2"/>
        <v>-2</v>
      </c>
      <c r="L33" s="43">
        <f t="shared" si="3"/>
        <v>0.5</v>
      </c>
      <c r="M33" s="44">
        <f t="shared" si="4"/>
        <v>0</v>
      </c>
    </row>
    <row r="34" ht="15.75" customHeight="1">
      <c r="A34" s="119" t="s">
        <v>259</v>
      </c>
      <c r="B34" s="120" t="s">
        <v>260</v>
      </c>
      <c r="C34" s="121" t="s">
        <v>204</v>
      </c>
      <c r="D34" s="121" t="s">
        <v>186</v>
      </c>
      <c r="E34" s="43">
        <f>COUNTIFS('Final Report'!$N:$N, "*" &amp; $A34 &amp; "*")</f>
        <v>0</v>
      </c>
      <c r="F34" s="43">
        <f>COUNTIFS('Final Report'!$N:$N, $A34, 'Final Report'!$L:$L, F$1)</f>
        <v>0</v>
      </c>
      <c r="G34" s="43">
        <f>COUNTIFS('Final Report'!$N:$N, $A34, 'Final Report'!$L:$L, G$1)</f>
        <v>0</v>
      </c>
      <c r="H34" s="43">
        <f>COUNTIFS('Final Report'!$N:$N, $A34, 'Final Report'!$L:$L, H$1)</f>
        <v>0</v>
      </c>
      <c r="I34" s="43">
        <f>COUNTIFS('Final Report'!$N:$N, $A34, 'Final Report'!$L:$L, I$1)</f>
        <v>0</v>
      </c>
      <c r="J34" s="43" t="str">
        <f t="shared" si="1"/>
        <v>Pass</v>
      </c>
      <c r="K34" s="43">
        <f t="shared" si="2"/>
        <v>-3</v>
      </c>
      <c r="L34" s="43">
        <f t="shared" si="3"/>
        <v>0.75</v>
      </c>
      <c r="M34" s="44">
        <f t="shared" si="4"/>
        <v>0</v>
      </c>
    </row>
    <row r="35" ht="15.75" customHeight="1">
      <c r="A35" s="119" t="s">
        <v>261</v>
      </c>
      <c r="B35" s="120" t="s">
        <v>262</v>
      </c>
      <c r="C35" s="121" t="s">
        <v>204</v>
      </c>
      <c r="D35" s="121" t="s">
        <v>186</v>
      </c>
      <c r="E35" s="43">
        <f>COUNTIFS('Final Report'!$N:$N, "*" &amp; $A35 &amp; "*")</f>
        <v>0</v>
      </c>
      <c r="F35" s="43">
        <f>COUNTIFS('Final Report'!$N:$N, $A35, 'Final Report'!$L:$L, F$1)</f>
        <v>0</v>
      </c>
      <c r="G35" s="43">
        <f>COUNTIFS('Final Report'!$N:$N, $A35, 'Final Report'!$L:$L, G$1)</f>
        <v>0</v>
      </c>
      <c r="H35" s="43">
        <f>COUNTIFS('Final Report'!$N:$N, $A35, 'Final Report'!$L:$L, H$1)</f>
        <v>0</v>
      </c>
      <c r="I35" s="43">
        <f>COUNTIFS('Final Report'!$N:$N, $A35, 'Final Report'!$L:$L, I$1)</f>
        <v>0</v>
      </c>
      <c r="J35" s="43" t="str">
        <f t="shared" si="1"/>
        <v>Pass</v>
      </c>
      <c r="K35" s="43">
        <f t="shared" si="2"/>
        <v>-3</v>
      </c>
      <c r="L35" s="43">
        <f t="shared" si="3"/>
        <v>0.75</v>
      </c>
      <c r="M35" s="44">
        <f t="shared" si="4"/>
        <v>0</v>
      </c>
    </row>
    <row r="36" ht="15.75" customHeight="1">
      <c r="A36" s="119" t="s">
        <v>263</v>
      </c>
      <c r="B36" s="120" t="s">
        <v>264</v>
      </c>
      <c r="C36" s="121" t="s">
        <v>195</v>
      </c>
      <c r="D36" s="121" t="s">
        <v>185</v>
      </c>
      <c r="E36" s="43">
        <f>COUNTIFS('Final Report'!$N:$N, "*" &amp; $A36 &amp; "*")</f>
        <v>0</v>
      </c>
      <c r="F36" s="43">
        <f>COUNTIFS('Final Report'!$N:$N, $A36, 'Final Report'!$L:$L, F$1)</f>
        <v>0</v>
      </c>
      <c r="G36" s="43">
        <f>COUNTIFS('Final Report'!$N:$N, $A36, 'Final Report'!$L:$L, G$1)</f>
        <v>0</v>
      </c>
      <c r="H36" s="43">
        <f>COUNTIFS('Final Report'!$N:$N, $A36, 'Final Report'!$L:$L, H$1)</f>
        <v>0</v>
      </c>
      <c r="I36" s="43">
        <f>COUNTIFS('Final Report'!$N:$N, $A36, 'Final Report'!$L:$L, I$1)</f>
        <v>0</v>
      </c>
      <c r="J36" s="43" t="str">
        <f t="shared" si="1"/>
        <v>Pass</v>
      </c>
      <c r="K36" s="43">
        <f t="shared" si="2"/>
        <v>-4</v>
      </c>
      <c r="L36" s="43">
        <f t="shared" si="3"/>
        <v>1</v>
      </c>
      <c r="M36" s="44">
        <f t="shared" si="4"/>
        <v>0</v>
      </c>
    </row>
    <row r="37" ht="15.75" customHeight="1">
      <c r="A37" s="119" t="s">
        <v>265</v>
      </c>
      <c r="B37" s="120" t="s">
        <v>266</v>
      </c>
      <c r="C37" s="121" t="s">
        <v>195</v>
      </c>
      <c r="D37" s="121" t="s">
        <v>185</v>
      </c>
      <c r="E37" s="43">
        <f>COUNTIFS('Final Report'!$N:$N, "*" &amp; $A37 &amp; "*")</f>
        <v>0</v>
      </c>
      <c r="F37" s="43">
        <f>COUNTIFS('Final Report'!$N:$N, $A37, 'Final Report'!$L:$L, F$1)</f>
        <v>0</v>
      </c>
      <c r="G37" s="43">
        <f>COUNTIFS('Final Report'!$N:$N, $A37, 'Final Report'!$L:$L, G$1)</f>
        <v>0</v>
      </c>
      <c r="H37" s="43">
        <f>COUNTIFS('Final Report'!$N:$N, $A37, 'Final Report'!$L:$L, H$1)</f>
        <v>0</v>
      </c>
      <c r="I37" s="43">
        <f>COUNTIFS('Final Report'!$N:$N, $A37, 'Final Report'!$L:$L, I$1)</f>
        <v>0</v>
      </c>
      <c r="J37" s="43" t="str">
        <f t="shared" si="1"/>
        <v>Pass</v>
      </c>
      <c r="K37" s="43">
        <f t="shared" si="2"/>
        <v>-4</v>
      </c>
      <c r="L37" s="43">
        <f t="shared" si="3"/>
        <v>1</v>
      </c>
      <c r="M37" s="44">
        <f t="shared" si="4"/>
        <v>0</v>
      </c>
    </row>
    <row r="38" ht="15.75" customHeight="1">
      <c r="A38" s="119" t="s">
        <v>267</v>
      </c>
      <c r="B38" s="120" t="s">
        <v>268</v>
      </c>
      <c r="C38" s="121" t="s">
        <v>195</v>
      </c>
      <c r="D38" s="121" t="s">
        <v>187</v>
      </c>
      <c r="E38" s="43">
        <f>COUNTIFS('Final Report'!$N:$N, "*" &amp; $A38 &amp; "*")</f>
        <v>0</v>
      </c>
      <c r="F38" s="43">
        <f>COUNTIFS('Final Report'!$N:$N, $A38, 'Final Report'!$L:$L, F$1)</f>
        <v>0</v>
      </c>
      <c r="G38" s="43">
        <f>COUNTIFS('Final Report'!$N:$N, $A38, 'Final Report'!$L:$L, G$1)</f>
        <v>0</v>
      </c>
      <c r="H38" s="43">
        <f>COUNTIFS('Final Report'!$N:$N, $A38, 'Final Report'!$L:$L, H$1)</f>
        <v>0</v>
      </c>
      <c r="I38" s="43">
        <f>COUNTIFS('Final Report'!$N:$N, $A38, 'Final Report'!$L:$L, I$1)</f>
        <v>0</v>
      </c>
      <c r="J38" s="43" t="str">
        <f t="shared" si="1"/>
        <v>Pass</v>
      </c>
      <c r="K38" s="43">
        <f t="shared" si="2"/>
        <v>-2</v>
      </c>
      <c r="L38" s="43">
        <f t="shared" si="3"/>
        <v>0.5</v>
      </c>
      <c r="M38" s="44">
        <f t="shared" si="4"/>
        <v>0</v>
      </c>
    </row>
    <row r="39" ht="15.75" customHeight="1">
      <c r="A39" s="119" t="s">
        <v>269</v>
      </c>
      <c r="B39" s="120" t="s">
        <v>270</v>
      </c>
      <c r="C39" s="121" t="s">
        <v>195</v>
      </c>
      <c r="D39" s="121" t="s">
        <v>185</v>
      </c>
      <c r="E39" s="43">
        <f>COUNTIFS('Final Report'!$N:$N, "*" &amp; $A39 &amp; "*")</f>
        <v>0</v>
      </c>
      <c r="F39" s="43">
        <f>COUNTIFS('Final Report'!$N:$N, $A39, 'Final Report'!$L:$L, F$1)</f>
        <v>0</v>
      </c>
      <c r="G39" s="43">
        <f>COUNTIFS('Final Report'!$N:$N, $A39, 'Final Report'!$L:$L, G$1)</f>
        <v>0</v>
      </c>
      <c r="H39" s="43">
        <f>COUNTIFS('Final Report'!$N:$N, $A39, 'Final Report'!$L:$L, H$1)</f>
        <v>0</v>
      </c>
      <c r="I39" s="43">
        <f>COUNTIFS('Final Report'!$N:$N, $A39, 'Final Report'!$L:$L, I$1)</f>
        <v>0</v>
      </c>
      <c r="J39" s="43" t="str">
        <f t="shared" si="1"/>
        <v>Pass</v>
      </c>
      <c r="K39" s="43">
        <f t="shared" si="2"/>
        <v>-4</v>
      </c>
      <c r="L39" s="43">
        <f t="shared" si="3"/>
        <v>1</v>
      </c>
      <c r="M39" s="44">
        <f t="shared" si="4"/>
        <v>0</v>
      </c>
    </row>
    <row r="40" ht="15.75" customHeight="1">
      <c r="A40" s="119" t="s">
        <v>271</v>
      </c>
      <c r="B40" s="120" t="s">
        <v>272</v>
      </c>
      <c r="C40" s="121" t="s">
        <v>204</v>
      </c>
      <c r="D40" s="121" t="s">
        <v>186</v>
      </c>
      <c r="E40" s="43">
        <f>COUNTIFS('Final Report'!$N:$N, "*" &amp; $A40 &amp; "*")</f>
        <v>0</v>
      </c>
      <c r="F40" s="43">
        <f>COUNTIFS('Final Report'!$N:$N, $A40, 'Final Report'!$L:$L, F$1)</f>
        <v>0</v>
      </c>
      <c r="G40" s="43">
        <f>COUNTIFS('Final Report'!$N:$N, $A40, 'Final Report'!$L:$L, G$1)</f>
        <v>0</v>
      </c>
      <c r="H40" s="43">
        <f>COUNTIFS('Final Report'!$N:$N, $A40, 'Final Report'!$L:$L, H$1)</f>
        <v>0</v>
      </c>
      <c r="I40" s="43">
        <f>COUNTIFS('Final Report'!$N:$N, $A40, 'Final Report'!$L:$L, I$1)</f>
        <v>0</v>
      </c>
      <c r="J40" s="43" t="str">
        <f t="shared" si="1"/>
        <v>Pass</v>
      </c>
      <c r="K40" s="43">
        <f t="shared" si="2"/>
        <v>-3</v>
      </c>
      <c r="L40" s="43">
        <f t="shared" si="3"/>
        <v>0.75</v>
      </c>
      <c r="M40" s="44">
        <f t="shared" si="4"/>
        <v>0</v>
      </c>
    </row>
    <row r="41" ht="15.75" customHeight="1">
      <c r="A41" s="119" t="s">
        <v>273</v>
      </c>
      <c r="B41" s="120" t="s">
        <v>274</v>
      </c>
      <c r="C41" s="121" t="s">
        <v>204</v>
      </c>
      <c r="D41" s="121" t="s">
        <v>187</v>
      </c>
      <c r="E41" s="43">
        <f>COUNTIFS('Final Report'!$N:$N, "*" &amp; $A41 &amp; "*")</f>
        <v>0</v>
      </c>
      <c r="F41" s="43">
        <f>COUNTIFS('Final Report'!$N:$N, $A41, 'Final Report'!$L:$L, F$1)</f>
        <v>0</v>
      </c>
      <c r="G41" s="43">
        <f>COUNTIFS('Final Report'!$N:$N, $A41, 'Final Report'!$L:$L, G$1)</f>
        <v>0</v>
      </c>
      <c r="H41" s="43">
        <f>COUNTIFS('Final Report'!$N:$N, $A41, 'Final Report'!$L:$L, H$1)</f>
        <v>0</v>
      </c>
      <c r="I41" s="43">
        <f>COUNTIFS('Final Report'!$N:$N, $A41, 'Final Report'!$L:$L, I$1)</f>
        <v>0</v>
      </c>
      <c r="J41" s="43" t="str">
        <f t="shared" si="1"/>
        <v>Pass</v>
      </c>
      <c r="K41" s="43">
        <f t="shared" si="2"/>
        <v>-2</v>
      </c>
      <c r="L41" s="43">
        <f t="shared" si="3"/>
        <v>0.5</v>
      </c>
      <c r="M41" s="44">
        <f t="shared" si="4"/>
        <v>0</v>
      </c>
    </row>
    <row r="42" ht="15.75" customHeight="1">
      <c r="A42" s="119" t="s">
        <v>275</v>
      </c>
      <c r="B42" s="120" t="s">
        <v>276</v>
      </c>
      <c r="C42" s="121" t="s">
        <v>195</v>
      </c>
      <c r="D42" s="121" t="s">
        <v>188</v>
      </c>
      <c r="E42" s="43">
        <f>COUNTIFS('Final Report'!$N:$N, "*" &amp; $A42 &amp; "*")</f>
        <v>0</v>
      </c>
      <c r="F42" s="43">
        <f>COUNTIFS('Final Report'!$N:$N, $A42, 'Final Report'!$L:$L, F$1)</f>
        <v>0</v>
      </c>
      <c r="G42" s="43">
        <f>COUNTIFS('Final Report'!$N:$N, $A42, 'Final Report'!$L:$L, G$1)</f>
        <v>0</v>
      </c>
      <c r="H42" s="43">
        <f>COUNTIFS('Final Report'!$N:$N, $A42, 'Final Report'!$L:$L, H$1)</f>
        <v>0</v>
      </c>
      <c r="I42" s="43">
        <f>COUNTIFS('Final Report'!$N:$N, $A42, 'Final Report'!$L:$L, I$1)</f>
        <v>0</v>
      </c>
      <c r="J42" s="43" t="str">
        <f t="shared" si="1"/>
        <v>Pass</v>
      </c>
      <c r="K42" s="43">
        <f t="shared" si="2"/>
        <v>-1</v>
      </c>
      <c r="L42" s="43">
        <f t="shared" si="3"/>
        <v>0.25</v>
      </c>
      <c r="M42" s="44">
        <f t="shared" si="4"/>
        <v>0</v>
      </c>
    </row>
    <row r="43" ht="15.75" customHeight="1">
      <c r="A43" s="119" t="s">
        <v>277</v>
      </c>
      <c r="B43" s="120" t="s">
        <v>278</v>
      </c>
      <c r="C43" s="121" t="s">
        <v>204</v>
      </c>
      <c r="D43" s="121" t="s">
        <v>188</v>
      </c>
      <c r="E43" s="43">
        <f>COUNTIFS('Final Report'!$N:$N, "*" &amp; $A43 &amp; "*")</f>
        <v>0</v>
      </c>
      <c r="F43" s="43">
        <f>COUNTIFS('Final Report'!$N:$N, $A43, 'Final Report'!$L:$L, F$1)</f>
        <v>0</v>
      </c>
      <c r="G43" s="43">
        <f>COUNTIFS('Final Report'!$N:$N, $A43, 'Final Report'!$L:$L, G$1)</f>
        <v>0</v>
      </c>
      <c r="H43" s="43">
        <f>COUNTIFS('Final Report'!$N:$N, $A43, 'Final Report'!$L:$L, H$1)</f>
        <v>0</v>
      </c>
      <c r="I43" s="43">
        <f>COUNTIFS('Final Report'!$N:$N, $A43, 'Final Report'!$L:$L, I$1)</f>
        <v>0</v>
      </c>
      <c r="J43" s="43" t="str">
        <f t="shared" si="1"/>
        <v>Pass</v>
      </c>
      <c r="K43" s="43">
        <f t="shared" si="2"/>
        <v>-1</v>
      </c>
      <c r="L43" s="43">
        <f t="shared" si="3"/>
        <v>0.25</v>
      </c>
      <c r="M43" s="44">
        <f t="shared" si="4"/>
        <v>0</v>
      </c>
    </row>
    <row r="44" ht="15.75" customHeight="1">
      <c r="A44" s="119" t="s">
        <v>279</v>
      </c>
      <c r="B44" s="120" t="s">
        <v>280</v>
      </c>
      <c r="C44" s="121" t="s">
        <v>195</v>
      </c>
      <c r="D44" s="121" t="s">
        <v>186</v>
      </c>
      <c r="E44" s="43">
        <f>COUNTIFS('Final Report'!$N:$N, "*" &amp; $A44 &amp; "*")</f>
        <v>0</v>
      </c>
      <c r="F44" s="43">
        <f>COUNTIFS('Final Report'!$N:$N, $A44, 'Final Report'!$L:$L, F$1)</f>
        <v>0</v>
      </c>
      <c r="G44" s="43">
        <f>COUNTIFS('Final Report'!$N:$N, $A44, 'Final Report'!$L:$L, G$1)</f>
        <v>0</v>
      </c>
      <c r="H44" s="43">
        <f>COUNTIFS('Final Report'!$N:$N, $A44, 'Final Report'!$L:$L, H$1)</f>
        <v>0</v>
      </c>
      <c r="I44" s="43">
        <f>COUNTIFS('Final Report'!$N:$N, $A44, 'Final Report'!$L:$L, I$1)</f>
        <v>0</v>
      </c>
      <c r="J44" s="43" t="str">
        <f t="shared" si="1"/>
        <v>Pass</v>
      </c>
      <c r="K44" s="43">
        <f t="shared" si="2"/>
        <v>-3</v>
      </c>
      <c r="L44" s="43">
        <f t="shared" si="3"/>
        <v>0.75</v>
      </c>
      <c r="M44" s="44">
        <f t="shared" si="4"/>
        <v>0</v>
      </c>
    </row>
    <row r="45" ht="15.75" customHeight="1">
      <c r="A45" s="119" t="s">
        <v>281</v>
      </c>
      <c r="B45" s="120" t="s">
        <v>282</v>
      </c>
      <c r="C45" s="121" t="s">
        <v>195</v>
      </c>
      <c r="D45" s="121" t="s">
        <v>186</v>
      </c>
      <c r="E45" s="43">
        <f>COUNTIFS('Final Report'!$N:$N, "*" &amp; $A45 &amp; "*")</f>
        <v>0</v>
      </c>
      <c r="F45" s="43">
        <f>COUNTIFS('Final Report'!$N:$N, $A45, 'Final Report'!$L:$L, F$1)</f>
        <v>0</v>
      </c>
      <c r="G45" s="43">
        <f>COUNTIFS('Final Report'!$N:$N, $A45, 'Final Report'!$L:$L, G$1)</f>
        <v>0</v>
      </c>
      <c r="H45" s="43">
        <f>COUNTIFS('Final Report'!$N:$N, $A45, 'Final Report'!$L:$L, H$1)</f>
        <v>0</v>
      </c>
      <c r="I45" s="43">
        <f>COUNTIFS('Final Report'!$N:$N, $A45, 'Final Report'!$L:$L, I$1)</f>
        <v>0</v>
      </c>
      <c r="J45" s="43" t="str">
        <f t="shared" si="1"/>
        <v>Pass</v>
      </c>
      <c r="K45" s="43">
        <f t="shared" si="2"/>
        <v>-3</v>
      </c>
      <c r="L45" s="43">
        <f t="shared" si="3"/>
        <v>0.75</v>
      </c>
      <c r="M45" s="44">
        <f t="shared" si="4"/>
        <v>0</v>
      </c>
    </row>
    <row r="46" ht="15.75" customHeight="1">
      <c r="A46" s="119" t="s">
        <v>283</v>
      </c>
      <c r="B46" s="120" t="s">
        <v>284</v>
      </c>
      <c r="C46" s="121" t="s">
        <v>204</v>
      </c>
      <c r="D46" s="121" t="s">
        <v>188</v>
      </c>
      <c r="E46" s="43">
        <f>COUNTIFS('Final Report'!$N:$N, "*" &amp; $A46 &amp; "*")</f>
        <v>0</v>
      </c>
      <c r="F46" s="43">
        <f>COUNTIFS('Final Report'!$N:$N, $A46, 'Final Report'!$L:$L, F$1)</f>
        <v>0</v>
      </c>
      <c r="G46" s="43">
        <f>COUNTIFS('Final Report'!$N:$N, $A46, 'Final Report'!$L:$L, G$1)</f>
        <v>0</v>
      </c>
      <c r="H46" s="43">
        <f>COUNTIFS('Final Report'!$N:$N, $A46, 'Final Report'!$L:$L, H$1)</f>
        <v>0</v>
      </c>
      <c r="I46" s="43">
        <f>COUNTIFS('Final Report'!$N:$N, $A46, 'Final Report'!$L:$L, I$1)</f>
        <v>0</v>
      </c>
      <c r="J46" s="43" t="str">
        <f t="shared" si="1"/>
        <v>Pass</v>
      </c>
      <c r="K46" s="43">
        <f t="shared" si="2"/>
        <v>-1</v>
      </c>
      <c r="L46" s="43">
        <f t="shared" si="3"/>
        <v>0.25</v>
      </c>
      <c r="M46" s="44">
        <f t="shared" si="4"/>
        <v>0</v>
      </c>
    </row>
    <row r="47" ht="15.75" customHeight="1">
      <c r="A47" s="119" t="s">
        <v>285</v>
      </c>
      <c r="B47" s="120" t="s">
        <v>286</v>
      </c>
      <c r="C47" s="121" t="s">
        <v>204</v>
      </c>
      <c r="D47" s="121" t="s">
        <v>188</v>
      </c>
      <c r="E47" s="43">
        <f>COUNTIFS('Final Report'!$N:$N, "*" &amp; $A47 &amp; "*")</f>
        <v>0</v>
      </c>
      <c r="F47" s="43">
        <f>COUNTIFS('Final Report'!$N:$N, $A47, 'Final Report'!$L:$L, F$1)</f>
        <v>0</v>
      </c>
      <c r="G47" s="43">
        <f>COUNTIFS('Final Report'!$N:$N, $A47, 'Final Report'!$L:$L, G$1)</f>
        <v>0</v>
      </c>
      <c r="H47" s="43">
        <f>COUNTIFS('Final Report'!$N:$N, $A47, 'Final Report'!$L:$L, H$1)</f>
        <v>0</v>
      </c>
      <c r="I47" s="43">
        <f>COUNTIFS('Final Report'!$N:$N, $A47, 'Final Report'!$L:$L, I$1)</f>
        <v>0</v>
      </c>
      <c r="J47" s="43" t="str">
        <f t="shared" si="1"/>
        <v>Pass</v>
      </c>
      <c r="K47" s="43">
        <f t="shared" si="2"/>
        <v>-1</v>
      </c>
      <c r="L47" s="43">
        <f t="shared" si="3"/>
        <v>0.25</v>
      </c>
      <c r="M47" s="44">
        <f t="shared" si="4"/>
        <v>0</v>
      </c>
    </row>
    <row r="48" ht="15.75" customHeight="1">
      <c r="A48" s="119" t="s">
        <v>287</v>
      </c>
      <c r="B48" s="120" t="s">
        <v>288</v>
      </c>
      <c r="C48" s="121" t="s">
        <v>195</v>
      </c>
      <c r="D48" s="121" t="s">
        <v>186</v>
      </c>
      <c r="E48" s="43">
        <f>COUNTIFS('Final Report'!$N:$N, "*" &amp; $A48 &amp; "*")</f>
        <v>0</v>
      </c>
      <c r="F48" s="43">
        <f>COUNTIFS('Final Report'!$N:$N, $A48, 'Final Report'!$L:$L, F$1)</f>
        <v>0</v>
      </c>
      <c r="G48" s="43">
        <f>COUNTIFS('Final Report'!$N:$N, $A48, 'Final Report'!$L:$L, G$1)</f>
        <v>0</v>
      </c>
      <c r="H48" s="43">
        <f>COUNTIFS('Final Report'!$N:$N, $A48, 'Final Report'!$L:$L, H$1)</f>
        <v>0</v>
      </c>
      <c r="I48" s="43">
        <f>COUNTIFS('Final Report'!$N:$N, $A48, 'Final Report'!$L:$L, I$1)</f>
        <v>0</v>
      </c>
      <c r="J48" s="43" t="str">
        <f t="shared" si="1"/>
        <v>Pass</v>
      </c>
      <c r="K48" s="43">
        <f t="shared" si="2"/>
        <v>-3</v>
      </c>
      <c r="L48" s="43">
        <f t="shared" si="3"/>
        <v>0.75</v>
      </c>
      <c r="M48" s="44">
        <f t="shared" si="4"/>
        <v>0</v>
      </c>
    </row>
    <row r="49" ht="15.75" customHeight="1">
      <c r="A49" s="119" t="s">
        <v>289</v>
      </c>
      <c r="B49" s="120" t="s">
        <v>290</v>
      </c>
      <c r="C49" s="121" t="s">
        <v>195</v>
      </c>
      <c r="D49" s="121" t="s">
        <v>186</v>
      </c>
      <c r="E49" s="43">
        <f>COUNTIFS('Final Report'!$N:$N, "*" &amp; $A49 &amp; "*")</f>
        <v>0</v>
      </c>
      <c r="F49" s="43">
        <f>COUNTIFS('Final Report'!$N:$N, $A49, 'Final Report'!$L:$L, F$1)</f>
        <v>0</v>
      </c>
      <c r="G49" s="43">
        <f>COUNTIFS('Final Report'!$N:$N, $A49, 'Final Report'!$L:$L, G$1)</f>
        <v>0</v>
      </c>
      <c r="H49" s="43">
        <f>COUNTIFS('Final Report'!$N:$N, $A49, 'Final Report'!$L:$L, H$1)</f>
        <v>0</v>
      </c>
      <c r="I49" s="43">
        <f>COUNTIFS('Final Report'!$N:$N, $A49, 'Final Report'!$L:$L, I$1)</f>
        <v>0</v>
      </c>
      <c r="J49" s="43" t="str">
        <f t="shared" si="1"/>
        <v>Pass</v>
      </c>
      <c r="K49" s="43">
        <f t="shared" si="2"/>
        <v>-3</v>
      </c>
      <c r="L49" s="43">
        <f t="shared" si="3"/>
        <v>0.75</v>
      </c>
      <c r="M49" s="44">
        <f t="shared" si="4"/>
        <v>0</v>
      </c>
    </row>
    <row r="50" ht="15.75" customHeight="1">
      <c r="A50" s="119" t="s">
        <v>291</v>
      </c>
      <c r="B50" s="120" t="s">
        <v>292</v>
      </c>
      <c r="C50" s="121" t="s">
        <v>195</v>
      </c>
      <c r="D50" s="121" t="s">
        <v>186</v>
      </c>
      <c r="E50" s="43">
        <f>COUNTIFS('Final Report'!$N:$N, "*" &amp; $A50 &amp; "*")</f>
        <v>0</v>
      </c>
      <c r="F50" s="43">
        <f>COUNTIFS('Final Report'!$N:$N, $A50, 'Final Report'!$L:$L, F$1)</f>
        <v>0</v>
      </c>
      <c r="G50" s="43">
        <f>COUNTIFS('Final Report'!$N:$N, $A50, 'Final Report'!$L:$L, G$1)</f>
        <v>0</v>
      </c>
      <c r="H50" s="43">
        <f>COUNTIFS('Final Report'!$N:$N, $A50, 'Final Report'!$L:$L, H$1)</f>
        <v>0</v>
      </c>
      <c r="I50" s="43">
        <f>COUNTIFS('Final Report'!$N:$N, $A50, 'Final Report'!$L:$L, I$1)</f>
        <v>0</v>
      </c>
      <c r="J50" s="43" t="str">
        <f t="shared" si="1"/>
        <v>Pass</v>
      </c>
      <c r="K50" s="43">
        <f t="shared" si="2"/>
        <v>-3</v>
      </c>
      <c r="L50" s="43">
        <f t="shared" si="3"/>
        <v>0.75</v>
      </c>
      <c r="M50" s="44">
        <f t="shared" si="4"/>
        <v>0</v>
      </c>
    </row>
    <row r="51" ht="15.75" customHeight="1">
      <c r="A51" s="119" t="s">
        <v>293</v>
      </c>
      <c r="B51" s="120" t="s">
        <v>294</v>
      </c>
      <c r="C51" s="121" t="s">
        <v>204</v>
      </c>
      <c r="D51" s="121" t="s">
        <v>188</v>
      </c>
      <c r="E51" s="43">
        <f>COUNTIFS('Final Report'!$N:$N, "*" &amp; $A51 &amp; "*")</f>
        <v>0</v>
      </c>
      <c r="F51" s="43">
        <f>COUNTIFS('Final Report'!$N:$N, $A51, 'Final Report'!$L:$L, F$1)</f>
        <v>0</v>
      </c>
      <c r="G51" s="43">
        <f>COUNTIFS('Final Report'!$N:$N, $A51, 'Final Report'!$L:$L, G$1)</f>
        <v>0</v>
      </c>
      <c r="H51" s="43">
        <f>COUNTIFS('Final Report'!$N:$N, $A51, 'Final Report'!$L:$L, H$1)</f>
        <v>0</v>
      </c>
      <c r="I51" s="43">
        <f>COUNTIFS('Final Report'!$N:$N, $A51, 'Final Report'!$L:$L, I$1)</f>
        <v>0</v>
      </c>
      <c r="J51" s="43" t="str">
        <f t="shared" si="1"/>
        <v>Pass</v>
      </c>
      <c r="K51" s="43">
        <f t="shared" si="2"/>
        <v>-1</v>
      </c>
      <c r="L51" s="43">
        <f t="shared" si="3"/>
        <v>0.25</v>
      </c>
      <c r="M51" s="44">
        <f t="shared" si="4"/>
        <v>0</v>
      </c>
    </row>
    <row r="52" ht="15.75" customHeight="1">
      <c r="A52" s="119" t="s">
        <v>295</v>
      </c>
      <c r="B52" s="120" t="s">
        <v>296</v>
      </c>
      <c r="C52" s="121" t="s">
        <v>204</v>
      </c>
      <c r="D52" s="121" t="s">
        <v>187</v>
      </c>
      <c r="E52" s="43">
        <f>COUNTIFS('Final Report'!$N:$N, "*" &amp; $A52 &amp; "*")</f>
        <v>0</v>
      </c>
      <c r="F52" s="43">
        <f>COUNTIFS('Final Report'!$N:$N, $A52, 'Final Report'!$L:$L, F$1)</f>
        <v>0</v>
      </c>
      <c r="G52" s="43">
        <f>COUNTIFS('Final Report'!$N:$N, $A52, 'Final Report'!$L:$L, G$1)</f>
        <v>0</v>
      </c>
      <c r="H52" s="43">
        <f>COUNTIFS('Final Report'!$N:$N, $A52, 'Final Report'!$L:$L, H$1)</f>
        <v>0</v>
      </c>
      <c r="I52" s="43">
        <f>COUNTIFS('Final Report'!$N:$N, $A52, 'Final Report'!$L:$L, I$1)</f>
        <v>0</v>
      </c>
      <c r="J52" s="43" t="str">
        <f t="shared" si="1"/>
        <v>Pass</v>
      </c>
      <c r="K52" s="43">
        <f t="shared" si="2"/>
        <v>-2</v>
      </c>
      <c r="L52" s="43">
        <f t="shared" si="3"/>
        <v>0.5</v>
      </c>
      <c r="M52" s="44">
        <f t="shared" si="4"/>
        <v>0</v>
      </c>
    </row>
    <row r="53" ht="15.75" customHeight="1">
      <c r="A53" s="119" t="s">
        <v>297</v>
      </c>
      <c r="B53" s="120" t="s">
        <v>298</v>
      </c>
      <c r="C53" s="121" t="s">
        <v>195</v>
      </c>
      <c r="D53" s="121" t="s">
        <v>188</v>
      </c>
      <c r="E53" s="43">
        <f>COUNTIFS('Final Report'!$N:$N, "*" &amp; $A53 &amp; "*")</f>
        <v>0</v>
      </c>
      <c r="F53" s="43">
        <f>COUNTIFS('Final Report'!$N:$N, $A53, 'Final Report'!$L:$L, F$1)</f>
        <v>0</v>
      </c>
      <c r="G53" s="43">
        <f>COUNTIFS('Final Report'!$N:$N, $A53, 'Final Report'!$L:$L, G$1)</f>
        <v>0</v>
      </c>
      <c r="H53" s="43">
        <f>COUNTIFS('Final Report'!$N:$N, $A53, 'Final Report'!$L:$L, H$1)</f>
        <v>0</v>
      </c>
      <c r="I53" s="43">
        <f>COUNTIFS('Final Report'!$N:$N, $A53, 'Final Report'!$L:$L, I$1)</f>
        <v>0</v>
      </c>
      <c r="J53" s="43" t="str">
        <f t="shared" si="1"/>
        <v>Pass</v>
      </c>
      <c r="K53" s="43">
        <f t="shared" si="2"/>
        <v>-1</v>
      </c>
      <c r="L53" s="43">
        <f t="shared" si="3"/>
        <v>0.25</v>
      </c>
      <c r="M53" s="44">
        <f t="shared" si="4"/>
        <v>0</v>
      </c>
    </row>
    <row r="54" ht="15.75" customHeight="1">
      <c r="A54" s="119" t="s">
        <v>299</v>
      </c>
      <c r="B54" s="120" t="s">
        <v>300</v>
      </c>
      <c r="C54" s="121" t="s">
        <v>195</v>
      </c>
      <c r="D54" s="121" t="s">
        <v>187</v>
      </c>
      <c r="E54" s="43">
        <f>COUNTIFS('Final Report'!$N:$N, "*" &amp; $A54 &amp; "*")</f>
        <v>0</v>
      </c>
      <c r="F54" s="43">
        <f>COUNTIFS('Final Report'!$N:$N, $A54, 'Final Report'!$L:$L, F$1)</f>
        <v>0</v>
      </c>
      <c r="G54" s="43">
        <f>COUNTIFS('Final Report'!$N:$N, $A54, 'Final Report'!$L:$L, G$1)</f>
        <v>0</v>
      </c>
      <c r="H54" s="43">
        <f>COUNTIFS('Final Report'!$N:$N, $A54, 'Final Report'!$L:$L, H$1)</f>
        <v>0</v>
      </c>
      <c r="I54" s="43">
        <f>COUNTIFS('Final Report'!$N:$N, $A54, 'Final Report'!$L:$L, I$1)</f>
        <v>0</v>
      </c>
      <c r="J54" s="43" t="str">
        <f t="shared" si="1"/>
        <v>Pass</v>
      </c>
      <c r="K54" s="43">
        <f t="shared" si="2"/>
        <v>-2</v>
      </c>
      <c r="L54" s="43">
        <f t="shared" si="3"/>
        <v>0.5</v>
      </c>
      <c r="M54" s="44">
        <f t="shared" si="4"/>
        <v>0</v>
      </c>
    </row>
    <row r="55" ht="15.75" customHeight="1">
      <c r="A55" s="119" t="s">
        <v>301</v>
      </c>
      <c r="B55" s="120" t="s">
        <v>302</v>
      </c>
      <c r="C55" s="121" t="s">
        <v>195</v>
      </c>
      <c r="D55" s="121" t="s">
        <v>188</v>
      </c>
      <c r="E55" s="43">
        <f>COUNTIFS('Final Report'!$N:$N, "*" &amp; $A55 &amp; "*")</f>
        <v>0</v>
      </c>
      <c r="F55" s="43">
        <f>COUNTIFS('Final Report'!$N:$N, $A55, 'Final Report'!$L:$L, F$1)</f>
        <v>0</v>
      </c>
      <c r="G55" s="43">
        <f>COUNTIFS('Final Report'!$N:$N, $A55, 'Final Report'!$L:$L, G$1)</f>
        <v>0</v>
      </c>
      <c r="H55" s="43">
        <f>COUNTIFS('Final Report'!$N:$N, $A55, 'Final Report'!$L:$L, H$1)</f>
        <v>0</v>
      </c>
      <c r="I55" s="43">
        <f>COUNTIFS('Final Report'!$N:$N, $A55, 'Final Report'!$L:$L, I$1)</f>
        <v>0</v>
      </c>
      <c r="J55" s="43" t="str">
        <f t="shared" si="1"/>
        <v>Pass</v>
      </c>
      <c r="K55" s="43">
        <f t="shared" si="2"/>
        <v>-1</v>
      </c>
      <c r="L55" s="43">
        <f t="shared" si="3"/>
        <v>0.25</v>
      </c>
      <c r="M55" s="44">
        <f t="shared" si="4"/>
        <v>0</v>
      </c>
    </row>
    <row r="56" ht="15.75" customHeight="1">
      <c r="A56" s="119" t="s">
        <v>303</v>
      </c>
      <c r="B56" s="120" t="s">
        <v>304</v>
      </c>
      <c r="C56" s="121" t="s">
        <v>195</v>
      </c>
      <c r="D56" s="121" t="s">
        <v>186</v>
      </c>
      <c r="E56" s="43">
        <f>COUNTIFS('Final Report'!$N:$N, "*" &amp; $A56 &amp; "*")</f>
        <v>0</v>
      </c>
      <c r="F56" s="43">
        <f>COUNTIFS('Final Report'!$N:$N, $A56, 'Final Report'!$L:$L, F$1)</f>
        <v>0</v>
      </c>
      <c r="G56" s="43">
        <f>COUNTIFS('Final Report'!$N:$N, $A56, 'Final Report'!$L:$L, G$1)</f>
        <v>0</v>
      </c>
      <c r="H56" s="43">
        <f>COUNTIFS('Final Report'!$N:$N, $A56, 'Final Report'!$L:$L, H$1)</f>
        <v>0</v>
      </c>
      <c r="I56" s="43">
        <f>COUNTIFS('Final Report'!$N:$N, $A56, 'Final Report'!$L:$L, I$1)</f>
        <v>0</v>
      </c>
      <c r="J56" s="43" t="str">
        <f t="shared" si="1"/>
        <v>Pass</v>
      </c>
      <c r="K56" s="43">
        <f t="shared" si="2"/>
        <v>-3</v>
      </c>
      <c r="L56" s="43">
        <f t="shared" si="3"/>
        <v>0.75</v>
      </c>
      <c r="M56" s="44">
        <f t="shared" si="4"/>
        <v>0</v>
      </c>
    </row>
    <row r="57" ht="15.75" customHeight="1">
      <c r="A57" s="49" t="s">
        <v>305</v>
      </c>
      <c r="B57" s="122" t="s">
        <v>306</v>
      </c>
      <c r="C57" s="50" t="s">
        <v>204</v>
      </c>
      <c r="D57" s="50" t="s">
        <v>186</v>
      </c>
      <c r="E57" s="43">
        <f>COUNTIFS('Final Report'!$N:$N, "*" &amp; $A57 &amp; "*")</f>
        <v>0</v>
      </c>
      <c r="F57" s="43">
        <f>COUNTIFS('Final Report'!$N:$N, $A57, 'Final Report'!$L:$L, F$1)</f>
        <v>0</v>
      </c>
      <c r="G57" s="43">
        <f>COUNTIFS('Final Report'!$N:$N, $A57, 'Final Report'!$L:$L, G$1)</f>
        <v>0</v>
      </c>
      <c r="H57" s="43">
        <f>COUNTIFS('Final Report'!$N:$N, $A57, 'Final Report'!$L:$L, H$1)</f>
        <v>0</v>
      </c>
      <c r="I57" s="43">
        <f>COUNTIFS('Final Report'!$N:$N, $A57, 'Final Report'!$L:$L, I$1)</f>
        <v>0</v>
      </c>
      <c r="J57" s="43" t="str">
        <f t="shared" si="1"/>
        <v>Pass</v>
      </c>
      <c r="K57" s="43">
        <f t="shared" si="2"/>
        <v>-3</v>
      </c>
      <c r="L57" s="43">
        <f t="shared" si="3"/>
        <v>0.75</v>
      </c>
      <c r="M57" s="44">
        <f t="shared" si="4"/>
        <v>0</v>
      </c>
    </row>
    <row r="58" ht="15.75" customHeight="1">
      <c r="A58" s="114" t="s">
        <v>307</v>
      </c>
      <c r="B58" s="115"/>
      <c r="C58" s="116"/>
      <c r="D58" s="116"/>
      <c r="E58" s="116">
        <f t="shared" ref="E58:I58" si="5">SUBTOTAL(109,E2:E57)</f>
        <v>0</v>
      </c>
      <c r="F58" s="116">
        <f t="shared" si="5"/>
        <v>0</v>
      </c>
      <c r="G58" s="116">
        <f t="shared" si="5"/>
        <v>0</v>
      </c>
      <c r="H58" s="116">
        <f t="shared" si="5"/>
        <v>0</v>
      </c>
      <c r="I58" s="116">
        <f t="shared" si="5"/>
        <v>0</v>
      </c>
      <c r="J58" s="116" t="s">
        <v>308</v>
      </c>
      <c r="K58" s="116">
        <f>SUM(K2:K57)</f>
        <v>-128</v>
      </c>
      <c r="L58" s="123">
        <f t="array" ref="L58">(IF(
  SUMPRODUCT(--($D$2:$D$57="Blocker")*1 + --($D$2:$D$57="Critical")*0.75 + --($D$2:$D$57="Major")*0.5 + --($D$2:$D$57="Minor")*0.25)=0,
  100,
  MIN(100, MAX(0,
    ( SUM($L$2:$L$57)
      + SUMPRODUCT(--($D$2:$D$57="Blocker")*1 + --($D$2:$D$57="Critical")*0.75 + --($D$2:$D$57="Major")*0.5 + --($D$2:$D$57="Minor")*0.25)
    ) / ( 2 * SUMPRODUCT(--($D$2:$D$57="Blocker")*1 + --($D$2:$D$57="Critical")*0.75 + --($D$2:$D$57="Major")*0.5 + --($D$2:$D$57="Minor")*0.25) )
    * 100
  ))
))/100</f>
        <v>1</v>
      </c>
      <c r="M58" s="117">
        <f>(SUM(M2:M57)/128)*100</f>
        <v>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38"/>
    <col customWidth="1" min="2" max="2" width="17.25"/>
    <col customWidth="1" min="3" max="3" width="9.38"/>
    <col customWidth="1" min="4" max="4" width="15.88"/>
    <col customWidth="1" min="5" max="5" width="12.13"/>
    <col customWidth="1" min="6" max="6" width="15.75"/>
    <col customWidth="1" min="7" max="8" width="8.63"/>
    <col customWidth="1" min="9" max="9" width="22.38"/>
    <col customWidth="1" min="10" max="10" width="14.38"/>
    <col customWidth="1" min="11" max="26" width="8.63"/>
  </cols>
  <sheetData>
    <row r="1" ht="14.25" customHeight="1">
      <c r="A1" s="124" t="s">
        <v>309</v>
      </c>
      <c r="B1" s="124" t="s">
        <v>310</v>
      </c>
      <c r="C1" s="124" t="s">
        <v>311</v>
      </c>
      <c r="D1" s="124" t="s">
        <v>43</v>
      </c>
      <c r="E1" s="124" t="s">
        <v>312</v>
      </c>
      <c r="F1" s="124" t="s">
        <v>60</v>
      </c>
      <c r="I1" s="5" t="s">
        <v>313</v>
      </c>
      <c r="J1" s="7" t="s">
        <v>314</v>
      </c>
    </row>
    <row r="2" ht="14.25" customHeight="1">
      <c r="A2" s="125"/>
      <c r="B2" s="126"/>
      <c r="C2" s="126"/>
      <c r="D2" s="126"/>
      <c r="E2" s="126"/>
      <c r="F2" s="126"/>
      <c r="I2" s="42" t="s">
        <v>315</v>
      </c>
      <c r="J2" s="44" t="s">
        <v>316</v>
      </c>
    </row>
    <row r="3" ht="14.25" customHeight="1">
      <c r="A3" s="126"/>
      <c r="B3" s="126"/>
      <c r="C3" s="126"/>
      <c r="D3" s="126"/>
      <c r="E3" s="126"/>
      <c r="F3" s="126"/>
      <c r="I3" s="119" t="s">
        <v>317</v>
      </c>
      <c r="J3" s="127" t="s">
        <v>318</v>
      </c>
    </row>
    <row r="4" ht="14.25" customHeight="1">
      <c r="A4" s="126"/>
      <c r="B4" s="126"/>
      <c r="C4" s="126"/>
      <c r="D4" s="126"/>
      <c r="E4" s="126"/>
      <c r="F4" s="126"/>
      <c r="I4" s="119" t="s">
        <v>319</v>
      </c>
      <c r="J4" s="127">
        <v>350.0</v>
      </c>
    </row>
    <row r="5" ht="14.25" customHeight="1">
      <c r="A5" s="126"/>
      <c r="B5" s="126"/>
      <c r="C5" s="126"/>
      <c r="D5" s="126"/>
      <c r="E5" s="126"/>
      <c r="F5" s="126"/>
      <c r="I5" s="119" t="s">
        <v>320</v>
      </c>
      <c r="J5" s="127">
        <f>SUM(Production!B2:B1000)
</f>
        <v>0</v>
      </c>
    </row>
    <row r="6" ht="14.25" customHeight="1">
      <c r="A6" s="126"/>
      <c r="B6" s="126"/>
      <c r="C6" s="126"/>
      <c r="D6" s="126"/>
      <c r="E6" s="126"/>
      <c r="F6" s="126"/>
      <c r="I6" s="119" t="s">
        <v>321</v>
      </c>
      <c r="J6" s="128">
        <v>45981.0</v>
      </c>
    </row>
    <row r="7" ht="14.25" customHeight="1">
      <c r="A7" s="126"/>
      <c r="B7" s="126"/>
      <c r="C7" s="126"/>
      <c r="D7" s="126"/>
      <c r="E7" s="126"/>
      <c r="F7" s="126"/>
      <c r="I7" s="119" t="s">
        <v>322</v>
      </c>
      <c r="J7" s="128">
        <v>45991.0</v>
      </c>
    </row>
    <row r="8" ht="14.25" customHeight="1">
      <c r="A8" s="126"/>
      <c r="B8" s="126"/>
      <c r="C8" s="126"/>
      <c r="D8" s="126"/>
      <c r="E8" s="126"/>
      <c r="F8" s="126"/>
      <c r="I8" s="129" t="s">
        <v>323</v>
      </c>
      <c r="J8" s="130" t="s">
        <v>324</v>
      </c>
    </row>
    <row r="9" ht="14.25" customHeight="1">
      <c r="A9" s="126"/>
      <c r="B9" s="126"/>
      <c r="C9" s="126"/>
      <c r="D9" s="126"/>
      <c r="E9" s="126"/>
      <c r="F9" s="126"/>
    </row>
    <row r="10" ht="14.25" customHeight="1">
      <c r="A10" s="126"/>
      <c r="B10" s="126"/>
      <c r="C10" s="126"/>
      <c r="D10" s="126"/>
      <c r="E10" s="126"/>
      <c r="F10" s="126"/>
    </row>
    <row r="11" ht="14.25" customHeight="1">
      <c r="A11" s="126"/>
      <c r="B11" s="126"/>
      <c r="C11" s="126"/>
      <c r="D11" s="126"/>
      <c r="E11" s="126"/>
      <c r="F11" s="126"/>
    </row>
    <row r="12" ht="14.25" customHeight="1">
      <c r="A12" s="126"/>
      <c r="B12" s="126"/>
      <c r="C12" s="126"/>
      <c r="D12" s="126"/>
      <c r="E12" s="126"/>
      <c r="F12" s="126"/>
    </row>
    <row r="13" ht="14.25" customHeight="1">
      <c r="A13" s="126"/>
      <c r="B13" s="126"/>
      <c r="C13" s="126"/>
      <c r="D13" s="126"/>
      <c r="E13" s="126"/>
      <c r="F13" s="126"/>
    </row>
    <row r="14" ht="14.25" customHeight="1">
      <c r="A14" s="126"/>
      <c r="B14" s="126"/>
      <c r="C14" s="126"/>
      <c r="D14" s="126"/>
      <c r="E14" s="126"/>
      <c r="F14" s="126"/>
    </row>
    <row r="15" ht="14.25" customHeight="1">
      <c r="A15" s="126"/>
      <c r="B15" s="126"/>
      <c r="C15" s="126"/>
      <c r="D15" s="126"/>
      <c r="E15" s="126"/>
      <c r="F15" s="126"/>
    </row>
    <row r="16" ht="14.25" customHeight="1">
      <c r="A16" s="126"/>
      <c r="B16" s="126"/>
      <c r="C16" s="126"/>
      <c r="D16" s="126"/>
      <c r="E16" s="126"/>
      <c r="F16" s="126"/>
    </row>
    <row r="17" ht="14.25" customHeight="1">
      <c r="A17" s="126"/>
      <c r="B17" s="126"/>
      <c r="C17" s="126"/>
      <c r="D17" s="126"/>
      <c r="E17" s="126"/>
      <c r="F17" s="126"/>
    </row>
    <row r="18" ht="14.25" customHeight="1">
      <c r="A18" s="126"/>
      <c r="B18" s="126"/>
      <c r="C18" s="126"/>
      <c r="D18" s="126"/>
      <c r="E18" s="126"/>
      <c r="F18" s="126"/>
    </row>
    <row r="19" ht="14.25" customHeight="1">
      <c r="A19" s="126"/>
      <c r="B19" s="126"/>
      <c r="C19" s="126"/>
      <c r="D19" s="126"/>
      <c r="E19" s="126"/>
      <c r="F19" s="126"/>
    </row>
    <row r="20" ht="14.25" customHeight="1">
      <c r="A20" s="126"/>
      <c r="B20" s="126"/>
      <c r="C20" s="126"/>
      <c r="D20" s="126"/>
      <c r="E20" s="126"/>
      <c r="F20" s="126"/>
    </row>
    <row r="21" ht="14.25" customHeight="1">
      <c r="C21" s="131"/>
      <c r="D21" s="131"/>
    </row>
    <row r="22" ht="14.25" customHeight="1">
      <c r="C22" s="131"/>
      <c r="D22" s="131"/>
    </row>
    <row r="23" ht="14.25" customHeight="1">
      <c r="C23" s="131"/>
      <c r="D23" s="131"/>
    </row>
    <row r="24" ht="14.25" customHeight="1">
      <c r="C24" s="131"/>
      <c r="D24" s="131"/>
    </row>
    <row r="25" ht="14.25" customHeight="1">
      <c r="C25" s="131"/>
      <c r="D25" s="131"/>
    </row>
    <row r="26" ht="14.25" customHeight="1">
      <c r="C26" s="131"/>
      <c r="D26" s="131"/>
    </row>
    <row r="27" ht="14.25" customHeight="1">
      <c r="C27" s="131"/>
      <c r="D27" s="131"/>
    </row>
    <row r="28" ht="14.25" customHeight="1">
      <c r="C28" s="131"/>
      <c r="D28" s="131"/>
    </row>
    <row r="29" ht="14.25" customHeight="1">
      <c r="C29" s="131"/>
      <c r="D29" s="131"/>
    </row>
    <row r="30" ht="14.25" customHeight="1">
      <c r="C30" s="131"/>
      <c r="D30" s="131"/>
    </row>
    <row r="31" ht="14.25" customHeight="1">
      <c r="C31" s="131"/>
      <c r="D31" s="131"/>
    </row>
    <row r="32" ht="14.25" customHeight="1">
      <c r="C32" s="131"/>
      <c r="D32" s="131"/>
    </row>
    <row r="33" ht="14.25" customHeight="1">
      <c r="C33" s="131"/>
      <c r="D33" s="131"/>
    </row>
    <row r="34" ht="14.25" customHeight="1">
      <c r="C34" s="131"/>
      <c r="D34" s="131"/>
    </row>
    <row r="35" ht="14.25" customHeight="1">
      <c r="C35" s="131"/>
      <c r="D35" s="131"/>
    </row>
    <row r="36" ht="14.25" customHeight="1">
      <c r="C36" s="131"/>
      <c r="D36" s="131"/>
    </row>
    <row r="37" ht="14.25" customHeight="1">
      <c r="C37" s="131"/>
      <c r="D37" s="131"/>
    </row>
    <row r="38" ht="14.25" customHeight="1">
      <c r="C38" s="131"/>
      <c r="D38" s="131"/>
    </row>
    <row r="39" ht="14.25" customHeight="1">
      <c r="C39" s="131"/>
      <c r="D39" s="131"/>
    </row>
    <row r="40" ht="14.25" customHeight="1">
      <c r="C40" s="131"/>
      <c r="D40" s="131"/>
    </row>
    <row r="41" ht="14.25" customHeight="1">
      <c r="C41" s="131"/>
      <c r="D41" s="131"/>
    </row>
    <row r="42" ht="14.25" customHeight="1">
      <c r="C42" s="131"/>
      <c r="D42" s="131"/>
    </row>
    <row r="43" ht="14.25" customHeight="1">
      <c r="C43" s="131"/>
      <c r="D43" s="131"/>
    </row>
    <row r="44" ht="14.25" customHeight="1">
      <c r="C44" s="131"/>
      <c r="D44" s="131"/>
    </row>
    <row r="45" ht="14.25" customHeight="1">
      <c r="C45" s="131"/>
      <c r="D45" s="131"/>
    </row>
    <row r="46" ht="14.25" customHeight="1">
      <c r="C46" s="131"/>
      <c r="D46" s="131"/>
    </row>
    <row r="47" ht="14.25" customHeight="1">
      <c r="C47" s="131"/>
      <c r="D47" s="131"/>
    </row>
    <row r="48" ht="14.25" customHeight="1">
      <c r="C48" s="131"/>
      <c r="D48" s="131"/>
    </row>
    <row r="49" ht="14.25" customHeight="1">
      <c r="C49" s="131"/>
      <c r="D49" s="131"/>
    </row>
    <row r="50" ht="14.25" customHeight="1">
      <c r="C50" s="131"/>
      <c r="D50" s="131"/>
    </row>
    <row r="51" ht="14.25" customHeight="1">
      <c r="C51" s="131"/>
      <c r="D51" s="131"/>
    </row>
    <row r="52" ht="14.25" customHeight="1">
      <c r="C52" s="131"/>
      <c r="D52" s="131"/>
    </row>
    <row r="53" ht="14.25" customHeight="1">
      <c r="C53" s="131"/>
      <c r="D53" s="131"/>
    </row>
    <row r="54" ht="14.25" customHeight="1">
      <c r="C54" s="131"/>
      <c r="D54" s="131"/>
    </row>
    <row r="55" ht="14.25" customHeight="1">
      <c r="C55" s="131"/>
      <c r="D55" s="131"/>
    </row>
    <row r="56" ht="14.25" customHeight="1">
      <c r="C56" s="131"/>
      <c r="D56" s="131"/>
    </row>
    <row r="57" ht="14.25" customHeight="1">
      <c r="C57" s="131"/>
      <c r="D57" s="131"/>
    </row>
    <row r="58" ht="14.25" customHeight="1">
      <c r="C58" s="131"/>
      <c r="D58" s="131"/>
    </row>
    <row r="59" ht="14.25" customHeight="1">
      <c r="C59" s="131"/>
      <c r="D59" s="131"/>
    </row>
    <row r="60" ht="14.25" customHeight="1">
      <c r="C60" s="131"/>
      <c r="D60" s="131"/>
    </row>
    <row r="61" ht="14.25" customHeight="1">
      <c r="C61" s="131"/>
      <c r="D61" s="131"/>
    </row>
    <row r="62" ht="14.25" customHeight="1">
      <c r="C62" s="131"/>
      <c r="D62" s="131"/>
    </row>
    <row r="63" ht="14.25" customHeight="1">
      <c r="C63" s="131"/>
      <c r="D63" s="131"/>
    </row>
    <row r="64" ht="14.25" customHeight="1">
      <c r="C64" s="131"/>
      <c r="D64" s="131"/>
    </row>
    <row r="65" ht="14.25" customHeight="1">
      <c r="C65" s="131"/>
      <c r="D65" s="131"/>
    </row>
    <row r="66" ht="14.25" customHeight="1">
      <c r="C66" s="131"/>
      <c r="D66" s="131"/>
    </row>
    <row r="67" ht="14.25" customHeight="1">
      <c r="C67" s="131"/>
      <c r="D67" s="131"/>
    </row>
    <row r="68" ht="14.25" customHeight="1">
      <c r="C68" s="131"/>
      <c r="D68" s="131"/>
    </row>
    <row r="69" ht="14.25" customHeight="1">
      <c r="C69" s="131"/>
      <c r="D69" s="131"/>
    </row>
    <row r="70" ht="14.25" customHeight="1">
      <c r="C70" s="131"/>
      <c r="D70" s="131"/>
    </row>
    <row r="71" ht="14.25" customHeight="1">
      <c r="C71" s="131"/>
      <c r="D71" s="131"/>
    </row>
    <row r="72" ht="14.25" customHeight="1">
      <c r="C72" s="131"/>
      <c r="D72" s="131"/>
    </row>
    <row r="73" ht="14.25" customHeight="1">
      <c r="C73" s="131"/>
      <c r="D73" s="131"/>
    </row>
    <row r="74" ht="14.25" customHeight="1">
      <c r="C74" s="131"/>
      <c r="D74" s="131"/>
    </row>
    <row r="75" ht="14.25" customHeight="1">
      <c r="C75" s="131"/>
      <c r="D75" s="131"/>
    </row>
    <row r="76" ht="14.25" customHeight="1">
      <c r="C76" s="131"/>
      <c r="D76" s="131"/>
    </row>
    <row r="77" ht="14.25" customHeight="1">
      <c r="C77" s="131"/>
      <c r="D77" s="131"/>
    </row>
    <row r="78" ht="14.25" customHeight="1">
      <c r="C78" s="131"/>
      <c r="D78" s="131"/>
    </row>
    <row r="79" ht="14.25" customHeight="1">
      <c r="C79" s="131"/>
      <c r="D79" s="131"/>
    </row>
    <row r="80" ht="14.25" customHeight="1">
      <c r="C80" s="131"/>
      <c r="D80" s="131"/>
    </row>
    <row r="81" ht="14.25" customHeight="1">
      <c r="C81" s="131"/>
      <c r="D81" s="131"/>
    </row>
    <row r="82" ht="14.25" customHeight="1">
      <c r="C82" s="131"/>
      <c r="D82" s="131"/>
    </row>
    <row r="83" ht="14.25" customHeight="1">
      <c r="C83" s="131"/>
      <c r="D83" s="131"/>
    </row>
    <row r="84" ht="14.25" customHeight="1">
      <c r="C84" s="131"/>
      <c r="D84" s="131"/>
    </row>
    <row r="85" ht="14.25" customHeight="1">
      <c r="C85" s="131"/>
      <c r="D85" s="131"/>
    </row>
    <row r="86" ht="14.25" customHeight="1">
      <c r="C86" s="131"/>
      <c r="D86" s="131"/>
    </row>
    <row r="87" ht="14.25" customHeight="1">
      <c r="C87" s="131"/>
      <c r="D87" s="131"/>
    </row>
    <row r="88" ht="14.25" customHeight="1">
      <c r="C88" s="131"/>
      <c r="D88" s="131"/>
    </row>
    <row r="89" ht="14.25" customHeight="1">
      <c r="C89" s="131"/>
      <c r="D89" s="131"/>
    </row>
    <row r="90" ht="14.25" customHeight="1">
      <c r="C90" s="131"/>
      <c r="D90" s="131"/>
    </row>
    <row r="91" ht="14.25" customHeight="1">
      <c r="C91" s="131"/>
      <c r="D91" s="131"/>
    </row>
    <row r="92" ht="14.25" customHeight="1">
      <c r="C92" s="131"/>
      <c r="D92" s="131"/>
    </row>
    <row r="93" ht="14.25" customHeight="1">
      <c r="C93" s="131"/>
      <c r="D93" s="131"/>
    </row>
    <row r="94" ht="14.25" customHeight="1">
      <c r="C94" s="131"/>
      <c r="D94" s="131"/>
    </row>
    <row r="95" ht="14.25" customHeight="1">
      <c r="C95" s="131"/>
      <c r="D95" s="131"/>
    </row>
    <row r="96" ht="14.25" customHeight="1">
      <c r="C96" s="131"/>
      <c r="D96" s="131"/>
    </row>
    <row r="97" ht="14.25" customHeight="1">
      <c r="C97" s="131"/>
      <c r="D97" s="131"/>
    </row>
    <row r="98" ht="14.25" customHeight="1">
      <c r="C98" s="131"/>
      <c r="D98" s="131"/>
    </row>
    <row r="99" ht="14.25" customHeight="1">
      <c r="C99" s="131"/>
      <c r="D99" s="131"/>
    </row>
    <row r="100" ht="14.25" customHeight="1">
      <c r="C100" s="131"/>
      <c r="D100" s="131"/>
    </row>
    <row r="101" ht="14.25" customHeight="1">
      <c r="C101" s="131"/>
      <c r="D101" s="131"/>
    </row>
    <row r="102" ht="14.25" customHeight="1">
      <c r="C102" s="131"/>
      <c r="D102" s="131"/>
    </row>
    <row r="103" ht="14.25" customHeight="1">
      <c r="C103" s="131"/>
      <c r="D103" s="131"/>
    </row>
    <row r="104" ht="14.25" customHeight="1">
      <c r="C104" s="131"/>
      <c r="D104" s="131"/>
    </row>
    <row r="105" ht="14.25" customHeight="1">
      <c r="C105" s="131"/>
      <c r="D105" s="131"/>
    </row>
    <row r="106" ht="14.25" customHeight="1">
      <c r="C106" s="131"/>
      <c r="D106" s="131"/>
    </row>
    <row r="107" ht="14.25" customHeight="1">
      <c r="C107" s="131"/>
      <c r="D107" s="131"/>
    </row>
    <row r="108" ht="14.25" customHeight="1">
      <c r="C108" s="131"/>
      <c r="D108" s="131"/>
    </row>
    <row r="109" ht="14.25" customHeight="1">
      <c r="C109" s="131"/>
      <c r="D109" s="131"/>
    </row>
    <row r="110" ht="14.25" customHeight="1">
      <c r="C110" s="131"/>
      <c r="D110" s="131"/>
    </row>
    <row r="111" ht="14.25" customHeight="1">
      <c r="C111" s="131"/>
      <c r="D111" s="131"/>
    </row>
    <row r="112" ht="14.25" customHeight="1">
      <c r="C112" s="131"/>
      <c r="D112" s="131"/>
    </row>
    <row r="113" ht="14.25" customHeight="1">
      <c r="C113" s="131"/>
      <c r="D113" s="131"/>
    </row>
    <row r="114" ht="14.25" customHeight="1">
      <c r="C114" s="131"/>
      <c r="D114" s="131"/>
    </row>
    <row r="115" ht="14.25" customHeight="1">
      <c r="C115" s="131"/>
      <c r="D115" s="131"/>
    </row>
    <row r="116" ht="14.25" customHeight="1">
      <c r="C116" s="131"/>
      <c r="D116" s="131"/>
    </row>
    <row r="117" ht="14.25" customHeight="1">
      <c r="C117" s="131"/>
      <c r="D117" s="131"/>
    </row>
    <row r="118" ht="14.25" customHeight="1">
      <c r="C118" s="131"/>
      <c r="D118" s="131"/>
    </row>
    <row r="119" ht="14.25" customHeight="1">
      <c r="C119" s="131"/>
      <c r="D119" s="131"/>
    </row>
    <row r="120" ht="14.25" customHeight="1">
      <c r="C120" s="131"/>
      <c r="D120" s="131"/>
    </row>
    <row r="121" ht="14.25" customHeight="1">
      <c r="C121" s="131"/>
      <c r="D121" s="131"/>
    </row>
    <row r="122" ht="14.25" customHeight="1">
      <c r="C122" s="131"/>
      <c r="D122" s="131"/>
    </row>
    <row r="123" ht="14.25" customHeight="1">
      <c r="C123" s="131"/>
      <c r="D123" s="131"/>
    </row>
    <row r="124" ht="14.25" customHeight="1">
      <c r="C124" s="131"/>
      <c r="D124" s="131"/>
    </row>
    <row r="125" ht="14.25" customHeight="1">
      <c r="C125" s="131"/>
      <c r="D125" s="131"/>
    </row>
    <row r="126" ht="14.25" customHeight="1">
      <c r="C126" s="131"/>
      <c r="D126" s="131"/>
    </row>
    <row r="127" ht="14.25" customHeight="1">
      <c r="C127" s="131"/>
      <c r="D127" s="131"/>
    </row>
    <row r="128" ht="14.25" customHeight="1">
      <c r="C128" s="131"/>
      <c r="D128" s="131"/>
    </row>
    <row r="129" ht="14.25" customHeight="1">
      <c r="C129" s="131"/>
      <c r="D129" s="131"/>
    </row>
    <row r="130" ht="14.25" customHeight="1">
      <c r="C130" s="131"/>
      <c r="D130" s="131"/>
    </row>
    <row r="131" ht="14.25" customHeight="1">
      <c r="C131" s="131"/>
      <c r="D131" s="131"/>
    </row>
    <row r="132" ht="14.25" customHeight="1">
      <c r="C132" s="131"/>
      <c r="D132" s="131"/>
    </row>
    <row r="133" ht="14.25" customHeight="1">
      <c r="C133" s="131"/>
      <c r="D133" s="131"/>
    </row>
    <row r="134" ht="14.25" customHeight="1">
      <c r="C134" s="131"/>
      <c r="D134" s="131"/>
    </row>
    <row r="135" ht="14.25" customHeight="1">
      <c r="C135" s="131"/>
      <c r="D135" s="131"/>
    </row>
    <row r="136" ht="14.25" customHeight="1">
      <c r="C136" s="131"/>
      <c r="D136" s="131"/>
    </row>
    <row r="137" ht="14.25" customHeight="1">
      <c r="C137" s="131"/>
      <c r="D137" s="131"/>
    </row>
    <row r="138" ht="14.25" customHeight="1">
      <c r="C138" s="131"/>
      <c r="D138" s="131"/>
    </row>
    <row r="139" ht="14.25" customHeight="1">
      <c r="C139" s="131"/>
      <c r="D139" s="131"/>
    </row>
    <row r="140" ht="14.25" customHeight="1">
      <c r="C140" s="131"/>
      <c r="D140" s="131"/>
    </row>
    <row r="141" ht="14.25" customHeight="1">
      <c r="C141" s="131"/>
      <c r="D141" s="131"/>
    </row>
    <row r="142" ht="14.25" customHeight="1">
      <c r="C142" s="131"/>
      <c r="D142" s="131"/>
    </row>
    <row r="143" ht="14.25" customHeight="1">
      <c r="C143" s="131"/>
      <c r="D143" s="131"/>
    </row>
    <row r="144" ht="14.25" customHeight="1">
      <c r="C144" s="131"/>
      <c r="D144" s="131"/>
    </row>
    <row r="145" ht="14.25" customHeight="1">
      <c r="C145" s="131"/>
      <c r="D145" s="131"/>
    </row>
    <row r="146" ht="14.25" customHeight="1">
      <c r="C146" s="131"/>
      <c r="D146" s="131"/>
    </row>
    <row r="147" ht="14.25" customHeight="1">
      <c r="C147" s="131"/>
      <c r="D147" s="131"/>
    </row>
    <row r="148" ht="14.25" customHeight="1">
      <c r="C148" s="131"/>
      <c r="D148" s="131"/>
    </row>
    <row r="149" ht="14.25" customHeight="1">
      <c r="C149" s="131"/>
      <c r="D149" s="131"/>
    </row>
    <row r="150" ht="14.25" customHeight="1">
      <c r="C150" s="131"/>
      <c r="D150" s="131"/>
    </row>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2:D150">
      <formula1>allTesters</formula1>
    </dataValidation>
    <dataValidation type="list" allowBlank="1" showErrorMessage="1" sqref="J8">
      <formula1>projectStatus</formula1>
    </dataValidation>
    <dataValidation type="list" allowBlank="1" showErrorMessage="1" sqref="C2:C150">
      <formula1>process</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67.13"/>
    <col customWidth="1" min="3" max="3" width="60.88"/>
    <col customWidth="1" min="4" max="4" width="16.63"/>
    <col customWidth="1" min="5" max="5" width="10.63"/>
    <col customWidth="1" min="6" max="6" width="11.25"/>
    <col customWidth="1" min="7" max="7" width="24.63"/>
    <col customWidth="1" min="8" max="9" width="11.75"/>
    <col customWidth="1" min="10" max="10" width="11.0"/>
    <col customWidth="1" min="11" max="27" width="8.63"/>
  </cols>
  <sheetData>
    <row r="1">
      <c r="A1" s="132" t="s">
        <v>325</v>
      </c>
      <c r="B1" s="133" t="s">
        <v>151</v>
      </c>
      <c r="C1" s="133" t="s">
        <v>326</v>
      </c>
      <c r="D1" s="133" t="s">
        <v>327</v>
      </c>
      <c r="E1" s="133" t="s">
        <v>156</v>
      </c>
      <c r="F1" s="133" t="s">
        <v>160</v>
      </c>
      <c r="G1" s="133" t="s">
        <v>328</v>
      </c>
      <c r="H1" s="132" t="s">
        <v>159</v>
      </c>
      <c r="I1" s="133" t="s">
        <v>161</v>
      </c>
      <c r="J1" s="133" t="s">
        <v>162</v>
      </c>
      <c r="K1" s="134"/>
      <c r="L1" s="134"/>
      <c r="M1" s="134"/>
      <c r="N1" s="134"/>
      <c r="O1" s="134"/>
      <c r="P1" s="134"/>
      <c r="Q1" s="134"/>
      <c r="R1" s="134"/>
      <c r="S1" s="134"/>
      <c r="T1" s="134"/>
      <c r="U1" s="134"/>
      <c r="V1" s="134"/>
      <c r="W1" s="134"/>
      <c r="X1" s="134"/>
      <c r="Y1" s="134"/>
      <c r="Z1" s="134"/>
      <c r="AA1" s="134"/>
    </row>
    <row r="2" ht="106.5" customHeight="1">
      <c r="A2" s="135" t="s">
        <v>329</v>
      </c>
      <c r="B2" s="135" t="s">
        <v>330</v>
      </c>
      <c r="C2" s="135" t="s">
        <v>331</v>
      </c>
      <c r="D2" s="135" t="s">
        <v>332</v>
      </c>
      <c r="E2" s="135" t="s">
        <v>186</v>
      </c>
      <c r="F2" s="135" t="s">
        <v>195</v>
      </c>
      <c r="G2" s="135" t="s">
        <v>193</v>
      </c>
      <c r="H2" s="135" t="str">
        <f>IFERROR(VLOOKUP(G2,'Conformance Score'!A:B, 2, 0), "")</f>
        <v>Non-Text Content</v>
      </c>
      <c r="I2" s="135" t="s">
        <v>333</v>
      </c>
      <c r="J2" s="135" t="s">
        <v>334</v>
      </c>
      <c r="K2" s="134"/>
      <c r="L2" s="134"/>
      <c r="M2" s="134"/>
      <c r="N2" s="134"/>
      <c r="O2" s="134"/>
      <c r="P2" s="134"/>
      <c r="Q2" s="134"/>
      <c r="R2" s="134"/>
      <c r="S2" s="134"/>
      <c r="T2" s="134"/>
      <c r="U2" s="134"/>
      <c r="V2" s="134"/>
      <c r="W2" s="134"/>
      <c r="X2" s="134"/>
      <c r="Y2" s="134"/>
      <c r="Z2" s="134"/>
      <c r="AA2" s="134"/>
    </row>
    <row r="3" ht="110.25" customHeight="1">
      <c r="A3" s="135" t="s">
        <v>335</v>
      </c>
      <c r="B3" s="136" t="s">
        <v>336</v>
      </c>
      <c r="C3" s="135" t="s">
        <v>331</v>
      </c>
      <c r="D3" s="135" t="s">
        <v>332</v>
      </c>
      <c r="E3" s="135" t="s">
        <v>187</v>
      </c>
      <c r="F3" s="135" t="s">
        <v>195</v>
      </c>
      <c r="G3" s="135" t="s">
        <v>193</v>
      </c>
      <c r="H3" s="135" t="str">
        <f>IFERROR(VLOOKUP(G3,'Conformance Score'!A:B, 2, 0), "")</f>
        <v>Non-Text Content</v>
      </c>
      <c r="I3" s="135" t="s">
        <v>333</v>
      </c>
      <c r="J3" s="135" t="s">
        <v>334</v>
      </c>
      <c r="K3" s="134"/>
      <c r="L3" s="134"/>
      <c r="M3" s="134"/>
      <c r="N3" s="134"/>
      <c r="O3" s="134"/>
      <c r="P3" s="134"/>
      <c r="Q3" s="134"/>
      <c r="R3" s="134"/>
      <c r="S3" s="134"/>
      <c r="T3" s="134"/>
      <c r="U3" s="134"/>
      <c r="V3" s="134"/>
      <c r="W3" s="134"/>
      <c r="X3" s="134"/>
      <c r="Y3" s="134"/>
      <c r="Z3" s="134"/>
      <c r="AA3" s="134"/>
    </row>
    <row r="4" ht="96.75" customHeight="1">
      <c r="A4" s="135" t="s">
        <v>337</v>
      </c>
      <c r="B4" s="135" t="s">
        <v>338</v>
      </c>
      <c r="C4" s="135" t="s">
        <v>339</v>
      </c>
      <c r="D4" s="135" t="s">
        <v>332</v>
      </c>
      <c r="E4" s="135" t="s">
        <v>186</v>
      </c>
      <c r="F4" s="135" t="s">
        <v>195</v>
      </c>
      <c r="G4" s="135" t="s">
        <v>193</v>
      </c>
      <c r="H4" s="135" t="str">
        <f>IFERROR(VLOOKUP(G4,'Conformance Score'!A:B, 2, 0), "")</f>
        <v>Non-Text Content</v>
      </c>
      <c r="I4" s="135" t="s">
        <v>333</v>
      </c>
      <c r="J4" s="135" t="s">
        <v>334</v>
      </c>
      <c r="K4" s="134"/>
      <c r="L4" s="134"/>
      <c r="M4" s="134"/>
      <c r="N4" s="134"/>
      <c r="O4" s="134"/>
      <c r="P4" s="134"/>
      <c r="Q4" s="134"/>
      <c r="R4" s="134"/>
      <c r="S4" s="134"/>
      <c r="T4" s="134"/>
      <c r="U4" s="134"/>
      <c r="V4" s="134"/>
      <c r="W4" s="134"/>
      <c r="X4" s="134"/>
      <c r="Y4" s="134"/>
      <c r="Z4" s="134"/>
      <c r="AA4" s="134"/>
    </row>
    <row r="5" ht="109.5" customHeight="1">
      <c r="A5" s="135" t="s">
        <v>340</v>
      </c>
      <c r="B5" s="135" t="s">
        <v>341</v>
      </c>
      <c r="C5" s="135" t="s">
        <v>339</v>
      </c>
      <c r="D5" s="135" t="s">
        <v>332</v>
      </c>
      <c r="E5" s="135" t="s">
        <v>187</v>
      </c>
      <c r="F5" s="135" t="s">
        <v>195</v>
      </c>
      <c r="G5" s="135" t="s">
        <v>193</v>
      </c>
      <c r="H5" s="135" t="str">
        <f>IFERROR(VLOOKUP(G5,'Conformance Score'!A:B, 2, 0), "")</f>
        <v>Non-Text Content</v>
      </c>
      <c r="I5" s="135" t="s">
        <v>333</v>
      </c>
      <c r="J5" s="135" t="s">
        <v>334</v>
      </c>
      <c r="K5" s="134"/>
      <c r="L5" s="134"/>
      <c r="M5" s="134"/>
      <c r="N5" s="134"/>
      <c r="O5" s="134"/>
      <c r="P5" s="134"/>
      <c r="Q5" s="134"/>
      <c r="R5" s="134"/>
      <c r="S5" s="134"/>
      <c r="T5" s="134"/>
      <c r="U5" s="134"/>
      <c r="V5" s="134"/>
      <c r="W5" s="134"/>
      <c r="X5" s="134"/>
      <c r="Y5" s="134"/>
      <c r="Z5" s="134"/>
      <c r="AA5" s="134"/>
    </row>
    <row r="6" ht="296.25" customHeight="1">
      <c r="A6" s="135" t="s">
        <v>342</v>
      </c>
      <c r="B6" s="135" t="s">
        <v>343</v>
      </c>
      <c r="C6" s="135" t="s">
        <v>344</v>
      </c>
      <c r="D6" s="135" t="s">
        <v>332</v>
      </c>
      <c r="E6" s="135" t="s">
        <v>186</v>
      </c>
      <c r="F6" s="135" t="s">
        <v>195</v>
      </c>
      <c r="G6" s="135" t="s">
        <v>193</v>
      </c>
      <c r="H6" s="135" t="str">
        <f>IFERROR(VLOOKUP(G6,'Conformance Score'!A:B, 2, 0), "")</f>
        <v>Non-Text Content</v>
      </c>
      <c r="I6" s="135" t="s">
        <v>333</v>
      </c>
      <c r="J6" s="135" t="s">
        <v>334</v>
      </c>
      <c r="K6" s="134"/>
      <c r="L6" s="134"/>
      <c r="M6" s="134"/>
      <c r="N6" s="134"/>
      <c r="O6" s="134"/>
      <c r="P6" s="134"/>
      <c r="Q6" s="134"/>
      <c r="R6" s="134"/>
      <c r="S6" s="134"/>
      <c r="T6" s="134"/>
      <c r="U6" s="134"/>
      <c r="V6" s="134"/>
      <c r="W6" s="134"/>
      <c r="X6" s="134"/>
      <c r="Y6" s="134"/>
      <c r="Z6" s="134"/>
      <c r="AA6" s="134"/>
    </row>
    <row r="7">
      <c r="A7" s="135" t="s">
        <v>345</v>
      </c>
      <c r="B7" s="135" t="s">
        <v>346</v>
      </c>
      <c r="C7" s="135" t="s">
        <v>347</v>
      </c>
      <c r="D7" s="135" t="s">
        <v>332</v>
      </c>
      <c r="E7" s="135" t="s">
        <v>186</v>
      </c>
      <c r="F7" s="135" t="s">
        <v>195</v>
      </c>
      <c r="G7" s="135" t="s">
        <v>193</v>
      </c>
      <c r="H7" s="135" t="str">
        <f>IFERROR(VLOOKUP(G7,'Conformance Score'!A:B, 2, 0), "")</f>
        <v>Non-Text Content</v>
      </c>
      <c r="I7" s="135" t="s">
        <v>333</v>
      </c>
      <c r="J7" s="135" t="s">
        <v>334</v>
      </c>
      <c r="K7" s="134"/>
      <c r="L7" s="134"/>
      <c r="M7" s="134"/>
      <c r="N7" s="134"/>
      <c r="O7" s="134"/>
      <c r="P7" s="134"/>
      <c r="Q7" s="134"/>
      <c r="R7" s="134"/>
      <c r="S7" s="134"/>
      <c r="T7" s="134"/>
      <c r="U7" s="134"/>
      <c r="V7" s="134"/>
      <c r="W7" s="134"/>
      <c r="X7" s="134"/>
      <c r="Y7" s="134"/>
      <c r="Z7" s="134"/>
      <c r="AA7" s="134"/>
    </row>
    <row r="8" ht="111.75" customHeight="1">
      <c r="A8" s="135" t="s">
        <v>348</v>
      </c>
      <c r="B8" s="135" t="s">
        <v>349</v>
      </c>
      <c r="C8" s="135" t="s">
        <v>350</v>
      </c>
      <c r="D8" s="135" t="s">
        <v>332</v>
      </c>
      <c r="E8" s="135" t="s">
        <v>187</v>
      </c>
      <c r="F8" s="135" t="s">
        <v>195</v>
      </c>
      <c r="G8" s="135" t="s">
        <v>193</v>
      </c>
      <c r="H8" s="135" t="str">
        <f>IFERROR(VLOOKUP(G8,'Conformance Score'!A:B, 2, 0), "")</f>
        <v>Non-Text Content</v>
      </c>
      <c r="I8" s="135" t="s">
        <v>333</v>
      </c>
      <c r="J8" s="135" t="s">
        <v>334</v>
      </c>
      <c r="K8" s="134"/>
      <c r="L8" s="134"/>
      <c r="M8" s="134"/>
      <c r="N8" s="134"/>
      <c r="O8" s="134"/>
      <c r="P8" s="134"/>
      <c r="Q8" s="134"/>
      <c r="R8" s="134"/>
      <c r="S8" s="134"/>
      <c r="T8" s="134"/>
      <c r="U8" s="134"/>
      <c r="V8" s="134"/>
      <c r="W8" s="134"/>
      <c r="X8" s="134"/>
      <c r="Y8" s="134"/>
      <c r="Z8" s="134"/>
      <c r="AA8" s="134"/>
    </row>
    <row r="9" ht="125.25" customHeight="1">
      <c r="A9" s="135" t="s">
        <v>351</v>
      </c>
      <c r="B9" s="135" t="s">
        <v>352</v>
      </c>
      <c r="C9" s="135" t="s">
        <v>353</v>
      </c>
      <c r="D9" s="135" t="s">
        <v>332</v>
      </c>
      <c r="E9" s="135" t="s">
        <v>188</v>
      </c>
      <c r="F9" s="135" t="s">
        <v>195</v>
      </c>
      <c r="G9" s="135" t="s">
        <v>193</v>
      </c>
      <c r="H9" s="135" t="str">
        <f>IFERROR(VLOOKUP(G9,'Conformance Score'!A:B, 2, 0), "")</f>
        <v>Non-Text Content</v>
      </c>
      <c r="I9" s="135" t="s">
        <v>333</v>
      </c>
      <c r="J9" s="135" t="s">
        <v>334</v>
      </c>
      <c r="K9" s="134"/>
      <c r="L9" s="134"/>
      <c r="M9" s="134"/>
      <c r="N9" s="134"/>
      <c r="O9" s="134"/>
      <c r="P9" s="134"/>
      <c r="Q9" s="134"/>
      <c r="R9" s="134"/>
      <c r="S9" s="134"/>
      <c r="T9" s="134"/>
      <c r="U9" s="134"/>
      <c r="V9" s="134"/>
      <c r="W9" s="134"/>
      <c r="X9" s="134"/>
      <c r="Y9" s="134"/>
      <c r="Z9" s="134"/>
      <c r="AA9" s="134"/>
    </row>
    <row r="10" ht="146.25" customHeight="1">
      <c r="A10" s="135" t="s">
        <v>354</v>
      </c>
      <c r="B10" s="135" t="s">
        <v>355</v>
      </c>
      <c r="C10" s="135" t="s">
        <v>356</v>
      </c>
      <c r="D10" s="135" t="s">
        <v>332</v>
      </c>
      <c r="E10" s="135" t="s">
        <v>188</v>
      </c>
      <c r="F10" s="135" t="s">
        <v>195</v>
      </c>
      <c r="G10" s="135" t="s">
        <v>193</v>
      </c>
      <c r="H10" s="135" t="str">
        <f>IFERROR(VLOOKUP(G10,'Conformance Score'!A:B, 2, 0), "")</f>
        <v>Non-Text Content</v>
      </c>
      <c r="I10" s="135" t="s">
        <v>333</v>
      </c>
      <c r="J10" s="135" t="s">
        <v>334</v>
      </c>
      <c r="K10" s="134"/>
      <c r="L10" s="134"/>
      <c r="M10" s="134"/>
      <c r="N10" s="134"/>
      <c r="O10" s="134"/>
      <c r="P10" s="134"/>
      <c r="Q10" s="134"/>
      <c r="R10" s="134"/>
      <c r="S10" s="134"/>
      <c r="T10" s="134"/>
      <c r="U10" s="134"/>
      <c r="V10" s="134"/>
      <c r="W10" s="134"/>
      <c r="X10" s="134"/>
      <c r="Y10" s="134"/>
      <c r="Z10" s="134"/>
      <c r="AA10" s="134"/>
    </row>
    <row r="11">
      <c r="A11" s="135" t="s">
        <v>357</v>
      </c>
      <c r="B11" s="135" t="s">
        <v>358</v>
      </c>
      <c r="C11" s="135" t="s">
        <v>359</v>
      </c>
      <c r="D11" s="135" t="s">
        <v>332</v>
      </c>
      <c r="E11" s="135" t="s">
        <v>185</v>
      </c>
      <c r="F11" s="135" t="s">
        <v>195</v>
      </c>
      <c r="G11" s="135" t="s">
        <v>193</v>
      </c>
      <c r="H11" s="135" t="str">
        <f>IFERROR(VLOOKUP(G11,'Conformance Score'!A:B, 2, 0), "")</f>
        <v>Non-Text Content</v>
      </c>
      <c r="I11" s="135" t="s">
        <v>333</v>
      </c>
      <c r="J11" s="135" t="s">
        <v>334</v>
      </c>
      <c r="K11" s="134"/>
      <c r="L11" s="134"/>
      <c r="M11" s="134"/>
      <c r="N11" s="134"/>
      <c r="O11" s="134"/>
      <c r="P11" s="134"/>
      <c r="Q11" s="134"/>
      <c r="R11" s="134"/>
      <c r="S11" s="134"/>
      <c r="T11" s="134"/>
      <c r="U11" s="134"/>
      <c r="V11" s="134"/>
      <c r="W11" s="134"/>
      <c r="X11" s="134"/>
      <c r="Y11" s="134"/>
      <c r="Z11" s="134"/>
      <c r="AA11" s="134"/>
    </row>
    <row r="12" ht="183.75" customHeight="1">
      <c r="A12" s="135" t="s">
        <v>360</v>
      </c>
      <c r="B12" s="135" t="s">
        <v>361</v>
      </c>
      <c r="C12" s="135" t="s">
        <v>362</v>
      </c>
      <c r="D12" s="135" t="s">
        <v>363</v>
      </c>
      <c r="E12" s="135" t="s">
        <v>185</v>
      </c>
      <c r="F12" s="135" t="s">
        <v>195</v>
      </c>
      <c r="G12" s="135" t="s">
        <v>196</v>
      </c>
      <c r="H12" s="135" t="str">
        <f>IFERROR(VLOOKUP(G12,'Conformance Score'!A:B, 2, 0), "")</f>
        <v>Audio-only and Video-only (Prerecorded)</v>
      </c>
      <c r="I12" s="135" t="s">
        <v>364</v>
      </c>
      <c r="J12" s="135" t="s">
        <v>365</v>
      </c>
      <c r="K12" s="134"/>
      <c r="L12" s="134"/>
      <c r="M12" s="134"/>
      <c r="N12" s="134"/>
      <c r="O12" s="134"/>
      <c r="P12" s="134"/>
      <c r="Q12" s="134"/>
      <c r="R12" s="134"/>
      <c r="S12" s="134"/>
      <c r="T12" s="134"/>
      <c r="U12" s="134"/>
      <c r="V12" s="134"/>
      <c r="W12" s="134"/>
      <c r="X12" s="134"/>
      <c r="Y12" s="134"/>
      <c r="Z12" s="134"/>
      <c r="AA12" s="134"/>
    </row>
    <row r="13" ht="99.75" customHeight="1">
      <c r="A13" s="135" t="s">
        <v>366</v>
      </c>
      <c r="B13" s="135" t="s">
        <v>367</v>
      </c>
      <c r="C13" s="135" t="s">
        <v>368</v>
      </c>
      <c r="D13" s="135" t="s">
        <v>369</v>
      </c>
      <c r="E13" s="135" t="s">
        <v>186</v>
      </c>
      <c r="F13" s="135" t="s">
        <v>195</v>
      </c>
      <c r="G13" s="135" t="s">
        <v>198</v>
      </c>
      <c r="H13" s="135" t="str">
        <f>IFERROR(VLOOKUP(G13,'Conformance Score'!A:B, 2, 0), "")</f>
        <v>Captions (Prerecorded)</v>
      </c>
      <c r="I13" s="135" t="s">
        <v>370</v>
      </c>
      <c r="J13" s="135" t="s">
        <v>371</v>
      </c>
      <c r="K13" s="134"/>
      <c r="L13" s="134"/>
      <c r="M13" s="134"/>
      <c r="N13" s="134"/>
      <c r="O13" s="134"/>
      <c r="P13" s="134"/>
      <c r="Q13" s="134"/>
      <c r="R13" s="134"/>
      <c r="S13" s="134"/>
      <c r="T13" s="134"/>
      <c r="U13" s="134"/>
      <c r="V13" s="134"/>
      <c r="W13" s="134"/>
      <c r="X13" s="134"/>
      <c r="Y13" s="134"/>
      <c r="Z13" s="134"/>
      <c r="AA13" s="134"/>
    </row>
    <row r="14" ht="106.5" customHeight="1">
      <c r="A14" s="135" t="s">
        <v>372</v>
      </c>
      <c r="B14" s="135" t="s">
        <v>373</v>
      </c>
      <c r="C14" s="135" t="s">
        <v>374</v>
      </c>
      <c r="D14" s="135" t="s">
        <v>332</v>
      </c>
      <c r="E14" s="135" t="s">
        <v>186</v>
      </c>
      <c r="F14" s="135" t="s">
        <v>195</v>
      </c>
      <c r="G14" s="135" t="s">
        <v>200</v>
      </c>
      <c r="H14" s="135" t="str">
        <f>IFERROR(VLOOKUP(G14,'Conformance Score'!A:B, 2, 0), "")</f>
        <v>Audio Description or Media Alternative (Prerecorded)</v>
      </c>
      <c r="I14" s="135" t="s">
        <v>375</v>
      </c>
      <c r="J14" s="135" t="s">
        <v>376</v>
      </c>
      <c r="K14" s="134"/>
      <c r="L14" s="134"/>
      <c r="M14" s="134"/>
      <c r="N14" s="134"/>
      <c r="O14" s="134"/>
      <c r="P14" s="134"/>
      <c r="Q14" s="134"/>
      <c r="R14" s="134"/>
      <c r="S14" s="134"/>
      <c r="T14" s="134"/>
      <c r="U14" s="134"/>
      <c r="V14" s="134"/>
      <c r="W14" s="134"/>
      <c r="X14" s="134"/>
      <c r="Y14" s="134"/>
      <c r="Z14" s="134"/>
      <c r="AA14" s="134"/>
    </row>
    <row r="15" ht="111.75" customHeight="1">
      <c r="A15" s="135" t="s">
        <v>377</v>
      </c>
      <c r="B15" s="135" t="s">
        <v>378</v>
      </c>
      <c r="C15" s="135" t="s">
        <v>379</v>
      </c>
      <c r="D15" s="135" t="s">
        <v>369</v>
      </c>
      <c r="E15" s="135" t="s">
        <v>186</v>
      </c>
      <c r="F15" s="135" t="s">
        <v>195</v>
      </c>
      <c r="G15" s="135" t="s">
        <v>202</v>
      </c>
      <c r="H15" s="135" t="str">
        <f>IFERROR(VLOOKUP(G15,'Conformance Score'!A:B, 2, 0), "")</f>
        <v>Captions (Live)</v>
      </c>
      <c r="I15" s="135" t="s">
        <v>380</v>
      </c>
      <c r="J15" s="135" t="s">
        <v>381</v>
      </c>
      <c r="K15" s="134"/>
      <c r="L15" s="134"/>
      <c r="M15" s="134"/>
      <c r="N15" s="134"/>
      <c r="O15" s="134"/>
      <c r="P15" s="134"/>
      <c r="Q15" s="134"/>
      <c r="R15" s="134"/>
      <c r="S15" s="134"/>
      <c r="T15" s="134"/>
      <c r="U15" s="134"/>
      <c r="V15" s="134"/>
      <c r="W15" s="134"/>
      <c r="X15" s="134"/>
      <c r="Y15" s="134"/>
      <c r="Z15" s="134"/>
      <c r="AA15" s="134"/>
    </row>
    <row r="16" ht="113.25" customHeight="1">
      <c r="A16" s="135" t="s">
        <v>382</v>
      </c>
      <c r="B16" s="135" t="s">
        <v>383</v>
      </c>
      <c r="C16" s="135" t="s">
        <v>384</v>
      </c>
      <c r="D16" s="135" t="s">
        <v>332</v>
      </c>
      <c r="E16" s="135" t="s">
        <v>187</v>
      </c>
      <c r="F16" s="135" t="s">
        <v>204</v>
      </c>
      <c r="G16" s="135" t="s">
        <v>205</v>
      </c>
      <c r="H16" s="135" t="str">
        <f>IFERROR(VLOOKUP(G16,'Conformance Score'!A:B, 2, 0), "")</f>
        <v>Audio Description (Prerecorded)</v>
      </c>
      <c r="I16" s="135" t="s">
        <v>385</v>
      </c>
      <c r="J16" s="135" t="s">
        <v>386</v>
      </c>
      <c r="K16" s="134"/>
      <c r="L16" s="134"/>
      <c r="M16" s="134"/>
      <c r="N16" s="134"/>
      <c r="O16" s="134"/>
      <c r="P16" s="134"/>
      <c r="Q16" s="134"/>
      <c r="R16" s="134"/>
      <c r="S16" s="134"/>
      <c r="T16" s="134"/>
      <c r="U16" s="134"/>
      <c r="V16" s="134"/>
      <c r="W16" s="134"/>
      <c r="X16" s="134"/>
      <c r="Y16" s="134"/>
      <c r="Z16" s="134"/>
      <c r="AA16" s="134"/>
    </row>
    <row r="17" ht="125.25" customHeight="1">
      <c r="A17" s="135" t="s">
        <v>387</v>
      </c>
      <c r="B17" s="135" t="s">
        <v>388</v>
      </c>
      <c r="C17" s="135" t="s">
        <v>389</v>
      </c>
      <c r="D17" s="135" t="s">
        <v>332</v>
      </c>
      <c r="E17" s="135" t="s">
        <v>187</v>
      </c>
      <c r="F17" s="135" t="s">
        <v>195</v>
      </c>
      <c r="G17" s="135" t="s">
        <v>207</v>
      </c>
      <c r="H17" s="135" t="str">
        <f>IFERROR(VLOOKUP(G17,'Conformance Score'!A:B, 2, 0), "")</f>
        <v>Info and Relationships</v>
      </c>
      <c r="I17" s="135" t="s">
        <v>390</v>
      </c>
      <c r="J17" s="135" t="s">
        <v>391</v>
      </c>
      <c r="K17" s="134"/>
      <c r="L17" s="134"/>
      <c r="M17" s="134"/>
      <c r="N17" s="134"/>
      <c r="O17" s="134"/>
      <c r="P17" s="134"/>
      <c r="Q17" s="134"/>
      <c r="R17" s="134"/>
      <c r="S17" s="134"/>
      <c r="T17" s="134"/>
      <c r="U17" s="134"/>
      <c r="V17" s="134"/>
      <c r="W17" s="134"/>
      <c r="X17" s="134"/>
      <c r="Y17" s="134"/>
      <c r="Z17" s="134"/>
      <c r="AA17" s="134"/>
    </row>
    <row r="18" ht="108.0" customHeight="1">
      <c r="A18" s="135" t="s">
        <v>392</v>
      </c>
      <c r="B18" s="136" t="s">
        <v>393</v>
      </c>
      <c r="C18" s="135" t="s">
        <v>394</v>
      </c>
      <c r="D18" s="135" t="s">
        <v>332</v>
      </c>
      <c r="E18" s="135" t="s">
        <v>187</v>
      </c>
      <c r="F18" s="135" t="s">
        <v>195</v>
      </c>
      <c r="G18" s="135" t="s">
        <v>207</v>
      </c>
      <c r="H18" s="135" t="str">
        <f>IFERROR(VLOOKUP(G18,'Conformance Score'!A:B, 2, 0), "")</f>
        <v>Info and Relationships</v>
      </c>
      <c r="I18" s="135" t="s">
        <v>390</v>
      </c>
      <c r="J18" s="135" t="s">
        <v>391</v>
      </c>
      <c r="K18" s="134"/>
      <c r="L18" s="134"/>
      <c r="M18" s="134"/>
      <c r="N18" s="134"/>
      <c r="O18" s="134"/>
      <c r="P18" s="134"/>
      <c r="Q18" s="134"/>
      <c r="R18" s="134"/>
      <c r="S18" s="134"/>
      <c r="T18" s="134"/>
      <c r="U18" s="134"/>
      <c r="V18" s="134"/>
      <c r="W18" s="134"/>
      <c r="X18" s="134"/>
      <c r="Y18" s="134"/>
      <c r="Z18" s="134"/>
      <c r="AA18" s="134"/>
    </row>
    <row r="19" ht="114.75" customHeight="1">
      <c r="A19" s="135" t="s">
        <v>395</v>
      </c>
      <c r="B19" s="135" t="s">
        <v>396</v>
      </c>
      <c r="C19" s="135" t="s">
        <v>397</v>
      </c>
      <c r="D19" s="135" t="s">
        <v>332</v>
      </c>
      <c r="E19" s="135" t="s">
        <v>187</v>
      </c>
      <c r="F19" s="135" t="s">
        <v>195</v>
      </c>
      <c r="G19" s="135" t="s">
        <v>207</v>
      </c>
      <c r="H19" s="135" t="str">
        <f>IFERROR(VLOOKUP(G19,'Conformance Score'!A:B, 2, 0), "")</f>
        <v>Info and Relationships</v>
      </c>
      <c r="I19" s="135" t="s">
        <v>390</v>
      </c>
      <c r="J19" s="135" t="s">
        <v>391</v>
      </c>
      <c r="K19" s="134"/>
      <c r="L19" s="134"/>
      <c r="M19" s="134"/>
      <c r="N19" s="134"/>
      <c r="O19" s="134"/>
      <c r="P19" s="134"/>
      <c r="Q19" s="134"/>
      <c r="R19" s="134"/>
      <c r="S19" s="134"/>
      <c r="T19" s="134"/>
      <c r="U19" s="134"/>
      <c r="V19" s="134"/>
      <c r="W19" s="134"/>
      <c r="X19" s="134"/>
      <c r="Y19" s="134"/>
      <c r="Z19" s="134"/>
      <c r="AA19" s="134"/>
    </row>
    <row r="20" ht="75.75" customHeight="1">
      <c r="A20" s="135" t="s">
        <v>398</v>
      </c>
      <c r="B20" s="135" t="s">
        <v>399</v>
      </c>
      <c r="C20" s="135" t="s">
        <v>400</v>
      </c>
      <c r="D20" s="135" t="s">
        <v>332</v>
      </c>
      <c r="E20" s="135" t="s">
        <v>187</v>
      </c>
      <c r="F20" s="135" t="s">
        <v>195</v>
      </c>
      <c r="G20" s="135" t="s">
        <v>207</v>
      </c>
      <c r="H20" s="135" t="str">
        <f>IFERROR(VLOOKUP(G20,'Conformance Score'!A:B, 2, 0), "")</f>
        <v>Info and Relationships</v>
      </c>
      <c r="I20" s="135" t="s">
        <v>390</v>
      </c>
      <c r="J20" s="135" t="s">
        <v>391</v>
      </c>
      <c r="K20" s="134"/>
      <c r="L20" s="134"/>
      <c r="M20" s="134"/>
      <c r="N20" s="134"/>
      <c r="O20" s="134"/>
      <c r="P20" s="134"/>
      <c r="Q20" s="134"/>
      <c r="R20" s="134"/>
      <c r="S20" s="134"/>
      <c r="T20" s="134"/>
      <c r="U20" s="134"/>
      <c r="V20" s="134"/>
      <c r="W20" s="134"/>
      <c r="X20" s="134"/>
      <c r="Y20" s="134"/>
      <c r="Z20" s="134"/>
      <c r="AA20" s="134"/>
    </row>
    <row r="21" ht="114.0" customHeight="1">
      <c r="A21" s="135" t="s">
        <v>401</v>
      </c>
      <c r="B21" s="135" t="s">
        <v>402</v>
      </c>
      <c r="C21" s="135" t="s">
        <v>403</v>
      </c>
      <c r="D21" s="135" t="s">
        <v>332</v>
      </c>
      <c r="E21" s="135" t="s">
        <v>187</v>
      </c>
      <c r="F21" s="135" t="s">
        <v>195</v>
      </c>
      <c r="G21" s="135" t="s">
        <v>207</v>
      </c>
      <c r="H21" s="135" t="str">
        <f>IFERROR(VLOOKUP(G21,'Conformance Score'!A:B, 2, 0), "")</f>
        <v>Info and Relationships</v>
      </c>
      <c r="I21" s="135" t="s">
        <v>390</v>
      </c>
      <c r="J21" s="135" t="s">
        <v>391</v>
      </c>
      <c r="K21" s="134"/>
      <c r="L21" s="134"/>
      <c r="M21" s="134"/>
      <c r="N21" s="134"/>
      <c r="O21" s="134"/>
      <c r="P21" s="134"/>
      <c r="Q21" s="134"/>
      <c r="R21" s="134"/>
      <c r="S21" s="134"/>
      <c r="T21" s="134"/>
      <c r="U21" s="134"/>
      <c r="V21" s="134"/>
      <c r="W21" s="134"/>
      <c r="X21" s="134"/>
      <c r="Y21" s="134"/>
      <c r="Z21" s="134"/>
      <c r="AA21" s="134"/>
    </row>
    <row r="22" ht="96.0" customHeight="1">
      <c r="A22" s="135" t="s">
        <v>404</v>
      </c>
      <c r="B22" s="135" t="s">
        <v>405</v>
      </c>
      <c r="C22" s="135" t="s">
        <v>406</v>
      </c>
      <c r="D22" s="135" t="s">
        <v>332</v>
      </c>
      <c r="E22" s="135" t="s">
        <v>188</v>
      </c>
      <c r="F22" s="135" t="s">
        <v>195</v>
      </c>
      <c r="G22" s="135" t="s">
        <v>207</v>
      </c>
      <c r="H22" s="135" t="str">
        <f>IFERROR(VLOOKUP(G22,'Conformance Score'!A:B, 2, 0), "")</f>
        <v>Info and Relationships</v>
      </c>
      <c r="I22" s="135" t="s">
        <v>390</v>
      </c>
      <c r="J22" s="135" t="s">
        <v>391</v>
      </c>
      <c r="K22" s="134"/>
      <c r="L22" s="134"/>
      <c r="M22" s="134"/>
      <c r="N22" s="134"/>
      <c r="O22" s="134"/>
      <c r="P22" s="134"/>
      <c r="Q22" s="134"/>
      <c r="R22" s="134"/>
      <c r="S22" s="134"/>
      <c r="T22" s="134"/>
      <c r="U22" s="134"/>
      <c r="V22" s="134"/>
      <c r="W22" s="134"/>
      <c r="X22" s="134"/>
      <c r="Y22" s="134"/>
      <c r="Z22" s="134"/>
      <c r="AA22" s="134"/>
    </row>
    <row r="23" ht="126.0" customHeight="1">
      <c r="A23" s="135" t="s">
        <v>407</v>
      </c>
      <c r="B23" s="135" t="s">
        <v>408</v>
      </c>
      <c r="C23" s="135" t="s">
        <v>409</v>
      </c>
      <c r="D23" s="135" t="s">
        <v>332</v>
      </c>
      <c r="E23" s="135" t="s">
        <v>187</v>
      </c>
      <c r="F23" s="135" t="s">
        <v>195</v>
      </c>
      <c r="G23" s="135" t="s">
        <v>207</v>
      </c>
      <c r="H23" s="135" t="str">
        <f>IFERROR(VLOOKUP(G23,'Conformance Score'!A:B, 2, 0), "")</f>
        <v>Info and Relationships</v>
      </c>
      <c r="I23" s="135" t="s">
        <v>390</v>
      </c>
      <c r="J23" s="135" t="s">
        <v>391</v>
      </c>
      <c r="K23" s="134"/>
      <c r="L23" s="134"/>
      <c r="M23" s="134"/>
      <c r="N23" s="134"/>
      <c r="O23" s="134"/>
      <c r="P23" s="134"/>
      <c r="Q23" s="134"/>
      <c r="R23" s="134"/>
      <c r="S23" s="134"/>
      <c r="T23" s="134"/>
      <c r="U23" s="134"/>
      <c r="V23" s="134"/>
      <c r="W23" s="134"/>
      <c r="X23" s="134"/>
      <c r="Y23" s="134"/>
      <c r="Z23" s="134"/>
      <c r="AA23" s="134"/>
    </row>
    <row r="24" ht="108.0" customHeight="1">
      <c r="A24" s="135" t="s">
        <v>410</v>
      </c>
      <c r="B24" s="135" t="s">
        <v>411</v>
      </c>
      <c r="C24" s="135" t="s">
        <v>412</v>
      </c>
      <c r="D24" s="135" t="s">
        <v>332</v>
      </c>
      <c r="E24" s="135" t="s">
        <v>188</v>
      </c>
      <c r="F24" s="135" t="s">
        <v>195</v>
      </c>
      <c r="G24" s="135" t="s">
        <v>207</v>
      </c>
      <c r="H24" s="135" t="str">
        <f>IFERROR(VLOOKUP(G24,'Conformance Score'!A:B, 2, 0), "")</f>
        <v>Info and Relationships</v>
      </c>
      <c r="I24" s="135" t="s">
        <v>390</v>
      </c>
      <c r="J24" s="135" t="s">
        <v>391</v>
      </c>
      <c r="K24" s="134"/>
      <c r="L24" s="134"/>
      <c r="M24" s="134"/>
      <c r="N24" s="134"/>
      <c r="O24" s="134"/>
      <c r="P24" s="134"/>
      <c r="Q24" s="134"/>
      <c r="R24" s="134"/>
      <c r="S24" s="134"/>
      <c r="T24" s="134"/>
      <c r="U24" s="134"/>
      <c r="V24" s="134"/>
      <c r="W24" s="134"/>
      <c r="X24" s="134"/>
      <c r="Y24" s="134"/>
      <c r="Z24" s="134"/>
      <c r="AA24" s="134"/>
    </row>
    <row r="25" ht="80.25" customHeight="1">
      <c r="A25" s="135" t="s">
        <v>413</v>
      </c>
      <c r="B25" s="135" t="s">
        <v>414</v>
      </c>
      <c r="C25" s="135" t="s">
        <v>415</v>
      </c>
      <c r="D25" s="135" t="s">
        <v>332</v>
      </c>
      <c r="E25" s="135" t="s">
        <v>187</v>
      </c>
      <c r="F25" s="135" t="s">
        <v>195</v>
      </c>
      <c r="G25" s="135" t="s">
        <v>207</v>
      </c>
      <c r="H25" s="135" t="str">
        <f>IFERROR(VLOOKUP(G25,'Conformance Score'!A:B, 2, 0), "")</f>
        <v>Info and Relationships</v>
      </c>
      <c r="I25" s="135" t="s">
        <v>390</v>
      </c>
      <c r="J25" s="135" t="s">
        <v>391</v>
      </c>
      <c r="K25" s="134"/>
      <c r="L25" s="134"/>
      <c r="M25" s="134"/>
      <c r="N25" s="134"/>
      <c r="O25" s="134"/>
      <c r="P25" s="134"/>
      <c r="Q25" s="134"/>
      <c r="R25" s="134"/>
      <c r="S25" s="134"/>
      <c r="T25" s="134"/>
      <c r="U25" s="134"/>
      <c r="V25" s="134"/>
      <c r="W25" s="134"/>
      <c r="X25" s="134"/>
      <c r="Y25" s="134"/>
      <c r="Z25" s="134"/>
      <c r="AA25" s="134"/>
    </row>
    <row r="26" ht="120.75" customHeight="1">
      <c r="A26" s="135" t="s">
        <v>416</v>
      </c>
      <c r="B26" s="135" t="s">
        <v>417</v>
      </c>
      <c r="C26" s="135" t="s">
        <v>418</v>
      </c>
      <c r="D26" s="135" t="s">
        <v>332</v>
      </c>
      <c r="E26" s="135" t="s">
        <v>187</v>
      </c>
      <c r="F26" s="135" t="s">
        <v>195</v>
      </c>
      <c r="G26" s="135" t="s">
        <v>207</v>
      </c>
      <c r="H26" s="135" t="str">
        <f>IFERROR(VLOOKUP(G26,'Conformance Score'!A:B, 2, 0), "")</f>
        <v>Info and Relationships</v>
      </c>
      <c r="I26" s="135" t="s">
        <v>390</v>
      </c>
      <c r="J26" s="135" t="s">
        <v>391</v>
      </c>
      <c r="K26" s="134"/>
      <c r="L26" s="134"/>
      <c r="M26" s="134"/>
      <c r="N26" s="134"/>
      <c r="O26" s="134"/>
      <c r="P26" s="134"/>
      <c r="Q26" s="134"/>
      <c r="R26" s="134"/>
      <c r="S26" s="134"/>
      <c r="T26" s="134"/>
      <c r="U26" s="134"/>
      <c r="V26" s="134"/>
      <c r="W26" s="134"/>
      <c r="X26" s="134"/>
      <c r="Y26" s="134"/>
      <c r="Z26" s="134"/>
      <c r="AA26" s="134"/>
    </row>
    <row r="27" ht="63.75" customHeight="1">
      <c r="A27" s="135" t="s">
        <v>419</v>
      </c>
      <c r="B27" s="135" t="s">
        <v>420</v>
      </c>
      <c r="C27" s="135" t="s">
        <v>421</v>
      </c>
      <c r="D27" s="135" t="s">
        <v>332</v>
      </c>
      <c r="E27" s="135" t="s">
        <v>188</v>
      </c>
      <c r="F27" s="135" t="s">
        <v>195</v>
      </c>
      <c r="G27" s="135" t="s">
        <v>207</v>
      </c>
      <c r="H27" s="135" t="str">
        <f>IFERROR(VLOOKUP(G27,'Conformance Score'!A:B, 2, 0), "")</f>
        <v>Info and Relationships</v>
      </c>
      <c r="I27" s="135" t="s">
        <v>390</v>
      </c>
      <c r="J27" s="135" t="s">
        <v>391</v>
      </c>
      <c r="K27" s="134"/>
      <c r="L27" s="134"/>
      <c r="M27" s="134"/>
      <c r="N27" s="134"/>
      <c r="O27" s="134"/>
      <c r="P27" s="134"/>
      <c r="Q27" s="134"/>
      <c r="R27" s="134"/>
      <c r="S27" s="134"/>
      <c r="T27" s="134"/>
      <c r="U27" s="134"/>
      <c r="V27" s="134"/>
      <c r="W27" s="134"/>
      <c r="X27" s="134"/>
      <c r="Y27" s="134"/>
      <c r="Z27" s="134"/>
      <c r="AA27" s="134"/>
    </row>
    <row r="28" ht="128.25" customHeight="1">
      <c r="A28" s="135" t="s">
        <v>422</v>
      </c>
      <c r="B28" s="135" t="s">
        <v>423</v>
      </c>
      <c r="C28" s="135" t="s">
        <v>424</v>
      </c>
      <c r="D28" s="135" t="s">
        <v>332</v>
      </c>
      <c r="E28" s="135" t="s">
        <v>188</v>
      </c>
      <c r="F28" s="135" t="s">
        <v>195</v>
      </c>
      <c r="G28" s="135" t="s">
        <v>207</v>
      </c>
      <c r="H28" s="135" t="str">
        <f>IFERROR(VLOOKUP(G28,'Conformance Score'!A:B, 2, 0), "")</f>
        <v>Info and Relationships</v>
      </c>
      <c r="I28" s="135" t="s">
        <v>390</v>
      </c>
      <c r="J28" s="135" t="s">
        <v>391</v>
      </c>
      <c r="K28" s="134"/>
      <c r="L28" s="134"/>
      <c r="M28" s="134"/>
      <c r="N28" s="134"/>
      <c r="O28" s="134"/>
      <c r="P28" s="134"/>
      <c r="Q28" s="134"/>
      <c r="R28" s="134"/>
      <c r="S28" s="134"/>
      <c r="T28" s="134"/>
      <c r="U28" s="134"/>
      <c r="V28" s="134"/>
      <c r="W28" s="134"/>
      <c r="X28" s="134"/>
      <c r="Y28" s="134"/>
      <c r="Z28" s="134"/>
      <c r="AA28" s="134"/>
    </row>
    <row r="29" ht="104.25" customHeight="1">
      <c r="A29" s="135" t="s">
        <v>425</v>
      </c>
      <c r="B29" s="135" t="s">
        <v>426</v>
      </c>
      <c r="C29" s="135" t="s">
        <v>427</v>
      </c>
      <c r="D29" s="135" t="s">
        <v>332</v>
      </c>
      <c r="E29" s="135" t="s">
        <v>188</v>
      </c>
      <c r="F29" s="135" t="s">
        <v>195</v>
      </c>
      <c r="G29" s="135" t="s">
        <v>207</v>
      </c>
      <c r="H29" s="135" t="str">
        <f>IFERROR(VLOOKUP(G29,'Conformance Score'!A:B, 2, 0), "")</f>
        <v>Info and Relationships</v>
      </c>
      <c r="I29" s="135" t="s">
        <v>390</v>
      </c>
      <c r="J29" s="135" t="s">
        <v>391</v>
      </c>
      <c r="K29" s="134"/>
      <c r="L29" s="134"/>
      <c r="M29" s="134"/>
      <c r="N29" s="134"/>
      <c r="O29" s="134"/>
      <c r="P29" s="134"/>
      <c r="Q29" s="134"/>
      <c r="R29" s="134"/>
      <c r="S29" s="134"/>
      <c r="T29" s="134"/>
      <c r="U29" s="134"/>
      <c r="V29" s="134"/>
      <c r="W29" s="134"/>
      <c r="X29" s="134"/>
      <c r="Y29" s="134"/>
      <c r="Z29" s="134"/>
      <c r="AA29" s="134"/>
    </row>
    <row r="30" ht="99.75" customHeight="1">
      <c r="A30" s="135" t="s">
        <v>428</v>
      </c>
      <c r="B30" s="135" t="s">
        <v>429</v>
      </c>
      <c r="C30" s="135" t="s">
        <v>430</v>
      </c>
      <c r="D30" s="135" t="s">
        <v>332</v>
      </c>
      <c r="E30" s="135" t="s">
        <v>186</v>
      </c>
      <c r="F30" s="135" t="s">
        <v>195</v>
      </c>
      <c r="G30" s="135" t="s">
        <v>207</v>
      </c>
      <c r="H30" s="135" t="str">
        <f>IFERROR(VLOOKUP(G30,'Conformance Score'!A:B, 2, 0), "")</f>
        <v>Info and Relationships</v>
      </c>
      <c r="I30" s="135" t="s">
        <v>390</v>
      </c>
      <c r="J30" s="135" t="s">
        <v>391</v>
      </c>
      <c r="K30" s="134"/>
      <c r="L30" s="134"/>
      <c r="M30" s="134"/>
      <c r="N30" s="134"/>
      <c r="O30" s="134"/>
      <c r="P30" s="134"/>
      <c r="Q30" s="134"/>
      <c r="R30" s="134"/>
      <c r="S30" s="134"/>
      <c r="T30" s="134"/>
      <c r="U30" s="134"/>
      <c r="V30" s="134"/>
      <c r="W30" s="134"/>
      <c r="X30" s="134"/>
      <c r="Y30" s="134"/>
      <c r="Z30" s="134"/>
      <c r="AA30" s="134"/>
    </row>
    <row r="31" ht="113.25" customHeight="1">
      <c r="A31" s="135" t="s">
        <v>431</v>
      </c>
      <c r="B31" s="135" t="s">
        <v>432</v>
      </c>
      <c r="C31" s="135" t="s">
        <v>433</v>
      </c>
      <c r="D31" s="135" t="s">
        <v>332</v>
      </c>
      <c r="E31" s="135" t="s">
        <v>186</v>
      </c>
      <c r="F31" s="135" t="s">
        <v>195</v>
      </c>
      <c r="G31" s="135" t="s">
        <v>207</v>
      </c>
      <c r="H31" s="135" t="str">
        <f>IFERROR(VLOOKUP(G31,'Conformance Score'!A:B, 2, 0), "")</f>
        <v>Info and Relationships</v>
      </c>
      <c r="I31" s="135" t="s">
        <v>390</v>
      </c>
      <c r="J31" s="135" t="s">
        <v>391</v>
      </c>
      <c r="K31" s="134"/>
      <c r="L31" s="134"/>
      <c r="M31" s="134"/>
      <c r="N31" s="134"/>
      <c r="O31" s="134"/>
      <c r="P31" s="134"/>
      <c r="Q31" s="134"/>
      <c r="R31" s="134"/>
      <c r="S31" s="134"/>
      <c r="T31" s="134"/>
      <c r="U31" s="134"/>
      <c r="V31" s="134"/>
      <c r="W31" s="134"/>
      <c r="X31" s="134"/>
      <c r="Y31" s="134"/>
      <c r="Z31" s="134"/>
      <c r="AA31" s="134"/>
    </row>
    <row r="32" ht="117.0" customHeight="1">
      <c r="A32" s="135" t="s">
        <v>434</v>
      </c>
      <c r="B32" s="135" t="s">
        <v>435</v>
      </c>
      <c r="C32" s="135" t="s">
        <v>436</v>
      </c>
      <c r="D32" s="135" t="s">
        <v>332</v>
      </c>
      <c r="E32" s="135" t="s">
        <v>188</v>
      </c>
      <c r="F32" s="135" t="s">
        <v>195</v>
      </c>
      <c r="G32" s="135" t="s">
        <v>207</v>
      </c>
      <c r="H32" s="135" t="str">
        <f>IFERROR(VLOOKUP(G32,'Conformance Score'!A:B, 2, 0), "")</f>
        <v>Info and Relationships</v>
      </c>
      <c r="I32" s="135" t="s">
        <v>390</v>
      </c>
      <c r="J32" s="135" t="s">
        <v>391</v>
      </c>
      <c r="K32" s="134"/>
      <c r="L32" s="134"/>
      <c r="M32" s="134"/>
      <c r="N32" s="134"/>
      <c r="O32" s="134"/>
      <c r="P32" s="134"/>
      <c r="Q32" s="134"/>
      <c r="R32" s="134"/>
      <c r="S32" s="134"/>
      <c r="T32" s="134"/>
      <c r="U32" s="134"/>
      <c r="V32" s="134"/>
      <c r="W32" s="134"/>
      <c r="X32" s="134"/>
      <c r="Y32" s="134"/>
      <c r="Z32" s="134"/>
      <c r="AA32" s="134"/>
    </row>
    <row r="33" ht="113.25" customHeight="1">
      <c r="A33" s="135" t="s">
        <v>437</v>
      </c>
      <c r="B33" s="135" t="s">
        <v>438</v>
      </c>
      <c r="C33" s="135" t="s">
        <v>439</v>
      </c>
      <c r="D33" s="135" t="s">
        <v>332</v>
      </c>
      <c r="E33" s="135" t="s">
        <v>186</v>
      </c>
      <c r="F33" s="135" t="s">
        <v>195</v>
      </c>
      <c r="G33" s="135" t="s">
        <v>207</v>
      </c>
      <c r="H33" s="135" t="str">
        <f>IFERROR(VLOOKUP(G33,'Conformance Score'!A:B, 2, 0), "")</f>
        <v>Info and Relationships</v>
      </c>
      <c r="I33" s="135" t="s">
        <v>390</v>
      </c>
      <c r="J33" s="135" t="s">
        <v>391</v>
      </c>
      <c r="K33" s="134"/>
      <c r="L33" s="134"/>
      <c r="M33" s="134"/>
      <c r="N33" s="134"/>
      <c r="O33" s="134"/>
      <c r="P33" s="134"/>
      <c r="Q33" s="134"/>
      <c r="R33" s="134"/>
      <c r="S33" s="134"/>
      <c r="T33" s="134"/>
      <c r="U33" s="134"/>
      <c r="V33" s="134"/>
      <c r="W33" s="134"/>
      <c r="X33" s="134"/>
      <c r="Y33" s="134"/>
      <c r="Z33" s="134"/>
      <c r="AA33" s="134"/>
    </row>
    <row r="34" ht="108.0" customHeight="1">
      <c r="A34" s="135" t="s">
        <v>440</v>
      </c>
      <c r="B34" s="135" t="s">
        <v>441</v>
      </c>
      <c r="C34" s="135" t="s">
        <v>442</v>
      </c>
      <c r="D34" s="135" t="s">
        <v>332</v>
      </c>
      <c r="E34" s="135" t="s">
        <v>187</v>
      </c>
      <c r="F34" s="135" t="s">
        <v>195</v>
      </c>
      <c r="G34" s="135" t="s">
        <v>207</v>
      </c>
      <c r="H34" s="135" t="str">
        <f>IFERROR(VLOOKUP(G34,'Conformance Score'!A:B, 2, 0), "")</f>
        <v>Info and Relationships</v>
      </c>
      <c r="I34" s="135" t="s">
        <v>390</v>
      </c>
      <c r="J34" s="135" t="s">
        <v>391</v>
      </c>
      <c r="K34" s="134"/>
      <c r="L34" s="134"/>
      <c r="M34" s="134"/>
      <c r="N34" s="134"/>
      <c r="O34" s="134"/>
      <c r="P34" s="134"/>
      <c r="Q34" s="134"/>
      <c r="R34" s="134"/>
      <c r="S34" s="134"/>
      <c r="T34" s="134"/>
      <c r="U34" s="134"/>
      <c r="V34" s="134"/>
      <c r="W34" s="134"/>
      <c r="X34" s="134"/>
      <c r="Y34" s="134"/>
      <c r="Z34" s="134"/>
      <c r="AA34" s="134"/>
    </row>
    <row r="35" ht="153.0" customHeight="1">
      <c r="A35" s="135" t="s">
        <v>443</v>
      </c>
      <c r="B35" s="135" t="s">
        <v>444</v>
      </c>
      <c r="C35" s="135" t="s">
        <v>445</v>
      </c>
      <c r="D35" s="137" t="s">
        <v>332</v>
      </c>
      <c r="E35" s="135" t="s">
        <v>187</v>
      </c>
      <c r="F35" s="135" t="s">
        <v>195</v>
      </c>
      <c r="G35" s="138" t="s">
        <v>207</v>
      </c>
      <c r="H35" s="135" t="str">
        <f>IFERROR(VLOOKUP(G35,'Conformance Score'!A:B, 2, 0), "")</f>
        <v>Info and Relationships</v>
      </c>
      <c r="I35" s="138" t="s">
        <v>446</v>
      </c>
      <c r="J35" s="135" t="s">
        <v>391</v>
      </c>
      <c r="K35" s="134"/>
      <c r="L35" s="134"/>
      <c r="M35" s="134"/>
      <c r="N35" s="134"/>
      <c r="O35" s="134"/>
      <c r="P35" s="134"/>
      <c r="Q35" s="134"/>
      <c r="R35" s="134"/>
      <c r="S35" s="134"/>
      <c r="T35" s="134"/>
      <c r="U35" s="134"/>
      <c r="V35" s="134"/>
      <c r="W35" s="134"/>
      <c r="X35" s="134"/>
      <c r="Y35" s="134"/>
      <c r="Z35" s="134"/>
      <c r="AA35" s="134"/>
    </row>
    <row r="36" ht="157.5" customHeight="1">
      <c r="A36" s="135" t="s">
        <v>447</v>
      </c>
      <c r="B36" s="135" t="s">
        <v>448</v>
      </c>
      <c r="C36" s="135" t="s">
        <v>449</v>
      </c>
      <c r="D36" s="135" t="s">
        <v>332</v>
      </c>
      <c r="E36" s="135" t="s">
        <v>186</v>
      </c>
      <c r="F36" s="135" t="s">
        <v>195</v>
      </c>
      <c r="G36" s="135" t="s">
        <v>209</v>
      </c>
      <c r="H36" s="135" t="str">
        <f>IFERROR(VLOOKUP(G36,'Conformance Score'!A:B, 2, 0), "")</f>
        <v>Meaningful Sequence</v>
      </c>
      <c r="I36" s="135" t="s">
        <v>450</v>
      </c>
      <c r="J36" s="135" t="s">
        <v>451</v>
      </c>
      <c r="K36" s="134"/>
      <c r="L36" s="134"/>
      <c r="M36" s="134"/>
      <c r="N36" s="134"/>
      <c r="O36" s="134"/>
      <c r="P36" s="134"/>
      <c r="Q36" s="134"/>
      <c r="R36" s="134"/>
      <c r="S36" s="134"/>
      <c r="T36" s="134"/>
      <c r="U36" s="134"/>
      <c r="V36" s="134"/>
      <c r="W36" s="134"/>
      <c r="X36" s="134"/>
      <c r="Y36" s="134"/>
      <c r="Z36" s="134"/>
      <c r="AA36" s="134"/>
    </row>
    <row r="37" ht="96.0" customHeight="1">
      <c r="A37" s="135" t="s">
        <v>452</v>
      </c>
      <c r="B37" s="135" t="s">
        <v>453</v>
      </c>
      <c r="C37" s="135" t="s">
        <v>454</v>
      </c>
      <c r="D37" s="135" t="s">
        <v>455</v>
      </c>
      <c r="E37" s="135" t="s">
        <v>186</v>
      </c>
      <c r="F37" s="135" t="s">
        <v>195</v>
      </c>
      <c r="G37" s="135" t="s">
        <v>211</v>
      </c>
      <c r="H37" s="135" t="str">
        <f>IFERROR(VLOOKUP(G37,'Conformance Score'!A:B, 2, 0), "")</f>
        <v>Sensory Characteristics</v>
      </c>
      <c r="I37" s="135" t="s">
        <v>456</v>
      </c>
      <c r="J37" s="135" t="s">
        <v>457</v>
      </c>
      <c r="K37" s="134"/>
      <c r="L37" s="134"/>
      <c r="M37" s="134"/>
      <c r="N37" s="134"/>
      <c r="O37" s="134"/>
      <c r="P37" s="134"/>
      <c r="Q37" s="134"/>
      <c r="R37" s="134"/>
      <c r="S37" s="134"/>
      <c r="T37" s="134"/>
      <c r="U37" s="134"/>
      <c r="V37" s="134"/>
      <c r="W37" s="134"/>
      <c r="X37" s="134"/>
      <c r="Y37" s="134"/>
      <c r="Z37" s="134"/>
      <c r="AA37" s="134"/>
    </row>
    <row r="38" ht="111.75" customHeight="1">
      <c r="A38" s="135" t="s">
        <v>458</v>
      </c>
      <c r="B38" s="135" t="s">
        <v>459</v>
      </c>
      <c r="C38" s="135" t="s">
        <v>460</v>
      </c>
      <c r="D38" s="135" t="s">
        <v>461</v>
      </c>
      <c r="E38" s="135" t="s">
        <v>187</v>
      </c>
      <c r="F38" s="135" t="s">
        <v>204</v>
      </c>
      <c r="G38" s="135" t="s">
        <v>213</v>
      </c>
      <c r="H38" s="135" t="str">
        <f>IFERROR(VLOOKUP(G38,'Conformance Score'!A:B, 2, 0), "")</f>
        <v>Orientation</v>
      </c>
      <c r="I38" s="135" t="s">
        <v>462</v>
      </c>
      <c r="J38" s="135" t="s">
        <v>463</v>
      </c>
      <c r="K38" s="134"/>
      <c r="L38" s="134"/>
      <c r="M38" s="134"/>
      <c r="N38" s="134"/>
      <c r="O38" s="134"/>
      <c r="P38" s="134"/>
      <c r="Q38" s="134"/>
      <c r="R38" s="134"/>
      <c r="S38" s="134"/>
      <c r="T38" s="134"/>
      <c r="U38" s="134"/>
      <c r="V38" s="134"/>
      <c r="W38" s="134"/>
      <c r="X38" s="134"/>
      <c r="Y38" s="134"/>
      <c r="Z38" s="134"/>
      <c r="AA38" s="134"/>
    </row>
    <row r="39" ht="109.5" customHeight="1">
      <c r="A39" s="135" t="s">
        <v>464</v>
      </c>
      <c r="B39" s="135" t="s">
        <v>465</v>
      </c>
      <c r="C39" s="135" t="s">
        <v>466</v>
      </c>
      <c r="D39" s="135" t="s">
        <v>467</v>
      </c>
      <c r="E39" s="135" t="s">
        <v>187</v>
      </c>
      <c r="F39" s="135" t="s">
        <v>204</v>
      </c>
      <c r="G39" s="135" t="s">
        <v>215</v>
      </c>
      <c r="H39" s="135" t="str">
        <f>IFERROR(VLOOKUP(G39,'Conformance Score'!A:B, 2, 0), "")</f>
        <v>Identify Input Purpose</v>
      </c>
      <c r="I39" s="135" t="s">
        <v>468</v>
      </c>
      <c r="J39" s="135" t="s">
        <v>469</v>
      </c>
      <c r="K39" s="134"/>
      <c r="L39" s="134"/>
      <c r="M39" s="134"/>
      <c r="N39" s="134"/>
      <c r="O39" s="134"/>
      <c r="P39" s="134"/>
      <c r="Q39" s="134"/>
      <c r="R39" s="134"/>
      <c r="S39" s="134"/>
      <c r="T39" s="134"/>
      <c r="U39" s="134"/>
      <c r="V39" s="134"/>
      <c r="W39" s="134"/>
      <c r="X39" s="134"/>
      <c r="Y39" s="134"/>
      <c r="Z39" s="134"/>
      <c r="AA39" s="134"/>
    </row>
    <row r="40" ht="87.75" customHeight="1">
      <c r="A40" s="135" t="s">
        <v>470</v>
      </c>
      <c r="B40" s="135" t="s">
        <v>471</v>
      </c>
      <c r="C40" s="135" t="s">
        <v>472</v>
      </c>
      <c r="D40" s="135" t="s">
        <v>473</v>
      </c>
      <c r="E40" s="135" t="s">
        <v>187</v>
      </c>
      <c r="F40" s="135" t="s">
        <v>474</v>
      </c>
      <c r="G40" s="135" t="s">
        <v>217</v>
      </c>
      <c r="H40" s="135" t="str">
        <f>IFERROR(VLOOKUP(G40,'Conformance Score'!A:B, 2, 0), "")</f>
        <v>Use of Color</v>
      </c>
      <c r="I40" s="135" t="s">
        <v>475</v>
      </c>
      <c r="J40" s="135" t="s">
        <v>476</v>
      </c>
      <c r="K40" s="134"/>
      <c r="L40" s="134"/>
      <c r="M40" s="134"/>
      <c r="N40" s="134"/>
      <c r="O40" s="134"/>
      <c r="P40" s="134"/>
      <c r="Q40" s="134"/>
      <c r="R40" s="134"/>
      <c r="S40" s="134"/>
      <c r="T40" s="134"/>
      <c r="U40" s="134"/>
      <c r="V40" s="134"/>
      <c r="W40" s="134"/>
      <c r="X40" s="134"/>
      <c r="Y40" s="134"/>
      <c r="Z40" s="134"/>
      <c r="AA40" s="134"/>
    </row>
    <row r="41" ht="118.5" customHeight="1">
      <c r="A41" s="135" t="s">
        <v>477</v>
      </c>
      <c r="B41" s="135" t="s">
        <v>478</v>
      </c>
      <c r="C41" s="135" t="s">
        <v>479</v>
      </c>
      <c r="D41" s="135" t="s">
        <v>473</v>
      </c>
      <c r="E41" s="135" t="s">
        <v>187</v>
      </c>
      <c r="F41" s="135" t="s">
        <v>195</v>
      </c>
      <c r="G41" s="135" t="s">
        <v>217</v>
      </c>
      <c r="H41" s="135" t="str">
        <f>IFERROR(VLOOKUP(G41,'Conformance Score'!A:B, 2, 0), "")</f>
        <v>Use of Color</v>
      </c>
      <c r="I41" s="135" t="s">
        <v>475</v>
      </c>
      <c r="J41" s="135" t="s">
        <v>476</v>
      </c>
      <c r="K41" s="134"/>
      <c r="L41" s="134"/>
      <c r="M41" s="134"/>
      <c r="N41" s="134"/>
      <c r="O41" s="134"/>
      <c r="P41" s="134"/>
      <c r="Q41" s="134"/>
      <c r="R41" s="134"/>
      <c r="S41" s="134"/>
      <c r="T41" s="134"/>
      <c r="U41" s="134"/>
      <c r="V41" s="134"/>
      <c r="W41" s="134"/>
      <c r="X41" s="134"/>
      <c r="Y41" s="134"/>
      <c r="Z41" s="134"/>
      <c r="AA41" s="134"/>
    </row>
    <row r="42" ht="104.25" customHeight="1">
      <c r="A42" s="135" t="s">
        <v>480</v>
      </c>
      <c r="B42" s="135" t="s">
        <v>481</v>
      </c>
      <c r="C42" s="135" t="s">
        <v>482</v>
      </c>
      <c r="D42" s="135" t="s">
        <v>473</v>
      </c>
      <c r="E42" s="135" t="s">
        <v>187</v>
      </c>
      <c r="F42" s="135" t="s">
        <v>195</v>
      </c>
      <c r="G42" s="135" t="s">
        <v>217</v>
      </c>
      <c r="H42" s="135" t="str">
        <f>IFERROR(VLOOKUP(G42,'Conformance Score'!A:B, 2, 0), "")</f>
        <v>Use of Color</v>
      </c>
      <c r="I42" s="135" t="s">
        <v>475</v>
      </c>
      <c r="J42" s="135" t="s">
        <v>476</v>
      </c>
      <c r="K42" s="134"/>
      <c r="L42" s="134"/>
      <c r="M42" s="134"/>
      <c r="N42" s="134"/>
      <c r="O42" s="134"/>
      <c r="P42" s="134"/>
      <c r="Q42" s="134"/>
      <c r="R42" s="134"/>
      <c r="S42" s="134"/>
      <c r="T42" s="134"/>
      <c r="U42" s="134"/>
      <c r="V42" s="134"/>
      <c r="W42" s="134"/>
      <c r="X42" s="134"/>
      <c r="Y42" s="134"/>
      <c r="Z42" s="134"/>
      <c r="AA42" s="134"/>
    </row>
    <row r="43" ht="111.0" customHeight="1">
      <c r="A43" s="135" t="s">
        <v>483</v>
      </c>
      <c r="B43" s="135" t="s">
        <v>484</v>
      </c>
      <c r="C43" s="135" t="s">
        <v>485</v>
      </c>
      <c r="D43" s="135" t="s">
        <v>486</v>
      </c>
      <c r="E43" s="135" t="s">
        <v>185</v>
      </c>
      <c r="F43" s="135" t="s">
        <v>195</v>
      </c>
      <c r="G43" s="135" t="s">
        <v>219</v>
      </c>
      <c r="H43" s="135" t="str">
        <f>IFERROR(VLOOKUP(G43,'Conformance Score'!A:B, 2, 0), "")</f>
        <v>Audio Control</v>
      </c>
      <c r="I43" s="135" t="s">
        <v>487</v>
      </c>
      <c r="J43" s="135" t="s">
        <v>488</v>
      </c>
      <c r="K43" s="134"/>
      <c r="L43" s="134"/>
      <c r="M43" s="134"/>
      <c r="N43" s="134"/>
      <c r="O43" s="134"/>
      <c r="P43" s="134"/>
      <c r="Q43" s="134"/>
      <c r="R43" s="134"/>
      <c r="S43" s="134"/>
      <c r="T43" s="134"/>
      <c r="U43" s="134"/>
      <c r="V43" s="134"/>
      <c r="W43" s="134"/>
      <c r="X43" s="134"/>
      <c r="Y43" s="134"/>
      <c r="Z43" s="134"/>
      <c r="AA43" s="134"/>
    </row>
    <row r="44" ht="86.25" customHeight="1">
      <c r="A44" s="135" t="s">
        <v>489</v>
      </c>
      <c r="B44" s="135" t="s">
        <v>490</v>
      </c>
      <c r="C44" s="135" t="s">
        <v>491</v>
      </c>
      <c r="D44" s="135" t="s">
        <v>492</v>
      </c>
      <c r="E44" s="135" t="s">
        <v>187</v>
      </c>
      <c r="F44" s="135" t="s">
        <v>204</v>
      </c>
      <c r="G44" s="135" t="s">
        <v>221</v>
      </c>
      <c r="H44" s="135" t="str">
        <f>IFERROR(VLOOKUP(G44,'Conformance Score'!A:B, 2, 0), "")</f>
        <v>Contrast (Minimum)</v>
      </c>
      <c r="I44" s="135" t="s">
        <v>493</v>
      </c>
      <c r="J44" s="135" t="s">
        <v>494</v>
      </c>
      <c r="K44" s="134"/>
      <c r="L44" s="134"/>
      <c r="M44" s="134"/>
      <c r="N44" s="134"/>
      <c r="O44" s="134"/>
      <c r="P44" s="134"/>
      <c r="Q44" s="134"/>
      <c r="R44" s="134"/>
      <c r="S44" s="134"/>
      <c r="T44" s="134"/>
      <c r="U44" s="134"/>
      <c r="V44" s="134"/>
      <c r="W44" s="134"/>
      <c r="X44" s="134"/>
      <c r="Y44" s="134"/>
      <c r="Z44" s="134"/>
      <c r="AA44" s="134"/>
    </row>
    <row r="45" ht="96.0" customHeight="1">
      <c r="A45" s="135" t="s">
        <v>495</v>
      </c>
      <c r="B45" s="135" t="s">
        <v>496</v>
      </c>
      <c r="C45" s="135" t="s">
        <v>497</v>
      </c>
      <c r="D45" s="135" t="s">
        <v>492</v>
      </c>
      <c r="E45" s="135" t="s">
        <v>187</v>
      </c>
      <c r="F45" s="135" t="s">
        <v>204</v>
      </c>
      <c r="G45" s="135" t="s">
        <v>223</v>
      </c>
      <c r="H45" s="135" t="str">
        <f>IFERROR(VLOOKUP(G45,'Conformance Score'!A:B, 2, 0), "")</f>
        <v>Resize Text</v>
      </c>
      <c r="I45" s="135" t="s">
        <v>498</v>
      </c>
      <c r="J45" s="135" t="s">
        <v>499</v>
      </c>
      <c r="K45" s="134"/>
      <c r="L45" s="134"/>
      <c r="M45" s="134"/>
      <c r="N45" s="134"/>
      <c r="O45" s="134"/>
      <c r="P45" s="134"/>
      <c r="Q45" s="134"/>
      <c r="R45" s="134"/>
      <c r="S45" s="134"/>
      <c r="T45" s="134"/>
      <c r="U45" s="134"/>
      <c r="V45" s="134"/>
      <c r="W45" s="134"/>
      <c r="X45" s="134"/>
      <c r="Y45" s="134"/>
      <c r="Z45" s="134"/>
      <c r="AA45" s="134"/>
    </row>
    <row r="46" ht="97.5" customHeight="1">
      <c r="A46" s="135" t="s">
        <v>500</v>
      </c>
      <c r="B46" s="136" t="s">
        <v>501</v>
      </c>
      <c r="C46" s="135" t="s">
        <v>502</v>
      </c>
      <c r="D46" s="135" t="s">
        <v>503</v>
      </c>
      <c r="E46" s="135" t="s">
        <v>187</v>
      </c>
      <c r="F46" s="135" t="s">
        <v>204</v>
      </c>
      <c r="G46" s="135" t="s">
        <v>225</v>
      </c>
      <c r="H46" s="135" t="str">
        <f>IFERROR(VLOOKUP(G46,'Conformance Score'!A:B, 2, 0), "")</f>
        <v>Images of Text</v>
      </c>
      <c r="I46" s="135" t="s">
        <v>504</v>
      </c>
      <c r="J46" s="135" t="s">
        <v>505</v>
      </c>
      <c r="K46" s="134"/>
      <c r="L46" s="134"/>
      <c r="M46" s="134"/>
      <c r="N46" s="134"/>
      <c r="O46" s="134"/>
      <c r="P46" s="134"/>
      <c r="Q46" s="134"/>
      <c r="R46" s="134"/>
      <c r="S46" s="134"/>
      <c r="T46" s="134"/>
      <c r="U46" s="134"/>
      <c r="V46" s="134"/>
      <c r="W46" s="134"/>
      <c r="X46" s="134"/>
      <c r="Y46" s="134"/>
      <c r="Z46" s="134"/>
      <c r="AA46" s="134"/>
    </row>
    <row r="47" ht="110.25" customHeight="1">
      <c r="A47" s="135" t="s">
        <v>506</v>
      </c>
      <c r="B47" s="135" t="s">
        <v>507</v>
      </c>
      <c r="C47" s="135" t="s">
        <v>508</v>
      </c>
      <c r="D47" s="135" t="s">
        <v>492</v>
      </c>
      <c r="E47" s="135" t="s">
        <v>187</v>
      </c>
      <c r="F47" s="135" t="s">
        <v>204</v>
      </c>
      <c r="G47" s="135" t="s">
        <v>227</v>
      </c>
      <c r="H47" s="135" t="str">
        <f>IFERROR(VLOOKUP(G47,'Conformance Score'!A:B, 2, 0), "")</f>
        <v>Reflow</v>
      </c>
      <c r="I47" s="135" t="s">
        <v>509</v>
      </c>
      <c r="J47" s="135" t="s">
        <v>510</v>
      </c>
      <c r="K47" s="134"/>
      <c r="L47" s="134"/>
      <c r="M47" s="134"/>
      <c r="N47" s="134"/>
      <c r="O47" s="134"/>
      <c r="P47" s="134"/>
      <c r="Q47" s="134"/>
      <c r="R47" s="134"/>
      <c r="S47" s="134"/>
      <c r="T47" s="134"/>
      <c r="U47" s="134"/>
      <c r="V47" s="134"/>
      <c r="W47" s="134"/>
      <c r="X47" s="134"/>
      <c r="Y47" s="134"/>
      <c r="Z47" s="134"/>
      <c r="AA47" s="134"/>
    </row>
    <row r="48" ht="111.75" customHeight="1">
      <c r="A48" s="135" t="s">
        <v>511</v>
      </c>
      <c r="B48" s="135" t="s">
        <v>512</v>
      </c>
      <c r="C48" s="135" t="s">
        <v>513</v>
      </c>
      <c r="D48" s="135" t="s">
        <v>492</v>
      </c>
      <c r="E48" s="135" t="s">
        <v>187</v>
      </c>
      <c r="F48" s="135" t="s">
        <v>204</v>
      </c>
      <c r="G48" s="135" t="s">
        <v>229</v>
      </c>
      <c r="H48" s="135" t="str">
        <f>IFERROR(VLOOKUP(G48,'Conformance Score'!A:B, 2, 0), "")</f>
        <v>Non-text Contrast</v>
      </c>
      <c r="I48" s="135" t="s">
        <v>514</v>
      </c>
      <c r="J48" s="135" t="s">
        <v>515</v>
      </c>
      <c r="K48" s="134"/>
      <c r="L48" s="134"/>
      <c r="M48" s="134"/>
      <c r="N48" s="134"/>
      <c r="O48" s="134"/>
      <c r="P48" s="134"/>
      <c r="Q48" s="134"/>
      <c r="R48" s="134"/>
      <c r="S48" s="134"/>
      <c r="T48" s="134"/>
      <c r="U48" s="134"/>
      <c r="V48" s="134"/>
      <c r="W48" s="134"/>
      <c r="X48" s="134"/>
      <c r="Y48" s="134"/>
      <c r="Z48" s="134"/>
      <c r="AA48" s="134"/>
    </row>
    <row r="49" ht="80.25" customHeight="1">
      <c r="A49" s="135" t="s">
        <v>516</v>
      </c>
      <c r="B49" s="135" t="s">
        <v>517</v>
      </c>
      <c r="C49" s="135" t="s">
        <v>518</v>
      </c>
      <c r="D49" s="135" t="s">
        <v>492</v>
      </c>
      <c r="E49" s="135" t="s">
        <v>187</v>
      </c>
      <c r="F49" s="135" t="s">
        <v>204</v>
      </c>
      <c r="G49" s="135" t="s">
        <v>229</v>
      </c>
      <c r="H49" s="135" t="str">
        <f>IFERROR(VLOOKUP(G49,'Conformance Score'!A:B, 2, 0), "")</f>
        <v>Non-text Contrast</v>
      </c>
      <c r="I49" s="135" t="s">
        <v>514</v>
      </c>
      <c r="J49" s="135" t="s">
        <v>515</v>
      </c>
      <c r="K49" s="134"/>
      <c r="L49" s="134"/>
      <c r="M49" s="134"/>
      <c r="N49" s="134"/>
      <c r="O49" s="134"/>
      <c r="P49" s="134"/>
      <c r="Q49" s="134"/>
      <c r="R49" s="134"/>
      <c r="S49" s="134"/>
      <c r="T49" s="134"/>
      <c r="U49" s="134"/>
      <c r="V49" s="134"/>
      <c r="W49" s="134"/>
      <c r="X49" s="134"/>
      <c r="Y49" s="134"/>
      <c r="Z49" s="134"/>
      <c r="AA49" s="134"/>
    </row>
    <row r="50" ht="15.75" customHeight="1">
      <c r="A50" s="135" t="s">
        <v>519</v>
      </c>
      <c r="B50" s="135" t="s">
        <v>520</v>
      </c>
      <c r="C50" s="135" t="s">
        <v>521</v>
      </c>
      <c r="D50" s="135" t="s">
        <v>492</v>
      </c>
      <c r="E50" s="135" t="s">
        <v>187</v>
      </c>
      <c r="F50" s="135" t="s">
        <v>204</v>
      </c>
      <c r="G50" s="135" t="s">
        <v>229</v>
      </c>
      <c r="H50" s="135" t="str">
        <f>IFERROR(VLOOKUP(G50,'Conformance Score'!A:B, 2, 0), "")</f>
        <v>Non-text Contrast</v>
      </c>
      <c r="I50" s="135" t="s">
        <v>514</v>
      </c>
      <c r="J50" s="135" t="s">
        <v>515</v>
      </c>
      <c r="K50" s="134"/>
      <c r="L50" s="134"/>
      <c r="M50" s="134"/>
      <c r="N50" s="134"/>
      <c r="O50" s="134"/>
      <c r="P50" s="134"/>
      <c r="Q50" s="134"/>
      <c r="R50" s="134"/>
      <c r="S50" s="134"/>
      <c r="T50" s="134"/>
      <c r="U50" s="134"/>
      <c r="V50" s="134"/>
      <c r="W50" s="134"/>
      <c r="X50" s="134"/>
      <c r="Y50" s="134"/>
      <c r="Z50" s="134"/>
      <c r="AA50" s="134"/>
    </row>
    <row r="51" ht="80.25" customHeight="1">
      <c r="A51" s="135" t="s">
        <v>522</v>
      </c>
      <c r="B51" s="135" t="s">
        <v>523</v>
      </c>
      <c r="C51" s="135" t="s">
        <v>524</v>
      </c>
      <c r="D51" s="135" t="s">
        <v>492</v>
      </c>
      <c r="E51" s="135" t="s">
        <v>187</v>
      </c>
      <c r="F51" s="135" t="s">
        <v>204</v>
      </c>
      <c r="G51" s="135" t="s">
        <v>229</v>
      </c>
      <c r="H51" s="135" t="str">
        <f>IFERROR(VLOOKUP(G51,'Conformance Score'!A:B, 2, 0), "")</f>
        <v>Non-text Contrast</v>
      </c>
      <c r="I51" s="135" t="s">
        <v>514</v>
      </c>
      <c r="J51" s="135" t="s">
        <v>515</v>
      </c>
      <c r="K51" s="134"/>
      <c r="L51" s="134"/>
      <c r="M51" s="134"/>
      <c r="N51" s="134"/>
      <c r="O51" s="134"/>
      <c r="P51" s="134"/>
      <c r="Q51" s="134"/>
      <c r="R51" s="134"/>
      <c r="S51" s="134"/>
      <c r="T51" s="134"/>
      <c r="U51" s="134"/>
      <c r="V51" s="134"/>
      <c r="W51" s="134"/>
      <c r="X51" s="134"/>
      <c r="Y51" s="134"/>
      <c r="Z51" s="134"/>
      <c r="AA51" s="134"/>
    </row>
    <row r="52" ht="112.5" customHeight="1">
      <c r="A52" s="135" t="s">
        <v>525</v>
      </c>
      <c r="B52" s="135" t="s">
        <v>526</v>
      </c>
      <c r="C52" s="135" t="s">
        <v>527</v>
      </c>
      <c r="D52" s="135" t="s">
        <v>528</v>
      </c>
      <c r="E52" s="135" t="s">
        <v>186</v>
      </c>
      <c r="F52" s="135" t="s">
        <v>204</v>
      </c>
      <c r="G52" s="135" t="s">
        <v>231</v>
      </c>
      <c r="H52" s="135" t="str">
        <f>IFERROR(VLOOKUP(G52,'Conformance Score'!A:B, 2, 0), "")</f>
        <v>Text Spacing</v>
      </c>
      <c r="I52" s="135" t="s">
        <v>529</v>
      </c>
      <c r="J52" s="135" t="s">
        <v>530</v>
      </c>
      <c r="K52" s="134"/>
      <c r="L52" s="134"/>
      <c r="M52" s="134"/>
      <c r="N52" s="134"/>
      <c r="O52" s="134"/>
      <c r="P52" s="134"/>
      <c r="Q52" s="134"/>
      <c r="R52" s="134"/>
      <c r="S52" s="134"/>
      <c r="T52" s="134"/>
      <c r="U52" s="134"/>
      <c r="V52" s="134"/>
      <c r="W52" s="134"/>
      <c r="X52" s="134"/>
      <c r="Y52" s="134"/>
      <c r="Z52" s="134"/>
      <c r="AA52" s="134"/>
    </row>
    <row r="53" ht="15.75" customHeight="1">
      <c r="A53" s="135" t="s">
        <v>531</v>
      </c>
      <c r="B53" s="135" t="s">
        <v>532</v>
      </c>
      <c r="C53" s="135" t="s">
        <v>527</v>
      </c>
      <c r="D53" s="135" t="s">
        <v>528</v>
      </c>
      <c r="E53" s="135" t="s">
        <v>186</v>
      </c>
      <c r="F53" s="135" t="s">
        <v>204</v>
      </c>
      <c r="G53" s="135" t="s">
        <v>231</v>
      </c>
      <c r="H53" s="135" t="str">
        <f>IFERROR(VLOOKUP(G53,'Conformance Score'!A:B, 2, 0), "")</f>
        <v>Text Spacing</v>
      </c>
      <c r="I53" s="135" t="s">
        <v>529</v>
      </c>
      <c r="J53" s="135" t="s">
        <v>530</v>
      </c>
      <c r="K53" s="134"/>
      <c r="L53" s="134"/>
      <c r="M53" s="134"/>
      <c r="N53" s="134"/>
      <c r="O53" s="134"/>
      <c r="P53" s="134"/>
      <c r="Q53" s="134"/>
      <c r="R53" s="134"/>
      <c r="S53" s="134"/>
      <c r="T53" s="134"/>
      <c r="U53" s="134"/>
      <c r="V53" s="134"/>
      <c r="W53" s="134"/>
      <c r="X53" s="134"/>
      <c r="Y53" s="134"/>
      <c r="Z53" s="134"/>
      <c r="AA53" s="134"/>
    </row>
    <row r="54" ht="72.75" customHeight="1">
      <c r="A54" s="135" t="s">
        <v>533</v>
      </c>
      <c r="B54" s="135" t="s">
        <v>534</v>
      </c>
      <c r="C54" s="135" t="s">
        <v>535</v>
      </c>
      <c r="D54" s="135" t="s">
        <v>536</v>
      </c>
      <c r="E54" s="135" t="s">
        <v>186</v>
      </c>
      <c r="F54" s="137" t="s">
        <v>204</v>
      </c>
      <c r="G54" s="139" t="s">
        <v>233</v>
      </c>
      <c r="H54" s="135" t="str">
        <f>IFERROR(VLOOKUP(G54,'Conformance Score'!A:B, 2, 0), "")</f>
        <v>Content on Hover or Focus</v>
      </c>
      <c r="I54" s="140" t="s">
        <v>537</v>
      </c>
      <c r="J54" s="140" t="s">
        <v>538</v>
      </c>
      <c r="K54" s="134"/>
      <c r="L54" s="134"/>
      <c r="M54" s="134"/>
      <c r="N54" s="134"/>
      <c r="O54" s="134"/>
      <c r="P54" s="134"/>
      <c r="Q54" s="134"/>
      <c r="R54" s="134"/>
      <c r="S54" s="134"/>
      <c r="T54" s="134"/>
      <c r="U54" s="134"/>
      <c r="V54" s="134"/>
      <c r="W54" s="134"/>
      <c r="X54" s="134"/>
      <c r="Y54" s="134"/>
      <c r="Z54" s="134"/>
      <c r="AA54" s="134"/>
    </row>
    <row r="55" ht="87.75" customHeight="1">
      <c r="A55" s="135" t="s">
        <v>539</v>
      </c>
      <c r="B55" s="135" t="s">
        <v>540</v>
      </c>
      <c r="C55" s="135" t="s">
        <v>541</v>
      </c>
      <c r="D55" s="135" t="s">
        <v>542</v>
      </c>
      <c r="E55" s="135" t="s">
        <v>186</v>
      </c>
      <c r="F55" s="135" t="s">
        <v>204</v>
      </c>
      <c r="G55" s="135" t="s">
        <v>233</v>
      </c>
      <c r="H55" s="135" t="str">
        <f>IFERROR(VLOOKUP(G55,'Conformance Score'!A:B, 2, 0), "")</f>
        <v>Content on Hover or Focus</v>
      </c>
      <c r="I55" s="140" t="s">
        <v>537</v>
      </c>
      <c r="J55" s="140" t="s">
        <v>538</v>
      </c>
      <c r="K55" s="134"/>
      <c r="L55" s="134"/>
      <c r="M55" s="134"/>
      <c r="N55" s="134"/>
      <c r="O55" s="134"/>
      <c r="P55" s="134"/>
      <c r="Q55" s="134"/>
      <c r="R55" s="134"/>
      <c r="S55" s="134"/>
      <c r="T55" s="134"/>
      <c r="U55" s="134"/>
      <c r="V55" s="134"/>
      <c r="W55" s="134"/>
      <c r="X55" s="134"/>
      <c r="Y55" s="134"/>
      <c r="Z55" s="134"/>
      <c r="AA55" s="134"/>
    </row>
    <row r="56" ht="15.75" customHeight="1">
      <c r="A56" s="135" t="s">
        <v>543</v>
      </c>
      <c r="B56" s="135" t="s">
        <v>544</v>
      </c>
      <c r="C56" s="135" t="s">
        <v>545</v>
      </c>
      <c r="D56" s="135" t="s">
        <v>542</v>
      </c>
      <c r="E56" s="135" t="s">
        <v>187</v>
      </c>
      <c r="F56" s="135" t="s">
        <v>204</v>
      </c>
      <c r="G56" s="135" t="s">
        <v>233</v>
      </c>
      <c r="H56" s="135" t="str">
        <f>IFERROR(VLOOKUP(G56,'Conformance Score'!A:B, 2, 0), "")</f>
        <v>Content on Hover or Focus</v>
      </c>
      <c r="I56" s="140" t="s">
        <v>537</v>
      </c>
      <c r="J56" s="140" t="s">
        <v>538</v>
      </c>
      <c r="K56" s="134"/>
      <c r="L56" s="134"/>
      <c r="M56" s="134"/>
      <c r="N56" s="134"/>
      <c r="O56" s="134"/>
      <c r="P56" s="134"/>
      <c r="Q56" s="134"/>
      <c r="R56" s="134"/>
      <c r="S56" s="134"/>
      <c r="T56" s="134"/>
      <c r="U56" s="134"/>
      <c r="V56" s="134"/>
      <c r="W56" s="134"/>
      <c r="X56" s="134"/>
      <c r="Y56" s="134"/>
      <c r="Z56" s="134"/>
      <c r="AA56" s="134"/>
    </row>
    <row r="57" ht="240.75" customHeight="1">
      <c r="A57" s="135" t="s">
        <v>546</v>
      </c>
      <c r="B57" s="135" t="s">
        <v>547</v>
      </c>
      <c r="C57" s="135" t="s">
        <v>548</v>
      </c>
      <c r="D57" s="135" t="s">
        <v>549</v>
      </c>
      <c r="E57" s="135" t="s">
        <v>185</v>
      </c>
      <c r="F57" s="135" t="s">
        <v>195</v>
      </c>
      <c r="G57" s="135" t="s">
        <v>235</v>
      </c>
      <c r="H57" s="135" t="str">
        <f>IFERROR(VLOOKUP(G57,'Conformance Score'!A:B, 2, 0), "")</f>
        <v>Keyboard</v>
      </c>
      <c r="I57" s="140" t="s">
        <v>550</v>
      </c>
      <c r="J57" s="140" t="s">
        <v>551</v>
      </c>
      <c r="K57" s="134"/>
      <c r="L57" s="134"/>
      <c r="M57" s="134"/>
      <c r="N57" s="134"/>
      <c r="O57" s="134"/>
      <c r="P57" s="134"/>
      <c r="Q57" s="134"/>
      <c r="R57" s="134"/>
      <c r="S57" s="134"/>
      <c r="T57" s="134"/>
      <c r="U57" s="134"/>
      <c r="V57" s="134"/>
      <c r="W57" s="134"/>
      <c r="X57" s="134"/>
      <c r="Y57" s="134"/>
      <c r="Z57" s="134"/>
      <c r="AA57" s="134"/>
    </row>
    <row r="58" ht="159.0" customHeight="1">
      <c r="A58" s="135" t="s">
        <v>552</v>
      </c>
      <c r="B58" s="135" t="s">
        <v>553</v>
      </c>
      <c r="C58" s="135" t="s">
        <v>554</v>
      </c>
      <c r="D58" s="135" t="s">
        <v>549</v>
      </c>
      <c r="E58" s="135" t="s">
        <v>185</v>
      </c>
      <c r="F58" s="135" t="s">
        <v>195</v>
      </c>
      <c r="G58" s="135" t="s">
        <v>235</v>
      </c>
      <c r="H58" s="135" t="str">
        <f>IFERROR(VLOOKUP(G58,'Conformance Score'!A:B, 2, 0), "")</f>
        <v>Keyboard</v>
      </c>
      <c r="I58" s="140" t="s">
        <v>550</v>
      </c>
      <c r="J58" s="140" t="s">
        <v>551</v>
      </c>
      <c r="K58" s="134"/>
      <c r="L58" s="134"/>
      <c r="M58" s="134"/>
      <c r="N58" s="134"/>
      <c r="O58" s="134"/>
      <c r="P58" s="134"/>
      <c r="Q58" s="134"/>
      <c r="R58" s="134"/>
      <c r="S58" s="134"/>
      <c r="T58" s="134"/>
      <c r="U58" s="134"/>
      <c r="V58" s="134"/>
      <c r="W58" s="134"/>
      <c r="X58" s="134"/>
      <c r="Y58" s="134"/>
      <c r="Z58" s="134"/>
      <c r="AA58" s="134"/>
    </row>
    <row r="59" ht="125.25" customHeight="1">
      <c r="A59" s="135" t="s">
        <v>555</v>
      </c>
      <c r="B59" s="135" t="s">
        <v>556</v>
      </c>
      <c r="C59" s="135" t="s">
        <v>557</v>
      </c>
      <c r="D59" s="135" t="s">
        <v>549</v>
      </c>
      <c r="E59" s="135" t="s">
        <v>185</v>
      </c>
      <c r="F59" s="135" t="s">
        <v>195</v>
      </c>
      <c r="G59" s="135" t="s">
        <v>235</v>
      </c>
      <c r="H59" s="135" t="str">
        <f>IFERROR(VLOOKUP(G59,'Conformance Score'!A:B, 2, 0), "")</f>
        <v>Keyboard</v>
      </c>
      <c r="I59" s="140" t="s">
        <v>550</v>
      </c>
      <c r="J59" s="140" t="s">
        <v>551</v>
      </c>
      <c r="K59" s="134"/>
      <c r="L59" s="134"/>
      <c r="M59" s="134"/>
      <c r="N59" s="134"/>
      <c r="O59" s="134"/>
      <c r="P59" s="134"/>
      <c r="Q59" s="134"/>
      <c r="R59" s="134"/>
      <c r="S59" s="134"/>
      <c r="T59" s="134"/>
      <c r="U59" s="134"/>
      <c r="V59" s="134"/>
      <c r="W59" s="134"/>
      <c r="X59" s="134"/>
      <c r="Y59" s="134"/>
      <c r="Z59" s="134"/>
      <c r="AA59" s="134"/>
    </row>
    <row r="60" ht="135.0" customHeight="1">
      <c r="A60" s="135" t="s">
        <v>558</v>
      </c>
      <c r="B60" s="135" t="s">
        <v>559</v>
      </c>
      <c r="C60" s="135" t="s">
        <v>560</v>
      </c>
      <c r="D60" s="135" t="s">
        <v>549</v>
      </c>
      <c r="E60" s="135" t="s">
        <v>185</v>
      </c>
      <c r="F60" s="135" t="s">
        <v>195</v>
      </c>
      <c r="G60" s="135" t="s">
        <v>235</v>
      </c>
      <c r="H60" s="135" t="str">
        <f>IFERROR(VLOOKUP(G60,'Conformance Score'!A:B, 2, 0), "")</f>
        <v>Keyboard</v>
      </c>
      <c r="I60" s="140" t="s">
        <v>550</v>
      </c>
      <c r="J60" s="140" t="s">
        <v>551</v>
      </c>
      <c r="K60" s="134"/>
      <c r="L60" s="134"/>
      <c r="M60" s="134"/>
      <c r="N60" s="134"/>
      <c r="O60" s="134"/>
      <c r="P60" s="134"/>
      <c r="Q60" s="134"/>
      <c r="R60" s="134"/>
      <c r="S60" s="134"/>
      <c r="T60" s="134"/>
      <c r="U60" s="134"/>
      <c r="V60" s="134"/>
      <c r="W60" s="134"/>
      <c r="X60" s="134"/>
      <c r="Y60" s="134"/>
      <c r="Z60" s="134"/>
      <c r="AA60" s="134"/>
    </row>
    <row r="61" ht="123.0" customHeight="1">
      <c r="A61" s="135" t="s">
        <v>561</v>
      </c>
      <c r="B61" s="135" t="s">
        <v>562</v>
      </c>
      <c r="C61" s="135" t="s">
        <v>563</v>
      </c>
      <c r="D61" s="135" t="s">
        <v>549</v>
      </c>
      <c r="E61" s="135" t="s">
        <v>185</v>
      </c>
      <c r="F61" s="135" t="s">
        <v>195</v>
      </c>
      <c r="G61" s="135" t="s">
        <v>235</v>
      </c>
      <c r="H61" s="135" t="str">
        <f>IFERROR(VLOOKUP(G61,'Conformance Score'!A:B, 2, 0), "")</f>
        <v>Keyboard</v>
      </c>
      <c r="I61" s="140" t="s">
        <v>550</v>
      </c>
      <c r="J61" s="140" t="s">
        <v>551</v>
      </c>
      <c r="K61" s="134"/>
      <c r="L61" s="134"/>
      <c r="M61" s="134"/>
      <c r="N61" s="134"/>
      <c r="O61" s="134"/>
      <c r="P61" s="134"/>
      <c r="Q61" s="134"/>
      <c r="R61" s="134"/>
      <c r="S61" s="134"/>
      <c r="T61" s="134"/>
      <c r="U61" s="134"/>
      <c r="V61" s="134"/>
      <c r="W61" s="134"/>
      <c r="X61" s="134"/>
      <c r="Y61" s="134"/>
      <c r="Z61" s="134"/>
      <c r="AA61" s="134"/>
    </row>
    <row r="62" ht="128.25" customHeight="1">
      <c r="A62" s="135" t="s">
        <v>564</v>
      </c>
      <c r="B62" s="135" t="s">
        <v>565</v>
      </c>
      <c r="C62" s="135" t="s">
        <v>566</v>
      </c>
      <c r="D62" s="135" t="s">
        <v>549</v>
      </c>
      <c r="E62" s="135" t="s">
        <v>185</v>
      </c>
      <c r="F62" s="135" t="s">
        <v>195</v>
      </c>
      <c r="G62" s="135" t="s">
        <v>235</v>
      </c>
      <c r="H62" s="135" t="str">
        <f>IFERROR(VLOOKUP(G62,'Conformance Score'!A:B, 2, 0), "")</f>
        <v>Keyboard</v>
      </c>
      <c r="I62" s="140" t="s">
        <v>550</v>
      </c>
      <c r="J62" s="140" t="s">
        <v>551</v>
      </c>
      <c r="K62" s="134"/>
      <c r="L62" s="134"/>
      <c r="M62" s="134"/>
      <c r="N62" s="134"/>
      <c r="O62" s="134"/>
      <c r="P62" s="134"/>
      <c r="Q62" s="134"/>
      <c r="R62" s="134"/>
      <c r="S62" s="134"/>
      <c r="T62" s="134"/>
      <c r="U62" s="134"/>
      <c r="V62" s="134"/>
      <c r="W62" s="134"/>
      <c r="X62" s="134"/>
      <c r="Y62" s="134"/>
      <c r="Z62" s="134"/>
      <c r="AA62" s="134"/>
    </row>
    <row r="63" ht="15.75" customHeight="1">
      <c r="A63" s="135" t="s">
        <v>567</v>
      </c>
      <c r="B63" s="135" t="s">
        <v>568</v>
      </c>
      <c r="C63" s="135" t="s">
        <v>569</v>
      </c>
      <c r="D63" s="135" t="s">
        <v>549</v>
      </c>
      <c r="E63" s="135" t="s">
        <v>185</v>
      </c>
      <c r="F63" s="135" t="s">
        <v>195</v>
      </c>
      <c r="G63" s="135" t="s">
        <v>235</v>
      </c>
      <c r="H63" s="135" t="str">
        <f>IFERROR(VLOOKUP(G63,'Conformance Score'!A:B, 2, 0), "")</f>
        <v>Keyboard</v>
      </c>
      <c r="I63" s="140" t="s">
        <v>550</v>
      </c>
      <c r="J63" s="140" t="s">
        <v>551</v>
      </c>
      <c r="K63" s="134"/>
      <c r="L63" s="134"/>
      <c r="M63" s="134"/>
      <c r="N63" s="134"/>
      <c r="O63" s="134"/>
      <c r="P63" s="134"/>
      <c r="Q63" s="134"/>
      <c r="R63" s="134"/>
      <c r="S63" s="134"/>
      <c r="T63" s="134"/>
      <c r="U63" s="134"/>
      <c r="V63" s="134"/>
      <c r="W63" s="134"/>
      <c r="X63" s="134"/>
      <c r="Y63" s="134"/>
      <c r="Z63" s="134"/>
      <c r="AA63" s="134"/>
    </row>
    <row r="64" ht="117.75" customHeight="1">
      <c r="A64" s="135" t="s">
        <v>570</v>
      </c>
      <c r="B64" s="135" t="s">
        <v>571</v>
      </c>
      <c r="C64" s="135" t="s">
        <v>572</v>
      </c>
      <c r="D64" s="135" t="s">
        <v>573</v>
      </c>
      <c r="E64" s="135" t="s">
        <v>185</v>
      </c>
      <c r="F64" s="135" t="s">
        <v>195</v>
      </c>
      <c r="G64" s="135" t="s">
        <v>235</v>
      </c>
      <c r="H64" s="135" t="str">
        <f>IFERROR(VLOOKUP(G64,'Conformance Score'!A:B, 2, 0), "")</f>
        <v>Keyboard</v>
      </c>
      <c r="I64" s="140" t="s">
        <v>550</v>
      </c>
      <c r="J64" s="140" t="s">
        <v>551</v>
      </c>
      <c r="K64" s="134"/>
      <c r="L64" s="134"/>
      <c r="M64" s="134"/>
      <c r="N64" s="134"/>
      <c r="O64" s="134"/>
      <c r="P64" s="134"/>
      <c r="Q64" s="134"/>
      <c r="R64" s="134"/>
      <c r="S64" s="134"/>
      <c r="T64" s="134"/>
      <c r="U64" s="134"/>
      <c r="V64" s="134"/>
      <c r="W64" s="134"/>
      <c r="X64" s="134"/>
      <c r="Y64" s="134"/>
      <c r="Z64" s="134"/>
      <c r="AA64" s="134"/>
    </row>
    <row r="65" ht="112.5" customHeight="1">
      <c r="A65" s="135" t="s">
        <v>574</v>
      </c>
      <c r="B65" s="135" t="s">
        <v>575</v>
      </c>
      <c r="C65" s="135" t="s">
        <v>576</v>
      </c>
      <c r="D65" s="135" t="s">
        <v>573</v>
      </c>
      <c r="E65" s="135" t="s">
        <v>185</v>
      </c>
      <c r="F65" s="135" t="s">
        <v>195</v>
      </c>
      <c r="G65" s="135" t="s">
        <v>235</v>
      </c>
      <c r="H65" s="135" t="str">
        <f>IFERROR(VLOOKUP(G65,'Conformance Score'!A:B, 2, 0), "")</f>
        <v>Keyboard</v>
      </c>
      <c r="I65" s="140" t="s">
        <v>550</v>
      </c>
      <c r="J65" s="140" t="s">
        <v>551</v>
      </c>
      <c r="K65" s="134"/>
      <c r="L65" s="134"/>
      <c r="M65" s="134"/>
      <c r="N65" s="134"/>
      <c r="O65" s="134"/>
      <c r="P65" s="134"/>
      <c r="Q65" s="134"/>
      <c r="R65" s="134"/>
      <c r="S65" s="134"/>
      <c r="T65" s="134"/>
      <c r="U65" s="134"/>
      <c r="V65" s="134"/>
      <c r="W65" s="134"/>
      <c r="X65" s="134"/>
      <c r="Y65" s="134"/>
      <c r="Z65" s="134"/>
      <c r="AA65" s="134"/>
    </row>
    <row r="66" ht="126.0" customHeight="1">
      <c r="A66" s="135" t="s">
        <v>577</v>
      </c>
      <c r="B66" s="135" t="s">
        <v>578</v>
      </c>
      <c r="C66" s="135" t="s">
        <v>579</v>
      </c>
      <c r="D66" s="135" t="s">
        <v>573</v>
      </c>
      <c r="E66" s="135" t="s">
        <v>185</v>
      </c>
      <c r="F66" s="135" t="s">
        <v>195</v>
      </c>
      <c r="G66" s="135" t="s">
        <v>235</v>
      </c>
      <c r="H66" s="135" t="str">
        <f>IFERROR(VLOOKUP(G66,'Conformance Score'!A:B, 2, 0), "")</f>
        <v>Keyboard</v>
      </c>
      <c r="I66" s="140" t="s">
        <v>550</v>
      </c>
      <c r="J66" s="140" t="s">
        <v>551</v>
      </c>
      <c r="K66" s="134"/>
      <c r="L66" s="134"/>
      <c r="M66" s="134"/>
      <c r="N66" s="134"/>
      <c r="O66" s="134"/>
      <c r="P66" s="134"/>
      <c r="Q66" s="134"/>
      <c r="R66" s="134"/>
      <c r="S66" s="134"/>
      <c r="T66" s="134"/>
      <c r="U66" s="134"/>
      <c r="V66" s="134"/>
      <c r="W66" s="134"/>
      <c r="X66" s="134"/>
      <c r="Y66" s="134"/>
      <c r="Z66" s="134"/>
      <c r="AA66" s="134"/>
    </row>
    <row r="67" ht="96.75" customHeight="1">
      <c r="A67" s="135" t="s">
        <v>580</v>
      </c>
      <c r="B67" s="135" t="s">
        <v>581</v>
      </c>
      <c r="C67" s="135" t="s">
        <v>582</v>
      </c>
      <c r="D67" s="135" t="s">
        <v>573</v>
      </c>
      <c r="E67" s="135" t="s">
        <v>187</v>
      </c>
      <c r="F67" s="135" t="s">
        <v>195</v>
      </c>
      <c r="G67" s="135" t="s">
        <v>235</v>
      </c>
      <c r="H67" s="135" t="str">
        <f>IFERROR(VLOOKUP(G67,'Conformance Score'!A:B, 2, 0), "")</f>
        <v>Keyboard</v>
      </c>
      <c r="I67" s="140" t="s">
        <v>550</v>
      </c>
      <c r="J67" s="140" t="s">
        <v>551</v>
      </c>
      <c r="K67" s="134"/>
      <c r="L67" s="134"/>
      <c r="M67" s="134"/>
      <c r="N67" s="134"/>
      <c r="O67" s="134"/>
      <c r="P67" s="134"/>
      <c r="Q67" s="134"/>
      <c r="R67" s="134"/>
      <c r="S67" s="134"/>
      <c r="T67" s="134"/>
      <c r="U67" s="134"/>
      <c r="V67" s="134"/>
      <c r="W67" s="134"/>
      <c r="X67" s="134"/>
      <c r="Y67" s="134"/>
      <c r="Z67" s="134"/>
      <c r="AA67" s="134"/>
    </row>
    <row r="68" ht="15.75" customHeight="1">
      <c r="A68" s="135" t="s">
        <v>583</v>
      </c>
      <c r="B68" s="135" t="s">
        <v>584</v>
      </c>
      <c r="C68" s="135" t="s">
        <v>585</v>
      </c>
      <c r="D68" s="135" t="s">
        <v>332</v>
      </c>
      <c r="E68" s="135" t="s">
        <v>185</v>
      </c>
      <c r="F68" s="135" t="s">
        <v>195</v>
      </c>
      <c r="G68" s="135" t="s">
        <v>235</v>
      </c>
      <c r="H68" s="135" t="str">
        <f>IFERROR(VLOOKUP(G68,'Conformance Score'!A:B, 2, 0), "")</f>
        <v>Keyboard</v>
      </c>
      <c r="I68" s="140" t="s">
        <v>550</v>
      </c>
      <c r="J68" s="140" t="s">
        <v>551</v>
      </c>
      <c r="K68" s="134"/>
      <c r="L68" s="134"/>
      <c r="M68" s="134"/>
      <c r="N68" s="134"/>
      <c r="O68" s="134"/>
      <c r="P68" s="134"/>
      <c r="Q68" s="134"/>
      <c r="R68" s="134"/>
      <c r="S68" s="134"/>
      <c r="T68" s="134"/>
      <c r="U68" s="134"/>
      <c r="V68" s="134"/>
      <c r="W68" s="134"/>
      <c r="X68" s="134"/>
      <c r="Y68" s="134"/>
      <c r="Z68" s="134"/>
      <c r="AA68" s="134"/>
    </row>
    <row r="69" ht="284.25" customHeight="1">
      <c r="A69" s="135" t="s">
        <v>586</v>
      </c>
      <c r="B69" s="135" t="s">
        <v>587</v>
      </c>
      <c r="C69" s="135" t="s">
        <v>588</v>
      </c>
      <c r="D69" s="135" t="s">
        <v>573</v>
      </c>
      <c r="E69" s="135" t="s">
        <v>185</v>
      </c>
      <c r="F69" s="135" t="s">
        <v>195</v>
      </c>
      <c r="G69" s="135" t="s">
        <v>235</v>
      </c>
      <c r="H69" s="135" t="str">
        <f>IFERROR(VLOOKUP(G69,'Conformance Score'!A:B, 2, 0), "")</f>
        <v>Keyboard</v>
      </c>
      <c r="I69" s="140" t="s">
        <v>550</v>
      </c>
      <c r="J69" s="140" t="s">
        <v>551</v>
      </c>
      <c r="K69" s="134"/>
      <c r="L69" s="134"/>
      <c r="M69" s="134"/>
      <c r="N69" s="134"/>
      <c r="O69" s="134"/>
      <c r="P69" s="134"/>
      <c r="Q69" s="134"/>
      <c r="R69" s="134"/>
      <c r="S69" s="134"/>
      <c r="T69" s="134"/>
      <c r="U69" s="134"/>
      <c r="V69" s="134"/>
      <c r="W69" s="134"/>
      <c r="X69" s="134"/>
      <c r="Y69" s="134"/>
      <c r="Z69" s="134"/>
      <c r="AA69" s="134"/>
    </row>
    <row r="70" ht="111.0" customHeight="1">
      <c r="A70" s="135" t="s">
        <v>589</v>
      </c>
      <c r="B70" s="135" t="s">
        <v>590</v>
      </c>
      <c r="C70" s="135" t="s">
        <v>591</v>
      </c>
      <c r="D70" s="135" t="s">
        <v>461</v>
      </c>
      <c r="E70" s="135" t="s">
        <v>187</v>
      </c>
      <c r="F70" s="135" t="s">
        <v>195</v>
      </c>
      <c r="G70" s="135" t="s">
        <v>237</v>
      </c>
      <c r="H70" s="135" t="str">
        <f>IFERROR(VLOOKUP(G70,'Conformance Score'!A:B, 2, 0), "")</f>
        <v>Keyboard Trap</v>
      </c>
      <c r="I70" s="140" t="s">
        <v>592</v>
      </c>
      <c r="J70" s="140" t="s">
        <v>593</v>
      </c>
      <c r="K70" s="134"/>
      <c r="L70" s="134"/>
      <c r="M70" s="134"/>
      <c r="N70" s="134"/>
      <c r="O70" s="134"/>
      <c r="P70" s="134"/>
      <c r="Q70" s="134"/>
      <c r="R70" s="134"/>
      <c r="S70" s="134"/>
      <c r="T70" s="134"/>
      <c r="U70" s="134"/>
      <c r="V70" s="134"/>
      <c r="W70" s="134"/>
      <c r="X70" s="134"/>
      <c r="Y70" s="134"/>
      <c r="Z70" s="134"/>
      <c r="AA70" s="134"/>
    </row>
    <row r="71" ht="230.25" customHeight="1">
      <c r="A71" s="135" t="s">
        <v>594</v>
      </c>
      <c r="B71" s="135" t="s">
        <v>595</v>
      </c>
      <c r="C71" s="135" t="s">
        <v>596</v>
      </c>
      <c r="D71" s="135" t="s">
        <v>573</v>
      </c>
      <c r="E71" s="135" t="s">
        <v>185</v>
      </c>
      <c r="F71" s="135" t="s">
        <v>195</v>
      </c>
      <c r="G71" s="135" t="s">
        <v>239</v>
      </c>
      <c r="H71" s="135" t="str">
        <f>IFERROR(VLOOKUP(G71,'Conformance Score'!A:B, 2, 0), "")</f>
        <v>Character Key Shortcuts</v>
      </c>
      <c r="I71" s="140" t="s">
        <v>597</v>
      </c>
      <c r="J71" s="140" t="s">
        <v>598</v>
      </c>
      <c r="K71" s="134"/>
      <c r="L71" s="134"/>
      <c r="M71" s="134"/>
      <c r="N71" s="134"/>
      <c r="O71" s="134"/>
      <c r="P71" s="134"/>
      <c r="Q71" s="134"/>
      <c r="R71" s="134"/>
      <c r="S71" s="134"/>
      <c r="T71" s="134"/>
      <c r="U71" s="134"/>
      <c r="V71" s="134"/>
      <c r="W71" s="134"/>
      <c r="X71" s="134"/>
      <c r="Y71" s="134"/>
      <c r="Z71" s="134"/>
      <c r="AA71" s="134"/>
    </row>
    <row r="72" ht="167.25" customHeight="1">
      <c r="A72" s="135" t="s">
        <v>599</v>
      </c>
      <c r="B72" s="135" t="s">
        <v>600</v>
      </c>
      <c r="C72" s="135" t="s">
        <v>601</v>
      </c>
      <c r="D72" s="135" t="s">
        <v>573</v>
      </c>
      <c r="E72" s="135" t="s">
        <v>186</v>
      </c>
      <c r="F72" s="135" t="s">
        <v>195</v>
      </c>
      <c r="G72" s="135" t="s">
        <v>239</v>
      </c>
      <c r="H72" s="135" t="str">
        <f>IFERROR(VLOOKUP(G72,'Conformance Score'!A:B, 2, 0), "")</f>
        <v>Character Key Shortcuts</v>
      </c>
      <c r="I72" s="140" t="s">
        <v>597</v>
      </c>
      <c r="J72" s="140" t="s">
        <v>598</v>
      </c>
      <c r="K72" s="134"/>
      <c r="L72" s="134"/>
      <c r="M72" s="134"/>
      <c r="N72" s="134"/>
      <c r="O72" s="134"/>
      <c r="P72" s="134"/>
      <c r="Q72" s="134"/>
      <c r="R72" s="134"/>
      <c r="S72" s="134"/>
      <c r="T72" s="134"/>
      <c r="U72" s="134"/>
      <c r="V72" s="134"/>
      <c r="W72" s="134"/>
      <c r="X72" s="134"/>
      <c r="Y72" s="134"/>
      <c r="Z72" s="134"/>
      <c r="AA72" s="134"/>
    </row>
    <row r="73" ht="15.75" customHeight="1">
      <c r="A73" s="135" t="s">
        <v>602</v>
      </c>
      <c r="B73" s="135" t="s">
        <v>603</v>
      </c>
      <c r="C73" s="135" t="s">
        <v>604</v>
      </c>
      <c r="D73" s="135" t="s">
        <v>605</v>
      </c>
      <c r="E73" s="135" t="s">
        <v>186</v>
      </c>
      <c r="F73" s="135" t="s">
        <v>195</v>
      </c>
      <c r="G73" s="135" t="s">
        <v>241</v>
      </c>
      <c r="H73" s="135" t="str">
        <f>IFERROR(VLOOKUP(G73,'Conformance Score'!A:B, 2, 0), "")</f>
        <v>Timing Adjustable</v>
      </c>
      <c r="I73" s="140" t="s">
        <v>606</v>
      </c>
      <c r="J73" s="140" t="s">
        <v>607</v>
      </c>
      <c r="K73" s="134"/>
      <c r="L73" s="134"/>
      <c r="M73" s="134"/>
      <c r="N73" s="134"/>
      <c r="O73" s="134"/>
      <c r="P73" s="134"/>
      <c r="Q73" s="134"/>
      <c r="R73" s="134"/>
      <c r="S73" s="134"/>
      <c r="T73" s="134"/>
      <c r="U73" s="134"/>
      <c r="V73" s="134"/>
      <c r="W73" s="134"/>
      <c r="X73" s="134"/>
      <c r="Y73" s="134"/>
      <c r="Z73" s="134"/>
      <c r="AA73" s="134"/>
    </row>
    <row r="74" ht="111.75" customHeight="1">
      <c r="A74" s="135" t="s">
        <v>608</v>
      </c>
      <c r="B74" s="135" t="s">
        <v>609</v>
      </c>
      <c r="C74" s="135" t="s">
        <v>610</v>
      </c>
      <c r="D74" s="135" t="s">
        <v>486</v>
      </c>
      <c r="E74" s="135" t="s">
        <v>187</v>
      </c>
      <c r="F74" s="135" t="s">
        <v>195</v>
      </c>
      <c r="G74" s="135" t="s">
        <v>243</v>
      </c>
      <c r="H74" s="135" t="str">
        <f>IFERROR(VLOOKUP(G74,'Conformance Score'!A:B, 2, 0), "")</f>
        <v>Pause, Stop, Hide</v>
      </c>
      <c r="I74" s="140" t="s">
        <v>611</v>
      </c>
      <c r="J74" s="140" t="s">
        <v>612</v>
      </c>
      <c r="K74" s="134"/>
      <c r="L74" s="134"/>
      <c r="M74" s="134"/>
      <c r="N74" s="134"/>
      <c r="O74" s="134"/>
      <c r="P74" s="134"/>
      <c r="Q74" s="134"/>
      <c r="R74" s="134"/>
      <c r="S74" s="134"/>
      <c r="T74" s="134"/>
      <c r="U74" s="134"/>
      <c r="V74" s="134"/>
      <c r="W74" s="134"/>
      <c r="X74" s="134"/>
      <c r="Y74" s="134"/>
      <c r="Z74" s="134"/>
      <c r="AA74" s="134"/>
    </row>
    <row r="75" ht="114.75" customHeight="1">
      <c r="A75" s="135" t="s">
        <v>613</v>
      </c>
      <c r="B75" s="135" t="s">
        <v>614</v>
      </c>
      <c r="C75" s="135" t="s">
        <v>615</v>
      </c>
      <c r="D75" s="135" t="s">
        <v>616</v>
      </c>
      <c r="E75" s="135" t="s">
        <v>187</v>
      </c>
      <c r="F75" s="135" t="s">
        <v>195</v>
      </c>
      <c r="G75" s="135" t="s">
        <v>243</v>
      </c>
      <c r="H75" s="135" t="str">
        <f>IFERROR(VLOOKUP(G75,'Conformance Score'!A:B, 2, 0), "")</f>
        <v>Pause, Stop, Hide</v>
      </c>
      <c r="I75" s="140" t="s">
        <v>611</v>
      </c>
      <c r="J75" s="140" t="s">
        <v>612</v>
      </c>
      <c r="K75" s="134"/>
      <c r="L75" s="134"/>
      <c r="M75" s="134"/>
      <c r="N75" s="134"/>
      <c r="O75" s="134"/>
      <c r="P75" s="134"/>
      <c r="Q75" s="134"/>
      <c r="R75" s="134"/>
      <c r="S75" s="134"/>
      <c r="T75" s="134"/>
      <c r="U75" s="134"/>
      <c r="V75" s="134"/>
      <c r="W75" s="134"/>
      <c r="X75" s="134"/>
      <c r="Y75" s="134"/>
      <c r="Z75" s="134"/>
      <c r="AA75" s="134"/>
    </row>
    <row r="76" ht="102.75" customHeight="1">
      <c r="A76" s="135" t="s">
        <v>617</v>
      </c>
      <c r="B76" s="135" t="s">
        <v>618</v>
      </c>
      <c r="C76" s="135" t="s">
        <v>619</v>
      </c>
      <c r="D76" s="135" t="s">
        <v>620</v>
      </c>
      <c r="E76" s="135" t="s">
        <v>185</v>
      </c>
      <c r="F76" s="135" t="s">
        <v>195</v>
      </c>
      <c r="G76" s="135" t="s">
        <v>245</v>
      </c>
      <c r="H76" s="135" t="str">
        <f>IFERROR(VLOOKUP(G76,'Conformance Score'!A:B, 2, 0), "")</f>
        <v>Three Flashes or Below Threshold</v>
      </c>
      <c r="I76" s="140" t="s">
        <v>621</v>
      </c>
      <c r="J76" s="140" t="s">
        <v>622</v>
      </c>
      <c r="K76" s="134"/>
      <c r="L76" s="134"/>
      <c r="M76" s="134"/>
      <c r="N76" s="134"/>
      <c r="O76" s="134"/>
      <c r="P76" s="134"/>
      <c r="Q76" s="134"/>
      <c r="R76" s="134"/>
      <c r="S76" s="134"/>
      <c r="T76" s="134"/>
      <c r="U76" s="134"/>
      <c r="V76" s="134"/>
      <c r="W76" s="134"/>
      <c r="X76" s="134"/>
      <c r="Y76" s="134"/>
      <c r="Z76" s="134"/>
      <c r="AA76" s="134"/>
    </row>
    <row r="77" ht="107.25" customHeight="1">
      <c r="A77" s="135" t="s">
        <v>623</v>
      </c>
      <c r="B77" s="135" t="s">
        <v>624</v>
      </c>
      <c r="C77" s="135" t="s">
        <v>625</v>
      </c>
      <c r="D77" s="135" t="s">
        <v>549</v>
      </c>
      <c r="E77" s="135" t="s">
        <v>188</v>
      </c>
      <c r="F77" s="135" t="s">
        <v>195</v>
      </c>
      <c r="G77" s="135" t="s">
        <v>247</v>
      </c>
      <c r="H77" s="135" t="str">
        <f>IFERROR(VLOOKUP(G77,'Conformance Score'!A:B, 2, 0), "")</f>
        <v>Bypass Blocks</v>
      </c>
      <c r="I77" s="140" t="s">
        <v>626</v>
      </c>
      <c r="J77" s="140" t="s">
        <v>627</v>
      </c>
      <c r="K77" s="134"/>
      <c r="L77" s="134"/>
      <c r="M77" s="134"/>
      <c r="N77" s="134"/>
      <c r="O77" s="134"/>
      <c r="P77" s="134"/>
      <c r="Q77" s="134"/>
      <c r="R77" s="134"/>
      <c r="S77" s="134"/>
      <c r="T77" s="134"/>
      <c r="U77" s="134"/>
      <c r="V77" s="134"/>
      <c r="W77" s="134"/>
      <c r="X77" s="134"/>
      <c r="Y77" s="134"/>
      <c r="Z77" s="134"/>
      <c r="AA77" s="134"/>
    </row>
    <row r="78" ht="102.0" customHeight="1">
      <c r="A78" s="135" t="s">
        <v>628</v>
      </c>
      <c r="B78" s="135" t="s">
        <v>629</v>
      </c>
      <c r="C78" s="135" t="s">
        <v>630</v>
      </c>
      <c r="D78" s="135" t="s">
        <v>332</v>
      </c>
      <c r="E78" s="135" t="s">
        <v>187</v>
      </c>
      <c r="F78" s="135" t="s">
        <v>195</v>
      </c>
      <c r="G78" s="135" t="s">
        <v>207</v>
      </c>
      <c r="H78" s="135" t="str">
        <f>IFERROR(VLOOKUP(G78,'Conformance Score'!A:B, 2, 0), "")</f>
        <v>Info and Relationships</v>
      </c>
      <c r="I78" s="140" t="s">
        <v>390</v>
      </c>
      <c r="J78" s="140" t="s">
        <v>391</v>
      </c>
      <c r="K78" s="134"/>
      <c r="L78" s="134"/>
      <c r="M78" s="134"/>
      <c r="N78" s="134"/>
      <c r="O78" s="134"/>
      <c r="P78" s="134"/>
      <c r="Q78" s="134"/>
      <c r="R78" s="134"/>
      <c r="S78" s="134"/>
      <c r="T78" s="134"/>
      <c r="U78" s="134"/>
      <c r="V78" s="134"/>
      <c r="W78" s="134"/>
      <c r="X78" s="134"/>
      <c r="Y78" s="134"/>
      <c r="Z78" s="134"/>
      <c r="AA78" s="134"/>
    </row>
    <row r="79" ht="102.0" customHeight="1">
      <c r="A79" s="135" t="s">
        <v>631</v>
      </c>
      <c r="B79" s="135" t="s">
        <v>632</v>
      </c>
      <c r="C79" s="135" t="s">
        <v>633</v>
      </c>
      <c r="D79" s="135" t="s">
        <v>332</v>
      </c>
      <c r="E79" s="135" t="s">
        <v>187</v>
      </c>
      <c r="F79" s="135" t="s">
        <v>195</v>
      </c>
      <c r="G79" s="135" t="s">
        <v>249</v>
      </c>
      <c r="H79" s="135" t="str">
        <f>IFERROR(VLOOKUP(G79,'Conformance Score'!A:B, 2, 0), "")</f>
        <v>Page Titled</v>
      </c>
      <c r="I79" s="140" t="s">
        <v>634</v>
      </c>
      <c r="J79" s="141" t="s">
        <v>635</v>
      </c>
      <c r="K79" s="134"/>
      <c r="L79" s="134"/>
      <c r="M79" s="134"/>
      <c r="N79" s="134"/>
      <c r="O79" s="134"/>
      <c r="P79" s="134"/>
      <c r="Q79" s="134"/>
      <c r="R79" s="134"/>
      <c r="S79" s="134"/>
      <c r="T79" s="134"/>
      <c r="U79" s="134"/>
      <c r="V79" s="134"/>
      <c r="W79" s="134"/>
      <c r="X79" s="134"/>
      <c r="Y79" s="134"/>
      <c r="Z79" s="134"/>
      <c r="AA79" s="134"/>
    </row>
    <row r="80" ht="99.0" customHeight="1">
      <c r="A80" s="135" t="s">
        <v>636</v>
      </c>
      <c r="B80" s="135" t="s">
        <v>637</v>
      </c>
      <c r="C80" s="135" t="s">
        <v>638</v>
      </c>
      <c r="D80" s="135" t="s">
        <v>549</v>
      </c>
      <c r="E80" s="135" t="s">
        <v>187</v>
      </c>
      <c r="F80" s="135" t="s">
        <v>195</v>
      </c>
      <c r="G80" s="135" t="s">
        <v>251</v>
      </c>
      <c r="H80" s="135" t="str">
        <f>IFERROR(VLOOKUP(G80,'Conformance Score'!A:B, 2, 0), "")</f>
        <v>Focus Order</v>
      </c>
      <c r="I80" s="140" t="s">
        <v>639</v>
      </c>
      <c r="J80" s="140" t="s">
        <v>640</v>
      </c>
      <c r="K80" s="134"/>
      <c r="L80" s="134"/>
      <c r="M80" s="134"/>
      <c r="N80" s="134"/>
      <c r="O80" s="134"/>
      <c r="P80" s="134"/>
      <c r="Q80" s="134"/>
      <c r="R80" s="134"/>
      <c r="S80" s="134"/>
      <c r="T80" s="134"/>
      <c r="U80" s="134"/>
      <c r="V80" s="134"/>
      <c r="W80" s="134"/>
      <c r="X80" s="134"/>
      <c r="Y80" s="134"/>
      <c r="Z80" s="134"/>
      <c r="AA80" s="134"/>
    </row>
    <row r="81" ht="85.5" customHeight="1">
      <c r="A81" s="135" t="s">
        <v>641</v>
      </c>
      <c r="B81" s="135" t="s">
        <v>642</v>
      </c>
      <c r="C81" s="135" t="s">
        <v>643</v>
      </c>
      <c r="D81" s="135" t="s">
        <v>573</v>
      </c>
      <c r="E81" s="135" t="s">
        <v>188</v>
      </c>
      <c r="F81" s="135" t="s">
        <v>195</v>
      </c>
      <c r="G81" s="135" t="s">
        <v>251</v>
      </c>
      <c r="H81" s="135" t="str">
        <f>IFERROR(VLOOKUP(G81,'Conformance Score'!A:B, 2, 0), "")</f>
        <v>Focus Order</v>
      </c>
      <c r="I81" s="140" t="s">
        <v>639</v>
      </c>
      <c r="J81" s="140" t="s">
        <v>640</v>
      </c>
      <c r="K81" s="134"/>
      <c r="L81" s="134"/>
      <c r="M81" s="134"/>
      <c r="N81" s="134"/>
      <c r="O81" s="134"/>
      <c r="P81" s="134"/>
      <c r="Q81" s="134"/>
      <c r="R81" s="134"/>
      <c r="S81" s="134"/>
      <c r="T81" s="134"/>
      <c r="U81" s="134"/>
      <c r="V81" s="134"/>
      <c r="W81" s="134"/>
      <c r="X81" s="134"/>
      <c r="Y81" s="134"/>
      <c r="Z81" s="134"/>
      <c r="AA81" s="134"/>
    </row>
    <row r="82" ht="124.5" customHeight="1">
      <c r="A82" s="135" t="s">
        <v>644</v>
      </c>
      <c r="B82" s="135" t="s">
        <v>645</v>
      </c>
      <c r="C82" s="135" t="s">
        <v>646</v>
      </c>
      <c r="D82" s="135" t="s">
        <v>549</v>
      </c>
      <c r="E82" s="135" t="s">
        <v>187</v>
      </c>
      <c r="F82" s="135" t="s">
        <v>195</v>
      </c>
      <c r="G82" s="135" t="s">
        <v>251</v>
      </c>
      <c r="H82" s="135" t="str">
        <f>IFERROR(VLOOKUP(G82,'Conformance Score'!A:B, 2, 0), "")</f>
        <v>Focus Order</v>
      </c>
      <c r="I82" s="140" t="s">
        <v>639</v>
      </c>
      <c r="J82" s="140" t="s">
        <v>640</v>
      </c>
      <c r="K82" s="134"/>
      <c r="L82" s="134"/>
      <c r="M82" s="134"/>
      <c r="N82" s="134"/>
      <c r="O82" s="134"/>
      <c r="P82" s="134"/>
      <c r="Q82" s="134"/>
      <c r="R82" s="134"/>
      <c r="S82" s="134"/>
      <c r="T82" s="134"/>
      <c r="U82" s="134"/>
      <c r="V82" s="134"/>
      <c r="W82" s="134"/>
      <c r="X82" s="134"/>
      <c r="Y82" s="134"/>
      <c r="Z82" s="134"/>
      <c r="AA82" s="134"/>
    </row>
    <row r="83" ht="102.0" customHeight="1">
      <c r="A83" s="135" t="s">
        <v>647</v>
      </c>
      <c r="B83" s="135" t="s">
        <v>648</v>
      </c>
      <c r="C83" s="135" t="s">
        <v>649</v>
      </c>
      <c r="D83" s="135" t="s">
        <v>549</v>
      </c>
      <c r="E83" s="135" t="s">
        <v>187</v>
      </c>
      <c r="F83" s="135" t="s">
        <v>195</v>
      </c>
      <c r="G83" s="135" t="s">
        <v>251</v>
      </c>
      <c r="H83" s="135" t="str">
        <f>IFERROR(VLOOKUP(G83,'Conformance Score'!A:B, 2, 0), "")</f>
        <v>Focus Order</v>
      </c>
      <c r="I83" s="140" t="s">
        <v>639</v>
      </c>
      <c r="J83" s="140" t="s">
        <v>640</v>
      </c>
      <c r="K83" s="134"/>
      <c r="L83" s="134"/>
      <c r="M83" s="134"/>
      <c r="N83" s="134"/>
      <c r="O83" s="134"/>
      <c r="P83" s="134"/>
      <c r="Q83" s="134"/>
      <c r="R83" s="134"/>
      <c r="S83" s="134"/>
      <c r="T83" s="134"/>
      <c r="U83" s="134"/>
      <c r="V83" s="134"/>
      <c r="W83" s="134"/>
      <c r="X83" s="134"/>
      <c r="Y83" s="134"/>
      <c r="Z83" s="134"/>
      <c r="AA83" s="134"/>
    </row>
    <row r="84" ht="167.25" customHeight="1">
      <c r="A84" s="135" t="s">
        <v>650</v>
      </c>
      <c r="B84" s="135" t="s">
        <v>651</v>
      </c>
      <c r="C84" s="135" t="s">
        <v>652</v>
      </c>
      <c r="D84" s="135" t="s">
        <v>549</v>
      </c>
      <c r="E84" s="135" t="s">
        <v>187</v>
      </c>
      <c r="F84" s="135" t="s">
        <v>195</v>
      </c>
      <c r="G84" s="135" t="s">
        <v>251</v>
      </c>
      <c r="H84" s="135" t="str">
        <f>IFERROR(VLOOKUP(G84,'Conformance Score'!A:B, 2, 0), "")</f>
        <v>Focus Order</v>
      </c>
      <c r="I84" s="140" t="s">
        <v>639</v>
      </c>
      <c r="J84" s="140" t="s">
        <v>640</v>
      </c>
      <c r="K84" s="134"/>
      <c r="L84" s="134"/>
      <c r="M84" s="134"/>
      <c r="N84" s="134"/>
      <c r="O84" s="134"/>
      <c r="P84" s="134"/>
      <c r="Q84" s="134"/>
      <c r="R84" s="134"/>
      <c r="S84" s="134"/>
      <c r="T84" s="134"/>
      <c r="U84" s="134"/>
      <c r="V84" s="134"/>
      <c r="W84" s="134"/>
      <c r="X84" s="134"/>
      <c r="Y84" s="134"/>
      <c r="Z84" s="134"/>
      <c r="AA84" s="134"/>
    </row>
    <row r="85" ht="115.5" customHeight="1">
      <c r="A85" s="135" t="s">
        <v>653</v>
      </c>
      <c r="B85" s="135" t="s">
        <v>654</v>
      </c>
      <c r="C85" s="135" t="s">
        <v>655</v>
      </c>
      <c r="D85" s="135" t="s">
        <v>549</v>
      </c>
      <c r="E85" s="135" t="s">
        <v>187</v>
      </c>
      <c r="F85" s="135" t="s">
        <v>195</v>
      </c>
      <c r="G85" s="135" t="s">
        <v>251</v>
      </c>
      <c r="H85" s="135" t="str">
        <f>IFERROR(VLOOKUP(G85,'Conformance Score'!A:B, 2, 0), "")</f>
        <v>Focus Order</v>
      </c>
      <c r="I85" s="140" t="s">
        <v>639</v>
      </c>
      <c r="J85" s="140" t="s">
        <v>640</v>
      </c>
      <c r="K85" s="134"/>
      <c r="L85" s="134"/>
      <c r="M85" s="134"/>
      <c r="N85" s="134"/>
      <c r="O85" s="134"/>
      <c r="P85" s="134"/>
      <c r="Q85" s="134"/>
      <c r="R85" s="134"/>
      <c r="S85" s="134"/>
      <c r="T85" s="134"/>
      <c r="U85" s="134"/>
      <c r="V85" s="134"/>
      <c r="W85" s="134"/>
      <c r="X85" s="134"/>
      <c r="Y85" s="134"/>
      <c r="Z85" s="134"/>
      <c r="AA85" s="134"/>
    </row>
    <row r="86" ht="111.0" customHeight="1">
      <c r="A86" s="135" t="s">
        <v>656</v>
      </c>
      <c r="B86" s="135" t="s">
        <v>657</v>
      </c>
      <c r="C86" s="135" t="s">
        <v>658</v>
      </c>
      <c r="D86" s="135" t="s">
        <v>549</v>
      </c>
      <c r="E86" s="135" t="s">
        <v>187</v>
      </c>
      <c r="F86" s="135" t="s">
        <v>195</v>
      </c>
      <c r="G86" s="135" t="s">
        <v>251</v>
      </c>
      <c r="H86" s="135" t="str">
        <f>IFERROR(VLOOKUP(G86,'Conformance Score'!A:B, 2, 0), "")</f>
        <v>Focus Order</v>
      </c>
      <c r="I86" s="140" t="s">
        <v>639</v>
      </c>
      <c r="J86" s="140" t="s">
        <v>640</v>
      </c>
      <c r="K86" s="134"/>
      <c r="L86" s="134"/>
      <c r="M86" s="134"/>
      <c r="N86" s="134"/>
      <c r="O86" s="134"/>
      <c r="P86" s="134"/>
      <c r="Q86" s="134"/>
      <c r="R86" s="134"/>
      <c r="S86" s="134"/>
      <c r="T86" s="134"/>
      <c r="U86" s="134"/>
      <c r="V86" s="134"/>
      <c r="W86" s="134"/>
      <c r="X86" s="134"/>
      <c r="Y86" s="134"/>
      <c r="Z86" s="134"/>
      <c r="AA86" s="134"/>
    </row>
    <row r="87" ht="109.5" customHeight="1">
      <c r="A87" s="135" t="s">
        <v>659</v>
      </c>
      <c r="B87" s="135" t="s">
        <v>660</v>
      </c>
      <c r="C87" s="135" t="s">
        <v>661</v>
      </c>
      <c r="D87" s="135" t="s">
        <v>549</v>
      </c>
      <c r="E87" s="135" t="s">
        <v>187</v>
      </c>
      <c r="F87" s="135" t="s">
        <v>195</v>
      </c>
      <c r="G87" s="135" t="s">
        <v>251</v>
      </c>
      <c r="H87" s="135" t="str">
        <f>IFERROR(VLOOKUP(G87,'Conformance Score'!A:B, 2, 0), "")</f>
        <v>Focus Order</v>
      </c>
      <c r="I87" s="140" t="s">
        <v>639</v>
      </c>
      <c r="J87" s="140" t="s">
        <v>640</v>
      </c>
      <c r="K87" s="134"/>
      <c r="L87" s="134"/>
      <c r="M87" s="134"/>
      <c r="N87" s="134"/>
      <c r="O87" s="134"/>
      <c r="P87" s="134"/>
      <c r="Q87" s="134"/>
      <c r="R87" s="134"/>
      <c r="S87" s="134"/>
      <c r="T87" s="134"/>
      <c r="U87" s="134"/>
      <c r="V87" s="134"/>
      <c r="W87" s="134"/>
      <c r="X87" s="134"/>
      <c r="Y87" s="134"/>
      <c r="Z87" s="134"/>
      <c r="AA87" s="134"/>
    </row>
    <row r="88" ht="99.75" customHeight="1">
      <c r="A88" s="135" t="s">
        <v>662</v>
      </c>
      <c r="B88" s="135" t="s">
        <v>663</v>
      </c>
      <c r="C88" s="135" t="s">
        <v>664</v>
      </c>
      <c r="D88" s="135" t="s">
        <v>549</v>
      </c>
      <c r="E88" s="135" t="s">
        <v>187</v>
      </c>
      <c r="F88" s="135" t="s">
        <v>474</v>
      </c>
      <c r="G88" s="135" t="s">
        <v>251</v>
      </c>
      <c r="H88" s="135" t="str">
        <f>IFERROR(VLOOKUP(G88,'Conformance Score'!A:B, 2, 0), "")</f>
        <v>Focus Order</v>
      </c>
      <c r="I88" s="140" t="s">
        <v>639</v>
      </c>
      <c r="J88" s="140" t="s">
        <v>640</v>
      </c>
      <c r="K88" s="134"/>
      <c r="L88" s="134"/>
      <c r="M88" s="134"/>
      <c r="N88" s="134"/>
      <c r="O88" s="134"/>
      <c r="P88" s="134"/>
      <c r="Q88" s="134"/>
      <c r="R88" s="134"/>
      <c r="S88" s="134"/>
      <c r="T88" s="134"/>
      <c r="U88" s="134"/>
      <c r="V88" s="134"/>
      <c r="W88" s="134"/>
      <c r="X88" s="134"/>
      <c r="Y88" s="134"/>
      <c r="Z88" s="134"/>
      <c r="AA88" s="134"/>
    </row>
    <row r="89" ht="114.75" customHeight="1">
      <c r="A89" s="135" t="s">
        <v>665</v>
      </c>
      <c r="B89" s="135" t="s">
        <v>666</v>
      </c>
      <c r="C89" s="135" t="s">
        <v>667</v>
      </c>
      <c r="D89" s="135" t="s">
        <v>332</v>
      </c>
      <c r="E89" s="135" t="s">
        <v>187</v>
      </c>
      <c r="F89" s="135" t="s">
        <v>195</v>
      </c>
      <c r="G89" s="135" t="s">
        <v>253</v>
      </c>
      <c r="H89" s="135" t="str">
        <f>IFERROR(VLOOKUP(G89,'Conformance Score'!A:B, 2, 0), "")</f>
        <v>Link Purpose (In Context)</v>
      </c>
      <c r="I89" s="140" t="s">
        <v>668</v>
      </c>
      <c r="J89" s="140" t="s">
        <v>669</v>
      </c>
      <c r="K89" s="134"/>
      <c r="L89" s="134"/>
      <c r="M89" s="134"/>
      <c r="N89" s="134"/>
      <c r="O89" s="134"/>
      <c r="P89" s="134"/>
      <c r="Q89" s="134"/>
      <c r="R89" s="134"/>
      <c r="S89" s="134"/>
      <c r="T89" s="134"/>
      <c r="U89" s="134"/>
      <c r="V89" s="134"/>
      <c r="W89" s="134"/>
      <c r="X89" s="134"/>
      <c r="Y89" s="134"/>
      <c r="Z89" s="134"/>
      <c r="AA89" s="134"/>
    </row>
    <row r="90" ht="108.0" customHeight="1">
      <c r="A90" s="135" t="s">
        <v>670</v>
      </c>
      <c r="B90" s="135" t="s">
        <v>671</v>
      </c>
      <c r="C90" s="135" t="s">
        <v>672</v>
      </c>
      <c r="D90" s="135" t="s">
        <v>332</v>
      </c>
      <c r="E90" s="135" t="s">
        <v>188</v>
      </c>
      <c r="F90" s="135" t="s">
        <v>195</v>
      </c>
      <c r="G90" s="135" t="s">
        <v>253</v>
      </c>
      <c r="H90" s="135" t="str">
        <f>IFERROR(VLOOKUP(G90,'Conformance Score'!A:B, 2, 0), "")</f>
        <v>Link Purpose (In Context)</v>
      </c>
      <c r="I90" s="140" t="s">
        <v>668</v>
      </c>
      <c r="J90" s="140" t="s">
        <v>669</v>
      </c>
      <c r="K90" s="134"/>
      <c r="L90" s="134"/>
      <c r="M90" s="134"/>
      <c r="N90" s="134"/>
      <c r="O90" s="134"/>
      <c r="P90" s="134"/>
      <c r="Q90" s="134"/>
      <c r="R90" s="134"/>
      <c r="S90" s="134"/>
      <c r="T90" s="134"/>
      <c r="U90" s="134"/>
      <c r="V90" s="134"/>
      <c r="W90" s="134"/>
      <c r="X90" s="134"/>
      <c r="Y90" s="134"/>
      <c r="Z90" s="134"/>
      <c r="AA90" s="134"/>
    </row>
    <row r="91" ht="75.75" customHeight="1">
      <c r="A91" s="135" t="s">
        <v>673</v>
      </c>
      <c r="B91" s="135" t="s">
        <v>674</v>
      </c>
      <c r="C91" s="135" t="s">
        <v>675</v>
      </c>
      <c r="D91" s="135" t="s">
        <v>332</v>
      </c>
      <c r="E91" s="135" t="s">
        <v>186</v>
      </c>
      <c r="F91" s="135" t="s">
        <v>195</v>
      </c>
      <c r="G91" s="135" t="s">
        <v>253</v>
      </c>
      <c r="H91" s="135" t="str">
        <f>IFERROR(VLOOKUP(G91,'Conformance Score'!A:B, 2, 0), "")</f>
        <v>Link Purpose (In Context)</v>
      </c>
      <c r="I91" s="140" t="s">
        <v>668</v>
      </c>
      <c r="J91" s="140" t="s">
        <v>669</v>
      </c>
      <c r="K91" s="134"/>
      <c r="L91" s="134"/>
      <c r="M91" s="134"/>
      <c r="N91" s="134"/>
      <c r="O91" s="134"/>
      <c r="P91" s="134"/>
      <c r="Q91" s="134"/>
      <c r="R91" s="134"/>
      <c r="S91" s="134"/>
      <c r="T91" s="134"/>
      <c r="U91" s="134"/>
      <c r="V91" s="134"/>
      <c r="W91" s="134"/>
      <c r="X91" s="134"/>
      <c r="Y91" s="134"/>
      <c r="Z91" s="134"/>
      <c r="AA91" s="134"/>
    </row>
    <row r="92" ht="83.25" customHeight="1">
      <c r="A92" s="135" t="s">
        <v>676</v>
      </c>
      <c r="B92" s="135" t="s">
        <v>677</v>
      </c>
      <c r="C92" s="135" t="s">
        <v>678</v>
      </c>
      <c r="D92" s="135" t="s">
        <v>679</v>
      </c>
      <c r="E92" s="135" t="s">
        <v>187</v>
      </c>
      <c r="F92" s="135" t="s">
        <v>680</v>
      </c>
      <c r="G92" s="135" t="s">
        <v>255</v>
      </c>
      <c r="H92" s="135" t="str">
        <f>IFERROR(VLOOKUP(G92,'Conformance Score'!A:B, 2, 0), "")</f>
        <v>Multiple Ways</v>
      </c>
      <c r="I92" s="140" t="s">
        <v>681</v>
      </c>
      <c r="J92" s="140" t="s">
        <v>682</v>
      </c>
      <c r="K92" s="134"/>
      <c r="L92" s="134"/>
      <c r="M92" s="134"/>
      <c r="N92" s="134"/>
      <c r="O92" s="134"/>
      <c r="P92" s="134"/>
      <c r="Q92" s="134"/>
      <c r="R92" s="134"/>
      <c r="S92" s="134"/>
      <c r="T92" s="134"/>
      <c r="U92" s="134"/>
      <c r="V92" s="134"/>
      <c r="W92" s="134"/>
      <c r="X92" s="134"/>
      <c r="Y92" s="134"/>
      <c r="Z92" s="134"/>
      <c r="AA92" s="134"/>
    </row>
    <row r="93" ht="15.75" customHeight="1">
      <c r="A93" s="135" t="s">
        <v>683</v>
      </c>
      <c r="B93" s="135" t="s">
        <v>684</v>
      </c>
      <c r="C93" s="135" t="s">
        <v>685</v>
      </c>
      <c r="D93" s="135" t="s">
        <v>332</v>
      </c>
      <c r="E93" s="135" t="s">
        <v>187</v>
      </c>
      <c r="F93" s="135" t="s">
        <v>204</v>
      </c>
      <c r="G93" s="140" t="s">
        <v>686</v>
      </c>
      <c r="H93" s="135" t="str">
        <f>IFERROR(VLOOKUP(G93,'Conformance Score'!A:B, 2, 0), "")</f>
        <v/>
      </c>
      <c r="I93" s="140" t="s">
        <v>687</v>
      </c>
      <c r="J93" s="140" t="s">
        <v>688</v>
      </c>
      <c r="K93" s="134"/>
      <c r="L93" s="134"/>
      <c r="M93" s="134"/>
      <c r="N93" s="134"/>
      <c r="O93" s="134"/>
      <c r="P93" s="134"/>
      <c r="Q93" s="134"/>
      <c r="R93" s="134"/>
      <c r="S93" s="134"/>
      <c r="T93" s="134"/>
      <c r="U93" s="134"/>
      <c r="V93" s="134"/>
      <c r="W93" s="134"/>
      <c r="X93" s="134"/>
      <c r="Y93" s="134"/>
      <c r="Z93" s="134"/>
      <c r="AA93" s="134"/>
    </row>
    <row r="94" ht="91.5" customHeight="1">
      <c r="A94" s="135" t="s">
        <v>689</v>
      </c>
      <c r="B94" s="135" t="s">
        <v>690</v>
      </c>
      <c r="C94" s="135" t="s">
        <v>685</v>
      </c>
      <c r="D94" s="135" t="s">
        <v>332</v>
      </c>
      <c r="E94" s="135" t="s">
        <v>187</v>
      </c>
      <c r="F94" s="135" t="s">
        <v>204</v>
      </c>
      <c r="G94" s="135" t="s">
        <v>257</v>
      </c>
      <c r="H94" s="135" t="str">
        <f>IFERROR(VLOOKUP(G94,'Conformance Score'!A:B, 2, 0), "")</f>
        <v>Headings and Labels</v>
      </c>
      <c r="I94" s="140" t="s">
        <v>687</v>
      </c>
      <c r="J94" s="140" t="s">
        <v>688</v>
      </c>
      <c r="K94" s="134"/>
      <c r="L94" s="134"/>
      <c r="M94" s="134"/>
      <c r="N94" s="134"/>
      <c r="O94" s="134"/>
      <c r="P94" s="134"/>
      <c r="Q94" s="134"/>
      <c r="R94" s="134"/>
      <c r="S94" s="134"/>
      <c r="T94" s="134"/>
      <c r="U94" s="134"/>
      <c r="V94" s="134"/>
      <c r="W94" s="134"/>
      <c r="X94" s="134"/>
      <c r="Y94" s="134"/>
      <c r="Z94" s="134"/>
      <c r="AA94" s="134"/>
    </row>
    <row r="95" ht="102.75" customHeight="1">
      <c r="A95" s="135" t="s">
        <v>691</v>
      </c>
      <c r="B95" s="135" t="s">
        <v>692</v>
      </c>
      <c r="C95" s="135" t="s">
        <v>693</v>
      </c>
      <c r="D95" s="135" t="s">
        <v>461</v>
      </c>
      <c r="E95" s="135" t="s">
        <v>187</v>
      </c>
      <c r="F95" s="135" t="s">
        <v>204</v>
      </c>
      <c r="G95" s="135" t="s">
        <v>259</v>
      </c>
      <c r="H95" s="135" t="str">
        <f>IFERROR(VLOOKUP(G95,'Conformance Score'!A:B, 2, 0), "")</f>
        <v>Focus Visible</v>
      </c>
      <c r="I95" s="140" t="s">
        <v>694</v>
      </c>
      <c r="J95" s="140" t="s">
        <v>695</v>
      </c>
      <c r="K95" s="134"/>
      <c r="L95" s="134"/>
      <c r="M95" s="134"/>
      <c r="N95" s="134"/>
      <c r="O95" s="134"/>
      <c r="P95" s="134"/>
      <c r="Q95" s="134"/>
      <c r="R95" s="134"/>
      <c r="S95" s="134"/>
      <c r="T95" s="134"/>
      <c r="U95" s="134"/>
      <c r="V95" s="134"/>
      <c r="W95" s="134"/>
      <c r="X95" s="134"/>
      <c r="Y95" s="134"/>
      <c r="Z95" s="134"/>
      <c r="AA95" s="134"/>
    </row>
    <row r="96" ht="112.5" customHeight="1">
      <c r="A96" s="135" t="s">
        <v>696</v>
      </c>
      <c r="B96" s="135" t="s">
        <v>697</v>
      </c>
      <c r="C96" s="135" t="s">
        <v>698</v>
      </c>
      <c r="D96" s="135" t="s">
        <v>573</v>
      </c>
      <c r="E96" s="135" t="s">
        <v>185</v>
      </c>
      <c r="F96" s="135" t="s">
        <v>195</v>
      </c>
      <c r="G96" s="135" t="s">
        <v>263</v>
      </c>
      <c r="H96" s="135" t="str">
        <f>IFERROR(VLOOKUP(G96,'Conformance Score'!A:B, 2, 0), "")</f>
        <v>Pointer Gestures</v>
      </c>
      <c r="I96" s="140" t="s">
        <v>699</v>
      </c>
      <c r="J96" s="140" t="s">
        <v>700</v>
      </c>
      <c r="K96" s="134"/>
      <c r="L96" s="134"/>
      <c r="M96" s="134"/>
      <c r="N96" s="134"/>
      <c r="O96" s="134"/>
      <c r="P96" s="134"/>
      <c r="Q96" s="134"/>
      <c r="R96" s="134"/>
      <c r="S96" s="134"/>
      <c r="T96" s="134"/>
      <c r="U96" s="134"/>
      <c r="V96" s="134"/>
      <c r="W96" s="134"/>
      <c r="X96" s="134"/>
      <c r="Y96" s="134"/>
      <c r="Z96" s="134"/>
      <c r="AA96" s="134"/>
    </row>
    <row r="97" ht="99.0" customHeight="1">
      <c r="A97" s="135" t="s">
        <v>701</v>
      </c>
      <c r="B97" s="135" t="s">
        <v>702</v>
      </c>
      <c r="C97" s="135" t="s">
        <v>703</v>
      </c>
      <c r="D97" s="135" t="s">
        <v>704</v>
      </c>
      <c r="E97" s="135" t="s">
        <v>186</v>
      </c>
      <c r="F97" s="135" t="s">
        <v>195</v>
      </c>
      <c r="G97" s="135" t="s">
        <v>265</v>
      </c>
      <c r="H97" s="135" t="str">
        <f>IFERROR(VLOOKUP(G97,'Conformance Score'!A:B, 2, 0), "")</f>
        <v>Pointer Cancellation</v>
      </c>
      <c r="I97" s="140" t="s">
        <v>705</v>
      </c>
      <c r="J97" s="140" t="s">
        <v>706</v>
      </c>
      <c r="K97" s="134"/>
      <c r="L97" s="134"/>
      <c r="M97" s="134"/>
      <c r="N97" s="134"/>
      <c r="O97" s="134"/>
      <c r="P97" s="134"/>
      <c r="Q97" s="134"/>
      <c r="R97" s="134"/>
      <c r="S97" s="134"/>
      <c r="T97" s="134"/>
      <c r="U97" s="134"/>
      <c r="V97" s="134"/>
      <c r="W97" s="134"/>
      <c r="X97" s="134"/>
      <c r="Y97" s="134"/>
      <c r="Z97" s="134"/>
      <c r="AA97" s="134"/>
    </row>
    <row r="98" ht="100.5" customHeight="1">
      <c r="A98" s="135" t="s">
        <v>707</v>
      </c>
      <c r="B98" s="135" t="s">
        <v>708</v>
      </c>
      <c r="C98" s="135" t="s">
        <v>709</v>
      </c>
      <c r="D98" s="135" t="s">
        <v>710</v>
      </c>
      <c r="E98" s="135" t="s">
        <v>186</v>
      </c>
      <c r="F98" s="135" t="s">
        <v>195</v>
      </c>
      <c r="G98" s="135" t="s">
        <v>267</v>
      </c>
      <c r="H98" s="135" t="str">
        <f>IFERROR(VLOOKUP(G98,'Conformance Score'!A:B, 2, 0), "")</f>
        <v>Label in Name</v>
      </c>
      <c r="I98" s="140" t="s">
        <v>711</v>
      </c>
      <c r="J98" s="140" t="s">
        <v>712</v>
      </c>
      <c r="K98" s="134"/>
      <c r="L98" s="134"/>
      <c r="M98" s="134"/>
      <c r="N98" s="134"/>
      <c r="O98" s="134"/>
      <c r="P98" s="134"/>
      <c r="Q98" s="134"/>
      <c r="R98" s="134"/>
      <c r="S98" s="134"/>
      <c r="T98" s="134"/>
      <c r="U98" s="134"/>
      <c r="V98" s="134"/>
      <c r="W98" s="134"/>
      <c r="X98" s="134"/>
      <c r="Y98" s="134"/>
      <c r="Z98" s="134"/>
      <c r="AA98" s="134"/>
    </row>
    <row r="99" ht="108.0" customHeight="1">
      <c r="A99" s="135" t="s">
        <v>713</v>
      </c>
      <c r="B99" s="135" t="s">
        <v>714</v>
      </c>
      <c r="C99" s="135" t="s">
        <v>715</v>
      </c>
      <c r="D99" s="135" t="s">
        <v>461</v>
      </c>
      <c r="E99" s="135" t="s">
        <v>185</v>
      </c>
      <c r="F99" s="135" t="s">
        <v>195</v>
      </c>
      <c r="G99" s="135" t="s">
        <v>269</v>
      </c>
      <c r="H99" s="135" t="str">
        <f>IFERROR(VLOOKUP(G99,'Conformance Score'!A:B, 2, 0), "")</f>
        <v>Motion Actuation</v>
      </c>
      <c r="I99" s="140" t="s">
        <v>716</v>
      </c>
      <c r="J99" s="140" t="s">
        <v>717</v>
      </c>
      <c r="K99" s="134"/>
      <c r="L99" s="134"/>
      <c r="M99" s="134"/>
      <c r="N99" s="134"/>
      <c r="O99" s="134"/>
      <c r="P99" s="134"/>
      <c r="Q99" s="134"/>
      <c r="R99" s="134"/>
      <c r="S99" s="134"/>
      <c r="T99" s="134"/>
      <c r="U99" s="134"/>
      <c r="V99" s="134"/>
      <c r="W99" s="134"/>
      <c r="X99" s="134"/>
      <c r="Y99" s="134"/>
      <c r="Z99" s="134"/>
      <c r="AA99" s="134"/>
    </row>
    <row r="100" ht="15.75" customHeight="1">
      <c r="A100" s="135" t="s">
        <v>718</v>
      </c>
      <c r="B100" s="135" t="s">
        <v>719</v>
      </c>
      <c r="C100" s="135" t="s">
        <v>720</v>
      </c>
      <c r="D100" s="135" t="s">
        <v>332</v>
      </c>
      <c r="E100" s="135" t="s">
        <v>187</v>
      </c>
      <c r="F100" s="135" t="s">
        <v>195</v>
      </c>
      <c r="G100" s="135" t="s">
        <v>721</v>
      </c>
      <c r="H100" s="135" t="str">
        <f>IFERROR(VLOOKUP(G100,'Conformance Score'!A:B, 2, 0), "")</f>
        <v/>
      </c>
      <c r="I100" s="140" t="s">
        <v>722</v>
      </c>
      <c r="J100" s="140" t="s">
        <v>723</v>
      </c>
      <c r="K100" s="134"/>
      <c r="L100" s="134"/>
      <c r="M100" s="134"/>
      <c r="N100" s="134"/>
      <c r="O100" s="134"/>
      <c r="P100" s="134"/>
      <c r="Q100" s="134"/>
      <c r="R100" s="134"/>
      <c r="S100" s="134"/>
      <c r="T100" s="134"/>
      <c r="U100" s="134"/>
      <c r="V100" s="134"/>
      <c r="W100" s="134"/>
      <c r="X100" s="134"/>
      <c r="Y100" s="134"/>
      <c r="Z100" s="134"/>
      <c r="AA100" s="134"/>
    </row>
    <row r="101" ht="15.75" customHeight="1">
      <c r="A101" s="135" t="s">
        <v>724</v>
      </c>
      <c r="B101" s="135" t="s">
        <v>725</v>
      </c>
      <c r="C101" s="135" t="s">
        <v>720</v>
      </c>
      <c r="D101" s="135" t="s">
        <v>332</v>
      </c>
      <c r="E101" s="135" t="s">
        <v>187</v>
      </c>
      <c r="F101" s="135" t="s">
        <v>195</v>
      </c>
      <c r="G101" s="135" t="s">
        <v>721</v>
      </c>
      <c r="H101" s="135" t="str">
        <f>IFERROR(VLOOKUP(G101,'Conformance Score'!A:B, 2, 0), "")</f>
        <v/>
      </c>
      <c r="I101" s="140" t="s">
        <v>722</v>
      </c>
      <c r="J101" s="140" t="s">
        <v>723</v>
      </c>
      <c r="K101" s="134"/>
      <c r="L101" s="134"/>
      <c r="M101" s="134"/>
      <c r="N101" s="134"/>
      <c r="O101" s="134"/>
      <c r="P101" s="134"/>
      <c r="Q101" s="134"/>
      <c r="R101" s="134"/>
      <c r="S101" s="134"/>
      <c r="T101" s="134"/>
      <c r="U101" s="134"/>
      <c r="V101" s="134"/>
      <c r="W101" s="134"/>
      <c r="X101" s="134"/>
      <c r="Y101" s="134"/>
      <c r="Z101" s="134"/>
      <c r="AA101" s="134"/>
    </row>
    <row r="102" ht="15.75" customHeight="1">
      <c r="A102" s="135" t="s">
        <v>726</v>
      </c>
      <c r="B102" s="135" t="s">
        <v>727</v>
      </c>
      <c r="C102" s="135" t="s">
        <v>728</v>
      </c>
      <c r="D102" s="135" t="s">
        <v>332</v>
      </c>
      <c r="E102" s="135" t="s">
        <v>187</v>
      </c>
      <c r="F102" s="135" t="s">
        <v>204</v>
      </c>
      <c r="G102" s="135" t="s">
        <v>729</v>
      </c>
      <c r="H102" s="135" t="str">
        <f>IFERROR(VLOOKUP(G102,'Conformance Score'!A:B, 2, 0), "")</f>
        <v/>
      </c>
      <c r="I102" s="140" t="s">
        <v>730</v>
      </c>
      <c r="J102" s="140" t="s">
        <v>731</v>
      </c>
      <c r="K102" s="134"/>
      <c r="L102" s="134"/>
      <c r="M102" s="134"/>
      <c r="N102" s="134"/>
      <c r="O102" s="134"/>
      <c r="P102" s="134"/>
      <c r="Q102" s="134"/>
      <c r="R102" s="134"/>
      <c r="S102" s="134"/>
      <c r="T102" s="134"/>
      <c r="U102" s="134"/>
      <c r="V102" s="134"/>
      <c r="W102" s="134"/>
      <c r="X102" s="134"/>
      <c r="Y102" s="134"/>
      <c r="Z102" s="134"/>
      <c r="AA102" s="134"/>
    </row>
    <row r="103" ht="15.75" customHeight="1">
      <c r="A103" s="135" t="s">
        <v>732</v>
      </c>
      <c r="B103" s="135" t="s">
        <v>733</v>
      </c>
      <c r="C103" s="135" t="s">
        <v>728</v>
      </c>
      <c r="D103" s="135" t="s">
        <v>332</v>
      </c>
      <c r="E103" s="135" t="s">
        <v>187</v>
      </c>
      <c r="F103" s="135" t="s">
        <v>204</v>
      </c>
      <c r="G103" s="135" t="s">
        <v>729</v>
      </c>
      <c r="H103" s="135" t="str">
        <f>IFERROR(VLOOKUP(G103,'Conformance Score'!A:B, 2, 0), "")</f>
        <v/>
      </c>
      <c r="I103" s="140" t="s">
        <v>730</v>
      </c>
      <c r="J103" s="140" t="s">
        <v>731</v>
      </c>
      <c r="K103" s="134"/>
      <c r="L103" s="134"/>
      <c r="M103" s="134"/>
      <c r="N103" s="134"/>
      <c r="O103" s="134"/>
      <c r="P103" s="134"/>
      <c r="Q103" s="134"/>
      <c r="R103" s="134"/>
      <c r="S103" s="134"/>
      <c r="T103" s="134"/>
      <c r="U103" s="134"/>
      <c r="V103" s="134"/>
      <c r="W103" s="134"/>
      <c r="X103" s="134"/>
      <c r="Y103" s="134"/>
      <c r="Z103" s="134"/>
      <c r="AA103" s="134"/>
    </row>
    <row r="104" ht="15.75" customHeight="1">
      <c r="A104" s="135" t="s">
        <v>734</v>
      </c>
      <c r="B104" s="135" t="s">
        <v>735</v>
      </c>
      <c r="C104" s="135" t="s">
        <v>736</v>
      </c>
      <c r="D104" s="135" t="s">
        <v>549</v>
      </c>
      <c r="E104" s="135" t="s">
        <v>187</v>
      </c>
      <c r="F104" s="135" t="s">
        <v>195</v>
      </c>
      <c r="G104" s="135" t="s">
        <v>737</v>
      </c>
      <c r="H104" s="135" t="str">
        <f>IFERROR(VLOOKUP(G104,'Conformance Score'!A:B, 2, 0), "")</f>
        <v/>
      </c>
      <c r="I104" s="140" t="s">
        <v>738</v>
      </c>
      <c r="J104" s="140" t="s">
        <v>739</v>
      </c>
      <c r="K104" s="134"/>
      <c r="L104" s="134"/>
      <c r="M104" s="134"/>
      <c r="N104" s="134"/>
      <c r="O104" s="134"/>
      <c r="P104" s="134"/>
      <c r="Q104" s="134"/>
      <c r="R104" s="134"/>
      <c r="S104" s="134"/>
      <c r="T104" s="134"/>
      <c r="U104" s="134"/>
      <c r="V104" s="134"/>
      <c r="W104" s="134"/>
      <c r="X104" s="134"/>
      <c r="Y104" s="134"/>
      <c r="Z104" s="134"/>
      <c r="AA104" s="134"/>
    </row>
    <row r="105" ht="15.75" customHeight="1">
      <c r="A105" s="135" t="s">
        <v>740</v>
      </c>
      <c r="B105" s="135" t="s">
        <v>741</v>
      </c>
      <c r="C105" s="135" t="s">
        <v>742</v>
      </c>
      <c r="D105" s="135" t="s">
        <v>486</v>
      </c>
      <c r="E105" s="135" t="s">
        <v>187</v>
      </c>
      <c r="F105" s="135" t="s">
        <v>195</v>
      </c>
      <c r="G105" s="135" t="s">
        <v>743</v>
      </c>
      <c r="H105" s="135" t="str">
        <f>IFERROR(VLOOKUP(G105,'Conformance Score'!A:B, 2, 0), "")</f>
        <v/>
      </c>
      <c r="I105" s="140" t="s">
        <v>744</v>
      </c>
      <c r="J105" s="140" t="s">
        <v>745</v>
      </c>
      <c r="K105" s="134"/>
      <c r="L105" s="134"/>
      <c r="M105" s="134"/>
      <c r="N105" s="134"/>
      <c r="O105" s="134"/>
      <c r="P105" s="134"/>
      <c r="Q105" s="134"/>
      <c r="R105" s="134"/>
      <c r="S105" s="134"/>
      <c r="T105" s="134"/>
      <c r="U105" s="134"/>
      <c r="V105" s="134"/>
      <c r="W105" s="134"/>
      <c r="X105" s="134"/>
      <c r="Y105" s="134"/>
      <c r="Z105" s="134"/>
      <c r="AA105" s="134"/>
    </row>
    <row r="106" ht="15.75" customHeight="1">
      <c r="A106" s="135" t="s">
        <v>746</v>
      </c>
      <c r="B106" s="135" t="s">
        <v>747</v>
      </c>
      <c r="C106" s="135" t="s">
        <v>748</v>
      </c>
      <c r="D106" s="135" t="s">
        <v>486</v>
      </c>
      <c r="E106" s="135" t="s">
        <v>187</v>
      </c>
      <c r="F106" s="135" t="s">
        <v>204</v>
      </c>
      <c r="G106" s="135" t="s">
        <v>749</v>
      </c>
      <c r="H106" s="135" t="str">
        <f>IFERROR(VLOOKUP(G106,'Conformance Score'!A:B, 2, 0), "")</f>
        <v/>
      </c>
      <c r="I106" s="140" t="s">
        <v>750</v>
      </c>
      <c r="J106" s="140" t="s">
        <v>751</v>
      </c>
      <c r="K106" s="134"/>
      <c r="L106" s="134"/>
      <c r="M106" s="134"/>
      <c r="N106" s="134"/>
      <c r="O106" s="134"/>
      <c r="P106" s="134"/>
      <c r="Q106" s="134"/>
      <c r="R106" s="134"/>
      <c r="S106" s="134"/>
      <c r="T106" s="134"/>
      <c r="U106" s="134"/>
      <c r="V106" s="134"/>
      <c r="W106" s="134"/>
      <c r="X106" s="134"/>
      <c r="Y106" s="134"/>
      <c r="Z106" s="134"/>
      <c r="AA106" s="134"/>
    </row>
    <row r="107" ht="15.75" customHeight="1">
      <c r="A107" s="135" t="s">
        <v>752</v>
      </c>
      <c r="B107" s="135" t="s">
        <v>753</v>
      </c>
      <c r="C107" s="135" t="s">
        <v>754</v>
      </c>
      <c r="D107" s="135" t="s">
        <v>755</v>
      </c>
      <c r="E107" s="135" t="s">
        <v>187</v>
      </c>
      <c r="F107" s="135" t="s">
        <v>204</v>
      </c>
      <c r="G107" s="135" t="s">
        <v>285</v>
      </c>
      <c r="H107" s="135" t="str">
        <f>IFERROR(VLOOKUP(G107,'Conformance Score'!A:B, 2, 0), "")</f>
        <v>Consistent Identification</v>
      </c>
      <c r="I107" s="140" t="s">
        <v>756</v>
      </c>
      <c r="J107" s="140" t="s">
        <v>757</v>
      </c>
      <c r="K107" s="134"/>
      <c r="L107" s="134"/>
      <c r="M107" s="134"/>
      <c r="N107" s="134"/>
      <c r="O107" s="134"/>
      <c r="P107" s="134"/>
      <c r="Q107" s="134"/>
      <c r="R107" s="134"/>
      <c r="S107" s="134"/>
      <c r="T107" s="134"/>
      <c r="U107" s="134"/>
      <c r="V107" s="134"/>
      <c r="W107" s="134"/>
      <c r="X107" s="134"/>
      <c r="Y107" s="134"/>
      <c r="Z107" s="134"/>
      <c r="AA107" s="134"/>
    </row>
    <row r="108" ht="15.75" customHeight="1">
      <c r="A108" s="135" t="s">
        <v>758</v>
      </c>
      <c r="B108" s="135" t="s">
        <v>759</v>
      </c>
      <c r="C108" s="135" t="s">
        <v>760</v>
      </c>
      <c r="D108" s="135" t="s">
        <v>486</v>
      </c>
      <c r="E108" s="135" t="s">
        <v>186</v>
      </c>
      <c r="F108" s="135" t="s">
        <v>195</v>
      </c>
      <c r="G108" s="135" t="s">
        <v>289</v>
      </c>
      <c r="H108" s="135" t="str">
        <f>IFERROR(VLOOKUP(G108,'Conformance Score'!A:B, 2, 0), "")</f>
        <v>Error Identification</v>
      </c>
      <c r="I108" s="140" t="s">
        <v>761</v>
      </c>
      <c r="J108" s="140" t="s">
        <v>762</v>
      </c>
      <c r="K108" s="134"/>
      <c r="L108" s="134"/>
      <c r="M108" s="134"/>
      <c r="N108" s="134"/>
      <c r="O108" s="134"/>
      <c r="P108" s="134"/>
      <c r="Q108" s="134"/>
      <c r="R108" s="134"/>
      <c r="S108" s="134"/>
      <c r="T108" s="134"/>
      <c r="U108" s="134"/>
      <c r="V108" s="134"/>
      <c r="W108" s="134"/>
      <c r="X108" s="134"/>
      <c r="Y108" s="134"/>
      <c r="Z108" s="134"/>
      <c r="AA108" s="134"/>
    </row>
    <row r="109" ht="15.75" customHeight="1">
      <c r="A109" s="135" t="s">
        <v>763</v>
      </c>
      <c r="B109" s="135" t="s">
        <v>764</v>
      </c>
      <c r="C109" s="135" t="s">
        <v>765</v>
      </c>
      <c r="D109" s="135" t="s">
        <v>616</v>
      </c>
      <c r="E109" s="135" t="s">
        <v>186</v>
      </c>
      <c r="F109" s="135" t="s">
        <v>204</v>
      </c>
      <c r="G109" s="135" t="s">
        <v>293</v>
      </c>
      <c r="H109" s="135" t="str">
        <f>IFERROR(VLOOKUP(G109,'Conformance Score'!A:B, 2, 0), "")</f>
        <v>Error Suggestion</v>
      </c>
      <c r="I109" s="140" t="s">
        <v>766</v>
      </c>
      <c r="J109" s="140" t="s">
        <v>767</v>
      </c>
      <c r="K109" s="134"/>
      <c r="L109" s="134"/>
      <c r="M109" s="134"/>
      <c r="N109" s="134"/>
      <c r="O109" s="134"/>
      <c r="P109" s="134"/>
      <c r="Q109" s="134"/>
      <c r="R109" s="134"/>
      <c r="S109" s="134"/>
      <c r="T109" s="134"/>
      <c r="U109" s="134"/>
      <c r="V109" s="134"/>
      <c r="W109" s="134"/>
      <c r="X109" s="134"/>
      <c r="Y109" s="134"/>
      <c r="Z109" s="134"/>
      <c r="AA109" s="134"/>
    </row>
    <row r="110" ht="15.75" customHeight="1">
      <c r="A110" s="135" t="s">
        <v>768</v>
      </c>
      <c r="B110" s="135" t="s">
        <v>769</v>
      </c>
      <c r="C110" s="135" t="s">
        <v>770</v>
      </c>
      <c r="D110" s="135" t="s">
        <v>486</v>
      </c>
      <c r="E110" s="135" t="s">
        <v>185</v>
      </c>
      <c r="F110" s="135" t="s">
        <v>195</v>
      </c>
      <c r="G110" s="135" t="s">
        <v>289</v>
      </c>
      <c r="H110" s="135" t="str">
        <f>IFERROR(VLOOKUP(G110,'Conformance Score'!A:B, 2, 0), "")</f>
        <v>Error Identification</v>
      </c>
      <c r="I110" s="140" t="s">
        <v>761</v>
      </c>
      <c r="J110" s="140" t="s">
        <v>762</v>
      </c>
      <c r="K110" s="134"/>
      <c r="L110" s="134"/>
      <c r="M110" s="134"/>
      <c r="N110" s="134"/>
      <c r="O110" s="134"/>
      <c r="P110" s="134"/>
      <c r="Q110" s="134"/>
      <c r="R110" s="134"/>
      <c r="S110" s="134"/>
      <c r="T110" s="134"/>
      <c r="U110" s="134"/>
      <c r="V110" s="134"/>
      <c r="W110" s="134"/>
      <c r="X110" s="134"/>
      <c r="Y110" s="134"/>
      <c r="Z110" s="134"/>
      <c r="AA110" s="134"/>
    </row>
    <row r="111" ht="15.75" customHeight="1">
      <c r="A111" s="135" t="s">
        <v>771</v>
      </c>
      <c r="B111" s="135" t="s">
        <v>772</v>
      </c>
      <c r="C111" s="135" t="s">
        <v>773</v>
      </c>
      <c r="D111" s="135" t="s">
        <v>486</v>
      </c>
      <c r="E111" s="135" t="s">
        <v>187</v>
      </c>
      <c r="F111" s="135" t="s">
        <v>195</v>
      </c>
      <c r="G111" s="135" t="s">
        <v>774</v>
      </c>
      <c r="H111" s="135" t="str">
        <f>IFERROR(VLOOKUP(G111,'Conformance Score'!A:B, 2, 0), "")</f>
        <v/>
      </c>
      <c r="I111" s="140" t="s">
        <v>775</v>
      </c>
      <c r="J111" s="140" t="s">
        <v>776</v>
      </c>
      <c r="K111" s="134"/>
      <c r="L111" s="134"/>
      <c r="M111" s="134"/>
      <c r="N111" s="134"/>
      <c r="O111" s="134"/>
      <c r="P111" s="134"/>
      <c r="Q111" s="134"/>
      <c r="R111" s="134"/>
      <c r="S111" s="134"/>
      <c r="T111" s="134"/>
      <c r="U111" s="134"/>
      <c r="V111" s="134"/>
      <c r="W111" s="134"/>
      <c r="X111" s="134"/>
      <c r="Y111" s="134"/>
      <c r="Z111" s="134"/>
      <c r="AA111" s="134"/>
    </row>
    <row r="112" ht="15.75" customHeight="1">
      <c r="A112" s="135" t="s">
        <v>777</v>
      </c>
      <c r="B112" s="135" t="s">
        <v>778</v>
      </c>
      <c r="C112" s="135" t="s">
        <v>779</v>
      </c>
      <c r="D112" s="135" t="s">
        <v>486</v>
      </c>
      <c r="E112" s="135" t="s">
        <v>187</v>
      </c>
      <c r="F112" s="135" t="s">
        <v>474</v>
      </c>
      <c r="G112" s="135" t="s">
        <v>291</v>
      </c>
      <c r="H112" s="135" t="str">
        <f>IFERROR(VLOOKUP(G112,'Conformance Score'!A:B, 2, 0), "")</f>
        <v>Labels or Instructions</v>
      </c>
      <c r="I112" s="140" t="s">
        <v>775</v>
      </c>
      <c r="J112" s="140" t="s">
        <v>776</v>
      </c>
      <c r="K112" s="134"/>
      <c r="L112" s="134"/>
      <c r="M112" s="134"/>
      <c r="N112" s="134"/>
      <c r="O112" s="134"/>
      <c r="P112" s="134"/>
      <c r="Q112" s="134"/>
      <c r="R112" s="134"/>
      <c r="S112" s="134"/>
      <c r="T112" s="134"/>
      <c r="U112" s="134"/>
      <c r="V112" s="134"/>
      <c r="W112" s="134"/>
      <c r="X112" s="134"/>
      <c r="Y112" s="134"/>
      <c r="Z112" s="134"/>
      <c r="AA112" s="134"/>
    </row>
    <row r="113" ht="15.75" customHeight="1">
      <c r="A113" s="135" t="s">
        <v>780</v>
      </c>
      <c r="B113" s="135" t="s">
        <v>781</v>
      </c>
      <c r="C113" s="135" t="s">
        <v>782</v>
      </c>
      <c r="D113" s="135" t="s">
        <v>486</v>
      </c>
      <c r="E113" s="135" t="s">
        <v>187</v>
      </c>
      <c r="F113" s="135" t="s">
        <v>195</v>
      </c>
      <c r="G113" s="135" t="s">
        <v>774</v>
      </c>
      <c r="H113" s="135" t="str">
        <f>IFERROR(VLOOKUP(G113,'Conformance Score'!A:B, 2, 0), "")</f>
        <v/>
      </c>
      <c r="I113" s="140" t="s">
        <v>775</v>
      </c>
      <c r="J113" s="140" t="s">
        <v>776</v>
      </c>
      <c r="K113" s="134"/>
      <c r="L113" s="134"/>
      <c r="M113" s="134"/>
      <c r="N113" s="134"/>
      <c r="O113" s="134"/>
      <c r="P113" s="134"/>
      <c r="Q113" s="134"/>
      <c r="R113" s="134"/>
      <c r="S113" s="134"/>
      <c r="T113" s="134"/>
      <c r="U113" s="134"/>
      <c r="V113" s="134"/>
      <c r="W113" s="134"/>
      <c r="X113" s="134"/>
      <c r="Y113" s="134"/>
      <c r="Z113" s="134"/>
      <c r="AA113" s="134"/>
    </row>
    <row r="114" ht="15.75" customHeight="1">
      <c r="A114" s="135" t="s">
        <v>783</v>
      </c>
      <c r="B114" s="135" t="s">
        <v>784</v>
      </c>
      <c r="C114" s="135" t="s">
        <v>785</v>
      </c>
      <c r="D114" s="135" t="s">
        <v>486</v>
      </c>
      <c r="E114" s="135" t="s">
        <v>188</v>
      </c>
      <c r="F114" s="135" t="s">
        <v>195</v>
      </c>
      <c r="G114" s="135" t="s">
        <v>774</v>
      </c>
      <c r="H114" s="135" t="str">
        <f>IFERROR(VLOOKUP(G114,'Conformance Score'!A:B, 2, 0), "")</f>
        <v/>
      </c>
      <c r="I114" s="140" t="s">
        <v>775</v>
      </c>
      <c r="J114" s="140" t="s">
        <v>776</v>
      </c>
      <c r="K114" s="134"/>
      <c r="L114" s="134"/>
      <c r="M114" s="134"/>
      <c r="N114" s="134"/>
      <c r="O114" s="134"/>
      <c r="P114" s="134"/>
      <c r="Q114" s="134"/>
      <c r="R114" s="134"/>
      <c r="S114" s="134"/>
      <c r="T114" s="134"/>
      <c r="U114" s="134"/>
      <c r="V114" s="134"/>
      <c r="W114" s="134"/>
      <c r="X114" s="134"/>
      <c r="Y114" s="134"/>
      <c r="Z114" s="134"/>
      <c r="AA114" s="134"/>
    </row>
    <row r="115" ht="15.75" customHeight="1">
      <c r="A115" s="135" t="s">
        <v>786</v>
      </c>
      <c r="B115" s="135" t="s">
        <v>787</v>
      </c>
      <c r="C115" s="135" t="s">
        <v>788</v>
      </c>
      <c r="D115" s="135" t="s">
        <v>616</v>
      </c>
      <c r="E115" s="135" t="s">
        <v>187</v>
      </c>
      <c r="F115" s="135" t="s">
        <v>204</v>
      </c>
      <c r="G115" s="135" t="s">
        <v>789</v>
      </c>
      <c r="H115" s="135" t="str">
        <f>IFERROR(VLOOKUP(G115,'Conformance Score'!A:B, 2, 0), "")</f>
        <v/>
      </c>
      <c r="I115" s="140" t="s">
        <v>766</v>
      </c>
      <c r="J115" s="140" t="s">
        <v>767</v>
      </c>
      <c r="K115" s="134"/>
      <c r="L115" s="134"/>
      <c r="M115" s="134"/>
      <c r="N115" s="134"/>
      <c r="O115" s="134"/>
      <c r="P115" s="134"/>
      <c r="Q115" s="134"/>
      <c r="R115" s="134"/>
      <c r="S115" s="134"/>
      <c r="T115" s="134"/>
      <c r="U115" s="134"/>
      <c r="V115" s="134"/>
      <c r="W115" s="134"/>
      <c r="X115" s="134"/>
      <c r="Y115" s="134"/>
      <c r="Z115" s="134"/>
      <c r="AA115" s="134"/>
    </row>
    <row r="116" ht="15.75" customHeight="1">
      <c r="A116" s="135" t="s">
        <v>790</v>
      </c>
      <c r="B116" s="135" t="s">
        <v>791</v>
      </c>
      <c r="C116" s="135" t="s">
        <v>792</v>
      </c>
      <c r="D116" s="135" t="s">
        <v>616</v>
      </c>
      <c r="E116" s="135" t="s">
        <v>186</v>
      </c>
      <c r="F116" s="135" t="s">
        <v>204</v>
      </c>
      <c r="G116" s="135" t="s">
        <v>295</v>
      </c>
      <c r="H116" s="135" t="str">
        <f>IFERROR(VLOOKUP(G116,'Conformance Score'!A:B, 2, 0), "")</f>
        <v>Error Prevention (Legal, Financial, Data)</v>
      </c>
      <c r="I116" s="140" t="s">
        <v>793</v>
      </c>
      <c r="J116" s="140" t="s">
        <v>794</v>
      </c>
      <c r="K116" s="134"/>
      <c r="L116" s="134"/>
      <c r="M116" s="134"/>
      <c r="N116" s="134"/>
      <c r="O116" s="134"/>
      <c r="P116" s="134"/>
      <c r="Q116" s="134"/>
      <c r="R116" s="134"/>
      <c r="S116" s="134"/>
      <c r="T116" s="134"/>
      <c r="U116" s="134"/>
      <c r="V116" s="134"/>
      <c r="W116" s="134"/>
      <c r="X116" s="134"/>
      <c r="Y116" s="134"/>
      <c r="Z116" s="134"/>
      <c r="AA116" s="134"/>
    </row>
    <row r="117" ht="15.75" customHeight="1">
      <c r="A117" s="135" t="s">
        <v>795</v>
      </c>
      <c r="B117" s="135" t="s">
        <v>796</v>
      </c>
      <c r="C117" s="135" t="s">
        <v>797</v>
      </c>
      <c r="D117" s="135" t="s">
        <v>332</v>
      </c>
      <c r="E117" s="135" t="s">
        <v>188</v>
      </c>
      <c r="F117" s="135" t="s">
        <v>195</v>
      </c>
      <c r="G117" s="135" t="s">
        <v>798</v>
      </c>
      <c r="H117" s="135" t="str">
        <f>IFERROR(VLOOKUP(G117,'Conformance Score'!A:B, 2, 0), "")</f>
        <v/>
      </c>
      <c r="I117" s="140" t="s">
        <v>799</v>
      </c>
      <c r="J117" s="140" t="s">
        <v>800</v>
      </c>
      <c r="K117" s="134"/>
      <c r="L117" s="134"/>
      <c r="M117" s="134"/>
      <c r="N117" s="134"/>
      <c r="O117" s="134"/>
      <c r="P117" s="134"/>
      <c r="Q117" s="134"/>
      <c r="R117" s="134"/>
      <c r="S117" s="134"/>
      <c r="T117" s="134"/>
      <c r="U117" s="134"/>
      <c r="V117" s="134"/>
      <c r="W117" s="134"/>
      <c r="X117" s="134"/>
      <c r="Y117" s="134"/>
      <c r="Z117" s="134"/>
      <c r="AA117" s="134"/>
    </row>
    <row r="118" ht="15.75" customHeight="1">
      <c r="A118" s="135" t="s">
        <v>801</v>
      </c>
      <c r="B118" s="135" t="s">
        <v>802</v>
      </c>
      <c r="C118" s="135" t="s">
        <v>803</v>
      </c>
      <c r="D118" s="135" t="s">
        <v>332</v>
      </c>
      <c r="E118" s="135" t="s">
        <v>187</v>
      </c>
      <c r="F118" s="135" t="s">
        <v>195</v>
      </c>
      <c r="G118" s="135" t="s">
        <v>804</v>
      </c>
      <c r="H118" s="135" t="str">
        <f>IFERROR(VLOOKUP(G118,'Conformance Score'!A:B, 2, 0), "")</f>
        <v/>
      </c>
      <c r="I118" s="142" t="s">
        <v>805</v>
      </c>
      <c r="J118" s="135" t="s">
        <v>806</v>
      </c>
      <c r="K118" s="134"/>
      <c r="L118" s="134"/>
      <c r="M118" s="134"/>
      <c r="N118" s="134"/>
      <c r="O118" s="134"/>
      <c r="P118" s="134"/>
      <c r="Q118" s="134"/>
      <c r="R118" s="134"/>
      <c r="S118" s="134"/>
      <c r="T118" s="134"/>
      <c r="U118" s="134"/>
      <c r="V118" s="134"/>
      <c r="W118" s="134"/>
      <c r="X118" s="134"/>
      <c r="Y118" s="134"/>
      <c r="Z118" s="134"/>
      <c r="AA118" s="134"/>
    </row>
    <row r="119" ht="15.75" customHeight="1">
      <c r="A119" s="135" t="s">
        <v>807</v>
      </c>
      <c r="B119" s="135" t="s">
        <v>808</v>
      </c>
      <c r="C119" s="135" t="s">
        <v>809</v>
      </c>
      <c r="D119" s="135" t="s">
        <v>332</v>
      </c>
      <c r="E119" s="135" t="s">
        <v>187</v>
      </c>
      <c r="F119" s="135" t="s">
        <v>195</v>
      </c>
      <c r="G119" s="135" t="s">
        <v>804</v>
      </c>
      <c r="H119" s="135" t="str">
        <f>IFERROR(VLOOKUP(G119,'Conformance Score'!A:B, 2, 0), "")</f>
        <v/>
      </c>
      <c r="I119" s="142" t="s">
        <v>805</v>
      </c>
      <c r="J119" s="135" t="s">
        <v>806</v>
      </c>
      <c r="K119" s="134"/>
      <c r="L119" s="134"/>
      <c r="M119" s="134"/>
      <c r="N119" s="134"/>
      <c r="O119" s="134"/>
      <c r="P119" s="134"/>
      <c r="Q119" s="134"/>
      <c r="R119" s="134"/>
      <c r="S119" s="134"/>
      <c r="T119" s="134"/>
      <c r="U119" s="134"/>
      <c r="V119" s="134"/>
      <c r="W119" s="134"/>
      <c r="X119" s="134"/>
      <c r="Y119" s="134"/>
      <c r="Z119" s="134"/>
      <c r="AA119" s="134"/>
    </row>
    <row r="120" ht="15.75" customHeight="1">
      <c r="A120" s="135" t="s">
        <v>810</v>
      </c>
      <c r="B120" s="135" t="s">
        <v>811</v>
      </c>
      <c r="C120" s="135" t="s">
        <v>812</v>
      </c>
      <c r="D120" s="135" t="s">
        <v>332</v>
      </c>
      <c r="E120" s="135" t="s">
        <v>187</v>
      </c>
      <c r="F120" s="135" t="s">
        <v>195</v>
      </c>
      <c r="G120" s="135" t="s">
        <v>804</v>
      </c>
      <c r="H120" s="135" t="str">
        <f>IFERROR(VLOOKUP(G120,'Conformance Score'!A:B, 2, 0), "")</f>
        <v/>
      </c>
      <c r="I120" s="142" t="s">
        <v>805</v>
      </c>
      <c r="J120" s="135" t="s">
        <v>806</v>
      </c>
      <c r="K120" s="134"/>
      <c r="L120" s="134"/>
      <c r="M120" s="134"/>
      <c r="N120" s="134"/>
      <c r="O120" s="134"/>
      <c r="P120" s="134"/>
      <c r="Q120" s="134"/>
      <c r="R120" s="134"/>
      <c r="S120" s="134"/>
      <c r="T120" s="134"/>
      <c r="U120" s="134"/>
      <c r="V120" s="134"/>
      <c r="W120" s="134"/>
      <c r="X120" s="134"/>
      <c r="Y120" s="134"/>
      <c r="Z120" s="134"/>
      <c r="AA120" s="134"/>
    </row>
    <row r="121" ht="15.75" customHeight="1">
      <c r="A121" s="135" t="s">
        <v>813</v>
      </c>
      <c r="B121" s="135" t="s">
        <v>814</v>
      </c>
      <c r="C121" s="135" t="s">
        <v>554</v>
      </c>
      <c r="D121" s="135" t="s">
        <v>332</v>
      </c>
      <c r="E121" s="135" t="s">
        <v>187</v>
      </c>
      <c r="F121" s="135" t="s">
        <v>195</v>
      </c>
      <c r="G121" s="135" t="s">
        <v>804</v>
      </c>
      <c r="H121" s="135" t="str">
        <f>IFERROR(VLOOKUP(G121,'Conformance Score'!A:B, 2, 0), "")</f>
        <v/>
      </c>
      <c r="I121" s="142" t="s">
        <v>805</v>
      </c>
      <c r="J121" s="135" t="s">
        <v>806</v>
      </c>
      <c r="K121" s="134"/>
      <c r="L121" s="134"/>
      <c r="M121" s="134"/>
      <c r="N121" s="134"/>
      <c r="O121" s="134"/>
      <c r="P121" s="134"/>
      <c r="Q121" s="134"/>
      <c r="R121" s="134"/>
      <c r="S121" s="134"/>
      <c r="T121" s="134"/>
      <c r="U121" s="134"/>
      <c r="V121" s="134"/>
      <c r="W121" s="134"/>
      <c r="X121" s="134"/>
      <c r="Y121" s="134"/>
      <c r="Z121" s="134"/>
      <c r="AA121" s="134"/>
    </row>
    <row r="122" ht="15.75" customHeight="1">
      <c r="A122" s="135" t="s">
        <v>815</v>
      </c>
      <c r="B122" s="135" t="s">
        <v>816</v>
      </c>
      <c r="C122" s="135" t="s">
        <v>560</v>
      </c>
      <c r="D122" s="135" t="s">
        <v>332</v>
      </c>
      <c r="E122" s="135" t="s">
        <v>187</v>
      </c>
      <c r="F122" s="135" t="s">
        <v>195</v>
      </c>
      <c r="G122" s="135" t="s">
        <v>804</v>
      </c>
      <c r="H122" s="135" t="str">
        <f>IFERROR(VLOOKUP(G122,'Conformance Score'!A:B, 2, 0), "")</f>
        <v/>
      </c>
      <c r="I122" s="142" t="s">
        <v>805</v>
      </c>
      <c r="J122" s="135" t="s">
        <v>806</v>
      </c>
      <c r="K122" s="134"/>
      <c r="L122" s="134"/>
      <c r="M122" s="134"/>
      <c r="N122" s="134"/>
      <c r="O122" s="134"/>
      <c r="P122" s="134"/>
      <c r="Q122" s="134"/>
      <c r="R122" s="134"/>
      <c r="S122" s="134"/>
      <c r="T122" s="134"/>
      <c r="U122" s="134"/>
      <c r="V122" s="134"/>
      <c r="W122" s="134"/>
      <c r="X122" s="134"/>
      <c r="Y122" s="134"/>
      <c r="Z122" s="134"/>
      <c r="AA122" s="134"/>
    </row>
    <row r="123" ht="15.75" customHeight="1">
      <c r="A123" s="135" t="s">
        <v>817</v>
      </c>
      <c r="B123" s="135" t="s">
        <v>818</v>
      </c>
      <c r="C123" s="135" t="s">
        <v>819</v>
      </c>
      <c r="D123" s="135" t="s">
        <v>332</v>
      </c>
      <c r="E123" s="135" t="s">
        <v>187</v>
      </c>
      <c r="F123" s="135" t="s">
        <v>195</v>
      </c>
      <c r="G123" s="135" t="s">
        <v>804</v>
      </c>
      <c r="H123" s="135" t="str">
        <f>IFERROR(VLOOKUP(G123,'Conformance Score'!A:B, 2, 0), "")</f>
        <v/>
      </c>
      <c r="I123" s="142" t="s">
        <v>805</v>
      </c>
      <c r="J123" s="135" t="s">
        <v>806</v>
      </c>
      <c r="K123" s="134"/>
      <c r="L123" s="134"/>
      <c r="M123" s="134"/>
      <c r="N123" s="134"/>
      <c r="O123" s="134"/>
      <c r="P123" s="134"/>
      <c r="Q123" s="134"/>
      <c r="R123" s="134"/>
      <c r="S123" s="134"/>
      <c r="T123" s="134"/>
      <c r="U123" s="134"/>
      <c r="V123" s="134"/>
      <c r="W123" s="134"/>
      <c r="X123" s="134"/>
      <c r="Y123" s="134"/>
      <c r="Z123" s="134"/>
      <c r="AA123" s="134"/>
    </row>
    <row r="124" ht="15.75" customHeight="1">
      <c r="A124" s="135" t="s">
        <v>820</v>
      </c>
      <c r="B124" s="135" t="s">
        <v>821</v>
      </c>
      <c r="C124" s="135" t="s">
        <v>563</v>
      </c>
      <c r="D124" s="135" t="s">
        <v>332</v>
      </c>
      <c r="E124" s="135" t="s">
        <v>187</v>
      </c>
      <c r="F124" s="135" t="s">
        <v>195</v>
      </c>
      <c r="G124" s="135" t="s">
        <v>804</v>
      </c>
      <c r="H124" s="135" t="str">
        <f>IFERROR(VLOOKUP(G124,'Conformance Score'!A:B, 2, 0), "")</f>
        <v/>
      </c>
      <c r="I124" s="142" t="s">
        <v>805</v>
      </c>
      <c r="J124" s="135" t="s">
        <v>806</v>
      </c>
      <c r="K124" s="134"/>
      <c r="L124" s="134"/>
      <c r="M124" s="134"/>
      <c r="N124" s="134"/>
      <c r="O124" s="134"/>
      <c r="P124" s="134"/>
      <c r="Q124" s="134"/>
      <c r="R124" s="134"/>
      <c r="S124" s="134"/>
      <c r="T124" s="134"/>
      <c r="U124" s="134"/>
      <c r="V124" s="134"/>
      <c r="W124" s="134"/>
      <c r="X124" s="134"/>
      <c r="Y124" s="134"/>
      <c r="Z124" s="134"/>
      <c r="AA124" s="134"/>
    </row>
    <row r="125" ht="15.75" customHeight="1">
      <c r="A125" s="135" t="s">
        <v>822</v>
      </c>
      <c r="B125" s="135" t="s">
        <v>823</v>
      </c>
      <c r="C125" s="135" t="s">
        <v>824</v>
      </c>
      <c r="D125" s="135" t="s">
        <v>332</v>
      </c>
      <c r="E125" s="135" t="s">
        <v>187</v>
      </c>
      <c r="F125" s="135" t="s">
        <v>195</v>
      </c>
      <c r="G125" s="135" t="s">
        <v>804</v>
      </c>
      <c r="H125" s="135" t="str">
        <f>IFERROR(VLOOKUP(G125,'Conformance Score'!A:B, 2, 0), "")</f>
        <v/>
      </c>
      <c r="I125" s="142" t="s">
        <v>805</v>
      </c>
      <c r="J125" s="135" t="s">
        <v>806</v>
      </c>
      <c r="K125" s="134"/>
      <c r="L125" s="134"/>
      <c r="M125" s="134"/>
      <c r="N125" s="134"/>
      <c r="O125" s="134"/>
      <c r="P125" s="134"/>
      <c r="Q125" s="134"/>
      <c r="R125" s="134"/>
      <c r="S125" s="134"/>
      <c r="T125" s="134"/>
      <c r="U125" s="134"/>
      <c r="V125" s="134"/>
      <c r="W125" s="134"/>
      <c r="X125" s="134"/>
      <c r="Y125" s="134"/>
      <c r="Z125" s="134"/>
      <c r="AA125" s="134"/>
    </row>
    <row r="126" ht="89.25" customHeight="1">
      <c r="A126" s="135" t="s">
        <v>825</v>
      </c>
      <c r="B126" s="135" t="s">
        <v>826</v>
      </c>
      <c r="C126" s="135" t="s">
        <v>827</v>
      </c>
      <c r="D126" s="135" t="s">
        <v>332</v>
      </c>
      <c r="E126" s="135" t="s">
        <v>187</v>
      </c>
      <c r="F126" s="135" t="s">
        <v>195</v>
      </c>
      <c r="G126" s="135" t="s">
        <v>804</v>
      </c>
      <c r="H126" s="135" t="str">
        <f>IFERROR(VLOOKUP(G126,'Conformance Score'!A:B, 2, 0), "")</f>
        <v/>
      </c>
      <c r="I126" s="142" t="s">
        <v>805</v>
      </c>
      <c r="J126" s="135" t="s">
        <v>806</v>
      </c>
      <c r="K126" s="134"/>
      <c r="L126" s="134"/>
      <c r="M126" s="134"/>
      <c r="N126" s="134"/>
      <c r="O126" s="134"/>
      <c r="P126" s="134"/>
      <c r="Q126" s="134"/>
      <c r="R126" s="134"/>
      <c r="S126" s="134"/>
      <c r="T126" s="134"/>
      <c r="U126" s="134"/>
      <c r="V126" s="134"/>
      <c r="W126" s="134"/>
      <c r="X126" s="134"/>
      <c r="Y126" s="134"/>
      <c r="Z126" s="134"/>
      <c r="AA126" s="134"/>
    </row>
    <row r="127" ht="15.75" customHeight="1">
      <c r="A127" s="135" t="s">
        <v>828</v>
      </c>
      <c r="B127" s="135" t="s">
        <v>829</v>
      </c>
      <c r="C127" s="135" t="s">
        <v>830</v>
      </c>
      <c r="D127" s="135" t="s">
        <v>332</v>
      </c>
      <c r="E127" s="135" t="s">
        <v>187</v>
      </c>
      <c r="F127" s="135" t="s">
        <v>195</v>
      </c>
      <c r="G127" s="135" t="s">
        <v>804</v>
      </c>
      <c r="H127" s="135" t="str">
        <f>IFERROR(VLOOKUP(G127,'Conformance Score'!A:B, 2, 0), "")</f>
        <v/>
      </c>
      <c r="I127" s="142" t="s">
        <v>805</v>
      </c>
      <c r="J127" s="135" t="s">
        <v>806</v>
      </c>
      <c r="K127" s="134"/>
      <c r="L127" s="134"/>
      <c r="M127" s="134"/>
      <c r="N127" s="134"/>
      <c r="O127" s="134"/>
      <c r="P127" s="134"/>
      <c r="Q127" s="134"/>
      <c r="R127" s="134"/>
      <c r="S127" s="134"/>
      <c r="T127" s="134"/>
      <c r="U127" s="134"/>
      <c r="V127" s="134"/>
      <c r="W127" s="134"/>
      <c r="X127" s="134"/>
      <c r="Y127" s="134"/>
      <c r="Z127" s="134"/>
      <c r="AA127" s="134"/>
    </row>
    <row r="128" ht="15.75" customHeight="1">
      <c r="A128" s="135" t="s">
        <v>831</v>
      </c>
      <c r="B128" s="135" t="s">
        <v>832</v>
      </c>
      <c r="C128" s="135" t="s">
        <v>833</v>
      </c>
      <c r="D128" s="135" t="s">
        <v>332</v>
      </c>
      <c r="E128" s="135" t="s">
        <v>187</v>
      </c>
      <c r="F128" s="135" t="s">
        <v>195</v>
      </c>
      <c r="G128" s="135" t="s">
        <v>804</v>
      </c>
      <c r="H128" s="135" t="str">
        <f>IFERROR(VLOOKUP(G128,'Conformance Score'!A:B, 2, 0), "")</f>
        <v/>
      </c>
      <c r="I128" s="142" t="s">
        <v>805</v>
      </c>
      <c r="J128" s="135" t="s">
        <v>806</v>
      </c>
      <c r="K128" s="134"/>
      <c r="L128" s="134"/>
      <c r="M128" s="134"/>
      <c r="N128" s="134"/>
      <c r="O128" s="134"/>
      <c r="P128" s="134"/>
      <c r="Q128" s="134"/>
      <c r="R128" s="134"/>
      <c r="S128" s="134"/>
      <c r="T128" s="134"/>
      <c r="U128" s="134"/>
      <c r="V128" s="134"/>
      <c r="W128" s="134"/>
      <c r="X128" s="134"/>
      <c r="Y128" s="134"/>
      <c r="Z128" s="134"/>
      <c r="AA128" s="134"/>
    </row>
    <row r="129" ht="15.75" customHeight="1">
      <c r="A129" s="135" t="s">
        <v>834</v>
      </c>
      <c r="B129" s="135" t="s">
        <v>835</v>
      </c>
      <c r="C129" s="135" t="s">
        <v>836</v>
      </c>
      <c r="D129" s="135" t="s">
        <v>332</v>
      </c>
      <c r="E129" s="135" t="s">
        <v>187</v>
      </c>
      <c r="F129" s="135" t="s">
        <v>195</v>
      </c>
      <c r="G129" s="135" t="s">
        <v>804</v>
      </c>
      <c r="H129" s="135" t="str">
        <f>IFERROR(VLOOKUP(G129,'Conformance Score'!A:B, 2, 0), "")</f>
        <v/>
      </c>
      <c r="I129" s="142" t="s">
        <v>805</v>
      </c>
      <c r="J129" s="135" t="s">
        <v>806</v>
      </c>
      <c r="K129" s="134"/>
      <c r="L129" s="134"/>
      <c r="M129" s="134"/>
      <c r="N129" s="134"/>
      <c r="O129" s="134"/>
      <c r="P129" s="134"/>
      <c r="Q129" s="134"/>
      <c r="R129" s="134"/>
      <c r="S129" s="134"/>
      <c r="T129" s="134"/>
      <c r="U129" s="134"/>
      <c r="V129" s="134"/>
      <c r="W129" s="134"/>
      <c r="X129" s="134"/>
      <c r="Y129" s="134"/>
      <c r="Z129" s="134"/>
      <c r="AA129" s="134"/>
    </row>
    <row r="130" ht="15.75" customHeight="1">
      <c r="A130" s="135" t="s">
        <v>837</v>
      </c>
      <c r="B130" s="135" t="s">
        <v>838</v>
      </c>
      <c r="C130" s="135" t="s">
        <v>839</v>
      </c>
      <c r="D130" s="135" t="s">
        <v>332</v>
      </c>
      <c r="E130" s="135" t="s">
        <v>187</v>
      </c>
      <c r="F130" s="135" t="s">
        <v>195</v>
      </c>
      <c r="G130" s="135" t="s">
        <v>804</v>
      </c>
      <c r="H130" s="135" t="str">
        <f>IFERROR(VLOOKUP(G130,'Conformance Score'!A:B, 2, 0), "")</f>
        <v/>
      </c>
      <c r="I130" s="142" t="s">
        <v>805</v>
      </c>
      <c r="J130" s="135" t="s">
        <v>806</v>
      </c>
      <c r="K130" s="134"/>
      <c r="L130" s="134"/>
      <c r="M130" s="134"/>
      <c r="N130" s="134"/>
      <c r="O130" s="134"/>
      <c r="P130" s="134"/>
      <c r="Q130" s="134"/>
      <c r="R130" s="134"/>
      <c r="S130" s="134"/>
      <c r="T130" s="134"/>
      <c r="U130" s="134"/>
      <c r="V130" s="134"/>
      <c r="W130" s="134"/>
      <c r="X130" s="134"/>
      <c r="Y130" s="134"/>
      <c r="Z130" s="134"/>
      <c r="AA130" s="134"/>
    </row>
    <row r="131" ht="15.75" customHeight="1">
      <c r="A131" s="135" t="s">
        <v>840</v>
      </c>
      <c r="B131" s="135" t="s">
        <v>841</v>
      </c>
      <c r="C131" s="135" t="s">
        <v>842</v>
      </c>
      <c r="D131" s="135" t="s">
        <v>332</v>
      </c>
      <c r="E131" s="135" t="s">
        <v>187</v>
      </c>
      <c r="F131" s="135" t="s">
        <v>195</v>
      </c>
      <c r="G131" s="135" t="s">
        <v>804</v>
      </c>
      <c r="H131" s="135" t="str">
        <f>IFERROR(VLOOKUP(G131,'Conformance Score'!A:B, 2, 0), "")</f>
        <v/>
      </c>
      <c r="I131" s="142" t="s">
        <v>805</v>
      </c>
      <c r="J131" s="135" t="s">
        <v>806</v>
      </c>
      <c r="K131" s="134"/>
      <c r="L131" s="134"/>
      <c r="M131" s="134"/>
      <c r="N131" s="134"/>
      <c r="O131" s="134"/>
      <c r="P131" s="134"/>
      <c r="Q131" s="134"/>
      <c r="R131" s="134"/>
      <c r="S131" s="134"/>
      <c r="T131" s="134"/>
      <c r="U131" s="134"/>
      <c r="V131" s="134"/>
      <c r="W131" s="134"/>
      <c r="X131" s="134"/>
      <c r="Y131" s="134"/>
      <c r="Z131" s="134"/>
      <c r="AA131" s="134"/>
    </row>
    <row r="132" ht="15.75" customHeight="1">
      <c r="A132" s="135" t="s">
        <v>843</v>
      </c>
      <c r="B132" s="135" t="s">
        <v>844</v>
      </c>
      <c r="C132" s="135" t="s">
        <v>845</v>
      </c>
      <c r="D132" s="135" t="s">
        <v>332</v>
      </c>
      <c r="E132" s="135" t="s">
        <v>187</v>
      </c>
      <c r="F132" s="135" t="s">
        <v>195</v>
      </c>
      <c r="G132" s="135" t="s">
        <v>804</v>
      </c>
      <c r="H132" s="135" t="str">
        <f>IFERROR(VLOOKUP(G132,'Conformance Score'!A:B, 2, 0), "")</f>
        <v/>
      </c>
      <c r="I132" s="142" t="s">
        <v>805</v>
      </c>
      <c r="J132" s="135" t="s">
        <v>806</v>
      </c>
      <c r="K132" s="134"/>
      <c r="L132" s="134"/>
      <c r="M132" s="134"/>
      <c r="N132" s="134"/>
      <c r="O132" s="134"/>
      <c r="P132" s="134"/>
      <c r="Q132" s="134"/>
      <c r="R132" s="134"/>
      <c r="S132" s="134"/>
      <c r="T132" s="134"/>
      <c r="U132" s="134"/>
      <c r="V132" s="134"/>
      <c r="W132" s="134"/>
      <c r="X132" s="134"/>
      <c r="Y132" s="134"/>
      <c r="Z132" s="134"/>
      <c r="AA132" s="134"/>
    </row>
    <row r="133" ht="15.75" customHeight="1">
      <c r="A133" s="135" t="s">
        <v>846</v>
      </c>
      <c r="B133" s="135" t="s">
        <v>847</v>
      </c>
      <c r="C133" s="135" t="s">
        <v>848</v>
      </c>
      <c r="D133" s="135" t="s">
        <v>332</v>
      </c>
      <c r="E133" s="135" t="s">
        <v>187</v>
      </c>
      <c r="F133" s="135" t="s">
        <v>195</v>
      </c>
      <c r="G133" s="135" t="s">
        <v>804</v>
      </c>
      <c r="H133" s="135" t="str">
        <f>IFERROR(VLOOKUP(G133,'Conformance Score'!A:B, 2, 0), "")</f>
        <v/>
      </c>
      <c r="I133" s="142" t="s">
        <v>805</v>
      </c>
      <c r="J133" s="135" t="s">
        <v>806</v>
      </c>
      <c r="K133" s="134"/>
      <c r="L133" s="134"/>
      <c r="M133" s="134"/>
      <c r="N133" s="134"/>
      <c r="O133" s="134"/>
      <c r="P133" s="134"/>
      <c r="Q133" s="134"/>
      <c r="R133" s="134"/>
      <c r="S133" s="134"/>
      <c r="T133" s="134"/>
      <c r="U133" s="134"/>
      <c r="V133" s="134"/>
      <c r="W133" s="134"/>
      <c r="X133" s="134"/>
      <c r="Y133" s="134"/>
      <c r="Z133" s="134"/>
      <c r="AA133" s="134"/>
    </row>
    <row r="134" ht="15.75" customHeight="1">
      <c r="A134" s="135" t="s">
        <v>849</v>
      </c>
      <c r="B134" s="135" t="s">
        <v>850</v>
      </c>
      <c r="C134" s="135" t="s">
        <v>851</v>
      </c>
      <c r="D134" s="135" t="s">
        <v>332</v>
      </c>
      <c r="E134" s="135" t="s">
        <v>187</v>
      </c>
      <c r="F134" s="135" t="s">
        <v>195</v>
      </c>
      <c r="G134" s="135" t="s">
        <v>804</v>
      </c>
      <c r="H134" s="135" t="str">
        <f>IFERROR(VLOOKUP(G134,'Conformance Score'!A:B, 2, 0), "")</f>
        <v/>
      </c>
      <c r="I134" s="142" t="s">
        <v>805</v>
      </c>
      <c r="J134" s="135" t="s">
        <v>806</v>
      </c>
      <c r="K134" s="134"/>
      <c r="L134" s="134"/>
      <c r="M134" s="134"/>
      <c r="N134" s="134"/>
      <c r="O134" s="134"/>
      <c r="P134" s="134"/>
      <c r="Q134" s="134"/>
      <c r="R134" s="134"/>
      <c r="S134" s="134"/>
      <c r="T134" s="134"/>
      <c r="U134" s="134"/>
      <c r="V134" s="134"/>
      <c r="W134" s="134"/>
      <c r="X134" s="134"/>
      <c r="Y134" s="134"/>
      <c r="Z134" s="134"/>
      <c r="AA134" s="134"/>
    </row>
    <row r="135" ht="15.75" customHeight="1">
      <c r="A135" s="135" t="s">
        <v>852</v>
      </c>
      <c r="B135" s="135" t="s">
        <v>853</v>
      </c>
      <c r="C135" s="135" t="s">
        <v>854</v>
      </c>
      <c r="D135" s="135" t="s">
        <v>332</v>
      </c>
      <c r="E135" s="135" t="s">
        <v>187</v>
      </c>
      <c r="F135" s="135" t="s">
        <v>195</v>
      </c>
      <c r="G135" s="135" t="s">
        <v>804</v>
      </c>
      <c r="H135" s="135" t="str">
        <f>IFERROR(VLOOKUP(G135,'Conformance Score'!A:B, 2, 0), "")</f>
        <v/>
      </c>
      <c r="I135" s="142" t="s">
        <v>805</v>
      </c>
      <c r="J135" s="135" t="s">
        <v>806</v>
      </c>
      <c r="K135" s="134"/>
      <c r="L135" s="134"/>
      <c r="M135" s="134"/>
      <c r="N135" s="134"/>
      <c r="O135" s="134"/>
      <c r="P135" s="134"/>
      <c r="Q135" s="134"/>
      <c r="R135" s="134"/>
      <c r="S135" s="134"/>
      <c r="T135" s="134"/>
      <c r="U135" s="134"/>
      <c r="V135" s="134"/>
      <c r="W135" s="134"/>
      <c r="X135" s="134"/>
      <c r="Y135" s="134"/>
      <c r="Z135" s="134"/>
      <c r="AA135" s="134"/>
    </row>
    <row r="136" ht="188.25" customHeight="1">
      <c r="A136" s="135" t="s">
        <v>855</v>
      </c>
      <c r="B136" s="135" t="s">
        <v>856</v>
      </c>
      <c r="C136" s="135" t="s">
        <v>857</v>
      </c>
      <c r="D136" s="135" t="s">
        <v>332</v>
      </c>
      <c r="E136" s="135" t="s">
        <v>187</v>
      </c>
      <c r="F136" s="135" t="s">
        <v>195</v>
      </c>
      <c r="G136" s="135" t="s">
        <v>804</v>
      </c>
      <c r="H136" s="135" t="str">
        <f>IFERROR(VLOOKUP(G136,'Conformance Score'!A:B, 2, 0), "")</f>
        <v/>
      </c>
      <c r="I136" s="142" t="s">
        <v>805</v>
      </c>
      <c r="J136" s="135" t="s">
        <v>806</v>
      </c>
      <c r="K136" s="134"/>
      <c r="L136" s="134"/>
      <c r="M136" s="134"/>
      <c r="N136" s="134"/>
      <c r="O136" s="134"/>
      <c r="P136" s="134"/>
      <c r="Q136" s="134"/>
      <c r="R136" s="134"/>
      <c r="S136" s="134"/>
      <c r="T136" s="134"/>
      <c r="U136" s="134"/>
      <c r="V136" s="134"/>
      <c r="W136" s="134"/>
      <c r="X136" s="134"/>
      <c r="Y136" s="134"/>
      <c r="Z136" s="134"/>
      <c r="AA136" s="134"/>
    </row>
    <row r="137" ht="101.25" customHeight="1">
      <c r="A137" s="135" t="s">
        <v>858</v>
      </c>
      <c r="B137" s="135" t="s">
        <v>859</v>
      </c>
      <c r="C137" s="135" t="s">
        <v>860</v>
      </c>
      <c r="D137" s="135" t="s">
        <v>332</v>
      </c>
      <c r="E137" s="135" t="s">
        <v>187</v>
      </c>
      <c r="F137" s="135" t="s">
        <v>195</v>
      </c>
      <c r="G137" s="135" t="s">
        <v>804</v>
      </c>
      <c r="H137" s="135" t="str">
        <f>IFERROR(VLOOKUP(G137,'Conformance Score'!A:B, 2, 0), "")</f>
        <v/>
      </c>
      <c r="I137" s="142" t="s">
        <v>805</v>
      </c>
      <c r="J137" s="135" t="s">
        <v>806</v>
      </c>
      <c r="K137" s="134"/>
      <c r="L137" s="134"/>
      <c r="M137" s="134"/>
      <c r="N137" s="134"/>
      <c r="O137" s="134"/>
      <c r="P137" s="134"/>
      <c r="Q137" s="134"/>
      <c r="R137" s="134"/>
      <c r="S137" s="134"/>
      <c r="T137" s="134"/>
      <c r="U137" s="134"/>
      <c r="V137" s="134"/>
      <c r="W137" s="134"/>
      <c r="X137" s="134"/>
      <c r="Y137" s="134"/>
      <c r="Z137" s="134"/>
      <c r="AA137" s="134"/>
    </row>
    <row r="138" ht="99.75" customHeight="1">
      <c r="A138" s="135" t="s">
        <v>861</v>
      </c>
      <c r="B138" s="135" t="s">
        <v>862</v>
      </c>
      <c r="C138" s="135" t="s">
        <v>863</v>
      </c>
      <c r="D138" s="135" t="s">
        <v>332</v>
      </c>
      <c r="E138" s="135" t="s">
        <v>187</v>
      </c>
      <c r="F138" s="135" t="s">
        <v>195</v>
      </c>
      <c r="G138" s="135" t="s">
        <v>804</v>
      </c>
      <c r="H138" s="135" t="str">
        <f>IFERROR(VLOOKUP(G138,'Conformance Score'!A:B, 2, 0), "")</f>
        <v/>
      </c>
      <c r="I138" s="142" t="s">
        <v>805</v>
      </c>
      <c r="J138" s="135" t="s">
        <v>806</v>
      </c>
      <c r="K138" s="134"/>
      <c r="L138" s="134"/>
      <c r="M138" s="134"/>
      <c r="N138" s="134"/>
      <c r="O138" s="134"/>
      <c r="P138" s="134"/>
      <c r="Q138" s="134"/>
      <c r="R138" s="134"/>
      <c r="S138" s="134"/>
      <c r="T138" s="134"/>
      <c r="U138" s="134"/>
      <c r="V138" s="134"/>
      <c r="W138" s="134"/>
      <c r="X138" s="134"/>
      <c r="Y138" s="134"/>
      <c r="Z138" s="134"/>
      <c r="AA138" s="134"/>
    </row>
    <row r="139" ht="83.25" customHeight="1">
      <c r="A139" s="135" t="s">
        <v>864</v>
      </c>
      <c r="B139" s="135" t="s">
        <v>865</v>
      </c>
      <c r="C139" s="135" t="s">
        <v>866</v>
      </c>
      <c r="D139" s="135" t="s">
        <v>332</v>
      </c>
      <c r="E139" s="135" t="s">
        <v>187</v>
      </c>
      <c r="F139" s="135" t="s">
        <v>195</v>
      </c>
      <c r="G139" s="135" t="s">
        <v>804</v>
      </c>
      <c r="H139" s="135" t="str">
        <f>IFERROR(VLOOKUP(G139,'Conformance Score'!A:B, 2, 0), "")</f>
        <v/>
      </c>
      <c r="I139" s="142" t="s">
        <v>805</v>
      </c>
      <c r="J139" s="135" t="s">
        <v>806</v>
      </c>
      <c r="K139" s="134"/>
      <c r="L139" s="134"/>
      <c r="M139" s="134"/>
      <c r="N139" s="134"/>
      <c r="O139" s="134"/>
      <c r="P139" s="134"/>
      <c r="Q139" s="134"/>
      <c r="R139" s="134"/>
      <c r="S139" s="134"/>
      <c r="T139" s="134"/>
      <c r="U139" s="134"/>
      <c r="V139" s="134"/>
      <c r="W139" s="134"/>
      <c r="X139" s="134"/>
      <c r="Y139" s="134"/>
      <c r="Z139" s="134"/>
      <c r="AA139" s="134"/>
    </row>
    <row r="140" ht="72.75" customHeight="1">
      <c r="A140" s="135" t="s">
        <v>867</v>
      </c>
      <c r="B140" s="135" t="s">
        <v>868</v>
      </c>
      <c r="C140" s="135" t="s">
        <v>869</v>
      </c>
      <c r="D140" s="135" t="s">
        <v>332</v>
      </c>
      <c r="E140" s="135" t="s">
        <v>187</v>
      </c>
      <c r="F140" s="135" t="s">
        <v>195</v>
      </c>
      <c r="G140" s="135" t="s">
        <v>804</v>
      </c>
      <c r="H140" s="135" t="str">
        <f>IFERROR(VLOOKUP(G140,'Conformance Score'!A:B, 2, 0), "")</f>
        <v/>
      </c>
      <c r="I140" s="142" t="s">
        <v>805</v>
      </c>
      <c r="J140" s="135" t="s">
        <v>806</v>
      </c>
      <c r="K140" s="134"/>
      <c r="L140" s="134"/>
      <c r="M140" s="134"/>
      <c r="N140" s="134"/>
      <c r="O140" s="134"/>
      <c r="P140" s="134"/>
      <c r="Q140" s="134"/>
      <c r="R140" s="134"/>
      <c r="S140" s="134"/>
      <c r="T140" s="134"/>
      <c r="U140" s="134"/>
      <c r="V140" s="134"/>
      <c r="W140" s="134"/>
      <c r="X140" s="134"/>
      <c r="Y140" s="134"/>
      <c r="Z140" s="134"/>
      <c r="AA140" s="134"/>
    </row>
    <row r="141" ht="108.75" customHeight="1">
      <c r="A141" s="135" t="s">
        <v>870</v>
      </c>
      <c r="B141" s="136" t="s">
        <v>871</v>
      </c>
      <c r="C141" s="135" t="s">
        <v>872</v>
      </c>
      <c r="D141" s="135" t="s">
        <v>332</v>
      </c>
      <c r="E141" s="135" t="s">
        <v>187</v>
      </c>
      <c r="F141" s="135" t="s">
        <v>195</v>
      </c>
      <c r="G141" s="135" t="s">
        <v>804</v>
      </c>
      <c r="H141" s="135" t="str">
        <f>IFERROR(VLOOKUP(G141,'Conformance Score'!A:B, 2, 0), "")</f>
        <v/>
      </c>
      <c r="I141" s="142" t="s">
        <v>805</v>
      </c>
      <c r="J141" s="135" t="s">
        <v>806</v>
      </c>
      <c r="K141" s="134"/>
      <c r="L141" s="134"/>
      <c r="M141" s="134"/>
      <c r="N141" s="134"/>
      <c r="O141" s="134"/>
      <c r="P141" s="134"/>
      <c r="Q141" s="134"/>
      <c r="R141" s="134"/>
      <c r="S141" s="134"/>
      <c r="T141" s="134"/>
      <c r="U141" s="134"/>
      <c r="V141" s="134"/>
      <c r="W141" s="134"/>
      <c r="X141" s="134"/>
      <c r="Y141" s="134"/>
      <c r="Z141" s="134"/>
      <c r="AA141" s="134"/>
    </row>
    <row r="142" ht="112.5" customHeight="1">
      <c r="A142" s="135" t="s">
        <v>873</v>
      </c>
      <c r="B142" s="135" t="s">
        <v>874</v>
      </c>
      <c r="C142" s="135" t="s">
        <v>875</v>
      </c>
      <c r="D142" s="135" t="s">
        <v>332</v>
      </c>
      <c r="E142" s="135" t="s">
        <v>187</v>
      </c>
      <c r="F142" s="135" t="s">
        <v>195</v>
      </c>
      <c r="G142" s="135" t="s">
        <v>804</v>
      </c>
      <c r="H142" s="135" t="str">
        <f>IFERROR(VLOOKUP(G142,'Conformance Score'!A:B, 2, 0), "")</f>
        <v/>
      </c>
      <c r="I142" s="142" t="s">
        <v>805</v>
      </c>
      <c r="J142" s="135" t="s">
        <v>806</v>
      </c>
      <c r="K142" s="134"/>
      <c r="L142" s="134"/>
      <c r="M142" s="134"/>
      <c r="N142" s="134"/>
      <c r="O142" s="134"/>
      <c r="P142" s="134"/>
      <c r="Q142" s="134"/>
      <c r="R142" s="134"/>
      <c r="S142" s="134"/>
      <c r="T142" s="134"/>
      <c r="U142" s="134"/>
      <c r="V142" s="134"/>
      <c r="W142" s="134"/>
      <c r="X142" s="134"/>
      <c r="Y142" s="134"/>
      <c r="Z142" s="134"/>
      <c r="AA142" s="134"/>
    </row>
    <row r="143" ht="122.25" customHeight="1">
      <c r="A143" s="135" t="s">
        <v>876</v>
      </c>
      <c r="B143" s="135" t="s">
        <v>877</v>
      </c>
      <c r="C143" s="135" t="s">
        <v>878</v>
      </c>
      <c r="D143" s="135" t="s">
        <v>332</v>
      </c>
      <c r="E143" s="135" t="s">
        <v>187</v>
      </c>
      <c r="F143" s="135" t="s">
        <v>204</v>
      </c>
      <c r="G143" s="135" t="s">
        <v>879</v>
      </c>
      <c r="H143" s="135" t="str">
        <f>IFERROR(VLOOKUP(G143,'Conformance Score'!A:B, 2, 0), "")</f>
        <v/>
      </c>
      <c r="I143" s="140" t="s">
        <v>880</v>
      </c>
      <c r="J143" s="140" t="s">
        <v>881</v>
      </c>
      <c r="K143" s="134"/>
      <c r="L143" s="134"/>
      <c r="M143" s="134"/>
      <c r="N143" s="134"/>
      <c r="O143" s="134"/>
      <c r="P143" s="134"/>
      <c r="Q143" s="134"/>
      <c r="R143" s="134"/>
      <c r="S143" s="134"/>
      <c r="T143" s="134"/>
      <c r="U143" s="134"/>
      <c r="V143" s="134"/>
      <c r="W143" s="134"/>
      <c r="X143" s="134"/>
      <c r="Y143" s="134"/>
      <c r="Z143" s="134"/>
      <c r="AA143" s="134"/>
    </row>
    <row r="144" ht="126.0" customHeight="1">
      <c r="A144" s="135" t="s">
        <v>882</v>
      </c>
      <c r="B144" s="135" t="s">
        <v>883</v>
      </c>
      <c r="C144" s="135" t="s">
        <v>884</v>
      </c>
      <c r="D144" s="135" t="s">
        <v>332</v>
      </c>
      <c r="E144" s="135" t="s">
        <v>187</v>
      </c>
      <c r="F144" s="135" t="s">
        <v>204</v>
      </c>
      <c r="G144" s="135" t="s">
        <v>879</v>
      </c>
      <c r="H144" s="135" t="str">
        <f>IFERROR(VLOOKUP(G144,'Conformance Score'!A:B, 2, 0), "")</f>
        <v/>
      </c>
      <c r="I144" s="140" t="s">
        <v>880</v>
      </c>
      <c r="J144" s="140" t="s">
        <v>881</v>
      </c>
      <c r="K144" s="134"/>
      <c r="L144" s="134"/>
      <c r="M144" s="134"/>
      <c r="N144" s="134"/>
      <c r="O144" s="134"/>
      <c r="P144" s="134"/>
      <c r="Q144" s="134"/>
      <c r="R144" s="134"/>
      <c r="S144" s="134"/>
      <c r="T144" s="134"/>
      <c r="U144" s="134"/>
      <c r="V144" s="134"/>
      <c r="W144" s="134"/>
      <c r="X144" s="134"/>
      <c r="Y144" s="134"/>
      <c r="Z144" s="134"/>
      <c r="AA144" s="134"/>
    </row>
    <row r="145" ht="15.75" customHeight="1">
      <c r="A145" s="135" t="s">
        <v>885</v>
      </c>
      <c r="B145" s="135" t="s">
        <v>886</v>
      </c>
      <c r="C145" s="135" t="s">
        <v>887</v>
      </c>
      <c r="D145" s="135" t="s">
        <v>332</v>
      </c>
      <c r="E145" s="135" t="s">
        <v>187</v>
      </c>
      <c r="F145" s="135" t="s">
        <v>204</v>
      </c>
      <c r="G145" s="135" t="s">
        <v>879</v>
      </c>
      <c r="H145" s="135" t="str">
        <f>IFERROR(VLOOKUP(G145,'Conformance Score'!A:B, 2, 0), "")</f>
        <v/>
      </c>
      <c r="I145" s="140" t="s">
        <v>880</v>
      </c>
      <c r="J145" s="140" t="s">
        <v>881</v>
      </c>
      <c r="K145" s="134"/>
      <c r="L145" s="134"/>
      <c r="M145" s="134"/>
      <c r="N145" s="134"/>
      <c r="O145" s="134"/>
      <c r="P145" s="134"/>
      <c r="Q145" s="134"/>
      <c r="R145" s="134"/>
      <c r="S145" s="134"/>
      <c r="T145" s="134"/>
      <c r="U145" s="134"/>
      <c r="V145" s="134"/>
      <c r="W145" s="134"/>
      <c r="X145" s="134"/>
      <c r="Y145" s="134"/>
      <c r="Z145" s="134"/>
      <c r="AA145" s="134"/>
    </row>
    <row r="146" ht="163.5" customHeight="1">
      <c r="A146" s="135" t="s">
        <v>888</v>
      </c>
      <c r="B146" s="135" t="s">
        <v>889</v>
      </c>
      <c r="C146" s="135" t="s">
        <v>890</v>
      </c>
      <c r="D146" s="135" t="s">
        <v>332</v>
      </c>
      <c r="E146" s="135" t="s">
        <v>187</v>
      </c>
      <c r="F146" s="135" t="s">
        <v>204</v>
      </c>
      <c r="G146" s="135" t="s">
        <v>879</v>
      </c>
      <c r="H146" s="135" t="str">
        <f>IFERROR(VLOOKUP(G146,'Conformance Score'!A:B, 2, 0), "")</f>
        <v/>
      </c>
      <c r="I146" s="140" t="s">
        <v>880</v>
      </c>
      <c r="J146" s="140" t="s">
        <v>881</v>
      </c>
      <c r="K146" s="134"/>
      <c r="L146" s="134"/>
      <c r="M146" s="134"/>
      <c r="N146" s="134"/>
      <c r="O146" s="134"/>
      <c r="P146" s="134"/>
      <c r="Q146" s="134"/>
      <c r="R146" s="134"/>
      <c r="S146" s="134"/>
      <c r="T146" s="134"/>
      <c r="U146" s="134"/>
      <c r="V146" s="134"/>
      <c r="W146" s="134"/>
      <c r="X146" s="134"/>
      <c r="Y146" s="134"/>
      <c r="Z146" s="134"/>
      <c r="AA146" s="134"/>
    </row>
    <row r="147" ht="15.75" customHeight="1">
      <c r="A147" s="135" t="s">
        <v>891</v>
      </c>
      <c r="B147" s="135" t="s">
        <v>892</v>
      </c>
      <c r="C147" s="135" t="s">
        <v>893</v>
      </c>
      <c r="D147" s="135" t="s">
        <v>332</v>
      </c>
      <c r="E147" s="135" t="s">
        <v>187</v>
      </c>
      <c r="F147" s="135" t="s">
        <v>195</v>
      </c>
      <c r="G147" s="135" t="s">
        <v>209</v>
      </c>
      <c r="H147" s="135" t="str">
        <f>IFERROR(VLOOKUP(G147,'Conformance Score'!A:B, 2, 0), "")</f>
        <v>Meaningful Sequence</v>
      </c>
      <c r="I147" s="140" t="s">
        <v>450</v>
      </c>
      <c r="J147" s="140" t="s">
        <v>451</v>
      </c>
      <c r="K147" s="134"/>
      <c r="L147" s="134"/>
      <c r="M147" s="134"/>
      <c r="N147" s="134"/>
      <c r="O147" s="134"/>
      <c r="P147" s="134"/>
      <c r="Q147" s="134"/>
      <c r="R147" s="134"/>
      <c r="S147" s="134"/>
      <c r="T147" s="134"/>
      <c r="U147" s="134"/>
      <c r="V147" s="134"/>
      <c r="W147" s="134"/>
      <c r="X147" s="134"/>
      <c r="Y147" s="134"/>
      <c r="Z147" s="134"/>
      <c r="AA147" s="134"/>
    </row>
    <row r="148" ht="147.75" customHeight="1">
      <c r="A148" s="143" t="s">
        <v>894</v>
      </c>
      <c r="B148" s="143" t="s">
        <v>895</v>
      </c>
      <c r="C148" s="143" t="s">
        <v>896</v>
      </c>
      <c r="D148" s="143" t="s">
        <v>549</v>
      </c>
      <c r="E148" s="143" t="s">
        <v>185</v>
      </c>
      <c r="F148" s="143" t="s">
        <v>204</v>
      </c>
      <c r="G148" s="143" t="s">
        <v>897</v>
      </c>
      <c r="H148" s="135" t="str">
        <f>IFERROR(VLOOKUP(G148,'Conformance Score'!A:B, 2, 0), "")</f>
        <v/>
      </c>
      <c r="I148" s="143" t="s">
        <v>898</v>
      </c>
      <c r="J148" s="143" t="s">
        <v>898</v>
      </c>
      <c r="K148" s="144"/>
      <c r="L148" s="144"/>
      <c r="M148" s="144"/>
      <c r="N148" s="144"/>
      <c r="O148" s="144"/>
      <c r="P148" s="144"/>
      <c r="Q148" s="144"/>
      <c r="R148" s="144"/>
      <c r="S148" s="144"/>
      <c r="T148" s="144"/>
      <c r="U148" s="144"/>
      <c r="V148" s="144"/>
      <c r="W148" s="144"/>
      <c r="X148" s="144"/>
      <c r="Y148" s="144"/>
      <c r="Z148" s="144"/>
      <c r="AA148" s="144"/>
    </row>
    <row r="149" ht="276.75" customHeight="1">
      <c r="A149" s="143" t="s">
        <v>899</v>
      </c>
      <c r="B149" s="145" t="s">
        <v>900</v>
      </c>
      <c r="C149" s="143" t="s">
        <v>901</v>
      </c>
      <c r="D149" s="143" t="s">
        <v>461</v>
      </c>
      <c r="E149" s="143" t="s">
        <v>187</v>
      </c>
      <c r="F149" s="143" t="s">
        <v>204</v>
      </c>
      <c r="G149" s="143" t="s">
        <v>902</v>
      </c>
      <c r="H149" s="135" t="str">
        <f>IFERROR(VLOOKUP(G149,'Conformance Score'!A:B, 2, 0), "")</f>
        <v/>
      </c>
      <c r="I149" s="143" t="s">
        <v>898</v>
      </c>
      <c r="J149" s="143" t="s">
        <v>898</v>
      </c>
      <c r="K149" s="144"/>
      <c r="L149" s="144"/>
      <c r="M149" s="144"/>
      <c r="N149" s="144"/>
      <c r="O149" s="144"/>
      <c r="P149" s="144"/>
      <c r="Q149" s="144"/>
      <c r="R149" s="144"/>
      <c r="S149" s="144"/>
      <c r="T149" s="144"/>
      <c r="U149" s="144"/>
      <c r="V149" s="144"/>
      <c r="W149" s="144"/>
      <c r="X149" s="144"/>
      <c r="Y149" s="144"/>
      <c r="Z149" s="144"/>
      <c r="AA149" s="144"/>
    </row>
    <row r="150" ht="114.75" customHeight="1">
      <c r="A150" s="143" t="s">
        <v>903</v>
      </c>
      <c r="B150" s="143" t="s">
        <v>904</v>
      </c>
      <c r="C150" s="143" t="s">
        <v>905</v>
      </c>
      <c r="D150" s="143" t="s">
        <v>616</v>
      </c>
      <c r="E150" s="143" t="s">
        <v>187</v>
      </c>
      <c r="F150" s="143" t="s">
        <v>195</v>
      </c>
      <c r="G150" s="143" t="s">
        <v>906</v>
      </c>
      <c r="H150" s="135" t="str">
        <f>IFERROR(VLOOKUP(G150,'Conformance Score'!A:B, 2, 0), "")</f>
        <v/>
      </c>
      <c r="I150" s="143" t="s">
        <v>898</v>
      </c>
      <c r="J150" s="143" t="s">
        <v>898</v>
      </c>
      <c r="K150" s="144"/>
      <c r="L150" s="144"/>
      <c r="M150" s="144"/>
      <c r="N150" s="144"/>
      <c r="O150" s="144"/>
      <c r="P150" s="144"/>
      <c r="Q150" s="144"/>
      <c r="R150" s="144"/>
      <c r="S150" s="144"/>
      <c r="T150" s="144"/>
      <c r="U150" s="144"/>
      <c r="V150" s="144"/>
      <c r="W150" s="144"/>
      <c r="X150" s="144"/>
      <c r="Y150" s="144"/>
      <c r="Z150" s="144"/>
      <c r="AA150" s="144"/>
    </row>
    <row r="151" ht="247.5" customHeight="1">
      <c r="A151" s="143" t="s">
        <v>907</v>
      </c>
      <c r="B151" s="143" t="s">
        <v>908</v>
      </c>
      <c r="C151" s="143" t="s">
        <v>909</v>
      </c>
      <c r="D151" s="143" t="s">
        <v>461</v>
      </c>
      <c r="E151" s="143" t="s">
        <v>186</v>
      </c>
      <c r="F151" s="143" t="s">
        <v>204</v>
      </c>
      <c r="G151" s="143" t="s">
        <v>910</v>
      </c>
      <c r="H151" s="135" t="str">
        <f>IFERROR(VLOOKUP(G151,'Conformance Score'!A:B, 2, 0), "")</f>
        <v/>
      </c>
      <c r="I151" s="143" t="s">
        <v>898</v>
      </c>
      <c r="J151" s="143" t="s">
        <v>898</v>
      </c>
      <c r="K151" s="144"/>
      <c r="L151" s="144"/>
      <c r="M151" s="144"/>
      <c r="N151" s="144"/>
      <c r="O151" s="144"/>
      <c r="P151" s="144"/>
      <c r="Q151" s="144"/>
      <c r="R151" s="144"/>
      <c r="S151" s="144"/>
      <c r="T151" s="144"/>
      <c r="U151" s="144"/>
      <c r="V151" s="144"/>
      <c r="W151" s="144"/>
      <c r="X151" s="144"/>
      <c r="Y151" s="144"/>
      <c r="Z151" s="144"/>
      <c r="AA151" s="144"/>
    </row>
    <row r="152" ht="212.25" customHeight="1">
      <c r="A152" s="143" t="s">
        <v>911</v>
      </c>
      <c r="B152" s="143" t="s">
        <v>912</v>
      </c>
      <c r="C152" s="143" t="s">
        <v>913</v>
      </c>
      <c r="D152" s="143" t="s">
        <v>461</v>
      </c>
      <c r="E152" s="143" t="s">
        <v>186</v>
      </c>
      <c r="F152" s="143" t="s">
        <v>204</v>
      </c>
      <c r="G152" s="143" t="s">
        <v>910</v>
      </c>
      <c r="H152" s="135" t="str">
        <f>IFERROR(VLOOKUP(G152,'Conformance Score'!A:B, 2, 0), "")</f>
        <v/>
      </c>
      <c r="I152" s="143" t="s">
        <v>898</v>
      </c>
      <c r="J152" s="143" t="s">
        <v>898</v>
      </c>
      <c r="K152" s="144"/>
      <c r="L152" s="144"/>
      <c r="M152" s="144"/>
      <c r="N152" s="144"/>
      <c r="O152" s="144"/>
      <c r="P152" s="144"/>
      <c r="Q152" s="144"/>
      <c r="R152" s="144"/>
      <c r="S152" s="144"/>
      <c r="T152" s="144"/>
      <c r="U152" s="144"/>
      <c r="V152" s="144"/>
      <c r="W152" s="144"/>
      <c r="X152" s="144"/>
      <c r="Y152" s="144"/>
      <c r="Z152" s="144"/>
      <c r="AA152" s="144"/>
    </row>
    <row r="153" ht="139.5" customHeight="1">
      <c r="A153" s="143" t="s">
        <v>914</v>
      </c>
      <c r="B153" s="143" t="s">
        <v>915</v>
      </c>
      <c r="C153" s="143" t="s">
        <v>916</v>
      </c>
      <c r="D153" s="143" t="s">
        <v>461</v>
      </c>
      <c r="E153" s="143" t="s">
        <v>186</v>
      </c>
      <c r="F153" s="143" t="s">
        <v>204</v>
      </c>
      <c r="G153" s="143" t="s">
        <v>910</v>
      </c>
      <c r="H153" s="135" t="str">
        <f>IFERROR(VLOOKUP(G153,'Conformance Score'!A:B, 2, 0), "")</f>
        <v/>
      </c>
      <c r="I153" s="143" t="s">
        <v>898</v>
      </c>
      <c r="J153" s="143" t="s">
        <v>898</v>
      </c>
      <c r="K153" s="144"/>
      <c r="L153" s="144"/>
      <c r="M153" s="144"/>
      <c r="N153" s="144"/>
      <c r="O153" s="144"/>
      <c r="P153" s="144"/>
      <c r="Q153" s="144"/>
      <c r="R153" s="144"/>
      <c r="S153" s="144"/>
      <c r="T153" s="144"/>
      <c r="U153" s="144"/>
      <c r="V153" s="144"/>
      <c r="W153" s="144"/>
      <c r="X153" s="144"/>
      <c r="Y153" s="144"/>
      <c r="Z153" s="144"/>
      <c r="AA153" s="144"/>
    </row>
    <row r="154" ht="291.75" customHeight="1">
      <c r="A154" s="135" t="s">
        <v>917</v>
      </c>
      <c r="B154" s="135" t="s">
        <v>918</v>
      </c>
      <c r="C154" s="135" t="s">
        <v>919</v>
      </c>
      <c r="D154" s="135" t="s">
        <v>616</v>
      </c>
      <c r="E154" s="135" t="s">
        <v>187</v>
      </c>
      <c r="F154" s="135" t="s">
        <v>195</v>
      </c>
      <c r="G154" s="135" t="s">
        <v>297</v>
      </c>
      <c r="H154" s="135" t="str">
        <f>IFERROR(VLOOKUP(G154,'Conformance Score'!A:B, 2, 0), "")</f>
        <v>Redundant Entry</v>
      </c>
      <c r="I154" s="140" t="s">
        <v>898</v>
      </c>
      <c r="J154" s="140" t="s">
        <v>898</v>
      </c>
      <c r="K154" s="134"/>
      <c r="L154" s="134"/>
      <c r="M154" s="134"/>
      <c r="N154" s="134"/>
      <c r="O154" s="134"/>
      <c r="P154" s="134"/>
      <c r="Q154" s="134"/>
      <c r="R154" s="134"/>
      <c r="S154" s="134"/>
      <c r="T154" s="134"/>
      <c r="U154" s="134"/>
      <c r="V154" s="134"/>
      <c r="W154" s="134"/>
      <c r="X154" s="134"/>
      <c r="Y154" s="134"/>
      <c r="Z154" s="134"/>
      <c r="AA154" s="134"/>
    </row>
    <row r="155" ht="199.5" customHeight="1">
      <c r="A155" s="143" t="s">
        <v>920</v>
      </c>
      <c r="B155" s="143" t="s">
        <v>921</v>
      </c>
      <c r="C155" s="143" t="s">
        <v>922</v>
      </c>
      <c r="D155" s="143" t="s">
        <v>616</v>
      </c>
      <c r="E155" s="143" t="s">
        <v>186</v>
      </c>
      <c r="F155" s="143" t="s">
        <v>204</v>
      </c>
      <c r="G155" s="143" t="s">
        <v>923</v>
      </c>
      <c r="H155" s="135" t="str">
        <f>IFERROR(VLOOKUP(G155,'Conformance Score'!A:B, 2, 0), "")</f>
        <v/>
      </c>
      <c r="I155" s="143" t="s">
        <v>898</v>
      </c>
      <c r="J155" s="143" t="s">
        <v>898</v>
      </c>
      <c r="K155" s="144"/>
      <c r="L155" s="144"/>
      <c r="M155" s="144"/>
      <c r="N155" s="144"/>
      <c r="O155" s="144"/>
      <c r="P155" s="144"/>
      <c r="Q155" s="144"/>
      <c r="R155" s="144"/>
      <c r="S155" s="144"/>
      <c r="T155" s="144"/>
      <c r="U155" s="144"/>
      <c r="V155" s="144"/>
      <c r="W155" s="144"/>
      <c r="X155" s="144"/>
      <c r="Y155" s="144"/>
      <c r="Z155" s="144"/>
      <c r="AA155" s="144"/>
    </row>
    <row r="156" ht="126.0" customHeight="1">
      <c r="A156" s="135" t="s">
        <v>924</v>
      </c>
      <c r="B156" s="135" t="s">
        <v>925</v>
      </c>
      <c r="C156" s="135" t="s">
        <v>926</v>
      </c>
      <c r="D156" s="135" t="s">
        <v>332</v>
      </c>
      <c r="E156" s="135" t="s">
        <v>187</v>
      </c>
      <c r="F156" s="135" t="s">
        <v>195</v>
      </c>
      <c r="G156" s="135" t="s">
        <v>927</v>
      </c>
      <c r="H156" s="135" t="str">
        <f>IFERROR(VLOOKUP(G156,'Conformance Score'!A:B, 2, 0), "")</f>
        <v/>
      </c>
      <c r="I156" s="140" t="s">
        <v>390</v>
      </c>
      <c r="J156" s="140" t="s">
        <v>391</v>
      </c>
      <c r="K156" s="134"/>
      <c r="L156" s="134"/>
      <c r="M156" s="134"/>
      <c r="N156" s="134"/>
      <c r="O156" s="134"/>
      <c r="P156" s="134"/>
      <c r="Q156" s="134"/>
      <c r="R156" s="134"/>
      <c r="S156" s="134"/>
      <c r="T156" s="134"/>
      <c r="U156" s="134"/>
      <c r="V156" s="134"/>
      <c r="W156" s="134"/>
      <c r="X156" s="134"/>
      <c r="Y156" s="134"/>
      <c r="Z156" s="134"/>
      <c r="AA156" s="134"/>
    </row>
    <row r="157" ht="196.5" customHeight="1">
      <c r="A157" s="135" t="s">
        <v>928</v>
      </c>
      <c r="B157" s="135" t="s">
        <v>929</v>
      </c>
      <c r="C157" s="135" t="s">
        <v>930</v>
      </c>
      <c r="D157" s="135" t="s">
        <v>573</v>
      </c>
      <c r="E157" s="135" t="s">
        <v>186</v>
      </c>
      <c r="F157" s="135" t="s">
        <v>474</v>
      </c>
      <c r="G157" s="135" t="s">
        <v>235</v>
      </c>
      <c r="H157" s="135" t="str">
        <f>IFERROR(VLOOKUP(G157,'Conformance Score'!A:B, 2, 0), "")</f>
        <v>Keyboard</v>
      </c>
      <c r="I157" s="140" t="s">
        <v>550</v>
      </c>
      <c r="J157" s="140" t="s">
        <v>551</v>
      </c>
      <c r="K157" s="134"/>
      <c r="L157" s="134"/>
      <c r="M157" s="134"/>
      <c r="N157" s="134"/>
      <c r="O157" s="134"/>
      <c r="P157" s="134"/>
      <c r="Q157" s="134"/>
      <c r="R157" s="134"/>
      <c r="S157" s="134"/>
      <c r="T157" s="134"/>
      <c r="U157" s="134"/>
      <c r="V157" s="134"/>
      <c r="W157" s="134"/>
      <c r="X157" s="134"/>
      <c r="Y157" s="134"/>
      <c r="Z157" s="134"/>
      <c r="AA157" s="134"/>
    </row>
    <row r="158" ht="294.75" customHeight="1">
      <c r="A158" s="135" t="s">
        <v>931</v>
      </c>
      <c r="B158" s="135" t="s">
        <v>571</v>
      </c>
      <c r="C158" s="135" t="s">
        <v>932</v>
      </c>
      <c r="D158" s="135" t="s">
        <v>573</v>
      </c>
      <c r="E158" s="135" t="s">
        <v>185</v>
      </c>
      <c r="F158" s="135" t="s">
        <v>195</v>
      </c>
      <c r="G158" s="135" t="s">
        <v>235</v>
      </c>
      <c r="H158" s="135" t="str">
        <f>IFERROR(VLOOKUP(G158,'Conformance Score'!A:B, 2, 0), "")</f>
        <v>Keyboard</v>
      </c>
      <c r="I158" s="140" t="s">
        <v>550</v>
      </c>
      <c r="J158" s="140" t="s">
        <v>551</v>
      </c>
      <c r="K158" s="134"/>
      <c r="L158" s="134"/>
      <c r="M158" s="134"/>
      <c r="N158" s="134"/>
      <c r="O158" s="134"/>
      <c r="P158" s="134"/>
      <c r="Q158" s="134"/>
      <c r="R158" s="134"/>
      <c r="S158" s="134"/>
      <c r="T158" s="134"/>
      <c r="U158" s="134"/>
      <c r="V158" s="134"/>
      <c r="W158" s="134"/>
      <c r="X158" s="134"/>
      <c r="Y158" s="134"/>
      <c r="Z158" s="134"/>
      <c r="AA158" s="134"/>
    </row>
    <row r="159" ht="123.75" customHeight="1">
      <c r="A159" s="135" t="s">
        <v>933</v>
      </c>
      <c r="B159" s="135" t="s">
        <v>934</v>
      </c>
      <c r="C159" s="135" t="s">
        <v>935</v>
      </c>
      <c r="D159" s="135" t="s">
        <v>332</v>
      </c>
      <c r="E159" s="135" t="s">
        <v>188</v>
      </c>
      <c r="F159" s="135" t="s">
        <v>195</v>
      </c>
      <c r="G159" s="135" t="s">
        <v>207</v>
      </c>
      <c r="H159" s="135" t="str">
        <f>IFERROR(VLOOKUP(G159,'Conformance Score'!A:B, 2, 0), "")</f>
        <v>Info and Relationships</v>
      </c>
      <c r="I159" s="140" t="s">
        <v>390</v>
      </c>
      <c r="J159" s="140" t="s">
        <v>391</v>
      </c>
      <c r="K159" s="134"/>
      <c r="L159" s="134"/>
      <c r="M159" s="134"/>
      <c r="N159" s="134"/>
      <c r="O159" s="134"/>
      <c r="P159" s="134"/>
      <c r="Q159" s="134"/>
      <c r="R159" s="134"/>
      <c r="S159" s="134"/>
      <c r="T159" s="134"/>
      <c r="U159" s="134"/>
      <c r="V159" s="134"/>
      <c r="W159" s="134"/>
      <c r="X159" s="134"/>
      <c r="Y159" s="134"/>
      <c r="Z159" s="134"/>
      <c r="AA159" s="134"/>
    </row>
    <row r="160" ht="15.75" customHeight="1">
      <c r="A160" s="146" t="s">
        <v>936</v>
      </c>
      <c r="B160" s="146" t="s">
        <v>937</v>
      </c>
      <c r="C160" s="146" t="s">
        <v>938</v>
      </c>
      <c r="D160" s="135" t="s">
        <v>332</v>
      </c>
      <c r="E160" s="146" t="s">
        <v>939</v>
      </c>
      <c r="F160" s="146" t="s">
        <v>195</v>
      </c>
      <c r="G160" s="146" t="s">
        <v>289</v>
      </c>
      <c r="H160" s="135" t="str">
        <f>IFERROR(VLOOKUP(G160,'Conformance Score'!A:B, 2, 0), "")</f>
        <v>Error Identification</v>
      </c>
      <c r="I160" s="140" t="s">
        <v>761</v>
      </c>
      <c r="J160" s="140" t="s">
        <v>762</v>
      </c>
      <c r="K160" s="134"/>
      <c r="L160" s="134"/>
      <c r="M160" s="134"/>
      <c r="N160" s="134"/>
      <c r="O160" s="134"/>
      <c r="P160" s="134"/>
      <c r="Q160" s="134"/>
      <c r="R160" s="134"/>
      <c r="S160" s="134"/>
      <c r="T160" s="134"/>
      <c r="U160" s="134"/>
      <c r="V160" s="134"/>
      <c r="W160" s="134"/>
      <c r="X160" s="134"/>
      <c r="Y160" s="134"/>
      <c r="Z160" s="134"/>
      <c r="AA160" s="134"/>
    </row>
    <row r="161" ht="15.75" customHeight="1">
      <c r="A161" s="146" t="s">
        <v>940</v>
      </c>
      <c r="B161" s="146" t="s">
        <v>941</v>
      </c>
      <c r="C161" s="146" t="s">
        <v>942</v>
      </c>
      <c r="D161" s="135" t="s">
        <v>332</v>
      </c>
      <c r="E161" s="146" t="s">
        <v>187</v>
      </c>
      <c r="F161" s="146" t="s">
        <v>195</v>
      </c>
      <c r="G161" s="146" t="s">
        <v>275</v>
      </c>
      <c r="H161" s="136" t="s">
        <v>276</v>
      </c>
      <c r="I161" s="141" t="s">
        <v>722</v>
      </c>
      <c r="J161" s="141" t="s">
        <v>723</v>
      </c>
      <c r="K161" s="134"/>
      <c r="L161" s="134"/>
      <c r="M161" s="134"/>
      <c r="N161" s="134"/>
      <c r="O161" s="134"/>
      <c r="P161" s="134"/>
      <c r="Q161" s="134"/>
      <c r="R161" s="134"/>
      <c r="S161" s="134"/>
      <c r="T161" s="134"/>
      <c r="U161" s="134"/>
      <c r="V161" s="134"/>
      <c r="W161" s="134"/>
      <c r="X161" s="134"/>
      <c r="Y161" s="134"/>
      <c r="Z161" s="134"/>
      <c r="AA161" s="134"/>
    </row>
    <row r="162" ht="15.75" customHeight="1">
      <c r="A162" s="146" t="s">
        <v>943</v>
      </c>
      <c r="B162" s="146" t="s">
        <v>944</v>
      </c>
      <c r="C162" s="146" t="s">
        <v>945</v>
      </c>
      <c r="D162" s="135" t="s">
        <v>332</v>
      </c>
      <c r="E162" s="135" t="s">
        <v>187</v>
      </c>
      <c r="F162" s="135" t="s">
        <v>195</v>
      </c>
      <c r="G162" s="135" t="s">
        <v>249</v>
      </c>
      <c r="H162" s="135" t="str">
        <f>IFERROR(VLOOKUP(G162,'Conformance Score'!A:B, 2, 0), "")</f>
        <v>Page Titled</v>
      </c>
      <c r="I162" s="140" t="s">
        <v>634</v>
      </c>
      <c r="J162" s="140" t="s">
        <v>946</v>
      </c>
      <c r="K162" s="134"/>
      <c r="L162" s="134"/>
      <c r="M162" s="134"/>
      <c r="N162" s="134"/>
      <c r="O162" s="134"/>
      <c r="P162" s="134"/>
      <c r="Q162" s="134"/>
      <c r="R162" s="134"/>
      <c r="S162" s="134"/>
      <c r="T162" s="134"/>
      <c r="U162" s="134"/>
      <c r="V162" s="134"/>
      <c r="W162" s="134"/>
      <c r="X162" s="134"/>
      <c r="Y162" s="134"/>
      <c r="Z162" s="134"/>
      <c r="AA162" s="134"/>
    </row>
    <row r="163" ht="15.75" customHeight="1">
      <c r="A163" s="147" t="s">
        <v>947</v>
      </c>
      <c r="B163" s="147" t="s">
        <v>948</v>
      </c>
      <c r="C163" s="148" t="s">
        <v>949</v>
      </c>
      <c r="D163" s="135" t="s">
        <v>332</v>
      </c>
      <c r="E163" s="146" t="s">
        <v>187</v>
      </c>
      <c r="F163" s="146" t="s">
        <v>195</v>
      </c>
      <c r="G163" s="135" t="s">
        <v>193</v>
      </c>
      <c r="H163" s="135" t="str">
        <f>IFERROR(VLOOKUP(G163,'Conformance Score'!A:B, 2, 0), "")</f>
        <v>Non-Text Content</v>
      </c>
      <c r="I163" s="135" t="s">
        <v>333</v>
      </c>
      <c r="J163" s="135" t="s">
        <v>334</v>
      </c>
      <c r="K163" s="134"/>
      <c r="L163" s="134"/>
      <c r="M163" s="134"/>
      <c r="N163" s="134"/>
      <c r="O163" s="134"/>
      <c r="P163" s="134"/>
      <c r="Q163" s="134"/>
      <c r="R163" s="134"/>
      <c r="S163" s="134"/>
      <c r="T163" s="134"/>
      <c r="U163" s="134"/>
      <c r="V163" s="134"/>
      <c r="W163" s="134"/>
      <c r="X163" s="134"/>
      <c r="Y163" s="134"/>
      <c r="Z163" s="134"/>
      <c r="AA163" s="134"/>
    </row>
    <row r="164" ht="15.75" customHeight="1">
      <c r="A164" s="149"/>
      <c r="B164" s="149"/>
      <c r="C164" s="149"/>
      <c r="D164" s="149"/>
      <c r="E164" s="149"/>
      <c r="F164" s="149"/>
      <c r="G164" s="149"/>
      <c r="H164" s="135" t="str">
        <f>IFERROR(VLOOKUP(G164,'Conformance Score'!A:B, 2, 0), "")</f>
        <v/>
      </c>
      <c r="I164" s="150"/>
      <c r="J164" s="150"/>
      <c r="K164" s="134"/>
      <c r="L164" s="134"/>
      <c r="M164" s="134"/>
      <c r="N164" s="134"/>
      <c r="O164" s="134"/>
      <c r="P164" s="134"/>
      <c r="Q164" s="134"/>
      <c r="R164" s="134"/>
      <c r="S164" s="134"/>
      <c r="T164" s="134"/>
      <c r="U164" s="134"/>
      <c r="V164" s="134"/>
      <c r="W164" s="134"/>
      <c r="X164" s="134"/>
      <c r="Y164" s="134"/>
      <c r="Z164" s="134"/>
      <c r="AA164" s="134"/>
    </row>
    <row r="165" ht="15.75" customHeight="1">
      <c r="A165" s="149"/>
      <c r="B165" s="149"/>
      <c r="C165" s="149"/>
      <c r="D165" s="149"/>
      <c r="E165" s="149"/>
      <c r="F165" s="149"/>
      <c r="G165" s="149"/>
      <c r="H165" s="135" t="str">
        <f>IFERROR(VLOOKUP(G165,'Conformance Score'!A:B, 2, 0), "")</f>
        <v/>
      </c>
      <c r="I165" s="150"/>
      <c r="J165" s="150"/>
      <c r="K165" s="134"/>
      <c r="L165" s="134"/>
      <c r="M165" s="134"/>
      <c r="N165" s="134"/>
      <c r="O165" s="134"/>
      <c r="P165" s="134"/>
      <c r="Q165" s="134"/>
      <c r="R165" s="134"/>
      <c r="S165" s="134"/>
      <c r="T165" s="134"/>
      <c r="U165" s="134"/>
      <c r="V165" s="134"/>
      <c r="W165" s="134"/>
      <c r="X165" s="134"/>
      <c r="Y165" s="134"/>
      <c r="Z165" s="134"/>
      <c r="AA165" s="134"/>
    </row>
    <row r="166" ht="15.75" customHeight="1">
      <c r="A166" s="149"/>
      <c r="B166" s="149"/>
      <c r="C166" s="149"/>
      <c r="D166" s="149"/>
      <c r="E166" s="149"/>
      <c r="F166" s="149"/>
      <c r="G166" s="149"/>
      <c r="H166" s="135" t="str">
        <f>IFERROR(VLOOKUP(G166,'Conformance Score'!A:B, 2, 0), "")</f>
        <v/>
      </c>
      <c r="I166" s="150"/>
      <c r="J166" s="150"/>
      <c r="K166" s="134"/>
      <c r="L166" s="134"/>
      <c r="M166" s="134"/>
      <c r="N166" s="134"/>
      <c r="O166" s="134"/>
      <c r="P166" s="134"/>
      <c r="Q166" s="134"/>
      <c r="R166" s="134"/>
      <c r="S166" s="134"/>
      <c r="T166" s="134"/>
      <c r="U166" s="134"/>
      <c r="V166" s="134"/>
      <c r="W166" s="134"/>
      <c r="X166" s="134"/>
      <c r="Y166" s="134"/>
      <c r="Z166" s="134"/>
      <c r="AA166" s="134"/>
    </row>
    <row r="167" ht="15.75" customHeight="1">
      <c r="A167" s="149"/>
      <c r="B167" s="149"/>
      <c r="C167" s="149"/>
      <c r="D167" s="149"/>
      <c r="E167" s="149"/>
      <c r="F167" s="149"/>
      <c r="G167" s="149"/>
      <c r="H167" s="135" t="str">
        <f>IFERROR(VLOOKUP(G167,'Conformance Score'!A:B, 2, 0), "")</f>
        <v/>
      </c>
      <c r="I167" s="150"/>
      <c r="J167" s="150"/>
      <c r="K167" s="134"/>
      <c r="L167" s="134"/>
      <c r="M167" s="134"/>
      <c r="N167" s="134"/>
      <c r="O167" s="134"/>
      <c r="P167" s="134"/>
      <c r="Q167" s="134"/>
      <c r="R167" s="134"/>
      <c r="S167" s="134"/>
      <c r="T167" s="134"/>
      <c r="U167" s="134"/>
      <c r="V167" s="134"/>
      <c r="W167" s="134"/>
      <c r="X167" s="134"/>
      <c r="Y167" s="134"/>
      <c r="Z167" s="134"/>
      <c r="AA167" s="134"/>
    </row>
    <row r="168" ht="15.75" customHeight="1">
      <c r="A168" s="149"/>
      <c r="B168" s="149"/>
      <c r="C168" s="149"/>
      <c r="D168" s="149"/>
      <c r="E168" s="149"/>
      <c r="F168" s="149"/>
      <c r="G168" s="149"/>
      <c r="H168" s="135" t="str">
        <f>IFERROR(VLOOKUP(G168,'Conformance Score'!A:B, 2, 0), "")</f>
        <v/>
      </c>
      <c r="I168" s="150"/>
      <c r="J168" s="150"/>
      <c r="K168" s="134"/>
      <c r="L168" s="134"/>
      <c r="M168" s="134"/>
      <c r="N168" s="134"/>
      <c r="O168" s="134"/>
      <c r="P168" s="134"/>
      <c r="Q168" s="134"/>
      <c r="R168" s="134"/>
      <c r="S168" s="134"/>
      <c r="T168" s="134"/>
      <c r="U168" s="134"/>
      <c r="V168" s="134"/>
      <c r="W168" s="134"/>
      <c r="X168" s="134"/>
      <c r="Y168" s="134"/>
      <c r="Z168" s="134"/>
      <c r="AA168" s="134"/>
    </row>
    <row r="169" ht="15.75" customHeight="1">
      <c r="A169" s="149"/>
      <c r="B169" s="149"/>
      <c r="C169" s="149"/>
      <c r="D169" s="149"/>
      <c r="E169" s="149"/>
      <c r="F169" s="149"/>
      <c r="G169" s="149"/>
      <c r="H169" s="135" t="str">
        <f>IFERROR(VLOOKUP(G169,'Conformance Score'!A:B, 2, 0), "")</f>
        <v/>
      </c>
      <c r="I169" s="150"/>
      <c r="J169" s="150"/>
      <c r="K169" s="134"/>
      <c r="L169" s="134"/>
      <c r="M169" s="134"/>
      <c r="N169" s="134"/>
      <c r="O169" s="134"/>
      <c r="P169" s="134"/>
      <c r="Q169" s="134"/>
      <c r="R169" s="134"/>
      <c r="S169" s="134"/>
      <c r="T169" s="134"/>
      <c r="U169" s="134"/>
      <c r="V169" s="134"/>
      <c r="W169" s="134"/>
      <c r="X169" s="134"/>
      <c r="Y169" s="134"/>
      <c r="Z169" s="134"/>
      <c r="AA169" s="134"/>
    </row>
    <row r="170" ht="15.75" customHeight="1">
      <c r="A170" s="149"/>
      <c r="B170" s="149"/>
      <c r="C170" s="149"/>
      <c r="D170" s="149"/>
      <c r="E170" s="149"/>
      <c r="F170" s="149"/>
      <c r="G170" s="149"/>
      <c r="H170" s="135" t="str">
        <f>IFERROR(VLOOKUP(G170,'Conformance Score'!A:B, 2, 0), "")</f>
        <v/>
      </c>
      <c r="I170" s="150"/>
      <c r="J170" s="150"/>
      <c r="K170" s="134"/>
      <c r="L170" s="134"/>
      <c r="M170" s="134"/>
      <c r="N170" s="134"/>
      <c r="O170" s="134"/>
      <c r="P170" s="134"/>
      <c r="Q170" s="134"/>
      <c r="R170" s="134"/>
      <c r="S170" s="134"/>
      <c r="T170" s="134"/>
      <c r="U170" s="134"/>
      <c r="V170" s="134"/>
      <c r="W170" s="134"/>
      <c r="X170" s="134"/>
      <c r="Y170" s="134"/>
      <c r="Z170" s="134"/>
      <c r="AA170" s="134"/>
    </row>
    <row r="171" ht="15.75" customHeight="1">
      <c r="A171" s="149"/>
      <c r="B171" s="149"/>
      <c r="C171" s="149"/>
      <c r="D171" s="149"/>
      <c r="E171" s="149"/>
      <c r="F171" s="149"/>
      <c r="G171" s="149"/>
      <c r="H171" s="135" t="str">
        <f>IFERROR(VLOOKUP(G171,'Conformance Score'!A:B, 2, 0), "")</f>
        <v/>
      </c>
      <c r="I171" s="150"/>
      <c r="J171" s="150"/>
      <c r="K171" s="134"/>
      <c r="L171" s="134"/>
      <c r="M171" s="134"/>
      <c r="N171" s="134"/>
      <c r="O171" s="134"/>
      <c r="P171" s="134"/>
      <c r="Q171" s="134"/>
      <c r="R171" s="134"/>
      <c r="S171" s="134"/>
      <c r="T171" s="134"/>
      <c r="U171" s="134"/>
      <c r="V171" s="134"/>
      <c r="W171" s="134"/>
      <c r="X171" s="134"/>
      <c r="Y171" s="134"/>
      <c r="Z171" s="134"/>
      <c r="AA171" s="134"/>
    </row>
    <row r="172" ht="15.75" customHeight="1">
      <c r="A172" s="149"/>
      <c r="B172" s="149"/>
      <c r="C172" s="149"/>
      <c r="D172" s="149"/>
      <c r="E172" s="149"/>
      <c r="F172" s="149"/>
      <c r="G172" s="149"/>
      <c r="H172" s="135" t="str">
        <f>IFERROR(VLOOKUP(G172,'Conformance Score'!A:B, 2, 0), "")</f>
        <v/>
      </c>
      <c r="I172" s="150"/>
      <c r="J172" s="150"/>
      <c r="K172" s="134"/>
      <c r="L172" s="134"/>
      <c r="M172" s="134"/>
      <c r="N172" s="134"/>
      <c r="O172" s="134"/>
      <c r="P172" s="134"/>
      <c r="Q172" s="134"/>
      <c r="R172" s="134"/>
      <c r="S172" s="134"/>
      <c r="T172" s="134"/>
      <c r="U172" s="134"/>
      <c r="V172" s="134"/>
      <c r="W172" s="134"/>
      <c r="X172" s="134"/>
      <c r="Y172" s="134"/>
      <c r="Z172" s="134"/>
      <c r="AA172" s="134"/>
    </row>
    <row r="173" ht="15.75" customHeight="1">
      <c r="A173" s="149"/>
      <c r="B173" s="149"/>
      <c r="C173" s="149"/>
      <c r="D173" s="149"/>
      <c r="E173" s="149"/>
      <c r="F173" s="149"/>
      <c r="G173" s="149"/>
      <c r="H173" s="135" t="str">
        <f>IFERROR(VLOOKUP(G173,'Conformance Score'!A:B, 2, 0), "")</f>
        <v/>
      </c>
      <c r="I173" s="150"/>
      <c r="J173" s="150"/>
      <c r="K173" s="134"/>
      <c r="L173" s="134"/>
      <c r="M173" s="134"/>
      <c r="N173" s="134"/>
      <c r="O173" s="134"/>
      <c r="P173" s="134"/>
      <c r="Q173" s="134"/>
      <c r="R173" s="134"/>
      <c r="S173" s="134"/>
      <c r="T173" s="134"/>
      <c r="U173" s="134"/>
      <c r="V173" s="134"/>
      <c r="W173" s="134"/>
      <c r="X173" s="134"/>
      <c r="Y173" s="134"/>
      <c r="Z173" s="134"/>
      <c r="AA173" s="134"/>
    </row>
    <row r="174" ht="15.75" customHeight="1">
      <c r="A174" s="149"/>
      <c r="B174" s="149"/>
      <c r="C174" s="149"/>
      <c r="D174" s="149"/>
      <c r="E174" s="149"/>
      <c r="F174" s="149"/>
      <c r="G174" s="149"/>
      <c r="H174" s="135" t="str">
        <f>IFERROR(VLOOKUP(G174,'Conformance Score'!A:B, 2, 0), "")</f>
        <v/>
      </c>
      <c r="I174" s="150"/>
      <c r="J174" s="150"/>
      <c r="K174" s="134"/>
      <c r="L174" s="134"/>
      <c r="M174" s="134"/>
      <c r="N174" s="134"/>
      <c r="O174" s="134"/>
      <c r="P174" s="134"/>
      <c r="Q174" s="134"/>
      <c r="R174" s="134"/>
      <c r="S174" s="134"/>
      <c r="T174" s="134"/>
      <c r="U174" s="134"/>
      <c r="V174" s="134"/>
      <c r="W174" s="134"/>
      <c r="X174" s="134"/>
      <c r="Y174" s="134"/>
      <c r="Z174" s="134"/>
      <c r="AA174" s="134"/>
    </row>
    <row r="175" ht="15.75" customHeight="1">
      <c r="A175" s="149"/>
      <c r="B175" s="149"/>
      <c r="C175" s="149"/>
      <c r="D175" s="149"/>
      <c r="E175" s="149"/>
      <c r="F175" s="149"/>
      <c r="G175" s="149"/>
      <c r="H175" s="135" t="str">
        <f>IFERROR(VLOOKUP(G175,'Conformance Score'!A:B, 2, 0), "")</f>
        <v/>
      </c>
      <c r="I175" s="150"/>
      <c r="J175" s="150"/>
      <c r="K175" s="134"/>
      <c r="L175" s="134"/>
      <c r="M175" s="134"/>
      <c r="N175" s="134"/>
      <c r="O175" s="134"/>
      <c r="P175" s="134"/>
      <c r="Q175" s="134"/>
      <c r="R175" s="134"/>
      <c r="S175" s="134"/>
      <c r="T175" s="134"/>
      <c r="U175" s="134"/>
      <c r="V175" s="134"/>
      <c r="W175" s="134"/>
      <c r="X175" s="134"/>
      <c r="Y175" s="134"/>
      <c r="Z175" s="134"/>
      <c r="AA175" s="134"/>
    </row>
    <row r="176" ht="15.75" customHeight="1">
      <c r="A176" s="149"/>
      <c r="B176" s="149"/>
      <c r="C176" s="149"/>
      <c r="D176" s="149"/>
      <c r="E176" s="149"/>
      <c r="F176" s="149"/>
      <c r="G176" s="149"/>
      <c r="H176" s="135" t="str">
        <f>IFERROR(VLOOKUP(G176,'Conformance Score'!A:B, 2, 0), "")</f>
        <v/>
      </c>
      <c r="I176" s="150"/>
      <c r="J176" s="150"/>
      <c r="K176" s="134"/>
      <c r="L176" s="134"/>
      <c r="M176" s="134"/>
      <c r="N176" s="134"/>
      <c r="O176" s="134"/>
      <c r="P176" s="134"/>
      <c r="Q176" s="134"/>
      <c r="R176" s="134"/>
      <c r="S176" s="134"/>
      <c r="T176" s="134"/>
      <c r="U176" s="134"/>
      <c r="V176" s="134"/>
      <c r="W176" s="134"/>
      <c r="X176" s="134"/>
      <c r="Y176" s="134"/>
      <c r="Z176" s="134"/>
      <c r="AA176" s="134"/>
    </row>
    <row r="177" ht="15.75" customHeight="1">
      <c r="A177" s="149"/>
      <c r="B177" s="149"/>
      <c r="C177" s="149"/>
      <c r="D177" s="149"/>
      <c r="E177" s="149"/>
      <c r="F177" s="149"/>
      <c r="G177" s="149"/>
      <c r="H177" s="135" t="str">
        <f>IFERROR(VLOOKUP(G177,'Conformance Score'!A:B, 2, 0), "")</f>
        <v/>
      </c>
      <c r="I177" s="150"/>
      <c r="J177" s="150"/>
      <c r="K177" s="134"/>
      <c r="L177" s="134"/>
      <c r="M177" s="134"/>
      <c r="N177" s="134"/>
      <c r="O177" s="134"/>
      <c r="P177" s="134"/>
      <c r="Q177" s="134"/>
      <c r="R177" s="134"/>
      <c r="S177" s="134"/>
      <c r="T177" s="134"/>
      <c r="U177" s="134"/>
      <c r="V177" s="134"/>
      <c r="W177" s="134"/>
      <c r="X177" s="134"/>
      <c r="Y177" s="134"/>
      <c r="Z177" s="134"/>
      <c r="AA177" s="134"/>
    </row>
    <row r="178" ht="15.75" customHeight="1">
      <c r="A178" s="149"/>
      <c r="B178" s="149"/>
      <c r="C178" s="149"/>
      <c r="D178" s="149"/>
      <c r="E178" s="149"/>
      <c r="F178" s="149"/>
      <c r="G178" s="149"/>
      <c r="H178" s="135" t="str">
        <f>IFERROR(VLOOKUP(G178,'Conformance Score'!A:B, 2, 0), "")</f>
        <v/>
      </c>
      <c r="I178" s="150"/>
      <c r="J178" s="150"/>
      <c r="K178" s="134"/>
      <c r="L178" s="134"/>
      <c r="M178" s="134"/>
      <c r="N178" s="134"/>
      <c r="O178" s="134"/>
      <c r="P178" s="134"/>
      <c r="Q178" s="134"/>
      <c r="R178" s="134"/>
      <c r="S178" s="134"/>
      <c r="T178" s="134"/>
      <c r="U178" s="134"/>
      <c r="V178" s="134"/>
      <c r="W178" s="134"/>
      <c r="X178" s="134"/>
      <c r="Y178" s="134"/>
      <c r="Z178" s="134"/>
      <c r="AA178" s="134"/>
    </row>
    <row r="179" ht="15.75" customHeight="1">
      <c r="A179" s="149"/>
      <c r="B179" s="149"/>
      <c r="C179" s="149"/>
      <c r="D179" s="149"/>
      <c r="E179" s="149"/>
      <c r="F179" s="149"/>
      <c r="G179" s="149"/>
      <c r="H179" s="135" t="str">
        <f>IFERROR(VLOOKUP(G179,'Conformance Score'!A:B, 2, 0), "")</f>
        <v/>
      </c>
      <c r="I179" s="150"/>
      <c r="J179" s="150"/>
      <c r="K179" s="134"/>
      <c r="L179" s="134"/>
      <c r="M179" s="134"/>
      <c r="N179" s="134"/>
      <c r="O179" s="134"/>
      <c r="P179" s="134"/>
      <c r="Q179" s="134"/>
      <c r="R179" s="134"/>
      <c r="S179" s="134"/>
      <c r="T179" s="134"/>
      <c r="U179" s="134"/>
      <c r="V179" s="134"/>
      <c r="W179" s="134"/>
      <c r="X179" s="134"/>
      <c r="Y179" s="134"/>
      <c r="Z179" s="134"/>
      <c r="AA179" s="134"/>
    </row>
    <row r="180" ht="15.75" customHeight="1">
      <c r="A180" s="149"/>
      <c r="B180" s="149"/>
      <c r="C180" s="149"/>
      <c r="D180" s="149"/>
      <c r="E180" s="149"/>
      <c r="F180" s="149"/>
      <c r="G180" s="149"/>
      <c r="H180" s="135" t="str">
        <f>IFERROR(VLOOKUP(G180,'Conformance Score'!A:B, 2, 0), "")</f>
        <v/>
      </c>
      <c r="I180" s="150"/>
      <c r="J180" s="150"/>
      <c r="K180" s="134"/>
      <c r="L180" s="134"/>
      <c r="M180" s="134"/>
      <c r="N180" s="134"/>
      <c r="O180" s="134"/>
      <c r="P180" s="134"/>
      <c r="Q180" s="134"/>
      <c r="R180" s="134"/>
      <c r="S180" s="134"/>
      <c r="T180" s="134"/>
      <c r="U180" s="134"/>
      <c r="V180" s="134"/>
      <c r="W180" s="134"/>
      <c r="X180" s="134"/>
      <c r="Y180" s="134"/>
      <c r="Z180" s="134"/>
      <c r="AA180" s="134"/>
    </row>
    <row r="181" ht="15.75" customHeight="1">
      <c r="A181" s="149"/>
      <c r="B181" s="149"/>
      <c r="C181" s="149"/>
      <c r="D181" s="149"/>
      <c r="E181" s="149"/>
      <c r="F181" s="149"/>
      <c r="G181" s="149"/>
      <c r="H181" s="135" t="str">
        <f>IFERROR(VLOOKUP(G181,'Conformance Score'!A:B, 2, 0), "")</f>
        <v/>
      </c>
      <c r="I181" s="150"/>
      <c r="J181" s="150"/>
      <c r="K181" s="134"/>
      <c r="L181" s="134"/>
      <c r="M181" s="134"/>
      <c r="N181" s="134"/>
      <c r="O181" s="134"/>
      <c r="P181" s="134"/>
      <c r="Q181" s="134"/>
      <c r="R181" s="134"/>
      <c r="S181" s="134"/>
      <c r="T181" s="134"/>
      <c r="U181" s="134"/>
      <c r="V181" s="134"/>
      <c r="W181" s="134"/>
      <c r="X181" s="134"/>
      <c r="Y181" s="134"/>
      <c r="Z181" s="134"/>
      <c r="AA181" s="134"/>
    </row>
    <row r="182" ht="15.75" customHeight="1">
      <c r="A182" s="149"/>
      <c r="B182" s="149"/>
      <c r="C182" s="149"/>
      <c r="D182" s="149"/>
      <c r="E182" s="149"/>
      <c r="F182" s="149"/>
      <c r="G182" s="149"/>
      <c r="H182" s="135" t="str">
        <f>IFERROR(VLOOKUP(G182,'Conformance Score'!A:B, 2, 0), "")</f>
        <v/>
      </c>
      <c r="I182" s="150"/>
      <c r="J182" s="150"/>
      <c r="K182" s="134"/>
      <c r="L182" s="134"/>
      <c r="M182" s="134"/>
      <c r="N182" s="134"/>
      <c r="O182" s="134"/>
      <c r="P182" s="134"/>
      <c r="Q182" s="134"/>
      <c r="R182" s="134"/>
      <c r="S182" s="134"/>
      <c r="T182" s="134"/>
      <c r="U182" s="134"/>
      <c r="V182" s="134"/>
      <c r="W182" s="134"/>
      <c r="X182" s="134"/>
      <c r="Y182" s="134"/>
      <c r="Z182" s="134"/>
      <c r="AA182" s="134"/>
    </row>
    <row r="183" ht="15.75" customHeight="1">
      <c r="A183" s="149"/>
      <c r="B183" s="149"/>
      <c r="C183" s="149"/>
      <c r="D183" s="149"/>
      <c r="E183" s="149"/>
      <c r="F183" s="149"/>
      <c r="G183" s="149"/>
      <c r="H183" s="135" t="str">
        <f>IFERROR(VLOOKUP(G183,'Conformance Score'!A:B, 2, 0), "")</f>
        <v/>
      </c>
      <c r="I183" s="150"/>
      <c r="J183" s="150"/>
      <c r="K183" s="134"/>
      <c r="L183" s="134"/>
      <c r="M183" s="134"/>
      <c r="N183" s="134"/>
      <c r="O183" s="134"/>
      <c r="P183" s="134"/>
      <c r="Q183" s="134"/>
      <c r="R183" s="134"/>
      <c r="S183" s="134"/>
      <c r="T183" s="134"/>
      <c r="U183" s="134"/>
      <c r="V183" s="134"/>
      <c r="W183" s="134"/>
      <c r="X183" s="134"/>
      <c r="Y183" s="134"/>
      <c r="Z183" s="134"/>
      <c r="AA183" s="134"/>
    </row>
    <row r="184" ht="15.75" customHeight="1">
      <c r="A184" s="149"/>
      <c r="B184" s="149"/>
      <c r="C184" s="149"/>
      <c r="D184" s="149"/>
      <c r="E184" s="149"/>
      <c r="F184" s="149"/>
      <c r="G184" s="149"/>
      <c r="H184" s="135" t="str">
        <f>IFERROR(VLOOKUP(G184,'Conformance Score'!A:B, 2, 0), "")</f>
        <v/>
      </c>
      <c r="I184" s="150"/>
      <c r="J184" s="150"/>
      <c r="K184" s="134"/>
      <c r="L184" s="134"/>
      <c r="M184" s="134"/>
      <c r="N184" s="134"/>
      <c r="O184" s="134"/>
      <c r="P184" s="134"/>
      <c r="Q184" s="134"/>
      <c r="R184" s="134"/>
      <c r="S184" s="134"/>
      <c r="T184" s="134"/>
      <c r="U184" s="134"/>
      <c r="V184" s="134"/>
      <c r="W184" s="134"/>
      <c r="X184" s="134"/>
      <c r="Y184" s="134"/>
      <c r="Z184" s="134"/>
      <c r="AA184" s="134"/>
    </row>
    <row r="185" ht="15.75" customHeight="1">
      <c r="A185" s="149"/>
      <c r="B185" s="149"/>
      <c r="C185" s="149"/>
      <c r="D185" s="149"/>
      <c r="E185" s="149"/>
      <c r="F185" s="149"/>
      <c r="G185" s="149"/>
      <c r="H185" s="135" t="str">
        <f>IFERROR(VLOOKUP(G185,'Conformance Score'!A:B, 2, 0), "")</f>
        <v/>
      </c>
      <c r="I185" s="150"/>
      <c r="J185" s="150"/>
      <c r="K185" s="134"/>
      <c r="L185" s="134"/>
      <c r="M185" s="134"/>
      <c r="N185" s="134"/>
      <c r="O185" s="134"/>
      <c r="P185" s="134"/>
      <c r="Q185" s="134"/>
      <c r="R185" s="134"/>
      <c r="S185" s="134"/>
      <c r="T185" s="134"/>
      <c r="U185" s="134"/>
      <c r="V185" s="134"/>
      <c r="W185" s="134"/>
      <c r="X185" s="134"/>
      <c r="Y185" s="134"/>
      <c r="Z185" s="134"/>
      <c r="AA185" s="134"/>
    </row>
    <row r="186" ht="15.75" customHeight="1">
      <c r="A186" s="149"/>
      <c r="B186" s="149"/>
      <c r="C186" s="149"/>
      <c r="D186" s="149"/>
      <c r="E186" s="149"/>
      <c r="F186" s="149"/>
      <c r="G186" s="149"/>
      <c r="H186" s="135" t="str">
        <f>IFERROR(VLOOKUP(G186,'Conformance Score'!A:B, 2, 0), "")</f>
        <v/>
      </c>
      <c r="I186" s="150"/>
      <c r="J186" s="150"/>
      <c r="K186" s="134"/>
      <c r="L186" s="134"/>
      <c r="M186" s="134"/>
      <c r="N186" s="134"/>
      <c r="O186" s="134"/>
      <c r="P186" s="134"/>
      <c r="Q186" s="134"/>
      <c r="R186" s="134"/>
      <c r="S186" s="134"/>
      <c r="T186" s="134"/>
      <c r="U186" s="134"/>
      <c r="V186" s="134"/>
      <c r="W186" s="134"/>
      <c r="X186" s="134"/>
      <c r="Y186" s="134"/>
      <c r="Z186" s="134"/>
      <c r="AA186" s="134"/>
    </row>
    <row r="187" ht="15.75" customHeight="1">
      <c r="A187" s="149"/>
      <c r="B187" s="149"/>
      <c r="C187" s="149"/>
      <c r="D187" s="149"/>
      <c r="E187" s="149"/>
      <c r="F187" s="149"/>
      <c r="G187" s="149"/>
      <c r="H187" s="135" t="str">
        <f>IFERROR(VLOOKUP(G187,'Conformance Score'!A:B, 2, 0), "")</f>
        <v/>
      </c>
      <c r="I187" s="150"/>
      <c r="J187" s="150"/>
      <c r="K187" s="134"/>
      <c r="L187" s="134"/>
      <c r="M187" s="134"/>
      <c r="N187" s="134"/>
      <c r="O187" s="134"/>
      <c r="P187" s="134"/>
      <c r="Q187" s="134"/>
      <c r="R187" s="134"/>
      <c r="S187" s="134"/>
      <c r="T187" s="134"/>
      <c r="U187" s="134"/>
      <c r="V187" s="134"/>
      <c r="W187" s="134"/>
      <c r="X187" s="134"/>
      <c r="Y187" s="134"/>
      <c r="Z187" s="134"/>
      <c r="AA187" s="134"/>
    </row>
    <row r="188" ht="15.75" customHeight="1">
      <c r="A188" s="149"/>
      <c r="B188" s="149"/>
      <c r="C188" s="149"/>
      <c r="D188" s="149"/>
      <c r="E188" s="149"/>
      <c r="F188" s="149"/>
      <c r="G188" s="149"/>
      <c r="H188" s="135" t="str">
        <f>IFERROR(VLOOKUP(G188,'Conformance Score'!A:B, 2, 0), "")</f>
        <v/>
      </c>
      <c r="I188" s="150"/>
      <c r="J188" s="150"/>
      <c r="K188" s="134"/>
      <c r="L188" s="134"/>
      <c r="M188" s="134"/>
      <c r="N188" s="134"/>
      <c r="O188" s="134"/>
      <c r="P188" s="134"/>
      <c r="Q188" s="134"/>
      <c r="R188" s="134"/>
      <c r="S188" s="134"/>
      <c r="T188" s="134"/>
      <c r="U188" s="134"/>
      <c r="V188" s="134"/>
      <c r="W188" s="134"/>
      <c r="X188" s="134"/>
      <c r="Y188" s="134"/>
      <c r="Z188" s="134"/>
      <c r="AA188" s="134"/>
    </row>
    <row r="189" ht="15.75" customHeight="1">
      <c r="A189" s="149"/>
      <c r="B189" s="149"/>
      <c r="C189" s="149"/>
      <c r="D189" s="149"/>
      <c r="E189" s="149"/>
      <c r="F189" s="149"/>
      <c r="G189" s="149"/>
      <c r="H189" s="135" t="str">
        <f>IFERROR(VLOOKUP(G189,'Conformance Score'!A:B, 2, 0), "")</f>
        <v/>
      </c>
      <c r="I189" s="150"/>
      <c r="J189" s="150"/>
      <c r="K189" s="134"/>
      <c r="L189" s="134"/>
      <c r="M189" s="134"/>
      <c r="N189" s="134"/>
      <c r="O189" s="134"/>
      <c r="P189" s="134"/>
      <c r="Q189" s="134"/>
      <c r="R189" s="134"/>
      <c r="S189" s="134"/>
      <c r="T189" s="134"/>
      <c r="U189" s="134"/>
      <c r="V189" s="134"/>
      <c r="W189" s="134"/>
      <c r="X189" s="134"/>
      <c r="Y189" s="134"/>
      <c r="Z189" s="134"/>
      <c r="AA189" s="134"/>
    </row>
    <row r="190" ht="15.75" customHeight="1">
      <c r="A190" s="149"/>
      <c r="B190" s="149"/>
      <c r="C190" s="149"/>
      <c r="D190" s="149"/>
      <c r="E190" s="149"/>
      <c r="F190" s="149"/>
      <c r="G190" s="149"/>
      <c r="H190" s="135" t="str">
        <f>IFERROR(VLOOKUP(G190,'Conformance Score'!A:B, 2, 0), "")</f>
        <v/>
      </c>
      <c r="I190" s="150"/>
      <c r="J190" s="150"/>
      <c r="K190" s="134"/>
      <c r="L190" s="134"/>
      <c r="M190" s="134"/>
      <c r="N190" s="134"/>
      <c r="O190" s="134"/>
      <c r="P190" s="134"/>
      <c r="Q190" s="134"/>
      <c r="R190" s="134"/>
      <c r="S190" s="134"/>
      <c r="T190" s="134"/>
      <c r="U190" s="134"/>
      <c r="V190" s="134"/>
      <c r="W190" s="134"/>
      <c r="X190" s="134"/>
      <c r="Y190" s="134"/>
      <c r="Z190" s="134"/>
      <c r="AA190" s="134"/>
    </row>
    <row r="191" ht="15.75" customHeight="1">
      <c r="A191" s="149"/>
      <c r="B191" s="149"/>
      <c r="C191" s="149"/>
      <c r="D191" s="149"/>
      <c r="E191" s="149"/>
      <c r="F191" s="149"/>
      <c r="G191" s="149"/>
      <c r="H191" s="135" t="str">
        <f>IFERROR(VLOOKUP(G191,'Conformance Score'!A:B, 2, 0), "")</f>
        <v/>
      </c>
      <c r="I191" s="150"/>
      <c r="J191" s="150"/>
      <c r="K191" s="134"/>
      <c r="L191" s="134"/>
      <c r="M191" s="134"/>
      <c r="N191" s="134"/>
      <c r="O191" s="134"/>
      <c r="P191" s="134"/>
      <c r="Q191" s="134"/>
      <c r="R191" s="134"/>
      <c r="S191" s="134"/>
      <c r="T191" s="134"/>
      <c r="U191" s="134"/>
      <c r="V191" s="134"/>
      <c r="W191" s="134"/>
      <c r="X191" s="134"/>
      <c r="Y191" s="134"/>
      <c r="Z191" s="134"/>
      <c r="AA191" s="134"/>
    </row>
    <row r="192" ht="15.75" customHeight="1">
      <c r="A192" s="149"/>
      <c r="B192" s="149"/>
      <c r="C192" s="149"/>
      <c r="D192" s="149"/>
      <c r="E192" s="149"/>
      <c r="F192" s="149"/>
      <c r="G192" s="149"/>
      <c r="H192" s="135" t="str">
        <f>IFERROR(VLOOKUP(G192,'Conformance Score'!A:B, 2, 0), "")</f>
        <v/>
      </c>
      <c r="I192" s="150"/>
      <c r="J192" s="150"/>
      <c r="K192" s="134"/>
      <c r="L192" s="134"/>
      <c r="M192" s="134"/>
      <c r="N192" s="134"/>
      <c r="O192" s="134"/>
      <c r="P192" s="134"/>
      <c r="Q192" s="134"/>
      <c r="R192" s="134"/>
      <c r="S192" s="134"/>
      <c r="T192" s="134"/>
      <c r="U192" s="134"/>
      <c r="V192" s="134"/>
      <c r="W192" s="134"/>
      <c r="X192" s="134"/>
      <c r="Y192" s="134"/>
      <c r="Z192" s="134"/>
      <c r="AA192" s="134"/>
    </row>
    <row r="193" ht="15.75" customHeight="1">
      <c r="A193" s="149"/>
      <c r="B193" s="149"/>
      <c r="C193" s="149"/>
      <c r="D193" s="149"/>
      <c r="E193" s="149"/>
      <c r="F193" s="149"/>
      <c r="G193" s="149"/>
      <c r="H193" s="135" t="str">
        <f>IFERROR(VLOOKUP(G193,'Conformance Score'!A:B, 2, 0), "")</f>
        <v/>
      </c>
      <c r="I193" s="150"/>
      <c r="J193" s="150"/>
      <c r="K193" s="134"/>
      <c r="L193" s="134"/>
      <c r="M193" s="134"/>
      <c r="N193" s="134"/>
      <c r="O193" s="134"/>
      <c r="P193" s="134"/>
      <c r="Q193" s="134"/>
      <c r="R193" s="134"/>
      <c r="S193" s="134"/>
      <c r="T193" s="134"/>
      <c r="U193" s="134"/>
      <c r="V193" s="134"/>
      <c r="W193" s="134"/>
      <c r="X193" s="134"/>
      <c r="Y193" s="134"/>
      <c r="Z193" s="134"/>
      <c r="AA193" s="134"/>
    </row>
    <row r="194" ht="15.75" customHeight="1">
      <c r="A194" s="149"/>
      <c r="B194" s="149"/>
      <c r="C194" s="149"/>
      <c r="D194" s="149"/>
      <c r="E194" s="149"/>
      <c r="F194" s="149"/>
      <c r="G194" s="149"/>
      <c r="H194" s="135" t="str">
        <f>IFERROR(VLOOKUP(G194,'Conformance Score'!A:B, 2, 0), "")</f>
        <v/>
      </c>
      <c r="I194" s="150"/>
      <c r="J194" s="150"/>
      <c r="K194" s="134"/>
      <c r="L194" s="134"/>
      <c r="M194" s="134"/>
      <c r="N194" s="134"/>
      <c r="O194" s="134"/>
      <c r="P194" s="134"/>
      <c r="Q194" s="134"/>
      <c r="R194" s="134"/>
      <c r="S194" s="134"/>
      <c r="T194" s="134"/>
      <c r="U194" s="134"/>
      <c r="V194" s="134"/>
      <c r="W194" s="134"/>
      <c r="X194" s="134"/>
      <c r="Y194" s="134"/>
      <c r="Z194" s="134"/>
      <c r="AA194" s="134"/>
    </row>
    <row r="195" ht="15.75" customHeight="1">
      <c r="A195" s="149"/>
      <c r="B195" s="149"/>
      <c r="C195" s="149"/>
      <c r="D195" s="149"/>
      <c r="E195" s="149"/>
      <c r="F195" s="149"/>
      <c r="G195" s="149"/>
      <c r="H195" s="135" t="str">
        <f>IFERROR(VLOOKUP(G195,'Conformance Score'!A:B, 2, 0), "")</f>
        <v/>
      </c>
      <c r="I195" s="150"/>
      <c r="J195" s="150"/>
      <c r="K195" s="134"/>
      <c r="L195" s="134"/>
      <c r="M195" s="134"/>
      <c r="N195" s="134"/>
      <c r="O195" s="134"/>
      <c r="P195" s="134"/>
      <c r="Q195" s="134"/>
      <c r="R195" s="134"/>
      <c r="S195" s="134"/>
      <c r="T195" s="134"/>
      <c r="U195" s="134"/>
      <c r="V195" s="134"/>
      <c r="W195" s="134"/>
      <c r="X195" s="134"/>
      <c r="Y195" s="134"/>
      <c r="Z195" s="134"/>
      <c r="AA195" s="134"/>
    </row>
    <row r="196" ht="15.75" customHeight="1">
      <c r="A196" s="149"/>
      <c r="B196" s="149"/>
      <c r="C196" s="149"/>
      <c r="D196" s="149"/>
      <c r="E196" s="149"/>
      <c r="F196" s="149"/>
      <c r="G196" s="149"/>
      <c r="H196" s="135" t="str">
        <f>IFERROR(VLOOKUP(G196,'Conformance Score'!A:B, 2, 0), "")</f>
        <v/>
      </c>
      <c r="I196" s="150"/>
      <c r="J196" s="150"/>
      <c r="K196" s="134"/>
      <c r="L196" s="134"/>
      <c r="M196" s="134"/>
      <c r="N196" s="134"/>
      <c r="O196" s="134"/>
      <c r="P196" s="134"/>
      <c r="Q196" s="134"/>
      <c r="R196" s="134"/>
      <c r="S196" s="134"/>
      <c r="T196" s="134"/>
      <c r="U196" s="134"/>
      <c r="V196" s="134"/>
      <c r="W196" s="134"/>
      <c r="X196" s="134"/>
      <c r="Y196" s="134"/>
      <c r="Z196" s="134"/>
      <c r="AA196" s="134"/>
    </row>
    <row r="197" ht="15.75" customHeight="1">
      <c r="A197" s="149"/>
      <c r="B197" s="149"/>
      <c r="C197" s="149"/>
      <c r="D197" s="149"/>
      <c r="E197" s="149"/>
      <c r="F197" s="149"/>
      <c r="G197" s="149"/>
      <c r="H197" s="135" t="str">
        <f>IFERROR(VLOOKUP(G197,'Conformance Score'!A:B, 2, 0), "")</f>
        <v/>
      </c>
      <c r="I197" s="150"/>
      <c r="J197" s="150"/>
      <c r="K197" s="134"/>
      <c r="L197" s="134"/>
      <c r="M197" s="134"/>
      <c r="N197" s="134"/>
      <c r="O197" s="134"/>
      <c r="P197" s="134"/>
      <c r="Q197" s="134"/>
      <c r="R197" s="134"/>
      <c r="S197" s="134"/>
      <c r="T197" s="134"/>
      <c r="U197" s="134"/>
      <c r="V197" s="134"/>
      <c r="W197" s="134"/>
      <c r="X197" s="134"/>
      <c r="Y197" s="134"/>
      <c r="Z197" s="134"/>
      <c r="AA197" s="134"/>
    </row>
    <row r="198" ht="15.75" customHeight="1">
      <c r="A198" s="149"/>
      <c r="B198" s="149"/>
      <c r="C198" s="149"/>
      <c r="D198" s="149"/>
      <c r="E198" s="149"/>
      <c r="F198" s="149"/>
      <c r="G198" s="149"/>
      <c r="H198" s="135" t="str">
        <f>IFERROR(VLOOKUP(G198,'Conformance Score'!A:B, 2, 0), "")</f>
        <v/>
      </c>
      <c r="I198" s="150"/>
      <c r="J198" s="150"/>
      <c r="K198" s="134"/>
      <c r="L198" s="134"/>
      <c r="M198" s="134"/>
      <c r="N198" s="134"/>
      <c r="O198" s="134"/>
      <c r="P198" s="134"/>
      <c r="Q198" s="134"/>
      <c r="R198" s="134"/>
      <c r="S198" s="134"/>
      <c r="T198" s="134"/>
      <c r="U198" s="134"/>
      <c r="V198" s="134"/>
      <c r="W198" s="134"/>
      <c r="X198" s="134"/>
      <c r="Y198" s="134"/>
      <c r="Z198" s="134"/>
      <c r="AA198" s="134"/>
    </row>
    <row r="199" ht="15.75" customHeight="1">
      <c r="A199" s="149"/>
      <c r="B199" s="149"/>
      <c r="C199" s="149"/>
      <c r="D199" s="149"/>
      <c r="E199" s="149"/>
      <c r="F199" s="149"/>
      <c r="G199" s="149"/>
      <c r="H199" s="135" t="str">
        <f>IFERROR(VLOOKUP(G199,'Conformance Score'!A:B, 2, 0), "")</f>
        <v/>
      </c>
      <c r="I199" s="150"/>
      <c r="J199" s="150"/>
      <c r="K199" s="134"/>
      <c r="L199" s="134"/>
      <c r="M199" s="134"/>
      <c r="N199" s="134"/>
      <c r="O199" s="134"/>
      <c r="P199" s="134"/>
      <c r="Q199" s="134"/>
      <c r="R199" s="134"/>
      <c r="S199" s="134"/>
      <c r="T199" s="134"/>
      <c r="U199" s="134"/>
      <c r="V199" s="134"/>
      <c r="W199" s="134"/>
      <c r="X199" s="134"/>
      <c r="Y199" s="134"/>
      <c r="Z199" s="134"/>
      <c r="AA199" s="134"/>
    </row>
    <row r="200" ht="15.75" customHeight="1">
      <c r="A200" s="149"/>
      <c r="B200" s="149"/>
      <c r="C200" s="149"/>
      <c r="D200" s="149"/>
      <c r="E200" s="149"/>
      <c r="F200" s="149"/>
      <c r="G200" s="149"/>
      <c r="H200" s="135" t="str">
        <f>IFERROR(VLOOKUP(G200,'Conformance Score'!A:B, 2, 0), "")</f>
        <v/>
      </c>
      <c r="I200" s="150"/>
      <c r="J200" s="150"/>
      <c r="K200" s="134"/>
      <c r="L200" s="134"/>
      <c r="M200" s="134"/>
      <c r="N200" s="134"/>
      <c r="O200" s="134"/>
      <c r="P200" s="134"/>
      <c r="Q200" s="134"/>
      <c r="R200" s="134"/>
      <c r="S200" s="134"/>
      <c r="T200" s="134"/>
      <c r="U200" s="134"/>
      <c r="V200" s="134"/>
      <c r="W200" s="134"/>
      <c r="X200" s="134"/>
      <c r="Y200" s="134"/>
      <c r="Z200" s="134"/>
      <c r="AA200" s="134"/>
    </row>
    <row r="201" ht="15.75" customHeight="1">
      <c r="A201" s="149"/>
      <c r="B201" s="149"/>
      <c r="C201" s="149"/>
      <c r="D201" s="149"/>
      <c r="E201" s="149"/>
      <c r="F201" s="149"/>
      <c r="G201" s="149"/>
      <c r="H201" s="135" t="str">
        <f>IFERROR(VLOOKUP(G201,'Conformance Score'!A:B, 2, 0), "")</f>
        <v/>
      </c>
      <c r="I201" s="150"/>
      <c r="J201" s="150"/>
      <c r="K201" s="134"/>
      <c r="L201" s="134"/>
      <c r="M201" s="134"/>
      <c r="N201" s="134"/>
      <c r="O201" s="134"/>
      <c r="P201" s="134"/>
      <c r="Q201" s="134"/>
      <c r="R201" s="134"/>
      <c r="S201" s="134"/>
      <c r="T201" s="134"/>
      <c r="U201" s="134"/>
      <c r="V201" s="134"/>
      <c r="W201" s="134"/>
      <c r="X201" s="134"/>
      <c r="Y201" s="134"/>
      <c r="Z201" s="134"/>
      <c r="AA201" s="134"/>
    </row>
    <row r="202" ht="15.75" customHeight="1">
      <c r="A202" s="149"/>
      <c r="B202" s="149"/>
      <c r="C202" s="149"/>
      <c r="D202" s="149"/>
      <c r="E202" s="149"/>
      <c r="F202" s="149"/>
      <c r="G202" s="149"/>
      <c r="H202" s="135" t="str">
        <f>IFERROR(VLOOKUP(G202,'Conformance Score'!A:B, 2, 0), "")</f>
        <v/>
      </c>
      <c r="I202" s="150"/>
      <c r="J202" s="150"/>
      <c r="K202" s="134"/>
      <c r="L202" s="134"/>
      <c r="M202" s="134"/>
      <c r="N202" s="134"/>
      <c r="O202" s="134"/>
      <c r="P202" s="134"/>
      <c r="Q202" s="134"/>
      <c r="R202" s="134"/>
      <c r="S202" s="134"/>
      <c r="T202" s="134"/>
      <c r="U202" s="134"/>
      <c r="V202" s="134"/>
      <c r="W202" s="134"/>
      <c r="X202" s="134"/>
      <c r="Y202" s="134"/>
      <c r="Z202" s="134"/>
      <c r="AA202" s="134"/>
    </row>
    <row r="203" ht="15.75" customHeight="1">
      <c r="A203" s="149"/>
      <c r="B203" s="149"/>
      <c r="C203" s="149"/>
      <c r="D203" s="149"/>
      <c r="E203" s="149"/>
      <c r="F203" s="149"/>
      <c r="G203" s="149"/>
      <c r="H203" s="135" t="str">
        <f>IFERROR(VLOOKUP(G203,'Conformance Score'!A:B, 2, 0), "")</f>
        <v/>
      </c>
      <c r="I203" s="150"/>
      <c r="J203" s="150"/>
      <c r="K203" s="134"/>
      <c r="L203" s="134"/>
      <c r="M203" s="134"/>
      <c r="N203" s="134"/>
      <c r="O203" s="134"/>
      <c r="P203" s="134"/>
      <c r="Q203" s="134"/>
      <c r="R203" s="134"/>
      <c r="S203" s="134"/>
      <c r="T203" s="134"/>
      <c r="U203" s="134"/>
      <c r="V203" s="134"/>
      <c r="W203" s="134"/>
      <c r="X203" s="134"/>
      <c r="Y203" s="134"/>
      <c r="Z203" s="134"/>
      <c r="AA203" s="134"/>
    </row>
    <row r="204" ht="15.75" customHeight="1">
      <c r="A204" s="149"/>
      <c r="B204" s="149"/>
      <c r="C204" s="149"/>
      <c r="D204" s="149"/>
      <c r="E204" s="149"/>
      <c r="F204" s="149"/>
      <c r="G204" s="149"/>
      <c r="H204" s="135" t="str">
        <f>IFERROR(VLOOKUP(G204,'Conformance Score'!A:B, 2, 0), "")</f>
        <v/>
      </c>
      <c r="I204" s="150"/>
      <c r="J204" s="150"/>
      <c r="K204" s="134"/>
      <c r="L204" s="134"/>
      <c r="M204" s="134"/>
      <c r="N204" s="134"/>
      <c r="O204" s="134"/>
      <c r="P204" s="134"/>
      <c r="Q204" s="134"/>
      <c r="R204" s="134"/>
      <c r="S204" s="134"/>
      <c r="T204" s="134"/>
      <c r="U204" s="134"/>
      <c r="V204" s="134"/>
      <c r="W204" s="134"/>
      <c r="X204" s="134"/>
      <c r="Y204" s="134"/>
      <c r="Z204" s="134"/>
      <c r="AA204" s="134"/>
    </row>
    <row r="205" ht="15.75" customHeight="1">
      <c r="A205" s="149"/>
      <c r="B205" s="149"/>
      <c r="C205" s="149"/>
      <c r="D205" s="149"/>
      <c r="E205" s="149"/>
      <c r="F205" s="149"/>
      <c r="G205" s="149"/>
      <c r="H205" s="135" t="str">
        <f>IFERROR(VLOOKUP(G205,'Conformance Score'!A:B, 2, 0), "")</f>
        <v/>
      </c>
      <c r="I205" s="150"/>
      <c r="J205" s="150"/>
      <c r="K205" s="134"/>
      <c r="L205" s="134"/>
      <c r="M205" s="134"/>
      <c r="N205" s="134"/>
      <c r="O205" s="134"/>
      <c r="P205" s="134"/>
      <c r="Q205" s="134"/>
      <c r="R205" s="134"/>
      <c r="S205" s="134"/>
      <c r="T205" s="134"/>
      <c r="U205" s="134"/>
      <c r="V205" s="134"/>
      <c r="W205" s="134"/>
      <c r="X205" s="134"/>
      <c r="Y205" s="134"/>
      <c r="Z205" s="134"/>
      <c r="AA205" s="134"/>
    </row>
    <row r="206" ht="15.75" customHeight="1">
      <c r="A206" s="149"/>
      <c r="B206" s="149"/>
      <c r="C206" s="149"/>
      <c r="D206" s="149"/>
      <c r="E206" s="149"/>
      <c r="F206" s="149"/>
      <c r="G206" s="149"/>
      <c r="H206" s="135" t="str">
        <f>IFERROR(VLOOKUP(G206,'Conformance Score'!A:B, 2, 0), "")</f>
        <v/>
      </c>
      <c r="I206" s="150"/>
      <c r="J206" s="150"/>
      <c r="K206" s="134"/>
      <c r="L206" s="134"/>
      <c r="M206" s="134"/>
      <c r="N206" s="134"/>
      <c r="O206" s="134"/>
      <c r="P206" s="134"/>
      <c r="Q206" s="134"/>
      <c r="R206" s="134"/>
      <c r="S206" s="134"/>
      <c r="T206" s="134"/>
      <c r="U206" s="134"/>
      <c r="V206" s="134"/>
      <c r="W206" s="134"/>
      <c r="X206" s="134"/>
      <c r="Y206" s="134"/>
      <c r="Z206" s="134"/>
      <c r="AA206" s="134"/>
    </row>
    <row r="207" ht="15.75" customHeight="1">
      <c r="A207" s="149"/>
      <c r="B207" s="149"/>
      <c r="C207" s="149"/>
      <c r="D207" s="149"/>
      <c r="E207" s="149"/>
      <c r="F207" s="149"/>
      <c r="G207" s="149"/>
      <c r="H207" s="135" t="str">
        <f>IFERROR(VLOOKUP(G207,'Conformance Score'!A:B, 2, 0), "")</f>
        <v/>
      </c>
      <c r="I207" s="150"/>
      <c r="J207" s="150"/>
      <c r="K207" s="134"/>
      <c r="L207" s="134"/>
      <c r="M207" s="134"/>
      <c r="N207" s="134"/>
      <c r="O207" s="134"/>
      <c r="P207" s="134"/>
      <c r="Q207" s="134"/>
      <c r="R207" s="134"/>
      <c r="S207" s="134"/>
      <c r="T207" s="134"/>
      <c r="U207" s="134"/>
      <c r="V207" s="134"/>
      <c r="W207" s="134"/>
      <c r="X207" s="134"/>
      <c r="Y207" s="134"/>
      <c r="Z207" s="134"/>
      <c r="AA207" s="134"/>
    </row>
    <row r="208" ht="15.75" customHeight="1">
      <c r="A208" s="149"/>
      <c r="B208" s="149"/>
      <c r="C208" s="149"/>
      <c r="D208" s="149"/>
      <c r="E208" s="149"/>
      <c r="F208" s="149"/>
      <c r="G208" s="149"/>
      <c r="H208" s="135" t="str">
        <f>IFERROR(VLOOKUP(G208,'Conformance Score'!A:B, 2, 0), "")</f>
        <v/>
      </c>
      <c r="I208" s="150"/>
      <c r="J208" s="150"/>
      <c r="K208" s="134"/>
      <c r="L208" s="134"/>
      <c r="M208" s="134"/>
      <c r="N208" s="134"/>
      <c r="O208" s="134"/>
      <c r="P208" s="134"/>
      <c r="Q208" s="134"/>
      <c r="R208" s="134"/>
      <c r="S208" s="134"/>
      <c r="T208" s="134"/>
      <c r="U208" s="134"/>
      <c r="V208" s="134"/>
      <c r="W208" s="134"/>
      <c r="X208" s="134"/>
      <c r="Y208" s="134"/>
      <c r="Z208" s="134"/>
      <c r="AA208" s="134"/>
    </row>
    <row r="209" ht="15.75" customHeight="1">
      <c r="A209" s="149"/>
      <c r="B209" s="149"/>
      <c r="C209" s="149"/>
      <c r="D209" s="149"/>
      <c r="E209" s="149"/>
      <c r="F209" s="149"/>
      <c r="G209" s="149"/>
      <c r="H209" s="135" t="str">
        <f>IFERROR(VLOOKUP(G209,'Conformance Score'!A:B, 2, 0), "")</f>
        <v/>
      </c>
      <c r="I209" s="150"/>
      <c r="J209" s="150"/>
      <c r="K209" s="134"/>
      <c r="L209" s="134"/>
      <c r="M209" s="134"/>
      <c r="N209" s="134"/>
      <c r="O209" s="134"/>
      <c r="P209" s="134"/>
      <c r="Q209" s="134"/>
      <c r="R209" s="134"/>
      <c r="S209" s="134"/>
      <c r="T209" s="134"/>
      <c r="U209" s="134"/>
      <c r="V209" s="134"/>
      <c r="W209" s="134"/>
      <c r="X209" s="134"/>
      <c r="Y209" s="134"/>
      <c r="Z209" s="134"/>
      <c r="AA209" s="134"/>
    </row>
    <row r="210" ht="15.75" customHeight="1">
      <c r="A210" s="149"/>
      <c r="B210" s="149"/>
      <c r="C210" s="149"/>
      <c r="D210" s="149"/>
      <c r="E210" s="149"/>
      <c r="F210" s="149"/>
      <c r="G210" s="149"/>
      <c r="H210" s="135" t="str">
        <f>IFERROR(VLOOKUP(G210,'Conformance Score'!A:B, 2, 0), "")</f>
        <v/>
      </c>
      <c r="I210" s="150"/>
      <c r="J210" s="150"/>
      <c r="K210" s="134"/>
      <c r="L210" s="134"/>
      <c r="M210" s="134"/>
      <c r="N210" s="134"/>
      <c r="O210" s="134"/>
      <c r="P210" s="134"/>
      <c r="Q210" s="134"/>
      <c r="R210" s="134"/>
      <c r="S210" s="134"/>
      <c r="T210" s="134"/>
      <c r="U210" s="134"/>
      <c r="V210" s="134"/>
      <c r="W210" s="134"/>
      <c r="X210" s="134"/>
      <c r="Y210" s="134"/>
      <c r="Z210" s="134"/>
      <c r="AA210" s="134"/>
    </row>
    <row r="211" ht="15.75" customHeight="1">
      <c r="A211" s="149"/>
      <c r="B211" s="149"/>
      <c r="C211" s="149"/>
      <c r="D211" s="149"/>
      <c r="E211" s="149"/>
      <c r="F211" s="149"/>
      <c r="G211" s="149"/>
      <c r="H211" s="135" t="str">
        <f>IFERROR(VLOOKUP(G211,'Conformance Score'!A:B, 2, 0), "")</f>
        <v/>
      </c>
      <c r="I211" s="150"/>
      <c r="J211" s="150"/>
      <c r="K211" s="134"/>
      <c r="L211" s="134"/>
      <c r="M211" s="134"/>
      <c r="N211" s="134"/>
      <c r="O211" s="134"/>
      <c r="P211" s="134"/>
      <c r="Q211" s="134"/>
      <c r="R211" s="134"/>
      <c r="S211" s="134"/>
      <c r="T211" s="134"/>
      <c r="U211" s="134"/>
      <c r="V211" s="134"/>
      <c r="W211" s="134"/>
      <c r="X211" s="134"/>
      <c r="Y211" s="134"/>
      <c r="Z211" s="134"/>
      <c r="AA211" s="134"/>
    </row>
    <row r="212" ht="15.75" customHeight="1">
      <c r="A212" s="149"/>
      <c r="B212" s="149"/>
      <c r="C212" s="149"/>
      <c r="D212" s="149"/>
      <c r="E212" s="149"/>
      <c r="F212" s="149"/>
      <c r="G212" s="149"/>
      <c r="H212" s="135" t="str">
        <f>IFERROR(VLOOKUP(G212,'Conformance Score'!A:B, 2, 0), "")</f>
        <v/>
      </c>
      <c r="I212" s="150"/>
      <c r="J212" s="150"/>
      <c r="K212" s="134"/>
      <c r="L212" s="134"/>
      <c r="M212" s="134"/>
      <c r="N212" s="134"/>
      <c r="O212" s="134"/>
      <c r="P212" s="134"/>
      <c r="Q212" s="134"/>
      <c r="R212" s="134"/>
      <c r="S212" s="134"/>
      <c r="T212" s="134"/>
      <c r="U212" s="134"/>
      <c r="V212" s="134"/>
      <c r="W212" s="134"/>
      <c r="X212" s="134"/>
      <c r="Y212" s="134"/>
      <c r="Z212" s="134"/>
      <c r="AA212" s="134"/>
    </row>
    <row r="213" ht="15.75" customHeight="1">
      <c r="A213" s="149"/>
      <c r="B213" s="149"/>
      <c r="C213" s="149"/>
      <c r="D213" s="149"/>
      <c r="E213" s="149"/>
      <c r="F213" s="149"/>
      <c r="G213" s="149"/>
      <c r="H213" s="135" t="str">
        <f>IFERROR(VLOOKUP(G213,'Conformance Score'!A:B, 2, 0), "")</f>
        <v/>
      </c>
      <c r="I213" s="150"/>
      <c r="J213" s="150"/>
      <c r="K213" s="134"/>
      <c r="L213" s="134"/>
      <c r="M213" s="134"/>
      <c r="N213" s="134"/>
      <c r="O213" s="134"/>
      <c r="P213" s="134"/>
      <c r="Q213" s="134"/>
      <c r="R213" s="134"/>
      <c r="S213" s="134"/>
      <c r="T213" s="134"/>
      <c r="U213" s="134"/>
      <c r="V213" s="134"/>
      <c r="W213" s="134"/>
      <c r="X213" s="134"/>
      <c r="Y213" s="134"/>
      <c r="Z213" s="134"/>
      <c r="AA213" s="134"/>
    </row>
    <row r="214" ht="15.75" customHeight="1">
      <c r="A214" s="149"/>
      <c r="B214" s="149"/>
      <c r="C214" s="149"/>
      <c r="D214" s="149"/>
      <c r="E214" s="149"/>
      <c r="F214" s="149"/>
      <c r="G214" s="149"/>
      <c r="H214" s="135" t="str">
        <f>IFERROR(VLOOKUP(G214,'Conformance Score'!A:B, 2, 0), "")</f>
        <v/>
      </c>
      <c r="I214" s="150"/>
      <c r="J214" s="150"/>
      <c r="K214" s="134"/>
      <c r="L214" s="134"/>
      <c r="M214" s="134"/>
      <c r="N214" s="134"/>
      <c r="O214" s="134"/>
      <c r="P214" s="134"/>
      <c r="Q214" s="134"/>
      <c r="R214" s="134"/>
      <c r="S214" s="134"/>
      <c r="T214" s="134"/>
      <c r="U214" s="134"/>
      <c r="V214" s="134"/>
      <c r="W214" s="134"/>
      <c r="X214" s="134"/>
      <c r="Y214" s="134"/>
      <c r="Z214" s="134"/>
      <c r="AA214" s="134"/>
    </row>
    <row r="215" ht="15.75" customHeight="1">
      <c r="A215" s="149"/>
      <c r="B215" s="149"/>
      <c r="C215" s="149"/>
      <c r="D215" s="149"/>
      <c r="E215" s="149"/>
      <c r="F215" s="149"/>
      <c r="G215" s="149"/>
      <c r="H215" s="135" t="str">
        <f>IFERROR(VLOOKUP(G215,'Conformance Score'!A:B, 2, 0), "")</f>
        <v/>
      </c>
      <c r="I215" s="150"/>
      <c r="J215" s="150"/>
      <c r="K215" s="134"/>
      <c r="L215" s="134"/>
      <c r="M215" s="134"/>
      <c r="N215" s="134"/>
      <c r="O215" s="134"/>
      <c r="P215" s="134"/>
      <c r="Q215" s="134"/>
      <c r="R215" s="134"/>
      <c r="S215" s="134"/>
      <c r="T215" s="134"/>
      <c r="U215" s="134"/>
      <c r="V215" s="134"/>
      <c r="W215" s="134"/>
      <c r="X215" s="134"/>
      <c r="Y215" s="134"/>
      <c r="Z215" s="134"/>
      <c r="AA215" s="134"/>
    </row>
    <row r="216" ht="15.75" customHeight="1">
      <c r="A216" s="149"/>
      <c r="B216" s="149"/>
      <c r="C216" s="149"/>
      <c r="D216" s="149"/>
      <c r="E216" s="149"/>
      <c r="F216" s="149"/>
      <c r="G216" s="149"/>
      <c r="H216" s="135" t="str">
        <f>IFERROR(VLOOKUP(G216,'Conformance Score'!A:B, 2, 0), "")</f>
        <v/>
      </c>
      <c r="I216" s="150"/>
      <c r="J216" s="150"/>
      <c r="K216" s="134"/>
      <c r="L216" s="134"/>
      <c r="M216" s="134"/>
      <c r="N216" s="134"/>
      <c r="O216" s="134"/>
      <c r="P216" s="134"/>
      <c r="Q216" s="134"/>
      <c r="R216" s="134"/>
      <c r="S216" s="134"/>
      <c r="T216" s="134"/>
      <c r="U216" s="134"/>
      <c r="V216" s="134"/>
      <c r="W216" s="134"/>
      <c r="X216" s="134"/>
      <c r="Y216" s="134"/>
      <c r="Z216" s="134"/>
      <c r="AA216" s="134"/>
    </row>
    <row r="217" ht="15.75" customHeight="1">
      <c r="A217" s="149"/>
      <c r="B217" s="149"/>
      <c r="C217" s="149"/>
      <c r="D217" s="149"/>
      <c r="E217" s="149"/>
      <c r="F217" s="149"/>
      <c r="G217" s="149"/>
      <c r="H217" s="135" t="str">
        <f>IFERROR(VLOOKUP(G217,'Conformance Score'!A:B, 2, 0), "")</f>
        <v/>
      </c>
      <c r="I217" s="150"/>
      <c r="J217" s="150"/>
      <c r="K217" s="134"/>
      <c r="L217" s="134"/>
      <c r="M217" s="134"/>
      <c r="N217" s="134"/>
      <c r="O217" s="134"/>
      <c r="P217" s="134"/>
      <c r="Q217" s="134"/>
      <c r="R217" s="134"/>
      <c r="S217" s="134"/>
      <c r="T217" s="134"/>
      <c r="U217" s="134"/>
      <c r="V217" s="134"/>
      <c r="W217" s="134"/>
      <c r="X217" s="134"/>
      <c r="Y217" s="134"/>
      <c r="Z217" s="134"/>
      <c r="AA217" s="134"/>
    </row>
    <row r="218" ht="15.75" customHeight="1">
      <c r="A218" s="149"/>
      <c r="B218" s="149"/>
      <c r="C218" s="149"/>
      <c r="D218" s="149"/>
      <c r="E218" s="149"/>
      <c r="F218" s="149"/>
      <c r="G218" s="149"/>
      <c r="H218" s="135" t="str">
        <f>IFERROR(VLOOKUP(G218,'Conformance Score'!A:B, 2, 0), "")</f>
        <v/>
      </c>
      <c r="I218" s="150"/>
      <c r="J218" s="150"/>
      <c r="K218" s="134"/>
      <c r="L218" s="134"/>
      <c r="M218" s="134"/>
      <c r="N218" s="134"/>
      <c r="O218" s="134"/>
      <c r="P218" s="134"/>
      <c r="Q218" s="134"/>
      <c r="R218" s="134"/>
      <c r="S218" s="134"/>
      <c r="T218" s="134"/>
      <c r="U218" s="134"/>
      <c r="V218" s="134"/>
      <c r="W218" s="134"/>
      <c r="X218" s="134"/>
      <c r="Y218" s="134"/>
      <c r="Z218" s="134"/>
      <c r="AA218" s="134"/>
    </row>
    <row r="219" ht="15.75" customHeight="1">
      <c r="A219" s="149"/>
      <c r="B219" s="149"/>
      <c r="C219" s="149"/>
      <c r="D219" s="149"/>
      <c r="E219" s="149"/>
      <c r="F219" s="149"/>
      <c r="G219" s="149"/>
      <c r="H219" s="135" t="str">
        <f>IFERROR(VLOOKUP(G219,'Conformance Score'!A:B, 2, 0), "")</f>
        <v/>
      </c>
      <c r="I219" s="150"/>
      <c r="J219" s="150"/>
      <c r="K219" s="134"/>
      <c r="L219" s="134"/>
      <c r="M219" s="134"/>
      <c r="N219" s="134"/>
      <c r="O219" s="134"/>
      <c r="P219" s="134"/>
      <c r="Q219" s="134"/>
      <c r="R219" s="134"/>
      <c r="S219" s="134"/>
      <c r="T219" s="134"/>
      <c r="U219" s="134"/>
      <c r="V219" s="134"/>
      <c r="W219" s="134"/>
      <c r="X219" s="134"/>
      <c r="Y219" s="134"/>
      <c r="Z219" s="134"/>
      <c r="AA219" s="134"/>
    </row>
    <row r="220" ht="15.75" customHeight="1">
      <c r="A220" s="149"/>
      <c r="B220" s="149"/>
      <c r="C220" s="149"/>
      <c r="D220" s="149"/>
      <c r="E220" s="149"/>
      <c r="F220" s="149"/>
      <c r="G220" s="149"/>
      <c r="H220" s="135" t="str">
        <f>IFERROR(VLOOKUP(G220,'Conformance Score'!A:B, 2, 0), "")</f>
        <v/>
      </c>
      <c r="I220" s="150"/>
      <c r="J220" s="150"/>
      <c r="K220" s="134"/>
      <c r="L220" s="134"/>
      <c r="M220" s="134"/>
      <c r="N220" s="134"/>
      <c r="O220" s="134"/>
      <c r="P220" s="134"/>
      <c r="Q220" s="134"/>
      <c r="R220" s="134"/>
      <c r="S220" s="134"/>
      <c r="T220" s="134"/>
      <c r="U220" s="134"/>
      <c r="V220" s="134"/>
      <c r="W220" s="134"/>
      <c r="X220" s="134"/>
      <c r="Y220" s="134"/>
      <c r="Z220" s="134"/>
      <c r="AA220" s="134"/>
    </row>
    <row r="221" ht="15.75" customHeight="1">
      <c r="A221" s="149"/>
      <c r="B221" s="149"/>
      <c r="C221" s="149"/>
      <c r="D221" s="149"/>
      <c r="E221" s="149"/>
      <c r="F221" s="149"/>
      <c r="G221" s="149"/>
      <c r="H221" s="135" t="str">
        <f>IFERROR(VLOOKUP(G221,'Conformance Score'!A:B, 2, 0), "")</f>
        <v/>
      </c>
      <c r="I221" s="150"/>
      <c r="J221" s="150"/>
      <c r="K221" s="134"/>
      <c r="L221" s="134"/>
      <c r="M221" s="134"/>
      <c r="N221" s="134"/>
      <c r="O221" s="134"/>
      <c r="P221" s="134"/>
      <c r="Q221" s="134"/>
      <c r="R221" s="134"/>
      <c r="S221" s="134"/>
      <c r="T221" s="134"/>
      <c r="U221" s="134"/>
      <c r="V221" s="134"/>
      <c r="W221" s="134"/>
      <c r="X221" s="134"/>
      <c r="Y221" s="134"/>
      <c r="Z221" s="134"/>
      <c r="AA221" s="134"/>
    </row>
    <row r="222" ht="15.75" customHeight="1">
      <c r="A222" s="149"/>
      <c r="B222" s="149"/>
      <c r="C222" s="149"/>
      <c r="D222" s="149"/>
      <c r="E222" s="149"/>
      <c r="F222" s="149"/>
      <c r="G222" s="149"/>
      <c r="H222" s="135" t="str">
        <f>IFERROR(VLOOKUP(G222,'Conformance Score'!A:B, 2, 0), "")</f>
        <v/>
      </c>
      <c r="I222" s="150"/>
      <c r="J222" s="150"/>
      <c r="K222" s="134"/>
      <c r="L222" s="134"/>
      <c r="M222" s="134"/>
      <c r="N222" s="134"/>
      <c r="O222" s="134"/>
      <c r="P222" s="134"/>
      <c r="Q222" s="134"/>
      <c r="R222" s="134"/>
      <c r="S222" s="134"/>
      <c r="T222" s="134"/>
      <c r="U222" s="134"/>
      <c r="V222" s="134"/>
      <c r="W222" s="134"/>
      <c r="X222" s="134"/>
      <c r="Y222" s="134"/>
      <c r="Z222" s="134"/>
      <c r="AA222" s="134"/>
    </row>
    <row r="223" ht="15.75" customHeight="1">
      <c r="A223" s="149"/>
      <c r="B223" s="149"/>
      <c r="C223" s="149"/>
      <c r="D223" s="149"/>
      <c r="E223" s="149"/>
      <c r="F223" s="149"/>
      <c r="G223" s="149"/>
      <c r="H223" s="135" t="str">
        <f>IFERROR(VLOOKUP(G223,'Conformance Score'!A:B, 2, 0), "")</f>
        <v/>
      </c>
      <c r="I223" s="150"/>
      <c r="J223" s="150"/>
      <c r="K223" s="134"/>
      <c r="L223" s="134"/>
      <c r="M223" s="134"/>
      <c r="N223" s="134"/>
      <c r="O223" s="134"/>
      <c r="P223" s="134"/>
      <c r="Q223" s="134"/>
      <c r="R223" s="134"/>
      <c r="S223" s="134"/>
      <c r="T223" s="134"/>
      <c r="U223" s="134"/>
      <c r="V223" s="134"/>
      <c r="W223" s="134"/>
      <c r="X223" s="134"/>
      <c r="Y223" s="134"/>
      <c r="Z223" s="134"/>
      <c r="AA223" s="134"/>
    </row>
    <row r="224" ht="15.75" customHeight="1">
      <c r="A224" s="149"/>
      <c r="B224" s="149"/>
      <c r="C224" s="149"/>
      <c r="D224" s="149"/>
      <c r="E224" s="149"/>
      <c r="F224" s="149"/>
      <c r="G224" s="149"/>
      <c r="H224" s="135" t="str">
        <f>IFERROR(VLOOKUP(G224,'Conformance Score'!A:B, 2, 0), "")</f>
        <v/>
      </c>
      <c r="I224" s="150"/>
      <c r="J224" s="150"/>
      <c r="K224" s="134"/>
      <c r="L224" s="134"/>
      <c r="M224" s="134"/>
      <c r="N224" s="134"/>
      <c r="O224" s="134"/>
      <c r="P224" s="134"/>
      <c r="Q224" s="134"/>
      <c r="R224" s="134"/>
      <c r="S224" s="134"/>
      <c r="T224" s="134"/>
      <c r="U224" s="134"/>
      <c r="V224" s="134"/>
      <c r="W224" s="134"/>
      <c r="X224" s="134"/>
      <c r="Y224" s="134"/>
      <c r="Z224" s="134"/>
      <c r="AA224" s="134"/>
    </row>
    <row r="225" ht="15.75" customHeight="1">
      <c r="A225" s="149"/>
      <c r="B225" s="149"/>
      <c r="C225" s="149"/>
      <c r="D225" s="149"/>
      <c r="E225" s="149"/>
      <c r="F225" s="149"/>
      <c r="G225" s="149"/>
      <c r="H225" s="135" t="str">
        <f>IFERROR(VLOOKUP(G225,'Conformance Score'!A:B, 2, 0), "")</f>
        <v/>
      </c>
      <c r="I225" s="150"/>
      <c r="J225" s="150"/>
      <c r="K225" s="134"/>
      <c r="L225" s="134"/>
      <c r="M225" s="134"/>
      <c r="N225" s="134"/>
      <c r="O225" s="134"/>
      <c r="P225" s="134"/>
      <c r="Q225" s="134"/>
      <c r="R225" s="134"/>
      <c r="S225" s="134"/>
      <c r="T225" s="134"/>
      <c r="U225" s="134"/>
      <c r="V225" s="134"/>
      <c r="W225" s="134"/>
      <c r="X225" s="134"/>
      <c r="Y225" s="134"/>
      <c r="Z225" s="134"/>
      <c r="AA225" s="134"/>
    </row>
    <row r="226" ht="15.75" customHeight="1">
      <c r="A226" s="149"/>
      <c r="B226" s="149"/>
      <c r="C226" s="149"/>
      <c r="D226" s="149"/>
      <c r="E226" s="149"/>
      <c r="F226" s="149"/>
      <c r="G226" s="149"/>
      <c r="H226" s="135" t="str">
        <f>IFERROR(VLOOKUP(G226,'Conformance Score'!A:B, 2, 0), "")</f>
        <v/>
      </c>
      <c r="I226" s="150"/>
      <c r="J226" s="150"/>
      <c r="K226" s="134"/>
      <c r="L226" s="134"/>
      <c r="M226" s="134"/>
      <c r="N226" s="134"/>
      <c r="O226" s="134"/>
      <c r="P226" s="134"/>
      <c r="Q226" s="134"/>
      <c r="R226" s="134"/>
      <c r="S226" s="134"/>
      <c r="T226" s="134"/>
      <c r="U226" s="134"/>
      <c r="V226" s="134"/>
      <c r="W226" s="134"/>
      <c r="X226" s="134"/>
      <c r="Y226" s="134"/>
      <c r="Z226" s="134"/>
      <c r="AA226" s="134"/>
    </row>
    <row r="227" ht="15.75" customHeight="1">
      <c r="A227" s="149"/>
      <c r="B227" s="149"/>
      <c r="C227" s="149"/>
      <c r="D227" s="149"/>
      <c r="E227" s="149"/>
      <c r="F227" s="149"/>
      <c r="G227" s="149"/>
      <c r="H227" s="135" t="str">
        <f>IFERROR(VLOOKUP(G227,'Conformance Score'!A:B, 2, 0), "")</f>
        <v/>
      </c>
      <c r="I227" s="150"/>
      <c r="J227" s="150"/>
      <c r="K227" s="134"/>
      <c r="L227" s="134"/>
      <c r="M227" s="134"/>
      <c r="N227" s="134"/>
      <c r="O227" s="134"/>
      <c r="P227" s="134"/>
      <c r="Q227" s="134"/>
      <c r="R227" s="134"/>
      <c r="S227" s="134"/>
      <c r="T227" s="134"/>
      <c r="U227" s="134"/>
      <c r="V227" s="134"/>
      <c r="W227" s="134"/>
      <c r="X227" s="134"/>
      <c r="Y227" s="134"/>
      <c r="Z227" s="134"/>
      <c r="AA227" s="134"/>
    </row>
    <row r="228" ht="15.75" customHeight="1">
      <c r="A228" s="149"/>
      <c r="B228" s="149"/>
      <c r="C228" s="149"/>
      <c r="D228" s="149"/>
      <c r="E228" s="149"/>
      <c r="F228" s="149"/>
      <c r="G228" s="149"/>
      <c r="H228" s="135" t="str">
        <f>IFERROR(VLOOKUP(G228,'Conformance Score'!A:B, 2, 0), "")</f>
        <v/>
      </c>
      <c r="I228" s="150"/>
      <c r="J228" s="150"/>
      <c r="K228" s="134"/>
      <c r="L228" s="134"/>
      <c r="M228" s="134"/>
      <c r="N228" s="134"/>
      <c r="O228" s="134"/>
      <c r="P228" s="134"/>
      <c r="Q228" s="134"/>
      <c r="R228" s="134"/>
      <c r="S228" s="134"/>
      <c r="T228" s="134"/>
      <c r="U228" s="134"/>
      <c r="V228" s="134"/>
      <c r="W228" s="134"/>
      <c r="X228" s="134"/>
      <c r="Y228" s="134"/>
      <c r="Z228" s="134"/>
      <c r="AA228" s="134"/>
    </row>
    <row r="229" ht="15.75" customHeight="1">
      <c r="A229" s="149"/>
      <c r="B229" s="149"/>
      <c r="C229" s="149"/>
      <c r="D229" s="149"/>
      <c r="E229" s="149"/>
      <c r="F229" s="149"/>
      <c r="G229" s="149"/>
      <c r="H229" s="135" t="str">
        <f>IFERROR(VLOOKUP(G229,'Conformance Score'!A:B, 2, 0), "")</f>
        <v/>
      </c>
      <c r="I229" s="150"/>
      <c r="J229" s="150"/>
      <c r="K229" s="134"/>
      <c r="L229" s="134"/>
      <c r="M229" s="134"/>
      <c r="N229" s="134"/>
      <c r="O229" s="134"/>
      <c r="P229" s="134"/>
      <c r="Q229" s="134"/>
      <c r="R229" s="134"/>
      <c r="S229" s="134"/>
      <c r="T229" s="134"/>
      <c r="U229" s="134"/>
      <c r="V229" s="134"/>
      <c r="W229" s="134"/>
      <c r="X229" s="134"/>
      <c r="Y229" s="134"/>
      <c r="Z229" s="134"/>
      <c r="AA229" s="134"/>
    </row>
    <row r="230" ht="15.75" customHeight="1">
      <c r="A230" s="149"/>
      <c r="B230" s="149"/>
      <c r="C230" s="149"/>
      <c r="D230" s="149"/>
      <c r="E230" s="149"/>
      <c r="F230" s="149"/>
      <c r="G230" s="149"/>
      <c r="H230" s="135" t="str">
        <f>IFERROR(VLOOKUP(G230,'Conformance Score'!A:B, 2, 0), "")</f>
        <v/>
      </c>
      <c r="I230" s="150"/>
      <c r="J230" s="150"/>
      <c r="K230" s="134"/>
      <c r="L230" s="134"/>
      <c r="M230" s="134"/>
      <c r="N230" s="134"/>
      <c r="O230" s="134"/>
      <c r="P230" s="134"/>
      <c r="Q230" s="134"/>
      <c r="R230" s="134"/>
      <c r="S230" s="134"/>
      <c r="T230" s="134"/>
      <c r="U230" s="134"/>
      <c r="V230" s="134"/>
      <c r="W230" s="134"/>
      <c r="X230" s="134"/>
      <c r="Y230" s="134"/>
      <c r="Z230" s="134"/>
      <c r="AA230" s="134"/>
    </row>
    <row r="231" ht="15.75" customHeight="1">
      <c r="A231" s="149"/>
      <c r="B231" s="149"/>
      <c r="C231" s="149"/>
      <c r="D231" s="149"/>
      <c r="E231" s="149"/>
      <c r="F231" s="149"/>
      <c r="G231" s="149"/>
      <c r="H231" s="135" t="str">
        <f>IFERROR(VLOOKUP(G231,'Conformance Score'!A:B, 2, 0), "")</f>
        <v/>
      </c>
      <c r="I231" s="150"/>
      <c r="J231" s="150"/>
      <c r="K231" s="134"/>
      <c r="L231" s="134"/>
      <c r="M231" s="134"/>
      <c r="N231" s="134"/>
      <c r="O231" s="134"/>
      <c r="P231" s="134"/>
      <c r="Q231" s="134"/>
      <c r="R231" s="134"/>
      <c r="S231" s="134"/>
      <c r="T231" s="134"/>
      <c r="U231" s="134"/>
      <c r="V231" s="134"/>
      <c r="W231" s="134"/>
      <c r="X231" s="134"/>
      <c r="Y231" s="134"/>
      <c r="Z231" s="134"/>
      <c r="AA231" s="134"/>
    </row>
    <row r="232" ht="15.75" customHeight="1">
      <c r="A232" s="149"/>
      <c r="B232" s="149"/>
      <c r="C232" s="149"/>
      <c r="D232" s="149"/>
      <c r="E232" s="149"/>
      <c r="F232" s="149"/>
      <c r="G232" s="149"/>
      <c r="H232" s="135" t="str">
        <f>IFERROR(VLOOKUP(G232,'Conformance Score'!A:B, 2, 0), "")</f>
        <v/>
      </c>
      <c r="I232" s="150"/>
      <c r="J232" s="150"/>
      <c r="K232" s="134"/>
      <c r="L232" s="134"/>
      <c r="M232" s="134"/>
      <c r="N232" s="134"/>
      <c r="O232" s="134"/>
      <c r="P232" s="134"/>
      <c r="Q232" s="134"/>
      <c r="R232" s="134"/>
      <c r="S232" s="134"/>
      <c r="T232" s="134"/>
      <c r="U232" s="134"/>
      <c r="V232" s="134"/>
      <c r="W232" s="134"/>
      <c r="X232" s="134"/>
      <c r="Y232" s="134"/>
      <c r="Z232" s="134"/>
      <c r="AA232" s="134"/>
    </row>
    <row r="233" ht="15.75" customHeight="1">
      <c r="A233" s="149"/>
      <c r="B233" s="149"/>
      <c r="C233" s="149"/>
      <c r="D233" s="149"/>
      <c r="E233" s="149"/>
      <c r="F233" s="149"/>
      <c r="G233" s="149"/>
      <c r="H233" s="135" t="str">
        <f>IFERROR(VLOOKUP(G233,'Conformance Score'!A:B, 2, 0), "")</f>
        <v/>
      </c>
      <c r="I233" s="150"/>
      <c r="J233" s="150"/>
      <c r="K233" s="134"/>
      <c r="L233" s="134"/>
      <c r="M233" s="134"/>
      <c r="N233" s="134"/>
      <c r="O233" s="134"/>
      <c r="P233" s="134"/>
      <c r="Q233" s="134"/>
      <c r="R233" s="134"/>
      <c r="S233" s="134"/>
      <c r="T233" s="134"/>
      <c r="U233" s="134"/>
      <c r="V233" s="134"/>
      <c r="W233" s="134"/>
      <c r="X233" s="134"/>
      <c r="Y233" s="134"/>
      <c r="Z233" s="134"/>
      <c r="AA233" s="134"/>
    </row>
    <row r="234" ht="15.75" customHeight="1">
      <c r="A234" s="149"/>
      <c r="B234" s="149"/>
      <c r="C234" s="149"/>
      <c r="D234" s="149"/>
      <c r="E234" s="149"/>
      <c r="F234" s="149"/>
      <c r="G234" s="149"/>
      <c r="H234" s="135" t="str">
        <f>IFERROR(VLOOKUP(G234,'Conformance Score'!A:B, 2, 0), "")</f>
        <v/>
      </c>
      <c r="I234" s="150"/>
      <c r="J234" s="150"/>
      <c r="K234" s="134"/>
      <c r="L234" s="134"/>
      <c r="M234" s="134"/>
      <c r="N234" s="134"/>
      <c r="O234" s="134"/>
      <c r="P234" s="134"/>
      <c r="Q234" s="134"/>
      <c r="R234" s="134"/>
      <c r="S234" s="134"/>
      <c r="T234" s="134"/>
      <c r="U234" s="134"/>
      <c r="V234" s="134"/>
      <c r="W234" s="134"/>
      <c r="X234" s="134"/>
      <c r="Y234" s="134"/>
      <c r="Z234" s="134"/>
      <c r="AA234" s="134"/>
    </row>
    <row r="235" ht="15.75" customHeight="1">
      <c r="A235" s="149"/>
      <c r="B235" s="149"/>
      <c r="C235" s="149"/>
      <c r="D235" s="149"/>
      <c r="E235" s="149"/>
      <c r="F235" s="149"/>
      <c r="G235" s="149"/>
      <c r="H235" s="135" t="str">
        <f>IFERROR(VLOOKUP(G235,'Conformance Score'!A:B, 2, 0), "")</f>
        <v/>
      </c>
      <c r="I235" s="150"/>
      <c r="J235" s="150"/>
      <c r="K235" s="134"/>
      <c r="L235" s="134"/>
      <c r="M235" s="134"/>
      <c r="N235" s="134"/>
      <c r="O235" s="134"/>
      <c r="P235" s="134"/>
      <c r="Q235" s="134"/>
      <c r="R235" s="134"/>
      <c r="S235" s="134"/>
      <c r="T235" s="134"/>
      <c r="U235" s="134"/>
      <c r="V235" s="134"/>
      <c r="W235" s="134"/>
      <c r="X235" s="134"/>
      <c r="Y235" s="134"/>
      <c r="Z235" s="134"/>
      <c r="AA235" s="134"/>
    </row>
    <row r="236" ht="15.75" customHeight="1">
      <c r="A236" s="149"/>
      <c r="B236" s="149"/>
      <c r="C236" s="149"/>
      <c r="D236" s="149"/>
      <c r="E236" s="149"/>
      <c r="F236" s="149"/>
      <c r="G236" s="149"/>
      <c r="H236" s="135" t="str">
        <f>IFERROR(VLOOKUP(G236,'Conformance Score'!A:B, 2, 0), "")</f>
        <v/>
      </c>
      <c r="I236" s="150"/>
      <c r="J236" s="150"/>
      <c r="K236" s="134"/>
      <c r="L236" s="134"/>
      <c r="M236" s="134"/>
      <c r="N236" s="134"/>
      <c r="O236" s="134"/>
      <c r="P236" s="134"/>
      <c r="Q236" s="134"/>
      <c r="R236" s="134"/>
      <c r="S236" s="134"/>
      <c r="T236" s="134"/>
      <c r="U236" s="134"/>
      <c r="V236" s="134"/>
      <c r="W236" s="134"/>
      <c r="X236" s="134"/>
      <c r="Y236" s="134"/>
      <c r="Z236" s="134"/>
      <c r="AA236" s="134"/>
    </row>
    <row r="237" ht="15.75" customHeight="1">
      <c r="A237" s="149"/>
      <c r="B237" s="149"/>
      <c r="C237" s="149"/>
      <c r="D237" s="149"/>
      <c r="E237" s="149"/>
      <c r="F237" s="149"/>
      <c r="G237" s="149"/>
      <c r="H237" s="135" t="str">
        <f>IFERROR(VLOOKUP(G237,'Conformance Score'!A:B, 2, 0), "")</f>
        <v/>
      </c>
      <c r="I237" s="150"/>
      <c r="J237" s="150"/>
      <c r="K237" s="134"/>
      <c r="L237" s="134"/>
      <c r="M237" s="134"/>
      <c r="N237" s="134"/>
      <c r="O237" s="134"/>
      <c r="P237" s="134"/>
      <c r="Q237" s="134"/>
      <c r="R237" s="134"/>
      <c r="S237" s="134"/>
      <c r="T237" s="134"/>
      <c r="U237" s="134"/>
      <c r="V237" s="134"/>
      <c r="W237" s="134"/>
      <c r="X237" s="134"/>
      <c r="Y237" s="134"/>
      <c r="Z237" s="134"/>
      <c r="AA237" s="134"/>
    </row>
    <row r="238" ht="15.75" customHeight="1">
      <c r="A238" s="149"/>
      <c r="B238" s="149"/>
      <c r="C238" s="149"/>
      <c r="D238" s="149"/>
      <c r="E238" s="149"/>
      <c r="F238" s="149"/>
      <c r="G238" s="149"/>
      <c r="H238" s="135" t="str">
        <f>IFERROR(VLOOKUP(G238,'Conformance Score'!A:B, 2, 0), "")</f>
        <v/>
      </c>
      <c r="I238" s="150"/>
      <c r="J238" s="150"/>
      <c r="K238" s="134"/>
      <c r="L238" s="134"/>
      <c r="M238" s="134"/>
      <c r="N238" s="134"/>
      <c r="O238" s="134"/>
      <c r="P238" s="134"/>
      <c r="Q238" s="134"/>
      <c r="R238" s="134"/>
      <c r="S238" s="134"/>
      <c r="T238" s="134"/>
      <c r="U238" s="134"/>
      <c r="V238" s="134"/>
      <c r="W238" s="134"/>
      <c r="X238" s="134"/>
      <c r="Y238" s="134"/>
      <c r="Z238" s="134"/>
      <c r="AA238" s="134"/>
    </row>
    <row r="239" ht="15.75" customHeight="1">
      <c r="A239" s="149"/>
      <c r="B239" s="149"/>
      <c r="C239" s="149"/>
      <c r="D239" s="149"/>
      <c r="E239" s="149"/>
      <c r="F239" s="149"/>
      <c r="G239" s="149"/>
      <c r="H239" s="135" t="str">
        <f>IFERROR(VLOOKUP(G239,'Conformance Score'!A:B, 2, 0), "")</f>
        <v/>
      </c>
      <c r="I239" s="150"/>
      <c r="J239" s="150"/>
      <c r="K239" s="134"/>
      <c r="L239" s="134"/>
      <c r="M239" s="134"/>
      <c r="N239" s="134"/>
      <c r="O239" s="134"/>
      <c r="P239" s="134"/>
      <c r="Q239" s="134"/>
      <c r="R239" s="134"/>
      <c r="S239" s="134"/>
      <c r="T239" s="134"/>
      <c r="U239" s="134"/>
      <c r="V239" s="134"/>
      <c r="W239" s="134"/>
      <c r="X239" s="134"/>
      <c r="Y239" s="134"/>
      <c r="Z239" s="134"/>
      <c r="AA239" s="134"/>
    </row>
    <row r="240" ht="15.75" customHeight="1">
      <c r="A240" s="149"/>
      <c r="B240" s="149"/>
      <c r="C240" s="149"/>
      <c r="D240" s="149"/>
      <c r="E240" s="149"/>
      <c r="F240" s="149"/>
      <c r="G240" s="149"/>
      <c r="H240" s="135" t="str">
        <f>IFERROR(VLOOKUP(G240,'Conformance Score'!A:B, 2, 0), "")</f>
        <v/>
      </c>
      <c r="I240" s="150"/>
      <c r="J240" s="150"/>
      <c r="K240" s="134"/>
      <c r="L240" s="134"/>
      <c r="M240" s="134"/>
      <c r="N240" s="134"/>
      <c r="O240" s="134"/>
      <c r="P240" s="134"/>
      <c r="Q240" s="134"/>
      <c r="R240" s="134"/>
      <c r="S240" s="134"/>
      <c r="T240" s="134"/>
      <c r="U240" s="134"/>
      <c r="V240" s="134"/>
      <c r="W240" s="134"/>
      <c r="X240" s="134"/>
      <c r="Y240" s="134"/>
      <c r="Z240" s="134"/>
      <c r="AA240" s="134"/>
    </row>
    <row r="241" ht="15.75" customHeight="1">
      <c r="A241" s="149"/>
      <c r="B241" s="149"/>
      <c r="C241" s="149"/>
      <c r="D241" s="149"/>
      <c r="E241" s="149"/>
      <c r="F241" s="149"/>
      <c r="G241" s="149"/>
      <c r="H241" s="135" t="str">
        <f>IFERROR(VLOOKUP(G241,'Conformance Score'!A:B, 2, 0), "")</f>
        <v/>
      </c>
      <c r="I241" s="150"/>
      <c r="J241" s="150"/>
      <c r="K241" s="134"/>
      <c r="L241" s="134"/>
      <c r="M241" s="134"/>
      <c r="N241" s="134"/>
      <c r="O241" s="134"/>
      <c r="P241" s="134"/>
      <c r="Q241" s="134"/>
      <c r="R241" s="134"/>
      <c r="S241" s="134"/>
      <c r="T241" s="134"/>
      <c r="U241" s="134"/>
      <c r="V241" s="134"/>
      <c r="W241" s="134"/>
      <c r="X241" s="134"/>
      <c r="Y241" s="134"/>
      <c r="Z241" s="134"/>
      <c r="AA241" s="134"/>
    </row>
    <row r="242" ht="15.75" customHeight="1">
      <c r="A242" s="149"/>
      <c r="B242" s="149"/>
      <c r="C242" s="149"/>
      <c r="D242" s="149"/>
      <c r="E242" s="149"/>
      <c r="F242" s="149"/>
      <c r="G242" s="149"/>
      <c r="H242" s="135" t="str">
        <f>IFERROR(VLOOKUP(G242,'Conformance Score'!A:B, 2, 0), "")</f>
        <v/>
      </c>
      <c r="I242" s="150"/>
      <c r="J242" s="150"/>
      <c r="K242" s="134"/>
      <c r="L242" s="134"/>
      <c r="M242" s="134"/>
      <c r="N242" s="134"/>
      <c r="O242" s="134"/>
      <c r="P242" s="134"/>
      <c r="Q242" s="134"/>
      <c r="R242" s="134"/>
      <c r="S242" s="134"/>
      <c r="T242" s="134"/>
      <c r="U242" s="134"/>
      <c r="V242" s="134"/>
      <c r="W242" s="134"/>
      <c r="X242" s="134"/>
      <c r="Y242" s="134"/>
      <c r="Z242" s="134"/>
      <c r="AA242" s="134"/>
    </row>
    <row r="243" ht="15.75" customHeight="1">
      <c r="A243" s="149"/>
      <c r="B243" s="149"/>
      <c r="C243" s="149"/>
      <c r="D243" s="149"/>
      <c r="E243" s="149"/>
      <c r="F243" s="149"/>
      <c r="G243" s="149"/>
      <c r="H243" s="135" t="str">
        <f>IFERROR(VLOOKUP(G243,'Conformance Score'!A:B, 2, 0), "")</f>
        <v/>
      </c>
      <c r="I243" s="150"/>
      <c r="J243" s="150"/>
      <c r="K243" s="134"/>
      <c r="L243" s="134"/>
      <c r="M243" s="134"/>
      <c r="N243" s="134"/>
      <c r="O243" s="134"/>
      <c r="P243" s="134"/>
      <c r="Q243" s="134"/>
      <c r="R243" s="134"/>
      <c r="S243" s="134"/>
      <c r="T243" s="134"/>
      <c r="U243" s="134"/>
      <c r="V243" s="134"/>
      <c r="W243" s="134"/>
      <c r="X243" s="134"/>
      <c r="Y243" s="134"/>
      <c r="Z243" s="134"/>
      <c r="AA243" s="134"/>
    </row>
    <row r="244" ht="15.75" customHeight="1">
      <c r="A244" s="149"/>
      <c r="B244" s="149"/>
      <c r="C244" s="149"/>
      <c r="D244" s="149"/>
      <c r="E244" s="149"/>
      <c r="F244" s="149"/>
      <c r="G244" s="149"/>
      <c r="H244" s="135" t="str">
        <f>IFERROR(VLOOKUP(G244,'Conformance Score'!A:B, 2, 0), "")</f>
        <v/>
      </c>
      <c r="I244" s="150"/>
      <c r="J244" s="150"/>
      <c r="K244" s="134"/>
      <c r="L244" s="134"/>
      <c r="M244" s="134"/>
      <c r="N244" s="134"/>
      <c r="O244" s="134"/>
      <c r="P244" s="134"/>
      <c r="Q244" s="134"/>
      <c r="R244" s="134"/>
      <c r="S244" s="134"/>
      <c r="T244" s="134"/>
      <c r="U244" s="134"/>
      <c r="V244" s="134"/>
      <c r="W244" s="134"/>
      <c r="X244" s="134"/>
      <c r="Y244" s="134"/>
      <c r="Z244" s="134"/>
      <c r="AA244" s="134"/>
    </row>
    <row r="245" ht="15.75" customHeight="1">
      <c r="A245" s="149"/>
      <c r="B245" s="149"/>
      <c r="C245" s="149"/>
      <c r="D245" s="149"/>
      <c r="E245" s="149"/>
      <c r="F245" s="149"/>
      <c r="G245" s="149"/>
      <c r="H245" s="135" t="str">
        <f>IFERROR(VLOOKUP(G245,'Conformance Score'!A:B, 2, 0), "")</f>
        <v/>
      </c>
      <c r="I245" s="150"/>
      <c r="J245" s="150"/>
      <c r="K245" s="134"/>
      <c r="L245" s="134"/>
      <c r="M245" s="134"/>
      <c r="N245" s="134"/>
      <c r="O245" s="134"/>
      <c r="P245" s="134"/>
      <c r="Q245" s="134"/>
      <c r="R245" s="134"/>
      <c r="S245" s="134"/>
      <c r="T245" s="134"/>
      <c r="U245" s="134"/>
      <c r="V245" s="134"/>
      <c r="W245" s="134"/>
      <c r="X245" s="134"/>
      <c r="Y245" s="134"/>
      <c r="Z245" s="134"/>
      <c r="AA245" s="134"/>
    </row>
    <row r="246" ht="15.75" customHeight="1">
      <c r="A246" s="149"/>
      <c r="B246" s="149"/>
      <c r="C246" s="149"/>
      <c r="D246" s="149"/>
      <c r="E246" s="149"/>
      <c r="F246" s="149"/>
      <c r="G246" s="149"/>
      <c r="H246" s="135" t="str">
        <f>IFERROR(VLOOKUP(G246,'Conformance Score'!A:B, 2, 0), "")</f>
        <v/>
      </c>
      <c r="I246" s="150"/>
      <c r="J246" s="150"/>
      <c r="K246" s="134"/>
      <c r="L246" s="134"/>
      <c r="M246" s="134"/>
      <c r="N246" s="134"/>
      <c r="O246" s="134"/>
      <c r="P246" s="134"/>
      <c r="Q246" s="134"/>
      <c r="R246" s="134"/>
      <c r="S246" s="134"/>
      <c r="T246" s="134"/>
      <c r="U246" s="134"/>
      <c r="V246" s="134"/>
      <c r="W246" s="134"/>
      <c r="X246" s="134"/>
      <c r="Y246" s="134"/>
      <c r="Z246" s="134"/>
      <c r="AA246" s="134"/>
    </row>
    <row r="247" ht="15.75" customHeight="1">
      <c r="A247" s="149"/>
      <c r="B247" s="149"/>
      <c r="C247" s="149"/>
      <c r="D247" s="149"/>
      <c r="E247" s="149"/>
      <c r="F247" s="149"/>
      <c r="G247" s="149"/>
      <c r="H247" s="135" t="str">
        <f>IFERROR(VLOOKUP(G247,'Conformance Score'!A:B, 2, 0), "")</f>
        <v/>
      </c>
      <c r="I247" s="150"/>
      <c r="J247" s="150"/>
      <c r="K247" s="134"/>
      <c r="L247" s="134"/>
      <c r="M247" s="134"/>
      <c r="N247" s="134"/>
      <c r="O247" s="134"/>
      <c r="P247" s="134"/>
      <c r="Q247" s="134"/>
      <c r="R247" s="134"/>
      <c r="S247" s="134"/>
      <c r="T247" s="134"/>
      <c r="U247" s="134"/>
      <c r="V247" s="134"/>
      <c r="W247" s="134"/>
      <c r="X247" s="134"/>
      <c r="Y247" s="134"/>
      <c r="Z247" s="134"/>
      <c r="AA247" s="134"/>
    </row>
    <row r="248" ht="15.75" customHeight="1">
      <c r="A248" s="149"/>
      <c r="B248" s="149"/>
      <c r="C248" s="149"/>
      <c r="D248" s="149"/>
      <c r="E248" s="149"/>
      <c r="F248" s="149"/>
      <c r="G248" s="149"/>
      <c r="H248" s="135" t="str">
        <f>IFERROR(VLOOKUP(G248,'Conformance Score'!A:B, 2, 0), "")</f>
        <v/>
      </c>
      <c r="I248" s="150"/>
      <c r="J248" s="150"/>
      <c r="K248" s="134"/>
      <c r="L248" s="134"/>
      <c r="M248" s="134"/>
      <c r="N248" s="134"/>
      <c r="O248" s="134"/>
      <c r="P248" s="134"/>
      <c r="Q248" s="134"/>
      <c r="R248" s="134"/>
      <c r="S248" s="134"/>
      <c r="T248" s="134"/>
      <c r="U248" s="134"/>
      <c r="V248" s="134"/>
      <c r="W248" s="134"/>
      <c r="X248" s="134"/>
      <c r="Y248" s="134"/>
      <c r="Z248" s="134"/>
      <c r="AA248" s="134"/>
    </row>
    <row r="249" ht="15.75" customHeight="1">
      <c r="A249" s="149"/>
      <c r="B249" s="149"/>
      <c r="C249" s="149"/>
      <c r="D249" s="149"/>
      <c r="E249" s="149"/>
      <c r="F249" s="149"/>
      <c r="G249" s="149"/>
      <c r="H249" s="135" t="str">
        <f>IFERROR(VLOOKUP(G249,'Conformance Score'!A:B, 2, 0), "")</f>
        <v/>
      </c>
      <c r="I249" s="150"/>
      <c r="J249" s="150"/>
      <c r="K249" s="134"/>
      <c r="L249" s="134"/>
      <c r="M249" s="134"/>
      <c r="N249" s="134"/>
      <c r="O249" s="134"/>
      <c r="P249" s="134"/>
      <c r="Q249" s="134"/>
      <c r="R249" s="134"/>
      <c r="S249" s="134"/>
      <c r="T249" s="134"/>
      <c r="U249" s="134"/>
      <c r="V249" s="134"/>
      <c r="W249" s="134"/>
      <c r="X249" s="134"/>
      <c r="Y249" s="134"/>
      <c r="Z249" s="134"/>
      <c r="AA249" s="134"/>
    </row>
    <row r="250" ht="15.75" customHeight="1">
      <c r="A250" s="149"/>
      <c r="B250" s="149"/>
      <c r="C250" s="149"/>
      <c r="D250" s="149"/>
      <c r="E250" s="149"/>
      <c r="F250" s="149"/>
      <c r="G250" s="149"/>
      <c r="H250" s="135" t="str">
        <f>IFERROR(VLOOKUP(G250,'Conformance Score'!A:B, 2, 0), "")</f>
        <v/>
      </c>
      <c r="I250" s="150"/>
      <c r="J250" s="150"/>
      <c r="K250" s="134"/>
      <c r="L250" s="134"/>
      <c r="M250" s="134"/>
      <c r="N250" s="134"/>
      <c r="O250" s="134"/>
      <c r="P250" s="134"/>
      <c r="Q250" s="134"/>
      <c r="R250" s="134"/>
      <c r="S250" s="134"/>
      <c r="T250" s="134"/>
      <c r="U250" s="134"/>
      <c r="V250" s="134"/>
      <c r="W250" s="134"/>
      <c r="X250" s="134"/>
      <c r="Y250" s="134"/>
      <c r="Z250" s="134"/>
      <c r="AA250" s="134"/>
    </row>
    <row r="251" ht="15.75" customHeight="1">
      <c r="A251" s="149"/>
      <c r="B251" s="149"/>
      <c r="C251" s="149"/>
      <c r="D251" s="149"/>
      <c r="E251" s="149"/>
      <c r="F251" s="149"/>
      <c r="G251" s="149"/>
      <c r="H251" s="135" t="str">
        <f>IFERROR(VLOOKUP(G251,'Conformance Score'!A:B, 2, 0), "")</f>
        <v/>
      </c>
      <c r="I251" s="150"/>
      <c r="J251" s="150"/>
      <c r="K251" s="134"/>
      <c r="L251" s="134"/>
      <c r="M251" s="134"/>
      <c r="N251" s="134"/>
      <c r="O251" s="134"/>
      <c r="P251" s="134"/>
      <c r="Q251" s="134"/>
      <c r="R251" s="134"/>
      <c r="S251" s="134"/>
      <c r="T251" s="134"/>
      <c r="U251" s="134"/>
      <c r="V251" s="134"/>
      <c r="W251" s="134"/>
      <c r="X251" s="134"/>
      <c r="Y251" s="134"/>
      <c r="Z251" s="134"/>
      <c r="AA251" s="134"/>
    </row>
    <row r="252" ht="15.75" customHeight="1">
      <c r="A252" s="149"/>
      <c r="B252" s="149"/>
      <c r="C252" s="149"/>
      <c r="D252" s="149"/>
      <c r="E252" s="149"/>
      <c r="F252" s="149"/>
      <c r="G252" s="149"/>
      <c r="H252" s="135" t="str">
        <f>IFERROR(VLOOKUP(G252,'Conformance Score'!A:B, 2, 0), "")</f>
        <v/>
      </c>
      <c r="I252" s="150"/>
      <c r="J252" s="150"/>
      <c r="K252" s="134"/>
      <c r="L252" s="134"/>
      <c r="M252" s="134"/>
      <c r="N252" s="134"/>
      <c r="O252" s="134"/>
      <c r="P252" s="134"/>
      <c r="Q252" s="134"/>
      <c r="R252" s="134"/>
      <c r="S252" s="134"/>
      <c r="T252" s="134"/>
      <c r="U252" s="134"/>
      <c r="V252" s="134"/>
      <c r="W252" s="134"/>
      <c r="X252" s="134"/>
      <c r="Y252" s="134"/>
      <c r="Z252" s="134"/>
      <c r="AA252" s="134"/>
    </row>
    <row r="253" ht="15.75" customHeight="1">
      <c r="A253" s="149"/>
      <c r="B253" s="149"/>
      <c r="C253" s="149"/>
      <c r="D253" s="149"/>
      <c r="E253" s="149"/>
      <c r="F253" s="149"/>
      <c r="G253" s="149"/>
      <c r="H253" s="135" t="str">
        <f>IFERROR(VLOOKUP(G253,'Conformance Score'!A:B, 2, 0), "")</f>
        <v/>
      </c>
      <c r="I253" s="150"/>
      <c r="J253" s="150"/>
      <c r="K253" s="134"/>
      <c r="L253" s="134"/>
      <c r="M253" s="134"/>
      <c r="N253" s="134"/>
      <c r="O253" s="134"/>
      <c r="P253" s="134"/>
      <c r="Q253" s="134"/>
      <c r="R253" s="134"/>
      <c r="S253" s="134"/>
      <c r="T253" s="134"/>
      <c r="U253" s="134"/>
      <c r="V253" s="134"/>
      <c r="W253" s="134"/>
      <c r="X253" s="134"/>
      <c r="Y253" s="134"/>
      <c r="Z253" s="134"/>
      <c r="AA253" s="134"/>
    </row>
    <row r="254" ht="15.75" customHeight="1">
      <c r="A254" s="149"/>
      <c r="B254" s="149"/>
      <c r="C254" s="149"/>
      <c r="D254" s="149"/>
      <c r="E254" s="149"/>
      <c r="F254" s="149"/>
      <c r="G254" s="149"/>
      <c r="H254" s="135" t="str">
        <f>IFERROR(VLOOKUP(G254,'Conformance Score'!A:B, 2, 0), "")</f>
        <v/>
      </c>
      <c r="I254" s="150"/>
      <c r="J254" s="150"/>
      <c r="K254" s="134"/>
      <c r="L254" s="134"/>
      <c r="M254" s="134"/>
      <c r="N254" s="134"/>
      <c r="O254" s="134"/>
      <c r="P254" s="134"/>
      <c r="Q254" s="134"/>
      <c r="R254" s="134"/>
      <c r="S254" s="134"/>
      <c r="T254" s="134"/>
      <c r="U254" s="134"/>
      <c r="V254" s="134"/>
      <c r="W254" s="134"/>
      <c r="X254" s="134"/>
      <c r="Y254" s="134"/>
      <c r="Z254" s="134"/>
      <c r="AA254" s="134"/>
    </row>
    <row r="255" ht="15.75" customHeight="1">
      <c r="A255" s="149"/>
      <c r="B255" s="149"/>
      <c r="C255" s="149"/>
      <c r="D255" s="149"/>
      <c r="E255" s="149"/>
      <c r="F255" s="149"/>
      <c r="G255" s="149"/>
      <c r="H255" s="135" t="str">
        <f>IFERROR(VLOOKUP(G255,'Conformance Score'!A:B, 2, 0), "")</f>
        <v/>
      </c>
      <c r="I255" s="150"/>
      <c r="J255" s="150"/>
      <c r="K255" s="134"/>
      <c r="L255" s="134"/>
      <c r="M255" s="134"/>
      <c r="N255" s="134"/>
      <c r="O255" s="134"/>
      <c r="P255" s="134"/>
      <c r="Q255" s="134"/>
      <c r="R255" s="134"/>
      <c r="S255" s="134"/>
      <c r="T255" s="134"/>
      <c r="U255" s="134"/>
      <c r="V255" s="134"/>
      <c r="W255" s="134"/>
      <c r="X255" s="134"/>
      <c r="Y255" s="134"/>
      <c r="Z255" s="134"/>
      <c r="AA255" s="134"/>
    </row>
    <row r="256" ht="15.75" customHeight="1">
      <c r="A256" s="149"/>
      <c r="B256" s="149"/>
      <c r="C256" s="149"/>
      <c r="D256" s="149"/>
      <c r="E256" s="149"/>
      <c r="F256" s="149"/>
      <c r="G256" s="149"/>
      <c r="H256" s="135" t="str">
        <f>IFERROR(VLOOKUP(G256,'Conformance Score'!A:B, 2, 0), "")</f>
        <v/>
      </c>
      <c r="I256" s="150"/>
      <c r="J256" s="150"/>
      <c r="K256" s="134"/>
      <c r="L256" s="134"/>
      <c r="M256" s="134"/>
      <c r="N256" s="134"/>
      <c r="O256" s="134"/>
      <c r="P256" s="134"/>
      <c r="Q256" s="134"/>
      <c r="R256" s="134"/>
      <c r="S256" s="134"/>
      <c r="T256" s="134"/>
      <c r="U256" s="134"/>
      <c r="V256" s="134"/>
      <c r="W256" s="134"/>
      <c r="X256" s="134"/>
      <c r="Y256" s="134"/>
      <c r="Z256" s="134"/>
      <c r="AA256" s="134"/>
    </row>
    <row r="257" ht="15.75" customHeight="1">
      <c r="A257" s="149"/>
      <c r="B257" s="149"/>
      <c r="C257" s="149"/>
      <c r="D257" s="149"/>
      <c r="E257" s="149"/>
      <c r="F257" s="149"/>
      <c r="G257" s="149"/>
      <c r="H257" s="135" t="str">
        <f>IFERROR(VLOOKUP(G257,'Conformance Score'!A:B, 2, 0), "")</f>
        <v/>
      </c>
      <c r="I257" s="150"/>
      <c r="J257" s="150"/>
      <c r="K257" s="134"/>
      <c r="L257" s="134"/>
      <c r="M257" s="134"/>
      <c r="N257" s="134"/>
      <c r="O257" s="134"/>
      <c r="P257" s="134"/>
      <c r="Q257" s="134"/>
      <c r="R257" s="134"/>
      <c r="S257" s="134"/>
      <c r="T257" s="134"/>
      <c r="U257" s="134"/>
      <c r="V257" s="134"/>
      <c r="W257" s="134"/>
      <c r="X257" s="134"/>
      <c r="Y257" s="134"/>
      <c r="Z257" s="134"/>
      <c r="AA257" s="134"/>
    </row>
    <row r="258" ht="15.75" customHeight="1">
      <c r="A258" s="149"/>
      <c r="B258" s="149"/>
      <c r="C258" s="149"/>
      <c r="D258" s="149"/>
      <c r="E258" s="149"/>
      <c r="F258" s="149"/>
      <c r="G258" s="149"/>
      <c r="H258" s="135" t="str">
        <f>IFERROR(VLOOKUP(G258,'Conformance Score'!A:B, 2, 0), "")</f>
        <v/>
      </c>
      <c r="I258" s="150"/>
      <c r="J258" s="150"/>
      <c r="K258" s="134"/>
      <c r="L258" s="134"/>
      <c r="M258" s="134"/>
      <c r="N258" s="134"/>
      <c r="O258" s="134"/>
      <c r="P258" s="134"/>
      <c r="Q258" s="134"/>
      <c r="R258" s="134"/>
      <c r="S258" s="134"/>
      <c r="T258" s="134"/>
      <c r="U258" s="134"/>
      <c r="V258" s="134"/>
      <c r="W258" s="134"/>
      <c r="X258" s="134"/>
      <c r="Y258" s="134"/>
      <c r="Z258" s="134"/>
      <c r="AA258" s="134"/>
    </row>
    <row r="259" ht="15.75" customHeight="1">
      <c r="A259" s="149"/>
      <c r="B259" s="149"/>
      <c r="C259" s="149"/>
      <c r="D259" s="149"/>
      <c r="E259" s="149"/>
      <c r="F259" s="149"/>
      <c r="G259" s="149"/>
      <c r="H259" s="135" t="str">
        <f>IFERROR(VLOOKUP(G259,'Conformance Score'!A:B, 2, 0), "")</f>
        <v/>
      </c>
      <c r="I259" s="150"/>
      <c r="J259" s="150"/>
      <c r="K259" s="134"/>
      <c r="L259" s="134"/>
      <c r="M259" s="134"/>
      <c r="N259" s="134"/>
      <c r="O259" s="134"/>
      <c r="P259" s="134"/>
      <c r="Q259" s="134"/>
      <c r="R259" s="134"/>
      <c r="S259" s="134"/>
      <c r="T259" s="134"/>
      <c r="U259" s="134"/>
      <c r="V259" s="134"/>
      <c r="W259" s="134"/>
      <c r="X259" s="134"/>
      <c r="Y259" s="134"/>
      <c r="Z259" s="134"/>
      <c r="AA259" s="134"/>
    </row>
    <row r="260" ht="15.75" customHeight="1">
      <c r="A260" s="149"/>
      <c r="B260" s="149"/>
      <c r="C260" s="149"/>
      <c r="D260" s="149"/>
      <c r="E260" s="149"/>
      <c r="F260" s="149"/>
      <c r="G260" s="149"/>
      <c r="H260" s="135" t="str">
        <f>IFERROR(VLOOKUP(G260,'Conformance Score'!A:B, 2, 0), "")</f>
        <v/>
      </c>
      <c r="I260" s="150"/>
      <c r="J260" s="150"/>
      <c r="K260" s="134"/>
      <c r="L260" s="134"/>
      <c r="M260" s="134"/>
      <c r="N260" s="134"/>
      <c r="O260" s="134"/>
      <c r="P260" s="134"/>
      <c r="Q260" s="134"/>
      <c r="R260" s="134"/>
      <c r="S260" s="134"/>
      <c r="T260" s="134"/>
      <c r="U260" s="134"/>
      <c r="V260" s="134"/>
      <c r="W260" s="134"/>
      <c r="X260" s="134"/>
      <c r="Y260" s="134"/>
      <c r="Z260" s="134"/>
      <c r="AA260" s="134"/>
    </row>
    <row r="261" ht="15.75" customHeight="1">
      <c r="A261" s="149"/>
      <c r="B261" s="149"/>
      <c r="C261" s="149"/>
      <c r="D261" s="149"/>
      <c r="E261" s="149"/>
      <c r="F261" s="149"/>
      <c r="G261" s="149"/>
      <c r="H261" s="135" t="str">
        <f>IFERROR(VLOOKUP(G261,'Conformance Score'!A:B, 2, 0), "")</f>
        <v/>
      </c>
      <c r="I261" s="150"/>
      <c r="J261" s="150"/>
      <c r="K261" s="134"/>
      <c r="L261" s="134"/>
      <c r="M261" s="134"/>
      <c r="N261" s="134"/>
      <c r="O261" s="134"/>
      <c r="P261" s="134"/>
      <c r="Q261" s="134"/>
      <c r="R261" s="134"/>
      <c r="S261" s="134"/>
      <c r="T261" s="134"/>
      <c r="U261" s="134"/>
      <c r="V261" s="134"/>
      <c r="W261" s="134"/>
      <c r="X261" s="134"/>
      <c r="Y261" s="134"/>
      <c r="Z261" s="134"/>
      <c r="AA261" s="134"/>
    </row>
    <row r="262" ht="15.75" customHeight="1">
      <c r="A262" s="149"/>
      <c r="B262" s="149"/>
      <c r="C262" s="149"/>
      <c r="D262" s="149"/>
      <c r="E262" s="149"/>
      <c r="F262" s="149"/>
      <c r="G262" s="149"/>
      <c r="H262" s="135" t="str">
        <f>IFERROR(VLOOKUP(G262,'Conformance Score'!A:B, 2, 0), "")</f>
        <v/>
      </c>
      <c r="I262" s="150"/>
      <c r="J262" s="150"/>
      <c r="K262" s="134"/>
      <c r="L262" s="134"/>
      <c r="M262" s="134"/>
      <c r="N262" s="134"/>
      <c r="O262" s="134"/>
      <c r="P262" s="134"/>
      <c r="Q262" s="134"/>
      <c r="R262" s="134"/>
      <c r="S262" s="134"/>
      <c r="T262" s="134"/>
      <c r="U262" s="134"/>
      <c r="V262" s="134"/>
      <c r="W262" s="134"/>
      <c r="X262" s="134"/>
      <c r="Y262" s="134"/>
      <c r="Z262" s="134"/>
      <c r="AA262" s="134"/>
    </row>
    <row r="263" ht="15.75" customHeight="1">
      <c r="A263" s="149"/>
      <c r="B263" s="149"/>
      <c r="C263" s="149"/>
      <c r="D263" s="149"/>
      <c r="E263" s="149"/>
      <c r="F263" s="149"/>
      <c r="G263" s="149"/>
      <c r="H263" s="135" t="str">
        <f>IFERROR(VLOOKUP(G263,'Conformance Score'!A:B, 2, 0), "")</f>
        <v/>
      </c>
      <c r="I263" s="150"/>
      <c r="J263" s="150"/>
      <c r="K263" s="134"/>
      <c r="L263" s="134"/>
      <c r="M263" s="134"/>
      <c r="N263" s="134"/>
      <c r="O263" s="134"/>
      <c r="P263" s="134"/>
      <c r="Q263" s="134"/>
      <c r="R263" s="134"/>
      <c r="S263" s="134"/>
      <c r="T263" s="134"/>
      <c r="U263" s="134"/>
      <c r="V263" s="134"/>
      <c r="W263" s="134"/>
      <c r="X263" s="134"/>
      <c r="Y263" s="134"/>
      <c r="Z263" s="134"/>
      <c r="AA263" s="134"/>
    </row>
    <row r="264" ht="15.75" customHeight="1">
      <c r="A264" s="149"/>
      <c r="B264" s="149"/>
      <c r="C264" s="149"/>
      <c r="D264" s="149"/>
      <c r="E264" s="149"/>
      <c r="F264" s="149"/>
      <c r="G264" s="149"/>
      <c r="H264" s="135" t="str">
        <f>IFERROR(VLOOKUP(G264,'Conformance Score'!A:B, 2, 0), "")</f>
        <v/>
      </c>
      <c r="I264" s="150"/>
      <c r="J264" s="150"/>
      <c r="K264" s="134"/>
      <c r="L264" s="134"/>
      <c r="M264" s="134"/>
      <c r="N264" s="134"/>
      <c r="O264" s="134"/>
      <c r="P264" s="134"/>
      <c r="Q264" s="134"/>
      <c r="R264" s="134"/>
      <c r="S264" s="134"/>
      <c r="T264" s="134"/>
      <c r="U264" s="134"/>
      <c r="V264" s="134"/>
      <c r="W264" s="134"/>
      <c r="X264" s="134"/>
      <c r="Y264" s="134"/>
      <c r="Z264" s="134"/>
      <c r="AA264" s="134"/>
    </row>
    <row r="265" ht="15.75" customHeight="1">
      <c r="A265" s="149"/>
      <c r="B265" s="149"/>
      <c r="C265" s="149"/>
      <c r="D265" s="149"/>
      <c r="E265" s="149"/>
      <c r="F265" s="149"/>
      <c r="G265" s="149"/>
      <c r="H265" s="135" t="str">
        <f>IFERROR(VLOOKUP(G265,'Conformance Score'!A:B, 2, 0), "")</f>
        <v/>
      </c>
      <c r="I265" s="150"/>
      <c r="J265" s="150"/>
      <c r="K265" s="134"/>
      <c r="L265" s="134"/>
      <c r="M265" s="134"/>
      <c r="N265" s="134"/>
      <c r="O265" s="134"/>
      <c r="P265" s="134"/>
      <c r="Q265" s="134"/>
      <c r="R265" s="134"/>
      <c r="S265" s="134"/>
      <c r="T265" s="134"/>
      <c r="U265" s="134"/>
      <c r="V265" s="134"/>
      <c r="W265" s="134"/>
      <c r="X265" s="134"/>
      <c r="Y265" s="134"/>
      <c r="Z265" s="134"/>
      <c r="AA265" s="134"/>
    </row>
    <row r="266" ht="15.75" customHeight="1">
      <c r="A266" s="149"/>
      <c r="B266" s="149"/>
      <c r="C266" s="149"/>
      <c r="D266" s="149"/>
      <c r="E266" s="149"/>
      <c r="F266" s="149"/>
      <c r="G266" s="149"/>
      <c r="H266" s="135" t="str">
        <f>IFERROR(VLOOKUP(G266,'Conformance Score'!A:B, 2, 0), "")</f>
        <v/>
      </c>
      <c r="I266" s="150"/>
      <c r="J266" s="150"/>
      <c r="K266" s="134"/>
      <c r="L266" s="134"/>
      <c r="M266" s="134"/>
      <c r="N266" s="134"/>
      <c r="O266" s="134"/>
      <c r="P266" s="134"/>
      <c r="Q266" s="134"/>
      <c r="R266" s="134"/>
      <c r="S266" s="134"/>
      <c r="T266" s="134"/>
      <c r="U266" s="134"/>
      <c r="V266" s="134"/>
      <c r="W266" s="134"/>
      <c r="X266" s="134"/>
      <c r="Y266" s="134"/>
      <c r="Z266" s="134"/>
      <c r="AA266" s="134"/>
    </row>
    <row r="267" ht="15.75" customHeight="1">
      <c r="A267" s="149"/>
      <c r="B267" s="149"/>
      <c r="C267" s="149"/>
      <c r="D267" s="149"/>
      <c r="E267" s="149"/>
      <c r="F267" s="149"/>
      <c r="G267" s="149"/>
      <c r="H267" s="135" t="str">
        <f>IFERROR(VLOOKUP(G267,'Conformance Score'!A:B, 2, 0), "")</f>
        <v/>
      </c>
      <c r="I267" s="150"/>
      <c r="J267" s="150"/>
      <c r="K267" s="134"/>
      <c r="L267" s="134"/>
      <c r="M267" s="134"/>
      <c r="N267" s="134"/>
      <c r="O267" s="134"/>
      <c r="P267" s="134"/>
      <c r="Q267" s="134"/>
      <c r="R267" s="134"/>
      <c r="S267" s="134"/>
      <c r="T267" s="134"/>
      <c r="U267" s="134"/>
      <c r="V267" s="134"/>
      <c r="W267" s="134"/>
      <c r="X267" s="134"/>
      <c r="Y267" s="134"/>
      <c r="Z267" s="134"/>
      <c r="AA267" s="134"/>
    </row>
    <row r="268" ht="15.75" customHeight="1">
      <c r="A268" s="149"/>
      <c r="B268" s="149"/>
      <c r="C268" s="149"/>
      <c r="D268" s="149"/>
      <c r="E268" s="149"/>
      <c r="F268" s="149"/>
      <c r="G268" s="149"/>
      <c r="H268" s="135" t="str">
        <f>IFERROR(VLOOKUP(G268,'Conformance Score'!A:B, 2, 0), "")</f>
        <v/>
      </c>
      <c r="I268" s="150"/>
      <c r="J268" s="150"/>
      <c r="K268" s="134"/>
      <c r="L268" s="134"/>
      <c r="M268" s="134"/>
      <c r="N268" s="134"/>
      <c r="O268" s="134"/>
      <c r="P268" s="134"/>
      <c r="Q268" s="134"/>
      <c r="R268" s="134"/>
      <c r="S268" s="134"/>
      <c r="T268" s="134"/>
      <c r="U268" s="134"/>
      <c r="V268" s="134"/>
      <c r="W268" s="134"/>
      <c r="X268" s="134"/>
      <c r="Y268" s="134"/>
      <c r="Z268" s="134"/>
      <c r="AA268" s="134"/>
    </row>
    <row r="269" ht="15.75" customHeight="1">
      <c r="A269" s="149"/>
      <c r="B269" s="149"/>
      <c r="C269" s="149"/>
      <c r="D269" s="149"/>
      <c r="E269" s="149"/>
      <c r="F269" s="149"/>
      <c r="G269" s="149"/>
      <c r="H269" s="135" t="str">
        <f>IFERROR(VLOOKUP(G269,'Conformance Score'!A:B, 2, 0), "")</f>
        <v/>
      </c>
      <c r="I269" s="150"/>
      <c r="J269" s="150"/>
      <c r="K269" s="134"/>
      <c r="L269" s="134"/>
      <c r="M269" s="134"/>
      <c r="N269" s="134"/>
      <c r="O269" s="134"/>
      <c r="P269" s="134"/>
      <c r="Q269" s="134"/>
      <c r="R269" s="134"/>
      <c r="S269" s="134"/>
      <c r="T269" s="134"/>
      <c r="U269" s="134"/>
      <c r="V269" s="134"/>
      <c r="W269" s="134"/>
      <c r="X269" s="134"/>
      <c r="Y269" s="134"/>
      <c r="Z269" s="134"/>
      <c r="AA269" s="134"/>
    </row>
    <row r="270" ht="15.75" customHeight="1">
      <c r="A270" s="149"/>
      <c r="B270" s="149"/>
      <c r="C270" s="149"/>
      <c r="D270" s="149"/>
      <c r="E270" s="149"/>
      <c r="F270" s="149"/>
      <c r="G270" s="149"/>
      <c r="H270" s="135" t="str">
        <f>IFERROR(VLOOKUP(G270,'Conformance Score'!A:B, 2, 0), "")</f>
        <v/>
      </c>
      <c r="I270" s="150"/>
      <c r="J270" s="150"/>
      <c r="K270" s="134"/>
      <c r="L270" s="134"/>
      <c r="M270" s="134"/>
      <c r="N270" s="134"/>
      <c r="O270" s="134"/>
      <c r="P270" s="134"/>
      <c r="Q270" s="134"/>
      <c r="R270" s="134"/>
      <c r="S270" s="134"/>
      <c r="T270" s="134"/>
      <c r="U270" s="134"/>
      <c r="V270" s="134"/>
      <c r="W270" s="134"/>
      <c r="X270" s="134"/>
      <c r="Y270" s="134"/>
      <c r="Z270" s="134"/>
      <c r="AA270" s="134"/>
    </row>
    <row r="271" ht="15.75" customHeight="1">
      <c r="A271" s="149"/>
      <c r="B271" s="149"/>
      <c r="C271" s="149"/>
      <c r="D271" s="149"/>
      <c r="E271" s="149"/>
      <c r="F271" s="149"/>
      <c r="G271" s="149"/>
      <c r="H271" s="135" t="str">
        <f>IFERROR(VLOOKUP(G271,'Conformance Score'!A:B, 2, 0), "")</f>
        <v/>
      </c>
      <c r="I271" s="150"/>
      <c r="J271" s="150"/>
      <c r="K271" s="134"/>
      <c r="L271" s="134"/>
      <c r="M271" s="134"/>
      <c r="N271" s="134"/>
      <c r="O271" s="134"/>
      <c r="P271" s="134"/>
      <c r="Q271" s="134"/>
      <c r="R271" s="134"/>
      <c r="S271" s="134"/>
      <c r="T271" s="134"/>
      <c r="U271" s="134"/>
      <c r="V271" s="134"/>
      <c r="W271" s="134"/>
      <c r="X271" s="134"/>
      <c r="Y271" s="134"/>
      <c r="Z271" s="134"/>
      <c r="AA271" s="134"/>
    </row>
    <row r="272" ht="15.75" customHeight="1">
      <c r="A272" s="149"/>
      <c r="B272" s="149"/>
      <c r="C272" s="149"/>
      <c r="D272" s="149"/>
      <c r="E272" s="149"/>
      <c r="F272" s="149"/>
      <c r="G272" s="149"/>
      <c r="H272" s="135" t="str">
        <f>IFERROR(VLOOKUP(G272,'Conformance Score'!A:B, 2, 0), "")</f>
        <v/>
      </c>
      <c r="I272" s="150"/>
      <c r="J272" s="150"/>
      <c r="K272" s="134"/>
      <c r="L272" s="134"/>
      <c r="M272" s="134"/>
      <c r="N272" s="134"/>
      <c r="O272" s="134"/>
      <c r="P272" s="134"/>
      <c r="Q272" s="134"/>
      <c r="R272" s="134"/>
      <c r="S272" s="134"/>
      <c r="T272" s="134"/>
      <c r="U272" s="134"/>
      <c r="V272" s="134"/>
      <c r="W272" s="134"/>
      <c r="X272" s="134"/>
      <c r="Y272" s="134"/>
      <c r="Z272" s="134"/>
      <c r="AA272" s="134"/>
    </row>
    <row r="273" ht="15.75" customHeight="1">
      <c r="A273" s="149"/>
      <c r="B273" s="149"/>
      <c r="C273" s="149"/>
      <c r="D273" s="149"/>
      <c r="E273" s="149"/>
      <c r="F273" s="149"/>
      <c r="G273" s="149"/>
      <c r="H273" s="135" t="str">
        <f>IFERROR(VLOOKUP(G273,'Conformance Score'!A:B, 2, 0), "")</f>
        <v/>
      </c>
      <c r="I273" s="150"/>
      <c r="J273" s="150"/>
      <c r="K273" s="134"/>
      <c r="L273" s="134"/>
      <c r="M273" s="134"/>
      <c r="N273" s="134"/>
      <c r="O273" s="134"/>
      <c r="P273" s="134"/>
      <c r="Q273" s="134"/>
      <c r="R273" s="134"/>
      <c r="S273" s="134"/>
      <c r="T273" s="134"/>
      <c r="U273" s="134"/>
      <c r="V273" s="134"/>
      <c r="W273" s="134"/>
      <c r="X273" s="134"/>
      <c r="Y273" s="134"/>
      <c r="Z273" s="134"/>
      <c r="AA273" s="134"/>
    </row>
    <row r="274" ht="15.75" customHeight="1">
      <c r="A274" s="149"/>
      <c r="B274" s="149"/>
      <c r="C274" s="149"/>
      <c r="D274" s="149"/>
      <c r="E274" s="149"/>
      <c r="F274" s="149"/>
      <c r="G274" s="149"/>
      <c r="H274" s="135" t="str">
        <f>IFERROR(VLOOKUP(G274,'Conformance Score'!A:B, 2, 0), "")</f>
        <v/>
      </c>
      <c r="I274" s="150"/>
      <c r="J274" s="150"/>
      <c r="K274" s="134"/>
      <c r="L274" s="134"/>
      <c r="M274" s="134"/>
      <c r="N274" s="134"/>
      <c r="O274" s="134"/>
      <c r="P274" s="134"/>
      <c r="Q274" s="134"/>
      <c r="R274" s="134"/>
      <c r="S274" s="134"/>
      <c r="T274" s="134"/>
      <c r="U274" s="134"/>
      <c r="V274" s="134"/>
      <c r="W274" s="134"/>
      <c r="X274" s="134"/>
      <c r="Y274" s="134"/>
      <c r="Z274" s="134"/>
      <c r="AA274" s="134"/>
    </row>
    <row r="275" ht="15.75" customHeight="1">
      <c r="A275" s="149"/>
      <c r="B275" s="149"/>
      <c r="C275" s="149"/>
      <c r="D275" s="149"/>
      <c r="E275" s="149"/>
      <c r="F275" s="149"/>
      <c r="G275" s="149"/>
      <c r="H275" s="135" t="str">
        <f>IFERROR(VLOOKUP(G275,'Conformance Score'!A:B, 2, 0), "")</f>
        <v/>
      </c>
      <c r="I275" s="150"/>
      <c r="J275" s="150"/>
      <c r="K275" s="134"/>
      <c r="L275" s="134"/>
      <c r="M275" s="134"/>
      <c r="N275" s="134"/>
      <c r="O275" s="134"/>
      <c r="P275" s="134"/>
      <c r="Q275" s="134"/>
      <c r="R275" s="134"/>
      <c r="S275" s="134"/>
      <c r="T275" s="134"/>
      <c r="U275" s="134"/>
      <c r="V275" s="134"/>
      <c r="W275" s="134"/>
      <c r="X275" s="134"/>
      <c r="Y275" s="134"/>
      <c r="Z275" s="134"/>
      <c r="AA275" s="134"/>
    </row>
    <row r="276" ht="15.75" customHeight="1">
      <c r="A276" s="149"/>
      <c r="B276" s="149"/>
      <c r="C276" s="149"/>
      <c r="D276" s="149"/>
      <c r="E276" s="149"/>
      <c r="F276" s="149"/>
      <c r="G276" s="149"/>
      <c r="H276" s="135" t="str">
        <f>IFERROR(VLOOKUP(G276,'Conformance Score'!A:B, 2, 0), "")</f>
        <v/>
      </c>
      <c r="I276" s="150"/>
      <c r="J276" s="150"/>
      <c r="K276" s="134"/>
      <c r="L276" s="134"/>
      <c r="M276" s="134"/>
      <c r="N276" s="134"/>
      <c r="O276" s="134"/>
      <c r="P276" s="134"/>
      <c r="Q276" s="134"/>
      <c r="R276" s="134"/>
      <c r="S276" s="134"/>
      <c r="T276" s="134"/>
      <c r="U276" s="134"/>
      <c r="V276" s="134"/>
      <c r="W276" s="134"/>
      <c r="X276" s="134"/>
      <c r="Y276" s="134"/>
      <c r="Z276" s="134"/>
      <c r="AA276" s="134"/>
    </row>
    <row r="277" ht="15.75" customHeight="1">
      <c r="A277" s="149"/>
      <c r="B277" s="149"/>
      <c r="C277" s="149"/>
      <c r="D277" s="149"/>
      <c r="E277" s="149"/>
      <c r="F277" s="149"/>
      <c r="G277" s="149"/>
      <c r="H277" s="135" t="str">
        <f>IFERROR(VLOOKUP(G277,'Conformance Score'!A:B, 2, 0), "")</f>
        <v/>
      </c>
      <c r="I277" s="150"/>
      <c r="J277" s="150"/>
      <c r="K277" s="134"/>
      <c r="L277" s="134"/>
      <c r="M277" s="134"/>
      <c r="N277" s="134"/>
      <c r="O277" s="134"/>
      <c r="P277" s="134"/>
      <c r="Q277" s="134"/>
      <c r="R277" s="134"/>
      <c r="S277" s="134"/>
      <c r="T277" s="134"/>
      <c r="U277" s="134"/>
      <c r="V277" s="134"/>
      <c r="W277" s="134"/>
      <c r="X277" s="134"/>
      <c r="Y277" s="134"/>
      <c r="Z277" s="134"/>
      <c r="AA277" s="134"/>
    </row>
    <row r="278" ht="15.75" customHeight="1">
      <c r="A278" s="149"/>
      <c r="B278" s="149"/>
      <c r="C278" s="149"/>
      <c r="D278" s="149"/>
      <c r="E278" s="149"/>
      <c r="F278" s="149"/>
      <c r="G278" s="149"/>
      <c r="H278" s="135" t="str">
        <f>IFERROR(VLOOKUP(G278,'Conformance Score'!A:B, 2, 0), "")</f>
        <v/>
      </c>
      <c r="I278" s="150"/>
      <c r="J278" s="150"/>
      <c r="K278" s="134"/>
      <c r="L278" s="134"/>
      <c r="M278" s="134"/>
      <c r="N278" s="134"/>
      <c r="O278" s="134"/>
      <c r="P278" s="134"/>
      <c r="Q278" s="134"/>
      <c r="R278" s="134"/>
      <c r="S278" s="134"/>
      <c r="T278" s="134"/>
      <c r="U278" s="134"/>
      <c r="V278" s="134"/>
      <c r="W278" s="134"/>
      <c r="X278" s="134"/>
      <c r="Y278" s="134"/>
      <c r="Z278" s="134"/>
      <c r="AA278" s="134"/>
    </row>
    <row r="279" ht="15.75" customHeight="1">
      <c r="A279" s="149"/>
      <c r="B279" s="149"/>
      <c r="C279" s="149"/>
      <c r="D279" s="149"/>
      <c r="E279" s="149"/>
      <c r="F279" s="149"/>
      <c r="G279" s="149"/>
      <c r="H279" s="135" t="str">
        <f>IFERROR(VLOOKUP(G279,'Conformance Score'!A:B, 2, 0), "")</f>
        <v/>
      </c>
      <c r="I279" s="150"/>
      <c r="J279" s="150"/>
      <c r="K279" s="134"/>
      <c r="L279" s="134"/>
      <c r="M279" s="134"/>
      <c r="N279" s="134"/>
      <c r="O279" s="134"/>
      <c r="P279" s="134"/>
      <c r="Q279" s="134"/>
      <c r="R279" s="134"/>
      <c r="S279" s="134"/>
      <c r="T279" s="134"/>
      <c r="U279" s="134"/>
      <c r="V279" s="134"/>
      <c r="W279" s="134"/>
      <c r="X279" s="134"/>
      <c r="Y279" s="134"/>
      <c r="Z279" s="134"/>
      <c r="AA279" s="134"/>
    </row>
    <row r="280" ht="15.75" customHeight="1">
      <c r="A280" s="149"/>
      <c r="B280" s="149"/>
      <c r="C280" s="149"/>
      <c r="D280" s="149"/>
      <c r="E280" s="149"/>
      <c r="F280" s="149"/>
      <c r="G280" s="149"/>
      <c r="H280" s="135" t="str">
        <f>IFERROR(VLOOKUP(G280,'Conformance Score'!A:B, 2, 0), "")</f>
        <v/>
      </c>
      <c r="I280" s="150"/>
      <c r="J280" s="150"/>
      <c r="K280" s="134"/>
      <c r="L280" s="134"/>
      <c r="M280" s="134"/>
      <c r="N280" s="134"/>
      <c r="O280" s="134"/>
      <c r="P280" s="134"/>
      <c r="Q280" s="134"/>
      <c r="R280" s="134"/>
      <c r="S280" s="134"/>
      <c r="T280" s="134"/>
      <c r="U280" s="134"/>
      <c r="V280" s="134"/>
      <c r="W280" s="134"/>
      <c r="X280" s="134"/>
      <c r="Y280" s="134"/>
      <c r="Z280" s="134"/>
      <c r="AA280" s="134"/>
    </row>
    <row r="281" ht="15.75" customHeight="1">
      <c r="A281" s="149"/>
      <c r="B281" s="149"/>
      <c r="C281" s="149"/>
      <c r="D281" s="149"/>
      <c r="E281" s="149"/>
      <c r="F281" s="149"/>
      <c r="G281" s="149"/>
      <c r="H281" s="135" t="str">
        <f>IFERROR(VLOOKUP(G281,'Conformance Score'!A:B, 2, 0), "")</f>
        <v/>
      </c>
      <c r="I281" s="150"/>
      <c r="J281" s="150"/>
      <c r="K281" s="134"/>
      <c r="L281" s="134"/>
      <c r="M281" s="134"/>
      <c r="N281" s="134"/>
      <c r="O281" s="134"/>
      <c r="P281" s="134"/>
      <c r="Q281" s="134"/>
      <c r="R281" s="134"/>
      <c r="S281" s="134"/>
      <c r="T281" s="134"/>
      <c r="U281" s="134"/>
      <c r="V281" s="134"/>
      <c r="W281" s="134"/>
      <c r="X281" s="134"/>
      <c r="Y281" s="134"/>
      <c r="Z281" s="134"/>
      <c r="AA281" s="134"/>
    </row>
    <row r="282" ht="15.75" customHeight="1">
      <c r="A282" s="149"/>
      <c r="B282" s="149"/>
      <c r="C282" s="149"/>
      <c r="D282" s="149"/>
      <c r="E282" s="149"/>
      <c r="F282" s="149"/>
      <c r="G282" s="149"/>
      <c r="H282" s="135" t="str">
        <f>IFERROR(VLOOKUP(G282,'Conformance Score'!A:B, 2, 0), "")</f>
        <v/>
      </c>
      <c r="I282" s="150"/>
      <c r="J282" s="150"/>
      <c r="K282" s="134"/>
      <c r="L282" s="134"/>
      <c r="M282" s="134"/>
      <c r="N282" s="134"/>
      <c r="O282" s="134"/>
      <c r="P282" s="134"/>
      <c r="Q282" s="134"/>
      <c r="R282" s="134"/>
      <c r="S282" s="134"/>
      <c r="T282" s="134"/>
      <c r="U282" s="134"/>
      <c r="V282" s="134"/>
      <c r="W282" s="134"/>
      <c r="X282" s="134"/>
      <c r="Y282" s="134"/>
      <c r="Z282" s="134"/>
      <c r="AA282" s="134"/>
    </row>
    <row r="283" ht="15.75" customHeight="1">
      <c r="A283" s="149"/>
      <c r="B283" s="149"/>
      <c r="C283" s="149"/>
      <c r="D283" s="149"/>
      <c r="E283" s="149"/>
      <c r="F283" s="149"/>
      <c r="G283" s="149"/>
      <c r="H283" s="135" t="str">
        <f>IFERROR(VLOOKUP(G283,'Conformance Score'!A:B, 2, 0), "")</f>
        <v/>
      </c>
      <c r="I283" s="150"/>
      <c r="J283" s="150"/>
      <c r="K283" s="134"/>
      <c r="L283" s="134"/>
      <c r="M283" s="134"/>
      <c r="N283" s="134"/>
      <c r="O283" s="134"/>
      <c r="P283" s="134"/>
      <c r="Q283" s="134"/>
      <c r="R283" s="134"/>
      <c r="S283" s="134"/>
      <c r="T283" s="134"/>
      <c r="U283" s="134"/>
      <c r="V283" s="134"/>
      <c r="W283" s="134"/>
      <c r="X283" s="134"/>
      <c r="Y283" s="134"/>
      <c r="Z283" s="134"/>
      <c r="AA283" s="134"/>
    </row>
    <row r="284" ht="15.75" customHeight="1">
      <c r="A284" s="149"/>
      <c r="B284" s="149"/>
      <c r="C284" s="149"/>
      <c r="D284" s="149"/>
      <c r="E284" s="149"/>
      <c r="F284" s="149"/>
      <c r="G284" s="149"/>
      <c r="H284" s="135" t="str">
        <f>IFERROR(VLOOKUP(G284,'Conformance Score'!A:B, 2, 0), "")</f>
        <v/>
      </c>
      <c r="I284" s="150"/>
      <c r="J284" s="150"/>
      <c r="K284" s="134"/>
      <c r="L284" s="134"/>
      <c r="M284" s="134"/>
      <c r="N284" s="134"/>
      <c r="O284" s="134"/>
      <c r="P284" s="134"/>
      <c r="Q284" s="134"/>
      <c r="R284" s="134"/>
      <c r="S284" s="134"/>
      <c r="T284" s="134"/>
      <c r="U284" s="134"/>
      <c r="V284" s="134"/>
      <c r="W284" s="134"/>
      <c r="X284" s="134"/>
      <c r="Y284" s="134"/>
      <c r="Z284" s="134"/>
      <c r="AA284" s="134"/>
    </row>
    <row r="285" ht="15.75" customHeight="1">
      <c r="A285" s="149"/>
      <c r="B285" s="149"/>
      <c r="C285" s="149"/>
      <c r="D285" s="149"/>
      <c r="E285" s="149"/>
      <c r="F285" s="149"/>
      <c r="G285" s="149"/>
      <c r="H285" s="135" t="str">
        <f>IFERROR(VLOOKUP(G285,'Conformance Score'!A:B, 2, 0), "")</f>
        <v/>
      </c>
      <c r="I285" s="150"/>
      <c r="J285" s="150"/>
      <c r="K285" s="134"/>
      <c r="L285" s="134"/>
      <c r="M285" s="134"/>
      <c r="N285" s="134"/>
      <c r="O285" s="134"/>
      <c r="P285" s="134"/>
      <c r="Q285" s="134"/>
      <c r="R285" s="134"/>
      <c r="S285" s="134"/>
      <c r="T285" s="134"/>
      <c r="U285" s="134"/>
      <c r="V285" s="134"/>
      <c r="W285" s="134"/>
      <c r="X285" s="134"/>
      <c r="Y285" s="134"/>
      <c r="Z285" s="134"/>
      <c r="AA285" s="134"/>
    </row>
    <row r="286" ht="15.75" customHeight="1">
      <c r="A286" s="149"/>
      <c r="B286" s="149"/>
      <c r="C286" s="149"/>
      <c r="D286" s="149"/>
      <c r="E286" s="149"/>
      <c r="F286" s="149"/>
      <c r="G286" s="149"/>
      <c r="H286" s="135" t="str">
        <f>IFERROR(VLOOKUP(G286,'Conformance Score'!A:B, 2, 0), "")</f>
        <v/>
      </c>
      <c r="I286" s="150"/>
      <c r="J286" s="150"/>
      <c r="K286" s="134"/>
      <c r="L286" s="134"/>
      <c r="M286" s="134"/>
      <c r="N286" s="134"/>
      <c r="O286" s="134"/>
      <c r="P286" s="134"/>
      <c r="Q286" s="134"/>
      <c r="R286" s="134"/>
      <c r="S286" s="134"/>
      <c r="T286" s="134"/>
      <c r="U286" s="134"/>
      <c r="V286" s="134"/>
      <c r="W286" s="134"/>
      <c r="X286" s="134"/>
      <c r="Y286" s="134"/>
      <c r="Z286" s="134"/>
      <c r="AA286" s="134"/>
    </row>
    <row r="287" ht="15.75" customHeight="1">
      <c r="A287" s="149"/>
      <c r="B287" s="149"/>
      <c r="C287" s="149"/>
      <c r="D287" s="149"/>
      <c r="E287" s="149"/>
      <c r="F287" s="149"/>
      <c r="G287" s="149"/>
      <c r="H287" s="135" t="str">
        <f>IFERROR(VLOOKUP(G287,'Conformance Score'!A:B, 2, 0), "")</f>
        <v/>
      </c>
      <c r="I287" s="150"/>
      <c r="J287" s="150"/>
      <c r="K287" s="134"/>
      <c r="L287" s="134"/>
      <c r="M287" s="134"/>
      <c r="N287" s="134"/>
      <c r="O287" s="134"/>
      <c r="P287" s="134"/>
      <c r="Q287" s="134"/>
      <c r="R287" s="134"/>
      <c r="S287" s="134"/>
      <c r="T287" s="134"/>
      <c r="U287" s="134"/>
      <c r="V287" s="134"/>
      <c r="W287" s="134"/>
      <c r="X287" s="134"/>
      <c r="Y287" s="134"/>
      <c r="Z287" s="134"/>
      <c r="AA287" s="134"/>
    </row>
    <row r="288" ht="15.75" customHeight="1">
      <c r="A288" s="149"/>
      <c r="B288" s="149"/>
      <c r="C288" s="149"/>
      <c r="D288" s="149"/>
      <c r="E288" s="149"/>
      <c r="F288" s="149"/>
      <c r="G288" s="149"/>
      <c r="H288" s="135" t="str">
        <f>IFERROR(VLOOKUP(G288,'Conformance Score'!A:B, 2, 0), "")</f>
        <v/>
      </c>
      <c r="I288" s="150"/>
      <c r="J288" s="150"/>
      <c r="K288" s="134"/>
      <c r="L288" s="134"/>
      <c r="M288" s="134"/>
      <c r="N288" s="134"/>
      <c r="O288" s="134"/>
      <c r="P288" s="134"/>
      <c r="Q288" s="134"/>
      <c r="R288" s="134"/>
      <c r="S288" s="134"/>
      <c r="T288" s="134"/>
      <c r="U288" s="134"/>
      <c r="V288" s="134"/>
      <c r="W288" s="134"/>
      <c r="X288" s="134"/>
      <c r="Y288" s="134"/>
      <c r="Z288" s="134"/>
      <c r="AA288" s="134"/>
    </row>
    <row r="289" ht="15.75" customHeight="1">
      <c r="A289" s="149"/>
      <c r="B289" s="149"/>
      <c r="C289" s="149"/>
      <c r="D289" s="149"/>
      <c r="E289" s="149"/>
      <c r="F289" s="149"/>
      <c r="G289" s="149"/>
      <c r="H289" s="135" t="str">
        <f>IFERROR(VLOOKUP(G289,'Conformance Score'!A:B, 2, 0), "")</f>
        <v/>
      </c>
      <c r="I289" s="150"/>
      <c r="J289" s="150"/>
      <c r="K289" s="134"/>
      <c r="L289" s="134"/>
      <c r="M289" s="134"/>
      <c r="N289" s="134"/>
      <c r="O289" s="134"/>
      <c r="P289" s="134"/>
      <c r="Q289" s="134"/>
      <c r="R289" s="134"/>
      <c r="S289" s="134"/>
      <c r="T289" s="134"/>
      <c r="U289" s="134"/>
      <c r="V289" s="134"/>
      <c r="W289" s="134"/>
      <c r="X289" s="134"/>
      <c r="Y289" s="134"/>
      <c r="Z289" s="134"/>
      <c r="AA289" s="134"/>
    </row>
    <row r="290" ht="15.75" customHeight="1">
      <c r="A290" s="149"/>
      <c r="B290" s="149"/>
      <c r="C290" s="149"/>
      <c r="D290" s="149"/>
      <c r="E290" s="149"/>
      <c r="F290" s="149"/>
      <c r="G290" s="149"/>
      <c r="H290" s="135" t="str">
        <f>IFERROR(VLOOKUP(G290,'Conformance Score'!A:B, 2, 0), "")</f>
        <v/>
      </c>
      <c r="I290" s="150"/>
      <c r="J290" s="150"/>
      <c r="K290" s="134"/>
      <c r="L290" s="134"/>
      <c r="M290" s="134"/>
      <c r="N290" s="134"/>
      <c r="O290" s="134"/>
      <c r="P290" s="134"/>
      <c r="Q290" s="134"/>
      <c r="R290" s="134"/>
      <c r="S290" s="134"/>
      <c r="T290" s="134"/>
      <c r="U290" s="134"/>
      <c r="V290" s="134"/>
      <c r="W290" s="134"/>
      <c r="X290" s="134"/>
      <c r="Y290" s="134"/>
      <c r="Z290" s="134"/>
      <c r="AA290" s="134"/>
    </row>
    <row r="291" ht="15.75" customHeight="1">
      <c r="A291" s="149"/>
      <c r="B291" s="149"/>
      <c r="C291" s="149"/>
      <c r="D291" s="149"/>
      <c r="E291" s="149"/>
      <c r="F291" s="149"/>
      <c r="G291" s="149"/>
      <c r="H291" s="135" t="str">
        <f>IFERROR(VLOOKUP(G291,'Conformance Score'!A:B, 2, 0), "")</f>
        <v/>
      </c>
      <c r="I291" s="150"/>
      <c r="J291" s="150"/>
      <c r="K291" s="134"/>
      <c r="L291" s="134"/>
      <c r="M291" s="134"/>
      <c r="N291" s="134"/>
      <c r="O291" s="134"/>
      <c r="P291" s="134"/>
      <c r="Q291" s="134"/>
      <c r="R291" s="134"/>
      <c r="S291" s="134"/>
      <c r="T291" s="134"/>
      <c r="U291" s="134"/>
      <c r="V291" s="134"/>
      <c r="W291" s="134"/>
      <c r="X291" s="134"/>
      <c r="Y291" s="134"/>
      <c r="Z291" s="134"/>
      <c r="AA291" s="134"/>
    </row>
    <row r="292" ht="15.75" customHeight="1">
      <c r="A292" s="149"/>
      <c r="B292" s="149"/>
      <c r="C292" s="149"/>
      <c r="D292" s="149"/>
      <c r="E292" s="149"/>
      <c r="F292" s="149"/>
      <c r="G292" s="149"/>
      <c r="H292" s="135" t="str">
        <f>IFERROR(VLOOKUP(G292,'Conformance Score'!A:B, 2, 0), "")</f>
        <v/>
      </c>
      <c r="I292" s="150"/>
      <c r="J292" s="150"/>
      <c r="K292" s="134"/>
      <c r="L292" s="134"/>
      <c r="M292" s="134"/>
      <c r="N292" s="134"/>
      <c r="O292" s="134"/>
      <c r="P292" s="134"/>
      <c r="Q292" s="134"/>
      <c r="R292" s="134"/>
      <c r="S292" s="134"/>
      <c r="T292" s="134"/>
      <c r="U292" s="134"/>
      <c r="V292" s="134"/>
      <c r="W292" s="134"/>
      <c r="X292" s="134"/>
      <c r="Y292" s="134"/>
      <c r="Z292" s="134"/>
      <c r="AA292" s="134"/>
    </row>
    <row r="293" ht="15.75" customHeight="1">
      <c r="A293" s="149"/>
      <c r="B293" s="149"/>
      <c r="C293" s="149"/>
      <c r="D293" s="149"/>
      <c r="E293" s="149"/>
      <c r="F293" s="149"/>
      <c r="G293" s="149"/>
      <c r="H293" s="135" t="str">
        <f>IFERROR(VLOOKUP(G293,'Conformance Score'!A:B, 2, 0), "")</f>
        <v/>
      </c>
      <c r="I293" s="150"/>
      <c r="J293" s="150"/>
      <c r="K293" s="134"/>
      <c r="L293" s="134"/>
      <c r="M293" s="134"/>
      <c r="N293" s="134"/>
      <c r="O293" s="134"/>
      <c r="P293" s="134"/>
      <c r="Q293" s="134"/>
      <c r="R293" s="134"/>
      <c r="S293" s="134"/>
      <c r="T293" s="134"/>
      <c r="U293" s="134"/>
      <c r="V293" s="134"/>
      <c r="W293" s="134"/>
      <c r="X293" s="134"/>
      <c r="Y293" s="134"/>
      <c r="Z293" s="134"/>
      <c r="AA293" s="134"/>
    </row>
    <row r="294" ht="15.75" customHeight="1">
      <c r="A294" s="149"/>
      <c r="B294" s="149"/>
      <c r="C294" s="149"/>
      <c r="D294" s="149"/>
      <c r="E294" s="149"/>
      <c r="F294" s="149"/>
      <c r="G294" s="149"/>
      <c r="H294" s="135" t="str">
        <f>IFERROR(VLOOKUP(G294,'Conformance Score'!A:B, 2, 0), "")</f>
        <v/>
      </c>
      <c r="I294" s="150"/>
      <c r="J294" s="150"/>
      <c r="K294" s="134"/>
      <c r="L294" s="134"/>
      <c r="M294" s="134"/>
      <c r="N294" s="134"/>
      <c r="O294" s="134"/>
      <c r="P294" s="134"/>
      <c r="Q294" s="134"/>
      <c r="R294" s="134"/>
      <c r="S294" s="134"/>
      <c r="T294" s="134"/>
      <c r="U294" s="134"/>
      <c r="V294" s="134"/>
      <c r="W294" s="134"/>
      <c r="X294" s="134"/>
      <c r="Y294" s="134"/>
      <c r="Z294" s="134"/>
      <c r="AA294" s="134"/>
    </row>
    <row r="295" ht="15.75" customHeight="1">
      <c r="A295" s="149"/>
      <c r="B295" s="149"/>
      <c r="C295" s="149"/>
      <c r="D295" s="149"/>
      <c r="E295" s="149"/>
      <c r="F295" s="149"/>
      <c r="G295" s="149"/>
      <c r="H295" s="135" t="str">
        <f>IFERROR(VLOOKUP(G295,'Conformance Score'!A:B, 2, 0), "")</f>
        <v/>
      </c>
      <c r="I295" s="150"/>
      <c r="J295" s="150"/>
      <c r="K295" s="134"/>
      <c r="L295" s="134"/>
      <c r="M295" s="134"/>
      <c r="N295" s="134"/>
      <c r="O295" s="134"/>
      <c r="P295" s="134"/>
      <c r="Q295" s="134"/>
      <c r="R295" s="134"/>
      <c r="S295" s="134"/>
      <c r="T295" s="134"/>
      <c r="U295" s="134"/>
      <c r="V295" s="134"/>
      <c r="W295" s="134"/>
      <c r="X295" s="134"/>
      <c r="Y295" s="134"/>
      <c r="Z295" s="134"/>
      <c r="AA295" s="134"/>
    </row>
    <row r="296" ht="15.75" customHeight="1">
      <c r="A296" s="149"/>
      <c r="B296" s="149"/>
      <c r="C296" s="149"/>
      <c r="D296" s="149"/>
      <c r="E296" s="149"/>
      <c r="F296" s="149"/>
      <c r="G296" s="149"/>
      <c r="H296" s="135" t="str">
        <f>IFERROR(VLOOKUP(G296,'Conformance Score'!A:B, 2, 0), "")</f>
        <v/>
      </c>
      <c r="I296" s="150"/>
      <c r="J296" s="150"/>
      <c r="K296" s="134"/>
      <c r="L296" s="134"/>
      <c r="M296" s="134"/>
      <c r="N296" s="134"/>
      <c r="O296" s="134"/>
      <c r="P296" s="134"/>
      <c r="Q296" s="134"/>
      <c r="R296" s="134"/>
      <c r="S296" s="134"/>
      <c r="T296" s="134"/>
      <c r="U296" s="134"/>
      <c r="V296" s="134"/>
      <c r="W296" s="134"/>
      <c r="X296" s="134"/>
      <c r="Y296" s="134"/>
      <c r="Z296" s="134"/>
      <c r="AA296" s="134"/>
    </row>
    <row r="297" ht="15.75" customHeight="1">
      <c r="A297" s="149"/>
      <c r="B297" s="149"/>
      <c r="C297" s="149"/>
      <c r="D297" s="149"/>
      <c r="E297" s="149"/>
      <c r="F297" s="149"/>
      <c r="G297" s="149"/>
      <c r="H297" s="135" t="str">
        <f>IFERROR(VLOOKUP(G297,'Conformance Score'!A:B, 2, 0), "")</f>
        <v/>
      </c>
      <c r="I297" s="150"/>
      <c r="J297" s="150"/>
      <c r="K297" s="134"/>
      <c r="L297" s="134"/>
      <c r="M297" s="134"/>
      <c r="N297" s="134"/>
      <c r="O297" s="134"/>
      <c r="P297" s="134"/>
      <c r="Q297" s="134"/>
      <c r="R297" s="134"/>
      <c r="S297" s="134"/>
      <c r="T297" s="134"/>
      <c r="U297" s="134"/>
      <c r="V297" s="134"/>
      <c r="W297" s="134"/>
      <c r="X297" s="134"/>
      <c r="Y297" s="134"/>
      <c r="Z297" s="134"/>
      <c r="AA297" s="134"/>
    </row>
    <row r="298" ht="15.75" customHeight="1">
      <c r="A298" s="149"/>
      <c r="B298" s="149"/>
      <c r="C298" s="149"/>
      <c r="D298" s="149"/>
      <c r="E298" s="149"/>
      <c r="F298" s="149"/>
      <c r="G298" s="149"/>
      <c r="H298" s="135" t="str">
        <f>IFERROR(VLOOKUP(G298,'Conformance Score'!A:B, 2, 0), "")</f>
        <v/>
      </c>
      <c r="I298" s="150"/>
      <c r="J298" s="150"/>
      <c r="K298" s="134"/>
      <c r="L298" s="134"/>
      <c r="M298" s="134"/>
      <c r="N298" s="134"/>
      <c r="O298" s="134"/>
      <c r="P298" s="134"/>
      <c r="Q298" s="134"/>
      <c r="R298" s="134"/>
      <c r="S298" s="134"/>
      <c r="T298" s="134"/>
      <c r="U298" s="134"/>
      <c r="V298" s="134"/>
      <c r="W298" s="134"/>
      <c r="X298" s="134"/>
      <c r="Y298" s="134"/>
      <c r="Z298" s="134"/>
      <c r="AA298" s="134"/>
    </row>
    <row r="299" ht="15.75" customHeight="1">
      <c r="A299" s="149"/>
      <c r="B299" s="149"/>
      <c r="C299" s="149"/>
      <c r="D299" s="149"/>
      <c r="E299" s="149"/>
      <c r="F299" s="149"/>
      <c r="G299" s="149"/>
      <c r="H299" s="135" t="str">
        <f>IFERROR(VLOOKUP(G299,'Conformance Score'!A:B, 2, 0), "")</f>
        <v/>
      </c>
      <c r="I299" s="150"/>
      <c r="J299" s="150"/>
      <c r="K299" s="134"/>
      <c r="L299" s="134"/>
      <c r="M299" s="134"/>
      <c r="N299" s="134"/>
      <c r="O299" s="134"/>
      <c r="P299" s="134"/>
      <c r="Q299" s="134"/>
      <c r="R299" s="134"/>
      <c r="S299" s="134"/>
      <c r="T299" s="134"/>
      <c r="U299" s="134"/>
      <c r="V299" s="134"/>
      <c r="W299" s="134"/>
      <c r="X299" s="134"/>
      <c r="Y299" s="134"/>
      <c r="Z299" s="134"/>
      <c r="AA299" s="134"/>
    </row>
    <row r="300" ht="15.75" customHeight="1">
      <c r="A300" s="149"/>
      <c r="B300" s="149"/>
      <c r="C300" s="149"/>
      <c r="D300" s="149"/>
      <c r="E300" s="149"/>
      <c r="F300" s="149"/>
      <c r="G300" s="149"/>
      <c r="H300" s="135" t="str">
        <f>IFERROR(VLOOKUP(G300,'Conformance Score'!A:B, 2, 0), "")</f>
        <v/>
      </c>
      <c r="I300" s="150"/>
      <c r="J300" s="150"/>
      <c r="K300" s="134"/>
      <c r="L300" s="134"/>
      <c r="M300" s="134"/>
      <c r="N300" s="134"/>
      <c r="O300" s="134"/>
      <c r="P300" s="134"/>
      <c r="Q300" s="134"/>
      <c r="R300" s="134"/>
      <c r="S300" s="134"/>
      <c r="T300" s="134"/>
      <c r="U300" s="134"/>
      <c r="V300" s="134"/>
      <c r="W300" s="134"/>
      <c r="X300" s="134"/>
      <c r="Y300" s="134"/>
      <c r="Z300" s="134"/>
      <c r="AA300" s="134"/>
    </row>
    <row r="301" ht="15.75" customHeight="1">
      <c r="A301" s="149"/>
      <c r="B301" s="149"/>
      <c r="C301" s="149"/>
      <c r="D301" s="149"/>
      <c r="E301" s="149"/>
      <c r="F301" s="149"/>
      <c r="G301" s="149"/>
      <c r="H301" s="135" t="str">
        <f>IFERROR(VLOOKUP(G301,'Conformance Score'!A:B, 2, 0), "")</f>
        <v/>
      </c>
      <c r="I301" s="150"/>
      <c r="J301" s="150"/>
      <c r="K301" s="134"/>
      <c r="L301" s="134"/>
      <c r="M301" s="134"/>
      <c r="N301" s="134"/>
      <c r="O301" s="134"/>
      <c r="P301" s="134"/>
      <c r="Q301" s="134"/>
      <c r="R301" s="134"/>
      <c r="S301" s="134"/>
      <c r="T301" s="134"/>
      <c r="U301" s="134"/>
      <c r="V301" s="134"/>
      <c r="W301" s="134"/>
      <c r="X301" s="134"/>
      <c r="Y301" s="134"/>
      <c r="Z301" s="134"/>
      <c r="AA301" s="134"/>
    </row>
    <row r="302" ht="15.75" customHeight="1">
      <c r="A302" s="149"/>
      <c r="B302" s="149"/>
      <c r="C302" s="149"/>
      <c r="D302" s="149"/>
      <c r="E302" s="149"/>
      <c r="F302" s="149"/>
      <c r="G302" s="149"/>
      <c r="H302" s="135" t="str">
        <f>IFERROR(VLOOKUP(G302,'Conformance Score'!A:B, 2, 0), "")</f>
        <v/>
      </c>
      <c r="I302" s="150"/>
      <c r="J302" s="150"/>
      <c r="K302" s="134"/>
      <c r="L302" s="134"/>
      <c r="M302" s="134"/>
      <c r="N302" s="134"/>
      <c r="O302" s="134"/>
      <c r="P302" s="134"/>
      <c r="Q302" s="134"/>
      <c r="R302" s="134"/>
      <c r="S302" s="134"/>
      <c r="T302" s="134"/>
      <c r="U302" s="134"/>
      <c r="V302" s="134"/>
      <c r="W302" s="134"/>
      <c r="X302" s="134"/>
      <c r="Y302" s="134"/>
      <c r="Z302" s="134"/>
      <c r="AA302" s="134"/>
    </row>
    <row r="303" ht="15.75" customHeight="1">
      <c r="A303" s="149"/>
      <c r="B303" s="149"/>
      <c r="C303" s="149"/>
      <c r="D303" s="149"/>
      <c r="E303" s="149"/>
      <c r="F303" s="149"/>
      <c r="G303" s="149"/>
      <c r="H303" s="135" t="str">
        <f>IFERROR(VLOOKUP(G303,'Conformance Score'!A:B, 2, 0), "")</f>
        <v/>
      </c>
      <c r="I303" s="150"/>
      <c r="J303" s="150"/>
      <c r="K303" s="134"/>
      <c r="L303" s="134"/>
      <c r="M303" s="134"/>
      <c r="N303" s="134"/>
      <c r="O303" s="134"/>
      <c r="P303" s="134"/>
      <c r="Q303" s="134"/>
      <c r="R303" s="134"/>
      <c r="S303" s="134"/>
      <c r="T303" s="134"/>
      <c r="U303" s="134"/>
      <c r="V303" s="134"/>
      <c r="W303" s="134"/>
      <c r="X303" s="134"/>
      <c r="Y303" s="134"/>
      <c r="Z303" s="134"/>
      <c r="AA303" s="134"/>
    </row>
    <row r="304" ht="15.75" customHeight="1">
      <c r="A304" s="149"/>
      <c r="B304" s="149"/>
      <c r="C304" s="149"/>
      <c r="D304" s="149"/>
      <c r="E304" s="149"/>
      <c r="F304" s="149"/>
      <c r="G304" s="149"/>
      <c r="H304" s="135" t="str">
        <f>IFERROR(VLOOKUP(G304,'Conformance Score'!A:B, 2, 0), "")</f>
        <v/>
      </c>
      <c r="I304" s="150"/>
      <c r="J304" s="150"/>
      <c r="K304" s="134"/>
      <c r="L304" s="134"/>
      <c r="M304" s="134"/>
      <c r="N304" s="134"/>
      <c r="O304" s="134"/>
      <c r="P304" s="134"/>
      <c r="Q304" s="134"/>
      <c r="R304" s="134"/>
      <c r="S304" s="134"/>
      <c r="T304" s="134"/>
      <c r="U304" s="134"/>
      <c r="V304" s="134"/>
      <c r="W304" s="134"/>
      <c r="X304" s="134"/>
      <c r="Y304" s="134"/>
      <c r="Z304" s="134"/>
      <c r="AA304" s="134"/>
    </row>
    <row r="305" ht="15.75" customHeight="1">
      <c r="A305" s="149"/>
      <c r="B305" s="149"/>
      <c r="C305" s="149"/>
      <c r="D305" s="149"/>
      <c r="E305" s="149"/>
      <c r="F305" s="149"/>
      <c r="G305" s="149"/>
      <c r="H305" s="135" t="str">
        <f>IFERROR(VLOOKUP(G305,'Conformance Score'!A:B, 2, 0), "")</f>
        <v/>
      </c>
      <c r="I305" s="150"/>
      <c r="J305" s="150"/>
      <c r="K305" s="134"/>
      <c r="L305" s="134"/>
      <c r="M305" s="134"/>
      <c r="N305" s="134"/>
      <c r="O305" s="134"/>
      <c r="P305" s="134"/>
      <c r="Q305" s="134"/>
      <c r="R305" s="134"/>
      <c r="S305" s="134"/>
      <c r="T305" s="134"/>
      <c r="U305" s="134"/>
      <c r="V305" s="134"/>
      <c r="W305" s="134"/>
      <c r="X305" s="134"/>
      <c r="Y305" s="134"/>
      <c r="Z305" s="134"/>
      <c r="AA305" s="134"/>
    </row>
    <row r="306" ht="15.75" customHeight="1">
      <c r="A306" s="149"/>
      <c r="B306" s="149"/>
      <c r="C306" s="149"/>
      <c r="D306" s="149"/>
      <c r="E306" s="149"/>
      <c r="F306" s="149"/>
      <c r="G306" s="149"/>
      <c r="H306" s="135" t="str">
        <f>IFERROR(VLOOKUP(G306,'Conformance Score'!A:B, 2, 0), "")</f>
        <v/>
      </c>
      <c r="I306" s="150"/>
      <c r="J306" s="150"/>
      <c r="K306" s="134"/>
      <c r="L306" s="134"/>
      <c r="M306" s="134"/>
      <c r="N306" s="134"/>
      <c r="O306" s="134"/>
      <c r="P306" s="134"/>
      <c r="Q306" s="134"/>
      <c r="R306" s="134"/>
      <c r="S306" s="134"/>
      <c r="T306" s="134"/>
      <c r="U306" s="134"/>
      <c r="V306" s="134"/>
      <c r="W306" s="134"/>
      <c r="X306" s="134"/>
      <c r="Y306" s="134"/>
      <c r="Z306" s="134"/>
      <c r="AA306" s="134"/>
    </row>
    <row r="307" ht="15.75" customHeight="1">
      <c r="A307" s="149"/>
      <c r="B307" s="149"/>
      <c r="C307" s="149"/>
      <c r="D307" s="149"/>
      <c r="E307" s="149"/>
      <c r="F307" s="149"/>
      <c r="G307" s="149"/>
      <c r="H307" s="135" t="str">
        <f>IFERROR(VLOOKUP(G307,'Conformance Score'!A:B, 2, 0), "")</f>
        <v/>
      </c>
      <c r="I307" s="150"/>
      <c r="J307" s="150"/>
      <c r="K307" s="134"/>
      <c r="L307" s="134"/>
      <c r="M307" s="134"/>
      <c r="N307" s="134"/>
      <c r="O307" s="134"/>
      <c r="P307" s="134"/>
      <c r="Q307" s="134"/>
      <c r="R307" s="134"/>
      <c r="S307" s="134"/>
      <c r="T307" s="134"/>
      <c r="U307" s="134"/>
      <c r="V307" s="134"/>
      <c r="W307" s="134"/>
      <c r="X307" s="134"/>
      <c r="Y307" s="134"/>
      <c r="Z307" s="134"/>
      <c r="AA307" s="134"/>
    </row>
    <row r="308" ht="15.75" customHeight="1">
      <c r="A308" s="149"/>
      <c r="B308" s="149"/>
      <c r="C308" s="149"/>
      <c r="D308" s="149"/>
      <c r="E308" s="149"/>
      <c r="F308" s="149"/>
      <c r="G308" s="149"/>
      <c r="H308" s="135" t="str">
        <f>IFERROR(VLOOKUP(G308,'Conformance Score'!A:B, 2, 0), "")</f>
        <v/>
      </c>
      <c r="I308" s="150"/>
      <c r="J308" s="150"/>
      <c r="K308" s="134"/>
      <c r="L308" s="134"/>
      <c r="M308" s="134"/>
      <c r="N308" s="134"/>
      <c r="O308" s="134"/>
      <c r="P308" s="134"/>
      <c r="Q308" s="134"/>
      <c r="R308" s="134"/>
      <c r="S308" s="134"/>
      <c r="T308" s="134"/>
      <c r="U308" s="134"/>
      <c r="V308" s="134"/>
      <c r="W308" s="134"/>
      <c r="X308" s="134"/>
      <c r="Y308" s="134"/>
      <c r="Z308" s="134"/>
      <c r="AA308" s="134"/>
    </row>
    <row r="309" ht="15.75" customHeight="1">
      <c r="A309" s="149"/>
      <c r="B309" s="149"/>
      <c r="C309" s="149"/>
      <c r="D309" s="149"/>
      <c r="E309" s="149"/>
      <c r="F309" s="149"/>
      <c r="G309" s="149"/>
      <c r="H309" s="135" t="str">
        <f>IFERROR(VLOOKUP(G309,'Conformance Score'!A:B, 2, 0), "")</f>
        <v/>
      </c>
      <c r="I309" s="150"/>
      <c r="J309" s="150"/>
      <c r="K309" s="134"/>
      <c r="L309" s="134"/>
      <c r="M309" s="134"/>
      <c r="N309" s="134"/>
      <c r="O309" s="134"/>
      <c r="P309" s="134"/>
      <c r="Q309" s="134"/>
      <c r="R309" s="134"/>
      <c r="S309" s="134"/>
      <c r="T309" s="134"/>
      <c r="U309" s="134"/>
      <c r="V309" s="134"/>
      <c r="W309" s="134"/>
      <c r="X309" s="134"/>
      <c r="Y309" s="134"/>
      <c r="Z309" s="134"/>
      <c r="AA309" s="134"/>
    </row>
    <row r="310" ht="15.75" customHeight="1">
      <c r="A310" s="149"/>
      <c r="B310" s="149"/>
      <c r="C310" s="149"/>
      <c r="D310" s="149"/>
      <c r="E310" s="149"/>
      <c r="F310" s="149"/>
      <c r="G310" s="149"/>
      <c r="H310" s="135" t="str">
        <f>IFERROR(VLOOKUP(G310,'Conformance Score'!A:B, 2, 0), "")</f>
        <v/>
      </c>
      <c r="I310" s="150"/>
      <c r="J310" s="150"/>
      <c r="K310" s="134"/>
      <c r="L310" s="134"/>
      <c r="M310" s="134"/>
      <c r="N310" s="134"/>
      <c r="O310" s="134"/>
      <c r="P310" s="134"/>
      <c r="Q310" s="134"/>
      <c r="R310" s="134"/>
      <c r="S310" s="134"/>
      <c r="T310" s="134"/>
      <c r="U310" s="134"/>
      <c r="V310" s="134"/>
      <c r="W310" s="134"/>
      <c r="X310" s="134"/>
      <c r="Y310" s="134"/>
      <c r="Z310" s="134"/>
      <c r="AA310" s="134"/>
    </row>
    <row r="311" ht="15.75" customHeight="1">
      <c r="A311" s="149"/>
      <c r="B311" s="149"/>
      <c r="C311" s="149"/>
      <c r="D311" s="149"/>
      <c r="E311" s="149"/>
      <c r="F311" s="149"/>
      <c r="G311" s="149"/>
      <c r="H311" s="135" t="str">
        <f>IFERROR(VLOOKUP(G311,'Conformance Score'!A:B, 2, 0), "")</f>
        <v/>
      </c>
      <c r="I311" s="150"/>
      <c r="J311" s="150"/>
      <c r="K311" s="134"/>
      <c r="L311" s="134"/>
      <c r="M311" s="134"/>
      <c r="N311" s="134"/>
      <c r="O311" s="134"/>
      <c r="P311" s="134"/>
      <c r="Q311" s="134"/>
      <c r="R311" s="134"/>
      <c r="S311" s="134"/>
      <c r="T311" s="134"/>
      <c r="U311" s="134"/>
      <c r="V311" s="134"/>
      <c r="W311" s="134"/>
      <c r="X311" s="134"/>
      <c r="Y311" s="134"/>
      <c r="Z311" s="134"/>
      <c r="AA311" s="134"/>
    </row>
    <row r="312" ht="15.75" customHeight="1">
      <c r="A312" s="149"/>
      <c r="B312" s="149"/>
      <c r="C312" s="149"/>
      <c r="D312" s="149"/>
      <c r="E312" s="149"/>
      <c r="F312" s="149"/>
      <c r="G312" s="149"/>
      <c r="H312" s="135" t="str">
        <f>IFERROR(VLOOKUP(G312,'Conformance Score'!A:B, 2, 0), "")</f>
        <v/>
      </c>
      <c r="I312" s="150"/>
      <c r="J312" s="150"/>
      <c r="K312" s="134"/>
      <c r="L312" s="134"/>
      <c r="M312" s="134"/>
      <c r="N312" s="134"/>
      <c r="O312" s="134"/>
      <c r="P312" s="134"/>
      <c r="Q312" s="134"/>
      <c r="R312" s="134"/>
      <c r="S312" s="134"/>
      <c r="T312" s="134"/>
      <c r="U312" s="134"/>
      <c r="V312" s="134"/>
      <c r="W312" s="134"/>
      <c r="X312" s="134"/>
      <c r="Y312" s="134"/>
      <c r="Z312" s="134"/>
      <c r="AA312" s="134"/>
    </row>
    <row r="313" ht="15.75" customHeight="1">
      <c r="A313" s="149"/>
      <c r="B313" s="149"/>
      <c r="C313" s="149"/>
      <c r="D313" s="149"/>
      <c r="E313" s="149"/>
      <c r="F313" s="149"/>
      <c r="G313" s="149"/>
      <c r="H313" s="135" t="str">
        <f>IFERROR(VLOOKUP(G313,'Conformance Score'!A:B, 2, 0), "")</f>
        <v/>
      </c>
      <c r="I313" s="150"/>
      <c r="J313" s="150"/>
      <c r="K313" s="134"/>
      <c r="L313" s="134"/>
      <c r="M313" s="134"/>
      <c r="N313" s="134"/>
      <c r="O313" s="134"/>
      <c r="P313" s="134"/>
      <c r="Q313" s="134"/>
      <c r="R313" s="134"/>
      <c r="S313" s="134"/>
      <c r="T313" s="134"/>
      <c r="U313" s="134"/>
      <c r="V313" s="134"/>
      <c r="W313" s="134"/>
      <c r="X313" s="134"/>
      <c r="Y313" s="134"/>
      <c r="Z313" s="134"/>
      <c r="AA313" s="134"/>
    </row>
    <row r="314" ht="15.75" customHeight="1">
      <c r="A314" s="149"/>
      <c r="B314" s="149"/>
      <c r="C314" s="149"/>
      <c r="D314" s="149"/>
      <c r="E314" s="149"/>
      <c r="F314" s="149"/>
      <c r="G314" s="149"/>
      <c r="H314" s="135" t="str">
        <f>IFERROR(VLOOKUP(G314,'Conformance Score'!A:B, 2, 0), "")</f>
        <v/>
      </c>
      <c r="I314" s="150"/>
      <c r="J314" s="150"/>
      <c r="K314" s="134"/>
      <c r="L314" s="134"/>
      <c r="M314" s="134"/>
      <c r="N314" s="134"/>
      <c r="O314" s="134"/>
      <c r="P314" s="134"/>
      <c r="Q314" s="134"/>
      <c r="R314" s="134"/>
      <c r="S314" s="134"/>
      <c r="T314" s="134"/>
      <c r="U314" s="134"/>
      <c r="V314" s="134"/>
      <c r="W314" s="134"/>
      <c r="X314" s="134"/>
      <c r="Y314" s="134"/>
      <c r="Z314" s="134"/>
      <c r="AA314" s="134"/>
    </row>
    <row r="315" ht="15.75" customHeight="1">
      <c r="A315" s="149"/>
      <c r="B315" s="149"/>
      <c r="C315" s="149"/>
      <c r="D315" s="149"/>
      <c r="E315" s="149"/>
      <c r="F315" s="149"/>
      <c r="G315" s="149"/>
      <c r="H315" s="135" t="str">
        <f>IFERROR(VLOOKUP(G315,'Conformance Score'!A:B, 2, 0), "")</f>
        <v/>
      </c>
      <c r="I315" s="150"/>
      <c r="J315" s="150"/>
      <c r="K315" s="134"/>
      <c r="L315" s="134"/>
      <c r="M315" s="134"/>
      <c r="N315" s="134"/>
      <c r="O315" s="134"/>
      <c r="P315" s="134"/>
      <c r="Q315" s="134"/>
      <c r="R315" s="134"/>
      <c r="S315" s="134"/>
      <c r="T315" s="134"/>
      <c r="U315" s="134"/>
      <c r="V315" s="134"/>
      <c r="W315" s="134"/>
      <c r="X315" s="134"/>
      <c r="Y315" s="134"/>
      <c r="Z315" s="134"/>
      <c r="AA315" s="134"/>
    </row>
    <row r="316" ht="15.75" customHeight="1">
      <c r="A316" s="149"/>
      <c r="B316" s="149"/>
      <c r="C316" s="149"/>
      <c r="D316" s="149"/>
      <c r="E316" s="149"/>
      <c r="F316" s="149"/>
      <c r="G316" s="149"/>
      <c r="H316" s="135" t="str">
        <f>IFERROR(VLOOKUP(G316,'Conformance Score'!A:B, 2, 0), "")</f>
        <v/>
      </c>
      <c r="I316" s="150"/>
      <c r="J316" s="150"/>
      <c r="K316" s="134"/>
      <c r="L316" s="134"/>
      <c r="M316" s="134"/>
      <c r="N316" s="134"/>
      <c r="O316" s="134"/>
      <c r="P316" s="134"/>
      <c r="Q316" s="134"/>
      <c r="R316" s="134"/>
      <c r="S316" s="134"/>
      <c r="T316" s="134"/>
      <c r="U316" s="134"/>
      <c r="V316" s="134"/>
      <c r="W316" s="134"/>
      <c r="X316" s="134"/>
      <c r="Y316" s="134"/>
      <c r="Z316" s="134"/>
      <c r="AA316" s="134"/>
    </row>
    <row r="317" ht="15.75" customHeight="1">
      <c r="A317" s="149"/>
      <c r="B317" s="149"/>
      <c r="C317" s="149"/>
      <c r="D317" s="149"/>
      <c r="E317" s="149"/>
      <c r="F317" s="149"/>
      <c r="G317" s="149"/>
      <c r="H317" s="135" t="str">
        <f>IFERROR(VLOOKUP(G317,'Conformance Score'!A:B, 2, 0), "")</f>
        <v/>
      </c>
      <c r="I317" s="150"/>
      <c r="J317" s="150"/>
      <c r="K317" s="134"/>
      <c r="L317" s="134"/>
      <c r="M317" s="134"/>
      <c r="N317" s="134"/>
      <c r="O317" s="134"/>
      <c r="P317" s="134"/>
      <c r="Q317" s="134"/>
      <c r="R317" s="134"/>
      <c r="S317" s="134"/>
      <c r="T317" s="134"/>
      <c r="U317" s="134"/>
      <c r="V317" s="134"/>
      <c r="W317" s="134"/>
      <c r="X317" s="134"/>
      <c r="Y317" s="134"/>
      <c r="Z317" s="134"/>
      <c r="AA317" s="134"/>
    </row>
    <row r="318" ht="15.75" customHeight="1">
      <c r="A318" s="149"/>
      <c r="B318" s="149"/>
      <c r="C318" s="149"/>
      <c r="D318" s="149"/>
      <c r="E318" s="149"/>
      <c r="F318" s="149"/>
      <c r="G318" s="149"/>
      <c r="H318" s="135" t="str">
        <f>IFERROR(VLOOKUP(G318,'Conformance Score'!A:B, 2, 0), "")</f>
        <v/>
      </c>
      <c r="I318" s="150"/>
      <c r="J318" s="150"/>
      <c r="K318" s="134"/>
      <c r="L318" s="134"/>
      <c r="M318" s="134"/>
      <c r="N318" s="134"/>
      <c r="O318" s="134"/>
      <c r="P318" s="134"/>
      <c r="Q318" s="134"/>
      <c r="R318" s="134"/>
      <c r="S318" s="134"/>
      <c r="T318" s="134"/>
      <c r="U318" s="134"/>
      <c r="V318" s="134"/>
      <c r="W318" s="134"/>
      <c r="X318" s="134"/>
      <c r="Y318" s="134"/>
      <c r="Z318" s="134"/>
      <c r="AA318" s="134"/>
    </row>
    <row r="319" ht="15.75" customHeight="1">
      <c r="A319" s="149"/>
      <c r="B319" s="149"/>
      <c r="C319" s="149"/>
      <c r="D319" s="149"/>
      <c r="E319" s="149"/>
      <c r="F319" s="149"/>
      <c r="G319" s="149"/>
      <c r="H319" s="135" t="str">
        <f>IFERROR(VLOOKUP(G319,'Conformance Score'!A:B, 2, 0), "")</f>
        <v/>
      </c>
      <c r="I319" s="150"/>
      <c r="J319" s="150"/>
      <c r="K319" s="134"/>
      <c r="L319" s="134"/>
      <c r="M319" s="134"/>
      <c r="N319" s="134"/>
      <c r="O319" s="134"/>
      <c r="P319" s="134"/>
      <c r="Q319" s="134"/>
      <c r="R319" s="134"/>
      <c r="S319" s="134"/>
      <c r="T319" s="134"/>
      <c r="U319" s="134"/>
      <c r="V319" s="134"/>
      <c r="W319" s="134"/>
      <c r="X319" s="134"/>
      <c r="Y319" s="134"/>
      <c r="Z319" s="134"/>
      <c r="AA319" s="134"/>
    </row>
    <row r="320" ht="15.75" customHeight="1">
      <c r="A320" s="149"/>
      <c r="B320" s="149"/>
      <c r="C320" s="149"/>
      <c r="D320" s="149"/>
      <c r="E320" s="149"/>
      <c r="F320" s="149"/>
      <c r="G320" s="149"/>
      <c r="H320" s="135" t="str">
        <f>IFERROR(VLOOKUP(G320,'Conformance Score'!A:B, 2, 0), "")</f>
        <v/>
      </c>
      <c r="I320" s="150"/>
      <c r="J320" s="150"/>
      <c r="K320" s="134"/>
      <c r="L320" s="134"/>
      <c r="M320" s="134"/>
      <c r="N320" s="134"/>
      <c r="O320" s="134"/>
      <c r="P320" s="134"/>
      <c r="Q320" s="134"/>
      <c r="R320" s="134"/>
      <c r="S320" s="134"/>
      <c r="T320" s="134"/>
      <c r="U320" s="134"/>
      <c r="V320" s="134"/>
      <c r="W320" s="134"/>
      <c r="X320" s="134"/>
      <c r="Y320" s="134"/>
      <c r="Z320" s="134"/>
      <c r="AA320" s="134"/>
    </row>
    <row r="321" ht="15.75" customHeight="1">
      <c r="A321" s="149"/>
      <c r="B321" s="149"/>
      <c r="C321" s="149"/>
      <c r="D321" s="149"/>
      <c r="E321" s="149"/>
      <c r="F321" s="149"/>
      <c r="G321" s="149"/>
      <c r="H321" s="135" t="str">
        <f>IFERROR(VLOOKUP(G321,'Conformance Score'!A:B, 2, 0), "")</f>
        <v/>
      </c>
      <c r="I321" s="150"/>
      <c r="J321" s="150"/>
      <c r="K321" s="134"/>
      <c r="L321" s="134"/>
      <c r="M321" s="134"/>
      <c r="N321" s="134"/>
      <c r="O321" s="134"/>
      <c r="P321" s="134"/>
      <c r="Q321" s="134"/>
      <c r="R321" s="134"/>
      <c r="S321" s="134"/>
      <c r="T321" s="134"/>
      <c r="U321" s="134"/>
      <c r="V321" s="134"/>
      <c r="W321" s="134"/>
      <c r="X321" s="134"/>
      <c r="Y321" s="134"/>
      <c r="Z321" s="134"/>
      <c r="AA321" s="134"/>
    </row>
    <row r="322" ht="15.75" customHeight="1">
      <c r="A322" s="149"/>
      <c r="B322" s="149"/>
      <c r="C322" s="149"/>
      <c r="D322" s="149"/>
      <c r="E322" s="149"/>
      <c r="F322" s="149"/>
      <c r="G322" s="149"/>
      <c r="H322" s="135" t="str">
        <f>IFERROR(VLOOKUP(G322,'Conformance Score'!A:B, 2, 0), "")</f>
        <v/>
      </c>
      <c r="I322" s="150"/>
      <c r="J322" s="150"/>
      <c r="K322" s="134"/>
      <c r="L322" s="134"/>
      <c r="M322" s="134"/>
      <c r="N322" s="134"/>
      <c r="O322" s="134"/>
      <c r="P322" s="134"/>
      <c r="Q322" s="134"/>
      <c r="R322" s="134"/>
      <c r="S322" s="134"/>
      <c r="T322" s="134"/>
      <c r="U322" s="134"/>
      <c r="V322" s="134"/>
      <c r="W322" s="134"/>
      <c r="X322" s="134"/>
      <c r="Y322" s="134"/>
      <c r="Z322" s="134"/>
      <c r="AA322" s="134"/>
    </row>
    <row r="323" ht="15.75" customHeight="1">
      <c r="A323" s="149"/>
      <c r="B323" s="149"/>
      <c r="C323" s="149"/>
      <c r="D323" s="149"/>
      <c r="E323" s="149"/>
      <c r="F323" s="149"/>
      <c r="G323" s="149"/>
      <c r="H323" s="135" t="str">
        <f>IFERROR(VLOOKUP(G323,'Conformance Score'!A:B, 2, 0), "")</f>
        <v/>
      </c>
      <c r="I323" s="150"/>
      <c r="J323" s="150"/>
      <c r="K323" s="134"/>
      <c r="L323" s="134"/>
      <c r="M323" s="134"/>
      <c r="N323" s="134"/>
      <c r="O323" s="134"/>
      <c r="P323" s="134"/>
      <c r="Q323" s="134"/>
      <c r="R323" s="134"/>
      <c r="S323" s="134"/>
      <c r="T323" s="134"/>
      <c r="U323" s="134"/>
      <c r="V323" s="134"/>
      <c r="W323" s="134"/>
      <c r="X323" s="134"/>
      <c r="Y323" s="134"/>
      <c r="Z323" s="134"/>
      <c r="AA323" s="134"/>
    </row>
    <row r="324" ht="15.75" customHeight="1">
      <c r="A324" s="149"/>
      <c r="B324" s="149"/>
      <c r="C324" s="149"/>
      <c r="D324" s="149"/>
      <c r="E324" s="149"/>
      <c r="F324" s="149"/>
      <c r="G324" s="149"/>
      <c r="H324" s="135" t="str">
        <f>IFERROR(VLOOKUP(G324,'Conformance Score'!A:B, 2, 0), "")</f>
        <v/>
      </c>
      <c r="I324" s="150"/>
      <c r="J324" s="150"/>
      <c r="K324" s="134"/>
      <c r="L324" s="134"/>
      <c r="M324" s="134"/>
      <c r="N324" s="134"/>
      <c r="O324" s="134"/>
      <c r="P324" s="134"/>
      <c r="Q324" s="134"/>
      <c r="R324" s="134"/>
      <c r="S324" s="134"/>
      <c r="T324" s="134"/>
      <c r="U324" s="134"/>
      <c r="V324" s="134"/>
      <c r="W324" s="134"/>
      <c r="X324" s="134"/>
      <c r="Y324" s="134"/>
      <c r="Z324" s="134"/>
      <c r="AA324" s="134"/>
    </row>
    <row r="325" ht="15.75" customHeight="1">
      <c r="A325" s="149"/>
      <c r="B325" s="149"/>
      <c r="C325" s="149"/>
      <c r="D325" s="149"/>
      <c r="E325" s="149"/>
      <c r="F325" s="149"/>
      <c r="G325" s="149"/>
      <c r="H325" s="135" t="str">
        <f>IFERROR(VLOOKUP(G325,'Conformance Score'!A:B, 2, 0), "")</f>
        <v/>
      </c>
      <c r="I325" s="150"/>
      <c r="J325" s="150"/>
      <c r="K325" s="134"/>
      <c r="L325" s="134"/>
      <c r="M325" s="134"/>
      <c r="N325" s="134"/>
      <c r="O325" s="134"/>
      <c r="P325" s="134"/>
      <c r="Q325" s="134"/>
      <c r="R325" s="134"/>
      <c r="S325" s="134"/>
      <c r="T325" s="134"/>
      <c r="U325" s="134"/>
      <c r="V325" s="134"/>
      <c r="W325" s="134"/>
      <c r="X325" s="134"/>
      <c r="Y325" s="134"/>
      <c r="Z325" s="134"/>
      <c r="AA325" s="134"/>
    </row>
    <row r="326" ht="15.75" customHeight="1">
      <c r="A326" s="149"/>
      <c r="B326" s="149"/>
      <c r="C326" s="149"/>
      <c r="D326" s="149"/>
      <c r="E326" s="149"/>
      <c r="F326" s="149"/>
      <c r="G326" s="149"/>
      <c r="H326" s="135" t="str">
        <f>IFERROR(VLOOKUP(G326,'Conformance Score'!A:B, 2, 0), "")</f>
        <v/>
      </c>
      <c r="I326" s="150"/>
      <c r="J326" s="150"/>
      <c r="K326" s="134"/>
      <c r="L326" s="134"/>
      <c r="M326" s="134"/>
      <c r="N326" s="134"/>
      <c r="O326" s="134"/>
      <c r="P326" s="134"/>
      <c r="Q326" s="134"/>
      <c r="R326" s="134"/>
      <c r="S326" s="134"/>
      <c r="T326" s="134"/>
      <c r="U326" s="134"/>
      <c r="V326" s="134"/>
      <c r="W326" s="134"/>
      <c r="X326" s="134"/>
      <c r="Y326" s="134"/>
      <c r="Z326" s="134"/>
      <c r="AA326" s="134"/>
    </row>
    <row r="327" ht="15.75" customHeight="1">
      <c r="A327" s="149"/>
      <c r="B327" s="149"/>
      <c r="C327" s="149"/>
      <c r="D327" s="149"/>
      <c r="E327" s="149"/>
      <c r="F327" s="149"/>
      <c r="G327" s="149"/>
      <c r="H327" s="135" t="str">
        <f>IFERROR(VLOOKUP(G327,'Conformance Score'!A:B, 2, 0), "")</f>
        <v/>
      </c>
      <c r="I327" s="150"/>
      <c r="J327" s="150"/>
      <c r="K327" s="134"/>
      <c r="L327" s="134"/>
      <c r="M327" s="134"/>
      <c r="N327" s="134"/>
      <c r="O327" s="134"/>
      <c r="P327" s="134"/>
      <c r="Q327" s="134"/>
      <c r="R327" s="134"/>
      <c r="S327" s="134"/>
      <c r="T327" s="134"/>
      <c r="U327" s="134"/>
      <c r="V327" s="134"/>
      <c r="W327" s="134"/>
      <c r="X327" s="134"/>
      <c r="Y327" s="134"/>
      <c r="Z327" s="134"/>
      <c r="AA327" s="134"/>
    </row>
    <row r="328" ht="15.75" customHeight="1">
      <c r="A328" s="149"/>
      <c r="B328" s="149"/>
      <c r="C328" s="149"/>
      <c r="D328" s="149"/>
      <c r="E328" s="149"/>
      <c r="F328" s="149"/>
      <c r="G328" s="149"/>
      <c r="H328" s="135" t="str">
        <f>IFERROR(VLOOKUP(G328,'Conformance Score'!A:B, 2, 0), "")</f>
        <v/>
      </c>
      <c r="I328" s="150"/>
      <c r="J328" s="150"/>
      <c r="K328" s="134"/>
      <c r="L328" s="134"/>
      <c r="M328" s="134"/>
      <c r="N328" s="134"/>
      <c r="O328" s="134"/>
      <c r="P328" s="134"/>
      <c r="Q328" s="134"/>
      <c r="R328" s="134"/>
      <c r="S328" s="134"/>
      <c r="T328" s="134"/>
      <c r="U328" s="134"/>
      <c r="V328" s="134"/>
      <c r="W328" s="134"/>
      <c r="X328" s="134"/>
      <c r="Y328" s="134"/>
      <c r="Z328" s="134"/>
      <c r="AA328" s="134"/>
    </row>
    <row r="329" ht="15.75" customHeight="1">
      <c r="A329" s="149"/>
      <c r="B329" s="149"/>
      <c r="C329" s="149"/>
      <c r="D329" s="149"/>
      <c r="E329" s="149"/>
      <c r="F329" s="149"/>
      <c r="G329" s="149"/>
      <c r="H329" s="135" t="str">
        <f>IFERROR(VLOOKUP(G329,'Conformance Score'!A:B, 2, 0), "")</f>
        <v/>
      </c>
      <c r="I329" s="150"/>
      <c r="J329" s="150"/>
      <c r="K329" s="134"/>
      <c r="L329" s="134"/>
      <c r="M329" s="134"/>
      <c r="N329" s="134"/>
      <c r="O329" s="134"/>
      <c r="P329" s="134"/>
      <c r="Q329" s="134"/>
      <c r="R329" s="134"/>
      <c r="S329" s="134"/>
      <c r="T329" s="134"/>
      <c r="U329" s="134"/>
      <c r="V329" s="134"/>
      <c r="W329" s="134"/>
      <c r="X329" s="134"/>
      <c r="Y329" s="134"/>
      <c r="Z329" s="134"/>
      <c r="AA329" s="134"/>
    </row>
    <row r="330" ht="15.75" customHeight="1">
      <c r="A330" s="149"/>
      <c r="B330" s="149"/>
      <c r="C330" s="149"/>
      <c r="D330" s="149"/>
      <c r="E330" s="149"/>
      <c r="F330" s="149"/>
      <c r="G330" s="149"/>
      <c r="H330" s="135" t="str">
        <f>IFERROR(VLOOKUP(G330,'Conformance Score'!A:B, 2, 0), "")</f>
        <v/>
      </c>
      <c r="I330" s="150"/>
      <c r="J330" s="150"/>
      <c r="K330" s="134"/>
      <c r="L330" s="134"/>
      <c r="M330" s="134"/>
      <c r="N330" s="134"/>
      <c r="O330" s="134"/>
      <c r="P330" s="134"/>
      <c r="Q330" s="134"/>
      <c r="R330" s="134"/>
      <c r="S330" s="134"/>
      <c r="T330" s="134"/>
      <c r="U330" s="134"/>
      <c r="V330" s="134"/>
      <c r="W330" s="134"/>
      <c r="X330" s="134"/>
      <c r="Y330" s="134"/>
      <c r="Z330" s="134"/>
      <c r="AA330" s="134"/>
    </row>
    <row r="331" ht="15.75" customHeight="1">
      <c r="A331" s="149"/>
      <c r="B331" s="149"/>
      <c r="C331" s="149"/>
      <c r="D331" s="149"/>
      <c r="E331" s="149"/>
      <c r="F331" s="149"/>
      <c r="G331" s="149"/>
      <c r="H331" s="135" t="str">
        <f>IFERROR(VLOOKUP(G331,'Conformance Score'!A:B, 2, 0), "")</f>
        <v/>
      </c>
      <c r="I331" s="150"/>
      <c r="J331" s="150"/>
      <c r="K331" s="134"/>
      <c r="L331" s="134"/>
      <c r="M331" s="134"/>
      <c r="N331" s="134"/>
      <c r="O331" s="134"/>
      <c r="P331" s="134"/>
      <c r="Q331" s="134"/>
      <c r="R331" s="134"/>
      <c r="S331" s="134"/>
      <c r="T331" s="134"/>
      <c r="U331" s="134"/>
      <c r="V331" s="134"/>
      <c r="W331" s="134"/>
      <c r="X331" s="134"/>
      <c r="Y331" s="134"/>
      <c r="Z331" s="134"/>
      <c r="AA331" s="134"/>
    </row>
    <row r="332" ht="15.75" customHeight="1">
      <c r="A332" s="149"/>
      <c r="B332" s="149"/>
      <c r="C332" s="149"/>
      <c r="D332" s="149"/>
      <c r="E332" s="149"/>
      <c r="F332" s="149"/>
      <c r="G332" s="149"/>
      <c r="H332" s="135" t="str">
        <f>IFERROR(VLOOKUP(G332,'Conformance Score'!A:B, 2, 0), "")</f>
        <v/>
      </c>
      <c r="I332" s="150"/>
      <c r="J332" s="150"/>
      <c r="K332" s="134"/>
      <c r="L332" s="134"/>
      <c r="M332" s="134"/>
      <c r="N332" s="134"/>
      <c r="O332" s="134"/>
      <c r="P332" s="134"/>
      <c r="Q332" s="134"/>
      <c r="R332" s="134"/>
      <c r="S332" s="134"/>
      <c r="T332" s="134"/>
      <c r="U332" s="134"/>
      <c r="V332" s="134"/>
      <c r="W332" s="134"/>
      <c r="X332" s="134"/>
      <c r="Y332" s="134"/>
      <c r="Z332" s="134"/>
      <c r="AA332" s="134"/>
    </row>
    <row r="333" ht="15.75" customHeight="1">
      <c r="A333" s="149"/>
      <c r="B333" s="149"/>
      <c r="C333" s="149"/>
      <c r="D333" s="149"/>
      <c r="E333" s="149"/>
      <c r="F333" s="149"/>
      <c r="G333" s="149"/>
      <c r="H333" s="135" t="str">
        <f>IFERROR(VLOOKUP(G333,'Conformance Score'!A:B, 2, 0), "")</f>
        <v/>
      </c>
      <c r="I333" s="150"/>
      <c r="J333" s="150"/>
      <c r="K333" s="134"/>
      <c r="L333" s="134"/>
      <c r="M333" s="134"/>
      <c r="N333" s="134"/>
      <c r="O333" s="134"/>
      <c r="P333" s="134"/>
      <c r="Q333" s="134"/>
      <c r="R333" s="134"/>
      <c r="S333" s="134"/>
      <c r="T333" s="134"/>
      <c r="U333" s="134"/>
      <c r="V333" s="134"/>
      <c r="W333" s="134"/>
      <c r="X333" s="134"/>
      <c r="Y333" s="134"/>
      <c r="Z333" s="134"/>
      <c r="AA333" s="134"/>
    </row>
    <row r="334" ht="15.75" customHeight="1">
      <c r="A334" s="149"/>
      <c r="B334" s="149"/>
      <c r="C334" s="149"/>
      <c r="D334" s="149"/>
      <c r="E334" s="149"/>
      <c r="F334" s="149"/>
      <c r="G334" s="149"/>
      <c r="H334" s="135" t="str">
        <f>IFERROR(VLOOKUP(G334,'Conformance Score'!A:B, 2, 0), "")</f>
        <v/>
      </c>
      <c r="I334" s="150"/>
      <c r="J334" s="150"/>
      <c r="K334" s="134"/>
      <c r="L334" s="134"/>
      <c r="M334" s="134"/>
      <c r="N334" s="134"/>
      <c r="O334" s="134"/>
      <c r="P334" s="134"/>
      <c r="Q334" s="134"/>
      <c r="R334" s="134"/>
      <c r="S334" s="134"/>
      <c r="T334" s="134"/>
      <c r="U334" s="134"/>
      <c r="V334" s="134"/>
      <c r="W334" s="134"/>
      <c r="X334" s="134"/>
      <c r="Y334" s="134"/>
      <c r="Z334" s="134"/>
      <c r="AA334" s="134"/>
    </row>
    <row r="335" ht="15.75" customHeight="1">
      <c r="A335" s="149"/>
      <c r="B335" s="149"/>
      <c r="C335" s="149"/>
      <c r="D335" s="149"/>
      <c r="E335" s="149"/>
      <c r="F335" s="149"/>
      <c r="G335" s="149"/>
      <c r="H335" s="135" t="str">
        <f>IFERROR(VLOOKUP(G335,'Conformance Score'!A:B, 2, 0), "")</f>
        <v/>
      </c>
      <c r="I335" s="150"/>
      <c r="J335" s="150"/>
      <c r="K335" s="134"/>
      <c r="L335" s="134"/>
      <c r="M335" s="134"/>
      <c r="N335" s="134"/>
      <c r="O335" s="134"/>
      <c r="P335" s="134"/>
      <c r="Q335" s="134"/>
      <c r="R335" s="134"/>
      <c r="S335" s="134"/>
      <c r="T335" s="134"/>
      <c r="U335" s="134"/>
      <c r="V335" s="134"/>
      <c r="W335" s="134"/>
      <c r="X335" s="134"/>
      <c r="Y335" s="134"/>
      <c r="Z335" s="134"/>
      <c r="AA335" s="134"/>
    </row>
    <row r="336" ht="15.75" customHeight="1">
      <c r="A336" s="149"/>
      <c r="B336" s="149"/>
      <c r="C336" s="149"/>
      <c r="D336" s="149"/>
      <c r="E336" s="149"/>
      <c r="F336" s="149"/>
      <c r="G336" s="149"/>
      <c r="H336" s="135" t="str">
        <f>IFERROR(VLOOKUP(G336,'Conformance Score'!A:B, 2, 0), "")</f>
        <v/>
      </c>
      <c r="I336" s="150"/>
      <c r="J336" s="150"/>
      <c r="K336" s="134"/>
      <c r="L336" s="134"/>
      <c r="M336" s="134"/>
      <c r="N336" s="134"/>
      <c r="O336" s="134"/>
      <c r="P336" s="134"/>
      <c r="Q336" s="134"/>
      <c r="R336" s="134"/>
      <c r="S336" s="134"/>
      <c r="T336" s="134"/>
      <c r="U336" s="134"/>
      <c r="V336" s="134"/>
      <c r="W336" s="134"/>
      <c r="X336" s="134"/>
      <c r="Y336" s="134"/>
      <c r="Z336" s="134"/>
      <c r="AA336" s="134"/>
    </row>
    <row r="337" ht="15.75" customHeight="1">
      <c r="A337" s="149"/>
      <c r="B337" s="149"/>
      <c r="C337" s="149"/>
      <c r="D337" s="149"/>
      <c r="E337" s="149"/>
      <c r="F337" s="149"/>
      <c r="G337" s="149"/>
      <c r="H337" s="135" t="str">
        <f>IFERROR(VLOOKUP(G337,'Conformance Score'!A:B, 2, 0), "")</f>
        <v/>
      </c>
      <c r="I337" s="150"/>
      <c r="J337" s="150"/>
      <c r="K337" s="134"/>
      <c r="L337" s="134"/>
      <c r="M337" s="134"/>
      <c r="N337" s="134"/>
      <c r="O337" s="134"/>
      <c r="P337" s="134"/>
      <c r="Q337" s="134"/>
      <c r="R337" s="134"/>
      <c r="S337" s="134"/>
      <c r="T337" s="134"/>
      <c r="U337" s="134"/>
      <c r="V337" s="134"/>
      <c r="W337" s="134"/>
      <c r="X337" s="134"/>
      <c r="Y337" s="134"/>
      <c r="Z337" s="134"/>
      <c r="AA337" s="134"/>
    </row>
    <row r="338" ht="15.75" customHeight="1">
      <c r="A338" s="149"/>
      <c r="B338" s="149"/>
      <c r="C338" s="149"/>
      <c r="D338" s="149"/>
      <c r="E338" s="149"/>
      <c r="F338" s="149"/>
      <c r="G338" s="149"/>
      <c r="H338" s="135" t="str">
        <f>IFERROR(VLOOKUP(G338,'Conformance Score'!A:B, 2, 0), "")</f>
        <v/>
      </c>
      <c r="I338" s="150"/>
      <c r="J338" s="150"/>
      <c r="K338" s="134"/>
      <c r="L338" s="134"/>
      <c r="M338" s="134"/>
      <c r="N338" s="134"/>
      <c r="O338" s="134"/>
      <c r="P338" s="134"/>
      <c r="Q338" s="134"/>
      <c r="R338" s="134"/>
      <c r="S338" s="134"/>
      <c r="T338" s="134"/>
      <c r="U338" s="134"/>
      <c r="V338" s="134"/>
      <c r="W338" s="134"/>
      <c r="X338" s="134"/>
      <c r="Y338" s="134"/>
      <c r="Z338" s="134"/>
      <c r="AA338" s="134"/>
    </row>
    <row r="339" ht="15.75" customHeight="1">
      <c r="A339" s="149"/>
      <c r="B339" s="149"/>
      <c r="C339" s="149"/>
      <c r="D339" s="149"/>
      <c r="E339" s="149"/>
      <c r="F339" s="149"/>
      <c r="G339" s="149"/>
      <c r="H339" s="135" t="str">
        <f>IFERROR(VLOOKUP(G339,'Conformance Score'!A:B, 2, 0), "")</f>
        <v/>
      </c>
      <c r="I339" s="150"/>
      <c r="J339" s="150"/>
      <c r="K339" s="134"/>
      <c r="L339" s="134"/>
      <c r="M339" s="134"/>
      <c r="N339" s="134"/>
      <c r="O339" s="134"/>
      <c r="P339" s="134"/>
      <c r="Q339" s="134"/>
      <c r="R339" s="134"/>
      <c r="S339" s="134"/>
      <c r="T339" s="134"/>
      <c r="U339" s="134"/>
      <c r="V339" s="134"/>
      <c r="W339" s="134"/>
      <c r="X339" s="134"/>
      <c r="Y339" s="134"/>
      <c r="Z339" s="134"/>
      <c r="AA339" s="134"/>
    </row>
    <row r="340" ht="15.75" customHeight="1">
      <c r="A340" s="149"/>
      <c r="B340" s="149"/>
      <c r="C340" s="149"/>
      <c r="D340" s="149"/>
      <c r="E340" s="149"/>
      <c r="F340" s="149"/>
      <c r="G340" s="149"/>
      <c r="H340" s="135" t="str">
        <f>IFERROR(VLOOKUP(G340,'Conformance Score'!A:B, 2, 0), "")</f>
        <v/>
      </c>
      <c r="I340" s="150"/>
      <c r="J340" s="150"/>
      <c r="K340" s="134"/>
      <c r="L340" s="134"/>
      <c r="M340" s="134"/>
      <c r="N340" s="134"/>
      <c r="O340" s="134"/>
      <c r="P340" s="134"/>
      <c r="Q340" s="134"/>
      <c r="R340" s="134"/>
      <c r="S340" s="134"/>
      <c r="T340" s="134"/>
      <c r="U340" s="134"/>
      <c r="V340" s="134"/>
      <c r="W340" s="134"/>
      <c r="X340" s="134"/>
      <c r="Y340" s="134"/>
      <c r="Z340" s="134"/>
      <c r="AA340" s="134"/>
    </row>
    <row r="341" ht="15.75" customHeight="1">
      <c r="A341" s="149"/>
      <c r="B341" s="149"/>
      <c r="C341" s="149"/>
      <c r="D341" s="149"/>
      <c r="E341" s="149"/>
      <c r="F341" s="149"/>
      <c r="G341" s="149"/>
      <c r="H341" s="135" t="str">
        <f>IFERROR(VLOOKUP(G341,'Conformance Score'!A:B, 2, 0), "")</f>
        <v/>
      </c>
      <c r="I341" s="150"/>
      <c r="J341" s="150"/>
      <c r="K341" s="134"/>
      <c r="L341" s="134"/>
      <c r="M341" s="134"/>
      <c r="N341" s="134"/>
      <c r="O341" s="134"/>
      <c r="P341" s="134"/>
      <c r="Q341" s="134"/>
      <c r="R341" s="134"/>
      <c r="S341" s="134"/>
      <c r="T341" s="134"/>
      <c r="U341" s="134"/>
      <c r="V341" s="134"/>
      <c r="W341" s="134"/>
      <c r="X341" s="134"/>
      <c r="Y341" s="134"/>
      <c r="Z341" s="134"/>
      <c r="AA341" s="134"/>
    </row>
    <row r="342" ht="15.75" customHeight="1">
      <c r="A342" s="149"/>
      <c r="B342" s="149"/>
      <c r="C342" s="149"/>
      <c r="D342" s="149"/>
      <c r="E342" s="149"/>
      <c r="F342" s="149"/>
      <c r="G342" s="149"/>
      <c r="H342" s="135" t="str">
        <f>IFERROR(VLOOKUP(G342,'Conformance Score'!A:B, 2, 0), "")</f>
        <v/>
      </c>
      <c r="I342" s="150"/>
      <c r="J342" s="150"/>
      <c r="K342" s="134"/>
      <c r="L342" s="134"/>
      <c r="M342" s="134"/>
      <c r="N342" s="134"/>
      <c r="O342" s="134"/>
      <c r="P342" s="134"/>
      <c r="Q342" s="134"/>
      <c r="R342" s="134"/>
      <c r="S342" s="134"/>
      <c r="T342" s="134"/>
      <c r="U342" s="134"/>
      <c r="V342" s="134"/>
      <c r="W342" s="134"/>
      <c r="X342" s="134"/>
      <c r="Y342" s="134"/>
      <c r="Z342" s="134"/>
      <c r="AA342" s="134"/>
    </row>
    <row r="343" ht="15.75" customHeight="1">
      <c r="A343" s="149"/>
      <c r="B343" s="149"/>
      <c r="C343" s="149"/>
      <c r="D343" s="149"/>
      <c r="E343" s="149"/>
      <c r="F343" s="149"/>
      <c r="G343" s="149"/>
      <c r="H343" s="135" t="str">
        <f>IFERROR(VLOOKUP(G343,'Conformance Score'!A:B, 2, 0), "")</f>
        <v/>
      </c>
      <c r="I343" s="150"/>
      <c r="J343" s="150"/>
      <c r="K343" s="134"/>
      <c r="L343" s="134"/>
      <c r="M343" s="134"/>
      <c r="N343" s="134"/>
      <c r="O343" s="134"/>
      <c r="P343" s="134"/>
      <c r="Q343" s="134"/>
      <c r="R343" s="134"/>
      <c r="S343" s="134"/>
      <c r="T343" s="134"/>
      <c r="U343" s="134"/>
      <c r="V343" s="134"/>
      <c r="W343" s="134"/>
      <c r="X343" s="134"/>
      <c r="Y343" s="134"/>
      <c r="Z343" s="134"/>
      <c r="AA343" s="134"/>
    </row>
    <row r="344" ht="15.75" customHeight="1">
      <c r="A344" s="149"/>
      <c r="B344" s="149"/>
      <c r="C344" s="149"/>
      <c r="D344" s="149"/>
      <c r="E344" s="149"/>
      <c r="F344" s="149"/>
      <c r="G344" s="149"/>
      <c r="H344" s="135" t="str">
        <f>IFERROR(VLOOKUP(G344,'Conformance Score'!A:B, 2, 0), "")</f>
        <v/>
      </c>
      <c r="I344" s="150"/>
      <c r="J344" s="150"/>
      <c r="K344" s="134"/>
      <c r="L344" s="134"/>
      <c r="M344" s="134"/>
      <c r="N344" s="134"/>
      <c r="O344" s="134"/>
      <c r="P344" s="134"/>
      <c r="Q344" s="134"/>
      <c r="R344" s="134"/>
      <c r="S344" s="134"/>
      <c r="T344" s="134"/>
      <c r="U344" s="134"/>
      <c r="V344" s="134"/>
      <c r="W344" s="134"/>
      <c r="X344" s="134"/>
      <c r="Y344" s="134"/>
      <c r="Z344" s="134"/>
      <c r="AA344" s="134"/>
    </row>
    <row r="345" ht="15.75" customHeight="1">
      <c r="A345" s="149"/>
      <c r="B345" s="149"/>
      <c r="C345" s="149"/>
      <c r="D345" s="149"/>
      <c r="E345" s="149"/>
      <c r="F345" s="149"/>
      <c r="G345" s="149"/>
      <c r="H345" s="135" t="str">
        <f>IFERROR(VLOOKUP(G345,'Conformance Score'!A:B, 2, 0), "")</f>
        <v/>
      </c>
      <c r="I345" s="150"/>
      <c r="J345" s="150"/>
      <c r="K345" s="134"/>
      <c r="L345" s="134"/>
      <c r="M345" s="134"/>
      <c r="N345" s="134"/>
      <c r="O345" s="134"/>
      <c r="P345" s="134"/>
      <c r="Q345" s="134"/>
      <c r="R345" s="134"/>
      <c r="S345" s="134"/>
      <c r="T345" s="134"/>
      <c r="U345" s="134"/>
      <c r="V345" s="134"/>
      <c r="W345" s="134"/>
      <c r="X345" s="134"/>
      <c r="Y345" s="134"/>
      <c r="Z345" s="134"/>
      <c r="AA345" s="134"/>
    </row>
    <row r="346" ht="15.75" customHeight="1">
      <c r="A346" s="149"/>
      <c r="B346" s="149"/>
      <c r="C346" s="149"/>
      <c r="D346" s="149"/>
      <c r="E346" s="149"/>
      <c r="F346" s="149"/>
      <c r="G346" s="149"/>
      <c r="H346" s="135" t="str">
        <f>IFERROR(VLOOKUP(G346,'Conformance Score'!A:B, 2, 0), "")</f>
        <v/>
      </c>
      <c r="I346" s="150"/>
      <c r="J346" s="150"/>
      <c r="K346" s="134"/>
      <c r="L346" s="134"/>
      <c r="M346" s="134"/>
      <c r="N346" s="134"/>
      <c r="O346" s="134"/>
      <c r="P346" s="134"/>
      <c r="Q346" s="134"/>
      <c r="R346" s="134"/>
      <c r="S346" s="134"/>
      <c r="T346" s="134"/>
      <c r="U346" s="134"/>
      <c r="V346" s="134"/>
      <c r="W346" s="134"/>
      <c r="X346" s="134"/>
      <c r="Y346" s="134"/>
      <c r="Z346" s="134"/>
      <c r="AA346" s="134"/>
    </row>
    <row r="347" ht="15.75" customHeight="1">
      <c r="A347" s="149"/>
      <c r="B347" s="149"/>
      <c r="C347" s="149"/>
      <c r="D347" s="149"/>
      <c r="E347" s="149"/>
      <c r="F347" s="149"/>
      <c r="G347" s="149"/>
      <c r="H347" s="135" t="str">
        <f>IFERROR(VLOOKUP(G347,'Conformance Score'!A:B, 2, 0), "")</f>
        <v/>
      </c>
      <c r="I347" s="150"/>
      <c r="J347" s="150"/>
      <c r="K347" s="134"/>
      <c r="L347" s="134"/>
      <c r="M347" s="134"/>
      <c r="N347" s="134"/>
      <c r="O347" s="134"/>
      <c r="P347" s="134"/>
      <c r="Q347" s="134"/>
      <c r="R347" s="134"/>
      <c r="S347" s="134"/>
      <c r="T347" s="134"/>
      <c r="U347" s="134"/>
      <c r="V347" s="134"/>
      <c r="W347" s="134"/>
      <c r="X347" s="134"/>
      <c r="Y347" s="134"/>
      <c r="Z347" s="134"/>
      <c r="AA347" s="134"/>
    </row>
    <row r="348" ht="15.75" customHeight="1">
      <c r="A348" s="149"/>
      <c r="B348" s="149"/>
      <c r="C348" s="149"/>
      <c r="D348" s="149"/>
      <c r="E348" s="149"/>
      <c r="F348" s="149"/>
      <c r="G348" s="149"/>
      <c r="H348" s="135" t="str">
        <f>IFERROR(VLOOKUP(G348,'Conformance Score'!A:B, 2, 0), "")</f>
        <v/>
      </c>
      <c r="I348" s="150"/>
      <c r="J348" s="150"/>
      <c r="K348" s="134"/>
      <c r="L348" s="134"/>
      <c r="M348" s="134"/>
      <c r="N348" s="134"/>
      <c r="O348" s="134"/>
      <c r="P348" s="134"/>
      <c r="Q348" s="134"/>
      <c r="R348" s="134"/>
      <c r="S348" s="134"/>
      <c r="T348" s="134"/>
      <c r="U348" s="134"/>
      <c r="V348" s="134"/>
      <c r="W348" s="134"/>
      <c r="X348" s="134"/>
      <c r="Y348" s="134"/>
      <c r="Z348" s="134"/>
      <c r="AA348" s="134"/>
    </row>
    <row r="349" ht="15.75" customHeight="1">
      <c r="A349" s="149"/>
      <c r="B349" s="149"/>
      <c r="C349" s="149"/>
      <c r="D349" s="149"/>
      <c r="E349" s="149"/>
      <c r="F349" s="149"/>
      <c r="G349" s="149"/>
      <c r="H349" s="135" t="str">
        <f>IFERROR(VLOOKUP(G349,'Conformance Score'!A:B, 2, 0), "")</f>
        <v/>
      </c>
      <c r="I349" s="150"/>
      <c r="J349" s="150"/>
      <c r="K349" s="134"/>
      <c r="L349" s="134"/>
      <c r="M349" s="134"/>
      <c r="N349" s="134"/>
      <c r="O349" s="134"/>
      <c r="P349" s="134"/>
      <c r="Q349" s="134"/>
      <c r="R349" s="134"/>
      <c r="S349" s="134"/>
      <c r="T349" s="134"/>
      <c r="U349" s="134"/>
      <c r="V349" s="134"/>
      <c r="W349" s="134"/>
      <c r="X349" s="134"/>
      <c r="Y349" s="134"/>
      <c r="Z349" s="134"/>
      <c r="AA349" s="134"/>
    </row>
    <row r="350" ht="15.75" customHeight="1">
      <c r="A350" s="149"/>
      <c r="B350" s="149"/>
      <c r="C350" s="149"/>
      <c r="D350" s="149"/>
      <c r="E350" s="149"/>
      <c r="F350" s="149"/>
      <c r="G350" s="149"/>
      <c r="H350" s="135" t="str">
        <f>IFERROR(VLOOKUP(G350,'Conformance Score'!A:B, 2, 0), "")</f>
        <v/>
      </c>
      <c r="I350" s="150"/>
      <c r="J350" s="150"/>
      <c r="K350" s="134"/>
      <c r="L350" s="134"/>
      <c r="M350" s="134"/>
      <c r="N350" s="134"/>
      <c r="O350" s="134"/>
      <c r="P350" s="134"/>
      <c r="Q350" s="134"/>
      <c r="R350" s="134"/>
      <c r="S350" s="134"/>
      <c r="T350" s="134"/>
      <c r="U350" s="134"/>
      <c r="V350" s="134"/>
      <c r="W350" s="134"/>
      <c r="X350" s="134"/>
      <c r="Y350" s="134"/>
      <c r="Z350" s="134"/>
      <c r="AA350" s="134"/>
    </row>
    <row r="351" ht="15.75" customHeight="1">
      <c r="A351" s="149"/>
      <c r="B351" s="149"/>
      <c r="C351" s="149"/>
      <c r="D351" s="149"/>
      <c r="E351" s="149"/>
      <c r="F351" s="149"/>
      <c r="G351" s="149"/>
      <c r="H351" s="135" t="str">
        <f>IFERROR(VLOOKUP(G351,'Conformance Score'!A:B, 2, 0), "")</f>
        <v/>
      </c>
      <c r="I351" s="150"/>
      <c r="J351" s="150"/>
      <c r="K351" s="134"/>
      <c r="L351" s="134"/>
      <c r="M351" s="134"/>
      <c r="N351" s="134"/>
      <c r="O351" s="134"/>
      <c r="P351" s="134"/>
      <c r="Q351" s="134"/>
      <c r="R351" s="134"/>
      <c r="S351" s="134"/>
      <c r="T351" s="134"/>
      <c r="U351" s="134"/>
      <c r="V351" s="134"/>
      <c r="W351" s="134"/>
      <c r="X351" s="134"/>
      <c r="Y351" s="134"/>
      <c r="Z351" s="134"/>
      <c r="AA351" s="134"/>
    </row>
    <row r="352" ht="15.75" customHeight="1">
      <c r="A352" s="149"/>
      <c r="B352" s="149"/>
      <c r="C352" s="149"/>
      <c r="D352" s="149"/>
      <c r="E352" s="149"/>
      <c r="F352" s="149"/>
      <c r="G352" s="149"/>
      <c r="H352" s="135" t="str">
        <f>IFERROR(VLOOKUP(G352,'Conformance Score'!A:B, 2, 0), "")</f>
        <v/>
      </c>
      <c r="I352" s="150"/>
      <c r="J352" s="150"/>
      <c r="K352" s="134"/>
      <c r="L352" s="134"/>
      <c r="M352" s="134"/>
      <c r="N352" s="134"/>
      <c r="O352" s="134"/>
      <c r="P352" s="134"/>
      <c r="Q352" s="134"/>
      <c r="R352" s="134"/>
      <c r="S352" s="134"/>
      <c r="T352" s="134"/>
      <c r="U352" s="134"/>
      <c r="V352" s="134"/>
      <c r="W352" s="134"/>
      <c r="X352" s="134"/>
      <c r="Y352" s="134"/>
      <c r="Z352" s="134"/>
      <c r="AA352" s="134"/>
    </row>
    <row r="353" ht="15.75" customHeight="1">
      <c r="A353" s="149"/>
      <c r="B353" s="149"/>
      <c r="C353" s="149"/>
      <c r="D353" s="149"/>
      <c r="E353" s="149"/>
      <c r="F353" s="149"/>
      <c r="G353" s="149"/>
      <c r="H353" s="135" t="str">
        <f>IFERROR(VLOOKUP(G353,'Conformance Score'!A:B, 2, 0), "")</f>
        <v/>
      </c>
      <c r="I353" s="150"/>
      <c r="J353" s="150"/>
      <c r="K353" s="134"/>
      <c r="L353" s="134"/>
      <c r="M353" s="134"/>
      <c r="N353" s="134"/>
      <c r="O353" s="134"/>
      <c r="P353" s="134"/>
      <c r="Q353" s="134"/>
      <c r="R353" s="134"/>
      <c r="S353" s="134"/>
      <c r="T353" s="134"/>
      <c r="U353" s="134"/>
      <c r="V353" s="134"/>
      <c r="W353" s="134"/>
      <c r="X353" s="134"/>
      <c r="Y353" s="134"/>
      <c r="Z353" s="134"/>
      <c r="AA353" s="134"/>
    </row>
    <row r="354" ht="15.75" customHeight="1">
      <c r="A354" s="149"/>
      <c r="B354" s="149"/>
      <c r="C354" s="149"/>
      <c r="D354" s="149"/>
      <c r="E354" s="149"/>
      <c r="F354" s="149"/>
      <c r="G354" s="149"/>
      <c r="H354" s="135" t="str">
        <f>IFERROR(VLOOKUP(G354,'Conformance Score'!A:B, 2, 0), "")</f>
        <v/>
      </c>
      <c r="I354" s="150"/>
      <c r="J354" s="150"/>
      <c r="K354" s="134"/>
      <c r="L354" s="134"/>
      <c r="M354" s="134"/>
      <c r="N354" s="134"/>
      <c r="O354" s="134"/>
      <c r="P354" s="134"/>
      <c r="Q354" s="134"/>
      <c r="R354" s="134"/>
      <c r="S354" s="134"/>
      <c r="T354" s="134"/>
      <c r="U354" s="134"/>
      <c r="V354" s="134"/>
      <c r="W354" s="134"/>
      <c r="X354" s="134"/>
      <c r="Y354" s="134"/>
      <c r="Z354" s="134"/>
      <c r="AA354" s="134"/>
    </row>
    <row r="355" ht="15.75" customHeight="1">
      <c r="A355" s="149"/>
      <c r="B355" s="149"/>
      <c r="C355" s="149"/>
      <c r="D355" s="149"/>
      <c r="E355" s="149"/>
      <c r="F355" s="149"/>
      <c r="G355" s="149"/>
      <c r="H355" s="135" t="str">
        <f>IFERROR(VLOOKUP(G355,'Conformance Score'!A:B, 2, 0), "")</f>
        <v/>
      </c>
      <c r="I355" s="150"/>
      <c r="J355" s="150"/>
      <c r="K355" s="134"/>
      <c r="L355" s="134"/>
      <c r="M355" s="134"/>
      <c r="N355" s="134"/>
      <c r="O355" s="134"/>
      <c r="P355" s="134"/>
      <c r="Q355" s="134"/>
      <c r="R355" s="134"/>
      <c r="S355" s="134"/>
      <c r="T355" s="134"/>
      <c r="U355" s="134"/>
      <c r="V355" s="134"/>
      <c r="W355" s="134"/>
      <c r="X355" s="134"/>
      <c r="Y355" s="134"/>
      <c r="Z355" s="134"/>
      <c r="AA355" s="134"/>
    </row>
    <row r="356" ht="15.75" customHeight="1">
      <c r="A356" s="149"/>
      <c r="B356" s="149"/>
      <c r="C356" s="149"/>
      <c r="D356" s="149"/>
      <c r="E356" s="149"/>
      <c r="F356" s="149"/>
      <c r="G356" s="149"/>
      <c r="H356" s="135" t="str">
        <f>IFERROR(VLOOKUP(G356,'Conformance Score'!A:B, 2, 0), "")</f>
        <v/>
      </c>
      <c r="I356" s="150"/>
      <c r="J356" s="150"/>
      <c r="K356" s="134"/>
      <c r="L356" s="134"/>
      <c r="M356" s="134"/>
      <c r="N356" s="134"/>
      <c r="O356" s="134"/>
      <c r="P356" s="134"/>
      <c r="Q356" s="134"/>
      <c r="R356" s="134"/>
      <c r="S356" s="134"/>
      <c r="T356" s="134"/>
      <c r="U356" s="134"/>
      <c r="V356" s="134"/>
      <c r="W356" s="134"/>
      <c r="X356" s="134"/>
      <c r="Y356" s="134"/>
      <c r="Z356" s="134"/>
      <c r="AA356" s="134"/>
    </row>
    <row r="357" ht="15.75" customHeight="1">
      <c r="A357" s="149"/>
      <c r="B357" s="149"/>
      <c r="C357" s="149"/>
      <c r="D357" s="149"/>
      <c r="E357" s="149"/>
      <c r="F357" s="149"/>
      <c r="G357" s="149"/>
      <c r="H357" s="135" t="str">
        <f>IFERROR(VLOOKUP(G357,'Conformance Score'!A:B, 2, 0), "")</f>
        <v/>
      </c>
      <c r="I357" s="150"/>
      <c r="J357" s="150"/>
      <c r="K357" s="134"/>
      <c r="L357" s="134"/>
      <c r="M357" s="134"/>
      <c r="N357" s="134"/>
      <c r="O357" s="134"/>
      <c r="P357" s="134"/>
      <c r="Q357" s="134"/>
      <c r="R357" s="134"/>
      <c r="S357" s="134"/>
      <c r="T357" s="134"/>
      <c r="U357" s="134"/>
      <c r="V357" s="134"/>
      <c r="W357" s="134"/>
      <c r="X357" s="134"/>
      <c r="Y357" s="134"/>
      <c r="Z357" s="134"/>
      <c r="AA357" s="134"/>
    </row>
    <row r="358" ht="15.75" customHeight="1">
      <c r="A358" s="149"/>
      <c r="B358" s="149"/>
      <c r="C358" s="149"/>
      <c r="D358" s="149"/>
      <c r="E358" s="149"/>
      <c r="F358" s="149"/>
      <c r="G358" s="149"/>
      <c r="H358" s="135" t="str">
        <f>IFERROR(VLOOKUP(G358,'Conformance Score'!A:B, 2, 0), "")</f>
        <v/>
      </c>
      <c r="I358" s="150"/>
      <c r="J358" s="150"/>
      <c r="K358" s="134"/>
      <c r="L358" s="134"/>
      <c r="M358" s="134"/>
      <c r="N358" s="134"/>
      <c r="O358" s="134"/>
      <c r="P358" s="134"/>
      <c r="Q358" s="134"/>
      <c r="R358" s="134"/>
      <c r="S358" s="134"/>
      <c r="T358" s="134"/>
      <c r="U358" s="134"/>
      <c r="V358" s="134"/>
      <c r="W358" s="134"/>
      <c r="X358" s="134"/>
      <c r="Y358" s="134"/>
      <c r="Z358" s="134"/>
      <c r="AA358" s="134"/>
    </row>
    <row r="359" ht="15.75" customHeight="1">
      <c r="A359" s="149"/>
      <c r="B359" s="149"/>
      <c r="C359" s="149"/>
      <c r="D359" s="149"/>
      <c r="E359" s="149"/>
      <c r="F359" s="149"/>
      <c r="G359" s="149"/>
      <c r="H359" s="135" t="str">
        <f>IFERROR(VLOOKUP(G359,'Conformance Score'!A:B, 2, 0), "")</f>
        <v/>
      </c>
      <c r="I359" s="150"/>
      <c r="J359" s="150"/>
      <c r="K359" s="134"/>
      <c r="L359" s="134"/>
      <c r="M359" s="134"/>
      <c r="N359" s="134"/>
      <c r="O359" s="134"/>
      <c r="P359" s="134"/>
      <c r="Q359" s="134"/>
      <c r="R359" s="134"/>
      <c r="S359" s="134"/>
      <c r="T359" s="134"/>
      <c r="U359" s="134"/>
      <c r="V359" s="134"/>
      <c r="W359" s="134"/>
      <c r="X359" s="134"/>
      <c r="Y359" s="134"/>
      <c r="Z359" s="134"/>
      <c r="AA359" s="134"/>
    </row>
    <row r="360" ht="15.75" customHeight="1">
      <c r="A360" s="149"/>
      <c r="B360" s="149"/>
      <c r="C360" s="149"/>
      <c r="D360" s="149"/>
      <c r="E360" s="149"/>
      <c r="F360" s="149"/>
      <c r="G360" s="149"/>
      <c r="H360" s="135" t="str">
        <f>IFERROR(VLOOKUP(G360,'Conformance Score'!A:B, 2, 0), "")</f>
        <v/>
      </c>
      <c r="I360" s="150"/>
      <c r="J360" s="150"/>
      <c r="K360" s="134"/>
      <c r="L360" s="134"/>
      <c r="M360" s="134"/>
      <c r="N360" s="134"/>
      <c r="O360" s="134"/>
      <c r="P360" s="134"/>
      <c r="Q360" s="134"/>
      <c r="R360" s="134"/>
      <c r="S360" s="134"/>
      <c r="T360" s="134"/>
      <c r="U360" s="134"/>
      <c r="V360" s="134"/>
      <c r="W360" s="134"/>
      <c r="X360" s="134"/>
      <c r="Y360" s="134"/>
      <c r="Z360" s="134"/>
      <c r="AA360" s="134"/>
    </row>
    <row r="361" ht="15.75" customHeight="1">
      <c r="A361" s="149"/>
      <c r="B361" s="149"/>
      <c r="C361" s="149"/>
      <c r="D361" s="149"/>
      <c r="E361" s="149"/>
      <c r="F361" s="149"/>
      <c r="G361" s="149"/>
      <c r="H361" s="135" t="str">
        <f>IFERROR(VLOOKUP(G361,'Conformance Score'!A:B, 2, 0), "")</f>
        <v/>
      </c>
      <c r="I361" s="150"/>
      <c r="J361" s="150"/>
      <c r="K361" s="134"/>
      <c r="L361" s="134"/>
      <c r="M361" s="134"/>
      <c r="N361" s="134"/>
      <c r="O361" s="134"/>
      <c r="P361" s="134"/>
      <c r="Q361" s="134"/>
      <c r="R361" s="134"/>
      <c r="S361" s="134"/>
      <c r="T361" s="134"/>
      <c r="U361" s="134"/>
      <c r="V361" s="134"/>
      <c r="W361" s="134"/>
      <c r="X361" s="134"/>
      <c r="Y361" s="134"/>
      <c r="Z361" s="134"/>
      <c r="AA361" s="134"/>
    </row>
    <row r="362" ht="15.75" customHeight="1">
      <c r="A362" s="149"/>
      <c r="B362" s="149"/>
      <c r="C362" s="149"/>
      <c r="D362" s="149"/>
      <c r="E362" s="149"/>
      <c r="F362" s="149"/>
      <c r="G362" s="149"/>
      <c r="H362" s="135" t="str">
        <f>IFERROR(VLOOKUP(G362,'Conformance Score'!A:B, 2, 0), "")</f>
        <v/>
      </c>
      <c r="I362" s="150"/>
      <c r="J362" s="150"/>
      <c r="K362" s="134"/>
      <c r="L362" s="134"/>
      <c r="M362" s="134"/>
      <c r="N362" s="134"/>
      <c r="O362" s="134"/>
      <c r="P362" s="134"/>
      <c r="Q362" s="134"/>
      <c r="R362" s="134"/>
      <c r="S362" s="134"/>
      <c r="T362" s="134"/>
      <c r="U362" s="134"/>
      <c r="V362" s="134"/>
      <c r="W362" s="134"/>
      <c r="X362" s="134"/>
      <c r="Y362" s="134"/>
      <c r="Z362" s="134"/>
      <c r="AA362" s="134"/>
    </row>
    <row r="363" ht="15.75" customHeight="1">
      <c r="A363" s="149"/>
      <c r="B363" s="149"/>
      <c r="C363" s="149"/>
      <c r="D363" s="149"/>
      <c r="E363" s="149"/>
      <c r="F363" s="149"/>
      <c r="G363" s="149"/>
      <c r="H363" s="135" t="str">
        <f>IFERROR(VLOOKUP(G363,'Conformance Score'!A:B, 2, 0), "")</f>
        <v/>
      </c>
      <c r="I363" s="150"/>
      <c r="J363" s="150"/>
      <c r="K363" s="134"/>
      <c r="L363" s="134"/>
      <c r="M363" s="134"/>
      <c r="N363" s="134"/>
      <c r="O363" s="134"/>
      <c r="P363" s="134"/>
      <c r="Q363" s="134"/>
      <c r="R363" s="134"/>
      <c r="S363" s="134"/>
      <c r="T363" s="134"/>
      <c r="U363" s="134"/>
      <c r="V363" s="134"/>
      <c r="W363" s="134"/>
      <c r="X363" s="134"/>
      <c r="Y363" s="134"/>
      <c r="Z363" s="134"/>
      <c r="AA363" s="134"/>
    </row>
    <row r="364" ht="15.75" customHeight="1">
      <c r="A364" s="149"/>
      <c r="B364" s="149"/>
      <c r="C364" s="149"/>
      <c r="D364" s="149"/>
      <c r="E364" s="149"/>
      <c r="F364" s="149"/>
      <c r="G364" s="149"/>
      <c r="H364" s="135" t="str">
        <f>IFERROR(VLOOKUP(G364,'Conformance Score'!A:B, 2, 0), "")</f>
        <v/>
      </c>
      <c r="I364" s="150"/>
      <c r="J364" s="150"/>
      <c r="K364" s="134"/>
      <c r="L364" s="134"/>
      <c r="M364" s="134"/>
      <c r="N364" s="134"/>
      <c r="O364" s="134"/>
      <c r="P364" s="134"/>
      <c r="Q364" s="134"/>
      <c r="R364" s="134"/>
      <c r="S364" s="134"/>
      <c r="T364" s="134"/>
      <c r="U364" s="134"/>
      <c r="V364" s="134"/>
      <c r="W364" s="134"/>
      <c r="X364" s="134"/>
      <c r="Y364" s="134"/>
      <c r="Z364" s="134"/>
      <c r="AA364" s="134"/>
    </row>
    <row r="365" ht="15.75" customHeight="1">
      <c r="A365" s="149"/>
      <c r="B365" s="149"/>
      <c r="C365" s="149"/>
      <c r="D365" s="149"/>
      <c r="E365" s="149"/>
      <c r="F365" s="149"/>
      <c r="G365" s="149"/>
      <c r="H365" s="135" t="str">
        <f>IFERROR(VLOOKUP(G365,'Conformance Score'!A:B, 2, 0), "")</f>
        <v/>
      </c>
      <c r="I365" s="150"/>
      <c r="J365" s="150"/>
      <c r="K365" s="134"/>
      <c r="L365" s="134"/>
      <c r="M365" s="134"/>
      <c r="N365" s="134"/>
      <c r="O365" s="134"/>
      <c r="P365" s="134"/>
      <c r="Q365" s="134"/>
      <c r="R365" s="134"/>
      <c r="S365" s="134"/>
      <c r="T365" s="134"/>
      <c r="U365" s="134"/>
      <c r="V365" s="134"/>
      <c r="W365" s="134"/>
      <c r="X365" s="134"/>
      <c r="Y365" s="134"/>
      <c r="Z365" s="134"/>
      <c r="AA365" s="134"/>
    </row>
    <row r="366" ht="15.75" customHeight="1">
      <c r="A366" s="149"/>
      <c r="B366" s="149"/>
      <c r="C366" s="149"/>
      <c r="D366" s="149"/>
      <c r="E366" s="149"/>
      <c r="F366" s="149"/>
      <c r="G366" s="149"/>
      <c r="H366" s="135" t="str">
        <f>IFERROR(VLOOKUP(G366,'Conformance Score'!A:B, 2, 0), "")</f>
        <v/>
      </c>
      <c r="I366" s="150"/>
      <c r="J366" s="150"/>
      <c r="K366" s="134"/>
      <c r="L366" s="134"/>
      <c r="M366" s="134"/>
      <c r="N366" s="134"/>
      <c r="O366" s="134"/>
      <c r="P366" s="134"/>
      <c r="Q366" s="134"/>
      <c r="R366" s="134"/>
      <c r="S366" s="134"/>
      <c r="T366" s="134"/>
      <c r="U366" s="134"/>
      <c r="V366" s="134"/>
      <c r="W366" s="134"/>
      <c r="X366" s="134"/>
      <c r="Y366" s="134"/>
      <c r="Z366" s="134"/>
      <c r="AA366" s="134"/>
    </row>
    <row r="367" ht="15.75" customHeight="1">
      <c r="A367" s="149"/>
      <c r="B367" s="149"/>
      <c r="C367" s="149"/>
      <c r="D367" s="149"/>
      <c r="E367" s="149"/>
      <c r="F367" s="149"/>
      <c r="G367" s="149"/>
      <c r="H367" s="135" t="str">
        <f>IFERROR(VLOOKUP(G367,'Conformance Score'!A:B, 2, 0), "")</f>
        <v/>
      </c>
      <c r="I367" s="150"/>
      <c r="J367" s="150"/>
      <c r="K367" s="134"/>
      <c r="L367" s="134"/>
      <c r="M367" s="134"/>
      <c r="N367" s="134"/>
      <c r="O367" s="134"/>
      <c r="P367" s="134"/>
      <c r="Q367" s="134"/>
      <c r="R367" s="134"/>
      <c r="S367" s="134"/>
      <c r="T367" s="134"/>
      <c r="U367" s="134"/>
      <c r="V367" s="134"/>
      <c r="W367" s="134"/>
      <c r="X367" s="134"/>
      <c r="Y367" s="134"/>
      <c r="Z367" s="134"/>
      <c r="AA367" s="134"/>
    </row>
    <row r="368" ht="15.75" customHeight="1">
      <c r="A368" s="149"/>
      <c r="B368" s="149"/>
      <c r="C368" s="149"/>
      <c r="D368" s="149"/>
      <c r="E368" s="149"/>
      <c r="F368" s="149"/>
      <c r="G368" s="149"/>
      <c r="H368" s="135" t="str">
        <f>IFERROR(VLOOKUP(G368,'Conformance Score'!A:B, 2, 0), "")</f>
        <v/>
      </c>
      <c r="I368" s="150"/>
      <c r="J368" s="150"/>
      <c r="K368" s="134"/>
      <c r="L368" s="134"/>
      <c r="M368" s="134"/>
      <c r="N368" s="134"/>
      <c r="O368" s="134"/>
      <c r="P368" s="134"/>
      <c r="Q368" s="134"/>
      <c r="R368" s="134"/>
      <c r="S368" s="134"/>
      <c r="T368" s="134"/>
      <c r="U368" s="134"/>
      <c r="V368" s="134"/>
      <c r="W368" s="134"/>
      <c r="X368" s="134"/>
      <c r="Y368" s="134"/>
      <c r="Z368" s="134"/>
      <c r="AA368" s="134"/>
    </row>
    <row r="369" ht="15.75" customHeight="1">
      <c r="A369" s="149"/>
      <c r="B369" s="149"/>
      <c r="C369" s="149"/>
      <c r="D369" s="149"/>
      <c r="E369" s="149"/>
      <c r="F369" s="149"/>
      <c r="G369" s="149"/>
      <c r="H369" s="135" t="str">
        <f>IFERROR(VLOOKUP(G369,'Conformance Score'!A:B, 2, 0), "")</f>
        <v/>
      </c>
      <c r="I369" s="150"/>
      <c r="J369" s="150"/>
      <c r="K369" s="134"/>
      <c r="L369" s="134"/>
      <c r="M369" s="134"/>
      <c r="N369" s="134"/>
      <c r="O369" s="134"/>
      <c r="P369" s="134"/>
      <c r="Q369" s="134"/>
      <c r="R369" s="134"/>
      <c r="S369" s="134"/>
      <c r="T369" s="134"/>
      <c r="U369" s="134"/>
      <c r="V369" s="134"/>
      <c r="W369" s="134"/>
      <c r="X369" s="134"/>
      <c r="Y369" s="134"/>
      <c r="Z369" s="134"/>
      <c r="AA369" s="134"/>
    </row>
    <row r="370" ht="15.75" customHeight="1">
      <c r="A370" s="149"/>
      <c r="B370" s="149"/>
      <c r="C370" s="149"/>
      <c r="D370" s="149"/>
      <c r="E370" s="149"/>
      <c r="F370" s="149"/>
      <c r="G370" s="149"/>
      <c r="H370" s="135" t="str">
        <f>IFERROR(VLOOKUP(G370,'Conformance Score'!A:B, 2, 0), "")</f>
        <v/>
      </c>
      <c r="I370" s="150"/>
      <c r="J370" s="150"/>
      <c r="K370" s="134"/>
      <c r="L370" s="134"/>
      <c r="M370" s="134"/>
      <c r="N370" s="134"/>
      <c r="O370" s="134"/>
      <c r="P370" s="134"/>
      <c r="Q370" s="134"/>
      <c r="R370" s="134"/>
      <c r="S370" s="134"/>
      <c r="T370" s="134"/>
      <c r="U370" s="134"/>
      <c r="V370" s="134"/>
      <c r="W370" s="134"/>
      <c r="X370" s="134"/>
      <c r="Y370" s="134"/>
      <c r="Z370" s="134"/>
      <c r="AA370" s="134"/>
    </row>
    <row r="371" ht="15.75" customHeight="1">
      <c r="A371" s="149"/>
      <c r="B371" s="149"/>
      <c r="C371" s="149"/>
      <c r="D371" s="149"/>
      <c r="E371" s="149"/>
      <c r="F371" s="149"/>
      <c r="G371" s="149"/>
      <c r="H371" s="135" t="str">
        <f>IFERROR(VLOOKUP(G371,'Conformance Score'!A:B, 2, 0), "")</f>
        <v/>
      </c>
      <c r="I371" s="150"/>
      <c r="J371" s="150"/>
      <c r="K371" s="134"/>
      <c r="L371" s="134"/>
      <c r="M371" s="134"/>
      <c r="N371" s="134"/>
      <c r="O371" s="134"/>
      <c r="P371" s="134"/>
      <c r="Q371" s="134"/>
      <c r="R371" s="134"/>
      <c r="S371" s="134"/>
      <c r="T371" s="134"/>
      <c r="U371" s="134"/>
      <c r="V371" s="134"/>
      <c r="W371" s="134"/>
      <c r="X371" s="134"/>
      <c r="Y371" s="134"/>
      <c r="Z371" s="134"/>
      <c r="AA371" s="134"/>
    </row>
    <row r="372" ht="15.75" customHeight="1">
      <c r="A372" s="149"/>
      <c r="B372" s="149"/>
      <c r="C372" s="149"/>
      <c r="D372" s="149"/>
      <c r="E372" s="149"/>
      <c r="F372" s="149"/>
      <c r="G372" s="149"/>
      <c r="H372" s="135" t="str">
        <f>IFERROR(VLOOKUP(G372,'Conformance Score'!A:B, 2, 0), "")</f>
        <v/>
      </c>
      <c r="I372" s="150"/>
      <c r="J372" s="150"/>
      <c r="K372" s="134"/>
      <c r="L372" s="134"/>
      <c r="M372" s="134"/>
      <c r="N372" s="134"/>
      <c r="O372" s="134"/>
      <c r="P372" s="134"/>
      <c r="Q372" s="134"/>
      <c r="R372" s="134"/>
      <c r="S372" s="134"/>
      <c r="T372" s="134"/>
      <c r="U372" s="134"/>
      <c r="V372" s="134"/>
      <c r="W372" s="134"/>
      <c r="X372" s="134"/>
      <c r="Y372" s="134"/>
      <c r="Z372" s="134"/>
      <c r="AA372" s="134"/>
    </row>
    <row r="373" ht="15.75" customHeight="1">
      <c r="A373" s="149"/>
      <c r="B373" s="149"/>
      <c r="C373" s="149"/>
      <c r="D373" s="149"/>
      <c r="E373" s="149"/>
      <c r="F373" s="149"/>
      <c r="G373" s="149"/>
      <c r="H373" s="135" t="str">
        <f>IFERROR(VLOOKUP(G373,'Conformance Score'!A:B, 2, 0), "")</f>
        <v/>
      </c>
      <c r="I373" s="150"/>
      <c r="J373" s="150"/>
      <c r="K373" s="134"/>
      <c r="L373" s="134"/>
      <c r="M373" s="134"/>
      <c r="N373" s="134"/>
      <c r="O373" s="134"/>
      <c r="P373" s="134"/>
      <c r="Q373" s="134"/>
      <c r="R373" s="134"/>
      <c r="S373" s="134"/>
      <c r="T373" s="134"/>
      <c r="U373" s="134"/>
      <c r="V373" s="134"/>
      <c r="W373" s="134"/>
      <c r="X373" s="134"/>
      <c r="Y373" s="134"/>
      <c r="Z373" s="134"/>
      <c r="AA373" s="134"/>
    </row>
    <row r="374" ht="15.75" customHeight="1">
      <c r="A374" s="149"/>
      <c r="B374" s="149"/>
      <c r="C374" s="149"/>
      <c r="D374" s="149"/>
      <c r="E374" s="149"/>
      <c r="F374" s="149"/>
      <c r="G374" s="149"/>
      <c r="H374" s="135" t="str">
        <f>IFERROR(VLOOKUP(G374,'Conformance Score'!A:B, 2, 0), "")</f>
        <v/>
      </c>
      <c r="I374" s="150"/>
      <c r="J374" s="150"/>
      <c r="K374" s="134"/>
      <c r="L374" s="134"/>
      <c r="M374" s="134"/>
      <c r="N374" s="134"/>
      <c r="O374" s="134"/>
      <c r="P374" s="134"/>
      <c r="Q374" s="134"/>
      <c r="R374" s="134"/>
      <c r="S374" s="134"/>
      <c r="T374" s="134"/>
      <c r="U374" s="134"/>
      <c r="V374" s="134"/>
      <c r="W374" s="134"/>
      <c r="X374" s="134"/>
      <c r="Y374" s="134"/>
      <c r="Z374" s="134"/>
      <c r="AA374" s="134"/>
    </row>
    <row r="375" ht="15.75" customHeight="1">
      <c r="A375" s="149"/>
      <c r="B375" s="149"/>
      <c r="C375" s="149"/>
      <c r="D375" s="149"/>
      <c r="E375" s="149"/>
      <c r="F375" s="149"/>
      <c r="G375" s="149"/>
      <c r="H375" s="135" t="str">
        <f>IFERROR(VLOOKUP(G375,'Conformance Score'!A:B, 2, 0), "")</f>
        <v/>
      </c>
      <c r="I375" s="150"/>
      <c r="J375" s="150"/>
      <c r="K375" s="134"/>
      <c r="L375" s="134"/>
      <c r="M375" s="134"/>
      <c r="N375" s="134"/>
      <c r="O375" s="134"/>
      <c r="P375" s="134"/>
      <c r="Q375" s="134"/>
      <c r="R375" s="134"/>
      <c r="S375" s="134"/>
      <c r="T375" s="134"/>
      <c r="U375" s="134"/>
      <c r="V375" s="134"/>
      <c r="W375" s="134"/>
      <c r="X375" s="134"/>
      <c r="Y375" s="134"/>
      <c r="Z375" s="134"/>
      <c r="AA375" s="134"/>
    </row>
    <row r="376" ht="15.75" customHeight="1">
      <c r="A376" s="149"/>
      <c r="B376" s="149"/>
      <c r="C376" s="149"/>
      <c r="D376" s="149"/>
      <c r="E376" s="149"/>
      <c r="F376" s="149"/>
      <c r="G376" s="149"/>
      <c r="H376" s="135" t="str">
        <f>IFERROR(VLOOKUP(G376,'Conformance Score'!A:B, 2, 0), "")</f>
        <v/>
      </c>
      <c r="I376" s="150"/>
      <c r="J376" s="150"/>
      <c r="K376" s="134"/>
      <c r="L376" s="134"/>
      <c r="M376" s="134"/>
      <c r="N376" s="134"/>
      <c r="O376" s="134"/>
      <c r="P376" s="134"/>
      <c r="Q376" s="134"/>
      <c r="R376" s="134"/>
      <c r="S376" s="134"/>
      <c r="T376" s="134"/>
      <c r="U376" s="134"/>
      <c r="V376" s="134"/>
      <c r="W376" s="134"/>
      <c r="X376" s="134"/>
      <c r="Y376" s="134"/>
      <c r="Z376" s="134"/>
      <c r="AA376" s="134"/>
    </row>
    <row r="377" ht="15.75" customHeight="1">
      <c r="A377" s="149"/>
      <c r="B377" s="149"/>
      <c r="C377" s="149"/>
      <c r="D377" s="149"/>
      <c r="E377" s="149"/>
      <c r="F377" s="149"/>
      <c r="G377" s="149"/>
      <c r="H377" s="135" t="str">
        <f>IFERROR(VLOOKUP(G377,'Conformance Score'!A:B, 2, 0), "")</f>
        <v/>
      </c>
      <c r="I377" s="150"/>
      <c r="J377" s="150"/>
      <c r="K377" s="134"/>
      <c r="L377" s="134"/>
      <c r="M377" s="134"/>
      <c r="N377" s="134"/>
      <c r="O377" s="134"/>
      <c r="P377" s="134"/>
      <c r="Q377" s="134"/>
      <c r="R377" s="134"/>
      <c r="S377" s="134"/>
      <c r="T377" s="134"/>
      <c r="U377" s="134"/>
      <c r="V377" s="134"/>
      <c r="W377" s="134"/>
      <c r="X377" s="134"/>
      <c r="Y377" s="134"/>
      <c r="Z377" s="134"/>
      <c r="AA377" s="134"/>
    </row>
    <row r="378" ht="15.75" customHeight="1">
      <c r="A378" s="149"/>
      <c r="B378" s="149"/>
      <c r="C378" s="149"/>
      <c r="D378" s="149"/>
      <c r="E378" s="149"/>
      <c r="F378" s="149"/>
      <c r="G378" s="149"/>
      <c r="H378" s="135" t="str">
        <f>IFERROR(VLOOKUP(G378,'Conformance Score'!A:B, 2, 0), "")</f>
        <v/>
      </c>
      <c r="I378" s="150"/>
      <c r="J378" s="150"/>
      <c r="K378" s="134"/>
      <c r="L378" s="134"/>
      <c r="M378" s="134"/>
      <c r="N378" s="134"/>
      <c r="O378" s="134"/>
      <c r="P378" s="134"/>
      <c r="Q378" s="134"/>
      <c r="R378" s="134"/>
      <c r="S378" s="134"/>
      <c r="T378" s="134"/>
      <c r="U378" s="134"/>
      <c r="V378" s="134"/>
      <c r="W378" s="134"/>
      <c r="X378" s="134"/>
      <c r="Y378" s="134"/>
      <c r="Z378" s="134"/>
      <c r="AA378" s="134"/>
    </row>
    <row r="379" ht="15.75" customHeight="1">
      <c r="A379" s="149"/>
      <c r="B379" s="149"/>
      <c r="C379" s="149"/>
      <c r="D379" s="149"/>
      <c r="E379" s="149"/>
      <c r="F379" s="149"/>
      <c r="G379" s="149"/>
      <c r="H379" s="135" t="str">
        <f>IFERROR(VLOOKUP(G379,'Conformance Score'!A:B, 2, 0), "")</f>
        <v/>
      </c>
      <c r="I379" s="150"/>
      <c r="J379" s="150"/>
      <c r="K379" s="134"/>
      <c r="L379" s="134"/>
      <c r="M379" s="134"/>
      <c r="N379" s="134"/>
      <c r="O379" s="134"/>
      <c r="P379" s="134"/>
      <c r="Q379" s="134"/>
      <c r="R379" s="134"/>
      <c r="S379" s="134"/>
      <c r="T379" s="134"/>
      <c r="U379" s="134"/>
      <c r="V379" s="134"/>
      <c r="W379" s="134"/>
      <c r="X379" s="134"/>
      <c r="Y379" s="134"/>
      <c r="Z379" s="134"/>
      <c r="AA379" s="134"/>
    </row>
    <row r="380" ht="15.75" customHeight="1">
      <c r="A380" s="149"/>
      <c r="B380" s="149"/>
      <c r="C380" s="149"/>
      <c r="D380" s="149"/>
      <c r="E380" s="149"/>
      <c r="F380" s="149"/>
      <c r="G380" s="149"/>
      <c r="H380" s="135" t="str">
        <f>IFERROR(VLOOKUP(G380,'Conformance Score'!A:B, 2, 0), "")</f>
        <v/>
      </c>
      <c r="I380" s="150"/>
      <c r="J380" s="150"/>
      <c r="K380" s="134"/>
      <c r="L380" s="134"/>
      <c r="M380" s="134"/>
      <c r="N380" s="134"/>
      <c r="O380" s="134"/>
      <c r="P380" s="134"/>
      <c r="Q380" s="134"/>
      <c r="R380" s="134"/>
      <c r="S380" s="134"/>
      <c r="T380" s="134"/>
      <c r="U380" s="134"/>
      <c r="V380" s="134"/>
      <c r="W380" s="134"/>
      <c r="X380" s="134"/>
      <c r="Y380" s="134"/>
      <c r="Z380" s="134"/>
      <c r="AA380" s="134"/>
    </row>
    <row r="381" ht="15.75" customHeight="1">
      <c r="A381" s="149"/>
      <c r="B381" s="149"/>
      <c r="C381" s="149"/>
      <c r="D381" s="149"/>
      <c r="E381" s="149"/>
      <c r="F381" s="149"/>
      <c r="G381" s="149"/>
      <c r="H381" s="135" t="str">
        <f>IFERROR(VLOOKUP(G381,'Conformance Score'!A:B, 2, 0), "")</f>
        <v/>
      </c>
      <c r="I381" s="150"/>
      <c r="J381" s="150"/>
      <c r="K381" s="134"/>
      <c r="L381" s="134"/>
      <c r="M381" s="134"/>
      <c r="N381" s="134"/>
      <c r="O381" s="134"/>
      <c r="P381" s="134"/>
      <c r="Q381" s="134"/>
      <c r="R381" s="134"/>
      <c r="S381" s="134"/>
      <c r="T381" s="134"/>
      <c r="U381" s="134"/>
      <c r="V381" s="134"/>
      <c r="W381" s="134"/>
      <c r="X381" s="134"/>
      <c r="Y381" s="134"/>
      <c r="Z381" s="134"/>
      <c r="AA381" s="134"/>
    </row>
    <row r="382" ht="15.75" customHeight="1">
      <c r="A382" s="149"/>
      <c r="B382" s="149"/>
      <c r="C382" s="149"/>
      <c r="D382" s="149"/>
      <c r="E382" s="149"/>
      <c r="F382" s="149"/>
      <c r="G382" s="149"/>
      <c r="H382" s="135" t="str">
        <f>IFERROR(VLOOKUP(G382,'Conformance Score'!A:B, 2, 0), "")</f>
        <v/>
      </c>
      <c r="I382" s="150"/>
      <c r="J382" s="150"/>
      <c r="K382" s="134"/>
      <c r="L382" s="134"/>
      <c r="M382" s="134"/>
      <c r="N382" s="134"/>
      <c r="O382" s="134"/>
      <c r="P382" s="134"/>
      <c r="Q382" s="134"/>
      <c r="R382" s="134"/>
      <c r="S382" s="134"/>
      <c r="T382" s="134"/>
      <c r="U382" s="134"/>
      <c r="V382" s="134"/>
      <c r="W382" s="134"/>
      <c r="X382" s="134"/>
      <c r="Y382" s="134"/>
      <c r="Z382" s="134"/>
      <c r="AA382" s="134"/>
    </row>
    <row r="383" ht="15.75" customHeight="1">
      <c r="A383" s="149"/>
      <c r="B383" s="149"/>
      <c r="C383" s="149"/>
      <c r="D383" s="149"/>
      <c r="E383" s="149"/>
      <c r="F383" s="149"/>
      <c r="G383" s="149"/>
      <c r="H383" s="135" t="str">
        <f>IFERROR(VLOOKUP(G383,'Conformance Score'!A:B, 2, 0), "")</f>
        <v/>
      </c>
      <c r="I383" s="150"/>
      <c r="J383" s="150"/>
      <c r="K383" s="134"/>
      <c r="L383" s="134"/>
      <c r="M383" s="134"/>
      <c r="N383" s="134"/>
      <c r="O383" s="134"/>
      <c r="P383" s="134"/>
      <c r="Q383" s="134"/>
      <c r="R383" s="134"/>
      <c r="S383" s="134"/>
      <c r="T383" s="134"/>
      <c r="U383" s="134"/>
      <c r="V383" s="134"/>
      <c r="W383" s="134"/>
      <c r="X383" s="134"/>
      <c r="Y383" s="134"/>
      <c r="Z383" s="134"/>
      <c r="AA383" s="134"/>
    </row>
    <row r="384" ht="15.75" customHeight="1">
      <c r="A384" s="149"/>
      <c r="B384" s="149"/>
      <c r="C384" s="149"/>
      <c r="D384" s="149"/>
      <c r="E384" s="149"/>
      <c r="F384" s="149"/>
      <c r="G384" s="149"/>
      <c r="H384" s="135" t="str">
        <f>IFERROR(VLOOKUP(G384,'Conformance Score'!A:B, 2, 0), "")</f>
        <v/>
      </c>
      <c r="I384" s="150"/>
      <c r="J384" s="150"/>
      <c r="K384" s="134"/>
      <c r="L384" s="134"/>
      <c r="M384" s="134"/>
      <c r="N384" s="134"/>
      <c r="O384" s="134"/>
      <c r="P384" s="134"/>
      <c r="Q384" s="134"/>
      <c r="R384" s="134"/>
      <c r="S384" s="134"/>
      <c r="T384" s="134"/>
      <c r="U384" s="134"/>
      <c r="V384" s="134"/>
      <c r="W384" s="134"/>
      <c r="X384" s="134"/>
      <c r="Y384" s="134"/>
      <c r="Z384" s="134"/>
      <c r="AA384" s="134"/>
    </row>
    <row r="385" ht="15.75" customHeight="1">
      <c r="A385" s="149"/>
      <c r="B385" s="149"/>
      <c r="C385" s="149"/>
      <c r="D385" s="149"/>
      <c r="E385" s="149"/>
      <c r="F385" s="149"/>
      <c r="G385" s="149"/>
      <c r="H385" s="135" t="str">
        <f>IFERROR(VLOOKUP(G385,'Conformance Score'!A:B, 2, 0), "")</f>
        <v/>
      </c>
      <c r="I385" s="150"/>
      <c r="J385" s="150"/>
      <c r="K385" s="134"/>
      <c r="L385" s="134"/>
      <c r="M385" s="134"/>
      <c r="N385" s="134"/>
      <c r="O385" s="134"/>
      <c r="P385" s="134"/>
      <c r="Q385" s="134"/>
      <c r="R385" s="134"/>
      <c r="S385" s="134"/>
      <c r="T385" s="134"/>
      <c r="U385" s="134"/>
      <c r="V385" s="134"/>
      <c r="W385" s="134"/>
      <c r="X385" s="134"/>
      <c r="Y385" s="134"/>
      <c r="Z385" s="134"/>
      <c r="AA385" s="134"/>
    </row>
    <row r="386" ht="15.75" customHeight="1">
      <c r="A386" s="149"/>
      <c r="B386" s="149"/>
      <c r="C386" s="149"/>
      <c r="D386" s="149"/>
      <c r="E386" s="149"/>
      <c r="F386" s="149"/>
      <c r="G386" s="149"/>
      <c r="H386" s="135" t="str">
        <f>IFERROR(VLOOKUP(G386,'Conformance Score'!A:B, 2, 0), "")</f>
        <v/>
      </c>
      <c r="I386" s="150"/>
      <c r="J386" s="150"/>
      <c r="K386" s="134"/>
      <c r="L386" s="134"/>
      <c r="M386" s="134"/>
      <c r="N386" s="134"/>
      <c r="O386" s="134"/>
      <c r="P386" s="134"/>
      <c r="Q386" s="134"/>
      <c r="R386" s="134"/>
      <c r="S386" s="134"/>
      <c r="T386" s="134"/>
      <c r="U386" s="134"/>
      <c r="V386" s="134"/>
      <c r="W386" s="134"/>
      <c r="X386" s="134"/>
      <c r="Y386" s="134"/>
      <c r="Z386" s="134"/>
      <c r="AA386" s="134"/>
    </row>
    <row r="387" ht="15.75" customHeight="1">
      <c r="A387" s="149"/>
      <c r="B387" s="149"/>
      <c r="C387" s="149"/>
      <c r="D387" s="149"/>
      <c r="E387" s="149"/>
      <c r="F387" s="149"/>
      <c r="G387" s="149"/>
      <c r="H387" s="135" t="str">
        <f>IFERROR(VLOOKUP(G387,'Conformance Score'!A:B, 2, 0), "")</f>
        <v/>
      </c>
      <c r="I387" s="150"/>
      <c r="J387" s="150"/>
      <c r="K387" s="134"/>
      <c r="L387" s="134"/>
      <c r="M387" s="134"/>
      <c r="N387" s="134"/>
      <c r="O387" s="134"/>
      <c r="P387" s="134"/>
      <c r="Q387" s="134"/>
      <c r="R387" s="134"/>
      <c r="S387" s="134"/>
      <c r="T387" s="134"/>
      <c r="U387" s="134"/>
      <c r="V387" s="134"/>
      <c r="W387" s="134"/>
      <c r="X387" s="134"/>
      <c r="Y387" s="134"/>
      <c r="Z387" s="134"/>
      <c r="AA387" s="134"/>
    </row>
    <row r="388" ht="15.75" customHeight="1">
      <c r="A388" s="149"/>
      <c r="B388" s="149"/>
      <c r="C388" s="149"/>
      <c r="D388" s="149"/>
      <c r="E388" s="149"/>
      <c r="F388" s="149"/>
      <c r="G388" s="149"/>
      <c r="H388" s="135" t="str">
        <f>IFERROR(VLOOKUP(G388,'Conformance Score'!A:B, 2, 0), "")</f>
        <v/>
      </c>
      <c r="I388" s="150"/>
      <c r="J388" s="150"/>
      <c r="K388" s="134"/>
      <c r="L388" s="134"/>
      <c r="M388" s="134"/>
      <c r="N388" s="134"/>
      <c r="O388" s="134"/>
      <c r="P388" s="134"/>
      <c r="Q388" s="134"/>
      <c r="R388" s="134"/>
      <c r="S388" s="134"/>
      <c r="T388" s="134"/>
      <c r="U388" s="134"/>
      <c r="V388" s="134"/>
      <c r="W388" s="134"/>
      <c r="X388" s="134"/>
      <c r="Y388" s="134"/>
      <c r="Z388" s="134"/>
      <c r="AA388" s="134"/>
    </row>
    <row r="389" ht="15.75" customHeight="1">
      <c r="A389" s="149"/>
      <c r="B389" s="149"/>
      <c r="C389" s="149"/>
      <c r="D389" s="149"/>
      <c r="E389" s="149"/>
      <c r="F389" s="149"/>
      <c r="G389" s="149"/>
      <c r="H389" s="135" t="str">
        <f>IFERROR(VLOOKUP(G389,'Conformance Score'!A:B, 2, 0), "")</f>
        <v/>
      </c>
      <c r="I389" s="150"/>
      <c r="J389" s="150"/>
      <c r="K389" s="134"/>
      <c r="L389" s="134"/>
      <c r="M389" s="134"/>
      <c r="N389" s="134"/>
      <c r="O389" s="134"/>
      <c r="P389" s="134"/>
      <c r="Q389" s="134"/>
      <c r="R389" s="134"/>
      <c r="S389" s="134"/>
      <c r="T389" s="134"/>
      <c r="U389" s="134"/>
      <c r="V389" s="134"/>
      <c r="W389" s="134"/>
      <c r="X389" s="134"/>
      <c r="Y389" s="134"/>
      <c r="Z389" s="134"/>
      <c r="AA389" s="134"/>
    </row>
    <row r="390" ht="15.75" customHeight="1">
      <c r="A390" s="149"/>
      <c r="B390" s="149"/>
      <c r="C390" s="149"/>
      <c r="D390" s="149"/>
      <c r="E390" s="149"/>
      <c r="F390" s="149"/>
      <c r="G390" s="149"/>
      <c r="H390" s="135" t="str">
        <f>IFERROR(VLOOKUP(G390,'Conformance Score'!A:B, 2, 0), "")</f>
        <v/>
      </c>
      <c r="I390" s="150"/>
      <c r="J390" s="150"/>
      <c r="K390" s="134"/>
      <c r="L390" s="134"/>
      <c r="M390" s="134"/>
      <c r="N390" s="134"/>
      <c r="O390" s="134"/>
      <c r="P390" s="134"/>
      <c r="Q390" s="134"/>
      <c r="R390" s="134"/>
      <c r="S390" s="134"/>
      <c r="T390" s="134"/>
      <c r="U390" s="134"/>
      <c r="V390" s="134"/>
      <c r="W390" s="134"/>
      <c r="X390" s="134"/>
      <c r="Y390" s="134"/>
      <c r="Z390" s="134"/>
      <c r="AA390" s="134"/>
    </row>
    <row r="391" ht="15.75" customHeight="1">
      <c r="A391" s="149"/>
      <c r="B391" s="149"/>
      <c r="C391" s="149"/>
      <c r="D391" s="149"/>
      <c r="E391" s="149"/>
      <c r="F391" s="149"/>
      <c r="G391" s="149"/>
      <c r="H391" s="135" t="str">
        <f>IFERROR(VLOOKUP(G391,'Conformance Score'!A:B, 2, 0), "")</f>
        <v/>
      </c>
      <c r="I391" s="150"/>
      <c r="J391" s="150"/>
      <c r="K391" s="134"/>
      <c r="L391" s="134"/>
      <c r="M391" s="134"/>
      <c r="N391" s="134"/>
      <c r="O391" s="134"/>
      <c r="P391" s="134"/>
      <c r="Q391" s="134"/>
      <c r="R391" s="134"/>
      <c r="S391" s="134"/>
      <c r="T391" s="134"/>
      <c r="U391" s="134"/>
      <c r="V391" s="134"/>
      <c r="W391" s="134"/>
      <c r="X391" s="134"/>
      <c r="Y391" s="134"/>
      <c r="Z391" s="134"/>
      <c r="AA391" s="134"/>
    </row>
    <row r="392" ht="15.75" customHeight="1">
      <c r="A392" s="149"/>
      <c r="B392" s="149"/>
      <c r="C392" s="149"/>
      <c r="D392" s="149"/>
      <c r="E392" s="149"/>
      <c r="F392" s="149"/>
      <c r="G392" s="149"/>
      <c r="H392" s="135" t="str">
        <f>IFERROR(VLOOKUP(G392,'Conformance Score'!A:B, 2, 0), "")</f>
        <v/>
      </c>
      <c r="I392" s="150"/>
      <c r="J392" s="150"/>
      <c r="K392" s="134"/>
      <c r="L392" s="134"/>
      <c r="M392" s="134"/>
      <c r="N392" s="134"/>
      <c r="O392" s="134"/>
      <c r="P392" s="134"/>
      <c r="Q392" s="134"/>
      <c r="R392" s="134"/>
      <c r="S392" s="134"/>
      <c r="T392" s="134"/>
      <c r="U392" s="134"/>
      <c r="V392" s="134"/>
      <c r="W392" s="134"/>
      <c r="X392" s="134"/>
      <c r="Y392" s="134"/>
      <c r="Z392" s="134"/>
      <c r="AA392" s="134"/>
    </row>
    <row r="393" ht="15.75" customHeight="1">
      <c r="A393" s="149"/>
      <c r="B393" s="149"/>
      <c r="C393" s="149"/>
      <c r="D393" s="149"/>
      <c r="E393" s="149"/>
      <c r="F393" s="149"/>
      <c r="G393" s="149"/>
      <c r="H393" s="135" t="str">
        <f>IFERROR(VLOOKUP(G393,'Conformance Score'!A:B, 2, 0), "")</f>
        <v/>
      </c>
      <c r="I393" s="150"/>
      <c r="J393" s="150"/>
      <c r="K393" s="134"/>
      <c r="L393" s="134"/>
      <c r="M393" s="134"/>
      <c r="N393" s="134"/>
      <c r="O393" s="134"/>
      <c r="P393" s="134"/>
      <c r="Q393" s="134"/>
      <c r="R393" s="134"/>
      <c r="S393" s="134"/>
      <c r="T393" s="134"/>
      <c r="U393" s="134"/>
      <c r="V393" s="134"/>
      <c r="W393" s="134"/>
      <c r="X393" s="134"/>
      <c r="Y393" s="134"/>
      <c r="Z393" s="134"/>
      <c r="AA393" s="134"/>
    </row>
    <row r="394" ht="15.75" customHeight="1">
      <c r="A394" s="149"/>
      <c r="B394" s="149"/>
      <c r="C394" s="149"/>
      <c r="D394" s="149"/>
      <c r="E394" s="149"/>
      <c r="F394" s="149"/>
      <c r="G394" s="149"/>
      <c r="H394" s="135" t="str">
        <f>IFERROR(VLOOKUP(G394,'Conformance Score'!A:B, 2, 0), "")</f>
        <v/>
      </c>
      <c r="I394" s="150"/>
      <c r="J394" s="150"/>
      <c r="K394" s="134"/>
      <c r="L394" s="134"/>
      <c r="M394" s="134"/>
      <c r="N394" s="134"/>
      <c r="O394" s="134"/>
      <c r="P394" s="134"/>
      <c r="Q394" s="134"/>
      <c r="R394" s="134"/>
      <c r="S394" s="134"/>
      <c r="T394" s="134"/>
      <c r="U394" s="134"/>
      <c r="V394" s="134"/>
      <c r="W394" s="134"/>
      <c r="X394" s="134"/>
      <c r="Y394" s="134"/>
      <c r="Z394" s="134"/>
      <c r="AA394" s="134"/>
    </row>
    <row r="395" ht="15.75" customHeight="1">
      <c r="A395" s="149"/>
      <c r="B395" s="149"/>
      <c r="C395" s="149"/>
      <c r="D395" s="149"/>
      <c r="E395" s="149"/>
      <c r="F395" s="149"/>
      <c r="G395" s="149"/>
      <c r="H395" s="135" t="str">
        <f>IFERROR(VLOOKUP(G395,'Conformance Score'!A:B, 2, 0), "")</f>
        <v/>
      </c>
      <c r="I395" s="150"/>
      <c r="J395" s="150"/>
      <c r="K395" s="134"/>
      <c r="L395" s="134"/>
      <c r="M395" s="134"/>
      <c r="N395" s="134"/>
      <c r="O395" s="134"/>
      <c r="P395" s="134"/>
      <c r="Q395" s="134"/>
      <c r="R395" s="134"/>
      <c r="S395" s="134"/>
      <c r="T395" s="134"/>
      <c r="U395" s="134"/>
      <c r="V395" s="134"/>
      <c r="W395" s="134"/>
      <c r="X395" s="134"/>
      <c r="Y395" s="134"/>
      <c r="Z395" s="134"/>
      <c r="AA395" s="134"/>
    </row>
    <row r="396" ht="15.75" customHeight="1">
      <c r="A396" s="149"/>
      <c r="B396" s="149"/>
      <c r="C396" s="149"/>
      <c r="D396" s="149"/>
      <c r="E396" s="149"/>
      <c r="F396" s="149"/>
      <c r="G396" s="149"/>
      <c r="H396" s="135" t="str">
        <f>IFERROR(VLOOKUP(G396,'Conformance Score'!A:B, 2, 0), "")</f>
        <v/>
      </c>
      <c r="I396" s="150"/>
      <c r="J396" s="150"/>
      <c r="K396" s="134"/>
      <c r="L396" s="134"/>
      <c r="M396" s="134"/>
      <c r="N396" s="134"/>
      <c r="O396" s="134"/>
      <c r="P396" s="134"/>
      <c r="Q396" s="134"/>
      <c r="R396" s="134"/>
      <c r="S396" s="134"/>
      <c r="T396" s="134"/>
      <c r="U396" s="134"/>
      <c r="V396" s="134"/>
      <c r="W396" s="134"/>
      <c r="X396" s="134"/>
      <c r="Y396" s="134"/>
      <c r="Z396" s="134"/>
      <c r="AA396" s="134"/>
    </row>
    <row r="397" ht="15.75" customHeight="1">
      <c r="A397" s="149"/>
      <c r="B397" s="149"/>
      <c r="C397" s="149"/>
      <c r="D397" s="149"/>
      <c r="E397" s="149"/>
      <c r="F397" s="149"/>
      <c r="G397" s="149"/>
      <c r="H397" s="135" t="str">
        <f>IFERROR(VLOOKUP(G397,'Conformance Score'!A:B, 2, 0), "")</f>
        <v/>
      </c>
      <c r="I397" s="150"/>
      <c r="J397" s="150"/>
      <c r="K397" s="134"/>
      <c r="L397" s="134"/>
      <c r="M397" s="134"/>
      <c r="N397" s="134"/>
      <c r="O397" s="134"/>
      <c r="P397" s="134"/>
      <c r="Q397" s="134"/>
      <c r="R397" s="134"/>
      <c r="S397" s="134"/>
      <c r="T397" s="134"/>
      <c r="U397" s="134"/>
      <c r="V397" s="134"/>
      <c r="W397" s="134"/>
      <c r="X397" s="134"/>
      <c r="Y397" s="134"/>
      <c r="Z397" s="134"/>
      <c r="AA397" s="134"/>
    </row>
    <row r="398" ht="15.75" customHeight="1">
      <c r="A398" s="149"/>
      <c r="B398" s="149"/>
      <c r="C398" s="149"/>
      <c r="D398" s="149"/>
      <c r="E398" s="149"/>
      <c r="F398" s="149"/>
      <c r="G398" s="149"/>
      <c r="H398" s="135" t="str">
        <f>IFERROR(VLOOKUP(G398,'Conformance Score'!A:B, 2, 0), "")</f>
        <v/>
      </c>
      <c r="I398" s="150"/>
      <c r="J398" s="150"/>
      <c r="K398" s="134"/>
      <c r="L398" s="134"/>
      <c r="M398" s="134"/>
      <c r="N398" s="134"/>
      <c r="O398" s="134"/>
      <c r="P398" s="134"/>
      <c r="Q398" s="134"/>
      <c r="R398" s="134"/>
      <c r="S398" s="134"/>
      <c r="T398" s="134"/>
      <c r="U398" s="134"/>
      <c r="V398" s="134"/>
      <c r="W398" s="134"/>
      <c r="X398" s="134"/>
      <c r="Y398" s="134"/>
      <c r="Z398" s="134"/>
      <c r="AA398" s="134"/>
    </row>
    <row r="399" ht="15.75" customHeight="1">
      <c r="A399" s="149"/>
      <c r="B399" s="149"/>
      <c r="C399" s="149"/>
      <c r="D399" s="149"/>
      <c r="E399" s="149"/>
      <c r="F399" s="149"/>
      <c r="G399" s="149"/>
      <c r="H399" s="135" t="str">
        <f>IFERROR(VLOOKUP(G399,'Conformance Score'!A:B, 2, 0), "")</f>
        <v/>
      </c>
      <c r="I399" s="150"/>
      <c r="J399" s="150"/>
      <c r="K399" s="134"/>
      <c r="L399" s="134"/>
      <c r="M399" s="134"/>
      <c r="N399" s="134"/>
      <c r="O399" s="134"/>
      <c r="P399" s="134"/>
      <c r="Q399" s="134"/>
      <c r="R399" s="134"/>
      <c r="S399" s="134"/>
      <c r="T399" s="134"/>
      <c r="U399" s="134"/>
      <c r="V399" s="134"/>
      <c r="W399" s="134"/>
      <c r="X399" s="134"/>
      <c r="Y399" s="134"/>
      <c r="Z399" s="134"/>
      <c r="AA399" s="134"/>
    </row>
    <row r="400" ht="15.75" customHeight="1">
      <c r="A400" s="149"/>
      <c r="B400" s="149"/>
      <c r="C400" s="149"/>
      <c r="D400" s="149"/>
      <c r="E400" s="149"/>
      <c r="F400" s="149"/>
      <c r="G400" s="149"/>
      <c r="H400" s="135" t="str">
        <f>IFERROR(VLOOKUP(G400,'Conformance Score'!A:B, 2, 0), "")</f>
        <v/>
      </c>
      <c r="I400" s="150"/>
      <c r="J400" s="150"/>
      <c r="K400" s="134"/>
      <c r="L400" s="134"/>
      <c r="M400" s="134"/>
      <c r="N400" s="134"/>
      <c r="O400" s="134"/>
      <c r="P400" s="134"/>
      <c r="Q400" s="134"/>
      <c r="R400" s="134"/>
      <c r="S400" s="134"/>
      <c r="T400" s="134"/>
      <c r="U400" s="134"/>
      <c r="V400" s="134"/>
      <c r="W400" s="134"/>
      <c r="X400" s="134"/>
      <c r="Y400" s="134"/>
      <c r="Z400" s="134"/>
      <c r="AA400" s="134"/>
    </row>
    <row r="401" ht="15.75" customHeight="1">
      <c r="A401" s="149"/>
      <c r="B401" s="149"/>
      <c r="C401" s="149"/>
      <c r="D401" s="149"/>
      <c r="E401" s="149"/>
      <c r="F401" s="149"/>
      <c r="G401" s="149"/>
      <c r="H401" s="135" t="str">
        <f>IFERROR(VLOOKUP(G401,'Conformance Score'!A:B, 2, 0), "")</f>
        <v/>
      </c>
      <c r="I401" s="150"/>
      <c r="J401" s="150"/>
      <c r="K401" s="134"/>
      <c r="L401" s="134"/>
      <c r="M401" s="134"/>
      <c r="N401" s="134"/>
      <c r="O401" s="134"/>
      <c r="P401" s="134"/>
      <c r="Q401" s="134"/>
      <c r="R401" s="134"/>
      <c r="S401" s="134"/>
      <c r="T401" s="134"/>
      <c r="U401" s="134"/>
      <c r="V401" s="134"/>
      <c r="W401" s="134"/>
      <c r="X401" s="134"/>
      <c r="Y401" s="134"/>
      <c r="Z401" s="134"/>
      <c r="AA401" s="134"/>
    </row>
    <row r="402" ht="15.75" customHeight="1">
      <c r="A402" s="149"/>
      <c r="B402" s="149"/>
      <c r="C402" s="149"/>
      <c r="D402" s="149"/>
      <c r="E402" s="149"/>
      <c r="F402" s="149"/>
      <c r="G402" s="149"/>
      <c r="H402" s="135" t="str">
        <f>IFERROR(VLOOKUP(G402,'Conformance Score'!A:B, 2, 0), "")</f>
        <v/>
      </c>
      <c r="I402" s="150"/>
      <c r="J402" s="150"/>
      <c r="K402" s="134"/>
      <c r="L402" s="134"/>
      <c r="M402" s="134"/>
      <c r="N402" s="134"/>
      <c r="O402" s="134"/>
      <c r="P402" s="134"/>
      <c r="Q402" s="134"/>
      <c r="R402" s="134"/>
      <c r="S402" s="134"/>
      <c r="T402" s="134"/>
      <c r="U402" s="134"/>
      <c r="V402" s="134"/>
      <c r="W402" s="134"/>
      <c r="X402" s="134"/>
      <c r="Y402" s="134"/>
      <c r="Z402" s="134"/>
      <c r="AA402" s="134"/>
    </row>
    <row r="403" ht="15.75" customHeight="1">
      <c r="A403" s="149"/>
      <c r="B403" s="149"/>
      <c r="C403" s="149"/>
      <c r="D403" s="149"/>
      <c r="E403" s="149"/>
      <c r="F403" s="149"/>
      <c r="G403" s="149"/>
      <c r="H403" s="135" t="str">
        <f>IFERROR(VLOOKUP(G403,'Conformance Score'!A:B, 2, 0), "")</f>
        <v/>
      </c>
      <c r="I403" s="150"/>
      <c r="J403" s="150"/>
      <c r="K403" s="134"/>
      <c r="L403" s="134"/>
      <c r="M403" s="134"/>
      <c r="N403" s="134"/>
      <c r="O403" s="134"/>
      <c r="P403" s="134"/>
      <c r="Q403" s="134"/>
      <c r="R403" s="134"/>
      <c r="S403" s="134"/>
      <c r="T403" s="134"/>
      <c r="U403" s="134"/>
      <c r="V403" s="134"/>
      <c r="W403" s="134"/>
      <c r="X403" s="134"/>
      <c r="Y403" s="134"/>
      <c r="Z403" s="134"/>
      <c r="AA403" s="134"/>
    </row>
    <row r="404" ht="15.75" customHeight="1">
      <c r="A404" s="149"/>
      <c r="B404" s="149"/>
      <c r="C404" s="149"/>
      <c r="D404" s="149"/>
      <c r="E404" s="149"/>
      <c r="F404" s="149"/>
      <c r="G404" s="149"/>
      <c r="H404" s="135" t="str">
        <f>IFERROR(VLOOKUP(G404,'Conformance Score'!A:B, 2, 0), "")</f>
        <v/>
      </c>
      <c r="I404" s="150"/>
      <c r="J404" s="150"/>
      <c r="K404" s="134"/>
      <c r="L404" s="134"/>
      <c r="M404" s="134"/>
      <c r="N404" s="134"/>
      <c r="O404" s="134"/>
      <c r="P404" s="134"/>
      <c r="Q404" s="134"/>
      <c r="R404" s="134"/>
      <c r="S404" s="134"/>
      <c r="T404" s="134"/>
      <c r="U404" s="134"/>
      <c r="V404" s="134"/>
      <c r="W404" s="134"/>
      <c r="X404" s="134"/>
      <c r="Y404" s="134"/>
      <c r="Z404" s="134"/>
      <c r="AA404" s="134"/>
    </row>
    <row r="405" ht="15.75" customHeight="1">
      <c r="A405" s="149"/>
      <c r="B405" s="149"/>
      <c r="C405" s="149"/>
      <c r="D405" s="149"/>
      <c r="E405" s="149"/>
      <c r="F405" s="149"/>
      <c r="G405" s="149"/>
      <c r="H405" s="135" t="str">
        <f>IFERROR(VLOOKUP(G405,'Conformance Score'!A:B, 2, 0), "")</f>
        <v/>
      </c>
      <c r="I405" s="150"/>
      <c r="J405" s="150"/>
      <c r="K405" s="134"/>
      <c r="L405" s="134"/>
      <c r="M405" s="134"/>
      <c r="N405" s="134"/>
      <c r="O405" s="134"/>
      <c r="P405" s="134"/>
      <c r="Q405" s="134"/>
      <c r="R405" s="134"/>
      <c r="S405" s="134"/>
      <c r="T405" s="134"/>
      <c r="U405" s="134"/>
      <c r="V405" s="134"/>
      <c r="W405" s="134"/>
      <c r="X405" s="134"/>
      <c r="Y405" s="134"/>
      <c r="Z405" s="134"/>
      <c r="AA405" s="134"/>
    </row>
    <row r="406" ht="15.75" customHeight="1">
      <c r="A406" s="149"/>
      <c r="B406" s="149"/>
      <c r="C406" s="149"/>
      <c r="D406" s="149"/>
      <c r="E406" s="149"/>
      <c r="F406" s="149"/>
      <c r="G406" s="149"/>
      <c r="H406" s="135" t="str">
        <f>IFERROR(VLOOKUP(G406,'Conformance Score'!A:B, 2, 0), "")</f>
        <v/>
      </c>
      <c r="I406" s="150"/>
      <c r="J406" s="150"/>
      <c r="K406" s="134"/>
      <c r="L406" s="134"/>
      <c r="M406" s="134"/>
      <c r="N406" s="134"/>
      <c r="O406" s="134"/>
      <c r="P406" s="134"/>
      <c r="Q406" s="134"/>
      <c r="R406" s="134"/>
      <c r="S406" s="134"/>
      <c r="T406" s="134"/>
      <c r="U406" s="134"/>
      <c r="V406" s="134"/>
      <c r="W406" s="134"/>
      <c r="X406" s="134"/>
      <c r="Y406" s="134"/>
      <c r="Z406" s="134"/>
      <c r="AA406" s="134"/>
    </row>
    <row r="407" ht="15.75" customHeight="1">
      <c r="A407" s="149"/>
      <c r="B407" s="149"/>
      <c r="C407" s="149"/>
      <c r="D407" s="149"/>
      <c r="E407" s="149"/>
      <c r="F407" s="149"/>
      <c r="G407" s="149"/>
      <c r="H407" s="135" t="str">
        <f>IFERROR(VLOOKUP(G407,'Conformance Score'!A:B, 2, 0), "")</f>
        <v/>
      </c>
      <c r="I407" s="150"/>
      <c r="J407" s="150"/>
      <c r="K407" s="134"/>
      <c r="L407" s="134"/>
      <c r="M407" s="134"/>
      <c r="N407" s="134"/>
      <c r="O407" s="134"/>
      <c r="P407" s="134"/>
      <c r="Q407" s="134"/>
      <c r="R407" s="134"/>
      <c r="S407" s="134"/>
      <c r="T407" s="134"/>
      <c r="U407" s="134"/>
      <c r="V407" s="134"/>
      <c r="W407" s="134"/>
      <c r="X407" s="134"/>
      <c r="Y407" s="134"/>
      <c r="Z407" s="134"/>
      <c r="AA407" s="134"/>
    </row>
    <row r="408" ht="15.75" customHeight="1">
      <c r="A408" s="149"/>
      <c r="B408" s="149"/>
      <c r="C408" s="149"/>
      <c r="D408" s="149"/>
      <c r="E408" s="149"/>
      <c r="F408" s="149"/>
      <c r="G408" s="149"/>
      <c r="H408" s="135" t="str">
        <f>IFERROR(VLOOKUP(G408,'Conformance Score'!A:B, 2, 0), "")</f>
        <v/>
      </c>
      <c r="I408" s="150"/>
      <c r="J408" s="150"/>
      <c r="K408" s="134"/>
      <c r="L408" s="134"/>
      <c r="M408" s="134"/>
      <c r="N408" s="134"/>
      <c r="O408" s="134"/>
      <c r="P408" s="134"/>
      <c r="Q408" s="134"/>
      <c r="R408" s="134"/>
      <c r="S408" s="134"/>
      <c r="T408" s="134"/>
      <c r="U408" s="134"/>
      <c r="V408" s="134"/>
      <c r="W408" s="134"/>
      <c r="X408" s="134"/>
      <c r="Y408" s="134"/>
      <c r="Z408" s="134"/>
      <c r="AA408" s="134"/>
    </row>
    <row r="409" ht="15.75" customHeight="1">
      <c r="A409" s="149"/>
      <c r="B409" s="149"/>
      <c r="C409" s="149"/>
      <c r="D409" s="149"/>
      <c r="E409" s="149"/>
      <c r="F409" s="149"/>
      <c r="G409" s="149"/>
      <c r="H409" s="135" t="str">
        <f>IFERROR(VLOOKUP(G409,'Conformance Score'!A:B, 2, 0), "")</f>
        <v/>
      </c>
      <c r="I409" s="150"/>
      <c r="J409" s="150"/>
      <c r="K409" s="134"/>
      <c r="L409" s="134"/>
      <c r="M409" s="134"/>
      <c r="N409" s="134"/>
      <c r="O409" s="134"/>
      <c r="P409" s="134"/>
      <c r="Q409" s="134"/>
      <c r="R409" s="134"/>
      <c r="S409" s="134"/>
      <c r="T409" s="134"/>
      <c r="U409" s="134"/>
      <c r="V409" s="134"/>
      <c r="W409" s="134"/>
      <c r="X409" s="134"/>
      <c r="Y409" s="134"/>
      <c r="Z409" s="134"/>
      <c r="AA409" s="134"/>
    </row>
    <row r="410" ht="15.75" customHeight="1">
      <c r="A410" s="149"/>
      <c r="B410" s="149"/>
      <c r="C410" s="149"/>
      <c r="D410" s="149"/>
      <c r="E410" s="149"/>
      <c r="F410" s="149"/>
      <c r="G410" s="149"/>
      <c r="H410" s="135" t="str">
        <f>IFERROR(VLOOKUP(G410,'Conformance Score'!A:B, 2, 0), "")</f>
        <v/>
      </c>
      <c r="I410" s="150"/>
      <c r="J410" s="150"/>
      <c r="K410" s="134"/>
      <c r="L410" s="134"/>
      <c r="M410" s="134"/>
      <c r="N410" s="134"/>
      <c r="O410" s="134"/>
      <c r="P410" s="134"/>
      <c r="Q410" s="134"/>
      <c r="R410" s="134"/>
      <c r="S410" s="134"/>
      <c r="T410" s="134"/>
      <c r="U410" s="134"/>
      <c r="V410" s="134"/>
      <c r="W410" s="134"/>
      <c r="X410" s="134"/>
      <c r="Y410" s="134"/>
      <c r="Z410" s="134"/>
      <c r="AA410" s="134"/>
    </row>
    <row r="411" ht="15.75" customHeight="1">
      <c r="A411" s="149"/>
      <c r="B411" s="149"/>
      <c r="C411" s="149"/>
      <c r="D411" s="149"/>
      <c r="E411" s="149"/>
      <c r="F411" s="149"/>
      <c r="G411" s="149"/>
      <c r="H411" s="135" t="str">
        <f>IFERROR(VLOOKUP(G411,'Conformance Score'!A:B, 2, 0), "")</f>
        <v/>
      </c>
      <c r="I411" s="150"/>
      <c r="J411" s="150"/>
      <c r="K411" s="134"/>
      <c r="L411" s="134"/>
      <c r="M411" s="134"/>
      <c r="N411" s="134"/>
      <c r="O411" s="134"/>
      <c r="P411" s="134"/>
      <c r="Q411" s="134"/>
      <c r="R411" s="134"/>
      <c r="S411" s="134"/>
      <c r="T411" s="134"/>
      <c r="U411" s="134"/>
      <c r="V411" s="134"/>
      <c r="W411" s="134"/>
      <c r="X411" s="134"/>
      <c r="Y411" s="134"/>
      <c r="Z411" s="134"/>
      <c r="AA411" s="134"/>
    </row>
    <row r="412" ht="15.75" customHeight="1">
      <c r="A412" s="149"/>
      <c r="B412" s="149"/>
      <c r="C412" s="149"/>
      <c r="D412" s="149"/>
      <c r="E412" s="149"/>
      <c r="F412" s="149"/>
      <c r="G412" s="149"/>
      <c r="H412" s="135" t="str">
        <f>IFERROR(VLOOKUP(G412,'Conformance Score'!A:B, 2, 0), "")</f>
        <v/>
      </c>
      <c r="I412" s="150"/>
      <c r="J412" s="150"/>
      <c r="K412" s="134"/>
      <c r="L412" s="134"/>
      <c r="M412" s="134"/>
      <c r="N412" s="134"/>
      <c r="O412" s="134"/>
      <c r="P412" s="134"/>
      <c r="Q412" s="134"/>
      <c r="R412" s="134"/>
      <c r="S412" s="134"/>
      <c r="T412" s="134"/>
      <c r="U412" s="134"/>
      <c r="V412" s="134"/>
      <c r="W412" s="134"/>
      <c r="X412" s="134"/>
      <c r="Y412" s="134"/>
      <c r="Z412" s="134"/>
      <c r="AA412" s="134"/>
    </row>
    <row r="413" ht="15.75" customHeight="1">
      <c r="A413" s="149"/>
      <c r="B413" s="149"/>
      <c r="C413" s="149"/>
      <c r="D413" s="149"/>
      <c r="E413" s="149"/>
      <c r="F413" s="149"/>
      <c r="G413" s="149"/>
      <c r="H413" s="135" t="str">
        <f>IFERROR(VLOOKUP(G413,'Conformance Score'!A:B, 2, 0), "")</f>
        <v/>
      </c>
      <c r="I413" s="150"/>
      <c r="J413" s="150"/>
      <c r="K413" s="134"/>
      <c r="L413" s="134"/>
      <c r="M413" s="134"/>
      <c r="N413" s="134"/>
      <c r="O413" s="134"/>
      <c r="P413" s="134"/>
      <c r="Q413" s="134"/>
      <c r="R413" s="134"/>
      <c r="S413" s="134"/>
      <c r="T413" s="134"/>
      <c r="U413" s="134"/>
      <c r="V413" s="134"/>
      <c r="W413" s="134"/>
      <c r="X413" s="134"/>
      <c r="Y413" s="134"/>
      <c r="Z413" s="134"/>
      <c r="AA413" s="134"/>
    </row>
    <row r="414" ht="15.75" customHeight="1">
      <c r="A414" s="149"/>
      <c r="B414" s="149"/>
      <c r="C414" s="149"/>
      <c r="D414" s="149"/>
      <c r="E414" s="149"/>
      <c r="F414" s="149"/>
      <c r="G414" s="149"/>
      <c r="H414" s="135" t="str">
        <f>IFERROR(VLOOKUP(G414,'Conformance Score'!A:B, 2, 0), "")</f>
        <v/>
      </c>
      <c r="I414" s="150"/>
      <c r="J414" s="150"/>
      <c r="K414" s="134"/>
      <c r="L414" s="134"/>
      <c r="M414" s="134"/>
      <c r="N414" s="134"/>
      <c r="O414" s="134"/>
      <c r="P414" s="134"/>
      <c r="Q414" s="134"/>
      <c r="R414" s="134"/>
      <c r="S414" s="134"/>
      <c r="T414" s="134"/>
      <c r="U414" s="134"/>
      <c r="V414" s="134"/>
      <c r="W414" s="134"/>
      <c r="X414" s="134"/>
      <c r="Y414" s="134"/>
      <c r="Z414" s="134"/>
      <c r="AA414" s="134"/>
    </row>
    <row r="415" ht="15.75" customHeight="1">
      <c r="A415" s="149"/>
      <c r="B415" s="149"/>
      <c r="C415" s="149"/>
      <c r="D415" s="149"/>
      <c r="E415" s="149"/>
      <c r="F415" s="149"/>
      <c r="G415" s="149"/>
      <c r="H415" s="135" t="str">
        <f>IFERROR(VLOOKUP(G415,'Conformance Score'!A:B, 2, 0), "")</f>
        <v/>
      </c>
      <c r="I415" s="150"/>
      <c r="J415" s="150"/>
      <c r="K415" s="134"/>
      <c r="L415" s="134"/>
      <c r="M415" s="134"/>
      <c r="N415" s="134"/>
      <c r="O415" s="134"/>
      <c r="P415" s="134"/>
      <c r="Q415" s="134"/>
      <c r="R415" s="134"/>
      <c r="S415" s="134"/>
      <c r="T415" s="134"/>
      <c r="U415" s="134"/>
      <c r="V415" s="134"/>
      <c r="W415" s="134"/>
      <c r="X415" s="134"/>
      <c r="Y415" s="134"/>
      <c r="Z415" s="134"/>
      <c r="AA415" s="134"/>
    </row>
    <row r="416" ht="15.75" customHeight="1">
      <c r="A416" s="149"/>
      <c r="B416" s="149"/>
      <c r="C416" s="149"/>
      <c r="D416" s="149"/>
      <c r="E416" s="149"/>
      <c r="F416" s="149"/>
      <c r="G416" s="149"/>
      <c r="H416" s="135" t="str">
        <f>IFERROR(VLOOKUP(G416,'Conformance Score'!A:B, 2, 0), "")</f>
        <v/>
      </c>
      <c r="I416" s="150"/>
      <c r="J416" s="150"/>
      <c r="K416" s="134"/>
      <c r="L416" s="134"/>
      <c r="M416" s="134"/>
      <c r="N416" s="134"/>
      <c r="O416" s="134"/>
      <c r="P416" s="134"/>
      <c r="Q416" s="134"/>
      <c r="R416" s="134"/>
      <c r="S416" s="134"/>
      <c r="T416" s="134"/>
      <c r="U416" s="134"/>
      <c r="V416" s="134"/>
      <c r="W416" s="134"/>
      <c r="X416" s="134"/>
      <c r="Y416" s="134"/>
      <c r="Z416" s="134"/>
      <c r="AA416" s="134"/>
    </row>
    <row r="417" ht="15.75" customHeight="1">
      <c r="A417" s="149"/>
      <c r="B417" s="149"/>
      <c r="C417" s="149"/>
      <c r="D417" s="149"/>
      <c r="E417" s="149"/>
      <c r="F417" s="149"/>
      <c r="G417" s="149"/>
      <c r="H417" s="135" t="str">
        <f>IFERROR(VLOOKUP(G417,'Conformance Score'!A:B, 2, 0), "")</f>
        <v/>
      </c>
      <c r="I417" s="150"/>
      <c r="J417" s="150"/>
      <c r="K417" s="134"/>
      <c r="L417" s="134"/>
      <c r="M417" s="134"/>
      <c r="N417" s="134"/>
      <c r="O417" s="134"/>
      <c r="P417" s="134"/>
      <c r="Q417" s="134"/>
      <c r="R417" s="134"/>
      <c r="S417" s="134"/>
      <c r="T417" s="134"/>
      <c r="U417" s="134"/>
      <c r="V417" s="134"/>
      <c r="W417" s="134"/>
      <c r="X417" s="134"/>
      <c r="Y417" s="134"/>
      <c r="Z417" s="134"/>
      <c r="AA417" s="134"/>
    </row>
    <row r="418" ht="15.75" customHeight="1">
      <c r="A418" s="149"/>
      <c r="B418" s="149"/>
      <c r="C418" s="149"/>
      <c r="D418" s="149"/>
      <c r="E418" s="149"/>
      <c r="F418" s="149"/>
      <c r="G418" s="149"/>
      <c r="H418" s="135" t="str">
        <f>IFERROR(VLOOKUP(G418,'Conformance Score'!A:B, 2, 0), "")</f>
        <v/>
      </c>
      <c r="I418" s="150"/>
      <c r="J418" s="150"/>
      <c r="K418" s="134"/>
      <c r="L418" s="134"/>
      <c r="M418" s="134"/>
      <c r="N418" s="134"/>
      <c r="O418" s="134"/>
      <c r="P418" s="134"/>
      <c r="Q418" s="134"/>
      <c r="R418" s="134"/>
      <c r="S418" s="134"/>
      <c r="T418" s="134"/>
      <c r="U418" s="134"/>
      <c r="V418" s="134"/>
      <c r="W418" s="134"/>
      <c r="X418" s="134"/>
      <c r="Y418" s="134"/>
      <c r="Z418" s="134"/>
      <c r="AA418" s="134"/>
    </row>
    <row r="419" ht="15.75" customHeight="1">
      <c r="A419" s="149"/>
      <c r="B419" s="149"/>
      <c r="C419" s="149"/>
      <c r="D419" s="149"/>
      <c r="E419" s="149"/>
      <c r="F419" s="149"/>
      <c r="G419" s="149"/>
      <c r="H419" s="135" t="str">
        <f>IFERROR(VLOOKUP(G419,'Conformance Score'!A:B, 2, 0), "")</f>
        <v/>
      </c>
      <c r="I419" s="150"/>
      <c r="J419" s="150"/>
      <c r="K419" s="134"/>
      <c r="L419" s="134"/>
      <c r="M419" s="134"/>
      <c r="N419" s="134"/>
      <c r="O419" s="134"/>
      <c r="P419" s="134"/>
      <c r="Q419" s="134"/>
      <c r="R419" s="134"/>
      <c r="S419" s="134"/>
      <c r="T419" s="134"/>
      <c r="U419" s="134"/>
      <c r="V419" s="134"/>
      <c r="W419" s="134"/>
      <c r="X419" s="134"/>
      <c r="Y419" s="134"/>
      <c r="Z419" s="134"/>
      <c r="AA419" s="134"/>
    </row>
    <row r="420" ht="15.75" customHeight="1">
      <c r="A420" s="149"/>
      <c r="B420" s="149"/>
      <c r="C420" s="149"/>
      <c r="D420" s="149"/>
      <c r="E420" s="149"/>
      <c r="F420" s="149"/>
      <c r="G420" s="149"/>
      <c r="H420" s="135" t="str">
        <f>IFERROR(VLOOKUP(G420,'Conformance Score'!A:B, 2, 0), "")</f>
        <v/>
      </c>
      <c r="I420" s="150"/>
      <c r="J420" s="150"/>
      <c r="K420" s="134"/>
      <c r="L420" s="134"/>
      <c r="M420" s="134"/>
      <c r="N420" s="134"/>
      <c r="O420" s="134"/>
      <c r="P420" s="134"/>
      <c r="Q420" s="134"/>
      <c r="R420" s="134"/>
      <c r="S420" s="134"/>
      <c r="T420" s="134"/>
      <c r="U420" s="134"/>
      <c r="V420" s="134"/>
      <c r="W420" s="134"/>
      <c r="X420" s="134"/>
      <c r="Y420" s="134"/>
      <c r="Z420" s="134"/>
      <c r="AA420" s="134"/>
    </row>
    <row r="421" ht="15.75" customHeight="1">
      <c r="A421" s="149"/>
      <c r="B421" s="149"/>
      <c r="C421" s="149"/>
      <c r="D421" s="149"/>
      <c r="E421" s="149"/>
      <c r="F421" s="149"/>
      <c r="G421" s="149"/>
      <c r="H421" s="135" t="str">
        <f>IFERROR(VLOOKUP(G421,'Conformance Score'!A:B, 2, 0), "")</f>
        <v/>
      </c>
      <c r="I421" s="150"/>
      <c r="J421" s="150"/>
      <c r="K421" s="134"/>
      <c r="L421" s="134"/>
      <c r="M421" s="134"/>
      <c r="N421" s="134"/>
      <c r="O421" s="134"/>
      <c r="P421" s="134"/>
      <c r="Q421" s="134"/>
      <c r="R421" s="134"/>
      <c r="S421" s="134"/>
      <c r="T421" s="134"/>
      <c r="U421" s="134"/>
      <c r="V421" s="134"/>
      <c r="W421" s="134"/>
      <c r="X421" s="134"/>
      <c r="Y421" s="134"/>
      <c r="Z421" s="134"/>
      <c r="AA421" s="134"/>
    </row>
    <row r="422" ht="15.75" customHeight="1">
      <c r="A422" s="149"/>
      <c r="B422" s="149"/>
      <c r="C422" s="149"/>
      <c r="D422" s="149"/>
      <c r="E422" s="149"/>
      <c r="F422" s="149"/>
      <c r="G422" s="149"/>
      <c r="H422" s="135" t="str">
        <f>IFERROR(VLOOKUP(G422,'Conformance Score'!A:B, 2, 0), "")</f>
        <v/>
      </c>
      <c r="I422" s="150"/>
      <c r="J422" s="150"/>
      <c r="K422" s="134"/>
      <c r="L422" s="134"/>
      <c r="M422" s="134"/>
      <c r="N422" s="134"/>
      <c r="O422" s="134"/>
      <c r="P422" s="134"/>
      <c r="Q422" s="134"/>
      <c r="R422" s="134"/>
      <c r="S422" s="134"/>
      <c r="T422" s="134"/>
      <c r="U422" s="134"/>
      <c r="V422" s="134"/>
      <c r="W422" s="134"/>
      <c r="X422" s="134"/>
      <c r="Y422" s="134"/>
      <c r="Z422" s="134"/>
      <c r="AA422" s="134"/>
    </row>
    <row r="423" ht="15.75" customHeight="1">
      <c r="A423" s="149"/>
      <c r="B423" s="149"/>
      <c r="C423" s="149"/>
      <c r="D423" s="149"/>
      <c r="E423" s="149"/>
      <c r="F423" s="149"/>
      <c r="G423" s="149"/>
      <c r="H423" s="135" t="str">
        <f>IFERROR(VLOOKUP(G423,'Conformance Score'!A:B, 2, 0), "")</f>
        <v/>
      </c>
      <c r="I423" s="150"/>
      <c r="J423" s="150"/>
      <c r="K423" s="134"/>
      <c r="L423" s="134"/>
      <c r="M423" s="134"/>
      <c r="N423" s="134"/>
      <c r="O423" s="134"/>
      <c r="P423" s="134"/>
      <c r="Q423" s="134"/>
      <c r="R423" s="134"/>
      <c r="S423" s="134"/>
      <c r="T423" s="134"/>
      <c r="U423" s="134"/>
      <c r="V423" s="134"/>
      <c r="W423" s="134"/>
      <c r="X423" s="134"/>
      <c r="Y423" s="134"/>
      <c r="Z423" s="134"/>
      <c r="AA423" s="134"/>
    </row>
    <row r="424" ht="15.75" customHeight="1">
      <c r="A424" s="149"/>
      <c r="B424" s="149"/>
      <c r="C424" s="149"/>
      <c r="D424" s="149"/>
      <c r="E424" s="149"/>
      <c r="F424" s="149"/>
      <c r="G424" s="149"/>
      <c r="H424" s="135" t="str">
        <f>IFERROR(VLOOKUP(G424,'Conformance Score'!A:B, 2, 0), "")</f>
        <v/>
      </c>
      <c r="I424" s="150"/>
      <c r="J424" s="150"/>
      <c r="K424" s="134"/>
      <c r="L424" s="134"/>
      <c r="M424" s="134"/>
      <c r="N424" s="134"/>
      <c r="O424" s="134"/>
      <c r="P424" s="134"/>
      <c r="Q424" s="134"/>
      <c r="R424" s="134"/>
      <c r="S424" s="134"/>
      <c r="T424" s="134"/>
      <c r="U424" s="134"/>
      <c r="V424" s="134"/>
      <c r="W424" s="134"/>
      <c r="X424" s="134"/>
      <c r="Y424" s="134"/>
      <c r="Z424" s="134"/>
      <c r="AA424" s="134"/>
    </row>
    <row r="425" ht="15.75" customHeight="1">
      <c r="A425" s="149"/>
      <c r="B425" s="149"/>
      <c r="C425" s="149"/>
      <c r="D425" s="149"/>
      <c r="E425" s="149"/>
      <c r="F425" s="149"/>
      <c r="G425" s="149"/>
      <c r="H425" s="135" t="str">
        <f>IFERROR(VLOOKUP(G425,'Conformance Score'!A:B, 2, 0), "")</f>
        <v/>
      </c>
      <c r="I425" s="150"/>
      <c r="J425" s="150"/>
      <c r="K425" s="134"/>
      <c r="L425" s="134"/>
      <c r="M425" s="134"/>
      <c r="N425" s="134"/>
      <c r="O425" s="134"/>
      <c r="P425" s="134"/>
      <c r="Q425" s="134"/>
      <c r="R425" s="134"/>
      <c r="S425" s="134"/>
      <c r="T425" s="134"/>
      <c r="U425" s="134"/>
      <c r="V425" s="134"/>
      <c r="W425" s="134"/>
      <c r="X425" s="134"/>
      <c r="Y425" s="134"/>
      <c r="Z425" s="134"/>
      <c r="AA425" s="134"/>
    </row>
    <row r="426" ht="15.75" customHeight="1">
      <c r="A426" s="149"/>
      <c r="B426" s="149"/>
      <c r="C426" s="149"/>
      <c r="D426" s="149"/>
      <c r="E426" s="149"/>
      <c r="F426" s="149"/>
      <c r="G426" s="149"/>
      <c r="H426" s="135" t="str">
        <f>IFERROR(VLOOKUP(G426,'Conformance Score'!A:B, 2, 0), "")</f>
        <v/>
      </c>
      <c r="I426" s="150"/>
      <c r="J426" s="150"/>
      <c r="K426" s="134"/>
      <c r="L426" s="134"/>
      <c r="M426" s="134"/>
      <c r="N426" s="134"/>
      <c r="O426" s="134"/>
      <c r="P426" s="134"/>
      <c r="Q426" s="134"/>
      <c r="R426" s="134"/>
      <c r="S426" s="134"/>
      <c r="T426" s="134"/>
      <c r="U426" s="134"/>
      <c r="V426" s="134"/>
      <c r="W426" s="134"/>
      <c r="X426" s="134"/>
      <c r="Y426" s="134"/>
      <c r="Z426" s="134"/>
      <c r="AA426" s="134"/>
    </row>
    <row r="427" ht="15.75" customHeight="1">
      <c r="A427" s="149"/>
      <c r="B427" s="149"/>
      <c r="C427" s="149"/>
      <c r="D427" s="149"/>
      <c r="E427" s="149"/>
      <c r="F427" s="149"/>
      <c r="G427" s="149"/>
      <c r="H427" s="135" t="str">
        <f>IFERROR(VLOOKUP(G427,'Conformance Score'!A:B, 2, 0), "")</f>
        <v/>
      </c>
      <c r="I427" s="150"/>
      <c r="J427" s="150"/>
      <c r="K427" s="134"/>
      <c r="L427" s="134"/>
      <c r="M427" s="134"/>
      <c r="N427" s="134"/>
      <c r="O427" s="134"/>
      <c r="P427" s="134"/>
      <c r="Q427" s="134"/>
      <c r="R427" s="134"/>
      <c r="S427" s="134"/>
      <c r="T427" s="134"/>
      <c r="U427" s="134"/>
      <c r="V427" s="134"/>
      <c r="W427" s="134"/>
      <c r="X427" s="134"/>
      <c r="Y427" s="134"/>
      <c r="Z427" s="134"/>
      <c r="AA427" s="134"/>
    </row>
    <row r="428" ht="15.75" customHeight="1">
      <c r="A428" s="149"/>
      <c r="B428" s="149"/>
      <c r="C428" s="149"/>
      <c r="D428" s="149"/>
      <c r="E428" s="149"/>
      <c r="F428" s="149"/>
      <c r="G428" s="149"/>
      <c r="H428" s="135" t="str">
        <f>IFERROR(VLOOKUP(G428,'Conformance Score'!A:B, 2, 0), "")</f>
        <v/>
      </c>
      <c r="I428" s="150"/>
      <c r="J428" s="150"/>
      <c r="K428" s="134"/>
      <c r="L428" s="134"/>
      <c r="M428" s="134"/>
      <c r="N428" s="134"/>
      <c r="O428" s="134"/>
      <c r="P428" s="134"/>
      <c r="Q428" s="134"/>
      <c r="R428" s="134"/>
      <c r="S428" s="134"/>
      <c r="T428" s="134"/>
      <c r="U428" s="134"/>
      <c r="V428" s="134"/>
      <c r="W428" s="134"/>
      <c r="X428" s="134"/>
      <c r="Y428" s="134"/>
      <c r="Z428" s="134"/>
      <c r="AA428" s="134"/>
    </row>
    <row r="429" ht="15.75" customHeight="1">
      <c r="A429" s="149"/>
      <c r="B429" s="149"/>
      <c r="C429" s="149"/>
      <c r="D429" s="149"/>
      <c r="E429" s="149"/>
      <c r="F429" s="149"/>
      <c r="G429" s="149"/>
      <c r="H429" s="135" t="str">
        <f>IFERROR(VLOOKUP(G429,'Conformance Score'!A:B, 2, 0), "")</f>
        <v/>
      </c>
      <c r="I429" s="150"/>
      <c r="J429" s="150"/>
      <c r="K429" s="134"/>
      <c r="L429" s="134"/>
      <c r="M429" s="134"/>
      <c r="N429" s="134"/>
      <c r="O429" s="134"/>
      <c r="P429" s="134"/>
      <c r="Q429" s="134"/>
      <c r="R429" s="134"/>
      <c r="S429" s="134"/>
      <c r="T429" s="134"/>
      <c r="U429" s="134"/>
      <c r="V429" s="134"/>
      <c r="W429" s="134"/>
      <c r="X429" s="134"/>
      <c r="Y429" s="134"/>
      <c r="Z429" s="134"/>
      <c r="AA429" s="134"/>
    </row>
    <row r="430" ht="15.75" customHeight="1">
      <c r="A430" s="149"/>
      <c r="B430" s="149"/>
      <c r="C430" s="149"/>
      <c r="D430" s="149"/>
      <c r="E430" s="149"/>
      <c r="F430" s="149"/>
      <c r="G430" s="149"/>
      <c r="H430" s="135" t="str">
        <f>IFERROR(VLOOKUP(G430,'Conformance Score'!A:B, 2, 0), "")</f>
        <v/>
      </c>
      <c r="I430" s="150"/>
      <c r="J430" s="150"/>
      <c r="K430" s="134"/>
      <c r="L430" s="134"/>
      <c r="M430" s="134"/>
      <c r="N430" s="134"/>
      <c r="O430" s="134"/>
      <c r="P430" s="134"/>
      <c r="Q430" s="134"/>
      <c r="R430" s="134"/>
      <c r="S430" s="134"/>
      <c r="T430" s="134"/>
      <c r="U430" s="134"/>
      <c r="V430" s="134"/>
      <c r="W430" s="134"/>
      <c r="X430" s="134"/>
      <c r="Y430" s="134"/>
      <c r="Z430" s="134"/>
      <c r="AA430" s="134"/>
    </row>
    <row r="431" ht="15.75" customHeight="1">
      <c r="A431" s="149"/>
      <c r="B431" s="149"/>
      <c r="C431" s="149"/>
      <c r="D431" s="149"/>
      <c r="E431" s="149"/>
      <c r="F431" s="149"/>
      <c r="G431" s="149"/>
      <c r="H431" s="135" t="str">
        <f>IFERROR(VLOOKUP(G431,'Conformance Score'!A:B, 2, 0), "")</f>
        <v/>
      </c>
      <c r="I431" s="150"/>
      <c r="J431" s="150"/>
      <c r="K431" s="134"/>
      <c r="L431" s="134"/>
      <c r="M431" s="134"/>
      <c r="N431" s="134"/>
      <c r="O431" s="134"/>
      <c r="P431" s="134"/>
      <c r="Q431" s="134"/>
      <c r="R431" s="134"/>
      <c r="S431" s="134"/>
      <c r="T431" s="134"/>
      <c r="U431" s="134"/>
      <c r="V431" s="134"/>
      <c r="W431" s="134"/>
      <c r="X431" s="134"/>
      <c r="Y431" s="134"/>
      <c r="Z431" s="134"/>
      <c r="AA431" s="134"/>
    </row>
    <row r="432" ht="15.75" customHeight="1">
      <c r="A432" s="149"/>
      <c r="B432" s="149"/>
      <c r="C432" s="149"/>
      <c r="D432" s="149"/>
      <c r="E432" s="149"/>
      <c r="F432" s="149"/>
      <c r="G432" s="149"/>
      <c r="H432" s="135" t="str">
        <f>IFERROR(VLOOKUP(G432,'Conformance Score'!A:B, 2, 0), "")</f>
        <v/>
      </c>
      <c r="I432" s="150"/>
      <c r="J432" s="150"/>
      <c r="K432" s="134"/>
      <c r="L432" s="134"/>
      <c r="M432" s="134"/>
      <c r="N432" s="134"/>
      <c r="O432" s="134"/>
      <c r="P432" s="134"/>
      <c r="Q432" s="134"/>
      <c r="R432" s="134"/>
      <c r="S432" s="134"/>
      <c r="T432" s="134"/>
      <c r="U432" s="134"/>
      <c r="V432" s="134"/>
      <c r="W432" s="134"/>
      <c r="X432" s="134"/>
      <c r="Y432" s="134"/>
      <c r="Z432" s="134"/>
      <c r="AA432" s="134"/>
    </row>
    <row r="433" ht="15.75" customHeight="1">
      <c r="A433" s="149"/>
      <c r="B433" s="149"/>
      <c r="C433" s="149"/>
      <c r="D433" s="149"/>
      <c r="E433" s="149"/>
      <c r="F433" s="149"/>
      <c r="G433" s="149"/>
      <c r="H433" s="135" t="str">
        <f>IFERROR(VLOOKUP(G433,'Conformance Score'!A:B, 2, 0), "")</f>
        <v/>
      </c>
      <c r="I433" s="150"/>
      <c r="J433" s="150"/>
      <c r="K433" s="134"/>
      <c r="L433" s="134"/>
      <c r="M433" s="134"/>
      <c r="N433" s="134"/>
      <c r="O433" s="134"/>
      <c r="P433" s="134"/>
      <c r="Q433" s="134"/>
      <c r="R433" s="134"/>
      <c r="S433" s="134"/>
      <c r="T433" s="134"/>
      <c r="U433" s="134"/>
      <c r="V433" s="134"/>
      <c r="W433" s="134"/>
      <c r="X433" s="134"/>
      <c r="Y433" s="134"/>
      <c r="Z433" s="134"/>
      <c r="AA433" s="134"/>
    </row>
    <row r="434" ht="15.75" customHeight="1">
      <c r="A434" s="149"/>
      <c r="B434" s="149"/>
      <c r="C434" s="149"/>
      <c r="D434" s="149"/>
      <c r="E434" s="149"/>
      <c r="F434" s="149"/>
      <c r="G434" s="149"/>
      <c r="H434" s="135" t="str">
        <f>IFERROR(VLOOKUP(G434,'Conformance Score'!A:B, 2, 0), "")</f>
        <v/>
      </c>
      <c r="I434" s="150"/>
      <c r="J434" s="150"/>
      <c r="K434" s="134"/>
      <c r="L434" s="134"/>
      <c r="M434" s="134"/>
      <c r="N434" s="134"/>
      <c r="O434" s="134"/>
      <c r="P434" s="134"/>
      <c r="Q434" s="134"/>
      <c r="R434" s="134"/>
      <c r="S434" s="134"/>
      <c r="T434" s="134"/>
      <c r="U434" s="134"/>
      <c r="V434" s="134"/>
      <c r="W434" s="134"/>
      <c r="X434" s="134"/>
      <c r="Y434" s="134"/>
      <c r="Z434" s="134"/>
      <c r="AA434" s="134"/>
    </row>
    <row r="435" ht="15.75" customHeight="1">
      <c r="A435" s="149"/>
      <c r="B435" s="149"/>
      <c r="C435" s="149"/>
      <c r="D435" s="149"/>
      <c r="E435" s="149"/>
      <c r="F435" s="149"/>
      <c r="G435" s="149"/>
      <c r="H435" s="135" t="str">
        <f>IFERROR(VLOOKUP(G435,'Conformance Score'!A:B, 2, 0), "")</f>
        <v/>
      </c>
      <c r="I435" s="150"/>
      <c r="J435" s="150"/>
      <c r="K435" s="134"/>
      <c r="L435" s="134"/>
      <c r="M435" s="134"/>
      <c r="N435" s="134"/>
      <c r="O435" s="134"/>
      <c r="P435" s="134"/>
      <c r="Q435" s="134"/>
      <c r="R435" s="134"/>
      <c r="S435" s="134"/>
      <c r="T435" s="134"/>
      <c r="U435" s="134"/>
      <c r="V435" s="134"/>
      <c r="W435" s="134"/>
      <c r="X435" s="134"/>
      <c r="Y435" s="134"/>
      <c r="Z435" s="134"/>
      <c r="AA435" s="134"/>
    </row>
    <row r="436" ht="15.75" customHeight="1">
      <c r="A436" s="149"/>
      <c r="B436" s="149"/>
      <c r="C436" s="149"/>
      <c r="D436" s="149"/>
      <c r="E436" s="149"/>
      <c r="F436" s="149"/>
      <c r="G436" s="149"/>
      <c r="H436" s="135" t="str">
        <f>IFERROR(VLOOKUP(G436,'Conformance Score'!A:B, 2, 0), "")</f>
        <v/>
      </c>
      <c r="I436" s="150"/>
      <c r="J436" s="150"/>
      <c r="K436" s="134"/>
      <c r="L436" s="134"/>
      <c r="M436" s="134"/>
      <c r="N436" s="134"/>
      <c r="O436" s="134"/>
      <c r="P436" s="134"/>
      <c r="Q436" s="134"/>
      <c r="R436" s="134"/>
      <c r="S436" s="134"/>
      <c r="T436" s="134"/>
      <c r="U436" s="134"/>
      <c r="V436" s="134"/>
      <c r="W436" s="134"/>
      <c r="X436" s="134"/>
      <c r="Y436" s="134"/>
      <c r="Z436" s="134"/>
      <c r="AA436" s="134"/>
    </row>
    <row r="437" ht="15.75" customHeight="1">
      <c r="A437" s="149"/>
      <c r="B437" s="149"/>
      <c r="C437" s="149"/>
      <c r="D437" s="149"/>
      <c r="E437" s="149"/>
      <c r="F437" s="149"/>
      <c r="G437" s="149"/>
      <c r="H437" s="135" t="str">
        <f>IFERROR(VLOOKUP(G437,'Conformance Score'!A:B, 2, 0), "")</f>
        <v/>
      </c>
      <c r="I437" s="150"/>
      <c r="J437" s="150"/>
      <c r="K437" s="134"/>
      <c r="L437" s="134"/>
      <c r="M437" s="134"/>
      <c r="N437" s="134"/>
      <c r="O437" s="134"/>
      <c r="P437" s="134"/>
      <c r="Q437" s="134"/>
      <c r="R437" s="134"/>
      <c r="S437" s="134"/>
      <c r="T437" s="134"/>
      <c r="U437" s="134"/>
      <c r="V437" s="134"/>
      <c r="W437" s="134"/>
      <c r="X437" s="134"/>
      <c r="Y437" s="134"/>
      <c r="Z437" s="134"/>
      <c r="AA437" s="134"/>
    </row>
    <row r="438" ht="15.75" customHeight="1">
      <c r="A438" s="149"/>
      <c r="B438" s="149"/>
      <c r="C438" s="149"/>
      <c r="D438" s="149"/>
      <c r="E438" s="149"/>
      <c r="F438" s="149"/>
      <c r="G438" s="149"/>
      <c r="H438" s="135" t="str">
        <f>IFERROR(VLOOKUP(G438,'Conformance Score'!A:B, 2, 0), "")</f>
        <v/>
      </c>
      <c r="I438" s="150"/>
      <c r="J438" s="150"/>
      <c r="K438" s="134"/>
      <c r="L438" s="134"/>
      <c r="M438" s="134"/>
      <c r="N438" s="134"/>
      <c r="O438" s="134"/>
      <c r="P438" s="134"/>
      <c r="Q438" s="134"/>
      <c r="R438" s="134"/>
      <c r="S438" s="134"/>
      <c r="T438" s="134"/>
      <c r="U438" s="134"/>
      <c r="V438" s="134"/>
      <c r="W438" s="134"/>
      <c r="X438" s="134"/>
      <c r="Y438" s="134"/>
      <c r="Z438" s="134"/>
      <c r="AA438" s="134"/>
    </row>
    <row r="439" ht="15.75" customHeight="1">
      <c r="A439" s="149"/>
      <c r="B439" s="149"/>
      <c r="C439" s="149"/>
      <c r="D439" s="149"/>
      <c r="E439" s="149"/>
      <c r="F439" s="149"/>
      <c r="G439" s="149"/>
      <c r="H439" s="135" t="str">
        <f>IFERROR(VLOOKUP(G439,'Conformance Score'!A:B, 2, 0), "")</f>
        <v/>
      </c>
      <c r="I439" s="150"/>
      <c r="J439" s="150"/>
      <c r="K439" s="134"/>
      <c r="L439" s="134"/>
      <c r="M439" s="134"/>
      <c r="N439" s="134"/>
      <c r="O439" s="134"/>
      <c r="P439" s="134"/>
      <c r="Q439" s="134"/>
      <c r="R439" s="134"/>
      <c r="S439" s="134"/>
      <c r="T439" s="134"/>
      <c r="U439" s="134"/>
      <c r="V439" s="134"/>
      <c r="W439" s="134"/>
      <c r="X439" s="134"/>
      <c r="Y439" s="134"/>
      <c r="Z439" s="134"/>
      <c r="AA439" s="134"/>
    </row>
    <row r="440" ht="15.75" customHeight="1">
      <c r="A440" s="149"/>
      <c r="B440" s="149"/>
      <c r="C440" s="149"/>
      <c r="D440" s="149"/>
      <c r="E440" s="149"/>
      <c r="F440" s="149"/>
      <c r="G440" s="149"/>
      <c r="H440" s="135" t="str">
        <f>IFERROR(VLOOKUP(G440,'Conformance Score'!A:B, 2, 0), "")</f>
        <v/>
      </c>
      <c r="I440" s="150"/>
      <c r="J440" s="150"/>
      <c r="K440" s="134"/>
      <c r="L440" s="134"/>
      <c r="M440" s="134"/>
      <c r="N440" s="134"/>
      <c r="O440" s="134"/>
      <c r="P440" s="134"/>
      <c r="Q440" s="134"/>
      <c r="R440" s="134"/>
      <c r="S440" s="134"/>
      <c r="T440" s="134"/>
      <c r="U440" s="134"/>
      <c r="V440" s="134"/>
      <c r="W440" s="134"/>
      <c r="X440" s="134"/>
      <c r="Y440" s="134"/>
      <c r="Z440" s="134"/>
      <c r="AA440" s="134"/>
    </row>
    <row r="441" ht="15.75" customHeight="1">
      <c r="A441" s="149"/>
      <c r="B441" s="149"/>
      <c r="C441" s="149"/>
      <c r="D441" s="149"/>
      <c r="E441" s="149"/>
      <c r="F441" s="149"/>
      <c r="G441" s="149"/>
      <c r="H441" s="135" t="str">
        <f>IFERROR(VLOOKUP(G441,'Conformance Score'!A:B, 2, 0), "")</f>
        <v/>
      </c>
      <c r="I441" s="150"/>
      <c r="J441" s="150"/>
      <c r="K441" s="134"/>
      <c r="L441" s="134"/>
      <c r="M441" s="134"/>
      <c r="N441" s="134"/>
      <c r="O441" s="134"/>
      <c r="P441" s="134"/>
      <c r="Q441" s="134"/>
      <c r="R441" s="134"/>
      <c r="S441" s="134"/>
      <c r="T441" s="134"/>
      <c r="U441" s="134"/>
      <c r="V441" s="134"/>
      <c r="W441" s="134"/>
      <c r="X441" s="134"/>
      <c r="Y441" s="134"/>
      <c r="Z441" s="134"/>
      <c r="AA441" s="134"/>
    </row>
    <row r="442" ht="15.75" customHeight="1">
      <c r="A442" s="149"/>
      <c r="B442" s="149"/>
      <c r="C442" s="149"/>
      <c r="D442" s="149"/>
      <c r="E442" s="149"/>
      <c r="F442" s="149"/>
      <c r="G442" s="149"/>
      <c r="H442" s="135" t="str">
        <f>IFERROR(VLOOKUP(G442,'Conformance Score'!A:B, 2, 0), "")</f>
        <v/>
      </c>
      <c r="I442" s="150"/>
      <c r="J442" s="150"/>
      <c r="K442" s="134"/>
      <c r="L442" s="134"/>
      <c r="M442" s="134"/>
      <c r="N442" s="134"/>
      <c r="O442" s="134"/>
      <c r="P442" s="134"/>
      <c r="Q442" s="134"/>
      <c r="R442" s="134"/>
      <c r="S442" s="134"/>
      <c r="T442" s="134"/>
      <c r="U442" s="134"/>
      <c r="V442" s="134"/>
      <c r="W442" s="134"/>
      <c r="X442" s="134"/>
      <c r="Y442" s="134"/>
      <c r="Z442" s="134"/>
      <c r="AA442" s="134"/>
    </row>
    <row r="443" ht="15.75" customHeight="1">
      <c r="A443" s="149"/>
      <c r="B443" s="149"/>
      <c r="C443" s="149"/>
      <c r="D443" s="149"/>
      <c r="E443" s="149"/>
      <c r="F443" s="149"/>
      <c r="G443" s="149"/>
      <c r="H443" s="135" t="str">
        <f>IFERROR(VLOOKUP(G443,'Conformance Score'!A:B, 2, 0), "")</f>
        <v/>
      </c>
      <c r="I443" s="150"/>
      <c r="J443" s="150"/>
      <c r="K443" s="134"/>
      <c r="L443" s="134"/>
      <c r="M443" s="134"/>
      <c r="N443" s="134"/>
      <c r="O443" s="134"/>
      <c r="P443" s="134"/>
      <c r="Q443" s="134"/>
      <c r="R443" s="134"/>
      <c r="S443" s="134"/>
      <c r="T443" s="134"/>
      <c r="U443" s="134"/>
      <c r="V443" s="134"/>
      <c r="W443" s="134"/>
      <c r="X443" s="134"/>
      <c r="Y443" s="134"/>
      <c r="Z443" s="134"/>
      <c r="AA443" s="134"/>
    </row>
    <row r="444" ht="15.75" customHeight="1">
      <c r="A444" s="149"/>
      <c r="B444" s="149"/>
      <c r="C444" s="149"/>
      <c r="D444" s="149"/>
      <c r="E444" s="149"/>
      <c r="F444" s="149"/>
      <c r="G444" s="149"/>
      <c r="H444" s="135" t="str">
        <f>IFERROR(VLOOKUP(G444,'Conformance Score'!A:B, 2, 0), "")</f>
        <v/>
      </c>
      <c r="I444" s="150"/>
      <c r="J444" s="150"/>
      <c r="K444" s="134"/>
      <c r="L444" s="134"/>
      <c r="M444" s="134"/>
      <c r="N444" s="134"/>
      <c r="O444" s="134"/>
      <c r="P444" s="134"/>
      <c r="Q444" s="134"/>
      <c r="R444" s="134"/>
      <c r="S444" s="134"/>
      <c r="T444" s="134"/>
      <c r="U444" s="134"/>
      <c r="V444" s="134"/>
      <c r="W444" s="134"/>
      <c r="X444" s="134"/>
      <c r="Y444" s="134"/>
      <c r="Z444" s="134"/>
      <c r="AA444" s="134"/>
    </row>
    <row r="445" ht="15.75" customHeight="1">
      <c r="A445" s="149"/>
      <c r="B445" s="149"/>
      <c r="C445" s="149"/>
      <c r="D445" s="149"/>
      <c r="E445" s="149"/>
      <c r="F445" s="149"/>
      <c r="G445" s="149"/>
      <c r="H445" s="135" t="str">
        <f>IFERROR(VLOOKUP(G445,'Conformance Score'!A:B, 2, 0), "")</f>
        <v/>
      </c>
      <c r="I445" s="150"/>
      <c r="J445" s="150"/>
      <c r="K445" s="134"/>
      <c r="L445" s="134"/>
      <c r="M445" s="134"/>
      <c r="N445" s="134"/>
      <c r="O445" s="134"/>
      <c r="P445" s="134"/>
      <c r="Q445" s="134"/>
      <c r="R445" s="134"/>
      <c r="S445" s="134"/>
      <c r="T445" s="134"/>
      <c r="U445" s="134"/>
      <c r="V445" s="134"/>
      <c r="W445" s="134"/>
      <c r="X445" s="134"/>
      <c r="Y445" s="134"/>
      <c r="Z445" s="134"/>
      <c r="AA445" s="134"/>
    </row>
    <row r="446" ht="15.75" customHeight="1">
      <c r="A446" s="149"/>
      <c r="B446" s="149"/>
      <c r="C446" s="149"/>
      <c r="D446" s="149"/>
      <c r="E446" s="149"/>
      <c r="F446" s="149"/>
      <c r="G446" s="149"/>
      <c r="H446" s="135" t="str">
        <f>IFERROR(VLOOKUP(G446,'Conformance Score'!A:B, 2, 0), "")</f>
        <v/>
      </c>
      <c r="I446" s="150"/>
      <c r="J446" s="150"/>
      <c r="K446" s="134"/>
      <c r="L446" s="134"/>
      <c r="M446" s="134"/>
      <c r="N446" s="134"/>
      <c r="O446" s="134"/>
      <c r="P446" s="134"/>
      <c r="Q446" s="134"/>
      <c r="R446" s="134"/>
      <c r="S446" s="134"/>
      <c r="T446" s="134"/>
      <c r="U446" s="134"/>
      <c r="V446" s="134"/>
      <c r="W446" s="134"/>
      <c r="X446" s="134"/>
      <c r="Y446" s="134"/>
      <c r="Z446" s="134"/>
      <c r="AA446" s="134"/>
    </row>
    <row r="447" ht="15.75" customHeight="1">
      <c r="A447" s="149"/>
      <c r="B447" s="149"/>
      <c r="C447" s="149"/>
      <c r="D447" s="149"/>
      <c r="E447" s="149"/>
      <c r="F447" s="149"/>
      <c r="G447" s="149"/>
      <c r="H447" s="135" t="str">
        <f>IFERROR(VLOOKUP(G447,'Conformance Score'!A:B, 2, 0), "")</f>
        <v/>
      </c>
      <c r="I447" s="150"/>
      <c r="J447" s="150"/>
      <c r="K447" s="134"/>
      <c r="L447" s="134"/>
      <c r="M447" s="134"/>
      <c r="N447" s="134"/>
      <c r="O447" s="134"/>
      <c r="P447" s="134"/>
      <c r="Q447" s="134"/>
      <c r="R447" s="134"/>
      <c r="S447" s="134"/>
      <c r="T447" s="134"/>
      <c r="U447" s="134"/>
      <c r="V447" s="134"/>
      <c r="W447" s="134"/>
      <c r="X447" s="134"/>
      <c r="Y447" s="134"/>
      <c r="Z447" s="134"/>
      <c r="AA447" s="134"/>
    </row>
    <row r="448" ht="15.75" customHeight="1">
      <c r="A448" s="149"/>
      <c r="B448" s="149"/>
      <c r="C448" s="149"/>
      <c r="D448" s="149"/>
      <c r="E448" s="149"/>
      <c r="F448" s="149"/>
      <c r="G448" s="149"/>
      <c r="H448" s="135" t="str">
        <f>IFERROR(VLOOKUP(G448,'Conformance Score'!A:B, 2, 0), "")</f>
        <v/>
      </c>
      <c r="I448" s="150"/>
      <c r="J448" s="150"/>
      <c r="K448" s="134"/>
      <c r="L448" s="134"/>
      <c r="M448" s="134"/>
      <c r="N448" s="134"/>
      <c r="O448" s="134"/>
      <c r="P448" s="134"/>
      <c r="Q448" s="134"/>
      <c r="R448" s="134"/>
      <c r="S448" s="134"/>
      <c r="T448" s="134"/>
      <c r="U448" s="134"/>
      <c r="V448" s="134"/>
      <c r="W448" s="134"/>
      <c r="X448" s="134"/>
      <c r="Y448" s="134"/>
      <c r="Z448" s="134"/>
      <c r="AA448" s="134"/>
    </row>
    <row r="449" ht="15.75" customHeight="1">
      <c r="A449" s="149"/>
      <c r="B449" s="149"/>
      <c r="C449" s="149"/>
      <c r="D449" s="149"/>
      <c r="E449" s="149"/>
      <c r="F449" s="149"/>
      <c r="G449" s="149"/>
      <c r="H449" s="135" t="str">
        <f>IFERROR(VLOOKUP(G449,'Conformance Score'!A:B, 2, 0), "")</f>
        <v/>
      </c>
      <c r="I449" s="150"/>
      <c r="J449" s="150"/>
      <c r="K449" s="134"/>
      <c r="L449" s="134"/>
      <c r="M449" s="134"/>
      <c r="N449" s="134"/>
      <c r="O449" s="134"/>
      <c r="P449" s="134"/>
      <c r="Q449" s="134"/>
      <c r="R449" s="134"/>
      <c r="S449" s="134"/>
      <c r="T449" s="134"/>
      <c r="U449" s="134"/>
      <c r="V449" s="134"/>
      <c r="W449" s="134"/>
      <c r="X449" s="134"/>
      <c r="Y449" s="134"/>
      <c r="Z449" s="134"/>
      <c r="AA449" s="134"/>
    </row>
    <row r="450" ht="15.75" customHeight="1">
      <c r="A450" s="149"/>
      <c r="B450" s="149"/>
      <c r="C450" s="149"/>
      <c r="D450" s="149"/>
      <c r="E450" s="149"/>
      <c r="F450" s="149"/>
      <c r="G450" s="149"/>
      <c r="H450" s="135" t="str">
        <f>IFERROR(VLOOKUP(G450,'Conformance Score'!A:B, 2, 0), "")</f>
        <v/>
      </c>
      <c r="I450" s="150"/>
      <c r="J450" s="150"/>
      <c r="K450" s="134"/>
      <c r="L450" s="134"/>
      <c r="M450" s="134"/>
      <c r="N450" s="134"/>
      <c r="O450" s="134"/>
      <c r="P450" s="134"/>
      <c r="Q450" s="134"/>
      <c r="R450" s="134"/>
      <c r="S450" s="134"/>
      <c r="T450" s="134"/>
      <c r="U450" s="134"/>
      <c r="V450" s="134"/>
      <c r="W450" s="134"/>
      <c r="X450" s="134"/>
      <c r="Y450" s="134"/>
      <c r="Z450" s="134"/>
      <c r="AA450" s="134"/>
    </row>
    <row r="451" ht="15.75" customHeight="1">
      <c r="A451" s="149"/>
      <c r="B451" s="149"/>
      <c r="C451" s="149"/>
      <c r="D451" s="149"/>
      <c r="E451" s="149"/>
      <c r="F451" s="149"/>
      <c r="G451" s="149"/>
      <c r="H451" s="135" t="str">
        <f>IFERROR(VLOOKUP(G451,'Conformance Score'!A:B, 2, 0), "")</f>
        <v/>
      </c>
      <c r="I451" s="150"/>
      <c r="J451" s="150"/>
      <c r="K451" s="134"/>
      <c r="L451" s="134"/>
      <c r="M451" s="134"/>
      <c r="N451" s="134"/>
      <c r="O451" s="134"/>
      <c r="P451" s="134"/>
      <c r="Q451" s="134"/>
      <c r="R451" s="134"/>
      <c r="S451" s="134"/>
      <c r="T451" s="134"/>
      <c r="U451" s="134"/>
      <c r="V451" s="134"/>
      <c r="W451" s="134"/>
      <c r="X451" s="134"/>
      <c r="Y451" s="134"/>
      <c r="Z451" s="134"/>
      <c r="AA451" s="134"/>
    </row>
    <row r="452" ht="15.75" customHeight="1">
      <c r="A452" s="149"/>
      <c r="B452" s="149"/>
      <c r="C452" s="149"/>
      <c r="D452" s="149"/>
      <c r="E452" s="149"/>
      <c r="F452" s="149"/>
      <c r="G452" s="149"/>
      <c r="H452" s="135" t="str">
        <f>IFERROR(VLOOKUP(G452,'Conformance Score'!A:B, 2, 0), "")</f>
        <v/>
      </c>
      <c r="I452" s="150"/>
      <c r="J452" s="150"/>
      <c r="K452" s="134"/>
      <c r="L452" s="134"/>
      <c r="M452" s="134"/>
      <c r="N452" s="134"/>
      <c r="O452" s="134"/>
      <c r="P452" s="134"/>
      <c r="Q452" s="134"/>
      <c r="R452" s="134"/>
      <c r="S452" s="134"/>
      <c r="T452" s="134"/>
      <c r="U452" s="134"/>
      <c r="V452" s="134"/>
      <c r="W452" s="134"/>
      <c r="X452" s="134"/>
      <c r="Y452" s="134"/>
      <c r="Z452" s="134"/>
      <c r="AA452" s="134"/>
    </row>
    <row r="453" ht="15.75" customHeight="1">
      <c r="A453" s="149"/>
      <c r="B453" s="149"/>
      <c r="C453" s="149"/>
      <c r="D453" s="149"/>
      <c r="E453" s="149"/>
      <c r="F453" s="149"/>
      <c r="G453" s="149"/>
      <c r="H453" s="135" t="str">
        <f>IFERROR(VLOOKUP(G453,'Conformance Score'!A:B, 2, 0), "")</f>
        <v/>
      </c>
      <c r="I453" s="150"/>
      <c r="J453" s="150"/>
      <c r="K453" s="134"/>
      <c r="L453" s="134"/>
      <c r="M453" s="134"/>
      <c r="N453" s="134"/>
      <c r="O453" s="134"/>
      <c r="P453" s="134"/>
      <c r="Q453" s="134"/>
      <c r="R453" s="134"/>
      <c r="S453" s="134"/>
      <c r="T453" s="134"/>
      <c r="U453" s="134"/>
      <c r="V453" s="134"/>
      <c r="W453" s="134"/>
      <c r="X453" s="134"/>
      <c r="Y453" s="134"/>
      <c r="Z453" s="134"/>
      <c r="AA453" s="134"/>
    </row>
    <row r="454" ht="15.75" customHeight="1">
      <c r="A454" s="149"/>
      <c r="B454" s="149"/>
      <c r="C454" s="149"/>
      <c r="D454" s="149"/>
      <c r="E454" s="149"/>
      <c r="F454" s="149"/>
      <c r="G454" s="149"/>
      <c r="H454" s="135" t="str">
        <f>IFERROR(VLOOKUP(G454,'Conformance Score'!A:B, 2, 0), "")</f>
        <v/>
      </c>
      <c r="I454" s="150"/>
      <c r="J454" s="150"/>
      <c r="K454" s="134"/>
      <c r="L454" s="134"/>
      <c r="M454" s="134"/>
      <c r="N454" s="134"/>
      <c r="O454" s="134"/>
      <c r="P454" s="134"/>
      <c r="Q454" s="134"/>
      <c r="R454" s="134"/>
      <c r="S454" s="134"/>
      <c r="T454" s="134"/>
      <c r="U454" s="134"/>
      <c r="V454" s="134"/>
      <c r="W454" s="134"/>
      <c r="X454" s="134"/>
      <c r="Y454" s="134"/>
      <c r="Z454" s="134"/>
      <c r="AA454" s="134"/>
    </row>
    <row r="455" ht="15.75" customHeight="1">
      <c r="A455" s="149"/>
      <c r="B455" s="149"/>
      <c r="C455" s="149"/>
      <c r="D455" s="149"/>
      <c r="E455" s="149"/>
      <c r="F455" s="149"/>
      <c r="G455" s="149"/>
      <c r="H455" s="135" t="str">
        <f>IFERROR(VLOOKUP(G455,'Conformance Score'!A:B, 2, 0), "")</f>
        <v/>
      </c>
      <c r="I455" s="150"/>
      <c r="J455" s="150"/>
      <c r="K455" s="134"/>
      <c r="L455" s="134"/>
      <c r="M455" s="134"/>
      <c r="N455" s="134"/>
      <c r="O455" s="134"/>
      <c r="P455" s="134"/>
      <c r="Q455" s="134"/>
      <c r="R455" s="134"/>
      <c r="S455" s="134"/>
      <c r="T455" s="134"/>
      <c r="U455" s="134"/>
      <c r="V455" s="134"/>
      <c r="W455" s="134"/>
      <c r="X455" s="134"/>
      <c r="Y455" s="134"/>
      <c r="Z455" s="134"/>
      <c r="AA455" s="134"/>
    </row>
    <row r="456" ht="15.75" customHeight="1">
      <c r="A456" s="149"/>
      <c r="B456" s="149"/>
      <c r="C456" s="149"/>
      <c r="D456" s="149"/>
      <c r="E456" s="149"/>
      <c r="F456" s="149"/>
      <c r="G456" s="149"/>
      <c r="H456" s="135" t="str">
        <f>IFERROR(VLOOKUP(G456,'Conformance Score'!A:B, 2, 0), "")</f>
        <v/>
      </c>
      <c r="I456" s="150"/>
      <c r="J456" s="150"/>
      <c r="K456" s="134"/>
      <c r="L456" s="134"/>
      <c r="M456" s="134"/>
      <c r="N456" s="134"/>
      <c r="O456" s="134"/>
      <c r="P456" s="134"/>
      <c r="Q456" s="134"/>
      <c r="R456" s="134"/>
      <c r="S456" s="134"/>
      <c r="T456" s="134"/>
      <c r="U456" s="134"/>
      <c r="V456" s="134"/>
      <c r="W456" s="134"/>
      <c r="X456" s="134"/>
      <c r="Y456" s="134"/>
      <c r="Z456" s="134"/>
      <c r="AA456" s="134"/>
    </row>
    <row r="457" ht="15.75" customHeight="1">
      <c r="A457" s="149"/>
      <c r="B457" s="149"/>
      <c r="C457" s="149"/>
      <c r="D457" s="149"/>
      <c r="E457" s="149"/>
      <c r="F457" s="149"/>
      <c r="G457" s="149"/>
      <c r="H457" s="135" t="str">
        <f>IFERROR(VLOOKUP(G457,'Conformance Score'!A:B, 2, 0), "")</f>
        <v/>
      </c>
      <c r="I457" s="150"/>
      <c r="J457" s="150"/>
      <c r="K457" s="134"/>
      <c r="L457" s="134"/>
      <c r="M457" s="134"/>
      <c r="N457" s="134"/>
      <c r="O457" s="134"/>
      <c r="P457" s="134"/>
      <c r="Q457" s="134"/>
      <c r="R457" s="134"/>
      <c r="S457" s="134"/>
      <c r="T457" s="134"/>
      <c r="U457" s="134"/>
      <c r="V457" s="134"/>
      <c r="W457" s="134"/>
      <c r="X457" s="134"/>
      <c r="Y457" s="134"/>
      <c r="Z457" s="134"/>
      <c r="AA457" s="134"/>
    </row>
    <row r="458" ht="15.75" customHeight="1">
      <c r="A458" s="149"/>
      <c r="B458" s="149"/>
      <c r="C458" s="149"/>
      <c r="D458" s="149"/>
      <c r="E458" s="149"/>
      <c r="F458" s="149"/>
      <c r="G458" s="149"/>
      <c r="H458" s="135" t="str">
        <f>IFERROR(VLOOKUP(G458,'Conformance Score'!A:B, 2, 0), "")</f>
        <v/>
      </c>
      <c r="I458" s="150"/>
      <c r="J458" s="150"/>
      <c r="K458" s="134"/>
      <c r="L458" s="134"/>
      <c r="M458" s="134"/>
      <c r="N458" s="134"/>
      <c r="O458" s="134"/>
      <c r="P458" s="134"/>
      <c r="Q458" s="134"/>
      <c r="R458" s="134"/>
      <c r="S458" s="134"/>
      <c r="T458" s="134"/>
      <c r="U458" s="134"/>
      <c r="V458" s="134"/>
      <c r="W458" s="134"/>
      <c r="X458" s="134"/>
      <c r="Y458" s="134"/>
      <c r="Z458" s="134"/>
      <c r="AA458" s="134"/>
    </row>
    <row r="459" ht="15.75" customHeight="1">
      <c r="A459" s="149"/>
      <c r="B459" s="149"/>
      <c r="C459" s="149"/>
      <c r="D459" s="149"/>
      <c r="E459" s="149"/>
      <c r="F459" s="149"/>
      <c r="G459" s="149"/>
      <c r="H459" s="135" t="str">
        <f>IFERROR(VLOOKUP(G459,'Conformance Score'!A:B, 2, 0), "")</f>
        <v/>
      </c>
      <c r="I459" s="150"/>
      <c r="J459" s="150"/>
      <c r="K459" s="134"/>
      <c r="L459" s="134"/>
      <c r="M459" s="134"/>
      <c r="N459" s="134"/>
      <c r="O459" s="134"/>
      <c r="P459" s="134"/>
      <c r="Q459" s="134"/>
      <c r="R459" s="134"/>
      <c r="S459" s="134"/>
      <c r="T459" s="134"/>
      <c r="U459" s="134"/>
      <c r="V459" s="134"/>
      <c r="W459" s="134"/>
      <c r="X459" s="134"/>
      <c r="Y459" s="134"/>
      <c r="Z459" s="134"/>
      <c r="AA459" s="134"/>
    </row>
    <row r="460" ht="15.75" customHeight="1">
      <c r="A460" s="149"/>
      <c r="B460" s="149"/>
      <c r="C460" s="149"/>
      <c r="D460" s="149"/>
      <c r="E460" s="149"/>
      <c r="F460" s="149"/>
      <c r="G460" s="149"/>
      <c r="H460" s="135" t="str">
        <f>IFERROR(VLOOKUP(G460,'Conformance Score'!A:B, 2, 0), "")</f>
        <v/>
      </c>
      <c r="I460" s="150"/>
      <c r="J460" s="150"/>
      <c r="K460" s="134"/>
      <c r="L460" s="134"/>
      <c r="M460" s="134"/>
      <c r="N460" s="134"/>
      <c r="O460" s="134"/>
      <c r="P460" s="134"/>
      <c r="Q460" s="134"/>
      <c r="R460" s="134"/>
      <c r="S460" s="134"/>
      <c r="T460" s="134"/>
      <c r="U460" s="134"/>
      <c r="V460" s="134"/>
      <c r="W460" s="134"/>
      <c r="X460" s="134"/>
      <c r="Y460" s="134"/>
      <c r="Z460" s="134"/>
      <c r="AA460" s="134"/>
    </row>
    <row r="461" ht="15.75" customHeight="1">
      <c r="A461" s="149"/>
      <c r="B461" s="149"/>
      <c r="C461" s="149"/>
      <c r="D461" s="149"/>
      <c r="E461" s="149"/>
      <c r="F461" s="149"/>
      <c r="G461" s="149"/>
      <c r="H461" s="135" t="str">
        <f>IFERROR(VLOOKUP(G461,'Conformance Score'!A:B, 2, 0), "")</f>
        <v/>
      </c>
      <c r="I461" s="150"/>
      <c r="J461" s="150"/>
      <c r="K461" s="134"/>
      <c r="L461" s="134"/>
      <c r="M461" s="134"/>
      <c r="N461" s="134"/>
      <c r="O461" s="134"/>
      <c r="P461" s="134"/>
      <c r="Q461" s="134"/>
      <c r="R461" s="134"/>
      <c r="S461" s="134"/>
      <c r="T461" s="134"/>
      <c r="U461" s="134"/>
      <c r="V461" s="134"/>
      <c r="W461" s="134"/>
      <c r="X461" s="134"/>
      <c r="Y461" s="134"/>
      <c r="Z461" s="134"/>
      <c r="AA461" s="134"/>
    </row>
    <row r="462" ht="15.75" customHeight="1">
      <c r="A462" s="149"/>
      <c r="B462" s="149"/>
      <c r="C462" s="149"/>
      <c r="D462" s="149"/>
      <c r="E462" s="149"/>
      <c r="F462" s="149"/>
      <c r="G462" s="149"/>
      <c r="H462" s="135" t="str">
        <f>IFERROR(VLOOKUP(G462,'Conformance Score'!A:B, 2, 0), "")</f>
        <v/>
      </c>
      <c r="I462" s="150"/>
      <c r="J462" s="150"/>
      <c r="K462" s="134"/>
      <c r="L462" s="134"/>
      <c r="M462" s="134"/>
      <c r="N462" s="134"/>
      <c r="O462" s="134"/>
      <c r="P462" s="134"/>
      <c r="Q462" s="134"/>
      <c r="R462" s="134"/>
      <c r="S462" s="134"/>
      <c r="T462" s="134"/>
      <c r="U462" s="134"/>
      <c r="V462" s="134"/>
      <c r="W462" s="134"/>
      <c r="X462" s="134"/>
      <c r="Y462" s="134"/>
      <c r="Z462" s="134"/>
      <c r="AA462" s="134"/>
    </row>
    <row r="463" ht="15.75" customHeight="1">
      <c r="A463" s="149"/>
      <c r="B463" s="149"/>
      <c r="C463" s="149"/>
      <c r="D463" s="149"/>
      <c r="E463" s="149"/>
      <c r="F463" s="149"/>
      <c r="G463" s="149"/>
      <c r="H463" s="135" t="str">
        <f>IFERROR(VLOOKUP(G463,'Conformance Score'!A:B, 2, 0), "")</f>
        <v/>
      </c>
      <c r="I463" s="150"/>
      <c r="J463" s="150"/>
      <c r="K463" s="134"/>
      <c r="L463" s="134"/>
      <c r="M463" s="134"/>
      <c r="N463" s="134"/>
      <c r="O463" s="134"/>
      <c r="P463" s="134"/>
      <c r="Q463" s="134"/>
      <c r="R463" s="134"/>
      <c r="S463" s="134"/>
      <c r="T463" s="134"/>
      <c r="U463" s="134"/>
      <c r="V463" s="134"/>
      <c r="W463" s="134"/>
      <c r="X463" s="134"/>
      <c r="Y463" s="134"/>
      <c r="Z463" s="134"/>
      <c r="AA463" s="134"/>
    </row>
    <row r="464" ht="15.75" customHeight="1">
      <c r="A464" s="149"/>
      <c r="B464" s="149"/>
      <c r="C464" s="149"/>
      <c r="D464" s="149"/>
      <c r="E464" s="149"/>
      <c r="F464" s="149"/>
      <c r="G464" s="149"/>
      <c r="H464" s="135" t="str">
        <f>IFERROR(VLOOKUP(G464,'Conformance Score'!A:B, 2, 0), "")</f>
        <v/>
      </c>
      <c r="I464" s="150"/>
      <c r="J464" s="150"/>
      <c r="K464" s="134"/>
      <c r="L464" s="134"/>
      <c r="M464" s="134"/>
      <c r="N464" s="134"/>
      <c r="O464" s="134"/>
      <c r="P464" s="134"/>
      <c r="Q464" s="134"/>
      <c r="R464" s="134"/>
      <c r="S464" s="134"/>
      <c r="T464" s="134"/>
      <c r="U464" s="134"/>
      <c r="V464" s="134"/>
      <c r="W464" s="134"/>
      <c r="X464" s="134"/>
      <c r="Y464" s="134"/>
      <c r="Z464" s="134"/>
      <c r="AA464" s="134"/>
    </row>
    <row r="465" ht="15.75" customHeight="1">
      <c r="A465" s="149"/>
      <c r="B465" s="149"/>
      <c r="C465" s="149"/>
      <c r="D465" s="149"/>
      <c r="E465" s="149"/>
      <c r="F465" s="149"/>
      <c r="G465" s="149"/>
      <c r="H465" s="135" t="str">
        <f>IFERROR(VLOOKUP(G465,'Conformance Score'!A:B, 2, 0), "")</f>
        <v/>
      </c>
      <c r="I465" s="150"/>
      <c r="J465" s="150"/>
      <c r="K465" s="134"/>
      <c r="L465" s="134"/>
      <c r="M465" s="134"/>
      <c r="N465" s="134"/>
      <c r="O465" s="134"/>
      <c r="P465" s="134"/>
      <c r="Q465" s="134"/>
      <c r="R465" s="134"/>
      <c r="S465" s="134"/>
      <c r="T465" s="134"/>
      <c r="U465" s="134"/>
      <c r="V465" s="134"/>
      <c r="W465" s="134"/>
      <c r="X465" s="134"/>
      <c r="Y465" s="134"/>
      <c r="Z465" s="134"/>
      <c r="AA465" s="134"/>
    </row>
    <row r="466" ht="15.75" customHeight="1">
      <c r="A466" s="149"/>
      <c r="B466" s="149"/>
      <c r="C466" s="149"/>
      <c r="D466" s="149"/>
      <c r="E466" s="149"/>
      <c r="F466" s="149"/>
      <c r="G466" s="149"/>
      <c r="H466" s="135" t="str">
        <f>IFERROR(VLOOKUP(G466,'Conformance Score'!A:B, 2, 0), "")</f>
        <v/>
      </c>
      <c r="I466" s="150"/>
      <c r="J466" s="150"/>
      <c r="K466" s="134"/>
      <c r="L466" s="134"/>
      <c r="M466" s="134"/>
      <c r="N466" s="134"/>
      <c r="O466" s="134"/>
      <c r="P466" s="134"/>
      <c r="Q466" s="134"/>
      <c r="R466" s="134"/>
      <c r="S466" s="134"/>
      <c r="T466" s="134"/>
      <c r="U466" s="134"/>
      <c r="V466" s="134"/>
      <c r="W466" s="134"/>
      <c r="X466" s="134"/>
      <c r="Y466" s="134"/>
      <c r="Z466" s="134"/>
      <c r="AA466" s="134"/>
    </row>
    <row r="467" ht="15.75" customHeight="1">
      <c r="A467" s="149"/>
      <c r="B467" s="149"/>
      <c r="C467" s="149"/>
      <c r="D467" s="149"/>
      <c r="E467" s="149"/>
      <c r="F467" s="149"/>
      <c r="G467" s="149"/>
      <c r="H467" s="135" t="str">
        <f>IFERROR(VLOOKUP(G467,'Conformance Score'!A:B, 2, 0), "")</f>
        <v/>
      </c>
      <c r="I467" s="150"/>
      <c r="J467" s="150"/>
      <c r="K467" s="134"/>
      <c r="L467" s="134"/>
      <c r="M467" s="134"/>
      <c r="N467" s="134"/>
      <c r="O467" s="134"/>
      <c r="P467" s="134"/>
      <c r="Q467" s="134"/>
      <c r="R467" s="134"/>
      <c r="S467" s="134"/>
      <c r="T467" s="134"/>
      <c r="U467" s="134"/>
      <c r="V467" s="134"/>
      <c r="W467" s="134"/>
      <c r="X467" s="134"/>
      <c r="Y467" s="134"/>
      <c r="Z467" s="134"/>
      <c r="AA467" s="134"/>
    </row>
    <row r="468" ht="15.75" customHeight="1">
      <c r="A468" s="149"/>
      <c r="B468" s="149"/>
      <c r="C468" s="149"/>
      <c r="D468" s="149"/>
      <c r="E468" s="149"/>
      <c r="F468" s="149"/>
      <c r="G468" s="149"/>
      <c r="H468" s="135" t="str">
        <f>IFERROR(VLOOKUP(G468,'Conformance Score'!A:B, 2, 0), "")</f>
        <v/>
      </c>
      <c r="I468" s="150"/>
      <c r="J468" s="150"/>
      <c r="K468" s="134"/>
      <c r="L468" s="134"/>
      <c r="M468" s="134"/>
      <c r="N468" s="134"/>
      <c r="O468" s="134"/>
      <c r="P468" s="134"/>
      <c r="Q468" s="134"/>
      <c r="R468" s="134"/>
      <c r="S468" s="134"/>
      <c r="T468" s="134"/>
      <c r="U468" s="134"/>
      <c r="V468" s="134"/>
      <c r="W468" s="134"/>
      <c r="X468" s="134"/>
      <c r="Y468" s="134"/>
      <c r="Z468" s="134"/>
      <c r="AA468" s="134"/>
    </row>
    <row r="469" ht="15.75" customHeight="1">
      <c r="A469" s="149"/>
      <c r="B469" s="149"/>
      <c r="C469" s="149"/>
      <c r="D469" s="149"/>
      <c r="E469" s="149"/>
      <c r="F469" s="149"/>
      <c r="G469" s="149"/>
      <c r="H469" s="135" t="str">
        <f>IFERROR(VLOOKUP(G469,'Conformance Score'!A:B, 2, 0), "")</f>
        <v/>
      </c>
      <c r="I469" s="150"/>
      <c r="J469" s="150"/>
      <c r="K469" s="134"/>
      <c r="L469" s="134"/>
      <c r="M469" s="134"/>
      <c r="N469" s="134"/>
      <c r="O469" s="134"/>
      <c r="P469" s="134"/>
      <c r="Q469" s="134"/>
      <c r="R469" s="134"/>
      <c r="S469" s="134"/>
      <c r="T469" s="134"/>
      <c r="U469" s="134"/>
      <c r="V469" s="134"/>
      <c r="W469" s="134"/>
      <c r="X469" s="134"/>
      <c r="Y469" s="134"/>
      <c r="Z469" s="134"/>
      <c r="AA469" s="134"/>
    </row>
    <row r="470" ht="15.75" customHeight="1">
      <c r="A470" s="149"/>
      <c r="B470" s="149"/>
      <c r="C470" s="149"/>
      <c r="D470" s="149"/>
      <c r="E470" s="149"/>
      <c r="F470" s="149"/>
      <c r="G470" s="149"/>
      <c r="H470" s="135" t="str">
        <f>IFERROR(VLOOKUP(G470,'Conformance Score'!A:B, 2, 0), "")</f>
        <v/>
      </c>
      <c r="I470" s="150"/>
      <c r="J470" s="150"/>
      <c r="K470" s="134"/>
      <c r="L470" s="134"/>
      <c r="M470" s="134"/>
      <c r="N470" s="134"/>
      <c r="O470" s="134"/>
      <c r="P470" s="134"/>
      <c r="Q470" s="134"/>
      <c r="R470" s="134"/>
      <c r="S470" s="134"/>
      <c r="T470" s="134"/>
      <c r="U470" s="134"/>
      <c r="V470" s="134"/>
      <c r="W470" s="134"/>
      <c r="X470" s="134"/>
      <c r="Y470" s="134"/>
      <c r="Z470" s="134"/>
      <c r="AA470" s="134"/>
    </row>
    <row r="471" ht="15.75" customHeight="1">
      <c r="A471" s="149"/>
      <c r="B471" s="149"/>
      <c r="C471" s="149"/>
      <c r="D471" s="149"/>
      <c r="E471" s="149"/>
      <c r="F471" s="149"/>
      <c r="G471" s="149"/>
      <c r="H471" s="135" t="str">
        <f>IFERROR(VLOOKUP(G471,'Conformance Score'!A:B, 2, 0), "")</f>
        <v/>
      </c>
      <c r="I471" s="150"/>
      <c r="J471" s="150"/>
      <c r="K471" s="134"/>
      <c r="L471" s="134"/>
      <c r="M471" s="134"/>
      <c r="N471" s="134"/>
      <c r="O471" s="134"/>
      <c r="P471" s="134"/>
      <c r="Q471" s="134"/>
      <c r="R471" s="134"/>
      <c r="S471" s="134"/>
      <c r="T471" s="134"/>
      <c r="U471" s="134"/>
      <c r="V471" s="134"/>
      <c r="W471" s="134"/>
      <c r="X471" s="134"/>
      <c r="Y471" s="134"/>
      <c r="Z471" s="134"/>
      <c r="AA471" s="134"/>
    </row>
    <row r="472" ht="15.75" customHeight="1">
      <c r="A472" s="149"/>
      <c r="B472" s="149"/>
      <c r="C472" s="149"/>
      <c r="D472" s="149"/>
      <c r="E472" s="149"/>
      <c r="F472" s="149"/>
      <c r="G472" s="149"/>
      <c r="H472" s="135" t="str">
        <f>IFERROR(VLOOKUP(G472,'Conformance Score'!A:B, 2, 0), "")</f>
        <v/>
      </c>
      <c r="I472" s="150"/>
      <c r="J472" s="150"/>
      <c r="K472" s="134"/>
      <c r="L472" s="134"/>
      <c r="M472" s="134"/>
      <c r="N472" s="134"/>
      <c r="O472" s="134"/>
      <c r="P472" s="134"/>
      <c r="Q472" s="134"/>
      <c r="R472" s="134"/>
      <c r="S472" s="134"/>
      <c r="T472" s="134"/>
      <c r="U472" s="134"/>
      <c r="V472" s="134"/>
      <c r="W472" s="134"/>
      <c r="X472" s="134"/>
      <c r="Y472" s="134"/>
      <c r="Z472" s="134"/>
      <c r="AA472" s="134"/>
    </row>
    <row r="473" ht="15.75" customHeight="1">
      <c r="A473" s="149"/>
      <c r="B473" s="149"/>
      <c r="C473" s="149"/>
      <c r="D473" s="149"/>
      <c r="E473" s="149"/>
      <c r="F473" s="149"/>
      <c r="G473" s="149"/>
      <c r="H473" s="135" t="str">
        <f>IFERROR(VLOOKUP(G473,'Conformance Score'!A:B, 2, 0), "")</f>
        <v/>
      </c>
      <c r="I473" s="150"/>
      <c r="J473" s="150"/>
      <c r="K473" s="134"/>
      <c r="L473" s="134"/>
      <c r="M473" s="134"/>
      <c r="N473" s="134"/>
      <c r="O473" s="134"/>
      <c r="P473" s="134"/>
      <c r="Q473" s="134"/>
      <c r="R473" s="134"/>
      <c r="S473" s="134"/>
      <c r="T473" s="134"/>
      <c r="U473" s="134"/>
      <c r="V473" s="134"/>
      <c r="W473" s="134"/>
      <c r="X473" s="134"/>
      <c r="Y473" s="134"/>
      <c r="Z473" s="134"/>
      <c r="AA473" s="134"/>
    </row>
    <row r="474" ht="15.75" customHeight="1">
      <c r="A474" s="149"/>
      <c r="B474" s="149"/>
      <c r="C474" s="149"/>
      <c r="D474" s="149"/>
      <c r="E474" s="149"/>
      <c r="F474" s="149"/>
      <c r="G474" s="149"/>
      <c r="H474" s="135" t="str">
        <f>IFERROR(VLOOKUP(G474,'Conformance Score'!A:B, 2, 0), "")</f>
        <v/>
      </c>
      <c r="I474" s="150"/>
      <c r="J474" s="150"/>
      <c r="K474" s="134"/>
      <c r="L474" s="134"/>
      <c r="M474" s="134"/>
      <c r="N474" s="134"/>
      <c r="O474" s="134"/>
      <c r="P474" s="134"/>
      <c r="Q474" s="134"/>
      <c r="R474" s="134"/>
      <c r="S474" s="134"/>
      <c r="T474" s="134"/>
      <c r="U474" s="134"/>
      <c r="V474" s="134"/>
      <c r="W474" s="134"/>
      <c r="X474" s="134"/>
      <c r="Y474" s="134"/>
      <c r="Z474" s="134"/>
      <c r="AA474" s="134"/>
    </row>
    <row r="475" ht="15.75" customHeight="1">
      <c r="A475" s="149"/>
      <c r="B475" s="149"/>
      <c r="C475" s="149"/>
      <c r="D475" s="149"/>
      <c r="E475" s="149"/>
      <c r="F475" s="149"/>
      <c r="G475" s="149"/>
      <c r="H475" s="135" t="str">
        <f>IFERROR(VLOOKUP(G475,'Conformance Score'!A:B, 2, 0), "")</f>
        <v/>
      </c>
      <c r="I475" s="150"/>
      <c r="J475" s="150"/>
      <c r="K475" s="134"/>
      <c r="L475" s="134"/>
      <c r="M475" s="134"/>
      <c r="N475" s="134"/>
      <c r="O475" s="134"/>
      <c r="P475" s="134"/>
      <c r="Q475" s="134"/>
      <c r="R475" s="134"/>
      <c r="S475" s="134"/>
      <c r="T475" s="134"/>
      <c r="U475" s="134"/>
      <c r="V475" s="134"/>
      <c r="W475" s="134"/>
      <c r="X475" s="134"/>
      <c r="Y475" s="134"/>
      <c r="Z475" s="134"/>
      <c r="AA475" s="134"/>
    </row>
    <row r="476" ht="15.75" customHeight="1">
      <c r="A476" s="149"/>
      <c r="B476" s="149"/>
      <c r="C476" s="149"/>
      <c r="D476" s="149"/>
      <c r="E476" s="149"/>
      <c r="F476" s="149"/>
      <c r="G476" s="149"/>
      <c r="H476" s="135" t="str">
        <f>IFERROR(VLOOKUP(G476,'Conformance Score'!A:B, 2, 0), "")</f>
        <v/>
      </c>
      <c r="I476" s="150"/>
      <c r="J476" s="150"/>
      <c r="K476" s="134"/>
      <c r="L476" s="134"/>
      <c r="M476" s="134"/>
      <c r="N476" s="134"/>
      <c r="O476" s="134"/>
      <c r="P476" s="134"/>
      <c r="Q476" s="134"/>
      <c r="R476" s="134"/>
      <c r="S476" s="134"/>
      <c r="T476" s="134"/>
      <c r="U476" s="134"/>
      <c r="V476" s="134"/>
      <c r="W476" s="134"/>
      <c r="X476" s="134"/>
      <c r="Y476" s="134"/>
      <c r="Z476" s="134"/>
      <c r="AA476" s="134"/>
    </row>
    <row r="477" ht="15.75" customHeight="1">
      <c r="A477" s="149"/>
      <c r="B477" s="149"/>
      <c r="C477" s="149"/>
      <c r="D477" s="149"/>
      <c r="E477" s="149"/>
      <c r="F477" s="149"/>
      <c r="G477" s="149"/>
      <c r="H477" s="135" t="str">
        <f>IFERROR(VLOOKUP(G477,'Conformance Score'!A:B, 2, 0), "")</f>
        <v/>
      </c>
      <c r="I477" s="150"/>
      <c r="J477" s="150"/>
      <c r="K477" s="134"/>
      <c r="L477" s="134"/>
      <c r="M477" s="134"/>
      <c r="N477" s="134"/>
      <c r="O477" s="134"/>
      <c r="P477" s="134"/>
      <c r="Q477" s="134"/>
      <c r="R477" s="134"/>
      <c r="S477" s="134"/>
      <c r="T477" s="134"/>
      <c r="U477" s="134"/>
      <c r="V477" s="134"/>
      <c r="W477" s="134"/>
      <c r="X477" s="134"/>
      <c r="Y477" s="134"/>
      <c r="Z477" s="134"/>
      <c r="AA477" s="134"/>
    </row>
    <row r="478" ht="15.75" customHeight="1">
      <c r="A478" s="149"/>
      <c r="B478" s="149"/>
      <c r="C478" s="149"/>
      <c r="D478" s="149"/>
      <c r="E478" s="149"/>
      <c r="F478" s="149"/>
      <c r="G478" s="149"/>
      <c r="H478" s="135" t="str">
        <f>IFERROR(VLOOKUP(G478,'Conformance Score'!A:B, 2, 0), "")</f>
        <v/>
      </c>
      <c r="I478" s="150"/>
      <c r="J478" s="150"/>
      <c r="K478" s="134"/>
      <c r="L478" s="134"/>
      <c r="M478" s="134"/>
      <c r="N478" s="134"/>
      <c r="O478" s="134"/>
      <c r="P478" s="134"/>
      <c r="Q478" s="134"/>
      <c r="R478" s="134"/>
      <c r="S478" s="134"/>
      <c r="T478" s="134"/>
      <c r="U478" s="134"/>
      <c r="V478" s="134"/>
      <c r="W478" s="134"/>
      <c r="X478" s="134"/>
      <c r="Y478" s="134"/>
      <c r="Z478" s="134"/>
      <c r="AA478" s="134"/>
    </row>
    <row r="479" ht="15.75" customHeight="1">
      <c r="A479" s="149"/>
      <c r="B479" s="149"/>
      <c r="C479" s="149"/>
      <c r="D479" s="149"/>
      <c r="E479" s="149"/>
      <c r="F479" s="149"/>
      <c r="G479" s="149"/>
      <c r="H479" s="135" t="str">
        <f>IFERROR(VLOOKUP(G479,'Conformance Score'!A:B, 2, 0), "")</f>
        <v/>
      </c>
      <c r="I479" s="150"/>
      <c r="J479" s="150"/>
      <c r="K479" s="134"/>
      <c r="L479" s="134"/>
      <c r="M479" s="134"/>
      <c r="N479" s="134"/>
      <c r="O479" s="134"/>
      <c r="P479" s="134"/>
      <c r="Q479" s="134"/>
      <c r="R479" s="134"/>
      <c r="S479" s="134"/>
      <c r="T479" s="134"/>
      <c r="U479" s="134"/>
      <c r="V479" s="134"/>
      <c r="W479" s="134"/>
      <c r="X479" s="134"/>
      <c r="Y479" s="134"/>
      <c r="Z479" s="134"/>
      <c r="AA479" s="134"/>
    </row>
    <row r="480" ht="15.75" customHeight="1">
      <c r="A480" s="149"/>
      <c r="B480" s="149"/>
      <c r="C480" s="149"/>
      <c r="D480" s="149"/>
      <c r="E480" s="149"/>
      <c r="F480" s="149"/>
      <c r="G480" s="149"/>
      <c r="H480" s="135" t="str">
        <f>IFERROR(VLOOKUP(G480,'Conformance Score'!A:B, 2, 0), "")</f>
        <v/>
      </c>
      <c r="I480" s="150"/>
      <c r="J480" s="150"/>
      <c r="K480" s="134"/>
      <c r="L480" s="134"/>
      <c r="M480" s="134"/>
      <c r="N480" s="134"/>
      <c r="O480" s="134"/>
      <c r="P480" s="134"/>
      <c r="Q480" s="134"/>
      <c r="R480" s="134"/>
      <c r="S480" s="134"/>
      <c r="T480" s="134"/>
      <c r="U480" s="134"/>
      <c r="V480" s="134"/>
      <c r="W480" s="134"/>
      <c r="X480" s="134"/>
      <c r="Y480" s="134"/>
      <c r="Z480" s="134"/>
      <c r="AA480" s="134"/>
    </row>
    <row r="481" ht="15.75" customHeight="1">
      <c r="A481" s="149"/>
      <c r="B481" s="149"/>
      <c r="C481" s="149"/>
      <c r="D481" s="149"/>
      <c r="E481" s="149"/>
      <c r="F481" s="149"/>
      <c r="G481" s="149"/>
      <c r="H481" s="135" t="str">
        <f>IFERROR(VLOOKUP(G481,'Conformance Score'!A:B, 2, 0), "")</f>
        <v/>
      </c>
      <c r="I481" s="150"/>
      <c r="J481" s="150"/>
      <c r="K481" s="134"/>
      <c r="L481" s="134"/>
      <c r="M481" s="134"/>
      <c r="N481" s="134"/>
      <c r="O481" s="134"/>
      <c r="P481" s="134"/>
      <c r="Q481" s="134"/>
      <c r="R481" s="134"/>
      <c r="S481" s="134"/>
      <c r="T481" s="134"/>
      <c r="U481" s="134"/>
      <c r="V481" s="134"/>
      <c r="W481" s="134"/>
      <c r="X481" s="134"/>
      <c r="Y481" s="134"/>
      <c r="Z481" s="134"/>
      <c r="AA481" s="134"/>
    </row>
    <row r="482" ht="15.75" customHeight="1">
      <c r="A482" s="149"/>
      <c r="B482" s="149"/>
      <c r="C482" s="149"/>
      <c r="D482" s="149"/>
      <c r="E482" s="149"/>
      <c r="F482" s="149"/>
      <c r="G482" s="149"/>
      <c r="H482" s="135" t="str">
        <f>IFERROR(VLOOKUP(G482,'Conformance Score'!A:B, 2, 0), "")</f>
        <v/>
      </c>
      <c r="I482" s="150"/>
      <c r="J482" s="150"/>
      <c r="K482" s="134"/>
      <c r="L482" s="134"/>
      <c r="M482" s="134"/>
      <c r="N482" s="134"/>
      <c r="O482" s="134"/>
      <c r="P482" s="134"/>
      <c r="Q482" s="134"/>
      <c r="R482" s="134"/>
      <c r="S482" s="134"/>
      <c r="T482" s="134"/>
      <c r="U482" s="134"/>
      <c r="V482" s="134"/>
      <c r="W482" s="134"/>
      <c r="X482" s="134"/>
      <c r="Y482" s="134"/>
      <c r="Z482" s="134"/>
      <c r="AA482" s="134"/>
    </row>
    <row r="483" ht="15.75" customHeight="1">
      <c r="A483" s="149"/>
      <c r="B483" s="149"/>
      <c r="C483" s="149"/>
      <c r="D483" s="149"/>
      <c r="E483" s="149"/>
      <c r="F483" s="149"/>
      <c r="G483" s="149"/>
      <c r="H483" s="135" t="str">
        <f>IFERROR(VLOOKUP(G483,'Conformance Score'!A:B, 2, 0), "")</f>
        <v/>
      </c>
      <c r="I483" s="150"/>
      <c r="J483" s="150"/>
      <c r="K483" s="134"/>
      <c r="L483" s="134"/>
      <c r="M483" s="134"/>
      <c r="N483" s="134"/>
      <c r="O483" s="134"/>
      <c r="P483" s="134"/>
      <c r="Q483" s="134"/>
      <c r="R483" s="134"/>
      <c r="S483" s="134"/>
      <c r="T483" s="134"/>
      <c r="U483" s="134"/>
      <c r="V483" s="134"/>
      <c r="W483" s="134"/>
      <c r="X483" s="134"/>
      <c r="Y483" s="134"/>
      <c r="Z483" s="134"/>
      <c r="AA483" s="134"/>
    </row>
    <row r="484" ht="15.75" customHeight="1">
      <c r="A484" s="149"/>
      <c r="B484" s="149"/>
      <c r="C484" s="149"/>
      <c r="D484" s="149"/>
      <c r="E484" s="149"/>
      <c r="F484" s="149"/>
      <c r="G484" s="149"/>
      <c r="H484" s="135" t="str">
        <f>IFERROR(VLOOKUP(G484,'Conformance Score'!A:B, 2, 0), "")</f>
        <v/>
      </c>
      <c r="I484" s="150"/>
      <c r="J484" s="150"/>
      <c r="K484" s="134"/>
      <c r="L484" s="134"/>
      <c r="M484" s="134"/>
      <c r="N484" s="134"/>
      <c r="O484" s="134"/>
      <c r="P484" s="134"/>
      <c r="Q484" s="134"/>
      <c r="R484" s="134"/>
      <c r="S484" s="134"/>
      <c r="T484" s="134"/>
      <c r="U484" s="134"/>
      <c r="V484" s="134"/>
      <c r="W484" s="134"/>
      <c r="X484" s="134"/>
      <c r="Y484" s="134"/>
      <c r="Z484" s="134"/>
      <c r="AA484" s="134"/>
    </row>
    <row r="485" ht="15.75" customHeight="1">
      <c r="A485" s="149"/>
      <c r="B485" s="149"/>
      <c r="C485" s="149"/>
      <c r="D485" s="149"/>
      <c r="E485" s="149"/>
      <c r="F485" s="149"/>
      <c r="G485" s="149"/>
      <c r="H485" s="135" t="str">
        <f>IFERROR(VLOOKUP(G485,'Conformance Score'!A:B, 2, 0), "")</f>
        <v/>
      </c>
      <c r="I485" s="150"/>
      <c r="J485" s="150"/>
      <c r="K485" s="134"/>
      <c r="L485" s="134"/>
      <c r="M485" s="134"/>
      <c r="N485" s="134"/>
      <c r="O485" s="134"/>
      <c r="P485" s="134"/>
      <c r="Q485" s="134"/>
      <c r="R485" s="134"/>
      <c r="S485" s="134"/>
      <c r="T485" s="134"/>
      <c r="U485" s="134"/>
      <c r="V485" s="134"/>
      <c r="W485" s="134"/>
      <c r="X485" s="134"/>
      <c r="Y485" s="134"/>
      <c r="Z485" s="134"/>
      <c r="AA485" s="134"/>
    </row>
    <row r="486" ht="15.75" customHeight="1">
      <c r="A486" s="149"/>
      <c r="B486" s="149"/>
      <c r="C486" s="149"/>
      <c r="D486" s="149"/>
      <c r="E486" s="149"/>
      <c r="F486" s="149"/>
      <c r="G486" s="149"/>
      <c r="H486" s="135" t="str">
        <f>IFERROR(VLOOKUP(G486,'Conformance Score'!A:B, 2, 0), "")</f>
        <v/>
      </c>
      <c r="I486" s="150"/>
      <c r="J486" s="150"/>
      <c r="K486" s="134"/>
      <c r="L486" s="134"/>
      <c r="M486" s="134"/>
      <c r="N486" s="134"/>
      <c r="O486" s="134"/>
      <c r="P486" s="134"/>
      <c r="Q486" s="134"/>
      <c r="R486" s="134"/>
      <c r="S486" s="134"/>
      <c r="T486" s="134"/>
      <c r="U486" s="134"/>
      <c r="V486" s="134"/>
      <c r="W486" s="134"/>
      <c r="X486" s="134"/>
      <c r="Y486" s="134"/>
      <c r="Z486" s="134"/>
      <c r="AA486" s="134"/>
    </row>
    <row r="487" ht="15.75" customHeight="1">
      <c r="A487" s="149"/>
      <c r="B487" s="149"/>
      <c r="C487" s="149"/>
      <c r="D487" s="149"/>
      <c r="E487" s="149"/>
      <c r="F487" s="149"/>
      <c r="G487" s="149"/>
      <c r="H487" s="135" t="str">
        <f>IFERROR(VLOOKUP(G487,'Conformance Score'!A:B, 2, 0), "")</f>
        <v/>
      </c>
      <c r="I487" s="150"/>
      <c r="J487" s="150"/>
      <c r="K487" s="134"/>
      <c r="L487" s="134"/>
      <c r="M487" s="134"/>
      <c r="N487" s="134"/>
      <c r="O487" s="134"/>
      <c r="P487" s="134"/>
      <c r="Q487" s="134"/>
      <c r="R487" s="134"/>
      <c r="S487" s="134"/>
      <c r="T487" s="134"/>
      <c r="U487" s="134"/>
      <c r="V487" s="134"/>
      <c r="W487" s="134"/>
      <c r="X487" s="134"/>
      <c r="Y487" s="134"/>
      <c r="Z487" s="134"/>
      <c r="AA487" s="134"/>
    </row>
    <row r="488" ht="15.75" customHeight="1">
      <c r="A488" s="149"/>
      <c r="B488" s="149"/>
      <c r="C488" s="149"/>
      <c r="D488" s="149"/>
      <c r="E488" s="149"/>
      <c r="F488" s="149"/>
      <c r="G488" s="149"/>
      <c r="H488" s="135" t="str">
        <f>IFERROR(VLOOKUP(G488,'Conformance Score'!A:B, 2, 0), "")</f>
        <v/>
      </c>
      <c r="I488" s="150"/>
      <c r="J488" s="150"/>
      <c r="K488" s="134"/>
      <c r="L488" s="134"/>
      <c r="M488" s="134"/>
      <c r="N488" s="134"/>
      <c r="O488" s="134"/>
      <c r="P488" s="134"/>
      <c r="Q488" s="134"/>
      <c r="R488" s="134"/>
      <c r="S488" s="134"/>
      <c r="T488" s="134"/>
      <c r="U488" s="134"/>
      <c r="V488" s="134"/>
      <c r="W488" s="134"/>
      <c r="X488" s="134"/>
      <c r="Y488" s="134"/>
      <c r="Z488" s="134"/>
      <c r="AA488" s="134"/>
    </row>
    <row r="489" ht="15.75" customHeight="1">
      <c r="A489" s="149"/>
      <c r="B489" s="149"/>
      <c r="C489" s="149"/>
      <c r="D489" s="149"/>
      <c r="E489" s="149"/>
      <c r="F489" s="149"/>
      <c r="G489" s="149"/>
      <c r="H489" s="135" t="str">
        <f>IFERROR(VLOOKUP(G489,'Conformance Score'!A:B, 2, 0), "")</f>
        <v/>
      </c>
      <c r="I489" s="150"/>
      <c r="J489" s="150"/>
      <c r="K489" s="134"/>
      <c r="L489" s="134"/>
      <c r="M489" s="134"/>
      <c r="N489" s="134"/>
      <c r="O489" s="134"/>
      <c r="P489" s="134"/>
      <c r="Q489" s="134"/>
      <c r="R489" s="134"/>
      <c r="S489" s="134"/>
      <c r="T489" s="134"/>
      <c r="U489" s="134"/>
      <c r="V489" s="134"/>
      <c r="W489" s="134"/>
      <c r="X489" s="134"/>
      <c r="Y489" s="134"/>
      <c r="Z489" s="134"/>
      <c r="AA489" s="134"/>
    </row>
    <row r="490" ht="15.75" customHeight="1">
      <c r="A490" s="149"/>
      <c r="B490" s="149"/>
      <c r="C490" s="149"/>
      <c r="D490" s="149"/>
      <c r="E490" s="149"/>
      <c r="F490" s="149"/>
      <c r="G490" s="149"/>
      <c r="H490" s="135" t="str">
        <f>IFERROR(VLOOKUP(G490,'Conformance Score'!A:B, 2, 0), "")</f>
        <v/>
      </c>
      <c r="I490" s="150"/>
      <c r="J490" s="150"/>
      <c r="K490" s="134"/>
      <c r="L490" s="134"/>
      <c r="M490" s="134"/>
      <c r="N490" s="134"/>
      <c r="O490" s="134"/>
      <c r="P490" s="134"/>
      <c r="Q490" s="134"/>
      <c r="R490" s="134"/>
      <c r="S490" s="134"/>
      <c r="T490" s="134"/>
      <c r="U490" s="134"/>
      <c r="V490" s="134"/>
      <c r="W490" s="134"/>
      <c r="X490" s="134"/>
      <c r="Y490" s="134"/>
      <c r="Z490" s="134"/>
      <c r="AA490" s="134"/>
    </row>
    <row r="491" ht="15.75" customHeight="1">
      <c r="A491" s="149"/>
      <c r="B491" s="149"/>
      <c r="C491" s="149"/>
      <c r="D491" s="149"/>
      <c r="E491" s="149"/>
      <c r="F491" s="149"/>
      <c r="G491" s="149"/>
      <c r="H491" s="135" t="str">
        <f>IFERROR(VLOOKUP(G491,'Conformance Score'!A:B, 2, 0), "")</f>
        <v/>
      </c>
      <c r="I491" s="150"/>
      <c r="J491" s="150"/>
      <c r="K491" s="134"/>
      <c r="L491" s="134"/>
      <c r="M491" s="134"/>
      <c r="N491" s="134"/>
      <c r="O491" s="134"/>
      <c r="P491" s="134"/>
      <c r="Q491" s="134"/>
      <c r="R491" s="134"/>
      <c r="S491" s="134"/>
      <c r="T491" s="134"/>
      <c r="U491" s="134"/>
      <c r="V491" s="134"/>
      <c r="W491" s="134"/>
      <c r="X491" s="134"/>
      <c r="Y491" s="134"/>
      <c r="Z491" s="134"/>
      <c r="AA491" s="134"/>
    </row>
    <row r="492" ht="15.75" customHeight="1">
      <c r="A492" s="149"/>
      <c r="B492" s="149"/>
      <c r="C492" s="149"/>
      <c r="D492" s="149"/>
      <c r="E492" s="149"/>
      <c r="F492" s="149"/>
      <c r="G492" s="149"/>
      <c r="H492" s="135" t="str">
        <f>IFERROR(VLOOKUP(G492,'Conformance Score'!A:B, 2, 0), "")</f>
        <v/>
      </c>
      <c r="I492" s="150"/>
      <c r="J492" s="150"/>
      <c r="K492" s="134"/>
      <c r="L492" s="134"/>
      <c r="M492" s="134"/>
      <c r="N492" s="134"/>
      <c r="O492" s="134"/>
      <c r="P492" s="134"/>
      <c r="Q492" s="134"/>
      <c r="R492" s="134"/>
      <c r="S492" s="134"/>
      <c r="T492" s="134"/>
      <c r="U492" s="134"/>
      <c r="V492" s="134"/>
      <c r="W492" s="134"/>
      <c r="X492" s="134"/>
      <c r="Y492" s="134"/>
      <c r="Z492" s="134"/>
      <c r="AA492" s="134"/>
    </row>
    <row r="493" ht="15.75" customHeight="1">
      <c r="A493" s="149"/>
      <c r="B493" s="149"/>
      <c r="C493" s="149"/>
      <c r="D493" s="149"/>
      <c r="E493" s="149"/>
      <c r="F493" s="149"/>
      <c r="G493" s="149"/>
      <c r="H493" s="135" t="str">
        <f>IFERROR(VLOOKUP(G493,'Conformance Score'!A:B, 2, 0), "")</f>
        <v/>
      </c>
      <c r="I493" s="150"/>
      <c r="J493" s="150"/>
      <c r="K493" s="134"/>
      <c r="L493" s="134"/>
      <c r="M493" s="134"/>
      <c r="N493" s="134"/>
      <c r="O493" s="134"/>
      <c r="P493" s="134"/>
      <c r="Q493" s="134"/>
      <c r="R493" s="134"/>
      <c r="S493" s="134"/>
      <c r="T493" s="134"/>
      <c r="U493" s="134"/>
      <c r="V493" s="134"/>
      <c r="W493" s="134"/>
      <c r="X493" s="134"/>
      <c r="Y493" s="134"/>
      <c r="Z493" s="134"/>
      <c r="AA493" s="134"/>
    </row>
    <row r="494" ht="15.75" customHeight="1">
      <c r="A494" s="149"/>
      <c r="B494" s="149"/>
      <c r="C494" s="149"/>
      <c r="D494" s="149"/>
      <c r="E494" s="149"/>
      <c r="F494" s="149"/>
      <c r="G494" s="149"/>
      <c r="H494" s="135" t="str">
        <f>IFERROR(VLOOKUP(G494,'Conformance Score'!A:B, 2, 0), "")</f>
        <v/>
      </c>
      <c r="I494" s="150"/>
      <c r="J494" s="150"/>
      <c r="K494" s="134"/>
      <c r="L494" s="134"/>
      <c r="M494" s="134"/>
      <c r="N494" s="134"/>
      <c r="O494" s="134"/>
      <c r="P494" s="134"/>
      <c r="Q494" s="134"/>
      <c r="R494" s="134"/>
      <c r="S494" s="134"/>
      <c r="T494" s="134"/>
      <c r="U494" s="134"/>
      <c r="V494" s="134"/>
      <c r="W494" s="134"/>
      <c r="X494" s="134"/>
      <c r="Y494" s="134"/>
      <c r="Z494" s="134"/>
      <c r="AA494" s="134"/>
    </row>
    <row r="495" ht="15.75" customHeight="1">
      <c r="A495" s="149"/>
      <c r="B495" s="149"/>
      <c r="C495" s="149"/>
      <c r="D495" s="149"/>
      <c r="E495" s="149"/>
      <c r="F495" s="149"/>
      <c r="G495" s="149"/>
      <c r="H495" s="135" t="str">
        <f>IFERROR(VLOOKUP(G495,'Conformance Score'!A:B, 2, 0), "")</f>
        <v/>
      </c>
      <c r="I495" s="150"/>
      <c r="J495" s="150"/>
      <c r="K495" s="134"/>
      <c r="L495" s="134"/>
      <c r="M495" s="134"/>
      <c r="N495" s="134"/>
      <c r="O495" s="134"/>
      <c r="P495" s="134"/>
      <c r="Q495" s="134"/>
      <c r="R495" s="134"/>
      <c r="S495" s="134"/>
      <c r="T495" s="134"/>
      <c r="U495" s="134"/>
      <c r="V495" s="134"/>
      <c r="W495" s="134"/>
      <c r="X495" s="134"/>
      <c r="Y495" s="134"/>
      <c r="Z495" s="134"/>
      <c r="AA495" s="134"/>
    </row>
    <row r="496" ht="15.75" customHeight="1">
      <c r="A496" s="149"/>
      <c r="B496" s="149"/>
      <c r="C496" s="149"/>
      <c r="D496" s="149"/>
      <c r="E496" s="149"/>
      <c r="F496" s="149"/>
      <c r="G496" s="149"/>
      <c r="H496" s="135" t="str">
        <f>IFERROR(VLOOKUP(G496,'Conformance Score'!A:B, 2, 0), "")</f>
        <v/>
      </c>
      <c r="I496" s="150"/>
      <c r="J496" s="150"/>
      <c r="K496" s="134"/>
      <c r="L496" s="134"/>
      <c r="M496" s="134"/>
      <c r="N496" s="134"/>
      <c r="O496" s="134"/>
      <c r="P496" s="134"/>
      <c r="Q496" s="134"/>
      <c r="R496" s="134"/>
      <c r="S496" s="134"/>
      <c r="T496" s="134"/>
      <c r="U496" s="134"/>
      <c r="V496" s="134"/>
      <c r="W496" s="134"/>
      <c r="X496" s="134"/>
      <c r="Y496" s="134"/>
      <c r="Z496" s="134"/>
      <c r="AA496" s="134"/>
    </row>
    <row r="497" ht="15.75" customHeight="1">
      <c r="A497" s="149"/>
      <c r="B497" s="149"/>
      <c r="C497" s="149"/>
      <c r="D497" s="149"/>
      <c r="E497" s="149"/>
      <c r="F497" s="149"/>
      <c r="G497" s="149"/>
      <c r="H497" s="135" t="str">
        <f>IFERROR(VLOOKUP(G497,'Conformance Score'!A:B, 2, 0), "")</f>
        <v/>
      </c>
      <c r="I497" s="150"/>
      <c r="J497" s="150"/>
      <c r="K497" s="134"/>
      <c r="L497" s="134"/>
      <c r="M497" s="134"/>
      <c r="N497" s="134"/>
      <c r="O497" s="134"/>
      <c r="P497" s="134"/>
      <c r="Q497" s="134"/>
      <c r="R497" s="134"/>
      <c r="S497" s="134"/>
      <c r="T497" s="134"/>
      <c r="U497" s="134"/>
      <c r="V497" s="134"/>
      <c r="W497" s="134"/>
      <c r="X497" s="134"/>
      <c r="Y497" s="134"/>
      <c r="Z497" s="134"/>
      <c r="AA497" s="134"/>
    </row>
    <row r="498" ht="15.75" customHeight="1">
      <c r="A498" s="149"/>
      <c r="B498" s="149"/>
      <c r="C498" s="149"/>
      <c r="D498" s="149"/>
      <c r="E498" s="149"/>
      <c r="F498" s="149"/>
      <c r="G498" s="149"/>
      <c r="H498" s="135" t="str">
        <f>IFERROR(VLOOKUP(G498,'Conformance Score'!A:B, 2, 0), "")</f>
        <v/>
      </c>
      <c r="I498" s="150"/>
      <c r="J498" s="150"/>
      <c r="K498" s="134"/>
      <c r="L498" s="134"/>
      <c r="M498" s="134"/>
      <c r="N498" s="134"/>
      <c r="O498" s="134"/>
      <c r="P498" s="134"/>
      <c r="Q498" s="134"/>
      <c r="R498" s="134"/>
      <c r="S498" s="134"/>
      <c r="T498" s="134"/>
      <c r="U498" s="134"/>
      <c r="V498" s="134"/>
      <c r="W498" s="134"/>
      <c r="X498" s="134"/>
      <c r="Y498" s="134"/>
      <c r="Z498" s="134"/>
      <c r="AA498" s="134"/>
    </row>
    <row r="499" ht="15.75" customHeight="1">
      <c r="A499" s="149"/>
      <c r="B499" s="149"/>
      <c r="C499" s="149"/>
      <c r="D499" s="149"/>
      <c r="E499" s="149"/>
      <c r="F499" s="149"/>
      <c r="G499" s="149"/>
      <c r="H499" s="135" t="str">
        <f>IFERROR(VLOOKUP(G499,'Conformance Score'!A:B, 2, 0), "")</f>
        <v/>
      </c>
      <c r="I499" s="150"/>
      <c r="J499" s="150"/>
      <c r="K499" s="134"/>
      <c r="L499" s="134"/>
      <c r="M499" s="134"/>
      <c r="N499" s="134"/>
      <c r="O499" s="134"/>
      <c r="P499" s="134"/>
      <c r="Q499" s="134"/>
      <c r="R499" s="134"/>
      <c r="S499" s="134"/>
      <c r="T499" s="134"/>
      <c r="U499" s="134"/>
      <c r="V499" s="134"/>
      <c r="W499" s="134"/>
      <c r="X499" s="134"/>
      <c r="Y499" s="134"/>
      <c r="Z499" s="134"/>
      <c r="AA499" s="134"/>
    </row>
    <row r="500" ht="15.75" customHeight="1">
      <c r="A500" s="149"/>
      <c r="B500" s="149"/>
      <c r="C500" s="149"/>
      <c r="D500" s="149"/>
      <c r="E500" s="149"/>
      <c r="F500" s="149"/>
      <c r="G500" s="149"/>
      <c r="H500" s="135" t="str">
        <f>IFERROR(VLOOKUP(G500,'Conformance Score'!A:B, 2, 0), "")</f>
        <v/>
      </c>
      <c r="I500" s="150"/>
      <c r="J500" s="150"/>
      <c r="K500" s="134"/>
      <c r="L500" s="134"/>
      <c r="M500" s="134"/>
      <c r="N500" s="134"/>
      <c r="O500" s="134"/>
      <c r="P500" s="134"/>
      <c r="Q500" s="134"/>
      <c r="R500" s="134"/>
      <c r="S500" s="134"/>
      <c r="T500" s="134"/>
      <c r="U500" s="134"/>
      <c r="V500" s="134"/>
      <c r="W500" s="134"/>
      <c r="X500" s="134"/>
      <c r="Y500" s="134"/>
      <c r="Z500" s="134"/>
      <c r="AA500" s="134"/>
    </row>
    <row r="501" ht="15.75" customHeight="1">
      <c r="A501" s="149"/>
      <c r="B501" s="149"/>
      <c r="C501" s="149"/>
      <c r="D501" s="149"/>
      <c r="E501" s="149"/>
      <c r="F501" s="149"/>
      <c r="G501" s="149"/>
      <c r="H501" s="135" t="str">
        <f>IFERROR(VLOOKUP(G501,'Conformance Score'!A:B, 2, 0), "")</f>
        <v/>
      </c>
      <c r="I501" s="150"/>
      <c r="J501" s="150"/>
      <c r="K501" s="134"/>
      <c r="L501" s="134"/>
      <c r="M501" s="134"/>
      <c r="N501" s="134"/>
      <c r="O501" s="134"/>
      <c r="P501" s="134"/>
      <c r="Q501" s="134"/>
      <c r="R501" s="134"/>
      <c r="S501" s="134"/>
      <c r="T501" s="134"/>
      <c r="U501" s="134"/>
      <c r="V501" s="134"/>
      <c r="W501" s="134"/>
      <c r="X501" s="134"/>
      <c r="Y501" s="134"/>
      <c r="Z501" s="134"/>
      <c r="AA501" s="134"/>
    </row>
    <row r="502" ht="15.75" customHeight="1">
      <c r="A502" s="149"/>
      <c r="B502" s="149"/>
      <c r="C502" s="149"/>
      <c r="D502" s="149"/>
      <c r="E502" s="149"/>
      <c r="F502" s="149"/>
      <c r="G502" s="149"/>
      <c r="H502" s="135" t="str">
        <f>IFERROR(VLOOKUP(G502,'Conformance Score'!A:B, 2, 0), "")</f>
        <v/>
      </c>
      <c r="I502" s="150"/>
      <c r="J502" s="150"/>
      <c r="K502" s="134"/>
      <c r="L502" s="134"/>
      <c r="M502" s="134"/>
      <c r="N502" s="134"/>
      <c r="O502" s="134"/>
      <c r="P502" s="134"/>
      <c r="Q502" s="134"/>
      <c r="R502" s="134"/>
      <c r="S502" s="134"/>
      <c r="T502" s="134"/>
      <c r="U502" s="134"/>
      <c r="V502" s="134"/>
      <c r="W502" s="134"/>
      <c r="X502" s="134"/>
      <c r="Y502" s="134"/>
      <c r="Z502" s="134"/>
      <c r="AA502" s="134"/>
    </row>
    <row r="503" ht="15.75" customHeight="1">
      <c r="A503" s="149"/>
      <c r="B503" s="149"/>
      <c r="C503" s="149"/>
      <c r="D503" s="149"/>
      <c r="E503" s="149"/>
      <c r="F503" s="149"/>
      <c r="G503" s="149"/>
      <c r="H503" s="135" t="str">
        <f>IFERROR(VLOOKUP(G503,'Conformance Score'!A:B, 2, 0), "")</f>
        <v/>
      </c>
      <c r="I503" s="150"/>
      <c r="J503" s="150"/>
      <c r="K503" s="134"/>
      <c r="L503" s="134"/>
      <c r="M503" s="134"/>
      <c r="N503" s="134"/>
      <c r="O503" s="134"/>
      <c r="P503" s="134"/>
      <c r="Q503" s="134"/>
      <c r="R503" s="134"/>
      <c r="S503" s="134"/>
      <c r="T503" s="134"/>
      <c r="U503" s="134"/>
      <c r="V503" s="134"/>
      <c r="W503" s="134"/>
      <c r="X503" s="134"/>
      <c r="Y503" s="134"/>
      <c r="Z503" s="134"/>
      <c r="AA503" s="134"/>
    </row>
    <row r="504" ht="15.75" customHeight="1">
      <c r="A504" s="149"/>
      <c r="B504" s="149"/>
      <c r="C504" s="149"/>
      <c r="D504" s="149"/>
      <c r="E504" s="149"/>
      <c r="F504" s="149"/>
      <c r="G504" s="149"/>
      <c r="H504" s="135" t="str">
        <f>IFERROR(VLOOKUP(G504,'Conformance Score'!A:B, 2, 0), "")</f>
        <v/>
      </c>
      <c r="I504" s="150"/>
      <c r="J504" s="150"/>
      <c r="K504" s="134"/>
      <c r="L504" s="134"/>
      <c r="M504" s="134"/>
      <c r="N504" s="134"/>
      <c r="O504" s="134"/>
      <c r="P504" s="134"/>
      <c r="Q504" s="134"/>
      <c r="R504" s="134"/>
      <c r="S504" s="134"/>
      <c r="T504" s="134"/>
      <c r="U504" s="134"/>
      <c r="V504" s="134"/>
      <c r="W504" s="134"/>
      <c r="X504" s="134"/>
      <c r="Y504" s="134"/>
      <c r="Z504" s="134"/>
      <c r="AA504" s="134"/>
    </row>
    <row r="505" ht="15.75" customHeight="1">
      <c r="A505" s="149"/>
      <c r="B505" s="149"/>
      <c r="C505" s="149"/>
      <c r="D505" s="149"/>
      <c r="E505" s="149"/>
      <c r="F505" s="149"/>
      <c r="G505" s="149"/>
      <c r="H505" s="135" t="str">
        <f>IFERROR(VLOOKUP(G505,'Conformance Score'!A:B, 2, 0), "")</f>
        <v/>
      </c>
      <c r="I505" s="150"/>
      <c r="J505" s="150"/>
      <c r="K505" s="134"/>
      <c r="L505" s="134"/>
      <c r="M505" s="134"/>
      <c r="N505" s="134"/>
      <c r="O505" s="134"/>
      <c r="P505" s="134"/>
      <c r="Q505" s="134"/>
      <c r="R505" s="134"/>
      <c r="S505" s="134"/>
      <c r="T505" s="134"/>
      <c r="U505" s="134"/>
      <c r="V505" s="134"/>
      <c r="W505" s="134"/>
      <c r="X505" s="134"/>
      <c r="Y505" s="134"/>
      <c r="Z505" s="134"/>
      <c r="AA505" s="134"/>
    </row>
    <row r="506" ht="15.75" customHeight="1">
      <c r="A506" s="149"/>
      <c r="B506" s="149"/>
      <c r="C506" s="149"/>
      <c r="D506" s="149"/>
      <c r="E506" s="149"/>
      <c r="F506" s="149"/>
      <c r="G506" s="149"/>
      <c r="H506" s="135" t="str">
        <f>IFERROR(VLOOKUP(G506,'Conformance Score'!A:B, 2, 0), "")</f>
        <v/>
      </c>
      <c r="I506" s="150"/>
      <c r="J506" s="150"/>
      <c r="K506" s="134"/>
      <c r="L506" s="134"/>
      <c r="M506" s="134"/>
      <c r="N506" s="134"/>
      <c r="O506" s="134"/>
      <c r="P506" s="134"/>
      <c r="Q506" s="134"/>
      <c r="R506" s="134"/>
      <c r="S506" s="134"/>
      <c r="T506" s="134"/>
      <c r="U506" s="134"/>
      <c r="V506" s="134"/>
      <c r="W506" s="134"/>
      <c r="X506" s="134"/>
      <c r="Y506" s="134"/>
      <c r="Z506" s="134"/>
      <c r="AA506" s="134"/>
    </row>
    <row r="507" ht="15.75" customHeight="1">
      <c r="A507" s="149"/>
      <c r="B507" s="149"/>
      <c r="C507" s="149"/>
      <c r="D507" s="149"/>
      <c r="E507" s="149"/>
      <c r="F507" s="149"/>
      <c r="G507" s="149"/>
      <c r="H507" s="135" t="str">
        <f>IFERROR(VLOOKUP(G507,'Conformance Score'!A:B, 2, 0), "")</f>
        <v/>
      </c>
      <c r="I507" s="150"/>
      <c r="J507" s="150"/>
      <c r="K507" s="134"/>
      <c r="L507" s="134"/>
      <c r="M507" s="134"/>
      <c r="N507" s="134"/>
      <c r="O507" s="134"/>
      <c r="P507" s="134"/>
      <c r="Q507" s="134"/>
      <c r="R507" s="134"/>
      <c r="S507" s="134"/>
      <c r="T507" s="134"/>
      <c r="U507" s="134"/>
      <c r="V507" s="134"/>
      <c r="W507" s="134"/>
      <c r="X507" s="134"/>
      <c r="Y507" s="134"/>
      <c r="Z507" s="134"/>
      <c r="AA507" s="134"/>
    </row>
    <row r="508" ht="15.75" customHeight="1">
      <c r="A508" s="149"/>
      <c r="B508" s="149"/>
      <c r="C508" s="149"/>
      <c r="D508" s="149"/>
      <c r="E508" s="149"/>
      <c r="F508" s="149"/>
      <c r="G508" s="149"/>
      <c r="H508" s="135" t="str">
        <f>IFERROR(VLOOKUP(G508,'Conformance Score'!A:B, 2, 0), "")</f>
        <v/>
      </c>
      <c r="I508" s="150"/>
      <c r="J508" s="150"/>
      <c r="K508" s="134"/>
      <c r="L508" s="134"/>
      <c r="M508" s="134"/>
      <c r="N508" s="134"/>
      <c r="O508" s="134"/>
      <c r="P508" s="134"/>
      <c r="Q508" s="134"/>
      <c r="R508" s="134"/>
      <c r="S508" s="134"/>
      <c r="T508" s="134"/>
      <c r="U508" s="134"/>
      <c r="V508" s="134"/>
      <c r="W508" s="134"/>
      <c r="X508" s="134"/>
      <c r="Y508" s="134"/>
      <c r="Z508" s="134"/>
      <c r="AA508" s="134"/>
    </row>
    <row r="509" ht="15.75" customHeight="1">
      <c r="A509" s="149"/>
      <c r="B509" s="149"/>
      <c r="C509" s="149"/>
      <c r="D509" s="149"/>
      <c r="E509" s="149"/>
      <c r="F509" s="149"/>
      <c r="G509" s="149"/>
      <c r="H509" s="135" t="str">
        <f>IFERROR(VLOOKUP(G509,'Conformance Score'!A:B, 2, 0), "")</f>
        <v/>
      </c>
      <c r="I509" s="150"/>
      <c r="J509" s="150"/>
      <c r="K509" s="134"/>
      <c r="L509" s="134"/>
      <c r="M509" s="134"/>
      <c r="N509" s="134"/>
      <c r="O509" s="134"/>
      <c r="P509" s="134"/>
      <c r="Q509" s="134"/>
      <c r="R509" s="134"/>
      <c r="S509" s="134"/>
      <c r="T509" s="134"/>
      <c r="U509" s="134"/>
      <c r="V509" s="134"/>
      <c r="W509" s="134"/>
      <c r="X509" s="134"/>
      <c r="Y509" s="134"/>
      <c r="Z509" s="134"/>
      <c r="AA509" s="134"/>
    </row>
    <row r="510" ht="15.75" customHeight="1">
      <c r="A510" s="149"/>
      <c r="B510" s="149"/>
      <c r="C510" s="149"/>
      <c r="D510" s="149"/>
      <c r="E510" s="149"/>
      <c r="F510" s="149"/>
      <c r="G510" s="149"/>
      <c r="H510" s="135" t="str">
        <f>IFERROR(VLOOKUP(G510,'Conformance Score'!A:B, 2, 0), "")</f>
        <v/>
      </c>
      <c r="I510" s="150"/>
      <c r="J510" s="150"/>
      <c r="K510" s="134"/>
      <c r="L510" s="134"/>
      <c r="M510" s="134"/>
      <c r="N510" s="134"/>
      <c r="O510" s="134"/>
      <c r="P510" s="134"/>
      <c r="Q510" s="134"/>
      <c r="R510" s="134"/>
      <c r="S510" s="134"/>
      <c r="T510" s="134"/>
      <c r="U510" s="134"/>
      <c r="V510" s="134"/>
      <c r="W510" s="134"/>
      <c r="X510" s="134"/>
      <c r="Y510" s="134"/>
      <c r="Z510" s="134"/>
      <c r="AA510" s="134"/>
    </row>
    <row r="511" ht="15.75" customHeight="1">
      <c r="A511" s="149"/>
      <c r="B511" s="149"/>
      <c r="C511" s="149"/>
      <c r="D511" s="149"/>
      <c r="E511" s="149"/>
      <c r="F511" s="149"/>
      <c r="G511" s="149"/>
      <c r="H511" s="135" t="str">
        <f>IFERROR(VLOOKUP(G511,'Conformance Score'!A:B, 2, 0), "")</f>
        <v/>
      </c>
      <c r="I511" s="150"/>
      <c r="J511" s="150"/>
      <c r="K511" s="134"/>
      <c r="L511" s="134"/>
      <c r="M511" s="134"/>
      <c r="N511" s="134"/>
      <c r="O511" s="134"/>
      <c r="P511" s="134"/>
      <c r="Q511" s="134"/>
      <c r="R511" s="134"/>
      <c r="S511" s="134"/>
      <c r="T511" s="134"/>
      <c r="U511" s="134"/>
      <c r="V511" s="134"/>
      <c r="W511" s="134"/>
      <c r="X511" s="134"/>
      <c r="Y511" s="134"/>
      <c r="Z511" s="134"/>
      <c r="AA511" s="134"/>
    </row>
    <row r="512" ht="15.75" customHeight="1">
      <c r="A512" s="149"/>
      <c r="B512" s="149"/>
      <c r="C512" s="149"/>
      <c r="D512" s="149"/>
      <c r="E512" s="149"/>
      <c r="F512" s="149"/>
      <c r="G512" s="149"/>
      <c r="H512" s="135" t="str">
        <f>IFERROR(VLOOKUP(G512,'Conformance Score'!A:B, 2, 0), "")</f>
        <v/>
      </c>
      <c r="I512" s="150"/>
      <c r="J512" s="150"/>
      <c r="K512" s="134"/>
      <c r="L512" s="134"/>
      <c r="M512" s="134"/>
      <c r="N512" s="134"/>
      <c r="O512" s="134"/>
      <c r="P512" s="134"/>
      <c r="Q512" s="134"/>
      <c r="R512" s="134"/>
      <c r="S512" s="134"/>
      <c r="T512" s="134"/>
      <c r="U512" s="134"/>
      <c r="V512" s="134"/>
      <c r="W512" s="134"/>
      <c r="X512" s="134"/>
      <c r="Y512" s="134"/>
      <c r="Z512" s="134"/>
      <c r="AA512" s="134"/>
    </row>
    <row r="513" ht="15.75" customHeight="1">
      <c r="A513" s="149"/>
      <c r="B513" s="149"/>
      <c r="C513" s="149"/>
      <c r="D513" s="149"/>
      <c r="E513" s="149"/>
      <c r="F513" s="149"/>
      <c r="G513" s="149"/>
      <c r="H513" s="135" t="str">
        <f>IFERROR(VLOOKUP(G513,'Conformance Score'!A:B, 2, 0), "")</f>
        <v/>
      </c>
      <c r="I513" s="150"/>
      <c r="J513" s="150"/>
      <c r="K513" s="134"/>
      <c r="L513" s="134"/>
      <c r="M513" s="134"/>
      <c r="N513" s="134"/>
      <c r="O513" s="134"/>
      <c r="P513" s="134"/>
      <c r="Q513" s="134"/>
      <c r="R513" s="134"/>
      <c r="S513" s="134"/>
      <c r="T513" s="134"/>
      <c r="U513" s="134"/>
      <c r="V513" s="134"/>
      <c r="W513" s="134"/>
      <c r="X513" s="134"/>
      <c r="Y513" s="134"/>
      <c r="Z513" s="134"/>
      <c r="AA513" s="134"/>
    </row>
    <row r="514" ht="15.75" customHeight="1">
      <c r="A514" s="149"/>
      <c r="B514" s="149"/>
      <c r="C514" s="149"/>
      <c r="D514" s="149"/>
      <c r="E514" s="149"/>
      <c r="F514" s="149"/>
      <c r="G514" s="149"/>
      <c r="H514" s="135" t="str">
        <f>IFERROR(VLOOKUP(G514,'Conformance Score'!A:B, 2, 0), "")</f>
        <v/>
      </c>
      <c r="I514" s="150"/>
      <c r="J514" s="150"/>
      <c r="K514" s="134"/>
      <c r="L514" s="134"/>
      <c r="M514" s="134"/>
      <c r="N514" s="134"/>
      <c r="O514" s="134"/>
      <c r="P514" s="134"/>
      <c r="Q514" s="134"/>
      <c r="R514" s="134"/>
      <c r="S514" s="134"/>
      <c r="T514" s="134"/>
      <c r="U514" s="134"/>
      <c r="V514" s="134"/>
      <c r="W514" s="134"/>
      <c r="X514" s="134"/>
      <c r="Y514" s="134"/>
      <c r="Z514" s="134"/>
      <c r="AA514" s="134"/>
    </row>
    <row r="515" ht="15.75" customHeight="1">
      <c r="A515" s="149"/>
      <c r="B515" s="149"/>
      <c r="C515" s="149"/>
      <c r="D515" s="149"/>
      <c r="E515" s="149"/>
      <c r="F515" s="149"/>
      <c r="G515" s="149"/>
      <c r="H515" s="135" t="str">
        <f>IFERROR(VLOOKUP(G515,'Conformance Score'!A:B, 2, 0), "")</f>
        <v/>
      </c>
      <c r="I515" s="150"/>
      <c r="J515" s="150"/>
      <c r="K515" s="134"/>
      <c r="L515" s="134"/>
      <c r="M515" s="134"/>
      <c r="N515" s="134"/>
      <c r="O515" s="134"/>
      <c r="P515" s="134"/>
      <c r="Q515" s="134"/>
      <c r="R515" s="134"/>
      <c r="S515" s="134"/>
      <c r="T515" s="134"/>
      <c r="U515" s="134"/>
      <c r="V515" s="134"/>
      <c r="W515" s="134"/>
      <c r="X515" s="134"/>
      <c r="Y515" s="134"/>
      <c r="Z515" s="134"/>
      <c r="AA515" s="134"/>
    </row>
    <row r="516" ht="15.75" customHeight="1">
      <c r="A516" s="149"/>
      <c r="B516" s="149"/>
      <c r="C516" s="149"/>
      <c r="D516" s="149"/>
      <c r="E516" s="149"/>
      <c r="F516" s="149"/>
      <c r="G516" s="149"/>
      <c r="H516" s="135" t="str">
        <f>IFERROR(VLOOKUP(G516,'Conformance Score'!A:B, 2, 0), "")</f>
        <v/>
      </c>
      <c r="I516" s="150"/>
      <c r="J516" s="150"/>
      <c r="K516" s="134"/>
      <c r="L516" s="134"/>
      <c r="M516" s="134"/>
      <c r="N516" s="134"/>
      <c r="O516" s="134"/>
      <c r="P516" s="134"/>
      <c r="Q516" s="134"/>
      <c r="R516" s="134"/>
      <c r="S516" s="134"/>
      <c r="T516" s="134"/>
      <c r="U516" s="134"/>
      <c r="V516" s="134"/>
      <c r="W516" s="134"/>
      <c r="X516" s="134"/>
      <c r="Y516" s="134"/>
      <c r="Z516" s="134"/>
      <c r="AA516" s="134"/>
    </row>
    <row r="517" ht="15.75" customHeight="1">
      <c r="A517" s="149"/>
      <c r="B517" s="149"/>
      <c r="C517" s="149"/>
      <c r="D517" s="149"/>
      <c r="E517" s="149"/>
      <c r="F517" s="149"/>
      <c r="G517" s="149"/>
      <c r="H517" s="135" t="str">
        <f>IFERROR(VLOOKUP(G517,'Conformance Score'!A:B, 2, 0), "")</f>
        <v/>
      </c>
      <c r="I517" s="150"/>
      <c r="J517" s="150"/>
      <c r="K517" s="134"/>
      <c r="L517" s="134"/>
      <c r="M517" s="134"/>
      <c r="N517" s="134"/>
      <c r="O517" s="134"/>
      <c r="P517" s="134"/>
      <c r="Q517" s="134"/>
      <c r="R517" s="134"/>
      <c r="S517" s="134"/>
      <c r="T517" s="134"/>
      <c r="U517" s="134"/>
      <c r="V517" s="134"/>
      <c r="W517" s="134"/>
      <c r="X517" s="134"/>
      <c r="Y517" s="134"/>
      <c r="Z517" s="134"/>
      <c r="AA517" s="134"/>
    </row>
    <row r="518" ht="15.75" customHeight="1">
      <c r="A518" s="149"/>
      <c r="B518" s="149"/>
      <c r="C518" s="149"/>
      <c r="D518" s="149"/>
      <c r="E518" s="149"/>
      <c r="F518" s="149"/>
      <c r="G518" s="149"/>
      <c r="H518" s="135" t="str">
        <f>IFERROR(VLOOKUP(G518,'Conformance Score'!A:B, 2, 0), "")</f>
        <v/>
      </c>
      <c r="I518" s="150"/>
      <c r="J518" s="150"/>
      <c r="K518" s="134"/>
      <c r="L518" s="134"/>
      <c r="M518" s="134"/>
      <c r="N518" s="134"/>
      <c r="O518" s="134"/>
      <c r="P518" s="134"/>
      <c r="Q518" s="134"/>
      <c r="R518" s="134"/>
      <c r="S518" s="134"/>
      <c r="T518" s="134"/>
      <c r="U518" s="134"/>
      <c r="V518" s="134"/>
      <c r="W518" s="134"/>
      <c r="X518" s="134"/>
      <c r="Y518" s="134"/>
      <c r="Z518" s="134"/>
      <c r="AA518" s="134"/>
    </row>
    <row r="519" ht="15.75" customHeight="1">
      <c r="A519" s="149"/>
      <c r="B519" s="149"/>
      <c r="C519" s="149"/>
      <c r="D519" s="149"/>
      <c r="E519" s="149"/>
      <c r="F519" s="149"/>
      <c r="G519" s="149"/>
      <c r="H519" s="135" t="str">
        <f>IFERROR(VLOOKUP(G519,'Conformance Score'!A:B, 2, 0), "")</f>
        <v/>
      </c>
      <c r="I519" s="150"/>
      <c r="J519" s="150"/>
      <c r="K519" s="134"/>
      <c r="L519" s="134"/>
      <c r="M519" s="134"/>
      <c r="N519" s="134"/>
      <c r="O519" s="134"/>
      <c r="P519" s="134"/>
      <c r="Q519" s="134"/>
      <c r="R519" s="134"/>
      <c r="S519" s="134"/>
      <c r="T519" s="134"/>
      <c r="U519" s="134"/>
      <c r="V519" s="134"/>
      <c r="W519" s="134"/>
      <c r="X519" s="134"/>
      <c r="Y519" s="134"/>
      <c r="Z519" s="134"/>
      <c r="AA519" s="134"/>
    </row>
    <row r="520" ht="15.75" customHeight="1">
      <c r="A520" s="149"/>
      <c r="B520" s="149"/>
      <c r="C520" s="149"/>
      <c r="D520" s="149"/>
      <c r="E520" s="149"/>
      <c r="F520" s="149"/>
      <c r="G520" s="149"/>
      <c r="H520" s="135" t="str">
        <f>IFERROR(VLOOKUP(G520,'Conformance Score'!A:B, 2, 0), "")</f>
        <v/>
      </c>
      <c r="I520" s="150"/>
      <c r="J520" s="150"/>
      <c r="K520" s="134"/>
      <c r="L520" s="134"/>
      <c r="M520" s="134"/>
      <c r="N520" s="134"/>
      <c r="O520" s="134"/>
      <c r="P520" s="134"/>
      <c r="Q520" s="134"/>
      <c r="R520" s="134"/>
      <c r="S520" s="134"/>
      <c r="T520" s="134"/>
      <c r="U520" s="134"/>
      <c r="V520" s="134"/>
      <c r="W520" s="134"/>
      <c r="X520" s="134"/>
      <c r="Y520" s="134"/>
      <c r="Z520" s="134"/>
      <c r="AA520" s="134"/>
    </row>
    <row r="521" ht="15.75" customHeight="1">
      <c r="A521" s="149"/>
      <c r="B521" s="149"/>
      <c r="C521" s="149"/>
      <c r="D521" s="149"/>
      <c r="E521" s="149"/>
      <c r="F521" s="149"/>
      <c r="G521" s="149"/>
      <c r="H521" s="135" t="str">
        <f>IFERROR(VLOOKUP(G521,'Conformance Score'!A:B, 2, 0), "")</f>
        <v/>
      </c>
      <c r="I521" s="150"/>
      <c r="J521" s="150"/>
      <c r="K521" s="134"/>
      <c r="L521" s="134"/>
      <c r="M521" s="134"/>
      <c r="N521" s="134"/>
      <c r="O521" s="134"/>
      <c r="P521" s="134"/>
      <c r="Q521" s="134"/>
      <c r="R521" s="134"/>
      <c r="S521" s="134"/>
      <c r="T521" s="134"/>
      <c r="U521" s="134"/>
      <c r="V521" s="134"/>
      <c r="W521" s="134"/>
      <c r="X521" s="134"/>
      <c r="Y521" s="134"/>
      <c r="Z521" s="134"/>
      <c r="AA521" s="134"/>
    </row>
    <row r="522" ht="15.75" customHeight="1">
      <c r="A522" s="149"/>
      <c r="B522" s="149"/>
      <c r="C522" s="149"/>
      <c r="D522" s="149"/>
      <c r="E522" s="149"/>
      <c r="F522" s="149"/>
      <c r="G522" s="149"/>
      <c r="H522" s="135" t="str">
        <f>IFERROR(VLOOKUP(G522,'Conformance Score'!A:B, 2, 0), "")</f>
        <v/>
      </c>
      <c r="I522" s="150"/>
      <c r="J522" s="150"/>
      <c r="K522" s="134"/>
      <c r="L522" s="134"/>
      <c r="M522" s="134"/>
      <c r="N522" s="134"/>
      <c r="O522" s="134"/>
      <c r="P522" s="134"/>
      <c r="Q522" s="134"/>
      <c r="R522" s="134"/>
      <c r="S522" s="134"/>
      <c r="T522" s="134"/>
      <c r="U522" s="134"/>
      <c r="V522" s="134"/>
      <c r="W522" s="134"/>
      <c r="X522" s="134"/>
      <c r="Y522" s="134"/>
      <c r="Z522" s="134"/>
      <c r="AA522" s="134"/>
    </row>
    <row r="523" ht="15.75" customHeight="1">
      <c r="A523" s="149"/>
      <c r="B523" s="149"/>
      <c r="C523" s="149"/>
      <c r="D523" s="149"/>
      <c r="E523" s="149"/>
      <c r="F523" s="149"/>
      <c r="G523" s="149"/>
      <c r="H523" s="135" t="str">
        <f>IFERROR(VLOOKUP(G523,'Conformance Score'!A:B, 2, 0), "")</f>
        <v/>
      </c>
      <c r="I523" s="150"/>
      <c r="J523" s="150"/>
      <c r="K523" s="134"/>
      <c r="L523" s="134"/>
      <c r="M523" s="134"/>
      <c r="N523" s="134"/>
      <c r="O523" s="134"/>
      <c r="P523" s="134"/>
      <c r="Q523" s="134"/>
      <c r="R523" s="134"/>
      <c r="S523" s="134"/>
      <c r="T523" s="134"/>
      <c r="U523" s="134"/>
      <c r="V523" s="134"/>
      <c r="W523" s="134"/>
      <c r="X523" s="134"/>
      <c r="Y523" s="134"/>
      <c r="Z523" s="134"/>
      <c r="AA523" s="134"/>
    </row>
    <row r="524" ht="15.75" customHeight="1">
      <c r="A524" s="149"/>
      <c r="B524" s="149"/>
      <c r="C524" s="149"/>
      <c r="D524" s="149"/>
      <c r="E524" s="149"/>
      <c r="F524" s="149"/>
      <c r="G524" s="149"/>
      <c r="H524" s="135" t="str">
        <f>IFERROR(VLOOKUP(G524,'Conformance Score'!A:B, 2, 0), "")</f>
        <v/>
      </c>
      <c r="I524" s="150"/>
      <c r="J524" s="150"/>
      <c r="K524" s="134"/>
      <c r="L524" s="134"/>
      <c r="M524" s="134"/>
      <c r="N524" s="134"/>
      <c r="O524" s="134"/>
      <c r="P524" s="134"/>
      <c r="Q524" s="134"/>
      <c r="R524" s="134"/>
      <c r="S524" s="134"/>
      <c r="T524" s="134"/>
      <c r="U524" s="134"/>
      <c r="V524" s="134"/>
      <c r="W524" s="134"/>
      <c r="X524" s="134"/>
      <c r="Y524" s="134"/>
      <c r="Z524" s="134"/>
      <c r="AA524" s="134"/>
    </row>
    <row r="525" ht="15.75" customHeight="1">
      <c r="A525" s="149"/>
      <c r="B525" s="149"/>
      <c r="C525" s="149"/>
      <c r="D525" s="149"/>
      <c r="E525" s="149"/>
      <c r="F525" s="149"/>
      <c r="G525" s="149"/>
      <c r="H525" s="135" t="str">
        <f>IFERROR(VLOOKUP(G525,'Conformance Score'!A:B, 2, 0), "")</f>
        <v/>
      </c>
      <c r="I525" s="150"/>
      <c r="J525" s="150"/>
      <c r="K525" s="134"/>
      <c r="L525" s="134"/>
      <c r="M525" s="134"/>
      <c r="N525" s="134"/>
      <c r="O525" s="134"/>
      <c r="P525" s="134"/>
      <c r="Q525" s="134"/>
      <c r="R525" s="134"/>
      <c r="S525" s="134"/>
      <c r="T525" s="134"/>
      <c r="U525" s="134"/>
      <c r="V525" s="134"/>
      <c r="W525" s="134"/>
      <c r="X525" s="134"/>
      <c r="Y525" s="134"/>
      <c r="Z525" s="134"/>
      <c r="AA525" s="134"/>
    </row>
    <row r="526" ht="15.75" customHeight="1">
      <c r="A526" s="149"/>
      <c r="B526" s="149"/>
      <c r="C526" s="149"/>
      <c r="D526" s="149"/>
      <c r="E526" s="149"/>
      <c r="F526" s="149"/>
      <c r="G526" s="149"/>
      <c r="H526" s="135" t="str">
        <f>IFERROR(VLOOKUP(G526,'Conformance Score'!A:B, 2, 0), "")</f>
        <v/>
      </c>
      <c r="I526" s="150"/>
      <c r="J526" s="150"/>
      <c r="K526" s="134"/>
      <c r="L526" s="134"/>
      <c r="M526" s="134"/>
      <c r="N526" s="134"/>
      <c r="O526" s="134"/>
      <c r="P526" s="134"/>
      <c r="Q526" s="134"/>
      <c r="R526" s="134"/>
      <c r="S526" s="134"/>
      <c r="T526" s="134"/>
      <c r="U526" s="134"/>
      <c r="V526" s="134"/>
      <c r="W526" s="134"/>
      <c r="X526" s="134"/>
      <c r="Y526" s="134"/>
      <c r="Z526" s="134"/>
      <c r="AA526" s="134"/>
    </row>
    <row r="527" ht="15.75" customHeight="1">
      <c r="A527" s="149"/>
      <c r="B527" s="149"/>
      <c r="C527" s="149"/>
      <c r="D527" s="149"/>
      <c r="E527" s="149"/>
      <c r="F527" s="149"/>
      <c r="G527" s="149"/>
      <c r="H527" s="135" t="str">
        <f>IFERROR(VLOOKUP(G527,'Conformance Score'!A:B, 2, 0), "")</f>
        <v/>
      </c>
      <c r="I527" s="150"/>
      <c r="J527" s="150"/>
      <c r="K527" s="134"/>
      <c r="L527" s="134"/>
      <c r="M527" s="134"/>
      <c r="N527" s="134"/>
      <c r="O527" s="134"/>
      <c r="P527" s="134"/>
      <c r="Q527" s="134"/>
      <c r="R527" s="134"/>
      <c r="S527" s="134"/>
      <c r="T527" s="134"/>
      <c r="U527" s="134"/>
      <c r="V527" s="134"/>
      <c r="W527" s="134"/>
      <c r="X527" s="134"/>
      <c r="Y527" s="134"/>
      <c r="Z527" s="134"/>
      <c r="AA527" s="134"/>
    </row>
    <row r="528" ht="15.75" customHeight="1">
      <c r="A528" s="149"/>
      <c r="B528" s="149"/>
      <c r="C528" s="149"/>
      <c r="D528" s="149"/>
      <c r="E528" s="149"/>
      <c r="F528" s="149"/>
      <c r="G528" s="149"/>
      <c r="H528" s="135" t="str">
        <f>IFERROR(VLOOKUP(G528,'Conformance Score'!A:B, 2, 0), "")</f>
        <v/>
      </c>
      <c r="I528" s="150"/>
      <c r="J528" s="150"/>
      <c r="K528" s="134"/>
      <c r="L528" s="134"/>
      <c r="M528" s="134"/>
      <c r="N528" s="134"/>
      <c r="O528" s="134"/>
      <c r="P528" s="134"/>
      <c r="Q528" s="134"/>
      <c r="R528" s="134"/>
      <c r="S528" s="134"/>
      <c r="T528" s="134"/>
      <c r="U528" s="134"/>
      <c r="V528" s="134"/>
      <c r="W528" s="134"/>
      <c r="X528" s="134"/>
      <c r="Y528" s="134"/>
      <c r="Z528" s="134"/>
      <c r="AA528" s="134"/>
    </row>
    <row r="529" ht="15.75" customHeight="1">
      <c r="A529" s="149"/>
      <c r="B529" s="149"/>
      <c r="C529" s="149"/>
      <c r="D529" s="149"/>
      <c r="E529" s="149"/>
      <c r="F529" s="149"/>
      <c r="G529" s="149"/>
      <c r="H529" s="135" t="str">
        <f>IFERROR(VLOOKUP(G529,'Conformance Score'!A:B, 2, 0), "")</f>
        <v/>
      </c>
      <c r="I529" s="150"/>
      <c r="J529" s="150"/>
      <c r="K529" s="134"/>
      <c r="L529" s="134"/>
      <c r="M529" s="134"/>
      <c r="N529" s="134"/>
      <c r="O529" s="134"/>
      <c r="P529" s="134"/>
      <c r="Q529" s="134"/>
      <c r="R529" s="134"/>
      <c r="S529" s="134"/>
      <c r="T529" s="134"/>
      <c r="U529" s="134"/>
      <c r="V529" s="134"/>
      <c r="W529" s="134"/>
      <c r="X529" s="134"/>
      <c r="Y529" s="134"/>
      <c r="Z529" s="134"/>
      <c r="AA529" s="134"/>
    </row>
    <row r="530" ht="15.75" customHeight="1">
      <c r="A530" s="149"/>
      <c r="B530" s="149"/>
      <c r="C530" s="149"/>
      <c r="D530" s="149"/>
      <c r="E530" s="149"/>
      <c r="F530" s="149"/>
      <c r="G530" s="149"/>
      <c r="H530" s="135" t="str">
        <f>IFERROR(VLOOKUP(G530,'Conformance Score'!A:B, 2, 0), "")</f>
        <v/>
      </c>
      <c r="I530" s="150"/>
      <c r="J530" s="150"/>
      <c r="K530" s="134"/>
      <c r="L530" s="134"/>
      <c r="M530" s="134"/>
      <c r="N530" s="134"/>
      <c r="O530" s="134"/>
      <c r="P530" s="134"/>
      <c r="Q530" s="134"/>
      <c r="R530" s="134"/>
      <c r="S530" s="134"/>
      <c r="T530" s="134"/>
      <c r="U530" s="134"/>
      <c r="V530" s="134"/>
      <c r="W530" s="134"/>
      <c r="X530" s="134"/>
      <c r="Y530" s="134"/>
      <c r="Z530" s="134"/>
      <c r="AA530" s="134"/>
    </row>
    <row r="531" ht="15.75" customHeight="1">
      <c r="A531" s="149"/>
      <c r="B531" s="149"/>
      <c r="C531" s="149"/>
      <c r="D531" s="149"/>
      <c r="E531" s="149"/>
      <c r="F531" s="149"/>
      <c r="G531" s="149"/>
      <c r="H531" s="135" t="str">
        <f>IFERROR(VLOOKUP(G531,'Conformance Score'!A:B, 2, 0), "")</f>
        <v/>
      </c>
      <c r="I531" s="150"/>
      <c r="J531" s="150"/>
      <c r="K531" s="134"/>
      <c r="L531" s="134"/>
      <c r="M531" s="134"/>
      <c r="N531" s="134"/>
      <c r="O531" s="134"/>
      <c r="P531" s="134"/>
      <c r="Q531" s="134"/>
      <c r="R531" s="134"/>
      <c r="S531" s="134"/>
      <c r="T531" s="134"/>
      <c r="U531" s="134"/>
      <c r="V531" s="134"/>
      <c r="W531" s="134"/>
      <c r="X531" s="134"/>
      <c r="Y531" s="134"/>
      <c r="Z531" s="134"/>
      <c r="AA531" s="134"/>
    </row>
    <row r="532" ht="15.75" customHeight="1">
      <c r="A532" s="149"/>
      <c r="B532" s="149"/>
      <c r="C532" s="149"/>
      <c r="D532" s="149"/>
      <c r="E532" s="149"/>
      <c r="F532" s="149"/>
      <c r="G532" s="149"/>
      <c r="H532" s="135" t="str">
        <f>IFERROR(VLOOKUP(G532,'Conformance Score'!A:B, 2, 0), "")</f>
        <v/>
      </c>
      <c r="I532" s="150"/>
      <c r="J532" s="150"/>
      <c r="K532" s="134"/>
      <c r="L532" s="134"/>
      <c r="M532" s="134"/>
      <c r="N532" s="134"/>
      <c r="O532" s="134"/>
      <c r="P532" s="134"/>
      <c r="Q532" s="134"/>
      <c r="R532" s="134"/>
      <c r="S532" s="134"/>
      <c r="T532" s="134"/>
      <c r="U532" s="134"/>
      <c r="V532" s="134"/>
      <c r="W532" s="134"/>
      <c r="X532" s="134"/>
      <c r="Y532" s="134"/>
      <c r="Z532" s="134"/>
      <c r="AA532" s="134"/>
    </row>
    <row r="533" ht="15.75" customHeight="1">
      <c r="A533" s="149"/>
      <c r="B533" s="149"/>
      <c r="C533" s="149"/>
      <c r="D533" s="149"/>
      <c r="E533" s="149"/>
      <c r="F533" s="149"/>
      <c r="G533" s="149"/>
      <c r="H533" s="135" t="str">
        <f>IFERROR(VLOOKUP(G533,'Conformance Score'!A:B, 2, 0), "")</f>
        <v/>
      </c>
      <c r="I533" s="150"/>
      <c r="J533" s="150"/>
      <c r="K533" s="134"/>
      <c r="L533" s="134"/>
      <c r="M533" s="134"/>
      <c r="N533" s="134"/>
      <c r="O533" s="134"/>
      <c r="P533" s="134"/>
      <c r="Q533" s="134"/>
      <c r="R533" s="134"/>
      <c r="S533" s="134"/>
      <c r="T533" s="134"/>
      <c r="U533" s="134"/>
      <c r="V533" s="134"/>
      <c r="W533" s="134"/>
      <c r="X533" s="134"/>
      <c r="Y533" s="134"/>
      <c r="Z533" s="134"/>
      <c r="AA533" s="134"/>
    </row>
    <row r="534" ht="15.75" customHeight="1">
      <c r="A534" s="149"/>
      <c r="B534" s="149"/>
      <c r="C534" s="149"/>
      <c r="D534" s="149"/>
      <c r="E534" s="149"/>
      <c r="F534" s="149"/>
      <c r="G534" s="149"/>
      <c r="H534" s="135" t="str">
        <f>IFERROR(VLOOKUP(G534,'Conformance Score'!A:B, 2, 0), "")</f>
        <v/>
      </c>
      <c r="I534" s="150"/>
      <c r="J534" s="150"/>
      <c r="K534" s="134"/>
      <c r="L534" s="134"/>
      <c r="M534" s="134"/>
      <c r="N534" s="134"/>
      <c r="O534" s="134"/>
      <c r="P534" s="134"/>
      <c r="Q534" s="134"/>
      <c r="R534" s="134"/>
      <c r="S534" s="134"/>
      <c r="T534" s="134"/>
      <c r="U534" s="134"/>
      <c r="V534" s="134"/>
      <c r="W534" s="134"/>
      <c r="X534" s="134"/>
      <c r="Y534" s="134"/>
      <c r="Z534" s="134"/>
      <c r="AA534" s="134"/>
    </row>
    <row r="535" ht="15.75" customHeight="1">
      <c r="A535" s="149"/>
      <c r="B535" s="149"/>
      <c r="C535" s="149"/>
      <c r="D535" s="149"/>
      <c r="E535" s="149"/>
      <c r="F535" s="149"/>
      <c r="G535" s="149"/>
      <c r="H535" s="135" t="str">
        <f>IFERROR(VLOOKUP(G535,'Conformance Score'!A:B, 2, 0), "")</f>
        <v/>
      </c>
      <c r="I535" s="150"/>
      <c r="J535" s="150"/>
      <c r="K535" s="134"/>
      <c r="L535" s="134"/>
      <c r="M535" s="134"/>
      <c r="N535" s="134"/>
      <c r="O535" s="134"/>
      <c r="P535" s="134"/>
      <c r="Q535" s="134"/>
      <c r="R535" s="134"/>
      <c r="S535" s="134"/>
      <c r="T535" s="134"/>
      <c r="U535" s="134"/>
      <c r="V535" s="134"/>
      <c r="W535" s="134"/>
      <c r="X535" s="134"/>
      <c r="Y535" s="134"/>
      <c r="Z535" s="134"/>
      <c r="AA535" s="134"/>
    </row>
    <row r="536" ht="15.75" customHeight="1">
      <c r="A536" s="149"/>
      <c r="B536" s="149"/>
      <c r="C536" s="149"/>
      <c r="D536" s="149"/>
      <c r="E536" s="149"/>
      <c r="F536" s="149"/>
      <c r="G536" s="149"/>
      <c r="H536" s="135" t="str">
        <f>IFERROR(VLOOKUP(G536,'Conformance Score'!A:B, 2, 0), "")</f>
        <v/>
      </c>
      <c r="I536" s="150"/>
      <c r="J536" s="150"/>
      <c r="K536" s="134"/>
      <c r="L536" s="134"/>
      <c r="M536" s="134"/>
      <c r="N536" s="134"/>
      <c r="O536" s="134"/>
      <c r="P536" s="134"/>
      <c r="Q536" s="134"/>
      <c r="R536" s="134"/>
      <c r="S536" s="134"/>
      <c r="T536" s="134"/>
      <c r="U536" s="134"/>
      <c r="V536" s="134"/>
      <c r="W536" s="134"/>
      <c r="X536" s="134"/>
      <c r="Y536" s="134"/>
      <c r="Z536" s="134"/>
      <c r="AA536" s="134"/>
    </row>
    <row r="537" ht="15.75" customHeight="1">
      <c r="A537" s="149"/>
      <c r="B537" s="149"/>
      <c r="C537" s="149"/>
      <c r="D537" s="149"/>
      <c r="E537" s="149"/>
      <c r="F537" s="149"/>
      <c r="G537" s="149"/>
      <c r="H537" s="135" t="str">
        <f>IFERROR(VLOOKUP(G537,'Conformance Score'!A:B, 2, 0), "")</f>
        <v/>
      </c>
      <c r="I537" s="150"/>
      <c r="J537" s="150"/>
      <c r="K537" s="134"/>
      <c r="L537" s="134"/>
      <c r="M537" s="134"/>
      <c r="N537" s="134"/>
      <c r="O537" s="134"/>
      <c r="P537" s="134"/>
      <c r="Q537" s="134"/>
      <c r="R537" s="134"/>
      <c r="S537" s="134"/>
      <c r="T537" s="134"/>
      <c r="U537" s="134"/>
      <c r="V537" s="134"/>
      <c r="W537" s="134"/>
      <c r="X537" s="134"/>
      <c r="Y537" s="134"/>
      <c r="Z537" s="134"/>
      <c r="AA537" s="134"/>
    </row>
    <row r="538" ht="15.75" customHeight="1">
      <c r="A538" s="149"/>
      <c r="B538" s="149"/>
      <c r="C538" s="149"/>
      <c r="D538" s="149"/>
      <c r="E538" s="149"/>
      <c r="F538" s="149"/>
      <c r="G538" s="149"/>
      <c r="H538" s="135" t="str">
        <f>IFERROR(VLOOKUP(G538,'Conformance Score'!A:B, 2, 0), "")</f>
        <v/>
      </c>
      <c r="I538" s="150"/>
      <c r="J538" s="150"/>
      <c r="K538" s="134"/>
      <c r="L538" s="134"/>
      <c r="M538" s="134"/>
      <c r="N538" s="134"/>
      <c r="O538" s="134"/>
      <c r="P538" s="134"/>
      <c r="Q538" s="134"/>
      <c r="R538" s="134"/>
      <c r="S538" s="134"/>
      <c r="T538" s="134"/>
      <c r="U538" s="134"/>
      <c r="V538" s="134"/>
      <c r="W538" s="134"/>
      <c r="X538" s="134"/>
      <c r="Y538" s="134"/>
      <c r="Z538" s="134"/>
      <c r="AA538" s="134"/>
    </row>
    <row r="539" ht="15.75" customHeight="1">
      <c r="A539" s="149"/>
      <c r="B539" s="149"/>
      <c r="C539" s="149"/>
      <c r="D539" s="149"/>
      <c r="E539" s="149"/>
      <c r="F539" s="149"/>
      <c r="G539" s="149"/>
      <c r="H539" s="135" t="str">
        <f>IFERROR(VLOOKUP(G539,'Conformance Score'!A:B, 2, 0), "")</f>
        <v/>
      </c>
      <c r="I539" s="150"/>
      <c r="J539" s="150"/>
      <c r="K539" s="134"/>
      <c r="L539" s="134"/>
      <c r="M539" s="134"/>
      <c r="N539" s="134"/>
      <c r="O539" s="134"/>
      <c r="P539" s="134"/>
      <c r="Q539" s="134"/>
      <c r="R539" s="134"/>
      <c r="S539" s="134"/>
      <c r="T539" s="134"/>
      <c r="U539" s="134"/>
      <c r="V539" s="134"/>
      <c r="W539" s="134"/>
      <c r="X539" s="134"/>
      <c r="Y539" s="134"/>
      <c r="Z539" s="134"/>
      <c r="AA539" s="134"/>
    </row>
    <row r="540" ht="15.75" customHeight="1">
      <c r="A540" s="149"/>
      <c r="B540" s="149"/>
      <c r="C540" s="149"/>
      <c r="D540" s="149"/>
      <c r="E540" s="149"/>
      <c r="F540" s="149"/>
      <c r="G540" s="149"/>
      <c r="H540" s="135" t="str">
        <f>IFERROR(VLOOKUP(G540,'Conformance Score'!A:B, 2, 0), "")</f>
        <v/>
      </c>
      <c r="I540" s="150"/>
      <c r="J540" s="150"/>
      <c r="K540" s="134"/>
      <c r="L540" s="134"/>
      <c r="M540" s="134"/>
      <c r="N540" s="134"/>
      <c r="O540" s="134"/>
      <c r="P540" s="134"/>
      <c r="Q540" s="134"/>
      <c r="R540" s="134"/>
      <c r="S540" s="134"/>
      <c r="T540" s="134"/>
      <c r="U540" s="134"/>
      <c r="V540" s="134"/>
      <c r="W540" s="134"/>
      <c r="X540" s="134"/>
      <c r="Y540" s="134"/>
      <c r="Z540" s="134"/>
      <c r="AA540" s="134"/>
    </row>
    <row r="541" ht="15.75" customHeight="1">
      <c r="A541" s="149"/>
      <c r="B541" s="149"/>
      <c r="C541" s="149"/>
      <c r="D541" s="149"/>
      <c r="E541" s="149"/>
      <c r="F541" s="149"/>
      <c r="G541" s="149"/>
      <c r="H541" s="135" t="str">
        <f>IFERROR(VLOOKUP(G541,'Conformance Score'!A:B, 2, 0), "")</f>
        <v/>
      </c>
      <c r="I541" s="150"/>
      <c r="J541" s="150"/>
      <c r="K541" s="134"/>
      <c r="L541" s="134"/>
      <c r="M541" s="134"/>
      <c r="N541" s="134"/>
      <c r="O541" s="134"/>
      <c r="P541" s="134"/>
      <c r="Q541" s="134"/>
      <c r="R541" s="134"/>
      <c r="S541" s="134"/>
      <c r="T541" s="134"/>
      <c r="U541" s="134"/>
      <c r="V541" s="134"/>
      <c r="W541" s="134"/>
      <c r="X541" s="134"/>
      <c r="Y541" s="134"/>
      <c r="Z541" s="134"/>
      <c r="AA541" s="134"/>
    </row>
    <row r="542" ht="15.75" customHeight="1">
      <c r="A542" s="149"/>
      <c r="B542" s="149"/>
      <c r="C542" s="149"/>
      <c r="D542" s="149"/>
      <c r="E542" s="149"/>
      <c r="F542" s="149"/>
      <c r="G542" s="149"/>
      <c r="H542" s="135" t="str">
        <f>IFERROR(VLOOKUP(G542,'Conformance Score'!A:B, 2, 0), "")</f>
        <v/>
      </c>
      <c r="I542" s="150"/>
      <c r="J542" s="150"/>
      <c r="K542" s="134"/>
      <c r="L542" s="134"/>
      <c r="M542" s="134"/>
      <c r="N542" s="134"/>
      <c r="O542" s="134"/>
      <c r="P542" s="134"/>
      <c r="Q542" s="134"/>
      <c r="R542" s="134"/>
      <c r="S542" s="134"/>
      <c r="T542" s="134"/>
      <c r="U542" s="134"/>
      <c r="V542" s="134"/>
      <c r="W542" s="134"/>
      <c r="X542" s="134"/>
      <c r="Y542" s="134"/>
      <c r="Z542" s="134"/>
      <c r="AA542" s="134"/>
    </row>
    <row r="543" ht="15.75" customHeight="1">
      <c r="A543" s="149"/>
      <c r="B543" s="149"/>
      <c r="C543" s="149"/>
      <c r="D543" s="149"/>
      <c r="E543" s="149"/>
      <c r="F543" s="149"/>
      <c r="G543" s="149"/>
      <c r="H543" s="135" t="str">
        <f>IFERROR(VLOOKUP(G543,'Conformance Score'!A:B, 2, 0), "")</f>
        <v/>
      </c>
      <c r="I543" s="150"/>
      <c r="J543" s="150"/>
      <c r="K543" s="134"/>
      <c r="L543" s="134"/>
      <c r="M543" s="134"/>
      <c r="N543" s="134"/>
      <c r="O543" s="134"/>
      <c r="P543" s="134"/>
      <c r="Q543" s="134"/>
      <c r="R543" s="134"/>
      <c r="S543" s="134"/>
      <c r="T543" s="134"/>
      <c r="U543" s="134"/>
      <c r="V543" s="134"/>
      <c r="W543" s="134"/>
      <c r="X543" s="134"/>
      <c r="Y543" s="134"/>
      <c r="Z543" s="134"/>
      <c r="AA543" s="134"/>
    </row>
    <row r="544" ht="15.75" customHeight="1">
      <c r="A544" s="149"/>
      <c r="B544" s="149"/>
      <c r="C544" s="149"/>
      <c r="D544" s="149"/>
      <c r="E544" s="149"/>
      <c r="F544" s="149"/>
      <c r="G544" s="149"/>
      <c r="H544" s="135" t="str">
        <f>IFERROR(VLOOKUP(G544,'Conformance Score'!A:B, 2, 0), "")</f>
        <v/>
      </c>
      <c r="I544" s="150"/>
      <c r="J544" s="150"/>
      <c r="K544" s="134"/>
      <c r="L544" s="134"/>
      <c r="M544" s="134"/>
      <c r="N544" s="134"/>
      <c r="O544" s="134"/>
      <c r="P544" s="134"/>
      <c r="Q544" s="134"/>
      <c r="R544" s="134"/>
      <c r="S544" s="134"/>
      <c r="T544" s="134"/>
      <c r="U544" s="134"/>
      <c r="V544" s="134"/>
      <c r="W544" s="134"/>
      <c r="X544" s="134"/>
      <c r="Y544" s="134"/>
      <c r="Z544" s="134"/>
      <c r="AA544" s="134"/>
    </row>
    <row r="545" ht="15.75" customHeight="1">
      <c r="A545" s="149"/>
      <c r="B545" s="149"/>
      <c r="C545" s="149"/>
      <c r="D545" s="149"/>
      <c r="E545" s="149"/>
      <c r="F545" s="149"/>
      <c r="G545" s="149"/>
      <c r="H545" s="135" t="str">
        <f>IFERROR(VLOOKUP(G545,'Conformance Score'!A:B, 2, 0), "")</f>
        <v/>
      </c>
      <c r="I545" s="150"/>
      <c r="J545" s="150"/>
      <c r="K545" s="134"/>
      <c r="L545" s="134"/>
      <c r="M545" s="134"/>
      <c r="N545" s="134"/>
      <c r="O545" s="134"/>
      <c r="P545" s="134"/>
      <c r="Q545" s="134"/>
      <c r="R545" s="134"/>
      <c r="S545" s="134"/>
      <c r="T545" s="134"/>
      <c r="U545" s="134"/>
      <c r="V545" s="134"/>
      <c r="W545" s="134"/>
      <c r="X545" s="134"/>
      <c r="Y545" s="134"/>
      <c r="Z545" s="134"/>
      <c r="AA545" s="134"/>
    </row>
    <row r="546" ht="15.75" customHeight="1">
      <c r="A546" s="149"/>
      <c r="B546" s="149"/>
      <c r="C546" s="149"/>
      <c r="D546" s="149"/>
      <c r="E546" s="149"/>
      <c r="F546" s="149"/>
      <c r="G546" s="149"/>
      <c r="H546" s="135" t="str">
        <f>IFERROR(VLOOKUP(G546,'Conformance Score'!A:B, 2, 0), "")</f>
        <v/>
      </c>
      <c r="I546" s="150"/>
      <c r="J546" s="150"/>
      <c r="K546" s="134"/>
      <c r="L546" s="134"/>
      <c r="M546" s="134"/>
      <c r="N546" s="134"/>
      <c r="O546" s="134"/>
      <c r="P546" s="134"/>
      <c r="Q546" s="134"/>
      <c r="R546" s="134"/>
      <c r="S546" s="134"/>
      <c r="T546" s="134"/>
      <c r="U546" s="134"/>
      <c r="V546" s="134"/>
      <c r="W546" s="134"/>
      <c r="X546" s="134"/>
      <c r="Y546" s="134"/>
      <c r="Z546" s="134"/>
      <c r="AA546" s="134"/>
    </row>
    <row r="547" ht="15.75" customHeight="1">
      <c r="A547" s="149"/>
      <c r="B547" s="149"/>
      <c r="C547" s="149"/>
      <c r="D547" s="149"/>
      <c r="E547" s="149"/>
      <c r="F547" s="149"/>
      <c r="G547" s="149"/>
      <c r="H547" s="135" t="str">
        <f>IFERROR(VLOOKUP(G547,'Conformance Score'!A:B, 2, 0), "")</f>
        <v/>
      </c>
      <c r="I547" s="150"/>
      <c r="J547" s="150"/>
      <c r="K547" s="134"/>
      <c r="L547" s="134"/>
      <c r="M547" s="134"/>
      <c r="N547" s="134"/>
      <c r="O547" s="134"/>
      <c r="P547" s="134"/>
      <c r="Q547" s="134"/>
      <c r="R547" s="134"/>
      <c r="S547" s="134"/>
      <c r="T547" s="134"/>
      <c r="U547" s="134"/>
      <c r="V547" s="134"/>
      <c r="W547" s="134"/>
      <c r="X547" s="134"/>
      <c r="Y547" s="134"/>
      <c r="Z547" s="134"/>
      <c r="AA547" s="134"/>
    </row>
    <row r="548" ht="15.75" customHeight="1">
      <c r="A548" s="149"/>
      <c r="B548" s="149"/>
      <c r="C548" s="149"/>
      <c r="D548" s="149"/>
      <c r="E548" s="149"/>
      <c r="F548" s="149"/>
      <c r="G548" s="149"/>
      <c r="H548" s="135" t="str">
        <f>IFERROR(VLOOKUP(G548,'Conformance Score'!A:B, 2, 0), "")</f>
        <v/>
      </c>
      <c r="I548" s="150"/>
      <c r="J548" s="150"/>
      <c r="K548" s="134"/>
      <c r="L548" s="134"/>
      <c r="M548" s="134"/>
      <c r="N548" s="134"/>
      <c r="O548" s="134"/>
      <c r="P548" s="134"/>
      <c r="Q548" s="134"/>
      <c r="R548" s="134"/>
      <c r="S548" s="134"/>
      <c r="T548" s="134"/>
      <c r="U548" s="134"/>
      <c r="V548" s="134"/>
      <c r="W548" s="134"/>
      <c r="X548" s="134"/>
      <c r="Y548" s="134"/>
      <c r="Z548" s="134"/>
      <c r="AA548" s="134"/>
    </row>
    <row r="549" ht="15.75" customHeight="1">
      <c r="A549" s="149"/>
      <c r="B549" s="149"/>
      <c r="C549" s="149"/>
      <c r="D549" s="149"/>
      <c r="E549" s="149"/>
      <c r="F549" s="149"/>
      <c r="G549" s="149"/>
      <c r="H549" s="135" t="str">
        <f>IFERROR(VLOOKUP(G549,'Conformance Score'!A:B, 2, 0), "")</f>
        <v/>
      </c>
      <c r="I549" s="150"/>
      <c r="J549" s="150"/>
      <c r="K549" s="134"/>
      <c r="L549" s="134"/>
      <c r="M549" s="134"/>
      <c r="N549" s="134"/>
      <c r="O549" s="134"/>
      <c r="P549" s="134"/>
      <c r="Q549" s="134"/>
      <c r="R549" s="134"/>
      <c r="S549" s="134"/>
      <c r="T549" s="134"/>
      <c r="U549" s="134"/>
      <c r="V549" s="134"/>
      <c r="W549" s="134"/>
      <c r="X549" s="134"/>
      <c r="Y549" s="134"/>
      <c r="Z549" s="134"/>
      <c r="AA549" s="134"/>
    </row>
    <row r="550" ht="15.75" customHeight="1">
      <c r="A550" s="149"/>
      <c r="B550" s="149"/>
      <c r="C550" s="149"/>
      <c r="D550" s="149"/>
      <c r="E550" s="149"/>
      <c r="F550" s="149"/>
      <c r="G550" s="149"/>
      <c r="H550" s="135" t="str">
        <f>IFERROR(VLOOKUP(G550,'Conformance Score'!A:B, 2, 0), "")</f>
        <v/>
      </c>
      <c r="I550" s="150"/>
      <c r="J550" s="150"/>
      <c r="K550" s="134"/>
      <c r="L550" s="134"/>
      <c r="M550" s="134"/>
      <c r="N550" s="134"/>
      <c r="O550" s="134"/>
      <c r="P550" s="134"/>
      <c r="Q550" s="134"/>
      <c r="R550" s="134"/>
      <c r="S550" s="134"/>
      <c r="T550" s="134"/>
      <c r="U550" s="134"/>
      <c r="V550" s="134"/>
      <c r="W550" s="134"/>
      <c r="X550" s="134"/>
      <c r="Y550" s="134"/>
      <c r="Z550" s="134"/>
      <c r="AA550" s="134"/>
    </row>
    <row r="551" ht="15.75" customHeight="1">
      <c r="A551" s="149"/>
      <c r="B551" s="149"/>
      <c r="C551" s="149"/>
      <c r="D551" s="149"/>
      <c r="E551" s="149"/>
      <c r="F551" s="149"/>
      <c r="G551" s="149"/>
      <c r="H551" s="135" t="str">
        <f>IFERROR(VLOOKUP(G551,'Conformance Score'!A:B, 2, 0), "")</f>
        <v/>
      </c>
      <c r="I551" s="150"/>
      <c r="J551" s="150"/>
      <c r="K551" s="134"/>
      <c r="L551" s="134"/>
      <c r="M551" s="134"/>
      <c r="N551" s="134"/>
      <c r="O551" s="134"/>
      <c r="P551" s="134"/>
      <c r="Q551" s="134"/>
      <c r="R551" s="134"/>
      <c r="S551" s="134"/>
      <c r="T551" s="134"/>
      <c r="U551" s="134"/>
      <c r="V551" s="134"/>
      <c r="W551" s="134"/>
      <c r="X551" s="134"/>
      <c r="Y551" s="134"/>
      <c r="Z551" s="134"/>
      <c r="AA551" s="134"/>
    </row>
    <row r="552" ht="15.75" customHeight="1">
      <c r="A552" s="149"/>
      <c r="B552" s="149"/>
      <c r="C552" s="149"/>
      <c r="D552" s="149"/>
      <c r="E552" s="149"/>
      <c r="F552" s="149"/>
      <c r="G552" s="149"/>
      <c r="H552" s="135" t="str">
        <f>IFERROR(VLOOKUP(G552,'Conformance Score'!A:B, 2, 0), "")</f>
        <v/>
      </c>
      <c r="I552" s="150"/>
      <c r="J552" s="150"/>
      <c r="K552" s="134"/>
      <c r="L552" s="134"/>
      <c r="M552" s="134"/>
      <c r="N552" s="134"/>
      <c r="O552" s="134"/>
      <c r="P552" s="134"/>
      <c r="Q552" s="134"/>
      <c r="R552" s="134"/>
      <c r="S552" s="134"/>
      <c r="T552" s="134"/>
      <c r="U552" s="134"/>
      <c r="V552" s="134"/>
      <c r="W552" s="134"/>
      <c r="X552" s="134"/>
      <c r="Y552" s="134"/>
      <c r="Z552" s="134"/>
      <c r="AA552" s="134"/>
    </row>
    <row r="553" ht="15.75" customHeight="1">
      <c r="A553" s="149"/>
      <c r="B553" s="149"/>
      <c r="C553" s="149"/>
      <c r="D553" s="149"/>
      <c r="E553" s="149"/>
      <c r="F553" s="149"/>
      <c r="G553" s="149"/>
      <c r="H553" s="135" t="str">
        <f>IFERROR(VLOOKUP(G553,'Conformance Score'!A:B, 2, 0), "")</f>
        <v/>
      </c>
      <c r="I553" s="150"/>
      <c r="J553" s="150"/>
      <c r="K553" s="134"/>
      <c r="L553" s="134"/>
      <c r="M553" s="134"/>
      <c r="N553" s="134"/>
      <c r="O553" s="134"/>
      <c r="P553" s="134"/>
      <c r="Q553" s="134"/>
      <c r="R553" s="134"/>
      <c r="S553" s="134"/>
      <c r="T553" s="134"/>
      <c r="U553" s="134"/>
      <c r="V553" s="134"/>
      <c r="W553" s="134"/>
      <c r="X553" s="134"/>
      <c r="Y553" s="134"/>
      <c r="Z553" s="134"/>
      <c r="AA553" s="134"/>
    </row>
    <row r="554" ht="15.75" customHeight="1">
      <c r="A554" s="149"/>
      <c r="B554" s="149"/>
      <c r="C554" s="149"/>
      <c r="D554" s="149"/>
      <c r="E554" s="149"/>
      <c r="F554" s="149"/>
      <c r="G554" s="149"/>
      <c r="H554" s="135" t="str">
        <f>IFERROR(VLOOKUP(G554,'Conformance Score'!A:B, 2, 0), "")</f>
        <v/>
      </c>
      <c r="I554" s="150"/>
      <c r="J554" s="150"/>
      <c r="K554" s="134"/>
      <c r="L554" s="134"/>
      <c r="M554" s="134"/>
      <c r="N554" s="134"/>
      <c r="O554" s="134"/>
      <c r="P554" s="134"/>
      <c r="Q554" s="134"/>
      <c r="R554" s="134"/>
      <c r="S554" s="134"/>
      <c r="T554" s="134"/>
      <c r="U554" s="134"/>
      <c r="V554" s="134"/>
      <c r="W554" s="134"/>
      <c r="X554" s="134"/>
      <c r="Y554" s="134"/>
      <c r="Z554" s="134"/>
      <c r="AA554" s="134"/>
    </row>
    <row r="555" ht="15.75" customHeight="1">
      <c r="A555" s="149"/>
      <c r="B555" s="149"/>
      <c r="C555" s="149"/>
      <c r="D555" s="149"/>
      <c r="E555" s="149"/>
      <c r="F555" s="149"/>
      <c r="G555" s="149"/>
      <c r="H555" s="135" t="str">
        <f>IFERROR(VLOOKUP(G555,'Conformance Score'!A:B, 2, 0), "")</f>
        <v/>
      </c>
      <c r="I555" s="150"/>
      <c r="J555" s="150"/>
      <c r="K555" s="134"/>
      <c r="L555" s="134"/>
      <c r="M555" s="134"/>
      <c r="N555" s="134"/>
      <c r="O555" s="134"/>
      <c r="P555" s="134"/>
      <c r="Q555" s="134"/>
      <c r="R555" s="134"/>
      <c r="S555" s="134"/>
      <c r="T555" s="134"/>
      <c r="U555" s="134"/>
      <c r="V555" s="134"/>
      <c r="W555" s="134"/>
      <c r="X555" s="134"/>
      <c r="Y555" s="134"/>
      <c r="Z555" s="134"/>
      <c r="AA555" s="134"/>
    </row>
    <row r="556" ht="15.75" customHeight="1">
      <c r="A556" s="149"/>
      <c r="B556" s="149"/>
      <c r="C556" s="149"/>
      <c r="D556" s="149"/>
      <c r="E556" s="149"/>
      <c r="F556" s="149"/>
      <c r="G556" s="149"/>
      <c r="H556" s="135" t="str">
        <f>IFERROR(VLOOKUP(G556,'Conformance Score'!A:B, 2, 0), "")</f>
        <v/>
      </c>
      <c r="I556" s="150"/>
      <c r="J556" s="150"/>
      <c r="K556" s="134"/>
      <c r="L556" s="134"/>
      <c r="M556" s="134"/>
      <c r="N556" s="134"/>
      <c r="O556" s="134"/>
      <c r="P556" s="134"/>
      <c r="Q556" s="134"/>
      <c r="R556" s="134"/>
      <c r="S556" s="134"/>
      <c r="T556" s="134"/>
      <c r="U556" s="134"/>
      <c r="V556" s="134"/>
      <c r="W556" s="134"/>
      <c r="X556" s="134"/>
      <c r="Y556" s="134"/>
      <c r="Z556" s="134"/>
      <c r="AA556" s="134"/>
    </row>
    <row r="557" ht="15.75" customHeight="1">
      <c r="A557" s="149"/>
      <c r="B557" s="149"/>
      <c r="C557" s="149"/>
      <c r="D557" s="149"/>
      <c r="E557" s="149"/>
      <c r="F557" s="149"/>
      <c r="G557" s="149"/>
      <c r="H557" s="135" t="str">
        <f>IFERROR(VLOOKUP(G557,'Conformance Score'!A:B, 2, 0), "")</f>
        <v/>
      </c>
      <c r="I557" s="150"/>
      <c r="J557" s="150"/>
      <c r="K557" s="134"/>
      <c r="L557" s="134"/>
      <c r="M557" s="134"/>
      <c r="N557" s="134"/>
      <c r="O557" s="134"/>
      <c r="P557" s="134"/>
      <c r="Q557" s="134"/>
      <c r="R557" s="134"/>
      <c r="S557" s="134"/>
      <c r="T557" s="134"/>
      <c r="U557" s="134"/>
      <c r="V557" s="134"/>
      <c r="W557" s="134"/>
      <c r="X557" s="134"/>
      <c r="Y557" s="134"/>
      <c r="Z557" s="134"/>
      <c r="AA557" s="134"/>
    </row>
    <row r="558" ht="15.75" customHeight="1">
      <c r="A558" s="149"/>
      <c r="B558" s="149"/>
      <c r="C558" s="149"/>
      <c r="D558" s="149"/>
      <c r="E558" s="149"/>
      <c r="F558" s="149"/>
      <c r="G558" s="149"/>
      <c r="H558" s="135" t="str">
        <f>IFERROR(VLOOKUP(G558,'Conformance Score'!A:B, 2, 0), "")</f>
        <v/>
      </c>
      <c r="I558" s="150"/>
      <c r="J558" s="150"/>
      <c r="K558" s="134"/>
      <c r="L558" s="134"/>
      <c r="M558" s="134"/>
      <c r="N558" s="134"/>
      <c r="O558" s="134"/>
      <c r="P558" s="134"/>
      <c r="Q558" s="134"/>
      <c r="R558" s="134"/>
      <c r="S558" s="134"/>
      <c r="T558" s="134"/>
      <c r="U558" s="134"/>
      <c r="V558" s="134"/>
      <c r="W558" s="134"/>
      <c r="X558" s="134"/>
      <c r="Y558" s="134"/>
      <c r="Z558" s="134"/>
      <c r="AA558" s="134"/>
    </row>
    <row r="559" ht="15.75" customHeight="1">
      <c r="A559" s="149"/>
      <c r="B559" s="149"/>
      <c r="C559" s="149"/>
      <c r="D559" s="149"/>
      <c r="E559" s="149"/>
      <c r="F559" s="149"/>
      <c r="G559" s="149"/>
      <c r="H559" s="135" t="str">
        <f>IFERROR(VLOOKUP(G559,'Conformance Score'!A:B, 2, 0), "")</f>
        <v/>
      </c>
      <c r="I559" s="150"/>
      <c r="J559" s="150"/>
      <c r="K559" s="134"/>
      <c r="L559" s="134"/>
      <c r="M559" s="134"/>
      <c r="N559" s="134"/>
      <c r="O559" s="134"/>
      <c r="P559" s="134"/>
      <c r="Q559" s="134"/>
      <c r="R559" s="134"/>
      <c r="S559" s="134"/>
      <c r="T559" s="134"/>
      <c r="U559" s="134"/>
      <c r="V559" s="134"/>
      <c r="W559" s="134"/>
      <c r="X559" s="134"/>
      <c r="Y559" s="134"/>
      <c r="Z559" s="134"/>
      <c r="AA559" s="134"/>
    </row>
    <row r="560" ht="15.75" customHeight="1">
      <c r="A560" s="149"/>
      <c r="B560" s="149"/>
      <c r="C560" s="149"/>
      <c r="D560" s="149"/>
      <c r="E560" s="149"/>
      <c r="F560" s="149"/>
      <c r="G560" s="149"/>
      <c r="H560" s="135" t="str">
        <f>IFERROR(VLOOKUP(G560,'Conformance Score'!A:B, 2, 0), "")</f>
        <v/>
      </c>
      <c r="I560" s="150"/>
      <c r="J560" s="150"/>
      <c r="K560" s="134"/>
      <c r="L560" s="134"/>
      <c r="M560" s="134"/>
      <c r="N560" s="134"/>
      <c r="O560" s="134"/>
      <c r="P560" s="134"/>
      <c r="Q560" s="134"/>
      <c r="R560" s="134"/>
      <c r="S560" s="134"/>
      <c r="T560" s="134"/>
      <c r="U560" s="134"/>
      <c r="V560" s="134"/>
      <c r="W560" s="134"/>
      <c r="X560" s="134"/>
      <c r="Y560" s="134"/>
      <c r="Z560" s="134"/>
      <c r="AA560" s="134"/>
    </row>
    <row r="561" ht="15.75" customHeight="1">
      <c r="A561" s="149"/>
      <c r="B561" s="149"/>
      <c r="C561" s="149"/>
      <c r="D561" s="149"/>
      <c r="E561" s="149"/>
      <c r="F561" s="149"/>
      <c r="G561" s="149"/>
      <c r="H561" s="135" t="str">
        <f>IFERROR(VLOOKUP(G561,'Conformance Score'!A:B, 2, 0), "")</f>
        <v/>
      </c>
      <c r="I561" s="150"/>
      <c r="J561" s="150"/>
      <c r="K561" s="134"/>
      <c r="L561" s="134"/>
      <c r="M561" s="134"/>
      <c r="N561" s="134"/>
      <c r="O561" s="134"/>
      <c r="P561" s="134"/>
      <c r="Q561" s="134"/>
      <c r="R561" s="134"/>
      <c r="S561" s="134"/>
      <c r="T561" s="134"/>
      <c r="U561" s="134"/>
      <c r="V561" s="134"/>
      <c r="W561" s="134"/>
      <c r="X561" s="134"/>
      <c r="Y561" s="134"/>
      <c r="Z561" s="134"/>
      <c r="AA561" s="134"/>
    </row>
    <row r="562" ht="15.75" customHeight="1">
      <c r="A562" s="149"/>
      <c r="B562" s="149"/>
      <c r="C562" s="149"/>
      <c r="D562" s="149"/>
      <c r="E562" s="149"/>
      <c r="F562" s="149"/>
      <c r="G562" s="149"/>
      <c r="H562" s="135" t="str">
        <f>IFERROR(VLOOKUP(G562,'Conformance Score'!A:B, 2, 0), "")</f>
        <v/>
      </c>
      <c r="I562" s="150"/>
      <c r="J562" s="150"/>
      <c r="K562" s="134"/>
      <c r="L562" s="134"/>
      <c r="M562" s="134"/>
      <c r="N562" s="134"/>
      <c r="O562" s="134"/>
      <c r="P562" s="134"/>
      <c r="Q562" s="134"/>
      <c r="R562" s="134"/>
      <c r="S562" s="134"/>
      <c r="T562" s="134"/>
      <c r="U562" s="134"/>
      <c r="V562" s="134"/>
      <c r="W562" s="134"/>
      <c r="X562" s="134"/>
      <c r="Y562" s="134"/>
      <c r="Z562" s="134"/>
      <c r="AA562" s="134"/>
    </row>
    <row r="563" ht="15.75" customHeight="1">
      <c r="A563" s="149"/>
      <c r="B563" s="149"/>
      <c r="C563" s="149"/>
      <c r="D563" s="149"/>
      <c r="E563" s="149"/>
      <c r="F563" s="149"/>
      <c r="G563" s="149"/>
      <c r="H563" s="135" t="str">
        <f>IFERROR(VLOOKUP(G563,'Conformance Score'!A:B, 2, 0), "")</f>
        <v/>
      </c>
      <c r="I563" s="150"/>
      <c r="J563" s="150"/>
      <c r="K563" s="134"/>
      <c r="L563" s="134"/>
      <c r="M563" s="134"/>
      <c r="N563" s="134"/>
      <c r="O563" s="134"/>
      <c r="P563" s="134"/>
      <c r="Q563" s="134"/>
      <c r="R563" s="134"/>
      <c r="S563" s="134"/>
      <c r="T563" s="134"/>
      <c r="U563" s="134"/>
      <c r="V563" s="134"/>
      <c r="W563" s="134"/>
      <c r="X563" s="134"/>
      <c r="Y563" s="134"/>
      <c r="Z563" s="134"/>
      <c r="AA563" s="134"/>
    </row>
    <row r="564" ht="15.75" customHeight="1">
      <c r="A564" s="149"/>
      <c r="B564" s="149"/>
      <c r="C564" s="149"/>
      <c r="D564" s="149"/>
      <c r="E564" s="149"/>
      <c r="F564" s="149"/>
      <c r="G564" s="149"/>
      <c r="H564" s="135" t="str">
        <f>IFERROR(VLOOKUP(G564,'Conformance Score'!A:B, 2, 0), "")</f>
        <v/>
      </c>
      <c r="I564" s="150"/>
      <c r="J564" s="150"/>
      <c r="K564" s="134"/>
      <c r="L564" s="134"/>
      <c r="M564" s="134"/>
      <c r="N564" s="134"/>
      <c r="O564" s="134"/>
      <c r="P564" s="134"/>
      <c r="Q564" s="134"/>
      <c r="R564" s="134"/>
      <c r="S564" s="134"/>
      <c r="T564" s="134"/>
      <c r="U564" s="134"/>
      <c r="V564" s="134"/>
      <c r="W564" s="134"/>
      <c r="X564" s="134"/>
      <c r="Y564" s="134"/>
      <c r="Z564" s="134"/>
      <c r="AA564" s="134"/>
    </row>
    <row r="565" ht="15.75" customHeight="1">
      <c r="A565" s="149"/>
      <c r="B565" s="149"/>
      <c r="C565" s="149"/>
      <c r="D565" s="149"/>
      <c r="E565" s="149"/>
      <c r="F565" s="149"/>
      <c r="G565" s="149"/>
      <c r="H565" s="135" t="str">
        <f>IFERROR(VLOOKUP(G565,'Conformance Score'!A:B, 2, 0), "")</f>
        <v/>
      </c>
      <c r="I565" s="150"/>
      <c r="J565" s="150"/>
      <c r="K565" s="134"/>
      <c r="L565" s="134"/>
      <c r="M565" s="134"/>
      <c r="N565" s="134"/>
      <c r="O565" s="134"/>
      <c r="P565" s="134"/>
      <c r="Q565" s="134"/>
      <c r="R565" s="134"/>
      <c r="S565" s="134"/>
      <c r="T565" s="134"/>
      <c r="U565" s="134"/>
      <c r="V565" s="134"/>
      <c r="W565" s="134"/>
      <c r="X565" s="134"/>
      <c r="Y565" s="134"/>
      <c r="Z565" s="134"/>
      <c r="AA565" s="134"/>
    </row>
    <row r="566" ht="15.75" customHeight="1">
      <c r="A566" s="149"/>
      <c r="B566" s="149"/>
      <c r="C566" s="149"/>
      <c r="D566" s="149"/>
      <c r="E566" s="149"/>
      <c r="F566" s="149"/>
      <c r="G566" s="149"/>
      <c r="H566" s="135" t="str">
        <f>IFERROR(VLOOKUP(G566,'Conformance Score'!A:B, 2, 0), "")</f>
        <v/>
      </c>
      <c r="I566" s="150"/>
      <c r="J566" s="150"/>
      <c r="K566" s="134"/>
      <c r="L566" s="134"/>
      <c r="M566" s="134"/>
      <c r="N566" s="134"/>
      <c r="O566" s="134"/>
      <c r="P566" s="134"/>
      <c r="Q566" s="134"/>
      <c r="R566" s="134"/>
      <c r="S566" s="134"/>
      <c r="T566" s="134"/>
      <c r="U566" s="134"/>
      <c r="V566" s="134"/>
      <c r="W566" s="134"/>
      <c r="X566" s="134"/>
      <c r="Y566" s="134"/>
      <c r="Z566" s="134"/>
      <c r="AA566" s="134"/>
    </row>
    <row r="567" ht="15.75" customHeight="1">
      <c r="A567" s="149"/>
      <c r="B567" s="149"/>
      <c r="C567" s="149"/>
      <c r="D567" s="149"/>
      <c r="E567" s="149"/>
      <c r="F567" s="149"/>
      <c r="G567" s="149"/>
      <c r="H567" s="135" t="str">
        <f>IFERROR(VLOOKUP(G567,'Conformance Score'!A:B, 2, 0), "")</f>
        <v/>
      </c>
      <c r="I567" s="150"/>
      <c r="J567" s="150"/>
      <c r="K567" s="134"/>
      <c r="L567" s="134"/>
      <c r="M567" s="134"/>
      <c r="N567" s="134"/>
      <c r="O567" s="134"/>
      <c r="P567" s="134"/>
      <c r="Q567" s="134"/>
      <c r="R567" s="134"/>
      <c r="S567" s="134"/>
      <c r="T567" s="134"/>
      <c r="U567" s="134"/>
      <c r="V567" s="134"/>
      <c r="W567" s="134"/>
      <c r="X567" s="134"/>
      <c r="Y567" s="134"/>
      <c r="Z567" s="134"/>
      <c r="AA567" s="134"/>
    </row>
    <row r="568" ht="15.75" customHeight="1">
      <c r="A568" s="149"/>
      <c r="B568" s="149"/>
      <c r="C568" s="149"/>
      <c r="D568" s="149"/>
      <c r="E568" s="149"/>
      <c r="F568" s="149"/>
      <c r="G568" s="149"/>
      <c r="H568" s="135" t="str">
        <f>IFERROR(VLOOKUP(G568,'Conformance Score'!A:B, 2, 0), "")</f>
        <v/>
      </c>
      <c r="I568" s="150"/>
      <c r="J568" s="150"/>
      <c r="K568" s="134"/>
      <c r="L568" s="134"/>
      <c r="M568" s="134"/>
      <c r="N568" s="134"/>
      <c r="O568" s="134"/>
      <c r="P568" s="134"/>
      <c r="Q568" s="134"/>
      <c r="R568" s="134"/>
      <c r="S568" s="134"/>
      <c r="T568" s="134"/>
      <c r="U568" s="134"/>
      <c r="V568" s="134"/>
      <c r="W568" s="134"/>
      <c r="X568" s="134"/>
      <c r="Y568" s="134"/>
      <c r="Z568" s="134"/>
      <c r="AA568" s="134"/>
    </row>
    <row r="569" ht="15.75" customHeight="1">
      <c r="A569" s="149"/>
      <c r="B569" s="149"/>
      <c r="C569" s="149"/>
      <c r="D569" s="149"/>
      <c r="E569" s="149"/>
      <c r="F569" s="149"/>
      <c r="G569" s="149"/>
      <c r="H569" s="135" t="str">
        <f>IFERROR(VLOOKUP(G569,'Conformance Score'!A:B, 2, 0), "")</f>
        <v/>
      </c>
      <c r="I569" s="150"/>
      <c r="J569" s="150"/>
      <c r="K569" s="134"/>
      <c r="L569" s="134"/>
      <c r="M569" s="134"/>
      <c r="N569" s="134"/>
      <c r="O569" s="134"/>
      <c r="P569" s="134"/>
      <c r="Q569" s="134"/>
      <c r="R569" s="134"/>
      <c r="S569" s="134"/>
      <c r="T569" s="134"/>
      <c r="U569" s="134"/>
      <c r="V569" s="134"/>
      <c r="W569" s="134"/>
      <c r="X569" s="134"/>
      <c r="Y569" s="134"/>
      <c r="Z569" s="134"/>
      <c r="AA569" s="134"/>
    </row>
    <row r="570" ht="15.75" customHeight="1">
      <c r="A570" s="149"/>
      <c r="B570" s="149"/>
      <c r="C570" s="149"/>
      <c r="D570" s="149"/>
      <c r="E570" s="149"/>
      <c r="F570" s="149"/>
      <c r="G570" s="149"/>
      <c r="H570" s="135" t="str">
        <f>IFERROR(VLOOKUP(G570,'Conformance Score'!A:B, 2, 0), "")</f>
        <v/>
      </c>
      <c r="I570" s="150"/>
      <c r="J570" s="150"/>
      <c r="K570" s="134"/>
      <c r="L570" s="134"/>
      <c r="M570" s="134"/>
      <c r="N570" s="134"/>
      <c r="O570" s="134"/>
      <c r="P570" s="134"/>
      <c r="Q570" s="134"/>
      <c r="R570" s="134"/>
      <c r="S570" s="134"/>
      <c r="T570" s="134"/>
      <c r="U570" s="134"/>
      <c r="V570" s="134"/>
      <c r="W570" s="134"/>
      <c r="X570" s="134"/>
      <c r="Y570" s="134"/>
      <c r="Z570" s="134"/>
      <c r="AA570" s="134"/>
    </row>
    <row r="571" ht="15.75" customHeight="1">
      <c r="A571" s="149"/>
      <c r="B571" s="149"/>
      <c r="C571" s="149"/>
      <c r="D571" s="149"/>
      <c r="E571" s="149"/>
      <c r="F571" s="149"/>
      <c r="G571" s="149"/>
      <c r="H571" s="135" t="str">
        <f>IFERROR(VLOOKUP(G571,'Conformance Score'!A:B, 2, 0), "")</f>
        <v/>
      </c>
      <c r="I571" s="150"/>
      <c r="J571" s="150"/>
      <c r="K571" s="134"/>
      <c r="L571" s="134"/>
      <c r="M571" s="134"/>
      <c r="N571" s="134"/>
      <c r="O571" s="134"/>
      <c r="P571" s="134"/>
      <c r="Q571" s="134"/>
      <c r="R571" s="134"/>
      <c r="S571" s="134"/>
      <c r="T571" s="134"/>
      <c r="U571" s="134"/>
      <c r="V571" s="134"/>
      <c r="W571" s="134"/>
      <c r="X571" s="134"/>
      <c r="Y571" s="134"/>
      <c r="Z571" s="134"/>
      <c r="AA571" s="134"/>
    </row>
    <row r="572" ht="15.75" customHeight="1">
      <c r="A572" s="149"/>
      <c r="B572" s="149"/>
      <c r="C572" s="149"/>
      <c r="D572" s="149"/>
      <c r="E572" s="149"/>
      <c r="F572" s="149"/>
      <c r="G572" s="149"/>
      <c r="H572" s="135" t="str">
        <f>IFERROR(VLOOKUP(G572,'Conformance Score'!A:B, 2, 0), "")</f>
        <v/>
      </c>
      <c r="I572" s="150"/>
      <c r="J572" s="150"/>
      <c r="K572" s="134"/>
      <c r="L572" s="134"/>
      <c r="M572" s="134"/>
      <c r="N572" s="134"/>
      <c r="O572" s="134"/>
      <c r="P572" s="134"/>
      <c r="Q572" s="134"/>
      <c r="R572" s="134"/>
      <c r="S572" s="134"/>
      <c r="T572" s="134"/>
      <c r="U572" s="134"/>
      <c r="V572" s="134"/>
      <c r="W572" s="134"/>
      <c r="X572" s="134"/>
      <c r="Y572" s="134"/>
      <c r="Z572" s="134"/>
      <c r="AA572" s="134"/>
    </row>
    <row r="573" ht="15.75" customHeight="1">
      <c r="A573" s="149"/>
      <c r="B573" s="149"/>
      <c r="C573" s="149"/>
      <c r="D573" s="149"/>
      <c r="E573" s="149"/>
      <c r="F573" s="149"/>
      <c r="G573" s="149"/>
      <c r="H573" s="135" t="str">
        <f>IFERROR(VLOOKUP(G573,'Conformance Score'!A:B, 2, 0), "")</f>
        <v/>
      </c>
      <c r="I573" s="150"/>
      <c r="J573" s="150"/>
      <c r="K573" s="134"/>
      <c r="L573" s="134"/>
      <c r="M573" s="134"/>
      <c r="N573" s="134"/>
      <c r="O573" s="134"/>
      <c r="P573" s="134"/>
      <c r="Q573" s="134"/>
      <c r="R573" s="134"/>
      <c r="S573" s="134"/>
      <c r="T573" s="134"/>
      <c r="U573" s="134"/>
      <c r="V573" s="134"/>
      <c r="W573" s="134"/>
      <c r="X573" s="134"/>
      <c r="Y573" s="134"/>
      <c r="Z573" s="134"/>
      <c r="AA573" s="134"/>
    </row>
    <row r="574" ht="15.75" customHeight="1">
      <c r="A574" s="149"/>
      <c r="B574" s="149"/>
      <c r="C574" s="149"/>
      <c r="D574" s="149"/>
      <c r="E574" s="149"/>
      <c r="F574" s="149"/>
      <c r="G574" s="149"/>
      <c r="H574" s="135" t="str">
        <f>IFERROR(VLOOKUP(G574,'Conformance Score'!A:B, 2, 0), "")</f>
        <v/>
      </c>
      <c r="I574" s="150"/>
      <c r="J574" s="150"/>
      <c r="K574" s="134"/>
      <c r="L574" s="134"/>
      <c r="M574" s="134"/>
      <c r="N574" s="134"/>
      <c r="O574" s="134"/>
      <c r="P574" s="134"/>
      <c r="Q574" s="134"/>
      <c r="R574" s="134"/>
      <c r="S574" s="134"/>
      <c r="T574" s="134"/>
      <c r="U574" s="134"/>
      <c r="V574" s="134"/>
      <c r="W574" s="134"/>
      <c r="X574" s="134"/>
      <c r="Y574" s="134"/>
      <c r="Z574" s="134"/>
      <c r="AA574" s="134"/>
    </row>
    <row r="575" ht="15.75" customHeight="1">
      <c r="A575" s="149"/>
      <c r="B575" s="149"/>
      <c r="C575" s="149"/>
      <c r="D575" s="149"/>
      <c r="E575" s="149"/>
      <c r="F575" s="149"/>
      <c r="G575" s="149"/>
      <c r="H575" s="135" t="str">
        <f>IFERROR(VLOOKUP(G575,'Conformance Score'!A:B, 2, 0), "")</f>
        <v/>
      </c>
      <c r="I575" s="150"/>
      <c r="J575" s="150"/>
      <c r="K575" s="134"/>
      <c r="L575" s="134"/>
      <c r="M575" s="134"/>
      <c r="N575" s="134"/>
      <c r="O575" s="134"/>
      <c r="P575" s="134"/>
      <c r="Q575" s="134"/>
      <c r="R575" s="134"/>
      <c r="S575" s="134"/>
      <c r="T575" s="134"/>
      <c r="U575" s="134"/>
      <c r="V575" s="134"/>
      <c r="W575" s="134"/>
      <c r="X575" s="134"/>
      <c r="Y575" s="134"/>
      <c r="Z575" s="134"/>
      <c r="AA575" s="134"/>
    </row>
    <row r="576" ht="15.75" customHeight="1">
      <c r="A576" s="149"/>
      <c r="B576" s="149"/>
      <c r="C576" s="149"/>
      <c r="D576" s="149"/>
      <c r="E576" s="149"/>
      <c r="F576" s="149"/>
      <c r="G576" s="149"/>
      <c r="H576" s="135" t="str">
        <f>IFERROR(VLOOKUP(G576,'Conformance Score'!A:B, 2, 0), "")</f>
        <v/>
      </c>
      <c r="I576" s="150"/>
      <c r="J576" s="150"/>
      <c r="K576" s="134"/>
      <c r="L576" s="134"/>
      <c r="M576" s="134"/>
      <c r="N576" s="134"/>
      <c r="O576" s="134"/>
      <c r="P576" s="134"/>
      <c r="Q576" s="134"/>
      <c r="R576" s="134"/>
      <c r="S576" s="134"/>
      <c r="T576" s="134"/>
      <c r="U576" s="134"/>
      <c r="V576" s="134"/>
      <c r="W576" s="134"/>
      <c r="X576" s="134"/>
      <c r="Y576" s="134"/>
      <c r="Z576" s="134"/>
      <c r="AA576" s="134"/>
    </row>
    <row r="577" ht="15.75" customHeight="1">
      <c r="A577" s="149"/>
      <c r="B577" s="149"/>
      <c r="C577" s="149"/>
      <c r="D577" s="149"/>
      <c r="E577" s="149"/>
      <c r="F577" s="149"/>
      <c r="G577" s="149"/>
      <c r="H577" s="135" t="str">
        <f>IFERROR(VLOOKUP(G577,'Conformance Score'!A:B, 2, 0), "")</f>
        <v/>
      </c>
      <c r="I577" s="150"/>
      <c r="J577" s="150"/>
      <c r="K577" s="134"/>
      <c r="L577" s="134"/>
      <c r="M577" s="134"/>
      <c r="N577" s="134"/>
      <c r="O577" s="134"/>
      <c r="P577" s="134"/>
      <c r="Q577" s="134"/>
      <c r="R577" s="134"/>
      <c r="S577" s="134"/>
      <c r="T577" s="134"/>
      <c r="U577" s="134"/>
      <c r="V577" s="134"/>
      <c r="W577" s="134"/>
      <c r="X577" s="134"/>
      <c r="Y577" s="134"/>
      <c r="Z577" s="134"/>
      <c r="AA577" s="134"/>
    </row>
    <row r="578" ht="15.75" customHeight="1">
      <c r="A578" s="149"/>
      <c r="B578" s="149"/>
      <c r="C578" s="149"/>
      <c r="D578" s="149"/>
      <c r="E578" s="149"/>
      <c r="F578" s="149"/>
      <c r="G578" s="149"/>
      <c r="H578" s="135" t="str">
        <f>IFERROR(VLOOKUP(G578,'Conformance Score'!A:B, 2, 0), "")</f>
        <v/>
      </c>
      <c r="I578" s="150"/>
      <c r="J578" s="150"/>
      <c r="K578" s="134"/>
      <c r="L578" s="134"/>
      <c r="M578" s="134"/>
      <c r="N578" s="134"/>
      <c r="O578" s="134"/>
      <c r="P578" s="134"/>
      <c r="Q578" s="134"/>
      <c r="R578" s="134"/>
      <c r="S578" s="134"/>
      <c r="T578" s="134"/>
      <c r="U578" s="134"/>
      <c r="V578" s="134"/>
      <c r="W578" s="134"/>
      <c r="X578" s="134"/>
      <c r="Y578" s="134"/>
      <c r="Z578" s="134"/>
      <c r="AA578" s="134"/>
    </row>
    <row r="579" ht="15.75" customHeight="1">
      <c r="A579" s="149"/>
      <c r="B579" s="149"/>
      <c r="C579" s="149"/>
      <c r="D579" s="149"/>
      <c r="E579" s="149"/>
      <c r="F579" s="149"/>
      <c r="G579" s="149"/>
      <c r="H579" s="135" t="str">
        <f>IFERROR(VLOOKUP(G579,'Conformance Score'!A:B, 2, 0), "")</f>
        <v/>
      </c>
      <c r="I579" s="150"/>
      <c r="J579" s="150"/>
      <c r="K579" s="134"/>
      <c r="L579" s="134"/>
      <c r="M579" s="134"/>
      <c r="N579" s="134"/>
      <c r="O579" s="134"/>
      <c r="P579" s="134"/>
      <c r="Q579" s="134"/>
      <c r="R579" s="134"/>
      <c r="S579" s="134"/>
      <c r="T579" s="134"/>
      <c r="U579" s="134"/>
      <c r="V579" s="134"/>
      <c r="W579" s="134"/>
      <c r="X579" s="134"/>
      <c r="Y579" s="134"/>
      <c r="Z579" s="134"/>
      <c r="AA579" s="134"/>
    </row>
    <row r="580" ht="15.75" customHeight="1">
      <c r="A580" s="149"/>
      <c r="B580" s="149"/>
      <c r="C580" s="149"/>
      <c r="D580" s="149"/>
      <c r="E580" s="149"/>
      <c r="F580" s="149"/>
      <c r="G580" s="149"/>
      <c r="H580" s="135" t="str">
        <f>IFERROR(VLOOKUP(G580,'Conformance Score'!A:B, 2, 0), "")</f>
        <v/>
      </c>
      <c r="I580" s="150"/>
      <c r="J580" s="150"/>
      <c r="K580" s="134"/>
      <c r="L580" s="134"/>
      <c r="M580" s="134"/>
      <c r="N580" s="134"/>
      <c r="O580" s="134"/>
      <c r="P580" s="134"/>
      <c r="Q580" s="134"/>
      <c r="R580" s="134"/>
      <c r="S580" s="134"/>
      <c r="T580" s="134"/>
      <c r="U580" s="134"/>
      <c r="V580" s="134"/>
      <c r="W580" s="134"/>
      <c r="X580" s="134"/>
      <c r="Y580" s="134"/>
      <c r="Z580" s="134"/>
      <c r="AA580" s="134"/>
    </row>
    <row r="581" ht="15.75" customHeight="1">
      <c r="A581" s="149"/>
      <c r="B581" s="149"/>
      <c r="C581" s="149"/>
      <c r="D581" s="149"/>
      <c r="E581" s="149"/>
      <c r="F581" s="149"/>
      <c r="G581" s="149"/>
      <c r="H581" s="135" t="str">
        <f>IFERROR(VLOOKUP(G581,'Conformance Score'!A:B, 2, 0), "")</f>
        <v/>
      </c>
      <c r="I581" s="150"/>
      <c r="J581" s="150"/>
      <c r="K581" s="134"/>
      <c r="L581" s="134"/>
      <c r="M581" s="134"/>
      <c r="N581" s="134"/>
      <c r="O581" s="134"/>
      <c r="P581" s="134"/>
      <c r="Q581" s="134"/>
      <c r="R581" s="134"/>
      <c r="S581" s="134"/>
      <c r="T581" s="134"/>
      <c r="U581" s="134"/>
      <c r="V581" s="134"/>
      <c r="W581" s="134"/>
      <c r="X581" s="134"/>
      <c r="Y581" s="134"/>
      <c r="Z581" s="134"/>
      <c r="AA581" s="134"/>
    </row>
    <row r="582" ht="15.75" customHeight="1">
      <c r="A582" s="149"/>
      <c r="B582" s="149"/>
      <c r="C582" s="149"/>
      <c r="D582" s="149"/>
      <c r="E582" s="149"/>
      <c r="F582" s="149"/>
      <c r="G582" s="149"/>
      <c r="H582" s="135" t="str">
        <f>IFERROR(VLOOKUP(G582,'Conformance Score'!A:B, 2, 0), "")</f>
        <v/>
      </c>
      <c r="I582" s="150"/>
      <c r="J582" s="150"/>
      <c r="K582" s="134"/>
      <c r="L582" s="134"/>
      <c r="M582" s="134"/>
      <c r="N582" s="134"/>
      <c r="O582" s="134"/>
      <c r="P582" s="134"/>
      <c r="Q582" s="134"/>
      <c r="R582" s="134"/>
      <c r="S582" s="134"/>
      <c r="T582" s="134"/>
      <c r="U582" s="134"/>
      <c r="V582" s="134"/>
      <c r="W582" s="134"/>
      <c r="X582" s="134"/>
      <c r="Y582" s="134"/>
      <c r="Z582" s="134"/>
      <c r="AA582" s="134"/>
    </row>
    <row r="583" ht="15.75" customHeight="1">
      <c r="A583" s="149"/>
      <c r="B583" s="149"/>
      <c r="C583" s="149"/>
      <c r="D583" s="149"/>
      <c r="E583" s="149"/>
      <c r="F583" s="149"/>
      <c r="G583" s="149"/>
      <c r="H583" s="135" t="str">
        <f>IFERROR(VLOOKUP(G583,'Conformance Score'!A:B, 2, 0), "")</f>
        <v/>
      </c>
      <c r="I583" s="150"/>
      <c r="J583" s="150"/>
      <c r="K583" s="134"/>
      <c r="L583" s="134"/>
      <c r="M583" s="134"/>
      <c r="N583" s="134"/>
      <c r="O583" s="134"/>
      <c r="P583" s="134"/>
      <c r="Q583" s="134"/>
      <c r="R583" s="134"/>
      <c r="S583" s="134"/>
      <c r="T583" s="134"/>
      <c r="U583" s="134"/>
      <c r="V583" s="134"/>
      <c r="W583" s="134"/>
      <c r="X583" s="134"/>
      <c r="Y583" s="134"/>
      <c r="Z583" s="134"/>
      <c r="AA583" s="134"/>
    </row>
    <row r="584" ht="15.75" customHeight="1">
      <c r="A584" s="149"/>
      <c r="B584" s="149"/>
      <c r="C584" s="149"/>
      <c r="D584" s="149"/>
      <c r="E584" s="149"/>
      <c r="F584" s="149"/>
      <c r="G584" s="149"/>
      <c r="H584" s="135" t="str">
        <f>IFERROR(VLOOKUP(G584,'Conformance Score'!A:B, 2, 0), "")</f>
        <v/>
      </c>
      <c r="I584" s="150"/>
      <c r="J584" s="150"/>
      <c r="K584" s="134"/>
      <c r="L584" s="134"/>
      <c r="M584" s="134"/>
      <c r="N584" s="134"/>
      <c r="O584" s="134"/>
      <c r="P584" s="134"/>
      <c r="Q584" s="134"/>
      <c r="R584" s="134"/>
      <c r="S584" s="134"/>
      <c r="T584" s="134"/>
      <c r="U584" s="134"/>
      <c r="V584" s="134"/>
      <c r="W584" s="134"/>
      <c r="X584" s="134"/>
      <c r="Y584" s="134"/>
      <c r="Z584" s="134"/>
      <c r="AA584" s="134"/>
    </row>
    <row r="585" ht="15.75" customHeight="1">
      <c r="A585" s="149"/>
      <c r="B585" s="149"/>
      <c r="C585" s="149"/>
      <c r="D585" s="149"/>
      <c r="E585" s="149"/>
      <c r="F585" s="149"/>
      <c r="G585" s="149"/>
      <c r="H585" s="135" t="str">
        <f>IFERROR(VLOOKUP(G585,'Conformance Score'!A:B, 2, 0), "")</f>
        <v/>
      </c>
      <c r="I585" s="150"/>
      <c r="J585" s="150"/>
      <c r="K585" s="134"/>
      <c r="L585" s="134"/>
      <c r="M585" s="134"/>
      <c r="N585" s="134"/>
      <c r="O585" s="134"/>
      <c r="P585" s="134"/>
      <c r="Q585" s="134"/>
      <c r="R585" s="134"/>
      <c r="S585" s="134"/>
      <c r="T585" s="134"/>
      <c r="U585" s="134"/>
      <c r="V585" s="134"/>
      <c r="W585" s="134"/>
      <c r="X585" s="134"/>
      <c r="Y585" s="134"/>
      <c r="Z585" s="134"/>
      <c r="AA585" s="134"/>
    </row>
    <row r="586" ht="15.75" customHeight="1">
      <c r="A586" s="149"/>
      <c r="B586" s="149"/>
      <c r="C586" s="149"/>
      <c r="D586" s="149"/>
      <c r="E586" s="149"/>
      <c r="F586" s="149"/>
      <c r="G586" s="149"/>
      <c r="H586" s="135" t="str">
        <f>IFERROR(VLOOKUP(G586,'Conformance Score'!A:B, 2, 0), "")</f>
        <v/>
      </c>
      <c r="I586" s="150"/>
      <c r="J586" s="150"/>
      <c r="K586" s="134"/>
      <c r="L586" s="134"/>
      <c r="M586" s="134"/>
      <c r="N586" s="134"/>
      <c r="O586" s="134"/>
      <c r="P586" s="134"/>
      <c r="Q586" s="134"/>
      <c r="R586" s="134"/>
      <c r="S586" s="134"/>
      <c r="T586" s="134"/>
      <c r="U586" s="134"/>
      <c r="V586" s="134"/>
      <c r="W586" s="134"/>
      <c r="X586" s="134"/>
      <c r="Y586" s="134"/>
      <c r="Z586" s="134"/>
      <c r="AA586" s="134"/>
    </row>
    <row r="587" ht="15.75" customHeight="1">
      <c r="A587" s="149"/>
      <c r="B587" s="149"/>
      <c r="C587" s="149"/>
      <c r="D587" s="149"/>
      <c r="E587" s="149"/>
      <c r="F587" s="149"/>
      <c r="G587" s="149"/>
      <c r="H587" s="135" t="str">
        <f>IFERROR(VLOOKUP(G587,'Conformance Score'!A:B, 2, 0), "")</f>
        <v/>
      </c>
      <c r="I587" s="150"/>
      <c r="J587" s="150"/>
      <c r="K587" s="134"/>
      <c r="L587" s="134"/>
      <c r="M587" s="134"/>
      <c r="N587" s="134"/>
      <c r="O587" s="134"/>
      <c r="P587" s="134"/>
      <c r="Q587" s="134"/>
      <c r="R587" s="134"/>
      <c r="S587" s="134"/>
      <c r="T587" s="134"/>
      <c r="U587" s="134"/>
      <c r="V587" s="134"/>
      <c r="W587" s="134"/>
      <c r="X587" s="134"/>
      <c r="Y587" s="134"/>
      <c r="Z587" s="134"/>
      <c r="AA587" s="134"/>
    </row>
    <row r="588" ht="15.75" customHeight="1">
      <c r="A588" s="149"/>
      <c r="B588" s="149"/>
      <c r="C588" s="149"/>
      <c r="D588" s="149"/>
      <c r="E588" s="149"/>
      <c r="F588" s="149"/>
      <c r="G588" s="149"/>
      <c r="H588" s="135" t="str">
        <f>IFERROR(VLOOKUP(G588,'Conformance Score'!A:B, 2, 0), "")</f>
        <v/>
      </c>
      <c r="I588" s="150"/>
      <c r="J588" s="150"/>
      <c r="K588" s="134"/>
      <c r="L588" s="134"/>
      <c r="M588" s="134"/>
      <c r="N588" s="134"/>
      <c r="O588" s="134"/>
      <c r="P588" s="134"/>
      <c r="Q588" s="134"/>
      <c r="R588" s="134"/>
      <c r="S588" s="134"/>
      <c r="T588" s="134"/>
      <c r="U588" s="134"/>
      <c r="V588" s="134"/>
      <c r="W588" s="134"/>
      <c r="X588" s="134"/>
      <c r="Y588" s="134"/>
      <c r="Z588" s="134"/>
      <c r="AA588" s="134"/>
    </row>
    <row r="589" ht="15.75" customHeight="1">
      <c r="A589" s="149"/>
      <c r="B589" s="149"/>
      <c r="C589" s="149"/>
      <c r="D589" s="149"/>
      <c r="E589" s="149"/>
      <c r="F589" s="149"/>
      <c r="G589" s="149"/>
      <c r="H589" s="135" t="str">
        <f>IFERROR(VLOOKUP(G589,'Conformance Score'!A:B, 2, 0), "")</f>
        <v/>
      </c>
      <c r="I589" s="150"/>
      <c r="J589" s="150"/>
      <c r="K589" s="134"/>
      <c r="L589" s="134"/>
      <c r="M589" s="134"/>
      <c r="N589" s="134"/>
      <c r="O589" s="134"/>
      <c r="P589" s="134"/>
      <c r="Q589" s="134"/>
      <c r="R589" s="134"/>
      <c r="S589" s="134"/>
      <c r="T589" s="134"/>
      <c r="U589" s="134"/>
      <c r="V589" s="134"/>
      <c r="W589" s="134"/>
      <c r="X589" s="134"/>
      <c r="Y589" s="134"/>
      <c r="Z589" s="134"/>
      <c r="AA589" s="134"/>
    </row>
    <row r="590" ht="15.75" customHeight="1">
      <c r="A590" s="149"/>
      <c r="B590" s="149"/>
      <c r="C590" s="149"/>
      <c r="D590" s="149"/>
      <c r="E590" s="149"/>
      <c r="F590" s="149"/>
      <c r="G590" s="149"/>
      <c r="H590" s="135" t="str">
        <f>IFERROR(VLOOKUP(G590,'Conformance Score'!A:B, 2, 0), "")</f>
        <v/>
      </c>
      <c r="I590" s="150"/>
      <c r="J590" s="150"/>
      <c r="K590" s="134"/>
      <c r="L590" s="134"/>
      <c r="M590" s="134"/>
      <c r="N590" s="134"/>
      <c r="O590" s="134"/>
      <c r="P590" s="134"/>
      <c r="Q590" s="134"/>
      <c r="R590" s="134"/>
      <c r="S590" s="134"/>
      <c r="T590" s="134"/>
      <c r="U590" s="134"/>
      <c r="V590" s="134"/>
      <c r="W590" s="134"/>
      <c r="X590" s="134"/>
      <c r="Y590" s="134"/>
      <c r="Z590" s="134"/>
      <c r="AA590" s="134"/>
    </row>
    <row r="591" ht="15.75" customHeight="1">
      <c r="A591" s="149"/>
      <c r="B591" s="149"/>
      <c r="C591" s="149"/>
      <c r="D591" s="149"/>
      <c r="E591" s="149"/>
      <c r="F591" s="149"/>
      <c r="G591" s="149"/>
      <c r="H591" s="135" t="str">
        <f>IFERROR(VLOOKUP(G591,'Conformance Score'!A:B, 2, 0), "")</f>
        <v/>
      </c>
      <c r="I591" s="150"/>
      <c r="J591" s="150"/>
      <c r="K591" s="134"/>
      <c r="L591" s="134"/>
      <c r="M591" s="134"/>
      <c r="N591" s="134"/>
      <c r="O591" s="134"/>
      <c r="P591" s="134"/>
      <c r="Q591" s="134"/>
      <c r="R591" s="134"/>
      <c r="S591" s="134"/>
      <c r="T591" s="134"/>
      <c r="U591" s="134"/>
      <c r="V591" s="134"/>
      <c r="W591" s="134"/>
      <c r="X591" s="134"/>
      <c r="Y591" s="134"/>
      <c r="Z591" s="134"/>
      <c r="AA591" s="134"/>
    </row>
    <row r="592" ht="15.75" customHeight="1">
      <c r="A592" s="149"/>
      <c r="B592" s="149"/>
      <c r="C592" s="149"/>
      <c r="D592" s="149"/>
      <c r="E592" s="149"/>
      <c r="F592" s="149"/>
      <c r="G592" s="149"/>
      <c r="H592" s="135" t="str">
        <f>IFERROR(VLOOKUP(G592,'Conformance Score'!A:B, 2, 0), "")</f>
        <v/>
      </c>
      <c r="I592" s="150"/>
      <c r="J592" s="150"/>
      <c r="K592" s="134"/>
      <c r="L592" s="134"/>
      <c r="M592" s="134"/>
      <c r="N592" s="134"/>
      <c r="O592" s="134"/>
      <c r="P592" s="134"/>
      <c r="Q592" s="134"/>
      <c r="R592" s="134"/>
      <c r="S592" s="134"/>
      <c r="T592" s="134"/>
      <c r="U592" s="134"/>
      <c r="V592" s="134"/>
      <c r="W592" s="134"/>
      <c r="X592" s="134"/>
      <c r="Y592" s="134"/>
      <c r="Z592" s="134"/>
      <c r="AA592" s="134"/>
    </row>
    <row r="593" ht="15.75" customHeight="1">
      <c r="A593" s="149"/>
      <c r="B593" s="149"/>
      <c r="C593" s="149"/>
      <c r="D593" s="149"/>
      <c r="E593" s="149"/>
      <c r="F593" s="149"/>
      <c r="G593" s="149"/>
      <c r="H593" s="135" t="str">
        <f>IFERROR(VLOOKUP(G593,'Conformance Score'!A:B, 2, 0), "")</f>
        <v/>
      </c>
      <c r="I593" s="150"/>
      <c r="J593" s="150"/>
      <c r="K593" s="134"/>
      <c r="L593" s="134"/>
      <c r="M593" s="134"/>
      <c r="N593" s="134"/>
      <c r="O593" s="134"/>
      <c r="P593" s="134"/>
      <c r="Q593" s="134"/>
      <c r="R593" s="134"/>
      <c r="S593" s="134"/>
      <c r="T593" s="134"/>
      <c r="U593" s="134"/>
      <c r="V593" s="134"/>
      <c r="W593" s="134"/>
      <c r="X593" s="134"/>
      <c r="Y593" s="134"/>
      <c r="Z593" s="134"/>
      <c r="AA593" s="134"/>
    </row>
    <row r="594" ht="15.75" customHeight="1">
      <c r="A594" s="149"/>
      <c r="B594" s="149"/>
      <c r="C594" s="149"/>
      <c r="D594" s="149"/>
      <c r="E594" s="149"/>
      <c r="F594" s="149"/>
      <c r="G594" s="149"/>
      <c r="H594" s="135" t="str">
        <f>IFERROR(VLOOKUP(G594,'Conformance Score'!A:B, 2, 0), "")</f>
        <v/>
      </c>
      <c r="I594" s="150"/>
      <c r="J594" s="150"/>
      <c r="K594" s="134"/>
      <c r="L594" s="134"/>
      <c r="M594" s="134"/>
      <c r="N594" s="134"/>
      <c r="O594" s="134"/>
      <c r="P594" s="134"/>
      <c r="Q594" s="134"/>
      <c r="R594" s="134"/>
      <c r="S594" s="134"/>
      <c r="T594" s="134"/>
      <c r="U594" s="134"/>
      <c r="V594" s="134"/>
      <c r="W594" s="134"/>
      <c r="X594" s="134"/>
      <c r="Y594" s="134"/>
      <c r="Z594" s="134"/>
      <c r="AA594" s="134"/>
    </row>
    <row r="595" ht="15.75" customHeight="1">
      <c r="A595" s="149"/>
      <c r="B595" s="149"/>
      <c r="C595" s="149"/>
      <c r="D595" s="149"/>
      <c r="E595" s="149"/>
      <c r="F595" s="149"/>
      <c r="G595" s="149"/>
      <c r="H595" s="135" t="str">
        <f>IFERROR(VLOOKUP(G595,'Conformance Score'!A:B, 2, 0), "")</f>
        <v/>
      </c>
      <c r="I595" s="150"/>
      <c r="J595" s="150"/>
      <c r="K595" s="134"/>
      <c r="L595" s="134"/>
      <c r="M595" s="134"/>
      <c r="N595" s="134"/>
      <c r="O595" s="134"/>
      <c r="P595" s="134"/>
      <c r="Q595" s="134"/>
      <c r="R595" s="134"/>
      <c r="S595" s="134"/>
      <c r="T595" s="134"/>
      <c r="U595" s="134"/>
      <c r="V595" s="134"/>
      <c r="W595" s="134"/>
      <c r="X595" s="134"/>
      <c r="Y595" s="134"/>
      <c r="Z595" s="134"/>
      <c r="AA595" s="134"/>
    </row>
    <row r="596" ht="15.75" customHeight="1">
      <c r="A596" s="149"/>
      <c r="B596" s="149"/>
      <c r="C596" s="149"/>
      <c r="D596" s="149"/>
      <c r="E596" s="149"/>
      <c r="F596" s="149"/>
      <c r="G596" s="149"/>
      <c r="H596" s="135" t="str">
        <f>IFERROR(VLOOKUP(G596,'Conformance Score'!A:B, 2, 0), "")</f>
        <v/>
      </c>
      <c r="I596" s="150"/>
      <c r="J596" s="150"/>
      <c r="K596" s="134"/>
      <c r="L596" s="134"/>
      <c r="M596" s="134"/>
      <c r="N596" s="134"/>
      <c r="O596" s="134"/>
      <c r="P596" s="134"/>
      <c r="Q596" s="134"/>
      <c r="R596" s="134"/>
      <c r="S596" s="134"/>
      <c r="T596" s="134"/>
      <c r="U596" s="134"/>
      <c r="V596" s="134"/>
      <c r="W596" s="134"/>
      <c r="X596" s="134"/>
      <c r="Y596" s="134"/>
      <c r="Z596" s="134"/>
      <c r="AA596" s="134"/>
    </row>
    <row r="597" ht="15.75" customHeight="1">
      <c r="A597" s="149"/>
      <c r="B597" s="149"/>
      <c r="C597" s="149"/>
      <c r="D597" s="149"/>
      <c r="E597" s="149"/>
      <c r="F597" s="149"/>
      <c r="G597" s="149"/>
      <c r="H597" s="135" t="str">
        <f>IFERROR(VLOOKUP(G597,'Conformance Score'!A:B, 2, 0), "")</f>
        <v/>
      </c>
      <c r="I597" s="150"/>
      <c r="J597" s="150"/>
      <c r="K597" s="134"/>
      <c r="L597" s="134"/>
      <c r="M597" s="134"/>
      <c r="N597" s="134"/>
      <c r="O597" s="134"/>
      <c r="P597" s="134"/>
      <c r="Q597" s="134"/>
      <c r="R597" s="134"/>
      <c r="S597" s="134"/>
      <c r="T597" s="134"/>
      <c r="U597" s="134"/>
      <c r="V597" s="134"/>
      <c r="W597" s="134"/>
      <c r="X597" s="134"/>
      <c r="Y597" s="134"/>
      <c r="Z597" s="134"/>
      <c r="AA597" s="134"/>
    </row>
    <row r="598" ht="15.75" customHeight="1">
      <c r="A598" s="149"/>
      <c r="B598" s="149"/>
      <c r="C598" s="149"/>
      <c r="D598" s="149"/>
      <c r="E598" s="149"/>
      <c r="F598" s="149"/>
      <c r="G598" s="149"/>
      <c r="H598" s="135" t="str">
        <f>IFERROR(VLOOKUP(G598,'Conformance Score'!A:B, 2, 0), "")</f>
        <v/>
      </c>
      <c r="I598" s="150"/>
      <c r="J598" s="150"/>
      <c r="K598" s="134"/>
      <c r="L598" s="134"/>
      <c r="M598" s="134"/>
      <c r="N598" s="134"/>
      <c r="O598" s="134"/>
      <c r="P598" s="134"/>
      <c r="Q598" s="134"/>
      <c r="R598" s="134"/>
      <c r="S598" s="134"/>
      <c r="T598" s="134"/>
      <c r="U598" s="134"/>
      <c r="V598" s="134"/>
      <c r="W598" s="134"/>
      <c r="X598" s="134"/>
      <c r="Y598" s="134"/>
      <c r="Z598" s="134"/>
      <c r="AA598" s="134"/>
    </row>
    <row r="599" ht="15.75" customHeight="1">
      <c r="A599" s="149"/>
      <c r="B599" s="149"/>
      <c r="C599" s="149"/>
      <c r="D599" s="149"/>
      <c r="E599" s="149"/>
      <c r="F599" s="149"/>
      <c r="G599" s="149"/>
      <c r="H599" s="135" t="str">
        <f>IFERROR(VLOOKUP(G599,'Conformance Score'!A:B, 2, 0), "")</f>
        <v/>
      </c>
      <c r="I599" s="150"/>
      <c r="J599" s="150"/>
      <c r="K599" s="134"/>
      <c r="L599" s="134"/>
      <c r="M599" s="134"/>
      <c r="N599" s="134"/>
      <c r="O599" s="134"/>
      <c r="P599" s="134"/>
      <c r="Q599" s="134"/>
      <c r="R599" s="134"/>
      <c r="S599" s="134"/>
      <c r="T599" s="134"/>
      <c r="U599" s="134"/>
      <c r="V599" s="134"/>
      <c r="W599" s="134"/>
      <c r="X599" s="134"/>
      <c r="Y599" s="134"/>
      <c r="Z599" s="134"/>
      <c r="AA599" s="134"/>
    </row>
    <row r="600" ht="15.75" customHeight="1">
      <c r="A600" s="149"/>
      <c r="B600" s="149"/>
      <c r="C600" s="149"/>
      <c r="D600" s="149"/>
      <c r="E600" s="149"/>
      <c r="F600" s="149"/>
      <c r="G600" s="149"/>
      <c r="H600" s="135" t="str">
        <f>IFERROR(VLOOKUP(G600,'Conformance Score'!A:B, 2, 0), "")</f>
        <v/>
      </c>
      <c r="I600" s="150"/>
      <c r="J600" s="150"/>
      <c r="K600" s="134"/>
      <c r="L600" s="134"/>
      <c r="M600" s="134"/>
      <c r="N600" s="134"/>
      <c r="O600" s="134"/>
      <c r="P600" s="134"/>
      <c r="Q600" s="134"/>
      <c r="R600" s="134"/>
      <c r="S600" s="134"/>
      <c r="T600" s="134"/>
      <c r="U600" s="134"/>
      <c r="V600" s="134"/>
      <c r="W600" s="134"/>
      <c r="X600" s="134"/>
      <c r="Y600" s="134"/>
      <c r="Z600" s="134"/>
      <c r="AA600" s="134"/>
    </row>
    <row r="601" ht="15.75" customHeight="1">
      <c r="A601" s="149"/>
      <c r="B601" s="149"/>
      <c r="C601" s="149"/>
      <c r="D601" s="149"/>
      <c r="E601" s="149"/>
      <c r="F601" s="149"/>
      <c r="G601" s="149"/>
      <c r="H601" s="135" t="str">
        <f>IFERROR(VLOOKUP(G601,'Conformance Score'!A:B, 2, 0), "")</f>
        <v/>
      </c>
      <c r="I601" s="150"/>
      <c r="J601" s="150"/>
      <c r="K601" s="134"/>
      <c r="L601" s="134"/>
      <c r="M601" s="134"/>
      <c r="N601" s="134"/>
      <c r="O601" s="134"/>
      <c r="P601" s="134"/>
      <c r="Q601" s="134"/>
      <c r="R601" s="134"/>
      <c r="S601" s="134"/>
      <c r="T601" s="134"/>
      <c r="U601" s="134"/>
      <c r="V601" s="134"/>
      <c r="W601" s="134"/>
      <c r="X601" s="134"/>
      <c r="Y601" s="134"/>
      <c r="Z601" s="134"/>
      <c r="AA601" s="134"/>
    </row>
    <row r="602" ht="15.75" customHeight="1">
      <c r="A602" s="149"/>
      <c r="B602" s="149"/>
      <c r="C602" s="149"/>
      <c r="D602" s="149"/>
      <c r="E602" s="149"/>
      <c r="F602" s="149"/>
      <c r="G602" s="149"/>
      <c r="H602" s="135" t="str">
        <f>IFERROR(VLOOKUP(G602,'Conformance Score'!A:B, 2, 0), "")</f>
        <v/>
      </c>
      <c r="I602" s="150"/>
      <c r="J602" s="150"/>
      <c r="K602" s="134"/>
      <c r="L602" s="134"/>
      <c r="M602" s="134"/>
      <c r="N602" s="134"/>
      <c r="O602" s="134"/>
      <c r="P602" s="134"/>
      <c r="Q602" s="134"/>
      <c r="R602" s="134"/>
      <c r="S602" s="134"/>
      <c r="T602" s="134"/>
      <c r="U602" s="134"/>
      <c r="V602" s="134"/>
      <c r="W602" s="134"/>
      <c r="X602" s="134"/>
      <c r="Y602" s="134"/>
      <c r="Z602" s="134"/>
      <c r="AA602" s="134"/>
    </row>
    <row r="603" ht="15.75" customHeight="1">
      <c r="A603" s="149"/>
      <c r="B603" s="149"/>
      <c r="C603" s="149"/>
      <c r="D603" s="149"/>
      <c r="E603" s="149"/>
      <c r="F603" s="149"/>
      <c r="G603" s="149"/>
      <c r="H603" s="135" t="str">
        <f>IFERROR(VLOOKUP(G603,'Conformance Score'!A:B, 2, 0), "")</f>
        <v/>
      </c>
      <c r="I603" s="150"/>
      <c r="J603" s="150"/>
      <c r="K603" s="134"/>
      <c r="L603" s="134"/>
      <c r="M603" s="134"/>
      <c r="N603" s="134"/>
      <c r="O603" s="134"/>
      <c r="P603" s="134"/>
      <c r="Q603" s="134"/>
      <c r="R603" s="134"/>
      <c r="S603" s="134"/>
      <c r="T603" s="134"/>
      <c r="U603" s="134"/>
      <c r="V603" s="134"/>
      <c r="W603" s="134"/>
      <c r="X603" s="134"/>
      <c r="Y603" s="134"/>
      <c r="Z603" s="134"/>
      <c r="AA603" s="134"/>
    </row>
    <row r="604" ht="15.75" customHeight="1">
      <c r="A604" s="149"/>
      <c r="B604" s="149"/>
      <c r="C604" s="149"/>
      <c r="D604" s="149"/>
      <c r="E604" s="149"/>
      <c r="F604" s="149"/>
      <c r="G604" s="149"/>
      <c r="H604" s="135" t="str">
        <f>IFERROR(VLOOKUP(G604,'Conformance Score'!A:B, 2, 0), "")</f>
        <v/>
      </c>
      <c r="I604" s="150"/>
      <c r="J604" s="150"/>
      <c r="K604" s="134"/>
      <c r="L604" s="134"/>
      <c r="M604" s="134"/>
      <c r="N604" s="134"/>
      <c r="O604" s="134"/>
      <c r="P604" s="134"/>
      <c r="Q604" s="134"/>
      <c r="R604" s="134"/>
      <c r="S604" s="134"/>
      <c r="T604" s="134"/>
      <c r="U604" s="134"/>
      <c r="V604" s="134"/>
      <c r="W604" s="134"/>
      <c r="X604" s="134"/>
      <c r="Y604" s="134"/>
      <c r="Z604" s="134"/>
      <c r="AA604" s="134"/>
    </row>
    <row r="605" ht="15.75" customHeight="1">
      <c r="A605" s="149"/>
      <c r="B605" s="149"/>
      <c r="C605" s="149"/>
      <c r="D605" s="149"/>
      <c r="E605" s="149"/>
      <c r="F605" s="149"/>
      <c r="G605" s="149"/>
      <c r="H605" s="135" t="str">
        <f>IFERROR(VLOOKUP(G605,'Conformance Score'!A:B, 2, 0), "")</f>
        <v/>
      </c>
      <c r="I605" s="150"/>
      <c r="J605" s="150"/>
      <c r="K605" s="134"/>
      <c r="L605" s="134"/>
      <c r="M605" s="134"/>
      <c r="N605" s="134"/>
      <c r="O605" s="134"/>
      <c r="P605" s="134"/>
      <c r="Q605" s="134"/>
      <c r="R605" s="134"/>
      <c r="S605" s="134"/>
      <c r="T605" s="134"/>
      <c r="U605" s="134"/>
      <c r="V605" s="134"/>
      <c r="W605" s="134"/>
      <c r="X605" s="134"/>
      <c r="Y605" s="134"/>
      <c r="Z605" s="134"/>
      <c r="AA605" s="134"/>
    </row>
    <row r="606" ht="15.75" customHeight="1">
      <c r="A606" s="149"/>
      <c r="B606" s="149"/>
      <c r="C606" s="149"/>
      <c r="D606" s="149"/>
      <c r="E606" s="149"/>
      <c r="F606" s="149"/>
      <c r="G606" s="149"/>
      <c r="H606" s="135" t="str">
        <f>IFERROR(VLOOKUP(G606,'Conformance Score'!A:B, 2, 0), "")</f>
        <v/>
      </c>
      <c r="I606" s="150"/>
      <c r="J606" s="150"/>
      <c r="K606" s="134"/>
      <c r="L606" s="134"/>
      <c r="M606" s="134"/>
      <c r="N606" s="134"/>
      <c r="O606" s="134"/>
      <c r="P606" s="134"/>
      <c r="Q606" s="134"/>
      <c r="R606" s="134"/>
      <c r="S606" s="134"/>
      <c r="T606" s="134"/>
      <c r="U606" s="134"/>
      <c r="V606" s="134"/>
      <c r="W606" s="134"/>
      <c r="X606" s="134"/>
      <c r="Y606" s="134"/>
      <c r="Z606" s="134"/>
      <c r="AA606" s="134"/>
    </row>
    <row r="607" ht="15.75" customHeight="1">
      <c r="A607" s="149"/>
      <c r="B607" s="149"/>
      <c r="C607" s="149"/>
      <c r="D607" s="149"/>
      <c r="E607" s="149"/>
      <c r="F607" s="149"/>
      <c r="G607" s="149"/>
      <c r="H607" s="135" t="str">
        <f>IFERROR(VLOOKUP(G607,'Conformance Score'!A:B, 2, 0), "")</f>
        <v/>
      </c>
      <c r="I607" s="150"/>
      <c r="J607" s="150"/>
      <c r="K607" s="134"/>
      <c r="L607" s="134"/>
      <c r="M607" s="134"/>
      <c r="N607" s="134"/>
      <c r="O607" s="134"/>
      <c r="P607" s="134"/>
      <c r="Q607" s="134"/>
      <c r="R607" s="134"/>
      <c r="S607" s="134"/>
      <c r="T607" s="134"/>
      <c r="U607" s="134"/>
      <c r="V607" s="134"/>
      <c r="W607" s="134"/>
      <c r="X607" s="134"/>
      <c r="Y607" s="134"/>
      <c r="Z607" s="134"/>
      <c r="AA607" s="134"/>
    </row>
    <row r="608" ht="15.75" customHeight="1">
      <c r="A608" s="149"/>
      <c r="B608" s="149"/>
      <c r="C608" s="149"/>
      <c r="D608" s="149"/>
      <c r="E608" s="149"/>
      <c r="F608" s="149"/>
      <c r="G608" s="149"/>
      <c r="H608" s="135" t="str">
        <f>IFERROR(VLOOKUP(G608,'Conformance Score'!A:B, 2, 0), "")</f>
        <v/>
      </c>
      <c r="I608" s="150"/>
      <c r="J608" s="150"/>
      <c r="K608" s="134"/>
      <c r="L608" s="134"/>
      <c r="M608" s="134"/>
      <c r="N608" s="134"/>
      <c r="O608" s="134"/>
      <c r="P608" s="134"/>
      <c r="Q608" s="134"/>
      <c r="R608" s="134"/>
      <c r="S608" s="134"/>
      <c r="T608" s="134"/>
      <c r="U608" s="134"/>
      <c r="V608" s="134"/>
      <c r="W608" s="134"/>
      <c r="X608" s="134"/>
      <c r="Y608" s="134"/>
      <c r="Z608" s="134"/>
      <c r="AA608" s="134"/>
    </row>
    <row r="609" ht="15.75" customHeight="1">
      <c r="A609" s="149"/>
      <c r="B609" s="149"/>
      <c r="C609" s="149"/>
      <c r="D609" s="149"/>
      <c r="E609" s="149"/>
      <c r="F609" s="149"/>
      <c r="G609" s="149"/>
      <c r="H609" s="135" t="str">
        <f>IFERROR(VLOOKUP(G609,'Conformance Score'!A:B, 2, 0), "")</f>
        <v/>
      </c>
      <c r="I609" s="150"/>
      <c r="J609" s="150"/>
      <c r="K609" s="134"/>
      <c r="L609" s="134"/>
      <c r="M609" s="134"/>
      <c r="N609" s="134"/>
      <c r="O609" s="134"/>
      <c r="P609" s="134"/>
      <c r="Q609" s="134"/>
      <c r="R609" s="134"/>
      <c r="S609" s="134"/>
      <c r="T609" s="134"/>
      <c r="U609" s="134"/>
      <c r="V609" s="134"/>
      <c r="W609" s="134"/>
      <c r="X609" s="134"/>
      <c r="Y609" s="134"/>
      <c r="Z609" s="134"/>
      <c r="AA609" s="134"/>
    </row>
    <row r="610" ht="15.75" customHeight="1">
      <c r="A610" s="149"/>
      <c r="B610" s="149"/>
      <c r="C610" s="149"/>
      <c r="D610" s="149"/>
      <c r="E610" s="149"/>
      <c r="F610" s="149"/>
      <c r="G610" s="149"/>
      <c r="H610" s="135" t="str">
        <f>IFERROR(VLOOKUP(G610,'Conformance Score'!A:B, 2, 0), "")</f>
        <v/>
      </c>
      <c r="I610" s="150"/>
      <c r="J610" s="150"/>
      <c r="K610" s="134"/>
      <c r="L610" s="134"/>
      <c r="M610" s="134"/>
      <c r="N610" s="134"/>
      <c r="O610" s="134"/>
      <c r="P610" s="134"/>
      <c r="Q610" s="134"/>
      <c r="R610" s="134"/>
      <c r="S610" s="134"/>
      <c r="T610" s="134"/>
      <c r="U610" s="134"/>
      <c r="V610" s="134"/>
      <c r="W610" s="134"/>
      <c r="X610" s="134"/>
      <c r="Y610" s="134"/>
      <c r="Z610" s="134"/>
      <c r="AA610" s="134"/>
    </row>
    <row r="611" ht="15.75" customHeight="1">
      <c r="A611" s="149"/>
      <c r="B611" s="149"/>
      <c r="C611" s="149"/>
      <c r="D611" s="149"/>
      <c r="E611" s="149"/>
      <c r="F611" s="149"/>
      <c r="G611" s="149"/>
      <c r="H611" s="135" t="str">
        <f>IFERROR(VLOOKUP(G611,'Conformance Score'!A:B, 2, 0), "")</f>
        <v/>
      </c>
      <c r="I611" s="150"/>
      <c r="J611" s="150"/>
      <c r="K611" s="134"/>
      <c r="L611" s="134"/>
      <c r="M611" s="134"/>
      <c r="N611" s="134"/>
      <c r="O611" s="134"/>
      <c r="P611" s="134"/>
      <c r="Q611" s="134"/>
      <c r="R611" s="134"/>
      <c r="S611" s="134"/>
      <c r="T611" s="134"/>
      <c r="U611" s="134"/>
      <c r="V611" s="134"/>
      <c r="W611" s="134"/>
      <c r="X611" s="134"/>
      <c r="Y611" s="134"/>
      <c r="Z611" s="134"/>
      <c r="AA611" s="134"/>
    </row>
    <row r="612" ht="15.75" customHeight="1">
      <c r="A612" s="149"/>
      <c r="B612" s="149"/>
      <c r="C612" s="149"/>
      <c r="D612" s="149"/>
      <c r="E612" s="149"/>
      <c r="F612" s="149"/>
      <c r="G612" s="149"/>
      <c r="H612" s="135" t="str">
        <f>IFERROR(VLOOKUP(G612,'Conformance Score'!A:B, 2, 0), "")</f>
        <v/>
      </c>
      <c r="I612" s="150"/>
      <c r="J612" s="150"/>
      <c r="K612" s="134"/>
      <c r="L612" s="134"/>
      <c r="M612" s="134"/>
      <c r="N612" s="134"/>
      <c r="O612" s="134"/>
      <c r="P612" s="134"/>
      <c r="Q612" s="134"/>
      <c r="R612" s="134"/>
      <c r="S612" s="134"/>
      <c r="T612" s="134"/>
      <c r="U612" s="134"/>
      <c r="V612" s="134"/>
      <c r="W612" s="134"/>
      <c r="X612" s="134"/>
      <c r="Y612" s="134"/>
      <c r="Z612" s="134"/>
      <c r="AA612" s="134"/>
    </row>
    <row r="613" ht="15.75" customHeight="1">
      <c r="A613" s="149"/>
      <c r="B613" s="149"/>
      <c r="C613" s="149"/>
      <c r="D613" s="149"/>
      <c r="E613" s="149"/>
      <c r="F613" s="149"/>
      <c r="G613" s="149"/>
      <c r="H613" s="135" t="str">
        <f>IFERROR(VLOOKUP(G613,'Conformance Score'!A:B, 2, 0), "")</f>
        <v/>
      </c>
      <c r="I613" s="150"/>
      <c r="J613" s="150"/>
      <c r="K613" s="134"/>
      <c r="L613" s="134"/>
      <c r="M613" s="134"/>
      <c r="N613" s="134"/>
      <c r="O613" s="134"/>
      <c r="P613" s="134"/>
      <c r="Q613" s="134"/>
      <c r="R613" s="134"/>
      <c r="S613" s="134"/>
      <c r="T613" s="134"/>
      <c r="U613" s="134"/>
      <c r="V613" s="134"/>
      <c r="W613" s="134"/>
      <c r="X613" s="134"/>
      <c r="Y613" s="134"/>
      <c r="Z613" s="134"/>
      <c r="AA613" s="134"/>
    </row>
    <row r="614" ht="15.75" customHeight="1">
      <c r="A614" s="149"/>
      <c r="B614" s="149"/>
      <c r="C614" s="149"/>
      <c r="D614" s="149"/>
      <c r="E614" s="149"/>
      <c r="F614" s="149"/>
      <c r="G614" s="149"/>
      <c r="H614" s="135" t="str">
        <f>IFERROR(VLOOKUP(G614,'Conformance Score'!A:B, 2, 0), "")</f>
        <v/>
      </c>
      <c r="I614" s="150"/>
      <c r="J614" s="150"/>
      <c r="K614" s="134"/>
      <c r="L614" s="134"/>
      <c r="M614" s="134"/>
      <c r="N614" s="134"/>
      <c r="O614" s="134"/>
      <c r="P614" s="134"/>
      <c r="Q614" s="134"/>
      <c r="R614" s="134"/>
      <c r="S614" s="134"/>
      <c r="T614" s="134"/>
      <c r="U614" s="134"/>
      <c r="V614" s="134"/>
      <c r="W614" s="134"/>
      <c r="X614" s="134"/>
      <c r="Y614" s="134"/>
      <c r="Z614" s="134"/>
      <c r="AA614" s="134"/>
    </row>
    <row r="615" ht="15.75" customHeight="1">
      <c r="A615" s="149"/>
      <c r="B615" s="149"/>
      <c r="C615" s="149"/>
      <c r="D615" s="149"/>
      <c r="E615" s="149"/>
      <c r="F615" s="149"/>
      <c r="G615" s="149"/>
      <c r="H615" s="135" t="str">
        <f>IFERROR(VLOOKUP(G615,'Conformance Score'!A:B, 2, 0), "")</f>
        <v/>
      </c>
      <c r="I615" s="150"/>
      <c r="J615" s="150"/>
      <c r="K615" s="134"/>
      <c r="L615" s="134"/>
      <c r="M615" s="134"/>
      <c r="N615" s="134"/>
      <c r="O615" s="134"/>
      <c r="P615" s="134"/>
      <c r="Q615" s="134"/>
      <c r="R615" s="134"/>
      <c r="S615" s="134"/>
      <c r="T615" s="134"/>
      <c r="U615" s="134"/>
      <c r="V615" s="134"/>
      <c r="W615" s="134"/>
      <c r="X615" s="134"/>
      <c r="Y615" s="134"/>
      <c r="Z615" s="134"/>
      <c r="AA615" s="134"/>
    </row>
    <row r="616" ht="15.75" customHeight="1">
      <c r="A616" s="149"/>
      <c r="B616" s="149"/>
      <c r="C616" s="149"/>
      <c r="D616" s="149"/>
      <c r="E616" s="149"/>
      <c r="F616" s="149"/>
      <c r="G616" s="149"/>
      <c r="H616" s="135" t="str">
        <f>IFERROR(VLOOKUP(G616,'Conformance Score'!A:B, 2, 0), "")</f>
        <v/>
      </c>
      <c r="I616" s="150"/>
      <c r="J616" s="150"/>
      <c r="K616" s="134"/>
      <c r="L616" s="134"/>
      <c r="M616" s="134"/>
      <c r="N616" s="134"/>
      <c r="O616" s="134"/>
      <c r="P616" s="134"/>
      <c r="Q616" s="134"/>
      <c r="R616" s="134"/>
      <c r="S616" s="134"/>
      <c r="T616" s="134"/>
      <c r="U616" s="134"/>
      <c r="V616" s="134"/>
      <c r="W616" s="134"/>
      <c r="X616" s="134"/>
      <c r="Y616" s="134"/>
      <c r="Z616" s="134"/>
      <c r="AA616" s="134"/>
    </row>
    <row r="617" ht="15.75" customHeight="1">
      <c r="A617" s="149"/>
      <c r="B617" s="149"/>
      <c r="C617" s="149"/>
      <c r="D617" s="149"/>
      <c r="E617" s="149"/>
      <c r="F617" s="149"/>
      <c r="G617" s="149"/>
      <c r="H617" s="135" t="str">
        <f>IFERROR(VLOOKUP(G617,'Conformance Score'!A:B, 2, 0), "")</f>
        <v/>
      </c>
      <c r="I617" s="150"/>
      <c r="J617" s="150"/>
      <c r="K617" s="134"/>
      <c r="L617" s="134"/>
      <c r="M617" s="134"/>
      <c r="N617" s="134"/>
      <c r="O617" s="134"/>
      <c r="P617" s="134"/>
      <c r="Q617" s="134"/>
      <c r="R617" s="134"/>
      <c r="S617" s="134"/>
      <c r="T617" s="134"/>
      <c r="U617" s="134"/>
      <c r="V617" s="134"/>
      <c r="W617" s="134"/>
      <c r="X617" s="134"/>
      <c r="Y617" s="134"/>
      <c r="Z617" s="134"/>
      <c r="AA617" s="134"/>
    </row>
    <row r="618" ht="15.75" customHeight="1">
      <c r="A618" s="149"/>
      <c r="B618" s="149"/>
      <c r="C618" s="149"/>
      <c r="D618" s="149"/>
      <c r="E618" s="149"/>
      <c r="F618" s="149"/>
      <c r="G618" s="149"/>
      <c r="H618" s="135" t="str">
        <f>IFERROR(VLOOKUP(G618,'Conformance Score'!A:B, 2, 0), "")</f>
        <v/>
      </c>
      <c r="I618" s="150"/>
      <c r="J618" s="150"/>
      <c r="K618" s="134"/>
      <c r="L618" s="134"/>
      <c r="M618" s="134"/>
      <c r="N618" s="134"/>
      <c r="O618" s="134"/>
      <c r="P618" s="134"/>
      <c r="Q618" s="134"/>
      <c r="R618" s="134"/>
      <c r="S618" s="134"/>
      <c r="T618" s="134"/>
      <c r="U618" s="134"/>
      <c r="V618" s="134"/>
      <c r="W618" s="134"/>
      <c r="X618" s="134"/>
      <c r="Y618" s="134"/>
      <c r="Z618" s="134"/>
      <c r="AA618" s="134"/>
    </row>
    <row r="619" ht="15.75" customHeight="1">
      <c r="A619" s="149"/>
      <c r="B619" s="149"/>
      <c r="C619" s="149"/>
      <c r="D619" s="149"/>
      <c r="E619" s="149"/>
      <c r="F619" s="149"/>
      <c r="G619" s="149"/>
      <c r="H619" s="135" t="str">
        <f>IFERROR(VLOOKUP(G619,'Conformance Score'!A:B, 2, 0), "")</f>
        <v/>
      </c>
      <c r="I619" s="150"/>
      <c r="J619" s="150"/>
      <c r="K619" s="134"/>
      <c r="L619" s="134"/>
      <c r="M619" s="134"/>
      <c r="N619" s="134"/>
      <c r="O619" s="134"/>
      <c r="P619" s="134"/>
      <c r="Q619" s="134"/>
      <c r="R619" s="134"/>
      <c r="S619" s="134"/>
      <c r="T619" s="134"/>
      <c r="U619" s="134"/>
      <c r="V619" s="134"/>
      <c r="W619" s="134"/>
      <c r="X619" s="134"/>
      <c r="Y619" s="134"/>
      <c r="Z619" s="134"/>
      <c r="AA619" s="134"/>
    </row>
    <row r="620" ht="15.75" customHeight="1">
      <c r="A620" s="149"/>
      <c r="B620" s="149"/>
      <c r="C620" s="149"/>
      <c r="D620" s="149"/>
      <c r="E620" s="149"/>
      <c r="F620" s="149"/>
      <c r="G620" s="149"/>
      <c r="H620" s="135" t="str">
        <f>IFERROR(VLOOKUP(G620,'Conformance Score'!A:B, 2, 0), "")</f>
        <v/>
      </c>
      <c r="I620" s="150"/>
      <c r="J620" s="150"/>
      <c r="K620" s="134"/>
      <c r="L620" s="134"/>
      <c r="M620" s="134"/>
      <c r="N620" s="134"/>
      <c r="O620" s="134"/>
      <c r="P620" s="134"/>
      <c r="Q620" s="134"/>
      <c r="R620" s="134"/>
      <c r="S620" s="134"/>
      <c r="T620" s="134"/>
      <c r="U620" s="134"/>
      <c r="V620" s="134"/>
      <c r="W620" s="134"/>
      <c r="X620" s="134"/>
      <c r="Y620" s="134"/>
      <c r="Z620" s="134"/>
      <c r="AA620" s="134"/>
    </row>
    <row r="621" ht="15.75" customHeight="1">
      <c r="A621" s="149"/>
      <c r="B621" s="149"/>
      <c r="C621" s="149"/>
      <c r="D621" s="149"/>
      <c r="E621" s="149"/>
      <c r="F621" s="149"/>
      <c r="G621" s="149"/>
      <c r="H621" s="135" t="str">
        <f>IFERROR(VLOOKUP(G621,'Conformance Score'!A:B, 2, 0), "")</f>
        <v/>
      </c>
      <c r="I621" s="150"/>
      <c r="J621" s="150"/>
      <c r="K621" s="134"/>
      <c r="L621" s="134"/>
      <c r="M621" s="134"/>
      <c r="N621" s="134"/>
      <c r="O621" s="134"/>
      <c r="P621" s="134"/>
      <c r="Q621" s="134"/>
      <c r="R621" s="134"/>
      <c r="S621" s="134"/>
      <c r="T621" s="134"/>
      <c r="U621" s="134"/>
      <c r="V621" s="134"/>
      <c r="W621" s="134"/>
      <c r="X621" s="134"/>
      <c r="Y621" s="134"/>
      <c r="Z621" s="134"/>
      <c r="AA621" s="134"/>
    </row>
    <row r="622" ht="15.75" customHeight="1">
      <c r="A622" s="149"/>
      <c r="B622" s="149"/>
      <c r="C622" s="149"/>
      <c r="D622" s="149"/>
      <c r="E622" s="149"/>
      <c r="F622" s="149"/>
      <c r="G622" s="149"/>
      <c r="H622" s="135" t="str">
        <f>IFERROR(VLOOKUP(G622,'Conformance Score'!A:B, 2, 0), "")</f>
        <v/>
      </c>
      <c r="I622" s="150"/>
      <c r="J622" s="150"/>
      <c r="K622" s="134"/>
      <c r="L622" s="134"/>
      <c r="M622" s="134"/>
      <c r="N622" s="134"/>
      <c r="O622" s="134"/>
      <c r="P622" s="134"/>
      <c r="Q622" s="134"/>
      <c r="R622" s="134"/>
      <c r="S622" s="134"/>
      <c r="T622" s="134"/>
      <c r="U622" s="134"/>
      <c r="V622" s="134"/>
      <c r="W622" s="134"/>
      <c r="X622" s="134"/>
      <c r="Y622" s="134"/>
      <c r="Z622" s="134"/>
      <c r="AA622" s="134"/>
    </row>
    <row r="623" ht="15.75" customHeight="1">
      <c r="A623" s="149"/>
      <c r="B623" s="149"/>
      <c r="C623" s="149"/>
      <c r="D623" s="149"/>
      <c r="E623" s="149"/>
      <c r="F623" s="149"/>
      <c r="G623" s="149"/>
      <c r="H623" s="135" t="str">
        <f>IFERROR(VLOOKUP(G623,'Conformance Score'!A:B, 2, 0), "")</f>
        <v/>
      </c>
      <c r="I623" s="150"/>
      <c r="J623" s="150"/>
      <c r="K623" s="134"/>
      <c r="L623" s="134"/>
      <c r="M623" s="134"/>
      <c r="N623" s="134"/>
      <c r="O623" s="134"/>
      <c r="P623" s="134"/>
      <c r="Q623" s="134"/>
      <c r="R623" s="134"/>
      <c r="S623" s="134"/>
      <c r="T623" s="134"/>
      <c r="U623" s="134"/>
      <c r="V623" s="134"/>
      <c r="W623" s="134"/>
      <c r="X623" s="134"/>
      <c r="Y623" s="134"/>
      <c r="Z623" s="134"/>
      <c r="AA623" s="134"/>
    </row>
    <row r="624" ht="15.75" customHeight="1">
      <c r="A624" s="149"/>
      <c r="B624" s="149"/>
      <c r="C624" s="149"/>
      <c r="D624" s="149"/>
      <c r="E624" s="149"/>
      <c r="F624" s="149"/>
      <c r="G624" s="149"/>
      <c r="H624" s="135" t="str">
        <f>IFERROR(VLOOKUP(G624,'Conformance Score'!A:B, 2, 0), "")</f>
        <v/>
      </c>
      <c r="I624" s="150"/>
      <c r="J624" s="150"/>
      <c r="K624" s="134"/>
      <c r="L624" s="134"/>
      <c r="M624" s="134"/>
      <c r="N624" s="134"/>
      <c r="O624" s="134"/>
      <c r="P624" s="134"/>
      <c r="Q624" s="134"/>
      <c r="R624" s="134"/>
      <c r="S624" s="134"/>
      <c r="T624" s="134"/>
      <c r="U624" s="134"/>
      <c r="V624" s="134"/>
      <c r="W624" s="134"/>
      <c r="X624" s="134"/>
      <c r="Y624" s="134"/>
      <c r="Z624" s="134"/>
      <c r="AA624" s="134"/>
    </row>
    <row r="625" ht="15.75" customHeight="1">
      <c r="A625" s="149"/>
      <c r="B625" s="149"/>
      <c r="C625" s="149"/>
      <c r="D625" s="149"/>
      <c r="E625" s="149"/>
      <c r="F625" s="149"/>
      <c r="G625" s="149"/>
      <c r="H625" s="135" t="str">
        <f>IFERROR(VLOOKUP(G625,'Conformance Score'!A:B, 2, 0), "")</f>
        <v/>
      </c>
      <c r="I625" s="150"/>
      <c r="J625" s="150"/>
      <c r="K625" s="134"/>
      <c r="L625" s="134"/>
      <c r="M625" s="134"/>
      <c r="N625" s="134"/>
      <c r="O625" s="134"/>
      <c r="P625" s="134"/>
      <c r="Q625" s="134"/>
      <c r="R625" s="134"/>
      <c r="S625" s="134"/>
      <c r="T625" s="134"/>
      <c r="U625" s="134"/>
      <c r="V625" s="134"/>
      <c r="W625" s="134"/>
      <c r="X625" s="134"/>
      <c r="Y625" s="134"/>
      <c r="Z625" s="134"/>
      <c r="AA625" s="134"/>
    </row>
    <row r="626" ht="15.75" customHeight="1">
      <c r="A626" s="149"/>
      <c r="B626" s="149"/>
      <c r="C626" s="149"/>
      <c r="D626" s="149"/>
      <c r="E626" s="149"/>
      <c r="F626" s="149"/>
      <c r="G626" s="149"/>
      <c r="H626" s="135" t="str">
        <f>IFERROR(VLOOKUP(G626,'Conformance Score'!A:B, 2, 0), "")</f>
        <v/>
      </c>
      <c r="I626" s="150"/>
      <c r="J626" s="150"/>
      <c r="K626" s="134"/>
      <c r="L626" s="134"/>
      <c r="M626" s="134"/>
      <c r="N626" s="134"/>
      <c r="O626" s="134"/>
      <c r="P626" s="134"/>
      <c r="Q626" s="134"/>
      <c r="R626" s="134"/>
      <c r="S626" s="134"/>
      <c r="T626" s="134"/>
      <c r="U626" s="134"/>
      <c r="V626" s="134"/>
      <c r="W626" s="134"/>
      <c r="X626" s="134"/>
      <c r="Y626" s="134"/>
      <c r="Z626" s="134"/>
      <c r="AA626" s="134"/>
    </row>
    <row r="627" ht="15.75" customHeight="1">
      <c r="A627" s="149"/>
      <c r="B627" s="149"/>
      <c r="C627" s="149"/>
      <c r="D627" s="149"/>
      <c r="E627" s="149"/>
      <c r="F627" s="149"/>
      <c r="G627" s="149"/>
      <c r="H627" s="135" t="str">
        <f>IFERROR(VLOOKUP(G627,'Conformance Score'!A:B, 2, 0), "")</f>
        <v/>
      </c>
      <c r="I627" s="150"/>
      <c r="J627" s="150"/>
      <c r="K627" s="134"/>
      <c r="L627" s="134"/>
      <c r="M627" s="134"/>
      <c r="N627" s="134"/>
      <c r="O627" s="134"/>
      <c r="P627" s="134"/>
      <c r="Q627" s="134"/>
      <c r="R627" s="134"/>
      <c r="S627" s="134"/>
      <c r="T627" s="134"/>
      <c r="U627" s="134"/>
      <c r="V627" s="134"/>
      <c r="W627" s="134"/>
      <c r="X627" s="134"/>
      <c r="Y627" s="134"/>
      <c r="Z627" s="134"/>
      <c r="AA627" s="134"/>
    </row>
    <row r="628" ht="15.75" customHeight="1">
      <c r="A628" s="149"/>
      <c r="B628" s="149"/>
      <c r="C628" s="149"/>
      <c r="D628" s="149"/>
      <c r="E628" s="149"/>
      <c r="F628" s="149"/>
      <c r="G628" s="149"/>
      <c r="H628" s="135" t="str">
        <f>IFERROR(VLOOKUP(G628,'Conformance Score'!A:B, 2, 0), "")</f>
        <v/>
      </c>
      <c r="I628" s="150"/>
      <c r="J628" s="150"/>
      <c r="K628" s="134"/>
      <c r="L628" s="134"/>
      <c r="M628" s="134"/>
      <c r="N628" s="134"/>
      <c r="O628" s="134"/>
      <c r="P628" s="134"/>
      <c r="Q628" s="134"/>
      <c r="R628" s="134"/>
      <c r="S628" s="134"/>
      <c r="T628" s="134"/>
      <c r="U628" s="134"/>
      <c r="V628" s="134"/>
      <c r="W628" s="134"/>
      <c r="X628" s="134"/>
      <c r="Y628" s="134"/>
      <c r="Z628" s="134"/>
      <c r="AA628" s="134"/>
    </row>
    <row r="629" ht="15.75" customHeight="1">
      <c r="A629" s="149"/>
      <c r="B629" s="149"/>
      <c r="C629" s="149"/>
      <c r="D629" s="149"/>
      <c r="E629" s="149"/>
      <c r="F629" s="149"/>
      <c r="G629" s="149"/>
      <c r="H629" s="135" t="str">
        <f>IFERROR(VLOOKUP(G629,'Conformance Score'!A:B, 2, 0), "")</f>
        <v/>
      </c>
      <c r="I629" s="150"/>
      <c r="J629" s="150"/>
      <c r="K629" s="134"/>
      <c r="L629" s="134"/>
      <c r="M629" s="134"/>
      <c r="N629" s="134"/>
      <c r="O629" s="134"/>
      <c r="P629" s="134"/>
      <c r="Q629" s="134"/>
      <c r="R629" s="134"/>
      <c r="S629" s="134"/>
      <c r="T629" s="134"/>
      <c r="U629" s="134"/>
      <c r="V629" s="134"/>
      <c r="W629" s="134"/>
      <c r="X629" s="134"/>
      <c r="Y629" s="134"/>
      <c r="Z629" s="134"/>
      <c r="AA629" s="134"/>
    </row>
    <row r="630" ht="15.75" customHeight="1">
      <c r="A630" s="149"/>
      <c r="B630" s="149"/>
      <c r="C630" s="149"/>
      <c r="D630" s="149"/>
      <c r="E630" s="149"/>
      <c r="F630" s="149"/>
      <c r="G630" s="149"/>
      <c r="H630" s="135" t="str">
        <f>IFERROR(VLOOKUP(G630,'Conformance Score'!A:B, 2, 0), "")</f>
        <v/>
      </c>
      <c r="I630" s="150"/>
      <c r="J630" s="150"/>
      <c r="K630" s="134"/>
      <c r="L630" s="134"/>
      <c r="M630" s="134"/>
      <c r="N630" s="134"/>
      <c r="O630" s="134"/>
      <c r="P630" s="134"/>
      <c r="Q630" s="134"/>
      <c r="R630" s="134"/>
      <c r="S630" s="134"/>
      <c r="T630" s="134"/>
      <c r="U630" s="134"/>
      <c r="V630" s="134"/>
      <c r="W630" s="134"/>
      <c r="X630" s="134"/>
      <c r="Y630" s="134"/>
      <c r="Z630" s="134"/>
      <c r="AA630" s="134"/>
    </row>
    <row r="631" ht="15.75" customHeight="1">
      <c r="A631" s="149"/>
      <c r="B631" s="149"/>
      <c r="C631" s="149"/>
      <c r="D631" s="149"/>
      <c r="E631" s="149"/>
      <c r="F631" s="149"/>
      <c r="G631" s="149"/>
      <c r="H631" s="135" t="str">
        <f>IFERROR(VLOOKUP(G631,'Conformance Score'!A:B, 2, 0), "")</f>
        <v/>
      </c>
      <c r="I631" s="150"/>
      <c r="J631" s="150"/>
      <c r="K631" s="134"/>
      <c r="L631" s="134"/>
      <c r="M631" s="134"/>
      <c r="N631" s="134"/>
      <c r="O631" s="134"/>
      <c r="P631" s="134"/>
      <c r="Q631" s="134"/>
      <c r="R631" s="134"/>
      <c r="S631" s="134"/>
      <c r="T631" s="134"/>
      <c r="U631" s="134"/>
      <c r="V631" s="134"/>
      <c r="W631" s="134"/>
      <c r="X631" s="134"/>
      <c r="Y631" s="134"/>
      <c r="Z631" s="134"/>
      <c r="AA631" s="134"/>
    </row>
    <row r="632" ht="15.75" customHeight="1">
      <c r="A632" s="149"/>
      <c r="B632" s="149"/>
      <c r="C632" s="149"/>
      <c r="D632" s="149"/>
      <c r="E632" s="149"/>
      <c r="F632" s="149"/>
      <c r="G632" s="149"/>
      <c r="H632" s="135" t="str">
        <f>IFERROR(VLOOKUP(G632,'Conformance Score'!A:B, 2, 0), "")</f>
        <v/>
      </c>
      <c r="I632" s="150"/>
      <c r="J632" s="150"/>
      <c r="K632" s="134"/>
      <c r="L632" s="134"/>
      <c r="M632" s="134"/>
      <c r="N632" s="134"/>
      <c r="O632" s="134"/>
      <c r="P632" s="134"/>
      <c r="Q632" s="134"/>
      <c r="R632" s="134"/>
      <c r="S632" s="134"/>
      <c r="T632" s="134"/>
      <c r="U632" s="134"/>
      <c r="V632" s="134"/>
      <c r="W632" s="134"/>
      <c r="X632" s="134"/>
      <c r="Y632" s="134"/>
      <c r="Z632" s="134"/>
      <c r="AA632" s="134"/>
    </row>
    <row r="633" ht="15.75" customHeight="1">
      <c r="A633" s="149"/>
      <c r="B633" s="149"/>
      <c r="C633" s="149"/>
      <c r="D633" s="149"/>
      <c r="E633" s="149"/>
      <c r="F633" s="149"/>
      <c r="G633" s="149"/>
      <c r="H633" s="135" t="str">
        <f>IFERROR(VLOOKUP(G633,'Conformance Score'!A:B, 2, 0), "")</f>
        <v/>
      </c>
      <c r="I633" s="150"/>
      <c r="J633" s="150"/>
      <c r="K633" s="134"/>
      <c r="L633" s="134"/>
      <c r="M633" s="134"/>
      <c r="N633" s="134"/>
      <c r="O633" s="134"/>
      <c r="P633" s="134"/>
      <c r="Q633" s="134"/>
      <c r="R633" s="134"/>
      <c r="S633" s="134"/>
      <c r="T633" s="134"/>
      <c r="U633" s="134"/>
      <c r="V633" s="134"/>
      <c r="W633" s="134"/>
      <c r="X633" s="134"/>
      <c r="Y633" s="134"/>
      <c r="Z633" s="134"/>
      <c r="AA633" s="134"/>
    </row>
    <row r="634" ht="15.75" customHeight="1">
      <c r="A634" s="149"/>
      <c r="B634" s="149"/>
      <c r="C634" s="149"/>
      <c r="D634" s="149"/>
      <c r="E634" s="149"/>
      <c r="F634" s="149"/>
      <c r="G634" s="149"/>
      <c r="H634" s="135" t="str">
        <f>IFERROR(VLOOKUP(G634,'Conformance Score'!A:B, 2, 0), "")</f>
        <v/>
      </c>
      <c r="I634" s="150"/>
      <c r="J634" s="150"/>
      <c r="K634" s="134"/>
      <c r="L634" s="134"/>
      <c r="M634" s="134"/>
      <c r="N634" s="134"/>
      <c r="O634" s="134"/>
      <c r="P634" s="134"/>
      <c r="Q634" s="134"/>
      <c r="R634" s="134"/>
      <c r="S634" s="134"/>
      <c r="T634" s="134"/>
      <c r="U634" s="134"/>
      <c r="V634" s="134"/>
      <c r="W634" s="134"/>
      <c r="X634" s="134"/>
      <c r="Y634" s="134"/>
      <c r="Z634" s="134"/>
      <c r="AA634" s="134"/>
    </row>
    <row r="635" ht="15.75" customHeight="1">
      <c r="A635" s="149"/>
      <c r="B635" s="149"/>
      <c r="C635" s="149"/>
      <c r="D635" s="149"/>
      <c r="E635" s="149"/>
      <c r="F635" s="149"/>
      <c r="G635" s="149"/>
      <c r="H635" s="135" t="str">
        <f>IFERROR(VLOOKUP(G635,'Conformance Score'!A:B, 2, 0), "")</f>
        <v/>
      </c>
      <c r="I635" s="150"/>
      <c r="J635" s="150"/>
      <c r="K635" s="134"/>
      <c r="L635" s="134"/>
      <c r="M635" s="134"/>
      <c r="N635" s="134"/>
      <c r="O635" s="134"/>
      <c r="P635" s="134"/>
      <c r="Q635" s="134"/>
      <c r="R635" s="134"/>
      <c r="S635" s="134"/>
      <c r="T635" s="134"/>
      <c r="U635" s="134"/>
      <c r="V635" s="134"/>
      <c r="W635" s="134"/>
      <c r="X635" s="134"/>
      <c r="Y635" s="134"/>
      <c r="Z635" s="134"/>
      <c r="AA635" s="134"/>
    </row>
    <row r="636" ht="15.75" customHeight="1">
      <c r="A636" s="149"/>
      <c r="B636" s="149"/>
      <c r="C636" s="149"/>
      <c r="D636" s="149"/>
      <c r="E636" s="149"/>
      <c r="F636" s="149"/>
      <c r="G636" s="149"/>
      <c r="H636" s="135" t="str">
        <f>IFERROR(VLOOKUP(G636,'Conformance Score'!A:B, 2, 0), "")</f>
        <v/>
      </c>
      <c r="I636" s="150"/>
      <c r="J636" s="150"/>
      <c r="K636" s="134"/>
      <c r="L636" s="134"/>
      <c r="M636" s="134"/>
      <c r="N636" s="134"/>
      <c r="O636" s="134"/>
      <c r="P636" s="134"/>
      <c r="Q636" s="134"/>
      <c r="R636" s="134"/>
      <c r="S636" s="134"/>
      <c r="T636" s="134"/>
      <c r="U636" s="134"/>
      <c r="V636" s="134"/>
      <c r="W636" s="134"/>
      <c r="X636" s="134"/>
      <c r="Y636" s="134"/>
      <c r="Z636" s="134"/>
      <c r="AA636" s="134"/>
    </row>
    <row r="637" ht="15.75" customHeight="1">
      <c r="A637" s="149"/>
      <c r="B637" s="149"/>
      <c r="C637" s="149"/>
      <c r="D637" s="149"/>
      <c r="E637" s="149"/>
      <c r="F637" s="149"/>
      <c r="G637" s="149"/>
      <c r="H637" s="135" t="str">
        <f>IFERROR(VLOOKUP(G637,'Conformance Score'!A:B, 2, 0), "")</f>
        <v/>
      </c>
      <c r="I637" s="150"/>
      <c r="J637" s="150"/>
      <c r="K637" s="134"/>
      <c r="L637" s="134"/>
      <c r="M637" s="134"/>
      <c r="N637" s="134"/>
      <c r="O637" s="134"/>
      <c r="P637" s="134"/>
      <c r="Q637" s="134"/>
      <c r="R637" s="134"/>
      <c r="S637" s="134"/>
      <c r="T637" s="134"/>
      <c r="U637" s="134"/>
      <c r="V637" s="134"/>
      <c r="W637" s="134"/>
      <c r="X637" s="134"/>
      <c r="Y637" s="134"/>
      <c r="Z637" s="134"/>
      <c r="AA637" s="134"/>
    </row>
    <row r="638" ht="15.75" customHeight="1">
      <c r="A638" s="149"/>
      <c r="B638" s="149"/>
      <c r="C638" s="149"/>
      <c r="D638" s="149"/>
      <c r="E638" s="149"/>
      <c r="F638" s="149"/>
      <c r="G638" s="149"/>
      <c r="H638" s="135" t="str">
        <f>IFERROR(VLOOKUP(G638,'Conformance Score'!A:B, 2, 0), "")</f>
        <v/>
      </c>
      <c r="I638" s="150"/>
      <c r="J638" s="150"/>
      <c r="K638" s="134"/>
      <c r="L638" s="134"/>
      <c r="M638" s="134"/>
      <c r="N638" s="134"/>
      <c r="O638" s="134"/>
      <c r="P638" s="134"/>
      <c r="Q638" s="134"/>
      <c r="R638" s="134"/>
      <c r="S638" s="134"/>
      <c r="T638" s="134"/>
      <c r="U638" s="134"/>
      <c r="V638" s="134"/>
      <c r="W638" s="134"/>
      <c r="X638" s="134"/>
      <c r="Y638" s="134"/>
      <c r="Z638" s="134"/>
      <c r="AA638" s="134"/>
    </row>
    <row r="639" ht="15.75" customHeight="1">
      <c r="A639" s="149"/>
      <c r="B639" s="149"/>
      <c r="C639" s="149"/>
      <c r="D639" s="149"/>
      <c r="E639" s="149"/>
      <c r="F639" s="149"/>
      <c r="G639" s="149"/>
      <c r="H639" s="135" t="str">
        <f>IFERROR(VLOOKUP(G639,'Conformance Score'!A:B, 2, 0), "")</f>
        <v/>
      </c>
      <c r="I639" s="150"/>
      <c r="J639" s="150"/>
      <c r="K639" s="134"/>
      <c r="L639" s="134"/>
      <c r="M639" s="134"/>
      <c r="N639" s="134"/>
      <c r="O639" s="134"/>
      <c r="P639" s="134"/>
      <c r="Q639" s="134"/>
      <c r="R639" s="134"/>
      <c r="S639" s="134"/>
      <c r="T639" s="134"/>
      <c r="U639" s="134"/>
      <c r="V639" s="134"/>
      <c r="W639" s="134"/>
      <c r="X639" s="134"/>
      <c r="Y639" s="134"/>
      <c r="Z639" s="134"/>
      <c r="AA639" s="134"/>
    </row>
    <row r="640" ht="15.75" customHeight="1">
      <c r="A640" s="149"/>
      <c r="B640" s="149"/>
      <c r="C640" s="149"/>
      <c r="D640" s="149"/>
      <c r="E640" s="149"/>
      <c r="F640" s="149"/>
      <c r="G640" s="149"/>
      <c r="H640" s="135" t="str">
        <f>IFERROR(VLOOKUP(G640,'Conformance Score'!A:B, 2, 0), "")</f>
        <v/>
      </c>
      <c r="I640" s="150"/>
      <c r="J640" s="150"/>
      <c r="K640" s="134"/>
      <c r="L640" s="134"/>
      <c r="M640" s="134"/>
      <c r="N640" s="134"/>
      <c r="O640" s="134"/>
      <c r="P640" s="134"/>
      <c r="Q640" s="134"/>
      <c r="R640" s="134"/>
      <c r="S640" s="134"/>
      <c r="T640" s="134"/>
      <c r="U640" s="134"/>
      <c r="V640" s="134"/>
      <c r="W640" s="134"/>
      <c r="X640" s="134"/>
      <c r="Y640" s="134"/>
      <c r="Z640" s="134"/>
      <c r="AA640" s="134"/>
    </row>
    <row r="641" ht="15.75" customHeight="1">
      <c r="A641" s="149"/>
      <c r="B641" s="149"/>
      <c r="C641" s="149"/>
      <c r="D641" s="149"/>
      <c r="E641" s="149"/>
      <c r="F641" s="149"/>
      <c r="G641" s="149"/>
      <c r="H641" s="135" t="str">
        <f>IFERROR(VLOOKUP(G641,'Conformance Score'!A:B, 2, 0), "")</f>
        <v/>
      </c>
      <c r="I641" s="150"/>
      <c r="J641" s="150"/>
      <c r="K641" s="134"/>
      <c r="L641" s="134"/>
      <c r="M641" s="134"/>
      <c r="N641" s="134"/>
      <c r="O641" s="134"/>
      <c r="P641" s="134"/>
      <c r="Q641" s="134"/>
      <c r="R641" s="134"/>
      <c r="S641" s="134"/>
      <c r="T641" s="134"/>
      <c r="U641" s="134"/>
      <c r="V641" s="134"/>
      <c r="W641" s="134"/>
      <c r="X641" s="134"/>
      <c r="Y641" s="134"/>
      <c r="Z641" s="134"/>
      <c r="AA641" s="134"/>
    </row>
    <row r="642" ht="15.75" customHeight="1">
      <c r="A642" s="149"/>
      <c r="B642" s="149"/>
      <c r="C642" s="149"/>
      <c r="D642" s="149"/>
      <c r="E642" s="149"/>
      <c r="F642" s="149"/>
      <c r="G642" s="149"/>
      <c r="H642" s="135" t="str">
        <f>IFERROR(VLOOKUP(G642,'Conformance Score'!A:B, 2, 0), "")</f>
        <v/>
      </c>
      <c r="I642" s="150"/>
      <c r="J642" s="150"/>
      <c r="K642" s="134"/>
      <c r="L642" s="134"/>
      <c r="M642" s="134"/>
      <c r="N642" s="134"/>
      <c r="O642" s="134"/>
      <c r="P642" s="134"/>
      <c r="Q642" s="134"/>
      <c r="R642" s="134"/>
      <c r="S642" s="134"/>
      <c r="T642" s="134"/>
      <c r="U642" s="134"/>
      <c r="V642" s="134"/>
      <c r="W642" s="134"/>
      <c r="X642" s="134"/>
      <c r="Y642" s="134"/>
      <c r="Z642" s="134"/>
      <c r="AA642" s="134"/>
    </row>
    <row r="643" ht="15.75" customHeight="1">
      <c r="A643" s="149"/>
      <c r="B643" s="149"/>
      <c r="C643" s="149"/>
      <c r="D643" s="149"/>
      <c r="E643" s="149"/>
      <c r="F643" s="149"/>
      <c r="G643" s="149"/>
      <c r="H643" s="135" t="str">
        <f>IFERROR(VLOOKUP(G643,'Conformance Score'!A:B, 2, 0), "")</f>
        <v/>
      </c>
      <c r="I643" s="150"/>
      <c r="J643" s="150"/>
      <c r="K643" s="134"/>
      <c r="L643" s="134"/>
      <c r="M643" s="134"/>
      <c r="N643" s="134"/>
      <c r="O643" s="134"/>
      <c r="P643" s="134"/>
      <c r="Q643" s="134"/>
      <c r="R643" s="134"/>
      <c r="S643" s="134"/>
      <c r="T643" s="134"/>
      <c r="U643" s="134"/>
      <c r="V643" s="134"/>
      <c r="W643" s="134"/>
      <c r="X643" s="134"/>
      <c r="Y643" s="134"/>
      <c r="Z643" s="134"/>
      <c r="AA643" s="134"/>
    </row>
    <row r="644" ht="15.75" customHeight="1">
      <c r="A644" s="149"/>
      <c r="B644" s="149"/>
      <c r="C644" s="149"/>
      <c r="D644" s="149"/>
      <c r="E644" s="149"/>
      <c r="F644" s="149"/>
      <c r="G644" s="149"/>
      <c r="H644" s="135" t="str">
        <f>IFERROR(VLOOKUP(G644,'Conformance Score'!A:B, 2, 0), "")</f>
        <v/>
      </c>
      <c r="I644" s="150"/>
      <c r="J644" s="150"/>
      <c r="K644" s="134"/>
      <c r="L644" s="134"/>
      <c r="M644" s="134"/>
      <c r="N644" s="134"/>
      <c r="O644" s="134"/>
      <c r="P644" s="134"/>
      <c r="Q644" s="134"/>
      <c r="R644" s="134"/>
      <c r="S644" s="134"/>
      <c r="T644" s="134"/>
      <c r="U644" s="134"/>
      <c r="V644" s="134"/>
      <c r="W644" s="134"/>
      <c r="X644" s="134"/>
      <c r="Y644" s="134"/>
      <c r="Z644" s="134"/>
      <c r="AA644" s="134"/>
    </row>
    <row r="645" ht="15.75" customHeight="1">
      <c r="A645" s="149"/>
      <c r="B645" s="149"/>
      <c r="C645" s="149"/>
      <c r="D645" s="149"/>
      <c r="E645" s="149"/>
      <c r="F645" s="149"/>
      <c r="G645" s="149"/>
      <c r="H645" s="135" t="str">
        <f>IFERROR(VLOOKUP(G645,'Conformance Score'!A:B, 2, 0), "")</f>
        <v/>
      </c>
      <c r="I645" s="150"/>
      <c r="J645" s="150"/>
      <c r="K645" s="134"/>
      <c r="L645" s="134"/>
      <c r="M645" s="134"/>
      <c r="N645" s="134"/>
      <c r="O645" s="134"/>
      <c r="P645" s="134"/>
      <c r="Q645" s="134"/>
      <c r="R645" s="134"/>
      <c r="S645" s="134"/>
      <c r="T645" s="134"/>
      <c r="U645" s="134"/>
      <c r="V645" s="134"/>
      <c r="W645" s="134"/>
      <c r="X645" s="134"/>
      <c r="Y645" s="134"/>
      <c r="Z645" s="134"/>
      <c r="AA645" s="134"/>
    </row>
    <row r="646" ht="15.75" customHeight="1">
      <c r="A646" s="149"/>
      <c r="B646" s="149"/>
      <c r="C646" s="149"/>
      <c r="D646" s="149"/>
      <c r="E646" s="149"/>
      <c r="F646" s="149"/>
      <c r="G646" s="149"/>
      <c r="H646" s="135" t="str">
        <f>IFERROR(VLOOKUP(G646,'Conformance Score'!A:B, 2, 0), "")</f>
        <v/>
      </c>
      <c r="I646" s="150"/>
      <c r="J646" s="150"/>
      <c r="K646" s="134"/>
      <c r="L646" s="134"/>
      <c r="M646" s="134"/>
      <c r="N646" s="134"/>
      <c r="O646" s="134"/>
      <c r="P646" s="134"/>
      <c r="Q646" s="134"/>
      <c r="R646" s="134"/>
      <c r="S646" s="134"/>
      <c r="T646" s="134"/>
      <c r="U646" s="134"/>
      <c r="V646" s="134"/>
      <c r="W646" s="134"/>
      <c r="X646" s="134"/>
      <c r="Y646" s="134"/>
      <c r="Z646" s="134"/>
      <c r="AA646" s="134"/>
    </row>
    <row r="647" ht="15.75" customHeight="1">
      <c r="A647" s="149"/>
      <c r="B647" s="149"/>
      <c r="C647" s="149"/>
      <c r="D647" s="149"/>
      <c r="E647" s="149"/>
      <c r="F647" s="149"/>
      <c r="G647" s="149"/>
      <c r="H647" s="135" t="str">
        <f>IFERROR(VLOOKUP(G647,'Conformance Score'!A:B, 2, 0), "")</f>
        <v/>
      </c>
      <c r="I647" s="150"/>
      <c r="J647" s="150"/>
      <c r="K647" s="134"/>
      <c r="L647" s="134"/>
      <c r="M647" s="134"/>
      <c r="N647" s="134"/>
      <c r="O647" s="134"/>
      <c r="P647" s="134"/>
      <c r="Q647" s="134"/>
      <c r="R647" s="134"/>
      <c r="S647" s="134"/>
      <c r="T647" s="134"/>
      <c r="U647" s="134"/>
      <c r="V647" s="134"/>
      <c r="W647" s="134"/>
      <c r="X647" s="134"/>
      <c r="Y647" s="134"/>
      <c r="Z647" s="134"/>
      <c r="AA647" s="134"/>
    </row>
    <row r="648" ht="15.75" customHeight="1">
      <c r="A648" s="149"/>
      <c r="B648" s="149"/>
      <c r="C648" s="149"/>
      <c r="D648" s="149"/>
      <c r="E648" s="149"/>
      <c r="F648" s="149"/>
      <c r="G648" s="149"/>
      <c r="H648" s="135" t="str">
        <f>IFERROR(VLOOKUP(G648,'Conformance Score'!A:B, 2, 0), "")</f>
        <v/>
      </c>
      <c r="I648" s="150"/>
      <c r="J648" s="150"/>
      <c r="K648" s="134"/>
      <c r="L648" s="134"/>
      <c r="M648" s="134"/>
      <c r="N648" s="134"/>
      <c r="O648" s="134"/>
      <c r="P648" s="134"/>
      <c r="Q648" s="134"/>
      <c r="R648" s="134"/>
      <c r="S648" s="134"/>
      <c r="T648" s="134"/>
      <c r="U648" s="134"/>
      <c r="V648" s="134"/>
      <c r="W648" s="134"/>
      <c r="X648" s="134"/>
      <c r="Y648" s="134"/>
      <c r="Z648" s="134"/>
      <c r="AA648" s="134"/>
    </row>
    <row r="649" ht="15.75" customHeight="1">
      <c r="A649" s="149"/>
      <c r="B649" s="149"/>
      <c r="C649" s="149"/>
      <c r="D649" s="149"/>
      <c r="E649" s="149"/>
      <c r="F649" s="149"/>
      <c r="G649" s="149"/>
      <c r="H649" s="135" t="str">
        <f>IFERROR(VLOOKUP(G649,'Conformance Score'!A:B, 2, 0), "")</f>
        <v/>
      </c>
      <c r="I649" s="150"/>
      <c r="J649" s="150"/>
      <c r="K649" s="134"/>
      <c r="L649" s="134"/>
      <c r="M649" s="134"/>
      <c r="N649" s="134"/>
      <c r="O649" s="134"/>
      <c r="P649" s="134"/>
      <c r="Q649" s="134"/>
      <c r="R649" s="134"/>
      <c r="S649" s="134"/>
      <c r="T649" s="134"/>
      <c r="U649" s="134"/>
      <c r="V649" s="134"/>
      <c r="W649" s="134"/>
      <c r="X649" s="134"/>
      <c r="Y649" s="134"/>
      <c r="Z649" s="134"/>
      <c r="AA649" s="134"/>
    </row>
    <row r="650" ht="15.75" customHeight="1">
      <c r="A650" s="149"/>
      <c r="B650" s="149"/>
      <c r="C650" s="149"/>
      <c r="D650" s="149"/>
      <c r="E650" s="149"/>
      <c r="F650" s="149"/>
      <c r="G650" s="149"/>
      <c r="H650" s="135" t="str">
        <f>IFERROR(VLOOKUP(G650,'Conformance Score'!A:B, 2, 0), "")</f>
        <v/>
      </c>
      <c r="I650" s="150"/>
      <c r="J650" s="150"/>
      <c r="K650" s="134"/>
      <c r="L650" s="134"/>
      <c r="M650" s="134"/>
      <c r="N650" s="134"/>
      <c r="O650" s="134"/>
      <c r="P650" s="134"/>
      <c r="Q650" s="134"/>
      <c r="R650" s="134"/>
      <c r="S650" s="134"/>
      <c r="T650" s="134"/>
      <c r="U650" s="134"/>
      <c r="V650" s="134"/>
      <c r="W650" s="134"/>
      <c r="X650" s="134"/>
      <c r="Y650" s="134"/>
      <c r="Z650" s="134"/>
      <c r="AA650" s="134"/>
    </row>
    <row r="651" ht="15.75" customHeight="1">
      <c r="A651" s="149"/>
      <c r="B651" s="149"/>
      <c r="C651" s="149"/>
      <c r="D651" s="149"/>
      <c r="E651" s="149"/>
      <c r="F651" s="149"/>
      <c r="G651" s="149"/>
      <c r="H651" s="135" t="str">
        <f>IFERROR(VLOOKUP(G651,'Conformance Score'!A:B, 2, 0), "")</f>
        <v/>
      </c>
      <c r="I651" s="150"/>
      <c r="J651" s="150"/>
      <c r="K651" s="134"/>
      <c r="L651" s="134"/>
      <c r="M651" s="134"/>
      <c r="N651" s="134"/>
      <c r="O651" s="134"/>
      <c r="P651" s="134"/>
      <c r="Q651" s="134"/>
      <c r="R651" s="134"/>
      <c r="S651" s="134"/>
      <c r="T651" s="134"/>
      <c r="U651" s="134"/>
      <c r="V651" s="134"/>
      <c r="W651" s="134"/>
      <c r="X651" s="134"/>
      <c r="Y651" s="134"/>
      <c r="Z651" s="134"/>
      <c r="AA651" s="134"/>
    </row>
    <row r="652" ht="15.75" customHeight="1">
      <c r="A652" s="149"/>
      <c r="B652" s="149"/>
      <c r="C652" s="149"/>
      <c r="D652" s="149"/>
      <c r="E652" s="149"/>
      <c r="F652" s="149"/>
      <c r="G652" s="149"/>
      <c r="H652" s="135" t="str">
        <f>IFERROR(VLOOKUP(G652,'Conformance Score'!A:B, 2, 0), "")</f>
        <v/>
      </c>
      <c r="I652" s="150"/>
      <c r="J652" s="150"/>
      <c r="K652" s="134"/>
      <c r="L652" s="134"/>
      <c r="M652" s="134"/>
      <c r="N652" s="134"/>
      <c r="O652" s="134"/>
      <c r="P652" s="134"/>
      <c r="Q652" s="134"/>
      <c r="R652" s="134"/>
      <c r="S652" s="134"/>
      <c r="T652" s="134"/>
      <c r="U652" s="134"/>
      <c r="V652" s="134"/>
      <c r="W652" s="134"/>
      <c r="X652" s="134"/>
      <c r="Y652" s="134"/>
      <c r="Z652" s="134"/>
      <c r="AA652" s="134"/>
    </row>
    <row r="653" ht="15.75" customHeight="1">
      <c r="A653" s="149"/>
      <c r="B653" s="149"/>
      <c r="C653" s="149"/>
      <c r="D653" s="149"/>
      <c r="E653" s="149"/>
      <c r="F653" s="149"/>
      <c r="G653" s="149"/>
      <c r="H653" s="135" t="str">
        <f>IFERROR(VLOOKUP(G653,'Conformance Score'!A:B, 2, 0), "")</f>
        <v/>
      </c>
      <c r="I653" s="150"/>
      <c r="J653" s="150"/>
      <c r="K653" s="134"/>
      <c r="L653" s="134"/>
      <c r="M653" s="134"/>
      <c r="N653" s="134"/>
      <c r="O653" s="134"/>
      <c r="P653" s="134"/>
      <c r="Q653" s="134"/>
      <c r="R653" s="134"/>
      <c r="S653" s="134"/>
      <c r="T653" s="134"/>
      <c r="U653" s="134"/>
      <c r="V653" s="134"/>
      <c r="W653" s="134"/>
      <c r="X653" s="134"/>
      <c r="Y653" s="134"/>
      <c r="Z653" s="134"/>
      <c r="AA653" s="134"/>
    </row>
    <row r="654" ht="15.75" customHeight="1">
      <c r="A654" s="149"/>
      <c r="B654" s="149"/>
      <c r="C654" s="149"/>
      <c r="D654" s="149"/>
      <c r="E654" s="149"/>
      <c r="F654" s="149"/>
      <c r="G654" s="149"/>
      <c r="H654" s="135" t="str">
        <f>IFERROR(VLOOKUP(G654,'Conformance Score'!A:B, 2, 0), "")</f>
        <v/>
      </c>
      <c r="I654" s="150"/>
      <c r="J654" s="150"/>
      <c r="K654" s="134"/>
      <c r="L654" s="134"/>
      <c r="M654" s="134"/>
      <c r="N654" s="134"/>
      <c r="O654" s="134"/>
      <c r="P654" s="134"/>
      <c r="Q654" s="134"/>
      <c r="R654" s="134"/>
      <c r="S654" s="134"/>
      <c r="T654" s="134"/>
      <c r="U654" s="134"/>
      <c r="V654" s="134"/>
      <c r="W654" s="134"/>
      <c r="X654" s="134"/>
      <c r="Y654" s="134"/>
      <c r="Z654" s="134"/>
      <c r="AA654" s="134"/>
    </row>
    <row r="655" ht="15.75" customHeight="1">
      <c r="A655" s="149"/>
      <c r="B655" s="149"/>
      <c r="C655" s="149"/>
      <c r="D655" s="149"/>
      <c r="E655" s="149"/>
      <c r="F655" s="149"/>
      <c r="G655" s="149"/>
      <c r="H655" s="135" t="str">
        <f>IFERROR(VLOOKUP(G655,'Conformance Score'!A:B, 2, 0), "")</f>
        <v/>
      </c>
      <c r="I655" s="150"/>
      <c r="J655" s="150"/>
      <c r="K655" s="134"/>
      <c r="L655" s="134"/>
      <c r="M655" s="134"/>
      <c r="N655" s="134"/>
      <c r="O655" s="134"/>
      <c r="P655" s="134"/>
      <c r="Q655" s="134"/>
      <c r="R655" s="134"/>
      <c r="S655" s="134"/>
      <c r="T655" s="134"/>
      <c r="U655" s="134"/>
      <c r="V655" s="134"/>
      <c r="W655" s="134"/>
      <c r="X655" s="134"/>
      <c r="Y655" s="134"/>
      <c r="Z655" s="134"/>
      <c r="AA655" s="134"/>
    </row>
    <row r="656" ht="15.75" customHeight="1">
      <c r="A656" s="149"/>
      <c r="B656" s="149"/>
      <c r="C656" s="149"/>
      <c r="D656" s="149"/>
      <c r="E656" s="149"/>
      <c r="F656" s="149"/>
      <c r="G656" s="149"/>
      <c r="H656" s="135" t="str">
        <f>IFERROR(VLOOKUP(G656,'Conformance Score'!A:B, 2, 0), "")</f>
        <v/>
      </c>
      <c r="I656" s="150"/>
      <c r="J656" s="150"/>
      <c r="K656" s="134"/>
      <c r="L656" s="134"/>
      <c r="M656" s="134"/>
      <c r="N656" s="134"/>
      <c r="O656" s="134"/>
      <c r="P656" s="134"/>
      <c r="Q656" s="134"/>
      <c r="R656" s="134"/>
      <c r="S656" s="134"/>
      <c r="T656" s="134"/>
      <c r="U656" s="134"/>
      <c r="V656" s="134"/>
      <c r="W656" s="134"/>
      <c r="X656" s="134"/>
      <c r="Y656" s="134"/>
      <c r="Z656" s="134"/>
      <c r="AA656" s="134"/>
    </row>
    <row r="657" ht="15.75" customHeight="1">
      <c r="A657" s="149"/>
      <c r="B657" s="149"/>
      <c r="C657" s="149"/>
      <c r="D657" s="149"/>
      <c r="E657" s="149"/>
      <c r="F657" s="149"/>
      <c r="G657" s="149"/>
      <c r="H657" s="135" t="str">
        <f>IFERROR(VLOOKUP(G657,'Conformance Score'!A:B, 2, 0), "")</f>
        <v/>
      </c>
      <c r="I657" s="150"/>
      <c r="J657" s="150"/>
      <c r="K657" s="134"/>
      <c r="L657" s="134"/>
      <c r="M657" s="134"/>
      <c r="N657" s="134"/>
      <c r="O657" s="134"/>
      <c r="P657" s="134"/>
      <c r="Q657" s="134"/>
      <c r="R657" s="134"/>
      <c r="S657" s="134"/>
      <c r="T657" s="134"/>
      <c r="U657" s="134"/>
      <c r="V657" s="134"/>
      <c r="W657" s="134"/>
      <c r="X657" s="134"/>
      <c r="Y657" s="134"/>
      <c r="Z657" s="134"/>
      <c r="AA657" s="134"/>
    </row>
    <row r="658" ht="15.75" customHeight="1">
      <c r="A658" s="149"/>
      <c r="B658" s="149"/>
      <c r="C658" s="149"/>
      <c r="D658" s="149"/>
      <c r="E658" s="149"/>
      <c r="F658" s="149"/>
      <c r="G658" s="149"/>
      <c r="H658" s="135" t="str">
        <f>IFERROR(VLOOKUP(G658,'Conformance Score'!A:B, 2, 0), "")</f>
        <v/>
      </c>
      <c r="I658" s="150"/>
      <c r="J658" s="150"/>
      <c r="K658" s="134"/>
      <c r="L658" s="134"/>
      <c r="M658" s="134"/>
      <c r="N658" s="134"/>
      <c r="O658" s="134"/>
      <c r="P658" s="134"/>
      <c r="Q658" s="134"/>
      <c r="R658" s="134"/>
      <c r="S658" s="134"/>
      <c r="T658" s="134"/>
      <c r="U658" s="134"/>
      <c r="V658" s="134"/>
      <c r="W658" s="134"/>
      <c r="X658" s="134"/>
      <c r="Y658" s="134"/>
      <c r="Z658" s="134"/>
      <c r="AA658" s="134"/>
    </row>
    <row r="659" ht="15.75" customHeight="1">
      <c r="A659" s="149"/>
      <c r="B659" s="149"/>
      <c r="C659" s="149"/>
      <c r="D659" s="149"/>
      <c r="E659" s="149"/>
      <c r="F659" s="149"/>
      <c r="G659" s="149"/>
      <c r="H659" s="135" t="str">
        <f>IFERROR(VLOOKUP(G659,'Conformance Score'!A:B, 2, 0), "")</f>
        <v/>
      </c>
      <c r="I659" s="150"/>
      <c r="J659" s="150"/>
      <c r="K659" s="134"/>
      <c r="L659" s="134"/>
      <c r="M659" s="134"/>
      <c r="N659" s="134"/>
      <c r="O659" s="134"/>
      <c r="P659" s="134"/>
      <c r="Q659" s="134"/>
      <c r="R659" s="134"/>
      <c r="S659" s="134"/>
      <c r="T659" s="134"/>
      <c r="U659" s="134"/>
      <c r="V659" s="134"/>
      <c r="W659" s="134"/>
      <c r="X659" s="134"/>
      <c r="Y659" s="134"/>
      <c r="Z659" s="134"/>
      <c r="AA659" s="134"/>
    </row>
    <row r="660" ht="15.75" customHeight="1">
      <c r="A660" s="149"/>
      <c r="B660" s="149"/>
      <c r="C660" s="149"/>
      <c r="D660" s="149"/>
      <c r="E660" s="149"/>
      <c r="F660" s="149"/>
      <c r="G660" s="149"/>
      <c r="H660" s="135" t="str">
        <f>IFERROR(VLOOKUP(G660,'Conformance Score'!A:B, 2, 0), "")</f>
        <v/>
      </c>
      <c r="I660" s="150"/>
      <c r="J660" s="150"/>
      <c r="K660" s="134"/>
      <c r="L660" s="134"/>
      <c r="M660" s="134"/>
      <c r="N660" s="134"/>
      <c r="O660" s="134"/>
      <c r="P660" s="134"/>
      <c r="Q660" s="134"/>
      <c r="R660" s="134"/>
      <c r="S660" s="134"/>
      <c r="T660" s="134"/>
      <c r="U660" s="134"/>
      <c r="V660" s="134"/>
      <c r="W660" s="134"/>
      <c r="X660" s="134"/>
      <c r="Y660" s="134"/>
      <c r="Z660" s="134"/>
      <c r="AA660" s="134"/>
    </row>
    <row r="661" ht="15.75" customHeight="1">
      <c r="A661" s="149"/>
      <c r="B661" s="149"/>
      <c r="C661" s="149"/>
      <c r="D661" s="149"/>
      <c r="E661" s="149"/>
      <c r="F661" s="149"/>
      <c r="G661" s="149"/>
      <c r="H661" s="135" t="str">
        <f>IFERROR(VLOOKUP(G661,'Conformance Score'!A:B, 2, 0), "")</f>
        <v/>
      </c>
      <c r="I661" s="150"/>
      <c r="J661" s="150"/>
      <c r="K661" s="134"/>
      <c r="L661" s="134"/>
      <c r="M661" s="134"/>
      <c r="N661" s="134"/>
      <c r="O661" s="134"/>
      <c r="P661" s="134"/>
      <c r="Q661" s="134"/>
      <c r="R661" s="134"/>
      <c r="S661" s="134"/>
      <c r="T661" s="134"/>
      <c r="U661" s="134"/>
      <c r="V661" s="134"/>
      <c r="W661" s="134"/>
      <c r="X661" s="134"/>
      <c r="Y661" s="134"/>
      <c r="Z661" s="134"/>
      <c r="AA661" s="134"/>
    </row>
    <row r="662" ht="15.75" customHeight="1">
      <c r="A662" s="149"/>
      <c r="B662" s="149"/>
      <c r="C662" s="149"/>
      <c r="D662" s="149"/>
      <c r="E662" s="149"/>
      <c r="F662" s="149"/>
      <c r="G662" s="149"/>
      <c r="H662" s="135" t="str">
        <f>IFERROR(VLOOKUP(G662,'Conformance Score'!A:B, 2, 0), "")</f>
        <v/>
      </c>
      <c r="I662" s="150"/>
      <c r="J662" s="150"/>
      <c r="K662" s="134"/>
      <c r="L662" s="134"/>
      <c r="M662" s="134"/>
      <c r="N662" s="134"/>
      <c r="O662" s="134"/>
      <c r="P662" s="134"/>
      <c r="Q662" s="134"/>
      <c r="R662" s="134"/>
      <c r="S662" s="134"/>
      <c r="T662" s="134"/>
      <c r="U662" s="134"/>
      <c r="V662" s="134"/>
      <c r="W662" s="134"/>
      <c r="X662" s="134"/>
      <c r="Y662" s="134"/>
      <c r="Z662" s="134"/>
      <c r="AA662" s="134"/>
    </row>
    <row r="663" ht="15.75" customHeight="1">
      <c r="A663" s="149"/>
      <c r="B663" s="149"/>
      <c r="C663" s="149"/>
      <c r="D663" s="149"/>
      <c r="E663" s="149"/>
      <c r="F663" s="149"/>
      <c r="G663" s="149"/>
      <c r="H663" s="135" t="str">
        <f>IFERROR(VLOOKUP(G663,'Conformance Score'!A:B, 2, 0), "")</f>
        <v/>
      </c>
      <c r="I663" s="150"/>
      <c r="J663" s="150"/>
      <c r="K663" s="134"/>
      <c r="L663" s="134"/>
      <c r="M663" s="134"/>
      <c r="N663" s="134"/>
      <c r="O663" s="134"/>
      <c r="P663" s="134"/>
      <c r="Q663" s="134"/>
      <c r="R663" s="134"/>
      <c r="S663" s="134"/>
      <c r="T663" s="134"/>
      <c r="U663" s="134"/>
      <c r="V663" s="134"/>
      <c r="W663" s="134"/>
      <c r="X663" s="134"/>
      <c r="Y663" s="134"/>
      <c r="Z663" s="134"/>
      <c r="AA663" s="134"/>
    </row>
    <row r="664" ht="15.75" customHeight="1">
      <c r="A664" s="149"/>
      <c r="B664" s="149"/>
      <c r="C664" s="149"/>
      <c r="D664" s="149"/>
      <c r="E664" s="149"/>
      <c r="F664" s="149"/>
      <c r="G664" s="149"/>
      <c r="H664" s="135" t="str">
        <f>IFERROR(VLOOKUP(G664,'Conformance Score'!A:B, 2, 0), "")</f>
        <v/>
      </c>
      <c r="I664" s="150"/>
      <c r="J664" s="150"/>
      <c r="K664" s="134"/>
      <c r="L664" s="134"/>
      <c r="M664" s="134"/>
      <c r="N664" s="134"/>
      <c r="O664" s="134"/>
      <c r="P664" s="134"/>
      <c r="Q664" s="134"/>
      <c r="R664" s="134"/>
      <c r="S664" s="134"/>
      <c r="T664" s="134"/>
      <c r="U664" s="134"/>
      <c r="V664" s="134"/>
      <c r="W664" s="134"/>
      <c r="X664" s="134"/>
      <c r="Y664" s="134"/>
      <c r="Z664" s="134"/>
      <c r="AA664" s="134"/>
    </row>
    <row r="665" ht="15.75" customHeight="1">
      <c r="A665" s="149"/>
      <c r="B665" s="149"/>
      <c r="C665" s="149"/>
      <c r="D665" s="149"/>
      <c r="E665" s="149"/>
      <c r="F665" s="149"/>
      <c r="G665" s="149"/>
      <c r="H665" s="135" t="str">
        <f>IFERROR(VLOOKUP(G665,'Conformance Score'!A:B, 2, 0), "")</f>
        <v/>
      </c>
      <c r="I665" s="150"/>
      <c r="J665" s="150"/>
      <c r="K665" s="134"/>
      <c r="L665" s="134"/>
      <c r="M665" s="134"/>
      <c r="N665" s="134"/>
      <c r="O665" s="134"/>
      <c r="P665" s="134"/>
      <c r="Q665" s="134"/>
      <c r="R665" s="134"/>
      <c r="S665" s="134"/>
      <c r="T665" s="134"/>
      <c r="U665" s="134"/>
      <c r="V665" s="134"/>
      <c r="W665" s="134"/>
      <c r="X665" s="134"/>
      <c r="Y665" s="134"/>
      <c r="Z665" s="134"/>
      <c r="AA665" s="134"/>
    </row>
    <row r="666" ht="15.75" customHeight="1">
      <c r="A666" s="149"/>
      <c r="B666" s="149"/>
      <c r="C666" s="149"/>
      <c r="D666" s="149"/>
      <c r="E666" s="149"/>
      <c r="F666" s="149"/>
      <c r="G666" s="149"/>
      <c r="H666" s="135" t="str">
        <f>IFERROR(VLOOKUP(G666,'Conformance Score'!A:B, 2, 0), "")</f>
        <v/>
      </c>
      <c r="I666" s="150"/>
      <c r="J666" s="150"/>
      <c r="K666" s="134"/>
      <c r="L666" s="134"/>
      <c r="M666" s="134"/>
      <c r="N666" s="134"/>
      <c r="O666" s="134"/>
      <c r="P666" s="134"/>
      <c r="Q666" s="134"/>
      <c r="R666" s="134"/>
      <c r="S666" s="134"/>
      <c r="T666" s="134"/>
      <c r="U666" s="134"/>
      <c r="V666" s="134"/>
      <c r="W666" s="134"/>
      <c r="X666" s="134"/>
      <c r="Y666" s="134"/>
      <c r="Z666" s="134"/>
      <c r="AA666" s="134"/>
    </row>
    <row r="667" ht="15.75" customHeight="1">
      <c r="A667" s="149"/>
      <c r="B667" s="149"/>
      <c r="C667" s="149"/>
      <c r="D667" s="149"/>
      <c r="E667" s="149"/>
      <c r="F667" s="149"/>
      <c r="G667" s="149"/>
      <c r="H667" s="135" t="str">
        <f>IFERROR(VLOOKUP(G667,'Conformance Score'!A:B, 2, 0), "")</f>
        <v/>
      </c>
      <c r="I667" s="150"/>
      <c r="J667" s="150"/>
      <c r="K667" s="134"/>
      <c r="L667" s="134"/>
      <c r="M667" s="134"/>
      <c r="N667" s="134"/>
      <c r="O667" s="134"/>
      <c r="P667" s="134"/>
      <c r="Q667" s="134"/>
      <c r="R667" s="134"/>
      <c r="S667" s="134"/>
      <c r="T667" s="134"/>
      <c r="U667" s="134"/>
      <c r="V667" s="134"/>
      <c r="W667" s="134"/>
      <c r="X667" s="134"/>
      <c r="Y667" s="134"/>
      <c r="Z667" s="134"/>
      <c r="AA667" s="134"/>
    </row>
    <row r="668" ht="15.75" customHeight="1">
      <c r="A668" s="149"/>
      <c r="B668" s="149"/>
      <c r="C668" s="149"/>
      <c r="D668" s="149"/>
      <c r="E668" s="149"/>
      <c r="F668" s="149"/>
      <c r="G668" s="149"/>
      <c r="H668" s="135" t="str">
        <f>IFERROR(VLOOKUP(G668,'Conformance Score'!A:B, 2, 0), "")</f>
        <v/>
      </c>
      <c r="I668" s="150"/>
      <c r="J668" s="150"/>
      <c r="K668" s="134"/>
      <c r="L668" s="134"/>
      <c r="M668" s="134"/>
      <c r="N668" s="134"/>
      <c r="O668" s="134"/>
      <c r="P668" s="134"/>
      <c r="Q668" s="134"/>
      <c r="R668" s="134"/>
      <c r="S668" s="134"/>
      <c r="T668" s="134"/>
      <c r="U668" s="134"/>
      <c r="V668" s="134"/>
      <c r="W668" s="134"/>
      <c r="X668" s="134"/>
      <c r="Y668" s="134"/>
      <c r="Z668" s="134"/>
      <c r="AA668" s="134"/>
    </row>
    <row r="669" ht="15.75" customHeight="1">
      <c r="A669" s="149"/>
      <c r="B669" s="149"/>
      <c r="C669" s="149"/>
      <c r="D669" s="149"/>
      <c r="E669" s="149"/>
      <c r="F669" s="149"/>
      <c r="G669" s="149"/>
      <c r="H669" s="135" t="str">
        <f>IFERROR(VLOOKUP(G669,'Conformance Score'!A:B, 2, 0), "")</f>
        <v/>
      </c>
      <c r="I669" s="150"/>
      <c r="J669" s="150"/>
      <c r="K669" s="134"/>
      <c r="L669" s="134"/>
      <c r="M669" s="134"/>
      <c r="N669" s="134"/>
      <c r="O669" s="134"/>
      <c r="P669" s="134"/>
      <c r="Q669" s="134"/>
      <c r="R669" s="134"/>
      <c r="S669" s="134"/>
      <c r="T669" s="134"/>
      <c r="U669" s="134"/>
      <c r="V669" s="134"/>
      <c r="W669" s="134"/>
      <c r="X669" s="134"/>
      <c r="Y669" s="134"/>
      <c r="Z669" s="134"/>
      <c r="AA669" s="134"/>
    </row>
    <row r="670" ht="15.75" customHeight="1">
      <c r="A670" s="149"/>
      <c r="B670" s="149"/>
      <c r="C670" s="149"/>
      <c r="D670" s="149"/>
      <c r="E670" s="149"/>
      <c r="F670" s="149"/>
      <c r="G670" s="149"/>
      <c r="H670" s="135" t="str">
        <f>IFERROR(VLOOKUP(G670,'Conformance Score'!A:B, 2, 0), "")</f>
        <v/>
      </c>
      <c r="I670" s="150"/>
      <c r="J670" s="150"/>
      <c r="K670" s="134"/>
      <c r="L670" s="134"/>
      <c r="M670" s="134"/>
      <c r="N670" s="134"/>
      <c r="O670" s="134"/>
      <c r="P670" s="134"/>
      <c r="Q670" s="134"/>
      <c r="R670" s="134"/>
      <c r="S670" s="134"/>
      <c r="T670" s="134"/>
      <c r="U670" s="134"/>
      <c r="V670" s="134"/>
      <c r="W670" s="134"/>
      <c r="X670" s="134"/>
      <c r="Y670" s="134"/>
      <c r="Z670" s="134"/>
      <c r="AA670" s="134"/>
    </row>
    <row r="671" ht="15.75" customHeight="1">
      <c r="A671" s="149"/>
      <c r="B671" s="149"/>
      <c r="C671" s="149"/>
      <c r="D671" s="149"/>
      <c r="E671" s="149"/>
      <c r="F671" s="149"/>
      <c r="G671" s="149"/>
      <c r="H671" s="135" t="str">
        <f>IFERROR(VLOOKUP(G671,'Conformance Score'!A:B, 2, 0), "")</f>
        <v/>
      </c>
      <c r="I671" s="150"/>
      <c r="J671" s="150"/>
      <c r="K671" s="134"/>
      <c r="L671" s="134"/>
      <c r="M671" s="134"/>
      <c r="N671" s="134"/>
      <c r="O671" s="134"/>
      <c r="P671" s="134"/>
      <c r="Q671" s="134"/>
      <c r="R671" s="134"/>
      <c r="S671" s="134"/>
      <c r="T671" s="134"/>
      <c r="U671" s="134"/>
      <c r="V671" s="134"/>
      <c r="W671" s="134"/>
      <c r="X671" s="134"/>
      <c r="Y671" s="134"/>
      <c r="Z671" s="134"/>
      <c r="AA671" s="134"/>
    </row>
    <row r="672" ht="15.75" customHeight="1">
      <c r="A672" s="149"/>
      <c r="B672" s="149"/>
      <c r="C672" s="149"/>
      <c r="D672" s="149"/>
      <c r="E672" s="149"/>
      <c r="F672" s="149"/>
      <c r="G672" s="149"/>
      <c r="H672" s="135" t="str">
        <f>IFERROR(VLOOKUP(G672,'Conformance Score'!A:B, 2, 0), "")</f>
        <v/>
      </c>
      <c r="I672" s="150"/>
      <c r="J672" s="150"/>
      <c r="K672" s="134"/>
      <c r="L672" s="134"/>
      <c r="M672" s="134"/>
      <c r="N672" s="134"/>
      <c r="O672" s="134"/>
      <c r="P672" s="134"/>
      <c r="Q672" s="134"/>
      <c r="R672" s="134"/>
      <c r="S672" s="134"/>
      <c r="T672" s="134"/>
      <c r="U672" s="134"/>
      <c r="V672" s="134"/>
      <c r="W672" s="134"/>
      <c r="X672" s="134"/>
      <c r="Y672" s="134"/>
      <c r="Z672" s="134"/>
      <c r="AA672" s="134"/>
    </row>
    <row r="673" ht="15.75" customHeight="1">
      <c r="A673" s="149"/>
      <c r="B673" s="149"/>
      <c r="C673" s="149"/>
      <c r="D673" s="149"/>
      <c r="E673" s="149"/>
      <c r="F673" s="149"/>
      <c r="G673" s="149"/>
      <c r="H673" s="135" t="str">
        <f>IFERROR(VLOOKUP(G673,'Conformance Score'!A:B, 2, 0), "")</f>
        <v/>
      </c>
      <c r="I673" s="150"/>
      <c r="J673" s="150"/>
      <c r="K673" s="134"/>
      <c r="L673" s="134"/>
      <c r="M673" s="134"/>
      <c r="N673" s="134"/>
      <c r="O673" s="134"/>
      <c r="P673" s="134"/>
      <c r="Q673" s="134"/>
      <c r="R673" s="134"/>
      <c r="S673" s="134"/>
      <c r="T673" s="134"/>
      <c r="U673" s="134"/>
      <c r="V673" s="134"/>
      <c r="W673" s="134"/>
      <c r="X673" s="134"/>
      <c r="Y673" s="134"/>
      <c r="Z673" s="134"/>
      <c r="AA673" s="134"/>
    </row>
    <row r="674" ht="15.75" customHeight="1">
      <c r="A674" s="149"/>
      <c r="B674" s="149"/>
      <c r="C674" s="149"/>
      <c r="D674" s="149"/>
      <c r="E674" s="149"/>
      <c r="F674" s="149"/>
      <c r="G674" s="149"/>
      <c r="H674" s="135" t="str">
        <f>IFERROR(VLOOKUP(G674,'Conformance Score'!A:B, 2, 0), "")</f>
        <v/>
      </c>
      <c r="I674" s="150"/>
      <c r="J674" s="150"/>
      <c r="K674" s="134"/>
      <c r="L674" s="134"/>
      <c r="M674" s="134"/>
      <c r="N674" s="134"/>
      <c r="O674" s="134"/>
      <c r="P674" s="134"/>
      <c r="Q674" s="134"/>
      <c r="R674" s="134"/>
      <c r="S674" s="134"/>
      <c r="T674" s="134"/>
      <c r="U674" s="134"/>
      <c r="V674" s="134"/>
      <c r="W674" s="134"/>
      <c r="X674" s="134"/>
      <c r="Y674" s="134"/>
      <c r="Z674" s="134"/>
      <c r="AA674" s="134"/>
    </row>
    <row r="675" ht="15.75" customHeight="1">
      <c r="A675" s="149"/>
      <c r="B675" s="149"/>
      <c r="C675" s="149"/>
      <c r="D675" s="149"/>
      <c r="E675" s="149"/>
      <c r="F675" s="149"/>
      <c r="G675" s="149"/>
      <c r="H675" s="135" t="str">
        <f>IFERROR(VLOOKUP(G675,'Conformance Score'!A:B, 2, 0), "")</f>
        <v/>
      </c>
      <c r="I675" s="150"/>
      <c r="J675" s="150"/>
      <c r="K675" s="134"/>
      <c r="L675" s="134"/>
      <c r="M675" s="134"/>
      <c r="N675" s="134"/>
      <c r="O675" s="134"/>
      <c r="P675" s="134"/>
      <c r="Q675" s="134"/>
      <c r="R675" s="134"/>
      <c r="S675" s="134"/>
      <c r="T675" s="134"/>
      <c r="U675" s="134"/>
      <c r="V675" s="134"/>
      <c r="W675" s="134"/>
      <c r="X675" s="134"/>
      <c r="Y675" s="134"/>
      <c r="Z675" s="134"/>
      <c r="AA675" s="134"/>
    </row>
    <row r="676" ht="15.75" customHeight="1">
      <c r="A676" s="149"/>
      <c r="B676" s="149"/>
      <c r="C676" s="149"/>
      <c r="D676" s="149"/>
      <c r="E676" s="149"/>
      <c r="F676" s="149"/>
      <c r="G676" s="149"/>
      <c r="H676" s="135" t="str">
        <f>IFERROR(VLOOKUP(G676,'Conformance Score'!A:B, 2, 0), "")</f>
        <v/>
      </c>
      <c r="I676" s="150"/>
      <c r="J676" s="150"/>
      <c r="K676" s="134"/>
      <c r="L676" s="134"/>
      <c r="M676" s="134"/>
      <c r="N676" s="134"/>
      <c r="O676" s="134"/>
      <c r="P676" s="134"/>
      <c r="Q676" s="134"/>
      <c r="R676" s="134"/>
      <c r="S676" s="134"/>
      <c r="T676" s="134"/>
      <c r="U676" s="134"/>
      <c r="V676" s="134"/>
      <c r="W676" s="134"/>
      <c r="X676" s="134"/>
      <c r="Y676" s="134"/>
      <c r="Z676" s="134"/>
      <c r="AA676" s="134"/>
    </row>
    <row r="677" ht="15.75" customHeight="1">
      <c r="A677" s="149"/>
      <c r="B677" s="149"/>
      <c r="C677" s="149"/>
      <c r="D677" s="149"/>
      <c r="E677" s="149"/>
      <c r="F677" s="149"/>
      <c r="G677" s="149"/>
      <c r="H677" s="135" t="str">
        <f>IFERROR(VLOOKUP(G677,'Conformance Score'!A:B, 2, 0), "")</f>
        <v/>
      </c>
      <c r="I677" s="150"/>
      <c r="J677" s="150"/>
      <c r="K677" s="134"/>
      <c r="L677" s="134"/>
      <c r="M677" s="134"/>
      <c r="N677" s="134"/>
      <c r="O677" s="134"/>
      <c r="P677" s="134"/>
      <c r="Q677" s="134"/>
      <c r="R677" s="134"/>
      <c r="S677" s="134"/>
      <c r="T677" s="134"/>
      <c r="U677" s="134"/>
      <c r="V677" s="134"/>
      <c r="W677" s="134"/>
      <c r="X677" s="134"/>
      <c r="Y677" s="134"/>
      <c r="Z677" s="134"/>
      <c r="AA677" s="134"/>
    </row>
    <row r="678" ht="15.75" customHeight="1">
      <c r="A678" s="149"/>
      <c r="B678" s="149"/>
      <c r="C678" s="149"/>
      <c r="D678" s="149"/>
      <c r="E678" s="149"/>
      <c r="F678" s="149"/>
      <c r="G678" s="149"/>
      <c r="H678" s="135" t="str">
        <f>IFERROR(VLOOKUP(G678,'Conformance Score'!A:B, 2, 0), "")</f>
        <v/>
      </c>
      <c r="I678" s="150"/>
      <c r="J678" s="150"/>
      <c r="K678" s="134"/>
      <c r="L678" s="134"/>
      <c r="M678" s="134"/>
      <c r="N678" s="134"/>
      <c r="O678" s="134"/>
      <c r="P678" s="134"/>
      <c r="Q678" s="134"/>
      <c r="R678" s="134"/>
      <c r="S678" s="134"/>
      <c r="T678" s="134"/>
      <c r="U678" s="134"/>
      <c r="V678" s="134"/>
      <c r="W678" s="134"/>
      <c r="X678" s="134"/>
      <c r="Y678" s="134"/>
      <c r="Z678" s="134"/>
      <c r="AA678" s="134"/>
    </row>
    <row r="679" ht="15.75" customHeight="1">
      <c r="A679" s="149"/>
      <c r="B679" s="149"/>
      <c r="C679" s="149"/>
      <c r="D679" s="149"/>
      <c r="E679" s="149"/>
      <c r="F679" s="149"/>
      <c r="G679" s="149"/>
      <c r="H679" s="135" t="str">
        <f>IFERROR(VLOOKUP(G679,'Conformance Score'!A:B, 2, 0), "")</f>
        <v/>
      </c>
      <c r="I679" s="150"/>
      <c r="J679" s="150"/>
      <c r="K679" s="134"/>
      <c r="L679" s="134"/>
      <c r="M679" s="134"/>
      <c r="N679" s="134"/>
      <c r="O679" s="134"/>
      <c r="P679" s="134"/>
      <c r="Q679" s="134"/>
      <c r="R679" s="134"/>
      <c r="S679" s="134"/>
      <c r="T679" s="134"/>
      <c r="U679" s="134"/>
      <c r="V679" s="134"/>
      <c r="W679" s="134"/>
      <c r="X679" s="134"/>
      <c r="Y679" s="134"/>
      <c r="Z679" s="134"/>
      <c r="AA679" s="134"/>
    </row>
    <row r="680" ht="15.75" customHeight="1">
      <c r="A680" s="149"/>
      <c r="B680" s="149"/>
      <c r="C680" s="149"/>
      <c r="D680" s="149"/>
      <c r="E680" s="149"/>
      <c r="F680" s="149"/>
      <c r="G680" s="149"/>
      <c r="H680" s="135" t="str">
        <f>IFERROR(VLOOKUP(G680,'Conformance Score'!A:B, 2, 0), "")</f>
        <v/>
      </c>
      <c r="I680" s="150"/>
      <c r="J680" s="150"/>
      <c r="K680" s="134"/>
      <c r="L680" s="134"/>
      <c r="M680" s="134"/>
      <c r="N680" s="134"/>
      <c r="O680" s="134"/>
      <c r="P680" s="134"/>
      <c r="Q680" s="134"/>
      <c r="R680" s="134"/>
      <c r="S680" s="134"/>
      <c r="T680" s="134"/>
      <c r="U680" s="134"/>
      <c r="V680" s="134"/>
      <c r="W680" s="134"/>
      <c r="X680" s="134"/>
      <c r="Y680" s="134"/>
      <c r="Z680" s="134"/>
      <c r="AA680" s="134"/>
    </row>
    <row r="681" ht="15.75" customHeight="1">
      <c r="A681" s="149"/>
      <c r="B681" s="149"/>
      <c r="C681" s="149"/>
      <c r="D681" s="149"/>
      <c r="E681" s="149"/>
      <c r="F681" s="149"/>
      <c r="G681" s="149"/>
      <c r="H681" s="135" t="str">
        <f>IFERROR(VLOOKUP(G681,'Conformance Score'!A:B, 2, 0), "")</f>
        <v/>
      </c>
      <c r="I681" s="150"/>
      <c r="J681" s="150"/>
      <c r="K681" s="134"/>
      <c r="L681" s="134"/>
      <c r="M681" s="134"/>
      <c r="N681" s="134"/>
      <c r="O681" s="134"/>
      <c r="P681" s="134"/>
      <c r="Q681" s="134"/>
      <c r="R681" s="134"/>
      <c r="S681" s="134"/>
      <c r="T681" s="134"/>
      <c r="U681" s="134"/>
      <c r="V681" s="134"/>
      <c r="W681" s="134"/>
      <c r="X681" s="134"/>
      <c r="Y681" s="134"/>
      <c r="Z681" s="134"/>
      <c r="AA681" s="134"/>
    </row>
    <row r="682" ht="15.75" customHeight="1">
      <c r="A682" s="149"/>
      <c r="B682" s="149"/>
      <c r="C682" s="149"/>
      <c r="D682" s="149"/>
      <c r="E682" s="149"/>
      <c r="F682" s="149"/>
      <c r="G682" s="149"/>
      <c r="H682" s="135" t="str">
        <f>IFERROR(VLOOKUP(G682,'Conformance Score'!A:B, 2, 0), "")</f>
        <v/>
      </c>
      <c r="I682" s="150"/>
      <c r="J682" s="150"/>
      <c r="K682" s="134"/>
      <c r="L682" s="134"/>
      <c r="M682" s="134"/>
      <c r="N682" s="134"/>
      <c r="O682" s="134"/>
      <c r="P682" s="134"/>
      <c r="Q682" s="134"/>
      <c r="R682" s="134"/>
      <c r="S682" s="134"/>
      <c r="T682" s="134"/>
      <c r="U682" s="134"/>
      <c r="V682" s="134"/>
      <c r="W682" s="134"/>
      <c r="X682" s="134"/>
      <c r="Y682" s="134"/>
      <c r="Z682" s="134"/>
      <c r="AA682" s="134"/>
    </row>
    <row r="683" ht="15.75" customHeight="1">
      <c r="A683" s="149"/>
      <c r="B683" s="149"/>
      <c r="C683" s="149"/>
      <c r="D683" s="149"/>
      <c r="E683" s="149"/>
      <c r="F683" s="149"/>
      <c r="G683" s="149"/>
      <c r="H683" s="135" t="str">
        <f>IFERROR(VLOOKUP(G683,'Conformance Score'!A:B, 2, 0), "")</f>
        <v/>
      </c>
      <c r="I683" s="150"/>
      <c r="J683" s="150"/>
      <c r="K683" s="134"/>
      <c r="L683" s="134"/>
      <c r="M683" s="134"/>
      <c r="N683" s="134"/>
      <c r="O683" s="134"/>
      <c r="P683" s="134"/>
      <c r="Q683" s="134"/>
      <c r="R683" s="134"/>
      <c r="S683" s="134"/>
      <c r="T683" s="134"/>
      <c r="U683" s="134"/>
      <c r="V683" s="134"/>
      <c r="W683" s="134"/>
      <c r="X683" s="134"/>
      <c r="Y683" s="134"/>
      <c r="Z683" s="134"/>
      <c r="AA683" s="134"/>
    </row>
    <row r="684" ht="15.75" customHeight="1">
      <c r="A684" s="149"/>
      <c r="B684" s="149"/>
      <c r="C684" s="149"/>
      <c r="D684" s="149"/>
      <c r="E684" s="149"/>
      <c r="F684" s="149"/>
      <c r="G684" s="149"/>
      <c r="H684" s="135" t="str">
        <f>IFERROR(VLOOKUP(G684,'Conformance Score'!A:B, 2, 0), "")</f>
        <v/>
      </c>
      <c r="I684" s="150"/>
      <c r="J684" s="150"/>
      <c r="K684" s="134"/>
      <c r="L684" s="134"/>
      <c r="M684" s="134"/>
      <c r="N684" s="134"/>
      <c r="O684" s="134"/>
      <c r="P684" s="134"/>
      <c r="Q684" s="134"/>
      <c r="R684" s="134"/>
      <c r="S684" s="134"/>
      <c r="T684" s="134"/>
      <c r="U684" s="134"/>
      <c r="V684" s="134"/>
      <c r="W684" s="134"/>
      <c r="X684" s="134"/>
      <c r="Y684" s="134"/>
      <c r="Z684" s="134"/>
      <c r="AA684" s="134"/>
    </row>
    <row r="685" ht="15.75" customHeight="1">
      <c r="A685" s="149"/>
      <c r="B685" s="149"/>
      <c r="C685" s="149"/>
      <c r="D685" s="149"/>
      <c r="E685" s="149"/>
      <c r="F685" s="149"/>
      <c r="G685" s="149"/>
      <c r="H685" s="135" t="str">
        <f>IFERROR(VLOOKUP(G685,'Conformance Score'!A:B, 2, 0), "")</f>
        <v/>
      </c>
      <c r="I685" s="150"/>
      <c r="J685" s="150"/>
      <c r="K685" s="134"/>
      <c r="L685" s="134"/>
      <c r="M685" s="134"/>
      <c r="N685" s="134"/>
      <c r="O685" s="134"/>
      <c r="P685" s="134"/>
      <c r="Q685" s="134"/>
      <c r="R685" s="134"/>
      <c r="S685" s="134"/>
      <c r="T685" s="134"/>
      <c r="U685" s="134"/>
      <c r="V685" s="134"/>
      <c r="W685" s="134"/>
      <c r="X685" s="134"/>
      <c r="Y685" s="134"/>
      <c r="Z685" s="134"/>
      <c r="AA685" s="134"/>
    </row>
    <row r="686" ht="15.75" customHeight="1">
      <c r="A686" s="149"/>
      <c r="B686" s="149"/>
      <c r="C686" s="149"/>
      <c r="D686" s="149"/>
      <c r="E686" s="149"/>
      <c r="F686" s="149"/>
      <c r="G686" s="149"/>
      <c r="H686" s="135" t="str">
        <f>IFERROR(VLOOKUP(G686,'Conformance Score'!A:B, 2, 0), "")</f>
        <v/>
      </c>
      <c r="I686" s="150"/>
      <c r="J686" s="150"/>
      <c r="K686" s="134"/>
      <c r="L686" s="134"/>
      <c r="M686" s="134"/>
      <c r="N686" s="134"/>
      <c r="O686" s="134"/>
      <c r="P686" s="134"/>
      <c r="Q686" s="134"/>
      <c r="R686" s="134"/>
      <c r="S686" s="134"/>
      <c r="T686" s="134"/>
      <c r="U686" s="134"/>
      <c r="V686" s="134"/>
      <c r="W686" s="134"/>
      <c r="X686" s="134"/>
      <c r="Y686" s="134"/>
      <c r="Z686" s="134"/>
      <c r="AA686" s="134"/>
    </row>
    <row r="687" ht="15.75" customHeight="1">
      <c r="A687" s="149"/>
      <c r="B687" s="149"/>
      <c r="C687" s="149"/>
      <c r="D687" s="149"/>
      <c r="E687" s="149"/>
      <c r="F687" s="149"/>
      <c r="G687" s="149"/>
      <c r="H687" s="135" t="str">
        <f>IFERROR(VLOOKUP(G687,'Conformance Score'!A:B, 2, 0), "")</f>
        <v/>
      </c>
      <c r="I687" s="150"/>
      <c r="J687" s="150"/>
      <c r="K687" s="134"/>
      <c r="L687" s="134"/>
      <c r="M687" s="134"/>
      <c r="N687" s="134"/>
      <c r="O687" s="134"/>
      <c r="P687" s="134"/>
      <c r="Q687" s="134"/>
      <c r="R687" s="134"/>
      <c r="S687" s="134"/>
      <c r="T687" s="134"/>
      <c r="U687" s="134"/>
      <c r="V687" s="134"/>
      <c r="W687" s="134"/>
      <c r="X687" s="134"/>
      <c r="Y687" s="134"/>
      <c r="Z687" s="134"/>
      <c r="AA687" s="134"/>
    </row>
    <row r="688" ht="15.75" customHeight="1">
      <c r="A688" s="149"/>
      <c r="B688" s="149"/>
      <c r="C688" s="149"/>
      <c r="D688" s="149"/>
      <c r="E688" s="149"/>
      <c r="F688" s="149"/>
      <c r="G688" s="149"/>
      <c r="H688" s="135" t="str">
        <f>IFERROR(VLOOKUP(G688,'Conformance Score'!A:B, 2, 0), "")</f>
        <v/>
      </c>
      <c r="I688" s="150"/>
      <c r="J688" s="150"/>
      <c r="K688" s="134"/>
      <c r="L688" s="134"/>
      <c r="M688" s="134"/>
      <c r="N688" s="134"/>
      <c r="O688" s="134"/>
      <c r="P688" s="134"/>
      <c r="Q688" s="134"/>
      <c r="R688" s="134"/>
      <c r="S688" s="134"/>
      <c r="T688" s="134"/>
      <c r="U688" s="134"/>
      <c r="V688" s="134"/>
      <c r="W688" s="134"/>
      <c r="X688" s="134"/>
      <c r="Y688" s="134"/>
      <c r="Z688" s="134"/>
      <c r="AA688" s="134"/>
    </row>
    <row r="689" ht="15.75" customHeight="1">
      <c r="A689" s="149"/>
      <c r="B689" s="149"/>
      <c r="C689" s="149"/>
      <c r="D689" s="149"/>
      <c r="E689" s="149"/>
      <c r="F689" s="149"/>
      <c r="G689" s="149"/>
      <c r="H689" s="135" t="str">
        <f>IFERROR(VLOOKUP(G689,'Conformance Score'!A:B, 2, 0), "")</f>
        <v/>
      </c>
      <c r="I689" s="150"/>
      <c r="J689" s="150"/>
      <c r="K689" s="134"/>
      <c r="L689" s="134"/>
      <c r="M689" s="134"/>
      <c r="N689" s="134"/>
      <c r="O689" s="134"/>
      <c r="P689" s="134"/>
      <c r="Q689" s="134"/>
      <c r="R689" s="134"/>
      <c r="S689" s="134"/>
      <c r="T689" s="134"/>
      <c r="U689" s="134"/>
      <c r="V689" s="134"/>
      <c r="W689" s="134"/>
      <c r="X689" s="134"/>
      <c r="Y689" s="134"/>
      <c r="Z689" s="134"/>
      <c r="AA689" s="134"/>
    </row>
    <row r="690" ht="15.75" customHeight="1">
      <c r="A690" s="149"/>
      <c r="B690" s="149"/>
      <c r="C690" s="149"/>
      <c r="D690" s="149"/>
      <c r="E690" s="149"/>
      <c r="F690" s="149"/>
      <c r="G690" s="149"/>
      <c r="H690" s="135" t="str">
        <f>IFERROR(VLOOKUP(G690,'Conformance Score'!A:B, 2, 0), "")</f>
        <v/>
      </c>
      <c r="I690" s="150"/>
      <c r="J690" s="150"/>
      <c r="K690" s="134"/>
      <c r="L690" s="134"/>
      <c r="M690" s="134"/>
      <c r="N690" s="134"/>
      <c r="O690" s="134"/>
      <c r="P690" s="134"/>
      <c r="Q690" s="134"/>
      <c r="R690" s="134"/>
      <c r="S690" s="134"/>
      <c r="T690" s="134"/>
      <c r="U690" s="134"/>
      <c r="V690" s="134"/>
      <c r="W690" s="134"/>
      <c r="X690" s="134"/>
      <c r="Y690" s="134"/>
      <c r="Z690" s="134"/>
      <c r="AA690" s="134"/>
    </row>
    <row r="691" ht="15.75" customHeight="1">
      <c r="A691" s="149"/>
      <c r="B691" s="149"/>
      <c r="C691" s="149"/>
      <c r="D691" s="149"/>
      <c r="E691" s="149"/>
      <c r="F691" s="149"/>
      <c r="G691" s="149"/>
      <c r="H691" s="135" t="str">
        <f>IFERROR(VLOOKUP(G691,'Conformance Score'!A:B, 2, 0), "")</f>
        <v/>
      </c>
      <c r="I691" s="150"/>
      <c r="J691" s="150"/>
      <c r="K691" s="134"/>
      <c r="L691" s="134"/>
      <c r="M691" s="134"/>
      <c r="N691" s="134"/>
      <c r="O691" s="134"/>
      <c r="P691" s="134"/>
      <c r="Q691" s="134"/>
      <c r="R691" s="134"/>
      <c r="S691" s="134"/>
      <c r="T691" s="134"/>
      <c r="U691" s="134"/>
      <c r="V691" s="134"/>
      <c r="W691" s="134"/>
      <c r="X691" s="134"/>
      <c r="Y691" s="134"/>
      <c r="Z691" s="134"/>
      <c r="AA691" s="134"/>
    </row>
    <row r="692" ht="15.75" customHeight="1">
      <c r="A692" s="149"/>
      <c r="B692" s="149"/>
      <c r="C692" s="149"/>
      <c r="D692" s="149"/>
      <c r="E692" s="149"/>
      <c r="F692" s="149"/>
      <c r="G692" s="149"/>
      <c r="H692" s="135" t="str">
        <f>IFERROR(VLOOKUP(G692,'Conformance Score'!A:B, 2, 0), "")</f>
        <v/>
      </c>
      <c r="I692" s="150"/>
      <c r="J692" s="150"/>
      <c r="K692" s="134"/>
      <c r="L692" s="134"/>
      <c r="M692" s="134"/>
      <c r="N692" s="134"/>
      <c r="O692" s="134"/>
      <c r="P692" s="134"/>
      <c r="Q692" s="134"/>
      <c r="R692" s="134"/>
      <c r="S692" s="134"/>
      <c r="T692" s="134"/>
      <c r="U692" s="134"/>
      <c r="V692" s="134"/>
      <c r="W692" s="134"/>
      <c r="X692" s="134"/>
      <c r="Y692" s="134"/>
      <c r="Z692" s="134"/>
      <c r="AA692" s="134"/>
    </row>
    <row r="693" ht="15.75" customHeight="1">
      <c r="A693" s="149"/>
      <c r="B693" s="149"/>
      <c r="C693" s="149"/>
      <c r="D693" s="149"/>
      <c r="E693" s="149"/>
      <c r="F693" s="149"/>
      <c r="G693" s="149"/>
      <c r="H693" s="135" t="str">
        <f>IFERROR(VLOOKUP(G693,'Conformance Score'!A:B, 2, 0), "")</f>
        <v/>
      </c>
      <c r="I693" s="150"/>
      <c r="J693" s="150"/>
      <c r="K693" s="134"/>
      <c r="L693" s="134"/>
      <c r="M693" s="134"/>
      <c r="N693" s="134"/>
      <c r="O693" s="134"/>
      <c r="P693" s="134"/>
      <c r="Q693" s="134"/>
      <c r="R693" s="134"/>
      <c r="S693" s="134"/>
      <c r="T693" s="134"/>
      <c r="U693" s="134"/>
      <c r="V693" s="134"/>
      <c r="W693" s="134"/>
      <c r="X693" s="134"/>
      <c r="Y693" s="134"/>
      <c r="Z693" s="134"/>
      <c r="AA693" s="134"/>
    </row>
    <row r="694" ht="15.75" customHeight="1">
      <c r="A694" s="149"/>
      <c r="B694" s="149"/>
      <c r="C694" s="149"/>
      <c r="D694" s="149"/>
      <c r="E694" s="149"/>
      <c r="F694" s="149"/>
      <c r="G694" s="149"/>
      <c r="H694" s="135" t="str">
        <f>IFERROR(VLOOKUP(G694,'Conformance Score'!A:B, 2, 0), "")</f>
        <v/>
      </c>
      <c r="I694" s="150"/>
      <c r="J694" s="150"/>
      <c r="K694" s="134"/>
      <c r="L694" s="134"/>
      <c r="M694" s="134"/>
      <c r="N694" s="134"/>
      <c r="O694" s="134"/>
      <c r="P694" s="134"/>
      <c r="Q694" s="134"/>
      <c r="R694" s="134"/>
      <c r="S694" s="134"/>
      <c r="T694" s="134"/>
      <c r="U694" s="134"/>
      <c r="V694" s="134"/>
      <c r="W694" s="134"/>
      <c r="X694" s="134"/>
      <c r="Y694" s="134"/>
      <c r="Z694" s="134"/>
      <c r="AA694" s="134"/>
    </row>
    <row r="695" ht="15.75" customHeight="1">
      <c r="A695" s="149"/>
      <c r="B695" s="149"/>
      <c r="C695" s="149"/>
      <c r="D695" s="149"/>
      <c r="E695" s="149"/>
      <c r="F695" s="149"/>
      <c r="G695" s="149"/>
      <c r="H695" s="135" t="str">
        <f>IFERROR(VLOOKUP(G695,'Conformance Score'!A:B, 2, 0), "")</f>
        <v/>
      </c>
      <c r="I695" s="150"/>
      <c r="J695" s="150"/>
      <c r="K695" s="134"/>
      <c r="L695" s="134"/>
      <c r="M695" s="134"/>
      <c r="N695" s="134"/>
      <c r="O695" s="134"/>
      <c r="P695" s="134"/>
      <c r="Q695" s="134"/>
      <c r="R695" s="134"/>
      <c r="S695" s="134"/>
      <c r="T695" s="134"/>
      <c r="U695" s="134"/>
      <c r="V695" s="134"/>
      <c r="W695" s="134"/>
      <c r="X695" s="134"/>
      <c r="Y695" s="134"/>
      <c r="Z695" s="134"/>
      <c r="AA695" s="134"/>
    </row>
    <row r="696" ht="15.75" customHeight="1">
      <c r="A696" s="149"/>
      <c r="B696" s="149"/>
      <c r="C696" s="149"/>
      <c r="D696" s="149"/>
      <c r="E696" s="149"/>
      <c r="F696" s="149"/>
      <c r="G696" s="149"/>
      <c r="H696" s="135" t="str">
        <f>IFERROR(VLOOKUP(G696,'Conformance Score'!A:B, 2, 0), "")</f>
        <v/>
      </c>
      <c r="I696" s="150"/>
      <c r="J696" s="150"/>
      <c r="K696" s="134"/>
      <c r="L696" s="134"/>
      <c r="M696" s="134"/>
      <c r="N696" s="134"/>
      <c r="O696" s="134"/>
      <c r="P696" s="134"/>
      <c r="Q696" s="134"/>
      <c r="R696" s="134"/>
      <c r="S696" s="134"/>
      <c r="T696" s="134"/>
      <c r="U696" s="134"/>
      <c r="V696" s="134"/>
      <c r="W696" s="134"/>
      <c r="X696" s="134"/>
      <c r="Y696" s="134"/>
      <c r="Z696" s="134"/>
      <c r="AA696" s="134"/>
    </row>
    <row r="697" ht="15.75" customHeight="1">
      <c r="A697" s="149"/>
      <c r="B697" s="149"/>
      <c r="C697" s="149"/>
      <c r="D697" s="149"/>
      <c r="E697" s="149"/>
      <c r="F697" s="149"/>
      <c r="G697" s="149"/>
      <c r="H697" s="135" t="str">
        <f>IFERROR(VLOOKUP(G697,'Conformance Score'!A:B, 2, 0), "")</f>
        <v/>
      </c>
      <c r="I697" s="150"/>
      <c r="J697" s="150"/>
      <c r="K697" s="134"/>
      <c r="L697" s="134"/>
      <c r="M697" s="134"/>
      <c r="N697" s="134"/>
      <c r="O697" s="134"/>
      <c r="P697" s="134"/>
      <c r="Q697" s="134"/>
      <c r="R697" s="134"/>
      <c r="S697" s="134"/>
      <c r="T697" s="134"/>
      <c r="U697" s="134"/>
      <c r="V697" s="134"/>
      <c r="W697" s="134"/>
      <c r="X697" s="134"/>
      <c r="Y697" s="134"/>
      <c r="Z697" s="134"/>
      <c r="AA697" s="134"/>
    </row>
    <row r="698" ht="15.75" customHeight="1">
      <c r="A698" s="149"/>
      <c r="B698" s="149"/>
      <c r="C698" s="149"/>
      <c r="D698" s="149"/>
      <c r="E698" s="149"/>
      <c r="F698" s="149"/>
      <c r="G698" s="149"/>
      <c r="H698" s="135" t="str">
        <f>IFERROR(VLOOKUP(G698,'Conformance Score'!A:B, 2, 0), "")</f>
        <v/>
      </c>
      <c r="I698" s="150"/>
      <c r="J698" s="150"/>
      <c r="K698" s="134"/>
      <c r="L698" s="134"/>
      <c r="M698" s="134"/>
      <c r="N698" s="134"/>
      <c r="O698" s="134"/>
      <c r="P698" s="134"/>
      <c r="Q698" s="134"/>
      <c r="R698" s="134"/>
      <c r="S698" s="134"/>
      <c r="T698" s="134"/>
      <c r="U698" s="134"/>
      <c r="V698" s="134"/>
      <c r="W698" s="134"/>
      <c r="X698" s="134"/>
      <c r="Y698" s="134"/>
      <c r="Z698" s="134"/>
      <c r="AA698" s="134"/>
    </row>
    <row r="699" ht="15.75" customHeight="1">
      <c r="A699" s="149"/>
      <c r="B699" s="149"/>
      <c r="C699" s="149"/>
      <c r="D699" s="149"/>
      <c r="E699" s="149"/>
      <c r="F699" s="149"/>
      <c r="G699" s="149"/>
      <c r="H699" s="135" t="str">
        <f>IFERROR(VLOOKUP(G699,'Conformance Score'!A:B, 2, 0), "")</f>
        <v/>
      </c>
      <c r="I699" s="150"/>
      <c r="J699" s="150"/>
      <c r="K699" s="134"/>
      <c r="L699" s="134"/>
      <c r="M699" s="134"/>
      <c r="N699" s="134"/>
      <c r="O699" s="134"/>
      <c r="P699" s="134"/>
      <c r="Q699" s="134"/>
      <c r="R699" s="134"/>
      <c r="S699" s="134"/>
      <c r="T699" s="134"/>
      <c r="U699" s="134"/>
      <c r="V699" s="134"/>
      <c r="W699" s="134"/>
      <c r="X699" s="134"/>
      <c r="Y699" s="134"/>
      <c r="Z699" s="134"/>
      <c r="AA699" s="134"/>
    </row>
    <row r="700" ht="15.75" customHeight="1">
      <c r="A700" s="149"/>
      <c r="B700" s="149"/>
      <c r="C700" s="149"/>
      <c r="D700" s="149"/>
      <c r="E700" s="149"/>
      <c r="F700" s="149"/>
      <c r="G700" s="149"/>
      <c r="H700" s="135" t="str">
        <f>IFERROR(VLOOKUP(G700,'Conformance Score'!A:B, 2, 0), "")</f>
        <v/>
      </c>
      <c r="I700" s="150"/>
      <c r="J700" s="150"/>
      <c r="K700" s="134"/>
      <c r="L700" s="134"/>
      <c r="M700" s="134"/>
      <c r="N700" s="134"/>
      <c r="O700" s="134"/>
      <c r="P700" s="134"/>
      <c r="Q700" s="134"/>
      <c r="R700" s="134"/>
      <c r="S700" s="134"/>
      <c r="T700" s="134"/>
      <c r="U700" s="134"/>
      <c r="V700" s="134"/>
      <c r="W700" s="134"/>
      <c r="X700" s="134"/>
      <c r="Y700" s="134"/>
      <c r="Z700" s="134"/>
      <c r="AA700" s="134"/>
    </row>
    <row r="701" ht="15.75" customHeight="1">
      <c r="A701" s="149"/>
      <c r="B701" s="149"/>
      <c r="C701" s="149"/>
      <c r="D701" s="149"/>
      <c r="E701" s="149"/>
      <c r="F701" s="149"/>
      <c r="G701" s="149"/>
      <c r="H701" s="135" t="str">
        <f>IFERROR(VLOOKUP(G701,'Conformance Score'!A:B, 2, 0), "")</f>
        <v/>
      </c>
      <c r="I701" s="150"/>
      <c r="J701" s="150"/>
      <c r="K701" s="134"/>
      <c r="L701" s="134"/>
      <c r="M701" s="134"/>
      <c r="N701" s="134"/>
      <c r="O701" s="134"/>
      <c r="P701" s="134"/>
      <c r="Q701" s="134"/>
      <c r="R701" s="134"/>
      <c r="S701" s="134"/>
      <c r="T701" s="134"/>
      <c r="U701" s="134"/>
      <c r="V701" s="134"/>
      <c r="W701" s="134"/>
      <c r="X701" s="134"/>
      <c r="Y701" s="134"/>
      <c r="Z701" s="134"/>
      <c r="AA701" s="134"/>
    </row>
    <row r="702" ht="15.75" customHeight="1">
      <c r="A702" s="149"/>
      <c r="B702" s="149"/>
      <c r="C702" s="149"/>
      <c r="D702" s="149"/>
      <c r="E702" s="149"/>
      <c r="F702" s="149"/>
      <c r="G702" s="149"/>
      <c r="H702" s="135" t="str">
        <f>IFERROR(VLOOKUP(G702,'Conformance Score'!A:B, 2, 0), "")</f>
        <v/>
      </c>
      <c r="I702" s="150"/>
      <c r="J702" s="150"/>
      <c r="K702" s="134"/>
      <c r="L702" s="134"/>
      <c r="M702" s="134"/>
      <c r="N702" s="134"/>
      <c r="O702" s="134"/>
      <c r="P702" s="134"/>
      <c r="Q702" s="134"/>
      <c r="R702" s="134"/>
      <c r="S702" s="134"/>
      <c r="T702" s="134"/>
      <c r="U702" s="134"/>
      <c r="V702" s="134"/>
      <c r="W702" s="134"/>
      <c r="X702" s="134"/>
      <c r="Y702" s="134"/>
      <c r="Z702" s="134"/>
      <c r="AA702" s="134"/>
    </row>
    <row r="703" ht="15.75" customHeight="1">
      <c r="A703" s="149"/>
      <c r="B703" s="149"/>
      <c r="C703" s="149"/>
      <c r="D703" s="149"/>
      <c r="E703" s="149"/>
      <c r="F703" s="149"/>
      <c r="G703" s="149"/>
      <c r="H703" s="135" t="str">
        <f>IFERROR(VLOOKUP(G703,'Conformance Score'!A:B, 2, 0), "")</f>
        <v/>
      </c>
      <c r="I703" s="150"/>
      <c r="J703" s="150"/>
      <c r="K703" s="134"/>
      <c r="L703" s="134"/>
      <c r="M703" s="134"/>
      <c r="N703" s="134"/>
      <c r="O703" s="134"/>
      <c r="P703" s="134"/>
      <c r="Q703" s="134"/>
      <c r="R703" s="134"/>
      <c r="S703" s="134"/>
      <c r="T703" s="134"/>
      <c r="U703" s="134"/>
      <c r="V703" s="134"/>
      <c r="W703" s="134"/>
      <c r="X703" s="134"/>
      <c r="Y703" s="134"/>
      <c r="Z703" s="134"/>
      <c r="AA703" s="134"/>
    </row>
    <row r="704" ht="15.75" customHeight="1">
      <c r="A704" s="149"/>
      <c r="B704" s="149"/>
      <c r="C704" s="149"/>
      <c r="D704" s="149"/>
      <c r="E704" s="149"/>
      <c r="F704" s="149"/>
      <c r="G704" s="149"/>
      <c r="H704" s="135" t="str">
        <f>IFERROR(VLOOKUP(G704,'Conformance Score'!A:B, 2, 0), "")</f>
        <v/>
      </c>
      <c r="I704" s="150"/>
      <c r="J704" s="150"/>
      <c r="K704" s="134"/>
      <c r="L704" s="134"/>
      <c r="M704" s="134"/>
      <c r="N704" s="134"/>
      <c r="O704" s="134"/>
      <c r="P704" s="134"/>
      <c r="Q704" s="134"/>
      <c r="R704" s="134"/>
      <c r="S704" s="134"/>
      <c r="T704" s="134"/>
      <c r="U704" s="134"/>
      <c r="V704" s="134"/>
      <c r="W704" s="134"/>
      <c r="X704" s="134"/>
      <c r="Y704" s="134"/>
      <c r="Z704" s="134"/>
      <c r="AA704" s="134"/>
    </row>
    <row r="705" ht="15.75" customHeight="1">
      <c r="A705" s="149"/>
      <c r="B705" s="149"/>
      <c r="C705" s="149"/>
      <c r="D705" s="149"/>
      <c r="E705" s="149"/>
      <c r="F705" s="149"/>
      <c r="G705" s="149"/>
      <c r="H705" s="135" t="str">
        <f>IFERROR(VLOOKUP(G705,'Conformance Score'!A:B, 2, 0), "")</f>
        <v/>
      </c>
      <c r="I705" s="150"/>
      <c r="J705" s="150"/>
      <c r="K705" s="134"/>
      <c r="L705" s="134"/>
      <c r="M705" s="134"/>
      <c r="N705" s="134"/>
      <c r="O705" s="134"/>
      <c r="P705" s="134"/>
      <c r="Q705" s="134"/>
      <c r="R705" s="134"/>
      <c r="S705" s="134"/>
      <c r="T705" s="134"/>
      <c r="U705" s="134"/>
      <c r="V705" s="134"/>
      <c r="W705" s="134"/>
      <c r="X705" s="134"/>
      <c r="Y705" s="134"/>
      <c r="Z705" s="134"/>
      <c r="AA705" s="134"/>
    </row>
    <row r="706" ht="15.75" customHeight="1">
      <c r="A706" s="149"/>
      <c r="B706" s="149"/>
      <c r="C706" s="149"/>
      <c r="D706" s="149"/>
      <c r="E706" s="149"/>
      <c r="F706" s="149"/>
      <c r="G706" s="149"/>
      <c r="H706" s="135" t="str">
        <f>IFERROR(VLOOKUP(G706,'Conformance Score'!A:B, 2, 0), "")</f>
        <v/>
      </c>
      <c r="I706" s="150"/>
      <c r="J706" s="150"/>
      <c r="K706" s="134"/>
      <c r="L706" s="134"/>
      <c r="M706" s="134"/>
      <c r="N706" s="134"/>
      <c r="O706" s="134"/>
      <c r="P706" s="134"/>
      <c r="Q706" s="134"/>
      <c r="R706" s="134"/>
      <c r="S706" s="134"/>
      <c r="T706" s="134"/>
      <c r="U706" s="134"/>
      <c r="V706" s="134"/>
      <c r="W706" s="134"/>
      <c r="X706" s="134"/>
      <c r="Y706" s="134"/>
      <c r="Z706" s="134"/>
      <c r="AA706" s="134"/>
    </row>
    <row r="707" ht="15.75" customHeight="1">
      <c r="A707" s="149"/>
      <c r="B707" s="149"/>
      <c r="C707" s="149"/>
      <c r="D707" s="149"/>
      <c r="E707" s="149"/>
      <c r="F707" s="149"/>
      <c r="G707" s="149"/>
      <c r="H707" s="135" t="str">
        <f>IFERROR(VLOOKUP(G707,'Conformance Score'!A:B, 2, 0), "")</f>
        <v/>
      </c>
      <c r="I707" s="150"/>
      <c r="J707" s="150"/>
      <c r="K707" s="134"/>
      <c r="L707" s="134"/>
      <c r="M707" s="134"/>
      <c r="N707" s="134"/>
      <c r="O707" s="134"/>
      <c r="P707" s="134"/>
      <c r="Q707" s="134"/>
      <c r="R707" s="134"/>
      <c r="S707" s="134"/>
      <c r="T707" s="134"/>
      <c r="U707" s="134"/>
      <c r="V707" s="134"/>
      <c r="W707" s="134"/>
      <c r="X707" s="134"/>
      <c r="Y707" s="134"/>
      <c r="Z707" s="134"/>
      <c r="AA707" s="134"/>
    </row>
    <row r="708" ht="15.75" customHeight="1">
      <c r="A708" s="149"/>
      <c r="B708" s="149"/>
      <c r="C708" s="149"/>
      <c r="D708" s="149"/>
      <c r="E708" s="149"/>
      <c r="F708" s="149"/>
      <c r="G708" s="149"/>
      <c r="H708" s="135" t="str">
        <f>IFERROR(VLOOKUP(G708,'Conformance Score'!A:B, 2, 0), "")</f>
        <v/>
      </c>
      <c r="I708" s="150"/>
      <c r="J708" s="150"/>
      <c r="K708" s="134"/>
      <c r="L708" s="134"/>
      <c r="M708" s="134"/>
      <c r="N708" s="134"/>
      <c r="O708" s="134"/>
      <c r="P708" s="134"/>
      <c r="Q708" s="134"/>
      <c r="R708" s="134"/>
      <c r="S708" s="134"/>
      <c r="T708" s="134"/>
      <c r="U708" s="134"/>
      <c r="V708" s="134"/>
      <c r="W708" s="134"/>
      <c r="X708" s="134"/>
      <c r="Y708" s="134"/>
      <c r="Z708" s="134"/>
      <c r="AA708" s="134"/>
    </row>
    <row r="709" ht="15.75" customHeight="1">
      <c r="A709" s="149"/>
      <c r="B709" s="149"/>
      <c r="C709" s="149"/>
      <c r="D709" s="149"/>
      <c r="E709" s="149"/>
      <c r="F709" s="149"/>
      <c r="G709" s="149"/>
      <c r="H709" s="135" t="str">
        <f>IFERROR(VLOOKUP(G709,'Conformance Score'!A:B, 2, 0), "")</f>
        <v/>
      </c>
      <c r="I709" s="150"/>
      <c r="J709" s="150"/>
      <c r="K709" s="134"/>
      <c r="L709" s="134"/>
      <c r="M709" s="134"/>
      <c r="N709" s="134"/>
      <c r="O709" s="134"/>
      <c r="P709" s="134"/>
      <c r="Q709" s="134"/>
      <c r="R709" s="134"/>
      <c r="S709" s="134"/>
      <c r="T709" s="134"/>
      <c r="U709" s="134"/>
      <c r="V709" s="134"/>
      <c r="W709" s="134"/>
      <c r="X709" s="134"/>
      <c r="Y709" s="134"/>
      <c r="Z709" s="134"/>
      <c r="AA709" s="134"/>
    </row>
    <row r="710" ht="15.75" customHeight="1">
      <c r="A710" s="149"/>
      <c r="B710" s="149"/>
      <c r="C710" s="149"/>
      <c r="D710" s="149"/>
      <c r="E710" s="149"/>
      <c r="F710" s="149"/>
      <c r="G710" s="149"/>
      <c r="H710" s="135" t="str">
        <f>IFERROR(VLOOKUP(G710,'Conformance Score'!A:B, 2, 0), "")</f>
        <v/>
      </c>
      <c r="I710" s="150"/>
      <c r="J710" s="150"/>
      <c r="K710" s="134"/>
      <c r="L710" s="134"/>
      <c r="M710" s="134"/>
      <c r="N710" s="134"/>
      <c r="O710" s="134"/>
      <c r="P710" s="134"/>
      <c r="Q710" s="134"/>
      <c r="R710" s="134"/>
      <c r="S710" s="134"/>
      <c r="T710" s="134"/>
      <c r="U710" s="134"/>
      <c r="V710" s="134"/>
      <c r="W710" s="134"/>
      <c r="X710" s="134"/>
      <c r="Y710" s="134"/>
      <c r="Z710" s="134"/>
      <c r="AA710" s="134"/>
    </row>
    <row r="711" ht="15.75" customHeight="1">
      <c r="A711" s="149"/>
      <c r="B711" s="149"/>
      <c r="C711" s="149"/>
      <c r="D711" s="149"/>
      <c r="E711" s="149"/>
      <c r="F711" s="149"/>
      <c r="G711" s="149"/>
      <c r="H711" s="135" t="str">
        <f>IFERROR(VLOOKUP(G711,'Conformance Score'!A:B, 2, 0), "")</f>
        <v/>
      </c>
      <c r="I711" s="150"/>
      <c r="J711" s="150"/>
      <c r="K711" s="134"/>
      <c r="L711" s="134"/>
      <c r="M711" s="134"/>
      <c r="N711" s="134"/>
      <c r="O711" s="134"/>
      <c r="P711" s="134"/>
      <c r="Q711" s="134"/>
      <c r="R711" s="134"/>
      <c r="S711" s="134"/>
      <c r="T711" s="134"/>
      <c r="U711" s="134"/>
      <c r="V711" s="134"/>
      <c r="W711" s="134"/>
      <c r="X711" s="134"/>
      <c r="Y711" s="134"/>
      <c r="Z711" s="134"/>
      <c r="AA711" s="134"/>
    </row>
    <row r="712" ht="15.75" customHeight="1">
      <c r="A712" s="149"/>
      <c r="B712" s="149"/>
      <c r="C712" s="149"/>
      <c r="D712" s="149"/>
      <c r="E712" s="149"/>
      <c r="F712" s="149"/>
      <c r="G712" s="149"/>
      <c r="H712" s="135" t="str">
        <f>IFERROR(VLOOKUP(G712,'Conformance Score'!A:B, 2, 0), "")</f>
        <v/>
      </c>
      <c r="I712" s="150"/>
      <c r="J712" s="150"/>
      <c r="K712" s="134"/>
      <c r="L712" s="134"/>
      <c r="M712" s="134"/>
      <c r="N712" s="134"/>
      <c r="O712" s="134"/>
      <c r="P712" s="134"/>
      <c r="Q712" s="134"/>
      <c r="R712" s="134"/>
      <c r="S712" s="134"/>
      <c r="T712" s="134"/>
      <c r="U712" s="134"/>
      <c r="V712" s="134"/>
      <c r="W712" s="134"/>
      <c r="X712" s="134"/>
      <c r="Y712" s="134"/>
      <c r="Z712" s="134"/>
      <c r="AA712" s="134"/>
    </row>
    <row r="713" ht="15.75" customHeight="1">
      <c r="A713" s="149"/>
      <c r="B713" s="149"/>
      <c r="C713" s="149"/>
      <c r="D713" s="149"/>
      <c r="E713" s="149"/>
      <c r="F713" s="149"/>
      <c r="G713" s="149"/>
      <c r="H713" s="135" t="str">
        <f>IFERROR(VLOOKUP(G713,'Conformance Score'!A:B, 2, 0), "")</f>
        <v/>
      </c>
      <c r="I713" s="150"/>
      <c r="J713" s="150"/>
      <c r="K713" s="134"/>
      <c r="L713" s="134"/>
      <c r="M713" s="134"/>
      <c r="N713" s="134"/>
      <c r="O713" s="134"/>
      <c r="P713" s="134"/>
      <c r="Q713" s="134"/>
      <c r="R713" s="134"/>
      <c r="S713" s="134"/>
      <c r="T713" s="134"/>
      <c r="U713" s="134"/>
      <c r="V713" s="134"/>
      <c r="W713" s="134"/>
      <c r="X713" s="134"/>
      <c r="Y713" s="134"/>
      <c r="Z713" s="134"/>
      <c r="AA713" s="134"/>
    </row>
    <row r="714" ht="15.75" customHeight="1">
      <c r="A714" s="149"/>
      <c r="B714" s="149"/>
      <c r="C714" s="149"/>
      <c r="D714" s="149"/>
      <c r="E714" s="149"/>
      <c r="F714" s="149"/>
      <c r="G714" s="149"/>
      <c r="H714" s="135" t="str">
        <f>IFERROR(VLOOKUP(G714,'Conformance Score'!A:B, 2, 0), "")</f>
        <v/>
      </c>
      <c r="I714" s="150"/>
      <c r="J714" s="150"/>
      <c r="K714" s="134"/>
      <c r="L714" s="134"/>
      <c r="M714" s="134"/>
      <c r="N714" s="134"/>
      <c r="O714" s="134"/>
      <c r="P714" s="134"/>
      <c r="Q714" s="134"/>
      <c r="R714" s="134"/>
      <c r="S714" s="134"/>
      <c r="T714" s="134"/>
      <c r="U714" s="134"/>
      <c r="V714" s="134"/>
      <c r="W714" s="134"/>
      <c r="X714" s="134"/>
      <c r="Y714" s="134"/>
      <c r="Z714" s="134"/>
      <c r="AA714" s="134"/>
    </row>
    <row r="715" ht="15.75" customHeight="1">
      <c r="A715" s="149"/>
      <c r="B715" s="149"/>
      <c r="C715" s="149"/>
      <c r="D715" s="149"/>
      <c r="E715" s="149"/>
      <c r="F715" s="149"/>
      <c r="G715" s="149"/>
      <c r="H715" s="135" t="str">
        <f>IFERROR(VLOOKUP(G715,'Conformance Score'!A:B, 2, 0), "")</f>
        <v/>
      </c>
      <c r="I715" s="150"/>
      <c r="J715" s="150"/>
      <c r="K715" s="134"/>
      <c r="L715" s="134"/>
      <c r="M715" s="134"/>
      <c r="N715" s="134"/>
      <c r="O715" s="134"/>
      <c r="P715" s="134"/>
      <c r="Q715" s="134"/>
      <c r="R715" s="134"/>
      <c r="S715" s="134"/>
      <c r="T715" s="134"/>
      <c r="U715" s="134"/>
      <c r="V715" s="134"/>
      <c r="W715" s="134"/>
      <c r="X715" s="134"/>
      <c r="Y715" s="134"/>
      <c r="Z715" s="134"/>
      <c r="AA715" s="134"/>
    </row>
    <row r="716" ht="15.75" customHeight="1">
      <c r="A716" s="149"/>
      <c r="B716" s="149"/>
      <c r="C716" s="149"/>
      <c r="D716" s="149"/>
      <c r="E716" s="149"/>
      <c r="F716" s="149"/>
      <c r="G716" s="149"/>
      <c r="H716" s="135" t="str">
        <f>IFERROR(VLOOKUP(G716,'Conformance Score'!A:B, 2, 0), "")</f>
        <v/>
      </c>
      <c r="I716" s="150"/>
      <c r="J716" s="150"/>
      <c r="K716" s="134"/>
      <c r="L716" s="134"/>
      <c r="M716" s="134"/>
      <c r="N716" s="134"/>
      <c r="O716" s="134"/>
      <c r="P716" s="134"/>
      <c r="Q716" s="134"/>
      <c r="R716" s="134"/>
      <c r="S716" s="134"/>
      <c r="T716" s="134"/>
      <c r="U716" s="134"/>
      <c r="V716" s="134"/>
      <c r="W716" s="134"/>
      <c r="X716" s="134"/>
      <c r="Y716" s="134"/>
      <c r="Z716" s="134"/>
      <c r="AA716" s="134"/>
    </row>
    <row r="717" ht="15.75" customHeight="1">
      <c r="A717" s="149"/>
      <c r="B717" s="149"/>
      <c r="C717" s="149"/>
      <c r="D717" s="149"/>
      <c r="E717" s="149"/>
      <c r="F717" s="149"/>
      <c r="G717" s="149"/>
      <c r="H717" s="135" t="str">
        <f>IFERROR(VLOOKUP(G717,'Conformance Score'!A:B, 2, 0), "")</f>
        <v/>
      </c>
      <c r="I717" s="150"/>
      <c r="J717" s="150"/>
      <c r="K717" s="134"/>
      <c r="L717" s="134"/>
      <c r="M717" s="134"/>
      <c r="N717" s="134"/>
      <c r="O717" s="134"/>
      <c r="P717" s="134"/>
      <c r="Q717" s="134"/>
      <c r="R717" s="134"/>
      <c r="S717" s="134"/>
      <c r="T717" s="134"/>
      <c r="U717" s="134"/>
      <c r="V717" s="134"/>
      <c r="W717" s="134"/>
      <c r="X717" s="134"/>
      <c r="Y717" s="134"/>
      <c r="Z717" s="134"/>
      <c r="AA717" s="134"/>
    </row>
    <row r="718" ht="15.75" customHeight="1">
      <c r="A718" s="149"/>
      <c r="B718" s="149"/>
      <c r="C718" s="149"/>
      <c r="D718" s="149"/>
      <c r="E718" s="149"/>
      <c r="F718" s="149"/>
      <c r="G718" s="149"/>
      <c r="H718" s="135" t="str">
        <f>IFERROR(VLOOKUP(G718,'Conformance Score'!A:B, 2, 0), "")</f>
        <v/>
      </c>
      <c r="I718" s="150"/>
      <c r="J718" s="150"/>
      <c r="K718" s="134"/>
      <c r="L718" s="134"/>
      <c r="M718" s="134"/>
      <c r="N718" s="134"/>
      <c r="O718" s="134"/>
      <c r="P718" s="134"/>
      <c r="Q718" s="134"/>
      <c r="R718" s="134"/>
      <c r="S718" s="134"/>
      <c r="T718" s="134"/>
      <c r="U718" s="134"/>
      <c r="V718" s="134"/>
      <c r="W718" s="134"/>
      <c r="X718" s="134"/>
      <c r="Y718" s="134"/>
      <c r="Z718" s="134"/>
      <c r="AA718" s="134"/>
    </row>
    <row r="719" ht="15.75" customHeight="1">
      <c r="A719" s="149"/>
      <c r="B719" s="149"/>
      <c r="C719" s="149"/>
      <c r="D719" s="149"/>
      <c r="E719" s="149"/>
      <c r="F719" s="149"/>
      <c r="G719" s="149"/>
      <c r="H719" s="135" t="str">
        <f>IFERROR(VLOOKUP(G719,'Conformance Score'!A:B, 2, 0), "")</f>
        <v/>
      </c>
      <c r="I719" s="150"/>
      <c r="J719" s="150"/>
      <c r="K719" s="134"/>
      <c r="L719" s="134"/>
      <c r="M719" s="134"/>
      <c r="N719" s="134"/>
      <c r="O719" s="134"/>
      <c r="P719" s="134"/>
      <c r="Q719" s="134"/>
      <c r="R719" s="134"/>
      <c r="S719" s="134"/>
      <c r="T719" s="134"/>
      <c r="U719" s="134"/>
      <c r="V719" s="134"/>
      <c r="W719" s="134"/>
      <c r="X719" s="134"/>
      <c r="Y719" s="134"/>
      <c r="Z719" s="134"/>
      <c r="AA719" s="134"/>
    </row>
    <row r="720" ht="15.75" customHeight="1">
      <c r="A720" s="149"/>
      <c r="B720" s="149"/>
      <c r="C720" s="149"/>
      <c r="D720" s="149"/>
      <c r="E720" s="149"/>
      <c r="F720" s="149"/>
      <c r="G720" s="149"/>
      <c r="H720" s="135" t="str">
        <f>IFERROR(VLOOKUP(G720,'Conformance Score'!A:B, 2, 0), "")</f>
        <v/>
      </c>
      <c r="I720" s="150"/>
      <c r="J720" s="150"/>
      <c r="K720" s="134"/>
      <c r="L720" s="134"/>
      <c r="M720" s="134"/>
      <c r="N720" s="134"/>
      <c r="O720" s="134"/>
      <c r="P720" s="134"/>
      <c r="Q720" s="134"/>
      <c r="R720" s="134"/>
      <c r="S720" s="134"/>
      <c r="T720" s="134"/>
      <c r="U720" s="134"/>
      <c r="V720" s="134"/>
      <c r="W720" s="134"/>
      <c r="X720" s="134"/>
      <c r="Y720" s="134"/>
      <c r="Z720" s="134"/>
      <c r="AA720" s="134"/>
    </row>
    <row r="721" ht="15.75" customHeight="1">
      <c r="A721" s="149"/>
      <c r="B721" s="149"/>
      <c r="C721" s="149"/>
      <c r="D721" s="149"/>
      <c r="E721" s="149"/>
      <c r="F721" s="149"/>
      <c r="G721" s="149"/>
      <c r="H721" s="135" t="str">
        <f>IFERROR(VLOOKUP(G721,'Conformance Score'!A:B, 2, 0), "")</f>
        <v/>
      </c>
      <c r="I721" s="150"/>
      <c r="J721" s="150"/>
      <c r="K721" s="134"/>
      <c r="L721" s="134"/>
      <c r="M721" s="134"/>
      <c r="N721" s="134"/>
      <c r="O721" s="134"/>
      <c r="P721" s="134"/>
      <c r="Q721" s="134"/>
      <c r="R721" s="134"/>
      <c r="S721" s="134"/>
      <c r="T721" s="134"/>
      <c r="U721" s="134"/>
      <c r="V721" s="134"/>
      <c r="W721" s="134"/>
      <c r="X721" s="134"/>
      <c r="Y721" s="134"/>
      <c r="Z721" s="134"/>
      <c r="AA721" s="134"/>
    </row>
    <row r="722" ht="15.75" customHeight="1">
      <c r="A722" s="149"/>
      <c r="B722" s="149"/>
      <c r="C722" s="149"/>
      <c r="D722" s="149"/>
      <c r="E722" s="149"/>
      <c r="F722" s="149"/>
      <c r="G722" s="149"/>
      <c r="H722" s="135" t="str">
        <f>IFERROR(VLOOKUP(G722,'Conformance Score'!A:B, 2, 0), "")</f>
        <v/>
      </c>
      <c r="I722" s="150"/>
      <c r="J722" s="150"/>
      <c r="K722" s="134"/>
      <c r="L722" s="134"/>
      <c r="M722" s="134"/>
      <c r="N722" s="134"/>
      <c r="O722" s="134"/>
      <c r="P722" s="134"/>
      <c r="Q722" s="134"/>
      <c r="R722" s="134"/>
      <c r="S722" s="134"/>
      <c r="T722" s="134"/>
      <c r="U722" s="134"/>
      <c r="V722" s="134"/>
      <c r="W722" s="134"/>
      <c r="X722" s="134"/>
      <c r="Y722" s="134"/>
      <c r="Z722" s="134"/>
      <c r="AA722" s="134"/>
    </row>
    <row r="723" ht="15.75" customHeight="1">
      <c r="A723" s="149"/>
      <c r="B723" s="149"/>
      <c r="C723" s="149"/>
      <c r="D723" s="149"/>
      <c r="E723" s="149"/>
      <c r="F723" s="149"/>
      <c r="G723" s="149"/>
      <c r="H723" s="135" t="str">
        <f>IFERROR(VLOOKUP(G723,'Conformance Score'!A:B, 2, 0), "")</f>
        <v/>
      </c>
      <c r="I723" s="150"/>
      <c r="J723" s="150"/>
      <c r="K723" s="134"/>
      <c r="L723" s="134"/>
      <c r="M723" s="134"/>
      <c r="N723" s="134"/>
      <c r="O723" s="134"/>
      <c r="P723" s="134"/>
      <c r="Q723" s="134"/>
      <c r="R723" s="134"/>
      <c r="S723" s="134"/>
      <c r="T723" s="134"/>
      <c r="U723" s="134"/>
      <c r="V723" s="134"/>
      <c r="W723" s="134"/>
      <c r="X723" s="134"/>
      <c r="Y723" s="134"/>
      <c r="Z723" s="134"/>
      <c r="AA723" s="134"/>
    </row>
    <row r="724" ht="15.75" customHeight="1">
      <c r="A724" s="149"/>
      <c r="B724" s="149"/>
      <c r="C724" s="149"/>
      <c r="D724" s="149"/>
      <c r="E724" s="149"/>
      <c r="F724" s="149"/>
      <c r="G724" s="149"/>
      <c r="H724" s="135" t="str">
        <f>IFERROR(VLOOKUP(G724,'Conformance Score'!A:B, 2, 0), "")</f>
        <v/>
      </c>
      <c r="I724" s="150"/>
      <c r="J724" s="150"/>
      <c r="K724" s="134"/>
      <c r="L724" s="134"/>
      <c r="M724" s="134"/>
      <c r="N724" s="134"/>
      <c r="O724" s="134"/>
      <c r="P724" s="134"/>
      <c r="Q724" s="134"/>
      <c r="R724" s="134"/>
      <c r="S724" s="134"/>
      <c r="T724" s="134"/>
      <c r="U724" s="134"/>
      <c r="V724" s="134"/>
      <c r="W724" s="134"/>
      <c r="X724" s="134"/>
      <c r="Y724" s="134"/>
      <c r="Z724" s="134"/>
      <c r="AA724" s="134"/>
    </row>
    <row r="725" ht="15.75" customHeight="1">
      <c r="A725" s="149"/>
      <c r="B725" s="149"/>
      <c r="C725" s="149"/>
      <c r="D725" s="149"/>
      <c r="E725" s="149"/>
      <c r="F725" s="149"/>
      <c r="G725" s="149"/>
      <c r="H725" s="135" t="str">
        <f>IFERROR(VLOOKUP(G725,'Conformance Score'!A:B, 2, 0), "")</f>
        <v/>
      </c>
      <c r="I725" s="150"/>
      <c r="J725" s="150"/>
      <c r="K725" s="134"/>
      <c r="L725" s="134"/>
      <c r="M725" s="134"/>
      <c r="N725" s="134"/>
      <c r="O725" s="134"/>
      <c r="P725" s="134"/>
      <c r="Q725" s="134"/>
      <c r="R725" s="134"/>
      <c r="S725" s="134"/>
      <c r="T725" s="134"/>
      <c r="U725" s="134"/>
      <c r="V725" s="134"/>
      <c r="W725" s="134"/>
      <c r="X725" s="134"/>
      <c r="Y725" s="134"/>
      <c r="Z725" s="134"/>
      <c r="AA725" s="134"/>
    </row>
    <row r="726" ht="15.75" customHeight="1">
      <c r="A726" s="149"/>
      <c r="B726" s="149"/>
      <c r="C726" s="149"/>
      <c r="D726" s="149"/>
      <c r="E726" s="149"/>
      <c r="F726" s="149"/>
      <c r="G726" s="149"/>
      <c r="H726" s="135" t="str">
        <f>IFERROR(VLOOKUP(G726,'Conformance Score'!A:B, 2, 0), "")</f>
        <v/>
      </c>
      <c r="I726" s="150"/>
      <c r="J726" s="150"/>
      <c r="K726" s="134"/>
      <c r="L726" s="134"/>
      <c r="M726" s="134"/>
      <c r="N726" s="134"/>
      <c r="O726" s="134"/>
      <c r="P726" s="134"/>
      <c r="Q726" s="134"/>
      <c r="R726" s="134"/>
      <c r="S726" s="134"/>
      <c r="T726" s="134"/>
      <c r="U726" s="134"/>
      <c r="V726" s="134"/>
      <c r="W726" s="134"/>
      <c r="X726" s="134"/>
      <c r="Y726" s="134"/>
      <c r="Z726" s="134"/>
      <c r="AA726" s="134"/>
    </row>
    <row r="727" ht="15.75" customHeight="1">
      <c r="A727" s="149"/>
      <c r="B727" s="149"/>
      <c r="C727" s="149"/>
      <c r="D727" s="149"/>
      <c r="E727" s="149"/>
      <c r="F727" s="149"/>
      <c r="G727" s="149"/>
      <c r="H727" s="135" t="str">
        <f>IFERROR(VLOOKUP(G727,'Conformance Score'!A:B, 2, 0), "")</f>
        <v/>
      </c>
      <c r="I727" s="150"/>
      <c r="J727" s="150"/>
      <c r="K727" s="134"/>
      <c r="L727" s="134"/>
      <c r="M727" s="134"/>
      <c r="N727" s="134"/>
      <c r="O727" s="134"/>
      <c r="P727" s="134"/>
      <c r="Q727" s="134"/>
      <c r="R727" s="134"/>
      <c r="S727" s="134"/>
      <c r="T727" s="134"/>
      <c r="U727" s="134"/>
      <c r="V727" s="134"/>
      <c r="W727" s="134"/>
      <c r="X727" s="134"/>
      <c r="Y727" s="134"/>
      <c r="Z727" s="134"/>
      <c r="AA727" s="134"/>
    </row>
    <row r="728" ht="15.75" customHeight="1">
      <c r="A728" s="149"/>
      <c r="B728" s="149"/>
      <c r="C728" s="149"/>
      <c r="D728" s="149"/>
      <c r="E728" s="149"/>
      <c r="F728" s="149"/>
      <c r="G728" s="149"/>
      <c r="H728" s="135" t="str">
        <f>IFERROR(VLOOKUP(G728,'Conformance Score'!A:B, 2, 0), "")</f>
        <v/>
      </c>
      <c r="I728" s="150"/>
      <c r="J728" s="150"/>
      <c r="K728" s="134"/>
      <c r="L728" s="134"/>
      <c r="M728" s="134"/>
      <c r="N728" s="134"/>
      <c r="O728" s="134"/>
      <c r="P728" s="134"/>
      <c r="Q728" s="134"/>
      <c r="R728" s="134"/>
      <c r="S728" s="134"/>
      <c r="T728" s="134"/>
      <c r="U728" s="134"/>
      <c r="V728" s="134"/>
      <c r="W728" s="134"/>
      <c r="X728" s="134"/>
      <c r="Y728" s="134"/>
      <c r="Z728" s="134"/>
      <c r="AA728" s="134"/>
    </row>
    <row r="729" ht="15.75" customHeight="1">
      <c r="A729" s="149"/>
      <c r="B729" s="149"/>
      <c r="C729" s="149"/>
      <c r="D729" s="149"/>
      <c r="E729" s="149"/>
      <c r="F729" s="149"/>
      <c r="G729" s="149"/>
      <c r="H729" s="135" t="str">
        <f>IFERROR(VLOOKUP(G729,'Conformance Score'!A:B, 2, 0), "")</f>
        <v/>
      </c>
      <c r="I729" s="150"/>
      <c r="J729" s="150"/>
      <c r="K729" s="134"/>
      <c r="L729" s="134"/>
      <c r="M729" s="134"/>
      <c r="N729" s="134"/>
      <c r="O729" s="134"/>
      <c r="P729" s="134"/>
      <c r="Q729" s="134"/>
      <c r="R729" s="134"/>
      <c r="S729" s="134"/>
      <c r="T729" s="134"/>
      <c r="U729" s="134"/>
      <c r="V729" s="134"/>
      <c r="W729" s="134"/>
      <c r="X729" s="134"/>
      <c r="Y729" s="134"/>
      <c r="Z729" s="134"/>
      <c r="AA729" s="134"/>
    </row>
    <row r="730" ht="15.75" customHeight="1">
      <c r="A730" s="149"/>
      <c r="B730" s="149"/>
      <c r="C730" s="149"/>
      <c r="D730" s="149"/>
      <c r="E730" s="149"/>
      <c r="F730" s="149"/>
      <c r="G730" s="149"/>
      <c r="H730" s="135" t="str">
        <f>IFERROR(VLOOKUP(G730,'Conformance Score'!A:B, 2, 0), "")</f>
        <v/>
      </c>
      <c r="I730" s="150"/>
      <c r="J730" s="150"/>
      <c r="K730" s="134"/>
      <c r="L730" s="134"/>
      <c r="M730" s="134"/>
      <c r="N730" s="134"/>
      <c r="O730" s="134"/>
      <c r="P730" s="134"/>
      <c r="Q730" s="134"/>
      <c r="R730" s="134"/>
      <c r="S730" s="134"/>
      <c r="T730" s="134"/>
      <c r="U730" s="134"/>
      <c r="V730" s="134"/>
      <c r="W730" s="134"/>
      <c r="X730" s="134"/>
      <c r="Y730" s="134"/>
      <c r="Z730" s="134"/>
      <c r="AA730" s="134"/>
    </row>
    <row r="731" ht="15.75" customHeight="1">
      <c r="A731" s="149"/>
      <c r="B731" s="149"/>
      <c r="C731" s="149"/>
      <c r="D731" s="149"/>
      <c r="E731" s="149"/>
      <c r="F731" s="149"/>
      <c r="G731" s="149"/>
      <c r="H731" s="135" t="str">
        <f>IFERROR(VLOOKUP(G731,'Conformance Score'!A:B, 2, 0), "")</f>
        <v/>
      </c>
      <c r="I731" s="150"/>
      <c r="J731" s="150"/>
      <c r="K731" s="134"/>
      <c r="L731" s="134"/>
      <c r="M731" s="134"/>
      <c r="N731" s="134"/>
      <c r="O731" s="134"/>
      <c r="P731" s="134"/>
      <c r="Q731" s="134"/>
      <c r="R731" s="134"/>
      <c r="S731" s="134"/>
      <c r="T731" s="134"/>
      <c r="U731" s="134"/>
      <c r="V731" s="134"/>
      <c r="W731" s="134"/>
      <c r="X731" s="134"/>
      <c r="Y731" s="134"/>
      <c r="Z731" s="134"/>
      <c r="AA731" s="134"/>
    </row>
    <row r="732" ht="15.75" customHeight="1">
      <c r="A732" s="149"/>
      <c r="B732" s="149"/>
      <c r="C732" s="149"/>
      <c r="D732" s="149"/>
      <c r="E732" s="149"/>
      <c r="F732" s="149"/>
      <c r="G732" s="149"/>
      <c r="H732" s="135" t="str">
        <f>IFERROR(VLOOKUP(G732,'Conformance Score'!A:B, 2, 0), "")</f>
        <v/>
      </c>
      <c r="I732" s="150"/>
      <c r="J732" s="150"/>
      <c r="K732" s="134"/>
      <c r="L732" s="134"/>
      <c r="M732" s="134"/>
      <c r="N732" s="134"/>
      <c r="O732" s="134"/>
      <c r="P732" s="134"/>
      <c r="Q732" s="134"/>
      <c r="R732" s="134"/>
      <c r="S732" s="134"/>
      <c r="T732" s="134"/>
      <c r="U732" s="134"/>
      <c r="V732" s="134"/>
      <c r="W732" s="134"/>
      <c r="X732" s="134"/>
      <c r="Y732" s="134"/>
      <c r="Z732" s="134"/>
      <c r="AA732" s="134"/>
    </row>
    <row r="733" ht="15.75" customHeight="1">
      <c r="A733" s="149"/>
      <c r="B733" s="149"/>
      <c r="C733" s="149"/>
      <c r="D733" s="149"/>
      <c r="E733" s="149"/>
      <c r="F733" s="149"/>
      <c r="G733" s="149"/>
      <c r="H733" s="135" t="str">
        <f>IFERROR(VLOOKUP(G733,'Conformance Score'!A:B, 2, 0), "")</f>
        <v/>
      </c>
      <c r="I733" s="150"/>
      <c r="J733" s="150"/>
      <c r="K733" s="134"/>
      <c r="L733" s="134"/>
      <c r="M733" s="134"/>
      <c r="N733" s="134"/>
      <c r="O733" s="134"/>
      <c r="P733" s="134"/>
      <c r="Q733" s="134"/>
      <c r="R733" s="134"/>
      <c r="S733" s="134"/>
      <c r="T733" s="134"/>
      <c r="U733" s="134"/>
      <c r="V733" s="134"/>
      <c r="W733" s="134"/>
      <c r="X733" s="134"/>
      <c r="Y733" s="134"/>
      <c r="Z733" s="134"/>
      <c r="AA733" s="134"/>
    </row>
    <row r="734" ht="15.75" customHeight="1">
      <c r="A734" s="149"/>
      <c r="B734" s="149"/>
      <c r="C734" s="149"/>
      <c r="D734" s="149"/>
      <c r="E734" s="149"/>
      <c r="F734" s="149"/>
      <c r="G734" s="149"/>
      <c r="H734" s="135" t="str">
        <f>IFERROR(VLOOKUP(G734,'Conformance Score'!A:B, 2, 0), "")</f>
        <v/>
      </c>
      <c r="I734" s="150"/>
      <c r="J734" s="150"/>
      <c r="K734" s="134"/>
      <c r="L734" s="134"/>
      <c r="M734" s="134"/>
      <c r="N734" s="134"/>
      <c r="O734" s="134"/>
      <c r="P734" s="134"/>
      <c r="Q734" s="134"/>
      <c r="R734" s="134"/>
      <c r="S734" s="134"/>
      <c r="T734" s="134"/>
      <c r="U734" s="134"/>
      <c r="V734" s="134"/>
      <c r="W734" s="134"/>
      <c r="X734" s="134"/>
      <c r="Y734" s="134"/>
      <c r="Z734" s="134"/>
      <c r="AA734" s="134"/>
    </row>
    <row r="735" ht="15.75" customHeight="1">
      <c r="A735" s="149"/>
      <c r="B735" s="149"/>
      <c r="C735" s="149"/>
      <c r="D735" s="149"/>
      <c r="E735" s="149"/>
      <c r="F735" s="149"/>
      <c r="G735" s="149"/>
      <c r="H735" s="135" t="str">
        <f>IFERROR(VLOOKUP(G735,'Conformance Score'!A:B, 2, 0), "")</f>
        <v/>
      </c>
      <c r="I735" s="150"/>
      <c r="J735" s="150"/>
      <c r="K735" s="134"/>
      <c r="L735" s="134"/>
      <c r="M735" s="134"/>
      <c r="N735" s="134"/>
      <c r="O735" s="134"/>
      <c r="P735" s="134"/>
      <c r="Q735" s="134"/>
      <c r="R735" s="134"/>
      <c r="S735" s="134"/>
      <c r="T735" s="134"/>
      <c r="U735" s="134"/>
      <c r="V735" s="134"/>
      <c r="W735" s="134"/>
      <c r="X735" s="134"/>
      <c r="Y735" s="134"/>
      <c r="Z735" s="134"/>
      <c r="AA735" s="134"/>
    </row>
    <row r="736" ht="15.75" customHeight="1">
      <c r="A736" s="149"/>
      <c r="B736" s="149"/>
      <c r="C736" s="149"/>
      <c r="D736" s="149"/>
      <c r="E736" s="149"/>
      <c r="F736" s="149"/>
      <c r="G736" s="149"/>
      <c r="H736" s="135" t="str">
        <f>IFERROR(VLOOKUP(G736,'Conformance Score'!A:B, 2, 0), "")</f>
        <v/>
      </c>
      <c r="I736" s="150"/>
      <c r="J736" s="150"/>
      <c r="K736" s="134"/>
      <c r="L736" s="134"/>
      <c r="M736" s="134"/>
      <c r="N736" s="134"/>
      <c r="O736" s="134"/>
      <c r="P736" s="134"/>
      <c r="Q736" s="134"/>
      <c r="R736" s="134"/>
      <c r="S736" s="134"/>
      <c r="T736" s="134"/>
      <c r="U736" s="134"/>
      <c r="V736" s="134"/>
      <c r="W736" s="134"/>
      <c r="X736" s="134"/>
      <c r="Y736" s="134"/>
      <c r="Z736" s="134"/>
      <c r="AA736" s="134"/>
    </row>
    <row r="737" ht="15.75" customHeight="1">
      <c r="A737" s="149"/>
      <c r="B737" s="149"/>
      <c r="C737" s="149"/>
      <c r="D737" s="149"/>
      <c r="E737" s="149"/>
      <c r="F737" s="149"/>
      <c r="G737" s="149"/>
      <c r="H737" s="135" t="str">
        <f>IFERROR(VLOOKUP(G737,'Conformance Score'!A:B, 2, 0), "")</f>
        <v/>
      </c>
      <c r="I737" s="150"/>
      <c r="J737" s="150"/>
      <c r="K737" s="134"/>
      <c r="L737" s="134"/>
      <c r="M737" s="134"/>
      <c r="N737" s="134"/>
      <c r="O737" s="134"/>
      <c r="P737" s="134"/>
      <c r="Q737" s="134"/>
      <c r="R737" s="134"/>
      <c r="S737" s="134"/>
      <c r="T737" s="134"/>
      <c r="U737" s="134"/>
      <c r="V737" s="134"/>
      <c r="W737" s="134"/>
      <c r="X737" s="134"/>
      <c r="Y737" s="134"/>
      <c r="Z737" s="134"/>
      <c r="AA737" s="134"/>
    </row>
    <row r="738" ht="15.75" customHeight="1">
      <c r="A738" s="149"/>
      <c r="B738" s="149"/>
      <c r="C738" s="149"/>
      <c r="D738" s="149"/>
      <c r="E738" s="149"/>
      <c r="F738" s="149"/>
      <c r="G738" s="149"/>
      <c r="H738" s="135" t="str">
        <f>IFERROR(VLOOKUP(G738,'Conformance Score'!A:B, 2, 0), "")</f>
        <v/>
      </c>
      <c r="I738" s="150"/>
      <c r="J738" s="150"/>
      <c r="K738" s="134"/>
      <c r="L738" s="134"/>
      <c r="M738" s="134"/>
      <c r="N738" s="134"/>
      <c r="O738" s="134"/>
      <c r="P738" s="134"/>
      <c r="Q738" s="134"/>
      <c r="R738" s="134"/>
      <c r="S738" s="134"/>
      <c r="T738" s="134"/>
      <c r="U738" s="134"/>
      <c r="V738" s="134"/>
      <c r="W738" s="134"/>
      <c r="X738" s="134"/>
      <c r="Y738" s="134"/>
      <c r="Z738" s="134"/>
      <c r="AA738" s="134"/>
    </row>
    <row r="739" ht="15.75" customHeight="1">
      <c r="A739" s="149"/>
      <c r="B739" s="149"/>
      <c r="C739" s="149"/>
      <c r="D739" s="149"/>
      <c r="E739" s="149"/>
      <c r="F739" s="149"/>
      <c r="G739" s="149"/>
      <c r="H739" s="135" t="str">
        <f>IFERROR(VLOOKUP(G739,'Conformance Score'!A:B, 2, 0), "")</f>
        <v/>
      </c>
      <c r="I739" s="150"/>
      <c r="J739" s="150"/>
      <c r="K739" s="134"/>
      <c r="L739" s="134"/>
      <c r="M739" s="134"/>
      <c r="N739" s="134"/>
      <c r="O739" s="134"/>
      <c r="P739" s="134"/>
      <c r="Q739" s="134"/>
      <c r="R739" s="134"/>
      <c r="S739" s="134"/>
      <c r="T739" s="134"/>
      <c r="U739" s="134"/>
      <c r="V739" s="134"/>
      <c r="W739" s="134"/>
      <c r="X739" s="134"/>
      <c r="Y739" s="134"/>
      <c r="Z739" s="134"/>
      <c r="AA739" s="134"/>
    </row>
    <row r="740" ht="15.75" customHeight="1">
      <c r="A740" s="149"/>
      <c r="B740" s="149"/>
      <c r="C740" s="149"/>
      <c r="D740" s="149"/>
      <c r="E740" s="149"/>
      <c r="F740" s="149"/>
      <c r="G740" s="149"/>
      <c r="H740" s="135" t="str">
        <f>IFERROR(VLOOKUP(G740,'Conformance Score'!A:B, 2, 0), "")</f>
        <v/>
      </c>
      <c r="I740" s="150"/>
      <c r="J740" s="150"/>
      <c r="K740" s="134"/>
      <c r="L740" s="134"/>
      <c r="M740" s="134"/>
      <c r="N740" s="134"/>
      <c r="O740" s="134"/>
      <c r="P740" s="134"/>
      <c r="Q740" s="134"/>
      <c r="R740" s="134"/>
      <c r="S740" s="134"/>
      <c r="T740" s="134"/>
      <c r="U740" s="134"/>
      <c r="V740" s="134"/>
      <c r="W740" s="134"/>
      <c r="X740" s="134"/>
      <c r="Y740" s="134"/>
      <c r="Z740" s="134"/>
      <c r="AA740" s="134"/>
    </row>
    <row r="741" ht="15.75" customHeight="1">
      <c r="A741" s="149"/>
      <c r="B741" s="149"/>
      <c r="C741" s="149"/>
      <c r="D741" s="149"/>
      <c r="E741" s="149"/>
      <c r="F741" s="149"/>
      <c r="G741" s="149"/>
      <c r="H741" s="135" t="str">
        <f>IFERROR(VLOOKUP(G741,'Conformance Score'!A:B, 2, 0), "")</f>
        <v/>
      </c>
      <c r="I741" s="150"/>
      <c r="J741" s="150"/>
      <c r="K741" s="134"/>
      <c r="L741" s="134"/>
      <c r="M741" s="134"/>
      <c r="N741" s="134"/>
      <c r="O741" s="134"/>
      <c r="P741" s="134"/>
      <c r="Q741" s="134"/>
      <c r="R741" s="134"/>
      <c r="S741" s="134"/>
      <c r="T741" s="134"/>
      <c r="U741" s="134"/>
      <c r="V741" s="134"/>
      <c r="W741" s="134"/>
      <c r="X741" s="134"/>
      <c r="Y741" s="134"/>
      <c r="Z741" s="134"/>
      <c r="AA741" s="134"/>
    </row>
    <row r="742" ht="15.75" customHeight="1">
      <c r="A742" s="149"/>
      <c r="B742" s="149"/>
      <c r="C742" s="149"/>
      <c r="D742" s="149"/>
      <c r="E742" s="149"/>
      <c r="F742" s="149"/>
      <c r="G742" s="149"/>
      <c r="H742" s="135" t="str">
        <f>IFERROR(VLOOKUP(G742,'Conformance Score'!A:B, 2, 0), "")</f>
        <v/>
      </c>
      <c r="I742" s="150"/>
      <c r="J742" s="150"/>
      <c r="K742" s="134"/>
      <c r="L742" s="134"/>
      <c r="M742" s="134"/>
      <c r="N742" s="134"/>
      <c r="O742" s="134"/>
      <c r="P742" s="134"/>
      <c r="Q742" s="134"/>
      <c r="R742" s="134"/>
      <c r="S742" s="134"/>
      <c r="T742" s="134"/>
      <c r="U742" s="134"/>
      <c r="V742" s="134"/>
      <c r="W742" s="134"/>
      <c r="X742" s="134"/>
      <c r="Y742" s="134"/>
      <c r="Z742" s="134"/>
      <c r="AA742" s="134"/>
    </row>
    <row r="743" ht="15.75" customHeight="1">
      <c r="A743" s="149"/>
      <c r="B743" s="149"/>
      <c r="C743" s="149"/>
      <c r="D743" s="149"/>
      <c r="E743" s="149"/>
      <c r="F743" s="149"/>
      <c r="G743" s="149"/>
      <c r="H743" s="135" t="str">
        <f>IFERROR(VLOOKUP(G743,'Conformance Score'!A:B, 2, 0), "")</f>
        <v/>
      </c>
      <c r="I743" s="150"/>
      <c r="J743" s="150"/>
      <c r="K743" s="134"/>
      <c r="L743" s="134"/>
      <c r="M743" s="134"/>
      <c r="N743" s="134"/>
      <c r="O743" s="134"/>
      <c r="P743" s="134"/>
      <c r="Q743" s="134"/>
      <c r="R743" s="134"/>
      <c r="S743" s="134"/>
      <c r="T743" s="134"/>
      <c r="U743" s="134"/>
      <c r="V743" s="134"/>
      <c r="W743" s="134"/>
      <c r="X743" s="134"/>
      <c r="Y743" s="134"/>
      <c r="Z743" s="134"/>
      <c r="AA743" s="134"/>
    </row>
    <row r="744" ht="15.75" customHeight="1">
      <c r="A744" s="149"/>
      <c r="B744" s="149"/>
      <c r="C744" s="149"/>
      <c r="D744" s="149"/>
      <c r="E744" s="149"/>
      <c r="F744" s="149"/>
      <c r="G744" s="149"/>
      <c r="H744" s="135" t="str">
        <f>IFERROR(VLOOKUP(G744,'Conformance Score'!A:B, 2, 0), "")</f>
        <v/>
      </c>
      <c r="I744" s="150"/>
      <c r="J744" s="150"/>
      <c r="K744" s="134"/>
      <c r="L744" s="134"/>
      <c r="M744" s="134"/>
      <c r="N744" s="134"/>
      <c r="O744" s="134"/>
      <c r="P744" s="134"/>
      <c r="Q744" s="134"/>
      <c r="R744" s="134"/>
      <c r="S744" s="134"/>
      <c r="T744" s="134"/>
      <c r="U744" s="134"/>
      <c r="V744" s="134"/>
      <c r="W744" s="134"/>
      <c r="X744" s="134"/>
      <c r="Y744" s="134"/>
      <c r="Z744" s="134"/>
      <c r="AA744" s="134"/>
    </row>
    <row r="745" ht="15.75" customHeight="1">
      <c r="A745" s="149"/>
      <c r="B745" s="149"/>
      <c r="C745" s="149"/>
      <c r="D745" s="149"/>
      <c r="E745" s="149"/>
      <c r="F745" s="149"/>
      <c r="G745" s="149"/>
      <c r="H745" s="135" t="str">
        <f>IFERROR(VLOOKUP(G745,'Conformance Score'!A:B, 2, 0), "")</f>
        <v/>
      </c>
      <c r="I745" s="150"/>
      <c r="J745" s="150"/>
      <c r="K745" s="134"/>
      <c r="L745" s="134"/>
      <c r="M745" s="134"/>
      <c r="N745" s="134"/>
      <c r="O745" s="134"/>
      <c r="P745" s="134"/>
      <c r="Q745" s="134"/>
      <c r="R745" s="134"/>
      <c r="S745" s="134"/>
      <c r="T745" s="134"/>
      <c r="U745" s="134"/>
      <c r="V745" s="134"/>
      <c r="W745" s="134"/>
      <c r="X745" s="134"/>
      <c r="Y745" s="134"/>
      <c r="Z745" s="134"/>
      <c r="AA745" s="134"/>
    </row>
    <row r="746" ht="15.75" customHeight="1">
      <c r="A746" s="149"/>
      <c r="B746" s="149"/>
      <c r="C746" s="149"/>
      <c r="D746" s="149"/>
      <c r="E746" s="149"/>
      <c r="F746" s="149"/>
      <c r="G746" s="149"/>
      <c r="H746" s="135" t="str">
        <f>IFERROR(VLOOKUP(G746,'Conformance Score'!A:B, 2, 0), "")</f>
        <v/>
      </c>
      <c r="I746" s="150"/>
      <c r="J746" s="150"/>
      <c r="K746" s="134"/>
      <c r="L746" s="134"/>
      <c r="M746" s="134"/>
      <c r="N746" s="134"/>
      <c r="O746" s="134"/>
      <c r="P746" s="134"/>
      <c r="Q746" s="134"/>
      <c r="R746" s="134"/>
      <c r="S746" s="134"/>
      <c r="T746" s="134"/>
      <c r="U746" s="134"/>
      <c r="V746" s="134"/>
      <c r="W746" s="134"/>
      <c r="X746" s="134"/>
      <c r="Y746" s="134"/>
      <c r="Z746" s="134"/>
      <c r="AA746" s="134"/>
    </row>
    <row r="747" ht="15.75" customHeight="1">
      <c r="A747" s="149"/>
      <c r="B747" s="149"/>
      <c r="C747" s="149"/>
      <c r="D747" s="149"/>
      <c r="E747" s="149"/>
      <c r="F747" s="149"/>
      <c r="G747" s="149"/>
      <c r="H747" s="135" t="str">
        <f>IFERROR(VLOOKUP(G747,'Conformance Score'!A:B, 2, 0), "")</f>
        <v/>
      </c>
      <c r="I747" s="150"/>
      <c r="J747" s="150"/>
      <c r="K747" s="134"/>
      <c r="L747" s="134"/>
      <c r="M747" s="134"/>
      <c r="N747" s="134"/>
      <c r="O747" s="134"/>
      <c r="P747" s="134"/>
      <c r="Q747" s="134"/>
      <c r="R747" s="134"/>
      <c r="S747" s="134"/>
      <c r="T747" s="134"/>
      <c r="U747" s="134"/>
      <c r="V747" s="134"/>
      <c r="W747" s="134"/>
      <c r="X747" s="134"/>
      <c r="Y747" s="134"/>
      <c r="Z747" s="134"/>
      <c r="AA747" s="134"/>
    </row>
    <row r="748" ht="15.75" customHeight="1">
      <c r="A748" s="149"/>
      <c r="B748" s="149"/>
      <c r="C748" s="149"/>
      <c r="D748" s="149"/>
      <c r="E748" s="149"/>
      <c r="F748" s="149"/>
      <c r="G748" s="149"/>
      <c r="H748" s="135" t="str">
        <f>IFERROR(VLOOKUP(G748,'Conformance Score'!A:B, 2, 0), "")</f>
        <v/>
      </c>
      <c r="I748" s="150"/>
      <c r="J748" s="150"/>
      <c r="K748" s="134"/>
      <c r="L748" s="134"/>
      <c r="M748" s="134"/>
      <c r="N748" s="134"/>
      <c r="O748" s="134"/>
      <c r="P748" s="134"/>
      <c r="Q748" s="134"/>
      <c r="R748" s="134"/>
      <c r="S748" s="134"/>
      <c r="T748" s="134"/>
      <c r="U748" s="134"/>
      <c r="V748" s="134"/>
      <c r="W748" s="134"/>
      <c r="X748" s="134"/>
      <c r="Y748" s="134"/>
      <c r="Z748" s="134"/>
      <c r="AA748" s="134"/>
    </row>
    <row r="749" ht="15.75" customHeight="1">
      <c r="A749" s="149"/>
      <c r="B749" s="149"/>
      <c r="C749" s="149"/>
      <c r="D749" s="149"/>
      <c r="E749" s="149"/>
      <c r="F749" s="149"/>
      <c r="G749" s="149"/>
      <c r="H749" s="135" t="str">
        <f>IFERROR(VLOOKUP(G749,'Conformance Score'!A:B, 2, 0), "")</f>
        <v/>
      </c>
      <c r="I749" s="150"/>
      <c r="J749" s="150"/>
      <c r="K749" s="134"/>
      <c r="L749" s="134"/>
      <c r="M749" s="134"/>
      <c r="N749" s="134"/>
      <c r="O749" s="134"/>
      <c r="P749" s="134"/>
      <c r="Q749" s="134"/>
      <c r="R749" s="134"/>
      <c r="S749" s="134"/>
      <c r="T749" s="134"/>
      <c r="U749" s="134"/>
      <c r="V749" s="134"/>
      <c r="W749" s="134"/>
      <c r="X749" s="134"/>
      <c r="Y749" s="134"/>
      <c r="Z749" s="134"/>
      <c r="AA749" s="134"/>
    </row>
    <row r="750" ht="15.75" customHeight="1">
      <c r="A750" s="149"/>
      <c r="B750" s="149"/>
      <c r="C750" s="149"/>
      <c r="D750" s="149"/>
      <c r="E750" s="149"/>
      <c r="F750" s="149"/>
      <c r="G750" s="149"/>
      <c r="H750" s="135" t="str">
        <f>IFERROR(VLOOKUP(G750,'Conformance Score'!A:B, 2, 0), "")</f>
        <v/>
      </c>
      <c r="I750" s="150"/>
      <c r="J750" s="150"/>
      <c r="K750" s="134"/>
      <c r="L750" s="134"/>
      <c r="M750" s="134"/>
      <c r="N750" s="134"/>
      <c r="O750" s="134"/>
      <c r="P750" s="134"/>
      <c r="Q750" s="134"/>
      <c r="R750" s="134"/>
      <c r="S750" s="134"/>
      <c r="T750" s="134"/>
      <c r="U750" s="134"/>
      <c r="V750" s="134"/>
      <c r="W750" s="134"/>
      <c r="X750" s="134"/>
      <c r="Y750" s="134"/>
      <c r="Z750" s="134"/>
      <c r="AA750" s="134"/>
    </row>
    <row r="751" ht="15.75" customHeight="1">
      <c r="A751" s="149"/>
      <c r="B751" s="149"/>
      <c r="C751" s="149"/>
      <c r="D751" s="149"/>
      <c r="E751" s="149"/>
      <c r="F751" s="149"/>
      <c r="G751" s="149"/>
      <c r="H751" s="135" t="str">
        <f>IFERROR(VLOOKUP(G751,'Conformance Score'!A:B, 2, 0), "")</f>
        <v/>
      </c>
      <c r="I751" s="150"/>
      <c r="J751" s="150"/>
      <c r="K751" s="134"/>
      <c r="L751" s="134"/>
      <c r="M751" s="134"/>
      <c r="N751" s="134"/>
      <c r="O751" s="134"/>
      <c r="P751" s="134"/>
      <c r="Q751" s="134"/>
      <c r="R751" s="134"/>
      <c r="S751" s="134"/>
      <c r="T751" s="134"/>
      <c r="U751" s="134"/>
      <c r="V751" s="134"/>
      <c r="W751" s="134"/>
      <c r="X751" s="134"/>
      <c r="Y751" s="134"/>
      <c r="Z751" s="134"/>
      <c r="AA751" s="134"/>
    </row>
    <row r="752" ht="15.75" customHeight="1">
      <c r="A752" s="149"/>
      <c r="B752" s="149"/>
      <c r="C752" s="149"/>
      <c r="D752" s="149"/>
      <c r="E752" s="149"/>
      <c r="F752" s="149"/>
      <c r="G752" s="149"/>
      <c r="H752" s="135" t="str">
        <f>IFERROR(VLOOKUP(G752,'Conformance Score'!A:B, 2, 0), "")</f>
        <v/>
      </c>
      <c r="I752" s="150"/>
      <c r="J752" s="150"/>
      <c r="K752" s="134"/>
      <c r="L752" s="134"/>
      <c r="M752" s="134"/>
      <c r="N752" s="134"/>
      <c r="O752" s="134"/>
      <c r="P752" s="134"/>
      <c r="Q752" s="134"/>
      <c r="R752" s="134"/>
      <c r="S752" s="134"/>
      <c r="T752" s="134"/>
      <c r="U752" s="134"/>
      <c r="V752" s="134"/>
      <c r="W752" s="134"/>
      <c r="X752" s="134"/>
      <c r="Y752" s="134"/>
      <c r="Z752" s="134"/>
      <c r="AA752" s="134"/>
    </row>
    <row r="753" ht="15.75" customHeight="1">
      <c r="A753" s="149"/>
      <c r="B753" s="149"/>
      <c r="C753" s="149"/>
      <c r="D753" s="149"/>
      <c r="E753" s="149"/>
      <c r="F753" s="149"/>
      <c r="G753" s="149"/>
      <c r="H753" s="135" t="str">
        <f>IFERROR(VLOOKUP(G753,'Conformance Score'!A:B, 2, 0), "")</f>
        <v/>
      </c>
      <c r="I753" s="150"/>
      <c r="J753" s="150"/>
      <c r="K753" s="134"/>
      <c r="L753" s="134"/>
      <c r="M753" s="134"/>
      <c r="N753" s="134"/>
      <c r="O753" s="134"/>
      <c r="P753" s="134"/>
      <c r="Q753" s="134"/>
      <c r="R753" s="134"/>
      <c r="S753" s="134"/>
      <c r="T753" s="134"/>
      <c r="U753" s="134"/>
      <c r="V753" s="134"/>
      <c r="W753" s="134"/>
      <c r="X753" s="134"/>
      <c r="Y753" s="134"/>
      <c r="Z753" s="134"/>
      <c r="AA753" s="134"/>
    </row>
    <row r="754" ht="15.75" customHeight="1">
      <c r="A754" s="149"/>
      <c r="B754" s="149"/>
      <c r="C754" s="149"/>
      <c r="D754" s="149"/>
      <c r="E754" s="149"/>
      <c r="F754" s="149"/>
      <c r="G754" s="149"/>
      <c r="H754" s="135" t="str">
        <f>IFERROR(VLOOKUP(G754,'Conformance Score'!A:B, 2, 0), "")</f>
        <v/>
      </c>
      <c r="I754" s="150"/>
      <c r="J754" s="150"/>
      <c r="K754" s="134"/>
      <c r="L754" s="134"/>
      <c r="M754" s="134"/>
      <c r="N754" s="134"/>
      <c r="O754" s="134"/>
      <c r="P754" s="134"/>
      <c r="Q754" s="134"/>
      <c r="R754" s="134"/>
      <c r="S754" s="134"/>
      <c r="T754" s="134"/>
      <c r="U754" s="134"/>
      <c r="V754" s="134"/>
      <c r="W754" s="134"/>
      <c r="X754" s="134"/>
      <c r="Y754" s="134"/>
      <c r="Z754" s="134"/>
      <c r="AA754" s="134"/>
    </row>
    <row r="755" ht="15.75" customHeight="1">
      <c r="A755" s="149"/>
      <c r="B755" s="149"/>
      <c r="C755" s="149"/>
      <c r="D755" s="149"/>
      <c r="E755" s="149"/>
      <c r="F755" s="149"/>
      <c r="G755" s="149"/>
      <c r="H755" s="135" t="str">
        <f>IFERROR(VLOOKUP(G755,'Conformance Score'!A:B, 2, 0), "")</f>
        <v/>
      </c>
      <c r="I755" s="150"/>
      <c r="J755" s="150"/>
      <c r="K755" s="134"/>
      <c r="L755" s="134"/>
      <c r="M755" s="134"/>
      <c r="N755" s="134"/>
      <c r="O755" s="134"/>
      <c r="P755" s="134"/>
      <c r="Q755" s="134"/>
      <c r="R755" s="134"/>
      <c r="S755" s="134"/>
      <c r="T755" s="134"/>
      <c r="U755" s="134"/>
      <c r="V755" s="134"/>
      <c r="W755" s="134"/>
      <c r="X755" s="134"/>
      <c r="Y755" s="134"/>
      <c r="Z755" s="134"/>
      <c r="AA755" s="134"/>
    </row>
    <row r="756" ht="15.75" customHeight="1">
      <c r="A756" s="149"/>
      <c r="B756" s="149"/>
      <c r="C756" s="149"/>
      <c r="D756" s="149"/>
      <c r="E756" s="149"/>
      <c r="F756" s="149"/>
      <c r="G756" s="149"/>
      <c r="H756" s="135" t="str">
        <f>IFERROR(VLOOKUP(G756,'Conformance Score'!A:B, 2, 0), "")</f>
        <v/>
      </c>
      <c r="I756" s="150"/>
      <c r="J756" s="150"/>
      <c r="K756" s="134"/>
      <c r="L756" s="134"/>
      <c r="M756" s="134"/>
      <c r="N756" s="134"/>
      <c r="O756" s="134"/>
      <c r="P756" s="134"/>
      <c r="Q756" s="134"/>
      <c r="R756" s="134"/>
      <c r="S756" s="134"/>
      <c r="T756" s="134"/>
      <c r="U756" s="134"/>
      <c r="V756" s="134"/>
      <c r="W756" s="134"/>
      <c r="X756" s="134"/>
      <c r="Y756" s="134"/>
      <c r="Z756" s="134"/>
      <c r="AA756" s="134"/>
    </row>
    <row r="757" ht="15.75" customHeight="1">
      <c r="A757" s="149"/>
      <c r="B757" s="149"/>
      <c r="C757" s="149"/>
      <c r="D757" s="149"/>
      <c r="E757" s="149"/>
      <c r="F757" s="149"/>
      <c r="G757" s="149"/>
      <c r="H757" s="135" t="str">
        <f>IFERROR(VLOOKUP(G757,'Conformance Score'!A:B, 2, 0), "")</f>
        <v/>
      </c>
      <c r="I757" s="150"/>
      <c r="J757" s="150"/>
      <c r="K757" s="134"/>
      <c r="L757" s="134"/>
      <c r="M757" s="134"/>
      <c r="N757" s="134"/>
      <c r="O757" s="134"/>
      <c r="P757" s="134"/>
      <c r="Q757" s="134"/>
      <c r="R757" s="134"/>
      <c r="S757" s="134"/>
      <c r="T757" s="134"/>
      <c r="U757" s="134"/>
      <c r="V757" s="134"/>
      <c r="W757" s="134"/>
      <c r="X757" s="134"/>
      <c r="Y757" s="134"/>
      <c r="Z757" s="134"/>
      <c r="AA757" s="134"/>
    </row>
    <row r="758" ht="15.75" customHeight="1">
      <c r="A758" s="149"/>
      <c r="B758" s="149"/>
      <c r="C758" s="149"/>
      <c r="D758" s="149"/>
      <c r="E758" s="149"/>
      <c r="F758" s="149"/>
      <c r="G758" s="149"/>
      <c r="H758" s="135" t="str">
        <f>IFERROR(VLOOKUP(G758,'Conformance Score'!A:B, 2, 0), "")</f>
        <v/>
      </c>
      <c r="I758" s="150"/>
      <c r="J758" s="150"/>
      <c r="K758" s="134"/>
      <c r="L758" s="134"/>
      <c r="M758" s="134"/>
      <c r="N758" s="134"/>
      <c r="O758" s="134"/>
      <c r="P758" s="134"/>
      <c r="Q758" s="134"/>
      <c r="R758" s="134"/>
      <c r="S758" s="134"/>
      <c r="T758" s="134"/>
      <c r="U758" s="134"/>
      <c r="V758" s="134"/>
      <c r="W758" s="134"/>
      <c r="X758" s="134"/>
      <c r="Y758" s="134"/>
      <c r="Z758" s="134"/>
      <c r="AA758" s="134"/>
    </row>
    <row r="759" ht="15.75" customHeight="1">
      <c r="A759" s="149"/>
      <c r="B759" s="149"/>
      <c r="C759" s="149"/>
      <c r="D759" s="149"/>
      <c r="E759" s="149"/>
      <c r="F759" s="149"/>
      <c r="G759" s="149"/>
      <c r="H759" s="135" t="str">
        <f>IFERROR(VLOOKUP(G759,'Conformance Score'!A:B, 2, 0), "")</f>
        <v/>
      </c>
      <c r="I759" s="150"/>
      <c r="J759" s="150"/>
      <c r="K759" s="134"/>
      <c r="L759" s="134"/>
      <c r="M759" s="134"/>
      <c r="N759" s="134"/>
      <c r="O759" s="134"/>
      <c r="P759" s="134"/>
      <c r="Q759" s="134"/>
      <c r="R759" s="134"/>
      <c r="S759" s="134"/>
      <c r="T759" s="134"/>
      <c r="U759" s="134"/>
      <c r="V759" s="134"/>
      <c r="W759" s="134"/>
      <c r="X759" s="134"/>
      <c r="Y759" s="134"/>
      <c r="Z759" s="134"/>
      <c r="AA759" s="134"/>
    </row>
    <row r="760" ht="15.75" customHeight="1">
      <c r="A760" s="149"/>
      <c r="B760" s="149"/>
      <c r="C760" s="149"/>
      <c r="D760" s="149"/>
      <c r="E760" s="149"/>
      <c r="F760" s="149"/>
      <c r="G760" s="149"/>
      <c r="H760" s="135" t="str">
        <f>IFERROR(VLOOKUP(G760,'Conformance Score'!A:B, 2, 0), "")</f>
        <v/>
      </c>
      <c r="I760" s="150"/>
      <c r="J760" s="150"/>
      <c r="K760" s="134"/>
      <c r="L760" s="134"/>
      <c r="M760" s="134"/>
      <c r="N760" s="134"/>
      <c r="O760" s="134"/>
      <c r="P760" s="134"/>
      <c r="Q760" s="134"/>
      <c r="R760" s="134"/>
      <c r="S760" s="134"/>
      <c r="T760" s="134"/>
      <c r="U760" s="134"/>
      <c r="V760" s="134"/>
      <c r="W760" s="134"/>
      <c r="X760" s="134"/>
      <c r="Y760" s="134"/>
      <c r="Z760" s="134"/>
      <c r="AA760" s="134"/>
    </row>
    <row r="761" ht="15.75" customHeight="1">
      <c r="A761" s="149"/>
      <c r="B761" s="149"/>
      <c r="C761" s="149"/>
      <c r="D761" s="149"/>
      <c r="E761" s="149"/>
      <c r="F761" s="149"/>
      <c r="G761" s="149"/>
      <c r="H761" s="135" t="str">
        <f>IFERROR(VLOOKUP(G761,'Conformance Score'!A:B, 2, 0), "")</f>
        <v/>
      </c>
      <c r="I761" s="150"/>
      <c r="J761" s="150"/>
      <c r="K761" s="134"/>
      <c r="L761" s="134"/>
      <c r="M761" s="134"/>
      <c r="N761" s="134"/>
      <c r="O761" s="134"/>
      <c r="P761" s="134"/>
      <c r="Q761" s="134"/>
      <c r="R761" s="134"/>
      <c r="S761" s="134"/>
      <c r="T761" s="134"/>
      <c r="U761" s="134"/>
      <c r="V761" s="134"/>
      <c r="W761" s="134"/>
      <c r="X761" s="134"/>
      <c r="Y761" s="134"/>
      <c r="Z761" s="134"/>
      <c r="AA761" s="134"/>
    </row>
    <row r="762" ht="15.75" customHeight="1">
      <c r="A762" s="149"/>
      <c r="B762" s="149"/>
      <c r="C762" s="149"/>
      <c r="D762" s="149"/>
      <c r="E762" s="149"/>
      <c r="F762" s="149"/>
      <c r="G762" s="149"/>
      <c r="H762" s="135" t="str">
        <f>IFERROR(VLOOKUP(G762,'Conformance Score'!A:B, 2, 0), "")</f>
        <v/>
      </c>
      <c r="I762" s="150"/>
      <c r="J762" s="150"/>
      <c r="K762" s="134"/>
      <c r="L762" s="134"/>
      <c r="M762" s="134"/>
      <c r="N762" s="134"/>
      <c r="O762" s="134"/>
      <c r="P762" s="134"/>
      <c r="Q762" s="134"/>
      <c r="R762" s="134"/>
      <c r="S762" s="134"/>
      <c r="T762" s="134"/>
      <c r="U762" s="134"/>
      <c r="V762" s="134"/>
      <c r="W762" s="134"/>
      <c r="X762" s="134"/>
      <c r="Y762" s="134"/>
      <c r="Z762" s="134"/>
      <c r="AA762" s="134"/>
    </row>
    <row r="763" ht="15.75" customHeight="1">
      <c r="A763" s="149"/>
      <c r="B763" s="149"/>
      <c r="C763" s="149"/>
      <c r="D763" s="149"/>
      <c r="E763" s="149"/>
      <c r="F763" s="149"/>
      <c r="G763" s="149"/>
      <c r="H763" s="135" t="str">
        <f>IFERROR(VLOOKUP(G763,'Conformance Score'!A:B, 2, 0), "")</f>
        <v/>
      </c>
      <c r="I763" s="150"/>
      <c r="J763" s="150"/>
      <c r="K763" s="134"/>
      <c r="L763" s="134"/>
      <c r="M763" s="134"/>
      <c r="N763" s="134"/>
      <c r="O763" s="134"/>
      <c r="P763" s="134"/>
      <c r="Q763" s="134"/>
      <c r="R763" s="134"/>
      <c r="S763" s="134"/>
      <c r="T763" s="134"/>
      <c r="U763" s="134"/>
      <c r="V763" s="134"/>
      <c r="W763" s="134"/>
      <c r="X763" s="134"/>
      <c r="Y763" s="134"/>
      <c r="Z763" s="134"/>
      <c r="AA763" s="134"/>
    </row>
    <row r="764" ht="15.75" customHeight="1">
      <c r="A764" s="149"/>
      <c r="B764" s="149"/>
      <c r="C764" s="149"/>
      <c r="D764" s="149"/>
      <c r="E764" s="149"/>
      <c r="F764" s="149"/>
      <c r="G764" s="149"/>
      <c r="H764" s="135" t="str">
        <f>IFERROR(VLOOKUP(G764,'Conformance Score'!A:B, 2, 0), "")</f>
        <v/>
      </c>
      <c r="I764" s="150"/>
      <c r="J764" s="150"/>
      <c r="K764" s="134"/>
      <c r="L764" s="134"/>
      <c r="M764" s="134"/>
      <c r="N764" s="134"/>
      <c r="O764" s="134"/>
      <c r="P764" s="134"/>
      <c r="Q764" s="134"/>
      <c r="R764" s="134"/>
      <c r="S764" s="134"/>
      <c r="T764" s="134"/>
      <c r="U764" s="134"/>
      <c r="V764" s="134"/>
      <c r="W764" s="134"/>
      <c r="X764" s="134"/>
      <c r="Y764" s="134"/>
      <c r="Z764" s="134"/>
      <c r="AA764" s="134"/>
    </row>
    <row r="765" ht="15.75" customHeight="1">
      <c r="A765" s="149"/>
      <c r="B765" s="149"/>
      <c r="C765" s="149"/>
      <c r="D765" s="149"/>
      <c r="E765" s="149"/>
      <c r="F765" s="149"/>
      <c r="G765" s="149"/>
      <c r="H765" s="135" t="str">
        <f>IFERROR(VLOOKUP(G765,'Conformance Score'!A:B, 2, 0), "")</f>
        <v/>
      </c>
      <c r="I765" s="150"/>
      <c r="J765" s="150"/>
      <c r="K765" s="134"/>
      <c r="L765" s="134"/>
      <c r="M765" s="134"/>
      <c r="N765" s="134"/>
      <c r="O765" s="134"/>
      <c r="P765" s="134"/>
      <c r="Q765" s="134"/>
      <c r="R765" s="134"/>
      <c r="S765" s="134"/>
      <c r="T765" s="134"/>
      <c r="U765" s="134"/>
      <c r="V765" s="134"/>
      <c r="W765" s="134"/>
      <c r="X765" s="134"/>
      <c r="Y765" s="134"/>
      <c r="Z765" s="134"/>
      <c r="AA765" s="134"/>
    </row>
    <row r="766" ht="15.75" customHeight="1">
      <c r="A766" s="149"/>
      <c r="B766" s="149"/>
      <c r="C766" s="149"/>
      <c r="D766" s="149"/>
      <c r="E766" s="149"/>
      <c r="F766" s="149"/>
      <c r="G766" s="149"/>
      <c r="H766" s="135" t="str">
        <f>IFERROR(VLOOKUP(G766,'Conformance Score'!A:B, 2, 0), "")</f>
        <v/>
      </c>
      <c r="I766" s="150"/>
      <c r="J766" s="150"/>
      <c r="K766" s="134"/>
      <c r="L766" s="134"/>
      <c r="M766" s="134"/>
      <c r="N766" s="134"/>
      <c r="O766" s="134"/>
      <c r="P766" s="134"/>
      <c r="Q766" s="134"/>
      <c r="R766" s="134"/>
      <c r="S766" s="134"/>
      <c r="T766" s="134"/>
      <c r="U766" s="134"/>
      <c r="V766" s="134"/>
      <c r="W766" s="134"/>
      <c r="X766" s="134"/>
      <c r="Y766" s="134"/>
      <c r="Z766" s="134"/>
      <c r="AA766" s="134"/>
    </row>
    <row r="767" ht="15.75" customHeight="1">
      <c r="A767" s="149"/>
      <c r="B767" s="149"/>
      <c r="C767" s="149"/>
      <c r="D767" s="149"/>
      <c r="E767" s="149"/>
      <c r="F767" s="149"/>
      <c r="G767" s="149"/>
      <c r="H767" s="135" t="str">
        <f>IFERROR(VLOOKUP(G767,'Conformance Score'!A:B, 2, 0), "")</f>
        <v/>
      </c>
      <c r="I767" s="150"/>
      <c r="J767" s="150"/>
      <c r="K767" s="134"/>
      <c r="L767" s="134"/>
      <c r="M767" s="134"/>
      <c r="N767" s="134"/>
      <c r="O767" s="134"/>
      <c r="P767" s="134"/>
      <c r="Q767" s="134"/>
      <c r="R767" s="134"/>
      <c r="S767" s="134"/>
      <c r="T767" s="134"/>
      <c r="U767" s="134"/>
      <c r="V767" s="134"/>
      <c r="W767" s="134"/>
      <c r="X767" s="134"/>
      <c r="Y767" s="134"/>
      <c r="Z767" s="134"/>
      <c r="AA767" s="134"/>
    </row>
    <row r="768" ht="15.75" customHeight="1">
      <c r="A768" s="149"/>
      <c r="B768" s="149"/>
      <c r="C768" s="149"/>
      <c r="D768" s="149"/>
      <c r="E768" s="149"/>
      <c r="F768" s="149"/>
      <c r="G768" s="149"/>
      <c r="H768" s="135" t="str">
        <f>IFERROR(VLOOKUP(G768,'Conformance Score'!A:B, 2, 0), "")</f>
        <v/>
      </c>
      <c r="I768" s="150"/>
      <c r="J768" s="150"/>
      <c r="K768" s="134"/>
      <c r="L768" s="134"/>
      <c r="M768" s="134"/>
      <c r="N768" s="134"/>
      <c r="O768" s="134"/>
      <c r="P768" s="134"/>
      <c r="Q768" s="134"/>
      <c r="R768" s="134"/>
      <c r="S768" s="134"/>
      <c r="T768" s="134"/>
      <c r="U768" s="134"/>
      <c r="V768" s="134"/>
      <c r="W768" s="134"/>
      <c r="X768" s="134"/>
      <c r="Y768" s="134"/>
      <c r="Z768" s="134"/>
      <c r="AA768" s="134"/>
    </row>
    <row r="769" ht="15.75" customHeight="1">
      <c r="A769" s="149"/>
      <c r="B769" s="149"/>
      <c r="C769" s="149"/>
      <c r="D769" s="149"/>
      <c r="E769" s="149"/>
      <c r="F769" s="149"/>
      <c r="G769" s="149"/>
      <c r="H769" s="135" t="str">
        <f>IFERROR(VLOOKUP(G769,'Conformance Score'!A:B, 2, 0), "")</f>
        <v/>
      </c>
      <c r="I769" s="150"/>
      <c r="J769" s="150"/>
      <c r="K769" s="134"/>
      <c r="L769" s="134"/>
      <c r="M769" s="134"/>
      <c r="N769" s="134"/>
      <c r="O769" s="134"/>
      <c r="P769" s="134"/>
      <c r="Q769" s="134"/>
      <c r="R769" s="134"/>
      <c r="S769" s="134"/>
      <c r="T769" s="134"/>
      <c r="U769" s="134"/>
      <c r="V769" s="134"/>
      <c r="W769" s="134"/>
      <c r="X769" s="134"/>
      <c r="Y769" s="134"/>
      <c r="Z769" s="134"/>
      <c r="AA769" s="134"/>
    </row>
    <row r="770" ht="15.75" customHeight="1">
      <c r="A770" s="149"/>
      <c r="B770" s="149"/>
      <c r="C770" s="149"/>
      <c r="D770" s="149"/>
      <c r="E770" s="149"/>
      <c r="F770" s="149"/>
      <c r="G770" s="149"/>
      <c r="H770" s="135" t="str">
        <f>IFERROR(VLOOKUP(G770,'Conformance Score'!A:B, 2, 0), "")</f>
        <v/>
      </c>
      <c r="I770" s="150"/>
      <c r="J770" s="150"/>
      <c r="K770" s="134"/>
      <c r="L770" s="134"/>
      <c r="M770" s="134"/>
      <c r="N770" s="134"/>
      <c r="O770" s="134"/>
      <c r="P770" s="134"/>
      <c r="Q770" s="134"/>
      <c r="R770" s="134"/>
      <c r="S770" s="134"/>
      <c r="T770" s="134"/>
      <c r="U770" s="134"/>
      <c r="V770" s="134"/>
      <c r="W770" s="134"/>
      <c r="X770" s="134"/>
      <c r="Y770" s="134"/>
      <c r="Z770" s="134"/>
      <c r="AA770" s="134"/>
    </row>
    <row r="771" ht="15.75" customHeight="1">
      <c r="A771" s="149"/>
      <c r="B771" s="149"/>
      <c r="C771" s="149"/>
      <c r="D771" s="149"/>
      <c r="E771" s="149"/>
      <c r="F771" s="149"/>
      <c r="G771" s="149"/>
      <c r="H771" s="135" t="str">
        <f>IFERROR(VLOOKUP(G771,'Conformance Score'!A:B, 2, 0), "")</f>
        <v/>
      </c>
      <c r="I771" s="150"/>
      <c r="J771" s="150"/>
      <c r="K771" s="134"/>
      <c r="L771" s="134"/>
      <c r="M771" s="134"/>
      <c r="N771" s="134"/>
      <c r="O771" s="134"/>
      <c r="P771" s="134"/>
      <c r="Q771" s="134"/>
      <c r="R771" s="134"/>
      <c r="S771" s="134"/>
      <c r="T771" s="134"/>
      <c r="U771" s="134"/>
      <c r="V771" s="134"/>
      <c r="W771" s="134"/>
      <c r="X771" s="134"/>
      <c r="Y771" s="134"/>
      <c r="Z771" s="134"/>
      <c r="AA771" s="134"/>
    </row>
    <row r="772" ht="15.75" customHeight="1">
      <c r="A772" s="149"/>
      <c r="B772" s="149"/>
      <c r="C772" s="149"/>
      <c r="D772" s="149"/>
      <c r="E772" s="149"/>
      <c r="F772" s="149"/>
      <c r="G772" s="149"/>
      <c r="H772" s="135" t="str">
        <f>IFERROR(VLOOKUP(G772,'Conformance Score'!A:B, 2, 0), "")</f>
        <v/>
      </c>
      <c r="I772" s="150"/>
      <c r="J772" s="150"/>
      <c r="K772" s="134"/>
      <c r="L772" s="134"/>
      <c r="M772" s="134"/>
      <c r="N772" s="134"/>
      <c r="O772" s="134"/>
      <c r="P772" s="134"/>
      <c r="Q772" s="134"/>
      <c r="R772" s="134"/>
      <c r="S772" s="134"/>
      <c r="T772" s="134"/>
      <c r="U772" s="134"/>
      <c r="V772" s="134"/>
      <c r="W772" s="134"/>
      <c r="X772" s="134"/>
      <c r="Y772" s="134"/>
      <c r="Z772" s="134"/>
      <c r="AA772" s="134"/>
    </row>
    <row r="773" ht="15.75" customHeight="1">
      <c r="A773" s="149"/>
      <c r="B773" s="149"/>
      <c r="C773" s="149"/>
      <c r="D773" s="149"/>
      <c r="E773" s="149"/>
      <c r="F773" s="149"/>
      <c r="G773" s="149"/>
      <c r="H773" s="135" t="str">
        <f>IFERROR(VLOOKUP(G773,'Conformance Score'!A:B, 2, 0), "")</f>
        <v/>
      </c>
      <c r="I773" s="150"/>
      <c r="J773" s="150"/>
      <c r="K773" s="134"/>
      <c r="L773" s="134"/>
      <c r="M773" s="134"/>
      <c r="N773" s="134"/>
      <c r="O773" s="134"/>
      <c r="P773" s="134"/>
      <c r="Q773" s="134"/>
      <c r="R773" s="134"/>
      <c r="S773" s="134"/>
      <c r="T773" s="134"/>
      <c r="U773" s="134"/>
      <c r="V773" s="134"/>
      <c r="W773" s="134"/>
      <c r="X773" s="134"/>
      <c r="Y773" s="134"/>
      <c r="Z773" s="134"/>
      <c r="AA773" s="134"/>
    </row>
    <row r="774" ht="15.75" customHeight="1">
      <c r="A774" s="149"/>
      <c r="B774" s="149"/>
      <c r="C774" s="149"/>
      <c r="D774" s="149"/>
      <c r="E774" s="149"/>
      <c r="F774" s="149"/>
      <c r="G774" s="149"/>
      <c r="H774" s="135" t="str">
        <f>IFERROR(VLOOKUP(G774,'Conformance Score'!A:B, 2, 0), "")</f>
        <v/>
      </c>
      <c r="I774" s="150"/>
      <c r="J774" s="150"/>
      <c r="K774" s="134"/>
      <c r="L774" s="134"/>
      <c r="M774" s="134"/>
      <c r="N774" s="134"/>
      <c r="O774" s="134"/>
      <c r="P774" s="134"/>
      <c r="Q774" s="134"/>
      <c r="R774" s="134"/>
      <c r="S774" s="134"/>
      <c r="T774" s="134"/>
      <c r="U774" s="134"/>
      <c r="V774" s="134"/>
      <c r="W774" s="134"/>
      <c r="X774" s="134"/>
      <c r="Y774" s="134"/>
      <c r="Z774" s="134"/>
      <c r="AA774" s="134"/>
    </row>
    <row r="775" ht="15.75" customHeight="1">
      <c r="A775" s="149"/>
      <c r="B775" s="149"/>
      <c r="C775" s="149"/>
      <c r="D775" s="149"/>
      <c r="E775" s="149"/>
      <c r="F775" s="149"/>
      <c r="G775" s="149"/>
      <c r="H775" s="135" t="str">
        <f>IFERROR(VLOOKUP(G775,'Conformance Score'!A:B, 2, 0), "")</f>
        <v/>
      </c>
      <c r="I775" s="150"/>
      <c r="J775" s="150"/>
      <c r="K775" s="134"/>
      <c r="L775" s="134"/>
      <c r="M775" s="134"/>
      <c r="N775" s="134"/>
      <c r="O775" s="134"/>
      <c r="P775" s="134"/>
      <c r="Q775" s="134"/>
      <c r="R775" s="134"/>
      <c r="S775" s="134"/>
      <c r="T775" s="134"/>
      <c r="U775" s="134"/>
      <c r="V775" s="134"/>
      <c r="W775" s="134"/>
      <c r="X775" s="134"/>
      <c r="Y775" s="134"/>
      <c r="Z775" s="134"/>
      <c r="AA775" s="134"/>
    </row>
    <row r="776" ht="15.75" customHeight="1">
      <c r="A776" s="149"/>
      <c r="B776" s="149"/>
      <c r="C776" s="149"/>
      <c r="D776" s="149"/>
      <c r="E776" s="149"/>
      <c r="F776" s="149"/>
      <c r="G776" s="149"/>
      <c r="H776" s="135" t="str">
        <f>IFERROR(VLOOKUP(G776,'Conformance Score'!A:B, 2, 0), "")</f>
        <v/>
      </c>
      <c r="I776" s="150"/>
      <c r="J776" s="150"/>
      <c r="K776" s="134"/>
      <c r="L776" s="134"/>
      <c r="M776" s="134"/>
      <c r="N776" s="134"/>
      <c r="O776" s="134"/>
      <c r="P776" s="134"/>
      <c r="Q776" s="134"/>
      <c r="R776" s="134"/>
      <c r="S776" s="134"/>
      <c r="T776" s="134"/>
      <c r="U776" s="134"/>
      <c r="V776" s="134"/>
      <c r="W776" s="134"/>
      <c r="X776" s="134"/>
      <c r="Y776" s="134"/>
      <c r="Z776" s="134"/>
      <c r="AA776" s="134"/>
    </row>
    <row r="777" ht="15.75" customHeight="1">
      <c r="A777" s="149"/>
      <c r="B777" s="149"/>
      <c r="C777" s="149"/>
      <c r="D777" s="149"/>
      <c r="E777" s="149"/>
      <c r="F777" s="149"/>
      <c r="G777" s="149"/>
      <c r="H777" s="135" t="str">
        <f>IFERROR(VLOOKUP(G777,'Conformance Score'!A:B, 2, 0), "")</f>
        <v/>
      </c>
      <c r="I777" s="150"/>
      <c r="J777" s="150"/>
      <c r="K777" s="134"/>
      <c r="L777" s="134"/>
      <c r="M777" s="134"/>
      <c r="N777" s="134"/>
      <c r="O777" s="134"/>
      <c r="P777" s="134"/>
      <c r="Q777" s="134"/>
      <c r="R777" s="134"/>
      <c r="S777" s="134"/>
      <c r="T777" s="134"/>
      <c r="U777" s="134"/>
      <c r="V777" s="134"/>
      <c r="W777" s="134"/>
      <c r="X777" s="134"/>
      <c r="Y777" s="134"/>
      <c r="Z777" s="134"/>
      <c r="AA777" s="134"/>
    </row>
    <row r="778" ht="15.75" customHeight="1">
      <c r="A778" s="149"/>
      <c r="B778" s="149"/>
      <c r="C778" s="149"/>
      <c r="D778" s="149"/>
      <c r="E778" s="149"/>
      <c r="F778" s="149"/>
      <c r="G778" s="149"/>
      <c r="H778" s="135" t="str">
        <f>IFERROR(VLOOKUP(G778,'Conformance Score'!A:B, 2, 0), "")</f>
        <v/>
      </c>
      <c r="I778" s="150"/>
      <c r="J778" s="150"/>
      <c r="K778" s="134"/>
      <c r="L778" s="134"/>
      <c r="M778" s="134"/>
      <c r="N778" s="134"/>
      <c r="O778" s="134"/>
      <c r="P778" s="134"/>
      <c r="Q778" s="134"/>
      <c r="R778" s="134"/>
      <c r="S778" s="134"/>
      <c r="T778" s="134"/>
      <c r="U778" s="134"/>
      <c r="V778" s="134"/>
      <c r="W778" s="134"/>
      <c r="X778" s="134"/>
      <c r="Y778" s="134"/>
      <c r="Z778" s="134"/>
      <c r="AA778" s="134"/>
    </row>
    <row r="779" ht="15.75" customHeight="1">
      <c r="A779" s="149"/>
      <c r="B779" s="149"/>
      <c r="C779" s="149"/>
      <c r="D779" s="149"/>
      <c r="E779" s="149"/>
      <c r="F779" s="149"/>
      <c r="G779" s="149"/>
      <c r="H779" s="135" t="str">
        <f>IFERROR(VLOOKUP(G779,'Conformance Score'!A:B, 2, 0), "")</f>
        <v/>
      </c>
      <c r="I779" s="150"/>
      <c r="J779" s="150"/>
      <c r="K779" s="134"/>
      <c r="L779" s="134"/>
      <c r="M779" s="134"/>
      <c r="N779" s="134"/>
      <c r="O779" s="134"/>
      <c r="P779" s="134"/>
      <c r="Q779" s="134"/>
      <c r="R779" s="134"/>
      <c r="S779" s="134"/>
      <c r="T779" s="134"/>
      <c r="U779" s="134"/>
      <c r="V779" s="134"/>
      <c r="W779" s="134"/>
      <c r="X779" s="134"/>
      <c r="Y779" s="134"/>
      <c r="Z779" s="134"/>
      <c r="AA779" s="134"/>
    </row>
    <row r="780" ht="15.75" customHeight="1">
      <c r="A780" s="149"/>
      <c r="B780" s="149"/>
      <c r="C780" s="149"/>
      <c r="D780" s="149"/>
      <c r="E780" s="149"/>
      <c r="F780" s="149"/>
      <c r="G780" s="149"/>
      <c r="H780" s="135" t="str">
        <f>IFERROR(VLOOKUP(G780,'Conformance Score'!A:B, 2, 0), "")</f>
        <v/>
      </c>
      <c r="I780" s="150"/>
      <c r="J780" s="150"/>
      <c r="K780" s="134"/>
      <c r="L780" s="134"/>
      <c r="M780" s="134"/>
      <c r="N780" s="134"/>
      <c r="O780" s="134"/>
      <c r="P780" s="134"/>
      <c r="Q780" s="134"/>
      <c r="R780" s="134"/>
      <c r="S780" s="134"/>
      <c r="T780" s="134"/>
      <c r="U780" s="134"/>
      <c r="V780" s="134"/>
      <c r="W780" s="134"/>
      <c r="X780" s="134"/>
      <c r="Y780" s="134"/>
      <c r="Z780" s="134"/>
      <c r="AA780" s="134"/>
    </row>
    <row r="781" ht="15.75" customHeight="1">
      <c r="A781" s="149"/>
      <c r="B781" s="149"/>
      <c r="C781" s="149"/>
      <c r="D781" s="149"/>
      <c r="E781" s="149"/>
      <c r="F781" s="149"/>
      <c r="G781" s="149"/>
      <c r="H781" s="135" t="str">
        <f>IFERROR(VLOOKUP(G781,'Conformance Score'!A:B, 2, 0), "")</f>
        <v/>
      </c>
      <c r="I781" s="150"/>
      <c r="J781" s="150"/>
      <c r="K781" s="134"/>
      <c r="L781" s="134"/>
      <c r="M781" s="134"/>
      <c r="N781" s="134"/>
      <c r="O781" s="134"/>
      <c r="P781" s="134"/>
      <c r="Q781" s="134"/>
      <c r="R781" s="134"/>
      <c r="S781" s="134"/>
      <c r="T781" s="134"/>
      <c r="U781" s="134"/>
      <c r="V781" s="134"/>
      <c r="W781" s="134"/>
      <c r="X781" s="134"/>
      <c r="Y781" s="134"/>
      <c r="Z781" s="134"/>
      <c r="AA781" s="134"/>
    </row>
    <row r="782" ht="15.75" customHeight="1">
      <c r="A782" s="149"/>
      <c r="B782" s="149"/>
      <c r="C782" s="149"/>
      <c r="D782" s="149"/>
      <c r="E782" s="149"/>
      <c r="F782" s="149"/>
      <c r="G782" s="149"/>
      <c r="H782" s="135" t="str">
        <f>IFERROR(VLOOKUP(G782,'Conformance Score'!A:B, 2, 0), "")</f>
        <v/>
      </c>
      <c r="I782" s="150"/>
      <c r="J782" s="150"/>
      <c r="K782" s="134"/>
      <c r="L782" s="134"/>
      <c r="M782" s="134"/>
      <c r="N782" s="134"/>
      <c r="O782" s="134"/>
      <c r="P782" s="134"/>
      <c r="Q782" s="134"/>
      <c r="R782" s="134"/>
      <c r="S782" s="134"/>
      <c r="T782" s="134"/>
      <c r="U782" s="134"/>
      <c r="V782" s="134"/>
      <c r="W782" s="134"/>
      <c r="X782" s="134"/>
      <c r="Y782" s="134"/>
      <c r="Z782" s="134"/>
      <c r="AA782" s="134"/>
    </row>
    <row r="783" ht="15.75" customHeight="1">
      <c r="A783" s="149"/>
      <c r="B783" s="149"/>
      <c r="C783" s="149"/>
      <c r="D783" s="149"/>
      <c r="E783" s="149"/>
      <c r="F783" s="149"/>
      <c r="G783" s="149"/>
      <c r="H783" s="135" t="str">
        <f>IFERROR(VLOOKUP(G783,'Conformance Score'!A:B, 2, 0), "")</f>
        <v/>
      </c>
      <c r="I783" s="150"/>
      <c r="J783" s="150"/>
      <c r="K783" s="134"/>
      <c r="L783" s="134"/>
      <c r="M783" s="134"/>
      <c r="N783" s="134"/>
      <c r="O783" s="134"/>
      <c r="P783" s="134"/>
      <c r="Q783" s="134"/>
      <c r="R783" s="134"/>
      <c r="S783" s="134"/>
      <c r="T783" s="134"/>
      <c r="U783" s="134"/>
      <c r="V783" s="134"/>
      <c r="W783" s="134"/>
      <c r="X783" s="134"/>
      <c r="Y783" s="134"/>
      <c r="Z783" s="134"/>
      <c r="AA783" s="134"/>
    </row>
    <row r="784" ht="15.75" customHeight="1">
      <c r="A784" s="149"/>
      <c r="B784" s="149"/>
      <c r="C784" s="149"/>
      <c r="D784" s="149"/>
      <c r="E784" s="149"/>
      <c r="F784" s="149"/>
      <c r="G784" s="149"/>
      <c r="H784" s="135" t="str">
        <f>IFERROR(VLOOKUP(G784,'Conformance Score'!A:B, 2, 0), "")</f>
        <v/>
      </c>
      <c r="I784" s="150"/>
      <c r="J784" s="150"/>
      <c r="K784" s="134"/>
      <c r="L784" s="134"/>
      <c r="M784" s="134"/>
      <c r="N784" s="134"/>
      <c r="O784" s="134"/>
      <c r="P784" s="134"/>
      <c r="Q784" s="134"/>
      <c r="R784" s="134"/>
      <c r="S784" s="134"/>
      <c r="T784" s="134"/>
      <c r="U784" s="134"/>
      <c r="V784" s="134"/>
      <c r="W784" s="134"/>
      <c r="X784" s="134"/>
      <c r="Y784" s="134"/>
      <c r="Z784" s="134"/>
      <c r="AA784" s="134"/>
    </row>
    <row r="785" ht="15.75" customHeight="1">
      <c r="A785" s="149"/>
      <c r="B785" s="149"/>
      <c r="C785" s="149"/>
      <c r="D785" s="149"/>
      <c r="E785" s="149"/>
      <c r="F785" s="149"/>
      <c r="G785" s="149"/>
      <c r="H785" s="135" t="str">
        <f>IFERROR(VLOOKUP(G785,'Conformance Score'!A:B, 2, 0), "")</f>
        <v/>
      </c>
      <c r="I785" s="150"/>
      <c r="J785" s="150"/>
      <c r="K785" s="134"/>
      <c r="L785" s="134"/>
      <c r="M785" s="134"/>
      <c r="N785" s="134"/>
      <c r="O785" s="134"/>
      <c r="P785" s="134"/>
      <c r="Q785" s="134"/>
      <c r="R785" s="134"/>
      <c r="S785" s="134"/>
      <c r="T785" s="134"/>
      <c r="U785" s="134"/>
      <c r="V785" s="134"/>
      <c r="W785" s="134"/>
      <c r="X785" s="134"/>
      <c r="Y785" s="134"/>
      <c r="Z785" s="134"/>
      <c r="AA785" s="134"/>
    </row>
    <row r="786" ht="15.75" customHeight="1">
      <c r="A786" s="149"/>
      <c r="B786" s="149"/>
      <c r="C786" s="149"/>
      <c r="D786" s="149"/>
      <c r="E786" s="149"/>
      <c r="F786" s="149"/>
      <c r="G786" s="149"/>
      <c r="H786" s="135" t="str">
        <f>IFERROR(VLOOKUP(G786,'Conformance Score'!A:B, 2, 0), "")</f>
        <v/>
      </c>
      <c r="I786" s="150"/>
      <c r="J786" s="150"/>
      <c r="K786" s="134"/>
      <c r="L786" s="134"/>
      <c r="M786" s="134"/>
      <c r="N786" s="134"/>
      <c r="O786" s="134"/>
      <c r="P786" s="134"/>
      <c r="Q786" s="134"/>
      <c r="R786" s="134"/>
      <c r="S786" s="134"/>
      <c r="T786" s="134"/>
      <c r="U786" s="134"/>
      <c r="V786" s="134"/>
      <c r="W786" s="134"/>
      <c r="X786" s="134"/>
      <c r="Y786" s="134"/>
      <c r="Z786" s="134"/>
      <c r="AA786" s="134"/>
    </row>
    <row r="787" ht="15.75" customHeight="1">
      <c r="A787" s="149"/>
      <c r="B787" s="149"/>
      <c r="C787" s="149"/>
      <c r="D787" s="149"/>
      <c r="E787" s="149"/>
      <c r="F787" s="149"/>
      <c r="G787" s="149"/>
      <c r="H787" s="135" t="str">
        <f>IFERROR(VLOOKUP(G787,'Conformance Score'!A:B, 2, 0), "")</f>
        <v/>
      </c>
      <c r="I787" s="150"/>
      <c r="J787" s="150"/>
      <c r="K787" s="134"/>
      <c r="L787" s="134"/>
      <c r="M787" s="134"/>
      <c r="N787" s="134"/>
      <c r="O787" s="134"/>
      <c r="P787" s="134"/>
      <c r="Q787" s="134"/>
      <c r="R787" s="134"/>
      <c r="S787" s="134"/>
      <c r="T787" s="134"/>
      <c r="U787" s="134"/>
      <c r="V787" s="134"/>
      <c r="W787" s="134"/>
      <c r="X787" s="134"/>
      <c r="Y787" s="134"/>
      <c r="Z787" s="134"/>
      <c r="AA787" s="134"/>
    </row>
    <row r="788" ht="15.75" customHeight="1">
      <c r="A788" s="149"/>
      <c r="B788" s="149"/>
      <c r="C788" s="149"/>
      <c r="D788" s="149"/>
      <c r="E788" s="149"/>
      <c r="F788" s="149"/>
      <c r="G788" s="149"/>
      <c r="H788" s="135" t="str">
        <f>IFERROR(VLOOKUP(G788,'Conformance Score'!A:B, 2, 0), "")</f>
        <v/>
      </c>
      <c r="I788" s="150"/>
      <c r="J788" s="150"/>
      <c r="K788" s="134"/>
      <c r="L788" s="134"/>
      <c r="M788" s="134"/>
      <c r="N788" s="134"/>
      <c r="O788" s="134"/>
      <c r="P788" s="134"/>
      <c r="Q788" s="134"/>
      <c r="R788" s="134"/>
      <c r="S788" s="134"/>
      <c r="T788" s="134"/>
      <c r="U788" s="134"/>
      <c r="V788" s="134"/>
      <c r="W788" s="134"/>
      <c r="X788" s="134"/>
      <c r="Y788" s="134"/>
      <c r="Z788" s="134"/>
      <c r="AA788" s="134"/>
    </row>
    <row r="789" ht="15.75" customHeight="1">
      <c r="A789" s="149"/>
      <c r="B789" s="149"/>
      <c r="C789" s="149"/>
      <c r="D789" s="149"/>
      <c r="E789" s="149"/>
      <c r="F789" s="149"/>
      <c r="G789" s="149"/>
      <c r="H789" s="135" t="str">
        <f>IFERROR(VLOOKUP(G789,'Conformance Score'!A:B, 2, 0), "")</f>
        <v/>
      </c>
      <c r="I789" s="150"/>
      <c r="J789" s="150"/>
      <c r="K789" s="134"/>
      <c r="L789" s="134"/>
      <c r="M789" s="134"/>
      <c r="N789" s="134"/>
      <c r="O789" s="134"/>
      <c r="P789" s="134"/>
      <c r="Q789" s="134"/>
      <c r="R789" s="134"/>
      <c r="S789" s="134"/>
      <c r="T789" s="134"/>
      <c r="U789" s="134"/>
      <c r="V789" s="134"/>
      <c r="W789" s="134"/>
      <c r="X789" s="134"/>
      <c r="Y789" s="134"/>
      <c r="Z789" s="134"/>
      <c r="AA789" s="134"/>
    </row>
    <row r="790" ht="15.75" customHeight="1">
      <c r="A790" s="149"/>
      <c r="B790" s="149"/>
      <c r="C790" s="149"/>
      <c r="D790" s="149"/>
      <c r="E790" s="149"/>
      <c r="F790" s="149"/>
      <c r="G790" s="149"/>
      <c r="H790" s="135" t="str">
        <f>IFERROR(VLOOKUP(G790,'Conformance Score'!A:B, 2, 0), "")</f>
        <v/>
      </c>
      <c r="I790" s="150"/>
      <c r="J790" s="150"/>
      <c r="K790" s="134"/>
      <c r="L790" s="134"/>
      <c r="M790" s="134"/>
      <c r="N790" s="134"/>
      <c r="O790" s="134"/>
      <c r="P790" s="134"/>
      <c r="Q790" s="134"/>
      <c r="R790" s="134"/>
      <c r="S790" s="134"/>
      <c r="T790" s="134"/>
      <c r="U790" s="134"/>
      <c r="V790" s="134"/>
      <c r="W790" s="134"/>
      <c r="X790" s="134"/>
      <c r="Y790" s="134"/>
      <c r="Z790" s="134"/>
      <c r="AA790" s="134"/>
    </row>
    <row r="791" ht="15.75" customHeight="1">
      <c r="A791" s="149"/>
      <c r="B791" s="149"/>
      <c r="C791" s="149"/>
      <c r="D791" s="149"/>
      <c r="E791" s="149"/>
      <c r="F791" s="149"/>
      <c r="G791" s="149"/>
      <c r="H791" s="135" t="str">
        <f>IFERROR(VLOOKUP(G791,'Conformance Score'!A:B, 2, 0), "")</f>
        <v/>
      </c>
      <c r="I791" s="150"/>
      <c r="J791" s="150"/>
      <c r="K791" s="134"/>
      <c r="L791" s="134"/>
      <c r="M791" s="134"/>
      <c r="N791" s="134"/>
      <c r="O791" s="134"/>
      <c r="P791" s="134"/>
      <c r="Q791" s="134"/>
      <c r="R791" s="134"/>
      <c r="S791" s="134"/>
      <c r="T791" s="134"/>
      <c r="U791" s="134"/>
      <c r="V791" s="134"/>
      <c r="W791" s="134"/>
      <c r="X791" s="134"/>
      <c r="Y791" s="134"/>
      <c r="Z791" s="134"/>
      <c r="AA791" s="134"/>
    </row>
    <row r="792" ht="15.75" customHeight="1">
      <c r="A792" s="149"/>
      <c r="B792" s="149"/>
      <c r="C792" s="149"/>
      <c r="D792" s="149"/>
      <c r="E792" s="149"/>
      <c r="F792" s="149"/>
      <c r="G792" s="149"/>
      <c r="H792" s="135" t="str">
        <f>IFERROR(VLOOKUP(G792,'Conformance Score'!A:B, 2, 0), "")</f>
        <v/>
      </c>
      <c r="I792" s="150"/>
      <c r="J792" s="150"/>
      <c r="K792" s="134"/>
      <c r="L792" s="134"/>
      <c r="M792" s="134"/>
      <c r="N792" s="134"/>
      <c r="O792" s="134"/>
      <c r="P792" s="134"/>
      <c r="Q792" s="134"/>
      <c r="R792" s="134"/>
      <c r="S792" s="134"/>
      <c r="T792" s="134"/>
      <c r="U792" s="134"/>
      <c r="V792" s="134"/>
      <c r="W792" s="134"/>
      <c r="X792" s="134"/>
      <c r="Y792" s="134"/>
      <c r="Z792" s="134"/>
      <c r="AA792" s="134"/>
    </row>
    <row r="793" ht="15.75" customHeight="1">
      <c r="A793" s="149"/>
      <c r="B793" s="149"/>
      <c r="C793" s="149"/>
      <c r="D793" s="149"/>
      <c r="E793" s="149"/>
      <c r="F793" s="149"/>
      <c r="G793" s="149"/>
      <c r="H793" s="135" t="str">
        <f>IFERROR(VLOOKUP(G793,'Conformance Score'!A:B, 2, 0), "")</f>
        <v/>
      </c>
      <c r="I793" s="150"/>
      <c r="J793" s="150"/>
      <c r="K793" s="134"/>
      <c r="L793" s="134"/>
      <c r="M793" s="134"/>
      <c r="N793" s="134"/>
      <c r="O793" s="134"/>
      <c r="P793" s="134"/>
      <c r="Q793" s="134"/>
      <c r="R793" s="134"/>
      <c r="S793" s="134"/>
      <c r="T793" s="134"/>
      <c r="U793" s="134"/>
      <c r="V793" s="134"/>
      <c r="W793" s="134"/>
      <c r="X793" s="134"/>
      <c r="Y793" s="134"/>
      <c r="Z793" s="134"/>
      <c r="AA793" s="134"/>
    </row>
    <row r="794" ht="15.75" customHeight="1">
      <c r="A794" s="149"/>
      <c r="B794" s="149"/>
      <c r="C794" s="149"/>
      <c r="D794" s="149"/>
      <c r="E794" s="149"/>
      <c r="F794" s="149"/>
      <c r="G794" s="149"/>
      <c r="H794" s="135" t="str">
        <f>IFERROR(VLOOKUP(G794,'Conformance Score'!A:B, 2, 0), "")</f>
        <v/>
      </c>
      <c r="I794" s="150"/>
      <c r="J794" s="150"/>
      <c r="K794" s="134"/>
      <c r="L794" s="134"/>
      <c r="M794" s="134"/>
      <c r="N794" s="134"/>
      <c r="O794" s="134"/>
      <c r="P794" s="134"/>
      <c r="Q794" s="134"/>
      <c r="R794" s="134"/>
      <c r="S794" s="134"/>
      <c r="T794" s="134"/>
      <c r="U794" s="134"/>
      <c r="V794" s="134"/>
      <c r="W794" s="134"/>
      <c r="X794" s="134"/>
      <c r="Y794" s="134"/>
      <c r="Z794" s="134"/>
      <c r="AA794" s="134"/>
    </row>
    <row r="795" ht="15.75" customHeight="1">
      <c r="A795" s="149"/>
      <c r="B795" s="149"/>
      <c r="C795" s="149"/>
      <c r="D795" s="149"/>
      <c r="E795" s="149"/>
      <c r="F795" s="149"/>
      <c r="G795" s="149"/>
      <c r="H795" s="135" t="str">
        <f>IFERROR(VLOOKUP(G795,'Conformance Score'!A:B, 2, 0), "")</f>
        <v/>
      </c>
      <c r="I795" s="150"/>
      <c r="J795" s="150"/>
      <c r="K795" s="134"/>
      <c r="L795" s="134"/>
      <c r="M795" s="134"/>
      <c r="N795" s="134"/>
      <c r="O795" s="134"/>
      <c r="P795" s="134"/>
      <c r="Q795" s="134"/>
      <c r="R795" s="134"/>
      <c r="S795" s="134"/>
      <c r="T795" s="134"/>
      <c r="U795" s="134"/>
      <c r="V795" s="134"/>
      <c r="W795" s="134"/>
      <c r="X795" s="134"/>
      <c r="Y795" s="134"/>
      <c r="Z795" s="134"/>
      <c r="AA795" s="134"/>
    </row>
    <row r="796" ht="15.75" customHeight="1">
      <c r="A796" s="149"/>
      <c r="B796" s="149"/>
      <c r="C796" s="149"/>
      <c r="D796" s="149"/>
      <c r="E796" s="149"/>
      <c r="F796" s="149"/>
      <c r="G796" s="149"/>
      <c r="H796" s="135" t="str">
        <f>IFERROR(VLOOKUP(G796,'Conformance Score'!A:B, 2, 0), "")</f>
        <v/>
      </c>
      <c r="I796" s="150"/>
      <c r="J796" s="150"/>
      <c r="K796" s="134"/>
      <c r="L796" s="134"/>
      <c r="M796" s="134"/>
      <c r="N796" s="134"/>
      <c r="O796" s="134"/>
      <c r="P796" s="134"/>
      <c r="Q796" s="134"/>
      <c r="R796" s="134"/>
      <c r="S796" s="134"/>
      <c r="T796" s="134"/>
      <c r="U796" s="134"/>
      <c r="V796" s="134"/>
      <c r="W796" s="134"/>
      <c r="X796" s="134"/>
      <c r="Y796" s="134"/>
      <c r="Z796" s="134"/>
      <c r="AA796" s="134"/>
    </row>
    <row r="797" ht="15.75" customHeight="1">
      <c r="A797" s="149"/>
      <c r="B797" s="149"/>
      <c r="C797" s="149"/>
      <c r="D797" s="149"/>
      <c r="E797" s="149"/>
      <c r="F797" s="149"/>
      <c r="G797" s="149"/>
      <c r="H797" s="135" t="str">
        <f>IFERROR(VLOOKUP(G797,'Conformance Score'!A:B, 2, 0), "")</f>
        <v/>
      </c>
      <c r="I797" s="150"/>
      <c r="J797" s="150"/>
      <c r="K797" s="134"/>
      <c r="L797" s="134"/>
      <c r="M797" s="134"/>
      <c r="N797" s="134"/>
      <c r="O797" s="134"/>
      <c r="P797" s="134"/>
      <c r="Q797" s="134"/>
      <c r="R797" s="134"/>
      <c r="S797" s="134"/>
      <c r="T797" s="134"/>
      <c r="U797" s="134"/>
      <c r="V797" s="134"/>
      <c r="W797" s="134"/>
      <c r="X797" s="134"/>
      <c r="Y797" s="134"/>
      <c r="Z797" s="134"/>
      <c r="AA797" s="134"/>
    </row>
    <row r="798" ht="15.75" customHeight="1">
      <c r="A798" s="149"/>
      <c r="B798" s="149"/>
      <c r="C798" s="149"/>
      <c r="D798" s="149"/>
      <c r="E798" s="149"/>
      <c r="F798" s="149"/>
      <c r="G798" s="149"/>
      <c r="H798" s="135" t="str">
        <f>IFERROR(VLOOKUP(G798,'Conformance Score'!A:B, 2, 0), "")</f>
        <v/>
      </c>
      <c r="I798" s="150"/>
      <c r="J798" s="150"/>
      <c r="K798" s="134"/>
      <c r="L798" s="134"/>
      <c r="M798" s="134"/>
      <c r="N798" s="134"/>
      <c r="O798" s="134"/>
      <c r="P798" s="134"/>
      <c r="Q798" s="134"/>
      <c r="R798" s="134"/>
      <c r="S798" s="134"/>
      <c r="T798" s="134"/>
      <c r="U798" s="134"/>
      <c r="V798" s="134"/>
      <c r="W798" s="134"/>
      <c r="X798" s="134"/>
      <c r="Y798" s="134"/>
      <c r="Z798" s="134"/>
      <c r="AA798" s="134"/>
    </row>
    <row r="799" ht="15.75" customHeight="1">
      <c r="A799" s="149"/>
      <c r="B799" s="149"/>
      <c r="C799" s="149"/>
      <c r="D799" s="149"/>
      <c r="E799" s="149"/>
      <c r="F799" s="149"/>
      <c r="G799" s="149"/>
      <c r="H799" s="135" t="str">
        <f>IFERROR(VLOOKUP(G799,'Conformance Score'!A:B, 2, 0), "")</f>
        <v/>
      </c>
      <c r="I799" s="150"/>
      <c r="J799" s="150"/>
      <c r="K799" s="134"/>
      <c r="L799" s="134"/>
      <c r="M799" s="134"/>
      <c r="N799" s="134"/>
      <c r="O799" s="134"/>
      <c r="P799" s="134"/>
      <c r="Q799" s="134"/>
      <c r="R799" s="134"/>
      <c r="S799" s="134"/>
      <c r="T799" s="134"/>
      <c r="U799" s="134"/>
      <c r="V799" s="134"/>
      <c r="W799" s="134"/>
      <c r="X799" s="134"/>
      <c r="Y799" s="134"/>
      <c r="Z799" s="134"/>
      <c r="AA799" s="134"/>
    </row>
    <row r="800" ht="15.75" customHeight="1">
      <c r="A800" s="149"/>
      <c r="B800" s="149"/>
      <c r="C800" s="149"/>
      <c r="D800" s="149"/>
      <c r="E800" s="149"/>
      <c r="F800" s="149"/>
      <c r="G800" s="149"/>
      <c r="H800" s="135" t="str">
        <f>IFERROR(VLOOKUP(G800,'Conformance Score'!A:B, 2, 0), "")</f>
        <v/>
      </c>
      <c r="I800" s="150"/>
      <c r="J800" s="150"/>
      <c r="K800" s="134"/>
      <c r="L800" s="134"/>
      <c r="M800" s="134"/>
      <c r="N800" s="134"/>
      <c r="O800" s="134"/>
      <c r="P800" s="134"/>
      <c r="Q800" s="134"/>
      <c r="R800" s="134"/>
      <c r="S800" s="134"/>
      <c r="T800" s="134"/>
      <c r="U800" s="134"/>
      <c r="V800" s="134"/>
      <c r="W800" s="134"/>
      <c r="X800" s="134"/>
      <c r="Y800" s="134"/>
      <c r="Z800" s="134"/>
      <c r="AA800" s="134"/>
    </row>
    <row r="801" ht="15.75" customHeight="1">
      <c r="A801" s="149"/>
      <c r="B801" s="149"/>
      <c r="C801" s="149"/>
      <c r="D801" s="149"/>
      <c r="E801" s="149"/>
      <c r="F801" s="149"/>
      <c r="G801" s="149"/>
      <c r="H801" s="135" t="str">
        <f>IFERROR(VLOOKUP(G801,'Conformance Score'!A:B, 2, 0), "")</f>
        <v/>
      </c>
      <c r="I801" s="150"/>
      <c r="J801" s="150"/>
      <c r="K801" s="134"/>
      <c r="L801" s="134"/>
      <c r="M801" s="134"/>
      <c r="N801" s="134"/>
      <c r="O801" s="134"/>
      <c r="P801" s="134"/>
      <c r="Q801" s="134"/>
      <c r="R801" s="134"/>
      <c r="S801" s="134"/>
      <c r="T801" s="134"/>
      <c r="U801" s="134"/>
      <c r="V801" s="134"/>
      <c r="W801" s="134"/>
      <c r="X801" s="134"/>
      <c r="Y801" s="134"/>
      <c r="Z801" s="134"/>
      <c r="AA801" s="134"/>
    </row>
    <row r="802" ht="15.75" customHeight="1">
      <c r="A802" s="149"/>
      <c r="B802" s="149"/>
      <c r="C802" s="149"/>
      <c r="D802" s="149"/>
      <c r="E802" s="149"/>
      <c r="F802" s="149"/>
      <c r="G802" s="149"/>
      <c r="H802" s="135" t="str">
        <f>IFERROR(VLOOKUP(G802,'Conformance Score'!A:B, 2, 0), "")</f>
        <v/>
      </c>
      <c r="I802" s="150"/>
      <c r="J802" s="150"/>
      <c r="K802" s="134"/>
      <c r="L802" s="134"/>
      <c r="M802" s="134"/>
      <c r="N802" s="134"/>
      <c r="O802" s="134"/>
      <c r="P802" s="134"/>
      <c r="Q802" s="134"/>
      <c r="R802" s="134"/>
      <c r="S802" s="134"/>
      <c r="T802" s="134"/>
      <c r="U802" s="134"/>
      <c r="V802" s="134"/>
      <c r="W802" s="134"/>
      <c r="X802" s="134"/>
      <c r="Y802" s="134"/>
      <c r="Z802" s="134"/>
      <c r="AA802" s="134"/>
    </row>
    <row r="803" ht="15.75" customHeight="1">
      <c r="A803" s="149"/>
      <c r="B803" s="149"/>
      <c r="C803" s="149"/>
      <c r="D803" s="149"/>
      <c r="E803" s="149"/>
      <c r="F803" s="149"/>
      <c r="G803" s="149"/>
      <c r="H803" s="135" t="str">
        <f>IFERROR(VLOOKUP(G803,'Conformance Score'!A:B, 2, 0), "")</f>
        <v/>
      </c>
      <c r="I803" s="150"/>
      <c r="J803" s="150"/>
      <c r="K803" s="134"/>
      <c r="L803" s="134"/>
      <c r="M803" s="134"/>
      <c r="N803" s="134"/>
      <c r="O803" s="134"/>
      <c r="P803" s="134"/>
      <c r="Q803" s="134"/>
      <c r="R803" s="134"/>
      <c r="S803" s="134"/>
      <c r="T803" s="134"/>
      <c r="U803" s="134"/>
      <c r="V803" s="134"/>
      <c r="W803" s="134"/>
      <c r="X803" s="134"/>
      <c r="Y803" s="134"/>
      <c r="Z803" s="134"/>
      <c r="AA803" s="134"/>
    </row>
    <row r="804" ht="15.75" customHeight="1">
      <c r="A804" s="149"/>
      <c r="B804" s="149"/>
      <c r="C804" s="149"/>
      <c r="D804" s="149"/>
      <c r="E804" s="149"/>
      <c r="F804" s="149"/>
      <c r="G804" s="149"/>
      <c r="H804" s="135" t="str">
        <f>IFERROR(VLOOKUP(G804,'Conformance Score'!A:B, 2, 0), "")</f>
        <v/>
      </c>
      <c r="I804" s="150"/>
      <c r="J804" s="150"/>
      <c r="K804" s="134"/>
      <c r="L804" s="134"/>
      <c r="M804" s="134"/>
      <c r="N804" s="134"/>
      <c r="O804" s="134"/>
      <c r="P804" s="134"/>
      <c r="Q804" s="134"/>
      <c r="R804" s="134"/>
      <c r="S804" s="134"/>
      <c r="T804" s="134"/>
      <c r="U804" s="134"/>
      <c r="V804" s="134"/>
      <c r="W804" s="134"/>
      <c r="X804" s="134"/>
      <c r="Y804" s="134"/>
      <c r="Z804" s="134"/>
      <c r="AA804" s="134"/>
    </row>
    <row r="805" ht="15.75" customHeight="1">
      <c r="A805" s="149"/>
      <c r="B805" s="149"/>
      <c r="C805" s="149"/>
      <c r="D805" s="149"/>
      <c r="E805" s="149"/>
      <c r="F805" s="149"/>
      <c r="G805" s="149"/>
      <c r="H805" s="135" t="str">
        <f>IFERROR(VLOOKUP(G805,'Conformance Score'!A:B, 2, 0), "")</f>
        <v/>
      </c>
      <c r="I805" s="150"/>
      <c r="J805" s="150"/>
      <c r="K805" s="134"/>
      <c r="L805" s="134"/>
      <c r="M805" s="134"/>
      <c r="N805" s="134"/>
      <c r="O805" s="134"/>
      <c r="P805" s="134"/>
      <c r="Q805" s="134"/>
      <c r="R805" s="134"/>
      <c r="S805" s="134"/>
      <c r="T805" s="134"/>
      <c r="U805" s="134"/>
      <c r="V805" s="134"/>
      <c r="W805" s="134"/>
      <c r="X805" s="134"/>
      <c r="Y805" s="134"/>
      <c r="Z805" s="134"/>
      <c r="AA805" s="134"/>
    </row>
    <row r="806" ht="15.75" customHeight="1">
      <c r="A806" s="149"/>
      <c r="B806" s="149"/>
      <c r="C806" s="149"/>
      <c r="D806" s="149"/>
      <c r="E806" s="149"/>
      <c r="F806" s="149"/>
      <c r="G806" s="149"/>
      <c r="H806" s="135" t="str">
        <f>IFERROR(VLOOKUP(G806,'Conformance Score'!A:B, 2, 0), "")</f>
        <v/>
      </c>
      <c r="I806" s="150"/>
      <c r="J806" s="150"/>
      <c r="K806" s="134"/>
      <c r="L806" s="134"/>
      <c r="M806" s="134"/>
      <c r="N806" s="134"/>
      <c r="O806" s="134"/>
      <c r="P806" s="134"/>
      <c r="Q806" s="134"/>
      <c r="R806" s="134"/>
      <c r="S806" s="134"/>
      <c r="T806" s="134"/>
      <c r="U806" s="134"/>
      <c r="V806" s="134"/>
      <c r="W806" s="134"/>
      <c r="X806" s="134"/>
      <c r="Y806" s="134"/>
      <c r="Z806" s="134"/>
      <c r="AA806" s="134"/>
    </row>
    <row r="807" ht="15.75" customHeight="1">
      <c r="A807" s="149"/>
      <c r="B807" s="149"/>
      <c r="C807" s="149"/>
      <c r="D807" s="149"/>
      <c r="E807" s="149"/>
      <c r="F807" s="149"/>
      <c r="G807" s="149"/>
      <c r="H807" s="135" t="str">
        <f>IFERROR(VLOOKUP(G807,'Conformance Score'!A:B, 2, 0), "")</f>
        <v/>
      </c>
      <c r="I807" s="150"/>
      <c r="J807" s="150"/>
      <c r="K807" s="134"/>
      <c r="L807" s="134"/>
      <c r="M807" s="134"/>
      <c r="N807" s="134"/>
      <c r="O807" s="134"/>
      <c r="P807" s="134"/>
      <c r="Q807" s="134"/>
      <c r="R807" s="134"/>
      <c r="S807" s="134"/>
      <c r="T807" s="134"/>
      <c r="U807" s="134"/>
      <c r="V807" s="134"/>
      <c r="W807" s="134"/>
      <c r="X807" s="134"/>
      <c r="Y807" s="134"/>
      <c r="Z807" s="134"/>
      <c r="AA807" s="134"/>
    </row>
    <row r="808" ht="15.75" customHeight="1">
      <c r="A808" s="149"/>
      <c r="B808" s="149"/>
      <c r="C808" s="149"/>
      <c r="D808" s="149"/>
      <c r="E808" s="149"/>
      <c r="F808" s="149"/>
      <c r="G808" s="149"/>
      <c r="H808" s="135" t="str">
        <f>IFERROR(VLOOKUP(G808,'Conformance Score'!A:B, 2, 0), "")</f>
        <v/>
      </c>
      <c r="I808" s="150"/>
      <c r="J808" s="150"/>
      <c r="K808" s="134"/>
      <c r="L808" s="134"/>
      <c r="M808" s="134"/>
      <c r="N808" s="134"/>
      <c r="O808" s="134"/>
      <c r="P808" s="134"/>
      <c r="Q808" s="134"/>
      <c r="R808" s="134"/>
      <c r="S808" s="134"/>
      <c r="T808" s="134"/>
      <c r="U808" s="134"/>
      <c r="V808" s="134"/>
      <c r="W808" s="134"/>
      <c r="X808" s="134"/>
      <c r="Y808" s="134"/>
      <c r="Z808" s="134"/>
      <c r="AA808" s="134"/>
    </row>
    <row r="809" ht="15.75" customHeight="1">
      <c r="A809" s="149"/>
      <c r="B809" s="149"/>
      <c r="C809" s="149"/>
      <c r="D809" s="149"/>
      <c r="E809" s="149"/>
      <c r="F809" s="149"/>
      <c r="G809" s="149"/>
      <c r="H809" s="135" t="str">
        <f>IFERROR(VLOOKUP(G809,'Conformance Score'!A:B, 2, 0), "")</f>
        <v/>
      </c>
      <c r="I809" s="150"/>
      <c r="J809" s="150"/>
      <c r="K809" s="134"/>
      <c r="L809" s="134"/>
      <c r="M809" s="134"/>
      <c r="N809" s="134"/>
      <c r="O809" s="134"/>
      <c r="P809" s="134"/>
      <c r="Q809" s="134"/>
      <c r="R809" s="134"/>
      <c r="S809" s="134"/>
      <c r="T809" s="134"/>
      <c r="U809" s="134"/>
      <c r="V809" s="134"/>
      <c r="W809" s="134"/>
      <c r="X809" s="134"/>
      <c r="Y809" s="134"/>
      <c r="Z809" s="134"/>
      <c r="AA809" s="134"/>
    </row>
    <row r="810" ht="15.75" customHeight="1">
      <c r="A810" s="149"/>
      <c r="B810" s="149"/>
      <c r="C810" s="149"/>
      <c r="D810" s="149"/>
      <c r="E810" s="149"/>
      <c r="F810" s="149"/>
      <c r="G810" s="149"/>
      <c r="H810" s="135" t="str">
        <f>IFERROR(VLOOKUP(G810,'Conformance Score'!A:B, 2, 0), "")</f>
        <v/>
      </c>
      <c r="I810" s="150"/>
      <c r="J810" s="150"/>
      <c r="K810" s="134"/>
      <c r="L810" s="134"/>
      <c r="M810" s="134"/>
      <c r="N810" s="134"/>
      <c r="O810" s="134"/>
      <c r="P810" s="134"/>
      <c r="Q810" s="134"/>
      <c r="R810" s="134"/>
      <c r="S810" s="134"/>
      <c r="T810" s="134"/>
      <c r="U810" s="134"/>
      <c r="V810" s="134"/>
      <c r="W810" s="134"/>
      <c r="X810" s="134"/>
      <c r="Y810" s="134"/>
      <c r="Z810" s="134"/>
      <c r="AA810" s="134"/>
    </row>
    <row r="811" ht="15.75" customHeight="1">
      <c r="A811" s="149"/>
      <c r="B811" s="149"/>
      <c r="C811" s="149"/>
      <c r="D811" s="149"/>
      <c r="E811" s="149"/>
      <c r="F811" s="149"/>
      <c r="G811" s="149"/>
      <c r="H811" s="135" t="str">
        <f>IFERROR(VLOOKUP(G811,'Conformance Score'!A:B, 2, 0), "")</f>
        <v/>
      </c>
      <c r="I811" s="150"/>
      <c r="J811" s="150"/>
      <c r="K811" s="134"/>
      <c r="L811" s="134"/>
      <c r="M811" s="134"/>
      <c r="N811" s="134"/>
      <c r="O811" s="134"/>
      <c r="P811" s="134"/>
      <c r="Q811" s="134"/>
      <c r="R811" s="134"/>
      <c r="S811" s="134"/>
      <c r="T811" s="134"/>
      <c r="U811" s="134"/>
      <c r="V811" s="134"/>
      <c r="W811" s="134"/>
      <c r="X811" s="134"/>
      <c r="Y811" s="134"/>
      <c r="Z811" s="134"/>
      <c r="AA811" s="134"/>
    </row>
    <row r="812" ht="15.75" customHeight="1">
      <c r="A812" s="149"/>
      <c r="B812" s="149"/>
      <c r="C812" s="149"/>
      <c r="D812" s="149"/>
      <c r="E812" s="149"/>
      <c r="F812" s="149"/>
      <c r="G812" s="149"/>
      <c r="H812" s="135" t="str">
        <f>IFERROR(VLOOKUP(G812,'Conformance Score'!A:B, 2, 0), "")</f>
        <v/>
      </c>
      <c r="I812" s="150"/>
      <c r="J812" s="150"/>
      <c r="K812" s="134"/>
      <c r="L812" s="134"/>
      <c r="M812" s="134"/>
      <c r="N812" s="134"/>
      <c r="O812" s="134"/>
      <c r="P812" s="134"/>
      <c r="Q812" s="134"/>
      <c r="R812" s="134"/>
      <c r="S812" s="134"/>
      <c r="T812" s="134"/>
      <c r="U812" s="134"/>
      <c r="V812" s="134"/>
      <c r="W812" s="134"/>
      <c r="X812" s="134"/>
      <c r="Y812" s="134"/>
      <c r="Z812" s="134"/>
      <c r="AA812" s="134"/>
    </row>
    <row r="813" ht="15.75" customHeight="1">
      <c r="A813" s="149"/>
      <c r="B813" s="149"/>
      <c r="C813" s="149"/>
      <c r="D813" s="149"/>
      <c r="E813" s="149"/>
      <c r="F813" s="149"/>
      <c r="G813" s="149"/>
      <c r="H813" s="135" t="str">
        <f>IFERROR(VLOOKUP(G813,'Conformance Score'!A:B, 2, 0), "")</f>
        <v/>
      </c>
      <c r="I813" s="150"/>
      <c r="J813" s="150"/>
      <c r="K813" s="134"/>
      <c r="L813" s="134"/>
      <c r="M813" s="134"/>
      <c r="N813" s="134"/>
      <c r="O813" s="134"/>
      <c r="P813" s="134"/>
      <c r="Q813" s="134"/>
      <c r="R813" s="134"/>
      <c r="S813" s="134"/>
      <c r="T813" s="134"/>
      <c r="U813" s="134"/>
      <c r="V813" s="134"/>
      <c r="W813" s="134"/>
      <c r="X813" s="134"/>
      <c r="Y813" s="134"/>
      <c r="Z813" s="134"/>
      <c r="AA813" s="134"/>
    </row>
    <row r="814" ht="15.75" customHeight="1">
      <c r="A814" s="149"/>
      <c r="B814" s="149"/>
      <c r="C814" s="149"/>
      <c r="D814" s="149"/>
      <c r="E814" s="149"/>
      <c r="F814" s="149"/>
      <c r="G814" s="149"/>
      <c r="H814" s="135" t="str">
        <f>IFERROR(VLOOKUP(G814,'Conformance Score'!A:B, 2, 0), "")</f>
        <v/>
      </c>
      <c r="I814" s="150"/>
      <c r="J814" s="150"/>
      <c r="K814" s="134"/>
      <c r="L814" s="134"/>
      <c r="M814" s="134"/>
      <c r="N814" s="134"/>
      <c r="O814" s="134"/>
      <c r="P814" s="134"/>
      <c r="Q814" s="134"/>
      <c r="R814" s="134"/>
      <c r="S814" s="134"/>
      <c r="T814" s="134"/>
      <c r="U814" s="134"/>
      <c r="V814" s="134"/>
      <c r="W814" s="134"/>
      <c r="X814" s="134"/>
      <c r="Y814" s="134"/>
      <c r="Z814" s="134"/>
      <c r="AA814" s="134"/>
    </row>
    <row r="815" ht="15.75" customHeight="1">
      <c r="A815" s="149"/>
      <c r="B815" s="149"/>
      <c r="C815" s="149"/>
      <c r="D815" s="149"/>
      <c r="E815" s="149"/>
      <c r="F815" s="149"/>
      <c r="G815" s="149"/>
      <c r="H815" s="135" t="str">
        <f>IFERROR(VLOOKUP(G815,'Conformance Score'!A:B, 2, 0), "")</f>
        <v/>
      </c>
      <c r="I815" s="150"/>
      <c r="J815" s="150"/>
      <c r="K815" s="134"/>
      <c r="L815" s="134"/>
      <c r="M815" s="134"/>
      <c r="N815" s="134"/>
      <c r="O815" s="134"/>
      <c r="P815" s="134"/>
      <c r="Q815" s="134"/>
      <c r="R815" s="134"/>
      <c r="S815" s="134"/>
      <c r="T815" s="134"/>
      <c r="U815" s="134"/>
      <c r="V815" s="134"/>
      <c r="W815" s="134"/>
      <c r="X815" s="134"/>
      <c r="Y815" s="134"/>
      <c r="Z815" s="134"/>
      <c r="AA815" s="134"/>
    </row>
    <row r="816" ht="15.75" customHeight="1">
      <c r="A816" s="149"/>
      <c r="B816" s="149"/>
      <c r="C816" s="149"/>
      <c r="D816" s="149"/>
      <c r="E816" s="149"/>
      <c r="F816" s="149"/>
      <c r="G816" s="149"/>
      <c r="H816" s="135" t="str">
        <f>IFERROR(VLOOKUP(G816,'Conformance Score'!A:B, 2, 0), "")</f>
        <v/>
      </c>
      <c r="I816" s="150"/>
      <c r="J816" s="150"/>
      <c r="K816" s="134"/>
      <c r="L816" s="134"/>
      <c r="M816" s="134"/>
      <c r="N816" s="134"/>
      <c r="O816" s="134"/>
      <c r="P816" s="134"/>
      <c r="Q816" s="134"/>
      <c r="R816" s="134"/>
      <c r="S816" s="134"/>
      <c r="T816" s="134"/>
      <c r="U816" s="134"/>
      <c r="V816" s="134"/>
      <c r="W816" s="134"/>
      <c r="X816" s="134"/>
      <c r="Y816" s="134"/>
      <c r="Z816" s="134"/>
      <c r="AA816" s="134"/>
    </row>
    <row r="817" ht="15.75" customHeight="1">
      <c r="A817" s="149"/>
      <c r="B817" s="149"/>
      <c r="C817" s="149"/>
      <c r="D817" s="149"/>
      <c r="E817" s="149"/>
      <c r="F817" s="149"/>
      <c r="G817" s="149"/>
      <c r="H817" s="135" t="str">
        <f>IFERROR(VLOOKUP(G817,'Conformance Score'!A:B, 2, 0), "")</f>
        <v/>
      </c>
      <c r="I817" s="150"/>
      <c r="J817" s="150"/>
      <c r="K817" s="134"/>
      <c r="L817" s="134"/>
      <c r="M817" s="134"/>
      <c r="N817" s="134"/>
      <c r="O817" s="134"/>
      <c r="P817" s="134"/>
      <c r="Q817" s="134"/>
      <c r="R817" s="134"/>
      <c r="S817" s="134"/>
      <c r="T817" s="134"/>
      <c r="U817" s="134"/>
      <c r="V817" s="134"/>
      <c r="W817" s="134"/>
      <c r="X817" s="134"/>
      <c r="Y817" s="134"/>
      <c r="Z817" s="134"/>
      <c r="AA817" s="134"/>
    </row>
    <row r="818" ht="15.75" customHeight="1">
      <c r="A818" s="149"/>
      <c r="B818" s="149"/>
      <c r="C818" s="149"/>
      <c r="D818" s="149"/>
      <c r="E818" s="149"/>
      <c r="F818" s="149"/>
      <c r="G818" s="149"/>
      <c r="H818" s="135" t="str">
        <f>IFERROR(VLOOKUP(G818,'Conformance Score'!A:B, 2, 0), "")</f>
        <v/>
      </c>
      <c r="I818" s="150"/>
      <c r="J818" s="150"/>
      <c r="K818" s="134"/>
      <c r="L818" s="134"/>
      <c r="M818" s="134"/>
      <c r="N818" s="134"/>
      <c r="O818" s="134"/>
      <c r="P818" s="134"/>
      <c r="Q818" s="134"/>
      <c r="R818" s="134"/>
      <c r="S818" s="134"/>
      <c r="T818" s="134"/>
      <c r="U818" s="134"/>
      <c r="V818" s="134"/>
      <c r="W818" s="134"/>
      <c r="X818" s="134"/>
      <c r="Y818" s="134"/>
      <c r="Z818" s="134"/>
      <c r="AA818" s="134"/>
    </row>
    <row r="819" ht="15.75" customHeight="1">
      <c r="A819" s="149"/>
      <c r="B819" s="149"/>
      <c r="C819" s="149"/>
      <c r="D819" s="149"/>
      <c r="E819" s="149"/>
      <c r="F819" s="149"/>
      <c r="G819" s="149"/>
      <c r="H819" s="135" t="str">
        <f>IFERROR(VLOOKUP(G819,'Conformance Score'!A:B, 2, 0), "")</f>
        <v/>
      </c>
      <c r="I819" s="150"/>
      <c r="J819" s="150"/>
      <c r="K819" s="134"/>
      <c r="L819" s="134"/>
      <c r="M819" s="134"/>
      <c r="N819" s="134"/>
      <c r="O819" s="134"/>
      <c r="P819" s="134"/>
      <c r="Q819" s="134"/>
      <c r="R819" s="134"/>
      <c r="S819" s="134"/>
      <c r="T819" s="134"/>
      <c r="U819" s="134"/>
      <c r="V819" s="134"/>
      <c r="W819" s="134"/>
      <c r="X819" s="134"/>
      <c r="Y819" s="134"/>
      <c r="Z819" s="134"/>
      <c r="AA819" s="134"/>
    </row>
    <row r="820" ht="15.75" customHeight="1">
      <c r="A820" s="149"/>
      <c r="B820" s="149"/>
      <c r="C820" s="149"/>
      <c r="D820" s="149"/>
      <c r="E820" s="149"/>
      <c r="F820" s="149"/>
      <c r="G820" s="149"/>
      <c r="H820" s="135" t="str">
        <f>IFERROR(VLOOKUP(G820,'Conformance Score'!A:B, 2, 0), "")</f>
        <v/>
      </c>
      <c r="I820" s="150"/>
      <c r="J820" s="150"/>
      <c r="K820" s="134"/>
      <c r="L820" s="134"/>
      <c r="M820" s="134"/>
      <c r="N820" s="134"/>
      <c r="O820" s="134"/>
      <c r="P820" s="134"/>
      <c r="Q820" s="134"/>
      <c r="R820" s="134"/>
      <c r="S820" s="134"/>
      <c r="T820" s="134"/>
      <c r="U820" s="134"/>
      <c r="V820" s="134"/>
      <c r="W820" s="134"/>
      <c r="X820" s="134"/>
      <c r="Y820" s="134"/>
      <c r="Z820" s="134"/>
      <c r="AA820" s="134"/>
    </row>
    <row r="821" ht="15.75" customHeight="1">
      <c r="A821" s="149"/>
      <c r="B821" s="149"/>
      <c r="C821" s="149"/>
      <c r="D821" s="149"/>
      <c r="E821" s="149"/>
      <c r="F821" s="149"/>
      <c r="G821" s="149"/>
      <c r="H821" s="135" t="str">
        <f>IFERROR(VLOOKUP(G821,'Conformance Score'!A:B, 2, 0), "")</f>
        <v/>
      </c>
      <c r="I821" s="150"/>
      <c r="J821" s="150"/>
      <c r="K821" s="134"/>
      <c r="L821" s="134"/>
      <c r="M821" s="134"/>
      <c r="N821" s="134"/>
      <c r="O821" s="134"/>
      <c r="P821" s="134"/>
      <c r="Q821" s="134"/>
      <c r="R821" s="134"/>
      <c r="S821" s="134"/>
      <c r="T821" s="134"/>
      <c r="U821" s="134"/>
      <c r="V821" s="134"/>
      <c r="W821" s="134"/>
      <c r="X821" s="134"/>
      <c r="Y821" s="134"/>
      <c r="Z821" s="134"/>
      <c r="AA821" s="134"/>
    </row>
    <row r="822" ht="15.75" customHeight="1">
      <c r="A822" s="149"/>
      <c r="B822" s="149"/>
      <c r="C822" s="149"/>
      <c r="D822" s="149"/>
      <c r="E822" s="149"/>
      <c r="F822" s="149"/>
      <c r="G822" s="149"/>
      <c r="H822" s="135" t="str">
        <f>IFERROR(VLOOKUP(G822,'Conformance Score'!A:B, 2, 0), "")</f>
        <v/>
      </c>
      <c r="I822" s="150"/>
      <c r="J822" s="150"/>
      <c r="K822" s="134"/>
      <c r="L822" s="134"/>
      <c r="M822" s="134"/>
      <c r="N822" s="134"/>
      <c r="O822" s="134"/>
      <c r="P822" s="134"/>
      <c r="Q822" s="134"/>
      <c r="R822" s="134"/>
      <c r="S822" s="134"/>
      <c r="T822" s="134"/>
      <c r="U822" s="134"/>
      <c r="V822" s="134"/>
      <c r="W822" s="134"/>
      <c r="X822" s="134"/>
      <c r="Y822" s="134"/>
      <c r="Z822" s="134"/>
      <c r="AA822" s="134"/>
    </row>
    <row r="823" ht="15.75" customHeight="1">
      <c r="A823" s="149"/>
      <c r="B823" s="149"/>
      <c r="C823" s="149"/>
      <c r="D823" s="149"/>
      <c r="E823" s="149"/>
      <c r="F823" s="149"/>
      <c r="G823" s="149"/>
      <c r="H823" s="135" t="str">
        <f>IFERROR(VLOOKUP(G823,'Conformance Score'!A:B, 2, 0), "")</f>
        <v/>
      </c>
      <c r="I823" s="150"/>
      <c r="J823" s="150"/>
      <c r="K823" s="134"/>
      <c r="L823" s="134"/>
      <c r="M823" s="134"/>
      <c r="N823" s="134"/>
      <c r="O823" s="134"/>
      <c r="P823" s="134"/>
      <c r="Q823" s="134"/>
      <c r="R823" s="134"/>
      <c r="S823" s="134"/>
      <c r="T823" s="134"/>
      <c r="U823" s="134"/>
      <c r="V823" s="134"/>
      <c r="W823" s="134"/>
      <c r="X823" s="134"/>
      <c r="Y823" s="134"/>
      <c r="Z823" s="134"/>
      <c r="AA823" s="134"/>
    </row>
    <row r="824" ht="15.75" customHeight="1">
      <c r="A824" s="149"/>
      <c r="B824" s="149"/>
      <c r="C824" s="149"/>
      <c r="D824" s="149"/>
      <c r="E824" s="149"/>
      <c r="F824" s="149"/>
      <c r="G824" s="149"/>
      <c r="H824" s="135" t="str">
        <f>IFERROR(VLOOKUP(G824,'Conformance Score'!A:B, 2, 0), "")</f>
        <v/>
      </c>
      <c r="I824" s="150"/>
      <c r="J824" s="150"/>
      <c r="K824" s="134"/>
      <c r="L824" s="134"/>
      <c r="M824" s="134"/>
      <c r="N824" s="134"/>
      <c r="O824" s="134"/>
      <c r="P824" s="134"/>
      <c r="Q824" s="134"/>
      <c r="R824" s="134"/>
      <c r="S824" s="134"/>
      <c r="T824" s="134"/>
      <c r="U824" s="134"/>
      <c r="V824" s="134"/>
      <c r="W824" s="134"/>
      <c r="X824" s="134"/>
      <c r="Y824" s="134"/>
      <c r="Z824" s="134"/>
      <c r="AA824" s="134"/>
    </row>
    <row r="825" ht="15.75" customHeight="1">
      <c r="A825" s="149"/>
      <c r="B825" s="149"/>
      <c r="C825" s="149"/>
      <c r="D825" s="149"/>
      <c r="E825" s="149"/>
      <c r="F825" s="149"/>
      <c r="G825" s="149"/>
      <c r="H825" s="135" t="str">
        <f>IFERROR(VLOOKUP(G825,'Conformance Score'!A:B, 2, 0), "")</f>
        <v/>
      </c>
      <c r="I825" s="150"/>
      <c r="J825" s="150"/>
      <c r="K825" s="134"/>
      <c r="L825" s="134"/>
      <c r="M825" s="134"/>
      <c r="N825" s="134"/>
      <c r="O825" s="134"/>
      <c r="P825" s="134"/>
      <c r="Q825" s="134"/>
      <c r="R825" s="134"/>
      <c r="S825" s="134"/>
      <c r="T825" s="134"/>
      <c r="U825" s="134"/>
      <c r="V825" s="134"/>
      <c r="W825" s="134"/>
      <c r="X825" s="134"/>
      <c r="Y825" s="134"/>
      <c r="Z825" s="134"/>
      <c r="AA825" s="134"/>
    </row>
    <row r="826" ht="15.75" customHeight="1">
      <c r="A826" s="149"/>
      <c r="B826" s="149"/>
      <c r="C826" s="149"/>
      <c r="D826" s="149"/>
      <c r="E826" s="149"/>
      <c r="F826" s="149"/>
      <c r="G826" s="149"/>
      <c r="H826" s="135" t="str">
        <f>IFERROR(VLOOKUP(G826,'Conformance Score'!A:B, 2, 0), "")</f>
        <v/>
      </c>
      <c r="I826" s="150"/>
      <c r="J826" s="150"/>
      <c r="K826" s="134"/>
      <c r="L826" s="134"/>
      <c r="M826" s="134"/>
      <c r="N826" s="134"/>
      <c r="O826" s="134"/>
      <c r="P826" s="134"/>
      <c r="Q826" s="134"/>
      <c r="R826" s="134"/>
      <c r="S826" s="134"/>
      <c r="T826" s="134"/>
      <c r="U826" s="134"/>
      <c r="V826" s="134"/>
      <c r="W826" s="134"/>
      <c r="X826" s="134"/>
      <c r="Y826" s="134"/>
      <c r="Z826" s="134"/>
      <c r="AA826" s="134"/>
    </row>
    <row r="827" ht="15.75" customHeight="1">
      <c r="A827" s="149"/>
      <c r="B827" s="149"/>
      <c r="C827" s="149"/>
      <c r="D827" s="149"/>
      <c r="E827" s="149"/>
      <c r="F827" s="149"/>
      <c r="G827" s="149"/>
      <c r="H827" s="135" t="str">
        <f>IFERROR(VLOOKUP(G827,'Conformance Score'!A:B, 2, 0), "")</f>
        <v/>
      </c>
      <c r="I827" s="150"/>
      <c r="J827" s="150"/>
      <c r="K827" s="134"/>
      <c r="L827" s="134"/>
      <c r="M827" s="134"/>
      <c r="N827" s="134"/>
      <c r="O827" s="134"/>
      <c r="P827" s="134"/>
      <c r="Q827" s="134"/>
      <c r="R827" s="134"/>
      <c r="S827" s="134"/>
      <c r="T827" s="134"/>
      <c r="U827" s="134"/>
      <c r="V827" s="134"/>
      <c r="W827" s="134"/>
      <c r="X827" s="134"/>
      <c r="Y827" s="134"/>
      <c r="Z827" s="134"/>
      <c r="AA827" s="134"/>
    </row>
    <row r="828" ht="15.75" customHeight="1">
      <c r="A828" s="149"/>
      <c r="B828" s="149"/>
      <c r="C828" s="149"/>
      <c r="D828" s="149"/>
      <c r="E828" s="149"/>
      <c r="F828" s="149"/>
      <c r="G828" s="149"/>
      <c r="H828" s="135" t="str">
        <f>IFERROR(VLOOKUP(G828,'Conformance Score'!A:B, 2, 0), "")</f>
        <v/>
      </c>
      <c r="I828" s="150"/>
      <c r="J828" s="150"/>
      <c r="K828" s="134"/>
      <c r="L828" s="134"/>
      <c r="M828" s="134"/>
      <c r="N828" s="134"/>
      <c r="O828" s="134"/>
      <c r="P828" s="134"/>
      <c r="Q828" s="134"/>
      <c r="R828" s="134"/>
      <c r="S828" s="134"/>
      <c r="T828" s="134"/>
      <c r="U828" s="134"/>
      <c r="V828" s="134"/>
      <c r="W828" s="134"/>
      <c r="X828" s="134"/>
      <c r="Y828" s="134"/>
      <c r="Z828" s="134"/>
      <c r="AA828" s="134"/>
    </row>
    <row r="829" ht="15.75" customHeight="1">
      <c r="A829" s="149"/>
      <c r="B829" s="149"/>
      <c r="C829" s="149"/>
      <c r="D829" s="149"/>
      <c r="E829" s="149"/>
      <c r="F829" s="149"/>
      <c r="G829" s="149"/>
      <c r="H829" s="135" t="str">
        <f>IFERROR(VLOOKUP(G829,'Conformance Score'!A:B, 2, 0), "")</f>
        <v/>
      </c>
      <c r="I829" s="150"/>
      <c r="J829" s="150"/>
      <c r="K829" s="134"/>
      <c r="L829" s="134"/>
      <c r="M829" s="134"/>
      <c r="N829" s="134"/>
      <c r="O829" s="134"/>
      <c r="P829" s="134"/>
      <c r="Q829" s="134"/>
      <c r="R829" s="134"/>
      <c r="S829" s="134"/>
      <c r="T829" s="134"/>
      <c r="U829" s="134"/>
      <c r="V829" s="134"/>
      <c r="W829" s="134"/>
      <c r="X829" s="134"/>
      <c r="Y829" s="134"/>
      <c r="Z829" s="134"/>
      <c r="AA829" s="134"/>
    </row>
    <row r="830" ht="15.75" customHeight="1">
      <c r="A830" s="149"/>
      <c r="B830" s="149"/>
      <c r="C830" s="149"/>
      <c r="D830" s="149"/>
      <c r="E830" s="149"/>
      <c r="F830" s="149"/>
      <c r="G830" s="149"/>
      <c r="H830" s="135" t="str">
        <f>IFERROR(VLOOKUP(G830,'Conformance Score'!A:B, 2, 0), "")</f>
        <v/>
      </c>
      <c r="I830" s="150"/>
      <c r="J830" s="150"/>
      <c r="K830" s="134"/>
      <c r="L830" s="134"/>
      <c r="M830" s="134"/>
      <c r="N830" s="134"/>
      <c r="O830" s="134"/>
      <c r="P830" s="134"/>
      <c r="Q830" s="134"/>
      <c r="R830" s="134"/>
      <c r="S830" s="134"/>
      <c r="T830" s="134"/>
      <c r="U830" s="134"/>
      <c r="V830" s="134"/>
      <c r="W830" s="134"/>
      <c r="X830" s="134"/>
      <c r="Y830" s="134"/>
      <c r="Z830" s="134"/>
      <c r="AA830" s="134"/>
    </row>
    <row r="831" ht="15.75" customHeight="1">
      <c r="A831" s="149"/>
      <c r="B831" s="149"/>
      <c r="C831" s="149"/>
      <c r="D831" s="149"/>
      <c r="E831" s="149"/>
      <c r="F831" s="149"/>
      <c r="G831" s="149"/>
      <c r="H831" s="135" t="str">
        <f>IFERROR(VLOOKUP(G831,'Conformance Score'!A:B, 2, 0), "")</f>
        <v/>
      </c>
      <c r="I831" s="150"/>
      <c r="J831" s="150"/>
      <c r="K831" s="134"/>
      <c r="L831" s="134"/>
      <c r="M831" s="134"/>
      <c r="N831" s="134"/>
      <c r="O831" s="134"/>
      <c r="P831" s="134"/>
      <c r="Q831" s="134"/>
      <c r="R831" s="134"/>
      <c r="S831" s="134"/>
      <c r="T831" s="134"/>
      <c r="U831" s="134"/>
      <c r="V831" s="134"/>
      <c r="W831" s="134"/>
      <c r="X831" s="134"/>
      <c r="Y831" s="134"/>
      <c r="Z831" s="134"/>
      <c r="AA831" s="134"/>
    </row>
    <row r="832" ht="15.75" customHeight="1">
      <c r="A832" s="149"/>
      <c r="B832" s="149"/>
      <c r="C832" s="149"/>
      <c r="D832" s="149"/>
      <c r="E832" s="149"/>
      <c r="F832" s="149"/>
      <c r="G832" s="149"/>
      <c r="H832" s="135" t="str">
        <f>IFERROR(VLOOKUP(G832,'Conformance Score'!A:B, 2, 0), "")</f>
        <v/>
      </c>
      <c r="I832" s="150"/>
      <c r="J832" s="150"/>
      <c r="K832" s="134"/>
      <c r="L832" s="134"/>
      <c r="M832" s="134"/>
      <c r="N832" s="134"/>
      <c r="O832" s="134"/>
      <c r="P832" s="134"/>
      <c r="Q832" s="134"/>
      <c r="R832" s="134"/>
      <c r="S832" s="134"/>
      <c r="T832" s="134"/>
      <c r="U832" s="134"/>
      <c r="V832" s="134"/>
      <c r="W832" s="134"/>
      <c r="X832" s="134"/>
      <c r="Y832" s="134"/>
      <c r="Z832" s="134"/>
      <c r="AA832" s="134"/>
    </row>
    <row r="833" ht="15.75" customHeight="1">
      <c r="A833" s="149"/>
      <c r="B833" s="149"/>
      <c r="C833" s="149"/>
      <c r="D833" s="149"/>
      <c r="E833" s="149"/>
      <c r="F833" s="149"/>
      <c r="G833" s="149"/>
      <c r="H833" s="135" t="str">
        <f>IFERROR(VLOOKUP(G833,'Conformance Score'!A:B, 2, 0), "")</f>
        <v/>
      </c>
      <c r="I833" s="150"/>
      <c r="J833" s="150"/>
      <c r="K833" s="134"/>
      <c r="L833" s="134"/>
      <c r="M833" s="134"/>
      <c r="N833" s="134"/>
      <c r="O833" s="134"/>
      <c r="P833" s="134"/>
      <c r="Q833" s="134"/>
      <c r="R833" s="134"/>
      <c r="S833" s="134"/>
      <c r="T833" s="134"/>
      <c r="U833" s="134"/>
      <c r="V833" s="134"/>
      <c r="W833" s="134"/>
      <c r="X833" s="134"/>
      <c r="Y833" s="134"/>
      <c r="Z833" s="134"/>
      <c r="AA833" s="134"/>
    </row>
    <row r="834" ht="15.75" customHeight="1">
      <c r="A834" s="149"/>
      <c r="B834" s="149"/>
      <c r="C834" s="149"/>
      <c r="D834" s="149"/>
      <c r="E834" s="149"/>
      <c r="F834" s="149"/>
      <c r="G834" s="149"/>
      <c r="H834" s="135" t="str">
        <f>IFERROR(VLOOKUP(G834,'Conformance Score'!A:B, 2, 0), "")</f>
        <v/>
      </c>
      <c r="I834" s="150"/>
      <c r="J834" s="150"/>
      <c r="K834" s="134"/>
      <c r="L834" s="134"/>
      <c r="M834" s="134"/>
      <c r="N834" s="134"/>
      <c r="O834" s="134"/>
      <c r="P834" s="134"/>
      <c r="Q834" s="134"/>
      <c r="R834" s="134"/>
      <c r="S834" s="134"/>
      <c r="T834" s="134"/>
      <c r="U834" s="134"/>
      <c r="V834" s="134"/>
      <c r="W834" s="134"/>
      <c r="X834" s="134"/>
      <c r="Y834" s="134"/>
      <c r="Z834" s="134"/>
      <c r="AA834" s="134"/>
    </row>
    <row r="835" ht="15.75" customHeight="1">
      <c r="A835" s="149"/>
      <c r="B835" s="149"/>
      <c r="C835" s="149"/>
      <c r="D835" s="149"/>
      <c r="E835" s="149"/>
      <c r="F835" s="149"/>
      <c r="G835" s="149"/>
      <c r="H835" s="135" t="str">
        <f>IFERROR(VLOOKUP(G835,'Conformance Score'!A:B, 2, 0), "")</f>
        <v/>
      </c>
      <c r="I835" s="150"/>
      <c r="J835" s="150"/>
      <c r="K835" s="134"/>
      <c r="L835" s="134"/>
      <c r="M835" s="134"/>
      <c r="N835" s="134"/>
      <c r="O835" s="134"/>
      <c r="P835" s="134"/>
      <c r="Q835" s="134"/>
      <c r="R835" s="134"/>
      <c r="S835" s="134"/>
      <c r="T835" s="134"/>
      <c r="U835" s="134"/>
      <c r="V835" s="134"/>
      <c r="W835" s="134"/>
      <c r="X835" s="134"/>
      <c r="Y835" s="134"/>
      <c r="Z835" s="134"/>
      <c r="AA835" s="134"/>
    </row>
    <row r="836" ht="15.75" customHeight="1">
      <c r="A836" s="149"/>
      <c r="B836" s="149"/>
      <c r="C836" s="149"/>
      <c r="D836" s="149"/>
      <c r="E836" s="149"/>
      <c r="F836" s="149"/>
      <c r="G836" s="149"/>
      <c r="H836" s="135" t="str">
        <f>IFERROR(VLOOKUP(G836,'Conformance Score'!A:B, 2, 0), "")</f>
        <v/>
      </c>
      <c r="I836" s="150"/>
      <c r="J836" s="150"/>
      <c r="K836" s="134"/>
      <c r="L836" s="134"/>
      <c r="M836" s="134"/>
      <c r="N836" s="134"/>
      <c r="O836" s="134"/>
      <c r="P836" s="134"/>
      <c r="Q836" s="134"/>
      <c r="R836" s="134"/>
      <c r="S836" s="134"/>
      <c r="T836" s="134"/>
      <c r="U836" s="134"/>
      <c r="V836" s="134"/>
      <c r="W836" s="134"/>
      <c r="X836" s="134"/>
      <c r="Y836" s="134"/>
      <c r="Z836" s="134"/>
      <c r="AA836" s="134"/>
    </row>
    <row r="837" ht="15.75" customHeight="1">
      <c r="A837" s="149"/>
      <c r="B837" s="149"/>
      <c r="C837" s="149"/>
      <c r="D837" s="149"/>
      <c r="E837" s="149"/>
      <c r="F837" s="149"/>
      <c r="G837" s="149"/>
      <c r="H837" s="135" t="str">
        <f>IFERROR(VLOOKUP(G837,'Conformance Score'!A:B, 2, 0), "")</f>
        <v/>
      </c>
      <c r="I837" s="150"/>
      <c r="J837" s="150"/>
      <c r="K837" s="134"/>
      <c r="L837" s="134"/>
      <c r="M837" s="134"/>
      <c r="N837" s="134"/>
      <c r="O837" s="134"/>
      <c r="P837" s="134"/>
      <c r="Q837" s="134"/>
      <c r="R837" s="134"/>
      <c r="S837" s="134"/>
      <c r="T837" s="134"/>
      <c r="U837" s="134"/>
      <c r="V837" s="134"/>
      <c r="W837" s="134"/>
      <c r="X837" s="134"/>
      <c r="Y837" s="134"/>
      <c r="Z837" s="134"/>
      <c r="AA837" s="134"/>
    </row>
    <row r="838" ht="15.75" customHeight="1">
      <c r="A838" s="149"/>
      <c r="B838" s="149"/>
      <c r="C838" s="149"/>
      <c r="D838" s="149"/>
      <c r="E838" s="149"/>
      <c r="F838" s="149"/>
      <c r="G838" s="149"/>
      <c r="H838" s="135" t="str">
        <f>IFERROR(VLOOKUP(G838,'Conformance Score'!A:B, 2, 0), "")</f>
        <v/>
      </c>
      <c r="I838" s="150"/>
      <c r="J838" s="150"/>
      <c r="K838" s="134"/>
      <c r="L838" s="134"/>
      <c r="M838" s="134"/>
      <c r="N838" s="134"/>
      <c r="O838" s="134"/>
      <c r="P838" s="134"/>
      <c r="Q838" s="134"/>
      <c r="R838" s="134"/>
      <c r="S838" s="134"/>
      <c r="T838" s="134"/>
      <c r="U838" s="134"/>
      <c r="V838" s="134"/>
      <c r="W838" s="134"/>
      <c r="X838" s="134"/>
      <c r="Y838" s="134"/>
      <c r="Z838" s="134"/>
      <c r="AA838" s="134"/>
    </row>
    <row r="839" ht="15.75" customHeight="1">
      <c r="A839" s="149"/>
      <c r="B839" s="149"/>
      <c r="C839" s="149"/>
      <c r="D839" s="149"/>
      <c r="E839" s="149"/>
      <c r="F839" s="149"/>
      <c r="G839" s="149"/>
      <c r="H839" s="135" t="str">
        <f>IFERROR(VLOOKUP(G839,'Conformance Score'!A:B, 2, 0), "")</f>
        <v/>
      </c>
      <c r="I839" s="150"/>
      <c r="J839" s="150"/>
      <c r="K839" s="134"/>
      <c r="L839" s="134"/>
      <c r="M839" s="134"/>
      <c r="N839" s="134"/>
      <c r="O839" s="134"/>
      <c r="P839" s="134"/>
      <c r="Q839" s="134"/>
      <c r="R839" s="134"/>
      <c r="S839" s="134"/>
      <c r="T839" s="134"/>
      <c r="U839" s="134"/>
      <c r="V839" s="134"/>
      <c r="W839" s="134"/>
      <c r="X839" s="134"/>
      <c r="Y839" s="134"/>
      <c r="Z839" s="134"/>
      <c r="AA839" s="134"/>
    </row>
    <row r="840" ht="15.75" customHeight="1">
      <c r="A840" s="149"/>
      <c r="B840" s="149"/>
      <c r="C840" s="149"/>
      <c r="D840" s="149"/>
      <c r="E840" s="149"/>
      <c r="F840" s="149"/>
      <c r="G840" s="149"/>
      <c r="H840" s="135" t="str">
        <f>IFERROR(VLOOKUP(G840,'Conformance Score'!A:B, 2, 0), "")</f>
        <v/>
      </c>
      <c r="I840" s="150"/>
      <c r="J840" s="150"/>
      <c r="K840" s="134"/>
      <c r="L840" s="134"/>
      <c r="M840" s="134"/>
      <c r="N840" s="134"/>
      <c r="O840" s="134"/>
      <c r="P840" s="134"/>
      <c r="Q840" s="134"/>
      <c r="R840" s="134"/>
      <c r="S840" s="134"/>
      <c r="T840" s="134"/>
      <c r="U840" s="134"/>
      <c r="V840" s="134"/>
      <c r="W840" s="134"/>
      <c r="X840" s="134"/>
      <c r="Y840" s="134"/>
      <c r="Z840" s="134"/>
      <c r="AA840" s="134"/>
    </row>
    <row r="841" ht="15.75" customHeight="1">
      <c r="A841" s="149"/>
      <c r="B841" s="149"/>
      <c r="C841" s="149"/>
      <c r="D841" s="149"/>
      <c r="E841" s="149"/>
      <c r="F841" s="149"/>
      <c r="G841" s="149"/>
      <c r="H841" s="135" t="str">
        <f>IFERROR(VLOOKUP(G841,'Conformance Score'!A:B, 2, 0), "")</f>
        <v/>
      </c>
      <c r="I841" s="150"/>
      <c r="J841" s="150"/>
      <c r="K841" s="134"/>
      <c r="L841" s="134"/>
      <c r="M841" s="134"/>
      <c r="N841" s="134"/>
      <c r="O841" s="134"/>
      <c r="P841" s="134"/>
      <c r="Q841" s="134"/>
      <c r="R841" s="134"/>
      <c r="S841" s="134"/>
      <c r="T841" s="134"/>
      <c r="U841" s="134"/>
      <c r="V841" s="134"/>
      <c r="W841" s="134"/>
      <c r="X841" s="134"/>
      <c r="Y841" s="134"/>
      <c r="Z841" s="134"/>
      <c r="AA841" s="134"/>
    </row>
    <row r="842" ht="15.75" customHeight="1">
      <c r="A842" s="149"/>
      <c r="B842" s="149"/>
      <c r="C842" s="149"/>
      <c r="D842" s="149"/>
      <c r="E842" s="149"/>
      <c r="F842" s="149"/>
      <c r="G842" s="149"/>
      <c r="H842" s="135" t="str">
        <f>IFERROR(VLOOKUP(G842,'Conformance Score'!A:B, 2, 0), "")</f>
        <v/>
      </c>
      <c r="I842" s="150"/>
      <c r="J842" s="150"/>
      <c r="K842" s="134"/>
      <c r="L842" s="134"/>
      <c r="M842" s="134"/>
      <c r="N842" s="134"/>
      <c r="O842" s="134"/>
      <c r="P842" s="134"/>
      <c r="Q842" s="134"/>
      <c r="R842" s="134"/>
      <c r="S842" s="134"/>
      <c r="T842" s="134"/>
      <c r="U842" s="134"/>
      <c r="V842" s="134"/>
      <c r="W842" s="134"/>
      <c r="X842" s="134"/>
      <c r="Y842" s="134"/>
      <c r="Z842" s="134"/>
      <c r="AA842" s="134"/>
    </row>
    <row r="843" ht="15.75" customHeight="1">
      <c r="A843" s="149"/>
      <c r="B843" s="149"/>
      <c r="C843" s="149"/>
      <c r="D843" s="149"/>
      <c r="E843" s="149"/>
      <c r="F843" s="149"/>
      <c r="G843" s="149"/>
      <c r="H843" s="135" t="str">
        <f>IFERROR(VLOOKUP(G843,'Conformance Score'!A:B, 2, 0), "")</f>
        <v/>
      </c>
      <c r="I843" s="150"/>
      <c r="J843" s="150"/>
      <c r="K843" s="134"/>
      <c r="L843" s="134"/>
      <c r="M843" s="134"/>
      <c r="N843" s="134"/>
      <c r="O843" s="134"/>
      <c r="P843" s="134"/>
      <c r="Q843" s="134"/>
      <c r="R843" s="134"/>
      <c r="S843" s="134"/>
      <c r="T843" s="134"/>
      <c r="U843" s="134"/>
      <c r="V843" s="134"/>
      <c r="W843" s="134"/>
      <c r="X843" s="134"/>
      <c r="Y843" s="134"/>
      <c r="Z843" s="134"/>
      <c r="AA843" s="134"/>
    </row>
    <row r="844" ht="15.75" customHeight="1">
      <c r="A844" s="149"/>
      <c r="B844" s="149"/>
      <c r="C844" s="149"/>
      <c r="D844" s="149"/>
      <c r="E844" s="149"/>
      <c r="F844" s="149"/>
      <c r="G844" s="149"/>
      <c r="H844" s="135" t="str">
        <f>IFERROR(VLOOKUP(G844,'Conformance Score'!A:B, 2, 0), "")</f>
        <v/>
      </c>
      <c r="I844" s="150"/>
      <c r="J844" s="150"/>
      <c r="K844" s="134"/>
      <c r="L844" s="134"/>
      <c r="M844" s="134"/>
      <c r="N844" s="134"/>
      <c r="O844" s="134"/>
      <c r="P844" s="134"/>
      <c r="Q844" s="134"/>
      <c r="R844" s="134"/>
      <c r="S844" s="134"/>
      <c r="T844" s="134"/>
      <c r="U844" s="134"/>
      <c r="V844" s="134"/>
      <c r="W844" s="134"/>
      <c r="X844" s="134"/>
      <c r="Y844" s="134"/>
      <c r="Z844" s="134"/>
      <c r="AA844" s="134"/>
    </row>
    <row r="845" ht="15.75" customHeight="1">
      <c r="A845" s="149"/>
      <c r="B845" s="149"/>
      <c r="C845" s="149"/>
      <c r="D845" s="149"/>
      <c r="E845" s="149"/>
      <c r="F845" s="149"/>
      <c r="G845" s="149"/>
      <c r="H845" s="135" t="str">
        <f>IFERROR(VLOOKUP(G845,'Conformance Score'!A:B, 2, 0), "")</f>
        <v/>
      </c>
      <c r="I845" s="150"/>
      <c r="J845" s="150"/>
      <c r="K845" s="134"/>
      <c r="L845" s="134"/>
      <c r="M845" s="134"/>
      <c r="N845" s="134"/>
      <c r="O845" s="134"/>
      <c r="P845" s="134"/>
      <c r="Q845" s="134"/>
      <c r="R845" s="134"/>
      <c r="S845" s="134"/>
      <c r="T845" s="134"/>
      <c r="U845" s="134"/>
      <c r="V845" s="134"/>
      <c r="W845" s="134"/>
      <c r="X845" s="134"/>
      <c r="Y845" s="134"/>
      <c r="Z845" s="134"/>
      <c r="AA845" s="134"/>
    </row>
    <row r="846" ht="15.75" customHeight="1">
      <c r="A846" s="149"/>
      <c r="B846" s="149"/>
      <c r="C846" s="149"/>
      <c r="D846" s="149"/>
      <c r="E846" s="149"/>
      <c r="F846" s="149"/>
      <c r="G846" s="149"/>
      <c r="H846" s="135" t="str">
        <f>IFERROR(VLOOKUP(G846,'Conformance Score'!A:B, 2, 0), "")</f>
        <v/>
      </c>
      <c r="I846" s="150"/>
      <c r="J846" s="150"/>
      <c r="K846" s="134"/>
      <c r="L846" s="134"/>
      <c r="M846" s="134"/>
      <c r="N846" s="134"/>
      <c r="O846" s="134"/>
      <c r="P846" s="134"/>
      <c r="Q846" s="134"/>
      <c r="R846" s="134"/>
      <c r="S846" s="134"/>
      <c r="T846" s="134"/>
      <c r="U846" s="134"/>
      <c r="V846" s="134"/>
      <c r="W846" s="134"/>
      <c r="X846" s="134"/>
      <c r="Y846" s="134"/>
      <c r="Z846" s="134"/>
      <c r="AA846" s="134"/>
    </row>
    <row r="847" ht="15.75" customHeight="1">
      <c r="A847" s="149"/>
      <c r="B847" s="149"/>
      <c r="C847" s="149"/>
      <c r="D847" s="149"/>
      <c r="E847" s="149"/>
      <c r="F847" s="149"/>
      <c r="G847" s="149"/>
      <c r="H847" s="135" t="str">
        <f>IFERROR(VLOOKUP(G847,'Conformance Score'!A:B, 2, 0), "")</f>
        <v/>
      </c>
      <c r="I847" s="150"/>
      <c r="J847" s="150"/>
      <c r="K847" s="134"/>
      <c r="L847" s="134"/>
      <c r="M847" s="134"/>
      <c r="N847" s="134"/>
      <c r="O847" s="134"/>
      <c r="P847" s="134"/>
      <c r="Q847" s="134"/>
      <c r="R847" s="134"/>
      <c r="S847" s="134"/>
      <c r="T847" s="134"/>
      <c r="U847" s="134"/>
      <c r="V847" s="134"/>
      <c r="W847" s="134"/>
      <c r="X847" s="134"/>
      <c r="Y847" s="134"/>
      <c r="Z847" s="134"/>
      <c r="AA847" s="134"/>
    </row>
    <row r="848" ht="15.75" customHeight="1">
      <c r="A848" s="149"/>
      <c r="B848" s="149"/>
      <c r="C848" s="149"/>
      <c r="D848" s="149"/>
      <c r="E848" s="149"/>
      <c r="F848" s="149"/>
      <c r="G848" s="149"/>
      <c r="H848" s="135" t="str">
        <f>IFERROR(VLOOKUP(G848,'Conformance Score'!A:B, 2, 0), "")</f>
        <v/>
      </c>
      <c r="I848" s="150"/>
      <c r="J848" s="150"/>
      <c r="K848" s="134"/>
      <c r="L848" s="134"/>
      <c r="M848" s="134"/>
      <c r="N848" s="134"/>
      <c r="O848" s="134"/>
      <c r="P848" s="134"/>
      <c r="Q848" s="134"/>
      <c r="R848" s="134"/>
      <c r="S848" s="134"/>
      <c r="T848" s="134"/>
      <c r="U848" s="134"/>
      <c r="V848" s="134"/>
      <c r="W848" s="134"/>
      <c r="X848" s="134"/>
      <c r="Y848" s="134"/>
      <c r="Z848" s="134"/>
      <c r="AA848" s="134"/>
    </row>
    <row r="849" ht="15.75" customHeight="1">
      <c r="A849" s="149"/>
      <c r="B849" s="149"/>
      <c r="C849" s="149"/>
      <c r="D849" s="149"/>
      <c r="E849" s="149"/>
      <c r="F849" s="149"/>
      <c r="G849" s="149"/>
      <c r="H849" s="135" t="str">
        <f>IFERROR(VLOOKUP(G849,'Conformance Score'!A:B, 2, 0), "")</f>
        <v/>
      </c>
      <c r="I849" s="150"/>
      <c r="J849" s="150"/>
      <c r="K849" s="134"/>
      <c r="L849" s="134"/>
      <c r="M849" s="134"/>
      <c r="N849" s="134"/>
      <c r="O849" s="134"/>
      <c r="P849" s="134"/>
      <c r="Q849" s="134"/>
      <c r="R849" s="134"/>
      <c r="S849" s="134"/>
      <c r="T849" s="134"/>
      <c r="U849" s="134"/>
      <c r="V849" s="134"/>
      <c r="W849" s="134"/>
      <c r="X849" s="134"/>
      <c r="Y849" s="134"/>
      <c r="Z849" s="134"/>
      <c r="AA849" s="134"/>
    </row>
    <row r="850" ht="15.75" customHeight="1">
      <c r="A850" s="149"/>
      <c r="B850" s="149"/>
      <c r="C850" s="149"/>
      <c r="D850" s="149"/>
      <c r="E850" s="149"/>
      <c r="F850" s="149"/>
      <c r="G850" s="149"/>
      <c r="H850" s="135" t="str">
        <f>IFERROR(VLOOKUP(G850,'Conformance Score'!A:B, 2, 0), "")</f>
        <v/>
      </c>
      <c r="I850" s="150"/>
      <c r="J850" s="150"/>
      <c r="K850" s="134"/>
      <c r="L850" s="134"/>
      <c r="M850" s="134"/>
      <c r="N850" s="134"/>
      <c r="O850" s="134"/>
      <c r="P850" s="134"/>
      <c r="Q850" s="134"/>
      <c r="R850" s="134"/>
      <c r="S850" s="134"/>
      <c r="T850" s="134"/>
      <c r="U850" s="134"/>
      <c r="V850" s="134"/>
      <c r="W850" s="134"/>
      <c r="X850" s="134"/>
      <c r="Y850" s="134"/>
      <c r="Z850" s="134"/>
      <c r="AA850" s="134"/>
    </row>
    <row r="851" ht="15.75" customHeight="1">
      <c r="A851" s="149"/>
      <c r="B851" s="149"/>
      <c r="C851" s="149"/>
      <c r="D851" s="149"/>
      <c r="E851" s="149"/>
      <c r="F851" s="149"/>
      <c r="G851" s="149"/>
      <c r="H851" s="135" t="str">
        <f>IFERROR(VLOOKUP(G851,'Conformance Score'!A:B, 2, 0), "")</f>
        <v/>
      </c>
      <c r="I851" s="150"/>
      <c r="J851" s="150"/>
      <c r="K851" s="134"/>
      <c r="L851" s="134"/>
      <c r="M851" s="134"/>
      <c r="N851" s="134"/>
      <c r="O851" s="134"/>
      <c r="P851" s="134"/>
      <c r="Q851" s="134"/>
      <c r="R851" s="134"/>
      <c r="S851" s="134"/>
      <c r="T851" s="134"/>
      <c r="U851" s="134"/>
      <c r="V851" s="134"/>
      <c r="W851" s="134"/>
      <c r="X851" s="134"/>
      <c r="Y851" s="134"/>
      <c r="Z851" s="134"/>
      <c r="AA851" s="134"/>
    </row>
    <row r="852" ht="15.75" customHeight="1">
      <c r="A852" s="149"/>
      <c r="B852" s="149"/>
      <c r="C852" s="149"/>
      <c r="D852" s="149"/>
      <c r="E852" s="149"/>
      <c r="F852" s="149"/>
      <c r="G852" s="149"/>
      <c r="H852" s="135" t="str">
        <f>IFERROR(VLOOKUP(G852,'Conformance Score'!A:B, 2, 0), "")</f>
        <v/>
      </c>
      <c r="I852" s="150"/>
      <c r="J852" s="150"/>
      <c r="K852" s="134"/>
      <c r="L852" s="134"/>
      <c r="M852" s="134"/>
      <c r="N852" s="134"/>
      <c r="O852" s="134"/>
      <c r="P852" s="134"/>
      <c r="Q852" s="134"/>
      <c r="R852" s="134"/>
      <c r="S852" s="134"/>
      <c r="T852" s="134"/>
      <c r="U852" s="134"/>
      <c r="V852" s="134"/>
      <c r="W852" s="134"/>
      <c r="X852" s="134"/>
      <c r="Y852" s="134"/>
      <c r="Z852" s="134"/>
      <c r="AA852" s="134"/>
    </row>
    <row r="853" ht="15.75" customHeight="1">
      <c r="A853" s="149"/>
      <c r="B853" s="149"/>
      <c r="C853" s="149"/>
      <c r="D853" s="149"/>
      <c r="E853" s="149"/>
      <c r="F853" s="149"/>
      <c r="G853" s="149"/>
      <c r="H853" s="135" t="str">
        <f>IFERROR(VLOOKUP(G853,'Conformance Score'!A:B, 2, 0), "")</f>
        <v/>
      </c>
      <c r="I853" s="150"/>
      <c r="J853" s="150"/>
      <c r="K853" s="134"/>
      <c r="L853" s="134"/>
      <c r="M853" s="134"/>
      <c r="N853" s="134"/>
      <c r="O853" s="134"/>
      <c r="P853" s="134"/>
      <c r="Q853" s="134"/>
      <c r="R853" s="134"/>
      <c r="S853" s="134"/>
      <c r="T853" s="134"/>
      <c r="U853" s="134"/>
      <c r="V853" s="134"/>
      <c r="W853" s="134"/>
      <c r="X853" s="134"/>
      <c r="Y853" s="134"/>
      <c r="Z853" s="134"/>
      <c r="AA853" s="134"/>
    </row>
    <row r="854" ht="15.75" customHeight="1">
      <c r="A854" s="149"/>
      <c r="B854" s="149"/>
      <c r="C854" s="149"/>
      <c r="D854" s="149"/>
      <c r="E854" s="149"/>
      <c r="F854" s="149"/>
      <c r="G854" s="149"/>
      <c r="H854" s="135" t="str">
        <f>IFERROR(VLOOKUP(G854,'Conformance Score'!A:B, 2, 0), "")</f>
        <v/>
      </c>
      <c r="I854" s="150"/>
      <c r="J854" s="150"/>
      <c r="K854" s="134"/>
      <c r="L854" s="134"/>
      <c r="M854" s="134"/>
      <c r="N854" s="134"/>
      <c r="O854" s="134"/>
      <c r="P854" s="134"/>
      <c r="Q854" s="134"/>
      <c r="R854" s="134"/>
      <c r="S854" s="134"/>
      <c r="T854" s="134"/>
      <c r="U854" s="134"/>
      <c r="V854" s="134"/>
      <c r="W854" s="134"/>
      <c r="X854" s="134"/>
      <c r="Y854" s="134"/>
      <c r="Z854" s="134"/>
      <c r="AA854" s="134"/>
    </row>
    <row r="855" ht="15.75" customHeight="1">
      <c r="A855" s="149"/>
      <c r="B855" s="149"/>
      <c r="C855" s="149"/>
      <c r="D855" s="149"/>
      <c r="E855" s="149"/>
      <c r="F855" s="149"/>
      <c r="G855" s="149"/>
      <c r="H855" s="135" t="str">
        <f>IFERROR(VLOOKUP(G855,'Conformance Score'!A:B, 2, 0), "")</f>
        <v/>
      </c>
      <c r="I855" s="150"/>
      <c r="J855" s="150"/>
      <c r="K855" s="134"/>
      <c r="L855" s="134"/>
      <c r="M855" s="134"/>
      <c r="N855" s="134"/>
      <c r="O855" s="134"/>
      <c r="P855" s="134"/>
      <c r="Q855" s="134"/>
      <c r="R855" s="134"/>
      <c r="S855" s="134"/>
      <c r="T855" s="134"/>
      <c r="U855" s="134"/>
      <c r="V855" s="134"/>
      <c r="W855" s="134"/>
      <c r="X855" s="134"/>
      <c r="Y855" s="134"/>
      <c r="Z855" s="134"/>
      <c r="AA855" s="134"/>
    </row>
    <row r="856" ht="15.75" customHeight="1">
      <c r="A856" s="149"/>
      <c r="B856" s="149"/>
      <c r="C856" s="149"/>
      <c r="D856" s="149"/>
      <c r="E856" s="149"/>
      <c r="F856" s="149"/>
      <c r="G856" s="149"/>
      <c r="H856" s="135" t="str">
        <f>IFERROR(VLOOKUP(G856,'Conformance Score'!A:B, 2, 0), "")</f>
        <v/>
      </c>
      <c r="I856" s="150"/>
      <c r="J856" s="150"/>
      <c r="K856" s="134"/>
      <c r="L856" s="134"/>
      <c r="M856" s="134"/>
      <c r="N856" s="134"/>
      <c r="O856" s="134"/>
      <c r="P856" s="134"/>
      <c r="Q856" s="134"/>
      <c r="R856" s="134"/>
      <c r="S856" s="134"/>
      <c r="T856" s="134"/>
      <c r="U856" s="134"/>
      <c r="V856" s="134"/>
      <c r="W856" s="134"/>
      <c r="X856" s="134"/>
      <c r="Y856" s="134"/>
      <c r="Z856" s="134"/>
      <c r="AA856" s="134"/>
    </row>
    <row r="857" ht="15.75" customHeight="1">
      <c r="A857" s="149"/>
      <c r="B857" s="149"/>
      <c r="C857" s="149"/>
      <c r="D857" s="149"/>
      <c r="E857" s="149"/>
      <c r="F857" s="149"/>
      <c r="G857" s="149"/>
      <c r="H857" s="135" t="str">
        <f>IFERROR(VLOOKUP(G857,'Conformance Score'!A:B, 2, 0), "")</f>
        <v/>
      </c>
      <c r="I857" s="150"/>
      <c r="J857" s="150"/>
      <c r="K857" s="134"/>
      <c r="L857" s="134"/>
      <c r="M857" s="134"/>
      <c r="N857" s="134"/>
      <c r="O857" s="134"/>
      <c r="P857" s="134"/>
      <c r="Q857" s="134"/>
      <c r="R857" s="134"/>
      <c r="S857" s="134"/>
      <c r="T857" s="134"/>
      <c r="U857" s="134"/>
      <c r="V857" s="134"/>
      <c r="W857" s="134"/>
      <c r="X857" s="134"/>
      <c r="Y857" s="134"/>
      <c r="Z857" s="134"/>
      <c r="AA857" s="134"/>
    </row>
    <row r="858" ht="15.75" customHeight="1">
      <c r="A858" s="149"/>
      <c r="B858" s="149"/>
      <c r="C858" s="149"/>
      <c r="D858" s="149"/>
      <c r="E858" s="149"/>
      <c r="F858" s="149"/>
      <c r="G858" s="149"/>
      <c r="H858" s="135" t="str">
        <f>IFERROR(VLOOKUP(G858,'Conformance Score'!A:B, 2, 0), "")</f>
        <v/>
      </c>
      <c r="I858" s="150"/>
      <c r="J858" s="150"/>
      <c r="K858" s="134"/>
      <c r="L858" s="134"/>
      <c r="M858" s="134"/>
      <c r="N858" s="134"/>
      <c r="O858" s="134"/>
      <c r="P858" s="134"/>
      <c r="Q858" s="134"/>
      <c r="R858" s="134"/>
      <c r="S858" s="134"/>
      <c r="T858" s="134"/>
      <c r="U858" s="134"/>
      <c r="V858" s="134"/>
      <c r="W858" s="134"/>
      <c r="X858" s="134"/>
      <c r="Y858" s="134"/>
      <c r="Z858" s="134"/>
      <c r="AA858" s="134"/>
    </row>
    <row r="859" ht="15.75" customHeight="1">
      <c r="A859" s="149"/>
      <c r="B859" s="149"/>
      <c r="C859" s="149"/>
      <c r="D859" s="149"/>
      <c r="E859" s="149"/>
      <c r="F859" s="149"/>
      <c r="G859" s="149"/>
      <c r="H859" s="135" t="str">
        <f>IFERROR(VLOOKUP(G859,'Conformance Score'!A:B, 2, 0), "")</f>
        <v/>
      </c>
      <c r="I859" s="150"/>
      <c r="J859" s="150"/>
      <c r="K859" s="134"/>
      <c r="L859" s="134"/>
      <c r="M859" s="134"/>
      <c r="N859" s="134"/>
      <c r="O859" s="134"/>
      <c r="P859" s="134"/>
      <c r="Q859" s="134"/>
      <c r="R859" s="134"/>
      <c r="S859" s="134"/>
      <c r="T859" s="134"/>
      <c r="U859" s="134"/>
      <c r="V859" s="134"/>
      <c r="W859" s="134"/>
      <c r="X859" s="134"/>
      <c r="Y859" s="134"/>
      <c r="Z859" s="134"/>
      <c r="AA859" s="134"/>
    </row>
    <row r="860" ht="15.75" customHeight="1">
      <c r="A860" s="149"/>
      <c r="B860" s="149"/>
      <c r="C860" s="149"/>
      <c r="D860" s="149"/>
      <c r="E860" s="149"/>
      <c r="F860" s="149"/>
      <c r="G860" s="149"/>
      <c r="H860" s="135" t="str">
        <f>IFERROR(VLOOKUP(G860,'Conformance Score'!A:B, 2, 0), "")</f>
        <v/>
      </c>
      <c r="I860" s="150"/>
      <c r="J860" s="150"/>
      <c r="K860" s="134"/>
      <c r="L860" s="134"/>
      <c r="M860" s="134"/>
      <c r="N860" s="134"/>
      <c r="O860" s="134"/>
      <c r="P860" s="134"/>
      <c r="Q860" s="134"/>
      <c r="R860" s="134"/>
      <c r="S860" s="134"/>
      <c r="T860" s="134"/>
      <c r="U860" s="134"/>
      <c r="V860" s="134"/>
      <c r="W860" s="134"/>
      <c r="X860" s="134"/>
      <c r="Y860" s="134"/>
      <c r="Z860" s="134"/>
      <c r="AA860" s="134"/>
    </row>
    <row r="861" ht="15.75" customHeight="1">
      <c r="A861" s="149"/>
      <c r="B861" s="149"/>
      <c r="C861" s="149"/>
      <c r="D861" s="149"/>
      <c r="E861" s="149"/>
      <c r="F861" s="149"/>
      <c r="G861" s="149"/>
      <c r="H861" s="135" t="str">
        <f>IFERROR(VLOOKUP(G861,'Conformance Score'!A:B, 2, 0), "")</f>
        <v/>
      </c>
      <c r="I861" s="150"/>
      <c r="J861" s="150"/>
      <c r="K861" s="134"/>
      <c r="L861" s="134"/>
      <c r="M861" s="134"/>
      <c r="N861" s="134"/>
      <c r="O861" s="134"/>
      <c r="P861" s="134"/>
      <c r="Q861" s="134"/>
      <c r="R861" s="134"/>
      <c r="S861" s="134"/>
      <c r="T861" s="134"/>
      <c r="U861" s="134"/>
      <c r="V861" s="134"/>
      <c r="W861" s="134"/>
      <c r="X861" s="134"/>
      <c r="Y861" s="134"/>
      <c r="Z861" s="134"/>
      <c r="AA861" s="134"/>
    </row>
    <row r="862" ht="15.75" customHeight="1">
      <c r="A862" s="149"/>
      <c r="B862" s="149"/>
      <c r="C862" s="149"/>
      <c r="D862" s="149"/>
      <c r="E862" s="149"/>
      <c r="F862" s="149"/>
      <c r="G862" s="149"/>
      <c r="H862" s="135" t="str">
        <f>IFERROR(VLOOKUP(G862,'Conformance Score'!A:B, 2, 0), "")</f>
        <v/>
      </c>
      <c r="I862" s="150"/>
      <c r="J862" s="150"/>
      <c r="K862" s="134"/>
      <c r="L862" s="134"/>
      <c r="M862" s="134"/>
      <c r="N862" s="134"/>
      <c r="O862" s="134"/>
      <c r="P862" s="134"/>
      <c r="Q862" s="134"/>
      <c r="R862" s="134"/>
      <c r="S862" s="134"/>
      <c r="T862" s="134"/>
      <c r="U862" s="134"/>
      <c r="V862" s="134"/>
      <c r="W862" s="134"/>
      <c r="X862" s="134"/>
      <c r="Y862" s="134"/>
      <c r="Z862" s="134"/>
      <c r="AA862" s="134"/>
    </row>
    <row r="863" ht="15.75" customHeight="1">
      <c r="A863" s="149"/>
      <c r="B863" s="149"/>
      <c r="C863" s="149"/>
      <c r="D863" s="149"/>
      <c r="E863" s="149"/>
      <c r="F863" s="149"/>
      <c r="G863" s="149"/>
      <c r="H863" s="135" t="str">
        <f>IFERROR(VLOOKUP(G863,'Conformance Score'!A:B, 2, 0), "")</f>
        <v/>
      </c>
      <c r="I863" s="150"/>
      <c r="J863" s="150"/>
      <c r="K863" s="134"/>
      <c r="L863" s="134"/>
      <c r="M863" s="134"/>
      <c r="N863" s="134"/>
      <c r="O863" s="134"/>
      <c r="P863" s="134"/>
      <c r="Q863" s="134"/>
      <c r="R863" s="134"/>
      <c r="S863" s="134"/>
      <c r="T863" s="134"/>
      <c r="U863" s="134"/>
      <c r="V863" s="134"/>
      <c r="W863" s="134"/>
      <c r="X863" s="134"/>
      <c r="Y863" s="134"/>
      <c r="Z863" s="134"/>
      <c r="AA863" s="134"/>
    </row>
    <row r="864" ht="15.75" customHeight="1">
      <c r="A864" s="149"/>
      <c r="B864" s="149"/>
      <c r="C864" s="149"/>
      <c r="D864" s="149"/>
      <c r="E864" s="149"/>
      <c r="F864" s="149"/>
      <c r="G864" s="149"/>
      <c r="H864" s="135" t="str">
        <f>IFERROR(VLOOKUP(G864,'Conformance Score'!A:B, 2, 0), "")</f>
        <v/>
      </c>
      <c r="I864" s="150"/>
      <c r="J864" s="150"/>
      <c r="K864" s="134"/>
      <c r="L864" s="134"/>
      <c r="M864" s="134"/>
      <c r="N864" s="134"/>
      <c r="O864" s="134"/>
      <c r="P864" s="134"/>
      <c r="Q864" s="134"/>
      <c r="R864" s="134"/>
      <c r="S864" s="134"/>
      <c r="T864" s="134"/>
      <c r="U864" s="134"/>
      <c r="V864" s="134"/>
      <c r="W864" s="134"/>
      <c r="X864" s="134"/>
      <c r="Y864" s="134"/>
      <c r="Z864" s="134"/>
      <c r="AA864" s="134"/>
    </row>
    <row r="865" ht="15.75" customHeight="1">
      <c r="A865" s="149"/>
      <c r="B865" s="149"/>
      <c r="C865" s="149"/>
      <c r="D865" s="149"/>
      <c r="E865" s="149"/>
      <c r="F865" s="149"/>
      <c r="G865" s="149"/>
      <c r="H865" s="135" t="str">
        <f>IFERROR(VLOOKUP(G865,'Conformance Score'!A:B, 2, 0), "")</f>
        <v/>
      </c>
      <c r="I865" s="150"/>
      <c r="J865" s="150"/>
      <c r="K865" s="134"/>
      <c r="L865" s="134"/>
      <c r="M865" s="134"/>
      <c r="N865" s="134"/>
      <c r="O865" s="134"/>
      <c r="P865" s="134"/>
      <c r="Q865" s="134"/>
      <c r="R865" s="134"/>
      <c r="S865" s="134"/>
      <c r="T865" s="134"/>
      <c r="U865" s="134"/>
      <c r="V865" s="134"/>
      <c r="W865" s="134"/>
      <c r="X865" s="134"/>
      <c r="Y865" s="134"/>
      <c r="Z865" s="134"/>
      <c r="AA865" s="134"/>
    </row>
    <row r="866" ht="15.75" customHeight="1">
      <c r="A866" s="149"/>
      <c r="B866" s="149"/>
      <c r="C866" s="149"/>
      <c r="D866" s="149"/>
      <c r="E866" s="149"/>
      <c r="F866" s="149"/>
      <c r="G866" s="149"/>
      <c r="H866" s="135" t="str">
        <f>IFERROR(VLOOKUP(G866,'Conformance Score'!A:B, 2, 0), "")</f>
        <v/>
      </c>
      <c r="I866" s="150"/>
      <c r="J866" s="150"/>
      <c r="K866" s="134"/>
      <c r="L866" s="134"/>
      <c r="M866" s="134"/>
      <c r="N866" s="134"/>
      <c r="O866" s="134"/>
      <c r="P866" s="134"/>
      <c r="Q866" s="134"/>
      <c r="R866" s="134"/>
      <c r="S866" s="134"/>
      <c r="T866" s="134"/>
      <c r="U866" s="134"/>
      <c r="V866" s="134"/>
      <c r="W866" s="134"/>
      <c r="X866" s="134"/>
      <c r="Y866" s="134"/>
      <c r="Z866" s="134"/>
      <c r="AA866" s="134"/>
    </row>
    <row r="867" ht="15.75" customHeight="1">
      <c r="A867" s="149"/>
      <c r="B867" s="149"/>
      <c r="C867" s="149"/>
      <c r="D867" s="149"/>
      <c r="E867" s="149"/>
      <c r="F867" s="149"/>
      <c r="G867" s="149"/>
      <c r="H867" s="135" t="str">
        <f>IFERROR(VLOOKUP(G867,'Conformance Score'!A:B, 2, 0), "")</f>
        <v/>
      </c>
      <c r="I867" s="150"/>
      <c r="J867" s="150"/>
      <c r="K867" s="134"/>
      <c r="L867" s="134"/>
      <c r="M867" s="134"/>
      <c r="N867" s="134"/>
      <c r="O867" s="134"/>
      <c r="P867" s="134"/>
      <c r="Q867" s="134"/>
      <c r="R867" s="134"/>
      <c r="S867" s="134"/>
      <c r="T867" s="134"/>
      <c r="U867" s="134"/>
      <c r="V867" s="134"/>
      <c r="W867" s="134"/>
      <c r="X867" s="134"/>
      <c r="Y867" s="134"/>
      <c r="Z867" s="134"/>
      <c r="AA867" s="134"/>
    </row>
    <row r="868" ht="15.75" customHeight="1">
      <c r="A868" s="149"/>
      <c r="B868" s="149"/>
      <c r="C868" s="149"/>
      <c r="D868" s="149"/>
      <c r="E868" s="149"/>
      <c r="F868" s="149"/>
      <c r="G868" s="149"/>
      <c r="H868" s="135" t="str">
        <f>IFERROR(VLOOKUP(G868,'Conformance Score'!A:B, 2, 0), "")</f>
        <v/>
      </c>
      <c r="I868" s="150"/>
      <c r="J868" s="150"/>
      <c r="K868" s="134"/>
      <c r="L868" s="134"/>
      <c r="M868" s="134"/>
      <c r="N868" s="134"/>
      <c r="O868" s="134"/>
      <c r="P868" s="134"/>
      <c r="Q868" s="134"/>
      <c r="R868" s="134"/>
      <c r="S868" s="134"/>
      <c r="T868" s="134"/>
      <c r="U868" s="134"/>
      <c r="V868" s="134"/>
      <c r="W868" s="134"/>
      <c r="X868" s="134"/>
      <c r="Y868" s="134"/>
      <c r="Z868" s="134"/>
      <c r="AA868" s="134"/>
    </row>
    <row r="869" ht="15.75" customHeight="1">
      <c r="A869" s="149"/>
      <c r="B869" s="149"/>
      <c r="C869" s="149"/>
      <c r="D869" s="149"/>
      <c r="E869" s="149"/>
      <c r="F869" s="149"/>
      <c r="G869" s="149"/>
      <c r="H869" s="135" t="str">
        <f>IFERROR(VLOOKUP(G869,'Conformance Score'!A:B, 2, 0), "")</f>
        <v/>
      </c>
      <c r="I869" s="150"/>
      <c r="J869" s="150"/>
      <c r="K869" s="134"/>
      <c r="L869" s="134"/>
      <c r="M869" s="134"/>
      <c r="N869" s="134"/>
      <c r="O869" s="134"/>
      <c r="P869" s="134"/>
      <c r="Q869" s="134"/>
      <c r="R869" s="134"/>
      <c r="S869" s="134"/>
      <c r="T869" s="134"/>
      <c r="U869" s="134"/>
      <c r="V869" s="134"/>
      <c r="W869" s="134"/>
      <c r="X869" s="134"/>
      <c r="Y869" s="134"/>
      <c r="Z869" s="134"/>
      <c r="AA869" s="134"/>
    </row>
    <row r="870" ht="15.75" customHeight="1">
      <c r="A870" s="149"/>
      <c r="B870" s="149"/>
      <c r="C870" s="149"/>
      <c r="D870" s="149"/>
      <c r="E870" s="149"/>
      <c r="F870" s="149"/>
      <c r="G870" s="149"/>
      <c r="H870" s="135" t="str">
        <f>IFERROR(VLOOKUP(G870,'Conformance Score'!A:B, 2, 0), "")</f>
        <v/>
      </c>
      <c r="I870" s="150"/>
      <c r="J870" s="150"/>
      <c r="K870" s="134"/>
      <c r="L870" s="134"/>
      <c r="M870" s="134"/>
      <c r="N870" s="134"/>
      <c r="O870" s="134"/>
      <c r="P870" s="134"/>
      <c r="Q870" s="134"/>
      <c r="R870" s="134"/>
      <c r="S870" s="134"/>
      <c r="T870" s="134"/>
      <c r="U870" s="134"/>
      <c r="V870" s="134"/>
      <c r="W870" s="134"/>
      <c r="X870" s="134"/>
      <c r="Y870" s="134"/>
      <c r="Z870" s="134"/>
      <c r="AA870" s="134"/>
    </row>
    <row r="871" ht="15.75" customHeight="1">
      <c r="A871" s="149"/>
      <c r="B871" s="149"/>
      <c r="C871" s="149"/>
      <c r="D871" s="149"/>
      <c r="E871" s="149"/>
      <c r="F871" s="149"/>
      <c r="G871" s="149"/>
      <c r="H871" s="135" t="str">
        <f>IFERROR(VLOOKUP(G871,'Conformance Score'!A:B, 2, 0), "")</f>
        <v/>
      </c>
      <c r="I871" s="150"/>
      <c r="J871" s="150"/>
      <c r="K871" s="134"/>
      <c r="L871" s="134"/>
      <c r="M871" s="134"/>
      <c r="N871" s="134"/>
      <c r="O871" s="134"/>
      <c r="P871" s="134"/>
      <c r="Q871" s="134"/>
      <c r="R871" s="134"/>
      <c r="S871" s="134"/>
      <c r="T871" s="134"/>
      <c r="U871" s="134"/>
      <c r="V871" s="134"/>
      <c r="W871" s="134"/>
      <c r="X871" s="134"/>
      <c r="Y871" s="134"/>
      <c r="Z871" s="134"/>
      <c r="AA871" s="134"/>
    </row>
    <row r="872" ht="15.75" customHeight="1">
      <c r="A872" s="149"/>
      <c r="B872" s="149"/>
      <c r="C872" s="149"/>
      <c r="D872" s="149"/>
      <c r="E872" s="149"/>
      <c r="F872" s="149"/>
      <c r="G872" s="149"/>
      <c r="H872" s="135" t="str">
        <f>IFERROR(VLOOKUP(G872,'Conformance Score'!A:B, 2, 0), "")</f>
        <v/>
      </c>
      <c r="I872" s="150"/>
      <c r="J872" s="150"/>
      <c r="K872" s="134"/>
      <c r="L872" s="134"/>
      <c r="M872" s="134"/>
      <c r="N872" s="134"/>
      <c r="O872" s="134"/>
      <c r="P872" s="134"/>
      <c r="Q872" s="134"/>
      <c r="R872" s="134"/>
      <c r="S872" s="134"/>
      <c r="T872" s="134"/>
      <c r="U872" s="134"/>
      <c r="V872" s="134"/>
      <c r="W872" s="134"/>
      <c r="X872" s="134"/>
      <c r="Y872" s="134"/>
      <c r="Z872" s="134"/>
      <c r="AA872" s="134"/>
    </row>
    <row r="873" ht="15.75" customHeight="1">
      <c r="A873" s="149"/>
      <c r="B873" s="149"/>
      <c r="C873" s="149"/>
      <c r="D873" s="149"/>
      <c r="E873" s="149"/>
      <c r="F873" s="149"/>
      <c r="G873" s="149"/>
      <c r="H873" s="135" t="str">
        <f>IFERROR(VLOOKUP(G873,'Conformance Score'!A:B, 2, 0), "")</f>
        <v/>
      </c>
      <c r="I873" s="150"/>
      <c r="J873" s="150"/>
      <c r="K873" s="134"/>
      <c r="L873" s="134"/>
      <c r="M873" s="134"/>
      <c r="N873" s="134"/>
      <c r="O873" s="134"/>
      <c r="P873" s="134"/>
      <c r="Q873" s="134"/>
      <c r="R873" s="134"/>
      <c r="S873" s="134"/>
      <c r="T873" s="134"/>
      <c r="U873" s="134"/>
      <c r="V873" s="134"/>
      <c r="W873" s="134"/>
      <c r="X873" s="134"/>
      <c r="Y873" s="134"/>
      <c r="Z873" s="134"/>
      <c r="AA873" s="134"/>
    </row>
    <row r="874" ht="15.75" customHeight="1">
      <c r="A874" s="149"/>
      <c r="B874" s="149"/>
      <c r="C874" s="149"/>
      <c r="D874" s="149"/>
      <c r="E874" s="149"/>
      <c r="F874" s="149"/>
      <c r="G874" s="149"/>
      <c r="H874" s="135" t="str">
        <f>IFERROR(VLOOKUP(G874,'Conformance Score'!A:B, 2, 0), "")</f>
        <v/>
      </c>
      <c r="I874" s="150"/>
      <c r="J874" s="150"/>
      <c r="K874" s="134"/>
      <c r="L874" s="134"/>
      <c r="M874" s="134"/>
      <c r="N874" s="134"/>
      <c r="O874" s="134"/>
      <c r="P874" s="134"/>
      <c r="Q874" s="134"/>
      <c r="R874" s="134"/>
      <c r="S874" s="134"/>
      <c r="T874" s="134"/>
      <c r="U874" s="134"/>
      <c r="V874" s="134"/>
      <c r="W874" s="134"/>
      <c r="X874" s="134"/>
      <c r="Y874" s="134"/>
      <c r="Z874" s="134"/>
      <c r="AA874" s="134"/>
    </row>
    <row r="875" ht="15.75" customHeight="1">
      <c r="A875" s="149"/>
      <c r="B875" s="149"/>
      <c r="C875" s="149"/>
      <c r="D875" s="149"/>
      <c r="E875" s="149"/>
      <c r="F875" s="149"/>
      <c r="G875" s="149"/>
      <c r="H875" s="135" t="str">
        <f>IFERROR(VLOOKUP(G875,'Conformance Score'!A:B, 2, 0), "")</f>
        <v/>
      </c>
      <c r="I875" s="150"/>
      <c r="J875" s="150"/>
      <c r="K875" s="134"/>
      <c r="L875" s="134"/>
      <c r="M875" s="134"/>
      <c r="N875" s="134"/>
      <c r="O875" s="134"/>
      <c r="P875" s="134"/>
      <c r="Q875" s="134"/>
      <c r="R875" s="134"/>
      <c r="S875" s="134"/>
      <c r="T875" s="134"/>
      <c r="U875" s="134"/>
      <c r="V875" s="134"/>
      <c r="W875" s="134"/>
      <c r="X875" s="134"/>
      <c r="Y875" s="134"/>
      <c r="Z875" s="134"/>
      <c r="AA875" s="134"/>
    </row>
    <row r="876" ht="15.75" customHeight="1">
      <c r="A876" s="149"/>
      <c r="B876" s="149"/>
      <c r="C876" s="149"/>
      <c r="D876" s="149"/>
      <c r="E876" s="149"/>
      <c r="F876" s="149"/>
      <c r="G876" s="149"/>
      <c r="H876" s="135" t="str">
        <f>IFERROR(VLOOKUP(G876,'Conformance Score'!A:B, 2, 0), "")</f>
        <v/>
      </c>
      <c r="I876" s="150"/>
      <c r="J876" s="150"/>
      <c r="K876" s="134"/>
      <c r="L876" s="134"/>
      <c r="M876" s="134"/>
      <c r="N876" s="134"/>
      <c r="O876" s="134"/>
      <c r="P876" s="134"/>
      <c r="Q876" s="134"/>
      <c r="R876" s="134"/>
      <c r="S876" s="134"/>
      <c r="T876" s="134"/>
      <c r="U876" s="134"/>
      <c r="V876" s="134"/>
      <c r="W876" s="134"/>
      <c r="X876" s="134"/>
      <c r="Y876" s="134"/>
      <c r="Z876" s="134"/>
      <c r="AA876" s="134"/>
    </row>
    <row r="877" ht="15.75" customHeight="1">
      <c r="A877" s="149"/>
      <c r="B877" s="149"/>
      <c r="C877" s="149"/>
      <c r="D877" s="149"/>
      <c r="E877" s="149"/>
      <c r="F877" s="149"/>
      <c r="G877" s="149"/>
      <c r="H877" s="135" t="str">
        <f>IFERROR(VLOOKUP(G877,'Conformance Score'!A:B, 2, 0), "")</f>
        <v/>
      </c>
      <c r="I877" s="150"/>
      <c r="J877" s="150"/>
      <c r="K877" s="134"/>
      <c r="L877" s="134"/>
      <c r="M877" s="134"/>
      <c r="N877" s="134"/>
      <c r="O877" s="134"/>
      <c r="P877" s="134"/>
      <c r="Q877" s="134"/>
      <c r="R877" s="134"/>
      <c r="S877" s="134"/>
      <c r="T877" s="134"/>
      <c r="U877" s="134"/>
      <c r="V877" s="134"/>
      <c r="W877" s="134"/>
      <c r="X877" s="134"/>
      <c r="Y877" s="134"/>
      <c r="Z877" s="134"/>
      <c r="AA877" s="134"/>
    </row>
    <row r="878" ht="15.75" customHeight="1">
      <c r="A878" s="149"/>
      <c r="B878" s="149"/>
      <c r="C878" s="149"/>
      <c r="D878" s="149"/>
      <c r="E878" s="149"/>
      <c r="F878" s="149"/>
      <c r="G878" s="149"/>
      <c r="H878" s="135" t="str">
        <f>IFERROR(VLOOKUP(G878,'Conformance Score'!A:B, 2, 0), "")</f>
        <v/>
      </c>
      <c r="I878" s="150"/>
      <c r="J878" s="150"/>
      <c r="K878" s="134"/>
      <c r="L878" s="134"/>
      <c r="M878" s="134"/>
      <c r="N878" s="134"/>
      <c r="O878" s="134"/>
      <c r="P878" s="134"/>
      <c r="Q878" s="134"/>
      <c r="R878" s="134"/>
      <c r="S878" s="134"/>
      <c r="T878" s="134"/>
      <c r="U878" s="134"/>
      <c r="V878" s="134"/>
      <c r="W878" s="134"/>
      <c r="X878" s="134"/>
      <c r="Y878" s="134"/>
      <c r="Z878" s="134"/>
      <c r="AA878" s="134"/>
    </row>
    <row r="879" ht="15.75" customHeight="1">
      <c r="A879" s="149"/>
      <c r="B879" s="149"/>
      <c r="C879" s="149"/>
      <c r="D879" s="149"/>
      <c r="E879" s="149"/>
      <c r="F879" s="149"/>
      <c r="G879" s="149"/>
      <c r="H879" s="135" t="str">
        <f>IFERROR(VLOOKUP(G879,'Conformance Score'!A:B, 2, 0), "")</f>
        <v/>
      </c>
      <c r="I879" s="150"/>
      <c r="J879" s="150"/>
      <c r="K879" s="134"/>
      <c r="L879" s="134"/>
      <c r="M879" s="134"/>
      <c r="N879" s="134"/>
      <c r="O879" s="134"/>
      <c r="P879" s="134"/>
      <c r="Q879" s="134"/>
      <c r="R879" s="134"/>
      <c r="S879" s="134"/>
      <c r="T879" s="134"/>
      <c r="U879" s="134"/>
      <c r="V879" s="134"/>
      <c r="W879" s="134"/>
      <c r="X879" s="134"/>
      <c r="Y879" s="134"/>
      <c r="Z879" s="134"/>
      <c r="AA879" s="134"/>
    </row>
    <row r="880" ht="15.75" customHeight="1">
      <c r="A880" s="149"/>
      <c r="B880" s="149"/>
      <c r="C880" s="149"/>
      <c r="D880" s="149"/>
      <c r="E880" s="149"/>
      <c r="F880" s="149"/>
      <c r="G880" s="149"/>
      <c r="H880" s="135" t="str">
        <f>IFERROR(VLOOKUP(G880,'Conformance Score'!A:B, 2, 0), "")</f>
        <v/>
      </c>
      <c r="I880" s="150"/>
      <c r="J880" s="150"/>
      <c r="K880" s="134"/>
      <c r="L880" s="134"/>
      <c r="M880" s="134"/>
      <c r="N880" s="134"/>
      <c r="O880" s="134"/>
      <c r="P880" s="134"/>
      <c r="Q880" s="134"/>
      <c r="R880" s="134"/>
      <c r="S880" s="134"/>
      <c r="T880" s="134"/>
      <c r="U880" s="134"/>
      <c r="V880" s="134"/>
      <c r="W880" s="134"/>
      <c r="X880" s="134"/>
      <c r="Y880" s="134"/>
      <c r="Z880" s="134"/>
      <c r="AA880" s="134"/>
    </row>
    <row r="881" ht="15.75" customHeight="1">
      <c r="A881" s="149"/>
      <c r="B881" s="149"/>
      <c r="C881" s="149"/>
      <c r="D881" s="149"/>
      <c r="E881" s="149"/>
      <c r="F881" s="149"/>
      <c r="G881" s="149"/>
      <c r="H881" s="135" t="str">
        <f>IFERROR(VLOOKUP(G881,'Conformance Score'!A:B, 2, 0), "")</f>
        <v/>
      </c>
      <c r="I881" s="150"/>
      <c r="J881" s="150"/>
      <c r="K881" s="134"/>
      <c r="L881" s="134"/>
      <c r="M881" s="134"/>
      <c r="N881" s="134"/>
      <c r="O881" s="134"/>
      <c r="P881" s="134"/>
      <c r="Q881" s="134"/>
      <c r="R881" s="134"/>
      <c r="S881" s="134"/>
      <c r="T881" s="134"/>
      <c r="U881" s="134"/>
      <c r="V881" s="134"/>
      <c r="W881" s="134"/>
      <c r="X881" s="134"/>
      <c r="Y881" s="134"/>
      <c r="Z881" s="134"/>
      <c r="AA881" s="134"/>
    </row>
    <row r="882" ht="15.75" customHeight="1">
      <c r="A882" s="149"/>
      <c r="B882" s="149"/>
      <c r="C882" s="149"/>
      <c r="D882" s="149"/>
      <c r="E882" s="149"/>
      <c r="F882" s="149"/>
      <c r="G882" s="149"/>
      <c r="H882" s="135" t="str">
        <f>IFERROR(VLOOKUP(G882,'Conformance Score'!A:B, 2, 0), "")</f>
        <v/>
      </c>
      <c r="I882" s="150"/>
      <c r="J882" s="150"/>
      <c r="K882" s="134"/>
      <c r="L882" s="134"/>
      <c r="M882" s="134"/>
      <c r="N882" s="134"/>
      <c r="O882" s="134"/>
      <c r="P882" s="134"/>
      <c r="Q882" s="134"/>
      <c r="R882" s="134"/>
      <c r="S882" s="134"/>
      <c r="T882" s="134"/>
      <c r="U882" s="134"/>
      <c r="V882" s="134"/>
      <c r="W882" s="134"/>
      <c r="X882" s="134"/>
      <c r="Y882" s="134"/>
      <c r="Z882" s="134"/>
      <c r="AA882" s="134"/>
    </row>
    <row r="883" ht="15.75" customHeight="1">
      <c r="A883" s="149"/>
      <c r="B883" s="149"/>
      <c r="C883" s="149"/>
      <c r="D883" s="149"/>
      <c r="E883" s="149"/>
      <c r="F883" s="149"/>
      <c r="G883" s="149"/>
      <c r="H883" s="135" t="str">
        <f>IFERROR(VLOOKUP(G883,'Conformance Score'!A:B, 2, 0), "")</f>
        <v/>
      </c>
      <c r="I883" s="150"/>
      <c r="J883" s="150"/>
      <c r="K883" s="134"/>
      <c r="L883" s="134"/>
      <c r="M883" s="134"/>
      <c r="N883" s="134"/>
      <c r="O883" s="134"/>
      <c r="P883" s="134"/>
      <c r="Q883" s="134"/>
      <c r="R883" s="134"/>
      <c r="S883" s="134"/>
      <c r="T883" s="134"/>
      <c r="U883" s="134"/>
      <c r="V883" s="134"/>
      <c r="W883" s="134"/>
      <c r="X883" s="134"/>
      <c r="Y883" s="134"/>
      <c r="Z883" s="134"/>
      <c r="AA883" s="134"/>
    </row>
    <row r="884" ht="15.75" customHeight="1">
      <c r="A884" s="149"/>
      <c r="B884" s="149"/>
      <c r="C884" s="149"/>
      <c r="D884" s="149"/>
      <c r="E884" s="149"/>
      <c r="F884" s="149"/>
      <c r="G884" s="149"/>
      <c r="H884" s="135" t="str">
        <f>IFERROR(VLOOKUP(G884,'Conformance Score'!A:B, 2, 0), "")</f>
        <v/>
      </c>
      <c r="I884" s="150"/>
      <c r="J884" s="150"/>
      <c r="K884" s="134"/>
      <c r="L884" s="134"/>
      <c r="M884" s="134"/>
      <c r="N884" s="134"/>
      <c r="O884" s="134"/>
      <c r="P884" s="134"/>
      <c r="Q884" s="134"/>
      <c r="R884" s="134"/>
      <c r="S884" s="134"/>
      <c r="T884" s="134"/>
      <c r="U884" s="134"/>
      <c r="V884" s="134"/>
      <c r="W884" s="134"/>
      <c r="X884" s="134"/>
      <c r="Y884" s="134"/>
      <c r="Z884" s="134"/>
      <c r="AA884" s="134"/>
    </row>
    <row r="885" ht="15.75" customHeight="1">
      <c r="A885" s="149"/>
      <c r="B885" s="149"/>
      <c r="C885" s="149"/>
      <c r="D885" s="149"/>
      <c r="E885" s="149"/>
      <c r="F885" s="149"/>
      <c r="G885" s="149"/>
      <c r="H885" s="135" t="str">
        <f>IFERROR(VLOOKUP(G885,'Conformance Score'!A:B, 2, 0), "")</f>
        <v/>
      </c>
      <c r="I885" s="150"/>
      <c r="J885" s="150"/>
      <c r="K885" s="134"/>
      <c r="L885" s="134"/>
      <c r="M885" s="134"/>
      <c r="N885" s="134"/>
      <c r="O885" s="134"/>
      <c r="P885" s="134"/>
      <c r="Q885" s="134"/>
      <c r="R885" s="134"/>
      <c r="S885" s="134"/>
      <c r="T885" s="134"/>
      <c r="U885" s="134"/>
      <c r="V885" s="134"/>
      <c r="W885" s="134"/>
      <c r="X885" s="134"/>
      <c r="Y885" s="134"/>
      <c r="Z885" s="134"/>
      <c r="AA885" s="134"/>
    </row>
    <row r="886" ht="15.75" customHeight="1">
      <c r="A886" s="149"/>
      <c r="B886" s="149"/>
      <c r="C886" s="149"/>
      <c r="D886" s="149"/>
      <c r="E886" s="149"/>
      <c r="F886" s="149"/>
      <c r="G886" s="149"/>
      <c r="H886" s="135" t="str">
        <f>IFERROR(VLOOKUP(G886,'Conformance Score'!A:B, 2, 0), "")</f>
        <v/>
      </c>
      <c r="I886" s="150"/>
      <c r="J886" s="150"/>
      <c r="K886" s="134"/>
      <c r="L886" s="134"/>
      <c r="M886" s="134"/>
      <c r="N886" s="134"/>
      <c r="O886" s="134"/>
      <c r="P886" s="134"/>
      <c r="Q886" s="134"/>
      <c r="R886" s="134"/>
      <c r="S886" s="134"/>
      <c r="T886" s="134"/>
      <c r="U886" s="134"/>
      <c r="V886" s="134"/>
      <c r="W886" s="134"/>
      <c r="X886" s="134"/>
      <c r="Y886" s="134"/>
      <c r="Z886" s="134"/>
      <c r="AA886" s="134"/>
    </row>
    <row r="887" ht="15.75" customHeight="1">
      <c r="A887" s="149"/>
      <c r="B887" s="149"/>
      <c r="C887" s="149"/>
      <c r="D887" s="149"/>
      <c r="E887" s="149"/>
      <c r="F887" s="149"/>
      <c r="G887" s="149"/>
      <c r="H887" s="135" t="str">
        <f>IFERROR(VLOOKUP(G887,'Conformance Score'!A:B, 2, 0), "")</f>
        <v/>
      </c>
      <c r="I887" s="150"/>
      <c r="J887" s="150"/>
      <c r="K887" s="134"/>
      <c r="L887" s="134"/>
      <c r="M887" s="134"/>
      <c r="N887" s="134"/>
      <c r="O887" s="134"/>
      <c r="P887" s="134"/>
      <c r="Q887" s="134"/>
      <c r="R887" s="134"/>
      <c r="S887" s="134"/>
      <c r="T887" s="134"/>
      <c r="U887" s="134"/>
      <c r="V887" s="134"/>
      <c r="W887" s="134"/>
      <c r="X887" s="134"/>
      <c r="Y887" s="134"/>
      <c r="Z887" s="134"/>
      <c r="AA887" s="134"/>
    </row>
    <row r="888" ht="15.75" customHeight="1">
      <c r="A888" s="149"/>
      <c r="B888" s="149"/>
      <c r="C888" s="149"/>
      <c r="D888" s="149"/>
      <c r="E888" s="149"/>
      <c r="F888" s="149"/>
      <c r="G888" s="149"/>
      <c r="H888" s="135" t="str">
        <f>IFERROR(VLOOKUP(G888,'Conformance Score'!A:B, 2, 0), "")</f>
        <v/>
      </c>
      <c r="I888" s="150"/>
      <c r="J888" s="150"/>
      <c r="K888" s="134"/>
      <c r="L888" s="134"/>
      <c r="M888" s="134"/>
      <c r="N888" s="134"/>
      <c r="O888" s="134"/>
      <c r="P888" s="134"/>
      <c r="Q888" s="134"/>
      <c r="R888" s="134"/>
      <c r="S888" s="134"/>
      <c r="T888" s="134"/>
      <c r="U888" s="134"/>
      <c r="V888" s="134"/>
      <c r="W888" s="134"/>
      <c r="X888" s="134"/>
      <c r="Y888" s="134"/>
      <c r="Z888" s="134"/>
      <c r="AA888" s="134"/>
    </row>
    <row r="889" ht="15.75" customHeight="1">
      <c r="A889" s="149"/>
      <c r="B889" s="149"/>
      <c r="C889" s="149"/>
      <c r="D889" s="149"/>
      <c r="E889" s="149"/>
      <c r="F889" s="149"/>
      <c r="G889" s="149"/>
      <c r="H889" s="135" t="str">
        <f>IFERROR(VLOOKUP(G889,'Conformance Score'!A:B, 2, 0), "")</f>
        <v/>
      </c>
      <c r="I889" s="150"/>
      <c r="J889" s="150"/>
      <c r="K889" s="134"/>
      <c r="L889" s="134"/>
      <c r="M889" s="134"/>
      <c r="N889" s="134"/>
      <c r="O889" s="134"/>
      <c r="P889" s="134"/>
      <c r="Q889" s="134"/>
      <c r="R889" s="134"/>
      <c r="S889" s="134"/>
      <c r="T889" s="134"/>
      <c r="U889" s="134"/>
      <c r="V889" s="134"/>
      <c r="W889" s="134"/>
      <c r="X889" s="134"/>
      <c r="Y889" s="134"/>
      <c r="Z889" s="134"/>
      <c r="AA889" s="134"/>
    </row>
    <row r="890" ht="15.75" customHeight="1">
      <c r="A890" s="149"/>
      <c r="B890" s="149"/>
      <c r="C890" s="149"/>
      <c r="D890" s="149"/>
      <c r="E890" s="149"/>
      <c r="F890" s="149"/>
      <c r="G890" s="149"/>
      <c r="H890" s="135" t="str">
        <f>IFERROR(VLOOKUP(G890,'Conformance Score'!A:B, 2, 0), "")</f>
        <v/>
      </c>
      <c r="I890" s="150"/>
      <c r="J890" s="150"/>
      <c r="K890" s="134"/>
      <c r="L890" s="134"/>
      <c r="M890" s="134"/>
      <c r="N890" s="134"/>
      <c r="O890" s="134"/>
      <c r="P890" s="134"/>
      <c r="Q890" s="134"/>
      <c r="R890" s="134"/>
      <c r="S890" s="134"/>
      <c r="T890" s="134"/>
      <c r="U890" s="134"/>
      <c r="V890" s="134"/>
      <c r="W890" s="134"/>
      <c r="X890" s="134"/>
      <c r="Y890" s="134"/>
      <c r="Z890" s="134"/>
      <c r="AA890" s="134"/>
    </row>
    <row r="891" ht="15.75" customHeight="1">
      <c r="A891" s="149"/>
      <c r="B891" s="149"/>
      <c r="C891" s="149"/>
      <c r="D891" s="149"/>
      <c r="E891" s="149"/>
      <c r="F891" s="149"/>
      <c r="G891" s="149"/>
      <c r="H891" s="135" t="str">
        <f>IFERROR(VLOOKUP(G891,'Conformance Score'!A:B, 2, 0), "")</f>
        <v/>
      </c>
      <c r="I891" s="150"/>
      <c r="J891" s="150"/>
      <c r="K891" s="134"/>
      <c r="L891" s="134"/>
      <c r="M891" s="134"/>
      <c r="N891" s="134"/>
      <c r="O891" s="134"/>
      <c r="P891" s="134"/>
      <c r="Q891" s="134"/>
      <c r="R891" s="134"/>
      <c r="S891" s="134"/>
      <c r="T891" s="134"/>
      <c r="U891" s="134"/>
      <c r="V891" s="134"/>
      <c r="W891" s="134"/>
      <c r="X891" s="134"/>
      <c r="Y891" s="134"/>
      <c r="Z891" s="134"/>
      <c r="AA891" s="134"/>
    </row>
    <row r="892" ht="15.75" customHeight="1">
      <c r="A892" s="149"/>
      <c r="B892" s="149"/>
      <c r="C892" s="149"/>
      <c r="D892" s="149"/>
      <c r="E892" s="149"/>
      <c r="F892" s="149"/>
      <c r="G892" s="149"/>
      <c r="H892" s="135" t="str">
        <f>IFERROR(VLOOKUP(G892,'Conformance Score'!A:B, 2, 0), "")</f>
        <v/>
      </c>
      <c r="I892" s="150"/>
      <c r="J892" s="150"/>
      <c r="K892" s="134"/>
      <c r="L892" s="134"/>
      <c r="M892" s="134"/>
      <c r="N892" s="134"/>
      <c r="O892" s="134"/>
      <c r="P892" s="134"/>
      <c r="Q892" s="134"/>
      <c r="R892" s="134"/>
      <c r="S892" s="134"/>
      <c r="T892" s="134"/>
      <c r="U892" s="134"/>
      <c r="V892" s="134"/>
      <c r="W892" s="134"/>
      <c r="X892" s="134"/>
      <c r="Y892" s="134"/>
      <c r="Z892" s="134"/>
      <c r="AA892" s="134"/>
    </row>
    <row r="893" ht="15.75" customHeight="1">
      <c r="A893" s="149"/>
      <c r="B893" s="149"/>
      <c r="C893" s="149"/>
      <c r="D893" s="149"/>
      <c r="E893" s="149"/>
      <c r="F893" s="149"/>
      <c r="G893" s="149"/>
      <c r="H893" s="135" t="str">
        <f>IFERROR(VLOOKUP(G893,'Conformance Score'!A:B, 2, 0), "")</f>
        <v/>
      </c>
      <c r="I893" s="150"/>
      <c r="J893" s="150"/>
      <c r="K893" s="134"/>
      <c r="L893" s="134"/>
      <c r="M893" s="134"/>
      <c r="N893" s="134"/>
      <c r="O893" s="134"/>
      <c r="P893" s="134"/>
      <c r="Q893" s="134"/>
      <c r="R893" s="134"/>
      <c r="S893" s="134"/>
      <c r="T893" s="134"/>
      <c r="U893" s="134"/>
      <c r="V893" s="134"/>
      <c r="W893" s="134"/>
      <c r="X893" s="134"/>
      <c r="Y893" s="134"/>
      <c r="Z893" s="134"/>
      <c r="AA893" s="134"/>
    </row>
    <row r="894" ht="15.75" customHeight="1">
      <c r="A894" s="149"/>
      <c r="B894" s="149"/>
      <c r="C894" s="149"/>
      <c r="D894" s="149"/>
      <c r="E894" s="149"/>
      <c r="F894" s="149"/>
      <c r="G894" s="149"/>
      <c r="H894" s="135" t="str">
        <f>IFERROR(VLOOKUP(G894,'Conformance Score'!A:B, 2, 0), "")</f>
        <v/>
      </c>
      <c r="I894" s="150"/>
      <c r="J894" s="150"/>
      <c r="K894" s="134"/>
      <c r="L894" s="134"/>
      <c r="M894" s="134"/>
      <c r="N894" s="134"/>
      <c r="O894" s="134"/>
      <c r="P894" s="134"/>
      <c r="Q894" s="134"/>
      <c r="R894" s="134"/>
      <c r="S894" s="134"/>
      <c r="T894" s="134"/>
      <c r="U894" s="134"/>
      <c r="V894" s="134"/>
      <c r="W894" s="134"/>
      <c r="X894" s="134"/>
      <c r="Y894" s="134"/>
      <c r="Z894" s="134"/>
      <c r="AA894" s="134"/>
    </row>
    <row r="895" ht="15.75" customHeight="1">
      <c r="A895" s="149"/>
      <c r="B895" s="149"/>
      <c r="C895" s="149"/>
      <c r="D895" s="149"/>
      <c r="E895" s="149"/>
      <c r="F895" s="149"/>
      <c r="G895" s="149"/>
      <c r="H895" s="135" t="str">
        <f>IFERROR(VLOOKUP(G895,'Conformance Score'!A:B, 2, 0), "")</f>
        <v/>
      </c>
      <c r="I895" s="150"/>
      <c r="J895" s="150"/>
      <c r="K895" s="134"/>
      <c r="L895" s="134"/>
      <c r="M895" s="134"/>
      <c r="N895" s="134"/>
      <c r="O895" s="134"/>
      <c r="P895" s="134"/>
      <c r="Q895" s="134"/>
      <c r="R895" s="134"/>
      <c r="S895" s="134"/>
      <c r="T895" s="134"/>
      <c r="U895" s="134"/>
      <c r="V895" s="134"/>
      <c r="W895" s="134"/>
      <c r="X895" s="134"/>
      <c r="Y895" s="134"/>
      <c r="Z895" s="134"/>
      <c r="AA895" s="134"/>
    </row>
    <row r="896" ht="15.75" customHeight="1">
      <c r="A896" s="149"/>
      <c r="B896" s="149"/>
      <c r="C896" s="149"/>
      <c r="D896" s="149"/>
      <c r="E896" s="149"/>
      <c r="F896" s="149"/>
      <c r="G896" s="149"/>
      <c r="H896" s="135" t="str">
        <f>IFERROR(VLOOKUP(G896,'Conformance Score'!A:B, 2, 0), "")</f>
        <v/>
      </c>
      <c r="I896" s="150"/>
      <c r="J896" s="150"/>
      <c r="K896" s="134"/>
      <c r="L896" s="134"/>
      <c r="M896" s="134"/>
      <c r="N896" s="134"/>
      <c r="O896" s="134"/>
      <c r="P896" s="134"/>
      <c r="Q896" s="134"/>
      <c r="R896" s="134"/>
      <c r="S896" s="134"/>
      <c r="T896" s="134"/>
      <c r="U896" s="134"/>
      <c r="V896" s="134"/>
      <c r="W896" s="134"/>
      <c r="X896" s="134"/>
      <c r="Y896" s="134"/>
      <c r="Z896" s="134"/>
      <c r="AA896" s="134"/>
    </row>
    <row r="897" ht="15.75" customHeight="1">
      <c r="A897" s="149"/>
      <c r="B897" s="149"/>
      <c r="C897" s="149"/>
      <c r="D897" s="149"/>
      <c r="E897" s="149"/>
      <c r="F897" s="149"/>
      <c r="G897" s="149"/>
      <c r="H897" s="135" t="str">
        <f>IFERROR(VLOOKUP(G897,'Conformance Score'!A:B, 2, 0), "")</f>
        <v/>
      </c>
      <c r="I897" s="150"/>
      <c r="J897" s="150"/>
      <c r="K897" s="134"/>
      <c r="L897" s="134"/>
      <c r="M897" s="134"/>
      <c r="N897" s="134"/>
      <c r="O897" s="134"/>
      <c r="P897" s="134"/>
      <c r="Q897" s="134"/>
      <c r="R897" s="134"/>
      <c r="S897" s="134"/>
      <c r="T897" s="134"/>
      <c r="U897" s="134"/>
      <c r="V897" s="134"/>
      <c r="W897" s="134"/>
      <c r="X897" s="134"/>
      <c r="Y897" s="134"/>
      <c r="Z897" s="134"/>
      <c r="AA897" s="134"/>
    </row>
    <row r="898" ht="15.75" customHeight="1">
      <c r="A898" s="149"/>
      <c r="B898" s="149"/>
      <c r="C898" s="149"/>
      <c r="D898" s="149"/>
      <c r="E898" s="149"/>
      <c r="F898" s="149"/>
      <c r="G898" s="149"/>
      <c r="H898" s="135" t="str">
        <f>IFERROR(VLOOKUP(G898,'Conformance Score'!A:B, 2, 0), "")</f>
        <v/>
      </c>
      <c r="I898" s="150"/>
      <c r="J898" s="150"/>
      <c r="K898" s="134"/>
      <c r="L898" s="134"/>
      <c r="M898" s="134"/>
      <c r="N898" s="134"/>
      <c r="O898" s="134"/>
      <c r="P898" s="134"/>
      <c r="Q898" s="134"/>
      <c r="R898" s="134"/>
      <c r="S898" s="134"/>
      <c r="T898" s="134"/>
      <c r="U898" s="134"/>
      <c r="V898" s="134"/>
      <c r="W898" s="134"/>
      <c r="X898" s="134"/>
      <c r="Y898" s="134"/>
      <c r="Z898" s="134"/>
      <c r="AA898" s="134"/>
    </row>
    <row r="899" ht="15.75" customHeight="1">
      <c r="A899" s="149"/>
      <c r="B899" s="149"/>
      <c r="C899" s="149"/>
      <c r="D899" s="149"/>
      <c r="E899" s="149"/>
      <c r="F899" s="149"/>
      <c r="G899" s="149"/>
      <c r="H899" s="135" t="str">
        <f>IFERROR(VLOOKUP(G899,'Conformance Score'!A:B, 2, 0), "")</f>
        <v/>
      </c>
      <c r="I899" s="150"/>
      <c r="J899" s="150"/>
      <c r="K899" s="134"/>
      <c r="L899" s="134"/>
      <c r="M899" s="134"/>
      <c r="N899" s="134"/>
      <c r="O899" s="134"/>
      <c r="P899" s="134"/>
      <c r="Q899" s="134"/>
      <c r="R899" s="134"/>
      <c r="S899" s="134"/>
      <c r="T899" s="134"/>
      <c r="U899" s="134"/>
      <c r="V899" s="134"/>
      <c r="W899" s="134"/>
      <c r="X899" s="134"/>
      <c r="Y899" s="134"/>
      <c r="Z899" s="134"/>
      <c r="AA899" s="134"/>
    </row>
    <row r="900" ht="15.75" customHeight="1">
      <c r="A900" s="149"/>
      <c r="B900" s="149"/>
      <c r="C900" s="149"/>
      <c r="D900" s="149"/>
      <c r="E900" s="149"/>
      <c r="F900" s="149"/>
      <c r="G900" s="149"/>
      <c r="H900" s="135" t="str">
        <f>IFERROR(VLOOKUP(G900,'Conformance Score'!A:B, 2, 0), "")</f>
        <v/>
      </c>
      <c r="I900" s="150"/>
      <c r="J900" s="150"/>
      <c r="K900" s="134"/>
      <c r="L900" s="134"/>
      <c r="M900" s="134"/>
      <c r="N900" s="134"/>
      <c r="O900" s="134"/>
      <c r="P900" s="134"/>
      <c r="Q900" s="134"/>
      <c r="R900" s="134"/>
      <c r="S900" s="134"/>
      <c r="T900" s="134"/>
      <c r="U900" s="134"/>
      <c r="V900" s="134"/>
      <c r="W900" s="134"/>
      <c r="X900" s="134"/>
      <c r="Y900" s="134"/>
      <c r="Z900" s="134"/>
      <c r="AA900" s="134"/>
    </row>
    <row r="901" ht="15.75" customHeight="1">
      <c r="A901" s="149"/>
      <c r="B901" s="149"/>
      <c r="C901" s="149"/>
      <c r="D901" s="149"/>
      <c r="E901" s="149"/>
      <c r="F901" s="149"/>
      <c r="G901" s="149"/>
      <c r="H901" s="135" t="str">
        <f>IFERROR(VLOOKUP(G901,'Conformance Score'!A:B, 2, 0), "")</f>
        <v/>
      </c>
      <c r="I901" s="150"/>
      <c r="J901" s="150"/>
      <c r="K901" s="134"/>
      <c r="L901" s="134"/>
      <c r="M901" s="134"/>
      <c r="N901" s="134"/>
      <c r="O901" s="134"/>
      <c r="P901" s="134"/>
      <c r="Q901" s="134"/>
      <c r="R901" s="134"/>
      <c r="S901" s="134"/>
      <c r="T901" s="134"/>
      <c r="U901" s="134"/>
      <c r="V901" s="134"/>
      <c r="W901" s="134"/>
      <c r="X901" s="134"/>
      <c r="Y901" s="134"/>
      <c r="Z901" s="134"/>
      <c r="AA901" s="134"/>
    </row>
    <row r="902" ht="15.75" customHeight="1">
      <c r="A902" s="149"/>
      <c r="B902" s="149"/>
      <c r="C902" s="149"/>
      <c r="D902" s="149"/>
      <c r="E902" s="149"/>
      <c r="F902" s="149"/>
      <c r="G902" s="149"/>
      <c r="H902" s="135" t="str">
        <f>IFERROR(VLOOKUP(G902,'Conformance Score'!A:B, 2, 0), "")</f>
        <v/>
      </c>
      <c r="I902" s="150"/>
      <c r="J902" s="150"/>
      <c r="K902" s="134"/>
      <c r="L902" s="134"/>
      <c r="M902" s="134"/>
      <c r="N902" s="134"/>
      <c r="O902" s="134"/>
      <c r="P902" s="134"/>
      <c r="Q902" s="134"/>
      <c r="R902" s="134"/>
      <c r="S902" s="134"/>
      <c r="T902" s="134"/>
      <c r="U902" s="134"/>
      <c r="V902" s="134"/>
      <c r="W902" s="134"/>
      <c r="X902" s="134"/>
      <c r="Y902" s="134"/>
      <c r="Z902" s="134"/>
      <c r="AA902" s="134"/>
    </row>
    <row r="903" ht="15.75" customHeight="1">
      <c r="A903" s="149"/>
      <c r="B903" s="149"/>
      <c r="C903" s="149"/>
      <c r="D903" s="149"/>
      <c r="E903" s="149"/>
      <c r="F903" s="149"/>
      <c r="G903" s="149"/>
      <c r="H903" s="135" t="str">
        <f>IFERROR(VLOOKUP(G903,'Conformance Score'!A:B, 2, 0), "")</f>
        <v/>
      </c>
      <c r="I903" s="150"/>
      <c r="J903" s="150"/>
      <c r="K903" s="134"/>
      <c r="L903" s="134"/>
      <c r="M903" s="134"/>
      <c r="N903" s="134"/>
      <c r="O903" s="134"/>
      <c r="P903" s="134"/>
      <c r="Q903" s="134"/>
      <c r="R903" s="134"/>
      <c r="S903" s="134"/>
      <c r="T903" s="134"/>
      <c r="U903" s="134"/>
      <c r="V903" s="134"/>
      <c r="W903" s="134"/>
      <c r="X903" s="134"/>
      <c r="Y903" s="134"/>
      <c r="Z903" s="134"/>
      <c r="AA903" s="134"/>
    </row>
    <row r="904" ht="15.75" customHeight="1">
      <c r="A904" s="149"/>
      <c r="B904" s="149"/>
      <c r="C904" s="149"/>
      <c r="D904" s="149"/>
      <c r="E904" s="149"/>
      <c r="F904" s="149"/>
      <c r="G904" s="149"/>
      <c r="H904" s="135" t="str">
        <f>IFERROR(VLOOKUP(G904,'Conformance Score'!A:B, 2, 0), "")</f>
        <v/>
      </c>
      <c r="I904" s="150"/>
      <c r="J904" s="150"/>
      <c r="K904" s="134"/>
      <c r="L904" s="134"/>
      <c r="M904" s="134"/>
      <c r="N904" s="134"/>
      <c r="O904" s="134"/>
      <c r="P904" s="134"/>
      <c r="Q904" s="134"/>
      <c r="R904" s="134"/>
      <c r="S904" s="134"/>
      <c r="T904" s="134"/>
      <c r="U904" s="134"/>
      <c r="V904" s="134"/>
      <c r="W904" s="134"/>
      <c r="X904" s="134"/>
      <c r="Y904" s="134"/>
      <c r="Z904" s="134"/>
      <c r="AA904" s="134"/>
    </row>
    <row r="905" ht="15.75" customHeight="1">
      <c r="A905" s="149"/>
      <c r="B905" s="149"/>
      <c r="C905" s="149"/>
      <c r="D905" s="149"/>
      <c r="E905" s="149"/>
      <c r="F905" s="149"/>
      <c r="G905" s="149"/>
      <c r="H905" s="135" t="str">
        <f>IFERROR(VLOOKUP(G905,'Conformance Score'!A:B, 2, 0), "")</f>
        <v/>
      </c>
      <c r="I905" s="150"/>
      <c r="J905" s="150"/>
      <c r="K905" s="134"/>
      <c r="L905" s="134"/>
      <c r="M905" s="134"/>
      <c r="N905" s="134"/>
      <c r="O905" s="134"/>
      <c r="P905" s="134"/>
      <c r="Q905" s="134"/>
      <c r="R905" s="134"/>
      <c r="S905" s="134"/>
      <c r="T905" s="134"/>
      <c r="U905" s="134"/>
      <c r="V905" s="134"/>
      <c r="W905" s="134"/>
      <c r="X905" s="134"/>
      <c r="Y905" s="134"/>
      <c r="Z905" s="134"/>
      <c r="AA905" s="134"/>
    </row>
    <row r="906" ht="15.75" customHeight="1">
      <c r="A906" s="149"/>
      <c r="B906" s="149"/>
      <c r="C906" s="149"/>
      <c r="D906" s="149"/>
      <c r="E906" s="149"/>
      <c r="F906" s="149"/>
      <c r="G906" s="149"/>
      <c r="H906" s="135" t="str">
        <f>IFERROR(VLOOKUP(G906,'Conformance Score'!A:B, 2, 0), "")</f>
        <v/>
      </c>
      <c r="I906" s="150"/>
      <c r="J906" s="150"/>
      <c r="K906" s="134"/>
      <c r="L906" s="134"/>
      <c r="M906" s="134"/>
      <c r="N906" s="134"/>
      <c r="O906" s="134"/>
      <c r="P906" s="134"/>
      <c r="Q906" s="134"/>
      <c r="R906" s="134"/>
      <c r="S906" s="134"/>
      <c r="T906" s="134"/>
      <c r="U906" s="134"/>
      <c r="V906" s="134"/>
      <c r="W906" s="134"/>
      <c r="X906" s="134"/>
      <c r="Y906" s="134"/>
      <c r="Z906" s="134"/>
      <c r="AA906" s="134"/>
    </row>
    <row r="907" ht="15.75" customHeight="1">
      <c r="A907" s="149"/>
      <c r="B907" s="149"/>
      <c r="C907" s="149"/>
      <c r="D907" s="149"/>
      <c r="E907" s="149"/>
      <c r="F907" s="149"/>
      <c r="G907" s="149"/>
      <c r="H907" s="135" t="str">
        <f>IFERROR(VLOOKUP(G907,'Conformance Score'!A:B, 2, 0), "")</f>
        <v/>
      </c>
      <c r="I907" s="150"/>
      <c r="J907" s="150"/>
      <c r="K907" s="134"/>
      <c r="L907" s="134"/>
      <c r="M907" s="134"/>
      <c r="N907" s="134"/>
      <c r="O907" s="134"/>
      <c r="P907" s="134"/>
      <c r="Q907" s="134"/>
      <c r="R907" s="134"/>
      <c r="S907" s="134"/>
      <c r="T907" s="134"/>
      <c r="U907" s="134"/>
      <c r="V907" s="134"/>
      <c r="W907" s="134"/>
      <c r="X907" s="134"/>
      <c r="Y907" s="134"/>
      <c r="Z907" s="134"/>
      <c r="AA907" s="134"/>
    </row>
    <row r="908" ht="15.75" customHeight="1">
      <c r="A908" s="149"/>
      <c r="B908" s="149"/>
      <c r="C908" s="149"/>
      <c r="D908" s="149"/>
      <c r="E908" s="149"/>
      <c r="F908" s="149"/>
      <c r="G908" s="149"/>
      <c r="H908" s="135" t="str">
        <f>IFERROR(VLOOKUP(G908,'Conformance Score'!A:B, 2, 0), "")</f>
        <v/>
      </c>
      <c r="I908" s="150"/>
      <c r="J908" s="150"/>
      <c r="K908" s="134"/>
      <c r="L908" s="134"/>
      <c r="M908" s="134"/>
      <c r="N908" s="134"/>
      <c r="O908" s="134"/>
      <c r="P908" s="134"/>
      <c r="Q908" s="134"/>
      <c r="R908" s="134"/>
      <c r="S908" s="134"/>
      <c r="T908" s="134"/>
      <c r="U908" s="134"/>
      <c r="V908" s="134"/>
      <c r="W908" s="134"/>
      <c r="X908" s="134"/>
      <c r="Y908" s="134"/>
      <c r="Z908" s="134"/>
      <c r="AA908" s="134"/>
    </row>
    <row r="909" ht="15.75" customHeight="1">
      <c r="A909" s="149"/>
      <c r="B909" s="149"/>
      <c r="C909" s="149"/>
      <c r="D909" s="149"/>
      <c r="E909" s="149"/>
      <c r="F909" s="149"/>
      <c r="G909" s="149"/>
      <c r="H909" s="135" t="str">
        <f>IFERROR(VLOOKUP(G909,'Conformance Score'!A:B, 2, 0), "")</f>
        <v/>
      </c>
      <c r="I909" s="150"/>
      <c r="J909" s="150"/>
      <c r="K909" s="134"/>
      <c r="L909" s="134"/>
      <c r="M909" s="134"/>
      <c r="N909" s="134"/>
      <c r="O909" s="134"/>
      <c r="P909" s="134"/>
      <c r="Q909" s="134"/>
      <c r="R909" s="134"/>
      <c r="S909" s="134"/>
      <c r="T909" s="134"/>
      <c r="U909" s="134"/>
      <c r="V909" s="134"/>
      <c r="W909" s="134"/>
      <c r="X909" s="134"/>
      <c r="Y909" s="134"/>
      <c r="Z909" s="134"/>
      <c r="AA909" s="134"/>
    </row>
    <row r="910" ht="15.75" customHeight="1">
      <c r="A910" s="149"/>
      <c r="B910" s="149"/>
      <c r="C910" s="149"/>
      <c r="D910" s="149"/>
      <c r="E910" s="149"/>
      <c r="F910" s="149"/>
      <c r="G910" s="149"/>
      <c r="H910" s="135" t="str">
        <f>IFERROR(VLOOKUP(G910,'Conformance Score'!A:B, 2, 0), "")</f>
        <v/>
      </c>
      <c r="I910" s="150"/>
      <c r="J910" s="150"/>
      <c r="K910" s="134"/>
      <c r="L910" s="134"/>
      <c r="M910" s="134"/>
      <c r="N910" s="134"/>
      <c r="O910" s="134"/>
      <c r="P910" s="134"/>
      <c r="Q910" s="134"/>
      <c r="R910" s="134"/>
      <c r="S910" s="134"/>
      <c r="T910" s="134"/>
      <c r="U910" s="134"/>
      <c r="V910" s="134"/>
      <c r="W910" s="134"/>
      <c r="X910" s="134"/>
      <c r="Y910" s="134"/>
      <c r="Z910" s="134"/>
      <c r="AA910" s="134"/>
    </row>
    <row r="911" ht="15.75" customHeight="1">
      <c r="A911" s="149"/>
      <c r="B911" s="149"/>
      <c r="C911" s="149"/>
      <c r="D911" s="149"/>
      <c r="E911" s="149"/>
      <c r="F911" s="149"/>
      <c r="G911" s="149"/>
      <c r="H911" s="135" t="str">
        <f>IFERROR(VLOOKUP(G911,'Conformance Score'!A:B, 2, 0), "")</f>
        <v/>
      </c>
      <c r="I911" s="150"/>
      <c r="J911" s="150"/>
      <c r="K911" s="134"/>
      <c r="L911" s="134"/>
      <c r="M911" s="134"/>
      <c r="N911" s="134"/>
      <c r="O911" s="134"/>
      <c r="P911" s="134"/>
      <c r="Q911" s="134"/>
      <c r="R911" s="134"/>
      <c r="S911" s="134"/>
      <c r="T911" s="134"/>
      <c r="U911" s="134"/>
      <c r="V911" s="134"/>
      <c r="W911" s="134"/>
      <c r="X911" s="134"/>
      <c r="Y911" s="134"/>
      <c r="Z911" s="134"/>
      <c r="AA911" s="134"/>
    </row>
    <row r="912" ht="15.75" customHeight="1">
      <c r="A912" s="149"/>
      <c r="B912" s="149"/>
      <c r="C912" s="149"/>
      <c r="D912" s="149"/>
      <c r="E912" s="149"/>
      <c r="F912" s="149"/>
      <c r="G912" s="149"/>
      <c r="H912" s="135" t="str">
        <f>IFERROR(VLOOKUP(G912,'Conformance Score'!A:B, 2, 0), "")</f>
        <v/>
      </c>
      <c r="I912" s="150"/>
      <c r="J912" s="150"/>
      <c r="K912" s="134"/>
      <c r="L912" s="134"/>
      <c r="M912" s="134"/>
      <c r="N912" s="134"/>
      <c r="O912" s="134"/>
      <c r="P912" s="134"/>
      <c r="Q912" s="134"/>
      <c r="R912" s="134"/>
      <c r="S912" s="134"/>
      <c r="T912" s="134"/>
      <c r="U912" s="134"/>
      <c r="V912" s="134"/>
      <c r="W912" s="134"/>
      <c r="X912" s="134"/>
      <c r="Y912" s="134"/>
      <c r="Z912" s="134"/>
      <c r="AA912" s="134"/>
    </row>
    <row r="913" ht="15.75" customHeight="1">
      <c r="A913" s="149"/>
      <c r="B913" s="149"/>
      <c r="C913" s="149"/>
      <c r="D913" s="149"/>
      <c r="E913" s="149"/>
      <c r="F913" s="149"/>
      <c r="G913" s="149"/>
      <c r="H913" s="135" t="str">
        <f>IFERROR(VLOOKUP(G913,'Conformance Score'!A:B, 2, 0), "")</f>
        <v/>
      </c>
      <c r="I913" s="150"/>
      <c r="J913" s="150"/>
      <c r="K913" s="134"/>
      <c r="L913" s="134"/>
      <c r="M913" s="134"/>
      <c r="N913" s="134"/>
      <c r="O913" s="134"/>
      <c r="P913" s="134"/>
      <c r="Q913" s="134"/>
      <c r="R913" s="134"/>
      <c r="S913" s="134"/>
      <c r="T913" s="134"/>
      <c r="U913" s="134"/>
      <c r="V913" s="134"/>
      <c r="W913" s="134"/>
      <c r="X913" s="134"/>
      <c r="Y913" s="134"/>
      <c r="Z913" s="134"/>
      <c r="AA913" s="134"/>
    </row>
    <row r="914" ht="15.75" customHeight="1">
      <c r="A914" s="149"/>
      <c r="B914" s="149"/>
      <c r="C914" s="149"/>
      <c r="D914" s="149"/>
      <c r="E914" s="149"/>
      <c r="F914" s="149"/>
      <c r="G914" s="149"/>
      <c r="H914" s="135" t="str">
        <f>IFERROR(VLOOKUP(G914,'Conformance Score'!A:B, 2, 0), "")</f>
        <v/>
      </c>
      <c r="I914" s="150"/>
      <c r="J914" s="150"/>
      <c r="K914" s="134"/>
      <c r="L914" s="134"/>
      <c r="M914" s="134"/>
      <c r="N914" s="134"/>
      <c r="O914" s="134"/>
      <c r="P914" s="134"/>
      <c r="Q914" s="134"/>
      <c r="R914" s="134"/>
      <c r="S914" s="134"/>
      <c r="T914" s="134"/>
      <c r="U914" s="134"/>
      <c r="V914" s="134"/>
      <c r="W914" s="134"/>
      <c r="X914" s="134"/>
      <c r="Y914" s="134"/>
      <c r="Z914" s="134"/>
      <c r="AA914" s="134"/>
    </row>
    <row r="915" ht="15.75" customHeight="1">
      <c r="A915" s="149"/>
      <c r="B915" s="149"/>
      <c r="C915" s="149"/>
      <c r="D915" s="149"/>
      <c r="E915" s="149"/>
      <c r="F915" s="149"/>
      <c r="G915" s="149"/>
      <c r="H915" s="135" t="str">
        <f>IFERROR(VLOOKUP(G915,'Conformance Score'!A:B, 2, 0), "")</f>
        <v/>
      </c>
      <c r="I915" s="150"/>
      <c r="J915" s="150"/>
      <c r="K915" s="134"/>
      <c r="L915" s="134"/>
      <c r="M915" s="134"/>
      <c r="N915" s="134"/>
      <c r="O915" s="134"/>
      <c r="P915" s="134"/>
      <c r="Q915" s="134"/>
      <c r="R915" s="134"/>
      <c r="S915" s="134"/>
      <c r="T915" s="134"/>
      <c r="U915" s="134"/>
      <c r="V915" s="134"/>
      <c r="W915" s="134"/>
      <c r="X915" s="134"/>
      <c r="Y915" s="134"/>
      <c r="Z915" s="134"/>
      <c r="AA915" s="134"/>
    </row>
    <row r="916" ht="15.75" customHeight="1">
      <c r="A916" s="149"/>
      <c r="B916" s="149"/>
      <c r="C916" s="149"/>
      <c r="D916" s="149"/>
      <c r="E916" s="149"/>
      <c r="F916" s="149"/>
      <c r="G916" s="149"/>
      <c r="H916" s="135" t="str">
        <f>IFERROR(VLOOKUP(G916,'Conformance Score'!A:B, 2, 0), "")</f>
        <v/>
      </c>
      <c r="I916" s="150"/>
      <c r="J916" s="150"/>
      <c r="K916" s="134"/>
      <c r="L916" s="134"/>
      <c r="M916" s="134"/>
      <c r="N916" s="134"/>
      <c r="O916" s="134"/>
      <c r="P916" s="134"/>
      <c r="Q916" s="134"/>
      <c r="R916" s="134"/>
      <c r="S916" s="134"/>
      <c r="T916" s="134"/>
      <c r="U916" s="134"/>
      <c r="V916" s="134"/>
      <c r="W916" s="134"/>
      <c r="X916" s="134"/>
      <c r="Y916" s="134"/>
      <c r="Z916" s="134"/>
      <c r="AA916" s="134"/>
    </row>
    <row r="917" ht="15.75" customHeight="1">
      <c r="A917" s="149"/>
      <c r="B917" s="149"/>
      <c r="C917" s="149"/>
      <c r="D917" s="149"/>
      <c r="E917" s="149"/>
      <c r="F917" s="149"/>
      <c r="G917" s="149"/>
      <c r="H917" s="135" t="str">
        <f>IFERROR(VLOOKUP(G917,'Conformance Score'!A:B, 2, 0), "")</f>
        <v/>
      </c>
      <c r="I917" s="150"/>
      <c r="J917" s="150"/>
      <c r="K917" s="134"/>
      <c r="L917" s="134"/>
      <c r="M917" s="134"/>
      <c r="N917" s="134"/>
      <c r="O917" s="134"/>
      <c r="P917" s="134"/>
      <c r="Q917" s="134"/>
      <c r="R917" s="134"/>
      <c r="S917" s="134"/>
      <c r="T917" s="134"/>
      <c r="U917" s="134"/>
      <c r="V917" s="134"/>
      <c r="W917" s="134"/>
      <c r="X917" s="134"/>
      <c r="Y917" s="134"/>
      <c r="Z917" s="134"/>
      <c r="AA917" s="134"/>
    </row>
    <row r="918" ht="15.75" customHeight="1">
      <c r="A918" s="149"/>
      <c r="B918" s="149"/>
      <c r="C918" s="149"/>
      <c r="D918" s="149"/>
      <c r="E918" s="149"/>
      <c r="F918" s="149"/>
      <c r="G918" s="149"/>
      <c r="H918" s="135" t="str">
        <f>IFERROR(VLOOKUP(G918,'Conformance Score'!A:B, 2, 0), "")</f>
        <v/>
      </c>
      <c r="I918" s="150"/>
      <c r="J918" s="150"/>
      <c r="K918" s="134"/>
      <c r="L918" s="134"/>
      <c r="M918" s="134"/>
      <c r="N918" s="134"/>
      <c r="O918" s="134"/>
      <c r="P918" s="134"/>
      <c r="Q918" s="134"/>
      <c r="R918" s="134"/>
      <c r="S918" s="134"/>
      <c r="T918" s="134"/>
      <c r="U918" s="134"/>
      <c r="V918" s="134"/>
      <c r="W918" s="134"/>
      <c r="X918" s="134"/>
      <c r="Y918" s="134"/>
      <c r="Z918" s="134"/>
      <c r="AA918" s="134"/>
    </row>
    <row r="919" ht="15.75" customHeight="1">
      <c r="A919" s="149"/>
      <c r="B919" s="149"/>
      <c r="C919" s="149"/>
      <c r="D919" s="149"/>
      <c r="E919" s="149"/>
      <c r="F919" s="149"/>
      <c r="G919" s="149"/>
      <c r="H919" s="135" t="str">
        <f>IFERROR(VLOOKUP(G919,'Conformance Score'!A:B, 2, 0), "")</f>
        <v/>
      </c>
      <c r="I919" s="150"/>
      <c r="J919" s="150"/>
      <c r="K919" s="134"/>
      <c r="L919" s="134"/>
      <c r="M919" s="134"/>
      <c r="N919" s="134"/>
      <c r="O919" s="134"/>
      <c r="P919" s="134"/>
      <c r="Q919" s="134"/>
      <c r="R919" s="134"/>
      <c r="S919" s="134"/>
      <c r="T919" s="134"/>
      <c r="U919" s="134"/>
      <c r="V919" s="134"/>
      <c r="W919" s="134"/>
      <c r="X919" s="134"/>
      <c r="Y919" s="134"/>
      <c r="Z919" s="134"/>
      <c r="AA919" s="134"/>
    </row>
    <row r="920" ht="15.75" customHeight="1">
      <c r="A920" s="149"/>
      <c r="B920" s="149"/>
      <c r="C920" s="149"/>
      <c r="D920" s="149"/>
      <c r="E920" s="149"/>
      <c r="F920" s="149"/>
      <c r="G920" s="149"/>
      <c r="H920" s="135" t="str">
        <f>IFERROR(VLOOKUP(G920,'Conformance Score'!A:B, 2, 0), "")</f>
        <v/>
      </c>
      <c r="I920" s="150"/>
      <c r="J920" s="150"/>
      <c r="K920" s="134"/>
      <c r="L920" s="134"/>
      <c r="M920" s="134"/>
      <c r="N920" s="134"/>
      <c r="O920" s="134"/>
      <c r="P920" s="134"/>
      <c r="Q920" s="134"/>
      <c r="R920" s="134"/>
      <c r="S920" s="134"/>
      <c r="T920" s="134"/>
      <c r="U920" s="134"/>
      <c r="V920" s="134"/>
      <c r="W920" s="134"/>
      <c r="X920" s="134"/>
      <c r="Y920" s="134"/>
      <c r="Z920" s="134"/>
      <c r="AA920" s="134"/>
    </row>
    <row r="921" ht="15.75" customHeight="1">
      <c r="A921" s="149"/>
      <c r="B921" s="149"/>
      <c r="C921" s="149"/>
      <c r="D921" s="149"/>
      <c r="E921" s="149"/>
      <c r="F921" s="149"/>
      <c r="G921" s="149"/>
      <c r="H921" s="135" t="str">
        <f>IFERROR(VLOOKUP(G921,'Conformance Score'!A:B, 2, 0), "")</f>
        <v/>
      </c>
      <c r="I921" s="150"/>
      <c r="J921" s="150"/>
      <c r="K921" s="134"/>
      <c r="L921" s="134"/>
      <c r="M921" s="134"/>
      <c r="N921" s="134"/>
      <c r="O921" s="134"/>
      <c r="P921" s="134"/>
      <c r="Q921" s="134"/>
      <c r="R921" s="134"/>
      <c r="S921" s="134"/>
      <c r="T921" s="134"/>
      <c r="U921" s="134"/>
      <c r="V921" s="134"/>
      <c r="W921" s="134"/>
      <c r="X921" s="134"/>
      <c r="Y921" s="134"/>
      <c r="Z921" s="134"/>
      <c r="AA921" s="134"/>
    </row>
    <row r="922" ht="15.75" customHeight="1">
      <c r="A922" s="149"/>
      <c r="B922" s="149"/>
      <c r="C922" s="149"/>
      <c r="D922" s="149"/>
      <c r="E922" s="149"/>
      <c r="F922" s="149"/>
      <c r="G922" s="149"/>
      <c r="H922" s="135" t="str">
        <f>IFERROR(VLOOKUP(G922,'Conformance Score'!A:B, 2, 0), "")</f>
        <v/>
      </c>
      <c r="I922" s="150"/>
      <c r="J922" s="150"/>
      <c r="K922" s="134"/>
      <c r="L922" s="134"/>
      <c r="M922" s="134"/>
      <c r="N922" s="134"/>
      <c r="O922" s="134"/>
      <c r="P922" s="134"/>
      <c r="Q922" s="134"/>
      <c r="R922" s="134"/>
      <c r="S922" s="134"/>
      <c r="T922" s="134"/>
      <c r="U922" s="134"/>
      <c r="V922" s="134"/>
      <c r="W922" s="134"/>
      <c r="X922" s="134"/>
      <c r="Y922" s="134"/>
      <c r="Z922" s="134"/>
      <c r="AA922" s="134"/>
    </row>
    <row r="923" ht="15.75" customHeight="1">
      <c r="A923" s="149"/>
      <c r="B923" s="149"/>
      <c r="C923" s="149"/>
      <c r="D923" s="149"/>
      <c r="E923" s="149"/>
      <c r="F923" s="149"/>
      <c r="G923" s="149"/>
      <c r="H923" s="135" t="str">
        <f>IFERROR(VLOOKUP(G923,'Conformance Score'!A:B, 2, 0), "")</f>
        <v/>
      </c>
      <c r="I923" s="150"/>
      <c r="J923" s="150"/>
      <c r="K923" s="134"/>
      <c r="L923" s="134"/>
      <c r="M923" s="134"/>
      <c r="N923" s="134"/>
      <c r="O923" s="134"/>
      <c r="P923" s="134"/>
      <c r="Q923" s="134"/>
      <c r="R923" s="134"/>
      <c r="S923" s="134"/>
      <c r="T923" s="134"/>
      <c r="U923" s="134"/>
      <c r="V923" s="134"/>
      <c r="W923" s="134"/>
      <c r="X923" s="134"/>
      <c r="Y923" s="134"/>
      <c r="Z923" s="134"/>
      <c r="AA923" s="134"/>
    </row>
    <row r="924" ht="15.75" customHeight="1">
      <c r="A924" s="149"/>
      <c r="B924" s="149"/>
      <c r="C924" s="149"/>
      <c r="D924" s="149"/>
      <c r="E924" s="149"/>
      <c r="F924" s="149"/>
      <c r="G924" s="149"/>
      <c r="H924" s="135" t="str">
        <f>IFERROR(VLOOKUP(G924,'Conformance Score'!A:B, 2, 0), "")</f>
        <v/>
      </c>
      <c r="I924" s="150"/>
      <c r="J924" s="150"/>
      <c r="K924" s="134"/>
      <c r="L924" s="134"/>
      <c r="M924" s="134"/>
      <c r="N924" s="134"/>
      <c r="O924" s="134"/>
      <c r="P924" s="134"/>
      <c r="Q924" s="134"/>
      <c r="R924" s="134"/>
      <c r="S924" s="134"/>
      <c r="T924" s="134"/>
      <c r="U924" s="134"/>
      <c r="V924" s="134"/>
      <c r="W924" s="134"/>
      <c r="X924" s="134"/>
      <c r="Y924" s="134"/>
      <c r="Z924" s="134"/>
      <c r="AA924" s="134"/>
    </row>
    <row r="925" ht="15.75" customHeight="1">
      <c r="A925" s="149"/>
      <c r="B925" s="149"/>
      <c r="C925" s="149"/>
      <c r="D925" s="149"/>
      <c r="E925" s="149"/>
      <c r="F925" s="149"/>
      <c r="G925" s="149"/>
      <c r="H925" s="135" t="str">
        <f>IFERROR(VLOOKUP(G925,'Conformance Score'!A:B, 2, 0), "")</f>
        <v/>
      </c>
      <c r="I925" s="150"/>
      <c r="J925" s="150"/>
      <c r="K925" s="134"/>
      <c r="L925" s="134"/>
      <c r="M925" s="134"/>
      <c r="N925" s="134"/>
      <c r="O925" s="134"/>
      <c r="P925" s="134"/>
      <c r="Q925" s="134"/>
      <c r="R925" s="134"/>
      <c r="S925" s="134"/>
      <c r="T925" s="134"/>
      <c r="U925" s="134"/>
      <c r="V925" s="134"/>
      <c r="W925" s="134"/>
      <c r="X925" s="134"/>
      <c r="Y925" s="134"/>
      <c r="Z925" s="134"/>
      <c r="AA925" s="134"/>
    </row>
    <row r="926" ht="15.75" customHeight="1">
      <c r="A926" s="149"/>
      <c r="B926" s="149"/>
      <c r="C926" s="149"/>
      <c r="D926" s="149"/>
      <c r="E926" s="149"/>
      <c r="F926" s="149"/>
      <c r="G926" s="149"/>
      <c r="H926" s="135" t="str">
        <f>IFERROR(VLOOKUP(G926,'Conformance Score'!A:B, 2, 0), "")</f>
        <v/>
      </c>
      <c r="I926" s="150"/>
      <c r="J926" s="150"/>
      <c r="K926" s="134"/>
      <c r="L926" s="134"/>
      <c r="M926" s="134"/>
      <c r="N926" s="134"/>
      <c r="O926" s="134"/>
      <c r="P926" s="134"/>
      <c r="Q926" s="134"/>
      <c r="R926" s="134"/>
      <c r="S926" s="134"/>
      <c r="T926" s="134"/>
      <c r="U926" s="134"/>
      <c r="V926" s="134"/>
      <c r="W926" s="134"/>
      <c r="X926" s="134"/>
      <c r="Y926" s="134"/>
      <c r="Z926" s="134"/>
      <c r="AA926" s="134"/>
    </row>
    <row r="927" ht="15.75" customHeight="1">
      <c r="A927" s="149"/>
      <c r="B927" s="149"/>
      <c r="C927" s="149"/>
      <c r="D927" s="149"/>
      <c r="E927" s="149"/>
      <c r="F927" s="149"/>
      <c r="G927" s="149"/>
      <c r="H927" s="135" t="str">
        <f>IFERROR(VLOOKUP(G927,'Conformance Score'!A:B, 2, 0), "")</f>
        <v/>
      </c>
      <c r="I927" s="150"/>
      <c r="J927" s="150"/>
      <c r="K927" s="134"/>
      <c r="L927" s="134"/>
      <c r="M927" s="134"/>
      <c r="N927" s="134"/>
      <c r="O927" s="134"/>
      <c r="P927" s="134"/>
      <c r="Q927" s="134"/>
      <c r="R927" s="134"/>
      <c r="S927" s="134"/>
      <c r="T927" s="134"/>
      <c r="U927" s="134"/>
      <c r="V927" s="134"/>
      <c r="W927" s="134"/>
      <c r="X927" s="134"/>
      <c r="Y927" s="134"/>
      <c r="Z927" s="134"/>
      <c r="AA927" s="134"/>
    </row>
    <row r="928" ht="15.75" customHeight="1">
      <c r="A928" s="149"/>
      <c r="B928" s="149"/>
      <c r="C928" s="149"/>
      <c r="D928" s="149"/>
      <c r="E928" s="149"/>
      <c r="F928" s="149"/>
      <c r="G928" s="149"/>
      <c r="H928" s="135" t="str">
        <f>IFERROR(VLOOKUP(G928,'Conformance Score'!A:B, 2, 0), "")</f>
        <v/>
      </c>
      <c r="I928" s="150"/>
      <c r="J928" s="150"/>
      <c r="K928" s="134"/>
      <c r="L928" s="134"/>
      <c r="M928" s="134"/>
      <c r="N928" s="134"/>
      <c r="O928" s="134"/>
      <c r="P928" s="134"/>
      <c r="Q928" s="134"/>
      <c r="R928" s="134"/>
      <c r="S928" s="134"/>
      <c r="T928" s="134"/>
      <c r="U928" s="134"/>
      <c r="V928" s="134"/>
      <c r="W928" s="134"/>
      <c r="X928" s="134"/>
      <c r="Y928" s="134"/>
      <c r="Z928" s="134"/>
      <c r="AA928" s="134"/>
    </row>
    <row r="929" ht="15.75" customHeight="1">
      <c r="A929" s="149"/>
      <c r="B929" s="149"/>
      <c r="C929" s="149"/>
      <c r="D929" s="149"/>
      <c r="E929" s="149"/>
      <c r="F929" s="149"/>
      <c r="G929" s="149"/>
      <c r="H929" s="135" t="str">
        <f>IFERROR(VLOOKUP(G929,'Conformance Score'!A:B, 2, 0), "")</f>
        <v/>
      </c>
      <c r="I929" s="150"/>
      <c r="J929" s="150"/>
      <c r="K929" s="134"/>
      <c r="L929" s="134"/>
      <c r="M929" s="134"/>
      <c r="N929" s="134"/>
      <c r="O929" s="134"/>
      <c r="P929" s="134"/>
      <c r="Q929" s="134"/>
      <c r="R929" s="134"/>
      <c r="S929" s="134"/>
      <c r="T929" s="134"/>
      <c r="U929" s="134"/>
      <c r="V929" s="134"/>
      <c r="W929" s="134"/>
      <c r="X929" s="134"/>
      <c r="Y929" s="134"/>
      <c r="Z929" s="134"/>
      <c r="AA929" s="134"/>
    </row>
    <row r="930" ht="15.75" customHeight="1">
      <c r="A930" s="149"/>
      <c r="B930" s="149"/>
      <c r="C930" s="149"/>
      <c r="D930" s="149"/>
      <c r="E930" s="149"/>
      <c r="F930" s="149"/>
      <c r="G930" s="149"/>
      <c r="H930" s="135" t="str">
        <f>IFERROR(VLOOKUP(G930,'Conformance Score'!A:B, 2, 0), "")</f>
        <v/>
      </c>
      <c r="I930" s="150"/>
      <c r="J930" s="150"/>
      <c r="K930" s="134"/>
      <c r="L930" s="134"/>
      <c r="M930" s="134"/>
      <c r="N930" s="134"/>
      <c r="O930" s="134"/>
      <c r="P930" s="134"/>
      <c r="Q930" s="134"/>
      <c r="R930" s="134"/>
      <c r="S930" s="134"/>
      <c r="T930" s="134"/>
      <c r="U930" s="134"/>
      <c r="V930" s="134"/>
      <c r="W930" s="134"/>
      <c r="X930" s="134"/>
      <c r="Y930" s="134"/>
      <c r="Z930" s="134"/>
      <c r="AA930" s="134"/>
    </row>
    <row r="931" ht="15.75" customHeight="1">
      <c r="A931" s="149"/>
      <c r="B931" s="149"/>
      <c r="C931" s="149"/>
      <c r="D931" s="149"/>
      <c r="E931" s="149"/>
      <c r="F931" s="149"/>
      <c r="G931" s="149"/>
      <c r="H931" s="135" t="str">
        <f>IFERROR(VLOOKUP(G931,'Conformance Score'!A:B, 2, 0), "")</f>
        <v/>
      </c>
      <c r="I931" s="150"/>
      <c r="J931" s="150"/>
      <c r="K931" s="134"/>
      <c r="L931" s="134"/>
      <c r="M931" s="134"/>
      <c r="N931" s="134"/>
      <c r="O931" s="134"/>
      <c r="P931" s="134"/>
      <c r="Q931" s="134"/>
      <c r="R931" s="134"/>
      <c r="S931" s="134"/>
      <c r="T931" s="134"/>
      <c r="U931" s="134"/>
      <c r="V931" s="134"/>
      <c r="W931" s="134"/>
      <c r="X931" s="134"/>
      <c r="Y931" s="134"/>
      <c r="Z931" s="134"/>
      <c r="AA931" s="134"/>
    </row>
    <row r="932" ht="15.75" customHeight="1">
      <c r="A932" s="149"/>
      <c r="B932" s="149"/>
      <c r="C932" s="149"/>
      <c r="D932" s="149"/>
      <c r="E932" s="149"/>
      <c r="F932" s="149"/>
      <c r="G932" s="149"/>
      <c r="H932" s="135" t="str">
        <f>IFERROR(VLOOKUP(G932,'Conformance Score'!A:B, 2, 0), "")</f>
        <v/>
      </c>
      <c r="I932" s="150"/>
      <c r="J932" s="150"/>
      <c r="K932" s="134"/>
      <c r="L932" s="134"/>
      <c r="M932" s="134"/>
      <c r="N932" s="134"/>
      <c r="O932" s="134"/>
      <c r="P932" s="134"/>
      <c r="Q932" s="134"/>
      <c r="R932" s="134"/>
      <c r="S932" s="134"/>
      <c r="T932" s="134"/>
      <c r="U932" s="134"/>
      <c r="V932" s="134"/>
      <c r="W932" s="134"/>
      <c r="X932" s="134"/>
      <c r="Y932" s="134"/>
      <c r="Z932" s="134"/>
      <c r="AA932" s="134"/>
    </row>
    <row r="933" ht="15.75" customHeight="1">
      <c r="A933" s="149"/>
      <c r="B933" s="149"/>
      <c r="C933" s="149"/>
      <c r="D933" s="149"/>
      <c r="E933" s="149"/>
      <c r="F933" s="149"/>
      <c r="G933" s="149"/>
      <c r="H933" s="135" t="str">
        <f>IFERROR(VLOOKUP(G933,'Conformance Score'!A:B, 2, 0), "")</f>
        <v/>
      </c>
      <c r="I933" s="150"/>
      <c r="J933" s="150"/>
      <c r="K933" s="134"/>
      <c r="L933" s="134"/>
      <c r="M933" s="134"/>
      <c r="N933" s="134"/>
      <c r="O933" s="134"/>
      <c r="P933" s="134"/>
      <c r="Q933" s="134"/>
      <c r="R933" s="134"/>
      <c r="S933" s="134"/>
      <c r="T933" s="134"/>
      <c r="U933" s="134"/>
      <c r="V933" s="134"/>
      <c r="W933" s="134"/>
      <c r="X933" s="134"/>
      <c r="Y933" s="134"/>
      <c r="Z933" s="134"/>
      <c r="AA933" s="134"/>
    </row>
    <row r="934" ht="15.75" customHeight="1">
      <c r="A934" s="149"/>
      <c r="B934" s="149"/>
      <c r="C934" s="149"/>
      <c r="D934" s="149"/>
      <c r="E934" s="149"/>
      <c r="F934" s="149"/>
      <c r="G934" s="149"/>
      <c r="H934" s="135" t="str">
        <f>IFERROR(VLOOKUP(G934,'Conformance Score'!A:B, 2, 0), "")</f>
        <v/>
      </c>
      <c r="I934" s="150"/>
      <c r="J934" s="150"/>
      <c r="K934" s="134"/>
      <c r="L934" s="134"/>
      <c r="M934" s="134"/>
      <c r="N934" s="134"/>
      <c r="O934" s="134"/>
      <c r="P934" s="134"/>
      <c r="Q934" s="134"/>
      <c r="R934" s="134"/>
      <c r="S934" s="134"/>
      <c r="T934" s="134"/>
      <c r="U934" s="134"/>
      <c r="V934" s="134"/>
      <c r="W934" s="134"/>
      <c r="X934" s="134"/>
      <c r="Y934" s="134"/>
      <c r="Z934" s="134"/>
      <c r="AA934" s="134"/>
    </row>
    <row r="935" ht="15.75" customHeight="1">
      <c r="A935" s="149"/>
      <c r="B935" s="149"/>
      <c r="C935" s="149"/>
      <c r="D935" s="149"/>
      <c r="E935" s="149"/>
      <c r="F935" s="149"/>
      <c r="G935" s="149"/>
      <c r="H935" s="135" t="str">
        <f>IFERROR(VLOOKUP(G935,'Conformance Score'!A:B, 2, 0), "")</f>
        <v/>
      </c>
      <c r="I935" s="150"/>
      <c r="J935" s="150"/>
      <c r="K935" s="134"/>
      <c r="L935" s="134"/>
      <c r="M935" s="134"/>
      <c r="N935" s="134"/>
      <c r="O935" s="134"/>
      <c r="P935" s="134"/>
      <c r="Q935" s="134"/>
      <c r="R935" s="134"/>
      <c r="S935" s="134"/>
      <c r="T935" s="134"/>
      <c r="U935" s="134"/>
      <c r="V935" s="134"/>
      <c r="W935" s="134"/>
      <c r="X935" s="134"/>
      <c r="Y935" s="134"/>
      <c r="Z935" s="134"/>
      <c r="AA935" s="134"/>
    </row>
    <row r="936" ht="15.75" customHeight="1">
      <c r="A936" s="149"/>
      <c r="B936" s="149"/>
      <c r="C936" s="149"/>
      <c r="D936" s="149"/>
      <c r="E936" s="149"/>
      <c r="F936" s="149"/>
      <c r="G936" s="149"/>
      <c r="H936" s="135" t="str">
        <f>IFERROR(VLOOKUP(G936,'Conformance Score'!A:B, 2, 0), "")</f>
        <v/>
      </c>
      <c r="I936" s="150"/>
      <c r="J936" s="150"/>
      <c r="K936" s="134"/>
      <c r="L936" s="134"/>
      <c r="M936" s="134"/>
      <c r="N936" s="134"/>
      <c r="O936" s="134"/>
      <c r="P936" s="134"/>
      <c r="Q936" s="134"/>
      <c r="R936" s="134"/>
      <c r="S936" s="134"/>
      <c r="T936" s="134"/>
      <c r="U936" s="134"/>
      <c r="V936" s="134"/>
      <c r="W936" s="134"/>
      <c r="X936" s="134"/>
      <c r="Y936" s="134"/>
      <c r="Z936" s="134"/>
      <c r="AA936" s="134"/>
    </row>
    <row r="937" ht="15.75" customHeight="1">
      <c r="A937" s="149"/>
      <c r="B937" s="149"/>
      <c r="C937" s="149"/>
      <c r="D937" s="149"/>
      <c r="E937" s="149"/>
      <c r="F937" s="149"/>
      <c r="G937" s="149"/>
      <c r="H937" s="135" t="str">
        <f>IFERROR(VLOOKUP(G937,'Conformance Score'!A:B, 2, 0), "")</f>
        <v/>
      </c>
      <c r="I937" s="150"/>
      <c r="J937" s="150"/>
      <c r="K937" s="134"/>
      <c r="L937" s="134"/>
      <c r="M937" s="134"/>
      <c r="N937" s="134"/>
      <c r="O937" s="134"/>
      <c r="P937" s="134"/>
      <c r="Q937" s="134"/>
      <c r="R937" s="134"/>
      <c r="S937" s="134"/>
      <c r="T937" s="134"/>
      <c r="U937" s="134"/>
      <c r="V937" s="134"/>
      <c r="W937" s="134"/>
      <c r="X937" s="134"/>
      <c r="Y937" s="134"/>
      <c r="Z937" s="134"/>
      <c r="AA937" s="134"/>
    </row>
    <row r="938" ht="15.75" customHeight="1">
      <c r="A938" s="149"/>
      <c r="B938" s="149"/>
      <c r="C938" s="149"/>
      <c r="D938" s="149"/>
      <c r="E938" s="149"/>
      <c r="F938" s="149"/>
      <c r="G938" s="149"/>
      <c r="H938" s="135" t="str">
        <f>IFERROR(VLOOKUP(G938,'Conformance Score'!A:B, 2, 0), "")</f>
        <v/>
      </c>
      <c r="I938" s="150"/>
      <c r="J938" s="150"/>
      <c r="K938" s="134"/>
      <c r="L938" s="134"/>
      <c r="M938" s="134"/>
      <c r="N938" s="134"/>
      <c r="O938" s="134"/>
      <c r="P938" s="134"/>
      <c r="Q938" s="134"/>
      <c r="R938" s="134"/>
      <c r="S938" s="134"/>
      <c r="T938" s="134"/>
      <c r="U938" s="134"/>
      <c r="V938" s="134"/>
      <c r="W938" s="134"/>
      <c r="X938" s="134"/>
      <c r="Y938" s="134"/>
      <c r="Z938" s="134"/>
      <c r="AA938" s="134"/>
    </row>
    <row r="939" ht="15.75" customHeight="1">
      <c r="A939" s="149"/>
      <c r="B939" s="149"/>
      <c r="C939" s="149"/>
      <c r="D939" s="149"/>
      <c r="E939" s="149"/>
      <c r="F939" s="149"/>
      <c r="G939" s="149"/>
      <c r="H939" s="135" t="str">
        <f>IFERROR(VLOOKUP(G939,'Conformance Score'!A:B, 2, 0), "")</f>
        <v/>
      </c>
      <c r="I939" s="150"/>
      <c r="J939" s="150"/>
      <c r="K939" s="134"/>
      <c r="L939" s="134"/>
      <c r="M939" s="134"/>
      <c r="N939" s="134"/>
      <c r="O939" s="134"/>
      <c r="P939" s="134"/>
      <c r="Q939" s="134"/>
      <c r="R939" s="134"/>
      <c r="S939" s="134"/>
      <c r="T939" s="134"/>
      <c r="U939" s="134"/>
      <c r="V939" s="134"/>
      <c r="W939" s="134"/>
      <c r="X939" s="134"/>
      <c r="Y939" s="134"/>
      <c r="Z939" s="134"/>
      <c r="AA939" s="134"/>
    </row>
    <row r="940" ht="15.75" customHeight="1">
      <c r="A940" s="149"/>
      <c r="B940" s="149"/>
      <c r="C940" s="149"/>
      <c r="D940" s="149"/>
      <c r="E940" s="149"/>
      <c r="F940" s="149"/>
      <c r="G940" s="149"/>
      <c r="H940" s="135" t="str">
        <f>IFERROR(VLOOKUP(G940,'Conformance Score'!A:B, 2, 0), "")</f>
        <v/>
      </c>
      <c r="I940" s="150"/>
      <c r="J940" s="150"/>
      <c r="K940" s="134"/>
      <c r="L940" s="134"/>
      <c r="M940" s="134"/>
      <c r="N940" s="134"/>
      <c r="O940" s="134"/>
      <c r="P940" s="134"/>
      <c r="Q940" s="134"/>
      <c r="R940" s="134"/>
      <c r="S940" s="134"/>
      <c r="T940" s="134"/>
      <c r="U940" s="134"/>
      <c r="V940" s="134"/>
      <c r="W940" s="134"/>
      <c r="X940" s="134"/>
      <c r="Y940" s="134"/>
      <c r="Z940" s="134"/>
      <c r="AA940" s="134"/>
    </row>
    <row r="941" ht="15.75" customHeight="1">
      <c r="A941" s="149"/>
      <c r="B941" s="149"/>
      <c r="C941" s="149"/>
      <c r="D941" s="149"/>
      <c r="E941" s="149"/>
      <c r="F941" s="149"/>
      <c r="G941" s="149"/>
      <c r="H941" s="135" t="str">
        <f>IFERROR(VLOOKUP(G941,'Conformance Score'!A:B, 2, 0), "")</f>
        <v/>
      </c>
      <c r="I941" s="150"/>
      <c r="J941" s="150"/>
      <c r="K941" s="134"/>
      <c r="L941" s="134"/>
      <c r="M941" s="134"/>
      <c r="N941" s="134"/>
      <c r="O941" s="134"/>
      <c r="P941" s="134"/>
      <c r="Q941" s="134"/>
      <c r="R941" s="134"/>
      <c r="S941" s="134"/>
      <c r="T941" s="134"/>
      <c r="U941" s="134"/>
      <c r="V941" s="134"/>
      <c r="W941" s="134"/>
      <c r="X941" s="134"/>
      <c r="Y941" s="134"/>
      <c r="Z941" s="134"/>
      <c r="AA941" s="134"/>
    </row>
    <row r="942" ht="15.75" customHeight="1">
      <c r="A942" s="149"/>
      <c r="B942" s="149"/>
      <c r="C942" s="149"/>
      <c r="D942" s="149"/>
      <c r="E942" s="149"/>
      <c r="F942" s="149"/>
      <c r="G942" s="149"/>
      <c r="H942" s="135" t="str">
        <f>IFERROR(VLOOKUP(G942,'Conformance Score'!A:B, 2, 0), "")</f>
        <v/>
      </c>
      <c r="I942" s="150"/>
      <c r="J942" s="150"/>
      <c r="K942" s="134"/>
      <c r="L942" s="134"/>
      <c r="M942" s="134"/>
      <c r="N942" s="134"/>
      <c r="O942" s="134"/>
      <c r="P942" s="134"/>
      <c r="Q942" s="134"/>
      <c r="R942" s="134"/>
      <c r="S942" s="134"/>
      <c r="T942" s="134"/>
      <c r="U942" s="134"/>
      <c r="V942" s="134"/>
      <c r="W942" s="134"/>
      <c r="X942" s="134"/>
      <c r="Y942" s="134"/>
      <c r="Z942" s="134"/>
      <c r="AA942" s="134"/>
    </row>
    <row r="943" ht="15.75" customHeight="1">
      <c r="A943" s="149"/>
      <c r="B943" s="149"/>
      <c r="C943" s="149"/>
      <c r="D943" s="149"/>
      <c r="E943" s="149"/>
      <c r="F943" s="149"/>
      <c r="G943" s="149"/>
      <c r="H943" s="135" t="str">
        <f>IFERROR(VLOOKUP(G943,'Conformance Score'!A:B, 2, 0), "")</f>
        <v/>
      </c>
      <c r="I943" s="150"/>
      <c r="J943" s="150"/>
      <c r="K943" s="134"/>
      <c r="L943" s="134"/>
      <c r="M943" s="134"/>
      <c r="N943" s="134"/>
      <c r="O943" s="134"/>
      <c r="P943" s="134"/>
      <c r="Q943" s="134"/>
      <c r="R943" s="134"/>
      <c r="S943" s="134"/>
      <c r="T943" s="134"/>
      <c r="U943" s="134"/>
      <c r="V943" s="134"/>
      <c r="W943" s="134"/>
      <c r="X943" s="134"/>
      <c r="Y943" s="134"/>
      <c r="Z943" s="134"/>
      <c r="AA943" s="134"/>
    </row>
    <row r="944" ht="15.75" customHeight="1">
      <c r="A944" s="149"/>
      <c r="B944" s="149"/>
      <c r="C944" s="149"/>
      <c r="D944" s="149"/>
      <c r="E944" s="149"/>
      <c r="F944" s="149"/>
      <c r="G944" s="149"/>
      <c r="H944" s="135" t="str">
        <f>IFERROR(VLOOKUP(G944,'Conformance Score'!A:B, 2, 0), "")</f>
        <v/>
      </c>
      <c r="I944" s="150"/>
      <c r="J944" s="150"/>
      <c r="K944" s="134"/>
      <c r="L944" s="134"/>
      <c r="M944" s="134"/>
      <c r="N944" s="134"/>
      <c r="O944" s="134"/>
      <c r="P944" s="134"/>
      <c r="Q944" s="134"/>
      <c r="R944" s="134"/>
      <c r="S944" s="134"/>
      <c r="T944" s="134"/>
      <c r="U944" s="134"/>
      <c r="V944" s="134"/>
      <c r="W944" s="134"/>
      <c r="X944" s="134"/>
      <c r="Y944" s="134"/>
      <c r="Z944" s="134"/>
      <c r="AA944" s="134"/>
    </row>
    <row r="945" ht="15.75" customHeight="1">
      <c r="A945" s="149"/>
      <c r="B945" s="149"/>
      <c r="C945" s="149"/>
      <c r="D945" s="149"/>
      <c r="E945" s="149"/>
      <c r="F945" s="149"/>
      <c r="G945" s="149"/>
      <c r="H945" s="135" t="str">
        <f>IFERROR(VLOOKUP(G945,'Conformance Score'!A:B, 2, 0), "")</f>
        <v/>
      </c>
      <c r="I945" s="150"/>
      <c r="J945" s="150"/>
      <c r="K945" s="134"/>
      <c r="L945" s="134"/>
      <c r="M945" s="134"/>
      <c r="N945" s="134"/>
      <c r="O945" s="134"/>
      <c r="P945" s="134"/>
      <c r="Q945" s="134"/>
      <c r="R945" s="134"/>
      <c r="S945" s="134"/>
      <c r="T945" s="134"/>
      <c r="U945" s="134"/>
      <c r="V945" s="134"/>
      <c r="W945" s="134"/>
      <c r="X945" s="134"/>
      <c r="Y945" s="134"/>
      <c r="Z945" s="134"/>
      <c r="AA945" s="134"/>
    </row>
    <row r="946" ht="15.75" customHeight="1">
      <c r="A946" s="149"/>
      <c r="B946" s="149"/>
      <c r="C946" s="149"/>
      <c r="D946" s="149"/>
      <c r="E946" s="149"/>
      <c r="F946" s="149"/>
      <c r="G946" s="149"/>
      <c r="H946" s="135" t="str">
        <f>IFERROR(VLOOKUP(G946,'Conformance Score'!A:B, 2, 0), "")</f>
        <v/>
      </c>
      <c r="I946" s="150"/>
      <c r="J946" s="150"/>
      <c r="K946" s="134"/>
      <c r="L946" s="134"/>
      <c r="M946" s="134"/>
      <c r="N946" s="134"/>
      <c r="O946" s="134"/>
      <c r="P946" s="134"/>
      <c r="Q946" s="134"/>
      <c r="R946" s="134"/>
      <c r="S946" s="134"/>
      <c r="T946" s="134"/>
      <c r="U946" s="134"/>
      <c r="V946" s="134"/>
      <c r="W946" s="134"/>
      <c r="X946" s="134"/>
      <c r="Y946" s="134"/>
      <c r="Z946" s="134"/>
      <c r="AA946" s="134"/>
    </row>
    <row r="947" ht="15.75" customHeight="1">
      <c r="A947" s="149"/>
      <c r="B947" s="149"/>
      <c r="C947" s="149"/>
      <c r="D947" s="149"/>
      <c r="E947" s="149"/>
      <c r="F947" s="149"/>
      <c r="G947" s="149"/>
      <c r="H947" s="135" t="str">
        <f>IFERROR(VLOOKUP(G947,'Conformance Score'!A:B, 2, 0), "")</f>
        <v/>
      </c>
      <c r="I947" s="150"/>
      <c r="J947" s="150"/>
      <c r="K947" s="134"/>
      <c r="L947" s="134"/>
      <c r="M947" s="134"/>
      <c r="N947" s="134"/>
      <c r="O947" s="134"/>
      <c r="P947" s="134"/>
      <c r="Q947" s="134"/>
      <c r="R947" s="134"/>
      <c r="S947" s="134"/>
      <c r="T947" s="134"/>
      <c r="U947" s="134"/>
      <c r="V947" s="134"/>
      <c r="W947" s="134"/>
      <c r="X947" s="134"/>
      <c r="Y947" s="134"/>
      <c r="Z947" s="134"/>
      <c r="AA947" s="134"/>
    </row>
    <row r="948" ht="15.75" customHeight="1">
      <c r="A948" s="149"/>
      <c r="B948" s="149"/>
      <c r="C948" s="149"/>
      <c r="D948" s="149"/>
      <c r="E948" s="149"/>
      <c r="F948" s="149"/>
      <c r="G948" s="149"/>
      <c r="H948" s="135" t="str">
        <f>IFERROR(VLOOKUP(G948,'Conformance Score'!A:B, 2, 0), "")</f>
        <v/>
      </c>
      <c r="I948" s="150"/>
      <c r="J948" s="150"/>
      <c r="K948" s="134"/>
      <c r="L948" s="134"/>
      <c r="M948" s="134"/>
      <c r="N948" s="134"/>
      <c r="O948" s="134"/>
      <c r="P948" s="134"/>
      <c r="Q948" s="134"/>
      <c r="R948" s="134"/>
      <c r="S948" s="134"/>
      <c r="T948" s="134"/>
      <c r="U948" s="134"/>
      <c r="V948" s="134"/>
      <c r="W948" s="134"/>
      <c r="X948" s="134"/>
      <c r="Y948" s="134"/>
      <c r="Z948" s="134"/>
      <c r="AA948" s="134"/>
    </row>
    <row r="949" ht="15.75" customHeight="1">
      <c r="A949" s="149"/>
      <c r="B949" s="149"/>
      <c r="C949" s="149"/>
      <c r="D949" s="149"/>
      <c r="E949" s="149"/>
      <c r="F949" s="149"/>
      <c r="G949" s="149"/>
      <c r="H949" s="135" t="str">
        <f>IFERROR(VLOOKUP(G949,'Conformance Score'!A:B, 2, 0), "")</f>
        <v/>
      </c>
      <c r="I949" s="150"/>
      <c r="J949" s="150"/>
      <c r="K949" s="134"/>
      <c r="L949" s="134"/>
      <c r="M949" s="134"/>
      <c r="N949" s="134"/>
      <c r="O949" s="134"/>
      <c r="P949" s="134"/>
      <c r="Q949" s="134"/>
      <c r="R949" s="134"/>
      <c r="S949" s="134"/>
      <c r="T949" s="134"/>
      <c r="U949" s="134"/>
      <c r="V949" s="134"/>
      <c r="W949" s="134"/>
      <c r="X949" s="134"/>
      <c r="Y949" s="134"/>
      <c r="Z949" s="134"/>
      <c r="AA949" s="134"/>
    </row>
    <row r="950" ht="15.75" customHeight="1">
      <c r="A950" s="149"/>
      <c r="B950" s="149"/>
      <c r="C950" s="149"/>
      <c r="D950" s="149"/>
      <c r="E950" s="149"/>
      <c r="F950" s="149"/>
      <c r="G950" s="149"/>
      <c r="H950" s="135" t="str">
        <f>IFERROR(VLOOKUP(G950,'Conformance Score'!A:B, 2, 0), "")</f>
        <v/>
      </c>
      <c r="I950" s="150"/>
      <c r="J950" s="150"/>
      <c r="K950" s="134"/>
      <c r="L950" s="134"/>
      <c r="M950" s="134"/>
      <c r="N950" s="134"/>
      <c r="O950" s="134"/>
      <c r="P950" s="134"/>
      <c r="Q950" s="134"/>
      <c r="R950" s="134"/>
      <c r="S950" s="134"/>
      <c r="T950" s="134"/>
      <c r="U950" s="134"/>
      <c r="V950" s="134"/>
      <c r="W950" s="134"/>
      <c r="X950" s="134"/>
      <c r="Y950" s="134"/>
      <c r="Z950" s="134"/>
      <c r="AA950" s="134"/>
    </row>
    <row r="951" ht="15.75" customHeight="1">
      <c r="A951" s="149"/>
      <c r="B951" s="149"/>
      <c r="C951" s="149"/>
      <c r="D951" s="149"/>
      <c r="E951" s="149"/>
      <c r="F951" s="149"/>
      <c r="G951" s="149"/>
      <c r="H951" s="135" t="str">
        <f>IFERROR(VLOOKUP(G951,'Conformance Score'!A:B, 2, 0), "")</f>
        <v/>
      </c>
      <c r="I951" s="150"/>
      <c r="J951" s="150"/>
      <c r="K951" s="134"/>
      <c r="L951" s="134"/>
      <c r="M951" s="134"/>
      <c r="N951" s="134"/>
      <c r="O951" s="134"/>
      <c r="P951" s="134"/>
      <c r="Q951" s="134"/>
      <c r="R951" s="134"/>
      <c r="S951" s="134"/>
      <c r="T951" s="134"/>
      <c r="U951" s="134"/>
      <c r="V951" s="134"/>
      <c r="W951" s="134"/>
      <c r="X951" s="134"/>
      <c r="Y951" s="134"/>
      <c r="Z951" s="134"/>
      <c r="AA951" s="134"/>
    </row>
    <row r="952" ht="15.75" customHeight="1">
      <c r="A952" s="149"/>
      <c r="B952" s="149"/>
      <c r="C952" s="149"/>
      <c r="D952" s="149"/>
      <c r="E952" s="149"/>
      <c r="F952" s="149"/>
      <c r="G952" s="149"/>
      <c r="H952" s="135" t="str">
        <f>IFERROR(VLOOKUP(G952,'Conformance Score'!A:B, 2, 0), "")</f>
        <v/>
      </c>
      <c r="I952" s="150"/>
      <c r="J952" s="150"/>
      <c r="K952" s="134"/>
      <c r="L952" s="134"/>
      <c r="M952" s="134"/>
      <c r="N952" s="134"/>
      <c r="O952" s="134"/>
      <c r="P952" s="134"/>
      <c r="Q952" s="134"/>
      <c r="R952" s="134"/>
      <c r="S952" s="134"/>
      <c r="T952" s="134"/>
      <c r="U952" s="134"/>
      <c r="V952" s="134"/>
      <c r="W952" s="134"/>
      <c r="X952" s="134"/>
      <c r="Y952" s="134"/>
      <c r="Z952" s="134"/>
      <c r="AA952" s="134"/>
    </row>
    <row r="953" ht="15.75" customHeight="1">
      <c r="A953" s="149"/>
      <c r="B953" s="149"/>
      <c r="C953" s="149"/>
      <c r="D953" s="149"/>
      <c r="E953" s="149"/>
      <c r="F953" s="149"/>
      <c r="G953" s="149"/>
      <c r="H953" s="135" t="str">
        <f>IFERROR(VLOOKUP(G953,'Conformance Score'!A:B, 2, 0), "")</f>
        <v/>
      </c>
      <c r="I953" s="150"/>
      <c r="J953" s="150"/>
      <c r="K953" s="134"/>
      <c r="L953" s="134"/>
      <c r="M953" s="134"/>
      <c r="N953" s="134"/>
      <c r="O953" s="134"/>
      <c r="P953" s="134"/>
      <c r="Q953" s="134"/>
      <c r="R953" s="134"/>
      <c r="S953" s="134"/>
      <c r="T953" s="134"/>
      <c r="U953" s="134"/>
      <c r="V953" s="134"/>
      <c r="W953" s="134"/>
      <c r="X953" s="134"/>
      <c r="Y953" s="134"/>
      <c r="Z953" s="134"/>
      <c r="AA953" s="134"/>
    </row>
    <row r="954" ht="15.75" customHeight="1">
      <c r="A954" s="149"/>
      <c r="B954" s="149"/>
      <c r="C954" s="149"/>
      <c r="D954" s="149"/>
      <c r="E954" s="149"/>
      <c r="F954" s="149"/>
      <c r="G954" s="149"/>
      <c r="H954" s="135" t="str">
        <f>IFERROR(VLOOKUP(G954,'Conformance Score'!A:B, 2, 0), "")</f>
        <v/>
      </c>
      <c r="I954" s="150"/>
      <c r="J954" s="150"/>
      <c r="K954" s="134"/>
      <c r="L954" s="134"/>
      <c r="M954" s="134"/>
      <c r="N954" s="134"/>
      <c r="O954" s="134"/>
      <c r="P954" s="134"/>
      <c r="Q954" s="134"/>
      <c r="R954" s="134"/>
      <c r="S954" s="134"/>
      <c r="T954" s="134"/>
      <c r="U954" s="134"/>
      <c r="V954" s="134"/>
      <c r="W954" s="134"/>
      <c r="X954" s="134"/>
      <c r="Y954" s="134"/>
      <c r="Z954" s="134"/>
      <c r="AA954" s="134"/>
    </row>
    <row r="955" ht="15.75" customHeight="1">
      <c r="A955" s="149"/>
      <c r="B955" s="149"/>
      <c r="C955" s="149"/>
      <c r="D955" s="149"/>
      <c r="E955" s="149"/>
      <c r="F955" s="149"/>
      <c r="G955" s="149"/>
      <c r="H955" s="135" t="str">
        <f>IFERROR(VLOOKUP(G955,'Conformance Score'!A:B, 2, 0), "")</f>
        <v/>
      </c>
      <c r="I955" s="150"/>
      <c r="J955" s="150"/>
      <c r="K955" s="134"/>
      <c r="L955" s="134"/>
      <c r="M955" s="134"/>
      <c r="N955" s="134"/>
      <c r="O955" s="134"/>
      <c r="P955" s="134"/>
      <c r="Q955" s="134"/>
      <c r="R955" s="134"/>
      <c r="S955" s="134"/>
      <c r="T955" s="134"/>
      <c r="U955" s="134"/>
      <c r="V955" s="134"/>
      <c r="W955" s="134"/>
      <c r="X955" s="134"/>
      <c r="Y955" s="134"/>
      <c r="Z955" s="134"/>
      <c r="AA955" s="134"/>
    </row>
    <row r="956" ht="15.75" customHeight="1">
      <c r="A956" s="149"/>
      <c r="B956" s="149"/>
      <c r="C956" s="149"/>
      <c r="D956" s="149"/>
      <c r="E956" s="149"/>
      <c r="F956" s="149"/>
      <c r="G956" s="149"/>
      <c r="H956" s="135" t="str">
        <f>IFERROR(VLOOKUP(G956,'Conformance Score'!A:B, 2, 0), "")</f>
        <v/>
      </c>
      <c r="I956" s="150"/>
      <c r="J956" s="150"/>
      <c r="K956" s="134"/>
      <c r="L956" s="134"/>
      <c r="M956" s="134"/>
      <c r="N956" s="134"/>
      <c r="O956" s="134"/>
      <c r="P956" s="134"/>
      <c r="Q956" s="134"/>
      <c r="R956" s="134"/>
      <c r="S956" s="134"/>
      <c r="T956" s="134"/>
      <c r="U956" s="134"/>
      <c r="V956" s="134"/>
      <c r="W956" s="134"/>
      <c r="X956" s="134"/>
      <c r="Y956" s="134"/>
      <c r="Z956" s="134"/>
      <c r="AA956" s="134"/>
    </row>
    <row r="957" ht="15.75" customHeight="1">
      <c r="A957" s="149"/>
      <c r="B957" s="149"/>
      <c r="C957" s="149"/>
      <c r="D957" s="149"/>
      <c r="E957" s="149"/>
      <c r="F957" s="149"/>
      <c r="G957" s="149"/>
      <c r="H957" s="135" t="str">
        <f>IFERROR(VLOOKUP(G957,'Conformance Score'!A:B, 2, 0), "")</f>
        <v/>
      </c>
      <c r="I957" s="150"/>
      <c r="J957" s="150"/>
      <c r="K957" s="134"/>
      <c r="L957" s="134"/>
      <c r="M957" s="134"/>
      <c r="N957" s="134"/>
      <c r="O957" s="134"/>
      <c r="P957" s="134"/>
      <c r="Q957" s="134"/>
      <c r="R957" s="134"/>
      <c r="S957" s="134"/>
      <c r="T957" s="134"/>
      <c r="U957" s="134"/>
      <c r="V957" s="134"/>
      <c r="W957" s="134"/>
      <c r="X957" s="134"/>
      <c r="Y957" s="134"/>
      <c r="Z957" s="134"/>
      <c r="AA957" s="134"/>
    </row>
    <row r="958" ht="15.75" customHeight="1">
      <c r="A958" s="149"/>
      <c r="B958" s="149"/>
      <c r="C958" s="149"/>
      <c r="D958" s="149"/>
      <c r="E958" s="149"/>
      <c r="F958" s="149"/>
      <c r="G958" s="149"/>
      <c r="H958" s="135" t="str">
        <f>IFERROR(VLOOKUP(G958,'Conformance Score'!A:B, 2, 0), "")</f>
        <v/>
      </c>
      <c r="I958" s="150"/>
      <c r="J958" s="150"/>
      <c r="K958" s="134"/>
      <c r="L958" s="134"/>
      <c r="M958" s="134"/>
      <c r="N958" s="134"/>
      <c r="O958" s="134"/>
      <c r="P958" s="134"/>
      <c r="Q958" s="134"/>
      <c r="R958" s="134"/>
      <c r="S958" s="134"/>
      <c r="T958" s="134"/>
      <c r="U958" s="134"/>
      <c r="V958" s="134"/>
      <c r="W958" s="134"/>
      <c r="X958" s="134"/>
      <c r="Y958" s="134"/>
      <c r="Z958" s="134"/>
      <c r="AA958" s="134"/>
    </row>
    <row r="959" ht="15.75" customHeight="1">
      <c r="A959" s="149"/>
      <c r="B959" s="149"/>
      <c r="C959" s="149"/>
      <c r="D959" s="149"/>
      <c r="E959" s="149"/>
      <c r="F959" s="149"/>
      <c r="G959" s="149"/>
      <c r="H959" s="135" t="str">
        <f>IFERROR(VLOOKUP(G959,'Conformance Score'!A:B, 2, 0), "")</f>
        <v/>
      </c>
      <c r="I959" s="150"/>
      <c r="J959" s="150"/>
      <c r="K959" s="134"/>
      <c r="L959" s="134"/>
      <c r="M959" s="134"/>
      <c r="N959" s="134"/>
      <c r="O959" s="134"/>
      <c r="P959" s="134"/>
      <c r="Q959" s="134"/>
      <c r="R959" s="134"/>
      <c r="S959" s="134"/>
      <c r="T959" s="134"/>
      <c r="U959" s="134"/>
      <c r="V959" s="134"/>
      <c r="W959" s="134"/>
      <c r="X959" s="134"/>
      <c r="Y959" s="134"/>
      <c r="Z959" s="134"/>
      <c r="AA959" s="134"/>
    </row>
    <row r="960" ht="15.75" customHeight="1">
      <c r="A960" s="149"/>
      <c r="B960" s="149"/>
      <c r="C960" s="149"/>
      <c r="D960" s="149"/>
      <c r="E960" s="149"/>
      <c r="F960" s="149"/>
      <c r="G960" s="149"/>
      <c r="H960" s="135" t="str">
        <f>IFERROR(VLOOKUP(G960,'Conformance Score'!A:B, 2, 0), "")</f>
        <v/>
      </c>
      <c r="I960" s="150"/>
      <c r="J960" s="150"/>
      <c r="K960" s="134"/>
      <c r="L960" s="134"/>
      <c r="M960" s="134"/>
      <c r="N960" s="134"/>
      <c r="O960" s="134"/>
      <c r="P960" s="134"/>
      <c r="Q960" s="134"/>
      <c r="R960" s="134"/>
      <c r="S960" s="134"/>
      <c r="T960" s="134"/>
      <c r="U960" s="134"/>
      <c r="V960" s="134"/>
      <c r="W960" s="134"/>
      <c r="X960" s="134"/>
      <c r="Y960" s="134"/>
      <c r="Z960" s="134"/>
      <c r="AA960" s="134"/>
    </row>
    <row r="961" ht="15.75" customHeight="1">
      <c r="A961" s="149"/>
      <c r="B961" s="149"/>
      <c r="C961" s="149"/>
      <c r="D961" s="149"/>
      <c r="E961" s="149"/>
      <c r="F961" s="149"/>
      <c r="G961" s="149"/>
      <c r="H961" s="135" t="str">
        <f>IFERROR(VLOOKUP(G961,'Conformance Score'!A:B, 2, 0), "")</f>
        <v/>
      </c>
      <c r="I961" s="150"/>
      <c r="J961" s="150"/>
      <c r="K961" s="134"/>
      <c r="L961" s="134"/>
      <c r="M961" s="134"/>
      <c r="N961" s="134"/>
      <c r="O961" s="134"/>
      <c r="P961" s="134"/>
      <c r="Q961" s="134"/>
      <c r="R961" s="134"/>
      <c r="S961" s="134"/>
      <c r="T961" s="134"/>
      <c r="U961" s="134"/>
      <c r="V961" s="134"/>
      <c r="W961" s="134"/>
      <c r="X961" s="134"/>
      <c r="Y961" s="134"/>
      <c r="Z961" s="134"/>
      <c r="AA961" s="134"/>
    </row>
    <row r="962" ht="15.75" customHeight="1">
      <c r="A962" s="149"/>
      <c r="B962" s="149"/>
      <c r="C962" s="149"/>
      <c r="D962" s="149"/>
      <c r="E962" s="149"/>
      <c r="F962" s="149"/>
      <c r="G962" s="149"/>
      <c r="H962" s="135" t="str">
        <f>IFERROR(VLOOKUP(G962,'Conformance Score'!A:B, 2, 0), "")</f>
        <v/>
      </c>
      <c r="I962" s="150"/>
      <c r="J962" s="150"/>
      <c r="K962" s="134"/>
      <c r="L962" s="134"/>
      <c r="M962" s="134"/>
      <c r="N962" s="134"/>
      <c r="O962" s="134"/>
      <c r="P962" s="134"/>
      <c r="Q962" s="134"/>
      <c r="R962" s="134"/>
      <c r="S962" s="134"/>
      <c r="T962" s="134"/>
      <c r="U962" s="134"/>
      <c r="V962" s="134"/>
      <c r="W962" s="134"/>
      <c r="X962" s="134"/>
      <c r="Y962" s="134"/>
      <c r="Z962" s="134"/>
      <c r="AA962" s="134"/>
    </row>
    <row r="963" ht="15.75" customHeight="1">
      <c r="A963" s="149"/>
      <c r="B963" s="149"/>
      <c r="C963" s="149"/>
      <c r="D963" s="149"/>
      <c r="E963" s="149"/>
      <c r="F963" s="149"/>
      <c r="G963" s="149"/>
      <c r="H963" s="135" t="str">
        <f>IFERROR(VLOOKUP(G963,'Conformance Score'!A:B, 2, 0), "")</f>
        <v/>
      </c>
      <c r="I963" s="150"/>
      <c r="J963" s="150"/>
      <c r="K963" s="134"/>
      <c r="L963" s="134"/>
      <c r="M963" s="134"/>
      <c r="N963" s="134"/>
      <c r="O963" s="134"/>
      <c r="P963" s="134"/>
      <c r="Q963" s="134"/>
      <c r="R963" s="134"/>
      <c r="S963" s="134"/>
      <c r="T963" s="134"/>
      <c r="U963" s="134"/>
      <c r="V963" s="134"/>
      <c r="W963" s="134"/>
      <c r="X963" s="134"/>
      <c r="Y963" s="134"/>
      <c r="Z963" s="134"/>
      <c r="AA963" s="134"/>
    </row>
    <row r="964" ht="15.75" customHeight="1">
      <c r="A964" s="149"/>
      <c r="B964" s="149"/>
      <c r="C964" s="149"/>
      <c r="D964" s="149"/>
      <c r="E964" s="149"/>
      <c r="F964" s="149"/>
      <c r="G964" s="149"/>
      <c r="H964" s="135" t="str">
        <f>IFERROR(VLOOKUP(G964,'Conformance Score'!A:B, 2, 0), "")</f>
        <v/>
      </c>
      <c r="I964" s="150"/>
      <c r="J964" s="150"/>
      <c r="K964" s="134"/>
      <c r="L964" s="134"/>
      <c r="M964" s="134"/>
      <c r="N964" s="134"/>
      <c r="O964" s="134"/>
      <c r="P964" s="134"/>
      <c r="Q964" s="134"/>
      <c r="R964" s="134"/>
      <c r="S964" s="134"/>
      <c r="T964" s="134"/>
      <c r="U964" s="134"/>
      <c r="V964" s="134"/>
      <c r="W964" s="134"/>
      <c r="X964" s="134"/>
      <c r="Y964" s="134"/>
      <c r="Z964" s="134"/>
      <c r="AA964" s="134"/>
    </row>
    <row r="965" ht="15.75" customHeight="1">
      <c r="A965" s="149"/>
      <c r="B965" s="149"/>
      <c r="C965" s="149"/>
      <c r="D965" s="149"/>
      <c r="E965" s="149"/>
      <c r="F965" s="149"/>
      <c r="G965" s="149"/>
      <c r="H965" s="135" t="str">
        <f>IFERROR(VLOOKUP(G965,'Conformance Score'!A:B, 2, 0), "")</f>
        <v/>
      </c>
      <c r="I965" s="150"/>
      <c r="J965" s="150"/>
      <c r="K965" s="134"/>
      <c r="L965" s="134"/>
      <c r="M965" s="134"/>
      <c r="N965" s="134"/>
      <c r="O965" s="134"/>
      <c r="P965" s="134"/>
      <c r="Q965" s="134"/>
      <c r="R965" s="134"/>
      <c r="S965" s="134"/>
      <c r="T965" s="134"/>
      <c r="U965" s="134"/>
      <c r="V965" s="134"/>
      <c r="W965" s="134"/>
      <c r="X965" s="134"/>
      <c r="Y965" s="134"/>
      <c r="Z965" s="134"/>
      <c r="AA965" s="134"/>
    </row>
    <row r="966" ht="15.75" customHeight="1">
      <c r="A966" s="149"/>
      <c r="B966" s="149"/>
      <c r="C966" s="149"/>
      <c r="D966" s="149"/>
      <c r="E966" s="149"/>
      <c r="F966" s="149"/>
      <c r="G966" s="149"/>
      <c r="H966" s="135" t="str">
        <f>IFERROR(VLOOKUP(G966,'Conformance Score'!A:B, 2, 0), "")</f>
        <v/>
      </c>
      <c r="I966" s="150"/>
      <c r="J966" s="150"/>
      <c r="K966" s="134"/>
      <c r="L966" s="134"/>
      <c r="M966" s="134"/>
      <c r="N966" s="134"/>
      <c r="O966" s="134"/>
      <c r="P966" s="134"/>
      <c r="Q966" s="134"/>
      <c r="R966" s="134"/>
      <c r="S966" s="134"/>
      <c r="T966" s="134"/>
      <c r="U966" s="134"/>
      <c r="V966" s="134"/>
      <c r="W966" s="134"/>
      <c r="X966" s="134"/>
      <c r="Y966" s="134"/>
      <c r="Z966" s="134"/>
      <c r="AA966" s="134"/>
    </row>
    <row r="967" ht="15.75" customHeight="1">
      <c r="A967" s="149"/>
      <c r="B967" s="149"/>
      <c r="C967" s="149"/>
      <c r="D967" s="149"/>
      <c r="E967" s="149"/>
      <c r="F967" s="149"/>
      <c r="G967" s="149"/>
      <c r="H967" s="135" t="str">
        <f>IFERROR(VLOOKUP(G967,'Conformance Score'!A:B, 2, 0), "")</f>
        <v/>
      </c>
      <c r="I967" s="150"/>
      <c r="J967" s="150"/>
      <c r="K967" s="134"/>
      <c r="L967" s="134"/>
      <c r="M967" s="134"/>
      <c r="N967" s="134"/>
      <c r="O967" s="134"/>
      <c r="P967" s="134"/>
      <c r="Q967" s="134"/>
      <c r="R967" s="134"/>
      <c r="S967" s="134"/>
      <c r="T967" s="134"/>
      <c r="U967" s="134"/>
      <c r="V967" s="134"/>
      <c r="W967" s="134"/>
      <c r="X967" s="134"/>
      <c r="Y967" s="134"/>
      <c r="Z967" s="134"/>
      <c r="AA967" s="134"/>
    </row>
    <row r="968" ht="15.75" customHeight="1">
      <c r="A968" s="149"/>
      <c r="B968" s="149"/>
      <c r="C968" s="149"/>
      <c r="D968" s="149"/>
      <c r="E968" s="149"/>
      <c r="F968" s="149"/>
      <c r="G968" s="149"/>
      <c r="H968" s="135" t="str">
        <f>IFERROR(VLOOKUP(G968,'Conformance Score'!A:B, 2, 0), "")</f>
        <v/>
      </c>
      <c r="I968" s="150"/>
      <c r="J968" s="150"/>
      <c r="K968" s="134"/>
      <c r="L968" s="134"/>
      <c r="M968" s="134"/>
      <c r="N968" s="134"/>
      <c r="O968" s="134"/>
      <c r="P968" s="134"/>
      <c r="Q968" s="134"/>
      <c r="R968" s="134"/>
      <c r="S968" s="134"/>
      <c r="T968" s="134"/>
      <c r="U968" s="134"/>
      <c r="V968" s="134"/>
      <c r="W968" s="134"/>
      <c r="X968" s="134"/>
      <c r="Y968" s="134"/>
      <c r="Z968" s="134"/>
      <c r="AA968" s="134"/>
    </row>
    <row r="969" ht="15.75" customHeight="1">
      <c r="A969" s="149"/>
      <c r="B969" s="149"/>
      <c r="C969" s="149"/>
      <c r="D969" s="149"/>
      <c r="E969" s="149"/>
      <c r="F969" s="149"/>
      <c r="G969" s="149"/>
      <c r="H969" s="135" t="str">
        <f>IFERROR(VLOOKUP(G969,'Conformance Score'!A:B, 2, 0), "")</f>
        <v/>
      </c>
      <c r="I969" s="150"/>
      <c r="J969" s="150"/>
      <c r="K969" s="134"/>
      <c r="L969" s="134"/>
      <c r="M969" s="134"/>
      <c r="N969" s="134"/>
      <c r="O969" s="134"/>
      <c r="P969" s="134"/>
      <c r="Q969" s="134"/>
      <c r="R969" s="134"/>
      <c r="S969" s="134"/>
      <c r="T969" s="134"/>
      <c r="U969" s="134"/>
      <c r="V969" s="134"/>
      <c r="W969" s="134"/>
      <c r="X969" s="134"/>
      <c r="Y969" s="134"/>
      <c r="Z969" s="134"/>
      <c r="AA969" s="134"/>
    </row>
    <row r="970" ht="15.75" customHeight="1">
      <c r="A970" s="149"/>
      <c r="B970" s="149"/>
      <c r="C970" s="149"/>
      <c r="D970" s="149"/>
      <c r="E970" s="149"/>
      <c r="F970" s="149"/>
      <c r="G970" s="149"/>
      <c r="H970" s="135" t="str">
        <f>IFERROR(VLOOKUP(G970,'Conformance Score'!A:B, 2, 0), "")</f>
        <v/>
      </c>
      <c r="I970" s="150"/>
      <c r="J970" s="150"/>
      <c r="K970" s="134"/>
      <c r="L970" s="134"/>
      <c r="M970" s="134"/>
      <c r="N970" s="134"/>
      <c r="O970" s="134"/>
      <c r="P970" s="134"/>
      <c r="Q970" s="134"/>
      <c r="R970" s="134"/>
      <c r="S970" s="134"/>
      <c r="T970" s="134"/>
      <c r="U970" s="134"/>
      <c r="V970" s="134"/>
      <c r="W970" s="134"/>
      <c r="X970" s="134"/>
      <c r="Y970" s="134"/>
      <c r="Z970" s="134"/>
      <c r="AA970" s="134"/>
    </row>
    <row r="971" ht="15.75" customHeight="1">
      <c r="A971" s="149"/>
      <c r="B971" s="149"/>
      <c r="C971" s="149"/>
      <c r="D971" s="149"/>
      <c r="E971" s="149"/>
      <c r="F971" s="149"/>
      <c r="G971" s="149"/>
      <c r="H971" s="135" t="str">
        <f>IFERROR(VLOOKUP(G971,'Conformance Score'!A:B, 2, 0), "")</f>
        <v/>
      </c>
      <c r="I971" s="150"/>
      <c r="J971" s="150"/>
      <c r="K971" s="134"/>
      <c r="L971" s="134"/>
      <c r="M971" s="134"/>
      <c r="N971" s="134"/>
      <c r="O971" s="134"/>
      <c r="P971" s="134"/>
      <c r="Q971" s="134"/>
      <c r="R971" s="134"/>
      <c r="S971" s="134"/>
      <c r="T971" s="134"/>
      <c r="U971" s="134"/>
      <c r="V971" s="134"/>
      <c r="W971" s="134"/>
      <c r="X971" s="134"/>
      <c r="Y971" s="134"/>
      <c r="Z971" s="134"/>
      <c r="AA971" s="134"/>
    </row>
    <row r="972" ht="15.75" customHeight="1">
      <c r="A972" s="149"/>
      <c r="B972" s="149"/>
      <c r="C972" s="149"/>
      <c r="D972" s="149"/>
      <c r="E972" s="149"/>
      <c r="F972" s="149"/>
      <c r="G972" s="149"/>
      <c r="H972" s="135" t="str">
        <f>IFERROR(VLOOKUP(G972,'Conformance Score'!A:B, 2, 0), "")</f>
        <v/>
      </c>
      <c r="I972" s="150"/>
      <c r="J972" s="150"/>
      <c r="K972" s="134"/>
      <c r="L972" s="134"/>
      <c r="M972" s="134"/>
      <c r="N972" s="134"/>
      <c r="O972" s="134"/>
      <c r="P972" s="134"/>
      <c r="Q972" s="134"/>
      <c r="R972" s="134"/>
      <c r="S972" s="134"/>
      <c r="T972" s="134"/>
      <c r="U972" s="134"/>
      <c r="V972" s="134"/>
      <c r="W972" s="134"/>
      <c r="X972" s="134"/>
      <c r="Y972" s="134"/>
      <c r="Z972" s="134"/>
      <c r="AA972" s="134"/>
    </row>
    <row r="973" ht="15.75" customHeight="1">
      <c r="A973" s="149"/>
      <c r="B973" s="149"/>
      <c r="C973" s="149"/>
      <c r="D973" s="149"/>
      <c r="E973" s="149"/>
      <c r="F973" s="149"/>
      <c r="G973" s="149"/>
      <c r="H973" s="135" t="str">
        <f>IFERROR(VLOOKUP(G973,'Conformance Score'!A:B, 2, 0), "")</f>
        <v/>
      </c>
      <c r="I973" s="150"/>
      <c r="J973" s="150"/>
      <c r="K973" s="134"/>
      <c r="L973" s="134"/>
      <c r="M973" s="134"/>
      <c r="N973" s="134"/>
      <c r="O973" s="134"/>
      <c r="P973" s="134"/>
      <c r="Q973" s="134"/>
      <c r="R973" s="134"/>
      <c r="S973" s="134"/>
      <c r="T973" s="134"/>
      <c r="U973" s="134"/>
      <c r="V973" s="134"/>
      <c r="W973" s="134"/>
      <c r="X973" s="134"/>
      <c r="Y973" s="134"/>
      <c r="Z973" s="134"/>
      <c r="AA973" s="134"/>
    </row>
    <row r="974" ht="15.75" customHeight="1">
      <c r="A974" s="149"/>
      <c r="B974" s="149"/>
      <c r="C974" s="149"/>
      <c r="D974" s="149"/>
      <c r="E974" s="149"/>
      <c r="F974" s="149"/>
      <c r="G974" s="149"/>
      <c r="H974" s="135" t="str">
        <f>IFERROR(VLOOKUP(G974,'Conformance Score'!A:B, 2, 0), "")</f>
        <v/>
      </c>
      <c r="I974" s="150"/>
      <c r="J974" s="150"/>
      <c r="K974" s="134"/>
      <c r="L974" s="134"/>
      <c r="M974" s="134"/>
      <c r="N974" s="134"/>
      <c r="O974" s="134"/>
      <c r="P974" s="134"/>
      <c r="Q974" s="134"/>
      <c r="R974" s="134"/>
      <c r="S974" s="134"/>
      <c r="T974" s="134"/>
      <c r="U974" s="134"/>
      <c r="V974" s="134"/>
      <c r="W974" s="134"/>
      <c r="X974" s="134"/>
      <c r="Y974" s="134"/>
      <c r="Z974" s="134"/>
      <c r="AA974" s="134"/>
    </row>
    <row r="975" ht="15.75" customHeight="1">
      <c r="A975" s="149"/>
      <c r="B975" s="149"/>
      <c r="C975" s="149"/>
      <c r="D975" s="149"/>
      <c r="E975" s="149"/>
      <c r="F975" s="149"/>
      <c r="G975" s="149"/>
      <c r="H975" s="135" t="str">
        <f>IFERROR(VLOOKUP(G975,'Conformance Score'!A:B, 2, 0), "")</f>
        <v/>
      </c>
      <c r="I975" s="150"/>
      <c r="J975" s="150"/>
      <c r="K975" s="134"/>
      <c r="L975" s="134"/>
      <c r="M975" s="134"/>
      <c r="N975" s="134"/>
      <c r="O975" s="134"/>
      <c r="P975" s="134"/>
      <c r="Q975" s="134"/>
      <c r="R975" s="134"/>
      <c r="S975" s="134"/>
      <c r="T975" s="134"/>
      <c r="U975" s="134"/>
      <c r="V975" s="134"/>
      <c r="W975" s="134"/>
      <c r="X975" s="134"/>
      <c r="Y975" s="134"/>
      <c r="Z975" s="134"/>
      <c r="AA975" s="134"/>
    </row>
    <row r="976" ht="15.75" customHeight="1">
      <c r="A976" s="149"/>
      <c r="B976" s="149"/>
      <c r="C976" s="149"/>
      <c r="D976" s="149"/>
      <c r="E976" s="149"/>
      <c r="F976" s="149"/>
      <c r="G976" s="149"/>
      <c r="H976" s="135" t="str">
        <f>IFERROR(VLOOKUP(G976,'Conformance Score'!A:B, 2, 0), "")</f>
        <v/>
      </c>
      <c r="I976" s="150"/>
      <c r="J976" s="150"/>
      <c r="K976" s="134"/>
      <c r="L976" s="134"/>
      <c r="M976" s="134"/>
      <c r="N976" s="134"/>
      <c r="O976" s="134"/>
      <c r="P976" s="134"/>
      <c r="Q976" s="134"/>
      <c r="R976" s="134"/>
      <c r="S976" s="134"/>
      <c r="T976" s="134"/>
      <c r="U976" s="134"/>
      <c r="V976" s="134"/>
      <c r="W976" s="134"/>
      <c r="X976" s="134"/>
      <c r="Y976" s="134"/>
      <c r="Z976" s="134"/>
      <c r="AA976" s="134"/>
    </row>
    <row r="977" ht="15.75" customHeight="1">
      <c r="A977" s="149"/>
      <c r="B977" s="149"/>
      <c r="C977" s="149"/>
      <c r="D977" s="149"/>
      <c r="E977" s="149"/>
      <c r="F977" s="149"/>
      <c r="G977" s="149"/>
      <c r="H977" s="135" t="str">
        <f>IFERROR(VLOOKUP(G977,'Conformance Score'!A:B, 2, 0), "")</f>
        <v/>
      </c>
      <c r="I977" s="150"/>
      <c r="J977" s="150"/>
      <c r="K977" s="134"/>
      <c r="L977" s="134"/>
      <c r="M977" s="134"/>
      <c r="N977" s="134"/>
      <c r="O977" s="134"/>
      <c r="P977" s="134"/>
      <c r="Q977" s="134"/>
      <c r="R977" s="134"/>
      <c r="S977" s="134"/>
      <c r="T977" s="134"/>
      <c r="U977" s="134"/>
      <c r="V977" s="134"/>
      <c r="W977" s="134"/>
      <c r="X977" s="134"/>
      <c r="Y977" s="134"/>
      <c r="Z977" s="134"/>
      <c r="AA977" s="134"/>
    </row>
    <row r="978" ht="15.75" customHeight="1">
      <c r="A978" s="149"/>
      <c r="B978" s="149"/>
      <c r="C978" s="149"/>
      <c r="D978" s="149"/>
      <c r="E978" s="149"/>
      <c r="F978" s="149"/>
      <c r="G978" s="149"/>
      <c r="H978" s="135" t="str">
        <f>IFERROR(VLOOKUP(G978,'Conformance Score'!A:B, 2, 0), "")</f>
        <v/>
      </c>
      <c r="I978" s="150"/>
      <c r="J978" s="150"/>
      <c r="K978" s="134"/>
      <c r="L978" s="134"/>
      <c r="M978" s="134"/>
      <c r="N978" s="134"/>
      <c r="O978" s="134"/>
      <c r="P978" s="134"/>
      <c r="Q978" s="134"/>
      <c r="R978" s="134"/>
      <c r="S978" s="134"/>
      <c r="T978" s="134"/>
      <c r="U978" s="134"/>
      <c r="V978" s="134"/>
      <c r="W978" s="134"/>
      <c r="X978" s="134"/>
      <c r="Y978" s="134"/>
      <c r="Z978" s="134"/>
      <c r="AA978" s="134"/>
    </row>
    <row r="979" ht="15.75" customHeight="1">
      <c r="A979" s="149"/>
      <c r="B979" s="149"/>
      <c r="C979" s="149"/>
      <c r="D979" s="149"/>
      <c r="E979" s="149"/>
      <c r="F979" s="149"/>
      <c r="G979" s="149"/>
      <c r="H979" s="135" t="str">
        <f>IFERROR(VLOOKUP(G979,'Conformance Score'!A:B, 2, 0), "")</f>
        <v/>
      </c>
      <c r="I979" s="150"/>
      <c r="J979" s="150"/>
      <c r="K979" s="134"/>
      <c r="L979" s="134"/>
      <c r="M979" s="134"/>
      <c r="N979" s="134"/>
      <c r="O979" s="134"/>
      <c r="P979" s="134"/>
      <c r="Q979" s="134"/>
      <c r="R979" s="134"/>
      <c r="S979" s="134"/>
      <c r="T979" s="134"/>
      <c r="U979" s="134"/>
      <c r="V979" s="134"/>
      <c r="W979" s="134"/>
      <c r="X979" s="134"/>
      <c r="Y979" s="134"/>
      <c r="Z979" s="134"/>
      <c r="AA979" s="134"/>
    </row>
    <row r="980" ht="15.75" customHeight="1">
      <c r="A980" s="149"/>
      <c r="B980" s="149"/>
      <c r="C980" s="149"/>
      <c r="D980" s="149"/>
      <c r="E980" s="149"/>
      <c r="F980" s="149"/>
      <c r="G980" s="149"/>
      <c r="H980" s="135" t="str">
        <f>IFERROR(VLOOKUP(G980,'Conformance Score'!A:B, 2, 0), "")</f>
        <v/>
      </c>
      <c r="I980" s="150"/>
      <c r="J980" s="150"/>
      <c r="K980" s="134"/>
      <c r="L980" s="134"/>
      <c r="M980" s="134"/>
      <c r="N980" s="134"/>
      <c r="O980" s="134"/>
      <c r="P980" s="134"/>
      <c r="Q980" s="134"/>
      <c r="R980" s="134"/>
      <c r="S980" s="134"/>
      <c r="T980" s="134"/>
      <c r="U980" s="134"/>
      <c r="V980" s="134"/>
      <c r="W980" s="134"/>
      <c r="X980" s="134"/>
      <c r="Y980" s="134"/>
      <c r="Z980" s="134"/>
      <c r="AA980" s="134"/>
    </row>
    <row r="981" ht="15.75" customHeight="1">
      <c r="A981" s="149"/>
      <c r="B981" s="149"/>
      <c r="C981" s="149"/>
      <c r="D981" s="149"/>
      <c r="E981" s="149"/>
      <c r="F981" s="149"/>
      <c r="G981" s="149"/>
      <c r="H981" s="135" t="str">
        <f>IFERROR(VLOOKUP(G981,'Conformance Score'!A:B, 2, 0), "")</f>
        <v/>
      </c>
      <c r="I981" s="150"/>
      <c r="J981" s="150"/>
      <c r="K981" s="134"/>
      <c r="L981" s="134"/>
      <c r="M981" s="134"/>
      <c r="N981" s="134"/>
      <c r="O981" s="134"/>
      <c r="P981" s="134"/>
      <c r="Q981" s="134"/>
      <c r="R981" s="134"/>
      <c r="S981" s="134"/>
      <c r="T981" s="134"/>
      <c r="U981" s="134"/>
      <c r="V981" s="134"/>
      <c r="W981" s="134"/>
      <c r="X981" s="134"/>
      <c r="Y981" s="134"/>
      <c r="Z981" s="134"/>
      <c r="AA981" s="134"/>
    </row>
    <row r="982" ht="15.75" customHeight="1">
      <c r="A982" s="149"/>
      <c r="B982" s="149"/>
      <c r="C982" s="149"/>
      <c r="D982" s="149"/>
      <c r="E982" s="149"/>
      <c r="F982" s="149"/>
      <c r="G982" s="149"/>
      <c r="H982" s="135" t="str">
        <f>IFERROR(VLOOKUP(G982,'Conformance Score'!A:B, 2, 0), "")</f>
        <v/>
      </c>
      <c r="I982" s="150"/>
      <c r="J982" s="150"/>
      <c r="K982" s="134"/>
      <c r="L982" s="134"/>
      <c r="M982" s="134"/>
      <c r="N982" s="134"/>
      <c r="O982" s="134"/>
      <c r="P982" s="134"/>
      <c r="Q982" s="134"/>
      <c r="R982" s="134"/>
      <c r="S982" s="134"/>
      <c r="T982" s="134"/>
      <c r="U982" s="134"/>
      <c r="V982" s="134"/>
      <c r="W982" s="134"/>
      <c r="X982" s="134"/>
      <c r="Y982" s="134"/>
      <c r="Z982" s="134"/>
      <c r="AA982" s="134"/>
    </row>
    <row r="983" ht="15.75" customHeight="1">
      <c r="A983" s="149"/>
      <c r="B983" s="149"/>
      <c r="C983" s="149"/>
      <c r="D983" s="149"/>
      <c r="E983" s="149"/>
      <c r="F983" s="149"/>
      <c r="G983" s="149"/>
      <c r="H983" s="135" t="str">
        <f>IFERROR(VLOOKUP(G983,'Conformance Score'!A:B, 2, 0), "")</f>
        <v/>
      </c>
      <c r="I983" s="150"/>
      <c r="J983" s="150"/>
      <c r="K983" s="134"/>
      <c r="L983" s="134"/>
      <c r="M983" s="134"/>
      <c r="N983" s="134"/>
      <c r="O983" s="134"/>
      <c r="P983" s="134"/>
      <c r="Q983" s="134"/>
      <c r="R983" s="134"/>
      <c r="S983" s="134"/>
      <c r="T983" s="134"/>
      <c r="U983" s="134"/>
      <c r="V983" s="134"/>
      <c r="W983" s="134"/>
      <c r="X983" s="134"/>
      <c r="Y983" s="134"/>
      <c r="Z983" s="134"/>
      <c r="AA983" s="134"/>
    </row>
    <row r="984" ht="15.75" customHeight="1">
      <c r="A984" s="149"/>
      <c r="B984" s="149"/>
      <c r="C984" s="149"/>
      <c r="D984" s="149"/>
      <c r="E984" s="149"/>
      <c r="F984" s="149"/>
      <c r="G984" s="149"/>
      <c r="H984" s="135" t="str">
        <f>IFERROR(VLOOKUP(G984,'Conformance Score'!A:B, 2, 0), "")</f>
        <v/>
      </c>
      <c r="I984" s="150"/>
      <c r="J984" s="150"/>
      <c r="K984" s="134"/>
      <c r="L984" s="134"/>
      <c r="M984" s="134"/>
      <c r="N984" s="134"/>
      <c r="O984" s="134"/>
      <c r="P984" s="134"/>
      <c r="Q984" s="134"/>
      <c r="R984" s="134"/>
      <c r="S984" s="134"/>
      <c r="T984" s="134"/>
      <c r="U984" s="134"/>
      <c r="V984" s="134"/>
      <c r="W984" s="134"/>
      <c r="X984" s="134"/>
      <c r="Y984" s="134"/>
      <c r="Z984" s="134"/>
      <c r="AA984" s="134"/>
    </row>
    <row r="985" ht="15.75" customHeight="1">
      <c r="A985" s="149"/>
      <c r="B985" s="149"/>
      <c r="C985" s="149"/>
      <c r="D985" s="149"/>
      <c r="E985" s="149"/>
      <c r="F985" s="149"/>
      <c r="G985" s="149"/>
      <c r="H985" s="135" t="str">
        <f>IFERROR(VLOOKUP(G985,'Conformance Score'!A:B, 2, 0), "")</f>
        <v/>
      </c>
      <c r="I985" s="150"/>
      <c r="J985" s="150"/>
      <c r="K985" s="134"/>
      <c r="L985" s="134"/>
      <c r="M985" s="134"/>
      <c r="N985" s="134"/>
      <c r="O985" s="134"/>
      <c r="P985" s="134"/>
      <c r="Q985" s="134"/>
      <c r="R985" s="134"/>
      <c r="S985" s="134"/>
      <c r="T985" s="134"/>
      <c r="U985" s="134"/>
      <c r="V985" s="134"/>
      <c r="W985" s="134"/>
      <c r="X985" s="134"/>
      <c r="Y985" s="134"/>
      <c r="Z985" s="134"/>
      <c r="AA985" s="134"/>
    </row>
    <row r="986" ht="15.75" customHeight="1">
      <c r="A986" s="149"/>
      <c r="B986" s="149"/>
      <c r="C986" s="149"/>
      <c r="D986" s="149"/>
      <c r="E986" s="149"/>
      <c r="F986" s="149"/>
      <c r="G986" s="149"/>
      <c r="H986" s="135" t="str">
        <f>IFERROR(VLOOKUP(G986,'Conformance Score'!A:B, 2, 0), "")</f>
        <v/>
      </c>
      <c r="I986" s="150"/>
      <c r="J986" s="150"/>
      <c r="K986" s="134"/>
      <c r="L986" s="134"/>
      <c r="M986" s="134"/>
      <c r="N986" s="134"/>
      <c r="O986" s="134"/>
      <c r="P986" s="134"/>
      <c r="Q986" s="134"/>
      <c r="R986" s="134"/>
      <c r="S986" s="134"/>
      <c r="T986" s="134"/>
      <c r="U986" s="134"/>
      <c r="V986" s="134"/>
      <c r="W986" s="134"/>
      <c r="X986" s="134"/>
      <c r="Y986" s="134"/>
      <c r="Z986" s="134"/>
      <c r="AA986" s="134"/>
    </row>
    <row r="987" ht="15.75" customHeight="1">
      <c r="A987" s="149"/>
      <c r="B987" s="149"/>
      <c r="C987" s="149"/>
      <c r="D987" s="149"/>
      <c r="E987" s="149"/>
      <c r="F987" s="149"/>
      <c r="G987" s="149"/>
      <c r="H987" s="135" t="str">
        <f>IFERROR(VLOOKUP(G987,'Conformance Score'!A:B, 2, 0), "")</f>
        <v/>
      </c>
      <c r="I987" s="150"/>
      <c r="J987" s="150"/>
      <c r="K987" s="134"/>
      <c r="L987" s="134"/>
      <c r="M987" s="134"/>
      <c r="N987" s="134"/>
      <c r="O987" s="134"/>
      <c r="P987" s="134"/>
      <c r="Q987" s="134"/>
      <c r="R987" s="134"/>
      <c r="S987" s="134"/>
      <c r="T987" s="134"/>
      <c r="U987" s="134"/>
      <c r="V987" s="134"/>
      <c r="W987" s="134"/>
      <c r="X987" s="134"/>
      <c r="Y987" s="134"/>
      <c r="Z987" s="134"/>
      <c r="AA987" s="134"/>
    </row>
    <row r="988" ht="15.75" customHeight="1">
      <c r="A988" s="149"/>
      <c r="B988" s="149"/>
      <c r="C988" s="149"/>
      <c r="D988" s="149"/>
      <c r="E988" s="149"/>
      <c r="F988" s="149"/>
      <c r="G988" s="149"/>
      <c r="H988" s="135" t="str">
        <f>IFERROR(VLOOKUP(G988,'Conformance Score'!A:B, 2, 0), "")</f>
        <v/>
      </c>
      <c r="I988" s="150"/>
      <c r="J988" s="150"/>
      <c r="K988" s="134"/>
      <c r="L988" s="134"/>
      <c r="M988" s="134"/>
      <c r="N988" s="134"/>
      <c r="O988" s="134"/>
      <c r="P988" s="134"/>
      <c r="Q988" s="134"/>
      <c r="R988" s="134"/>
      <c r="S988" s="134"/>
      <c r="T988" s="134"/>
      <c r="U988" s="134"/>
      <c r="V988" s="134"/>
      <c r="W988" s="134"/>
      <c r="X988" s="134"/>
      <c r="Y988" s="134"/>
      <c r="Z988" s="134"/>
      <c r="AA988" s="134"/>
    </row>
    <row r="989" ht="15.75" customHeight="1">
      <c r="A989" s="149"/>
      <c r="B989" s="149"/>
      <c r="C989" s="149"/>
      <c r="D989" s="149"/>
      <c r="E989" s="149"/>
      <c r="F989" s="149"/>
      <c r="G989" s="149"/>
      <c r="H989" s="135" t="str">
        <f>IFERROR(VLOOKUP(G989,'Conformance Score'!A:B, 2, 0), "")</f>
        <v/>
      </c>
      <c r="I989" s="150"/>
      <c r="J989" s="150"/>
      <c r="K989" s="134"/>
      <c r="L989" s="134"/>
      <c r="M989" s="134"/>
      <c r="N989" s="134"/>
      <c r="O989" s="134"/>
      <c r="P989" s="134"/>
      <c r="Q989" s="134"/>
      <c r="R989" s="134"/>
      <c r="S989" s="134"/>
      <c r="T989" s="134"/>
      <c r="U989" s="134"/>
      <c r="V989" s="134"/>
      <c r="W989" s="134"/>
      <c r="X989" s="134"/>
      <c r="Y989" s="134"/>
      <c r="Z989" s="134"/>
      <c r="AA989" s="134"/>
    </row>
    <row r="990" ht="15.75" customHeight="1">
      <c r="A990" s="149"/>
      <c r="B990" s="149"/>
      <c r="C990" s="149"/>
      <c r="D990" s="149"/>
      <c r="E990" s="149"/>
      <c r="F990" s="149"/>
      <c r="G990" s="149"/>
      <c r="H990" s="135" t="str">
        <f>IFERROR(VLOOKUP(G990,'Conformance Score'!A:B, 2, 0), "")</f>
        <v/>
      </c>
      <c r="I990" s="150"/>
      <c r="J990" s="150"/>
      <c r="K990" s="134"/>
      <c r="L990" s="134"/>
      <c r="M990" s="134"/>
      <c r="N990" s="134"/>
      <c r="O990" s="134"/>
      <c r="P990" s="134"/>
      <c r="Q990" s="134"/>
      <c r="R990" s="134"/>
      <c r="S990" s="134"/>
      <c r="T990" s="134"/>
      <c r="U990" s="134"/>
      <c r="V990" s="134"/>
      <c r="W990" s="134"/>
      <c r="X990" s="134"/>
      <c r="Y990" s="134"/>
      <c r="Z990" s="134"/>
      <c r="AA990" s="134"/>
    </row>
    <row r="991" ht="15.75" customHeight="1">
      <c r="A991" s="149"/>
      <c r="B991" s="149"/>
      <c r="C991" s="149"/>
      <c r="D991" s="149"/>
      <c r="E991" s="149"/>
      <c r="F991" s="149"/>
      <c r="G991" s="149"/>
      <c r="H991" s="135" t="str">
        <f>IFERROR(VLOOKUP(G991,'Conformance Score'!A:B, 2, 0), "")</f>
        <v/>
      </c>
      <c r="I991" s="150"/>
      <c r="J991" s="150"/>
      <c r="K991" s="134"/>
      <c r="L991" s="134"/>
      <c r="M991" s="134"/>
      <c r="N991" s="134"/>
      <c r="O991" s="134"/>
      <c r="P991" s="134"/>
      <c r="Q991" s="134"/>
      <c r="R991" s="134"/>
      <c r="S991" s="134"/>
      <c r="T991" s="134"/>
      <c r="U991" s="134"/>
      <c r="V991" s="134"/>
      <c r="W991" s="134"/>
      <c r="X991" s="134"/>
      <c r="Y991" s="134"/>
      <c r="Z991" s="134"/>
      <c r="AA991" s="134"/>
    </row>
    <row r="992" ht="15.75" customHeight="1">
      <c r="A992" s="149"/>
      <c r="B992" s="149"/>
      <c r="C992" s="149"/>
      <c r="D992" s="149"/>
      <c r="E992" s="149"/>
      <c r="F992" s="149"/>
      <c r="G992" s="149"/>
      <c r="H992" s="135" t="str">
        <f>IFERROR(VLOOKUP(G992,'Conformance Score'!A:B, 2, 0), "")</f>
        <v/>
      </c>
      <c r="I992" s="150"/>
      <c r="J992" s="150"/>
      <c r="K992" s="134"/>
      <c r="L992" s="134"/>
      <c r="M992" s="134"/>
      <c r="N992" s="134"/>
      <c r="O992" s="134"/>
      <c r="P992" s="134"/>
      <c r="Q992" s="134"/>
      <c r="R992" s="134"/>
      <c r="S992" s="134"/>
      <c r="T992" s="134"/>
      <c r="U992" s="134"/>
      <c r="V992" s="134"/>
      <c r="W992" s="134"/>
      <c r="X992" s="134"/>
      <c r="Y992" s="134"/>
      <c r="Z992" s="134"/>
      <c r="AA992" s="134"/>
    </row>
    <row r="993" ht="15.75" customHeight="1">
      <c r="A993" s="149"/>
      <c r="B993" s="149"/>
      <c r="C993" s="149"/>
      <c r="D993" s="149"/>
      <c r="E993" s="149"/>
      <c r="F993" s="149"/>
      <c r="G993" s="149"/>
      <c r="H993" s="135" t="str">
        <f>IFERROR(VLOOKUP(G993,'Conformance Score'!A:B, 2, 0), "")</f>
        <v/>
      </c>
      <c r="I993" s="150"/>
      <c r="J993" s="150"/>
      <c r="K993" s="134"/>
      <c r="L993" s="134"/>
      <c r="M993" s="134"/>
      <c r="N993" s="134"/>
      <c r="O993" s="134"/>
      <c r="P993" s="134"/>
      <c r="Q993" s="134"/>
      <c r="R993" s="134"/>
      <c r="S993" s="134"/>
      <c r="T993" s="134"/>
      <c r="U993" s="134"/>
      <c r="V993" s="134"/>
      <c r="W993" s="134"/>
      <c r="X993" s="134"/>
      <c r="Y993" s="134"/>
      <c r="Z993" s="134"/>
      <c r="AA993" s="134"/>
    </row>
    <row r="994" ht="15.75" customHeight="1">
      <c r="A994" s="149"/>
      <c r="B994" s="149"/>
      <c r="C994" s="149"/>
      <c r="D994" s="149"/>
      <c r="E994" s="149"/>
      <c r="F994" s="149"/>
      <c r="G994" s="149"/>
      <c r="H994" s="135" t="str">
        <f>IFERROR(VLOOKUP(G994,'Conformance Score'!A:B, 2, 0), "")</f>
        <v/>
      </c>
      <c r="I994" s="150"/>
      <c r="J994" s="150"/>
      <c r="K994" s="134"/>
      <c r="L994" s="134"/>
      <c r="M994" s="134"/>
      <c r="N994" s="134"/>
      <c r="O994" s="134"/>
      <c r="P994" s="134"/>
      <c r="Q994" s="134"/>
      <c r="R994" s="134"/>
      <c r="S994" s="134"/>
      <c r="T994" s="134"/>
      <c r="U994" s="134"/>
      <c r="V994" s="134"/>
      <c r="W994" s="134"/>
      <c r="X994" s="134"/>
      <c r="Y994" s="134"/>
      <c r="Z994" s="134"/>
      <c r="AA994" s="134"/>
    </row>
    <row r="995" ht="15.75" customHeight="1">
      <c r="A995" s="149"/>
      <c r="B995" s="149"/>
      <c r="C995" s="149"/>
      <c r="D995" s="149"/>
      <c r="E995" s="149"/>
      <c r="F995" s="149"/>
      <c r="G995" s="149"/>
      <c r="H995" s="135" t="str">
        <f>IFERROR(VLOOKUP(G995,'Conformance Score'!A:B, 2, 0), "")</f>
        <v/>
      </c>
      <c r="I995" s="150"/>
      <c r="J995" s="150"/>
      <c r="K995" s="134"/>
      <c r="L995" s="134"/>
      <c r="M995" s="134"/>
      <c r="N995" s="134"/>
      <c r="O995" s="134"/>
      <c r="P995" s="134"/>
      <c r="Q995" s="134"/>
      <c r="R995" s="134"/>
      <c r="S995" s="134"/>
      <c r="T995" s="134"/>
      <c r="U995" s="134"/>
      <c r="V995" s="134"/>
      <c r="W995" s="134"/>
      <c r="X995" s="134"/>
      <c r="Y995" s="134"/>
      <c r="Z995" s="134"/>
      <c r="AA995" s="134"/>
    </row>
    <row r="996" ht="15.75" customHeight="1">
      <c r="A996" s="149"/>
      <c r="B996" s="149"/>
      <c r="C996" s="149"/>
      <c r="D996" s="149"/>
      <c r="E996" s="149"/>
      <c r="F996" s="149"/>
      <c r="G996" s="149"/>
      <c r="H996" s="135" t="str">
        <f>IFERROR(VLOOKUP(G996,'Conformance Score'!A:B, 2, 0), "")</f>
        <v/>
      </c>
      <c r="I996" s="150"/>
      <c r="J996" s="150"/>
      <c r="K996" s="134"/>
      <c r="L996" s="134"/>
      <c r="M996" s="134"/>
      <c r="N996" s="134"/>
      <c r="O996" s="134"/>
      <c r="P996" s="134"/>
      <c r="Q996" s="134"/>
      <c r="R996" s="134"/>
      <c r="S996" s="134"/>
      <c r="T996" s="134"/>
      <c r="U996" s="134"/>
      <c r="V996" s="134"/>
      <c r="W996" s="134"/>
      <c r="X996" s="134"/>
      <c r="Y996" s="134"/>
      <c r="Z996" s="134"/>
      <c r="AA996" s="134"/>
    </row>
    <row r="997" ht="15.75" customHeight="1">
      <c r="A997" s="149"/>
      <c r="B997" s="149"/>
      <c r="C997" s="149"/>
      <c r="D997" s="149"/>
      <c r="E997" s="149"/>
      <c r="F997" s="149"/>
      <c r="G997" s="149"/>
      <c r="H997" s="135" t="str">
        <f>IFERROR(VLOOKUP(G997,'Conformance Score'!A:B, 2, 0), "")</f>
        <v/>
      </c>
      <c r="I997" s="150"/>
      <c r="J997" s="150"/>
      <c r="K997" s="134"/>
      <c r="L997" s="134"/>
      <c r="M997" s="134"/>
      <c r="N997" s="134"/>
      <c r="O997" s="134"/>
      <c r="P997" s="134"/>
      <c r="Q997" s="134"/>
      <c r="R997" s="134"/>
      <c r="S997" s="134"/>
      <c r="T997" s="134"/>
      <c r="U997" s="134"/>
      <c r="V997" s="134"/>
      <c r="W997" s="134"/>
      <c r="X997" s="134"/>
      <c r="Y997" s="134"/>
      <c r="Z997" s="134"/>
      <c r="AA997" s="134"/>
    </row>
    <row r="998" ht="15.75" customHeight="1">
      <c r="A998" s="149"/>
      <c r="B998" s="149"/>
      <c r="C998" s="149"/>
      <c r="D998" s="149"/>
      <c r="E998" s="149"/>
      <c r="F998" s="149"/>
      <c r="G998" s="149"/>
      <c r="H998" s="135" t="str">
        <f>IFERROR(VLOOKUP(G998,'Conformance Score'!A:B, 2, 0), "")</f>
        <v/>
      </c>
      <c r="I998" s="150"/>
      <c r="J998" s="150"/>
      <c r="K998" s="134"/>
      <c r="L998" s="134"/>
      <c r="M998" s="134"/>
      <c r="N998" s="134"/>
      <c r="O998" s="134"/>
      <c r="P998" s="134"/>
      <c r="Q998" s="134"/>
      <c r="R998" s="134"/>
      <c r="S998" s="134"/>
      <c r="T998" s="134"/>
      <c r="U998" s="134"/>
      <c r="V998" s="134"/>
      <c r="W998" s="134"/>
      <c r="X998" s="134"/>
      <c r="Y998" s="134"/>
      <c r="Z998" s="134"/>
      <c r="AA998" s="134"/>
    </row>
    <row r="999" ht="15.75" customHeight="1">
      <c r="A999" s="149"/>
      <c r="B999" s="149"/>
      <c r="C999" s="149"/>
      <c r="D999" s="149"/>
      <c r="E999" s="149"/>
      <c r="F999" s="149"/>
      <c r="G999" s="149"/>
      <c r="H999" s="135" t="str">
        <f>IFERROR(VLOOKUP(G999,'Conformance Score'!A:B, 2, 0), "")</f>
        <v/>
      </c>
      <c r="I999" s="150"/>
      <c r="J999" s="150"/>
      <c r="K999" s="134"/>
      <c r="L999" s="134"/>
      <c r="M999" s="134"/>
      <c r="N999" s="134"/>
      <c r="O999" s="134"/>
      <c r="P999" s="134"/>
      <c r="Q999" s="134"/>
      <c r="R999" s="134"/>
      <c r="S999" s="134"/>
      <c r="T999" s="134"/>
      <c r="U999" s="134"/>
      <c r="V999" s="134"/>
      <c r="W999" s="134"/>
      <c r="X999" s="134"/>
      <c r="Y999" s="134"/>
      <c r="Z999" s="134"/>
      <c r="AA999" s="134"/>
    </row>
    <row r="1000" ht="15.75" customHeight="1">
      <c r="A1000" s="149"/>
      <c r="B1000" s="149"/>
      <c r="C1000" s="149"/>
      <c r="D1000" s="149"/>
      <c r="E1000" s="149"/>
      <c r="F1000" s="149"/>
      <c r="G1000" s="149"/>
      <c r="H1000" s="135" t="str">
        <f>IFERROR(VLOOKUP(G1000,'Conformance Score'!A:B, 2, 0), "")</f>
        <v/>
      </c>
      <c r="I1000" s="150"/>
      <c r="J1000" s="150"/>
      <c r="K1000" s="134"/>
      <c r="L1000" s="134"/>
      <c r="M1000" s="134"/>
      <c r="N1000" s="134"/>
      <c r="O1000" s="134"/>
      <c r="P1000" s="134"/>
      <c r="Q1000" s="134"/>
      <c r="R1000" s="134"/>
      <c r="S1000" s="134"/>
      <c r="T1000" s="134"/>
      <c r="U1000" s="134"/>
      <c r="V1000" s="134"/>
      <c r="W1000" s="134"/>
      <c r="X1000" s="134"/>
      <c r="Y1000" s="134"/>
      <c r="Z1000" s="134"/>
      <c r="AA1000" s="134"/>
    </row>
  </sheetData>
  <dataValidations>
    <dataValidation type="list" allowBlank="1" showErrorMessage="1" sqref="D2:D163">
      <formula1>userImpact</formula1>
    </dataValidation>
  </dataValidations>
  <hyperlinks>
    <hyperlink r:id="rId1" ref="C163"/>
  </hyperlinks>
  <printOptions/>
  <pageMargins bottom="0.75" footer="0.0" header="0.0" left="0.7" right="0.7" top="0.75"/>
  <pageSetup orientation="landscape"/>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19.13"/>
    <col customWidth="1" min="3" max="3" width="24.38"/>
    <col customWidth="1" min="4" max="4" width="89.38"/>
    <col customWidth="1" min="5" max="26" width="8.63"/>
  </cols>
  <sheetData>
    <row r="1" ht="14.25" customHeight="1">
      <c r="A1" s="133" t="s">
        <v>950</v>
      </c>
      <c r="B1" s="133" t="s">
        <v>951</v>
      </c>
      <c r="C1" s="133" t="s">
        <v>952</v>
      </c>
      <c r="D1" s="133" t="s">
        <v>953</v>
      </c>
    </row>
    <row r="2" ht="14.25" customHeight="1">
      <c r="A2" s="149" t="s">
        <v>185</v>
      </c>
      <c r="B2" s="149" t="s">
        <v>954</v>
      </c>
      <c r="C2" s="149" t="s">
        <v>939</v>
      </c>
      <c r="D2" s="149" t="s">
        <v>955</v>
      </c>
    </row>
    <row r="3" ht="14.25" customHeight="1">
      <c r="A3" s="149" t="s">
        <v>186</v>
      </c>
      <c r="B3" s="149" t="s">
        <v>956</v>
      </c>
      <c r="C3" s="149" t="s">
        <v>957</v>
      </c>
      <c r="D3" s="149" t="s">
        <v>958</v>
      </c>
    </row>
    <row r="4" ht="14.25" customHeight="1">
      <c r="A4" s="149" t="s">
        <v>187</v>
      </c>
      <c r="B4" s="149" t="s">
        <v>959</v>
      </c>
      <c r="C4" s="149" t="s">
        <v>957</v>
      </c>
      <c r="D4" s="149" t="s">
        <v>960</v>
      </c>
    </row>
    <row r="5" ht="14.25" customHeight="1">
      <c r="A5" s="149" t="s">
        <v>188</v>
      </c>
      <c r="B5" s="149" t="s">
        <v>959</v>
      </c>
      <c r="C5" s="149" t="s">
        <v>961</v>
      </c>
      <c r="D5" s="149" t="s">
        <v>960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36" t="s">
        <v>962</v>
      </c>
      <c r="B1" s="36"/>
      <c r="C1" s="36" t="s">
        <v>963</v>
      </c>
      <c r="D1" s="36"/>
      <c r="E1" s="36" t="s">
        <v>964</v>
      </c>
      <c r="F1" s="36"/>
      <c r="G1" s="36" t="s">
        <v>178</v>
      </c>
      <c r="H1" s="36"/>
      <c r="I1" s="36" t="s">
        <v>965</v>
      </c>
      <c r="J1" s="36"/>
      <c r="K1" s="36" t="s">
        <v>61</v>
      </c>
      <c r="L1" s="36"/>
      <c r="M1" s="36" t="s">
        <v>311</v>
      </c>
      <c r="N1" s="36"/>
      <c r="O1" s="36" t="s">
        <v>323</v>
      </c>
      <c r="P1" s="36"/>
      <c r="Q1" s="36" t="s">
        <v>175</v>
      </c>
      <c r="R1" s="36"/>
      <c r="S1" s="36" t="s">
        <v>966</v>
      </c>
      <c r="T1" s="36"/>
      <c r="U1" s="36" t="s">
        <v>327</v>
      </c>
      <c r="W1" s="36" t="s">
        <v>967</v>
      </c>
      <c r="X1" s="36"/>
      <c r="Y1" s="36" t="s">
        <v>968</v>
      </c>
      <c r="Z1" s="60" t="s">
        <v>327</v>
      </c>
    </row>
    <row r="2" ht="14.25" customHeight="1">
      <c r="A2" s="131" t="s">
        <v>969</v>
      </c>
      <c r="C2" s="131" t="s">
        <v>970</v>
      </c>
      <c r="E2" s="131" t="s">
        <v>969</v>
      </c>
      <c r="G2" s="131" t="s">
        <v>971</v>
      </c>
      <c r="I2" s="131" t="s">
        <v>163</v>
      </c>
      <c r="K2" s="131" t="s">
        <v>972</v>
      </c>
      <c r="M2" s="131" t="s">
        <v>973</v>
      </c>
      <c r="O2" s="131" t="s">
        <v>974</v>
      </c>
      <c r="Q2" s="131" t="s">
        <v>975</v>
      </c>
      <c r="S2" s="131" t="s">
        <v>976</v>
      </c>
      <c r="U2" s="131" t="s">
        <v>332</v>
      </c>
      <c r="W2" s="131" t="s">
        <v>977</v>
      </c>
      <c r="Y2" s="131" t="s">
        <v>20</v>
      </c>
      <c r="Z2" s="151" t="s">
        <v>332</v>
      </c>
    </row>
    <row r="3" ht="14.25" customHeight="1">
      <c r="A3" s="131" t="s">
        <v>978</v>
      </c>
      <c r="C3" s="131" t="s">
        <v>979</v>
      </c>
      <c r="E3" s="131" t="s">
        <v>978</v>
      </c>
      <c r="G3" s="131" t="s">
        <v>980</v>
      </c>
      <c r="I3" s="131" t="s">
        <v>164</v>
      </c>
      <c r="K3" s="131" t="s">
        <v>974</v>
      </c>
      <c r="M3" s="131" t="s">
        <v>981</v>
      </c>
      <c r="O3" s="131" t="s">
        <v>982</v>
      </c>
      <c r="Q3" s="131" t="s">
        <v>983</v>
      </c>
      <c r="S3" s="131" t="s">
        <v>984</v>
      </c>
      <c r="U3" s="131" t="s">
        <v>492</v>
      </c>
      <c r="W3" s="131" t="s">
        <v>985</v>
      </c>
      <c r="Y3" s="131" t="s">
        <v>986</v>
      </c>
      <c r="Z3" s="152" t="s">
        <v>492</v>
      </c>
    </row>
    <row r="4" ht="14.25" customHeight="1">
      <c r="A4" s="131" t="s">
        <v>987</v>
      </c>
      <c r="C4" s="131" t="s">
        <v>988</v>
      </c>
      <c r="G4" s="131" t="s">
        <v>989</v>
      </c>
      <c r="I4" s="131" t="s">
        <v>165</v>
      </c>
      <c r="K4" s="131" t="s">
        <v>982</v>
      </c>
      <c r="M4" s="131" t="s">
        <v>990</v>
      </c>
      <c r="O4" s="131" t="s">
        <v>324</v>
      </c>
      <c r="Q4" s="131" t="s">
        <v>991</v>
      </c>
      <c r="S4" s="131" t="s">
        <v>992</v>
      </c>
      <c r="U4" s="131" t="s">
        <v>473</v>
      </c>
      <c r="W4" s="131" t="s">
        <v>993</v>
      </c>
      <c r="Y4" s="131" t="s">
        <v>994</v>
      </c>
      <c r="Z4" s="152" t="s">
        <v>473</v>
      </c>
    </row>
    <row r="5" ht="14.25" customHeight="1">
      <c r="A5" s="131" t="s">
        <v>995</v>
      </c>
      <c r="C5" s="131" t="s">
        <v>996</v>
      </c>
      <c r="G5" s="131" t="s">
        <v>997</v>
      </c>
      <c r="I5" s="131" t="s">
        <v>998</v>
      </c>
      <c r="K5" s="131" t="s">
        <v>999</v>
      </c>
      <c r="M5" s="131" t="s">
        <v>1000</v>
      </c>
      <c r="O5" s="131" t="s">
        <v>1001</v>
      </c>
      <c r="Q5" s="131" t="s">
        <v>1002</v>
      </c>
      <c r="S5" s="131" t="s">
        <v>1003</v>
      </c>
      <c r="U5" s="131" t="s">
        <v>369</v>
      </c>
      <c r="Y5" s="131" t="s">
        <v>1004</v>
      </c>
      <c r="Z5" s="152" t="s">
        <v>369</v>
      </c>
    </row>
    <row r="6" ht="14.25" customHeight="1">
      <c r="A6" s="131" t="s">
        <v>1005</v>
      </c>
      <c r="C6" s="131" t="s">
        <v>1006</v>
      </c>
      <c r="G6" s="131" t="s">
        <v>1007</v>
      </c>
      <c r="I6" s="131" t="s">
        <v>1008</v>
      </c>
      <c r="K6" s="131" t="s">
        <v>1009</v>
      </c>
      <c r="M6" s="131" t="s">
        <v>1010</v>
      </c>
      <c r="Q6" s="131" t="s">
        <v>1011</v>
      </c>
      <c r="S6" s="131" t="s">
        <v>1012</v>
      </c>
      <c r="U6" s="131" t="s">
        <v>616</v>
      </c>
      <c r="Z6" s="152" t="s">
        <v>616</v>
      </c>
    </row>
    <row r="7" ht="14.25" customHeight="1">
      <c r="A7" s="131" t="s">
        <v>979</v>
      </c>
      <c r="C7" s="131" t="s">
        <v>1013</v>
      </c>
      <c r="G7" s="131" t="s">
        <v>1014</v>
      </c>
      <c r="I7" s="131" t="s">
        <v>1015</v>
      </c>
      <c r="K7" s="131" t="s">
        <v>324</v>
      </c>
      <c r="M7" s="131" t="s">
        <v>1016</v>
      </c>
      <c r="Q7" s="131" t="s">
        <v>1017</v>
      </c>
      <c r="S7" s="131" t="s">
        <v>1018</v>
      </c>
      <c r="U7" s="131" t="s">
        <v>528</v>
      </c>
      <c r="Z7" s="152" t="s">
        <v>528</v>
      </c>
    </row>
    <row r="8" ht="14.25" customHeight="1">
      <c r="A8" s="131" t="s">
        <v>1019</v>
      </c>
      <c r="C8" s="131" t="s">
        <v>1020</v>
      </c>
      <c r="G8" s="131" t="s">
        <v>1021</v>
      </c>
      <c r="I8" s="131" t="s">
        <v>1022</v>
      </c>
      <c r="M8" s="131" t="s">
        <v>1023</v>
      </c>
      <c r="Q8" s="131" t="s">
        <v>1024</v>
      </c>
      <c r="U8" s="131" t="s">
        <v>461</v>
      </c>
      <c r="Z8" s="152" t="s">
        <v>461</v>
      </c>
    </row>
    <row r="9" ht="14.25" customHeight="1">
      <c r="A9" s="131" t="s">
        <v>1025</v>
      </c>
      <c r="C9" s="131" t="s">
        <v>1026</v>
      </c>
      <c r="G9" s="131" t="s">
        <v>1027</v>
      </c>
      <c r="I9" s="131" t="s">
        <v>1028</v>
      </c>
      <c r="M9" s="131" t="s">
        <v>1029</v>
      </c>
      <c r="Q9" s="131" t="s">
        <v>1030</v>
      </c>
      <c r="U9" s="131" t="s">
        <v>1031</v>
      </c>
      <c r="Z9" s="153" t="s">
        <v>1031</v>
      </c>
    </row>
    <row r="10" ht="14.25" customHeight="1">
      <c r="A10" s="131" t="s">
        <v>1032</v>
      </c>
      <c r="C10" s="131" t="s">
        <v>1033</v>
      </c>
      <c r="G10" s="131" t="s">
        <v>1034</v>
      </c>
      <c r="M10" s="131" t="s">
        <v>1035</v>
      </c>
      <c r="Q10" s="131" t="s">
        <v>1036</v>
      </c>
      <c r="U10" s="131" t="s">
        <v>620</v>
      </c>
      <c r="Z10" s="153" t="s">
        <v>710</v>
      </c>
    </row>
    <row r="11" ht="14.25" customHeight="1">
      <c r="A11" s="131" t="s">
        <v>1037</v>
      </c>
      <c r="C11" s="131" t="s">
        <v>1038</v>
      </c>
      <c r="G11" s="131" t="s">
        <v>1039</v>
      </c>
      <c r="M11" s="131" t="s">
        <v>1040</v>
      </c>
      <c r="Q11" s="131" t="s">
        <v>1041</v>
      </c>
      <c r="U11" s="131" t="s">
        <v>710</v>
      </c>
      <c r="Z11" s="154" t="s">
        <v>620</v>
      </c>
    </row>
    <row r="12" ht="14.25" customHeight="1">
      <c r="A12" s="131" t="s">
        <v>970</v>
      </c>
      <c r="C12" s="131" t="s">
        <v>1042</v>
      </c>
      <c r="G12" s="131" t="s">
        <v>1043</v>
      </c>
      <c r="M12" s="131" t="s">
        <v>1044</v>
      </c>
    </row>
    <row r="13" ht="14.25" customHeight="1">
      <c r="A13" s="131" t="s">
        <v>988</v>
      </c>
      <c r="C13" s="131" t="s">
        <v>1045</v>
      </c>
      <c r="G13" s="131" t="s">
        <v>1046</v>
      </c>
      <c r="M13" s="131" t="s">
        <v>1047</v>
      </c>
    </row>
    <row r="14" ht="14.25" customHeight="1">
      <c r="A14" s="131" t="s">
        <v>996</v>
      </c>
      <c r="C14" s="131" t="s">
        <v>1037</v>
      </c>
      <c r="G14" s="131" t="s">
        <v>1048</v>
      </c>
      <c r="M14" s="131" t="s">
        <v>1049</v>
      </c>
    </row>
    <row r="15" ht="14.25" customHeight="1">
      <c r="A15" s="131" t="s">
        <v>1006</v>
      </c>
      <c r="C15" s="131" t="s">
        <v>1050</v>
      </c>
      <c r="G15" s="131" t="s">
        <v>1051</v>
      </c>
      <c r="M15" s="131" t="s">
        <v>1052</v>
      </c>
    </row>
    <row r="16" ht="14.25" customHeight="1">
      <c r="A16" s="131" t="s">
        <v>1013</v>
      </c>
      <c r="C16" s="131" t="s">
        <v>1053</v>
      </c>
      <c r="G16" s="131" t="s">
        <v>1054</v>
      </c>
      <c r="M16" s="131" t="s">
        <v>1055</v>
      </c>
    </row>
    <row r="17" ht="14.25" customHeight="1">
      <c r="A17" s="131" t="s">
        <v>1020</v>
      </c>
      <c r="G17" s="131" t="s">
        <v>1056</v>
      </c>
      <c r="M17" s="131" t="s">
        <v>1057</v>
      </c>
    </row>
    <row r="18" ht="14.25" customHeight="1">
      <c r="A18" s="131" t="s">
        <v>1058</v>
      </c>
      <c r="G18" s="131" t="s">
        <v>1059</v>
      </c>
    </row>
    <row r="19" ht="14.25" customHeight="1">
      <c r="A19" s="131" t="s">
        <v>1060</v>
      </c>
      <c r="G19" s="131" t="s">
        <v>1011</v>
      </c>
    </row>
    <row r="20" ht="14.25" customHeight="1">
      <c r="A20" s="131" t="s">
        <v>1033</v>
      </c>
      <c r="G20" s="131" t="s">
        <v>1061</v>
      </c>
    </row>
    <row r="21" ht="14.25" customHeight="1">
      <c r="A21" s="131" t="s">
        <v>1062</v>
      </c>
      <c r="G21" s="131" t="s">
        <v>1063</v>
      </c>
    </row>
    <row r="22" ht="14.25" customHeight="1">
      <c r="A22" s="131" t="s">
        <v>1064</v>
      </c>
      <c r="G22" s="131" t="s">
        <v>1065</v>
      </c>
    </row>
    <row r="23" ht="14.25" customHeight="1">
      <c r="A23" s="131" t="s">
        <v>1053</v>
      </c>
      <c r="G23" s="131" t="s">
        <v>1066</v>
      </c>
    </row>
    <row r="24" ht="14.25" customHeight="1">
      <c r="A24" s="131" t="s">
        <v>1067</v>
      </c>
    </row>
    <row r="25" ht="14.25" customHeight="1">
      <c r="A25" s="131" t="s">
        <v>1026</v>
      </c>
    </row>
    <row r="26" ht="14.25" customHeight="1">
      <c r="A26" s="131" t="s">
        <v>45</v>
      </c>
    </row>
    <row r="27" ht="14.25" customHeight="1">
      <c r="A27" s="131" t="s">
        <v>1068</v>
      </c>
    </row>
    <row r="28" ht="14.25" customHeight="1">
      <c r="A28" s="131" t="s">
        <v>1038</v>
      </c>
    </row>
    <row r="29" ht="14.25" customHeight="1">
      <c r="A29" s="131" t="s">
        <v>1069</v>
      </c>
    </row>
    <row r="30" ht="14.25" customHeight="1">
      <c r="A30" s="131" t="s">
        <v>1070</v>
      </c>
    </row>
    <row r="31" ht="14.25" customHeight="1">
      <c r="A31" s="131" t="s">
        <v>1071</v>
      </c>
    </row>
    <row r="32" ht="14.25" customHeight="1">
      <c r="A32" s="131" t="s">
        <v>1042</v>
      </c>
    </row>
    <row r="33" ht="14.25" customHeight="1">
      <c r="A33" s="131" t="s">
        <v>1072</v>
      </c>
    </row>
    <row r="34" ht="14.25" customHeight="1">
      <c r="A34" s="131" t="s">
        <v>1045</v>
      </c>
    </row>
    <row r="35" ht="14.25" customHeight="1">
      <c r="A35" s="131" t="s">
        <v>1073</v>
      </c>
    </row>
    <row r="36" ht="14.25" customHeight="1">
      <c r="A36" s="131" t="s">
        <v>1074</v>
      </c>
    </row>
    <row r="37" ht="14.25" customHeight="1">
      <c r="A37" s="131" t="s">
        <v>1075</v>
      </c>
    </row>
    <row r="38" ht="14.25" customHeight="1">
      <c r="A38" s="131" t="s">
        <v>1076</v>
      </c>
    </row>
    <row r="39" ht="14.25" customHeight="1">
      <c r="A39" s="131" t="s">
        <v>1077</v>
      </c>
    </row>
    <row r="40" ht="14.25" customHeight="1">
      <c r="A40" s="131" t="s">
        <v>1078</v>
      </c>
    </row>
    <row r="41" ht="14.25" customHeight="1">
      <c r="A41" s="131" t="s">
        <v>1079</v>
      </c>
    </row>
    <row r="42" ht="14.25" customHeight="1">
      <c r="A42" s="131" t="s">
        <v>1080</v>
      </c>
    </row>
    <row r="43" ht="14.25" customHeight="1">
      <c r="A43" s="131" t="s">
        <v>1081</v>
      </c>
    </row>
    <row r="44" ht="14.25" customHeight="1">
      <c r="A44" s="131" t="s">
        <v>1082</v>
      </c>
    </row>
    <row r="45" ht="14.25" customHeight="1">
      <c r="A45" s="131" t="s">
        <v>1083</v>
      </c>
    </row>
    <row r="46" ht="14.25" customHeight="1">
      <c r="A46" s="131" t="s">
        <v>1084</v>
      </c>
    </row>
    <row r="47" ht="14.25" customHeight="1">
      <c r="A47" s="131" t="s">
        <v>1085</v>
      </c>
    </row>
    <row r="48" ht="14.25" customHeight="1">
      <c r="A48" s="131" t="s">
        <v>1086</v>
      </c>
    </row>
    <row r="49" ht="14.25" customHeight="1">
      <c r="A49" s="131" t="s">
        <v>1087</v>
      </c>
    </row>
    <row r="50" ht="14.25" customHeight="1">
      <c r="A50" s="131" t="s">
        <v>1088</v>
      </c>
    </row>
    <row r="51" ht="14.25" customHeight="1">
      <c r="A51" s="131" t="s">
        <v>1089</v>
      </c>
    </row>
    <row r="52" ht="14.25" customHeight="1">
      <c r="A52" s="131" t="s">
        <v>1090</v>
      </c>
    </row>
    <row r="53" ht="14.25" customHeight="1">
      <c r="A53" s="131" t="s">
        <v>1091</v>
      </c>
    </row>
    <row r="54" ht="14.25" customHeight="1">
      <c r="A54" s="131" t="s">
        <v>1092</v>
      </c>
    </row>
    <row r="55" ht="14.25" customHeight="1">
      <c r="A55" s="131" t="s">
        <v>1093</v>
      </c>
    </row>
    <row r="56" ht="14.25" customHeight="1">
      <c r="A56" s="131" t="s">
        <v>1094</v>
      </c>
    </row>
    <row r="57" ht="14.25" customHeight="1">
      <c r="A57" s="131" t="s">
        <v>1095</v>
      </c>
    </row>
    <row r="58" ht="14.25" customHeight="1">
      <c r="A58" s="131" t="s">
        <v>1096</v>
      </c>
    </row>
    <row r="59" ht="14.25" customHeight="1">
      <c r="A59" s="131" t="s">
        <v>47</v>
      </c>
    </row>
    <row r="60" ht="14.25" customHeight="1">
      <c r="A60" s="131" t="s">
        <v>1097</v>
      </c>
    </row>
    <row r="61" ht="14.25" customHeight="1">
      <c r="A61" s="131" t="s">
        <v>1050</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