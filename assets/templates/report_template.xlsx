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xampp\htdocs\PMS\assets\templates\"/>
    </mc:Choice>
  </mc:AlternateContent>
  <xr:revisionPtr revIDLastSave="0" documentId="13_ncr:1_{631F4124-C1B3-4008-91A8-912053166BA2}" xr6:coauthVersionLast="47" xr6:coauthVersionMax="47" xr10:uidLastSave="{00000000-0000-0000-0000-000000000000}"/>
  <bookViews>
    <workbookView xWindow="-110" yWindow="-110" windowWidth="19420" windowHeight="11500" xr2:uid="{00000000-000D-0000-FFFF-FFFF00000000}"/>
  </bookViews>
  <sheets>
    <sheet name="Overview" sheetId="1" r:id="rId1"/>
    <sheet name="URL Details" sheetId="2" r:id="rId2"/>
    <sheet name="All URLs" sheetId="3" r:id="rId3"/>
    <sheet name="Final Report" sheetId="4" r:id="rId4"/>
    <sheet name="Conformance Score" sheetId="5" r:id="rId5"/>
  </sheet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 l="1"/>
  <c r="E2" i="5"/>
  <c r="O19" i="1"/>
  <c r="F6" i="1"/>
  <c r="O3" i="1"/>
  <c r="E47" i="5" l="1"/>
  <c r="J47" i="5" s="1"/>
  <c r="F45" i="5"/>
  <c r="I43" i="5"/>
  <c r="E42" i="5"/>
  <c r="J42" i="5" s="1"/>
  <c r="G40" i="5"/>
  <c r="F39" i="5"/>
  <c r="G37" i="5"/>
  <c r="E36" i="5"/>
  <c r="J36" i="5" s="1"/>
  <c r="G34" i="5"/>
  <c r="E33" i="5"/>
  <c r="J33" i="5" s="1"/>
  <c r="H31" i="5"/>
  <c r="E30" i="5"/>
  <c r="J30" i="5" s="1"/>
  <c r="H28" i="5"/>
  <c r="F27" i="5"/>
  <c r="F25" i="5"/>
  <c r="F24" i="5"/>
  <c r="G22" i="5"/>
  <c r="I20" i="5"/>
  <c r="G19" i="5"/>
  <c r="E18" i="5"/>
  <c r="J18" i="5" s="1"/>
  <c r="G16" i="5"/>
  <c r="I14" i="5"/>
  <c r="E13" i="5"/>
  <c r="J13" i="5" s="1"/>
  <c r="H11" i="5"/>
  <c r="F10" i="5"/>
  <c r="H8" i="5"/>
  <c r="F7" i="5"/>
  <c r="G5" i="5"/>
  <c r="F4" i="5"/>
  <c r="I2" i="5"/>
  <c r="F12" i="5"/>
  <c r="F13" i="5"/>
  <c r="F14" i="5"/>
  <c r="H15" i="5"/>
  <c r="H16" i="5"/>
  <c r="I17" i="5"/>
  <c r="I18" i="5"/>
  <c r="I19" i="5"/>
  <c r="E21" i="5"/>
  <c r="J21" i="5" s="1"/>
  <c r="F22" i="5"/>
  <c r="G23" i="5"/>
  <c r="H24" i="5"/>
  <c r="I25" i="5"/>
  <c r="H26" i="5"/>
  <c r="I27" i="5"/>
  <c r="I28" i="5"/>
  <c r="F30" i="5"/>
  <c r="F31" i="5"/>
  <c r="G32" i="5"/>
  <c r="G33" i="5"/>
  <c r="H34" i="5"/>
  <c r="H35" i="5"/>
  <c r="H36" i="5"/>
  <c r="E38" i="5"/>
  <c r="J38" i="5" s="1"/>
  <c r="I38" i="5"/>
  <c r="E41" i="5"/>
  <c r="J41" i="5" s="1"/>
  <c r="G42" i="5"/>
  <c r="H43" i="5"/>
  <c r="I44" i="5"/>
  <c r="I45" i="5"/>
  <c r="H46" i="5"/>
  <c r="I47" i="5"/>
  <c r="F49" i="5"/>
  <c r="E50" i="5"/>
  <c r="J50" i="5" s="1"/>
  <c r="E51" i="5"/>
  <c r="J51" i="5" s="1"/>
  <c r="I51" i="5"/>
  <c r="I52" i="5"/>
  <c r="G53" i="5"/>
  <c r="E54" i="5"/>
  <c r="J54" i="5" s="1"/>
  <c r="F54" i="5"/>
  <c r="I54" i="5"/>
  <c r="G55" i="5"/>
  <c r="E56" i="5"/>
  <c r="J56" i="5" s="1"/>
  <c r="E57" i="5"/>
  <c r="J57" i="5" s="1"/>
  <c r="E40" i="5"/>
  <c r="J40" i="5" s="1"/>
  <c r="F3" i="5"/>
  <c r="G4" i="5"/>
  <c r="I5" i="5"/>
  <c r="E7" i="5"/>
  <c r="J7" i="5" s="1"/>
  <c r="G8" i="5"/>
  <c r="G9" i="5"/>
  <c r="E11" i="5"/>
  <c r="J11" i="5" s="1"/>
  <c r="E49" i="5"/>
  <c r="J49" i="5" s="1"/>
  <c r="H12" i="5"/>
  <c r="G13" i="5"/>
  <c r="H14" i="5"/>
  <c r="E16" i="5"/>
  <c r="J16" i="5" s="1"/>
  <c r="G17" i="5"/>
  <c r="G18" i="5"/>
  <c r="E20" i="5"/>
  <c r="J20" i="5" s="1"/>
  <c r="G21" i="5"/>
  <c r="H22" i="5"/>
  <c r="E24" i="5"/>
  <c r="J24" i="5" s="1"/>
  <c r="G25" i="5"/>
  <c r="I26" i="5"/>
  <c r="F28" i="5"/>
  <c r="H29" i="5"/>
  <c r="H30" i="5"/>
  <c r="I31" i="5"/>
  <c r="H33" i="5"/>
  <c r="I34" i="5"/>
  <c r="G36" i="5"/>
  <c r="I37" i="5"/>
  <c r="G39" i="5"/>
  <c r="I40" i="5"/>
  <c r="F42" i="5"/>
  <c r="G43" i="5"/>
  <c r="H44" i="5"/>
  <c r="F46" i="5"/>
  <c r="H47" i="5"/>
  <c r="I48" i="5"/>
  <c r="I49" i="5"/>
  <c r="F51" i="5"/>
  <c r="F52" i="5"/>
  <c r="E53" i="5"/>
  <c r="J53" i="5" s="1"/>
  <c r="I53" i="5"/>
  <c r="H54" i="5"/>
  <c r="F55" i="5"/>
  <c r="I55" i="5"/>
  <c r="G56" i="5"/>
  <c r="I56" i="5"/>
  <c r="G57" i="5"/>
  <c r="H57" i="5"/>
  <c r="H51" i="5"/>
  <c r="F50" i="5"/>
  <c r="H48" i="5"/>
  <c r="H2" i="5"/>
  <c r="E4" i="5"/>
  <c r="J4" i="5" s="1"/>
  <c r="F5" i="5"/>
  <c r="I6" i="5"/>
  <c r="E8" i="5"/>
  <c r="J8" i="5" s="1"/>
  <c r="H9" i="5"/>
  <c r="I10" i="5"/>
  <c r="G12" i="5"/>
  <c r="I13" i="5"/>
  <c r="E15" i="5"/>
  <c r="J15" i="5" s="1"/>
  <c r="F16" i="5"/>
  <c r="H17" i="5"/>
  <c r="F19" i="5"/>
  <c r="G20" i="5"/>
  <c r="H21" i="5"/>
  <c r="E23" i="5"/>
  <c r="J23" i="5" s="1"/>
  <c r="I23" i="5"/>
  <c r="H25" i="5"/>
  <c r="G26" i="5"/>
  <c r="E28" i="5"/>
  <c r="J28" i="5" s="1"/>
  <c r="G29" i="5"/>
  <c r="G30" i="5"/>
  <c r="E32" i="5"/>
  <c r="J32" i="5" s="1"/>
  <c r="F33" i="5"/>
  <c r="E35" i="5"/>
  <c r="J35" i="5" s="1"/>
  <c r="F36" i="5"/>
  <c r="H37" i="5"/>
  <c r="E39" i="5"/>
  <c r="J39" i="5" s="1"/>
  <c r="H40" i="5"/>
  <c r="H41" i="5"/>
  <c r="H42" i="5"/>
  <c r="E44" i="5"/>
  <c r="J44" i="5" s="1"/>
  <c r="G45" i="5"/>
  <c r="I46" i="5"/>
  <c r="F48" i="5"/>
  <c r="G49" i="5"/>
  <c r="G50" i="5"/>
  <c r="G51" i="5"/>
  <c r="G52" i="5"/>
  <c r="F53" i="5"/>
  <c r="H53" i="5"/>
  <c r="G54" i="5"/>
  <c r="E55" i="5"/>
  <c r="J55" i="5" s="1"/>
  <c r="H55" i="5"/>
  <c r="F56" i="5"/>
  <c r="H56" i="5"/>
  <c r="F57" i="5"/>
  <c r="I57" i="5"/>
  <c r="F47" i="5"/>
  <c r="H45" i="5"/>
  <c r="G44" i="5"/>
  <c r="I42" i="5"/>
  <c r="G41" i="5"/>
  <c r="I39" i="5"/>
  <c r="H38" i="5"/>
  <c r="E37" i="5"/>
  <c r="J37" i="5" s="1"/>
  <c r="G35" i="5"/>
  <c r="E34" i="5"/>
  <c r="J34" i="5" s="1"/>
  <c r="H32" i="5"/>
  <c r="E31" i="5"/>
  <c r="J31" i="5" s="1"/>
  <c r="F29" i="5"/>
  <c r="H27" i="5"/>
  <c r="F26" i="5"/>
  <c r="I24" i="5"/>
  <c r="F23" i="5"/>
  <c r="I21" i="5"/>
  <c r="F20" i="5"/>
  <c r="H18" i="5"/>
  <c r="E17" i="5"/>
  <c r="J17" i="5" s="1"/>
  <c r="G15" i="5"/>
  <c r="E14" i="5"/>
  <c r="J14" i="5" s="1"/>
  <c r="I11" i="5"/>
  <c r="H10" i="5"/>
  <c r="G2" i="5"/>
  <c r="I3" i="5"/>
  <c r="E6" i="5"/>
  <c r="G7" i="5"/>
  <c r="G10" i="5"/>
  <c r="E12" i="5"/>
  <c r="J12" i="5" s="1"/>
  <c r="H13" i="5"/>
  <c r="F15" i="5"/>
  <c r="I16" i="5"/>
  <c r="F18" i="5"/>
  <c r="H19" i="5"/>
  <c r="F21" i="5"/>
  <c r="I22" i="5"/>
  <c r="G24" i="5"/>
  <c r="E26" i="5"/>
  <c r="J26" i="5" s="1"/>
  <c r="G27" i="5"/>
  <c r="E29" i="5"/>
  <c r="J29" i="5" s="1"/>
  <c r="I30" i="5"/>
  <c r="F32" i="5"/>
  <c r="I33" i="5"/>
  <c r="F35" i="5"/>
  <c r="I36" i="5"/>
  <c r="F38" i="5"/>
  <c r="H39" i="5"/>
  <c r="F41" i="5"/>
  <c r="E43" i="5"/>
  <c r="J43" i="5" s="1"/>
  <c r="F44" i="5"/>
  <c r="E46" i="5"/>
  <c r="J46" i="5" s="1"/>
  <c r="G47" i="5"/>
  <c r="G48" i="5"/>
  <c r="H50" i="5"/>
  <c r="E52" i="5"/>
  <c r="J52" i="5" s="1"/>
  <c r="F9" i="5"/>
  <c r="H7" i="5"/>
  <c r="F6" i="5"/>
  <c r="H4" i="5"/>
  <c r="E3" i="5"/>
  <c r="J3" i="5" s="1"/>
  <c r="E9" i="5"/>
  <c r="J9" i="5" s="1"/>
  <c r="H3" i="5"/>
  <c r="E5" i="5"/>
  <c r="J5" i="5" s="1"/>
  <c r="G6" i="5"/>
  <c r="F8" i="5"/>
  <c r="I9" i="5"/>
  <c r="G11" i="5"/>
  <c r="I12" i="5"/>
  <c r="G14" i="5"/>
  <c r="I15" i="5"/>
  <c r="F17" i="5"/>
  <c r="E19" i="5"/>
  <c r="J19" i="5" s="1"/>
  <c r="H20" i="5"/>
  <c r="E22" i="5"/>
  <c r="J22" i="5" s="1"/>
  <c r="H23" i="5"/>
  <c r="E25" i="5"/>
  <c r="J25" i="5" s="1"/>
  <c r="E27" i="5"/>
  <c r="J27" i="5" s="1"/>
  <c r="G28" i="5"/>
  <c r="I29" i="5"/>
  <c r="G31" i="5"/>
  <c r="I32" i="5"/>
  <c r="F34" i="5"/>
  <c r="I35" i="5"/>
  <c r="F37" i="5"/>
  <c r="G38" i="5"/>
  <c r="F40" i="5"/>
  <c r="I41" i="5"/>
  <c r="F43" i="5"/>
  <c r="E45" i="5"/>
  <c r="J45" i="5" s="1"/>
  <c r="G46" i="5"/>
  <c r="E48" i="5"/>
  <c r="J48" i="5" s="1"/>
  <c r="H49" i="5"/>
  <c r="I50" i="5"/>
  <c r="H52" i="5"/>
  <c r="F2" i="5"/>
  <c r="G3" i="5"/>
  <c r="I4" i="5"/>
  <c r="H5" i="5"/>
  <c r="H6" i="5"/>
  <c r="I7" i="5"/>
  <c r="I8" i="5"/>
  <c r="E10" i="5"/>
  <c r="J10" i="5" s="1"/>
  <c r="F11" i="5"/>
  <c r="G12" i="1" l="1"/>
  <c r="G11" i="1" s="1"/>
  <c r="J6" i="5"/>
  <c r="F12" i="1"/>
  <c r="J2" i="5"/>
  <c r="H12" i="1" l="1"/>
  <c r="F11" i="1"/>
  <c r="H11" i="1" s="1"/>
</calcChain>
</file>

<file path=xl/sharedStrings.xml><?xml version="1.0" encoding="utf-8"?>
<sst xmlns="http://schemas.openxmlformats.org/spreadsheetml/2006/main" count="319" uniqueCount="197">
  <si>
    <t>Audit Performed For</t>
  </si>
  <si>
    <t>Example name</t>
  </si>
  <si>
    <t>Operating system</t>
  </si>
  <si>
    <t>Browser</t>
  </si>
  <si>
    <t>Assistive technologies</t>
  </si>
  <si>
    <t>Automated tools</t>
  </si>
  <si>
    <t>*Important note</t>
  </si>
  <si>
    <t>Audit Type</t>
  </si>
  <si>
    <t>Website/Mobile App</t>
  </si>
  <si>
    <t>Windows 11</t>
  </si>
  <si>
    <t>Chrome</t>
  </si>
  <si>
    <t>JAWS 2024</t>
  </si>
  <si>
    <t>Wave, ARC toolkit, CCA</t>
  </si>
  <si>
    <t>Audit Performed By</t>
  </si>
  <si>
    <t>Sakshi Infotech Solutions LLP</t>
  </si>
  <si>
    <t>Firefox</t>
  </si>
  <si>
    <t xml:space="preserve">NVDA </t>
  </si>
  <si>
    <t>IAAP-Certified Auditor</t>
  </si>
  <si>
    <t>Sangam Nishad</t>
  </si>
  <si>
    <t>ZoomText and Dragon NaturalSpeaking</t>
  </si>
  <si>
    <t>N/A</t>
  </si>
  <si>
    <t>Audit Date</t>
  </si>
  <si>
    <t>MacOS</t>
  </si>
  <si>
    <t>Safari</t>
  </si>
  <si>
    <t>VoiceOver</t>
  </si>
  <si>
    <t>2. Till such time that the VPAT (Voluntary Product Accessibility Template) of this asset is not released, there should be no changes made to the asset in the form of enhancements and modifications to its underlying codebase, system configuration, infrastructure, accessibility settings, or any associated documentation. Changes if any carried out within this asset will tantamount to re-scope and re-work on the asset. Changes to the web asset will effect the Accessibility Conformance Report (ACR) are without risk and responsibility of the IAAP audit report.</t>
  </si>
  <si>
    <t>Android OS</t>
  </si>
  <si>
    <t>TalkBack</t>
  </si>
  <si>
    <t>Accessbility Scanner</t>
  </si>
  <si>
    <t>Iphone OS</t>
  </si>
  <si>
    <t>Accessbility Checker</t>
  </si>
  <si>
    <t>WCAG 2.2 Conformance</t>
  </si>
  <si>
    <t>Level A</t>
  </si>
  <si>
    <t>Level AA</t>
  </si>
  <si>
    <t>Total</t>
  </si>
  <si>
    <t xml:space="preserve">Top 5 Issues </t>
  </si>
  <si>
    <t>Passed/NA</t>
  </si>
  <si>
    <t>Sr. no.</t>
  </si>
  <si>
    <t>Issues Name</t>
  </si>
  <si>
    <t>Success Criteria</t>
  </si>
  <si>
    <t>Failed</t>
  </si>
  <si>
    <t>3. Incase there is a requirement to make modifications to asset being tested, separate request needs to addressed via email. After scoping and agreement in pricing, the additional pages will be tested and included in the overall VPAT report.</t>
  </si>
  <si>
    <t>4. For the purpose of remediation, the Implementation Officer/Engineer/Developer is required to adhere to all recommendations provided by our certified experts to ensure compliance.</t>
  </si>
  <si>
    <t>Resource Name</t>
  </si>
  <si>
    <t>Resource Type</t>
  </si>
  <si>
    <t>Page No.</t>
  </si>
  <si>
    <t>Page Name</t>
  </si>
  <si>
    <t>Unique URLs</t>
  </si>
  <si>
    <t>Grouped URLs</t>
  </si>
  <si>
    <t>URL</t>
  </si>
  <si>
    <t>Page No</t>
  </si>
  <si>
    <t>Page URL</t>
  </si>
  <si>
    <t>Issue Title</t>
  </si>
  <si>
    <t>Actual Result</t>
  </si>
  <si>
    <t>Incorrect Code</t>
  </si>
  <si>
    <t>Screenshots</t>
  </si>
  <si>
    <t>Recommendation</t>
  </si>
  <si>
    <t>Correct Code</t>
  </si>
  <si>
    <t>Severity</t>
  </si>
  <si>
    <t>User Affected</t>
  </si>
  <si>
    <t>WCAG Success Criteria Number</t>
  </si>
  <si>
    <t>WCAG Success Criteria Name</t>
  </si>
  <si>
    <t>WCAG Conformance Level</t>
  </si>
  <si>
    <t>GIGW 3.0</t>
  </si>
  <si>
    <t>IS 17802</t>
  </si>
  <si>
    <t>Developer's Status</t>
  </si>
  <si>
    <t>Developer's Comment</t>
  </si>
  <si>
    <t>WCAG 2.2 Success Criteria</t>
  </si>
  <si>
    <t>WCAG 2.2 Success Criteria Name</t>
  </si>
  <si>
    <t>WCAG 2.2 Conformance Level</t>
  </si>
  <si>
    <t>Count</t>
  </si>
  <si>
    <t>Blocker</t>
  </si>
  <si>
    <t>Critical</t>
  </si>
  <si>
    <t>Major</t>
  </si>
  <si>
    <t>Minor</t>
  </si>
  <si>
    <t>Pass/Fail</t>
  </si>
  <si>
    <t>1.1.1</t>
  </si>
  <si>
    <t>Non-Text Content</t>
  </si>
  <si>
    <t>A</t>
  </si>
  <si>
    <t>1.2.1</t>
  </si>
  <si>
    <t>Audio-only and Video-only (Prerecorded)</t>
  </si>
  <si>
    <t>1.2.2</t>
  </si>
  <si>
    <t>Captions (Prerecorded)</t>
  </si>
  <si>
    <t>1.2.3</t>
  </si>
  <si>
    <t>Audio Description or Media Alternative (Prerecorded)</t>
  </si>
  <si>
    <t>1.2.4</t>
  </si>
  <si>
    <t>Captions (Live)</t>
  </si>
  <si>
    <t>AA</t>
  </si>
  <si>
    <t>1.2.5</t>
  </si>
  <si>
    <t>Audio Description (Prerecorded)</t>
  </si>
  <si>
    <t>1.3.1</t>
  </si>
  <si>
    <t>Info and Relationships</t>
  </si>
  <si>
    <t>1.3.2</t>
  </si>
  <si>
    <t>Meaningful Sequence</t>
  </si>
  <si>
    <t>1.3.3</t>
  </si>
  <si>
    <t>Sensory Characteristics</t>
  </si>
  <si>
    <t>1.3.4</t>
  </si>
  <si>
    <t>Orientation</t>
  </si>
  <si>
    <t>1.3.5</t>
  </si>
  <si>
    <t>Identify Input Purpose</t>
  </si>
  <si>
    <t>1.4.1</t>
  </si>
  <si>
    <t>Use of Color</t>
  </si>
  <si>
    <t>1.4.2</t>
  </si>
  <si>
    <t>Audio Control</t>
  </si>
  <si>
    <t>1.4.3</t>
  </si>
  <si>
    <t>Contrast (Minimum)</t>
  </si>
  <si>
    <t>1.4.4</t>
  </si>
  <si>
    <t>Resize Text</t>
  </si>
  <si>
    <t>1.4.5</t>
  </si>
  <si>
    <t>Images of Text</t>
  </si>
  <si>
    <t>1.4.10</t>
  </si>
  <si>
    <t>Reflow</t>
  </si>
  <si>
    <t>1.4.11</t>
  </si>
  <si>
    <t>Non-text Contrast</t>
  </si>
  <si>
    <t>1.4.12</t>
  </si>
  <si>
    <t>Text Spacing</t>
  </si>
  <si>
    <t>1.4.13</t>
  </si>
  <si>
    <t>Content on Hover or Focus</t>
  </si>
  <si>
    <t>2.1.1</t>
  </si>
  <si>
    <t>Keyboard</t>
  </si>
  <si>
    <t>2.1.2</t>
  </si>
  <si>
    <t>Keyboard Trap</t>
  </si>
  <si>
    <t>2.1.4</t>
  </si>
  <si>
    <t>Character Key Shortcuts</t>
  </si>
  <si>
    <t>2.2.1</t>
  </si>
  <si>
    <t>Timing Adjustable</t>
  </si>
  <si>
    <t>2.2.2</t>
  </si>
  <si>
    <t>Pause, Stop, Hide</t>
  </si>
  <si>
    <t>2.3.1</t>
  </si>
  <si>
    <t>Three Flashes or Below Threshold</t>
  </si>
  <si>
    <t>2.4.1</t>
  </si>
  <si>
    <t>Bypass Blocks</t>
  </si>
  <si>
    <t>2.4.2</t>
  </si>
  <si>
    <t>Page Titled</t>
  </si>
  <si>
    <t>2.4.3</t>
  </si>
  <si>
    <t>Focus Order</t>
  </si>
  <si>
    <t>2.4.4</t>
  </si>
  <si>
    <t>Link Purpose (In Context)</t>
  </si>
  <si>
    <t>2.4.5</t>
  </si>
  <si>
    <t>Multiple Ways</t>
  </si>
  <si>
    <t>2.4.6</t>
  </si>
  <si>
    <t>Headings and Labels</t>
  </si>
  <si>
    <t>2.4.7</t>
  </si>
  <si>
    <t>Focus Visible</t>
  </si>
  <si>
    <t>2.4.11</t>
  </si>
  <si>
    <t>Focus Not Obscured (Minimum)</t>
  </si>
  <si>
    <t>2.5.1</t>
  </si>
  <si>
    <t>Pointer Gestures</t>
  </si>
  <si>
    <t>2.5.2</t>
  </si>
  <si>
    <t>Pointer Cancellation</t>
  </si>
  <si>
    <t>2.5.3</t>
  </si>
  <si>
    <t>Label in Name</t>
  </si>
  <si>
    <t>2.5.4</t>
  </si>
  <si>
    <t>Motion Actuation</t>
  </si>
  <si>
    <t>2.5.7</t>
  </si>
  <si>
    <t>Dragging Movements</t>
  </si>
  <si>
    <t>2.5.8</t>
  </si>
  <si>
    <t>Target Size (Minimum)</t>
  </si>
  <si>
    <t>3.1.1</t>
  </si>
  <si>
    <t>Language of Page</t>
  </si>
  <si>
    <t>3.1.2</t>
  </si>
  <si>
    <t>Language of Parts</t>
  </si>
  <si>
    <t>3.2.1</t>
  </si>
  <si>
    <t>On Focus</t>
  </si>
  <si>
    <t>3.2.2</t>
  </si>
  <si>
    <t>On Input</t>
  </si>
  <si>
    <t>3.2.3</t>
  </si>
  <si>
    <t>Consistent Navigation</t>
  </si>
  <si>
    <t>3.2.4</t>
  </si>
  <si>
    <t>Consistent Identification</t>
  </si>
  <si>
    <t>3.2.6</t>
  </si>
  <si>
    <t>Consistent Help</t>
  </si>
  <si>
    <t>3.3.1</t>
  </si>
  <si>
    <t>Error Identification</t>
  </si>
  <si>
    <t>3.3.2</t>
  </si>
  <si>
    <t>Labels or Instructions</t>
  </si>
  <si>
    <t>3.3.3</t>
  </si>
  <si>
    <t>Error Suggestion</t>
  </si>
  <si>
    <t>3.3.4</t>
  </si>
  <si>
    <t>Error Prevention (Legal, Financial, Data)</t>
  </si>
  <si>
    <t>3.3.7</t>
  </si>
  <si>
    <t>Redundant Entry</t>
  </si>
  <si>
    <t>3.3.8</t>
  </si>
  <si>
    <t>Accessible Authentication (Minimum)</t>
  </si>
  <si>
    <t>4.1.1</t>
  </si>
  <si>
    <t>Parsing</t>
  </si>
  <si>
    <t>4.1.2</t>
  </si>
  <si>
    <t>Name, Role, Value</t>
  </si>
  <si>
    <t>4.1.3</t>
  </si>
  <si>
    <t>Status Messages</t>
  </si>
  <si>
    <t>Environments</t>
  </si>
  <si>
    <t>Issue Keys</t>
  </si>
  <si>
    <t>Sr. No.</t>
  </si>
  <si>
    <t>Priority</t>
  </si>
  <si>
    <t>Issue Count</t>
  </si>
  <si>
    <t>Users Affected</t>
  </si>
  <si>
    <t>Issuse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</si>
</sst>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Aptos Narrow"/>
      <scheme val="minor"/>
    </font>
    <font>
      <sz val="11"/>
      <color theme="1"/>
      <name val="Inter 18pt"/>
    </font>
    <font>
      <sz val="9"/>
      <color theme="1"/>
      <name val="Inter 18pt"/>
    </font>
    <font>
      <sz val="9"/>
      <name val="Inter 18pt"/>
    </font>
    <font>
      <b/>
      <sz val="9"/>
      <color theme="1"/>
      <name val="Inter 18pt"/>
    </font>
    <font>
      <sz val="9"/>
      <color rgb="FFFF0000"/>
      <name val="Inter 18pt"/>
    </font>
    <font>
      <b/>
      <sz val="12"/>
      <color rgb="FFFFFFFF"/>
      <name val="Inter 18pt"/>
    </font>
    <font>
      <sz val="12"/>
      <color theme="1"/>
      <name val="Inter 18pt"/>
    </font>
    <font>
      <b/>
      <sz val="9"/>
      <color rgb="FFFFFFFF"/>
      <name val="Inter 18pt"/>
    </font>
  </fonts>
  <fills count="3">
    <fill>
      <patternFill patternType="none"/>
    </fill>
    <fill>
      <patternFill patternType="gray125"/>
    </fill>
    <fill>
      <patternFill patternType="solid">
        <fgColor rgb="FF3252AD"/>
        <bgColor rgb="FF3252AD"/>
      </patternFill>
    </fill>
  </fills>
  <borders count="67">
    <border>
      <left/>
      <right/>
      <top/>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right style="medium">
        <color rgb="FF000000"/>
      </right>
      <top/>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medium">
        <color indexed="64"/>
      </right>
      <top style="thin">
        <color rgb="FF000000"/>
      </top>
      <bottom style="thin">
        <color rgb="FF000000"/>
      </bottom>
      <diagonal/>
    </border>
    <border>
      <left/>
      <right/>
      <top style="thin">
        <color rgb="FF000000"/>
      </top>
      <bottom style="medium">
        <color indexed="64"/>
      </bottom>
      <diagonal/>
    </border>
    <border>
      <left/>
      <right style="medium">
        <color indexed="64"/>
      </right>
      <top style="thin">
        <color rgb="FF000000"/>
      </top>
      <bottom style="medium">
        <color indexed="64"/>
      </bottom>
      <diagonal/>
    </border>
    <border>
      <left/>
      <right style="thin">
        <color rgb="FF000000"/>
      </right>
      <top/>
      <bottom style="medium">
        <color rgb="FF000000"/>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bottom style="thin">
        <color rgb="FF000000"/>
      </bottom>
      <diagonal/>
    </border>
    <border>
      <left style="medium">
        <color indexed="64"/>
      </left>
      <right style="medium">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style="thin">
        <color rgb="FF000000"/>
      </right>
      <top/>
      <bottom style="thin">
        <color rgb="FF000000"/>
      </bottom>
      <diagonal/>
    </border>
    <border>
      <left style="thin">
        <color rgb="FF000000"/>
      </left>
      <right style="medium">
        <color indexed="64"/>
      </right>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medium">
        <color rgb="FF000000"/>
      </top>
      <bottom style="medium">
        <color indexed="64"/>
      </bottom>
      <diagonal/>
    </border>
    <border>
      <left style="thin">
        <color rgb="FF000000"/>
      </left>
      <right style="thin">
        <color rgb="FF000000"/>
      </right>
      <top style="medium">
        <color rgb="FF000000"/>
      </top>
      <bottom style="medium">
        <color indexed="64"/>
      </bottom>
      <diagonal/>
    </border>
    <border>
      <left style="thin">
        <color rgb="FF000000"/>
      </left>
      <right style="medium">
        <color indexed="64"/>
      </right>
      <top style="medium">
        <color rgb="FF000000"/>
      </top>
      <bottom style="medium">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right style="medium">
        <color indexed="64"/>
      </right>
      <top/>
      <bottom style="thin">
        <color rgb="FF000000"/>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rgb="FF000000"/>
      </left>
      <right/>
      <top style="medium">
        <color indexed="64"/>
      </top>
      <bottom style="medium">
        <color indexed="64"/>
      </bottom>
      <diagonal/>
    </border>
    <border>
      <left/>
      <right style="thin">
        <color rgb="FF000000"/>
      </right>
      <top style="medium">
        <color indexed="64"/>
      </top>
      <bottom style="medium">
        <color indexed="64"/>
      </bottom>
      <diagonal/>
    </border>
    <border>
      <left style="medium">
        <color indexed="64"/>
      </left>
      <right style="thin">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4">
    <xf numFmtId="0" fontId="0" fillId="0" borderId="0" xfId="0"/>
    <xf numFmtId="0" fontId="1" fillId="0" borderId="0" xfId="0" applyFont="1"/>
    <xf numFmtId="0" fontId="2" fillId="0" borderId="0" xfId="0" applyFont="1"/>
    <xf numFmtId="0" fontId="5" fillId="0" borderId="5" xfId="0" applyFont="1" applyBorder="1"/>
    <xf numFmtId="0" fontId="4" fillId="0" borderId="0" xfId="0" applyFont="1"/>
    <xf numFmtId="0" fontId="2" fillId="0" borderId="14" xfId="0" applyFont="1" applyBorder="1"/>
    <xf numFmtId="0" fontId="2" fillId="0" borderId="0" xfId="0" applyFont="1" applyAlignment="1">
      <alignment vertical="top" wrapText="1"/>
    </xf>
    <xf numFmtId="1" fontId="2" fillId="0" borderId="0" xfId="0" applyNumberFormat="1" applyFont="1"/>
    <xf numFmtId="0" fontId="2" fillId="0" borderId="0" xfId="0" applyFont="1" applyAlignment="1">
      <alignment vertical="top"/>
    </xf>
    <xf numFmtId="0" fontId="2" fillId="0" borderId="0" xfId="0" applyFont="1" applyAlignment="1">
      <alignment vertical="center"/>
    </xf>
    <xf numFmtId="0" fontId="6" fillId="2" borderId="20" xfId="0" applyFont="1" applyFill="1" applyBorder="1" applyAlignment="1">
      <alignment horizontal="center" vertical="top"/>
    </xf>
    <xf numFmtId="0" fontId="6" fillId="2" borderId="21" xfId="0" applyFont="1" applyFill="1" applyBorder="1" applyAlignment="1">
      <alignment horizontal="center" vertical="top"/>
    </xf>
    <xf numFmtId="0" fontId="6" fillId="2" borderId="21" xfId="0" applyFont="1" applyFill="1" applyBorder="1" applyAlignment="1">
      <alignment horizontal="left" vertical="top" wrapText="1"/>
    </xf>
    <xf numFmtId="0" fontId="1" fillId="0" borderId="23" xfId="0" applyFont="1" applyBorder="1" applyAlignment="1">
      <alignment horizontal="left" vertical="top" wrapText="1"/>
    </xf>
    <xf numFmtId="0" fontId="6" fillId="2" borderId="23" xfId="0" applyFont="1" applyFill="1" applyBorder="1" applyAlignment="1">
      <alignment horizontal="center" vertical="top"/>
    </xf>
    <xf numFmtId="0" fontId="7" fillId="0" borderId="23" xfId="0" applyFont="1" applyBorder="1"/>
    <xf numFmtId="0" fontId="1" fillId="0" borderId="27" xfId="0" applyFont="1" applyBorder="1"/>
    <xf numFmtId="0" fontId="1" fillId="0" borderId="24" xfId="0" applyFont="1" applyBorder="1"/>
    <xf numFmtId="0" fontId="1" fillId="0" borderId="29" xfId="0" applyFont="1" applyBorder="1"/>
    <xf numFmtId="0" fontId="1" fillId="0" borderId="30" xfId="0" applyFont="1" applyBorder="1"/>
    <xf numFmtId="0" fontId="8" fillId="2" borderId="38" xfId="0" applyFont="1" applyFill="1" applyBorder="1" applyAlignment="1">
      <alignment horizontal="center" vertical="top"/>
    </xf>
    <xf numFmtId="0" fontId="8" fillId="2" borderId="39" xfId="0" applyFont="1" applyFill="1" applyBorder="1" applyAlignment="1">
      <alignment horizontal="center" vertical="top"/>
    </xf>
    <xf numFmtId="0" fontId="8" fillId="2" borderId="40" xfId="0" applyFont="1" applyFill="1" applyBorder="1" applyAlignment="1">
      <alignment horizontal="center" vertical="top"/>
    </xf>
    <xf numFmtId="0" fontId="8" fillId="2" borderId="41" xfId="0" applyFont="1" applyFill="1" applyBorder="1" applyAlignment="1">
      <alignment horizontal="center" vertical="top"/>
    </xf>
    <xf numFmtId="0" fontId="8" fillId="2" borderId="42" xfId="0" applyFont="1" applyFill="1" applyBorder="1" applyAlignment="1">
      <alignment horizontal="center" vertical="top"/>
    </xf>
    <xf numFmtId="0" fontId="8" fillId="2" borderId="43" xfId="0" applyFont="1" applyFill="1" applyBorder="1" applyAlignment="1">
      <alignment horizontal="center" vertical="top"/>
    </xf>
    <xf numFmtId="0" fontId="8" fillId="2" borderId="44" xfId="0" applyFont="1" applyFill="1" applyBorder="1" applyAlignment="1">
      <alignment horizontal="center" vertical="top"/>
    </xf>
    <xf numFmtId="0" fontId="8" fillId="2" borderId="33" xfId="0" applyFont="1" applyFill="1" applyBorder="1" applyAlignment="1">
      <alignment horizontal="center" vertical="top"/>
    </xf>
    <xf numFmtId="0" fontId="2" fillId="0" borderId="45" xfId="0" applyFont="1" applyBorder="1"/>
    <xf numFmtId="0" fontId="2" fillId="0" borderId="21" xfId="0" applyFont="1" applyBorder="1"/>
    <xf numFmtId="0" fontId="2" fillId="0" borderId="46" xfId="0" applyFont="1" applyBorder="1"/>
    <xf numFmtId="0" fontId="2" fillId="0" borderId="47" xfId="0" applyFont="1" applyBorder="1"/>
    <xf numFmtId="0" fontId="2" fillId="0" borderId="48" xfId="0" applyFont="1" applyBorder="1"/>
    <xf numFmtId="0" fontId="4" fillId="0" borderId="49" xfId="0" applyFont="1" applyBorder="1"/>
    <xf numFmtId="0" fontId="4" fillId="0" borderId="50" xfId="0" applyFont="1" applyBorder="1"/>
    <xf numFmtId="0" fontId="4" fillId="0" borderId="51" xfId="0" applyFont="1" applyBorder="1"/>
    <xf numFmtId="0" fontId="5" fillId="0" borderId="45" xfId="0" applyFont="1" applyBorder="1"/>
    <xf numFmtId="0" fontId="5" fillId="0" borderId="21" xfId="0" applyFont="1" applyBorder="1"/>
    <xf numFmtId="0" fontId="5" fillId="0" borderId="46" xfId="0" applyFont="1" applyBorder="1"/>
    <xf numFmtId="0" fontId="5" fillId="0" borderId="52" xfId="0" applyFont="1" applyBorder="1"/>
    <xf numFmtId="0" fontId="5" fillId="0" borderId="53" xfId="0" applyFont="1" applyBorder="1"/>
    <xf numFmtId="0" fontId="5" fillId="0" borderId="54" xfId="0" applyFont="1" applyBorder="1"/>
    <xf numFmtId="0" fontId="5" fillId="0" borderId="55" xfId="0" applyFont="1" applyBorder="1"/>
    <xf numFmtId="0" fontId="5" fillId="0" borderId="56" xfId="0" applyFont="1" applyBorder="1"/>
    <xf numFmtId="0" fontId="2" fillId="0" borderId="45" xfId="0" applyFont="1" applyBorder="1" applyAlignment="1">
      <alignment horizontal="center" vertical="center"/>
    </xf>
    <xf numFmtId="0" fontId="2" fillId="0" borderId="46" xfId="0" applyFont="1" applyBorder="1" applyAlignment="1">
      <alignment horizontal="left" vertical="top"/>
    </xf>
    <xf numFmtId="0" fontId="2" fillId="0" borderId="53" xfId="0" applyFont="1" applyBorder="1" applyAlignment="1">
      <alignment horizontal="center" vertical="center"/>
    </xf>
    <xf numFmtId="0" fontId="2" fillId="0" borderId="52" xfId="0" applyFont="1" applyBorder="1" applyAlignment="1">
      <alignment horizontal="left" vertical="top"/>
    </xf>
    <xf numFmtId="0" fontId="2" fillId="0" borderId="54" xfId="0" applyFont="1" applyBorder="1" applyAlignment="1">
      <alignment horizontal="center" vertical="center"/>
    </xf>
    <xf numFmtId="0" fontId="2" fillId="0" borderId="56" xfId="0" applyFont="1" applyBorder="1" applyAlignment="1">
      <alignment horizontal="left" vertical="top"/>
    </xf>
    <xf numFmtId="0" fontId="8" fillId="2" borderId="41" xfId="0" applyFont="1" applyFill="1" applyBorder="1" applyAlignment="1">
      <alignment horizontal="center" vertical="center"/>
    </xf>
    <xf numFmtId="0" fontId="8" fillId="2" borderId="42" xfId="0" applyFont="1" applyFill="1" applyBorder="1" applyAlignment="1">
      <alignment horizontal="center" vertical="center"/>
    </xf>
    <xf numFmtId="0" fontId="5" fillId="0" borderId="45" xfId="0" applyFont="1" applyBorder="1" applyAlignment="1">
      <alignment vertical="top"/>
    </xf>
    <xf numFmtId="0" fontId="5" fillId="0" borderId="57" xfId="0" applyFont="1" applyBorder="1" applyAlignment="1">
      <alignment vertical="top"/>
    </xf>
    <xf numFmtId="0" fontId="5" fillId="0" borderId="57" xfId="0" applyFont="1" applyBorder="1" applyAlignment="1">
      <alignment vertical="top" wrapText="1"/>
    </xf>
    <xf numFmtId="0" fontId="5" fillId="0" borderId="65" xfId="0" applyFont="1" applyBorder="1" applyAlignment="1">
      <alignment vertical="top"/>
    </xf>
    <xf numFmtId="0" fontId="5" fillId="0" borderId="66" xfId="0" applyFont="1" applyBorder="1" applyAlignment="1">
      <alignment vertical="top"/>
    </xf>
    <xf numFmtId="0" fontId="8" fillId="2" borderId="25" xfId="0" applyFont="1" applyFill="1" applyBorder="1" applyAlignment="1">
      <alignment horizontal="center" vertical="top"/>
    </xf>
    <xf numFmtId="0" fontId="8" fillId="2" borderId="26" xfId="0" applyFont="1" applyFill="1" applyBorder="1" applyAlignment="1">
      <alignment horizontal="center" vertical="top"/>
    </xf>
    <xf numFmtId="0" fontId="2" fillId="0" borderId="27" xfId="0" applyFont="1" applyBorder="1" applyAlignment="1">
      <alignment vertical="top" wrapText="1"/>
    </xf>
    <xf numFmtId="0" fontId="2" fillId="0" borderId="28" xfId="0" applyFont="1" applyBorder="1" applyAlignment="1">
      <alignment vertical="top" wrapText="1"/>
    </xf>
    <xf numFmtId="0" fontId="2" fillId="0" borderId="29" xfId="0" applyFont="1" applyBorder="1" applyAlignment="1">
      <alignment vertical="top" wrapText="1"/>
    </xf>
    <xf numFmtId="0" fontId="2" fillId="0" borderId="31" xfId="0" applyFont="1" applyBorder="1" applyAlignment="1">
      <alignment vertical="top" wrapText="1"/>
    </xf>
    <xf numFmtId="0" fontId="1" fillId="0" borderId="0" xfId="0" applyFont="1" applyAlignment="1">
      <alignment horizontal="left" vertical="top" wrapText="1"/>
    </xf>
    <xf numFmtId="0" fontId="1" fillId="0" borderId="23" xfId="0" applyFont="1" applyBorder="1" applyAlignment="1">
      <alignment horizontal="center" vertical="top" wrapText="1"/>
    </xf>
    <xf numFmtId="16" fontId="5" fillId="0" borderId="35" xfId="0" applyNumberFormat="1" applyFont="1" applyBorder="1" applyAlignment="1">
      <alignment horizontal="left" vertical="top" wrapText="1"/>
    </xf>
    <xf numFmtId="0" fontId="3" fillId="0" borderId="35" xfId="0" applyFont="1" applyBorder="1"/>
    <xf numFmtId="0" fontId="3" fillId="0" borderId="36" xfId="0" applyFont="1" applyBorder="1"/>
    <xf numFmtId="9" fontId="2" fillId="0" borderId="0" xfId="0" applyNumberFormat="1" applyFont="1" applyAlignment="1">
      <alignment horizontal="left" vertical="top"/>
    </xf>
    <xf numFmtId="0" fontId="2" fillId="0" borderId="0" xfId="0" applyFont="1"/>
    <xf numFmtId="0" fontId="5" fillId="0" borderId="32" xfId="0" applyFont="1" applyBorder="1" applyAlignment="1">
      <alignment horizontal="left" vertical="top" wrapText="1"/>
    </xf>
    <xf numFmtId="0" fontId="3" fillId="0" borderId="32" xfId="0" applyFont="1" applyBorder="1"/>
    <xf numFmtId="0" fontId="3" fillId="0" borderId="33" xfId="0" applyFont="1" applyBorder="1"/>
    <xf numFmtId="0" fontId="8" fillId="2" borderId="18" xfId="0" applyFont="1" applyFill="1" applyBorder="1" applyAlignment="1">
      <alignment horizontal="left" vertical="top"/>
    </xf>
    <xf numFmtId="0" fontId="8" fillId="2" borderId="37" xfId="0" applyFont="1" applyFill="1" applyBorder="1" applyAlignment="1">
      <alignment horizontal="left" vertical="top"/>
    </xf>
    <xf numFmtId="0" fontId="5" fillId="0" borderId="1" xfId="0" applyFont="1" applyBorder="1" applyAlignment="1">
      <alignment horizontal="left" vertical="top" wrapText="1"/>
    </xf>
    <xf numFmtId="0" fontId="3" fillId="0" borderId="1" xfId="0" applyFont="1" applyBorder="1"/>
    <xf numFmtId="0" fontId="3" fillId="0" borderId="34" xfId="0" applyFont="1" applyBorder="1"/>
    <xf numFmtId="0" fontId="2" fillId="0" borderId="2" xfId="0" applyFont="1" applyBorder="1" applyAlignment="1">
      <alignment horizontal="left" vertical="top" wrapText="1"/>
    </xf>
    <xf numFmtId="0" fontId="3" fillId="0" borderId="3" xfId="0" applyFont="1" applyBorder="1"/>
    <xf numFmtId="0" fontId="3" fillId="0" borderId="4" xfId="0" applyFont="1" applyBorder="1"/>
    <xf numFmtId="0" fontId="3" fillId="0" borderId="6" xfId="0" applyFont="1" applyBorder="1"/>
    <xf numFmtId="0" fontId="3" fillId="0" borderId="7" xfId="0" applyFont="1" applyBorder="1"/>
    <xf numFmtId="0" fontId="3" fillId="0" borderId="8" xfId="0" applyFont="1" applyBorder="1"/>
    <xf numFmtId="0" fontId="3" fillId="0" borderId="9" xfId="0" applyFont="1" applyBorder="1"/>
    <xf numFmtId="0" fontId="3" fillId="0" borderId="10" xfId="0" applyFont="1" applyBorder="1"/>
    <xf numFmtId="0" fontId="2" fillId="0" borderId="1" xfId="0" applyFont="1" applyBorder="1" applyAlignment="1">
      <alignment horizontal="left" vertical="top" wrapText="1"/>
    </xf>
    <xf numFmtId="0" fontId="2" fillId="0" borderId="11" xfId="0" applyFont="1" applyBorder="1" applyAlignment="1">
      <alignment horizontal="left" vertical="top" wrapText="1"/>
    </xf>
    <xf numFmtId="0" fontId="3" fillId="0" borderId="12" xfId="0" applyFont="1" applyBorder="1"/>
    <xf numFmtId="0" fontId="3" fillId="0" borderId="13" xfId="0" applyFont="1" applyBorder="1"/>
    <xf numFmtId="0" fontId="2" fillId="0" borderId="22" xfId="0" applyFont="1" applyBorder="1" applyAlignment="1">
      <alignment horizontal="left" vertical="top"/>
    </xf>
    <xf numFmtId="0" fontId="3" fillId="0" borderId="20" xfId="0" applyFont="1" applyBorder="1"/>
    <xf numFmtId="0" fontId="3" fillId="0" borderId="17" xfId="0" applyFont="1" applyBorder="1"/>
    <xf numFmtId="0" fontId="3" fillId="0" borderId="18" xfId="0" applyFont="1" applyBorder="1"/>
    <xf numFmtId="0" fontId="3" fillId="0" borderId="19" xfId="0" applyFont="1" applyBorder="1"/>
    <xf numFmtId="0" fontId="8" fillId="2" borderId="60" xfId="0" applyFont="1" applyFill="1" applyBorder="1" applyAlignment="1">
      <alignment horizontal="center" vertical="top"/>
    </xf>
    <xf numFmtId="0" fontId="8" fillId="2" borderId="61" xfId="0" applyFont="1" applyFill="1" applyBorder="1" applyAlignment="1">
      <alignment horizontal="center" vertical="top"/>
    </xf>
    <xf numFmtId="0" fontId="8" fillId="2" borderId="62" xfId="0" applyFont="1" applyFill="1" applyBorder="1" applyAlignment="1">
      <alignment horizontal="center" vertical="top"/>
    </xf>
    <xf numFmtId="0" fontId="8" fillId="2" borderId="63" xfId="0" applyFont="1" applyFill="1" applyBorder="1" applyAlignment="1">
      <alignment horizontal="center" vertical="center"/>
    </xf>
    <xf numFmtId="0" fontId="8" fillId="2" borderId="64" xfId="0" applyFont="1" applyFill="1" applyBorder="1" applyAlignment="1">
      <alignment horizontal="center" vertical="center"/>
    </xf>
    <xf numFmtId="0" fontId="2" fillId="0" borderId="15" xfId="0" applyFont="1" applyBorder="1" applyAlignment="1">
      <alignment horizontal="left" vertical="top"/>
    </xf>
    <xf numFmtId="0" fontId="3" fillId="0" borderId="16" xfId="0" applyFont="1" applyBorder="1"/>
    <xf numFmtId="0" fontId="2" fillId="0" borderId="58" xfId="0" applyFont="1" applyBorder="1" applyAlignment="1">
      <alignment horizontal="left" vertical="top"/>
    </xf>
    <xf numFmtId="0" fontId="3" fillId="0" borderId="59" xfId="0" applyFont="1" applyBorder="1"/>
  </cellXfs>
  <cellStyles count="1">
    <cellStyle name="Normal" xfId="0" builtinId="0"/>
  </cellStyles>
  <dxfs count="9">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s>
  <tableStyles count="3">
    <tableStyle name="Production-style" pivot="0" count="3" xr9:uid="{00000000-0011-0000-FFFF-FFFF00000000}">
      <tableStyleElement type="headerRow" dxfId="8"/>
      <tableStyleElement type="firstRowStripe" dxfId="7"/>
      <tableStyleElement type="secondRowStripe" dxfId="6"/>
    </tableStyle>
    <tableStyle name="Repository-style" pivot="0" count="3" xr9:uid="{00000000-0011-0000-FFFF-FFFF01000000}">
      <tableStyleElement type="headerRow" dxfId="5"/>
      <tableStyleElement type="firstRowStripe" dxfId="4"/>
      <tableStyleElement type="secondRowStripe" dxfId="3"/>
    </tableStyle>
    <tableStyle name="Severy-Priority Information-style" pivot="0" count="3" xr9:uid="{00000000-0011-0000-FFFF-FFFF02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2400" b="0" i="0">
                <a:solidFill>
                  <a:srgbClr val="757575"/>
                </a:solidFill>
                <a:latin typeface="Arial"/>
              </a:defRPr>
            </a:pPr>
            <a:r>
              <a:rPr lang="en-IN" sz="2400" b="0" i="0">
                <a:solidFill>
                  <a:srgbClr val="757575"/>
                </a:solidFill>
                <a:latin typeface="Arial"/>
              </a:rPr>
              <a:t>WCAG 2.2 Conformance</a:t>
            </a:r>
          </a:p>
        </c:rich>
      </c:tx>
      <c:overlay val="0"/>
    </c:title>
    <c:autoTitleDeleted val="0"/>
    <c:plotArea>
      <c:layout/>
      <c:barChart>
        <c:barDir val="col"/>
        <c:grouping val="clustered"/>
        <c:varyColors val="1"/>
        <c:ser>
          <c:idx val="0"/>
          <c:order val="0"/>
          <c:tx>
            <c:v>Level AA</c:v>
          </c:tx>
          <c:spPr>
            <a:solidFill>
              <a:srgbClr val="E87331"/>
            </a:solidFill>
            <a:ln cmpd="sng">
              <a:solidFill>
                <a:srgbClr val="000000"/>
              </a:solidFill>
            </a:ln>
          </c:spPr>
          <c:invertIfNegative val="1"/>
          <c:dLbls>
            <c:spPr>
              <a:noFill/>
              <a:ln>
                <a:noFill/>
              </a:ln>
              <a:effectLst/>
            </c:spPr>
            <c:txPr>
              <a:bodyPr/>
              <a:lstStyle/>
              <a:p>
                <a:pPr lvl="0">
                  <a:defRPr sz="900" b="0" i="0">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Overview!$E$11:$E$12</c:f>
              <c:strCache>
                <c:ptCount val="2"/>
                <c:pt idx="0">
                  <c:v>Passed/NA</c:v>
                </c:pt>
                <c:pt idx="1">
                  <c:v>Failed</c:v>
                </c:pt>
              </c:strCache>
            </c:strRef>
          </c:cat>
          <c:val>
            <c:numRef>
              <c:f>Overview!$G$11:$G$12</c:f>
              <c:numCache>
                <c:formatCode>General</c:formatCode>
                <c:ptCount val="2"/>
                <c:pt idx="0">
                  <c:v>24</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3A0-4C6D-85E9-5510EE829B16}"/>
            </c:ext>
          </c:extLst>
        </c:ser>
        <c:ser>
          <c:idx val="1"/>
          <c:order val="1"/>
          <c:tx>
            <c:v>Level A</c:v>
          </c:tx>
          <c:spPr>
            <a:solidFill>
              <a:srgbClr val="0F9ED5"/>
            </a:solidFill>
            <a:ln cmpd="sng">
              <a:solidFill>
                <a:srgbClr val="000000"/>
              </a:solidFill>
            </a:ln>
          </c:spPr>
          <c:invertIfNegative val="1"/>
          <c:dLbls>
            <c:spPr>
              <a:noFill/>
              <a:ln>
                <a:noFill/>
              </a:ln>
              <a:effectLst/>
            </c:spPr>
            <c:txPr>
              <a:bodyPr/>
              <a:lstStyle/>
              <a:p>
                <a:pPr lvl="0">
                  <a:defRPr sz="900" b="0" i="0">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Overview!$E$11:$E$12</c:f>
              <c:strCache>
                <c:ptCount val="2"/>
                <c:pt idx="0">
                  <c:v>Passed/NA</c:v>
                </c:pt>
                <c:pt idx="1">
                  <c:v>Failed</c:v>
                </c:pt>
              </c:strCache>
            </c:strRef>
          </c:cat>
          <c:val>
            <c:numRef>
              <c:f>Overview!$F$11:$F$12</c:f>
              <c:numCache>
                <c:formatCode>General</c:formatCode>
                <c:ptCount val="2"/>
                <c:pt idx="0">
                  <c:v>32</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3A0-4C6D-85E9-5510EE829B16}"/>
            </c:ext>
          </c:extLst>
        </c:ser>
        <c:dLbls>
          <c:showLegendKey val="0"/>
          <c:showVal val="0"/>
          <c:showCatName val="0"/>
          <c:showSerName val="0"/>
          <c:showPercent val="0"/>
          <c:showBubbleSize val="0"/>
        </c:dLbls>
        <c:gapWidth val="150"/>
        <c:axId val="864928133"/>
        <c:axId val="1994645520"/>
      </c:barChart>
      <c:catAx>
        <c:axId val="864928133"/>
        <c:scaling>
          <c:orientation val="minMax"/>
        </c:scaling>
        <c:delete val="0"/>
        <c:axPos val="b"/>
        <c:title>
          <c:tx>
            <c:rich>
              <a:bodyPr/>
              <a:lstStyle/>
              <a:p>
                <a:pPr lvl="0">
                  <a:defRPr b="0">
                    <a:solidFill>
                      <a:srgbClr val="000000"/>
                    </a:solidFill>
                    <a:latin typeface="Arial"/>
                  </a:defRPr>
                </a:pPr>
                <a:endParaRPr lang="en-IN"/>
              </a:p>
            </c:rich>
          </c:tx>
          <c:overlay val="0"/>
        </c:title>
        <c:numFmt formatCode="General" sourceLinked="1"/>
        <c:majorTickMark val="out"/>
        <c:minorTickMark val="none"/>
        <c:tickLblPos val="nextTo"/>
        <c:txPr>
          <a:bodyPr/>
          <a:lstStyle/>
          <a:p>
            <a:pPr lvl="0">
              <a:defRPr sz="900" b="0" i="0">
                <a:solidFill>
                  <a:srgbClr val="000000"/>
                </a:solidFill>
                <a:latin typeface="Arial"/>
              </a:defRPr>
            </a:pPr>
            <a:endParaRPr lang="en-US"/>
          </a:p>
        </c:txPr>
        <c:crossAx val="1994645520"/>
        <c:crosses val="autoZero"/>
        <c:auto val="1"/>
        <c:lblAlgn val="ctr"/>
        <c:lblOffset val="100"/>
        <c:noMultiLvlLbl val="1"/>
      </c:catAx>
      <c:valAx>
        <c:axId val="1994645520"/>
        <c:scaling>
          <c:orientation val="minMax"/>
        </c:scaling>
        <c:delete val="0"/>
        <c:axPos val="l"/>
        <c:title>
          <c:tx>
            <c:rich>
              <a:bodyPr/>
              <a:lstStyle/>
              <a:p>
                <a:pPr lvl="0">
                  <a:defRPr b="0">
                    <a:solidFill>
                      <a:srgbClr val="000000"/>
                    </a:solidFill>
                    <a:latin typeface="Arial"/>
                  </a:defRPr>
                </a:pPr>
                <a:endParaRPr lang="en-IN"/>
              </a:p>
            </c:rich>
          </c:tx>
          <c:overlay val="0"/>
        </c:title>
        <c:numFmt formatCode="General" sourceLinked="1"/>
        <c:majorTickMark val="out"/>
        <c:minorTickMark val="none"/>
        <c:tickLblPos val="nextTo"/>
        <c:spPr>
          <a:ln/>
        </c:spPr>
        <c:txPr>
          <a:bodyPr/>
          <a:lstStyle/>
          <a:p>
            <a:pPr lvl="0">
              <a:defRPr sz="900" b="0" i="0">
                <a:solidFill>
                  <a:srgbClr val="000000"/>
                </a:solidFill>
                <a:latin typeface="Arial"/>
              </a:defRPr>
            </a:pPr>
            <a:endParaRPr lang="en-US"/>
          </a:p>
        </c:txPr>
        <c:crossAx val="864928133"/>
        <c:crosses val="autoZero"/>
        <c:crossBetween val="between"/>
      </c:valAx>
    </c:plotArea>
    <c:legend>
      <c:legendPos val="b"/>
      <c:overlay val="0"/>
      <c:txPr>
        <a:bodyPr/>
        <a:lstStyle/>
        <a:p>
          <a:pPr lvl="0">
            <a:defRPr sz="900" b="0" i="0">
              <a:solidFill>
                <a:srgbClr val="1A1A1A"/>
              </a:solidFill>
              <a:latin typeface="Arial"/>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IN" sz="1400" b="0" i="0">
                <a:solidFill>
                  <a:srgbClr val="757575"/>
                </a:solidFill>
                <a:latin typeface="+mn-lt"/>
              </a:rPr>
              <a:t>Users Impacted</a:t>
            </a:r>
          </a:p>
        </c:rich>
      </c:tx>
      <c:overlay val="0"/>
    </c:title>
    <c:autoTitleDeleted val="0"/>
    <c:view3D>
      <c:rotX val="50"/>
      <c:rotY val="0"/>
      <c:rAngAx val="1"/>
    </c:view3D>
    <c:floor>
      <c:thickness val="0"/>
    </c:floor>
    <c:sideWall>
      <c:thickness val="0"/>
    </c:sideWall>
    <c:backWall>
      <c:thickness val="0"/>
    </c:backWall>
    <c:plotArea>
      <c:layout/>
      <c:pie3DChart>
        <c:varyColors val="1"/>
        <c:ser>
          <c:idx val="0"/>
          <c:order val="0"/>
          <c:tx>
            <c:strRef>
              <c:f>Overview!$C$15</c:f>
              <c:strCache>
                <c:ptCount val="1"/>
                <c:pt idx="0">
                  <c:v>Issuse Count</c:v>
                </c:pt>
              </c:strCache>
            </c:strRef>
          </c:tx>
          <c:dPt>
            <c:idx val="0"/>
            <c:bubble3D val="0"/>
            <c:spPr>
              <a:solidFill>
                <a:srgbClr val="002060"/>
              </a:solidFill>
            </c:spPr>
            <c:extLst>
              <c:ext xmlns:c16="http://schemas.microsoft.com/office/drawing/2014/chart" uri="{C3380CC4-5D6E-409C-BE32-E72D297353CC}">
                <c16:uniqueId val="{00000001-440B-4C2B-BDAB-EE7A6F75DFEC}"/>
              </c:ext>
            </c:extLst>
          </c:dPt>
          <c:dPt>
            <c:idx val="1"/>
            <c:bubble3D val="0"/>
            <c:extLst>
              <c:ext xmlns:c16="http://schemas.microsoft.com/office/drawing/2014/chart" uri="{C3380CC4-5D6E-409C-BE32-E72D297353CC}">
                <c16:uniqueId val="{00000002-440B-4C2B-BDAB-EE7A6F75DFEC}"/>
              </c:ext>
            </c:extLst>
          </c:dPt>
          <c:dPt>
            <c:idx val="2"/>
            <c:bubble3D val="0"/>
            <c:extLst>
              <c:ext xmlns:c16="http://schemas.microsoft.com/office/drawing/2014/chart" uri="{C3380CC4-5D6E-409C-BE32-E72D297353CC}">
                <c16:uniqueId val="{00000003-440B-4C2B-BDAB-EE7A6F75DFEC}"/>
              </c:ext>
            </c:extLst>
          </c:dPt>
          <c:dPt>
            <c:idx val="3"/>
            <c:bubble3D val="0"/>
            <c:extLst>
              <c:ext xmlns:c16="http://schemas.microsoft.com/office/drawing/2014/chart" uri="{C3380CC4-5D6E-409C-BE32-E72D297353CC}">
                <c16:uniqueId val="{00000004-440B-4C2B-BDAB-EE7A6F75DFEC}"/>
              </c:ext>
            </c:extLst>
          </c:dPt>
          <c:dPt>
            <c:idx val="4"/>
            <c:bubble3D val="0"/>
            <c:extLst>
              <c:ext xmlns:c16="http://schemas.microsoft.com/office/drawing/2014/chart" uri="{C3380CC4-5D6E-409C-BE32-E72D297353CC}">
                <c16:uniqueId val="{00000005-440B-4C2B-BDAB-EE7A6F75DFEC}"/>
              </c:ext>
            </c:extLst>
          </c:dPt>
          <c:dPt>
            <c:idx val="5"/>
            <c:bubble3D val="0"/>
            <c:extLst>
              <c:ext xmlns:c16="http://schemas.microsoft.com/office/drawing/2014/chart" uri="{C3380CC4-5D6E-409C-BE32-E72D297353CC}">
                <c16:uniqueId val="{00000006-440B-4C2B-BDAB-EE7A6F75DFEC}"/>
              </c:ext>
            </c:extLst>
          </c:dPt>
          <c:dPt>
            <c:idx val="6"/>
            <c:bubble3D val="0"/>
            <c:extLst>
              <c:ext xmlns:c16="http://schemas.microsoft.com/office/drawing/2014/chart" uri="{C3380CC4-5D6E-409C-BE32-E72D297353CC}">
                <c16:uniqueId val="{00000007-440B-4C2B-BDAB-EE7A6F75DFEC}"/>
              </c:ext>
            </c:extLst>
          </c:dPt>
          <c:dPt>
            <c:idx val="7"/>
            <c:bubble3D val="0"/>
            <c:extLst>
              <c:ext xmlns:c16="http://schemas.microsoft.com/office/drawing/2014/chart" uri="{C3380CC4-5D6E-409C-BE32-E72D297353CC}">
                <c16:uniqueId val="{00000008-440B-4C2B-BDAB-EE7A6F75DFEC}"/>
              </c:ext>
            </c:extLst>
          </c:dPt>
          <c:dPt>
            <c:idx val="8"/>
            <c:bubble3D val="0"/>
            <c:extLst>
              <c:ext xmlns:c16="http://schemas.microsoft.com/office/drawing/2014/chart" uri="{C3380CC4-5D6E-409C-BE32-E72D297353CC}">
                <c16:uniqueId val="{00000009-440B-4C2B-BDAB-EE7A6F75DFEC}"/>
              </c:ext>
            </c:extLst>
          </c:dPt>
          <c:dPt>
            <c:idx val="9"/>
            <c:bubble3D val="0"/>
            <c:extLst>
              <c:ext xmlns:c16="http://schemas.microsoft.com/office/drawing/2014/chart" uri="{C3380CC4-5D6E-409C-BE32-E72D297353CC}">
                <c16:uniqueId val="{0000000A-440B-4C2B-BDAB-EE7A6F75DFE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numRef>
              <c:f>Overview!$B$16:$B$25</c:f>
              <c:numCache>
                <c:formatCode>General</c:formatCode>
                <c:ptCount val="10"/>
              </c:numCache>
            </c:numRef>
          </c:cat>
          <c:val>
            <c:numRef>
              <c:f>Overview!$C$16:$C$25</c:f>
              <c:numCache>
                <c:formatCode>0</c:formatCode>
                <c:ptCount val="10"/>
              </c:numCache>
            </c:numRef>
          </c:val>
          <c:extLst>
            <c:ext xmlns:c16="http://schemas.microsoft.com/office/drawing/2014/chart" uri="{C3380CC4-5D6E-409C-BE32-E72D297353CC}">
              <c16:uniqueId val="{0000000B-440B-4C2B-BDAB-EE7A6F75DFEC}"/>
            </c:ext>
          </c:extLst>
        </c:ser>
        <c:dLbls>
          <c:showLegendKey val="0"/>
          <c:showVal val="0"/>
          <c:showCatName val="0"/>
          <c:showSerName val="0"/>
          <c:showPercent val="0"/>
          <c:showBubbleSize val="0"/>
          <c:showLeaderLines val="1"/>
        </c:dLbls>
      </c:pie3DChart>
    </c:plotArea>
    <c:legend>
      <c:legendPos val="l"/>
      <c:layout>
        <c:manualLayout>
          <c:xMode val="edge"/>
          <c:yMode val="edge"/>
          <c:x val="2.714779853951562E-2"/>
          <c:y val="0.10060999905132341"/>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9</xdr:col>
      <xdr:colOff>0</xdr:colOff>
      <xdr:row>16</xdr:row>
      <xdr:rowOff>85725</xdr:rowOff>
    </xdr:from>
    <xdr:ext cx="5480050" cy="2800350"/>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603249</xdr:colOff>
      <xdr:row>14</xdr:row>
      <xdr:rowOff>57150</xdr:rowOff>
    </xdr:from>
    <xdr:ext cx="3463925" cy="3190875"/>
    <xdr:graphicFrame macro="">
      <xdr:nvGraphicFramePr>
        <xdr:cNvPr id="3" name="Chart 2" titl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xdr:col>
      <xdr:colOff>66675</xdr:colOff>
      <xdr:row>7</xdr:row>
      <xdr:rowOff>85725</xdr:rowOff>
    </xdr:from>
    <xdr:ext cx="2286000" cy="914400"/>
    <xdr:pic>
      <xdr:nvPicPr>
        <xdr:cNvPr id="4" name="image2.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0</xdr:row>
      <xdr:rowOff>171450</xdr:rowOff>
    </xdr:from>
    <xdr:ext cx="2409825" cy="1038225"/>
    <xdr:pic>
      <xdr:nvPicPr>
        <xdr:cNvPr id="5" name="image1.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R1000"/>
  <sheetViews>
    <sheetView tabSelected="1" topLeftCell="E1" workbookViewId="0">
      <selection activeCell="H14" sqref="H14"/>
    </sheetView>
  </sheetViews>
  <sheetFormatPr defaultColWidth="12.6328125" defaultRowHeight="15" customHeight="1" x14ac:dyDescent="0.45"/>
  <cols>
    <col min="1" max="1" width="7" style="2" customWidth="1"/>
    <col min="2" max="2" width="22" style="2" customWidth="1"/>
    <col min="3" max="3" width="21.08984375" style="2" customWidth="1"/>
    <col min="4" max="4" width="8.6328125" style="2" customWidth="1"/>
    <col min="5" max="5" width="22.90625" style="2" customWidth="1"/>
    <col min="6" max="6" width="9.90625" style="2" customWidth="1"/>
    <col min="7" max="7" width="8.90625" style="2" customWidth="1"/>
    <col min="8" max="8" width="7.7265625" style="2" customWidth="1"/>
    <col min="9" max="9" width="4.6328125" style="2" customWidth="1"/>
    <col min="10" max="10" width="15.6328125" style="2" customWidth="1"/>
    <col min="11" max="11" width="8.453125" style="2" customWidth="1"/>
    <col min="12" max="12" width="33.6328125" style="2" customWidth="1"/>
    <col min="13" max="13" width="21.6328125" style="2" customWidth="1"/>
    <col min="14" max="14" width="6.36328125" style="2" customWidth="1"/>
    <col min="15" max="15" width="16" style="2" customWidth="1"/>
    <col min="16" max="16" width="14.6328125" style="2" customWidth="1"/>
    <col min="17" max="17" width="8.6328125" style="2" customWidth="1"/>
    <col min="18" max="18" width="44.36328125" style="2" customWidth="1"/>
    <col min="19" max="26" width="8.6328125" style="2" customWidth="1"/>
    <col min="27" max="16384" width="12.6328125" style="2"/>
  </cols>
  <sheetData>
    <row r="1" spans="2:18" ht="14.25" customHeight="1" thickBot="1" x14ac:dyDescent="0.5"/>
    <row r="2" spans="2:18" ht="14.25" customHeight="1" thickBot="1" x14ac:dyDescent="0.5">
      <c r="E2" s="20" t="s">
        <v>0</v>
      </c>
      <c r="F2" s="70" t="s">
        <v>1</v>
      </c>
      <c r="G2" s="71"/>
      <c r="H2" s="72"/>
      <c r="J2" s="25" t="s">
        <v>2</v>
      </c>
      <c r="K2" s="26" t="s">
        <v>3</v>
      </c>
      <c r="L2" s="26" t="s">
        <v>4</v>
      </c>
      <c r="M2" s="27" t="s">
        <v>5</v>
      </c>
      <c r="O2" s="73" t="s">
        <v>6</v>
      </c>
      <c r="P2" s="73"/>
      <c r="Q2" s="73"/>
      <c r="R2" s="74"/>
    </row>
    <row r="3" spans="2:18" ht="14.25" customHeight="1" x14ac:dyDescent="0.45">
      <c r="E3" s="21" t="s">
        <v>7</v>
      </c>
      <c r="F3" s="75" t="s">
        <v>8</v>
      </c>
      <c r="G3" s="76"/>
      <c r="H3" s="77"/>
      <c r="J3" s="36" t="s">
        <v>9</v>
      </c>
      <c r="K3" s="37" t="s">
        <v>10</v>
      </c>
      <c r="L3" s="37" t="s">
        <v>11</v>
      </c>
      <c r="M3" s="38" t="s">
        <v>12</v>
      </c>
      <c r="O3" s="78" t="str">
        <f ca="1">"1. The web asset has been audited in its present condition and Quality Assured by IAAP certified auditor. As per our offer and initial scope, the comprehensive report covers issues / bugs that have been found during the audit as on " &amp; TEXT(TODAY(),"mmmm d, yyyy") &amp; "."</f>
      </c>
      <c r="P3" s="79"/>
      <c r="Q3" s="79"/>
      <c r="R3" s="80"/>
    </row>
    <row r="4" spans="2:18" ht="14.25" customHeight="1" x14ac:dyDescent="0.45">
      <c r="E4" s="21" t="s">
        <v>13</v>
      </c>
      <c r="F4" s="86" t="s">
        <v>14</v>
      </c>
      <c r="G4" s="76"/>
      <c r="H4" s="77"/>
      <c r="J4" s="36" t="s">
        <v>9</v>
      </c>
      <c r="K4" s="3" t="s">
        <v>15</v>
      </c>
      <c r="L4" s="3" t="s">
        <v>16</v>
      </c>
      <c r="M4" s="39" t="s">
        <v>12</v>
      </c>
      <c r="O4" s="81"/>
      <c r="P4" s="69"/>
      <c r="Q4" s="69"/>
      <c r="R4" s="82"/>
    </row>
    <row r="5" spans="2:18" ht="14.25" customHeight="1" x14ac:dyDescent="0.45">
      <c r="E5" s="21" t="s">
        <v>17</v>
      </c>
      <c r="F5" s="86" t="s">
        <v>18</v>
      </c>
      <c r="G5" s="76"/>
      <c r="H5" s="77"/>
      <c r="J5" s="36" t="s">
        <v>9</v>
      </c>
      <c r="K5" s="3" t="s">
        <v>10</v>
      </c>
      <c r="L5" s="3" t="s">
        <v>19</v>
      </c>
      <c r="M5" s="39" t="s">
        <v>20</v>
      </c>
      <c r="O5" s="83"/>
      <c r="P5" s="84"/>
      <c r="Q5" s="84"/>
      <c r="R5" s="85"/>
    </row>
    <row r="6" spans="2:18" ht="14.25" customHeight="1" thickBot="1" x14ac:dyDescent="0.5">
      <c r="E6" s="22" t="s">
        <v>21</v>
      </c>
      <c r="F6" s="65">
        <f ca="1">TODAY()</f>
      </c>
      <c r="G6" s="66"/>
      <c r="H6" s="67"/>
      <c r="J6" s="40" t="s">
        <v>22</v>
      </c>
      <c r="K6" s="3" t="s">
        <v>23</v>
      </c>
      <c r="L6" s="3" t="s">
        <v>24</v>
      </c>
      <c r="M6" s="39" t="s">
        <v>12</v>
      </c>
      <c r="O6" s="87" t="s">
        <v>25</v>
      </c>
      <c r="P6" s="88"/>
      <c r="Q6" s="88"/>
      <c r="R6" s="89"/>
    </row>
    <row r="7" spans="2:18" ht="14.25" customHeight="1" x14ac:dyDescent="0.45">
      <c r="E7" s="4"/>
      <c r="F7" s="68"/>
      <c r="G7" s="69"/>
      <c r="H7" s="69"/>
      <c r="J7" s="40" t="s">
        <v>26</v>
      </c>
      <c r="K7" s="3" t="s">
        <v>10</v>
      </c>
      <c r="L7" s="3" t="s">
        <v>27</v>
      </c>
      <c r="M7" s="39" t="s">
        <v>28</v>
      </c>
      <c r="O7" s="81"/>
      <c r="P7" s="69"/>
      <c r="Q7" s="69"/>
      <c r="R7" s="82"/>
    </row>
    <row r="8" spans="2:18" ht="15" customHeight="1" thickBot="1" x14ac:dyDescent="0.5">
      <c r="J8" s="41" t="s">
        <v>29</v>
      </c>
      <c r="K8" s="42" t="s">
        <v>23</v>
      </c>
      <c r="L8" s="42" t="s">
        <v>24</v>
      </c>
      <c r="M8" s="43" t="s">
        <v>30</v>
      </c>
      <c r="O8" s="81"/>
      <c r="P8" s="69"/>
      <c r="Q8" s="69"/>
      <c r="R8" s="82"/>
    </row>
    <row r="9" spans="2:18" ht="14.25" customHeight="1" thickBot="1" x14ac:dyDescent="0.5">
      <c r="O9" s="81"/>
      <c r="P9" s="69"/>
      <c r="Q9" s="69"/>
      <c r="R9" s="82"/>
    </row>
    <row r="10" spans="2:18" ht="15" customHeight="1" thickBot="1" x14ac:dyDescent="0.5">
      <c r="E10" s="25" t="s">
        <v>31</v>
      </c>
      <c r="F10" s="26" t="s">
        <v>32</v>
      </c>
      <c r="G10" s="26" t="s">
        <v>33</v>
      </c>
      <c r="H10" s="27" t="s">
        <v>34</v>
      </c>
      <c r="J10" s="95" t="s">
        <v>35</v>
      </c>
      <c r="K10" s="96"/>
      <c r="L10" s="96"/>
      <c r="M10" s="97"/>
      <c r="O10" s="81"/>
      <c r="P10" s="69"/>
      <c r="Q10" s="69"/>
      <c r="R10" s="82"/>
    </row>
    <row r="11" spans="2:18" ht="14.25" customHeight="1" thickBot="1" x14ac:dyDescent="0.5">
      <c r="E11" s="28" t="s">
        <v>36</v>
      </c>
      <c r="F11" s="29">
        <f t="shared" ref="F11:G11" si="0">F13-F12</f>
      </c>
      <c r="G11" s="29">
        <f t="shared" si="0"/>
        <v>24</v>
      </c>
      <c r="H11" s="30">
        <f t="shared" ref="H11:H12" si="1">SUM(F11:G11)</f>
      </c>
      <c r="J11" s="50" t="s">
        <v>37</v>
      </c>
      <c r="K11" s="98" t="s">
        <v>38</v>
      </c>
      <c r="L11" s="99"/>
      <c r="M11" s="51" t="s">
        <v>39</v>
      </c>
      <c r="O11" s="81"/>
      <c r="P11" s="69"/>
      <c r="Q11" s="69"/>
      <c r="R11" s="82"/>
    </row>
    <row r="12" spans="2:18" ht="14.25" customHeight="1" thickBot="1" x14ac:dyDescent="0.5">
      <c r="E12" s="31" t="s">
        <v>40</v>
      </c>
      <c r="F12" s="5">
        <f>COUNTIFS('Conformance Score'!C:C, "A", 'Conformance Score'!E:E, "&gt;0")</f>
      </c>
      <c r="G12" s="5">
        <f>COUNTIFS('Conformance Score'!C:C, "AA", 'Conformance Score'!E:E, "&gt;0")</f>
      </c>
      <c r="H12" s="32">
        <f t="shared" si="1"/>
        <v>0</v>
      </c>
      <c r="J12" s="44">
        <v>1</v>
      </c>
      <c r="K12" s="90"/>
      <c r="L12" s="91"/>
      <c r="M12" s="45"/>
      <c r="O12" s="83"/>
      <c r="P12" s="84"/>
      <c r="Q12" s="84"/>
      <c r="R12" s="85"/>
    </row>
    <row r="13" spans="2:18" ht="14.25" customHeight="1" thickBot="1" x14ac:dyDescent="0.5">
      <c r="E13" s="33" t="s">
        <v>34</v>
      </c>
      <c r="F13" s="34">
        <v>32</v>
      </c>
      <c r="G13" s="34">
        <v>24</v>
      </c>
      <c r="H13" s="35">
        <f>SUM(H11:H12)</f>
      </c>
      <c r="J13" s="46">
        <v>2</v>
      </c>
      <c r="K13" s="100"/>
      <c r="L13" s="101"/>
      <c r="M13" s="47"/>
      <c r="O13" s="87" t="s">
        <v>41</v>
      </c>
      <c r="P13" s="88"/>
      <c r="Q13" s="88"/>
      <c r="R13" s="89"/>
    </row>
    <row r="14" spans="2:18" ht="14.25" customHeight="1" thickBot="1" x14ac:dyDescent="0.5">
      <c r="J14" s="46">
        <v>3</v>
      </c>
      <c r="K14" s="100"/>
      <c r="L14" s="101"/>
      <c r="M14" s="47"/>
      <c r="O14" s="81"/>
      <c r="P14" s="69"/>
      <c r="Q14" s="69"/>
      <c r="R14" s="82"/>
    </row>
    <row r="15" spans="2:18" ht="14.25" customHeight="1" thickBot="1" x14ac:dyDescent="0.5">
      <c r="B15" s="23" t="s">
        <v>195</v>
      </c>
      <c r="C15" s="24" t="s">
        <v>196</v>
      </c>
      <c r="J15" s="46">
        <v>4</v>
      </c>
      <c r="K15" s="100"/>
      <c r="L15" s="101"/>
      <c r="M15" s="47"/>
      <c r="O15" s="83"/>
      <c r="P15" s="84"/>
      <c r="Q15" s="84"/>
      <c r="R15" s="85"/>
    </row>
    <row r="16" spans="2:18" ht="14.25" customHeight="1" thickBot="1" x14ac:dyDescent="0.5">
      <c r="B16" s="6"/>
      <c r="C16" s="7"/>
      <c r="J16" s="48">
        <v>5</v>
      </c>
      <c r="K16" s="102"/>
      <c r="L16" s="103"/>
      <c r="M16" s="49"/>
      <c r="O16" s="87" t="s">
        <v>42</v>
      </c>
      <c r="P16" s="88"/>
      <c r="Q16" s="88"/>
      <c r="R16" s="89"/>
    </row>
    <row r="17" spans="2:18" ht="14.25" customHeight="1" x14ac:dyDescent="0.45">
      <c r="B17" s="6"/>
      <c r="C17" s="7"/>
      <c r="O17" s="81"/>
      <c r="P17" s="69"/>
      <c r="Q17" s="69"/>
      <c r="R17" s="82"/>
    </row>
    <row r="18" spans="2:18" ht="14.25" customHeight="1" x14ac:dyDescent="0.45">
      <c r="B18" s="6"/>
      <c r="C18" s="7"/>
      <c r="O18" s="83"/>
      <c r="P18" s="84"/>
      <c r="Q18" s="84"/>
      <c r="R18" s="85"/>
    </row>
    <row r="19" spans="2:18" ht="14.25" customHeight="1" x14ac:dyDescent="0.45">
      <c r="B19" s="6"/>
      <c r="C19" s="7"/>
      <c r="O19" s="87" t="str">
        <f ca="1">"5. The VPAT/ACR report will be issued based on the remediation of the initial assessment report dated " &amp; TEXT(TODAY(),"mmmm d, yyyy") &amp; "."</f>
      </c>
      <c r="P19" s="88"/>
      <c r="Q19" s="88"/>
      <c r="R19" s="89"/>
    </row>
    <row r="20" spans="2:18" ht="14.25" customHeight="1" x14ac:dyDescent="0.45">
      <c r="B20" s="6"/>
      <c r="C20" s="7"/>
      <c r="O20" s="92"/>
      <c r="P20" s="93"/>
      <c r="Q20" s="93"/>
      <c r="R20" s="94"/>
    </row>
    <row r="21" spans="2:18" ht="14.25" customHeight="1" x14ac:dyDescent="0.45">
      <c r="B21" s="6"/>
      <c r="C21" s="7"/>
      <c r="O21" s="6"/>
      <c r="P21" s="6"/>
      <c r="Q21" s="6"/>
      <c r="R21" s="6"/>
    </row>
    <row r="22" spans="2:18" ht="14.25" customHeight="1" thickBot="1" x14ac:dyDescent="0.5">
      <c r="B22" s="6"/>
      <c r="C22" s="7"/>
      <c r="D22" s="4"/>
      <c r="E22" s="4"/>
      <c r="O22" s="6"/>
      <c r="P22" s="6"/>
      <c r="Q22" s="6"/>
      <c r="R22" s="6"/>
    </row>
    <row r="23" spans="2:18" ht="14.25" customHeight="1" x14ac:dyDescent="0.45">
      <c r="B23" s="8"/>
      <c r="C23" s="7"/>
      <c r="D23" s="9"/>
      <c r="E23" s="9"/>
      <c r="O23" s="57" t="s">
        <v>58</v>
      </c>
      <c r="P23" s="58" t="s">
        <v>194</v>
      </c>
      <c r="Q23" s="6"/>
      <c r="R23" s="6"/>
    </row>
    <row r="24" spans="2:18" ht="14.25" customHeight="1" x14ac:dyDescent="0.45">
      <c r="B24" s="8"/>
      <c r="C24" s="7"/>
      <c r="D24" s="9"/>
      <c r="E24" s="9"/>
      <c r="O24" s="59"/>
      <c r="P24" s="60"/>
      <c r="Q24" s="6"/>
      <c r="R24" s="6"/>
    </row>
    <row r="25" spans="2:18" ht="14.25" customHeight="1" x14ac:dyDescent="0.45">
      <c r="B25" s="8"/>
      <c r="C25" s="7"/>
      <c r="D25" s="9"/>
      <c r="E25" s="9"/>
      <c r="O25" s="59"/>
      <c r="P25" s="60"/>
      <c r="Q25" s="6"/>
      <c r="R25" s="6"/>
    </row>
    <row r="26" spans="2:18" ht="14.25" customHeight="1" x14ac:dyDescent="0.45">
      <c r="D26" s="9"/>
      <c r="E26" s="9"/>
      <c r="O26" s="59"/>
      <c r="P26" s="60"/>
      <c r="Q26" s="6"/>
      <c r="R26" s="6"/>
    </row>
    <row r="27" spans="2:18" ht="14.25" customHeight="1" thickBot="1" x14ac:dyDescent="0.5">
      <c r="O27" s="61"/>
      <c r="P27" s="62"/>
      <c r="Q27" s="6"/>
      <c r="R27" s="6"/>
    </row>
    <row r="28" spans="2:18" ht="14.25" customHeight="1" x14ac:dyDescent="0.45">
      <c r="B28" s="25" t="s">
        <v>43</v>
      </c>
      <c r="C28" s="27" t="s">
        <v>44</v>
      </c>
      <c r="O28" s="6"/>
      <c r="P28" s="6"/>
      <c r="Q28" s="6"/>
      <c r="R28" s="6"/>
    </row>
    <row r="29" spans="2:18" ht="14.25" customHeight="1" x14ac:dyDescent="0.45">
      <c r="B29" s="52"/>
      <c r="C29" s="53"/>
      <c r="O29" s="6"/>
      <c r="P29" s="6"/>
      <c r="Q29" s="6"/>
      <c r="R29" s="6"/>
    </row>
    <row r="30" spans="2:18" ht="14.25" customHeight="1" x14ac:dyDescent="0.45">
      <c r="B30" s="52"/>
      <c r="C30" s="53"/>
      <c r="O30" s="6"/>
      <c r="P30" s="6"/>
      <c r="Q30" s="6"/>
      <c r="R30" s="6"/>
    </row>
    <row r="31" spans="2:18" ht="14.25" customHeight="1" x14ac:dyDescent="0.45">
      <c r="B31" s="52"/>
      <c r="C31" s="54"/>
      <c r="O31" s="6"/>
      <c r="P31" s="6"/>
      <c r="Q31" s="6"/>
      <c r="R31" s="6"/>
    </row>
    <row r="32" spans="2:18" ht="14.25" customHeight="1" thickBot="1" x14ac:dyDescent="0.5">
      <c r="B32" s="55"/>
      <c r="C32" s="56"/>
      <c r="O32" s="6"/>
      <c r="P32" s="6"/>
      <c r="Q32" s="6"/>
      <c r="R32" s="6"/>
    </row>
    <row r="33" spans="15:18" ht="14.25" customHeight="1" x14ac:dyDescent="0.45">
      <c r="O33" s="6"/>
      <c r="P33" s="6"/>
      <c r="Q33" s="6"/>
      <c r="R33" s="6"/>
    </row>
    <row r="34" spans="15:18" ht="14.25" customHeight="1" x14ac:dyDescent="0.45"/>
    <row r="35" spans="15:18" ht="14.25" customHeight="1" x14ac:dyDescent="0.45"/>
    <row r="36" spans="15:18" ht="14.25" customHeight="1" x14ac:dyDescent="0.45"/>
    <row r="37" spans="15:18" ht="14.25" customHeight="1" x14ac:dyDescent="0.45"/>
    <row r="38" spans="15:18" ht="14.25" customHeight="1" x14ac:dyDescent="0.45"/>
    <row r="39" spans="15:18" ht="14.25" customHeight="1" x14ac:dyDescent="0.45"/>
    <row r="40" spans="15:18" ht="14.25" customHeight="1" x14ac:dyDescent="0.45"/>
    <row r="41" spans="15:18" ht="14.25" customHeight="1" x14ac:dyDescent="0.45"/>
    <row r="42" spans="15:18" ht="14.25" customHeight="1" x14ac:dyDescent="0.45"/>
    <row r="43" spans="15:18" ht="14.25" customHeight="1" x14ac:dyDescent="0.45"/>
    <row r="44" spans="15:18" ht="14.25" customHeight="1" x14ac:dyDescent="0.45"/>
    <row r="45" spans="15:18" ht="14.25" customHeight="1" x14ac:dyDescent="0.45"/>
    <row r="46" spans="15:18" ht="14.25" customHeight="1" x14ac:dyDescent="0.45"/>
    <row r="47" spans="15:18" ht="14.25" customHeight="1" x14ac:dyDescent="0.45"/>
    <row r="48" spans="15:18" ht="14.25" customHeight="1" x14ac:dyDescent="0.45"/>
    <row r="49" ht="14.25" customHeight="1" x14ac:dyDescent="0.45"/>
    <row r="50" ht="14.25" customHeight="1" x14ac:dyDescent="0.45"/>
    <row r="51" ht="14.25" customHeight="1" x14ac:dyDescent="0.45"/>
    <row r="52" ht="14.25" customHeight="1" x14ac:dyDescent="0.45"/>
    <row r="53" ht="14.25" customHeight="1" x14ac:dyDescent="0.45"/>
    <row r="54" ht="14.25" customHeight="1" x14ac:dyDescent="0.45"/>
    <row r="55" ht="14.25" customHeight="1" x14ac:dyDescent="0.45"/>
    <row r="56" ht="14.25" customHeight="1" x14ac:dyDescent="0.45"/>
    <row r="57" ht="14.25" customHeight="1" x14ac:dyDescent="0.45"/>
    <row r="58" ht="14.25" customHeight="1" x14ac:dyDescent="0.45"/>
    <row r="59" ht="14.25" customHeight="1" x14ac:dyDescent="0.45"/>
    <row r="60" ht="14.25" customHeight="1" x14ac:dyDescent="0.45"/>
    <row r="61" ht="14.25" customHeight="1" x14ac:dyDescent="0.45"/>
    <row r="62" ht="14.25" customHeight="1" x14ac:dyDescent="0.45"/>
    <row r="63" ht="14.25" customHeight="1" x14ac:dyDescent="0.45"/>
    <row r="64" ht="14.25" customHeight="1" x14ac:dyDescent="0.45"/>
    <row r="65" ht="14.25" customHeight="1" x14ac:dyDescent="0.45"/>
    <row r="66" ht="14.25" customHeight="1" x14ac:dyDescent="0.45"/>
    <row r="67" ht="14.25" customHeight="1" x14ac:dyDescent="0.45"/>
    <row r="68" ht="14.25" customHeight="1" x14ac:dyDescent="0.45"/>
    <row r="69" ht="14.25" customHeight="1" x14ac:dyDescent="0.45"/>
    <row r="70" ht="14.25" customHeight="1" x14ac:dyDescent="0.45"/>
    <row r="71" ht="14.25" customHeight="1" x14ac:dyDescent="0.45"/>
    <row r="72" ht="14.25" customHeight="1" x14ac:dyDescent="0.45"/>
    <row r="73" ht="14.25" customHeight="1" x14ac:dyDescent="0.45"/>
    <row r="74" ht="14.25" customHeight="1" x14ac:dyDescent="0.45"/>
    <row r="75" ht="14.25" customHeight="1" x14ac:dyDescent="0.45"/>
    <row r="76" ht="14.25" customHeight="1" x14ac:dyDescent="0.45"/>
    <row r="77" ht="14.25" customHeight="1" x14ac:dyDescent="0.45"/>
    <row r="78" ht="14.25" customHeight="1" x14ac:dyDescent="0.45"/>
    <row r="79" ht="14.25" customHeight="1" x14ac:dyDescent="0.45"/>
    <row r="80" ht="14.25" customHeight="1" x14ac:dyDescent="0.45"/>
    <row r="81" ht="14.25" customHeight="1" x14ac:dyDescent="0.45"/>
    <row r="82" ht="14.25" customHeight="1" x14ac:dyDescent="0.45"/>
    <row r="83" ht="14.25" customHeight="1" x14ac:dyDescent="0.45"/>
    <row r="84" ht="14.25" customHeight="1" x14ac:dyDescent="0.45"/>
    <row r="85" ht="14.25" customHeight="1" x14ac:dyDescent="0.45"/>
    <row r="86" ht="14.25" customHeight="1" x14ac:dyDescent="0.45"/>
    <row r="87" ht="14.25" customHeight="1" x14ac:dyDescent="0.45"/>
    <row r="88" ht="14.25" customHeight="1" x14ac:dyDescent="0.45"/>
    <row r="89" ht="14.25" customHeight="1" x14ac:dyDescent="0.45"/>
    <row r="90" ht="14.25" customHeight="1" x14ac:dyDescent="0.45"/>
    <row r="91" ht="14.25" customHeight="1" x14ac:dyDescent="0.45"/>
    <row r="92" ht="14.25" customHeight="1" x14ac:dyDescent="0.45"/>
    <row r="93" ht="14.25" customHeight="1" x14ac:dyDescent="0.45"/>
    <row r="94" ht="14.25" customHeight="1" x14ac:dyDescent="0.45"/>
    <row r="95" ht="14.25" customHeight="1" x14ac:dyDescent="0.45"/>
    <row r="96" ht="14.25" customHeight="1" x14ac:dyDescent="0.45"/>
    <row r="97" ht="14.25" customHeight="1" x14ac:dyDescent="0.45"/>
    <row r="98" ht="14.25" customHeight="1" x14ac:dyDescent="0.45"/>
    <row r="99" ht="14.25" customHeight="1" x14ac:dyDescent="0.45"/>
    <row r="100" ht="14.25" customHeight="1" x14ac:dyDescent="0.45"/>
    <row r="101" ht="14.25" customHeight="1" x14ac:dyDescent="0.45"/>
    <row r="102" ht="14.25" customHeight="1" x14ac:dyDescent="0.45"/>
    <row r="103" ht="14.25" customHeight="1" x14ac:dyDescent="0.45"/>
    <row r="104" ht="14.25" customHeight="1" x14ac:dyDescent="0.45"/>
    <row r="105" ht="14.25" customHeight="1" x14ac:dyDescent="0.45"/>
    <row r="106" ht="14.25" customHeight="1" x14ac:dyDescent="0.45"/>
    <row r="107" ht="14.25" customHeight="1" x14ac:dyDescent="0.45"/>
    <row r="108" ht="14.25" customHeight="1" x14ac:dyDescent="0.45"/>
    <row r="109" ht="14.25" customHeight="1" x14ac:dyDescent="0.45"/>
    <row r="110" ht="14.25" customHeight="1" x14ac:dyDescent="0.45"/>
    <row r="111" ht="14.25" customHeight="1" x14ac:dyDescent="0.45"/>
    <row r="112" ht="14.25" customHeight="1" x14ac:dyDescent="0.45"/>
    <row r="113" ht="14.25" customHeight="1" x14ac:dyDescent="0.45"/>
    <row r="114" ht="14.25" customHeight="1" x14ac:dyDescent="0.45"/>
    <row r="115" ht="14.25" customHeight="1" x14ac:dyDescent="0.45"/>
    <row r="116" ht="14.25" customHeight="1" x14ac:dyDescent="0.45"/>
    <row r="117" ht="14.25" customHeight="1" x14ac:dyDescent="0.45"/>
    <row r="118" ht="14.25" customHeight="1" x14ac:dyDescent="0.45"/>
    <row r="119" ht="14.25" customHeight="1" x14ac:dyDescent="0.45"/>
    <row r="120" ht="14.25" customHeight="1" x14ac:dyDescent="0.45"/>
    <row r="121" ht="14.25" customHeight="1" x14ac:dyDescent="0.45"/>
    <row r="122" ht="14.25" customHeight="1" x14ac:dyDescent="0.45"/>
    <row r="123" ht="14.25" customHeight="1" x14ac:dyDescent="0.45"/>
    <row r="124" ht="14.25" customHeight="1" x14ac:dyDescent="0.45"/>
    <row r="125" ht="14.25" customHeight="1" x14ac:dyDescent="0.45"/>
    <row r="126" ht="14.25" customHeight="1" x14ac:dyDescent="0.45"/>
    <row r="127" ht="14.25" customHeight="1" x14ac:dyDescent="0.45"/>
    <row r="128" ht="14.25" customHeight="1" x14ac:dyDescent="0.45"/>
    <row r="129" ht="14.25" customHeight="1" x14ac:dyDescent="0.45"/>
    <row r="130" ht="14.25" customHeight="1" x14ac:dyDescent="0.45"/>
    <row r="131" ht="14.25" customHeight="1" x14ac:dyDescent="0.45"/>
    <row r="132" ht="14.25" customHeight="1" x14ac:dyDescent="0.45"/>
    <row r="133" ht="14.25" customHeight="1" x14ac:dyDescent="0.45"/>
    <row r="134" ht="14.25" customHeight="1" x14ac:dyDescent="0.45"/>
    <row r="135" ht="14.25" customHeight="1" x14ac:dyDescent="0.45"/>
    <row r="136" ht="14.25" customHeight="1" x14ac:dyDescent="0.45"/>
    <row r="137" ht="14.25" customHeight="1" x14ac:dyDescent="0.45"/>
    <row r="138" ht="14.25" customHeight="1" x14ac:dyDescent="0.45"/>
    <row r="139" ht="14.25" customHeight="1" x14ac:dyDescent="0.45"/>
    <row r="140" ht="14.25" customHeight="1" x14ac:dyDescent="0.45"/>
    <row r="141" ht="14.25" customHeight="1" x14ac:dyDescent="0.45"/>
    <row r="142" ht="14.25" customHeight="1" x14ac:dyDescent="0.45"/>
    <row r="143" ht="14.25" customHeight="1" x14ac:dyDescent="0.45"/>
    <row r="144" ht="14.25" customHeight="1" x14ac:dyDescent="0.45"/>
    <row r="145" ht="14.25" customHeight="1" x14ac:dyDescent="0.45"/>
    <row r="146" ht="14.25" customHeight="1" x14ac:dyDescent="0.45"/>
    <row r="147" ht="14.25" customHeight="1" x14ac:dyDescent="0.45"/>
    <row r="148" ht="14.25" customHeight="1" x14ac:dyDescent="0.45"/>
    <row r="149" ht="14.25" customHeight="1" x14ac:dyDescent="0.45"/>
    <row r="150" ht="14.25" customHeight="1" x14ac:dyDescent="0.45"/>
    <row r="151" ht="14.25" customHeight="1" x14ac:dyDescent="0.45"/>
    <row r="152" ht="14.25" customHeight="1" x14ac:dyDescent="0.45"/>
    <row r="153" ht="14.25" customHeight="1" x14ac:dyDescent="0.45"/>
    <row r="154" ht="14.25" customHeight="1" x14ac:dyDescent="0.45"/>
    <row r="155" ht="14.25" customHeight="1" x14ac:dyDescent="0.45"/>
    <row r="156" ht="14.25" customHeight="1" x14ac:dyDescent="0.45"/>
    <row r="157" ht="14.25" customHeight="1" x14ac:dyDescent="0.45"/>
    <row r="158" ht="14.25" customHeight="1" x14ac:dyDescent="0.45"/>
    <row r="159" ht="14.25" customHeight="1" x14ac:dyDescent="0.45"/>
    <row r="160" ht="14.25" customHeight="1" x14ac:dyDescent="0.45"/>
    <row r="161" ht="14.25" customHeight="1" x14ac:dyDescent="0.45"/>
    <row r="162" ht="14.25" customHeight="1" x14ac:dyDescent="0.45"/>
    <row r="163" ht="14.25" customHeight="1" x14ac:dyDescent="0.45"/>
    <row r="164" ht="14.25" customHeight="1" x14ac:dyDescent="0.45"/>
    <row r="165" ht="14.25" customHeight="1" x14ac:dyDescent="0.45"/>
    <row r="166" ht="14.25" customHeight="1" x14ac:dyDescent="0.45"/>
    <row r="167" ht="14.25" customHeight="1" x14ac:dyDescent="0.45"/>
    <row r="168" ht="14.25" customHeight="1" x14ac:dyDescent="0.45"/>
    <row r="169" ht="14.25" customHeight="1" x14ac:dyDescent="0.45"/>
    <row r="170" ht="14.25" customHeight="1" x14ac:dyDescent="0.45"/>
    <row r="171" ht="14.25" customHeight="1" x14ac:dyDescent="0.45"/>
    <row r="172" ht="14.25" customHeight="1" x14ac:dyDescent="0.45"/>
    <row r="173" ht="14.25" customHeight="1" x14ac:dyDescent="0.45"/>
    <row r="174" ht="14.25" customHeight="1" x14ac:dyDescent="0.45"/>
    <row r="175" ht="14.25" customHeight="1" x14ac:dyDescent="0.45"/>
    <row r="176" ht="14.25" customHeight="1" x14ac:dyDescent="0.45"/>
    <row r="177" ht="14.25" customHeight="1" x14ac:dyDescent="0.45"/>
    <row r="178" ht="14.25" customHeight="1" x14ac:dyDescent="0.45"/>
    <row r="179" ht="14.25" customHeight="1" x14ac:dyDescent="0.45"/>
    <row r="180" ht="14.25" customHeight="1" x14ac:dyDescent="0.45"/>
    <row r="181" ht="14.25" customHeight="1" x14ac:dyDescent="0.45"/>
    <row r="182" ht="14.25" customHeight="1" x14ac:dyDescent="0.45"/>
    <row r="183" ht="14.25" customHeight="1" x14ac:dyDescent="0.45"/>
    <row r="184" ht="14.25" customHeight="1" x14ac:dyDescent="0.45"/>
    <row r="185" ht="14.25" customHeight="1" x14ac:dyDescent="0.45"/>
    <row r="186" ht="14.25" customHeight="1" x14ac:dyDescent="0.45"/>
    <row r="187" ht="14.25" customHeight="1" x14ac:dyDescent="0.45"/>
    <row r="188" ht="14.25" customHeight="1" x14ac:dyDescent="0.45"/>
    <row r="189" ht="14.25" customHeight="1" x14ac:dyDescent="0.45"/>
    <row r="190" ht="14.25" customHeight="1" x14ac:dyDescent="0.45"/>
    <row r="191" ht="14.25" customHeight="1" x14ac:dyDescent="0.45"/>
    <row r="192" ht="14.25" customHeight="1" x14ac:dyDescent="0.45"/>
    <row r="193" ht="14.25" customHeight="1" x14ac:dyDescent="0.45"/>
    <row r="194" ht="14.25" customHeight="1" x14ac:dyDescent="0.45"/>
    <row r="195" ht="14.25" customHeight="1" x14ac:dyDescent="0.45"/>
    <row r="196" ht="14.25" customHeight="1" x14ac:dyDescent="0.45"/>
    <row r="197" ht="14.25" customHeight="1" x14ac:dyDescent="0.45"/>
    <row r="198" ht="14.25" customHeight="1" x14ac:dyDescent="0.45"/>
    <row r="199" ht="14.25" customHeight="1" x14ac:dyDescent="0.45"/>
    <row r="200" ht="14.25" customHeight="1" x14ac:dyDescent="0.45"/>
    <row r="201" ht="14.25" customHeight="1" x14ac:dyDescent="0.45"/>
    <row r="202" ht="14.25" customHeight="1" x14ac:dyDescent="0.45"/>
    <row r="203" ht="14.25" customHeight="1" x14ac:dyDescent="0.45"/>
    <row r="204" ht="14.25" customHeight="1" x14ac:dyDescent="0.45"/>
    <row r="205" ht="14.25" customHeight="1" x14ac:dyDescent="0.45"/>
    <row r="206" ht="14.25" customHeight="1" x14ac:dyDescent="0.45"/>
    <row r="207" ht="14.25" customHeight="1" x14ac:dyDescent="0.45"/>
    <row r="208" ht="14.25" customHeight="1" x14ac:dyDescent="0.45"/>
    <row r="209" ht="14.25" customHeight="1" x14ac:dyDescent="0.45"/>
    <row r="210" ht="14.25" customHeight="1" x14ac:dyDescent="0.45"/>
    <row r="211" ht="14.25" customHeight="1" x14ac:dyDescent="0.45"/>
    <row r="212" ht="14.25" customHeight="1" x14ac:dyDescent="0.45"/>
    <row r="213" ht="14.25" customHeight="1" x14ac:dyDescent="0.45"/>
    <row r="214" ht="14.25" customHeight="1" x14ac:dyDescent="0.45"/>
    <row r="215" ht="14.25" customHeight="1" x14ac:dyDescent="0.45"/>
    <row r="216" ht="14.25" customHeight="1" x14ac:dyDescent="0.45"/>
    <row r="217" ht="14.25" customHeight="1" x14ac:dyDescent="0.45"/>
    <row r="218" ht="14.25" customHeight="1" x14ac:dyDescent="0.45"/>
    <row r="219" ht="14.25" customHeight="1" x14ac:dyDescent="0.45"/>
    <row r="220" ht="14.25" customHeight="1" x14ac:dyDescent="0.45"/>
    <row r="221" ht="14.25" customHeight="1" x14ac:dyDescent="0.45"/>
    <row r="222" ht="14.25" customHeight="1" x14ac:dyDescent="0.45"/>
    <row r="223" ht="14.25" customHeight="1" x14ac:dyDescent="0.45"/>
    <row r="224" ht="14.25" customHeight="1" x14ac:dyDescent="0.45"/>
    <row r="225" ht="14.25" customHeight="1" x14ac:dyDescent="0.45"/>
    <row r="226" ht="14.25" customHeight="1" x14ac:dyDescent="0.45"/>
    <row r="227" ht="14.25" customHeight="1" x14ac:dyDescent="0.45"/>
    <row r="228" ht="14.25" customHeight="1" x14ac:dyDescent="0.45"/>
    <row r="229" ht="14.25" customHeight="1" x14ac:dyDescent="0.45"/>
    <row r="230" ht="14.25" customHeight="1" x14ac:dyDescent="0.45"/>
    <row r="231" ht="14.25" customHeight="1" x14ac:dyDescent="0.45"/>
    <row r="232" ht="14.25" customHeight="1" x14ac:dyDescent="0.45"/>
    <row r="233" ht="14.25" customHeight="1" x14ac:dyDescent="0.45"/>
    <row r="234" ht="14.25" customHeight="1" x14ac:dyDescent="0.45"/>
    <row r="235" ht="14.25" customHeight="1" x14ac:dyDescent="0.45"/>
    <row r="236" ht="14.25" customHeight="1" x14ac:dyDescent="0.45"/>
    <row r="237" ht="14.25" customHeight="1" x14ac:dyDescent="0.45"/>
    <row r="238" ht="14.25" customHeight="1" x14ac:dyDescent="0.45"/>
    <row r="239" ht="14.25" customHeight="1" x14ac:dyDescent="0.45"/>
    <row r="240" ht="14.25" customHeight="1" x14ac:dyDescent="0.45"/>
    <row r="241" ht="14.25" customHeight="1" x14ac:dyDescent="0.45"/>
    <row r="242" ht="14.25" customHeight="1" x14ac:dyDescent="0.45"/>
    <row r="243" ht="14.25" customHeight="1" x14ac:dyDescent="0.45"/>
    <row r="244" ht="14.25" customHeight="1" x14ac:dyDescent="0.45"/>
    <row r="245" ht="14.25" customHeight="1" x14ac:dyDescent="0.45"/>
    <row r="246" ht="14.25" customHeight="1" x14ac:dyDescent="0.45"/>
    <row r="247" ht="14.25" customHeight="1" x14ac:dyDescent="0.45"/>
    <row r="248" ht="14.25" customHeight="1" x14ac:dyDescent="0.45"/>
    <row r="249" ht="14.25" customHeight="1" x14ac:dyDescent="0.45"/>
    <row r="250" ht="14.25" customHeight="1" x14ac:dyDescent="0.45"/>
    <row r="251" ht="14.25" customHeight="1" x14ac:dyDescent="0.45"/>
    <row r="252" ht="14.25" customHeight="1" x14ac:dyDescent="0.45"/>
    <row r="253" ht="14.25" customHeight="1" x14ac:dyDescent="0.45"/>
    <row r="254" ht="14.25" customHeight="1" x14ac:dyDescent="0.45"/>
    <row r="255" ht="14.25" customHeight="1" x14ac:dyDescent="0.45"/>
    <row r="256" ht="14.25" customHeight="1" x14ac:dyDescent="0.45"/>
    <row r="257" ht="14.25" customHeight="1" x14ac:dyDescent="0.45"/>
    <row r="258" ht="14.25" customHeight="1" x14ac:dyDescent="0.45"/>
    <row r="259" ht="14.25" customHeight="1" x14ac:dyDescent="0.45"/>
    <row r="260" ht="14.25" customHeight="1" x14ac:dyDescent="0.45"/>
    <row r="261" ht="14.25" customHeight="1" x14ac:dyDescent="0.45"/>
    <row r="262" ht="14.25" customHeight="1" x14ac:dyDescent="0.45"/>
    <row r="263" ht="14.25" customHeight="1" x14ac:dyDescent="0.45"/>
    <row r="264" ht="14.25" customHeight="1" x14ac:dyDescent="0.45"/>
    <row r="265" ht="14.25" customHeight="1" x14ac:dyDescent="0.45"/>
    <row r="266" ht="14.25" customHeight="1" x14ac:dyDescent="0.45"/>
    <row r="267" ht="14.25" customHeight="1" x14ac:dyDescent="0.45"/>
    <row r="268" ht="14.25" customHeight="1" x14ac:dyDescent="0.45"/>
    <row r="269" ht="14.25" customHeight="1" x14ac:dyDescent="0.45"/>
    <row r="270" ht="14.25" customHeight="1" x14ac:dyDescent="0.45"/>
    <row r="271" ht="14.25" customHeight="1" x14ac:dyDescent="0.45"/>
    <row r="272" ht="14.25" customHeight="1" x14ac:dyDescent="0.45"/>
    <row r="273" ht="14.25" customHeight="1" x14ac:dyDescent="0.45"/>
    <row r="274" ht="14.25" customHeight="1" x14ac:dyDescent="0.45"/>
    <row r="275" ht="14.25" customHeight="1" x14ac:dyDescent="0.45"/>
    <row r="276" ht="14.25" customHeight="1" x14ac:dyDescent="0.45"/>
    <row r="277" ht="14.25" customHeight="1" x14ac:dyDescent="0.45"/>
    <row r="278" ht="14.25" customHeight="1" x14ac:dyDescent="0.45"/>
    <row r="279" ht="14.25" customHeight="1" x14ac:dyDescent="0.45"/>
    <row r="280" ht="14.25" customHeight="1" x14ac:dyDescent="0.45"/>
    <row r="281" ht="14.25" customHeight="1" x14ac:dyDescent="0.45"/>
    <row r="282" ht="14.25" customHeight="1" x14ac:dyDescent="0.45"/>
    <row r="283" ht="14.25" customHeight="1" x14ac:dyDescent="0.45"/>
    <row r="284" ht="14.25" customHeight="1" x14ac:dyDescent="0.45"/>
    <row r="285" ht="14.25" customHeight="1" x14ac:dyDescent="0.45"/>
    <row r="286" ht="14.25" customHeight="1" x14ac:dyDescent="0.45"/>
    <row r="287" ht="14.25" customHeight="1" x14ac:dyDescent="0.45"/>
    <row r="288" ht="14.25" customHeight="1" x14ac:dyDescent="0.45"/>
    <row r="289" ht="14.25" customHeight="1" x14ac:dyDescent="0.45"/>
    <row r="290" ht="14.25" customHeight="1" x14ac:dyDescent="0.45"/>
    <row r="291" ht="14.25" customHeight="1" x14ac:dyDescent="0.45"/>
    <row r="292" ht="14.25" customHeight="1" x14ac:dyDescent="0.45"/>
    <row r="293" ht="14.25" customHeight="1" x14ac:dyDescent="0.45"/>
    <row r="294" ht="14.25" customHeight="1" x14ac:dyDescent="0.45"/>
    <row r="295" ht="14.25" customHeight="1" x14ac:dyDescent="0.45"/>
    <row r="296" ht="14.25" customHeight="1" x14ac:dyDescent="0.45"/>
    <row r="297" ht="14.25" customHeight="1" x14ac:dyDescent="0.45"/>
    <row r="298" ht="14.25" customHeight="1" x14ac:dyDescent="0.45"/>
    <row r="299" ht="14.25" customHeight="1" x14ac:dyDescent="0.45"/>
    <row r="300" ht="14.25" customHeight="1" x14ac:dyDescent="0.45"/>
    <row r="301" ht="14.25" customHeight="1" x14ac:dyDescent="0.45"/>
    <row r="302" ht="14.25" customHeight="1" x14ac:dyDescent="0.45"/>
    <row r="303" ht="14.25" customHeight="1" x14ac:dyDescent="0.45"/>
    <row r="304" ht="14.25" customHeight="1" x14ac:dyDescent="0.45"/>
    <row r="305" ht="14.25" customHeight="1" x14ac:dyDescent="0.45"/>
    <row r="306" ht="14.25" customHeight="1" x14ac:dyDescent="0.45"/>
    <row r="307" ht="14.25" customHeight="1" x14ac:dyDescent="0.45"/>
    <row r="308" ht="14.25" customHeight="1" x14ac:dyDescent="0.45"/>
    <row r="309" ht="14.25" customHeight="1" x14ac:dyDescent="0.45"/>
    <row r="310" ht="14.25" customHeight="1" x14ac:dyDescent="0.45"/>
    <row r="311" ht="14.25" customHeight="1" x14ac:dyDescent="0.45"/>
    <row r="312" ht="14.25" customHeight="1" x14ac:dyDescent="0.45"/>
    <row r="313" ht="14.25" customHeight="1" x14ac:dyDescent="0.45"/>
    <row r="314" ht="14.25" customHeight="1" x14ac:dyDescent="0.45"/>
    <row r="315" ht="14.25" customHeight="1" x14ac:dyDescent="0.45"/>
    <row r="316" ht="14.25" customHeight="1" x14ac:dyDescent="0.45"/>
    <row r="317" ht="14.25" customHeight="1" x14ac:dyDescent="0.45"/>
    <row r="318" ht="14.25" customHeight="1" x14ac:dyDescent="0.45"/>
    <row r="319" ht="14.25" customHeight="1" x14ac:dyDescent="0.45"/>
    <row r="320" ht="14.25" customHeight="1" x14ac:dyDescent="0.45"/>
    <row r="321" ht="14.25" customHeight="1" x14ac:dyDescent="0.45"/>
    <row r="322" ht="14.25" customHeight="1" x14ac:dyDescent="0.45"/>
    <row r="323" ht="14.25" customHeight="1" x14ac:dyDescent="0.45"/>
    <row r="324" ht="14.25" customHeight="1" x14ac:dyDescent="0.45"/>
    <row r="325" ht="14.25" customHeight="1" x14ac:dyDescent="0.45"/>
    <row r="326" ht="14.25" customHeight="1" x14ac:dyDescent="0.45"/>
    <row r="327" ht="14.25" customHeight="1" x14ac:dyDescent="0.45"/>
    <row r="328" ht="14.25" customHeight="1" x14ac:dyDescent="0.45"/>
    <row r="329" ht="14.25" customHeight="1" x14ac:dyDescent="0.45"/>
    <row r="330" ht="14.25" customHeight="1" x14ac:dyDescent="0.45"/>
    <row r="331" ht="14.25" customHeight="1" x14ac:dyDescent="0.45"/>
    <row r="332" ht="14.25" customHeight="1" x14ac:dyDescent="0.45"/>
    <row r="333" ht="14.25" customHeight="1" x14ac:dyDescent="0.45"/>
    <row r="334" ht="14.25" customHeight="1" x14ac:dyDescent="0.45"/>
    <row r="335" ht="14.25" customHeight="1" x14ac:dyDescent="0.45"/>
    <row r="336" ht="14.25" customHeight="1" x14ac:dyDescent="0.45"/>
    <row r="337" ht="14.25" customHeight="1" x14ac:dyDescent="0.45"/>
    <row r="338" ht="14.25" customHeight="1" x14ac:dyDescent="0.45"/>
    <row r="339" ht="14.25" customHeight="1" x14ac:dyDescent="0.45"/>
    <row r="340" ht="14.25" customHeight="1" x14ac:dyDescent="0.45"/>
    <row r="341" ht="14.25" customHeight="1" x14ac:dyDescent="0.45"/>
    <row r="342" ht="14.25" customHeight="1" x14ac:dyDescent="0.45"/>
    <row r="343" ht="14.25" customHeight="1" x14ac:dyDescent="0.45"/>
    <row r="344" ht="14.25" customHeight="1" x14ac:dyDescent="0.45"/>
    <row r="345" ht="14.25" customHeight="1" x14ac:dyDescent="0.45"/>
    <row r="346" ht="14.25" customHeight="1" x14ac:dyDescent="0.45"/>
    <row r="347" ht="14.25" customHeight="1" x14ac:dyDescent="0.45"/>
    <row r="348" ht="14.25" customHeight="1" x14ac:dyDescent="0.45"/>
    <row r="349" ht="14.25" customHeight="1" x14ac:dyDescent="0.45"/>
    <row r="350" ht="14.25" customHeight="1" x14ac:dyDescent="0.45"/>
    <row r="351" ht="14.25" customHeight="1" x14ac:dyDescent="0.45"/>
    <row r="352" ht="14.25" customHeight="1" x14ac:dyDescent="0.45"/>
    <row r="353" ht="14.25" customHeight="1" x14ac:dyDescent="0.45"/>
    <row r="354" ht="14.25" customHeight="1" x14ac:dyDescent="0.45"/>
    <row r="355" ht="14.25" customHeight="1" x14ac:dyDescent="0.45"/>
    <row r="356" ht="14.25" customHeight="1" x14ac:dyDescent="0.45"/>
    <row r="357" ht="14.25" customHeight="1" x14ac:dyDescent="0.45"/>
    <row r="358" ht="14.25" customHeight="1" x14ac:dyDescent="0.45"/>
    <row r="359" ht="14.25" customHeight="1" x14ac:dyDescent="0.45"/>
    <row r="360" ht="14.25" customHeight="1" x14ac:dyDescent="0.45"/>
    <row r="361" ht="14.25" customHeight="1" x14ac:dyDescent="0.45"/>
    <row r="362" ht="14.25" customHeight="1" x14ac:dyDescent="0.45"/>
    <row r="363" ht="14.25" customHeight="1" x14ac:dyDescent="0.45"/>
    <row r="364" ht="14.25" customHeight="1" x14ac:dyDescent="0.45"/>
    <row r="365" ht="14.25" customHeight="1" x14ac:dyDescent="0.45"/>
    <row r="366" ht="14.25" customHeight="1" x14ac:dyDescent="0.45"/>
    <row r="367" ht="14.25" customHeight="1" x14ac:dyDescent="0.45"/>
    <row r="368" ht="14.25" customHeight="1" x14ac:dyDescent="0.45"/>
    <row r="369" ht="14.25" customHeight="1" x14ac:dyDescent="0.45"/>
    <row r="370" ht="14.25" customHeight="1" x14ac:dyDescent="0.45"/>
    <row r="371" ht="14.25" customHeight="1" x14ac:dyDescent="0.45"/>
    <row r="372" ht="14.25" customHeight="1" x14ac:dyDescent="0.45"/>
    <row r="373" ht="14.25" customHeight="1" x14ac:dyDescent="0.45"/>
    <row r="374" ht="14.25" customHeight="1" x14ac:dyDescent="0.45"/>
    <row r="375" ht="14.25" customHeight="1" x14ac:dyDescent="0.45"/>
    <row r="376" ht="14.25" customHeight="1" x14ac:dyDescent="0.45"/>
    <row r="377" ht="14.25" customHeight="1" x14ac:dyDescent="0.45"/>
    <row r="378" ht="14.25" customHeight="1" x14ac:dyDescent="0.45"/>
    <row r="379" ht="14.25" customHeight="1" x14ac:dyDescent="0.45"/>
    <row r="380" ht="14.25" customHeight="1" x14ac:dyDescent="0.45"/>
    <row r="381" ht="14.25" customHeight="1" x14ac:dyDescent="0.45"/>
    <row r="382" ht="14.25" customHeight="1" x14ac:dyDescent="0.45"/>
    <row r="383" ht="14.25" customHeight="1" x14ac:dyDescent="0.45"/>
    <row r="384" ht="14.25" customHeight="1" x14ac:dyDescent="0.45"/>
    <row r="385" ht="14.25" customHeight="1" x14ac:dyDescent="0.45"/>
    <row r="386" ht="14.25" customHeight="1" x14ac:dyDescent="0.45"/>
    <row r="387" ht="14.25" customHeight="1" x14ac:dyDescent="0.45"/>
    <row r="388" ht="14.25" customHeight="1" x14ac:dyDescent="0.45"/>
    <row r="389" ht="14.25" customHeight="1" x14ac:dyDescent="0.45"/>
    <row r="390" ht="14.25" customHeight="1" x14ac:dyDescent="0.45"/>
    <row r="391" ht="14.25" customHeight="1" x14ac:dyDescent="0.45"/>
    <row r="392" ht="14.25" customHeight="1" x14ac:dyDescent="0.45"/>
    <row r="393" ht="14.25" customHeight="1" x14ac:dyDescent="0.45"/>
    <row r="394" ht="14.25" customHeight="1" x14ac:dyDescent="0.45"/>
    <row r="395" ht="14.25" customHeight="1" x14ac:dyDescent="0.45"/>
    <row r="396" ht="14.25" customHeight="1" x14ac:dyDescent="0.45"/>
    <row r="397" ht="14.25" customHeight="1" x14ac:dyDescent="0.45"/>
    <row r="398" ht="14.25" customHeight="1" x14ac:dyDescent="0.45"/>
    <row r="399" ht="14.25" customHeight="1" x14ac:dyDescent="0.45"/>
    <row r="400" ht="14.25" customHeight="1" x14ac:dyDescent="0.45"/>
    <row r="401" ht="14.25" customHeight="1" x14ac:dyDescent="0.45"/>
    <row r="402" ht="14.25" customHeight="1" x14ac:dyDescent="0.45"/>
    <row r="403" ht="14.25" customHeight="1" x14ac:dyDescent="0.45"/>
    <row r="404" ht="14.25" customHeight="1" x14ac:dyDescent="0.45"/>
    <row r="405" ht="14.25" customHeight="1" x14ac:dyDescent="0.45"/>
    <row r="406" ht="14.25" customHeight="1" x14ac:dyDescent="0.45"/>
    <row r="407" ht="14.25" customHeight="1" x14ac:dyDescent="0.45"/>
    <row r="408" ht="14.25" customHeight="1" x14ac:dyDescent="0.45"/>
    <row r="409" ht="14.25" customHeight="1" x14ac:dyDescent="0.45"/>
    <row r="410" ht="14.25" customHeight="1" x14ac:dyDescent="0.45"/>
    <row r="411" ht="14.25" customHeight="1" x14ac:dyDescent="0.45"/>
    <row r="412" ht="14.25" customHeight="1" x14ac:dyDescent="0.45"/>
    <row r="413" ht="14.25" customHeight="1" x14ac:dyDescent="0.45"/>
    <row r="414" ht="14.25" customHeight="1" x14ac:dyDescent="0.45"/>
    <row r="415" ht="14.25" customHeight="1" x14ac:dyDescent="0.45"/>
    <row r="416" ht="14.25" customHeight="1" x14ac:dyDescent="0.45"/>
    <row r="417" ht="14.25" customHeight="1" x14ac:dyDescent="0.45"/>
    <row r="418" ht="14.25" customHeight="1" x14ac:dyDescent="0.45"/>
    <row r="419" ht="14.25" customHeight="1" x14ac:dyDescent="0.45"/>
    <row r="420" ht="14.25" customHeight="1" x14ac:dyDescent="0.45"/>
    <row r="421" ht="14.25" customHeight="1" x14ac:dyDescent="0.45"/>
    <row r="422" ht="14.25" customHeight="1" x14ac:dyDescent="0.45"/>
    <row r="423" ht="14.25" customHeight="1" x14ac:dyDescent="0.45"/>
    <row r="424" ht="14.25" customHeight="1" x14ac:dyDescent="0.45"/>
    <row r="425" ht="14.25" customHeight="1" x14ac:dyDescent="0.45"/>
    <row r="426" ht="14.25" customHeight="1" x14ac:dyDescent="0.45"/>
    <row r="427" ht="14.25" customHeight="1" x14ac:dyDescent="0.45"/>
    <row r="428" ht="14.25" customHeight="1" x14ac:dyDescent="0.45"/>
    <row r="429" ht="14.25" customHeight="1" x14ac:dyDescent="0.45"/>
    <row r="430" ht="14.25" customHeight="1" x14ac:dyDescent="0.45"/>
    <row r="431" ht="14.25" customHeight="1" x14ac:dyDescent="0.45"/>
    <row r="432" ht="14.25" customHeight="1" x14ac:dyDescent="0.45"/>
    <row r="433" ht="14.25" customHeight="1" x14ac:dyDescent="0.45"/>
    <row r="434" ht="14.25" customHeight="1" x14ac:dyDescent="0.45"/>
    <row r="435" ht="14.25" customHeight="1" x14ac:dyDescent="0.45"/>
    <row r="436" ht="14.25" customHeight="1" x14ac:dyDescent="0.45"/>
    <row r="437" ht="14.25" customHeight="1" x14ac:dyDescent="0.45"/>
    <row r="438" ht="14.25" customHeight="1" x14ac:dyDescent="0.45"/>
    <row r="439" ht="14.25" customHeight="1" x14ac:dyDescent="0.45"/>
    <row r="440" ht="14.25" customHeight="1" x14ac:dyDescent="0.45"/>
    <row r="441" ht="14.25" customHeight="1" x14ac:dyDescent="0.45"/>
    <row r="442" ht="14.25" customHeight="1" x14ac:dyDescent="0.45"/>
    <row r="443" ht="14.25" customHeight="1" x14ac:dyDescent="0.45"/>
    <row r="444" ht="14.25" customHeight="1" x14ac:dyDescent="0.45"/>
    <row r="445" ht="14.25" customHeight="1" x14ac:dyDescent="0.45"/>
    <row r="446" ht="14.25" customHeight="1" x14ac:dyDescent="0.45"/>
    <row r="447" ht="14.25" customHeight="1" x14ac:dyDescent="0.45"/>
    <row r="448" ht="14.25" customHeight="1" x14ac:dyDescent="0.45"/>
    <row r="449" ht="14.25" customHeight="1" x14ac:dyDescent="0.45"/>
    <row r="450" ht="14.25" customHeight="1" x14ac:dyDescent="0.45"/>
    <row r="451" ht="14.25" customHeight="1" x14ac:dyDescent="0.45"/>
    <row r="452" ht="14.25" customHeight="1" x14ac:dyDescent="0.45"/>
    <row r="453" ht="14.25" customHeight="1" x14ac:dyDescent="0.45"/>
    <row r="454" ht="14.25" customHeight="1" x14ac:dyDescent="0.45"/>
    <row r="455" ht="14.25" customHeight="1" x14ac:dyDescent="0.45"/>
    <row r="456" ht="14.25" customHeight="1" x14ac:dyDescent="0.45"/>
    <row r="457" ht="14.25" customHeight="1" x14ac:dyDescent="0.45"/>
    <row r="458" ht="14.25" customHeight="1" x14ac:dyDescent="0.45"/>
    <row r="459" ht="14.25" customHeight="1" x14ac:dyDescent="0.45"/>
    <row r="460" ht="14.25" customHeight="1" x14ac:dyDescent="0.45"/>
    <row r="461" ht="14.25" customHeight="1" x14ac:dyDescent="0.45"/>
    <row r="462" ht="14.25" customHeight="1" x14ac:dyDescent="0.45"/>
    <row r="463" ht="14.25" customHeight="1" x14ac:dyDescent="0.45"/>
    <row r="464" ht="14.25" customHeight="1" x14ac:dyDescent="0.45"/>
    <row r="465" ht="14.25" customHeight="1" x14ac:dyDescent="0.45"/>
    <row r="466" ht="14.25" customHeight="1" x14ac:dyDescent="0.45"/>
    <row r="467" ht="14.25" customHeight="1" x14ac:dyDescent="0.45"/>
    <row r="468" ht="14.25" customHeight="1" x14ac:dyDescent="0.45"/>
    <row r="469" ht="14.25" customHeight="1" x14ac:dyDescent="0.45"/>
    <row r="470" ht="14.25" customHeight="1" x14ac:dyDescent="0.45"/>
    <row r="471" ht="14.25" customHeight="1" x14ac:dyDescent="0.45"/>
    <row r="472" ht="14.25" customHeight="1" x14ac:dyDescent="0.45"/>
    <row r="473" ht="14.25" customHeight="1" x14ac:dyDescent="0.45"/>
    <row r="474" ht="14.25" customHeight="1" x14ac:dyDescent="0.45"/>
    <row r="475" ht="14.25" customHeight="1" x14ac:dyDescent="0.45"/>
    <row r="476" ht="14.25" customHeight="1" x14ac:dyDescent="0.45"/>
    <row r="477" ht="14.25" customHeight="1" x14ac:dyDescent="0.45"/>
    <row r="478" ht="14.25" customHeight="1" x14ac:dyDescent="0.45"/>
    <row r="479" ht="14.25" customHeight="1" x14ac:dyDescent="0.45"/>
    <row r="480" ht="14.25" customHeight="1" x14ac:dyDescent="0.45"/>
    <row r="481" ht="14.25" customHeight="1" x14ac:dyDescent="0.45"/>
    <row r="482" ht="14.25" customHeight="1" x14ac:dyDescent="0.45"/>
    <row r="483" ht="14.25" customHeight="1" x14ac:dyDescent="0.45"/>
    <row r="484" ht="14.25" customHeight="1" x14ac:dyDescent="0.45"/>
    <row r="485" ht="14.25" customHeight="1" x14ac:dyDescent="0.45"/>
    <row r="486" ht="14.25" customHeight="1" x14ac:dyDescent="0.45"/>
    <row r="487" ht="14.25" customHeight="1" x14ac:dyDescent="0.45"/>
    <row r="488" ht="14.25" customHeight="1" x14ac:dyDescent="0.45"/>
    <row r="489" ht="14.25" customHeight="1" x14ac:dyDescent="0.45"/>
    <row r="490" ht="14.25" customHeight="1" x14ac:dyDescent="0.45"/>
    <row r="491" ht="14.25" customHeight="1" x14ac:dyDescent="0.45"/>
    <row r="492" ht="14.25" customHeight="1" x14ac:dyDescent="0.45"/>
    <row r="493" ht="14.25" customHeight="1" x14ac:dyDescent="0.45"/>
    <row r="494" ht="14.25" customHeight="1" x14ac:dyDescent="0.45"/>
    <row r="495" ht="14.25" customHeight="1" x14ac:dyDescent="0.45"/>
    <row r="496" ht="14.25" customHeight="1" x14ac:dyDescent="0.45"/>
    <row r="497" ht="14.25" customHeight="1" x14ac:dyDescent="0.45"/>
    <row r="498" ht="14.25" customHeight="1" x14ac:dyDescent="0.45"/>
    <row r="499" ht="14.25" customHeight="1" x14ac:dyDescent="0.45"/>
    <row r="500" ht="14.25" customHeight="1" x14ac:dyDescent="0.45"/>
    <row r="501" ht="14.25" customHeight="1" x14ac:dyDescent="0.45"/>
    <row r="502" ht="14.25" customHeight="1" x14ac:dyDescent="0.45"/>
    <row r="503" ht="14.25" customHeight="1" x14ac:dyDescent="0.45"/>
    <row r="504" ht="14.25" customHeight="1" x14ac:dyDescent="0.45"/>
    <row r="505" ht="14.25" customHeight="1" x14ac:dyDescent="0.45"/>
    <row r="506" ht="14.25" customHeight="1" x14ac:dyDescent="0.45"/>
    <row r="507" ht="14.25" customHeight="1" x14ac:dyDescent="0.45"/>
    <row r="508" ht="14.25" customHeight="1" x14ac:dyDescent="0.45"/>
    <row r="509" ht="14.25" customHeight="1" x14ac:dyDescent="0.45"/>
    <row r="510" ht="14.25" customHeight="1" x14ac:dyDescent="0.45"/>
    <row r="511" ht="14.25" customHeight="1" x14ac:dyDescent="0.45"/>
    <row r="512" ht="14.25" customHeight="1" x14ac:dyDescent="0.45"/>
    <row r="513" ht="14.25" customHeight="1" x14ac:dyDescent="0.45"/>
    <row r="514" ht="14.25" customHeight="1" x14ac:dyDescent="0.45"/>
    <row r="515" ht="14.25" customHeight="1" x14ac:dyDescent="0.45"/>
    <row r="516" ht="14.25" customHeight="1" x14ac:dyDescent="0.45"/>
    <row r="517" ht="14.25" customHeight="1" x14ac:dyDescent="0.45"/>
    <row r="518" ht="14.25" customHeight="1" x14ac:dyDescent="0.45"/>
    <row r="519" ht="14.25" customHeight="1" x14ac:dyDescent="0.45"/>
    <row r="520" ht="14.25" customHeight="1" x14ac:dyDescent="0.45"/>
    <row r="521" ht="14.25" customHeight="1" x14ac:dyDescent="0.45"/>
    <row r="522" ht="14.25" customHeight="1" x14ac:dyDescent="0.45"/>
    <row r="523" ht="14.25" customHeight="1" x14ac:dyDescent="0.45"/>
    <row r="524" ht="14.25" customHeight="1" x14ac:dyDescent="0.45"/>
    <row r="525" ht="14.25" customHeight="1" x14ac:dyDescent="0.45"/>
    <row r="526" ht="14.25" customHeight="1" x14ac:dyDescent="0.45"/>
    <row r="527" ht="14.25" customHeight="1" x14ac:dyDescent="0.45"/>
    <row r="528" ht="14.25" customHeight="1" x14ac:dyDescent="0.45"/>
    <row r="529" ht="14.25" customHeight="1" x14ac:dyDescent="0.45"/>
    <row r="530" ht="14.25" customHeight="1" x14ac:dyDescent="0.45"/>
    <row r="531" ht="14.25" customHeight="1" x14ac:dyDescent="0.45"/>
    <row r="532" ht="14.25" customHeight="1" x14ac:dyDescent="0.45"/>
    <row r="533" ht="14.25" customHeight="1" x14ac:dyDescent="0.45"/>
    <row r="534" ht="14.25" customHeight="1" x14ac:dyDescent="0.45"/>
    <row r="535" ht="14.25" customHeight="1" x14ac:dyDescent="0.45"/>
    <row r="536" ht="14.25" customHeight="1" x14ac:dyDescent="0.45"/>
    <row r="537" ht="14.25" customHeight="1" x14ac:dyDescent="0.45"/>
    <row r="538" ht="14.25" customHeight="1" x14ac:dyDescent="0.45"/>
    <row r="539" ht="14.25" customHeight="1" x14ac:dyDescent="0.45"/>
    <row r="540" ht="14.25" customHeight="1" x14ac:dyDescent="0.45"/>
    <row r="541" ht="14.25" customHeight="1" x14ac:dyDescent="0.45"/>
    <row r="542" ht="14.25" customHeight="1" x14ac:dyDescent="0.45"/>
    <row r="543" ht="14.25" customHeight="1" x14ac:dyDescent="0.45"/>
    <row r="544" ht="14.25" customHeight="1" x14ac:dyDescent="0.45"/>
    <row r="545" ht="14.25" customHeight="1" x14ac:dyDescent="0.45"/>
    <row r="546" ht="14.25" customHeight="1" x14ac:dyDescent="0.45"/>
    <row r="547" ht="14.25" customHeight="1" x14ac:dyDescent="0.45"/>
    <row r="548" ht="14.25" customHeight="1" x14ac:dyDescent="0.45"/>
    <row r="549" ht="14.25" customHeight="1" x14ac:dyDescent="0.45"/>
    <row r="550" ht="14.25" customHeight="1" x14ac:dyDescent="0.45"/>
    <row r="551" ht="14.25" customHeight="1" x14ac:dyDescent="0.45"/>
    <row r="552" ht="14.25" customHeight="1" x14ac:dyDescent="0.45"/>
    <row r="553" ht="14.25" customHeight="1" x14ac:dyDescent="0.45"/>
    <row r="554" ht="14.25" customHeight="1" x14ac:dyDescent="0.45"/>
    <row r="555" ht="14.25" customHeight="1" x14ac:dyDescent="0.45"/>
    <row r="556" ht="14.25" customHeight="1" x14ac:dyDescent="0.45"/>
    <row r="557" ht="14.25" customHeight="1" x14ac:dyDescent="0.45"/>
    <row r="558" ht="14.25" customHeight="1" x14ac:dyDescent="0.45"/>
    <row r="559" ht="14.25" customHeight="1" x14ac:dyDescent="0.45"/>
    <row r="560" ht="14.25" customHeight="1" x14ac:dyDescent="0.45"/>
    <row r="561" ht="14.25" customHeight="1" x14ac:dyDescent="0.45"/>
    <row r="562" ht="14.25" customHeight="1" x14ac:dyDescent="0.45"/>
    <row r="563" ht="14.25" customHeight="1" x14ac:dyDescent="0.45"/>
    <row r="564" ht="14.25" customHeight="1" x14ac:dyDescent="0.45"/>
    <row r="565" ht="14.25" customHeight="1" x14ac:dyDescent="0.45"/>
    <row r="566" ht="14.25" customHeight="1" x14ac:dyDescent="0.45"/>
    <row r="567" ht="14.25" customHeight="1" x14ac:dyDescent="0.45"/>
    <row r="568" ht="14.25" customHeight="1" x14ac:dyDescent="0.45"/>
    <row r="569" ht="14.25" customHeight="1" x14ac:dyDescent="0.45"/>
    <row r="570" ht="14.25" customHeight="1" x14ac:dyDescent="0.45"/>
    <row r="571" ht="14.25" customHeight="1" x14ac:dyDescent="0.45"/>
    <row r="572" ht="14.25" customHeight="1" x14ac:dyDescent="0.45"/>
    <row r="573" ht="14.25" customHeight="1" x14ac:dyDescent="0.45"/>
    <row r="574" ht="14.25" customHeight="1" x14ac:dyDescent="0.45"/>
    <row r="575" ht="14.25" customHeight="1" x14ac:dyDescent="0.45"/>
    <row r="576" ht="14.25" customHeight="1" x14ac:dyDescent="0.45"/>
    <row r="577" ht="14.25" customHeight="1" x14ac:dyDescent="0.45"/>
    <row r="578" ht="14.25" customHeight="1" x14ac:dyDescent="0.45"/>
    <row r="579" ht="14.25" customHeight="1" x14ac:dyDescent="0.45"/>
    <row r="580" ht="14.25" customHeight="1" x14ac:dyDescent="0.45"/>
    <row r="581" ht="14.25" customHeight="1" x14ac:dyDescent="0.45"/>
    <row r="582" ht="14.25" customHeight="1" x14ac:dyDescent="0.45"/>
    <row r="583" ht="14.25" customHeight="1" x14ac:dyDescent="0.45"/>
    <row r="584" ht="14.25" customHeight="1" x14ac:dyDescent="0.45"/>
    <row r="585" ht="14.25" customHeight="1" x14ac:dyDescent="0.45"/>
    <row r="586" ht="14.25" customHeight="1" x14ac:dyDescent="0.45"/>
    <row r="587" ht="14.25" customHeight="1" x14ac:dyDescent="0.45"/>
    <row r="588" ht="14.25" customHeight="1" x14ac:dyDescent="0.45"/>
    <row r="589" ht="14.25" customHeight="1" x14ac:dyDescent="0.45"/>
    <row r="590" ht="14.25" customHeight="1" x14ac:dyDescent="0.45"/>
    <row r="591" ht="14.25" customHeight="1" x14ac:dyDescent="0.45"/>
    <row r="592" ht="14.25" customHeight="1" x14ac:dyDescent="0.45"/>
    <row r="593" ht="14.25" customHeight="1" x14ac:dyDescent="0.45"/>
    <row r="594" ht="14.25" customHeight="1" x14ac:dyDescent="0.45"/>
    <row r="595" ht="14.25" customHeight="1" x14ac:dyDescent="0.45"/>
    <row r="596" ht="14.25" customHeight="1" x14ac:dyDescent="0.45"/>
    <row r="597" ht="14.25" customHeight="1" x14ac:dyDescent="0.45"/>
    <row r="598" ht="14.25" customHeight="1" x14ac:dyDescent="0.45"/>
    <row r="599" ht="14.25" customHeight="1" x14ac:dyDescent="0.45"/>
    <row r="600" ht="14.25" customHeight="1" x14ac:dyDescent="0.45"/>
    <row r="601" ht="14.25" customHeight="1" x14ac:dyDescent="0.45"/>
    <row r="602" ht="14.25" customHeight="1" x14ac:dyDescent="0.45"/>
    <row r="603" ht="14.25" customHeight="1" x14ac:dyDescent="0.45"/>
    <row r="604" ht="14.25" customHeight="1" x14ac:dyDescent="0.45"/>
    <row r="605" ht="14.25" customHeight="1" x14ac:dyDescent="0.45"/>
    <row r="606" ht="14.25" customHeight="1" x14ac:dyDescent="0.45"/>
    <row r="607" ht="14.25" customHeight="1" x14ac:dyDescent="0.45"/>
    <row r="608" ht="14.25" customHeight="1" x14ac:dyDescent="0.45"/>
    <row r="609" ht="14.25" customHeight="1" x14ac:dyDescent="0.45"/>
    <row r="610" ht="14.25" customHeight="1" x14ac:dyDescent="0.45"/>
    <row r="611" ht="14.25" customHeight="1" x14ac:dyDescent="0.45"/>
    <row r="612" ht="14.25" customHeight="1" x14ac:dyDescent="0.45"/>
    <row r="613" ht="14.25" customHeight="1" x14ac:dyDescent="0.45"/>
    <row r="614" ht="14.25" customHeight="1" x14ac:dyDescent="0.45"/>
    <row r="615" ht="14.25" customHeight="1" x14ac:dyDescent="0.45"/>
    <row r="616" ht="14.25" customHeight="1" x14ac:dyDescent="0.45"/>
    <row r="617" ht="14.25" customHeight="1" x14ac:dyDescent="0.45"/>
    <row r="618" ht="14.25" customHeight="1" x14ac:dyDescent="0.45"/>
    <row r="619" ht="14.25" customHeight="1" x14ac:dyDescent="0.45"/>
    <row r="620" ht="14.25" customHeight="1" x14ac:dyDescent="0.45"/>
    <row r="621" ht="14.25" customHeight="1" x14ac:dyDescent="0.45"/>
    <row r="622" ht="14.25" customHeight="1" x14ac:dyDescent="0.45"/>
    <row r="623" ht="14.25" customHeight="1" x14ac:dyDescent="0.45"/>
    <row r="624" ht="14.25" customHeight="1" x14ac:dyDescent="0.45"/>
    <row r="625" ht="14.25" customHeight="1" x14ac:dyDescent="0.45"/>
    <row r="626" ht="14.25" customHeight="1" x14ac:dyDescent="0.45"/>
    <row r="627" ht="14.25" customHeight="1" x14ac:dyDescent="0.45"/>
    <row r="628" ht="14.25" customHeight="1" x14ac:dyDescent="0.45"/>
    <row r="629" ht="14.25" customHeight="1" x14ac:dyDescent="0.45"/>
    <row r="630" ht="14.25" customHeight="1" x14ac:dyDescent="0.45"/>
    <row r="631" ht="14.25" customHeight="1" x14ac:dyDescent="0.45"/>
    <row r="632" ht="14.25" customHeight="1" x14ac:dyDescent="0.45"/>
    <row r="633" ht="14.25" customHeight="1" x14ac:dyDescent="0.45"/>
    <row r="634" ht="14.25" customHeight="1" x14ac:dyDescent="0.45"/>
    <row r="635" ht="14.25" customHeight="1" x14ac:dyDescent="0.45"/>
    <row r="636" ht="14.25" customHeight="1" x14ac:dyDescent="0.45"/>
    <row r="637" ht="14.25" customHeight="1" x14ac:dyDescent="0.45"/>
    <row r="638" ht="14.25" customHeight="1" x14ac:dyDescent="0.45"/>
    <row r="639" ht="14.25" customHeight="1" x14ac:dyDescent="0.45"/>
    <row r="640" ht="14.25" customHeight="1" x14ac:dyDescent="0.45"/>
    <row r="641" ht="14.25" customHeight="1" x14ac:dyDescent="0.45"/>
    <row r="642" ht="14.25" customHeight="1" x14ac:dyDescent="0.45"/>
    <row r="643" ht="14.25" customHeight="1" x14ac:dyDescent="0.45"/>
    <row r="644" ht="14.25" customHeight="1" x14ac:dyDescent="0.45"/>
    <row r="645" ht="14.25" customHeight="1" x14ac:dyDescent="0.45"/>
    <row r="646" ht="14.25" customHeight="1" x14ac:dyDescent="0.45"/>
    <row r="647" ht="14.25" customHeight="1" x14ac:dyDescent="0.45"/>
    <row r="648" ht="14.25" customHeight="1" x14ac:dyDescent="0.45"/>
    <row r="649" ht="14.25" customHeight="1" x14ac:dyDescent="0.45"/>
    <row r="650" ht="14.25" customHeight="1" x14ac:dyDescent="0.45"/>
    <row r="651" ht="14.25" customHeight="1" x14ac:dyDescent="0.45"/>
    <row r="652" ht="14.25" customHeight="1" x14ac:dyDescent="0.45"/>
    <row r="653" ht="14.25" customHeight="1" x14ac:dyDescent="0.45"/>
    <row r="654" ht="14.25" customHeight="1" x14ac:dyDescent="0.45"/>
    <row r="655" ht="14.25" customHeight="1" x14ac:dyDescent="0.45"/>
    <row r="656" ht="14.25" customHeight="1" x14ac:dyDescent="0.45"/>
    <row r="657" ht="14.25" customHeight="1" x14ac:dyDescent="0.45"/>
    <row r="658" ht="14.25" customHeight="1" x14ac:dyDescent="0.45"/>
    <row r="659" ht="14.25" customHeight="1" x14ac:dyDescent="0.45"/>
    <row r="660" ht="14.25" customHeight="1" x14ac:dyDescent="0.45"/>
    <row r="661" ht="14.25" customHeight="1" x14ac:dyDescent="0.45"/>
    <row r="662" ht="14.25" customHeight="1" x14ac:dyDescent="0.45"/>
    <row r="663" ht="14.25" customHeight="1" x14ac:dyDescent="0.45"/>
    <row r="664" ht="14.25" customHeight="1" x14ac:dyDescent="0.45"/>
    <row r="665" ht="14.25" customHeight="1" x14ac:dyDescent="0.45"/>
    <row r="666" ht="14.25" customHeight="1" x14ac:dyDescent="0.45"/>
    <row r="667" ht="14.25" customHeight="1" x14ac:dyDescent="0.45"/>
    <row r="668" ht="14.25" customHeight="1" x14ac:dyDescent="0.45"/>
    <row r="669" ht="14.25" customHeight="1" x14ac:dyDescent="0.45"/>
    <row r="670" ht="14.25" customHeight="1" x14ac:dyDescent="0.45"/>
    <row r="671" ht="14.25" customHeight="1" x14ac:dyDescent="0.45"/>
    <row r="672" ht="14.25" customHeight="1" x14ac:dyDescent="0.45"/>
    <row r="673" ht="14.25" customHeight="1" x14ac:dyDescent="0.45"/>
    <row r="674" ht="14.25" customHeight="1" x14ac:dyDescent="0.45"/>
    <row r="675" ht="14.25" customHeight="1" x14ac:dyDescent="0.45"/>
    <row r="676" ht="14.25" customHeight="1" x14ac:dyDescent="0.45"/>
    <row r="677" ht="14.25" customHeight="1" x14ac:dyDescent="0.45"/>
    <row r="678" ht="14.25" customHeight="1" x14ac:dyDescent="0.45"/>
    <row r="679" ht="14.25" customHeight="1" x14ac:dyDescent="0.45"/>
    <row r="680" ht="14.25" customHeight="1" x14ac:dyDescent="0.45"/>
    <row r="681" ht="14.25" customHeight="1" x14ac:dyDescent="0.45"/>
    <row r="682" ht="14.25" customHeight="1" x14ac:dyDescent="0.45"/>
    <row r="683" ht="14.25" customHeight="1" x14ac:dyDescent="0.45"/>
    <row r="684" ht="14.25" customHeight="1" x14ac:dyDescent="0.45"/>
    <row r="685" ht="14.25" customHeight="1" x14ac:dyDescent="0.45"/>
    <row r="686" ht="14.25" customHeight="1" x14ac:dyDescent="0.45"/>
    <row r="687" ht="14.25" customHeight="1" x14ac:dyDescent="0.45"/>
    <row r="688" ht="14.25" customHeight="1" x14ac:dyDescent="0.45"/>
    <row r="689" ht="14.25" customHeight="1" x14ac:dyDescent="0.45"/>
    <row r="690" ht="14.25" customHeight="1" x14ac:dyDescent="0.45"/>
    <row r="691" ht="14.25" customHeight="1" x14ac:dyDescent="0.45"/>
    <row r="692" ht="14.25" customHeight="1" x14ac:dyDescent="0.45"/>
    <row r="693" ht="14.25" customHeight="1" x14ac:dyDescent="0.45"/>
    <row r="694" ht="14.25" customHeight="1" x14ac:dyDescent="0.45"/>
    <row r="695" ht="14.25" customHeight="1" x14ac:dyDescent="0.45"/>
    <row r="696" ht="14.25" customHeight="1" x14ac:dyDescent="0.45"/>
    <row r="697" ht="14.25" customHeight="1" x14ac:dyDescent="0.45"/>
    <row r="698" ht="14.25" customHeight="1" x14ac:dyDescent="0.45"/>
    <row r="699" ht="14.25" customHeight="1" x14ac:dyDescent="0.45"/>
    <row r="700" ht="14.25" customHeight="1" x14ac:dyDescent="0.45"/>
    <row r="701" ht="14.25" customHeight="1" x14ac:dyDescent="0.45"/>
    <row r="702" ht="14.25" customHeight="1" x14ac:dyDescent="0.45"/>
    <row r="703" ht="14.25" customHeight="1" x14ac:dyDescent="0.45"/>
    <row r="704" ht="14.25" customHeight="1" x14ac:dyDescent="0.45"/>
    <row r="705" ht="14.25" customHeight="1" x14ac:dyDescent="0.45"/>
    <row r="706" ht="14.25" customHeight="1" x14ac:dyDescent="0.45"/>
    <row r="707" ht="14.25" customHeight="1" x14ac:dyDescent="0.45"/>
    <row r="708" ht="14.25" customHeight="1" x14ac:dyDescent="0.45"/>
    <row r="709" ht="14.25" customHeight="1" x14ac:dyDescent="0.45"/>
    <row r="710" ht="14.25" customHeight="1" x14ac:dyDescent="0.45"/>
    <row r="711" ht="14.25" customHeight="1" x14ac:dyDescent="0.45"/>
    <row r="712" ht="14.25" customHeight="1" x14ac:dyDescent="0.45"/>
    <row r="713" ht="14.25" customHeight="1" x14ac:dyDescent="0.45"/>
    <row r="714" ht="14.25" customHeight="1" x14ac:dyDescent="0.45"/>
    <row r="715" ht="14.25" customHeight="1" x14ac:dyDescent="0.45"/>
    <row r="716" ht="14.25" customHeight="1" x14ac:dyDescent="0.45"/>
    <row r="717" ht="14.25" customHeight="1" x14ac:dyDescent="0.45"/>
    <row r="718" ht="14.25" customHeight="1" x14ac:dyDescent="0.45"/>
    <row r="719" ht="14.25" customHeight="1" x14ac:dyDescent="0.45"/>
    <row r="720" ht="14.25" customHeight="1" x14ac:dyDescent="0.45"/>
    <row r="721" ht="14.25" customHeight="1" x14ac:dyDescent="0.45"/>
    <row r="722" ht="14.25" customHeight="1" x14ac:dyDescent="0.45"/>
    <row r="723" ht="14.25" customHeight="1" x14ac:dyDescent="0.45"/>
    <row r="724" ht="14.25" customHeight="1" x14ac:dyDescent="0.45"/>
    <row r="725" ht="14.25" customHeight="1" x14ac:dyDescent="0.45"/>
    <row r="726" ht="14.25" customHeight="1" x14ac:dyDescent="0.45"/>
    <row r="727" ht="14.25" customHeight="1" x14ac:dyDescent="0.45"/>
    <row r="728" ht="14.25" customHeight="1" x14ac:dyDescent="0.45"/>
    <row r="729" ht="14.25" customHeight="1" x14ac:dyDescent="0.45"/>
    <row r="730" ht="14.25" customHeight="1" x14ac:dyDescent="0.45"/>
    <row r="731" ht="14.25" customHeight="1" x14ac:dyDescent="0.45"/>
    <row r="732" ht="14.25" customHeight="1" x14ac:dyDescent="0.45"/>
    <row r="733" ht="14.25" customHeight="1" x14ac:dyDescent="0.45"/>
    <row r="734" ht="14.25" customHeight="1" x14ac:dyDescent="0.45"/>
    <row r="735" ht="14.25" customHeight="1" x14ac:dyDescent="0.45"/>
    <row r="736" ht="14.25" customHeight="1" x14ac:dyDescent="0.45"/>
    <row r="737" ht="14.25" customHeight="1" x14ac:dyDescent="0.45"/>
    <row r="738" ht="14.25" customHeight="1" x14ac:dyDescent="0.45"/>
    <row r="739" ht="14.25" customHeight="1" x14ac:dyDescent="0.45"/>
    <row r="740" ht="14.25" customHeight="1" x14ac:dyDescent="0.45"/>
    <row r="741" ht="14.25" customHeight="1" x14ac:dyDescent="0.45"/>
    <row r="742" ht="14.25" customHeight="1" x14ac:dyDescent="0.45"/>
    <row r="743" ht="14.25" customHeight="1" x14ac:dyDescent="0.45"/>
    <row r="744" ht="14.25" customHeight="1" x14ac:dyDescent="0.45"/>
    <row r="745" ht="14.25" customHeight="1" x14ac:dyDescent="0.45"/>
    <row r="746" ht="14.25" customHeight="1" x14ac:dyDescent="0.45"/>
    <row r="747" ht="14.25" customHeight="1" x14ac:dyDescent="0.45"/>
    <row r="748" ht="14.25" customHeight="1" x14ac:dyDescent="0.45"/>
    <row r="749" ht="14.25" customHeight="1" x14ac:dyDescent="0.45"/>
    <row r="750" ht="14.25" customHeight="1" x14ac:dyDescent="0.45"/>
    <row r="751" ht="14.25" customHeight="1" x14ac:dyDescent="0.45"/>
    <row r="752" ht="14.25" customHeight="1" x14ac:dyDescent="0.45"/>
    <row r="753" ht="14.25" customHeight="1" x14ac:dyDescent="0.45"/>
    <row r="754" ht="14.25" customHeight="1" x14ac:dyDescent="0.45"/>
    <row r="755" ht="14.25" customHeight="1" x14ac:dyDescent="0.45"/>
    <row r="756" ht="14.25" customHeight="1" x14ac:dyDescent="0.45"/>
    <row r="757" ht="14.25" customHeight="1" x14ac:dyDescent="0.45"/>
    <row r="758" ht="14.25" customHeight="1" x14ac:dyDescent="0.45"/>
    <row r="759" ht="14.25" customHeight="1" x14ac:dyDescent="0.45"/>
    <row r="760" ht="14.25" customHeight="1" x14ac:dyDescent="0.45"/>
    <row r="761" ht="14.25" customHeight="1" x14ac:dyDescent="0.45"/>
    <row r="762" ht="14.25" customHeight="1" x14ac:dyDescent="0.45"/>
    <row r="763" ht="14.25" customHeight="1" x14ac:dyDescent="0.45"/>
    <row r="764" ht="14.25" customHeight="1" x14ac:dyDescent="0.45"/>
    <row r="765" ht="14.25" customHeight="1" x14ac:dyDescent="0.45"/>
    <row r="766" ht="14.25" customHeight="1" x14ac:dyDescent="0.45"/>
    <row r="767" ht="14.25" customHeight="1" x14ac:dyDescent="0.45"/>
    <row r="768" ht="14.25" customHeight="1" x14ac:dyDescent="0.45"/>
    <row r="769" ht="14.25" customHeight="1" x14ac:dyDescent="0.45"/>
    <row r="770" ht="14.25" customHeight="1" x14ac:dyDescent="0.45"/>
    <row r="771" ht="14.25" customHeight="1" x14ac:dyDescent="0.45"/>
    <row r="772" ht="14.25" customHeight="1" x14ac:dyDescent="0.45"/>
    <row r="773" ht="14.25" customHeight="1" x14ac:dyDescent="0.45"/>
    <row r="774" ht="14.25" customHeight="1" x14ac:dyDescent="0.45"/>
    <row r="775" ht="14.25" customHeight="1" x14ac:dyDescent="0.45"/>
    <row r="776" ht="14.25" customHeight="1" x14ac:dyDescent="0.45"/>
    <row r="777" ht="14.25" customHeight="1" x14ac:dyDescent="0.45"/>
    <row r="778" ht="14.25" customHeight="1" x14ac:dyDescent="0.45"/>
    <row r="779" ht="14.25" customHeight="1" x14ac:dyDescent="0.45"/>
    <row r="780" ht="14.25" customHeight="1" x14ac:dyDescent="0.45"/>
    <row r="781" ht="14.25" customHeight="1" x14ac:dyDescent="0.45"/>
    <row r="782" ht="14.25" customHeight="1" x14ac:dyDescent="0.45"/>
    <row r="783" ht="14.25" customHeight="1" x14ac:dyDescent="0.45"/>
    <row r="784" ht="14.25" customHeight="1" x14ac:dyDescent="0.45"/>
    <row r="785" ht="14.25" customHeight="1" x14ac:dyDescent="0.45"/>
    <row r="786" ht="14.25" customHeight="1" x14ac:dyDescent="0.45"/>
    <row r="787" ht="14.25" customHeight="1" x14ac:dyDescent="0.45"/>
    <row r="788" ht="14.25" customHeight="1" x14ac:dyDescent="0.45"/>
    <row r="789" ht="14.25" customHeight="1" x14ac:dyDescent="0.45"/>
    <row r="790" ht="14.25" customHeight="1" x14ac:dyDescent="0.45"/>
    <row r="791" ht="14.25" customHeight="1" x14ac:dyDescent="0.45"/>
    <row r="792" ht="14.25" customHeight="1" x14ac:dyDescent="0.45"/>
    <row r="793" ht="14.25" customHeight="1" x14ac:dyDescent="0.45"/>
    <row r="794" ht="14.25" customHeight="1" x14ac:dyDescent="0.45"/>
    <row r="795" ht="14.25" customHeight="1" x14ac:dyDescent="0.45"/>
    <row r="796" ht="14.25" customHeight="1" x14ac:dyDescent="0.45"/>
    <row r="797" ht="14.25" customHeight="1" x14ac:dyDescent="0.45"/>
    <row r="798" ht="14.25" customHeight="1" x14ac:dyDescent="0.45"/>
    <row r="799" ht="14.25" customHeight="1" x14ac:dyDescent="0.45"/>
    <row r="800" ht="14.25" customHeight="1" x14ac:dyDescent="0.45"/>
    <row r="801" ht="14.25" customHeight="1" x14ac:dyDescent="0.45"/>
    <row r="802" ht="14.25" customHeight="1" x14ac:dyDescent="0.45"/>
    <row r="803" ht="14.25" customHeight="1" x14ac:dyDescent="0.45"/>
    <row r="804" ht="14.25" customHeight="1" x14ac:dyDescent="0.45"/>
    <row r="805" ht="14.25" customHeight="1" x14ac:dyDescent="0.45"/>
    <row r="806" ht="14.25" customHeight="1" x14ac:dyDescent="0.45"/>
    <row r="807" ht="14.25" customHeight="1" x14ac:dyDescent="0.45"/>
    <row r="808" ht="14.25" customHeight="1" x14ac:dyDescent="0.45"/>
    <row r="809" ht="14.25" customHeight="1" x14ac:dyDescent="0.45"/>
    <row r="810" ht="14.25" customHeight="1" x14ac:dyDescent="0.45"/>
    <row r="811" ht="14.25" customHeight="1" x14ac:dyDescent="0.45"/>
    <row r="812" ht="14.25" customHeight="1" x14ac:dyDescent="0.45"/>
    <row r="813" ht="14.25" customHeight="1" x14ac:dyDescent="0.45"/>
    <row r="814" ht="14.25" customHeight="1" x14ac:dyDescent="0.45"/>
    <row r="815" ht="14.25" customHeight="1" x14ac:dyDescent="0.45"/>
    <row r="816" ht="14.25" customHeight="1" x14ac:dyDescent="0.45"/>
    <row r="817" ht="14.25" customHeight="1" x14ac:dyDescent="0.45"/>
    <row r="818" ht="14.25" customHeight="1" x14ac:dyDescent="0.45"/>
    <row r="819" ht="14.25" customHeight="1" x14ac:dyDescent="0.45"/>
    <row r="820" ht="14.25" customHeight="1" x14ac:dyDescent="0.45"/>
    <row r="821" ht="14.25" customHeight="1" x14ac:dyDescent="0.45"/>
    <row r="822" ht="14.25" customHeight="1" x14ac:dyDescent="0.45"/>
    <row r="823" ht="14.25" customHeight="1" x14ac:dyDescent="0.45"/>
    <row r="824" ht="14.25" customHeight="1" x14ac:dyDescent="0.45"/>
    <row r="825" ht="14.25" customHeight="1" x14ac:dyDescent="0.45"/>
    <row r="826" ht="14.25" customHeight="1" x14ac:dyDescent="0.45"/>
    <row r="827" ht="14.25" customHeight="1" x14ac:dyDescent="0.45"/>
    <row r="828" ht="14.25" customHeight="1" x14ac:dyDescent="0.45"/>
    <row r="829" ht="14.25" customHeight="1" x14ac:dyDescent="0.45"/>
    <row r="830" ht="14.25" customHeight="1" x14ac:dyDescent="0.45"/>
    <row r="831" ht="14.25" customHeight="1" x14ac:dyDescent="0.45"/>
    <row r="832" ht="14.25" customHeight="1" x14ac:dyDescent="0.45"/>
    <row r="833" ht="14.25" customHeight="1" x14ac:dyDescent="0.45"/>
    <row r="834" ht="14.25" customHeight="1" x14ac:dyDescent="0.45"/>
    <row r="835" ht="14.25" customHeight="1" x14ac:dyDescent="0.45"/>
    <row r="836" ht="14.25" customHeight="1" x14ac:dyDescent="0.45"/>
    <row r="837" ht="14.25" customHeight="1" x14ac:dyDescent="0.45"/>
    <row r="838" ht="14.25" customHeight="1" x14ac:dyDescent="0.45"/>
    <row r="839" ht="14.25" customHeight="1" x14ac:dyDescent="0.45"/>
    <row r="840" ht="14.25" customHeight="1" x14ac:dyDescent="0.45"/>
    <row r="841" ht="14.25" customHeight="1" x14ac:dyDescent="0.45"/>
    <row r="842" ht="14.25" customHeight="1" x14ac:dyDescent="0.45"/>
    <row r="843" ht="14.25" customHeight="1" x14ac:dyDescent="0.45"/>
    <row r="844" ht="14.25" customHeight="1" x14ac:dyDescent="0.45"/>
    <row r="845" ht="14.25" customHeight="1" x14ac:dyDescent="0.45"/>
    <row r="846" ht="14.25" customHeight="1" x14ac:dyDescent="0.45"/>
    <row r="847" ht="14.25" customHeight="1" x14ac:dyDescent="0.45"/>
    <row r="848" ht="14.25" customHeight="1" x14ac:dyDescent="0.45"/>
    <row r="849" ht="14.25" customHeight="1" x14ac:dyDescent="0.45"/>
    <row r="850" ht="14.25" customHeight="1" x14ac:dyDescent="0.45"/>
    <row r="851" ht="14.25" customHeight="1" x14ac:dyDescent="0.45"/>
    <row r="852" ht="14.25" customHeight="1" x14ac:dyDescent="0.45"/>
    <row r="853" ht="14.25" customHeight="1" x14ac:dyDescent="0.45"/>
    <row r="854" ht="14.25" customHeight="1" x14ac:dyDescent="0.45"/>
    <row r="855" ht="14.25" customHeight="1" x14ac:dyDescent="0.45"/>
    <row r="856" ht="14.25" customHeight="1" x14ac:dyDescent="0.45"/>
    <row r="857" ht="14.25" customHeight="1" x14ac:dyDescent="0.45"/>
    <row r="858" ht="14.25" customHeight="1" x14ac:dyDescent="0.45"/>
    <row r="859" ht="14.25" customHeight="1" x14ac:dyDescent="0.45"/>
    <row r="860" ht="14.25" customHeight="1" x14ac:dyDescent="0.45"/>
    <row r="861" ht="14.25" customHeight="1" x14ac:dyDescent="0.45"/>
    <row r="862" ht="14.25" customHeight="1" x14ac:dyDescent="0.45"/>
    <row r="863" ht="14.25" customHeight="1" x14ac:dyDescent="0.45"/>
    <row r="864" ht="14.25" customHeight="1" x14ac:dyDescent="0.45"/>
    <row r="865" ht="14.25" customHeight="1" x14ac:dyDescent="0.45"/>
    <row r="866" ht="14.25" customHeight="1" x14ac:dyDescent="0.45"/>
    <row r="867" ht="14.25" customHeight="1" x14ac:dyDescent="0.45"/>
    <row r="868" ht="14.25" customHeight="1" x14ac:dyDescent="0.45"/>
    <row r="869" ht="14.25" customHeight="1" x14ac:dyDescent="0.45"/>
    <row r="870" ht="14.25" customHeight="1" x14ac:dyDescent="0.45"/>
    <row r="871" ht="14.25" customHeight="1" x14ac:dyDescent="0.45"/>
    <row r="872" ht="14.25" customHeight="1" x14ac:dyDescent="0.45"/>
    <row r="873" ht="14.25" customHeight="1" x14ac:dyDescent="0.45"/>
    <row r="874" ht="14.25" customHeight="1" x14ac:dyDescent="0.45"/>
    <row r="875" ht="14.25" customHeight="1" x14ac:dyDescent="0.45"/>
    <row r="876" ht="14.25" customHeight="1" x14ac:dyDescent="0.45"/>
    <row r="877" ht="14.25" customHeight="1" x14ac:dyDescent="0.45"/>
    <row r="878" ht="14.25" customHeight="1" x14ac:dyDescent="0.45"/>
    <row r="879" ht="14.25" customHeight="1" x14ac:dyDescent="0.45"/>
    <row r="880" ht="14.25" customHeight="1" x14ac:dyDescent="0.45"/>
    <row r="881" ht="14.25" customHeight="1" x14ac:dyDescent="0.45"/>
    <row r="882" ht="14.25" customHeight="1" x14ac:dyDescent="0.45"/>
    <row r="883" ht="14.25" customHeight="1" x14ac:dyDescent="0.45"/>
    <row r="884" ht="14.25" customHeight="1" x14ac:dyDescent="0.45"/>
    <row r="885" ht="14.25" customHeight="1" x14ac:dyDescent="0.45"/>
    <row r="886" ht="14.25" customHeight="1" x14ac:dyDescent="0.45"/>
    <row r="887" ht="14.25" customHeight="1" x14ac:dyDescent="0.45"/>
    <row r="888" ht="14.25" customHeight="1" x14ac:dyDescent="0.45"/>
    <row r="889" ht="14.25" customHeight="1" x14ac:dyDescent="0.45"/>
    <row r="890" ht="14.25" customHeight="1" x14ac:dyDescent="0.45"/>
    <row r="891" ht="14.25" customHeight="1" x14ac:dyDescent="0.45"/>
    <row r="892" ht="14.25" customHeight="1" x14ac:dyDescent="0.45"/>
    <row r="893" ht="14.25" customHeight="1" x14ac:dyDescent="0.45"/>
    <row r="894" ht="14.25" customHeight="1" x14ac:dyDescent="0.45"/>
    <row r="895" ht="14.25" customHeight="1" x14ac:dyDescent="0.45"/>
    <row r="896" ht="14.25" customHeight="1" x14ac:dyDescent="0.45"/>
    <row r="897" ht="14.25" customHeight="1" x14ac:dyDescent="0.45"/>
    <row r="898" ht="14.25" customHeight="1" x14ac:dyDescent="0.45"/>
    <row r="899" ht="14.25" customHeight="1" x14ac:dyDescent="0.45"/>
    <row r="900" ht="14.25" customHeight="1" x14ac:dyDescent="0.45"/>
    <row r="901" ht="14.25" customHeight="1" x14ac:dyDescent="0.45"/>
    <row r="902" ht="14.25" customHeight="1" x14ac:dyDescent="0.45"/>
    <row r="903" ht="14.25" customHeight="1" x14ac:dyDescent="0.45"/>
    <row r="904" ht="14.25" customHeight="1" x14ac:dyDescent="0.45"/>
    <row r="905" ht="14.25" customHeight="1" x14ac:dyDescent="0.45"/>
    <row r="906" ht="14.25" customHeight="1" x14ac:dyDescent="0.45"/>
    <row r="907" ht="14.25" customHeight="1" x14ac:dyDescent="0.45"/>
    <row r="908" ht="14.25" customHeight="1" x14ac:dyDescent="0.45"/>
    <row r="909" ht="14.25" customHeight="1" x14ac:dyDescent="0.45"/>
    <row r="910" ht="14.25" customHeight="1" x14ac:dyDescent="0.45"/>
    <row r="911" ht="14.25" customHeight="1" x14ac:dyDescent="0.45"/>
    <row r="912" ht="14.25" customHeight="1" x14ac:dyDescent="0.45"/>
    <row r="913" ht="14.25" customHeight="1" x14ac:dyDescent="0.45"/>
    <row r="914" ht="14.25" customHeight="1" x14ac:dyDescent="0.45"/>
    <row r="915" ht="14.25" customHeight="1" x14ac:dyDescent="0.45"/>
    <row r="916" ht="14.25" customHeight="1" x14ac:dyDescent="0.45"/>
    <row r="917" ht="14.25" customHeight="1" x14ac:dyDescent="0.45"/>
    <row r="918" ht="14.25" customHeight="1" x14ac:dyDescent="0.45"/>
    <row r="919" ht="14.25" customHeight="1" x14ac:dyDescent="0.45"/>
    <row r="920" ht="14.25" customHeight="1" x14ac:dyDescent="0.45"/>
    <row r="921" ht="14.25" customHeight="1" x14ac:dyDescent="0.45"/>
    <row r="922" ht="14.25" customHeight="1" x14ac:dyDescent="0.45"/>
    <row r="923" ht="14.25" customHeight="1" x14ac:dyDescent="0.45"/>
    <row r="924" ht="14.25" customHeight="1" x14ac:dyDescent="0.45"/>
    <row r="925" ht="14.25" customHeight="1" x14ac:dyDescent="0.45"/>
    <row r="926" ht="14.25" customHeight="1" x14ac:dyDescent="0.45"/>
    <row r="927" ht="14.25" customHeight="1" x14ac:dyDescent="0.45"/>
    <row r="928" ht="14.25" customHeight="1" x14ac:dyDescent="0.45"/>
    <row r="929" ht="14.25" customHeight="1" x14ac:dyDescent="0.45"/>
    <row r="930" ht="14.25" customHeight="1" x14ac:dyDescent="0.45"/>
    <row r="931" ht="14.25" customHeight="1" x14ac:dyDescent="0.45"/>
    <row r="932" ht="14.25" customHeight="1" x14ac:dyDescent="0.45"/>
    <row r="933" ht="14.25" customHeight="1" x14ac:dyDescent="0.45"/>
    <row r="934" ht="14.25" customHeight="1" x14ac:dyDescent="0.45"/>
    <row r="935" ht="14.25" customHeight="1" x14ac:dyDescent="0.45"/>
    <row r="936" ht="14.25" customHeight="1" x14ac:dyDescent="0.45"/>
    <row r="937" ht="14.25" customHeight="1" x14ac:dyDescent="0.45"/>
    <row r="938" ht="14.25" customHeight="1" x14ac:dyDescent="0.45"/>
    <row r="939" ht="14.25" customHeight="1" x14ac:dyDescent="0.45"/>
    <row r="940" ht="14.25" customHeight="1" x14ac:dyDescent="0.45"/>
    <row r="941" ht="14.25" customHeight="1" x14ac:dyDescent="0.45"/>
    <row r="942" ht="14.25" customHeight="1" x14ac:dyDescent="0.45"/>
    <row r="943" ht="14.25" customHeight="1" x14ac:dyDescent="0.45"/>
    <row r="944" ht="14.25" customHeight="1" x14ac:dyDescent="0.45"/>
    <row r="945" ht="14.25" customHeight="1" x14ac:dyDescent="0.45"/>
    <row r="946" ht="14.25" customHeight="1" x14ac:dyDescent="0.45"/>
    <row r="947" ht="14.25" customHeight="1" x14ac:dyDescent="0.45"/>
    <row r="948" ht="14.25" customHeight="1" x14ac:dyDescent="0.45"/>
    <row r="949" ht="14.25" customHeight="1" x14ac:dyDescent="0.45"/>
    <row r="950" ht="14.25" customHeight="1" x14ac:dyDescent="0.45"/>
    <row r="951" ht="14.25" customHeight="1" x14ac:dyDescent="0.45"/>
    <row r="952" ht="14.25" customHeight="1" x14ac:dyDescent="0.45"/>
    <row r="953" ht="14.25" customHeight="1" x14ac:dyDescent="0.45"/>
    <row r="954" ht="14.25" customHeight="1" x14ac:dyDescent="0.45"/>
    <row r="955" ht="14.25" customHeight="1" x14ac:dyDescent="0.45"/>
    <row r="956" ht="14.25" customHeight="1" x14ac:dyDescent="0.45"/>
    <row r="957" ht="14.25" customHeight="1" x14ac:dyDescent="0.45"/>
    <row r="958" ht="14.25" customHeight="1" x14ac:dyDescent="0.45"/>
    <row r="959" ht="14.25" customHeight="1" x14ac:dyDescent="0.45"/>
    <row r="960" ht="14.25" customHeight="1" x14ac:dyDescent="0.45"/>
    <row r="961" ht="14.25" customHeight="1" x14ac:dyDescent="0.45"/>
    <row r="962" ht="14.25" customHeight="1" x14ac:dyDescent="0.45"/>
    <row r="963" ht="14.25" customHeight="1" x14ac:dyDescent="0.45"/>
    <row r="964" ht="14.25" customHeight="1" x14ac:dyDescent="0.45"/>
    <row r="965" ht="14.25" customHeight="1" x14ac:dyDescent="0.45"/>
    <row r="966" ht="14.25" customHeight="1" x14ac:dyDescent="0.45"/>
    <row r="967" ht="14.25" customHeight="1" x14ac:dyDescent="0.45"/>
    <row r="968" ht="14.25" customHeight="1" x14ac:dyDescent="0.45"/>
    <row r="969" ht="14.25" customHeight="1" x14ac:dyDescent="0.45"/>
    <row r="970" ht="14.25" customHeight="1" x14ac:dyDescent="0.45"/>
    <row r="971" ht="14.25" customHeight="1" x14ac:dyDescent="0.45"/>
    <row r="972" ht="14.25" customHeight="1" x14ac:dyDescent="0.45"/>
    <row r="973" ht="14.25" customHeight="1" x14ac:dyDescent="0.45"/>
    <row r="974" ht="14.25" customHeight="1" x14ac:dyDescent="0.45"/>
    <row r="975" ht="14.25" customHeight="1" x14ac:dyDescent="0.45"/>
    <row r="976" ht="14.25" customHeight="1" x14ac:dyDescent="0.45"/>
    <row r="977" ht="14.25" customHeight="1" x14ac:dyDescent="0.45"/>
    <row r="978" ht="14.25" customHeight="1" x14ac:dyDescent="0.45"/>
    <row r="979" ht="14.25" customHeight="1" x14ac:dyDescent="0.45"/>
    <row r="980" ht="14.25" customHeight="1" x14ac:dyDescent="0.45"/>
    <row r="981" ht="14.25" customHeight="1" x14ac:dyDescent="0.45"/>
    <row r="982" ht="14.25" customHeight="1" x14ac:dyDescent="0.45"/>
    <row r="983" ht="14.25" customHeight="1" x14ac:dyDescent="0.45"/>
    <row r="984" ht="14.25" customHeight="1" x14ac:dyDescent="0.45"/>
    <row r="985" ht="14.25" customHeight="1" x14ac:dyDescent="0.45"/>
    <row r="986" ht="14.25" customHeight="1" x14ac:dyDescent="0.45"/>
    <row r="987" ht="14.25" customHeight="1" x14ac:dyDescent="0.45"/>
    <row r="988" ht="14.25" customHeight="1" x14ac:dyDescent="0.45"/>
    <row r="989" ht="14.25" customHeight="1" x14ac:dyDescent="0.45"/>
    <row r="990" ht="14.25" customHeight="1" x14ac:dyDescent="0.45"/>
    <row r="991" ht="14.25" customHeight="1" x14ac:dyDescent="0.45"/>
    <row r="992" ht="14.25" customHeight="1" x14ac:dyDescent="0.45"/>
    <row r="993" ht="14.25" customHeight="1" x14ac:dyDescent="0.45"/>
    <row r="994" ht="14.25" customHeight="1" x14ac:dyDescent="0.45"/>
    <row r="995" ht="14.25" customHeight="1" x14ac:dyDescent="0.45"/>
    <row r="996" ht="14.25" customHeight="1" x14ac:dyDescent="0.45"/>
    <row r="997" ht="14.25" customHeight="1" x14ac:dyDescent="0.45"/>
    <row r="998" ht="14.25" customHeight="1" x14ac:dyDescent="0.45"/>
    <row r="999" ht="14.25" customHeight="1" x14ac:dyDescent="0.45"/>
    <row r="1000" ht="14.25" customHeight="1" x14ac:dyDescent="0.45"/>
  </sheetData>
  <mergeCells count="19">
    <mergeCell ref="O16:R18"/>
    <mergeCell ref="O19:R20"/>
    <mergeCell ref="J10:M10"/>
    <mergeCell ref="K11:L11"/>
    <mergeCell ref="K13:L13"/>
    <mergeCell ref="O13:R15"/>
    <mergeCell ref="K14:L14"/>
    <mergeCell ref="K15:L15"/>
    <mergeCell ref="K16:L16"/>
    <mergeCell ref="F6:H6"/>
    <mergeCell ref="F7:H7"/>
    <mergeCell ref="F2:H2"/>
    <mergeCell ref="O2:R2"/>
    <mergeCell ref="F3:H3"/>
    <mergeCell ref="O3:R5"/>
    <mergeCell ref="F4:H4"/>
    <mergeCell ref="F5:H5"/>
    <mergeCell ref="O6:R12"/>
    <mergeCell ref="K12:L12"/>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
  <sheetViews>
    <sheetView workbookViewId="0">
      <pane ySplit="1" topLeftCell="A2" activePane="bottomLeft" state="frozen"/>
      <selection pane="bottomLeft"/>
    </sheetView>
  </sheetViews>
  <sheetFormatPr defaultColWidth="12.6328125" defaultRowHeight="17" x14ac:dyDescent="0.5"/>
  <cols>
    <col min="1" max="1" width="13.36328125" style="1" customWidth="1"/>
    <col min="2" max="2" width="19.90625" style="1" customWidth="1"/>
    <col min="3" max="3" width="42.453125" style="1" customWidth="1"/>
    <col min="4" max="4" width="61.26953125" style="1" customWidth="1"/>
    <col min="5" max="16384" width="12.6328125" style="1"/>
  </cols>
  <sheetData>
    <row r="1" spans="1:4" ht="19.5" x14ac:dyDescent="0.5">
      <c r="A1" s="10" t="s">
        <v>45</v>
      </c>
      <c r="B1" s="11" t="s">
        <v>46</v>
      </c>
      <c r="C1" s="11" t="s">
        <v>47</v>
      </c>
      <c r="D1" s="12" t="s">
        <v>48</v>
      </c>
    </row>
    <row r="2" spans="1:4" s="63" customFormat="1" x14ac:dyDescent="0.35"/>
    <row r="3" spans="1:4" s="63" customFormat="1" x14ac:dyDescent="0.35"/>
    <row r="4" spans="1:4" s="63" customFormat="1" x14ac:dyDescent="0.35"/>
    <row r="5" spans="1:4" s="63" customFormat="1" x14ac:dyDescent="0.35"/>
    <row r="6" spans="1:4" s="63" customFormat="1" x14ac:dyDescent="0.35"/>
    <row r="7" spans="1:4" s="63" customFormat="1" x14ac:dyDescent="0.35"/>
    <row r="8" spans="1:4" s="63" customFormat="1" x14ac:dyDescent="0.35"/>
    <row r="9" spans="1:4" s="63" customFormat="1" x14ac:dyDescent="0.35"/>
    <row r="10" spans="1:4" s="63" customFormat="1" x14ac:dyDescent="0.35"/>
    <row r="11" spans="1:4" s="63" customFormat="1" x14ac:dyDescent="0.35"/>
    <row r="12" spans="1:4" s="63" customFormat="1" x14ac:dyDescent="0.35"/>
    <row r="13" spans="1:4" s="63" customFormat="1" x14ac:dyDescent="0.35"/>
    <row r="14" spans="1:4" s="63" customFormat="1" x14ac:dyDescent="0.35"/>
    <row r="15" spans="1:4" s="63" customFormat="1" x14ac:dyDescent="0.35"/>
    <row r="16" spans="1:4" s="63" customFormat="1" x14ac:dyDescent="0.35"/>
    <row r="17" s="63" customFormat="1" x14ac:dyDescent="0.35"/>
    <row r="18" s="63" customFormat="1" x14ac:dyDescent="0.35"/>
    <row r="19" s="63" customFormat="1" x14ac:dyDescent="0.35"/>
    <row r="20" s="63" customFormat="1" x14ac:dyDescent="0.35"/>
    <row r="21" s="63" customFormat="1" x14ac:dyDescent="0.35"/>
    <row r="22" s="63" customFormat="1" x14ac:dyDescent="0.35"/>
    <row r="23" s="63" customFormat="1" x14ac:dyDescent="0.35"/>
    <row r="24" s="63" customFormat="1" x14ac:dyDescent="0.35"/>
    <row r="25" s="63" customFormat="1" x14ac:dyDescent="0.35"/>
    <row r="26" s="63" customFormat="1" x14ac:dyDescent="0.35"/>
    <row r="27" s="63" customFormat="1" x14ac:dyDescent="0.35"/>
    <row r="28" s="63" customFormat="1" x14ac:dyDescent="0.35"/>
    <row r="29" s="63" customFormat="1" x14ac:dyDescent="0.35"/>
    <row r="30" s="63" customFormat="1" x14ac:dyDescent="0.35"/>
    <row r="31" s="63" customFormat="1" x14ac:dyDescent="0.35"/>
    <row r="32" s="63" customFormat="1" x14ac:dyDescent="0.35"/>
    <row r="33" s="63" customFormat="1" x14ac:dyDescent="0.35"/>
    <row r="34" s="63" customFormat="1" x14ac:dyDescent="0.35"/>
    <row r="35" s="63" customFormat="1" x14ac:dyDescent="0.35"/>
    <row r="36" s="63" customFormat="1" x14ac:dyDescent="0.35"/>
    <row r="37" s="63" customFormat="1" x14ac:dyDescent="0.35"/>
    <row r="38" s="63" customFormat="1" x14ac:dyDescent="0.35"/>
    <row r="39" s="63" customFormat="1" x14ac:dyDescent="0.35"/>
    <row r="40" s="63" customFormat="1" x14ac:dyDescent="0.35"/>
    <row r="41" s="63" customFormat="1" x14ac:dyDescent="0.35"/>
    <row r="42" s="63" customFormat="1" x14ac:dyDescent="0.35"/>
    <row r="43" s="63" customFormat="1" x14ac:dyDescent="0.35"/>
    <row r="44" s="63" customFormat="1" x14ac:dyDescent="0.35"/>
    <row r="45" s="63" customFormat="1" x14ac:dyDescent="0.35"/>
    <row r="46" s="63" customFormat="1" x14ac:dyDescent="0.35"/>
    <row r="47" s="63" customFormat="1" x14ac:dyDescent="0.35"/>
    <row r="48" s="63" customFormat="1" x14ac:dyDescent="0.35"/>
    <row r="49" s="63" customFormat="1" x14ac:dyDescent="0.35"/>
    <row r="50" s="63" customFormat="1" x14ac:dyDescent="0.35"/>
    <row r="51" s="63" customFormat="1" x14ac:dyDescent="0.35"/>
    <row r="52" s="63" customFormat="1" x14ac:dyDescent="0.35"/>
    <row r="53" s="63" customFormat="1" x14ac:dyDescent="0.35"/>
    <row r="54" s="63" customFormat="1" x14ac:dyDescent="0.35"/>
    <row r="55" s="63" customFormat="1" x14ac:dyDescent="0.35"/>
    <row r="56" s="63" customFormat="1" x14ac:dyDescent="0.35"/>
    <row r="57" s="63" customFormat="1" x14ac:dyDescent="0.35"/>
    <row r="58" s="63" customFormat="1" x14ac:dyDescent="0.35"/>
    <row r="59" s="63" customFormat="1" x14ac:dyDescent="0.35"/>
    <row r="60" s="63" customFormat="1" x14ac:dyDescent="0.35"/>
    <row r="61" s="63" customFormat="1" x14ac:dyDescent="0.35"/>
    <row r="62" s="63" customFormat="1" x14ac:dyDescent="0.35"/>
    <row r="63" s="63" customFormat="1" x14ac:dyDescent="0.35"/>
    <row r="64" s="63" customFormat="1" x14ac:dyDescent="0.35"/>
    <row r="65" s="63" customFormat="1" x14ac:dyDescent="0.35"/>
    <row r="66" s="63" customFormat="1" x14ac:dyDescent="0.35"/>
    <row r="67" s="63" customFormat="1" x14ac:dyDescent="0.35"/>
    <row r="68" s="63" customFormat="1" x14ac:dyDescent="0.35"/>
    <row r="69" s="63" customFormat="1" x14ac:dyDescent="0.35"/>
    <row r="70" s="63" customFormat="1" x14ac:dyDescent="0.35"/>
    <row r="71" s="63" customFormat="1" x14ac:dyDescent="0.35"/>
    <row r="72" s="63" customFormat="1" x14ac:dyDescent="0.35"/>
    <row r="73" s="63" customFormat="1" x14ac:dyDescent="0.35"/>
    <row r="74" s="63" customFormat="1" x14ac:dyDescent="0.35"/>
    <row r="75" s="63" customFormat="1" x14ac:dyDescent="0.35"/>
    <row r="76" s="63" customFormat="1" x14ac:dyDescent="0.35"/>
    <row r="77" s="63" customFormat="1" x14ac:dyDescent="0.35"/>
    <row r="78" s="63" customFormat="1" x14ac:dyDescent="0.35"/>
    <row r="79" s="63" customFormat="1" x14ac:dyDescent="0.35"/>
    <row r="80" s="63" customFormat="1" x14ac:dyDescent="0.35"/>
    <row r="81" s="63" customFormat="1" x14ac:dyDescent="0.35"/>
    <row r="82" s="63" customFormat="1" x14ac:dyDescent="0.35"/>
    <row r="83" s="63" customFormat="1" x14ac:dyDescent="0.35"/>
    <row r="84" s="63" customFormat="1" x14ac:dyDescent="0.35"/>
    <row r="85" s="63" customFormat="1" x14ac:dyDescent="0.35"/>
    <row r="86" s="63" customFormat="1" x14ac:dyDescent="0.35"/>
    <row r="87" s="63" customFormat="1" x14ac:dyDescent="0.35"/>
    <row r="88" s="63" customFormat="1" x14ac:dyDescent="0.35"/>
    <row r="89" s="63" customFormat="1" x14ac:dyDescent="0.35"/>
    <row r="90" s="63" customFormat="1" x14ac:dyDescent="0.35"/>
    <row r="91" s="63" customFormat="1" x14ac:dyDescent="0.35"/>
    <row r="92" s="63" customFormat="1" x14ac:dyDescent="0.35"/>
    <row r="93" s="63" customFormat="1" x14ac:dyDescent="0.35"/>
    <row r="94" s="63" customFormat="1" x14ac:dyDescent="0.35"/>
    <row r="95" s="63" customFormat="1" x14ac:dyDescent="0.35"/>
    <row r="96" s="63" customFormat="1" x14ac:dyDescent="0.35"/>
    <row r="97" s="63" customFormat="1" x14ac:dyDescent="0.35"/>
    <row r="98" s="63" customFormat="1" x14ac:dyDescent="0.35"/>
    <row r="99" s="63" customFormat="1" x14ac:dyDescent="0.35"/>
    <row r="100" s="63" customFormat="1" x14ac:dyDescent="0.35"/>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pane ySplit="1" topLeftCell="A2" activePane="bottomLeft" state="frozen"/>
      <selection pane="bottomLeft" activeCell="A2" sqref="A2"/>
    </sheetView>
  </sheetViews>
  <sheetFormatPr defaultColWidth="12.6328125" defaultRowHeight="15" customHeight="1" x14ac:dyDescent="0.35"/>
  <cols>
    <col min="1" max="1" width="88.453125" style="63" customWidth="1"/>
    <col min="2" max="24" width="8.6328125" style="63" customWidth="1"/>
    <col min="25" max="16384" width="12.6328125" style="63"/>
  </cols>
  <sheetData>
    <row r="1" spans="1:1" s="1" customFormat="1" ht="19.5" x14ac:dyDescent="0.5">
      <c r="A1" s="11" t="s">
        <v>49</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AFE2"/>
  </sheetPr>
  <dimension ref="A1:V2000"/>
  <sheetViews>
    <sheetView workbookViewId="0">
      <pane ySplit="1" topLeftCell="A2" activePane="bottomLeft" state="frozen"/>
      <selection pane="bottomLeft" activeCell="F8" sqref="F8"/>
    </sheetView>
  </sheetViews>
  <sheetFormatPr defaultColWidth="12.6328125" defaultRowHeight="15" customHeight="1" x14ac:dyDescent="0.35"/>
  <cols>
    <col min="1" max="1" width="12.6328125" style="64"/>
    <col min="2" max="2" width="12.6328125" style="13"/>
    <col min="3" max="3" width="10.6328125" style="13" customWidth="1"/>
    <col min="4" max="4" width="13.08984375" style="13" customWidth="1"/>
    <col min="5" max="5" width="43.08984375" style="13" customWidth="1"/>
    <col min="6" max="6" width="38.26953125" style="13" customWidth="1"/>
    <col min="7" max="7" width="46.6328125" style="13" customWidth="1"/>
    <col min="8" max="8" width="30.08984375" style="13" customWidth="1"/>
    <col min="9" max="9" width="38" style="13" customWidth="1"/>
    <col min="10" max="10" width="41.08984375" style="13" customWidth="1"/>
    <col min="11" max="11" width="37.54296875" style="13" customWidth="1"/>
    <col min="12" max="13" width="11.7265625" style="13" customWidth="1"/>
    <col min="14" max="14" width="15.6328125" style="13" customWidth="1"/>
    <col min="15" max="15" width="38.1796875" style="13" customWidth="1"/>
    <col min="16" max="16" width="32.36328125" style="13" bestFit="1" customWidth="1"/>
    <col min="17" max="17" width="27.08984375" style="13" customWidth="1"/>
    <col min="18" max="19" width="11.7265625" style="13" customWidth="1"/>
    <col min="20" max="20" width="19.26953125" style="13" customWidth="1"/>
    <col min="21" max="21" width="23.1796875" style="13" customWidth="1"/>
    <col min="22" max="22" width="25" style="13" bestFit="1" customWidth="1"/>
    <col min="23" max="16384" width="12.6328125" style="13"/>
  </cols>
  <sheetData>
    <row r="1" spans="1:22" s="15" customFormat="1" ht="19.5" x14ac:dyDescent="0.6">
      <c r="A1" s="14" t="s">
        <v>192</v>
      </c>
      <c r="B1" s="14" t="s">
        <v>191</v>
      </c>
      <c r="C1" s="14" t="s">
        <v>50</v>
      </c>
      <c r="D1" s="14" t="s">
        <v>46</v>
      </c>
      <c r="E1" s="14" t="s">
        <v>51</v>
      </c>
      <c r="F1" s="14" t="s">
        <v>52</v>
      </c>
      <c r="G1" s="14" t="s">
        <v>53</v>
      </c>
      <c r="H1" s="14" t="s">
        <v>54</v>
      </c>
      <c r="I1" s="14" t="s">
        <v>55</v>
      </c>
      <c r="J1" s="14" t="s">
        <v>56</v>
      </c>
      <c r="K1" s="14" t="s">
        <v>57</v>
      </c>
      <c r="L1" s="14" t="s">
        <v>58</v>
      </c>
      <c r="M1" s="14" t="s">
        <v>193</v>
      </c>
      <c r="N1" s="14" t="s">
        <v>59</v>
      </c>
      <c r="O1" s="14" t="s">
        <v>60</v>
      </c>
      <c r="P1" s="14" t="s">
        <v>61</v>
      </c>
      <c r="Q1" s="14" t="s">
        <v>62</v>
      </c>
      <c r="R1" s="14" t="s">
        <v>63</v>
      </c>
      <c r="S1" s="14" t="s">
        <v>64</v>
      </c>
      <c r="T1" s="14" t="s">
        <v>190</v>
      </c>
      <c r="U1" s="14" t="s">
        <v>65</v>
      </c>
      <c r="V1" s="14" t="s">
        <v>66</v>
      </c>
    </row>
    <row r="2" spans="1:22" ht="17" x14ac:dyDescent="0.35"/>
    <row r="3" spans="1:22" ht="17" x14ac:dyDescent="0.35"/>
    <row r="4" spans="1:22" ht="17" x14ac:dyDescent="0.35"/>
    <row r="5" spans="1:22" ht="17" x14ac:dyDescent="0.35"/>
    <row r="6" spans="1:22" ht="17" x14ac:dyDescent="0.35"/>
    <row r="7" spans="1:22" ht="17" x14ac:dyDescent="0.35"/>
    <row r="8" spans="1:22" ht="17" x14ac:dyDescent="0.35"/>
    <row r="9" spans="1:22" ht="17" x14ac:dyDescent="0.35"/>
    <row r="10" spans="1:22" ht="17" x14ac:dyDescent="0.35"/>
    <row r="11" spans="1:22" ht="17" x14ac:dyDescent="0.35"/>
    <row r="12" spans="1:22" ht="17" x14ac:dyDescent="0.35"/>
    <row r="13" spans="1:22" ht="17" x14ac:dyDescent="0.35"/>
    <row r="14" spans="1:22" ht="17" x14ac:dyDescent="0.35"/>
    <row r="15" spans="1:22" ht="17" x14ac:dyDescent="0.35"/>
    <row r="16" spans="1:22" ht="17" x14ac:dyDescent="0.35"/>
    <row r="17" ht="17" x14ac:dyDescent="0.35"/>
    <row r="18" ht="17" x14ac:dyDescent="0.35"/>
    <row r="19" ht="17" x14ac:dyDescent="0.35"/>
    <row r="20" ht="17"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row r="1006" ht="15.75" customHeight="1" x14ac:dyDescent="0.35"/>
    <row r="1007" ht="15.75" customHeight="1" x14ac:dyDescent="0.35"/>
    <row r="1008" ht="15.75" customHeight="1" x14ac:dyDescent="0.35"/>
    <row r="1009" ht="15.75" customHeight="1" x14ac:dyDescent="0.35"/>
    <row r="1010" ht="15.75" customHeight="1" x14ac:dyDescent="0.35"/>
    <row r="1011" ht="15.75" customHeight="1" x14ac:dyDescent="0.35"/>
    <row r="1012" ht="15.75" customHeight="1" x14ac:dyDescent="0.35"/>
    <row r="1013" ht="15.75" customHeight="1" x14ac:dyDescent="0.35"/>
    <row r="1014" ht="15.75" customHeight="1" x14ac:dyDescent="0.35"/>
    <row r="1015" ht="15.75" customHeight="1" x14ac:dyDescent="0.35"/>
    <row r="1016" ht="15.75" customHeight="1" x14ac:dyDescent="0.35"/>
    <row r="1017" ht="15.75" customHeight="1" x14ac:dyDescent="0.35"/>
    <row r="1018" ht="15.75" customHeight="1" x14ac:dyDescent="0.35"/>
    <row r="1019" ht="15.75" customHeight="1" x14ac:dyDescent="0.35"/>
    <row r="1020" ht="15.75" customHeight="1" x14ac:dyDescent="0.35"/>
    <row r="1021" ht="15.75" customHeight="1" x14ac:dyDescent="0.35"/>
    <row r="1022" ht="15.75" customHeight="1" x14ac:dyDescent="0.35"/>
    <row r="1023" ht="15.75" customHeight="1" x14ac:dyDescent="0.35"/>
    <row r="1024" ht="15.75" customHeight="1" x14ac:dyDescent="0.35"/>
    <row r="1025" ht="15.75" customHeight="1" x14ac:dyDescent="0.35"/>
    <row r="1026" ht="15.75" customHeight="1" x14ac:dyDescent="0.35"/>
    <row r="1027" ht="15.75" customHeight="1" x14ac:dyDescent="0.35"/>
    <row r="1028" ht="15.75" customHeight="1" x14ac:dyDescent="0.35"/>
    <row r="1029" ht="15.75" customHeight="1" x14ac:dyDescent="0.35"/>
    <row r="1030" ht="15.75" customHeight="1" x14ac:dyDescent="0.35"/>
    <row r="1031" ht="15.75" customHeight="1" x14ac:dyDescent="0.35"/>
    <row r="1032" ht="15.75" customHeight="1" x14ac:dyDescent="0.35"/>
    <row r="1033" ht="15.75" customHeight="1" x14ac:dyDescent="0.35"/>
    <row r="1034" ht="15.75" customHeight="1" x14ac:dyDescent="0.35"/>
    <row r="1035" ht="15.75" customHeight="1" x14ac:dyDescent="0.35"/>
    <row r="1036" ht="15.75" customHeight="1" x14ac:dyDescent="0.35"/>
    <row r="1037" ht="15.75" customHeight="1" x14ac:dyDescent="0.35"/>
    <row r="1038" ht="15.75" customHeight="1" x14ac:dyDescent="0.35"/>
    <row r="1039" ht="15.75" customHeight="1" x14ac:dyDescent="0.35"/>
    <row r="1040" ht="15.75" customHeight="1" x14ac:dyDescent="0.35"/>
    <row r="1041" ht="15.75" customHeight="1" x14ac:dyDescent="0.35"/>
    <row r="1042" ht="15.75" customHeight="1" x14ac:dyDescent="0.35"/>
    <row r="1043" ht="15.75" customHeight="1" x14ac:dyDescent="0.35"/>
    <row r="1044" ht="15.75" customHeight="1" x14ac:dyDescent="0.35"/>
    <row r="1045" ht="15.75" customHeight="1" x14ac:dyDescent="0.35"/>
    <row r="1046" ht="15.75" customHeight="1" x14ac:dyDescent="0.35"/>
    <row r="1047" ht="15.75" customHeight="1" x14ac:dyDescent="0.35"/>
    <row r="1048" ht="15.75" customHeight="1" x14ac:dyDescent="0.35"/>
    <row r="1049" ht="15.75" customHeight="1" x14ac:dyDescent="0.35"/>
    <row r="1050" ht="15.75" customHeight="1" x14ac:dyDescent="0.35"/>
    <row r="1051" ht="15.75" customHeight="1" x14ac:dyDescent="0.35"/>
    <row r="1052" ht="15.75" customHeight="1" x14ac:dyDescent="0.35"/>
    <row r="1053" ht="15.75" customHeight="1" x14ac:dyDescent="0.35"/>
    <row r="1054" ht="15.75" customHeight="1" x14ac:dyDescent="0.35"/>
    <row r="1055" ht="15.75" customHeight="1" x14ac:dyDescent="0.35"/>
    <row r="1056" ht="15.75" customHeight="1" x14ac:dyDescent="0.35"/>
    <row r="1057" ht="15.75" customHeight="1" x14ac:dyDescent="0.35"/>
    <row r="1058" ht="15.75" customHeight="1" x14ac:dyDescent="0.35"/>
    <row r="1059" ht="15.75" customHeight="1" x14ac:dyDescent="0.35"/>
    <row r="1060" ht="15.75" customHeight="1" x14ac:dyDescent="0.35"/>
    <row r="1061" ht="15.75" customHeight="1" x14ac:dyDescent="0.35"/>
    <row r="1062" ht="15.75" customHeight="1" x14ac:dyDescent="0.35"/>
    <row r="1063" ht="15.75" customHeight="1" x14ac:dyDescent="0.35"/>
    <row r="1064" ht="15.75" customHeight="1" x14ac:dyDescent="0.35"/>
    <row r="1065" ht="15.75" customHeight="1" x14ac:dyDescent="0.35"/>
    <row r="1066" ht="15.75" customHeight="1" x14ac:dyDescent="0.35"/>
    <row r="1067" ht="15.75" customHeight="1" x14ac:dyDescent="0.35"/>
    <row r="1068" ht="15.75" customHeight="1" x14ac:dyDescent="0.35"/>
    <row r="1069" ht="15.75" customHeight="1" x14ac:dyDescent="0.35"/>
    <row r="1070" ht="15.75" customHeight="1" x14ac:dyDescent="0.35"/>
    <row r="1071" ht="15.75" customHeight="1" x14ac:dyDescent="0.35"/>
    <row r="1072" ht="15.75" customHeight="1" x14ac:dyDescent="0.35"/>
    <row r="1073" ht="15.75" customHeight="1" x14ac:dyDescent="0.35"/>
    <row r="1074" ht="15.75" customHeight="1" x14ac:dyDescent="0.35"/>
    <row r="1075" ht="15.75" customHeight="1" x14ac:dyDescent="0.35"/>
    <row r="1076" ht="15.75" customHeight="1" x14ac:dyDescent="0.35"/>
    <row r="1077" ht="15.75" customHeight="1" x14ac:dyDescent="0.35"/>
    <row r="1078" ht="15.75" customHeight="1" x14ac:dyDescent="0.35"/>
    <row r="1079" ht="15.75" customHeight="1" x14ac:dyDescent="0.35"/>
    <row r="1080" ht="15.75" customHeight="1" x14ac:dyDescent="0.35"/>
    <row r="1081" ht="15.75" customHeight="1" x14ac:dyDescent="0.35"/>
    <row r="1082" ht="15.75" customHeight="1" x14ac:dyDescent="0.35"/>
    <row r="1083" ht="15.75" customHeight="1" x14ac:dyDescent="0.35"/>
    <row r="1084" ht="15.75" customHeight="1" x14ac:dyDescent="0.35"/>
    <row r="1085" ht="15.75" customHeight="1" x14ac:dyDescent="0.35"/>
    <row r="1086" ht="15.75" customHeight="1" x14ac:dyDescent="0.35"/>
    <row r="1087" ht="15.75" customHeight="1" x14ac:dyDescent="0.35"/>
    <row r="1088" ht="15.75" customHeight="1" x14ac:dyDescent="0.35"/>
    <row r="1089" ht="15.75" customHeight="1" x14ac:dyDescent="0.35"/>
    <row r="1090" ht="15.75" customHeight="1" x14ac:dyDescent="0.35"/>
    <row r="1091" ht="15.75" customHeight="1" x14ac:dyDescent="0.35"/>
    <row r="1092" ht="15.75" customHeight="1" x14ac:dyDescent="0.35"/>
    <row r="1093" ht="15.75" customHeight="1" x14ac:dyDescent="0.35"/>
    <row r="1094" ht="15.75" customHeight="1" x14ac:dyDescent="0.35"/>
    <row r="1095" ht="15.75" customHeight="1" x14ac:dyDescent="0.35"/>
    <row r="1096" ht="15.75" customHeight="1" x14ac:dyDescent="0.35"/>
    <row r="1097" ht="15.75" customHeight="1" x14ac:dyDescent="0.35"/>
    <row r="1098" ht="15.75" customHeight="1" x14ac:dyDescent="0.35"/>
    <row r="1099" ht="15.75" customHeight="1" x14ac:dyDescent="0.35"/>
    <row r="1100" ht="15.75" customHeight="1" x14ac:dyDescent="0.35"/>
    <row r="1101" ht="15.75" customHeight="1" x14ac:dyDescent="0.35"/>
    <row r="1102" ht="15.75" customHeight="1" x14ac:dyDescent="0.35"/>
    <row r="1103" ht="15.75" customHeight="1" x14ac:dyDescent="0.35"/>
    <row r="1104" ht="15.75" customHeight="1" x14ac:dyDescent="0.35"/>
    <row r="1105" ht="15.75" customHeight="1" x14ac:dyDescent="0.35"/>
    <row r="1106" ht="15.75" customHeight="1" x14ac:dyDescent="0.35"/>
    <row r="1107" ht="15.75" customHeight="1" x14ac:dyDescent="0.35"/>
    <row r="1108" ht="15.75" customHeight="1" x14ac:dyDescent="0.35"/>
    <row r="1109" ht="15.75" customHeight="1" x14ac:dyDescent="0.35"/>
    <row r="1110" ht="15.75" customHeight="1" x14ac:dyDescent="0.35"/>
    <row r="1111" ht="15.75" customHeight="1" x14ac:dyDescent="0.35"/>
    <row r="1112" ht="15.75" customHeight="1" x14ac:dyDescent="0.35"/>
    <row r="1113" ht="15.75" customHeight="1" x14ac:dyDescent="0.35"/>
    <row r="1114" ht="15.75" customHeight="1" x14ac:dyDescent="0.35"/>
    <row r="1115" ht="15.75" customHeight="1" x14ac:dyDescent="0.35"/>
    <row r="1116" ht="15.75" customHeight="1" x14ac:dyDescent="0.35"/>
    <row r="1117" ht="15.75" customHeight="1" x14ac:dyDescent="0.35"/>
    <row r="1118" ht="15.75" customHeight="1" x14ac:dyDescent="0.35"/>
    <row r="1119" ht="15.75" customHeight="1" x14ac:dyDescent="0.35"/>
    <row r="1120" ht="15.75" customHeight="1" x14ac:dyDescent="0.35"/>
    <row r="1121" ht="15.75" customHeight="1" x14ac:dyDescent="0.35"/>
    <row r="1122" ht="15.75" customHeight="1" x14ac:dyDescent="0.35"/>
    <row r="1123" ht="15.75" customHeight="1" x14ac:dyDescent="0.35"/>
    <row r="1124" ht="15.75" customHeight="1" x14ac:dyDescent="0.35"/>
    <row r="1125" ht="15.75" customHeight="1" x14ac:dyDescent="0.35"/>
    <row r="1126" ht="15.75" customHeight="1" x14ac:dyDescent="0.35"/>
    <row r="1127" ht="15.75" customHeight="1" x14ac:dyDescent="0.35"/>
    <row r="1128" ht="15.75" customHeight="1" x14ac:dyDescent="0.35"/>
    <row r="1129" ht="15.75" customHeight="1" x14ac:dyDescent="0.35"/>
    <row r="1130" ht="15.75" customHeight="1" x14ac:dyDescent="0.35"/>
    <row r="1131" ht="15.75" customHeight="1" x14ac:dyDescent="0.35"/>
    <row r="1132" ht="15.75" customHeight="1" x14ac:dyDescent="0.35"/>
    <row r="1133" ht="15.75" customHeight="1" x14ac:dyDescent="0.35"/>
    <row r="1134" ht="15.75" customHeight="1" x14ac:dyDescent="0.35"/>
    <row r="1135" ht="15.75" customHeight="1" x14ac:dyDescent="0.35"/>
    <row r="1136" ht="15.75" customHeight="1" x14ac:dyDescent="0.35"/>
    <row r="1137" ht="15.75" customHeight="1" x14ac:dyDescent="0.35"/>
    <row r="1138" ht="15.75" customHeight="1" x14ac:dyDescent="0.35"/>
    <row r="1139" ht="15.75" customHeight="1" x14ac:dyDescent="0.35"/>
    <row r="1140" ht="15.75" customHeight="1" x14ac:dyDescent="0.35"/>
    <row r="1141" ht="15.75" customHeight="1" x14ac:dyDescent="0.35"/>
    <row r="1142" ht="15.75" customHeight="1" x14ac:dyDescent="0.35"/>
    <row r="1143" ht="15.75" customHeight="1" x14ac:dyDescent="0.35"/>
    <row r="1144" ht="15.75" customHeight="1" x14ac:dyDescent="0.35"/>
    <row r="1145" ht="15.75" customHeight="1" x14ac:dyDescent="0.35"/>
    <row r="1146" ht="15.75" customHeight="1" x14ac:dyDescent="0.35"/>
    <row r="1147" ht="15.75" customHeight="1" x14ac:dyDescent="0.35"/>
    <row r="1148" ht="15.75" customHeight="1" x14ac:dyDescent="0.35"/>
    <row r="1149" ht="15.75" customHeight="1" x14ac:dyDescent="0.35"/>
    <row r="1150" ht="15.75" customHeight="1" x14ac:dyDescent="0.35"/>
    <row r="1151" ht="15.75" customHeight="1" x14ac:dyDescent="0.35"/>
    <row r="1152" ht="15.75" customHeight="1" x14ac:dyDescent="0.35"/>
    <row r="1153" ht="15.75" customHeight="1" x14ac:dyDescent="0.35"/>
    <row r="1154" ht="15.75" customHeight="1" x14ac:dyDescent="0.35"/>
    <row r="1155" ht="15.75" customHeight="1" x14ac:dyDescent="0.35"/>
    <row r="1156" ht="15.75" customHeight="1" x14ac:dyDescent="0.35"/>
    <row r="1157" ht="15.75" customHeight="1" x14ac:dyDescent="0.35"/>
    <row r="1158" ht="15.75" customHeight="1" x14ac:dyDescent="0.35"/>
    <row r="1159" ht="15.75" customHeight="1" x14ac:dyDescent="0.35"/>
    <row r="1160" ht="15.75" customHeight="1" x14ac:dyDescent="0.35"/>
    <row r="1161" ht="15.75" customHeight="1" x14ac:dyDescent="0.35"/>
    <row r="1162" ht="15.75" customHeight="1" x14ac:dyDescent="0.35"/>
    <row r="1163" ht="15.75" customHeight="1" x14ac:dyDescent="0.35"/>
    <row r="1164" ht="15.75" customHeight="1" x14ac:dyDescent="0.35"/>
    <row r="1165" ht="15.75" customHeight="1" x14ac:dyDescent="0.35"/>
    <row r="1166" ht="15.75" customHeight="1" x14ac:dyDescent="0.35"/>
    <row r="1167" ht="15.75" customHeight="1" x14ac:dyDescent="0.35"/>
    <row r="1168" ht="15.75" customHeight="1" x14ac:dyDescent="0.35"/>
    <row r="1169" ht="15.75" customHeight="1" x14ac:dyDescent="0.35"/>
    <row r="1170" ht="15.75" customHeight="1" x14ac:dyDescent="0.35"/>
    <row r="1171" ht="15.75" customHeight="1" x14ac:dyDescent="0.35"/>
    <row r="1172" ht="15.75" customHeight="1" x14ac:dyDescent="0.35"/>
    <row r="1173" ht="15.75" customHeight="1" x14ac:dyDescent="0.35"/>
    <row r="1174" ht="15.75" customHeight="1" x14ac:dyDescent="0.35"/>
    <row r="1175" ht="15.75" customHeight="1" x14ac:dyDescent="0.35"/>
    <row r="1176" ht="15.75" customHeight="1" x14ac:dyDescent="0.35"/>
    <row r="1177" ht="15.75" customHeight="1" x14ac:dyDescent="0.35"/>
    <row r="1178" ht="15.75" customHeight="1" x14ac:dyDescent="0.35"/>
    <row r="1179" ht="15.75" customHeight="1" x14ac:dyDescent="0.35"/>
    <row r="1180" ht="15.75" customHeight="1" x14ac:dyDescent="0.35"/>
    <row r="1181" ht="15.75" customHeight="1" x14ac:dyDescent="0.35"/>
    <row r="1182" ht="15.75" customHeight="1" x14ac:dyDescent="0.35"/>
    <row r="1183" ht="15.75" customHeight="1" x14ac:dyDescent="0.35"/>
    <row r="1184" ht="15.75" customHeight="1" x14ac:dyDescent="0.35"/>
    <row r="1185" ht="15.75" customHeight="1" x14ac:dyDescent="0.35"/>
    <row r="1186" ht="15.75" customHeight="1" x14ac:dyDescent="0.35"/>
    <row r="1187" ht="15.75" customHeight="1" x14ac:dyDescent="0.35"/>
    <row r="1188" ht="15.75" customHeight="1" x14ac:dyDescent="0.35"/>
    <row r="1189" ht="15.75" customHeight="1" x14ac:dyDescent="0.35"/>
    <row r="1190" ht="15.75" customHeight="1" x14ac:dyDescent="0.35"/>
    <row r="1191" ht="15.75" customHeight="1" x14ac:dyDescent="0.35"/>
    <row r="1192" ht="15.75" customHeight="1" x14ac:dyDescent="0.35"/>
    <row r="1193" ht="15.75" customHeight="1" x14ac:dyDescent="0.35"/>
    <row r="1194" ht="15.75" customHeight="1" x14ac:dyDescent="0.35"/>
    <row r="1195" ht="15.75" customHeight="1" x14ac:dyDescent="0.35"/>
    <row r="1196" ht="15.75" customHeight="1" x14ac:dyDescent="0.35"/>
    <row r="1197" ht="15.75" customHeight="1" x14ac:dyDescent="0.35"/>
    <row r="1198" ht="15.75" customHeight="1" x14ac:dyDescent="0.35"/>
    <row r="1199" ht="15.75" customHeight="1" x14ac:dyDescent="0.35"/>
    <row r="1200" ht="15.75" customHeight="1" x14ac:dyDescent="0.35"/>
    <row r="1201" ht="15.75" customHeight="1" x14ac:dyDescent="0.35"/>
    <row r="1202" ht="15.75" customHeight="1" x14ac:dyDescent="0.35"/>
    <row r="1203" ht="15.75" customHeight="1" x14ac:dyDescent="0.35"/>
    <row r="1204" ht="15.75" customHeight="1" x14ac:dyDescent="0.35"/>
    <row r="1205" ht="15.75" customHeight="1" x14ac:dyDescent="0.35"/>
    <row r="1206" ht="15.75" customHeight="1" x14ac:dyDescent="0.35"/>
    <row r="1207" ht="15.75" customHeight="1" x14ac:dyDescent="0.35"/>
    <row r="1208" ht="15.75" customHeight="1" x14ac:dyDescent="0.35"/>
    <row r="1209" ht="15.75" customHeight="1" x14ac:dyDescent="0.35"/>
    <row r="1210" ht="15.75" customHeight="1" x14ac:dyDescent="0.35"/>
    <row r="1211" ht="15.75" customHeight="1" x14ac:dyDescent="0.35"/>
    <row r="1212" ht="15.75" customHeight="1" x14ac:dyDescent="0.35"/>
    <row r="1213" ht="15.75" customHeight="1" x14ac:dyDescent="0.35"/>
    <row r="1214" ht="15.75" customHeight="1" x14ac:dyDescent="0.35"/>
    <row r="1215" ht="15.75" customHeight="1" x14ac:dyDescent="0.35"/>
    <row r="1216" ht="15.75" customHeight="1" x14ac:dyDescent="0.35"/>
    <row r="1217" ht="15.75" customHeight="1" x14ac:dyDescent="0.35"/>
    <row r="1218" ht="15.75" customHeight="1" x14ac:dyDescent="0.35"/>
    <row r="1219" ht="15.75" customHeight="1" x14ac:dyDescent="0.35"/>
    <row r="1220" ht="15.75" customHeight="1" x14ac:dyDescent="0.35"/>
    <row r="1221" ht="15.75" customHeight="1" x14ac:dyDescent="0.35"/>
    <row r="1222" ht="15.75" customHeight="1" x14ac:dyDescent="0.35"/>
    <row r="1223" ht="15.75" customHeight="1" x14ac:dyDescent="0.35"/>
    <row r="1224" ht="15.75" customHeight="1" x14ac:dyDescent="0.35"/>
    <row r="1225" ht="15.75" customHeight="1" x14ac:dyDescent="0.35"/>
    <row r="1226" ht="15.75" customHeight="1" x14ac:dyDescent="0.35"/>
    <row r="1227" ht="15.75" customHeight="1" x14ac:dyDescent="0.35"/>
    <row r="1228" ht="15.75" customHeight="1" x14ac:dyDescent="0.35"/>
    <row r="1229" ht="15.75" customHeight="1" x14ac:dyDescent="0.35"/>
    <row r="1230" ht="15.75" customHeight="1" x14ac:dyDescent="0.35"/>
    <row r="1231" ht="15.75" customHeight="1" x14ac:dyDescent="0.35"/>
    <row r="1232" ht="15.75" customHeight="1" x14ac:dyDescent="0.35"/>
    <row r="1233" ht="15.75" customHeight="1" x14ac:dyDescent="0.35"/>
    <row r="1234" ht="15.75" customHeight="1" x14ac:dyDescent="0.35"/>
    <row r="1235" ht="15.75" customHeight="1" x14ac:dyDescent="0.35"/>
    <row r="1236" ht="15.75" customHeight="1" x14ac:dyDescent="0.35"/>
    <row r="1237" ht="15.75" customHeight="1" x14ac:dyDescent="0.35"/>
    <row r="1238" ht="15.75" customHeight="1" x14ac:dyDescent="0.35"/>
    <row r="1239" ht="15.75" customHeight="1" x14ac:dyDescent="0.35"/>
    <row r="1240" ht="15.75" customHeight="1" x14ac:dyDescent="0.35"/>
    <row r="1241" ht="15.75" customHeight="1" x14ac:dyDescent="0.35"/>
    <row r="1242" ht="15.75" customHeight="1" x14ac:dyDescent="0.35"/>
    <row r="1243" ht="15.75" customHeight="1" x14ac:dyDescent="0.35"/>
    <row r="1244" ht="15.75" customHeight="1" x14ac:dyDescent="0.35"/>
    <row r="1245" ht="15.75" customHeight="1" x14ac:dyDescent="0.35"/>
    <row r="1246" ht="15.75" customHeight="1" x14ac:dyDescent="0.35"/>
    <row r="1247" ht="15.75" customHeight="1" x14ac:dyDescent="0.35"/>
    <row r="1248" ht="15.75" customHeight="1" x14ac:dyDescent="0.35"/>
    <row r="1249" ht="15.75" customHeight="1" x14ac:dyDescent="0.35"/>
    <row r="1250" ht="15.75" customHeight="1" x14ac:dyDescent="0.35"/>
    <row r="1251" ht="15.75" customHeight="1" x14ac:dyDescent="0.35"/>
    <row r="1252" ht="15.75" customHeight="1" x14ac:dyDescent="0.35"/>
    <row r="1253" ht="15.75" customHeight="1" x14ac:dyDescent="0.35"/>
    <row r="1254" ht="15.75" customHeight="1" x14ac:dyDescent="0.35"/>
    <row r="1255" ht="15.75" customHeight="1" x14ac:dyDescent="0.35"/>
    <row r="1256" ht="15.75" customHeight="1" x14ac:dyDescent="0.35"/>
    <row r="1257" ht="15.75" customHeight="1" x14ac:dyDescent="0.35"/>
    <row r="1258" ht="15.75" customHeight="1" x14ac:dyDescent="0.35"/>
    <row r="1259" ht="15.75" customHeight="1" x14ac:dyDescent="0.35"/>
    <row r="1260" ht="15.75" customHeight="1" x14ac:dyDescent="0.35"/>
    <row r="1261" ht="15.75" customHeight="1" x14ac:dyDescent="0.35"/>
    <row r="1262" ht="15.75" customHeight="1" x14ac:dyDescent="0.35"/>
    <row r="1263" ht="15.75" customHeight="1" x14ac:dyDescent="0.35"/>
    <row r="1264" ht="15.75" customHeight="1" x14ac:dyDescent="0.35"/>
    <row r="1265" ht="15.75" customHeight="1" x14ac:dyDescent="0.35"/>
    <row r="1266" ht="15.75" customHeight="1" x14ac:dyDescent="0.35"/>
    <row r="1267" ht="15.75" customHeight="1" x14ac:dyDescent="0.35"/>
    <row r="1268" ht="15.75" customHeight="1" x14ac:dyDescent="0.35"/>
    <row r="1269" ht="15.75" customHeight="1" x14ac:dyDescent="0.35"/>
    <row r="1270" ht="15.75" customHeight="1" x14ac:dyDescent="0.35"/>
    <row r="1271" ht="15.75" customHeight="1" x14ac:dyDescent="0.35"/>
    <row r="1272" ht="15.75" customHeight="1" x14ac:dyDescent="0.35"/>
    <row r="1273" ht="15.75" customHeight="1" x14ac:dyDescent="0.35"/>
    <row r="1274" ht="15.75" customHeight="1" x14ac:dyDescent="0.35"/>
    <row r="1275" ht="15.75" customHeight="1" x14ac:dyDescent="0.35"/>
    <row r="1276" ht="15.75" customHeight="1" x14ac:dyDescent="0.35"/>
    <row r="1277" ht="15.75" customHeight="1" x14ac:dyDescent="0.35"/>
    <row r="1278" ht="15.75" customHeight="1" x14ac:dyDescent="0.35"/>
    <row r="1279" ht="15.75" customHeight="1" x14ac:dyDescent="0.35"/>
    <row r="1280" ht="15.75" customHeight="1" x14ac:dyDescent="0.35"/>
    <row r="1281" ht="15.75" customHeight="1" x14ac:dyDescent="0.35"/>
    <row r="1282" ht="15.75" customHeight="1" x14ac:dyDescent="0.35"/>
    <row r="1283" ht="15.75" customHeight="1" x14ac:dyDescent="0.35"/>
    <row r="1284" ht="15.75" customHeight="1" x14ac:dyDescent="0.35"/>
    <row r="1285" ht="15.75" customHeight="1" x14ac:dyDescent="0.35"/>
    <row r="1286" ht="15.75" customHeight="1" x14ac:dyDescent="0.35"/>
    <row r="1287" ht="15.75" customHeight="1" x14ac:dyDescent="0.35"/>
    <row r="1288" ht="15.75" customHeight="1" x14ac:dyDescent="0.35"/>
    <row r="1289" ht="15.75" customHeight="1" x14ac:dyDescent="0.35"/>
    <row r="1290" ht="15.75" customHeight="1" x14ac:dyDescent="0.35"/>
    <row r="1291" ht="15.75" customHeight="1" x14ac:dyDescent="0.35"/>
    <row r="1292" ht="15.75" customHeight="1" x14ac:dyDescent="0.35"/>
    <row r="1293" ht="15.75" customHeight="1" x14ac:dyDescent="0.35"/>
    <row r="1294" ht="15.75" customHeight="1" x14ac:dyDescent="0.35"/>
    <row r="1295" ht="15.75" customHeight="1" x14ac:dyDescent="0.35"/>
    <row r="1296" ht="15.75" customHeight="1" x14ac:dyDescent="0.35"/>
    <row r="1297" ht="15.75" customHeight="1" x14ac:dyDescent="0.35"/>
    <row r="1298" ht="15.75" customHeight="1" x14ac:dyDescent="0.35"/>
    <row r="1299" ht="15.75" customHeight="1" x14ac:dyDescent="0.35"/>
    <row r="1300" ht="15.75" customHeight="1" x14ac:dyDescent="0.35"/>
    <row r="1301" ht="15.75" customHeight="1" x14ac:dyDescent="0.35"/>
    <row r="1302" ht="15.75" customHeight="1" x14ac:dyDescent="0.35"/>
    <row r="1303" ht="15.75" customHeight="1" x14ac:dyDescent="0.35"/>
    <row r="1304" ht="15.75" customHeight="1" x14ac:dyDescent="0.35"/>
    <row r="1305" ht="15.75" customHeight="1" x14ac:dyDescent="0.35"/>
    <row r="1306" ht="15.75" customHeight="1" x14ac:dyDescent="0.35"/>
    <row r="1307" ht="15.75" customHeight="1" x14ac:dyDescent="0.35"/>
    <row r="1308" ht="15.75" customHeight="1" x14ac:dyDescent="0.35"/>
    <row r="1309" ht="15.75" customHeight="1" x14ac:dyDescent="0.35"/>
    <row r="1310" ht="15.75" customHeight="1" x14ac:dyDescent="0.35"/>
    <row r="1311" ht="15.75" customHeight="1" x14ac:dyDescent="0.35"/>
    <row r="1312" ht="15.75" customHeight="1" x14ac:dyDescent="0.35"/>
    <row r="1313" ht="15.75" customHeight="1" x14ac:dyDescent="0.35"/>
    <row r="1314" ht="15.75" customHeight="1" x14ac:dyDescent="0.35"/>
    <row r="1315" ht="15.75" customHeight="1" x14ac:dyDescent="0.35"/>
    <row r="1316" ht="15.75" customHeight="1" x14ac:dyDescent="0.35"/>
    <row r="1317" ht="15.75" customHeight="1" x14ac:dyDescent="0.35"/>
    <row r="1318" ht="15.75" customHeight="1" x14ac:dyDescent="0.35"/>
    <row r="1319" ht="15.75" customHeight="1" x14ac:dyDescent="0.35"/>
    <row r="1320" ht="15.75" customHeight="1" x14ac:dyDescent="0.35"/>
    <row r="1321" ht="15.75" customHeight="1" x14ac:dyDescent="0.35"/>
    <row r="1322" ht="15.75" customHeight="1" x14ac:dyDescent="0.35"/>
    <row r="1323" ht="15.75" customHeight="1" x14ac:dyDescent="0.35"/>
    <row r="1324" ht="15.75" customHeight="1" x14ac:dyDescent="0.35"/>
    <row r="1325" ht="15.75" customHeight="1" x14ac:dyDescent="0.35"/>
    <row r="1326" ht="15.75" customHeight="1" x14ac:dyDescent="0.35"/>
    <row r="1327" ht="15.75" customHeight="1" x14ac:dyDescent="0.35"/>
    <row r="1328" ht="15.75" customHeight="1" x14ac:dyDescent="0.35"/>
    <row r="1329" ht="15.75" customHeight="1" x14ac:dyDescent="0.35"/>
    <row r="1330" ht="15.75" customHeight="1" x14ac:dyDescent="0.35"/>
    <row r="1331" ht="15.75" customHeight="1" x14ac:dyDescent="0.35"/>
    <row r="1332" ht="15.75" customHeight="1" x14ac:dyDescent="0.35"/>
    <row r="1333" ht="15.75" customHeight="1" x14ac:dyDescent="0.35"/>
    <row r="1334" ht="15.75" customHeight="1" x14ac:dyDescent="0.35"/>
    <row r="1335" ht="15.75" customHeight="1" x14ac:dyDescent="0.35"/>
    <row r="1336" ht="15.75" customHeight="1" x14ac:dyDescent="0.35"/>
    <row r="1337" ht="15.75" customHeight="1" x14ac:dyDescent="0.35"/>
    <row r="1338" ht="15.75" customHeight="1" x14ac:dyDescent="0.35"/>
    <row r="1339" ht="15.75" customHeight="1" x14ac:dyDescent="0.35"/>
    <row r="1340" ht="15.75" customHeight="1" x14ac:dyDescent="0.35"/>
    <row r="1341" ht="15.75" customHeight="1" x14ac:dyDescent="0.35"/>
    <row r="1342" ht="15.75" customHeight="1" x14ac:dyDescent="0.35"/>
    <row r="1343" ht="15.75" customHeight="1" x14ac:dyDescent="0.35"/>
    <row r="1344" ht="15.75" customHeight="1" x14ac:dyDescent="0.35"/>
    <row r="1345" ht="15.75" customHeight="1" x14ac:dyDescent="0.35"/>
    <row r="1346" ht="15.75" customHeight="1" x14ac:dyDescent="0.35"/>
    <row r="1347" ht="15.75" customHeight="1" x14ac:dyDescent="0.35"/>
    <row r="1348" ht="15.75" customHeight="1" x14ac:dyDescent="0.35"/>
    <row r="1349" ht="15.75" customHeight="1" x14ac:dyDescent="0.35"/>
    <row r="1350" ht="15.75" customHeight="1" x14ac:dyDescent="0.35"/>
    <row r="1351" ht="15.75" customHeight="1" x14ac:dyDescent="0.35"/>
    <row r="1352" ht="15.75" customHeight="1" x14ac:dyDescent="0.35"/>
    <row r="1353" ht="15.75" customHeight="1" x14ac:dyDescent="0.35"/>
    <row r="1354" ht="15.75" customHeight="1" x14ac:dyDescent="0.35"/>
    <row r="1355" ht="15.75" customHeight="1" x14ac:dyDescent="0.35"/>
    <row r="1356" ht="15.75" customHeight="1" x14ac:dyDescent="0.35"/>
    <row r="1357" ht="15.75" customHeight="1" x14ac:dyDescent="0.35"/>
    <row r="1358" ht="15.75" customHeight="1" x14ac:dyDescent="0.35"/>
    <row r="1359" ht="15.75" customHeight="1" x14ac:dyDescent="0.35"/>
    <row r="1360" ht="15.75" customHeight="1" x14ac:dyDescent="0.35"/>
    <row r="1361" ht="15.75" customHeight="1" x14ac:dyDescent="0.35"/>
    <row r="1362" ht="15.75" customHeight="1" x14ac:dyDescent="0.35"/>
    <row r="1363" ht="15.75" customHeight="1" x14ac:dyDescent="0.35"/>
    <row r="1364" ht="15.75" customHeight="1" x14ac:dyDescent="0.35"/>
    <row r="1365" ht="15.75" customHeight="1" x14ac:dyDescent="0.35"/>
    <row r="1366" ht="15.75" customHeight="1" x14ac:dyDescent="0.35"/>
    <row r="1367" ht="15.75" customHeight="1" x14ac:dyDescent="0.35"/>
    <row r="1368" ht="15.75" customHeight="1" x14ac:dyDescent="0.35"/>
    <row r="1369" ht="15.75" customHeight="1" x14ac:dyDescent="0.35"/>
    <row r="1370" ht="15.75" customHeight="1" x14ac:dyDescent="0.35"/>
    <row r="1371" ht="15.75" customHeight="1" x14ac:dyDescent="0.35"/>
    <row r="1372" ht="15.75" customHeight="1" x14ac:dyDescent="0.35"/>
    <row r="1373" ht="15.75" customHeight="1" x14ac:dyDescent="0.35"/>
    <row r="1374" ht="15.75" customHeight="1" x14ac:dyDescent="0.35"/>
    <row r="1375" ht="15.75" customHeight="1" x14ac:dyDescent="0.35"/>
    <row r="1376" ht="15.75" customHeight="1" x14ac:dyDescent="0.35"/>
    <row r="1377" ht="15.75" customHeight="1" x14ac:dyDescent="0.35"/>
    <row r="1378" ht="15.75" customHeight="1" x14ac:dyDescent="0.35"/>
    <row r="1379" ht="15.75" customHeight="1" x14ac:dyDescent="0.35"/>
    <row r="1380" ht="15.75" customHeight="1" x14ac:dyDescent="0.35"/>
    <row r="1381" ht="15.75" customHeight="1" x14ac:dyDescent="0.35"/>
    <row r="1382" ht="15.75" customHeight="1" x14ac:dyDescent="0.35"/>
    <row r="1383" ht="15.75" customHeight="1" x14ac:dyDescent="0.35"/>
    <row r="1384" ht="15.75" customHeight="1" x14ac:dyDescent="0.35"/>
    <row r="1385" ht="15.75" customHeight="1" x14ac:dyDescent="0.35"/>
    <row r="1386" ht="15.75" customHeight="1" x14ac:dyDescent="0.35"/>
    <row r="1387" ht="15.75" customHeight="1" x14ac:dyDescent="0.35"/>
    <row r="1388" ht="15.75" customHeight="1" x14ac:dyDescent="0.35"/>
    <row r="1389" ht="15.75" customHeight="1" x14ac:dyDescent="0.35"/>
    <row r="1390" ht="15.75" customHeight="1" x14ac:dyDescent="0.35"/>
    <row r="1391" ht="15.75" customHeight="1" x14ac:dyDescent="0.35"/>
    <row r="1392" ht="15.75" customHeight="1" x14ac:dyDescent="0.35"/>
    <row r="1393" ht="15.75" customHeight="1" x14ac:dyDescent="0.35"/>
    <row r="1394" ht="15.75" customHeight="1" x14ac:dyDescent="0.35"/>
    <row r="1395" ht="15.75" customHeight="1" x14ac:dyDescent="0.35"/>
    <row r="1396" ht="15.75" customHeight="1" x14ac:dyDescent="0.35"/>
    <row r="1397" ht="15.75" customHeight="1" x14ac:dyDescent="0.35"/>
    <row r="1398" ht="15.75" customHeight="1" x14ac:dyDescent="0.35"/>
    <row r="1399" ht="15.75" customHeight="1" x14ac:dyDescent="0.35"/>
    <row r="1400" ht="15.75" customHeight="1" x14ac:dyDescent="0.35"/>
    <row r="1401" ht="15.75" customHeight="1" x14ac:dyDescent="0.35"/>
    <row r="1402" ht="15.75" customHeight="1" x14ac:dyDescent="0.35"/>
    <row r="1403" ht="15.75" customHeight="1" x14ac:dyDescent="0.35"/>
    <row r="1404" ht="15.75" customHeight="1" x14ac:dyDescent="0.35"/>
    <row r="1405" ht="15.75" customHeight="1" x14ac:dyDescent="0.35"/>
    <row r="1406" ht="15.75" customHeight="1" x14ac:dyDescent="0.35"/>
    <row r="1407" ht="15.75" customHeight="1" x14ac:dyDescent="0.35"/>
    <row r="1408" ht="15.75" customHeight="1" x14ac:dyDescent="0.35"/>
    <row r="1409" ht="15.75" customHeight="1" x14ac:dyDescent="0.35"/>
    <row r="1410" ht="15.75" customHeight="1" x14ac:dyDescent="0.35"/>
    <row r="1411" ht="15.75" customHeight="1" x14ac:dyDescent="0.35"/>
    <row r="1412" ht="15.75" customHeight="1" x14ac:dyDescent="0.35"/>
    <row r="1413" ht="15.75" customHeight="1" x14ac:dyDescent="0.35"/>
    <row r="1414" ht="15.75" customHeight="1" x14ac:dyDescent="0.35"/>
    <row r="1415" ht="15.75" customHeight="1" x14ac:dyDescent="0.35"/>
    <row r="1416" ht="15.75" customHeight="1" x14ac:dyDescent="0.35"/>
    <row r="1417" ht="15.75" customHeight="1" x14ac:dyDescent="0.35"/>
    <row r="1418" ht="15.75" customHeight="1" x14ac:dyDescent="0.35"/>
    <row r="1419" ht="15.75" customHeight="1" x14ac:dyDescent="0.35"/>
    <row r="1420" ht="15.75" customHeight="1" x14ac:dyDescent="0.35"/>
    <row r="1421" ht="15.75" customHeight="1" x14ac:dyDescent="0.35"/>
    <row r="1422" ht="15.75" customHeight="1" x14ac:dyDescent="0.35"/>
    <row r="1423" ht="15.75" customHeight="1" x14ac:dyDescent="0.35"/>
    <row r="1424" ht="15.75" customHeight="1" x14ac:dyDescent="0.35"/>
    <row r="1425" ht="15.75" customHeight="1" x14ac:dyDescent="0.35"/>
    <row r="1426" ht="15.75" customHeight="1" x14ac:dyDescent="0.35"/>
    <row r="1427" ht="15.75" customHeight="1" x14ac:dyDescent="0.35"/>
    <row r="1428" ht="15.75" customHeight="1" x14ac:dyDescent="0.35"/>
    <row r="1429" ht="15.75" customHeight="1" x14ac:dyDescent="0.35"/>
    <row r="1430" ht="15.75" customHeight="1" x14ac:dyDescent="0.35"/>
    <row r="1431" ht="15.75" customHeight="1" x14ac:dyDescent="0.35"/>
    <row r="1432" ht="15.75" customHeight="1" x14ac:dyDescent="0.35"/>
    <row r="1433" ht="15.75" customHeight="1" x14ac:dyDescent="0.35"/>
    <row r="1434" ht="15.75" customHeight="1" x14ac:dyDescent="0.35"/>
    <row r="1435" ht="15.75" customHeight="1" x14ac:dyDescent="0.35"/>
    <row r="1436" ht="15.75" customHeight="1" x14ac:dyDescent="0.35"/>
    <row r="1437" ht="15.75" customHeight="1" x14ac:dyDescent="0.35"/>
    <row r="1438" ht="15.75" customHeight="1" x14ac:dyDescent="0.35"/>
    <row r="1439" ht="15.75" customHeight="1" x14ac:dyDescent="0.35"/>
    <row r="1440" ht="15.75" customHeight="1" x14ac:dyDescent="0.35"/>
    <row r="1441" ht="15.75" customHeight="1" x14ac:dyDescent="0.35"/>
    <row r="1442" ht="15.75" customHeight="1" x14ac:dyDescent="0.35"/>
    <row r="1443" ht="15.75" customHeight="1" x14ac:dyDescent="0.35"/>
    <row r="1444" ht="15.75" customHeight="1" x14ac:dyDescent="0.35"/>
    <row r="1445" ht="15.75" customHeight="1" x14ac:dyDescent="0.35"/>
    <row r="1446" ht="15.75" customHeight="1" x14ac:dyDescent="0.35"/>
    <row r="1447" ht="15.75" customHeight="1" x14ac:dyDescent="0.35"/>
    <row r="1448" ht="15.75" customHeight="1" x14ac:dyDescent="0.35"/>
    <row r="1449" ht="15.75" customHeight="1" x14ac:dyDescent="0.35"/>
    <row r="1450" ht="15.75" customHeight="1" x14ac:dyDescent="0.35"/>
    <row r="1451" ht="15.75" customHeight="1" x14ac:dyDescent="0.35"/>
    <row r="1452" ht="15.75" customHeight="1" x14ac:dyDescent="0.35"/>
    <row r="1453" ht="15.75" customHeight="1" x14ac:dyDescent="0.35"/>
    <row r="1454" ht="15.75" customHeight="1" x14ac:dyDescent="0.35"/>
    <row r="1455" ht="15.75" customHeight="1" x14ac:dyDescent="0.35"/>
    <row r="1456" ht="15.75" customHeight="1" x14ac:dyDescent="0.35"/>
    <row r="1457" ht="15.75" customHeight="1" x14ac:dyDescent="0.35"/>
    <row r="1458" ht="15.75" customHeight="1" x14ac:dyDescent="0.35"/>
    <row r="1459" ht="15.75" customHeight="1" x14ac:dyDescent="0.35"/>
    <row r="1460" ht="15.75" customHeight="1" x14ac:dyDescent="0.35"/>
    <row r="1461" ht="15.75" customHeight="1" x14ac:dyDescent="0.35"/>
    <row r="1462" ht="15.75" customHeight="1" x14ac:dyDescent="0.35"/>
    <row r="1463" ht="15.75" customHeight="1" x14ac:dyDescent="0.35"/>
    <row r="1464" ht="15.75" customHeight="1" x14ac:dyDescent="0.35"/>
    <row r="1465" ht="15.75" customHeight="1" x14ac:dyDescent="0.35"/>
    <row r="1466" ht="15.75" customHeight="1" x14ac:dyDescent="0.35"/>
    <row r="1467" ht="15.75" customHeight="1" x14ac:dyDescent="0.35"/>
    <row r="1468" ht="15.75" customHeight="1" x14ac:dyDescent="0.35"/>
    <row r="1469" ht="15.75" customHeight="1" x14ac:dyDescent="0.35"/>
    <row r="1470" ht="15.75" customHeight="1" x14ac:dyDescent="0.35"/>
    <row r="1471" ht="15.75" customHeight="1" x14ac:dyDescent="0.35"/>
    <row r="1472" ht="15.75" customHeight="1" x14ac:dyDescent="0.35"/>
    <row r="1473" ht="15.75" customHeight="1" x14ac:dyDescent="0.35"/>
    <row r="1474" ht="15.75" customHeight="1" x14ac:dyDescent="0.35"/>
    <row r="1475" ht="15.75" customHeight="1" x14ac:dyDescent="0.35"/>
    <row r="1476" ht="15.75" customHeight="1" x14ac:dyDescent="0.35"/>
    <row r="1477" ht="15.75" customHeight="1" x14ac:dyDescent="0.35"/>
    <row r="1478" ht="15.75" customHeight="1" x14ac:dyDescent="0.35"/>
    <row r="1479" ht="15.75" customHeight="1" x14ac:dyDescent="0.35"/>
    <row r="1480" ht="15.75" customHeight="1" x14ac:dyDescent="0.35"/>
    <row r="1481" ht="15.75" customHeight="1" x14ac:dyDescent="0.35"/>
    <row r="1482" ht="15.75" customHeight="1" x14ac:dyDescent="0.35"/>
    <row r="1483" ht="15.75" customHeight="1" x14ac:dyDescent="0.35"/>
    <row r="1484" ht="15.75" customHeight="1" x14ac:dyDescent="0.35"/>
    <row r="1485" ht="15.75" customHeight="1" x14ac:dyDescent="0.35"/>
    <row r="1486" ht="15.75" customHeight="1" x14ac:dyDescent="0.35"/>
    <row r="1487" ht="15.75" customHeight="1" x14ac:dyDescent="0.35"/>
    <row r="1488" ht="15.75" customHeight="1" x14ac:dyDescent="0.35"/>
    <row r="1489" ht="15.75" customHeight="1" x14ac:dyDescent="0.35"/>
    <row r="1490" ht="15.75" customHeight="1" x14ac:dyDescent="0.35"/>
    <row r="1491" ht="15.75" customHeight="1" x14ac:dyDescent="0.35"/>
    <row r="1492" ht="15.75" customHeight="1" x14ac:dyDescent="0.35"/>
    <row r="1493" ht="15.75" customHeight="1" x14ac:dyDescent="0.35"/>
    <row r="1494" ht="15.75" customHeight="1" x14ac:dyDescent="0.35"/>
    <row r="1495" ht="15.75" customHeight="1" x14ac:dyDescent="0.35"/>
    <row r="1496" ht="15.75" customHeight="1" x14ac:dyDescent="0.35"/>
    <row r="1497" ht="15.75" customHeight="1" x14ac:dyDescent="0.35"/>
    <row r="1498" ht="15.75" customHeight="1" x14ac:dyDescent="0.35"/>
    <row r="1499" ht="15.75" customHeight="1" x14ac:dyDescent="0.35"/>
    <row r="1500" ht="15.75" customHeight="1" x14ac:dyDescent="0.35"/>
    <row r="1501" ht="15.75" customHeight="1" x14ac:dyDescent="0.35"/>
    <row r="1502" ht="15.75" customHeight="1" x14ac:dyDescent="0.35"/>
    <row r="1503" ht="15.75" customHeight="1" x14ac:dyDescent="0.35"/>
    <row r="1504" ht="15.75" customHeight="1" x14ac:dyDescent="0.35"/>
    <row r="1505" ht="15.75" customHeight="1" x14ac:dyDescent="0.35"/>
    <row r="1506" ht="15.75" customHeight="1" x14ac:dyDescent="0.35"/>
    <row r="1507" ht="15.75" customHeight="1" x14ac:dyDescent="0.35"/>
    <row r="1508" ht="15.75" customHeight="1" x14ac:dyDescent="0.35"/>
    <row r="1509" ht="15.75" customHeight="1" x14ac:dyDescent="0.35"/>
    <row r="1510" ht="15.75" customHeight="1" x14ac:dyDescent="0.35"/>
    <row r="1511" ht="15.75" customHeight="1" x14ac:dyDescent="0.35"/>
    <row r="1512" ht="15.75" customHeight="1" x14ac:dyDescent="0.35"/>
    <row r="1513" ht="15.75" customHeight="1" x14ac:dyDescent="0.35"/>
    <row r="1514" ht="15.75" customHeight="1" x14ac:dyDescent="0.35"/>
    <row r="1515" ht="15.75" customHeight="1" x14ac:dyDescent="0.35"/>
    <row r="1516" ht="15.75" customHeight="1" x14ac:dyDescent="0.35"/>
    <row r="1517" ht="15.75" customHeight="1" x14ac:dyDescent="0.35"/>
    <row r="1518" ht="15.75" customHeight="1" x14ac:dyDescent="0.35"/>
    <row r="1519" ht="15.75" customHeight="1" x14ac:dyDescent="0.35"/>
    <row r="1520" ht="15.75" customHeight="1" x14ac:dyDescent="0.35"/>
    <row r="1521" ht="15.75" customHeight="1" x14ac:dyDescent="0.35"/>
    <row r="1522" ht="15.75" customHeight="1" x14ac:dyDescent="0.35"/>
    <row r="1523" ht="15.75" customHeight="1" x14ac:dyDescent="0.35"/>
    <row r="1524" ht="15.75" customHeight="1" x14ac:dyDescent="0.35"/>
    <row r="1525" ht="15.75" customHeight="1" x14ac:dyDescent="0.35"/>
    <row r="1526" ht="15.75" customHeight="1" x14ac:dyDescent="0.35"/>
    <row r="1527" ht="15.75" customHeight="1" x14ac:dyDescent="0.35"/>
    <row r="1528" ht="15.75" customHeight="1" x14ac:dyDescent="0.35"/>
    <row r="1529" ht="15.75" customHeight="1" x14ac:dyDescent="0.35"/>
    <row r="1530" ht="15.75" customHeight="1" x14ac:dyDescent="0.35"/>
    <row r="1531" ht="15.75" customHeight="1" x14ac:dyDescent="0.35"/>
    <row r="1532" ht="15.75" customHeight="1" x14ac:dyDescent="0.35"/>
    <row r="1533" ht="15.75" customHeight="1" x14ac:dyDescent="0.35"/>
    <row r="1534" ht="15.75" customHeight="1" x14ac:dyDescent="0.35"/>
    <row r="1535" ht="15.75" customHeight="1" x14ac:dyDescent="0.35"/>
    <row r="1536" ht="15.75" customHeight="1" x14ac:dyDescent="0.35"/>
    <row r="1537" ht="15.75" customHeight="1" x14ac:dyDescent="0.35"/>
    <row r="1538" ht="15.75" customHeight="1" x14ac:dyDescent="0.35"/>
    <row r="1539" ht="15.75" customHeight="1" x14ac:dyDescent="0.35"/>
    <row r="1540" ht="15.75" customHeight="1" x14ac:dyDescent="0.35"/>
    <row r="1541" ht="15.75" customHeight="1" x14ac:dyDescent="0.35"/>
    <row r="1542" ht="15.75" customHeight="1" x14ac:dyDescent="0.35"/>
    <row r="1543" ht="15.75" customHeight="1" x14ac:dyDescent="0.35"/>
    <row r="1544" ht="15.75" customHeight="1" x14ac:dyDescent="0.35"/>
    <row r="1545" ht="15.75" customHeight="1" x14ac:dyDescent="0.35"/>
    <row r="1546" ht="15.75" customHeight="1" x14ac:dyDescent="0.35"/>
    <row r="1547" ht="15.75" customHeight="1" x14ac:dyDescent="0.35"/>
    <row r="1548" ht="15.75" customHeight="1" x14ac:dyDescent="0.35"/>
    <row r="1549" ht="15.75" customHeight="1" x14ac:dyDescent="0.35"/>
    <row r="1550" ht="15.75" customHeight="1" x14ac:dyDescent="0.35"/>
    <row r="1551" ht="15.75" customHeight="1" x14ac:dyDescent="0.35"/>
    <row r="1552" ht="15.75" customHeight="1" x14ac:dyDescent="0.35"/>
    <row r="1553" ht="15.75" customHeight="1" x14ac:dyDescent="0.35"/>
    <row r="1554" ht="15.75" customHeight="1" x14ac:dyDescent="0.35"/>
    <row r="1555" ht="15.75" customHeight="1" x14ac:dyDescent="0.35"/>
    <row r="1556" ht="15.75" customHeight="1" x14ac:dyDescent="0.35"/>
    <row r="1557" ht="15.75" customHeight="1" x14ac:dyDescent="0.35"/>
    <row r="1558" ht="15.75" customHeight="1" x14ac:dyDescent="0.35"/>
    <row r="1559" ht="15.75" customHeight="1" x14ac:dyDescent="0.35"/>
    <row r="1560" ht="15.75" customHeight="1" x14ac:dyDescent="0.35"/>
    <row r="1561" ht="15.75" customHeight="1" x14ac:dyDescent="0.35"/>
    <row r="1562" ht="15.75" customHeight="1" x14ac:dyDescent="0.35"/>
    <row r="1563" ht="15.75" customHeight="1" x14ac:dyDescent="0.35"/>
    <row r="1564" ht="15.75" customHeight="1" x14ac:dyDescent="0.35"/>
    <row r="1565" ht="15.75" customHeight="1" x14ac:dyDescent="0.35"/>
    <row r="1566" ht="15.75" customHeight="1" x14ac:dyDescent="0.35"/>
    <row r="1567" ht="15.75" customHeight="1" x14ac:dyDescent="0.35"/>
    <row r="1568" ht="15.75" customHeight="1" x14ac:dyDescent="0.35"/>
    <row r="1569" ht="15.75" customHeight="1" x14ac:dyDescent="0.35"/>
    <row r="1570" ht="15.75" customHeight="1" x14ac:dyDescent="0.35"/>
    <row r="1571" ht="15.75" customHeight="1" x14ac:dyDescent="0.35"/>
    <row r="1572" ht="15.75" customHeight="1" x14ac:dyDescent="0.35"/>
    <row r="1573" ht="15.75" customHeight="1" x14ac:dyDescent="0.35"/>
    <row r="1574" ht="15.75" customHeight="1" x14ac:dyDescent="0.35"/>
    <row r="1575" ht="15.75" customHeight="1" x14ac:dyDescent="0.35"/>
    <row r="1576" ht="15.75" customHeight="1" x14ac:dyDescent="0.35"/>
    <row r="1577" ht="15.75" customHeight="1" x14ac:dyDescent="0.35"/>
    <row r="1578" ht="15.75" customHeight="1" x14ac:dyDescent="0.35"/>
    <row r="1579" ht="15.75" customHeight="1" x14ac:dyDescent="0.35"/>
    <row r="1580" ht="15.75" customHeight="1" x14ac:dyDescent="0.35"/>
    <row r="1581" ht="15.75" customHeight="1" x14ac:dyDescent="0.35"/>
    <row r="1582" ht="15.75" customHeight="1" x14ac:dyDescent="0.35"/>
    <row r="1583" ht="15.75" customHeight="1" x14ac:dyDescent="0.35"/>
    <row r="1584" ht="15.75" customHeight="1" x14ac:dyDescent="0.35"/>
    <row r="1585" ht="15.75" customHeight="1" x14ac:dyDescent="0.35"/>
    <row r="1586" ht="15.75" customHeight="1" x14ac:dyDescent="0.35"/>
    <row r="1587" ht="15.75" customHeight="1" x14ac:dyDescent="0.35"/>
    <row r="1588" ht="15.75" customHeight="1" x14ac:dyDescent="0.35"/>
    <row r="1589" ht="15.75" customHeight="1" x14ac:dyDescent="0.35"/>
    <row r="1590" ht="15.75" customHeight="1" x14ac:dyDescent="0.35"/>
    <row r="1591" ht="15.75" customHeight="1" x14ac:dyDescent="0.35"/>
    <row r="1592" ht="15.75" customHeight="1" x14ac:dyDescent="0.35"/>
    <row r="1593" ht="15.75" customHeight="1" x14ac:dyDescent="0.35"/>
    <row r="1594" ht="15.75" customHeight="1" x14ac:dyDescent="0.35"/>
    <row r="1595" ht="15.75" customHeight="1" x14ac:dyDescent="0.35"/>
    <row r="1596" ht="15.75" customHeight="1" x14ac:dyDescent="0.35"/>
    <row r="1597" ht="15.75" customHeight="1" x14ac:dyDescent="0.35"/>
    <row r="1598" ht="15.75" customHeight="1" x14ac:dyDescent="0.35"/>
    <row r="1599" ht="15.75" customHeight="1" x14ac:dyDescent="0.35"/>
    <row r="1600" ht="15.75" customHeight="1" x14ac:dyDescent="0.35"/>
    <row r="1601" ht="15.75" customHeight="1" x14ac:dyDescent="0.35"/>
    <row r="1602" ht="15.75" customHeight="1" x14ac:dyDescent="0.35"/>
    <row r="1603" ht="15.75" customHeight="1" x14ac:dyDescent="0.35"/>
    <row r="1604" ht="15.75" customHeight="1" x14ac:dyDescent="0.35"/>
    <row r="1605" ht="15.75" customHeight="1" x14ac:dyDescent="0.35"/>
    <row r="1606" ht="15.75" customHeight="1" x14ac:dyDescent="0.35"/>
    <row r="1607" ht="15.75" customHeight="1" x14ac:dyDescent="0.35"/>
    <row r="1608" ht="15.75" customHeight="1" x14ac:dyDescent="0.35"/>
    <row r="1609" ht="15.75" customHeight="1" x14ac:dyDescent="0.35"/>
    <row r="1610" ht="15.75" customHeight="1" x14ac:dyDescent="0.35"/>
    <row r="1611" ht="15.75" customHeight="1" x14ac:dyDescent="0.35"/>
    <row r="1612" ht="15.75" customHeight="1" x14ac:dyDescent="0.35"/>
    <row r="1613" ht="15.75" customHeight="1" x14ac:dyDescent="0.35"/>
    <row r="1614" ht="15.75" customHeight="1" x14ac:dyDescent="0.35"/>
    <row r="1615" ht="15.75" customHeight="1" x14ac:dyDescent="0.35"/>
    <row r="1616" ht="15.75" customHeight="1" x14ac:dyDescent="0.35"/>
    <row r="1617" ht="15.75" customHeight="1" x14ac:dyDescent="0.35"/>
    <row r="1618" ht="15.75" customHeight="1" x14ac:dyDescent="0.35"/>
    <row r="1619" ht="15.75" customHeight="1" x14ac:dyDescent="0.35"/>
    <row r="1620" ht="15.75" customHeight="1" x14ac:dyDescent="0.35"/>
    <row r="1621" ht="15.75" customHeight="1" x14ac:dyDescent="0.35"/>
    <row r="1622" ht="15.75" customHeight="1" x14ac:dyDescent="0.35"/>
    <row r="1623" ht="15.75" customHeight="1" x14ac:dyDescent="0.35"/>
    <row r="1624" ht="15.75" customHeight="1" x14ac:dyDescent="0.35"/>
    <row r="1625" ht="15.75" customHeight="1" x14ac:dyDescent="0.35"/>
    <row r="1626" ht="15.75" customHeight="1" x14ac:dyDescent="0.35"/>
    <row r="1627" ht="15.75" customHeight="1" x14ac:dyDescent="0.35"/>
    <row r="1628" ht="15.75" customHeight="1" x14ac:dyDescent="0.35"/>
    <row r="1629" ht="15.75" customHeight="1" x14ac:dyDescent="0.35"/>
    <row r="1630" ht="15.75" customHeight="1" x14ac:dyDescent="0.35"/>
    <row r="1631" ht="15.75" customHeight="1" x14ac:dyDescent="0.35"/>
    <row r="1632" ht="15.75" customHeight="1" x14ac:dyDescent="0.35"/>
    <row r="1633" ht="15.75" customHeight="1" x14ac:dyDescent="0.35"/>
    <row r="1634" ht="15.75" customHeight="1" x14ac:dyDescent="0.35"/>
    <row r="1635" ht="15.75" customHeight="1" x14ac:dyDescent="0.35"/>
    <row r="1636" ht="15.75" customHeight="1" x14ac:dyDescent="0.35"/>
    <row r="1637" ht="15.75" customHeight="1" x14ac:dyDescent="0.35"/>
    <row r="1638" ht="15.75" customHeight="1" x14ac:dyDescent="0.35"/>
    <row r="1639" ht="15.75" customHeight="1" x14ac:dyDescent="0.35"/>
    <row r="1640" ht="15.75" customHeight="1" x14ac:dyDescent="0.35"/>
    <row r="1641" ht="15.75" customHeight="1" x14ac:dyDescent="0.35"/>
    <row r="1642" ht="15.75" customHeight="1" x14ac:dyDescent="0.35"/>
    <row r="1643" ht="15.75" customHeight="1" x14ac:dyDescent="0.35"/>
    <row r="1644" ht="15.75" customHeight="1" x14ac:dyDescent="0.35"/>
    <row r="1645" ht="15.75" customHeight="1" x14ac:dyDescent="0.35"/>
    <row r="1646" ht="15.75" customHeight="1" x14ac:dyDescent="0.35"/>
    <row r="1647" ht="15.75" customHeight="1" x14ac:dyDescent="0.35"/>
    <row r="1648" ht="15.75" customHeight="1" x14ac:dyDescent="0.35"/>
    <row r="1649" ht="15.75" customHeight="1" x14ac:dyDescent="0.35"/>
    <row r="1650" ht="15.75" customHeight="1" x14ac:dyDescent="0.35"/>
    <row r="1651" ht="15.75" customHeight="1" x14ac:dyDescent="0.35"/>
    <row r="1652" ht="15.75" customHeight="1" x14ac:dyDescent="0.35"/>
    <row r="1653" ht="15.75" customHeight="1" x14ac:dyDescent="0.35"/>
    <row r="1654" ht="15.75" customHeight="1" x14ac:dyDescent="0.35"/>
    <row r="1655" ht="15.75" customHeight="1" x14ac:dyDescent="0.35"/>
    <row r="1656" ht="15.75" customHeight="1" x14ac:dyDescent="0.35"/>
    <row r="1657" ht="15.75" customHeight="1" x14ac:dyDescent="0.35"/>
    <row r="1658" ht="15.75" customHeight="1" x14ac:dyDescent="0.35"/>
    <row r="1659" ht="15.75" customHeight="1" x14ac:dyDescent="0.35"/>
    <row r="1660" ht="15.75" customHeight="1" x14ac:dyDescent="0.35"/>
    <row r="1661" ht="15.75" customHeight="1" x14ac:dyDescent="0.35"/>
    <row r="1662" ht="15.75" customHeight="1" x14ac:dyDescent="0.35"/>
    <row r="1663" ht="15.75" customHeight="1" x14ac:dyDescent="0.35"/>
    <row r="1664" ht="15.75" customHeight="1" x14ac:dyDescent="0.35"/>
    <row r="1665" ht="15.75" customHeight="1" x14ac:dyDescent="0.35"/>
    <row r="1666" ht="15.75" customHeight="1" x14ac:dyDescent="0.35"/>
    <row r="1667" ht="15.75" customHeight="1" x14ac:dyDescent="0.35"/>
    <row r="1668" ht="15.75" customHeight="1" x14ac:dyDescent="0.35"/>
    <row r="1669" ht="15.75" customHeight="1" x14ac:dyDescent="0.35"/>
    <row r="1670" ht="15.75" customHeight="1" x14ac:dyDescent="0.35"/>
    <row r="1671" ht="15.75" customHeight="1" x14ac:dyDescent="0.35"/>
    <row r="1672" ht="15.75" customHeight="1" x14ac:dyDescent="0.35"/>
    <row r="1673" ht="15.75" customHeight="1" x14ac:dyDescent="0.35"/>
    <row r="1674" ht="15.75" customHeight="1" x14ac:dyDescent="0.35"/>
    <row r="1675" ht="15.75" customHeight="1" x14ac:dyDescent="0.35"/>
    <row r="1676" ht="15.75" customHeight="1" x14ac:dyDescent="0.35"/>
    <row r="1677" ht="15.75" customHeight="1" x14ac:dyDescent="0.35"/>
    <row r="1678" ht="15.75" customHeight="1" x14ac:dyDescent="0.35"/>
    <row r="1679" ht="15.75" customHeight="1" x14ac:dyDescent="0.35"/>
    <row r="1680" ht="15.75" customHeight="1" x14ac:dyDescent="0.35"/>
    <row r="1681" ht="15.75" customHeight="1" x14ac:dyDescent="0.35"/>
    <row r="1682" ht="15.75" customHeight="1" x14ac:dyDescent="0.35"/>
    <row r="1683" ht="15.75" customHeight="1" x14ac:dyDescent="0.35"/>
    <row r="1684" ht="15.75" customHeight="1" x14ac:dyDescent="0.35"/>
    <row r="1685" ht="15.75" customHeight="1" x14ac:dyDescent="0.35"/>
    <row r="1686" ht="15.75" customHeight="1" x14ac:dyDescent="0.35"/>
    <row r="1687" ht="15.75" customHeight="1" x14ac:dyDescent="0.35"/>
    <row r="1688" ht="15.75" customHeight="1" x14ac:dyDescent="0.35"/>
    <row r="1689" ht="15.75" customHeight="1" x14ac:dyDescent="0.35"/>
    <row r="1690" ht="15.75" customHeight="1" x14ac:dyDescent="0.35"/>
    <row r="1691" ht="15.75" customHeight="1" x14ac:dyDescent="0.35"/>
    <row r="1692" ht="15.75" customHeight="1" x14ac:dyDescent="0.35"/>
    <row r="1693" ht="15.75" customHeight="1" x14ac:dyDescent="0.35"/>
    <row r="1694" ht="15.75" customHeight="1" x14ac:dyDescent="0.35"/>
    <row r="1695" ht="15.75" customHeight="1" x14ac:dyDescent="0.35"/>
    <row r="1696" ht="15.75" customHeight="1" x14ac:dyDescent="0.35"/>
    <row r="1697" ht="15.75" customHeight="1" x14ac:dyDescent="0.35"/>
    <row r="1698" ht="15.75" customHeight="1" x14ac:dyDescent="0.35"/>
    <row r="1699" ht="15.75" customHeight="1" x14ac:dyDescent="0.35"/>
    <row r="1700" ht="15.75" customHeight="1" x14ac:dyDescent="0.35"/>
    <row r="1701" ht="15.75" customHeight="1" x14ac:dyDescent="0.35"/>
    <row r="1702" ht="15.75" customHeight="1" x14ac:dyDescent="0.35"/>
    <row r="1703" ht="15.75" customHeight="1" x14ac:dyDescent="0.35"/>
    <row r="1704" ht="15.75" customHeight="1" x14ac:dyDescent="0.35"/>
    <row r="1705" ht="15.75" customHeight="1" x14ac:dyDescent="0.35"/>
    <row r="1706" ht="15.75" customHeight="1" x14ac:dyDescent="0.35"/>
    <row r="1707" ht="15.75" customHeight="1" x14ac:dyDescent="0.35"/>
    <row r="1708" ht="15.75" customHeight="1" x14ac:dyDescent="0.35"/>
    <row r="1709" ht="15.75" customHeight="1" x14ac:dyDescent="0.35"/>
    <row r="1710" ht="15.75" customHeight="1" x14ac:dyDescent="0.35"/>
    <row r="1711" ht="15.75" customHeight="1" x14ac:dyDescent="0.35"/>
    <row r="1712" ht="15.75" customHeight="1" x14ac:dyDescent="0.35"/>
    <row r="1713" ht="15.75" customHeight="1" x14ac:dyDescent="0.35"/>
    <row r="1714" ht="15.75" customHeight="1" x14ac:dyDescent="0.35"/>
    <row r="1715" ht="15.75" customHeight="1" x14ac:dyDescent="0.35"/>
    <row r="1716" ht="15.75" customHeight="1" x14ac:dyDescent="0.35"/>
    <row r="1717" ht="15.75" customHeight="1" x14ac:dyDescent="0.35"/>
    <row r="1718" ht="15.75" customHeight="1" x14ac:dyDescent="0.35"/>
    <row r="1719" ht="15.75" customHeight="1" x14ac:dyDescent="0.35"/>
    <row r="1720" ht="15.75" customHeight="1" x14ac:dyDescent="0.35"/>
    <row r="1721" ht="15.75" customHeight="1" x14ac:dyDescent="0.35"/>
    <row r="1722" ht="15.75" customHeight="1" x14ac:dyDescent="0.35"/>
    <row r="1723" ht="15.75" customHeight="1" x14ac:dyDescent="0.35"/>
    <row r="1724" ht="15.75" customHeight="1" x14ac:dyDescent="0.35"/>
    <row r="1725" ht="15.75" customHeight="1" x14ac:dyDescent="0.35"/>
    <row r="1726" ht="15.75" customHeight="1" x14ac:dyDescent="0.35"/>
    <row r="1727" ht="15.75" customHeight="1" x14ac:dyDescent="0.35"/>
    <row r="1728" ht="15.75" customHeight="1" x14ac:dyDescent="0.35"/>
    <row r="1729" ht="15.75" customHeight="1" x14ac:dyDescent="0.35"/>
    <row r="1730" ht="15.75" customHeight="1" x14ac:dyDescent="0.35"/>
    <row r="1731" ht="15.75" customHeight="1" x14ac:dyDescent="0.35"/>
    <row r="1732" ht="15.75" customHeight="1" x14ac:dyDescent="0.35"/>
    <row r="1733" ht="15.75" customHeight="1" x14ac:dyDescent="0.35"/>
    <row r="1734" ht="15.75" customHeight="1" x14ac:dyDescent="0.35"/>
    <row r="1735" ht="15.75" customHeight="1" x14ac:dyDescent="0.35"/>
    <row r="1736" ht="15.75" customHeight="1" x14ac:dyDescent="0.35"/>
    <row r="1737" ht="15.75" customHeight="1" x14ac:dyDescent="0.35"/>
    <row r="1738" ht="15.75" customHeight="1" x14ac:dyDescent="0.35"/>
    <row r="1739" ht="15.75" customHeight="1" x14ac:dyDescent="0.35"/>
    <row r="1740" ht="15.75" customHeight="1" x14ac:dyDescent="0.35"/>
    <row r="1741" ht="15.75" customHeight="1" x14ac:dyDescent="0.35"/>
    <row r="1742" ht="15.75" customHeight="1" x14ac:dyDescent="0.35"/>
    <row r="1743" ht="15.75" customHeight="1" x14ac:dyDescent="0.35"/>
    <row r="1744" ht="15.75" customHeight="1" x14ac:dyDescent="0.35"/>
    <row r="1745" ht="15.75" customHeight="1" x14ac:dyDescent="0.35"/>
    <row r="1746" ht="15.75" customHeight="1" x14ac:dyDescent="0.35"/>
    <row r="1747" ht="15.75" customHeight="1" x14ac:dyDescent="0.35"/>
    <row r="1748" ht="15.75" customHeight="1" x14ac:dyDescent="0.35"/>
    <row r="1749" ht="15.75" customHeight="1" x14ac:dyDescent="0.35"/>
    <row r="1750" ht="15.75" customHeight="1" x14ac:dyDescent="0.35"/>
    <row r="1751" ht="15.75" customHeight="1" x14ac:dyDescent="0.35"/>
    <row r="1752" ht="15.75" customHeight="1" x14ac:dyDescent="0.35"/>
    <row r="1753" ht="15.75" customHeight="1" x14ac:dyDescent="0.35"/>
    <row r="1754" ht="15.75" customHeight="1" x14ac:dyDescent="0.35"/>
    <row r="1755" ht="15.75" customHeight="1" x14ac:dyDescent="0.35"/>
    <row r="1756" ht="15.75" customHeight="1" x14ac:dyDescent="0.35"/>
    <row r="1757" ht="15.75" customHeight="1" x14ac:dyDescent="0.35"/>
    <row r="1758" ht="15.75" customHeight="1" x14ac:dyDescent="0.35"/>
    <row r="1759" ht="15.75" customHeight="1" x14ac:dyDescent="0.35"/>
    <row r="1760" ht="15.75" customHeight="1" x14ac:dyDescent="0.35"/>
    <row r="1761" ht="15.75" customHeight="1" x14ac:dyDescent="0.35"/>
    <row r="1762" ht="15.75" customHeight="1" x14ac:dyDescent="0.35"/>
    <row r="1763" ht="15.75" customHeight="1" x14ac:dyDescent="0.35"/>
    <row r="1764" ht="15.75" customHeight="1" x14ac:dyDescent="0.35"/>
    <row r="1765" ht="15.75" customHeight="1" x14ac:dyDescent="0.35"/>
    <row r="1766" ht="15.75" customHeight="1" x14ac:dyDescent="0.35"/>
    <row r="1767" ht="15.75" customHeight="1" x14ac:dyDescent="0.35"/>
    <row r="1768" ht="15.75" customHeight="1" x14ac:dyDescent="0.35"/>
    <row r="1769" ht="15.75" customHeight="1" x14ac:dyDescent="0.35"/>
    <row r="1770" ht="15.75" customHeight="1" x14ac:dyDescent="0.35"/>
    <row r="1771" ht="15.75" customHeight="1" x14ac:dyDescent="0.35"/>
    <row r="1772" ht="15.75" customHeight="1" x14ac:dyDescent="0.35"/>
    <row r="1773" ht="15.75" customHeight="1" x14ac:dyDescent="0.35"/>
    <row r="1774" ht="15.75" customHeight="1" x14ac:dyDescent="0.35"/>
    <row r="1775" ht="15.75" customHeight="1" x14ac:dyDescent="0.35"/>
    <row r="1776" ht="15.75" customHeight="1" x14ac:dyDescent="0.35"/>
    <row r="1777" ht="15.75" customHeight="1" x14ac:dyDescent="0.35"/>
    <row r="1778" ht="15.75" customHeight="1" x14ac:dyDescent="0.35"/>
    <row r="1779" ht="15.75" customHeight="1" x14ac:dyDescent="0.35"/>
    <row r="1780" ht="15.75" customHeight="1" x14ac:dyDescent="0.35"/>
    <row r="1781" ht="15.75" customHeight="1" x14ac:dyDescent="0.35"/>
    <row r="1782" ht="15.75" customHeight="1" x14ac:dyDescent="0.35"/>
    <row r="1783" ht="15.75" customHeight="1" x14ac:dyDescent="0.35"/>
    <row r="1784" ht="15.75" customHeight="1" x14ac:dyDescent="0.35"/>
    <row r="1785" ht="15.75" customHeight="1" x14ac:dyDescent="0.35"/>
    <row r="1786" ht="15.75" customHeight="1" x14ac:dyDescent="0.35"/>
    <row r="1787" ht="15.75" customHeight="1" x14ac:dyDescent="0.35"/>
    <row r="1788" ht="15.75" customHeight="1" x14ac:dyDescent="0.35"/>
    <row r="1789" ht="15.75" customHeight="1" x14ac:dyDescent="0.35"/>
    <row r="1790" ht="15.75" customHeight="1" x14ac:dyDescent="0.35"/>
    <row r="1791" ht="15.75" customHeight="1" x14ac:dyDescent="0.35"/>
    <row r="1792" ht="15.75" customHeight="1" x14ac:dyDescent="0.35"/>
    <row r="1793" ht="15.75" customHeight="1" x14ac:dyDescent="0.35"/>
    <row r="1794" ht="15.75" customHeight="1" x14ac:dyDescent="0.35"/>
    <row r="1795" ht="15.75" customHeight="1" x14ac:dyDescent="0.35"/>
    <row r="1796" ht="15.75" customHeight="1" x14ac:dyDescent="0.35"/>
    <row r="1797" ht="15.75" customHeight="1" x14ac:dyDescent="0.35"/>
    <row r="1798" ht="15.75" customHeight="1" x14ac:dyDescent="0.35"/>
    <row r="1799" ht="15.75" customHeight="1" x14ac:dyDescent="0.35"/>
    <row r="1800" ht="15.75" customHeight="1" x14ac:dyDescent="0.35"/>
    <row r="1801" ht="15.75" customHeight="1" x14ac:dyDescent="0.35"/>
    <row r="1802" ht="15.75" customHeight="1" x14ac:dyDescent="0.35"/>
    <row r="1803" ht="15.75" customHeight="1" x14ac:dyDescent="0.35"/>
    <row r="1804" ht="15.75" customHeight="1" x14ac:dyDescent="0.35"/>
    <row r="1805" ht="15.75" customHeight="1" x14ac:dyDescent="0.35"/>
    <row r="1806" ht="15.75" customHeight="1" x14ac:dyDescent="0.35"/>
    <row r="1807" ht="15.75" customHeight="1" x14ac:dyDescent="0.35"/>
    <row r="1808" ht="15.75" customHeight="1" x14ac:dyDescent="0.35"/>
    <row r="1809" ht="15.75" customHeight="1" x14ac:dyDescent="0.35"/>
    <row r="1810" ht="15.75" customHeight="1" x14ac:dyDescent="0.35"/>
    <row r="1811" ht="15.75" customHeight="1" x14ac:dyDescent="0.35"/>
    <row r="1812" ht="15.75" customHeight="1" x14ac:dyDescent="0.35"/>
    <row r="1813" ht="15.75" customHeight="1" x14ac:dyDescent="0.35"/>
    <row r="1814" ht="15.75" customHeight="1" x14ac:dyDescent="0.35"/>
    <row r="1815" ht="15.75" customHeight="1" x14ac:dyDescent="0.35"/>
    <row r="1816" ht="15.75" customHeight="1" x14ac:dyDescent="0.35"/>
    <row r="1817" ht="15.75" customHeight="1" x14ac:dyDescent="0.35"/>
    <row r="1818" ht="15.75" customHeight="1" x14ac:dyDescent="0.35"/>
    <row r="1819" ht="15.75" customHeight="1" x14ac:dyDescent="0.35"/>
    <row r="1820" ht="15.75" customHeight="1" x14ac:dyDescent="0.35"/>
    <row r="1821" ht="15.75" customHeight="1" x14ac:dyDescent="0.35"/>
    <row r="1822" ht="15.75" customHeight="1" x14ac:dyDescent="0.35"/>
    <row r="1823" ht="15.75" customHeight="1" x14ac:dyDescent="0.35"/>
    <row r="1824" ht="15.75" customHeight="1" x14ac:dyDescent="0.35"/>
    <row r="1825" ht="15.75" customHeight="1" x14ac:dyDescent="0.35"/>
    <row r="1826" ht="15.75" customHeight="1" x14ac:dyDescent="0.35"/>
    <row r="1827" ht="15.75" customHeight="1" x14ac:dyDescent="0.35"/>
    <row r="1828" ht="15.75" customHeight="1" x14ac:dyDescent="0.35"/>
    <row r="1829" ht="15.75" customHeight="1" x14ac:dyDescent="0.35"/>
    <row r="1830" ht="15.75" customHeight="1" x14ac:dyDescent="0.35"/>
    <row r="1831" ht="15.75" customHeight="1" x14ac:dyDescent="0.35"/>
    <row r="1832" ht="15.75" customHeight="1" x14ac:dyDescent="0.35"/>
    <row r="1833" ht="15.75" customHeight="1" x14ac:dyDescent="0.35"/>
    <row r="1834" ht="15.75" customHeight="1" x14ac:dyDescent="0.35"/>
    <row r="1835" ht="15.75" customHeight="1" x14ac:dyDescent="0.35"/>
    <row r="1836" ht="15.75" customHeight="1" x14ac:dyDescent="0.35"/>
    <row r="1837" ht="15.75" customHeight="1" x14ac:dyDescent="0.35"/>
    <row r="1838" ht="15.75" customHeight="1" x14ac:dyDescent="0.35"/>
    <row r="1839" ht="15.75" customHeight="1" x14ac:dyDescent="0.35"/>
    <row r="1840" ht="15.75" customHeight="1" x14ac:dyDescent="0.35"/>
    <row r="1841" ht="15.75" customHeight="1" x14ac:dyDescent="0.35"/>
    <row r="1842" ht="15.75" customHeight="1" x14ac:dyDescent="0.35"/>
    <row r="1843" ht="15.75" customHeight="1" x14ac:dyDescent="0.35"/>
    <row r="1844" ht="15.75" customHeight="1" x14ac:dyDescent="0.35"/>
    <row r="1845" ht="15.75" customHeight="1" x14ac:dyDescent="0.35"/>
    <row r="1846" ht="15.75" customHeight="1" x14ac:dyDescent="0.35"/>
    <row r="1847" ht="15.75" customHeight="1" x14ac:dyDescent="0.35"/>
    <row r="1848" ht="15.75" customHeight="1" x14ac:dyDescent="0.35"/>
    <row r="1849" ht="15.75" customHeight="1" x14ac:dyDescent="0.35"/>
    <row r="1850" ht="15.75" customHeight="1" x14ac:dyDescent="0.35"/>
    <row r="1851" ht="15.75" customHeight="1" x14ac:dyDescent="0.35"/>
    <row r="1852" ht="15.75" customHeight="1" x14ac:dyDescent="0.35"/>
    <row r="1853" ht="15.75" customHeight="1" x14ac:dyDescent="0.35"/>
    <row r="1854" ht="15.75" customHeight="1" x14ac:dyDescent="0.35"/>
    <row r="1855" ht="15.75" customHeight="1" x14ac:dyDescent="0.35"/>
    <row r="1856" ht="15.75" customHeight="1" x14ac:dyDescent="0.35"/>
    <row r="1857" ht="15.75" customHeight="1" x14ac:dyDescent="0.35"/>
    <row r="1858" ht="15.75" customHeight="1" x14ac:dyDescent="0.35"/>
    <row r="1859" ht="15.75" customHeight="1" x14ac:dyDescent="0.35"/>
    <row r="1860" ht="15.75" customHeight="1" x14ac:dyDescent="0.35"/>
    <row r="1861" ht="15.75" customHeight="1" x14ac:dyDescent="0.35"/>
    <row r="1862" ht="15.75" customHeight="1" x14ac:dyDescent="0.35"/>
    <row r="1863" ht="15.75" customHeight="1" x14ac:dyDescent="0.35"/>
    <row r="1864" ht="15.75" customHeight="1" x14ac:dyDescent="0.35"/>
    <row r="1865" ht="15.75" customHeight="1" x14ac:dyDescent="0.35"/>
    <row r="1866" ht="15.75" customHeight="1" x14ac:dyDescent="0.35"/>
    <row r="1867" ht="15.75" customHeight="1" x14ac:dyDescent="0.35"/>
    <row r="1868" ht="15.75" customHeight="1" x14ac:dyDescent="0.35"/>
    <row r="1869" ht="15.75" customHeight="1" x14ac:dyDescent="0.35"/>
    <row r="1870" ht="15.75" customHeight="1" x14ac:dyDescent="0.35"/>
    <row r="1871" ht="15.75" customHeight="1" x14ac:dyDescent="0.35"/>
    <row r="1872" ht="15.75" customHeight="1" x14ac:dyDescent="0.35"/>
    <row r="1873" ht="15.75" customHeight="1" x14ac:dyDescent="0.35"/>
    <row r="1874" ht="15.75" customHeight="1" x14ac:dyDescent="0.35"/>
    <row r="1875" ht="15.75" customHeight="1" x14ac:dyDescent="0.35"/>
    <row r="1876" ht="15.75" customHeight="1" x14ac:dyDescent="0.35"/>
    <row r="1877" ht="15.75" customHeight="1" x14ac:dyDescent="0.35"/>
    <row r="1878" ht="15.75" customHeight="1" x14ac:dyDescent="0.35"/>
    <row r="1879" ht="15.75" customHeight="1" x14ac:dyDescent="0.35"/>
    <row r="1880" ht="15.75" customHeight="1" x14ac:dyDescent="0.35"/>
    <row r="1881" ht="15.75" customHeight="1" x14ac:dyDescent="0.35"/>
    <row r="1882" ht="15.75" customHeight="1" x14ac:dyDescent="0.35"/>
    <row r="1883" ht="15.75" customHeight="1" x14ac:dyDescent="0.35"/>
    <row r="1884" ht="15.75" customHeight="1" x14ac:dyDescent="0.35"/>
    <row r="1885" ht="15.75" customHeight="1" x14ac:dyDescent="0.35"/>
    <row r="1886" ht="15.75" customHeight="1" x14ac:dyDescent="0.35"/>
    <row r="1887" ht="15.75" customHeight="1" x14ac:dyDescent="0.35"/>
    <row r="1888" ht="15.75" customHeight="1" x14ac:dyDescent="0.35"/>
    <row r="1889" ht="15.75" customHeight="1" x14ac:dyDescent="0.35"/>
    <row r="1890" ht="15.75" customHeight="1" x14ac:dyDescent="0.35"/>
    <row r="1891" ht="15.75" customHeight="1" x14ac:dyDescent="0.35"/>
    <row r="1892" ht="15.75" customHeight="1" x14ac:dyDescent="0.35"/>
    <row r="1893" ht="15.75" customHeight="1" x14ac:dyDescent="0.35"/>
    <row r="1894" ht="15.75" customHeight="1" x14ac:dyDescent="0.35"/>
    <row r="1895" ht="15.75" customHeight="1" x14ac:dyDescent="0.35"/>
    <row r="1896" ht="15.75" customHeight="1" x14ac:dyDescent="0.35"/>
    <row r="1897" ht="15.75" customHeight="1" x14ac:dyDescent="0.35"/>
    <row r="1898" ht="15.75" customHeight="1" x14ac:dyDescent="0.35"/>
    <row r="1899" ht="15.75" customHeight="1" x14ac:dyDescent="0.35"/>
    <row r="1900" ht="15.75" customHeight="1" x14ac:dyDescent="0.35"/>
    <row r="1901" ht="15.75" customHeight="1" x14ac:dyDescent="0.35"/>
    <row r="1902" ht="15.75" customHeight="1" x14ac:dyDescent="0.35"/>
    <row r="1903" ht="15.75" customHeight="1" x14ac:dyDescent="0.35"/>
    <row r="1904" ht="15.75" customHeight="1" x14ac:dyDescent="0.35"/>
    <row r="1905" ht="15.75" customHeight="1" x14ac:dyDescent="0.35"/>
    <row r="1906" ht="15.75" customHeight="1" x14ac:dyDescent="0.35"/>
    <row r="1907" ht="15.75" customHeight="1" x14ac:dyDescent="0.35"/>
    <row r="1908" ht="15.75" customHeight="1" x14ac:dyDescent="0.35"/>
    <row r="1909" ht="15.75" customHeight="1" x14ac:dyDescent="0.35"/>
    <row r="1910" ht="15.75" customHeight="1" x14ac:dyDescent="0.35"/>
    <row r="1911" ht="15.75" customHeight="1" x14ac:dyDescent="0.35"/>
    <row r="1912" ht="15.75" customHeight="1" x14ac:dyDescent="0.35"/>
    <row r="1913" ht="15.75" customHeight="1" x14ac:dyDescent="0.35"/>
    <row r="1914" ht="15.75" customHeight="1" x14ac:dyDescent="0.35"/>
    <row r="1915" ht="15.75" customHeight="1" x14ac:dyDescent="0.35"/>
    <row r="1916" ht="15.75" customHeight="1" x14ac:dyDescent="0.35"/>
    <row r="1917" ht="15.75" customHeight="1" x14ac:dyDescent="0.35"/>
    <row r="1918" ht="15.75" customHeight="1" x14ac:dyDescent="0.35"/>
    <row r="1919" ht="15.75" customHeight="1" x14ac:dyDescent="0.35"/>
    <row r="1920" ht="15.75" customHeight="1" x14ac:dyDescent="0.35"/>
    <row r="1921" ht="15.75" customHeight="1" x14ac:dyDescent="0.35"/>
    <row r="1922" ht="15.75" customHeight="1" x14ac:dyDescent="0.35"/>
    <row r="1923" ht="15.75" customHeight="1" x14ac:dyDescent="0.35"/>
    <row r="1924" ht="15.75" customHeight="1" x14ac:dyDescent="0.35"/>
    <row r="1925" ht="15.75" customHeight="1" x14ac:dyDescent="0.35"/>
    <row r="1926" ht="15.75" customHeight="1" x14ac:dyDescent="0.35"/>
    <row r="1927" ht="15.75" customHeight="1" x14ac:dyDescent="0.35"/>
    <row r="1928" ht="15.75" customHeight="1" x14ac:dyDescent="0.35"/>
    <row r="1929" ht="15.75" customHeight="1" x14ac:dyDescent="0.35"/>
    <row r="1930" ht="15.75" customHeight="1" x14ac:dyDescent="0.35"/>
    <row r="1931" ht="15.75" customHeight="1" x14ac:dyDescent="0.35"/>
    <row r="1932" ht="15.75" customHeight="1" x14ac:dyDescent="0.35"/>
    <row r="1933" ht="15.75" customHeight="1" x14ac:dyDescent="0.35"/>
    <row r="1934" ht="15.75" customHeight="1" x14ac:dyDescent="0.35"/>
    <row r="1935" ht="15.75" customHeight="1" x14ac:dyDescent="0.35"/>
    <row r="1936" ht="15.75" customHeight="1" x14ac:dyDescent="0.35"/>
    <row r="1937" ht="15.75" customHeight="1" x14ac:dyDescent="0.35"/>
    <row r="1938" ht="15.75" customHeight="1" x14ac:dyDescent="0.35"/>
    <row r="1939" ht="15.75" customHeight="1" x14ac:dyDescent="0.35"/>
    <row r="1940" ht="15.75" customHeight="1" x14ac:dyDescent="0.35"/>
    <row r="1941" ht="15.75" customHeight="1" x14ac:dyDescent="0.35"/>
    <row r="1942" ht="15.75" customHeight="1" x14ac:dyDescent="0.35"/>
    <row r="1943" ht="15.75" customHeight="1" x14ac:dyDescent="0.35"/>
    <row r="1944" ht="15.75" customHeight="1" x14ac:dyDescent="0.35"/>
    <row r="1945" ht="15.75" customHeight="1" x14ac:dyDescent="0.35"/>
    <row r="1946" ht="15.75" customHeight="1" x14ac:dyDescent="0.35"/>
    <row r="1947" ht="15.75" customHeight="1" x14ac:dyDescent="0.35"/>
    <row r="1948" ht="15.75" customHeight="1" x14ac:dyDescent="0.35"/>
    <row r="1949" ht="15.75" customHeight="1" x14ac:dyDescent="0.35"/>
    <row r="1950" ht="15.75" customHeight="1" x14ac:dyDescent="0.35"/>
    <row r="1951" ht="15.75" customHeight="1" x14ac:dyDescent="0.35"/>
    <row r="1952" ht="15.75" customHeight="1" x14ac:dyDescent="0.35"/>
    <row r="1953" ht="15.75" customHeight="1" x14ac:dyDescent="0.35"/>
    <row r="1954" ht="15.75" customHeight="1" x14ac:dyDescent="0.35"/>
    <row r="1955" ht="15.75" customHeight="1" x14ac:dyDescent="0.35"/>
    <row r="1956" ht="15.75" customHeight="1" x14ac:dyDescent="0.35"/>
    <row r="1957" ht="15.75" customHeight="1" x14ac:dyDescent="0.35"/>
    <row r="1958" ht="15.75" customHeight="1" x14ac:dyDescent="0.35"/>
    <row r="1959" ht="15.75" customHeight="1" x14ac:dyDescent="0.35"/>
    <row r="1960" ht="15.75" customHeight="1" x14ac:dyDescent="0.35"/>
    <row r="1961" ht="15.75" customHeight="1" x14ac:dyDescent="0.35"/>
    <row r="1962" ht="15.75" customHeight="1" x14ac:dyDescent="0.35"/>
    <row r="1963" ht="15.75" customHeight="1" x14ac:dyDescent="0.35"/>
    <row r="1964" ht="15.75" customHeight="1" x14ac:dyDescent="0.35"/>
    <row r="1965" ht="15.75" customHeight="1" x14ac:dyDescent="0.35"/>
    <row r="1966" ht="15.75" customHeight="1" x14ac:dyDescent="0.35"/>
    <row r="1967" ht="15.75" customHeight="1" x14ac:dyDescent="0.35"/>
    <row r="1968" ht="15.75" customHeight="1" x14ac:dyDescent="0.35"/>
    <row r="1969" ht="15.75" customHeight="1" x14ac:dyDescent="0.35"/>
    <row r="1970" ht="15.75" customHeight="1" x14ac:dyDescent="0.35"/>
    <row r="1971" ht="15.75" customHeight="1" x14ac:dyDescent="0.35"/>
    <row r="1972" ht="15.75" customHeight="1" x14ac:dyDescent="0.35"/>
    <row r="1973" ht="15.75" customHeight="1" x14ac:dyDescent="0.35"/>
    <row r="1974" ht="15.75" customHeight="1" x14ac:dyDescent="0.35"/>
    <row r="1975" ht="15.75" customHeight="1" x14ac:dyDescent="0.35"/>
    <row r="1976" ht="15.75" customHeight="1" x14ac:dyDescent="0.35"/>
    <row r="1977" ht="15.75" customHeight="1" x14ac:dyDescent="0.35"/>
    <row r="1978" ht="15.75" customHeight="1" x14ac:dyDescent="0.35"/>
    <row r="1979" ht="15.75" customHeight="1" x14ac:dyDescent="0.35"/>
    <row r="1980" ht="15.75" customHeight="1" x14ac:dyDescent="0.35"/>
    <row r="1981" ht="15.75" customHeight="1" x14ac:dyDescent="0.35"/>
    <row r="1982" ht="15.75" customHeight="1" x14ac:dyDescent="0.35"/>
    <row r="1983" ht="15.75" customHeight="1" x14ac:dyDescent="0.35"/>
    <row r="1984" ht="15.75" customHeight="1" x14ac:dyDescent="0.35"/>
    <row r="1985" ht="15.75" customHeight="1" x14ac:dyDescent="0.35"/>
    <row r="1986" ht="15.75" customHeight="1" x14ac:dyDescent="0.35"/>
    <row r="1987" ht="15.75" customHeight="1" x14ac:dyDescent="0.35"/>
    <row r="1988" ht="15.75" customHeight="1" x14ac:dyDescent="0.35"/>
    <row r="1989" ht="15.75" customHeight="1" x14ac:dyDescent="0.35"/>
    <row r="1990" ht="15.75" customHeight="1" x14ac:dyDescent="0.35"/>
    <row r="1991" ht="15.75" customHeight="1" x14ac:dyDescent="0.35"/>
    <row r="1992" ht="15.75" customHeight="1" x14ac:dyDescent="0.35"/>
    <row r="1993" ht="15.75" customHeight="1" x14ac:dyDescent="0.35"/>
    <row r="1994" ht="15.75" customHeight="1" x14ac:dyDescent="0.35"/>
    <row r="1995" ht="15.75" customHeight="1" x14ac:dyDescent="0.35"/>
    <row r="1996" ht="15.75" customHeight="1" x14ac:dyDescent="0.35"/>
    <row r="1997" ht="15.75" customHeight="1" x14ac:dyDescent="0.35"/>
    <row r="1998" ht="15.75" customHeight="1" x14ac:dyDescent="0.35"/>
    <row r="1999" ht="15.75" customHeight="1" x14ac:dyDescent="0.35"/>
    <row r="2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999"/>
  <sheetViews>
    <sheetView workbookViewId="0"/>
  </sheetViews>
  <sheetFormatPr defaultColWidth="12.6328125" defaultRowHeight="15" customHeight="1" x14ac:dyDescent="0.35"/>
  <cols>
    <col min="1" max="1" width="29.54296875" bestFit="1" customWidth="1"/>
    <col min="2" max="2" width="51.26953125" bestFit="1" customWidth="1"/>
    <col min="3" max="3" width="32.81640625" bestFit="1" customWidth="1"/>
    <col min="4" max="4" width="9.36328125" bestFit="1" customWidth="1"/>
    <col min="5" max="5" width="7.36328125" bestFit="1" customWidth="1"/>
    <col min="6" max="6" width="8.90625" bestFit="1" customWidth="1"/>
    <col min="7" max="7" width="8.36328125" bestFit="1" customWidth="1"/>
    <col min="8" max="8" width="6.90625" bestFit="1" customWidth="1"/>
    <col min="9" max="9" width="7.08984375" bestFit="1" customWidth="1"/>
    <col min="10" max="10" width="10.453125" bestFit="1" customWidth="1"/>
    <col min="11" max="23" width="8.6328125" customWidth="1"/>
  </cols>
  <sheetData>
    <row r="1" spans="1:10" ht="19.5" x14ac:dyDescent="0.35">
      <c r="A1" s="11" t="s">
        <v>67</v>
      </c>
      <c r="B1" s="11" t="s">
        <v>68</v>
      </c>
      <c r="C1" s="11" t="s">
        <v>69</v>
      </c>
      <c r="D1" s="11" t="s">
        <v>58</v>
      </c>
      <c r="E1" s="11" t="s">
        <v>70</v>
      </c>
      <c r="F1" s="11" t="s">
        <v>71</v>
      </c>
      <c r="G1" s="11" t="s">
        <v>72</v>
      </c>
      <c r="H1" s="11" t="s">
        <v>73</v>
      </c>
      <c r="I1" s="11" t="s">
        <v>74</v>
      </c>
      <c r="J1" s="11" t="s">
        <v>75</v>
      </c>
    </row>
    <row r="2" spans="1:10" ht="17" x14ac:dyDescent="0.5">
      <c r="A2" s="16" t="s">
        <v>76</v>
      </c>
      <c r="B2" s="17" t="s">
        <v>77</v>
      </c>
      <c r="C2" s="17" t="s">
        <v>78</v>
      </c>
      <c r="D2" s="17" t="s">
        <v>72</v>
      </c>
      <c r="E2" s="17">
        <f>COUNTIFS('Final Report'!$O:$O, "*," &amp; $A2 &amp; ",*")
+ COUNTIFS('Final Report'!$O:$O, $A2 &amp; ",*")
+ COUNTIFS('Final Report'!$O:$O, "*," &amp; $A2)
+ COUNTIFS('Final Report'!$O:$O, $A2)</f>
      </c>
      <c r="F2" s="17">
        <f>COUNTIFS('Final Report'!$O:$O, $A2, 'Final Report'!$L:$L, F$1)</f>
      </c>
      <c r="G2" s="17">
        <f>COUNTIFS('Final Report'!$O:$O, $A2, 'Final Report'!$L:$L, G$1)</f>
      </c>
      <c r="H2" s="17">
        <f>COUNTIFS('Final Report'!$O:$O, $A2, 'Final Report'!$L:$L, H$1)</f>
      </c>
      <c r="I2" s="17">
        <f>COUNTIFS('Final Report'!$O:$O, $A2, 'Final Report'!$L:$L, I$1)</f>
      </c>
      <c r="J2" s="17" t="str">
        <f t="shared" ref="J2:J57" si="0">IF(E2=0, "Pass", "Fail")</f>
      </c>
    </row>
    <row r="3" spans="1:10" ht="17" x14ac:dyDescent="0.5">
      <c r="A3" s="16" t="s">
        <v>79</v>
      </c>
      <c r="B3" s="17" t="s">
        <v>80</v>
      </c>
      <c r="C3" s="17" t="s">
        <v>78</v>
      </c>
      <c r="D3" s="17" t="s">
        <v>73</v>
      </c>
      <c r="E3" s="17">
        <f>COUNTIFS('Final Report'!$O:$O, "*" &amp; $A3 &amp; "*")</f>
      </c>
      <c r="F3" s="17">
        <f>COUNTIFS('Final Report'!$O:$O, $A3, 'Final Report'!$L:$L, F$1)</f>
      </c>
      <c r="G3" s="17">
        <f>COUNTIFS('Final Report'!$O:$O, $A3, 'Final Report'!$L:$L, G$1)</f>
      </c>
      <c r="H3" s="17">
        <f>COUNTIFS('Final Report'!$O:$O, $A3, 'Final Report'!$L:$L, H$1)</f>
      </c>
      <c r="I3" s="17">
        <f>COUNTIFS('Final Report'!$O:$O, $A3, 'Final Report'!$L:$L, I$1)</f>
      </c>
      <c r="J3" s="17" t="str">
        <f t="shared" si="0"/>
        <v>Pass</v>
      </c>
    </row>
    <row r="4" spans="1:10" ht="17" x14ac:dyDescent="0.5">
      <c r="A4" s="16" t="s">
        <v>81</v>
      </c>
      <c r="B4" s="17" t="s">
        <v>82</v>
      </c>
      <c r="C4" s="17" t="s">
        <v>78</v>
      </c>
      <c r="D4" s="17" t="s">
        <v>73</v>
      </c>
      <c r="E4" s="17">
        <f>COUNTIFS('Final Report'!$O:$O, "*" &amp; $A4 &amp; "*")</f>
      </c>
      <c r="F4" s="17">
        <f>COUNTIFS('Final Report'!$O:$O, $A4, 'Final Report'!$L:$L, F$1)</f>
      </c>
      <c r="G4" s="17">
        <f>COUNTIFS('Final Report'!$O:$O, $A4, 'Final Report'!$L:$L, G$1)</f>
      </c>
      <c r="H4" s="17">
        <f>COUNTIFS('Final Report'!$O:$O, $A4, 'Final Report'!$L:$L, H$1)</f>
      </c>
      <c r="I4" s="17">
        <f>COUNTIFS('Final Report'!$O:$O, $A4, 'Final Report'!$L:$L, I$1)</f>
      </c>
      <c r="J4" s="17" t="str">
        <f t="shared" si="0"/>
        <v>Pass</v>
      </c>
    </row>
    <row r="5" spans="1:10" ht="17" x14ac:dyDescent="0.5">
      <c r="A5" s="16" t="s">
        <v>83</v>
      </c>
      <c r="B5" s="17" t="s">
        <v>84</v>
      </c>
      <c r="C5" s="17" t="s">
        <v>78</v>
      </c>
      <c r="D5" s="17" t="s">
        <v>73</v>
      </c>
      <c r="E5" s="17">
        <f>COUNTIFS('Final Report'!$O:$O, "*" &amp; $A5 &amp; "*")</f>
      </c>
      <c r="F5" s="17">
        <f>COUNTIFS('Final Report'!$O:$O, $A5, 'Final Report'!$L:$L, F$1)</f>
      </c>
      <c r="G5" s="17">
        <f>COUNTIFS('Final Report'!$O:$O, $A5, 'Final Report'!$L:$L, G$1)</f>
      </c>
      <c r="H5" s="17">
        <f>COUNTIFS('Final Report'!$O:$O, $A5, 'Final Report'!$L:$L, H$1)</f>
      </c>
      <c r="I5" s="17">
        <f>COUNTIFS('Final Report'!$O:$O, $A5, 'Final Report'!$L:$L, I$1)</f>
      </c>
      <c r="J5" s="17" t="str">
        <f t="shared" si="0"/>
        <v>Pass</v>
      </c>
    </row>
    <row r="6" spans="1:10" ht="17" x14ac:dyDescent="0.5">
      <c r="A6" s="16" t="s">
        <v>85</v>
      </c>
      <c r="B6" s="17" t="s">
        <v>86</v>
      </c>
      <c r="C6" s="17" t="s">
        <v>87</v>
      </c>
      <c r="D6" s="17" t="s">
        <v>74</v>
      </c>
      <c r="E6" s="17">
        <f>COUNTIFS('Final Report'!$O:$O, "*" &amp; $A6 &amp; "*")</f>
      </c>
      <c r="F6" s="17">
        <f>COUNTIFS('Final Report'!$O:$O, $A6, 'Final Report'!$L:$L, F$1)</f>
      </c>
      <c r="G6" s="17">
        <f>COUNTIFS('Final Report'!$O:$O, $A6, 'Final Report'!$L:$L, G$1)</f>
      </c>
      <c r="H6" s="17">
        <f>COUNTIFS('Final Report'!$O:$O, $A6, 'Final Report'!$L:$L, H$1)</f>
      </c>
      <c r="I6" s="17">
        <f>COUNTIFS('Final Report'!$O:$O, $A6, 'Final Report'!$L:$L, I$1)</f>
      </c>
      <c r="J6" s="17" t="str">
        <f t="shared" si="0"/>
        <v>Pass</v>
      </c>
    </row>
    <row r="7" spans="1:10" ht="17" x14ac:dyDescent="0.5">
      <c r="A7" s="16" t="s">
        <v>88</v>
      </c>
      <c r="B7" s="17" t="s">
        <v>89</v>
      </c>
      <c r="C7" s="17" t="s">
        <v>87</v>
      </c>
      <c r="D7" s="17" t="s">
        <v>73</v>
      </c>
      <c r="E7" s="17">
        <f>COUNTIFS('Final Report'!$O:$O, "*" &amp; $A7 &amp; "*")</f>
      </c>
      <c r="F7" s="17">
        <f>COUNTIFS('Final Report'!$O:$O, $A7, 'Final Report'!$L:$L, F$1)</f>
      </c>
      <c r="G7" s="17">
        <f>COUNTIFS('Final Report'!$O:$O, $A7, 'Final Report'!$L:$L, G$1)</f>
      </c>
      <c r="H7" s="17">
        <f>COUNTIFS('Final Report'!$O:$O, $A7, 'Final Report'!$L:$L, H$1)</f>
      </c>
      <c r="I7" s="17">
        <f>COUNTIFS('Final Report'!$O:$O, $A7, 'Final Report'!$L:$L, I$1)</f>
      </c>
      <c r="J7" s="17" t="str">
        <f t="shared" si="0"/>
        <v>Pass</v>
      </c>
    </row>
    <row r="8" spans="1:10" ht="17" x14ac:dyDescent="0.5">
      <c r="A8" s="16" t="s">
        <v>90</v>
      </c>
      <c r="B8" s="17" t="s">
        <v>91</v>
      </c>
      <c r="C8" s="17" t="s">
        <v>78</v>
      </c>
      <c r="D8" s="17" t="s">
        <v>72</v>
      </c>
      <c r="E8" s="17">
        <f>COUNTIFS('Final Report'!$O:$O, "*" &amp; $A8 &amp; "*")</f>
      </c>
      <c r="F8" s="17">
        <f>COUNTIFS('Final Report'!$O:$O, $A8, 'Final Report'!$L:$L, F$1)</f>
      </c>
      <c r="G8" s="17">
        <f>COUNTIFS('Final Report'!$O:$O, $A8, 'Final Report'!$L:$L, G$1)</f>
      </c>
      <c r="H8" s="17">
        <f>COUNTIFS('Final Report'!$O:$O, $A8, 'Final Report'!$L:$L, H$1)</f>
      </c>
      <c r="I8" s="17">
        <f>COUNTIFS('Final Report'!$O:$O, $A8, 'Final Report'!$L:$L, I$1)</f>
      </c>
      <c r="J8" s="17" t="str">
        <f t="shared" si="0"/>
        <v>Pass</v>
      </c>
    </row>
    <row r="9" spans="1:10" ht="17" x14ac:dyDescent="0.5">
      <c r="A9" s="16" t="s">
        <v>92</v>
      </c>
      <c r="B9" s="17" t="s">
        <v>93</v>
      </c>
      <c r="C9" s="17" t="s">
        <v>78</v>
      </c>
      <c r="D9" s="17" t="s">
        <v>73</v>
      </c>
      <c r="E9" s="17">
        <f>COUNTIFS('Final Report'!$O:$O, "*" &amp; $A9 &amp; "*")</f>
      </c>
      <c r="F9" s="17">
        <f>COUNTIFS('Final Report'!$O:$O, $A9, 'Final Report'!$L:$L, F$1)</f>
      </c>
      <c r="G9" s="17">
        <f>COUNTIFS('Final Report'!$O:$O, $A9, 'Final Report'!$L:$L, G$1)</f>
      </c>
      <c r="H9" s="17">
        <f>COUNTIFS('Final Report'!$O:$O, $A9, 'Final Report'!$L:$L, H$1)</f>
      </c>
      <c r="I9" s="17">
        <f>COUNTIFS('Final Report'!$O:$O, $A9, 'Final Report'!$L:$L, I$1)</f>
      </c>
      <c r="J9" s="17" t="str">
        <f t="shared" si="0"/>
        <v>Pass</v>
      </c>
    </row>
    <row r="10" spans="1:10" ht="17" x14ac:dyDescent="0.5">
      <c r="A10" s="16" t="s">
        <v>94</v>
      </c>
      <c r="B10" s="17" t="s">
        <v>95</v>
      </c>
      <c r="C10" s="17" t="s">
        <v>78</v>
      </c>
      <c r="D10" s="17" t="s">
        <v>74</v>
      </c>
      <c r="E10" s="17">
        <f>COUNTIFS('Final Report'!$O:$O, "*" &amp; $A10 &amp; "*")</f>
      </c>
      <c r="F10" s="17">
        <f>COUNTIFS('Final Report'!$O:$O, $A10, 'Final Report'!$L:$L, F$1)</f>
      </c>
      <c r="G10" s="17">
        <f>COUNTIFS('Final Report'!$O:$O, $A10, 'Final Report'!$L:$L, G$1)</f>
      </c>
      <c r="H10" s="17">
        <f>COUNTIFS('Final Report'!$O:$O, $A10, 'Final Report'!$L:$L, H$1)</f>
      </c>
      <c r="I10" s="17">
        <f>COUNTIFS('Final Report'!$O:$O, $A10, 'Final Report'!$L:$L, I$1)</f>
      </c>
      <c r="J10" s="17" t="str">
        <f t="shared" si="0"/>
        <v>Pass</v>
      </c>
    </row>
    <row r="11" spans="1:10" ht="17" x14ac:dyDescent="0.5">
      <c r="A11" s="16" t="s">
        <v>96</v>
      </c>
      <c r="B11" s="17" t="s">
        <v>97</v>
      </c>
      <c r="C11" s="17" t="s">
        <v>87</v>
      </c>
      <c r="D11" s="17" t="s">
        <v>73</v>
      </c>
      <c r="E11" s="17">
        <f>COUNTIFS('Final Report'!$O:$O, "*" &amp; $A11 &amp; "*")</f>
      </c>
      <c r="F11" s="17">
        <f>COUNTIFS('Final Report'!$O:$O, $A11, 'Final Report'!$L:$L, F$1)</f>
      </c>
      <c r="G11" s="17">
        <f>COUNTIFS('Final Report'!$O:$O, $A11, 'Final Report'!$L:$L, G$1)</f>
      </c>
      <c r="H11" s="17">
        <f>COUNTIFS('Final Report'!$O:$O, $A11, 'Final Report'!$L:$L, H$1)</f>
      </c>
      <c r="I11" s="17">
        <f>COUNTIFS('Final Report'!$O:$O, $A11, 'Final Report'!$L:$L, I$1)</f>
      </c>
      <c r="J11" s="17" t="str">
        <f t="shared" si="0"/>
        <v>Pass</v>
      </c>
    </row>
    <row r="12" spans="1:10" ht="17" x14ac:dyDescent="0.5">
      <c r="A12" s="16" t="s">
        <v>98</v>
      </c>
      <c r="B12" s="17" t="s">
        <v>99</v>
      </c>
      <c r="C12" s="17" t="s">
        <v>87</v>
      </c>
      <c r="D12" s="17" t="s">
        <v>74</v>
      </c>
      <c r="E12" s="17">
        <f>COUNTIFS('Final Report'!$O:$O, "*" &amp; $A12 &amp; "*")</f>
      </c>
      <c r="F12" s="17">
        <f>COUNTIFS('Final Report'!$O:$O, $A12, 'Final Report'!$L:$L, F$1)</f>
      </c>
      <c r="G12" s="17">
        <f>COUNTIFS('Final Report'!$O:$O, $A12, 'Final Report'!$L:$L, G$1)</f>
      </c>
      <c r="H12" s="17">
        <f>COUNTIFS('Final Report'!$O:$O, $A12, 'Final Report'!$L:$L, H$1)</f>
      </c>
      <c r="I12" s="17">
        <f>COUNTIFS('Final Report'!$O:$O, $A12, 'Final Report'!$L:$L, I$1)</f>
      </c>
      <c r="J12" s="17" t="str">
        <f t="shared" si="0"/>
        <v>Pass</v>
      </c>
    </row>
    <row r="13" spans="1:10" ht="17" x14ac:dyDescent="0.5">
      <c r="A13" s="16" t="s">
        <v>100</v>
      </c>
      <c r="B13" s="17" t="s">
        <v>101</v>
      </c>
      <c r="C13" s="17" t="s">
        <v>78</v>
      </c>
      <c r="D13" s="17" t="s">
        <v>73</v>
      </c>
      <c r="E13" s="17">
        <f>COUNTIFS('Final Report'!$O:$O, "*" &amp; $A13 &amp; "*")</f>
      </c>
      <c r="F13" s="17">
        <f>COUNTIFS('Final Report'!$O:$O, $A13, 'Final Report'!$L:$L, F$1)</f>
      </c>
      <c r="G13" s="17">
        <f>COUNTIFS('Final Report'!$O:$O, $A13, 'Final Report'!$L:$L, G$1)</f>
      </c>
      <c r="H13" s="17">
        <f>COUNTIFS('Final Report'!$O:$O, $A13, 'Final Report'!$L:$L, H$1)</f>
      </c>
      <c r="I13" s="17">
        <f>COUNTIFS('Final Report'!$O:$O, $A13, 'Final Report'!$L:$L, I$1)</f>
      </c>
      <c r="J13" s="17" t="str">
        <f t="shared" si="0"/>
        <v>Pass</v>
      </c>
    </row>
    <row r="14" spans="1:10" ht="17" x14ac:dyDescent="0.5">
      <c r="A14" s="16" t="s">
        <v>102</v>
      </c>
      <c r="B14" s="17" t="s">
        <v>103</v>
      </c>
      <c r="C14" s="17" t="s">
        <v>78</v>
      </c>
      <c r="D14" s="17" t="s">
        <v>73</v>
      </c>
      <c r="E14" s="17">
        <f>COUNTIFS('Final Report'!$O:$O, "*" &amp; $A14 &amp; "*")</f>
      </c>
      <c r="F14" s="17">
        <f>COUNTIFS('Final Report'!$O:$O, $A14, 'Final Report'!$L:$L, F$1)</f>
      </c>
      <c r="G14" s="17">
        <f>COUNTIFS('Final Report'!$O:$O, $A14, 'Final Report'!$L:$L, G$1)</f>
      </c>
      <c r="H14" s="17">
        <f>COUNTIFS('Final Report'!$O:$O, $A14, 'Final Report'!$L:$L, H$1)</f>
      </c>
      <c r="I14" s="17">
        <f>COUNTIFS('Final Report'!$O:$O, $A14, 'Final Report'!$L:$L, I$1)</f>
      </c>
      <c r="J14" s="17" t="str">
        <f t="shared" si="0"/>
        <v>Pass</v>
      </c>
    </row>
    <row r="15" spans="1:10" ht="17" x14ac:dyDescent="0.5">
      <c r="A15" s="16" t="s">
        <v>104</v>
      </c>
      <c r="B15" s="17" t="s">
        <v>105</v>
      </c>
      <c r="C15" s="17" t="s">
        <v>87</v>
      </c>
      <c r="D15" s="17" t="s">
        <v>72</v>
      </c>
      <c r="E15" s="17">
        <f>COUNTIFS('Final Report'!$O:$O, "*" &amp; $A15 &amp; "*")</f>
      </c>
      <c r="F15" s="17">
        <f>COUNTIFS('Final Report'!$O:$O, $A15, 'Final Report'!$L:$L, F$1)</f>
      </c>
      <c r="G15" s="17">
        <f>COUNTIFS('Final Report'!$O:$O, $A15, 'Final Report'!$L:$L, G$1)</f>
      </c>
      <c r="H15" s="17">
        <f>COUNTIFS('Final Report'!$O:$O, $A15, 'Final Report'!$L:$L, H$1)</f>
      </c>
      <c r="I15" s="17">
        <f>COUNTIFS('Final Report'!$O:$O, $A15, 'Final Report'!$L:$L, I$1)</f>
      </c>
      <c r="J15" s="17" t="str">
        <f t="shared" si="0"/>
        <v>Pass</v>
      </c>
    </row>
    <row r="16" spans="1:10" ht="17" x14ac:dyDescent="0.5">
      <c r="A16" s="16" t="s">
        <v>106</v>
      </c>
      <c r="B16" s="17" t="s">
        <v>107</v>
      </c>
      <c r="C16" s="17" t="s">
        <v>87</v>
      </c>
      <c r="D16" s="17" t="s">
        <v>73</v>
      </c>
      <c r="E16" s="17">
        <f>COUNTIFS('Final Report'!$O:$O, "*" &amp; $A16 &amp; "*")</f>
      </c>
      <c r="F16" s="17">
        <f>COUNTIFS('Final Report'!$O:$O, $A16, 'Final Report'!$L:$L, F$1)</f>
      </c>
      <c r="G16" s="17">
        <f>COUNTIFS('Final Report'!$O:$O, $A16, 'Final Report'!$L:$L, G$1)</f>
      </c>
      <c r="H16" s="17">
        <f>COUNTIFS('Final Report'!$O:$O, $A16, 'Final Report'!$L:$L, H$1)</f>
      </c>
      <c r="I16" s="17">
        <f>COUNTIFS('Final Report'!$O:$O, $A16, 'Final Report'!$L:$L, I$1)</f>
      </c>
      <c r="J16" s="17" t="str">
        <f t="shared" si="0"/>
        <v>Pass</v>
      </c>
    </row>
    <row r="17" spans="1:10" ht="17" x14ac:dyDescent="0.5">
      <c r="A17" s="16" t="s">
        <v>108</v>
      </c>
      <c r="B17" s="17" t="s">
        <v>109</v>
      </c>
      <c r="C17" s="17" t="s">
        <v>87</v>
      </c>
      <c r="D17" s="17" t="s">
        <v>74</v>
      </c>
      <c r="E17" s="17">
        <f>COUNTIFS('Final Report'!$O:$O, "*" &amp; $A17 &amp; "*")</f>
      </c>
      <c r="F17" s="17">
        <f>COUNTIFS('Final Report'!$O:$O, $A17, 'Final Report'!$L:$L, F$1)</f>
      </c>
      <c r="G17" s="17">
        <f>COUNTIFS('Final Report'!$O:$O, $A17, 'Final Report'!$L:$L, G$1)</f>
      </c>
      <c r="H17" s="17">
        <f>COUNTIFS('Final Report'!$O:$O, $A17, 'Final Report'!$L:$L, H$1)</f>
      </c>
      <c r="I17" s="17">
        <f>COUNTIFS('Final Report'!$O:$O, $A17, 'Final Report'!$L:$L, I$1)</f>
      </c>
      <c r="J17" s="17" t="str">
        <f t="shared" si="0"/>
        <v>Pass</v>
      </c>
    </row>
    <row r="18" spans="1:10" ht="17" x14ac:dyDescent="0.5">
      <c r="A18" s="16" t="s">
        <v>110</v>
      </c>
      <c r="B18" s="17" t="s">
        <v>111</v>
      </c>
      <c r="C18" s="17" t="s">
        <v>87</v>
      </c>
      <c r="D18" s="17" t="s">
        <v>74</v>
      </c>
      <c r="E18" s="17">
        <f>COUNTIFS('Final Report'!$O:$O, "*" &amp; $A18 &amp; "*")</f>
      </c>
      <c r="F18" s="17">
        <f>COUNTIFS('Final Report'!$O:$O, $A18, 'Final Report'!$L:$L, F$1)</f>
      </c>
      <c r="G18" s="17">
        <f>COUNTIFS('Final Report'!$O:$O, $A18, 'Final Report'!$L:$L, G$1)</f>
      </c>
      <c r="H18" s="17">
        <f>COUNTIFS('Final Report'!$O:$O, $A18, 'Final Report'!$L:$L, H$1)</f>
      </c>
      <c r="I18" s="17">
        <f>COUNTIFS('Final Report'!$O:$O, $A18, 'Final Report'!$L:$L, I$1)</f>
      </c>
      <c r="J18" s="17" t="str">
        <f t="shared" si="0"/>
        <v>Pass</v>
      </c>
    </row>
    <row r="19" spans="1:10" ht="17" x14ac:dyDescent="0.5">
      <c r="A19" s="16" t="s">
        <v>112</v>
      </c>
      <c r="B19" s="17" t="s">
        <v>113</v>
      </c>
      <c r="C19" s="17" t="s">
        <v>87</v>
      </c>
      <c r="D19" s="17" t="s">
        <v>73</v>
      </c>
      <c r="E19" s="17">
        <f>COUNTIFS('Final Report'!$O:$O, "*" &amp; $A19 &amp; "*")</f>
      </c>
      <c r="F19" s="17">
        <f>COUNTIFS('Final Report'!$O:$O, $A19, 'Final Report'!$L:$L, F$1)</f>
      </c>
      <c r="G19" s="17">
        <f>COUNTIFS('Final Report'!$O:$O, $A19, 'Final Report'!$L:$L, G$1)</f>
      </c>
      <c r="H19" s="17">
        <f>COUNTIFS('Final Report'!$O:$O, $A19, 'Final Report'!$L:$L, H$1)</f>
      </c>
      <c r="I19" s="17">
        <f>COUNTIFS('Final Report'!$O:$O, $A19, 'Final Report'!$L:$L, I$1)</f>
      </c>
      <c r="J19" s="17" t="str">
        <f t="shared" si="0"/>
        <v>Pass</v>
      </c>
    </row>
    <row r="20" spans="1:10" ht="17" x14ac:dyDescent="0.5">
      <c r="A20" s="16" t="s">
        <v>114</v>
      </c>
      <c r="B20" s="17" t="s">
        <v>115</v>
      </c>
      <c r="C20" s="17" t="s">
        <v>87</v>
      </c>
      <c r="D20" s="17" t="s">
        <v>73</v>
      </c>
      <c r="E20" s="17">
        <f>COUNTIFS('Final Report'!$O:$O, "*" &amp; $A20 &amp; "*")</f>
      </c>
      <c r="F20" s="17">
        <f>COUNTIFS('Final Report'!$O:$O, $A20, 'Final Report'!$L:$L, F$1)</f>
      </c>
      <c r="G20" s="17">
        <f>COUNTIFS('Final Report'!$O:$O, $A20, 'Final Report'!$L:$L, G$1)</f>
      </c>
      <c r="H20" s="17">
        <f>COUNTIFS('Final Report'!$O:$O, $A20, 'Final Report'!$L:$L, H$1)</f>
      </c>
      <c r="I20" s="17">
        <f>COUNTIFS('Final Report'!$O:$O, $A20, 'Final Report'!$L:$L, I$1)</f>
      </c>
      <c r="J20" s="17" t="str">
        <f t="shared" si="0"/>
        <v>Pass</v>
      </c>
    </row>
    <row r="21" spans="1:10" ht="15.75" customHeight="1" x14ac:dyDescent="0.5">
      <c r="A21" s="16" t="s">
        <v>116</v>
      </c>
      <c r="B21" s="17" t="s">
        <v>117</v>
      </c>
      <c r="C21" s="17" t="s">
        <v>87</v>
      </c>
      <c r="D21" s="17" t="s">
        <v>73</v>
      </c>
      <c r="E21" s="17">
        <f>COUNTIFS('Final Report'!$O:$O, "*" &amp; $A21 &amp; "*")</f>
      </c>
      <c r="F21" s="17">
        <f>COUNTIFS('Final Report'!$O:$O, $A21, 'Final Report'!$L:$L, F$1)</f>
      </c>
      <c r="G21" s="17">
        <f>COUNTIFS('Final Report'!$O:$O, $A21, 'Final Report'!$L:$L, G$1)</f>
      </c>
      <c r="H21" s="17">
        <f>COUNTIFS('Final Report'!$O:$O, $A21, 'Final Report'!$L:$L, H$1)</f>
      </c>
      <c r="I21" s="17">
        <f>COUNTIFS('Final Report'!$O:$O, $A21, 'Final Report'!$L:$L, I$1)</f>
      </c>
      <c r="J21" s="17" t="str">
        <f t="shared" si="0"/>
        <v>Pass</v>
      </c>
    </row>
    <row r="22" spans="1:10" ht="15.75" customHeight="1" x14ac:dyDescent="0.5">
      <c r="A22" s="16" t="s">
        <v>118</v>
      </c>
      <c r="B22" s="17" t="s">
        <v>119</v>
      </c>
      <c r="C22" s="17" t="s">
        <v>78</v>
      </c>
      <c r="D22" s="17" t="s">
        <v>71</v>
      </c>
      <c r="E22" s="17">
        <f>COUNTIFS('Final Report'!$O:$O, "*" &amp; $A22 &amp; "*")</f>
      </c>
      <c r="F22" s="17">
        <f>COUNTIFS('Final Report'!$O:$O, $A22, 'Final Report'!$L:$L, F$1)</f>
      </c>
      <c r="G22" s="17">
        <f>COUNTIFS('Final Report'!$O:$O, $A22, 'Final Report'!$L:$L, G$1)</f>
      </c>
      <c r="H22" s="17">
        <f>COUNTIFS('Final Report'!$O:$O, $A22, 'Final Report'!$L:$L, H$1)</f>
      </c>
      <c r="I22" s="17">
        <f>COUNTIFS('Final Report'!$O:$O, $A22, 'Final Report'!$L:$L, I$1)</f>
      </c>
      <c r="J22" s="17" t="str">
        <f t="shared" si="0"/>
        <v>Pass</v>
      </c>
    </row>
    <row r="23" spans="1:10" ht="15.75" customHeight="1" x14ac:dyDescent="0.5">
      <c r="A23" s="16" t="s">
        <v>120</v>
      </c>
      <c r="B23" s="17" t="s">
        <v>121</v>
      </c>
      <c r="C23" s="17" t="s">
        <v>78</v>
      </c>
      <c r="D23" s="17" t="s">
        <v>71</v>
      </c>
      <c r="E23" s="17">
        <f>COUNTIFS('Final Report'!$O:$O, "*" &amp; $A23 &amp; "*")</f>
      </c>
      <c r="F23" s="17">
        <f>COUNTIFS('Final Report'!$O:$O, $A23, 'Final Report'!$L:$L, F$1)</f>
      </c>
      <c r="G23" s="17">
        <f>COUNTIFS('Final Report'!$O:$O, $A23, 'Final Report'!$L:$L, G$1)</f>
      </c>
      <c r="H23" s="17">
        <f>COUNTIFS('Final Report'!$O:$O, $A23, 'Final Report'!$L:$L, H$1)</f>
      </c>
      <c r="I23" s="17">
        <f>COUNTIFS('Final Report'!$O:$O, $A23, 'Final Report'!$L:$L, I$1)</f>
      </c>
      <c r="J23" s="17" t="str">
        <f t="shared" si="0"/>
        <v>Pass</v>
      </c>
    </row>
    <row r="24" spans="1:10" ht="15.75" customHeight="1" x14ac:dyDescent="0.5">
      <c r="A24" s="16" t="s">
        <v>122</v>
      </c>
      <c r="B24" s="17" t="s">
        <v>123</v>
      </c>
      <c r="C24" s="17" t="s">
        <v>78</v>
      </c>
      <c r="D24" s="17" t="s">
        <v>72</v>
      </c>
      <c r="E24" s="17">
        <f>COUNTIFS('Final Report'!$O:$O, "*" &amp; $A24 &amp; "*")</f>
      </c>
      <c r="F24" s="17">
        <f>COUNTIFS('Final Report'!$O:$O, $A24, 'Final Report'!$L:$L, F$1)</f>
      </c>
      <c r="G24" s="17">
        <f>COUNTIFS('Final Report'!$O:$O, $A24, 'Final Report'!$L:$L, G$1)</f>
      </c>
      <c r="H24" s="17">
        <f>COUNTIFS('Final Report'!$O:$O, $A24, 'Final Report'!$L:$L, H$1)</f>
      </c>
      <c r="I24" s="17">
        <f>COUNTIFS('Final Report'!$O:$O, $A24, 'Final Report'!$L:$L, I$1)</f>
      </c>
      <c r="J24" s="17" t="str">
        <f t="shared" si="0"/>
        <v>Pass</v>
      </c>
    </row>
    <row r="25" spans="1:10" ht="15.75" customHeight="1" x14ac:dyDescent="0.5">
      <c r="A25" s="16" t="s">
        <v>124</v>
      </c>
      <c r="B25" s="17" t="s">
        <v>125</v>
      </c>
      <c r="C25" s="17" t="s">
        <v>78</v>
      </c>
      <c r="D25" s="17" t="s">
        <v>71</v>
      </c>
      <c r="E25" s="17">
        <f>COUNTIFS('Final Report'!$O:$O, "*" &amp; $A25 &amp; "*")</f>
      </c>
      <c r="F25" s="17">
        <f>COUNTIFS('Final Report'!$O:$O, $A25, 'Final Report'!$L:$L, F$1)</f>
      </c>
      <c r="G25" s="17">
        <f>COUNTIFS('Final Report'!$O:$O, $A25, 'Final Report'!$L:$L, G$1)</f>
      </c>
      <c r="H25" s="17">
        <f>COUNTIFS('Final Report'!$O:$O, $A25, 'Final Report'!$L:$L, H$1)</f>
      </c>
      <c r="I25" s="17">
        <f>COUNTIFS('Final Report'!$O:$O, $A25, 'Final Report'!$L:$L, I$1)</f>
      </c>
      <c r="J25" s="17" t="str">
        <f t="shared" si="0"/>
        <v>Pass</v>
      </c>
    </row>
    <row r="26" spans="1:10" ht="15.75" customHeight="1" x14ac:dyDescent="0.5">
      <c r="A26" s="16" t="s">
        <v>126</v>
      </c>
      <c r="B26" s="17" t="s">
        <v>127</v>
      </c>
      <c r="C26" s="17" t="s">
        <v>78</v>
      </c>
      <c r="D26" s="17" t="s">
        <v>72</v>
      </c>
      <c r="E26" s="17">
        <f>COUNTIFS('Final Report'!$O:$O, "*" &amp; $A26 &amp; "*")</f>
      </c>
      <c r="F26" s="17">
        <f>COUNTIFS('Final Report'!$O:$O, $A26, 'Final Report'!$L:$L, F$1)</f>
      </c>
      <c r="G26" s="17">
        <f>COUNTIFS('Final Report'!$O:$O, $A26, 'Final Report'!$L:$L, G$1)</f>
      </c>
      <c r="H26" s="17">
        <f>COUNTIFS('Final Report'!$O:$O, $A26, 'Final Report'!$L:$L, H$1)</f>
      </c>
      <c r="I26" s="17">
        <f>COUNTIFS('Final Report'!$O:$O, $A26, 'Final Report'!$L:$L, I$1)</f>
      </c>
      <c r="J26" s="17" t="str">
        <f t="shared" si="0"/>
        <v>Pass</v>
      </c>
    </row>
    <row r="27" spans="1:10" ht="15.75" customHeight="1" x14ac:dyDescent="0.5">
      <c r="A27" s="16" t="s">
        <v>128</v>
      </c>
      <c r="B27" s="17" t="s">
        <v>129</v>
      </c>
      <c r="C27" s="17" t="s">
        <v>78</v>
      </c>
      <c r="D27" s="17" t="s">
        <v>71</v>
      </c>
      <c r="E27" s="17">
        <f>COUNTIFS('Final Report'!$O:$O, "*" &amp; $A27 &amp; "*")</f>
      </c>
      <c r="F27" s="17">
        <f>COUNTIFS('Final Report'!$O:$O, $A27, 'Final Report'!$L:$L, F$1)</f>
      </c>
      <c r="G27" s="17">
        <f>COUNTIFS('Final Report'!$O:$O, $A27, 'Final Report'!$L:$L, G$1)</f>
      </c>
      <c r="H27" s="17">
        <f>COUNTIFS('Final Report'!$O:$O, $A27, 'Final Report'!$L:$L, H$1)</f>
      </c>
      <c r="I27" s="17">
        <f>COUNTIFS('Final Report'!$O:$O, $A27, 'Final Report'!$L:$L, I$1)</f>
      </c>
      <c r="J27" s="17" t="str">
        <f t="shared" si="0"/>
        <v>Pass</v>
      </c>
    </row>
    <row r="28" spans="1:10" ht="15.75" customHeight="1" x14ac:dyDescent="0.5">
      <c r="A28" s="16" t="s">
        <v>130</v>
      </c>
      <c r="B28" s="17" t="s">
        <v>131</v>
      </c>
      <c r="C28" s="17" t="s">
        <v>78</v>
      </c>
      <c r="D28" s="17" t="s">
        <v>74</v>
      </c>
      <c r="E28" s="17">
        <f>COUNTIFS('Final Report'!$O:$O, "*" &amp; $A28 &amp; "*")</f>
      </c>
      <c r="F28" s="17">
        <f>COUNTIFS('Final Report'!$O:$O, $A28, 'Final Report'!$L:$L, F$1)</f>
      </c>
      <c r="G28" s="17">
        <f>COUNTIFS('Final Report'!$O:$O, $A28, 'Final Report'!$L:$L, G$1)</f>
      </c>
      <c r="H28" s="17">
        <f>COUNTIFS('Final Report'!$O:$O, $A28, 'Final Report'!$L:$L, H$1)</f>
      </c>
      <c r="I28" s="17">
        <f>COUNTIFS('Final Report'!$O:$O, $A28, 'Final Report'!$L:$L, I$1)</f>
      </c>
      <c r="J28" s="17" t="str">
        <f t="shared" si="0"/>
        <v>Pass</v>
      </c>
    </row>
    <row r="29" spans="1:10" ht="15.75" customHeight="1" x14ac:dyDescent="0.5">
      <c r="A29" s="16" t="s">
        <v>132</v>
      </c>
      <c r="B29" s="17" t="s">
        <v>133</v>
      </c>
      <c r="C29" s="17" t="s">
        <v>78</v>
      </c>
      <c r="D29" s="17" t="s">
        <v>74</v>
      </c>
      <c r="E29" s="17">
        <f>COUNTIFS('Final Report'!$O:$O, "*" &amp; $A29 &amp; "*")</f>
      </c>
      <c r="F29" s="17">
        <f>COUNTIFS('Final Report'!$O:$O, $A29, 'Final Report'!$L:$L, F$1)</f>
      </c>
      <c r="G29" s="17">
        <f>COUNTIFS('Final Report'!$O:$O, $A29, 'Final Report'!$L:$L, G$1)</f>
      </c>
      <c r="H29" s="17">
        <f>COUNTIFS('Final Report'!$O:$O, $A29, 'Final Report'!$L:$L, H$1)</f>
      </c>
      <c r="I29" s="17">
        <f>COUNTIFS('Final Report'!$O:$O, $A29, 'Final Report'!$L:$L, I$1)</f>
      </c>
      <c r="J29" s="17" t="str">
        <f t="shared" si="0"/>
        <v>Pass</v>
      </c>
    </row>
    <row r="30" spans="1:10" ht="15.75" customHeight="1" x14ac:dyDescent="0.5">
      <c r="A30" s="16" t="s">
        <v>134</v>
      </c>
      <c r="B30" s="17" t="s">
        <v>135</v>
      </c>
      <c r="C30" s="17" t="s">
        <v>78</v>
      </c>
      <c r="D30" s="17" t="s">
        <v>72</v>
      </c>
      <c r="E30" s="17">
        <f>COUNTIFS('Final Report'!$O:$O, "*" &amp; $A30 &amp; "*")</f>
      </c>
      <c r="F30" s="17">
        <f>COUNTIFS('Final Report'!$O:$O, $A30, 'Final Report'!$L:$L, F$1)</f>
      </c>
      <c r="G30" s="17">
        <f>COUNTIFS('Final Report'!$O:$O, $A30, 'Final Report'!$L:$L, G$1)</f>
      </c>
      <c r="H30" s="17">
        <f>COUNTIFS('Final Report'!$O:$O, $A30, 'Final Report'!$L:$L, H$1)</f>
      </c>
      <c r="I30" s="17">
        <f>COUNTIFS('Final Report'!$O:$O, $A30, 'Final Report'!$L:$L, I$1)</f>
      </c>
      <c r="J30" s="17" t="str">
        <f t="shared" si="0"/>
        <v>Pass</v>
      </c>
    </row>
    <row r="31" spans="1:10" ht="15.75" customHeight="1" x14ac:dyDescent="0.5">
      <c r="A31" s="16" t="s">
        <v>136</v>
      </c>
      <c r="B31" s="17" t="s">
        <v>137</v>
      </c>
      <c r="C31" s="17" t="s">
        <v>78</v>
      </c>
      <c r="D31" s="17" t="s">
        <v>72</v>
      </c>
      <c r="E31" s="17">
        <f>COUNTIFS('Final Report'!$O:$O, "*" &amp; $A31 &amp; "*")</f>
      </c>
      <c r="F31" s="17">
        <f>COUNTIFS('Final Report'!$O:$O, $A31, 'Final Report'!$L:$L, F$1)</f>
      </c>
      <c r="G31" s="17">
        <f>COUNTIFS('Final Report'!$O:$O, $A31, 'Final Report'!$L:$L, G$1)</f>
      </c>
      <c r="H31" s="17">
        <f>COUNTIFS('Final Report'!$O:$O, $A31, 'Final Report'!$L:$L, H$1)</f>
      </c>
      <c r="I31" s="17">
        <f>COUNTIFS('Final Report'!$O:$O, $A31, 'Final Report'!$L:$L, I$1)</f>
      </c>
      <c r="J31" s="17" t="str">
        <f t="shared" si="0"/>
        <v>Pass</v>
      </c>
    </row>
    <row r="32" spans="1:10" ht="15.75" customHeight="1" x14ac:dyDescent="0.5">
      <c r="A32" s="16" t="s">
        <v>138</v>
      </c>
      <c r="B32" s="17" t="s">
        <v>139</v>
      </c>
      <c r="C32" s="17" t="s">
        <v>87</v>
      </c>
      <c r="D32" s="17" t="s">
        <v>74</v>
      </c>
      <c r="E32" s="17">
        <f>COUNTIFS('Final Report'!$O:$O, "*" &amp; $A32 &amp; "*")</f>
      </c>
      <c r="F32" s="17">
        <f>COUNTIFS('Final Report'!$O:$O, $A32, 'Final Report'!$L:$L, F$1)</f>
      </c>
      <c r="G32" s="17">
        <f>COUNTIFS('Final Report'!$O:$O, $A32, 'Final Report'!$L:$L, G$1)</f>
      </c>
      <c r="H32" s="17">
        <f>COUNTIFS('Final Report'!$O:$O, $A32, 'Final Report'!$L:$L, H$1)</f>
      </c>
      <c r="I32" s="17">
        <f>COUNTIFS('Final Report'!$O:$O, $A32, 'Final Report'!$L:$L, I$1)</f>
      </c>
      <c r="J32" s="17" t="str">
        <f t="shared" si="0"/>
        <v>Pass</v>
      </c>
    </row>
    <row r="33" spans="1:10" ht="15.75" customHeight="1" x14ac:dyDescent="0.5">
      <c r="A33" s="16" t="s">
        <v>140</v>
      </c>
      <c r="B33" s="17" t="s">
        <v>141</v>
      </c>
      <c r="C33" s="17" t="s">
        <v>87</v>
      </c>
      <c r="D33" s="17" t="s">
        <v>73</v>
      </c>
      <c r="E33" s="17">
        <f>COUNTIFS('Final Report'!$O:$O, "*" &amp; $A33 &amp; "*")</f>
      </c>
      <c r="F33" s="17">
        <f>COUNTIFS('Final Report'!$O:$O, $A33, 'Final Report'!$L:$L, F$1)</f>
      </c>
      <c r="G33" s="17">
        <f>COUNTIFS('Final Report'!$O:$O, $A33, 'Final Report'!$L:$L, G$1)</f>
      </c>
      <c r="H33" s="17">
        <f>COUNTIFS('Final Report'!$O:$O, $A33, 'Final Report'!$L:$L, H$1)</f>
      </c>
      <c r="I33" s="17">
        <f>COUNTIFS('Final Report'!$O:$O, $A33, 'Final Report'!$L:$L, I$1)</f>
      </c>
      <c r="J33" s="17" t="str">
        <f t="shared" si="0"/>
        <v>Pass</v>
      </c>
    </row>
    <row r="34" spans="1:10" ht="15.75" customHeight="1" x14ac:dyDescent="0.5">
      <c r="A34" s="16" t="s">
        <v>142</v>
      </c>
      <c r="B34" s="17" t="s">
        <v>143</v>
      </c>
      <c r="C34" s="17" t="s">
        <v>87</v>
      </c>
      <c r="D34" s="17" t="s">
        <v>72</v>
      </c>
      <c r="E34" s="17">
        <f>COUNTIFS('Final Report'!$O:$O, "*" &amp; $A34 &amp; "*")</f>
      </c>
      <c r="F34" s="17">
        <f>COUNTIFS('Final Report'!$O:$O, $A34, 'Final Report'!$L:$L, F$1)</f>
      </c>
      <c r="G34" s="17">
        <f>COUNTIFS('Final Report'!$O:$O, $A34, 'Final Report'!$L:$L, G$1)</f>
      </c>
      <c r="H34" s="17">
        <f>COUNTIFS('Final Report'!$O:$O, $A34, 'Final Report'!$L:$L, H$1)</f>
      </c>
      <c r="I34" s="17">
        <f>COUNTIFS('Final Report'!$O:$O, $A34, 'Final Report'!$L:$L, I$1)</f>
      </c>
      <c r="J34" s="17" t="str">
        <f t="shared" si="0"/>
        <v>Pass</v>
      </c>
    </row>
    <row r="35" spans="1:10" ht="15.75" customHeight="1" x14ac:dyDescent="0.5">
      <c r="A35" s="16" t="s">
        <v>144</v>
      </c>
      <c r="B35" s="17" t="s">
        <v>145</v>
      </c>
      <c r="C35" s="17" t="s">
        <v>87</v>
      </c>
      <c r="D35" s="17" t="s">
        <v>72</v>
      </c>
      <c r="E35" s="17">
        <f>COUNTIFS('Final Report'!$O:$O, "*" &amp; $A35 &amp; "*")</f>
      </c>
      <c r="F35" s="17">
        <f>COUNTIFS('Final Report'!$O:$O, $A35, 'Final Report'!$L:$L, F$1)</f>
      </c>
      <c r="G35" s="17">
        <f>COUNTIFS('Final Report'!$O:$O, $A35, 'Final Report'!$L:$L, G$1)</f>
      </c>
      <c r="H35" s="17">
        <f>COUNTIFS('Final Report'!$O:$O, $A35, 'Final Report'!$L:$L, H$1)</f>
      </c>
      <c r="I35" s="17">
        <f>COUNTIFS('Final Report'!$O:$O, $A35, 'Final Report'!$L:$L, I$1)</f>
      </c>
      <c r="J35" s="17" t="str">
        <f t="shared" si="0"/>
        <v>Pass</v>
      </c>
    </row>
    <row r="36" spans="1:10" ht="15.75" customHeight="1" x14ac:dyDescent="0.5">
      <c r="A36" s="16" t="s">
        <v>146</v>
      </c>
      <c r="B36" s="17" t="s">
        <v>147</v>
      </c>
      <c r="C36" s="17" t="s">
        <v>78</v>
      </c>
      <c r="D36" s="17" t="s">
        <v>71</v>
      </c>
      <c r="E36" s="17">
        <f>COUNTIFS('Final Report'!$O:$O, "*" &amp; $A36 &amp; "*")</f>
      </c>
      <c r="F36" s="17">
        <f>COUNTIFS('Final Report'!$O:$O, $A36, 'Final Report'!$L:$L, F$1)</f>
      </c>
      <c r="G36" s="17">
        <f>COUNTIFS('Final Report'!$O:$O, $A36, 'Final Report'!$L:$L, G$1)</f>
      </c>
      <c r="H36" s="17">
        <f>COUNTIFS('Final Report'!$O:$O, $A36, 'Final Report'!$L:$L, H$1)</f>
      </c>
      <c r="I36" s="17">
        <f>COUNTIFS('Final Report'!$O:$O, $A36, 'Final Report'!$L:$L, I$1)</f>
      </c>
      <c r="J36" s="17" t="str">
        <f t="shared" si="0"/>
        <v>Pass</v>
      </c>
    </row>
    <row r="37" spans="1:10" ht="15.75" customHeight="1" x14ac:dyDescent="0.5">
      <c r="A37" s="16" t="s">
        <v>148</v>
      </c>
      <c r="B37" s="17" t="s">
        <v>149</v>
      </c>
      <c r="C37" s="17" t="s">
        <v>78</v>
      </c>
      <c r="D37" s="17" t="s">
        <v>71</v>
      </c>
      <c r="E37" s="17">
        <f>COUNTIFS('Final Report'!$O:$O, "*" &amp; $A37 &amp; "*")</f>
      </c>
      <c r="F37" s="17">
        <f>COUNTIFS('Final Report'!$O:$O, $A37, 'Final Report'!$L:$L, F$1)</f>
      </c>
      <c r="G37" s="17">
        <f>COUNTIFS('Final Report'!$O:$O, $A37, 'Final Report'!$L:$L, G$1)</f>
      </c>
      <c r="H37" s="17">
        <f>COUNTIFS('Final Report'!$O:$O, $A37, 'Final Report'!$L:$L, H$1)</f>
      </c>
      <c r="I37" s="17">
        <f>COUNTIFS('Final Report'!$O:$O, $A37, 'Final Report'!$L:$L, I$1)</f>
      </c>
      <c r="J37" s="17" t="str">
        <f t="shared" si="0"/>
        <v>Pass</v>
      </c>
    </row>
    <row r="38" spans="1:10" ht="15.75" customHeight="1" x14ac:dyDescent="0.5">
      <c r="A38" s="16" t="s">
        <v>150</v>
      </c>
      <c r="B38" s="17" t="s">
        <v>151</v>
      </c>
      <c r="C38" s="17" t="s">
        <v>78</v>
      </c>
      <c r="D38" s="17" t="s">
        <v>73</v>
      </c>
      <c r="E38" s="17">
        <f>COUNTIFS('Final Report'!$O:$O, "*" &amp; $A38 &amp; "*")</f>
      </c>
      <c r="F38" s="17">
        <f>COUNTIFS('Final Report'!$O:$O, $A38, 'Final Report'!$L:$L, F$1)</f>
      </c>
      <c r="G38" s="17">
        <f>COUNTIFS('Final Report'!$O:$O, $A38, 'Final Report'!$L:$L, G$1)</f>
      </c>
      <c r="H38" s="17">
        <f>COUNTIFS('Final Report'!$O:$O, $A38, 'Final Report'!$L:$L, H$1)</f>
      </c>
      <c r="I38" s="17">
        <f>COUNTIFS('Final Report'!$O:$O, $A38, 'Final Report'!$L:$L, I$1)</f>
      </c>
      <c r="J38" s="17" t="str">
        <f t="shared" si="0"/>
        <v>Pass</v>
      </c>
    </row>
    <row r="39" spans="1:10" ht="15.75" customHeight="1" x14ac:dyDescent="0.5">
      <c r="A39" s="16" t="s">
        <v>152</v>
      </c>
      <c r="B39" s="17" t="s">
        <v>153</v>
      </c>
      <c r="C39" s="17" t="s">
        <v>78</v>
      </c>
      <c r="D39" s="17" t="s">
        <v>71</v>
      </c>
      <c r="E39" s="17">
        <f>COUNTIFS('Final Report'!$O:$O, "*" &amp; $A39 &amp; "*")</f>
      </c>
      <c r="F39" s="17">
        <f>COUNTIFS('Final Report'!$O:$O, $A39, 'Final Report'!$L:$L, F$1)</f>
      </c>
      <c r="G39" s="17">
        <f>COUNTIFS('Final Report'!$O:$O, $A39, 'Final Report'!$L:$L, G$1)</f>
      </c>
      <c r="H39" s="17">
        <f>COUNTIFS('Final Report'!$O:$O, $A39, 'Final Report'!$L:$L, H$1)</f>
      </c>
      <c r="I39" s="17">
        <f>COUNTIFS('Final Report'!$O:$O, $A39, 'Final Report'!$L:$L, I$1)</f>
      </c>
      <c r="J39" s="17" t="str">
        <f t="shared" si="0"/>
        <v>Pass</v>
      </c>
    </row>
    <row r="40" spans="1:10" ht="15.75" customHeight="1" x14ac:dyDescent="0.5">
      <c r="A40" s="16" t="s">
        <v>154</v>
      </c>
      <c r="B40" s="17" t="s">
        <v>155</v>
      </c>
      <c r="C40" s="17" t="s">
        <v>87</v>
      </c>
      <c r="D40" s="17" t="s">
        <v>72</v>
      </c>
      <c r="E40" s="17">
        <f>COUNTIFS('Final Report'!$O:$O, "*" &amp; $A40 &amp; "*")</f>
      </c>
      <c r="F40" s="17">
        <f>COUNTIFS('Final Report'!$O:$O, $A40, 'Final Report'!$L:$L, F$1)</f>
      </c>
      <c r="G40" s="17">
        <f>COUNTIFS('Final Report'!$O:$O, $A40, 'Final Report'!$L:$L, G$1)</f>
      </c>
      <c r="H40" s="17">
        <f>COUNTIFS('Final Report'!$O:$O, $A40, 'Final Report'!$L:$L, H$1)</f>
      </c>
      <c r="I40" s="17">
        <f>COUNTIFS('Final Report'!$O:$O, $A40, 'Final Report'!$L:$L, I$1)</f>
      </c>
      <c r="J40" s="17" t="str">
        <f t="shared" si="0"/>
        <v>Pass</v>
      </c>
    </row>
    <row r="41" spans="1:10" ht="15.75" customHeight="1" x14ac:dyDescent="0.5">
      <c r="A41" s="16" t="s">
        <v>156</v>
      </c>
      <c r="B41" s="17" t="s">
        <v>157</v>
      </c>
      <c r="C41" s="17" t="s">
        <v>87</v>
      </c>
      <c r="D41" s="17" t="s">
        <v>73</v>
      </c>
      <c r="E41" s="17">
        <f>COUNTIFS('Final Report'!$O:$O, "*" &amp; $A41 &amp; "*")</f>
      </c>
      <c r="F41" s="17">
        <f>COUNTIFS('Final Report'!$O:$O, $A41, 'Final Report'!$L:$L, F$1)</f>
      </c>
      <c r="G41" s="17">
        <f>COUNTIFS('Final Report'!$O:$O, $A41, 'Final Report'!$L:$L, G$1)</f>
      </c>
      <c r="H41" s="17">
        <f>COUNTIFS('Final Report'!$O:$O, $A41, 'Final Report'!$L:$L, H$1)</f>
      </c>
      <c r="I41" s="17">
        <f>COUNTIFS('Final Report'!$O:$O, $A41, 'Final Report'!$L:$L, I$1)</f>
      </c>
      <c r="J41" s="17" t="str">
        <f t="shared" si="0"/>
        <v>Pass</v>
      </c>
    </row>
    <row r="42" spans="1:10" ht="15.75" customHeight="1" x14ac:dyDescent="0.5">
      <c r="A42" s="16" t="s">
        <v>158</v>
      </c>
      <c r="B42" s="17" t="s">
        <v>159</v>
      </c>
      <c r="C42" s="17" t="s">
        <v>78</v>
      </c>
      <c r="D42" s="17" t="s">
        <v>74</v>
      </c>
      <c r="E42" s="17">
        <f>COUNTIFS('Final Report'!$O:$O, "*" &amp; $A42 &amp; "*")</f>
      </c>
      <c r="F42" s="17">
        <f>COUNTIFS('Final Report'!$O:$O, $A42, 'Final Report'!$L:$L, F$1)</f>
      </c>
      <c r="G42" s="17">
        <f>COUNTIFS('Final Report'!$O:$O, $A42, 'Final Report'!$L:$L, G$1)</f>
      </c>
      <c r="H42" s="17">
        <f>COUNTIFS('Final Report'!$O:$O, $A42, 'Final Report'!$L:$L, H$1)</f>
      </c>
      <c r="I42" s="17">
        <f>COUNTIFS('Final Report'!$O:$O, $A42, 'Final Report'!$L:$L, I$1)</f>
      </c>
      <c r="J42" s="17" t="str">
        <f t="shared" si="0"/>
        <v>Pass</v>
      </c>
    </row>
    <row r="43" spans="1:10" ht="15.75" customHeight="1" x14ac:dyDescent="0.5">
      <c r="A43" s="16" t="s">
        <v>160</v>
      </c>
      <c r="B43" s="17" t="s">
        <v>161</v>
      </c>
      <c r="C43" s="17" t="s">
        <v>87</v>
      </c>
      <c r="D43" s="17" t="s">
        <v>74</v>
      </c>
      <c r="E43" s="17">
        <f>COUNTIFS('Final Report'!$O:$O, "*" &amp; $A43 &amp; "*")</f>
      </c>
      <c r="F43" s="17">
        <f>COUNTIFS('Final Report'!$O:$O, $A43, 'Final Report'!$L:$L, F$1)</f>
      </c>
      <c r="G43" s="17">
        <f>COUNTIFS('Final Report'!$O:$O, $A43, 'Final Report'!$L:$L, G$1)</f>
      </c>
      <c r="H43" s="17">
        <f>COUNTIFS('Final Report'!$O:$O, $A43, 'Final Report'!$L:$L, H$1)</f>
      </c>
      <c r="I43" s="17">
        <f>COUNTIFS('Final Report'!$O:$O, $A43, 'Final Report'!$L:$L, I$1)</f>
      </c>
      <c r="J43" s="17" t="str">
        <f t="shared" si="0"/>
        <v>Pass</v>
      </c>
    </row>
    <row r="44" spans="1:10" ht="15.75" customHeight="1" x14ac:dyDescent="0.5">
      <c r="A44" s="16" t="s">
        <v>162</v>
      </c>
      <c r="B44" s="17" t="s">
        <v>163</v>
      </c>
      <c r="C44" s="17" t="s">
        <v>78</v>
      </c>
      <c r="D44" s="17" t="s">
        <v>72</v>
      </c>
      <c r="E44" s="17">
        <f>COUNTIFS('Final Report'!$O:$O, "*" &amp; $A44 &amp; "*")</f>
      </c>
      <c r="F44" s="17">
        <f>COUNTIFS('Final Report'!$O:$O, $A44, 'Final Report'!$L:$L, F$1)</f>
      </c>
      <c r="G44" s="17">
        <f>COUNTIFS('Final Report'!$O:$O, $A44, 'Final Report'!$L:$L, G$1)</f>
      </c>
      <c r="H44" s="17">
        <f>COUNTIFS('Final Report'!$O:$O, $A44, 'Final Report'!$L:$L, H$1)</f>
      </c>
      <c r="I44" s="17">
        <f>COUNTIFS('Final Report'!$O:$O, $A44, 'Final Report'!$L:$L, I$1)</f>
      </c>
      <c r="J44" s="17" t="str">
        <f t="shared" si="0"/>
        <v>Pass</v>
      </c>
    </row>
    <row r="45" spans="1:10" ht="15.75" customHeight="1" x14ac:dyDescent="0.5">
      <c r="A45" s="16" t="s">
        <v>164</v>
      </c>
      <c r="B45" s="17" t="s">
        <v>165</v>
      </c>
      <c r="C45" s="17" t="s">
        <v>78</v>
      </c>
      <c r="D45" s="17" t="s">
        <v>72</v>
      </c>
      <c r="E45" s="17">
        <f>COUNTIFS('Final Report'!$O:$O, "*" &amp; $A45 &amp; "*")</f>
      </c>
      <c r="F45" s="17">
        <f>COUNTIFS('Final Report'!$O:$O, $A45, 'Final Report'!$L:$L, F$1)</f>
      </c>
      <c r="G45" s="17">
        <f>COUNTIFS('Final Report'!$O:$O, $A45, 'Final Report'!$L:$L, G$1)</f>
      </c>
      <c r="H45" s="17">
        <f>COUNTIFS('Final Report'!$O:$O, $A45, 'Final Report'!$L:$L, H$1)</f>
      </c>
      <c r="I45" s="17">
        <f>COUNTIFS('Final Report'!$O:$O, $A45, 'Final Report'!$L:$L, I$1)</f>
      </c>
      <c r="J45" s="17" t="str">
        <f t="shared" si="0"/>
        <v>Pass</v>
      </c>
    </row>
    <row r="46" spans="1:10" ht="15.75" customHeight="1" x14ac:dyDescent="0.5">
      <c r="A46" s="16" t="s">
        <v>166</v>
      </c>
      <c r="B46" s="17" t="s">
        <v>167</v>
      </c>
      <c r="C46" s="17" t="s">
        <v>87</v>
      </c>
      <c r="D46" s="17" t="s">
        <v>74</v>
      </c>
      <c r="E46" s="17">
        <f>COUNTIFS('Final Report'!$O:$O, "*" &amp; $A46 &amp; "*")</f>
      </c>
      <c r="F46" s="17">
        <f>COUNTIFS('Final Report'!$O:$O, $A46, 'Final Report'!$L:$L, F$1)</f>
      </c>
      <c r="G46" s="17">
        <f>COUNTIFS('Final Report'!$O:$O, $A46, 'Final Report'!$L:$L, G$1)</f>
      </c>
      <c r="H46" s="17">
        <f>COUNTIFS('Final Report'!$O:$O, $A46, 'Final Report'!$L:$L, H$1)</f>
      </c>
      <c r="I46" s="17">
        <f>COUNTIFS('Final Report'!$O:$O, $A46, 'Final Report'!$L:$L, I$1)</f>
      </c>
      <c r="J46" s="17" t="str">
        <f t="shared" si="0"/>
        <v>Pass</v>
      </c>
    </row>
    <row r="47" spans="1:10" ht="15.75" customHeight="1" x14ac:dyDescent="0.5">
      <c r="A47" s="16" t="s">
        <v>168</v>
      </c>
      <c r="B47" s="17" t="s">
        <v>169</v>
      </c>
      <c r="C47" s="17" t="s">
        <v>87</v>
      </c>
      <c r="D47" s="17" t="s">
        <v>74</v>
      </c>
      <c r="E47" s="17">
        <f>COUNTIFS('Final Report'!$O:$O, "*" &amp; $A47 &amp; "*")</f>
      </c>
      <c r="F47" s="17">
        <f>COUNTIFS('Final Report'!$O:$O, $A47, 'Final Report'!$L:$L, F$1)</f>
      </c>
      <c r="G47" s="17">
        <f>COUNTIFS('Final Report'!$O:$O, $A47, 'Final Report'!$L:$L, G$1)</f>
      </c>
      <c r="H47" s="17">
        <f>COUNTIFS('Final Report'!$O:$O, $A47, 'Final Report'!$L:$L, H$1)</f>
      </c>
      <c r="I47" s="17">
        <f>COUNTIFS('Final Report'!$O:$O, $A47, 'Final Report'!$L:$L, I$1)</f>
      </c>
      <c r="J47" s="17" t="str">
        <f t="shared" si="0"/>
        <v>Pass</v>
      </c>
    </row>
    <row r="48" spans="1:10" ht="15.75" customHeight="1" x14ac:dyDescent="0.5">
      <c r="A48" s="16" t="s">
        <v>170</v>
      </c>
      <c r="B48" s="17" t="s">
        <v>171</v>
      </c>
      <c r="C48" s="17" t="s">
        <v>78</v>
      </c>
      <c r="D48" s="17" t="s">
        <v>72</v>
      </c>
      <c r="E48" s="17">
        <f>COUNTIFS('Final Report'!$O:$O, "*" &amp; $A48 &amp; "*")</f>
      </c>
      <c r="F48" s="17">
        <f>COUNTIFS('Final Report'!$O:$O, $A48, 'Final Report'!$L:$L, F$1)</f>
      </c>
      <c r="G48" s="17">
        <f>COUNTIFS('Final Report'!$O:$O, $A48, 'Final Report'!$L:$L, G$1)</f>
      </c>
      <c r="H48" s="17">
        <f>COUNTIFS('Final Report'!$O:$O, $A48, 'Final Report'!$L:$L, H$1)</f>
      </c>
      <c r="I48" s="17">
        <f>COUNTIFS('Final Report'!$O:$O, $A48, 'Final Report'!$L:$L, I$1)</f>
      </c>
      <c r="J48" s="17" t="str">
        <f t="shared" si="0"/>
        <v>Pass</v>
      </c>
    </row>
    <row r="49" spans="1:10" ht="15.75" customHeight="1" x14ac:dyDescent="0.5">
      <c r="A49" s="16" t="s">
        <v>172</v>
      </c>
      <c r="B49" s="17" t="s">
        <v>173</v>
      </c>
      <c r="C49" s="17" t="s">
        <v>78</v>
      </c>
      <c r="D49" s="17" t="s">
        <v>72</v>
      </c>
      <c r="E49" s="17">
        <f>COUNTIFS('Final Report'!$O:$O, "*" &amp; $A49 &amp; "*")</f>
      </c>
      <c r="F49" s="17">
        <f>COUNTIFS('Final Report'!$O:$O, $A49, 'Final Report'!$L:$L, F$1)</f>
      </c>
      <c r="G49" s="17">
        <f>COUNTIFS('Final Report'!$O:$O, $A49, 'Final Report'!$L:$L, G$1)</f>
      </c>
      <c r="H49" s="17">
        <f>COUNTIFS('Final Report'!$O:$O, $A49, 'Final Report'!$L:$L, H$1)</f>
      </c>
      <c r="I49" s="17">
        <f>COUNTIFS('Final Report'!$O:$O, $A49, 'Final Report'!$L:$L, I$1)</f>
      </c>
      <c r="J49" s="17" t="str">
        <f t="shared" si="0"/>
        <v>Pass</v>
      </c>
    </row>
    <row r="50" spans="1:10" ht="15.75" customHeight="1" x14ac:dyDescent="0.5">
      <c r="A50" s="16" t="s">
        <v>174</v>
      </c>
      <c r="B50" s="17" t="s">
        <v>175</v>
      </c>
      <c r="C50" s="17" t="s">
        <v>78</v>
      </c>
      <c r="D50" s="17" t="s">
        <v>72</v>
      </c>
      <c r="E50" s="17">
        <f>COUNTIFS('Final Report'!$O:$O, "*" &amp; $A50 &amp; "*")</f>
      </c>
      <c r="F50" s="17">
        <f>COUNTIFS('Final Report'!$O:$O, $A50, 'Final Report'!$L:$L, F$1)</f>
      </c>
      <c r="G50" s="17">
        <f>COUNTIFS('Final Report'!$O:$O, $A50, 'Final Report'!$L:$L, G$1)</f>
      </c>
      <c r="H50" s="17">
        <f>COUNTIFS('Final Report'!$O:$O, $A50, 'Final Report'!$L:$L, H$1)</f>
      </c>
      <c r="I50" s="17">
        <f>COUNTIFS('Final Report'!$O:$O, $A50, 'Final Report'!$L:$L, I$1)</f>
      </c>
      <c r="J50" s="17" t="str">
        <f t="shared" si="0"/>
        <v>Pass</v>
      </c>
    </row>
    <row r="51" spans="1:10" ht="15.75" customHeight="1" x14ac:dyDescent="0.5">
      <c r="A51" s="16" t="s">
        <v>176</v>
      </c>
      <c r="B51" s="17" t="s">
        <v>177</v>
      </c>
      <c r="C51" s="17" t="s">
        <v>87</v>
      </c>
      <c r="D51" s="17" t="s">
        <v>74</v>
      </c>
      <c r="E51" s="17">
        <f>COUNTIFS('Final Report'!$O:$O, "*" &amp; $A51 &amp; "*")</f>
      </c>
      <c r="F51" s="17">
        <f>COUNTIFS('Final Report'!$O:$O, $A51, 'Final Report'!$L:$L, F$1)</f>
      </c>
      <c r="G51" s="17">
        <f>COUNTIFS('Final Report'!$O:$O, $A51, 'Final Report'!$L:$L, G$1)</f>
      </c>
      <c r="H51" s="17">
        <f>COUNTIFS('Final Report'!$O:$O, $A51, 'Final Report'!$L:$L, H$1)</f>
      </c>
      <c r="I51" s="17">
        <f>COUNTIFS('Final Report'!$O:$O, $A51, 'Final Report'!$L:$L, I$1)</f>
      </c>
      <c r="J51" s="17" t="str">
        <f t="shared" si="0"/>
        <v>Pass</v>
      </c>
    </row>
    <row r="52" spans="1:10" ht="15.75" customHeight="1" x14ac:dyDescent="0.5">
      <c r="A52" s="16" t="s">
        <v>178</v>
      </c>
      <c r="B52" s="17" t="s">
        <v>179</v>
      </c>
      <c r="C52" s="17" t="s">
        <v>87</v>
      </c>
      <c r="D52" s="17" t="s">
        <v>73</v>
      </c>
      <c r="E52" s="17">
        <f>COUNTIFS('Final Report'!$O:$O, "*" &amp; $A52 &amp; "*")</f>
      </c>
      <c r="F52" s="17">
        <f>COUNTIFS('Final Report'!$O:$O, $A52, 'Final Report'!$L:$L, F$1)</f>
      </c>
      <c r="G52" s="17">
        <f>COUNTIFS('Final Report'!$O:$O, $A52, 'Final Report'!$L:$L, G$1)</f>
      </c>
      <c r="H52" s="17">
        <f>COUNTIFS('Final Report'!$O:$O, $A52, 'Final Report'!$L:$L, H$1)</f>
      </c>
      <c r="I52" s="17">
        <f>COUNTIFS('Final Report'!$O:$O, $A52, 'Final Report'!$L:$L, I$1)</f>
      </c>
      <c r="J52" s="17" t="str">
        <f t="shared" si="0"/>
        <v>Pass</v>
      </c>
    </row>
    <row r="53" spans="1:10" ht="15.75" customHeight="1" x14ac:dyDescent="0.5">
      <c r="A53" s="16" t="s">
        <v>180</v>
      </c>
      <c r="B53" s="17" t="s">
        <v>181</v>
      </c>
      <c r="C53" s="17" t="s">
        <v>78</v>
      </c>
      <c r="D53" s="17" t="s">
        <v>74</v>
      </c>
      <c r="E53" s="17">
        <f>COUNTIFS('Final Report'!$O:$O, "*" &amp; $A53 &amp; "*")</f>
      </c>
      <c r="F53" s="17">
        <f>COUNTIFS('Final Report'!$O:$O, $A53, 'Final Report'!$L:$L, F$1)</f>
      </c>
      <c r="G53" s="17">
        <f>COUNTIFS('Final Report'!$O:$O, $A53, 'Final Report'!$L:$L, G$1)</f>
      </c>
      <c r="H53" s="17">
        <f>COUNTIFS('Final Report'!$O:$O, $A53, 'Final Report'!$L:$L, H$1)</f>
      </c>
      <c r="I53" s="17">
        <f>COUNTIFS('Final Report'!$O:$O, $A53, 'Final Report'!$L:$L, I$1)</f>
      </c>
      <c r="J53" s="17" t="str">
        <f t="shared" si="0"/>
        <v>Pass</v>
      </c>
    </row>
    <row r="54" spans="1:10" ht="15.75" customHeight="1" x14ac:dyDescent="0.5">
      <c r="A54" s="16" t="s">
        <v>182</v>
      </c>
      <c r="B54" s="17" t="s">
        <v>183</v>
      </c>
      <c r="C54" s="17" t="s">
        <v>78</v>
      </c>
      <c r="D54" s="17" t="s">
        <v>73</v>
      </c>
      <c r="E54" s="17">
        <f>COUNTIFS('Final Report'!$O:$O, "*" &amp; $A54 &amp; "*")</f>
      </c>
      <c r="F54" s="17">
        <f>COUNTIFS('Final Report'!$O:$O, $A54, 'Final Report'!$L:$L, F$1)</f>
      </c>
      <c r="G54" s="17">
        <f>COUNTIFS('Final Report'!$O:$O, $A54, 'Final Report'!$L:$L, G$1)</f>
      </c>
      <c r="H54" s="17">
        <f>COUNTIFS('Final Report'!$O:$O, $A54, 'Final Report'!$L:$L, H$1)</f>
      </c>
      <c r="I54" s="17">
        <f>COUNTIFS('Final Report'!$O:$O, $A54, 'Final Report'!$L:$L, I$1)</f>
      </c>
      <c r="J54" s="17" t="str">
        <f t="shared" si="0"/>
        <v>Pass</v>
      </c>
    </row>
    <row r="55" spans="1:10" ht="15.75" customHeight="1" x14ac:dyDescent="0.5">
      <c r="A55" s="16" t="s">
        <v>184</v>
      </c>
      <c r="B55" s="17" t="s">
        <v>185</v>
      </c>
      <c r="C55" s="17" t="s">
        <v>78</v>
      </c>
      <c r="D55" s="17" t="s">
        <v>74</v>
      </c>
      <c r="E55" s="17">
        <f>COUNTIFS('Final Report'!$O:$O, "*" &amp; $A55 &amp; "*")</f>
      </c>
      <c r="F55" s="17">
        <f>COUNTIFS('Final Report'!$O:$O, $A55, 'Final Report'!$L:$L, F$1)</f>
      </c>
      <c r="G55" s="17">
        <f>COUNTIFS('Final Report'!$O:$O, $A55, 'Final Report'!$L:$L, G$1)</f>
      </c>
      <c r="H55" s="17">
        <f>COUNTIFS('Final Report'!$O:$O, $A55, 'Final Report'!$L:$L, H$1)</f>
      </c>
      <c r="I55" s="17">
        <f>COUNTIFS('Final Report'!$O:$O, $A55, 'Final Report'!$L:$L, I$1)</f>
      </c>
      <c r="J55" s="17" t="str">
        <f t="shared" si="0"/>
        <v>Pass</v>
      </c>
    </row>
    <row r="56" spans="1:10" ht="15.75" customHeight="1" x14ac:dyDescent="0.5">
      <c r="A56" s="16" t="s">
        <v>186</v>
      </c>
      <c r="B56" s="17" t="s">
        <v>187</v>
      </c>
      <c r="C56" s="17" t="s">
        <v>78</v>
      </c>
      <c r="D56" s="17" t="s">
        <v>72</v>
      </c>
      <c r="E56" s="17">
        <f>COUNTIFS('Final Report'!$O:$O, "*" &amp; $A56 &amp; "*")</f>
      </c>
      <c r="F56" s="17">
        <f>COUNTIFS('Final Report'!$O:$O, $A56, 'Final Report'!$L:$L, F$1)</f>
      </c>
      <c r="G56" s="17">
        <f>COUNTIFS('Final Report'!$O:$O, $A56, 'Final Report'!$L:$L, G$1)</f>
      </c>
      <c r="H56" s="17">
        <f>COUNTIFS('Final Report'!$O:$O, $A56, 'Final Report'!$L:$L, H$1)</f>
      </c>
      <c r="I56" s="17">
        <f>COUNTIFS('Final Report'!$O:$O, $A56, 'Final Report'!$L:$L, I$1)</f>
      </c>
      <c r="J56" s="17" t="str">
        <f t="shared" si="0"/>
        <v>Pass</v>
      </c>
    </row>
    <row r="57" spans="1:10" ht="15.75" customHeight="1" thickBot="1" x14ac:dyDescent="0.55000000000000004">
      <c r="A57" s="18" t="s">
        <v>188</v>
      </c>
      <c r="B57" s="19" t="s">
        <v>189</v>
      </c>
      <c r="C57" s="19" t="s">
        <v>87</v>
      </c>
      <c r="D57" s="19" t="s">
        <v>72</v>
      </c>
      <c r="E57" s="19">
        <f>COUNTIFS('Final Report'!$O:$O, "*" &amp; $A57 &amp; "*")</f>
      </c>
      <c r="F57" s="19">
        <f>COUNTIFS('Final Report'!$O:$O, $A57, 'Final Report'!$L:$L, F$1)</f>
      </c>
      <c r="G57" s="19">
        <f>COUNTIFS('Final Report'!$O:$O, $A57, 'Final Report'!$L:$L, G$1)</f>
      </c>
      <c r="H57" s="19">
        <f>COUNTIFS('Final Report'!$O:$O, $A57, 'Final Report'!$L:$L, H$1)</f>
      </c>
      <c r="I57" s="19">
        <f>COUNTIFS('Final Report'!$O:$O, $A57, 'Final Report'!$L:$L, I$1)</f>
      </c>
      <c r="J57" s="19" t="str">
        <f t="shared" si="0"/>
        <v>Pass</v>
      </c>
    </row>
    <row r="58" spans="1:10" ht="15.75" customHeight="1" x14ac:dyDescent="0.35"/>
    <row r="59" spans="1:10" ht="15.75" customHeight="1" x14ac:dyDescent="0.35"/>
    <row r="60" spans="1:10" ht="15.75" customHeight="1" x14ac:dyDescent="0.35"/>
    <row r="61" spans="1:10" ht="15.75" customHeight="1" x14ac:dyDescent="0.35"/>
    <row r="62" spans="1:10" ht="15.75" customHeight="1" x14ac:dyDescent="0.35"/>
    <row r="63" spans="1:10" ht="15.75" customHeight="1" x14ac:dyDescent="0.35"/>
    <row r="64" spans="1:10"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URL Details</vt:lpstr>
      <vt:lpstr>All URLs</vt:lpstr>
      <vt:lpstr>Final Report</vt:lpstr>
      <vt:lpstr>Conformance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Sangam Nishad</cp:lastModifiedBy>
  <dcterms:modified xsi:type="dcterms:W3CDTF">2026-03-19T02:28:07Z</dcterms:modified>
</cp:coreProperties>
</file>